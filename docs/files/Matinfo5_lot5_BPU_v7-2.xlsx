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date1904="1" showInkAnnotation="0" updateLinks="never" autoCompressPictures="0"/>
  <mc:AlternateContent xmlns:mc="http://schemas.openxmlformats.org/markup-compatibility/2006">
    <mc:Choice Requires="x15">
      <x15ac:absPath xmlns:x15ac="http://schemas.microsoft.com/office/spreadsheetml/2010/11/ac" url="M:\DdAC\ACHATS\CENTRALE  D'ACHATS\MATINFO 5\BPU LOT 5\"/>
    </mc:Choice>
  </mc:AlternateContent>
  <xr:revisionPtr revIDLastSave="0" documentId="13_ncr:1_{AFC12B25-5CCC-4908-95B5-BABC369B11CE}" xr6:coauthVersionLast="36" xr6:coauthVersionMax="36" xr10:uidLastSave="{00000000-0000-0000-0000-000000000000}"/>
  <bookViews>
    <workbookView xWindow="0" yWindow="0" windowWidth="28800" windowHeight="11685" tabRatio="501" activeTab="3" xr2:uid="{00000000-000D-0000-FFFF-FFFF00000000}"/>
  </bookViews>
  <sheets>
    <sheet name="1 - Page de garde" sheetId="8" r:id="rId1"/>
    <sheet name="2 - Tarif normalisé n°7 Lot 5" sheetId="4" r:id="rId2"/>
    <sheet name="3 - Accessoires et logiciels" sheetId="9" r:id="rId3"/>
    <sheet name="4 - Services" sheetId="10" r:id="rId4"/>
    <sheet name="5 - Location" sheetId="14" r:id="rId5"/>
    <sheet name="6 - Services DROM-COM" sheetId="18" r:id="rId6"/>
    <sheet name="Récapitulatif remises" sheetId="3" r:id="rId7"/>
  </sheets>
  <externalReferences>
    <externalReference r:id="rId8"/>
    <externalReference r:id="rId9"/>
  </externalReferences>
  <definedNames>
    <definedName name="_xlnm._FilterDatabase" localSheetId="1" hidden="1">'2 - Tarif normalisé n°7 Lot 5'!$A$1:$AM$712</definedName>
    <definedName name="_xlnm._FilterDatabase" localSheetId="2" hidden="1">'3 - Accessoires et logiciels'!$A$1:$O$708</definedName>
    <definedName name="_Pro_13_3___Retina_Core_i5_2_5_GHz_256_Go_stockage_flash__réf._Apple_ME662F_A" localSheetId="1">#REF!</definedName>
    <definedName name="Cat_exco" localSheetId="1">#REF!</definedName>
    <definedName name="Cat_exco_adeth" localSheetId="1">#REF!</definedName>
    <definedName name="Cat_exco_adeth" localSheetId="4">#REF!</definedName>
    <definedName name="Cat_exco_adeth">#REF!</definedName>
    <definedName name="Cat_exco_adsect" localSheetId="1">#REF!</definedName>
    <definedName name="Cat_exco_adsect" localSheetId="4">#REF!</definedName>
    <definedName name="Cat_exco_adsect">#REF!</definedName>
    <definedName name="Cat_exco_advideo" localSheetId="1">#REF!</definedName>
    <definedName name="Cat_exco_advideo" localSheetId="4">#REF!</definedName>
    <definedName name="Cat_exco_advideo">#REF!</definedName>
    <definedName name="Cat_exco_airport" localSheetId="1">#REF!</definedName>
    <definedName name="Cat_exco_airport" localSheetId="4">#REF!</definedName>
    <definedName name="Cat_exco_airport">#REF!</definedName>
    <definedName name="Cat_exco_ass" localSheetId="1">#REF!</definedName>
    <definedName name="Cat_exco_ass" localSheetId="4">#REF!</definedName>
    <definedName name="Cat_exco_ass">#REF!</definedName>
    <definedName name="cat_exco_audio" localSheetId="4">#REF!</definedName>
    <definedName name="cat_exco_audio">#REF!</definedName>
    <definedName name="Cat_exco_batt" localSheetId="1">#REF!</definedName>
    <definedName name="cat_exco_batt" localSheetId="4">#REF!</definedName>
    <definedName name="cat_exco_batt">#REF!</definedName>
    <definedName name="Cat_exco_bretford" localSheetId="1">#REF!</definedName>
    <definedName name="Cat_exco_bretford" localSheetId="4">#REF!</definedName>
    <definedName name="Cat_exco_bretford">#REF!</definedName>
    <definedName name="Cat_exco_cable" localSheetId="1">#REF!</definedName>
    <definedName name="Cat_exco_cable" localSheetId="4">#REF!</definedName>
    <definedName name="Cat_exco_cable">#REF!</definedName>
    <definedName name="Cat_exco_clav" localSheetId="1">#REF!</definedName>
    <definedName name="Cat_exco_clav" localSheetId="4">#REF!</definedName>
    <definedName name="Cat_exco_clav">#REF!</definedName>
    <definedName name="Cat_exco_dd" localSheetId="1">#REF!</definedName>
    <definedName name="Cat_exco_dd" localSheetId="4">#REF!</definedName>
    <definedName name="Cat_exco_dd">#REF!</definedName>
    <definedName name="Cat_exco_ergokally" localSheetId="1">#REF!</definedName>
    <definedName name="Cat_exco_ergokally" localSheetId="4">#REF!</definedName>
    <definedName name="Cat_exco_ergokally">#REF!</definedName>
    <definedName name="Cat_exco_film" localSheetId="1">#REF!</definedName>
    <definedName name="cat_exco_film" localSheetId="4">#REF!</definedName>
    <definedName name="cat_exco_film">#REF!</definedName>
    <definedName name="Cat_exco_iglaze" localSheetId="1">#REF!</definedName>
    <definedName name="cat_exco_iglaze" localSheetId="4">#REF!</definedName>
    <definedName name="cat_exco_iglaze">#REF!</definedName>
    <definedName name="cat_exco_jamf" localSheetId="4">#REF!</definedName>
    <definedName name="cat_exco_jamf">#REF!</definedName>
    <definedName name="Cat_exco_log" localSheetId="1">#REF!</definedName>
    <definedName name="Cat_exco_log" localSheetId="4">#REF!</definedName>
    <definedName name="Cat_exco_log">#REF!</definedName>
    <definedName name="Cat_exco_memsub" localSheetId="1">#REF!</definedName>
    <definedName name="Cat_exco_memsub" localSheetId="4">#REF!</definedName>
    <definedName name="Cat_exco_memsub">#REF!</definedName>
    <definedName name="cat_exco_memusb" localSheetId="4">#REF!</definedName>
    <definedName name="cat_exco_memusb">#REF!</definedName>
    <definedName name="Cat_exco_moni" localSheetId="1">#REF!</definedName>
    <definedName name="Cat_exco_moni" localSheetId="4">#REF!</definedName>
    <definedName name="Cat_exco_moni">#REF!</definedName>
    <definedName name="Cat_exco_ondu" localSheetId="1">#REF!</definedName>
    <definedName name="cat_exco_ondu" localSheetId="4">#REF!</definedName>
    <definedName name="cat_exco_ondu">#REF!</definedName>
    <definedName name="Cat_exco_pciexp" localSheetId="1">#REF!</definedName>
    <definedName name="Cat_exco_pciexp" localSheetId="4">#REF!</definedName>
    <definedName name="Cat_exco_pciexp">#REF!</definedName>
    <definedName name="Cat_exco_sauv" localSheetId="1">#REF!</definedName>
    <definedName name="Cat_exco_sauv" localSheetId="4">#REF!</definedName>
    <definedName name="Cat_exco_sauv">#REF!</definedName>
    <definedName name="Cat_exco_secu" localSheetId="1">#REF!</definedName>
    <definedName name="Cat_exco_secu" localSheetId="4">#REF!</definedName>
    <definedName name="Cat_exco_secu">#REF!</definedName>
    <definedName name="Cat_exco_serv" localSheetId="1">#REF!</definedName>
    <definedName name="Cat_exco_serv" localSheetId="4">#REF!</definedName>
    <definedName name="Cat_exco_serv">#REF!</definedName>
    <definedName name="Cat_exco_souris" localSheetId="1">#REF!</definedName>
    <definedName name="Cat_exco_souris" localSheetId="4">#REF!</definedName>
    <definedName name="Cat_exco_souris">#REF!</definedName>
    <definedName name="Cat1_acc" localSheetId="1">#REF!</definedName>
    <definedName name="cat1_acc_comm" localSheetId="4">#REF!</definedName>
    <definedName name="cat1_acc_comm">#REF!</definedName>
    <definedName name="cat1_acc_mb12" localSheetId="4">#REF!</definedName>
    <definedName name="cat1_acc_mb12">#REF!</definedName>
    <definedName name="cat1_acc_mba13" localSheetId="4">#REF!</definedName>
    <definedName name="cat1_acc_mba13">#REF!</definedName>
    <definedName name="cat1_conf1" localSheetId="4">#REF!</definedName>
    <definedName name="cat1_conf1">#REF!</definedName>
    <definedName name="Cat1_conf1_mba11" localSheetId="1">#REF!</definedName>
    <definedName name="cat1_conf2" localSheetId="4">#REF!</definedName>
    <definedName name="cat1_conf2">#REF!</definedName>
    <definedName name="Cat1_conf2_mba13" localSheetId="1">#REF!</definedName>
    <definedName name="cat1_conf3" localSheetId="4">#REF!</definedName>
    <definedName name="cat1_conf3">#REF!</definedName>
    <definedName name="cat1_conf4" localSheetId="4">#REF!</definedName>
    <definedName name="cat1_conf4">#REF!</definedName>
    <definedName name="Cat1_md223" localSheetId="1">#REF!</definedName>
    <definedName name="Cat1_md224" localSheetId="1">#REF!</definedName>
    <definedName name="Cat1_md231" localSheetId="1">#REF!</definedName>
    <definedName name="Cat1_md232" localSheetId="1">#REF!</definedName>
    <definedName name="Cat2_acc" localSheetId="1">#REF!</definedName>
    <definedName name="cat2_acc_comm" localSheetId="4">#REF!</definedName>
    <definedName name="cat2_acc_comm">#REF!</definedName>
    <definedName name="cat2_acc_mbpr" localSheetId="4">#REF!</definedName>
    <definedName name="cat2_acc_mbpr">#REF!</definedName>
    <definedName name="cat2_acc_mbptb" localSheetId="4">#REF!</definedName>
    <definedName name="cat2_acc_mbptb">#REF!</definedName>
    <definedName name="cat2_conf1" localSheetId="4">#REF!</definedName>
    <definedName name="cat2_conf1">#REF!</definedName>
    <definedName name="cat2_conf2" localSheetId="4">#REF!</definedName>
    <definedName name="cat2_conf2">#REF!</definedName>
    <definedName name="Cat2_conf2_mbp13" localSheetId="1">#REF!</definedName>
    <definedName name="Cat2_conf2_mbp15" localSheetId="1">#REF!</definedName>
    <definedName name="cat2_conf3" localSheetId="4">#REF!</definedName>
    <definedName name="cat2_conf3">#REF!</definedName>
    <definedName name="Cat2_conf3_mbpr13" localSheetId="1">#REF!</definedName>
    <definedName name="cat2_conf4" localSheetId="4">#REF!</definedName>
    <definedName name="cat2_conf4">#REF!</definedName>
    <definedName name="cat2_conf5" localSheetId="4">#REF!</definedName>
    <definedName name="cat2_conf5">#REF!</definedName>
    <definedName name="cat2_conf6" localSheetId="4">#REF!</definedName>
    <definedName name="cat2_conf6">#REF!</definedName>
    <definedName name="cat2_conf7" localSheetId="4">#REF!</definedName>
    <definedName name="cat2_conf7">#REF!</definedName>
    <definedName name="Cat2_md101" localSheetId="1">#REF!</definedName>
    <definedName name="Cat2_md102" localSheetId="1">#REF!</definedName>
    <definedName name="Cat2_md103" localSheetId="1">#REF!</definedName>
    <definedName name="Cat2_md212" localSheetId="1">#REF!</definedName>
    <definedName name="Cat2_me662" localSheetId="1">#REF!</definedName>
    <definedName name="Cat2_me866" localSheetId="1">#REF!</definedName>
    <definedName name="Cat3_acc" localSheetId="1">#REF!</definedName>
    <definedName name="cat3_acc" localSheetId="4">#REF!</definedName>
    <definedName name="cat3_acc">#REF!</definedName>
    <definedName name="cat3_conf1" localSheetId="4">#REF!</definedName>
    <definedName name="cat3_conf1">#REF!</definedName>
    <definedName name="Cat3_conf1_mbpret15" localSheetId="1">#REF!</definedName>
    <definedName name="cat3_conf2" localSheetId="4">#REF!</definedName>
    <definedName name="cat3_conf2">#REF!</definedName>
    <definedName name="cat3_conf3" localSheetId="4">#REF!</definedName>
    <definedName name="cat3_conf3">#REF!</definedName>
    <definedName name="Cat3_me664" localSheetId="1">#REF!</definedName>
    <definedName name="Cat3_me665" localSheetId="1">#REF!</definedName>
    <definedName name="Cat4_acc" localSheetId="1">#REF!</definedName>
    <definedName name="cat4_acc" localSheetId="4">#REF!</definedName>
    <definedName name="cat4_acc">#REF!</definedName>
    <definedName name="cat4_conf1" localSheetId="4">#REF!</definedName>
    <definedName name="cat4_conf1">#REF!</definedName>
    <definedName name="Cat4_conf1_mm" localSheetId="1">#REF!</definedName>
    <definedName name="cat4_conf2" localSheetId="4">#REF!</definedName>
    <definedName name="cat4_conf2">#REF!</definedName>
    <definedName name="cat4_conf3" localSheetId="4">#REF!</definedName>
    <definedName name="cat4_conf3">#REF!</definedName>
    <definedName name="cat4_conf4" localSheetId="4">#REF!</definedName>
    <definedName name="cat4_conf4">#REF!</definedName>
    <definedName name="cat4_conf5" localSheetId="4">#REF!</definedName>
    <definedName name="cat4_conf5">#REF!</definedName>
    <definedName name="cat4_conf6" localSheetId="4">#REF!</definedName>
    <definedName name="cat4_conf6">#REF!</definedName>
    <definedName name="Cat4_md387" localSheetId="1">#REF!</definedName>
    <definedName name="Cat4_md388" localSheetId="1">#REF!</definedName>
    <definedName name="Cat5_acc" localSheetId="1">#REF!</definedName>
    <definedName name="cat5_acc" localSheetId="4">#REF!</definedName>
    <definedName name="cat5_acc">#REF!</definedName>
    <definedName name="cat5_conf1" localSheetId="4">#REF!</definedName>
    <definedName name="cat5_conf1">#REF!</definedName>
    <definedName name="Cat5_conf1_imac" localSheetId="1">#REF!</definedName>
    <definedName name="cat5_conf2" localSheetId="4">#REF!</definedName>
    <definedName name="cat5_conf2">#REF!</definedName>
    <definedName name="Cat5_conf3_im27" localSheetId="1">#REF!</definedName>
    <definedName name="Cat5_me086" localSheetId="1">#REF!</definedName>
    <definedName name="Cat5_me087" localSheetId="1">#REF!</definedName>
    <definedName name="Cat5_me088" localSheetId="1">#REF!</definedName>
    <definedName name="Cat5_me089" localSheetId="1">#REF!</definedName>
    <definedName name="Cat5_mf883" localSheetId="1">#REF!</definedName>
    <definedName name="Cat6_acc" localSheetId="1">#REF!</definedName>
    <definedName name="cat6_acc_com" localSheetId="4">#REF!</definedName>
    <definedName name="cat6_acc_com">#REF!</definedName>
    <definedName name="cat6_acc_dd" localSheetId="4">#REF!</definedName>
    <definedName name="cat6_acc_dd">#REF!</definedName>
    <definedName name="cat6_acc_gestion" localSheetId="4">#REF!</definedName>
    <definedName name="cat6_acc_gestion">#REF!</definedName>
    <definedName name="cat6_acc_ip9" localSheetId="4">#REF!</definedName>
    <definedName name="cat6_acc_ip9">#REF!</definedName>
    <definedName name="cat6_acc_ipa" localSheetId="4">#REF!</definedName>
    <definedName name="cat6_acc_ipa">#REF!</definedName>
    <definedName name="cat6_acc_ipa2" localSheetId="4">#REF!</definedName>
    <definedName name="cat6_acc_ipa2">#REF!</definedName>
    <definedName name="cat6_acc_ipm" localSheetId="4">#REF!</definedName>
    <definedName name="cat6_acc_ipm">#REF!</definedName>
    <definedName name="cat6_acc_ipm4" localSheetId="4">#REF!</definedName>
    <definedName name="cat6_acc_ipm4">#REF!</definedName>
    <definedName name="cat6_acc_ipp12" localSheetId="4">#REF!</definedName>
    <definedName name="cat6_acc_ipp12">#REF!</definedName>
    <definedName name="cat6_acc_ipp9" localSheetId="4">#REF!</definedName>
    <definedName name="cat6_acc_ipp9">#REF!</definedName>
    <definedName name="cat6_acc_light" localSheetId="4">#REF!</definedName>
    <definedName name="cat6_acc_light">#REF!</definedName>
    <definedName name="cat6_conf1" localSheetId="4">#REF!</definedName>
    <definedName name="cat6_conf1">#REF!</definedName>
    <definedName name="Cat6_conf1_mp" localSheetId="1">#REF!</definedName>
    <definedName name="cat6_conf2" localSheetId="4">#REF!</definedName>
    <definedName name="cat6_conf2">#REF!</definedName>
    <definedName name="cat6_conf3" localSheetId="4">#REF!</definedName>
    <definedName name="cat6_conf3">#REF!</definedName>
    <definedName name="cat6_conf5" localSheetId="4">#REF!</definedName>
    <definedName name="cat6_conf5">#REF!</definedName>
    <definedName name="cat6_conf6" localSheetId="4">#REF!</definedName>
    <definedName name="cat6_conf6">#REF!</definedName>
    <definedName name="cat6_conf7" localSheetId="4">#REF!</definedName>
    <definedName name="cat6_conf7">#REF!</definedName>
    <definedName name="cat6_conf8" localSheetId="4">#REF!</definedName>
    <definedName name="cat6_conf8">#REF!</definedName>
    <definedName name="Cat6_md878" localSheetId="1">#REF!</definedName>
    <definedName name="Cat6_me253" localSheetId="1">#REF!</definedName>
    <definedName name="Cat7_acc" localSheetId="1">#REF!</definedName>
    <definedName name="Cat7_conf1_mmsv" localSheetId="1">#REF!</definedName>
    <definedName name="Cat7_md389" localSheetId="1">#REF!</definedName>
    <definedName name="Cat7_md772" localSheetId="1">#REF!</definedName>
    <definedName name="Cat7_mpsvbi" localSheetId="1">#REF!</definedName>
    <definedName name="Cat8_acc_ddipad" localSheetId="1">#REF!</definedName>
    <definedName name="Cat8_acc_dock" localSheetId="1">#REF!</definedName>
    <definedName name="Cat8_acc_gestion" localSheetId="1">#REF!</definedName>
    <definedName name="Cat8_acc_ipad" localSheetId="1">#REF!</definedName>
    <definedName name="Cat8_acc_ipad2" localSheetId="1">#REF!</definedName>
    <definedName name="Cat8_acc_ipada" localSheetId="1">#REF!</definedName>
    <definedName name="Cat8_acc_ipadr" localSheetId="1">#REF!</definedName>
    <definedName name="Cat8_conf1" localSheetId="1">#REF!</definedName>
    <definedName name="Cat8_conf12_ipad2" localSheetId="1">#REF!</definedName>
    <definedName name="Cat8_conf2" localSheetId="1">#REF!</definedName>
    <definedName name="Cat8_conf3" localSheetId="1">#REF!</definedName>
    <definedName name="Cat8_conf34_ipadr" localSheetId="1">#REF!</definedName>
    <definedName name="Cat8_conf4" localSheetId="1">#REF!</definedName>
    <definedName name="im24_5pl">'2 - Tarif normalisé n°7 Lot 5'!$I$468</definedName>
    <definedName name="im27_5pl">'2 - Tarif normalisé n°7 Lot 5'!#REF!</definedName>
    <definedName name="ip_5pl">'2 - Tarif normalisé n°7 Lot 5'!$I$643</definedName>
    <definedName name="ipa_5pl">'2 - Tarif normalisé n°7 Lot 5'!$I$663</definedName>
    <definedName name="ipm_5pl">'2 - Tarif normalisé n°7 Lot 5'!$I$633</definedName>
    <definedName name="mba_5pl">'2 - Tarif normalisé n°7 Lot 5'!$I$6</definedName>
    <definedName name="mba13_5pl">'2 - Tarif normalisé n°7 Lot 5'!$I$6</definedName>
    <definedName name="mbp13_5pl">'2 - Tarif normalisé n°7 Lot 5'!$I$178</definedName>
    <definedName name="mbp14_5pl">'2 - Tarif normalisé n°7 Lot 5'!$I$245</definedName>
    <definedName name="mbp16_5pl">'2 - Tarif normalisé n°7 Lot 5'!$I$338</definedName>
    <definedName name="mm_5pl">'2 - Tarif normalisé n°7 Lot 5'!$I$423</definedName>
    <definedName name="mp_5pl">'2 - Tarif normalisé n°7 Lot 5'!$I$554</definedName>
    <definedName name="ms_5pl">'2 - Tarif normalisé n°7 Lot 5'!$AC$525</definedName>
    <definedName name="PA_GAR_IM" localSheetId="1">#REF!</definedName>
    <definedName name="PA_GAR_IM" localSheetId="4">#REF!</definedName>
    <definedName name="PA_GAR_IM">#REF!</definedName>
    <definedName name="PA_GAR_IP" localSheetId="1">#REF!</definedName>
    <definedName name="PA_GAR_IP" localSheetId="4">#REF!</definedName>
    <definedName name="PA_GAR_IP">#REF!</definedName>
    <definedName name="PA_GAR_MB" localSheetId="1">#REF!</definedName>
    <definedName name="PA_GAR_MB" localSheetId="4">#REF!</definedName>
    <definedName name="PA_GAR_MB">#REF!</definedName>
    <definedName name="PA_GAR_MBP" localSheetId="1">#REF!</definedName>
    <definedName name="PA_GAR_MBP" localSheetId="4">#REF!</definedName>
    <definedName name="PA_GAR_MBP">#REF!</definedName>
    <definedName name="PA_GAR_MM" localSheetId="1">#REF!</definedName>
    <definedName name="PA_GAR_MM" localSheetId="4">#REF!</definedName>
    <definedName name="PA_GAR_MM">#REF!</definedName>
    <definedName name="PA_GAR_MP" localSheetId="1">#REF!</definedName>
    <definedName name="PA_GAR_MP" localSheetId="4">#REF!</definedName>
    <definedName name="PA_GAR_MP">#REF!</definedName>
    <definedName name="pa_im21_5pl">'2 - Tarif normalisé n°7 Lot 5'!#REF!</definedName>
    <definedName name="pa_im24_5pl">'2 - Tarif normalisé n°7 Lot 5'!#REF!</definedName>
    <definedName name="pa_im27_5pl">'2 - Tarif normalisé n°7 Lot 5'!#REF!</definedName>
    <definedName name="pa_ip_5pl">'2 - Tarif normalisé n°7 Lot 5'!#REF!</definedName>
    <definedName name="pa_ipm_5pl">'2 - Tarif normalisé n°7 Lot 5'!#REF!</definedName>
    <definedName name="pa_mba13_5pl">'2 - Tarif normalisé n°7 Lot 5'!#REF!</definedName>
    <definedName name="pa_mbp13_5pl">'2 - Tarif normalisé n°7 Lot 5'!#REF!</definedName>
    <definedName name="pa_mbp14_5pl">'2 - Tarif normalisé n°7 Lot 5'!#REF!</definedName>
    <definedName name="pa_mbp16_5pl">'2 - Tarif normalisé n°7 Lot 5'!#REF!</definedName>
    <definedName name="pa_mm_5pl">'2 - Tarif normalisé n°7 Lot 5'!#REF!</definedName>
    <definedName name="pa_mp_5pl">'2 - Tarif normalisé n°7 Lot 5'!#REF!</definedName>
    <definedName name="pa_ms_5pl">'2 - Tarif normalisé n°7 Lot 5'!#REF!</definedName>
    <definedName name="Page_54" localSheetId="1">#REF!</definedName>
    <definedName name="Page_54" localSheetId="4">#REF!</definedName>
    <definedName name="Page_54">#REF!</definedName>
    <definedName name="pp_cat1_conf1" localSheetId="4">#REF!</definedName>
    <definedName name="pp_cat1_conf1">#REF!</definedName>
    <definedName name="pp_cat1_conf2" localSheetId="4">#REF!</definedName>
    <definedName name="pp_cat1_conf2">#REF!</definedName>
    <definedName name="pp_cat1_conf3" localSheetId="4">#REF!</definedName>
    <definedName name="pp_cat1_conf3">#REF!</definedName>
    <definedName name="pp_cat1_conf4" localSheetId="4">#REF!</definedName>
    <definedName name="pp_cat1_conf4">#REF!</definedName>
    <definedName name="pp_cat1_md223" localSheetId="1">#REF!</definedName>
    <definedName name="pp_cat1_md224" localSheetId="1">#REF!</definedName>
    <definedName name="pp_cat1_md231" localSheetId="1">#REF!</definedName>
    <definedName name="pp_cat1_md232" localSheetId="1">#REF!</definedName>
    <definedName name="pp_cat2_conf1" localSheetId="4">#REF!</definedName>
    <definedName name="pp_cat2_conf1">#REF!</definedName>
    <definedName name="pp_cat2_conf2" localSheetId="4">#REF!</definedName>
    <definedName name="pp_cat2_conf2">#REF!</definedName>
    <definedName name="pp_cat2_conf3" localSheetId="4">#REF!</definedName>
    <definedName name="pp_cat2_conf3">#REF!</definedName>
    <definedName name="pp_cat2_conf4" localSheetId="4">#REF!</definedName>
    <definedName name="pp_cat2_conf4">#REF!</definedName>
    <definedName name="pp_cat2_conf5" localSheetId="4">#REF!</definedName>
    <definedName name="pp_cat2_conf5">#REF!</definedName>
    <definedName name="pp_cat2_conf6" localSheetId="4">#REF!</definedName>
    <definedName name="pp_cat2_conf6">#REF!</definedName>
    <definedName name="pp_cat2_conf7" localSheetId="4">#REF!</definedName>
    <definedName name="pp_cat2_conf7">#REF!</definedName>
    <definedName name="pp_cat2_md101" localSheetId="1">#REF!</definedName>
    <definedName name="pp_cat2_md102" localSheetId="1">#REF!</definedName>
    <definedName name="pp_cat2_md103" localSheetId="1">#REF!</definedName>
    <definedName name="pp_cat2_me864" localSheetId="1">#REF!</definedName>
    <definedName name="pp_cat2_me865" localSheetId="1">#REF!</definedName>
    <definedName name="pp_cat2_me866" localSheetId="1">#REF!</definedName>
    <definedName name="pp_cat3_conf1" localSheetId="4">#REF!</definedName>
    <definedName name="pp_cat3_conf1">#REF!</definedName>
    <definedName name="pp_cat3_conf2" localSheetId="4">#REF!</definedName>
    <definedName name="pp_cat3_conf2">#REF!</definedName>
    <definedName name="pp_cat3_conf3" localSheetId="4">#REF!</definedName>
    <definedName name="pp_cat3_conf3">#REF!</definedName>
    <definedName name="pp_cat3_me293" localSheetId="1">#REF!</definedName>
    <definedName name="pp_cat3_me294" localSheetId="1">#REF!</definedName>
    <definedName name="pp_cat4_conf1" localSheetId="4">#REF!</definedName>
    <definedName name="pp_cat4_conf1">#REF!</definedName>
    <definedName name="pp_cat4_conf2" localSheetId="4">#REF!</definedName>
    <definedName name="pp_cat4_conf2">#REF!</definedName>
    <definedName name="pp_cat4_conf3" localSheetId="4">#REF!</definedName>
    <definedName name="pp_cat4_conf3">#REF!</definedName>
    <definedName name="pp_cat4_conf4" localSheetId="4">#REF!</definedName>
    <definedName name="pp_cat4_conf4">#REF!</definedName>
    <definedName name="pp_cat4_conf5" localSheetId="4">#REF!</definedName>
    <definedName name="pp_cat4_conf5">#REF!</definedName>
    <definedName name="pp_cat4_conf6" localSheetId="4">#REF!</definedName>
    <definedName name="pp_cat4_conf6">#REF!</definedName>
    <definedName name="pp_cat4_md387" localSheetId="1">#REF!</definedName>
    <definedName name="pp_cat4_md388" localSheetId="1">#REF!</definedName>
    <definedName name="pp_cat5_conf1" localSheetId="4">#REF!</definedName>
    <definedName name="pp_cat5_conf1">#REF!</definedName>
    <definedName name="pp_cat5_conf2" localSheetId="4">#REF!</definedName>
    <definedName name="pp_cat5_conf2">#REF!</definedName>
    <definedName name="pp_cat5_me086" localSheetId="1">#REF!</definedName>
    <definedName name="pp_cat5_me087" localSheetId="1">#REF!</definedName>
    <definedName name="pp_cat5_me088" localSheetId="1">#REF!</definedName>
    <definedName name="pp_cat5_me089" localSheetId="1">#REF!</definedName>
    <definedName name="pp_cat5_mf883" localSheetId="1">#REF!</definedName>
    <definedName name="pp_cat6_conf1" localSheetId="4">#REF!</definedName>
    <definedName name="pp_cat6_conf1">#REF!</definedName>
    <definedName name="pp_cat6_conf2" localSheetId="4">#REF!</definedName>
    <definedName name="pp_cat6_conf2">#REF!</definedName>
    <definedName name="pp_cat6_conf3" localSheetId="4">#REF!</definedName>
    <definedName name="pp_cat6_conf3">#REF!</definedName>
    <definedName name="pp_cat6_conf4" localSheetId="4">#REF!</definedName>
    <definedName name="pp_cat6_conf4">#REF!</definedName>
    <definedName name="pp_cat6_conf5" localSheetId="4">#REF!</definedName>
    <definedName name="pp_cat6_conf5">#REF!</definedName>
    <definedName name="pp_cat6_conf6" localSheetId="4">#REF!</definedName>
    <definedName name="pp_cat6_conf6">#REF!</definedName>
    <definedName name="pp_cat6_conf7" localSheetId="4">#REF!</definedName>
    <definedName name="pp_cat6_conf7">#REF!</definedName>
    <definedName name="pp_cat6_conf8" localSheetId="4">#REF!</definedName>
    <definedName name="pp_cat6_conf8">#REF!</definedName>
    <definedName name="pp_cat6_md878" localSheetId="1">#REF!</definedName>
    <definedName name="pp_cat6_me253" localSheetId="1">#REF!</definedName>
    <definedName name="pp_cat7_md389" localSheetId="1">#REF!</definedName>
    <definedName name="pp_cat8_conf1" localSheetId="1">#REF!</definedName>
    <definedName name="pp_cat8_conf2" localSheetId="1">#REF!</definedName>
    <definedName name="pp_cat9_conf1" localSheetId="1">#REF!</definedName>
    <definedName name="pp_cat9_conf2" localSheetId="1">#REF!</definedName>
    <definedName name="pp_gar_cat1_conf1" localSheetId="4">#REF!</definedName>
    <definedName name="pp_gar_cat1_conf1">#REF!</definedName>
    <definedName name="pp_gar_cat1_conf2" localSheetId="4">#REF!</definedName>
    <definedName name="pp_gar_cat1_conf2">#REF!</definedName>
    <definedName name="pp_gar_cat2_conf1" localSheetId="4">#REF!</definedName>
    <definedName name="pp_gar_cat2_conf1">#REF!</definedName>
    <definedName name="pp_gar_cat2_conf2" localSheetId="4">#REF!</definedName>
    <definedName name="pp_gar_cat2_conf2">#REF!</definedName>
    <definedName name="pp_gar_cat3_conf1" localSheetId="4">#REF!</definedName>
    <definedName name="pp_gar_cat3_conf1">#REF!</definedName>
    <definedName name="pp_gar_cat4_conf1" localSheetId="4">#REF!</definedName>
    <definedName name="pp_gar_cat4_conf1">#REF!</definedName>
    <definedName name="pp_gar_cat4_im27" localSheetId="4">#REF!</definedName>
    <definedName name="pp_gar_cat4_im27">#REF!</definedName>
    <definedName name="pp_gar_cat5_conf1" localSheetId="4">#REF!</definedName>
    <definedName name="pp_gar_cat5_conf1">#REF!</definedName>
    <definedName name="pp_gar_cat6_conf1" localSheetId="4">#REF!</definedName>
    <definedName name="pp_gar_cat6_conf1">#REF!</definedName>
    <definedName name="pp_gar_cat6_conf2" localSheetId="4">#REF!</definedName>
    <definedName name="pp_gar_cat6_conf2">#REF!</definedName>
    <definedName name="pp_gar_cat6_ip123pl" localSheetId="4">#REF!</definedName>
    <definedName name="pp_gar_cat6_ip123pl">#REF!</definedName>
    <definedName name="PP_GAR_IM" localSheetId="1">#REF!</definedName>
    <definedName name="PP_GAR_IM" localSheetId="4">#REF!</definedName>
    <definedName name="PP_GAR_IM">#REF!</definedName>
    <definedName name="PP_GAR_IP" localSheetId="1">#REF!</definedName>
    <definedName name="PP_GAR_IP" localSheetId="4">#REF!</definedName>
    <definedName name="PP_GAR_IP">#REF!</definedName>
    <definedName name="PP_GAR_MB" localSheetId="1">#REF!</definedName>
    <definedName name="PP_GAR_MB" localSheetId="4">#REF!</definedName>
    <definedName name="PP_GAR_MB">#REF!</definedName>
    <definedName name="PP_GAR_MBP" localSheetId="1">#REF!</definedName>
    <definedName name="PP_GAR_MBP" localSheetId="4">#REF!</definedName>
    <definedName name="PP_GAR_MBP">#REF!</definedName>
    <definedName name="PP_GAR_MM" localSheetId="1">#REF!</definedName>
    <definedName name="PP_GAR_MM" localSheetId="4">#REF!</definedName>
    <definedName name="PP_GAR_MM">#REF!</definedName>
    <definedName name="PP_GAR_MP" localSheetId="1">#REF!</definedName>
    <definedName name="PP_GAR_MP" localSheetId="4">#REF!</definedName>
    <definedName name="PP_GAR_MP">#REF!</definedName>
    <definedName name="pr_cat1_conf2" localSheetId="4">#REF!</definedName>
    <definedName name="pr_cat1_conf2">#REF!</definedName>
    <definedName name="pr_cat1_conf3" localSheetId="4">#REF!</definedName>
    <definedName name="pr_cat1_conf3">#REF!</definedName>
    <definedName name="pr_cat1_conf4" localSheetId="4">#REF!</definedName>
    <definedName name="pr_cat1_conf4">#REF!</definedName>
    <definedName name="pr_cat1_md223" localSheetId="1">#REF!</definedName>
    <definedName name="pr_cat1_md224" localSheetId="1">#REF!</definedName>
    <definedName name="pr_cat1_md231" localSheetId="1">#REF!</definedName>
    <definedName name="pr_cat1_md232" localSheetId="1">#REF!</definedName>
    <definedName name="pr_cat2_conf1" localSheetId="4">#REF!</definedName>
    <definedName name="pr_cat2_conf1">#REF!</definedName>
    <definedName name="pr_cat2_conf2" localSheetId="4">#REF!</definedName>
    <definedName name="pr_cat2_conf2">#REF!</definedName>
    <definedName name="pr_cat2_conf3" localSheetId="4">#REF!</definedName>
    <definedName name="pr_cat2_conf3">#REF!</definedName>
    <definedName name="pr_cat2_conf4" localSheetId="4">#REF!</definedName>
    <definedName name="pr_cat2_conf4">#REF!</definedName>
    <definedName name="pr_cat2_conf5" localSheetId="4">#REF!</definedName>
    <definedName name="pr_cat2_conf5">#REF!</definedName>
    <definedName name="pr_cat2_conf6" localSheetId="4">#REF!</definedName>
    <definedName name="pr_cat2_conf6">#REF!</definedName>
    <definedName name="pr_cat2_conf7" localSheetId="4">#REF!</definedName>
    <definedName name="pr_cat2_conf7">#REF!</definedName>
    <definedName name="pr_cat2_md101" localSheetId="1">#REF!</definedName>
    <definedName name="pr_cat2_me864" localSheetId="1">#REF!</definedName>
    <definedName name="pr_cat2_me865" localSheetId="1">#REF!</definedName>
    <definedName name="pr_cat2_me866" localSheetId="1">#REF!</definedName>
    <definedName name="pr_cat3_conf1" localSheetId="4">#REF!</definedName>
    <definedName name="pr_cat3_conf1">#REF!</definedName>
    <definedName name="pr_cat3_conf2" localSheetId="4">#REF!</definedName>
    <definedName name="pr_cat3_conf2">#REF!</definedName>
    <definedName name="pr_cat3_conf3" localSheetId="4">#REF!</definedName>
    <definedName name="pr_cat3_conf3">#REF!</definedName>
    <definedName name="pr_cat3_me294" localSheetId="1">#REF!</definedName>
    <definedName name="pr_cat3_me664" localSheetId="1">#REF!</definedName>
    <definedName name="pr_cat3_me665" localSheetId="1">#REF!</definedName>
    <definedName name="pr_cat4_conf1" localSheetId="4">#REF!</definedName>
    <definedName name="pr_cat4_conf1">#REF!</definedName>
    <definedName name="pr_cat4_conf2" localSheetId="4">#REF!</definedName>
    <definedName name="pr_cat4_conf2">#REF!</definedName>
    <definedName name="pr_cat4_conf3" localSheetId="4">#REF!</definedName>
    <definedName name="pr_cat4_conf3">#REF!</definedName>
    <definedName name="pr_cat4_conf4" localSheetId="4">#REF!</definedName>
    <definedName name="pr_cat4_conf4">#REF!</definedName>
    <definedName name="pr_cat4_conf5" localSheetId="4">#REF!</definedName>
    <definedName name="pr_cat4_conf5">#REF!</definedName>
    <definedName name="pr_cat4_conf6" localSheetId="4">#REF!</definedName>
    <definedName name="pr_cat4_conf6">#REF!</definedName>
    <definedName name="pr_cat4_md387" localSheetId="1">#REF!</definedName>
    <definedName name="pr_cat4_md388" localSheetId="1">#REF!</definedName>
    <definedName name="pr_cat5_conf1" localSheetId="4">#REF!</definedName>
    <definedName name="pr_cat5_conf1">#REF!</definedName>
    <definedName name="pr_cat5_conf2" localSheetId="4">#REF!</definedName>
    <definedName name="pr_cat5_conf2">#REF!</definedName>
    <definedName name="pr_cat5_me086" localSheetId="1">#REF!</definedName>
    <definedName name="pr_cat5_me087" localSheetId="1">#REF!</definedName>
    <definedName name="pr_cat5_me088" localSheetId="1">#REF!</definedName>
    <definedName name="pr_cat5_me089" localSheetId="1">#REF!</definedName>
    <definedName name="pr_cat5_mf883" localSheetId="1">#REF!</definedName>
    <definedName name="pr_cat6_conf1" localSheetId="4">#REF!</definedName>
    <definedName name="pr_cat6_conf1">#REF!</definedName>
    <definedName name="pr_cat6_conf2" localSheetId="4">#REF!</definedName>
    <definedName name="pr_cat6_conf2">#REF!</definedName>
    <definedName name="pr_cat6_conf3" localSheetId="4">#REF!</definedName>
    <definedName name="pr_cat6_conf3">#REF!</definedName>
    <definedName name="pr_cat6_conf4" localSheetId="4">#REF!</definedName>
    <definedName name="pr_cat6_conf4">#REF!</definedName>
    <definedName name="pr_cat6_conf5" localSheetId="4">#REF!</definedName>
    <definedName name="pr_cat6_conf5">#REF!</definedName>
    <definedName name="pr_cat6_conf6" localSheetId="4">#REF!</definedName>
    <definedName name="pr_cat6_conf6">#REF!</definedName>
    <definedName name="pr_cat6_conf7" localSheetId="4">#REF!</definedName>
    <definedName name="pr_cat6_conf7">#REF!</definedName>
    <definedName name="pr_cat6_conf8" localSheetId="4">#REF!</definedName>
    <definedName name="pr_cat6_conf8">#REF!</definedName>
    <definedName name="pr_cat6_md878" localSheetId="1">#REF!</definedName>
    <definedName name="pr_cat6_me253" localSheetId="1">#REF!</definedName>
    <definedName name="pr_cat7_md389" localSheetId="1">#REF!</definedName>
    <definedName name="pr_cat8_conf1" localSheetId="1">#REF!</definedName>
    <definedName name="pr_cat8_conf2" localSheetId="1">#REF!</definedName>
    <definedName name="pr_cat8_conf3" localSheetId="1">#REF!</definedName>
    <definedName name="pr_cat8_conf4" localSheetId="1">#REF!</definedName>
    <definedName name="pr_cat8conf1" localSheetId="4">#REF!</definedName>
    <definedName name="pr_cat8conf1">#REF!</definedName>
    <definedName name="pr_cat8conf5" localSheetId="4">#REF!</definedName>
    <definedName name="pr_cat8conf5">#REF!</definedName>
    <definedName name="pr_ipadaw16g" localSheetId="1">#REF!</definedName>
    <definedName name="pr_ipadawc16g" localSheetId="1">#REF!</definedName>
    <definedName name="pr_ipadmrw16g" localSheetId="1">#REF!</definedName>
    <definedName name="Prix_remisé___HT" localSheetId="1">#REF!</definedName>
    <definedName name="Prix_remisé___HT" localSheetId="4">#REF!</definedName>
    <definedName name="Prix_remisé___HT">#REF!</definedName>
    <definedName name="ra_acc_ipad">#REF!</definedName>
    <definedName name="ra_acc_ipad_nd7" localSheetId="4">#REF!</definedName>
    <definedName name="ra_acc_ipad_nd7">#REF!</definedName>
    <definedName name="ra_acc_mac">#REF!</definedName>
    <definedName name="ra_acc_mac_nd7" localSheetId="4">#REF!</definedName>
    <definedName name="ra_acc_mac_nd7">#REF!</definedName>
    <definedName name="ra_acc_nodac">#REF!</definedName>
    <definedName name="ra_acc_nodac_nd7" localSheetId="4">#REF!</definedName>
    <definedName name="ra_acc_nodac_nd7">#REF!</definedName>
    <definedName name="ra_ace">#REF!</definedName>
    <definedName name="ra_app">#REF!</definedName>
    <definedName name="ra_app_nd7" localSheetId="4">#REF!</definedName>
    <definedName name="ra_app_nd7">#REF!</definedName>
    <definedName name="ra_appplus">#REF!</definedName>
    <definedName name="ra_atv_eg">#REF!</definedName>
    <definedName name="ra_atv_eg_nd7" localSheetId="4">#REF!</definedName>
    <definedName name="ra_atv_eg_nd7">#REF!</definedName>
    <definedName name="ra_atv_hg">#REF!</definedName>
    <definedName name="ra_atv_hg_nd7" localSheetId="4">#REF!</definedName>
    <definedName name="ra_atv_hg_nd7">#REF!</definedName>
    <definedName name="ra_im21_eg">#REF!</definedName>
    <definedName name="ra_im21_eg_nd7" localSheetId="4">#REF!</definedName>
    <definedName name="ra_im21_eg_nd7">#REF!</definedName>
    <definedName name="ra_im21_hg">#REF!</definedName>
    <definedName name="ra_im21_hg_nd7" localSheetId="4">#REF!</definedName>
    <definedName name="ra_im21_hg_nd7">#REF!</definedName>
    <definedName name="ra_im27">#REF!</definedName>
    <definedName name="ra_im27_hg">#REF!</definedName>
    <definedName name="ra_im27_hg_nd7" localSheetId="4">#REF!</definedName>
    <definedName name="ra_im27_hg_nd7">#REF!</definedName>
    <definedName name="ra_im27_nd7" localSheetId="4">#REF!</definedName>
    <definedName name="ra_im27_nd7">#REF!</definedName>
    <definedName name="ra_imp">#REF!</definedName>
    <definedName name="ra_imp_nd7" localSheetId="4">#REF!</definedName>
    <definedName name="ra_imp_nd7">#REF!</definedName>
    <definedName name="ra_ip_eg">#REF!</definedName>
    <definedName name="ra_ip_hg">#REF!</definedName>
    <definedName name="ra_ip9_eg_nd7" localSheetId="4">#REF!</definedName>
    <definedName name="ra_ip9_eg_nd7">#REF!</definedName>
    <definedName name="ra_ip9_hg_nd7" localSheetId="4">#REF!</definedName>
    <definedName name="ra_ip9_hg_nd7">#REF!</definedName>
    <definedName name="ra_ipa10">#REF!</definedName>
    <definedName name="ra_ipm_eg">#REF!</definedName>
    <definedName name="ra_ipm_eg_nd7" localSheetId="4">#REF!</definedName>
    <definedName name="ra_ipm_eg_nd7">#REF!</definedName>
    <definedName name="ra_ipm_hg">#REF!</definedName>
    <definedName name="ra_ipm_hg_nd7" localSheetId="4">#REF!</definedName>
    <definedName name="ra_ipm_hg_nd7">#REF!</definedName>
    <definedName name="ra_ipp10">#REF!</definedName>
    <definedName name="ra_ipp10_nd7" localSheetId="4">#REF!</definedName>
    <definedName name="ra_ipp10_nd7">#REF!</definedName>
    <definedName name="ra_ipp11">#REF!</definedName>
    <definedName name="ra_ipp11_nd7" localSheetId="4">#REF!</definedName>
    <definedName name="ra_ipp11_nd7">#REF!</definedName>
    <definedName name="ra_ipp12">#REF!</definedName>
    <definedName name="ra_ipp12_nd7" localSheetId="4">#REF!</definedName>
    <definedName name="ra_ipp12_nd7">#REF!</definedName>
    <definedName name="ra_mb_eg">#REF!</definedName>
    <definedName name="ra_mb_hg">#REF!</definedName>
    <definedName name="ra_mba_eg">#REF!</definedName>
    <definedName name="ra_mba_hg">#REF!</definedName>
    <definedName name="ra_mba_hg_nd7" localSheetId="4">#REF!</definedName>
    <definedName name="ra_mba_hg_nd7">#REF!</definedName>
    <definedName name="ra_mba_mg">#REF!</definedName>
    <definedName name="ra_mba_mg_nd7" localSheetId="4">#REF!</definedName>
    <definedName name="ra_mba_mg_nd7">#REF!</definedName>
    <definedName name="ra_mbp13_eg">#REF!</definedName>
    <definedName name="ra_mbp13_eg_nd7" localSheetId="4">#REF!</definedName>
    <definedName name="ra_mbp13_eg_nd7">#REF!</definedName>
    <definedName name="ra_mbp13_hg">#REF!</definedName>
    <definedName name="ra_mbp13_hg_nd7" localSheetId="4">#REF!</definedName>
    <definedName name="ra_mbp13_hg_nd7">#REF!</definedName>
    <definedName name="ra_mbp13tbeg">#REF!</definedName>
    <definedName name="ra_mbp13tbeg_nd7" localSheetId="4">#REF!</definedName>
    <definedName name="ra_mbp13tbeg_nd7">#REF!</definedName>
    <definedName name="ra_mbp13tbhg">#REF!</definedName>
    <definedName name="ra_mbp13tbhg_nd7" localSheetId="4">#REF!</definedName>
    <definedName name="ra_mbp13tbhg_nd7">#REF!</definedName>
    <definedName name="ra_mbp14_eg">#REF!</definedName>
    <definedName name="ra_mbp14_eg_cto">#REF!</definedName>
    <definedName name="ra_mbp14_hg">#REF!</definedName>
    <definedName name="ra_mbp14_hg_cto">#REF!</definedName>
    <definedName name="ra_mbp15r">#REF!</definedName>
    <definedName name="ra_mbp16_eg">#REF!</definedName>
    <definedName name="ra_mbp16_eg_cto">#REF!</definedName>
    <definedName name="ra_mbp16_hg">#REF!</definedName>
    <definedName name="ra_mbp16_hg_cto">#REF!</definedName>
    <definedName name="ra_mbp16_mg">#REF!</definedName>
    <definedName name="ra_mbp16_mg_cto">#REF!</definedName>
    <definedName name="ra_mbp16t_eg_nd7" localSheetId="4">#REF!</definedName>
    <definedName name="ra_mbp16t_hg_nd7" localSheetId="4">#REF!</definedName>
    <definedName name="ra_mm_eg">#REF!</definedName>
    <definedName name="ra_mm_eg_nd7" localSheetId="4">#REF!</definedName>
    <definedName name="ra_mm_eg_nd7">#REF!</definedName>
    <definedName name="ra_mm_hg">#REF!</definedName>
    <definedName name="ra_mm_hg_nd7" localSheetId="4">#REF!</definedName>
    <definedName name="ra_mm_hg_nd7">#REF!</definedName>
    <definedName name="ra_mm_mg">#REF!</definedName>
    <definedName name="ra_moniteur">#REF!</definedName>
    <definedName name="ra_moniteur_nd7" localSheetId="4">#REF!</definedName>
    <definedName name="ra_moniteur_nd7">#REF!</definedName>
    <definedName name="ra_mp_eg">#REF!</definedName>
    <definedName name="ra_mp_eg_nd7" localSheetId="4">#REF!</definedName>
    <definedName name="ra_mp_eg_nd7">#REF!</definedName>
    <definedName name="ra_mp_hg">#REF!</definedName>
    <definedName name="ra_mp_hg_nd7" localSheetId="4">#REF!</definedName>
    <definedName name="ra_mp_hg_nd7">#REF!</definedName>
    <definedName name="ra_ms_eg">#REF!</definedName>
    <definedName name="ra_ms_eg_cto">#REF!</definedName>
    <definedName name="ra_ms_hg">#REF!</definedName>
    <definedName name="ra_ms_hg_cto">#REF!</definedName>
    <definedName name="ra_pencil">#REF!</definedName>
    <definedName name="ra_pencil_2">#REF!</definedName>
    <definedName name="ra_pencil_nd7" localSheetId="4">#REF!</definedName>
    <definedName name="ra_pencil_nd7">#REF!</definedName>
    <definedName name="ref_cat1conf1" localSheetId="1">#REF!</definedName>
    <definedName name="ref_cat1conf2" localSheetId="1">#REF!</definedName>
    <definedName name="ref_cat1conf3" localSheetId="1">#REF!</definedName>
    <definedName name="ref_cat1conf4" localSheetId="1">#REF!</definedName>
    <definedName name="ref_cat2conf1" localSheetId="1">#REF!</definedName>
    <definedName name="ref_cat2conf2" localSheetId="1">#REF!</definedName>
    <definedName name="ref_cat2conf3" localSheetId="1">#REF!</definedName>
    <definedName name="ref_cat2conf4" localSheetId="1">#REF!</definedName>
    <definedName name="ref_cat3conf1" localSheetId="1">#REF!</definedName>
    <definedName name="ref_cat3conf2" localSheetId="1">#REF!</definedName>
    <definedName name="ref_cat4conf1" localSheetId="1">#REF!</definedName>
    <definedName name="ref_cat4conf2" localSheetId="1">#REF!</definedName>
    <definedName name="ref_cat5conf1" localSheetId="1">#REF!</definedName>
    <definedName name="ref_cat5conf2" localSheetId="1">#REF!</definedName>
    <definedName name="ref_cat5conf3" localSheetId="1">#REF!</definedName>
    <definedName name="ref_cat5conf4" localSheetId="1">#REF!</definedName>
    <definedName name="ref_cat7conf1" localSheetId="1">#REF!</definedName>
    <definedName name="ref_cat8conf1b" localSheetId="1">#REF!</definedName>
    <definedName name="ref_cat8conf1n" localSheetId="1">#REF!</definedName>
    <definedName name="ref_cat8conf2b" localSheetId="1">#REF!</definedName>
    <definedName name="ref_cat8conf2n" localSheetId="1">#REF!</definedName>
    <definedName name="ref_cat9conf1b" localSheetId="1">#REF!</definedName>
    <definedName name="ref_cat9conf1n" localSheetId="1">#REF!</definedName>
    <definedName name="ref_cat9conf2b" localSheetId="1">#REF!</definedName>
    <definedName name="ref_cat9conf2n" localSheetId="1">#REF!</definedName>
    <definedName name="Rem_arr_acc" localSheetId="1">#REF!</definedName>
    <definedName name="Rem_arr_acc_ipad" localSheetId="1">#REF!</definedName>
    <definedName name="Rem_arr_acc_ipod" localSheetId="1">#REF!</definedName>
    <definedName name="Rem_arr_app" localSheetId="1">#REF!</definedName>
    <definedName name="Rem_arr_écran" localSheetId="1">#REF!</definedName>
    <definedName name="Rem_arr_imac" localSheetId="1">#REF!</definedName>
    <definedName name="Rem_arr_ipad" localSheetId="1">#REF!</definedName>
    <definedName name="Rem_arr_mba" localSheetId="1">#REF!</definedName>
    <definedName name="Rem_arr_mbp_eg" localSheetId="1">#REF!</definedName>
    <definedName name="Rem_arr_mbp_hg" localSheetId="1">#REF!</definedName>
    <definedName name="Rem_arr_mm" localSheetId="1">#REF!</definedName>
    <definedName name="Rem_arr_mp" localSheetId="1">#REF!</definedName>
    <definedName name="Remise_acc" localSheetId="1">#REF!</definedName>
    <definedName name="Remise_acc">'[1]Récapitulatif remises'!$A$19</definedName>
    <definedName name="Remise_acc_10" localSheetId="1">#REF!</definedName>
    <definedName name="Remise_acc_Apple" localSheetId="1">#REF!</definedName>
    <definedName name="Remise_acc_iPad" localSheetId="1">#REF!</definedName>
    <definedName name="Remise_APP" localSheetId="1">#REF!</definedName>
    <definedName name="Remise_clé_USB" localSheetId="1">#REF!</definedName>
    <definedName name="Remise_écran_Apple" localSheetId="1">#REF!</definedName>
    <definedName name="Remise_Ergotron" localSheetId="1">#REF!</definedName>
    <definedName name="Remise_Iiyama" localSheetId="1">#REF!</definedName>
    <definedName name="Remise_iMac" localSheetId="1">#REF!</definedName>
    <definedName name="Remise_iPad" localSheetId="1">#REF!</definedName>
    <definedName name="Remise_iPad">'[1]Récapitulatif remises'!$A$12</definedName>
    <definedName name="Remise_Kallysta_Apollo" localSheetId="1">#REF!</definedName>
    <definedName name="Remise_Kallysta_Magellan" localSheetId="1">#REF!</definedName>
    <definedName name="Remise_Log_Uni" localSheetId="1">#REF!</definedName>
    <definedName name="Remise_Log_Vol" localSheetId="1">#REF!</definedName>
    <definedName name="Remise_MacBook_Pro_13_____MacBook_Pro_13___Retina" localSheetId="1">#REF!</definedName>
    <definedName name="Remise_MBA" localSheetId="1">#REF!</definedName>
    <definedName name="Remise_MBP_EG" localSheetId="1">#REF!</definedName>
    <definedName name="Remise_MBP_HG" localSheetId="1">#REF!</definedName>
    <definedName name="Remise_MBP15_EG" localSheetId="1">#REF!</definedName>
    <definedName name="Remise_mem_USB" localSheetId="1">#REF!</definedName>
    <definedName name="Remise_MI4">#REF!</definedName>
    <definedName name="Remise_MM" localSheetId="1">#REF!</definedName>
    <definedName name="Remise_MP" localSheetId="1">#REF!</definedName>
    <definedName name="Remise_MP">'[2]Récapitulatif remises'!$C$6</definedName>
    <definedName name="Remise_onduleur" localSheetId="1">#REF!</definedName>
    <definedName name="Remise_RAM" localSheetId="1">#REF!</definedName>
    <definedName name="Remise_stockage" localSheetId="1">#REF!</definedName>
    <definedName name="rf_acc_ipad">#REF!</definedName>
    <definedName name="rf_acc_mac">#REF!</definedName>
    <definedName name="rf_apple_moniteur">#REF!</definedName>
    <definedName name="rf_applecare">#REF!</definedName>
    <definedName name="rf_atv">#REF!</definedName>
    <definedName name="rf_ecrans">#REF!</definedName>
    <definedName name="rf_ipad">#REF!</definedName>
    <definedName name="rf_mac">#REF!</definedName>
    <definedName name="rf_pencil_sk">#REF!</definedName>
    <definedName name="rv_10">'Récapitulatif remises'!$B$62</definedName>
    <definedName name="rv_20">'Récapitulatif remises'!$A$61</definedName>
    <definedName name="rv_3">'Récapitulatif remises'!$A$67</definedName>
    <definedName name="rv_30">'Récapitulatif remises'!$C$62</definedName>
    <definedName name="rv_32">'Récapitulatif remises'!$D$62</definedName>
    <definedName name="rv_7">'Récapitulatif remises'!$B$68</definedName>
    <definedName name="rv_app">'Récapitulatif remises'!$A$70</definedName>
    <definedName name="rv_app_im24">'Récapitulatif remises'!$E$33</definedName>
    <definedName name="rv_app_ipad">'Récapitulatif remises'!$D$45</definedName>
    <definedName name="rv_app_mba">'Récapitulatif remises'!$D$6</definedName>
    <definedName name="rv_app_mbp13">'Récapitulatif remises'!$E$12</definedName>
    <definedName name="rv_app_mbp14">'Récapitulatif remises'!$E$18</definedName>
    <definedName name="rv_app_mbp16">'Récapitulatif remises'!$B$27</definedName>
    <definedName name="rv_app_mm">'Récapitulatif remises'!$E$21</definedName>
    <definedName name="rv_app_mp">'Récapitulatif remises'!$E$42</definedName>
    <definedName name="rv_app_ms">'Récapitulatif remises'!$E$39</definedName>
    <definedName name="rv_apple_acc_ipad">'Récapitulatif remises'!$B$51</definedName>
    <definedName name="rv_apple_acc_mac">'Récapitulatif remises'!$A$51</definedName>
    <definedName name="rv_apple_acc_mac_15">'Récapitulatif remises'!$A$53</definedName>
    <definedName name="rv_apple_acc_nocrt">'Récapitulatif remises'!$C$58</definedName>
    <definedName name="rv_apple_acc_nodac">'Récapitulatif remises'!$C$51</definedName>
    <definedName name="rv_apple_moniteur">'Récapitulatif remises'!$D$68</definedName>
    <definedName name="rv_applecare">'Récapitulatif remises'!$A$57</definedName>
    <definedName name="rv_atv">'Récapitulatif remises'!$D$51</definedName>
    <definedName name="rv_cvmp">'Récapitulatif remises'!$D$58</definedName>
    <definedName name="rv_iiyama">'Récapitulatif remises'!$C$65</definedName>
    <definedName name="rv_im21_eg">'Récapitulatif remises'!$A$33</definedName>
    <definedName name="rv_im21_eg_cto">'Récapitulatif remises'!$A$36</definedName>
    <definedName name="rv_im21_hg">'Récapitulatif remises'!$B$33</definedName>
    <definedName name="rv_im21_hg_cto">'Récapitulatif remises'!$B$36</definedName>
    <definedName name="rv_im27_eg">'Récapitulatif remises'!$C$33</definedName>
    <definedName name="rv_im27_eg_cto">'Récapitulatif remises'!$C$36</definedName>
    <definedName name="rv_im27_hg">'Récapitulatif remises'!$D$33</definedName>
    <definedName name="rv_im27_hg_cto">'Récapitulatif remises'!$D$36</definedName>
    <definedName name="rv_imp">'Récapitulatif remises'!$A$39</definedName>
    <definedName name="rv_imp_cto">'Récapitulatif remises'!$A$42</definedName>
    <definedName name="rv_ip97_eg">'Récapitulatif remises'!$B$45</definedName>
    <definedName name="rv_ip97_hg">'Récapitulatif remises'!$C$45</definedName>
    <definedName name="rv_ipm">'Récapitulatif remises'!$A$45</definedName>
    <definedName name="rv_ipp105">'Récapitulatif remises'!$A$48</definedName>
    <definedName name="rv_ipp11">'Récapitulatif remises'!$B$48</definedName>
    <definedName name="rv_ipp12">'Récapitulatif remises'!$C$48</definedName>
    <definedName name="rv_jamf">'Récapitulatif remises'!$C$68</definedName>
    <definedName name="rv_log_apple_vol">'Récapitulatif remises'!$B$58</definedName>
    <definedName name="rv_mb_cto">'Récapitulatif remises'!#REF!</definedName>
    <definedName name="rv_mb_eg">'Récapitulatif remises'!#REF!</definedName>
    <definedName name="rv_mb_hg">'Récapitulatif remises'!#REF!</definedName>
    <definedName name="rv_mba_eg">'Récapitulatif remises'!$A$6</definedName>
    <definedName name="rv_mba_eg_cto">'Récapitulatif remises'!$A$9</definedName>
    <definedName name="rv_mba_hg">'Récapitulatif remises'!$C$6</definedName>
    <definedName name="rv_mba_hg_cto">'Récapitulatif remises'!$C$9</definedName>
    <definedName name="rv_mba_mg">'Récapitulatif remises'!$B$6</definedName>
    <definedName name="rv_mba_mg_cto">'Récapitulatif remises'!$B$9</definedName>
    <definedName name="rv_mbp13_eg">'Récapitulatif remises'!$A$12</definedName>
    <definedName name="rv_mbp13_eg_cto">'Récapitulatif remises'!$A$15</definedName>
    <definedName name="rv_mbp13_hg">'Récapitulatif remises'!$B$12</definedName>
    <definedName name="rv_mbp13_hg_cto">'Récapitulatif remises'!$B$15</definedName>
    <definedName name="rv_mbp13t">'Récapitulatif remises'!$C$12</definedName>
    <definedName name="rv_mbp13t_cto">'Récapitulatif remises'!$C$15</definedName>
    <definedName name="rv_mbp14_eg">'Récapitulatif remises'!$A$18</definedName>
    <definedName name="rv_mbp14_eg_cto">'Récapitulatif remises'!$B$18</definedName>
    <definedName name="rv_mbp14_hg">'Récapitulatif remises'!$C$18</definedName>
    <definedName name="rv_mbp14_hg_cto">'Récapitulatif remises'!$D$18</definedName>
    <definedName name="rv_mbp16_eg">'Récapitulatif remises'!$A$21</definedName>
    <definedName name="rv_mbp16_eg_cto">'Récapitulatif remises'!$A$24</definedName>
    <definedName name="rv_mbp16_hg">'Récapitulatif remises'!$B$21</definedName>
    <definedName name="rv_mbp16_hg_cto">'Récapitulatif remises'!$B$24</definedName>
    <definedName name="rv_mbp16_mg">'Récapitulatif remises'!$A$27</definedName>
    <definedName name="rv_mbp16_mg_cto">'Récapitulatif remises'!$A$30</definedName>
    <definedName name="rv_mm_eg">'Récapitulatif remises'!$C$21</definedName>
    <definedName name="rv_mm_eg_cto">'Récapitulatif remises'!$C$24</definedName>
    <definedName name="rv_mm_hg">'Récapitulatif remises'!$D$21</definedName>
    <definedName name="rv_mm_hg_cto">'Récapitulatif remises'!$D$24</definedName>
    <definedName name="rv_moniteur">'Récapitulatif remises'!$E$65</definedName>
    <definedName name="rv_mp_eg">'Récapitulatif remises'!$B$39</definedName>
    <definedName name="rv_mp_eg_cto">'Récapitulatif remises'!$B$42</definedName>
    <definedName name="rv_ms_eg">'Récapitulatif remises'!$C$39</definedName>
    <definedName name="rv_ms_eg_cto">'Récapitulatif remises'!$C$42</definedName>
    <definedName name="rv_ms_hg">'Récapitulatif remises'!$D$39</definedName>
    <definedName name="rv_ms_hg_cto">'Récapitulatif remises'!$D$42</definedName>
    <definedName name="rv_pencil">'Récapitulatif remises'!$C$54</definedName>
    <definedName name="rv_pencil_2">'Récapitulatif remises'!$D$54</definedName>
    <definedName name="rv_philips">'Récapitulatif remises'!$D$65</definedName>
    <definedName name="rv_samsung">'Récapitulatif remises'!$E$68</definedName>
    <definedName name="rv_stockage">'Récapitulatif remises'!$A$64</definedName>
    <definedName name="som_cat1_conf1" localSheetId="4">#REF!</definedName>
    <definedName name="som_cat1_conf1">#REF!</definedName>
    <definedName name="som_cat1_conf2" localSheetId="4">#REF!</definedName>
    <definedName name="som_cat1_conf2">#REF!</definedName>
    <definedName name="som_cat2_conf1" localSheetId="4">#REF!</definedName>
    <definedName name="som_cat2_conf1">#REF!</definedName>
    <definedName name="som_cat2_conf1_evo1" localSheetId="4">#REF!</definedName>
    <definedName name="som_cat2_conf1_evo1">#REF!</definedName>
    <definedName name="som_cat2_conf1_evo2" localSheetId="4">#REF!</definedName>
    <definedName name="som_cat2_conf1_evo2">#REF!</definedName>
    <definedName name="som_cat2_conf2" localSheetId="4">#REF!</definedName>
    <definedName name="som_cat2_conf2">#REF!</definedName>
    <definedName name="som_cat2_conf2_evo1" localSheetId="4">#REF!</definedName>
    <definedName name="som_cat2_conf2_evo1">#REF!</definedName>
    <definedName name="som_cat3_conf1" localSheetId="4">#REF!</definedName>
    <definedName name="som_cat3_conf1">#REF!</definedName>
    <definedName name="som_cat4_conf1" localSheetId="4">#REF!</definedName>
    <definedName name="som_cat4_conf1">#REF!</definedName>
    <definedName name="som_cat4_conf1_evo1" localSheetId="4">#REF!</definedName>
    <definedName name="som_cat4_conf1_evo1">#REF!</definedName>
    <definedName name="som_cat4_conf1_evo2" localSheetId="4">#REF!</definedName>
    <definedName name="som_cat4_conf1_evo2">#REF!</definedName>
    <definedName name="som_cat4_conf1_evo3" localSheetId="4">#REF!</definedName>
    <definedName name="som_cat4_conf1_evo3">#REF!</definedName>
    <definedName name="som_cat4_conf1_evo4" localSheetId="4">#REF!</definedName>
    <definedName name="som_cat4_conf1_evo4">#REF!</definedName>
    <definedName name="som_cat5_conf1" localSheetId="4">#REF!</definedName>
    <definedName name="som_cat5_conf1">#REF!</definedName>
    <definedName name="som_cat5_conf2" localSheetId="4">#REF!</definedName>
    <definedName name="som_cat5_conf2">#REF!</definedName>
    <definedName name="som_cat6_conf1" localSheetId="4">#REF!</definedName>
    <definedName name="som_cat6_conf1">#REF!</definedName>
    <definedName name="som_cat6_conf1_evo1" localSheetId="4">#REF!</definedName>
    <definedName name="som_cat6_conf1_evo1">#REF!</definedName>
    <definedName name="som_cat6_conf2" localSheetId="4">#REF!</definedName>
    <definedName name="som_cat6_conf2">#REF!</definedName>
    <definedName name="som_cat6_conf2_evo1" localSheetId="4">#REF!</definedName>
    <definedName name="som_cat6_conf2_evo1">#REF!</definedName>
    <definedName name="som_cat6_conf2_evo2" localSheetId="4">#REF!</definedName>
    <definedName name="som_cat6_conf2_evo2">#REF!</definedName>
    <definedName name="som_exco" localSheetId="4">#REF!</definedName>
    <definedName name="som_exco">#REF!</definedName>
  </definedNames>
  <calcPr calcId="191028"/>
  <fileRecoveryPr autoRecover="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G54" i="10" l="1"/>
  <c r="G53" i="10"/>
  <c r="G52" i="10"/>
  <c r="G50" i="10"/>
  <c r="G40" i="10"/>
  <c r="G37" i="10"/>
  <c r="G32" i="10"/>
  <c r="G27" i="10"/>
  <c r="G22" i="10"/>
  <c r="G17" i="10"/>
  <c r="G16" i="10"/>
  <c r="F406" i="9"/>
  <c r="G406" i="9" s="1"/>
  <c r="F468" i="9"/>
  <c r="G468" i="9" s="1"/>
  <c r="F482" i="9"/>
  <c r="G482" i="9" s="1"/>
  <c r="F403" i="9"/>
  <c r="G403" i="9" s="1"/>
  <c r="G8" i="10"/>
  <c r="S432" i="4" l="1"/>
  <c r="R432" i="4"/>
  <c r="Q432" i="4"/>
  <c r="P432" i="4"/>
  <c r="F432" i="4"/>
  <c r="G432" i="4" s="1"/>
  <c r="S425" i="4"/>
  <c r="R425" i="4"/>
  <c r="Q425" i="4"/>
  <c r="P425" i="4"/>
  <c r="F425" i="4"/>
  <c r="G425" i="4" s="1"/>
  <c r="S405" i="4"/>
  <c r="R405" i="4"/>
  <c r="Q405" i="4"/>
  <c r="P405" i="4"/>
  <c r="G405" i="4"/>
  <c r="S404" i="4"/>
  <c r="R404" i="4"/>
  <c r="Q404" i="4"/>
  <c r="P404" i="4"/>
  <c r="G404" i="4"/>
  <c r="S403" i="4"/>
  <c r="R403" i="4"/>
  <c r="Q403" i="4"/>
  <c r="P403" i="4"/>
  <c r="G403" i="4"/>
  <c r="S402" i="4"/>
  <c r="R402" i="4"/>
  <c r="Q402" i="4"/>
  <c r="P402" i="4"/>
  <c r="F402" i="4"/>
  <c r="G402" i="4" s="1"/>
  <c r="S401" i="4"/>
  <c r="R401" i="4"/>
  <c r="Q401" i="4"/>
  <c r="P401" i="4"/>
  <c r="F401" i="4"/>
  <c r="G401" i="4" s="1"/>
  <c r="S400" i="4"/>
  <c r="R400" i="4"/>
  <c r="Q400" i="4"/>
  <c r="P400" i="4"/>
  <c r="F400" i="4"/>
  <c r="S399" i="4"/>
  <c r="R399" i="4"/>
  <c r="Q399" i="4"/>
  <c r="P399" i="4"/>
  <c r="F399" i="4"/>
  <c r="S398" i="4"/>
  <c r="R398" i="4"/>
  <c r="Q398" i="4"/>
  <c r="P398" i="4"/>
  <c r="F398" i="4"/>
  <c r="I397" i="4"/>
  <c r="F397" i="4"/>
  <c r="G397" i="4" s="1"/>
  <c r="S396" i="4"/>
  <c r="R396" i="4"/>
  <c r="Q396" i="4"/>
  <c r="P396" i="4"/>
  <c r="G396" i="4"/>
  <c r="S395" i="4"/>
  <c r="R395" i="4"/>
  <c r="Q395" i="4"/>
  <c r="P395" i="4"/>
  <c r="G395" i="4"/>
  <c r="S394" i="4"/>
  <c r="R394" i="4"/>
  <c r="Q394" i="4"/>
  <c r="P394" i="4"/>
  <c r="G394" i="4"/>
  <c r="S393" i="4"/>
  <c r="R393" i="4"/>
  <c r="Q393" i="4"/>
  <c r="P393" i="4"/>
  <c r="F393" i="4"/>
  <c r="G393" i="4" s="1"/>
  <c r="S392" i="4"/>
  <c r="R392" i="4"/>
  <c r="Q392" i="4"/>
  <c r="P392" i="4"/>
  <c r="F392" i="4"/>
  <c r="G392" i="4" s="1"/>
  <c r="S391" i="4"/>
  <c r="R391" i="4"/>
  <c r="Q391" i="4"/>
  <c r="P391" i="4"/>
  <c r="F391" i="4"/>
  <c r="S390" i="4"/>
  <c r="R390" i="4"/>
  <c r="Q390" i="4"/>
  <c r="P390" i="4"/>
  <c r="F390" i="4"/>
  <c r="S389" i="4"/>
  <c r="R389" i="4"/>
  <c r="Q389" i="4"/>
  <c r="P389" i="4"/>
  <c r="F389" i="4"/>
  <c r="I388" i="4"/>
  <c r="F388" i="4"/>
  <c r="G388" i="4" s="1"/>
  <c r="J388" i="4" l="1"/>
  <c r="S388" i="4" s="1"/>
  <c r="J397" i="4"/>
  <c r="P397" i="4" s="1"/>
  <c r="G399" i="4"/>
  <c r="G398" i="4"/>
  <c r="G400" i="4"/>
  <c r="G391" i="4"/>
  <c r="G390" i="4"/>
  <c r="G389" i="4"/>
  <c r="P388" i="4" l="1"/>
  <c r="Q388" i="4"/>
  <c r="R388" i="4"/>
  <c r="R397" i="4"/>
  <c r="Q397" i="4"/>
  <c r="S397" i="4"/>
  <c r="P387" i="4"/>
  <c r="Q387" i="4"/>
  <c r="R387" i="4"/>
  <c r="S387" i="4"/>
  <c r="P375" i="4"/>
  <c r="Q375" i="4"/>
  <c r="R375" i="4"/>
  <c r="S375" i="4"/>
  <c r="G387" i="4"/>
  <c r="G386" i="4"/>
  <c r="G385" i="4"/>
  <c r="F384" i="4"/>
  <c r="G384" i="4" s="1"/>
  <c r="F383" i="4"/>
  <c r="G383" i="4" s="1"/>
  <c r="F382" i="4"/>
  <c r="G382" i="4" s="1"/>
  <c r="F381" i="4"/>
  <c r="G381" i="4" s="1"/>
  <c r="F380" i="4"/>
  <c r="G380" i="4" s="1"/>
  <c r="F379" i="4"/>
  <c r="G379" i="4" s="1"/>
  <c r="F378" i="4"/>
  <c r="G378" i="4" s="1"/>
  <c r="F377" i="4"/>
  <c r="G377" i="4" s="1"/>
  <c r="I376" i="4"/>
  <c r="F376" i="4"/>
  <c r="G376" i="4" s="1"/>
  <c r="S381" i="4"/>
  <c r="R381" i="4"/>
  <c r="Q381" i="4"/>
  <c r="P381" i="4"/>
  <c r="S369" i="4"/>
  <c r="R369" i="4"/>
  <c r="Q369" i="4"/>
  <c r="P369" i="4"/>
  <c r="F369" i="4"/>
  <c r="G369" i="4" s="1"/>
  <c r="G374" i="4"/>
  <c r="G375" i="4"/>
  <c r="G373" i="4"/>
  <c r="G362" i="4"/>
  <c r="G363" i="4"/>
  <c r="G361" i="4"/>
  <c r="G349" i="4"/>
  <c r="G350" i="4"/>
  <c r="G348" i="4"/>
  <c r="J376" i="4" l="1"/>
  <c r="F360" i="4" l="1"/>
  <c r="G360" i="4" s="1"/>
  <c r="F359" i="4"/>
  <c r="G359" i="4" s="1"/>
  <c r="F358" i="4"/>
  <c r="G358" i="4" s="1"/>
  <c r="F357" i="4"/>
  <c r="G357" i="4" s="1"/>
  <c r="F356" i="4"/>
  <c r="G356" i="4" s="1"/>
  <c r="F355" i="4"/>
  <c r="G355" i="4" s="1"/>
  <c r="F354" i="4"/>
  <c r="G354" i="4" s="1"/>
  <c r="F353" i="4"/>
  <c r="G353" i="4" s="1"/>
  <c r="F352" i="4"/>
  <c r="G352" i="4" s="1"/>
  <c r="F351" i="4"/>
  <c r="G351" i="4" s="1"/>
  <c r="J351" i="4" s="1"/>
  <c r="S356" i="4"/>
  <c r="R356" i="4"/>
  <c r="Q356" i="4"/>
  <c r="P356" i="4"/>
  <c r="S363" i="4"/>
  <c r="R363" i="4"/>
  <c r="Q363" i="4"/>
  <c r="P363" i="4"/>
  <c r="S343" i="4"/>
  <c r="R343" i="4"/>
  <c r="Q343" i="4"/>
  <c r="P343" i="4"/>
  <c r="F343" i="4"/>
  <c r="G343" i="4" s="1"/>
  <c r="S350" i="4"/>
  <c r="R350" i="4"/>
  <c r="Q350" i="4"/>
  <c r="P350" i="4"/>
  <c r="G320" i="4" l="1"/>
  <c r="G319" i="4"/>
  <c r="G318" i="4"/>
  <c r="S317" i="4"/>
  <c r="R317" i="4"/>
  <c r="Q317" i="4"/>
  <c r="P317" i="4"/>
  <c r="F317" i="4"/>
  <c r="G317" i="4" s="1"/>
  <c r="S316" i="4"/>
  <c r="R316" i="4"/>
  <c r="Q316" i="4"/>
  <c r="P316" i="4"/>
  <c r="F316" i="4"/>
  <c r="G316" i="4" s="1"/>
  <c r="S315" i="4"/>
  <c r="R315" i="4"/>
  <c r="Q315" i="4"/>
  <c r="P315" i="4"/>
  <c r="F315" i="4"/>
  <c r="G315" i="4" s="1"/>
  <c r="S314" i="4"/>
  <c r="R314" i="4"/>
  <c r="Q314" i="4"/>
  <c r="P314" i="4"/>
  <c r="F314" i="4"/>
  <c r="G314" i="4" s="1"/>
  <c r="S313" i="4"/>
  <c r="R313" i="4"/>
  <c r="Q313" i="4"/>
  <c r="P313" i="4"/>
  <c r="F313" i="4"/>
  <c r="G313" i="4" s="1"/>
  <c r="S312" i="4"/>
  <c r="R312" i="4"/>
  <c r="Q312" i="4"/>
  <c r="P312" i="4"/>
  <c r="F312" i="4"/>
  <c r="G312" i="4" s="1"/>
  <c r="G260" i="4"/>
  <c r="G259" i="4"/>
  <c r="G258" i="4"/>
  <c r="G310" i="4"/>
  <c r="G309" i="4"/>
  <c r="G308" i="4"/>
  <c r="G300" i="4"/>
  <c r="G299" i="4"/>
  <c r="G298" i="4"/>
  <c r="G288" i="4"/>
  <c r="G287" i="4"/>
  <c r="G286" i="4"/>
  <c r="G275" i="4"/>
  <c r="G276" i="4"/>
  <c r="G274" i="4"/>
  <c r="I311" i="4"/>
  <c r="F311" i="4"/>
  <c r="G311" i="4" s="1"/>
  <c r="S307" i="4"/>
  <c r="R307" i="4"/>
  <c r="Q307" i="4"/>
  <c r="P307" i="4"/>
  <c r="F307" i="4"/>
  <c r="G307" i="4" s="1"/>
  <c r="S306" i="4"/>
  <c r="R306" i="4"/>
  <c r="Q306" i="4"/>
  <c r="P306" i="4"/>
  <c r="F306" i="4"/>
  <c r="G306" i="4" s="1"/>
  <c r="S305" i="4"/>
  <c r="R305" i="4"/>
  <c r="Q305" i="4"/>
  <c r="P305" i="4"/>
  <c r="F305" i="4"/>
  <c r="G305" i="4" s="1"/>
  <c r="S304" i="4"/>
  <c r="R304" i="4"/>
  <c r="Q304" i="4"/>
  <c r="P304" i="4"/>
  <c r="F304" i="4"/>
  <c r="S303" i="4"/>
  <c r="R303" i="4"/>
  <c r="Q303" i="4"/>
  <c r="P303" i="4"/>
  <c r="F303" i="4"/>
  <c r="S302" i="4"/>
  <c r="R302" i="4"/>
  <c r="Q302" i="4"/>
  <c r="P302" i="4"/>
  <c r="F302" i="4"/>
  <c r="I301" i="4"/>
  <c r="F301" i="4"/>
  <c r="G301" i="4" s="1"/>
  <c r="I289" i="4"/>
  <c r="F289" i="4"/>
  <c r="G289" i="4" s="1"/>
  <c r="S297" i="4"/>
  <c r="R297" i="4"/>
  <c r="Q297" i="4"/>
  <c r="P297" i="4"/>
  <c r="F297" i="4"/>
  <c r="G297" i="4" s="1"/>
  <c r="S296" i="4"/>
  <c r="R296" i="4"/>
  <c r="Q296" i="4"/>
  <c r="P296" i="4"/>
  <c r="F296" i="4"/>
  <c r="G296" i="4" s="1"/>
  <c r="S295" i="4"/>
  <c r="R295" i="4"/>
  <c r="Q295" i="4"/>
  <c r="P295" i="4"/>
  <c r="F295" i="4"/>
  <c r="G295" i="4" s="1"/>
  <c r="S294" i="4"/>
  <c r="R294" i="4"/>
  <c r="Q294" i="4"/>
  <c r="P294" i="4"/>
  <c r="F294" i="4"/>
  <c r="G294" i="4" s="1"/>
  <c r="S293" i="4"/>
  <c r="R293" i="4"/>
  <c r="Q293" i="4"/>
  <c r="P293" i="4"/>
  <c r="F293" i="4"/>
  <c r="G293" i="4" s="1"/>
  <c r="S292" i="4"/>
  <c r="R292" i="4"/>
  <c r="Q292" i="4"/>
  <c r="P292" i="4"/>
  <c r="F292" i="4"/>
  <c r="G292" i="4" s="1"/>
  <c r="S291" i="4"/>
  <c r="R291" i="4"/>
  <c r="Q291" i="4"/>
  <c r="P291" i="4"/>
  <c r="F291" i="4"/>
  <c r="G291" i="4" s="1"/>
  <c r="S290" i="4"/>
  <c r="R290" i="4"/>
  <c r="Q290" i="4"/>
  <c r="P290" i="4"/>
  <c r="F290" i="4"/>
  <c r="G290" i="4" s="1"/>
  <c r="S282" i="4"/>
  <c r="R282" i="4"/>
  <c r="Q282" i="4"/>
  <c r="P282" i="4"/>
  <c r="F282" i="4"/>
  <c r="G282" i="4" s="1"/>
  <c r="S276" i="4"/>
  <c r="R276" i="4"/>
  <c r="Q276" i="4"/>
  <c r="P276" i="4"/>
  <c r="S275" i="4"/>
  <c r="R275" i="4"/>
  <c r="Q275" i="4"/>
  <c r="P275" i="4"/>
  <c r="S274" i="4"/>
  <c r="R274" i="4"/>
  <c r="Q274" i="4"/>
  <c r="P274" i="4"/>
  <c r="S273" i="4"/>
  <c r="R273" i="4"/>
  <c r="Q273" i="4"/>
  <c r="P273" i="4"/>
  <c r="F273" i="4"/>
  <c r="G273" i="4" s="1"/>
  <c r="S272" i="4"/>
  <c r="R272" i="4"/>
  <c r="Q272" i="4"/>
  <c r="P272" i="4"/>
  <c r="F272" i="4"/>
  <c r="G272" i="4" s="1"/>
  <c r="S271" i="4"/>
  <c r="R271" i="4"/>
  <c r="Q271" i="4"/>
  <c r="P271" i="4"/>
  <c r="F271" i="4"/>
  <c r="G271" i="4" s="1"/>
  <c r="S270" i="4"/>
  <c r="R270" i="4"/>
  <c r="Q270" i="4"/>
  <c r="P270" i="4"/>
  <c r="F270" i="4"/>
  <c r="G270" i="4" s="1"/>
  <c r="S269" i="4"/>
  <c r="R269" i="4"/>
  <c r="Q269" i="4"/>
  <c r="P269" i="4"/>
  <c r="F269" i="4"/>
  <c r="G269" i="4" s="1"/>
  <c r="S268" i="4"/>
  <c r="R268" i="4"/>
  <c r="Q268" i="4"/>
  <c r="P268" i="4"/>
  <c r="F268" i="4"/>
  <c r="G268" i="4" s="1"/>
  <c r="S267" i="4"/>
  <c r="R267" i="4"/>
  <c r="Q267" i="4"/>
  <c r="P267" i="4"/>
  <c r="F267" i="4"/>
  <c r="G267" i="4" s="1"/>
  <c r="S266" i="4"/>
  <c r="R266" i="4"/>
  <c r="Q266" i="4"/>
  <c r="P266" i="4"/>
  <c r="F266" i="4"/>
  <c r="G266" i="4" s="1"/>
  <c r="S264" i="4"/>
  <c r="R264" i="4"/>
  <c r="Q264" i="4"/>
  <c r="P264" i="4"/>
  <c r="F264" i="4"/>
  <c r="G264" i="4" s="1"/>
  <c r="S263" i="4"/>
  <c r="R263" i="4"/>
  <c r="Q263" i="4"/>
  <c r="P263" i="4"/>
  <c r="F263" i="4"/>
  <c r="G263" i="4" s="1"/>
  <c r="S262" i="4"/>
  <c r="R262" i="4"/>
  <c r="Q262" i="4"/>
  <c r="P262" i="4"/>
  <c r="F262" i="4"/>
  <c r="G262" i="4" s="1"/>
  <c r="F261" i="4"/>
  <c r="G261" i="4" s="1"/>
  <c r="J261" i="4" s="1"/>
  <c r="S260" i="4"/>
  <c r="R260" i="4"/>
  <c r="Q260" i="4"/>
  <c r="P260" i="4"/>
  <c r="S252" i="4"/>
  <c r="R252" i="4"/>
  <c r="Q252" i="4"/>
  <c r="P252" i="4"/>
  <c r="F252" i="4"/>
  <c r="G252" i="4" s="1"/>
  <c r="J301" i="4" l="1"/>
  <c r="S301" i="4" s="1"/>
  <c r="G304" i="4"/>
  <c r="G303" i="4"/>
  <c r="G302" i="4"/>
  <c r="J311" i="4"/>
  <c r="S311" i="4" s="1"/>
  <c r="J289" i="4"/>
  <c r="Q289" i="4" s="1"/>
  <c r="R261" i="4"/>
  <c r="S261" i="4"/>
  <c r="P261" i="4"/>
  <c r="Q261" i="4"/>
  <c r="Q301" i="4" l="1"/>
  <c r="P301" i="4"/>
  <c r="R301" i="4"/>
  <c r="P311" i="4"/>
  <c r="R311" i="4"/>
  <c r="Q311" i="4"/>
  <c r="P289" i="4"/>
  <c r="R289" i="4"/>
  <c r="S289" i="4"/>
  <c r="F652" i="9" l="1"/>
  <c r="G652" i="9" s="1"/>
  <c r="F651" i="9"/>
  <c r="G651" i="9" s="1"/>
  <c r="F635" i="9"/>
  <c r="G635" i="9" s="1"/>
  <c r="F349" i="9"/>
  <c r="G349" i="9" s="1"/>
  <c r="F644" i="9"/>
  <c r="G644" i="9" s="1"/>
  <c r="F643" i="9"/>
  <c r="G643" i="9" s="1"/>
  <c r="F642" i="9"/>
  <c r="G642" i="9" s="1"/>
  <c r="F650" i="9"/>
  <c r="G650" i="9" s="1"/>
  <c r="F649" i="9"/>
  <c r="G649" i="9" s="1"/>
  <c r="F648" i="9"/>
  <c r="G648" i="9" s="1"/>
  <c r="F647" i="9"/>
  <c r="G647" i="9" s="1"/>
  <c r="F646" i="9"/>
  <c r="G646" i="9" s="1"/>
  <c r="F645" i="9"/>
  <c r="G645" i="9" s="1"/>
  <c r="F641" i="9"/>
  <c r="G641" i="9" s="1"/>
  <c r="F640" i="9"/>
  <c r="G640" i="9" s="1"/>
  <c r="F639" i="9"/>
  <c r="G639" i="9" s="1"/>
  <c r="F638" i="9"/>
  <c r="G638" i="9" s="1"/>
  <c r="F637" i="9"/>
  <c r="G637" i="9" s="1"/>
  <c r="F636" i="9"/>
  <c r="G636" i="9" s="1"/>
  <c r="F634" i="9"/>
  <c r="G634" i="9" s="1"/>
  <c r="F633" i="9"/>
  <c r="G633" i="9" s="1"/>
  <c r="F486" i="9" l="1"/>
  <c r="F485" i="9"/>
  <c r="G485" i="9" s="1"/>
  <c r="F364" i="9" l="1"/>
  <c r="G364" i="9" s="1"/>
  <c r="F363" i="9"/>
  <c r="G363" i="9" s="1"/>
  <c r="F362" i="9"/>
  <c r="G362" i="9" s="1"/>
  <c r="F361" i="9"/>
  <c r="G361" i="9" s="1"/>
  <c r="F446" i="9"/>
  <c r="G446" i="9" s="1"/>
  <c r="F489" i="9"/>
  <c r="G489" i="9" s="1"/>
  <c r="F488" i="9"/>
  <c r="G488" i="9" s="1"/>
  <c r="F487" i="9"/>
  <c r="G487" i="9" s="1"/>
  <c r="F264" i="9"/>
  <c r="G264" i="9" s="1"/>
  <c r="F263" i="9"/>
  <c r="G263" i="9" s="1"/>
  <c r="F368" i="9" l="1"/>
  <c r="F369" i="9"/>
  <c r="F375" i="9"/>
  <c r="F253" i="9"/>
  <c r="F165" i="9" l="1"/>
  <c r="G253" i="9"/>
  <c r="F461" i="9"/>
  <c r="G461" i="9" s="1"/>
  <c r="F460" i="9"/>
  <c r="G460" i="9" s="1"/>
  <c r="F168" i="9"/>
  <c r="G168" i="9" s="1"/>
  <c r="F169" i="9"/>
  <c r="G169" i="9" s="1"/>
  <c r="F206" i="9" l="1"/>
  <c r="G206" i="9" s="1"/>
  <c r="F205" i="9"/>
  <c r="G205" i="9" s="1"/>
  <c r="F204" i="9"/>
  <c r="G204" i="9" s="1"/>
  <c r="F201" i="9"/>
  <c r="G201" i="9" s="1"/>
  <c r="F203" i="9"/>
  <c r="G203" i="9" s="1"/>
  <c r="F202" i="9"/>
  <c r="G202" i="9" s="1"/>
  <c r="F167" i="9"/>
  <c r="G167" i="9" s="1"/>
  <c r="F166" i="9"/>
  <c r="G166" i="9" s="1"/>
  <c r="G165" i="9"/>
  <c r="F100" i="9"/>
  <c r="G100" i="9" s="1"/>
  <c r="F99" i="9"/>
  <c r="G99" i="9" s="1"/>
  <c r="F98" i="9"/>
  <c r="G98" i="9" s="1"/>
  <c r="F97" i="9"/>
  <c r="G97" i="9" s="1"/>
  <c r="F214" i="9"/>
  <c r="G214" i="9" s="1"/>
  <c r="F213" i="9"/>
  <c r="G213" i="9" s="1"/>
  <c r="F212" i="9"/>
  <c r="G212" i="9" s="1"/>
  <c r="F230" i="9"/>
  <c r="G230" i="9" s="1"/>
  <c r="F222" i="9"/>
  <c r="G222" i="9" s="1"/>
  <c r="F221" i="9"/>
  <c r="G221" i="9" s="1"/>
  <c r="F220" i="9"/>
  <c r="G220" i="9" s="1"/>
  <c r="F219" i="9"/>
  <c r="G219" i="9" s="1"/>
  <c r="F218" i="9"/>
  <c r="G218" i="9" s="1"/>
  <c r="F217" i="9"/>
  <c r="G217" i="9" s="1"/>
  <c r="F216" i="9"/>
  <c r="F231" i="9"/>
  <c r="G231" i="9" s="1"/>
  <c r="F118" i="9"/>
  <c r="G118" i="9" s="1"/>
  <c r="F117" i="9"/>
  <c r="G117" i="9" s="1"/>
  <c r="F116" i="9"/>
  <c r="G116" i="9" s="1"/>
  <c r="F115" i="9"/>
  <c r="G115" i="9" s="1"/>
  <c r="F114" i="9"/>
  <c r="G114" i="9" s="1"/>
  <c r="F215" i="9"/>
  <c r="F209" i="9" l="1"/>
  <c r="F208" i="9"/>
  <c r="F207" i="9"/>
  <c r="F226" i="9"/>
  <c r="F225" i="9"/>
  <c r="F232" i="9"/>
  <c r="F233" i="9"/>
  <c r="G82" i="18" l="1" a="1"/>
  <c r="G82" i="18" s="1"/>
  <c r="H82" i="18" s="1"/>
  <c r="G81" i="18" a="1"/>
  <c r="G81" i="18" s="1"/>
  <c r="H81" i="18" s="1"/>
  <c r="G80" i="18" a="1"/>
  <c r="G80" i="18" s="1"/>
  <c r="H80" i="18" s="1"/>
  <c r="G79" i="18" a="1"/>
  <c r="G79" i="18" s="1"/>
  <c r="H79" i="18" s="1"/>
  <c r="G78" i="18" a="1"/>
  <c r="G78" i="18" s="1"/>
  <c r="H78" i="18" s="1"/>
  <c r="G77" i="18" a="1"/>
  <c r="G77" i="18" s="1"/>
  <c r="H77" i="18" s="1"/>
  <c r="G76" i="18" a="1"/>
  <c r="G76" i="18" s="1"/>
  <c r="H76" i="18" s="1"/>
  <c r="G75" i="18" a="1"/>
  <c r="G75" i="18" s="1"/>
  <c r="H75" i="18" s="1"/>
  <c r="G74" i="18" a="1"/>
  <c r="G74" i="18" s="1"/>
  <c r="H74" i="18" s="1"/>
  <c r="G73" i="18" a="1"/>
  <c r="G73" i="18" s="1"/>
  <c r="H73" i="18" s="1"/>
  <c r="G72" i="18" a="1"/>
  <c r="G72" i="18" s="1"/>
  <c r="H72" i="18" s="1"/>
  <c r="G71" i="18" a="1"/>
  <c r="G71" i="18" s="1"/>
  <c r="H71" i="18" s="1"/>
  <c r="H69" i="18"/>
  <c r="H68" i="18"/>
  <c r="H67" i="18"/>
  <c r="H66" i="18"/>
  <c r="H65" i="18"/>
  <c r="H64" i="18"/>
  <c r="H63"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4" i="18"/>
  <c r="H32" i="18"/>
  <c r="H31" i="18"/>
  <c r="H20" i="18"/>
  <c r="H19" i="18"/>
  <c r="H18" i="18"/>
  <c r="H17" i="18"/>
  <c r="H16" i="18"/>
  <c r="H15" i="18"/>
  <c r="H14" i="18"/>
  <c r="H13" i="18"/>
  <c r="H12" i="18"/>
  <c r="H11" i="18"/>
  <c r="H10" i="18"/>
  <c r="H9" i="18"/>
  <c r="H8" i="18"/>
  <c r="H7" i="18"/>
  <c r="F90" i="10"/>
  <c r="F370" i="9"/>
  <c r="G370" i="9" s="1"/>
  <c r="F394" i="9"/>
  <c r="G394" i="9" s="1"/>
  <c r="F392" i="9"/>
  <c r="G392" i="9" s="1"/>
  <c r="F390" i="9"/>
  <c r="G390" i="9" s="1"/>
  <c r="F393" i="9"/>
  <c r="G393" i="9" s="1"/>
  <c r="F389" i="9"/>
  <c r="G389" i="9" s="1"/>
  <c r="F387" i="9"/>
  <c r="G387" i="9" s="1"/>
  <c r="F388" i="9"/>
  <c r="G388" i="9" s="1"/>
  <c r="F386" i="9"/>
  <c r="G386" i="9" s="1"/>
  <c r="F385" i="9"/>
  <c r="G385" i="9" s="1"/>
  <c r="F384" i="9"/>
  <c r="G384" i="9" s="1"/>
  <c r="F383" i="9"/>
  <c r="G383" i="9" s="1"/>
  <c r="F382" i="9"/>
  <c r="G382" i="9" s="1"/>
  <c r="F339" i="9" l="1"/>
  <c r="G339" i="9" s="1"/>
  <c r="F338" i="9"/>
  <c r="G338" i="9" s="1"/>
  <c r="F347" i="9"/>
  <c r="G347" i="9" s="1"/>
  <c r="F348" i="9"/>
  <c r="G348" i="9" s="1"/>
  <c r="F346" i="9"/>
  <c r="G346" i="9" s="1"/>
  <c r="F345" i="9"/>
  <c r="G345" i="9" s="1"/>
  <c r="F332" i="9"/>
  <c r="G332" i="9" s="1"/>
  <c r="F331" i="9"/>
  <c r="G331" i="9" s="1"/>
  <c r="F330" i="9"/>
  <c r="G330" i="9" s="1"/>
  <c r="F335" i="9"/>
  <c r="G335" i="9" s="1"/>
  <c r="F334" i="9"/>
  <c r="G334" i="9" s="1"/>
  <c r="F333" i="9"/>
  <c r="G333" i="9" s="1"/>
  <c r="F326" i="9"/>
  <c r="G326" i="9" s="1"/>
  <c r="P7" i="4" l="1"/>
  <c r="Q7" i="4"/>
  <c r="R7" i="4"/>
  <c r="S7" i="4"/>
  <c r="P8" i="4"/>
  <c r="Q8" i="4"/>
  <c r="R8" i="4"/>
  <c r="S8" i="4"/>
  <c r="P9" i="4"/>
  <c r="Q9" i="4"/>
  <c r="R9" i="4"/>
  <c r="S9" i="4"/>
  <c r="P10" i="4"/>
  <c r="Q10" i="4"/>
  <c r="R10" i="4"/>
  <c r="S10" i="4"/>
  <c r="P11" i="4"/>
  <c r="Q11" i="4"/>
  <c r="R11" i="4"/>
  <c r="S11" i="4"/>
  <c r="P12" i="4"/>
  <c r="Q12" i="4"/>
  <c r="R12" i="4"/>
  <c r="S12" i="4"/>
  <c r="P13" i="4"/>
  <c r="Q13" i="4"/>
  <c r="R13" i="4"/>
  <c r="S13" i="4"/>
  <c r="P30" i="4"/>
  <c r="Q30" i="4"/>
  <c r="R30" i="4"/>
  <c r="S30" i="4"/>
  <c r="P31" i="4"/>
  <c r="Q31" i="4"/>
  <c r="R31" i="4"/>
  <c r="S31" i="4"/>
  <c r="P32" i="4"/>
  <c r="Q32" i="4"/>
  <c r="R32" i="4"/>
  <c r="S32" i="4"/>
  <c r="P33" i="4"/>
  <c r="Q33" i="4"/>
  <c r="R33" i="4"/>
  <c r="S33" i="4"/>
  <c r="P34" i="4"/>
  <c r="Q34" i="4"/>
  <c r="R34" i="4"/>
  <c r="S34" i="4"/>
  <c r="P35" i="4"/>
  <c r="Q35" i="4"/>
  <c r="R35" i="4"/>
  <c r="S35" i="4"/>
  <c r="P36" i="4"/>
  <c r="Q36" i="4"/>
  <c r="R36" i="4"/>
  <c r="S36" i="4"/>
  <c r="P37" i="4"/>
  <c r="Q37" i="4"/>
  <c r="R37" i="4"/>
  <c r="S37" i="4"/>
  <c r="P38" i="4"/>
  <c r="Q38" i="4"/>
  <c r="R38" i="4"/>
  <c r="S38" i="4"/>
  <c r="P39" i="4"/>
  <c r="Q39" i="4"/>
  <c r="R39" i="4"/>
  <c r="S39" i="4"/>
  <c r="P40" i="4"/>
  <c r="Q40" i="4"/>
  <c r="R40" i="4"/>
  <c r="S40" i="4"/>
  <c r="P41" i="4"/>
  <c r="Q41" i="4"/>
  <c r="R41" i="4"/>
  <c r="S41" i="4"/>
  <c r="P42" i="4"/>
  <c r="Q42" i="4"/>
  <c r="R42" i="4"/>
  <c r="S42" i="4"/>
  <c r="P43" i="4"/>
  <c r="Q43" i="4"/>
  <c r="R43" i="4"/>
  <c r="S43" i="4"/>
  <c r="P44" i="4"/>
  <c r="Q44" i="4"/>
  <c r="R44" i="4"/>
  <c r="S44" i="4"/>
  <c r="P45" i="4"/>
  <c r="Q45" i="4"/>
  <c r="R45" i="4"/>
  <c r="S45" i="4"/>
  <c r="P46" i="4"/>
  <c r="Q46" i="4"/>
  <c r="R46" i="4"/>
  <c r="S46" i="4"/>
  <c r="P47" i="4"/>
  <c r="Q47" i="4"/>
  <c r="R47" i="4"/>
  <c r="S47" i="4"/>
  <c r="P15" i="4"/>
  <c r="Q15" i="4"/>
  <c r="R15" i="4"/>
  <c r="S15" i="4"/>
  <c r="P16" i="4"/>
  <c r="Q16" i="4"/>
  <c r="R16" i="4"/>
  <c r="S16" i="4"/>
  <c r="P17" i="4"/>
  <c r="Q17" i="4"/>
  <c r="R17" i="4"/>
  <c r="S17" i="4"/>
  <c r="P18" i="4"/>
  <c r="Q18" i="4"/>
  <c r="R18" i="4"/>
  <c r="S18" i="4"/>
  <c r="P19" i="4"/>
  <c r="Q19" i="4"/>
  <c r="R19" i="4"/>
  <c r="S19" i="4"/>
  <c r="P20" i="4"/>
  <c r="Q20" i="4"/>
  <c r="R20" i="4"/>
  <c r="S20" i="4"/>
  <c r="P21" i="4"/>
  <c r="Q21" i="4"/>
  <c r="R21" i="4"/>
  <c r="S21" i="4"/>
  <c r="P23" i="4"/>
  <c r="Q23" i="4"/>
  <c r="R23" i="4"/>
  <c r="S23" i="4"/>
  <c r="P24" i="4"/>
  <c r="Q24" i="4"/>
  <c r="R24" i="4"/>
  <c r="S24" i="4"/>
  <c r="P25" i="4"/>
  <c r="Q25" i="4"/>
  <c r="R25" i="4"/>
  <c r="S25" i="4"/>
  <c r="P26" i="4"/>
  <c r="Q26" i="4"/>
  <c r="R26" i="4"/>
  <c r="S26" i="4"/>
  <c r="P27" i="4"/>
  <c r="Q27" i="4"/>
  <c r="R27" i="4"/>
  <c r="S27" i="4"/>
  <c r="P28" i="4"/>
  <c r="Q28" i="4"/>
  <c r="R28" i="4"/>
  <c r="S28" i="4"/>
  <c r="P29" i="4"/>
  <c r="Q29" i="4"/>
  <c r="R29" i="4"/>
  <c r="S29" i="4"/>
  <c r="P50" i="4"/>
  <c r="Q50" i="4"/>
  <c r="R50" i="4"/>
  <c r="S50" i="4"/>
  <c r="P51" i="4"/>
  <c r="Q51" i="4"/>
  <c r="R51" i="4"/>
  <c r="S51" i="4"/>
  <c r="P52" i="4"/>
  <c r="Q52" i="4"/>
  <c r="R52" i="4"/>
  <c r="S52" i="4"/>
  <c r="P53" i="4"/>
  <c r="Q53" i="4"/>
  <c r="R53" i="4"/>
  <c r="S53" i="4"/>
  <c r="P54" i="4"/>
  <c r="Q54" i="4"/>
  <c r="R54" i="4"/>
  <c r="S54" i="4"/>
  <c r="P55" i="4"/>
  <c r="Q55" i="4"/>
  <c r="R55" i="4"/>
  <c r="S55" i="4"/>
  <c r="P56" i="4"/>
  <c r="Q56" i="4"/>
  <c r="R56" i="4"/>
  <c r="S56" i="4"/>
  <c r="P57" i="4"/>
  <c r="Q57" i="4"/>
  <c r="R57" i="4"/>
  <c r="S57" i="4"/>
  <c r="P58" i="4"/>
  <c r="Q58" i="4"/>
  <c r="R58" i="4"/>
  <c r="S58" i="4"/>
  <c r="P59" i="4"/>
  <c r="Q59" i="4"/>
  <c r="R59" i="4"/>
  <c r="S59" i="4"/>
  <c r="P61" i="4"/>
  <c r="Q61" i="4"/>
  <c r="R61" i="4"/>
  <c r="S61" i="4"/>
  <c r="P66" i="4"/>
  <c r="Q66" i="4"/>
  <c r="R66" i="4"/>
  <c r="S66" i="4"/>
  <c r="P67" i="4"/>
  <c r="Q67" i="4"/>
  <c r="R67" i="4"/>
  <c r="S67" i="4"/>
  <c r="P68" i="4"/>
  <c r="Q68" i="4"/>
  <c r="R68" i="4"/>
  <c r="S68" i="4"/>
  <c r="P69" i="4"/>
  <c r="Q69" i="4"/>
  <c r="R69" i="4"/>
  <c r="S69" i="4"/>
  <c r="P70" i="4"/>
  <c r="Q70" i="4"/>
  <c r="R70" i="4"/>
  <c r="S70" i="4"/>
  <c r="P71" i="4"/>
  <c r="Q71" i="4"/>
  <c r="R71" i="4"/>
  <c r="S71" i="4"/>
  <c r="P72" i="4"/>
  <c r="Q72" i="4"/>
  <c r="R72" i="4"/>
  <c r="S72" i="4"/>
  <c r="P73" i="4"/>
  <c r="Q73" i="4"/>
  <c r="R73" i="4"/>
  <c r="S73" i="4"/>
  <c r="P74" i="4"/>
  <c r="Q74" i="4"/>
  <c r="R74" i="4"/>
  <c r="S74" i="4"/>
  <c r="P75" i="4"/>
  <c r="Q75" i="4"/>
  <c r="R75" i="4"/>
  <c r="S75" i="4"/>
  <c r="P77" i="4"/>
  <c r="Q77" i="4"/>
  <c r="R77" i="4"/>
  <c r="S77" i="4"/>
  <c r="P82" i="4"/>
  <c r="Q82" i="4"/>
  <c r="R82" i="4"/>
  <c r="S82" i="4"/>
  <c r="P83" i="4"/>
  <c r="Q83" i="4"/>
  <c r="R83" i="4"/>
  <c r="S83" i="4"/>
  <c r="P84" i="4"/>
  <c r="Q84" i="4"/>
  <c r="R84" i="4"/>
  <c r="S84" i="4"/>
  <c r="P85" i="4"/>
  <c r="Q85" i="4"/>
  <c r="R85" i="4"/>
  <c r="S85" i="4"/>
  <c r="P86" i="4"/>
  <c r="Q86" i="4"/>
  <c r="R86" i="4"/>
  <c r="S86" i="4"/>
  <c r="P87" i="4"/>
  <c r="Q87" i="4"/>
  <c r="R87" i="4"/>
  <c r="S87" i="4"/>
  <c r="P88" i="4"/>
  <c r="Q88" i="4"/>
  <c r="R88" i="4"/>
  <c r="S88" i="4"/>
  <c r="P89" i="4"/>
  <c r="Q89" i="4"/>
  <c r="R89" i="4"/>
  <c r="S89" i="4"/>
  <c r="P90" i="4"/>
  <c r="Q90" i="4"/>
  <c r="R90" i="4"/>
  <c r="S90" i="4"/>
  <c r="P91" i="4"/>
  <c r="Q91" i="4"/>
  <c r="R91" i="4"/>
  <c r="S91" i="4"/>
  <c r="P93" i="4"/>
  <c r="Q93" i="4"/>
  <c r="R93" i="4"/>
  <c r="S93" i="4"/>
  <c r="P98" i="4"/>
  <c r="Q98" i="4"/>
  <c r="R98" i="4"/>
  <c r="S98" i="4"/>
  <c r="P99" i="4"/>
  <c r="Q99" i="4"/>
  <c r="R99" i="4"/>
  <c r="S99" i="4"/>
  <c r="P100" i="4"/>
  <c r="Q100" i="4"/>
  <c r="R100" i="4"/>
  <c r="S100" i="4"/>
  <c r="P101" i="4"/>
  <c r="Q101" i="4"/>
  <c r="R101" i="4"/>
  <c r="S101" i="4"/>
  <c r="P102" i="4"/>
  <c r="Q102" i="4"/>
  <c r="R102" i="4"/>
  <c r="S102" i="4"/>
  <c r="P103" i="4"/>
  <c r="Q103" i="4"/>
  <c r="R103" i="4"/>
  <c r="S103" i="4"/>
  <c r="P104" i="4"/>
  <c r="Q104" i="4"/>
  <c r="R104" i="4"/>
  <c r="S104" i="4"/>
  <c r="P105" i="4"/>
  <c r="Q105" i="4"/>
  <c r="R105" i="4"/>
  <c r="S105" i="4"/>
  <c r="P106" i="4"/>
  <c r="Q106" i="4"/>
  <c r="R106" i="4"/>
  <c r="S106" i="4"/>
  <c r="P107" i="4"/>
  <c r="Q107" i="4"/>
  <c r="R107" i="4"/>
  <c r="S107" i="4"/>
  <c r="P109" i="4"/>
  <c r="Q109" i="4"/>
  <c r="R109" i="4"/>
  <c r="S109" i="4"/>
  <c r="P114" i="4"/>
  <c r="Q114" i="4"/>
  <c r="R114" i="4"/>
  <c r="S114" i="4"/>
  <c r="P115" i="4"/>
  <c r="Q115" i="4"/>
  <c r="R115" i="4"/>
  <c r="S115" i="4"/>
  <c r="P116" i="4"/>
  <c r="Q116" i="4"/>
  <c r="R116" i="4"/>
  <c r="S116" i="4"/>
  <c r="P117" i="4"/>
  <c r="Q117" i="4"/>
  <c r="R117" i="4"/>
  <c r="S117" i="4"/>
  <c r="P118" i="4"/>
  <c r="Q118" i="4"/>
  <c r="R118" i="4"/>
  <c r="S118" i="4"/>
  <c r="P119" i="4"/>
  <c r="Q119" i="4"/>
  <c r="R119" i="4"/>
  <c r="S119" i="4"/>
  <c r="P120" i="4"/>
  <c r="Q120" i="4"/>
  <c r="R120" i="4"/>
  <c r="S120" i="4"/>
  <c r="P122" i="4"/>
  <c r="Q122" i="4"/>
  <c r="R122" i="4"/>
  <c r="S122" i="4"/>
  <c r="P127" i="4"/>
  <c r="Q127" i="4"/>
  <c r="R127" i="4"/>
  <c r="S127" i="4"/>
  <c r="P128" i="4"/>
  <c r="Q128" i="4"/>
  <c r="R128" i="4"/>
  <c r="S128" i="4"/>
  <c r="P129" i="4"/>
  <c r="Q129" i="4"/>
  <c r="R129" i="4"/>
  <c r="S129" i="4"/>
  <c r="P130" i="4"/>
  <c r="Q130" i="4"/>
  <c r="R130" i="4"/>
  <c r="S130" i="4"/>
  <c r="P131" i="4"/>
  <c r="Q131" i="4"/>
  <c r="R131" i="4"/>
  <c r="S131" i="4"/>
  <c r="P132" i="4"/>
  <c r="Q132" i="4"/>
  <c r="R132" i="4"/>
  <c r="S132" i="4"/>
  <c r="P133" i="4"/>
  <c r="Q133" i="4"/>
  <c r="R133" i="4"/>
  <c r="S133" i="4"/>
  <c r="P135" i="4"/>
  <c r="Q135" i="4"/>
  <c r="R135" i="4"/>
  <c r="S135" i="4"/>
  <c r="P140" i="4"/>
  <c r="Q140" i="4"/>
  <c r="R140" i="4"/>
  <c r="S140" i="4"/>
  <c r="P141" i="4"/>
  <c r="Q141" i="4"/>
  <c r="R141" i="4"/>
  <c r="S141" i="4"/>
  <c r="P142" i="4"/>
  <c r="Q142" i="4"/>
  <c r="R142" i="4"/>
  <c r="S142" i="4"/>
  <c r="P143" i="4"/>
  <c r="Q143" i="4"/>
  <c r="R143" i="4"/>
  <c r="S143" i="4"/>
  <c r="P144" i="4"/>
  <c r="Q144" i="4"/>
  <c r="R144" i="4"/>
  <c r="S144" i="4"/>
  <c r="P145" i="4"/>
  <c r="Q145" i="4"/>
  <c r="R145" i="4"/>
  <c r="S145" i="4"/>
  <c r="P146" i="4"/>
  <c r="Q146" i="4"/>
  <c r="R146" i="4"/>
  <c r="S146" i="4"/>
  <c r="P148" i="4"/>
  <c r="Q148" i="4"/>
  <c r="R148" i="4"/>
  <c r="S148" i="4"/>
  <c r="P153" i="4"/>
  <c r="Q153" i="4"/>
  <c r="R153" i="4"/>
  <c r="S153" i="4"/>
  <c r="P154" i="4"/>
  <c r="Q154" i="4"/>
  <c r="R154" i="4"/>
  <c r="S154" i="4"/>
  <c r="P155" i="4"/>
  <c r="Q155" i="4"/>
  <c r="R155" i="4"/>
  <c r="S155" i="4"/>
  <c r="P156" i="4"/>
  <c r="Q156" i="4"/>
  <c r="R156" i="4"/>
  <c r="S156" i="4"/>
  <c r="P157" i="4"/>
  <c r="Q157" i="4"/>
  <c r="R157" i="4"/>
  <c r="S157" i="4"/>
  <c r="P158" i="4"/>
  <c r="Q158" i="4"/>
  <c r="R158" i="4"/>
  <c r="S158" i="4"/>
  <c r="P159" i="4"/>
  <c r="Q159" i="4"/>
  <c r="R159" i="4"/>
  <c r="S159" i="4"/>
  <c r="P161" i="4"/>
  <c r="Q161" i="4"/>
  <c r="R161" i="4"/>
  <c r="S161" i="4"/>
  <c r="P165" i="4"/>
  <c r="Q165" i="4"/>
  <c r="R165" i="4"/>
  <c r="S165" i="4"/>
  <c r="P166" i="4"/>
  <c r="Q166" i="4"/>
  <c r="R166" i="4"/>
  <c r="S166" i="4"/>
  <c r="P167" i="4"/>
  <c r="Q167" i="4"/>
  <c r="R167" i="4"/>
  <c r="S167" i="4"/>
  <c r="P168" i="4"/>
  <c r="Q168" i="4"/>
  <c r="R168" i="4"/>
  <c r="S168" i="4"/>
  <c r="P169" i="4"/>
  <c r="Q169" i="4"/>
  <c r="R169" i="4"/>
  <c r="S169" i="4"/>
  <c r="P170" i="4"/>
  <c r="Q170" i="4"/>
  <c r="R170" i="4"/>
  <c r="S170" i="4"/>
  <c r="P171" i="4"/>
  <c r="Q171" i="4"/>
  <c r="R171" i="4"/>
  <c r="S171" i="4"/>
  <c r="P172" i="4"/>
  <c r="Q172" i="4"/>
  <c r="R172" i="4"/>
  <c r="S172" i="4"/>
  <c r="P173" i="4"/>
  <c r="Q173" i="4"/>
  <c r="R173" i="4"/>
  <c r="S173" i="4"/>
  <c r="P174" i="4"/>
  <c r="Q174" i="4"/>
  <c r="R174" i="4"/>
  <c r="S174" i="4"/>
  <c r="P175" i="4"/>
  <c r="Q175" i="4"/>
  <c r="R175" i="4"/>
  <c r="S175" i="4"/>
  <c r="P176" i="4"/>
  <c r="Q176" i="4"/>
  <c r="R176" i="4"/>
  <c r="S176" i="4"/>
  <c r="P228" i="4"/>
  <c r="Q228" i="4"/>
  <c r="R228" i="4"/>
  <c r="S228" i="4"/>
  <c r="P179" i="4"/>
  <c r="Q179" i="4"/>
  <c r="R179" i="4"/>
  <c r="S179" i="4"/>
  <c r="P180" i="4"/>
  <c r="Q180" i="4"/>
  <c r="R180" i="4"/>
  <c r="S180" i="4"/>
  <c r="P181" i="4"/>
  <c r="Q181" i="4"/>
  <c r="R181" i="4"/>
  <c r="S181" i="4"/>
  <c r="P182" i="4"/>
  <c r="Q182" i="4"/>
  <c r="R182" i="4"/>
  <c r="S182" i="4"/>
  <c r="P183" i="4"/>
  <c r="Q183" i="4"/>
  <c r="R183" i="4"/>
  <c r="S183" i="4"/>
  <c r="P184" i="4"/>
  <c r="Q184" i="4"/>
  <c r="R184" i="4"/>
  <c r="S184" i="4"/>
  <c r="P185" i="4"/>
  <c r="Q185" i="4"/>
  <c r="R185" i="4"/>
  <c r="S185" i="4"/>
  <c r="P187" i="4"/>
  <c r="Q187" i="4"/>
  <c r="R187" i="4"/>
  <c r="S187" i="4"/>
  <c r="P192" i="4"/>
  <c r="Q192" i="4"/>
  <c r="R192" i="4"/>
  <c r="S192" i="4"/>
  <c r="P193" i="4"/>
  <c r="Q193" i="4"/>
  <c r="R193" i="4"/>
  <c r="S193" i="4"/>
  <c r="P194" i="4"/>
  <c r="Q194" i="4"/>
  <c r="R194" i="4"/>
  <c r="S194" i="4"/>
  <c r="P195" i="4"/>
  <c r="Q195" i="4"/>
  <c r="R195" i="4"/>
  <c r="S195" i="4"/>
  <c r="P196" i="4"/>
  <c r="Q196" i="4"/>
  <c r="R196" i="4"/>
  <c r="S196" i="4"/>
  <c r="P197" i="4"/>
  <c r="Q197" i="4"/>
  <c r="R197" i="4"/>
  <c r="S197" i="4"/>
  <c r="P198" i="4"/>
  <c r="Q198" i="4"/>
  <c r="R198" i="4"/>
  <c r="S198" i="4"/>
  <c r="P200" i="4"/>
  <c r="Q200" i="4"/>
  <c r="R200" i="4"/>
  <c r="S200" i="4"/>
  <c r="P205" i="4"/>
  <c r="Q205" i="4"/>
  <c r="R205" i="4"/>
  <c r="S205" i="4"/>
  <c r="P206" i="4"/>
  <c r="Q206" i="4"/>
  <c r="R206" i="4"/>
  <c r="S206" i="4"/>
  <c r="P207" i="4"/>
  <c r="Q207" i="4"/>
  <c r="R207" i="4"/>
  <c r="S207" i="4"/>
  <c r="P208" i="4"/>
  <c r="Q208" i="4"/>
  <c r="R208" i="4"/>
  <c r="S208" i="4"/>
  <c r="P209" i="4"/>
  <c r="Q209" i="4"/>
  <c r="R209" i="4"/>
  <c r="S209" i="4"/>
  <c r="P210" i="4"/>
  <c r="Q210" i="4"/>
  <c r="R210" i="4"/>
  <c r="S210" i="4"/>
  <c r="P212" i="4"/>
  <c r="Q212" i="4"/>
  <c r="R212" i="4"/>
  <c r="S212" i="4"/>
  <c r="P217" i="4"/>
  <c r="Q217" i="4"/>
  <c r="R217" i="4"/>
  <c r="S217" i="4"/>
  <c r="P218" i="4"/>
  <c r="Q218" i="4"/>
  <c r="R218" i="4"/>
  <c r="S218" i="4"/>
  <c r="P219" i="4"/>
  <c r="Q219" i="4"/>
  <c r="R219" i="4"/>
  <c r="S219" i="4"/>
  <c r="P220" i="4"/>
  <c r="Q220" i="4"/>
  <c r="R220" i="4"/>
  <c r="S220" i="4"/>
  <c r="P221" i="4"/>
  <c r="Q221" i="4"/>
  <c r="R221" i="4"/>
  <c r="S221" i="4"/>
  <c r="P222" i="4"/>
  <c r="Q222" i="4"/>
  <c r="R222" i="4"/>
  <c r="S222" i="4"/>
  <c r="P224" i="4"/>
  <c r="Q224" i="4"/>
  <c r="R224" i="4"/>
  <c r="S224" i="4"/>
  <c r="P229" i="4"/>
  <c r="Q229" i="4"/>
  <c r="R229" i="4"/>
  <c r="S229" i="4"/>
  <c r="P230" i="4"/>
  <c r="Q230" i="4"/>
  <c r="R230" i="4"/>
  <c r="S230" i="4"/>
  <c r="P231" i="4"/>
  <c r="Q231" i="4"/>
  <c r="R231" i="4"/>
  <c r="S231" i="4"/>
  <c r="P232" i="4"/>
  <c r="Q232" i="4"/>
  <c r="R232" i="4"/>
  <c r="S232" i="4"/>
  <c r="P233" i="4"/>
  <c r="Q233" i="4"/>
  <c r="R233" i="4"/>
  <c r="S233" i="4"/>
  <c r="P234" i="4"/>
  <c r="Q234" i="4"/>
  <c r="R234" i="4"/>
  <c r="S234" i="4"/>
  <c r="P235" i="4"/>
  <c r="Q235" i="4"/>
  <c r="R235" i="4"/>
  <c r="S235" i="4"/>
  <c r="P236" i="4"/>
  <c r="Q236" i="4"/>
  <c r="R236" i="4"/>
  <c r="S236" i="4"/>
  <c r="P237" i="4"/>
  <c r="Q237" i="4"/>
  <c r="R237" i="4"/>
  <c r="S237" i="4"/>
  <c r="P238" i="4"/>
  <c r="Q238" i="4"/>
  <c r="R238" i="4"/>
  <c r="S238" i="4"/>
  <c r="P239" i="4"/>
  <c r="Q239" i="4"/>
  <c r="R239" i="4"/>
  <c r="S239" i="4"/>
  <c r="P240" i="4"/>
  <c r="Q240" i="4"/>
  <c r="R240" i="4"/>
  <c r="S240" i="4"/>
  <c r="P241" i="4"/>
  <c r="Q241" i="4"/>
  <c r="R241" i="4"/>
  <c r="S241" i="4"/>
  <c r="P242" i="4"/>
  <c r="Q242" i="4"/>
  <c r="R242" i="4"/>
  <c r="S242" i="4"/>
  <c r="P243" i="4"/>
  <c r="Q243" i="4"/>
  <c r="R243" i="4"/>
  <c r="S243" i="4"/>
  <c r="P246" i="4"/>
  <c r="Q246" i="4"/>
  <c r="R246" i="4"/>
  <c r="S246" i="4"/>
  <c r="P247" i="4"/>
  <c r="Q247" i="4"/>
  <c r="R247" i="4"/>
  <c r="S247" i="4"/>
  <c r="P248" i="4"/>
  <c r="Q248" i="4"/>
  <c r="R248" i="4"/>
  <c r="S248" i="4"/>
  <c r="P250" i="4"/>
  <c r="Q250" i="4"/>
  <c r="R250" i="4"/>
  <c r="S250" i="4"/>
  <c r="P251" i="4"/>
  <c r="Q251" i="4"/>
  <c r="R251" i="4"/>
  <c r="S251" i="4"/>
  <c r="P253" i="4"/>
  <c r="Q253" i="4"/>
  <c r="R253" i="4"/>
  <c r="S253" i="4"/>
  <c r="P254" i="4"/>
  <c r="Q254" i="4"/>
  <c r="R254" i="4"/>
  <c r="S254" i="4"/>
  <c r="P255" i="4"/>
  <c r="Q255" i="4"/>
  <c r="R255" i="4"/>
  <c r="S255" i="4"/>
  <c r="P256" i="4"/>
  <c r="Q256" i="4"/>
  <c r="R256" i="4"/>
  <c r="S256" i="4"/>
  <c r="P257" i="4"/>
  <c r="Q257" i="4"/>
  <c r="R257" i="4"/>
  <c r="S257" i="4"/>
  <c r="P258" i="4"/>
  <c r="Q258" i="4"/>
  <c r="R258" i="4"/>
  <c r="S258" i="4"/>
  <c r="P259" i="4"/>
  <c r="Q259" i="4"/>
  <c r="R259" i="4"/>
  <c r="S259" i="4"/>
  <c r="P278" i="4"/>
  <c r="Q278" i="4"/>
  <c r="R278" i="4"/>
  <c r="S278" i="4"/>
  <c r="P279" i="4"/>
  <c r="Q279" i="4"/>
  <c r="R279" i="4"/>
  <c r="S279" i="4"/>
  <c r="P280" i="4"/>
  <c r="Q280" i="4"/>
  <c r="R280" i="4"/>
  <c r="S280" i="4"/>
  <c r="P281" i="4"/>
  <c r="Q281" i="4"/>
  <c r="R281" i="4"/>
  <c r="S281" i="4"/>
  <c r="P283" i="4"/>
  <c r="Q283" i="4"/>
  <c r="R283" i="4"/>
  <c r="S283" i="4"/>
  <c r="P284" i="4"/>
  <c r="Q284" i="4"/>
  <c r="R284" i="4"/>
  <c r="S284" i="4"/>
  <c r="P285" i="4"/>
  <c r="Q285" i="4"/>
  <c r="R285" i="4"/>
  <c r="S285" i="4"/>
  <c r="P321" i="4"/>
  <c r="Q321" i="4"/>
  <c r="R321" i="4"/>
  <c r="S321" i="4"/>
  <c r="P322" i="4"/>
  <c r="Q322" i="4"/>
  <c r="R322" i="4"/>
  <c r="S322" i="4"/>
  <c r="P323" i="4"/>
  <c r="Q323" i="4"/>
  <c r="R323" i="4"/>
  <c r="S323" i="4"/>
  <c r="P324" i="4"/>
  <c r="Q324" i="4"/>
  <c r="R324" i="4"/>
  <c r="S324" i="4"/>
  <c r="P325" i="4"/>
  <c r="Q325" i="4"/>
  <c r="R325" i="4"/>
  <c r="S325" i="4"/>
  <c r="P326" i="4"/>
  <c r="Q326" i="4"/>
  <c r="R326" i="4"/>
  <c r="S326" i="4"/>
  <c r="P327" i="4"/>
  <c r="Q327" i="4"/>
  <c r="R327" i="4"/>
  <c r="S327" i="4"/>
  <c r="P328" i="4"/>
  <c r="Q328" i="4"/>
  <c r="R328" i="4"/>
  <c r="S328" i="4"/>
  <c r="P329" i="4"/>
  <c r="Q329" i="4"/>
  <c r="R329" i="4"/>
  <c r="S329" i="4"/>
  <c r="P330" i="4"/>
  <c r="Q330" i="4"/>
  <c r="R330" i="4"/>
  <c r="S330" i="4"/>
  <c r="P331" i="4"/>
  <c r="Q331" i="4"/>
  <c r="R331" i="4"/>
  <c r="S331" i="4"/>
  <c r="P332" i="4"/>
  <c r="Q332" i="4"/>
  <c r="R332" i="4"/>
  <c r="S332" i="4"/>
  <c r="P333" i="4"/>
  <c r="Q333" i="4"/>
  <c r="R333" i="4"/>
  <c r="S333" i="4"/>
  <c r="P334" i="4"/>
  <c r="Q334" i="4"/>
  <c r="R334" i="4"/>
  <c r="S334" i="4"/>
  <c r="P335" i="4"/>
  <c r="Q335" i="4"/>
  <c r="R335" i="4"/>
  <c r="S335" i="4"/>
  <c r="P336" i="4"/>
  <c r="Q336" i="4"/>
  <c r="R336" i="4"/>
  <c r="S336" i="4"/>
  <c r="P339" i="4"/>
  <c r="Q339" i="4"/>
  <c r="R339" i="4"/>
  <c r="S339" i="4"/>
  <c r="P340" i="4"/>
  <c r="Q340" i="4"/>
  <c r="R340" i="4"/>
  <c r="S340" i="4"/>
  <c r="P341" i="4"/>
  <c r="Q341" i="4"/>
  <c r="R341" i="4"/>
  <c r="S341" i="4"/>
  <c r="P342" i="4"/>
  <c r="Q342" i="4"/>
  <c r="R342" i="4"/>
  <c r="S342" i="4"/>
  <c r="P344" i="4"/>
  <c r="Q344" i="4"/>
  <c r="R344" i="4"/>
  <c r="S344" i="4"/>
  <c r="P345" i="4"/>
  <c r="Q345" i="4"/>
  <c r="R345" i="4"/>
  <c r="S345" i="4"/>
  <c r="P346" i="4"/>
  <c r="Q346" i="4"/>
  <c r="R346" i="4"/>
  <c r="S346" i="4"/>
  <c r="P347" i="4"/>
  <c r="Q347" i="4"/>
  <c r="R347" i="4"/>
  <c r="S347" i="4"/>
  <c r="P348" i="4"/>
  <c r="Q348" i="4"/>
  <c r="R348" i="4"/>
  <c r="S348" i="4"/>
  <c r="P349" i="4"/>
  <c r="Q349" i="4"/>
  <c r="R349" i="4"/>
  <c r="S349" i="4"/>
  <c r="P352" i="4"/>
  <c r="Q352" i="4"/>
  <c r="R352" i="4"/>
  <c r="S352" i="4"/>
  <c r="P353" i="4"/>
  <c r="Q353" i="4"/>
  <c r="R353" i="4"/>
  <c r="S353" i="4"/>
  <c r="P354" i="4"/>
  <c r="Q354" i="4"/>
  <c r="R354" i="4"/>
  <c r="S354" i="4"/>
  <c r="P355" i="4"/>
  <c r="Q355" i="4"/>
  <c r="R355" i="4"/>
  <c r="S355" i="4"/>
  <c r="P357" i="4"/>
  <c r="Q357" i="4"/>
  <c r="R357" i="4"/>
  <c r="S357" i="4"/>
  <c r="P358" i="4"/>
  <c r="Q358" i="4"/>
  <c r="R358" i="4"/>
  <c r="S358" i="4"/>
  <c r="P359" i="4"/>
  <c r="Q359" i="4"/>
  <c r="R359" i="4"/>
  <c r="S359" i="4"/>
  <c r="P360" i="4"/>
  <c r="Q360" i="4"/>
  <c r="R360" i="4"/>
  <c r="S360" i="4"/>
  <c r="P361" i="4"/>
  <c r="Q361" i="4"/>
  <c r="R361" i="4"/>
  <c r="S361" i="4"/>
  <c r="P362" i="4"/>
  <c r="Q362" i="4"/>
  <c r="R362" i="4"/>
  <c r="S362" i="4"/>
  <c r="P365" i="4"/>
  <c r="Q365" i="4"/>
  <c r="R365" i="4"/>
  <c r="S365" i="4"/>
  <c r="P366" i="4"/>
  <c r="Q366" i="4"/>
  <c r="R366" i="4"/>
  <c r="S366" i="4"/>
  <c r="P367" i="4"/>
  <c r="Q367" i="4"/>
  <c r="R367" i="4"/>
  <c r="S367" i="4"/>
  <c r="P368" i="4"/>
  <c r="Q368" i="4"/>
  <c r="R368" i="4"/>
  <c r="S368" i="4"/>
  <c r="P370" i="4"/>
  <c r="Q370" i="4"/>
  <c r="R370" i="4"/>
  <c r="S370" i="4"/>
  <c r="P371" i="4"/>
  <c r="Q371" i="4"/>
  <c r="R371" i="4"/>
  <c r="S371" i="4"/>
  <c r="P372" i="4"/>
  <c r="Q372" i="4"/>
  <c r="R372" i="4"/>
  <c r="S372" i="4"/>
  <c r="P373" i="4"/>
  <c r="Q373" i="4"/>
  <c r="R373" i="4"/>
  <c r="S373" i="4"/>
  <c r="P374" i="4"/>
  <c r="Q374" i="4"/>
  <c r="R374" i="4"/>
  <c r="S374" i="4"/>
  <c r="P377" i="4"/>
  <c r="Q377" i="4"/>
  <c r="R377" i="4"/>
  <c r="S377" i="4"/>
  <c r="P378" i="4"/>
  <c r="Q378" i="4"/>
  <c r="R378" i="4"/>
  <c r="S378" i="4"/>
  <c r="P379" i="4"/>
  <c r="Q379" i="4"/>
  <c r="R379" i="4"/>
  <c r="S379" i="4"/>
  <c r="P380" i="4"/>
  <c r="Q380" i="4"/>
  <c r="R380" i="4"/>
  <c r="S380" i="4"/>
  <c r="P382" i="4"/>
  <c r="Q382" i="4"/>
  <c r="R382" i="4"/>
  <c r="S382" i="4"/>
  <c r="P383" i="4"/>
  <c r="Q383" i="4"/>
  <c r="R383" i="4"/>
  <c r="S383" i="4"/>
  <c r="P384" i="4"/>
  <c r="Q384" i="4"/>
  <c r="R384" i="4"/>
  <c r="S384" i="4"/>
  <c r="P385" i="4"/>
  <c r="Q385" i="4"/>
  <c r="R385" i="4"/>
  <c r="S385" i="4"/>
  <c r="P386" i="4"/>
  <c r="Q386" i="4"/>
  <c r="R386" i="4"/>
  <c r="S386" i="4"/>
  <c r="P406" i="4"/>
  <c r="Q406" i="4"/>
  <c r="R406" i="4"/>
  <c r="S406" i="4"/>
  <c r="P407" i="4"/>
  <c r="Q407" i="4"/>
  <c r="R407" i="4"/>
  <c r="S407" i="4"/>
  <c r="P408" i="4"/>
  <c r="Q408" i="4"/>
  <c r="R408" i="4"/>
  <c r="S408" i="4"/>
  <c r="P409" i="4"/>
  <c r="Q409" i="4"/>
  <c r="R409" i="4"/>
  <c r="S409" i="4"/>
  <c r="P410" i="4"/>
  <c r="Q410" i="4"/>
  <c r="R410" i="4"/>
  <c r="S410" i="4"/>
  <c r="P411" i="4"/>
  <c r="Q411" i="4"/>
  <c r="R411" i="4"/>
  <c r="S411" i="4"/>
  <c r="P412" i="4"/>
  <c r="Q412" i="4"/>
  <c r="R412" i="4"/>
  <c r="S412" i="4"/>
  <c r="P413" i="4"/>
  <c r="Q413" i="4"/>
  <c r="R413" i="4"/>
  <c r="S413" i="4"/>
  <c r="P414" i="4"/>
  <c r="Q414" i="4"/>
  <c r="R414" i="4"/>
  <c r="S414" i="4"/>
  <c r="P415" i="4"/>
  <c r="Q415" i="4"/>
  <c r="R415" i="4"/>
  <c r="S415" i="4"/>
  <c r="P416" i="4"/>
  <c r="Q416" i="4"/>
  <c r="R416" i="4"/>
  <c r="S416" i="4"/>
  <c r="P417" i="4"/>
  <c r="Q417" i="4"/>
  <c r="R417" i="4"/>
  <c r="S417" i="4"/>
  <c r="P418" i="4"/>
  <c r="Q418" i="4"/>
  <c r="R418" i="4"/>
  <c r="S418" i="4"/>
  <c r="P419" i="4"/>
  <c r="Q419" i="4"/>
  <c r="R419" i="4"/>
  <c r="S419" i="4"/>
  <c r="P420" i="4"/>
  <c r="Q420" i="4"/>
  <c r="R420" i="4"/>
  <c r="S420" i="4"/>
  <c r="P421" i="4"/>
  <c r="Q421" i="4"/>
  <c r="R421" i="4"/>
  <c r="S421" i="4"/>
  <c r="P424" i="4"/>
  <c r="Q424" i="4"/>
  <c r="R424" i="4"/>
  <c r="S424" i="4"/>
  <c r="P426" i="4"/>
  <c r="Q426" i="4"/>
  <c r="R426" i="4"/>
  <c r="S426" i="4"/>
  <c r="P427" i="4"/>
  <c r="Q427" i="4"/>
  <c r="R427" i="4"/>
  <c r="S427" i="4"/>
  <c r="P428" i="4"/>
  <c r="Q428" i="4"/>
  <c r="R428" i="4"/>
  <c r="S428" i="4"/>
  <c r="P429" i="4"/>
  <c r="Q429" i="4"/>
  <c r="R429" i="4"/>
  <c r="S429" i="4"/>
  <c r="P452" i="4"/>
  <c r="Q452" i="4"/>
  <c r="R452" i="4"/>
  <c r="S452" i="4"/>
  <c r="P453" i="4"/>
  <c r="Q453" i="4"/>
  <c r="R453" i="4"/>
  <c r="S453" i="4"/>
  <c r="P454" i="4"/>
  <c r="Q454" i="4"/>
  <c r="R454" i="4"/>
  <c r="S454" i="4"/>
  <c r="P455" i="4"/>
  <c r="Q455" i="4"/>
  <c r="R455" i="4"/>
  <c r="S455" i="4"/>
  <c r="P456" i="4"/>
  <c r="Q456" i="4"/>
  <c r="R456" i="4"/>
  <c r="S456" i="4"/>
  <c r="P457" i="4"/>
  <c r="Q457" i="4"/>
  <c r="R457" i="4"/>
  <c r="S457" i="4"/>
  <c r="P458" i="4"/>
  <c r="Q458" i="4"/>
  <c r="R458" i="4"/>
  <c r="S458" i="4"/>
  <c r="P459" i="4"/>
  <c r="Q459" i="4"/>
  <c r="R459" i="4"/>
  <c r="S459" i="4"/>
  <c r="P460" i="4"/>
  <c r="Q460" i="4"/>
  <c r="R460" i="4"/>
  <c r="S460" i="4"/>
  <c r="P461" i="4"/>
  <c r="Q461" i="4"/>
  <c r="R461" i="4"/>
  <c r="S461" i="4"/>
  <c r="P462" i="4"/>
  <c r="Q462" i="4"/>
  <c r="R462" i="4"/>
  <c r="S462" i="4"/>
  <c r="P463" i="4"/>
  <c r="Q463" i="4"/>
  <c r="R463" i="4"/>
  <c r="S463" i="4"/>
  <c r="P464" i="4"/>
  <c r="Q464" i="4"/>
  <c r="R464" i="4"/>
  <c r="S464" i="4"/>
  <c r="P465" i="4"/>
  <c r="Q465" i="4"/>
  <c r="R465" i="4"/>
  <c r="S465" i="4"/>
  <c r="P466" i="4"/>
  <c r="Q466" i="4"/>
  <c r="R466" i="4"/>
  <c r="S466" i="4"/>
  <c r="P431" i="4"/>
  <c r="Q431" i="4"/>
  <c r="R431" i="4"/>
  <c r="S431" i="4"/>
  <c r="P433" i="4"/>
  <c r="Q433" i="4"/>
  <c r="R433" i="4"/>
  <c r="S433" i="4"/>
  <c r="P434" i="4"/>
  <c r="Q434" i="4"/>
  <c r="R434" i="4"/>
  <c r="S434" i="4"/>
  <c r="P435" i="4"/>
  <c r="Q435" i="4"/>
  <c r="R435" i="4"/>
  <c r="S435" i="4"/>
  <c r="P437" i="4"/>
  <c r="Q437" i="4"/>
  <c r="R437" i="4"/>
  <c r="S437" i="4"/>
  <c r="P438" i="4"/>
  <c r="Q438" i="4"/>
  <c r="R438" i="4"/>
  <c r="S438" i="4"/>
  <c r="P439" i="4"/>
  <c r="Q439" i="4"/>
  <c r="R439" i="4"/>
  <c r="S439" i="4"/>
  <c r="P440" i="4"/>
  <c r="Q440" i="4"/>
  <c r="R440" i="4"/>
  <c r="S440" i="4"/>
  <c r="P441" i="4"/>
  <c r="Q441" i="4"/>
  <c r="R441" i="4"/>
  <c r="S441" i="4"/>
  <c r="P442" i="4"/>
  <c r="Q442" i="4"/>
  <c r="R442" i="4"/>
  <c r="S442" i="4"/>
  <c r="P443" i="4"/>
  <c r="Q443" i="4"/>
  <c r="R443" i="4"/>
  <c r="S443" i="4"/>
  <c r="P469" i="4"/>
  <c r="Q469" i="4"/>
  <c r="R469" i="4"/>
  <c r="S469" i="4"/>
  <c r="P470" i="4"/>
  <c r="Q470" i="4"/>
  <c r="R470" i="4"/>
  <c r="S470" i="4"/>
  <c r="P471" i="4"/>
  <c r="Q471" i="4"/>
  <c r="R471" i="4"/>
  <c r="S471" i="4"/>
  <c r="P472" i="4"/>
  <c r="Q472" i="4"/>
  <c r="R472" i="4"/>
  <c r="S472" i="4"/>
  <c r="P473" i="4"/>
  <c r="Q473" i="4"/>
  <c r="R473" i="4"/>
  <c r="S473" i="4"/>
  <c r="P474" i="4"/>
  <c r="Q474" i="4"/>
  <c r="R474" i="4"/>
  <c r="S474" i="4"/>
  <c r="P475" i="4"/>
  <c r="Q475" i="4"/>
  <c r="R475" i="4"/>
  <c r="S475" i="4"/>
  <c r="P476" i="4"/>
  <c r="Q476" i="4"/>
  <c r="R476" i="4"/>
  <c r="S476" i="4"/>
  <c r="P477" i="4"/>
  <c r="Q477" i="4"/>
  <c r="R477" i="4"/>
  <c r="S477" i="4"/>
  <c r="P478" i="4"/>
  <c r="Q478" i="4"/>
  <c r="R478" i="4"/>
  <c r="S478" i="4"/>
  <c r="P479" i="4"/>
  <c r="Q479" i="4"/>
  <c r="R479" i="4"/>
  <c r="S479" i="4"/>
  <c r="P480" i="4"/>
  <c r="Q480" i="4"/>
  <c r="R480" i="4"/>
  <c r="S480" i="4"/>
  <c r="P481" i="4"/>
  <c r="Q481" i="4"/>
  <c r="R481" i="4"/>
  <c r="S481" i="4"/>
  <c r="P482" i="4"/>
  <c r="Q482" i="4"/>
  <c r="R482" i="4"/>
  <c r="S482" i="4"/>
  <c r="P483" i="4"/>
  <c r="Q483" i="4"/>
  <c r="R483" i="4"/>
  <c r="S483" i="4"/>
  <c r="P485" i="4"/>
  <c r="Q485" i="4"/>
  <c r="R485" i="4"/>
  <c r="S485" i="4"/>
  <c r="P486" i="4"/>
  <c r="Q486" i="4"/>
  <c r="R486" i="4"/>
  <c r="S486" i="4"/>
  <c r="P487" i="4"/>
  <c r="Q487" i="4"/>
  <c r="R487" i="4"/>
  <c r="S487" i="4"/>
  <c r="P488" i="4"/>
  <c r="Q488" i="4"/>
  <c r="R488" i="4"/>
  <c r="S488" i="4"/>
  <c r="P489" i="4"/>
  <c r="Q489" i="4"/>
  <c r="R489" i="4"/>
  <c r="S489" i="4"/>
  <c r="P490" i="4"/>
  <c r="Q490" i="4"/>
  <c r="R490" i="4"/>
  <c r="S490" i="4"/>
  <c r="P491" i="4"/>
  <c r="Q491" i="4"/>
  <c r="R491" i="4"/>
  <c r="S491" i="4"/>
  <c r="P492" i="4"/>
  <c r="Q492" i="4"/>
  <c r="R492" i="4"/>
  <c r="S492" i="4"/>
  <c r="P493" i="4"/>
  <c r="Q493" i="4"/>
  <c r="R493" i="4"/>
  <c r="S493" i="4"/>
  <c r="P494" i="4"/>
  <c r="Q494" i="4"/>
  <c r="R494" i="4"/>
  <c r="S494" i="4"/>
  <c r="P495" i="4"/>
  <c r="Q495" i="4"/>
  <c r="R495" i="4"/>
  <c r="S495" i="4"/>
  <c r="P496" i="4"/>
  <c r="Q496" i="4"/>
  <c r="R496" i="4"/>
  <c r="S496" i="4"/>
  <c r="P498" i="4"/>
  <c r="Q498" i="4"/>
  <c r="R498" i="4"/>
  <c r="S498" i="4"/>
  <c r="P499" i="4"/>
  <c r="Q499" i="4"/>
  <c r="R499" i="4"/>
  <c r="S499" i="4"/>
  <c r="P500" i="4"/>
  <c r="Q500" i="4"/>
  <c r="R500" i="4"/>
  <c r="S500" i="4"/>
  <c r="P501" i="4"/>
  <c r="Q501" i="4"/>
  <c r="R501" i="4"/>
  <c r="S501" i="4"/>
  <c r="P502" i="4"/>
  <c r="Q502" i="4"/>
  <c r="R502" i="4"/>
  <c r="S502" i="4"/>
  <c r="P503" i="4"/>
  <c r="Q503" i="4"/>
  <c r="R503" i="4"/>
  <c r="S503" i="4"/>
  <c r="P504" i="4"/>
  <c r="Q504" i="4"/>
  <c r="R504" i="4"/>
  <c r="S504" i="4"/>
  <c r="P505" i="4"/>
  <c r="Q505" i="4"/>
  <c r="R505" i="4"/>
  <c r="S505" i="4"/>
  <c r="P506" i="4"/>
  <c r="Q506" i="4"/>
  <c r="R506" i="4"/>
  <c r="S506" i="4"/>
  <c r="P507" i="4"/>
  <c r="Q507" i="4"/>
  <c r="R507" i="4"/>
  <c r="S507" i="4"/>
  <c r="P508" i="4"/>
  <c r="Q508" i="4"/>
  <c r="R508" i="4"/>
  <c r="S508" i="4"/>
  <c r="P509" i="4"/>
  <c r="Q509" i="4"/>
  <c r="R509" i="4"/>
  <c r="S509" i="4"/>
  <c r="P510" i="4"/>
  <c r="Q510" i="4"/>
  <c r="R510" i="4"/>
  <c r="S510" i="4"/>
  <c r="P511" i="4"/>
  <c r="Q511" i="4"/>
  <c r="R511" i="4"/>
  <c r="S511" i="4"/>
  <c r="P512" i="4"/>
  <c r="Q512" i="4"/>
  <c r="R512" i="4"/>
  <c r="S512" i="4"/>
  <c r="P513" i="4"/>
  <c r="Q513" i="4"/>
  <c r="R513" i="4"/>
  <c r="S513" i="4"/>
  <c r="P514" i="4"/>
  <c r="Q514" i="4"/>
  <c r="R514" i="4"/>
  <c r="S514" i="4"/>
  <c r="P515" i="4"/>
  <c r="Q515" i="4"/>
  <c r="R515" i="4"/>
  <c r="S515" i="4"/>
  <c r="P516" i="4"/>
  <c r="Q516" i="4"/>
  <c r="R516" i="4"/>
  <c r="S516" i="4"/>
  <c r="P517" i="4"/>
  <c r="Q517" i="4"/>
  <c r="R517" i="4"/>
  <c r="S517" i="4"/>
  <c r="P518" i="4"/>
  <c r="Q518" i="4"/>
  <c r="R518" i="4"/>
  <c r="S518" i="4"/>
  <c r="P519" i="4"/>
  <c r="Q519" i="4"/>
  <c r="R519" i="4"/>
  <c r="S519" i="4"/>
  <c r="P520" i="4"/>
  <c r="Q520" i="4"/>
  <c r="R520" i="4"/>
  <c r="S520" i="4"/>
  <c r="P521" i="4"/>
  <c r="Q521" i="4"/>
  <c r="R521" i="4"/>
  <c r="S521" i="4"/>
  <c r="P522" i="4"/>
  <c r="Q522" i="4"/>
  <c r="R522" i="4"/>
  <c r="S522" i="4"/>
  <c r="P523" i="4"/>
  <c r="Q523" i="4"/>
  <c r="R523" i="4"/>
  <c r="S523" i="4"/>
  <c r="P555" i="4"/>
  <c r="Q555" i="4"/>
  <c r="R555" i="4"/>
  <c r="S555" i="4"/>
  <c r="P556" i="4"/>
  <c r="Q556" i="4"/>
  <c r="R556" i="4"/>
  <c r="S556" i="4"/>
  <c r="P557" i="4"/>
  <c r="Q557" i="4"/>
  <c r="R557" i="4"/>
  <c r="S557" i="4"/>
  <c r="P558" i="4"/>
  <c r="Q558" i="4"/>
  <c r="R558" i="4"/>
  <c r="S558" i="4"/>
  <c r="P559" i="4"/>
  <c r="Q559" i="4"/>
  <c r="R559" i="4"/>
  <c r="S559" i="4"/>
  <c r="P560" i="4"/>
  <c r="Q560" i="4"/>
  <c r="R560" i="4"/>
  <c r="S560" i="4"/>
  <c r="P561" i="4"/>
  <c r="Q561" i="4"/>
  <c r="R561" i="4"/>
  <c r="S561" i="4"/>
  <c r="P562" i="4"/>
  <c r="Q562" i="4"/>
  <c r="R562" i="4"/>
  <c r="S562" i="4"/>
  <c r="P563" i="4"/>
  <c r="Q563" i="4"/>
  <c r="R563" i="4"/>
  <c r="S563" i="4"/>
  <c r="P564" i="4"/>
  <c r="Q564" i="4"/>
  <c r="R564" i="4"/>
  <c r="S564" i="4"/>
  <c r="P565" i="4"/>
  <c r="Q565" i="4"/>
  <c r="R565" i="4"/>
  <c r="S565" i="4"/>
  <c r="P566" i="4"/>
  <c r="Q566" i="4"/>
  <c r="R566" i="4"/>
  <c r="S566" i="4"/>
  <c r="P567" i="4"/>
  <c r="Q567" i="4"/>
  <c r="R567" i="4"/>
  <c r="S567" i="4"/>
  <c r="P568" i="4"/>
  <c r="Q568" i="4"/>
  <c r="R568" i="4"/>
  <c r="S568" i="4"/>
  <c r="P569" i="4"/>
  <c r="Q569" i="4"/>
  <c r="R569" i="4"/>
  <c r="S569" i="4"/>
  <c r="P570" i="4"/>
  <c r="Q570" i="4"/>
  <c r="R570" i="4"/>
  <c r="S570" i="4"/>
  <c r="P571" i="4"/>
  <c r="Q571" i="4"/>
  <c r="R571" i="4"/>
  <c r="S571" i="4"/>
  <c r="P572" i="4"/>
  <c r="Q572" i="4"/>
  <c r="R572" i="4"/>
  <c r="S572" i="4"/>
  <c r="P573" i="4"/>
  <c r="Q573" i="4"/>
  <c r="R573" i="4"/>
  <c r="S573" i="4"/>
  <c r="P574" i="4"/>
  <c r="Q574" i="4"/>
  <c r="R574" i="4"/>
  <c r="S574" i="4"/>
  <c r="P575" i="4"/>
  <c r="Q575" i="4"/>
  <c r="R575" i="4"/>
  <c r="S575" i="4"/>
  <c r="P576" i="4"/>
  <c r="Q576" i="4"/>
  <c r="R576" i="4"/>
  <c r="S576" i="4"/>
  <c r="P577" i="4"/>
  <c r="Q577" i="4"/>
  <c r="R577" i="4"/>
  <c r="S577" i="4"/>
  <c r="P578" i="4"/>
  <c r="Q578" i="4"/>
  <c r="R578" i="4"/>
  <c r="S578" i="4"/>
  <c r="P579" i="4"/>
  <c r="Q579" i="4"/>
  <c r="R579" i="4"/>
  <c r="S579" i="4"/>
  <c r="P580" i="4"/>
  <c r="Q580" i="4"/>
  <c r="R580" i="4"/>
  <c r="S580" i="4"/>
  <c r="P581" i="4"/>
  <c r="Q581" i="4"/>
  <c r="R581" i="4"/>
  <c r="S581" i="4"/>
  <c r="P582" i="4"/>
  <c r="Q582" i="4"/>
  <c r="R582" i="4"/>
  <c r="S582" i="4"/>
  <c r="P583" i="4"/>
  <c r="Q583" i="4"/>
  <c r="R583" i="4"/>
  <c r="S583" i="4"/>
  <c r="P617" i="4"/>
  <c r="Q617" i="4"/>
  <c r="R617" i="4"/>
  <c r="S617" i="4"/>
  <c r="P618" i="4"/>
  <c r="Q618" i="4"/>
  <c r="R618" i="4"/>
  <c r="S618" i="4"/>
  <c r="P619" i="4"/>
  <c r="Q619" i="4"/>
  <c r="R619" i="4"/>
  <c r="S619" i="4"/>
  <c r="P620" i="4"/>
  <c r="Q620" i="4"/>
  <c r="R620" i="4"/>
  <c r="S620" i="4"/>
  <c r="P621" i="4"/>
  <c r="Q621" i="4"/>
  <c r="R621" i="4"/>
  <c r="S621" i="4"/>
  <c r="P622" i="4"/>
  <c r="Q622" i="4"/>
  <c r="R622" i="4"/>
  <c r="S622" i="4"/>
  <c r="P623" i="4"/>
  <c r="Q623" i="4"/>
  <c r="R623" i="4"/>
  <c r="S623" i="4"/>
  <c r="P624" i="4"/>
  <c r="Q624" i="4"/>
  <c r="R624" i="4"/>
  <c r="S624" i="4"/>
  <c r="P625" i="4"/>
  <c r="Q625" i="4"/>
  <c r="R625" i="4"/>
  <c r="S625" i="4"/>
  <c r="P626" i="4"/>
  <c r="Q626" i="4"/>
  <c r="R626" i="4"/>
  <c r="S626" i="4"/>
  <c r="P627" i="4"/>
  <c r="Q627" i="4"/>
  <c r="R627" i="4"/>
  <c r="S627" i="4"/>
  <c r="P628" i="4"/>
  <c r="Q628" i="4"/>
  <c r="R628" i="4"/>
  <c r="S628" i="4"/>
  <c r="P629" i="4"/>
  <c r="Q629" i="4"/>
  <c r="R629" i="4"/>
  <c r="S629" i="4"/>
  <c r="P630" i="4"/>
  <c r="Q630" i="4"/>
  <c r="R630" i="4"/>
  <c r="S630" i="4"/>
  <c r="P631" i="4"/>
  <c r="Q631" i="4"/>
  <c r="R631" i="4"/>
  <c r="S631" i="4"/>
  <c r="P585" i="4"/>
  <c r="Q585" i="4"/>
  <c r="R585" i="4"/>
  <c r="S585" i="4"/>
  <c r="P586" i="4"/>
  <c r="Q586" i="4"/>
  <c r="R586" i="4"/>
  <c r="S586" i="4"/>
  <c r="P587" i="4"/>
  <c r="Q587" i="4"/>
  <c r="R587" i="4"/>
  <c r="S587" i="4"/>
  <c r="P588" i="4"/>
  <c r="Q588" i="4"/>
  <c r="R588" i="4"/>
  <c r="S588" i="4"/>
  <c r="P589" i="4"/>
  <c r="Q589" i="4"/>
  <c r="R589" i="4"/>
  <c r="S589" i="4"/>
  <c r="P590" i="4"/>
  <c r="Q590" i="4"/>
  <c r="R590" i="4"/>
  <c r="S590" i="4"/>
  <c r="P591" i="4"/>
  <c r="Q591" i="4"/>
  <c r="R591" i="4"/>
  <c r="S591" i="4"/>
  <c r="P592" i="4"/>
  <c r="Q592" i="4"/>
  <c r="R592" i="4"/>
  <c r="S592" i="4"/>
  <c r="P593" i="4"/>
  <c r="Q593" i="4"/>
  <c r="R593" i="4"/>
  <c r="S593" i="4"/>
  <c r="P594" i="4"/>
  <c r="Q594" i="4"/>
  <c r="R594" i="4"/>
  <c r="S594" i="4"/>
  <c r="P595" i="4"/>
  <c r="Q595" i="4"/>
  <c r="R595" i="4"/>
  <c r="S595" i="4"/>
  <c r="P596" i="4"/>
  <c r="Q596" i="4"/>
  <c r="R596" i="4"/>
  <c r="S596" i="4"/>
  <c r="P597" i="4"/>
  <c r="Q597" i="4"/>
  <c r="R597" i="4"/>
  <c r="S597" i="4"/>
  <c r="P598" i="4"/>
  <c r="Q598" i="4"/>
  <c r="R598" i="4"/>
  <c r="S598" i="4"/>
  <c r="P599" i="4"/>
  <c r="Q599" i="4"/>
  <c r="R599" i="4"/>
  <c r="S599" i="4"/>
  <c r="P600" i="4"/>
  <c r="Q600" i="4"/>
  <c r="R600" i="4"/>
  <c r="S600" i="4"/>
  <c r="P601" i="4"/>
  <c r="Q601" i="4"/>
  <c r="R601" i="4"/>
  <c r="S601" i="4"/>
  <c r="P602" i="4"/>
  <c r="Q602" i="4"/>
  <c r="R602" i="4"/>
  <c r="S602" i="4"/>
  <c r="P603" i="4"/>
  <c r="Q603" i="4"/>
  <c r="R603" i="4"/>
  <c r="S603" i="4"/>
  <c r="P604" i="4"/>
  <c r="Q604" i="4"/>
  <c r="R604" i="4"/>
  <c r="S604" i="4"/>
  <c r="P605" i="4"/>
  <c r="Q605" i="4"/>
  <c r="R605" i="4"/>
  <c r="S605" i="4"/>
  <c r="P606" i="4"/>
  <c r="Q606" i="4"/>
  <c r="R606" i="4"/>
  <c r="S606" i="4"/>
  <c r="P607" i="4"/>
  <c r="Q607" i="4"/>
  <c r="R607" i="4"/>
  <c r="S607" i="4"/>
  <c r="P608" i="4"/>
  <c r="Q608" i="4"/>
  <c r="R608" i="4"/>
  <c r="S608" i="4"/>
  <c r="P609" i="4"/>
  <c r="Q609" i="4"/>
  <c r="R609" i="4"/>
  <c r="S609" i="4"/>
  <c r="P610" i="4"/>
  <c r="Q610" i="4"/>
  <c r="R610" i="4"/>
  <c r="S610" i="4"/>
  <c r="P611" i="4"/>
  <c r="Q611" i="4"/>
  <c r="R611" i="4"/>
  <c r="S611" i="4"/>
  <c r="P612" i="4"/>
  <c r="Q612" i="4"/>
  <c r="R612" i="4"/>
  <c r="S612" i="4"/>
  <c r="P613" i="4"/>
  <c r="Q613" i="4"/>
  <c r="R613" i="4"/>
  <c r="S613" i="4"/>
  <c r="P614" i="4"/>
  <c r="Q614" i="4"/>
  <c r="R614" i="4"/>
  <c r="S614" i="4"/>
  <c r="P615" i="4"/>
  <c r="Q615" i="4"/>
  <c r="R615" i="4"/>
  <c r="S615" i="4"/>
  <c r="P616" i="4"/>
  <c r="Q616" i="4"/>
  <c r="R616" i="4"/>
  <c r="S616" i="4"/>
  <c r="P526" i="4"/>
  <c r="Q526" i="4"/>
  <c r="R526" i="4"/>
  <c r="S526" i="4"/>
  <c r="P527" i="4"/>
  <c r="Q527" i="4"/>
  <c r="R527" i="4"/>
  <c r="S527" i="4"/>
  <c r="P528" i="4"/>
  <c r="Q528" i="4"/>
  <c r="R528" i="4"/>
  <c r="S528" i="4"/>
  <c r="P529" i="4"/>
  <c r="Q529" i="4"/>
  <c r="R529" i="4"/>
  <c r="S529" i="4"/>
  <c r="P530" i="4"/>
  <c r="Q530" i="4"/>
  <c r="R530" i="4"/>
  <c r="S530" i="4"/>
  <c r="P531" i="4"/>
  <c r="Q531" i="4"/>
  <c r="R531" i="4"/>
  <c r="S531" i="4"/>
  <c r="P533" i="4"/>
  <c r="Q533" i="4"/>
  <c r="R533" i="4"/>
  <c r="S533" i="4"/>
  <c r="P534" i="4"/>
  <c r="Q534" i="4"/>
  <c r="R534" i="4"/>
  <c r="S534" i="4"/>
  <c r="P535" i="4"/>
  <c r="Q535" i="4"/>
  <c r="R535" i="4"/>
  <c r="S535" i="4"/>
  <c r="P536" i="4"/>
  <c r="Q536" i="4"/>
  <c r="R536" i="4"/>
  <c r="S536" i="4"/>
  <c r="P537" i="4"/>
  <c r="Q537" i="4"/>
  <c r="R537" i="4"/>
  <c r="S537" i="4"/>
  <c r="P538" i="4"/>
  <c r="Q538" i="4"/>
  <c r="R538" i="4"/>
  <c r="S538" i="4"/>
  <c r="P539" i="4"/>
  <c r="Q539" i="4"/>
  <c r="R539" i="4"/>
  <c r="S539" i="4"/>
  <c r="P540" i="4"/>
  <c r="Q540" i="4"/>
  <c r="R540" i="4"/>
  <c r="S540" i="4"/>
  <c r="P541" i="4"/>
  <c r="Q541" i="4"/>
  <c r="R541" i="4"/>
  <c r="S541" i="4"/>
  <c r="P542" i="4"/>
  <c r="Q542" i="4"/>
  <c r="R542" i="4"/>
  <c r="S542" i="4"/>
  <c r="P543" i="4"/>
  <c r="Q543" i="4"/>
  <c r="R543" i="4"/>
  <c r="S543" i="4"/>
  <c r="P544" i="4"/>
  <c r="Q544" i="4"/>
  <c r="R544" i="4"/>
  <c r="S544" i="4"/>
  <c r="P545" i="4"/>
  <c r="Q545" i="4"/>
  <c r="R545" i="4"/>
  <c r="S545" i="4"/>
  <c r="P546" i="4"/>
  <c r="Q546" i="4"/>
  <c r="R546" i="4"/>
  <c r="S546" i="4"/>
  <c r="P547" i="4"/>
  <c r="Q547" i="4"/>
  <c r="R547" i="4"/>
  <c r="S547" i="4"/>
  <c r="P548" i="4"/>
  <c r="Q548" i="4"/>
  <c r="R548" i="4"/>
  <c r="S548" i="4"/>
  <c r="P549" i="4"/>
  <c r="Q549" i="4"/>
  <c r="R549" i="4"/>
  <c r="S549" i="4"/>
  <c r="P550" i="4"/>
  <c r="Q550" i="4"/>
  <c r="R550" i="4"/>
  <c r="S550" i="4"/>
  <c r="P551" i="4"/>
  <c r="Q551" i="4"/>
  <c r="R551" i="4"/>
  <c r="S551" i="4"/>
  <c r="P552" i="4"/>
  <c r="Q552" i="4"/>
  <c r="R552" i="4"/>
  <c r="S552" i="4"/>
  <c r="P637" i="4"/>
  <c r="Q637" i="4"/>
  <c r="R637" i="4"/>
  <c r="S637" i="4"/>
  <c r="P638" i="4"/>
  <c r="Q638" i="4"/>
  <c r="R638" i="4"/>
  <c r="S638" i="4"/>
  <c r="P639" i="4"/>
  <c r="Q639" i="4"/>
  <c r="R639" i="4"/>
  <c r="S639" i="4"/>
  <c r="P640" i="4"/>
  <c r="Q640" i="4"/>
  <c r="R640" i="4"/>
  <c r="S640" i="4"/>
  <c r="P641" i="4"/>
  <c r="Q641" i="4"/>
  <c r="R641" i="4"/>
  <c r="S641" i="4"/>
  <c r="P647" i="4"/>
  <c r="Q647" i="4"/>
  <c r="R647" i="4"/>
  <c r="S647" i="4"/>
  <c r="P648" i="4"/>
  <c r="Q648" i="4"/>
  <c r="R648" i="4"/>
  <c r="S648" i="4"/>
  <c r="P649" i="4"/>
  <c r="Q649" i="4"/>
  <c r="R649" i="4"/>
  <c r="S649" i="4"/>
  <c r="P650" i="4"/>
  <c r="Q650" i="4"/>
  <c r="R650" i="4"/>
  <c r="S650" i="4"/>
  <c r="P651" i="4"/>
  <c r="Q651" i="4"/>
  <c r="R651" i="4"/>
  <c r="S651" i="4"/>
  <c r="P657" i="4"/>
  <c r="Q657" i="4"/>
  <c r="R657" i="4"/>
  <c r="S657" i="4"/>
  <c r="P658" i="4"/>
  <c r="Q658" i="4"/>
  <c r="R658" i="4"/>
  <c r="S658" i="4"/>
  <c r="P659" i="4"/>
  <c r="Q659" i="4"/>
  <c r="R659" i="4"/>
  <c r="S659" i="4"/>
  <c r="P660" i="4"/>
  <c r="Q660" i="4"/>
  <c r="R660" i="4"/>
  <c r="S660" i="4"/>
  <c r="P661" i="4"/>
  <c r="Q661" i="4"/>
  <c r="R661" i="4"/>
  <c r="S661" i="4"/>
  <c r="P667" i="4"/>
  <c r="Q667" i="4"/>
  <c r="R667" i="4"/>
  <c r="S667" i="4"/>
  <c r="P668" i="4"/>
  <c r="Q668" i="4"/>
  <c r="R668" i="4"/>
  <c r="S668" i="4"/>
  <c r="P669" i="4"/>
  <c r="Q669" i="4"/>
  <c r="R669" i="4"/>
  <c r="S669" i="4"/>
  <c r="P670" i="4"/>
  <c r="Q670" i="4"/>
  <c r="R670" i="4"/>
  <c r="S670" i="4"/>
  <c r="P671" i="4"/>
  <c r="Q671" i="4"/>
  <c r="R671" i="4"/>
  <c r="S671" i="4"/>
  <c r="P681" i="4"/>
  <c r="Q681" i="4"/>
  <c r="R681" i="4"/>
  <c r="S681" i="4"/>
  <c r="P682" i="4"/>
  <c r="Q682" i="4"/>
  <c r="R682" i="4"/>
  <c r="S682" i="4"/>
  <c r="P683" i="4"/>
  <c r="Q683" i="4"/>
  <c r="R683" i="4"/>
  <c r="S683" i="4"/>
  <c r="P684" i="4"/>
  <c r="Q684" i="4"/>
  <c r="R684" i="4"/>
  <c r="S684" i="4"/>
  <c r="P685" i="4"/>
  <c r="Q685" i="4"/>
  <c r="R685" i="4"/>
  <c r="S685" i="4"/>
  <c r="D60" i="14"/>
  <c r="E60" i="14"/>
  <c r="F60" i="14"/>
  <c r="G60" i="14"/>
  <c r="H60" i="14"/>
  <c r="I60" i="14"/>
  <c r="J60" i="14"/>
  <c r="K60" i="14"/>
  <c r="D55" i="14"/>
  <c r="E55" i="14"/>
  <c r="F55" i="14"/>
  <c r="G55" i="14"/>
  <c r="H55" i="14"/>
  <c r="I55" i="14"/>
  <c r="J55" i="14"/>
  <c r="K55" i="14"/>
  <c r="D50" i="14"/>
  <c r="E50" i="14"/>
  <c r="F50" i="14"/>
  <c r="G50" i="14"/>
  <c r="H50" i="14"/>
  <c r="I50" i="14"/>
  <c r="J50" i="14"/>
  <c r="K50" i="14"/>
  <c r="D45" i="14"/>
  <c r="E45" i="14"/>
  <c r="F45" i="14"/>
  <c r="G45" i="14"/>
  <c r="H45" i="14"/>
  <c r="I45" i="14"/>
  <c r="J45" i="14"/>
  <c r="K45" i="14"/>
  <c r="D40" i="14"/>
  <c r="E40" i="14"/>
  <c r="F40" i="14"/>
  <c r="G40" i="14"/>
  <c r="H40" i="14"/>
  <c r="I40" i="14"/>
  <c r="J40" i="14"/>
  <c r="K40" i="14"/>
  <c r="D35" i="14"/>
  <c r="E35" i="14"/>
  <c r="F35" i="14"/>
  <c r="G35" i="14"/>
  <c r="H35" i="14"/>
  <c r="I35" i="14"/>
  <c r="J35" i="14"/>
  <c r="K35" i="14"/>
  <c r="D30" i="14"/>
  <c r="E30" i="14"/>
  <c r="F30" i="14"/>
  <c r="G30" i="14"/>
  <c r="H30" i="14"/>
  <c r="I30" i="14"/>
  <c r="J30" i="14"/>
  <c r="K30" i="14"/>
  <c r="D25" i="14"/>
  <c r="E25" i="14"/>
  <c r="F25" i="14"/>
  <c r="G25" i="14"/>
  <c r="H25" i="14"/>
  <c r="I25" i="14"/>
  <c r="J25" i="14"/>
  <c r="K25" i="14"/>
  <c r="D20" i="14"/>
  <c r="E20" i="14"/>
  <c r="F20" i="14"/>
  <c r="G20" i="14"/>
  <c r="H20" i="14"/>
  <c r="I20" i="14"/>
  <c r="J20" i="14"/>
  <c r="K20" i="14"/>
  <c r="D15" i="14"/>
  <c r="E15" i="14"/>
  <c r="F15" i="14"/>
  <c r="G15" i="14"/>
  <c r="H15" i="14"/>
  <c r="I15" i="14"/>
  <c r="J15" i="14"/>
  <c r="K15" i="14"/>
  <c r="D10" i="14"/>
  <c r="E10" i="14"/>
  <c r="F10" i="14"/>
  <c r="G10" i="14"/>
  <c r="H10" i="14"/>
  <c r="I10" i="14"/>
  <c r="J10" i="14"/>
  <c r="K10" i="14"/>
  <c r="G226" i="9" l="1"/>
  <c r="F227" i="9"/>
  <c r="G227" i="9" s="1"/>
  <c r="F120" i="9"/>
  <c r="G120" i="9" s="1"/>
  <c r="F119" i="9"/>
  <c r="G119" i="9" s="1"/>
  <c r="F451" i="9" l="1"/>
  <c r="G451" i="9" s="1"/>
  <c r="F427" i="9"/>
  <c r="F426" i="9"/>
  <c r="F449" i="9"/>
  <c r="G449" i="9" s="1"/>
  <c r="F450" i="9"/>
  <c r="G450" i="9" s="1"/>
  <c r="F448" i="9"/>
  <c r="G448" i="9" s="1"/>
  <c r="F447" i="9"/>
  <c r="G447" i="9" s="1"/>
  <c r="F430" i="9"/>
  <c r="G430" i="9" s="1"/>
  <c r="F470" i="9"/>
  <c r="F337" i="9"/>
  <c r="F340" i="9"/>
  <c r="F341" i="9"/>
  <c r="F342" i="9"/>
  <c r="F358" i="9"/>
  <c r="F267" i="9"/>
  <c r="G267" i="9" s="1"/>
  <c r="F269" i="9"/>
  <c r="G269" i="9" s="1"/>
  <c r="F268" i="9"/>
  <c r="G268" i="9" s="1"/>
  <c r="F270" i="9"/>
  <c r="F266" i="9"/>
  <c r="F265" i="9"/>
  <c r="F262" i="9"/>
  <c r="G64" i="9" l="1"/>
  <c r="F6" i="9" l="1"/>
  <c r="G6" i="9" s="1"/>
  <c r="F7" i="9"/>
  <c r="G7" i="9" s="1"/>
  <c r="F8" i="9"/>
  <c r="G8" i="9" s="1"/>
  <c r="F9" i="9"/>
  <c r="G9" i="9" s="1"/>
  <c r="F10" i="9"/>
  <c r="G10" i="9" s="1"/>
  <c r="F12" i="9"/>
  <c r="G12" i="9" s="1"/>
  <c r="F13" i="9"/>
  <c r="G13" i="9" s="1"/>
  <c r="F14" i="9"/>
  <c r="G14" i="9" s="1"/>
  <c r="F15" i="9"/>
  <c r="G15" i="9" s="1"/>
  <c r="F16" i="9"/>
  <c r="G16" i="9" s="1"/>
  <c r="F17" i="9"/>
  <c r="G17" i="9" s="1"/>
  <c r="F18" i="9"/>
  <c r="G18" i="9" s="1"/>
  <c r="F19" i="9"/>
  <c r="G19" i="9" s="1"/>
  <c r="F20" i="9"/>
  <c r="G20" i="9" s="1"/>
  <c r="F21" i="9"/>
  <c r="G21" i="9" s="1"/>
  <c r="F22" i="9"/>
  <c r="G22" i="9" s="1"/>
  <c r="F23" i="9"/>
  <c r="G23" i="9" s="1"/>
  <c r="F24" i="9"/>
  <c r="G24" i="9" s="1"/>
  <c r="F25" i="9"/>
  <c r="G25" i="9" s="1"/>
  <c r="F26" i="9"/>
  <c r="G26" i="9" s="1"/>
  <c r="F29" i="9"/>
  <c r="G29" i="9" s="1"/>
  <c r="F30" i="9"/>
  <c r="G30" i="9" s="1"/>
  <c r="F31" i="9"/>
  <c r="G31" i="9" s="1"/>
  <c r="F32" i="9"/>
  <c r="G32" i="9" s="1"/>
  <c r="F33" i="9"/>
  <c r="G33" i="9" s="1"/>
  <c r="F34" i="9"/>
  <c r="G34" i="9" s="1"/>
  <c r="F35" i="9"/>
  <c r="G35" i="9" s="1"/>
  <c r="F36" i="9"/>
  <c r="G36" i="9" s="1"/>
  <c r="F37" i="9"/>
  <c r="G37" i="9" s="1"/>
  <c r="F38" i="9"/>
  <c r="G38" i="9" s="1"/>
  <c r="F39" i="9"/>
  <c r="G39" i="9" s="1"/>
  <c r="F40" i="9"/>
  <c r="G40" i="9" s="1"/>
  <c r="F41" i="9"/>
  <c r="G41" i="9" s="1"/>
  <c r="F42" i="9"/>
  <c r="G42" i="9" s="1"/>
  <c r="F43" i="9"/>
  <c r="G43" i="9" s="1"/>
  <c r="F44" i="9"/>
  <c r="G44" i="9" s="1"/>
  <c r="F45" i="9"/>
  <c r="G45" i="9" s="1"/>
  <c r="F46" i="9"/>
  <c r="G46" i="9" s="1"/>
  <c r="F47" i="9"/>
  <c r="G47" i="9" s="1"/>
  <c r="F48" i="9"/>
  <c r="G48" i="9" s="1"/>
  <c r="F49" i="9"/>
  <c r="G49" i="9" s="1"/>
  <c r="F50" i="9"/>
  <c r="G50" i="9" s="1"/>
  <c r="F51" i="9"/>
  <c r="G51" i="9" s="1"/>
  <c r="F52" i="9"/>
  <c r="G52" i="9" s="1"/>
  <c r="F53" i="9"/>
  <c r="G53" i="9" s="1"/>
  <c r="F54" i="9"/>
  <c r="G54" i="9" s="1"/>
  <c r="F55" i="9"/>
  <c r="G55" i="9" s="1"/>
  <c r="F56" i="9"/>
  <c r="G56" i="9" s="1"/>
  <c r="F57" i="9"/>
  <c r="G57" i="9" s="1"/>
  <c r="F58" i="9"/>
  <c r="G58" i="9" s="1"/>
  <c r="F59" i="9"/>
  <c r="G59" i="9" s="1"/>
  <c r="F60" i="9"/>
  <c r="G60" i="9" s="1"/>
  <c r="F61" i="9"/>
  <c r="G61" i="9" s="1"/>
  <c r="F62" i="9"/>
  <c r="G62" i="9" s="1"/>
  <c r="F63" i="9"/>
  <c r="G63" i="9" s="1"/>
  <c r="F66" i="9"/>
  <c r="G66" i="9" s="1"/>
  <c r="F67" i="9"/>
  <c r="G67" i="9" s="1"/>
  <c r="F68" i="9"/>
  <c r="G68" i="9" s="1"/>
  <c r="F69" i="9"/>
  <c r="G69" i="9" s="1"/>
  <c r="F70" i="9"/>
  <c r="G70" i="9" s="1"/>
  <c r="F71" i="9"/>
  <c r="G71" i="9" s="1"/>
  <c r="F72" i="9"/>
  <c r="G72" i="9" s="1"/>
  <c r="F73" i="9"/>
  <c r="G73" i="9" s="1"/>
  <c r="F74" i="9"/>
  <c r="G74" i="9" s="1"/>
  <c r="F75" i="9"/>
  <c r="G75" i="9" s="1"/>
  <c r="F76" i="9"/>
  <c r="G76" i="9" s="1"/>
  <c r="F77" i="9"/>
  <c r="G77" i="9" s="1"/>
  <c r="F78" i="9"/>
  <c r="G78" i="9" s="1"/>
  <c r="F79" i="9"/>
  <c r="G79" i="9" s="1"/>
  <c r="F80" i="9"/>
  <c r="G80" i="9" s="1"/>
  <c r="F81" i="9"/>
  <c r="G81" i="9" s="1"/>
  <c r="F82" i="9"/>
  <c r="G82" i="9" s="1"/>
  <c r="F83" i="9"/>
  <c r="G83" i="9" s="1"/>
  <c r="F84" i="9"/>
  <c r="G84" i="9" s="1"/>
  <c r="F85" i="9"/>
  <c r="G85" i="9" s="1"/>
  <c r="F86" i="9"/>
  <c r="G86" i="9" s="1"/>
  <c r="F87" i="9"/>
  <c r="G87" i="9" s="1"/>
  <c r="F89" i="9"/>
  <c r="G89" i="9" s="1"/>
  <c r="F90" i="9"/>
  <c r="G90" i="9" s="1"/>
  <c r="F91" i="9"/>
  <c r="G91" i="9" s="1"/>
  <c r="F92" i="9"/>
  <c r="G92" i="9" s="1"/>
  <c r="F93" i="9"/>
  <c r="G93" i="9" s="1"/>
  <c r="F94" i="9"/>
  <c r="G94" i="9" s="1"/>
  <c r="F95" i="9"/>
  <c r="G95" i="9" s="1"/>
  <c r="F96" i="9"/>
  <c r="G96" i="9" s="1"/>
  <c r="F211" i="9"/>
  <c r="G211" i="9" s="1"/>
  <c r="F113" i="9"/>
  <c r="G113" i="9" s="1"/>
  <c r="F228" i="9"/>
  <c r="G228" i="9" s="1"/>
  <c r="F229" i="9"/>
  <c r="G229" i="9" s="1"/>
  <c r="G232" i="9"/>
  <c r="G233" i="9"/>
  <c r="F122" i="9"/>
  <c r="G122" i="9" s="1"/>
  <c r="F123" i="9"/>
  <c r="G123" i="9" s="1"/>
  <c r="F124" i="9"/>
  <c r="G124" i="9" s="1"/>
  <c r="F125" i="9"/>
  <c r="G125" i="9" s="1"/>
  <c r="F126" i="9"/>
  <c r="G126" i="9" s="1"/>
  <c r="F127" i="9"/>
  <c r="G127" i="9" s="1"/>
  <c r="F128" i="9"/>
  <c r="G128" i="9" s="1"/>
  <c r="F129" i="9"/>
  <c r="G129" i="9" s="1"/>
  <c r="F130" i="9"/>
  <c r="G130" i="9" s="1"/>
  <c r="F131" i="9"/>
  <c r="G131" i="9" s="1"/>
  <c r="F132" i="9"/>
  <c r="G132" i="9" s="1"/>
  <c r="F133" i="9"/>
  <c r="G133" i="9" s="1"/>
  <c r="F134" i="9"/>
  <c r="G134" i="9" s="1"/>
  <c r="F135" i="9"/>
  <c r="G135" i="9" s="1"/>
  <c r="F136" i="9"/>
  <c r="G136" i="9" s="1"/>
  <c r="F137" i="9"/>
  <c r="G137" i="9" s="1"/>
  <c r="F138" i="9"/>
  <c r="G138" i="9" s="1"/>
  <c r="F139" i="9"/>
  <c r="G139" i="9" s="1"/>
  <c r="F140" i="9"/>
  <c r="G140" i="9" s="1"/>
  <c r="F141" i="9"/>
  <c r="G141" i="9" s="1"/>
  <c r="F142" i="9"/>
  <c r="G142" i="9" s="1"/>
  <c r="F144" i="9"/>
  <c r="G144" i="9" s="1"/>
  <c r="F145" i="9"/>
  <c r="G145" i="9" s="1"/>
  <c r="F146" i="9"/>
  <c r="G146" i="9" s="1"/>
  <c r="F147" i="9"/>
  <c r="G147" i="9" s="1"/>
  <c r="F148" i="9"/>
  <c r="G148" i="9" s="1"/>
  <c r="F149" i="9"/>
  <c r="G149" i="9" s="1"/>
  <c r="F151" i="9"/>
  <c r="G151" i="9" s="1"/>
  <c r="F152" i="9"/>
  <c r="G152" i="9" s="1"/>
  <c r="F153" i="9"/>
  <c r="G153" i="9" s="1"/>
  <c r="G155" i="9"/>
  <c r="G156" i="9"/>
  <c r="G157" i="9"/>
  <c r="G158" i="9"/>
  <c r="G159" i="9"/>
  <c r="G160" i="9"/>
  <c r="F162" i="9"/>
  <c r="G162" i="9" s="1"/>
  <c r="F163" i="9"/>
  <c r="G163" i="9" s="1"/>
  <c r="F164" i="9"/>
  <c r="G164" i="9" s="1"/>
  <c r="F101" i="9"/>
  <c r="G101" i="9" s="1"/>
  <c r="F102" i="9"/>
  <c r="G102" i="9" s="1"/>
  <c r="F103" i="9"/>
  <c r="G103" i="9" s="1"/>
  <c r="F104" i="9"/>
  <c r="G104" i="9" s="1"/>
  <c r="F105" i="9"/>
  <c r="G105" i="9" s="1"/>
  <c r="F106" i="9"/>
  <c r="G106" i="9" s="1"/>
  <c r="F109" i="9"/>
  <c r="G109" i="9" s="1"/>
  <c r="F110" i="9"/>
  <c r="G110" i="9" s="1"/>
  <c r="F111" i="9"/>
  <c r="G111" i="9" s="1"/>
  <c r="F171" i="9"/>
  <c r="G171" i="9" s="1"/>
  <c r="F172" i="9"/>
  <c r="G172" i="9" s="1"/>
  <c r="F107" i="9"/>
  <c r="G107" i="9" s="1"/>
  <c r="F108" i="9"/>
  <c r="G108" i="9" s="1"/>
  <c r="F173" i="9"/>
  <c r="G173" i="9" s="1"/>
  <c r="F174" i="9"/>
  <c r="G174" i="9" s="1"/>
  <c r="F175" i="9"/>
  <c r="G175" i="9" s="1"/>
  <c r="F176" i="9"/>
  <c r="G176" i="9" s="1"/>
  <c r="F177" i="9"/>
  <c r="G177" i="9" s="1"/>
  <c r="F178" i="9"/>
  <c r="G178" i="9" s="1"/>
  <c r="F179" i="9"/>
  <c r="G179" i="9" s="1"/>
  <c r="F180" i="9"/>
  <c r="G180" i="9" s="1"/>
  <c r="F183" i="9"/>
  <c r="G183" i="9" s="1"/>
  <c r="F184" i="9"/>
  <c r="G184" i="9" s="1"/>
  <c r="F185" i="9"/>
  <c r="G185" i="9" s="1"/>
  <c r="F187" i="9"/>
  <c r="G187" i="9" s="1"/>
  <c r="F188" i="9"/>
  <c r="G188" i="9" s="1"/>
  <c r="F189" i="9"/>
  <c r="G189" i="9" s="1"/>
  <c r="F191" i="9"/>
  <c r="G191" i="9" s="1"/>
  <c r="F192" i="9"/>
  <c r="G192" i="9" s="1"/>
  <c r="F193" i="9"/>
  <c r="G193" i="9" s="1"/>
  <c r="F195" i="9"/>
  <c r="G195" i="9" s="1"/>
  <c r="F196" i="9"/>
  <c r="G196" i="9" s="1"/>
  <c r="F197" i="9"/>
  <c r="G197" i="9" s="1"/>
  <c r="F198" i="9"/>
  <c r="G198" i="9" s="1"/>
  <c r="F199" i="9"/>
  <c r="G199" i="9" s="1"/>
  <c r="F200" i="9"/>
  <c r="G200" i="9" s="1"/>
  <c r="G207" i="9"/>
  <c r="G208" i="9"/>
  <c r="G209" i="9"/>
  <c r="F210" i="9"/>
  <c r="G210" i="9" s="1"/>
  <c r="G215" i="9"/>
  <c r="G216" i="9"/>
  <c r="F223" i="9"/>
  <c r="G223" i="9" s="1"/>
  <c r="F224" i="9"/>
  <c r="G224" i="9" s="1"/>
  <c r="G225" i="9"/>
  <c r="F320" i="9"/>
  <c r="G320" i="9" s="1"/>
  <c r="F321" i="9"/>
  <c r="G321" i="9" s="1"/>
  <c r="F322" i="9"/>
  <c r="G322" i="9" s="1"/>
  <c r="F323" i="9"/>
  <c r="G323" i="9" s="1"/>
  <c r="F327" i="9"/>
  <c r="G327" i="9" s="1"/>
  <c r="F328" i="9"/>
  <c r="G328" i="9" s="1"/>
  <c r="F329" i="9"/>
  <c r="G329" i="9" s="1"/>
  <c r="F324" i="9"/>
  <c r="G324" i="9" s="1"/>
  <c r="F325" i="9"/>
  <c r="G325" i="9" s="1"/>
  <c r="F234" i="9"/>
  <c r="G234" i="9" s="1"/>
  <c r="F235" i="9"/>
  <c r="G235" i="9" s="1"/>
  <c r="F236" i="9"/>
  <c r="G236" i="9" s="1"/>
  <c r="F237" i="9"/>
  <c r="G237" i="9" s="1"/>
  <c r="F238" i="9"/>
  <c r="G238" i="9" s="1"/>
  <c r="F239" i="9"/>
  <c r="G239" i="9" s="1"/>
  <c r="F240" i="9"/>
  <c r="G240" i="9" s="1"/>
  <c r="F241" i="9"/>
  <c r="G241" i="9" s="1"/>
  <c r="F242" i="9"/>
  <c r="G242" i="9" s="1"/>
  <c r="F244" i="9"/>
  <c r="G244" i="9" s="1"/>
  <c r="F245" i="9"/>
  <c r="G245" i="9" s="1"/>
  <c r="F246" i="9"/>
  <c r="G246" i="9" s="1"/>
  <c r="F247" i="9"/>
  <c r="G247" i="9" s="1"/>
  <c r="F248" i="9"/>
  <c r="G248" i="9" s="1"/>
  <c r="F249" i="9"/>
  <c r="G249" i="9" s="1"/>
  <c r="F255" i="9"/>
  <c r="G255" i="9" s="1"/>
  <c r="F256" i="9"/>
  <c r="G256" i="9" s="1"/>
  <c r="F257" i="9"/>
  <c r="G257" i="9" s="1"/>
  <c r="F258" i="9"/>
  <c r="G258" i="9" s="1"/>
  <c r="F259" i="9"/>
  <c r="G259" i="9" s="1"/>
  <c r="F260" i="9"/>
  <c r="G260" i="9" s="1"/>
  <c r="F261" i="9"/>
  <c r="G261" i="9" s="1"/>
  <c r="G262" i="9"/>
  <c r="G265" i="9"/>
  <c r="G266" i="9"/>
  <c r="G270" i="9"/>
  <c r="F271" i="9"/>
  <c r="G271" i="9" s="1"/>
  <c r="F272" i="9"/>
  <c r="G272" i="9" s="1"/>
  <c r="F273" i="9"/>
  <c r="G273" i="9" s="1"/>
  <c r="F274" i="9"/>
  <c r="G274" i="9" s="1"/>
  <c r="F275" i="9"/>
  <c r="G275" i="9" s="1"/>
  <c r="F276" i="9"/>
  <c r="G276" i="9" s="1"/>
  <c r="F277" i="9"/>
  <c r="G277" i="9" s="1"/>
  <c r="F278" i="9"/>
  <c r="G278" i="9" s="1"/>
  <c r="F279" i="9"/>
  <c r="G279" i="9" s="1"/>
  <c r="F280" i="9"/>
  <c r="G280" i="9" s="1"/>
  <c r="F281" i="9"/>
  <c r="G281" i="9" s="1"/>
  <c r="F283" i="9"/>
  <c r="G283" i="9" s="1"/>
  <c r="F284" i="9"/>
  <c r="G284" i="9" s="1"/>
  <c r="F285" i="9"/>
  <c r="G285" i="9" s="1"/>
  <c r="F286" i="9"/>
  <c r="G286" i="9" s="1"/>
  <c r="F287" i="9"/>
  <c r="G287" i="9" s="1"/>
  <c r="F289" i="9"/>
  <c r="G289" i="9" s="1"/>
  <c r="F296" i="9"/>
  <c r="G296" i="9" s="1"/>
  <c r="F297" i="9"/>
  <c r="G297" i="9" s="1"/>
  <c r="F298" i="9"/>
  <c r="G298" i="9" s="1"/>
  <c r="F299" i="9"/>
  <c r="G299" i="9" s="1"/>
  <c r="F300" i="9"/>
  <c r="G300" i="9" s="1"/>
  <c r="F301" i="9"/>
  <c r="G301" i="9" s="1"/>
  <c r="F302" i="9"/>
  <c r="G302" i="9" s="1"/>
  <c r="F303" i="9"/>
  <c r="G303" i="9" s="1"/>
  <c r="F304" i="9"/>
  <c r="G304" i="9" s="1"/>
  <c r="F294" i="9"/>
  <c r="G294" i="9" s="1"/>
  <c r="F295" i="9"/>
  <c r="G295" i="9" s="1"/>
  <c r="F306" i="9"/>
  <c r="G306" i="9" s="1"/>
  <c r="F307" i="9"/>
  <c r="G307" i="9" s="1"/>
  <c r="F308" i="9"/>
  <c r="G308" i="9" s="1"/>
  <c r="F309" i="9"/>
  <c r="G309" i="9" s="1"/>
  <c r="F310" i="9"/>
  <c r="G310" i="9" s="1"/>
  <c r="F290" i="9"/>
  <c r="G290" i="9" s="1"/>
  <c r="F291" i="9"/>
  <c r="G291" i="9" s="1"/>
  <c r="F292" i="9"/>
  <c r="G292" i="9" s="1"/>
  <c r="F293" i="9"/>
  <c r="G293" i="9" s="1"/>
  <c r="F311" i="9"/>
  <c r="G311" i="9" s="1"/>
  <c r="F312" i="9"/>
  <c r="G312" i="9" s="1"/>
  <c r="F313" i="9"/>
  <c r="G313" i="9" s="1"/>
  <c r="F314" i="9"/>
  <c r="G314" i="9" s="1"/>
  <c r="F315" i="9"/>
  <c r="G315" i="9" s="1"/>
  <c r="F316" i="9"/>
  <c r="G316" i="9" s="1"/>
  <c r="F317" i="9"/>
  <c r="G317" i="9" s="1"/>
  <c r="F319" i="9"/>
  <c r="G319" i="9" s="1"/>
  <c r="F351" i="9"/>
  <c r="G351" i="9" s="1"/>
  <c r="F352" i="9"/>
  <c r="G352" i="9" s="1"/>
  <c r="F353" i="9"/>
  <c r="G353" i="9" s="1"/>
  <c r="F354" i="9"/>
  <c r="G354" i="9" s="1"/>
  <c r="F355" i="9"/>
  <c r="G355" i="9" s="1"/>
  <c r="F356" i="9"/>
  <c r="G356" i="9" s="1"/>
  <c r="F357" i="9"/>
  <c r="G357" i="9" s="1"/>
  <c r="G358" i="9"/>
  <c r="F359" i="9"/>
  <c r="G359" i="9" s="1"/>
  <c r="F360" i="9"/>
  <c r="G360" i="9" s="1"/>
  <c r="F365" i="9"/>
  <c r="G365" i="9" s="1"/>
  <c r="F366" i="9"/>
  <c r="G366" i="9" s="1"/>
  <c r="F367" i="9"/>
  <c r="G367" i="9" s="1"/>
  <c r="G368" i="9"/>
  <c r="G369" i="9"/>
  <c r="F391" i="9"/>
  <c r="G391" i="9" s="1"/>
  <c r="F371" i="9"/>
  <c r="G371" i="9" s="1"/>
  <c r="F372" i="9"/>
  <c r="G372" i="9" s="1"/>
  <c r="F373" i="9"/>
  <c r="G373" i="9" s="1"/>
  <c r="F374" i="9"/>
  <c r="G374" i="9" s="1"/>
  <c r="G375" i="9"/>
  <c r="F376" i="9"/>
  <c r="G376" i="9" s="1"/>
  <c r="F377" i="9"/>
  <c r="G377" i="9" s="1"/>
  <c r="F378" i="9"/>
  <c r="G378" i="9" s="1"/>
  <c r="F379" i="9"/>
  <c r="G379" i="9" s="1"/>
  <c r="F380" i="9"/>
  <c r="G380" i="9" s="1"/>
  <c r="F381" i="9"/>
  <c r="G381" i="9" s="1"/>
  <c r="F395" i="9"/>
  <c r="G395" i="9" s="1"/>
  <c r="F396" i="9"/>
  <c r="G396" i="9" s="1"/>
  <c r="F397" i="9"/>
  <c r="G397" i="9" s="1"/>
  <c r="F398" i="9"/>
  <c r="G398" i="9" s="1"/>
  <c r="F399" i="9"/>
  <c r="G399" i="9" s="1"/>
  <c r="F400" i="9"/>
  <c r="G400" i="9" s="1"/>
  <c r="F401" i="9"/>
  <c r="G401" i="9" s="1"/>
  <c r="F402" i="9"/>
  <c r="G402" i="9" s="1"/>
  <c r="F404" i="9"/>
  <c r="G404" i="9" s="1"/>
  <c r="F405" i="9"/>
  <c r="G405" i="9" s="1"/>
  <c r="F407" i="9"/>
  <c r="G407" i="9" s="1"/>
  <c r="F408" i="9"/>
  <c r="G408" i="9" s="1"/>
  <c r="G337" i="9"/>
  <c r="G340" i="9"/>
  <c r="G341" i="9"/>
  <c r="G342" i="9"/>
  <c r="F409" i="9"/>
  <c r="G409" i="9" s="1"/>
  <c r="F410" i="9"/>
  <c r="G410" i="9" s="1"/>
  <c r="F411" i="9"/>
  <c r="G411" i="9" s="1"/>
  <c r="F412" i="9"/>
  <c r="G412" i="9" s="1"/>
  <c r="F413" i="9"/>
  <c r="G413" i="9" s="1"/>
  <c r="F414" i="9"/>
  <c r="G414" i="9" s="1"/>
  <c r="F415" i="9"/>
  <c r="G415" i="9" s="1"/>
  <c r="F416" i="9"/>
  <c r="G416" i="9" s="1"/>
  <c r="F417" i="9"/>
  <c r="G417" i="9" s="1"/>
  <c r="F418" i="9"/>
  <c r="G418" i="9" s="1"/>
  <c r="F419" i="9"/>
  <c r="G419" i="9" s="1"/>
  <c r="F420" i="9"/>
  <c r="G420" i="9" s="1"/>
  <c r="F421" i="9"/>
  <c r="G421" i="9" s="1"/>
  <c r="F422" i="9"/>
  <c r="G422" i="9" s="1"/>
  <c r="F423" i="9"/>
  <c r="G423" i="9" s="1"/>
  <c r="F424" i="9"/>
  <c r="G424" i="9" s="1"/>
  <c r="F425" i="9"/>
  <c r="G425" i="9" s="1"/>
  <c r="G426" i="9"/>
  <c r="G427" i="9"/>
  <c r="F428" i="9"/>
  <c r="G428" i="9" s="1"/>
  <c r="F429" i="9"/>
  <c r="G429" i="9" s="1"/>
  <c r="F431" i="9"/>
  <c r="G431" i="9" s="1"/>
  <c r="F432" i="9"/>
  <c r="G432" i="9" s="1"/>
  <c r="F433" i="9"/>
  <c r="G433" i="9" s="1"/>
  <c r="F434" i="9"/>
  <c r="G434" i="9" s="1"/>
  <c r="F435" i="9"/>
  <c r="G435" i="9" s="1"/>
  <c r="F436" i="9"/>
  <c r="G436" i="9" s="1"/>
  <c r="F438" i="9"/>
  <c r="G438" i="9" s="1"/>
  <c r="F439" i="9"/>
  <c r="G439" i="9" s="1"/>
  <c r="F440" i="9"/>
  <c r="G440" i="9" s="1"/>
  <c r="G441" i="9"/>
  <c r="F442" i="9"/>
  <c r="G442" i="9" s="1"/>
  <c r="F443" i="9"/>
  <c r="G443" i="9" s="1"/>
  <c r="F444" i="9"/>
  <c r="G444" i="9" s="1"/>
  <c r="F445" i="9"/>
  <c r="G445" i="9" s="1"/>
  <c r="F452" i="9"/>
  <c r="G452" i="9" s="1"/>
  <c r="F453" i="9"/>
  <c r="G453" i="9" s="1"/>
  <c r="F454" i="9"/>
  <c r="G454" i="9" s="1"/>
  <c r="F455" i="9"/>
  <c r="G455" i="9" s="1"/>
  <c r="F456" i="9"/>
  <c r="G456" i="9" s="1"/>
  <c r="F457" i="9"/>
  <c r="G457" i="9" s="1"/>
  <c r="F458" i="9"/>
  <c r="G458" i="9" s="1"/>
  <c r="F459" i="9"/>
  <c r="G459" i="9" s="1"/>
  <c r="F462" i="9"/>
  <c r="G462" i="9" s="1"/>
  <c r="F463" i="9"/>
  <c r="G463" i="9" s="1"/>
  <c r="F464" i="9"/>
  <c r="G464" i="9" s="1"/>
  <c r="F465" i="9"/>
  <c r="G465" i="9" s="1"/>
  <c r="F466" i="9"/>
  <c r="G466" i="9" s="1"/>
  <c r="F467" i="9"/>
  <c r="G467" i="9" s="1"/>
  <c r="G470" i="9"/>
  <c r="F471" i="9"/>
  <c r="G471" i="9" s="1"/>
  <c r="F472" i="9"/>
  <c r="G472" i="9" s="1"/>
  <c r="F473" i="9"/>
  <c r="G473" i="9" s="1"/>
  <c r="F474" i="9"/>
  <c r="G474" i="9" s="1"/>
  <c r="F475" i="9"/>
  <c r="G475" i="9" s="1"/>
  <c r="F476" i="9"/>
  <c r="G476" i="9" s="1"/>
  <c r="F477" i="9"/>
  <c r="G477" i="9" s="1"/>
  <c r="F478" i="9"/>
  <c r="G478" i="9" s="1"/>
  <c r="F479" i="9"/>
  <c r="G479" i="9" s="1"/>
  <c r="F480" i="9"/>
  <c r="G480" i="9" s="1"/>
  <c r="F481" i="9"/>
  <c r="G481" i="9" s="1"/>
  <c r="F483" i="9"/>
  <c r="G483" i="9" s="1"/>
  <c r="F484" i="9"/>
  <c r="G484" i="9" s="1"/>
  <c r="G486" i="9"/>
  <c r="F490" i="9"/>
  <c r="G490" i="9" s="1"/>
  <c r="F491" i="9"/>
  <c r="G491" i="9" s="1"/>
  <c r="F492" i="9"/>
  <c r="G492" i="9" s="1"/>
  <c r="F493" i="9"/>
  <c r="G493" i="9" s="1"/>
  <c r="F494" i="9"/>
  <c r="G494" i="9" s="1"/>
  <c r="F495" i="9"/>
  <c r="G495" i="9" s="1"/>
  <c r="F496" i="9"/>
  <c r="G496" i="9" s="1"/>
  <c r="F497" i="9"/>
  <c r="G497" i="9" s="1"/>
  <c r="F498" i="9"/>
  <c r="G498" i="9" s="1"/>
  <c r="F499" i="9"/>
  <c r="G499" i="9" s="1"/>
  <c r="F500" i="9"/>
  <c r="G500" i="9" s="1"/>
  <c r="F501" i="9"/>
  <c r="G501" i="9" s="1"/>
  <c r="F502" i="9"/>
  <c r="G502" i="9" s="1"/>
  <c r="F503" i="9"/>
  <c r="G503" i="9" s="1"/>
  <c r="F504" i="9"/>
  <c r="G504" i="9" s="1"/>
  <c r="F505" i="9"/>
  <c r="G505" i="9" s="1"/>
  <c r="F506" i="9"/>
  <c r="G506" i="9" s="1"/>
  <c r="F507" i="9"/>
  <c r="G507" i="9" s="1"/>
  <c r="F508" i="9"/>
  <c r="G508" i="9" s="1"/>
  <c r="F509" i="9"/>
  <c r="G509" i="9" s="1"/>
  <c r="F510" i="9"/>
  <c r="G510" i="9" s="1"/>
  <c r="F511" i="9"/>
  <c r="G511" i="9" s="1"/>
  <c r="F512" i="9"/>
  <c r="G512" i="9" s="1"/>
  <c r="F513" i="9"/>
  <c r="G513" i="9" s="1"/>
  <c r="F514" i="9"/>
  <c r="G514" i="9" s="1"/>
  <c r="F515" i="9"/>
  <c r="G515" i="9" s="1"/>
  <c r="F516" i="9"/>
  <c r="G516" i="9" s="1"/>
  <c r="F517" i="9"/>
  <c r="G517" i="9" s="1"/>
  <c r="F518" i="9"/>
  <c r="G518" i="9" s="1"/>
  <c r="F519" i="9"/>
  <c r="G519" i="9" s="1"/>
  <c r="F520" i="9"/>
  <c r="G520" i="9" s="1"/>
  <c r="F521" i="9"/>
  <c r="G521" i="9" s="1"/>
  <c r="F522" i="9"/>
  <c r="G522" i="9" s="1"/>
  <c r="F523" i="9"/>
  <c r="G523" i="9" s="1"/>
  <c r="F524" i="9"/>
  <c r="G524" i="9" s="1"/>
  <c r="F525" i="9"/>
  <c r="G525" i="9" s="1"/>
  <c r="F526" i="9"/>
  <c r="G526" i="9" s="1"/>
  <c r="F527" i="9"/>
  <c r="G527" i="9" s="1"/>
  <c r="F528" i="9"/>
  <c r="G528" i="9" s="1"/>
  <c r="F529" i="9"/>
  <c r="G529" i="9" s="1"/>
  <c r="F530" i="9"/>
  <c r="G530" i="9" s="1"/>
  <c r="F531" i="9"/>
  <c r="G531" i="9" s="1"/>
  <c r="F532" i="9"/>
  <c r="G532" i="9" s="1"/>
  <c r="F533" i="9"/>
  <c r="G533" i="9" s="1"/>
  <c r="F534" i="9"/>
  <c r="G534" i="9" s="1"/>
  <c r="F535" i="9"/>
  <c r="G535" i="9" s="1"/>
  <c r="F536" i="9"/>
  <c r="G536" i="9" s="1"/>
  <c r="F537" i="9"/>
  <c r="G537" i="9" s="1"/>
  <c r="F538" i="9"/>
  <c r="G538" i="9" s="1"/>
  <c r="F539" i="9"/>
  <c r="G539" i="9" s="1"/>
  <c r="F540" i="9"/>
  <c r="G540" i="9" s="1"/>
  <c r="F541" i="9"/>
  <c r="G541" i="9" s="1"/>
  <c r="F542" i="9"/>
  <c r="G542" i="9" s="1"/>
  <c r="F543" i="9"/>
  <c r="G543" i="9" s="1"/>
  <c r="F544" i="9"/>
  <c r="G544" i="9" s="1"/>
  <c r="G545" i="9"/>
  <c r="F546" i="9"/>
  <c r="G546" i="9" s="1"/>
  <c r="F547" i="9"/>
  <c r="G547" i="9" s="1"/>
  <c r="F548" i="9"/>
  <c r="G548" i="9" s="1"/>
  <c r="F549" i="9"/>
  <c r="G549" i="9" s="1"/>
  <c r="F550" i="9"/>
  <c r="G550" i="9" s="1"/>
  <c r="F551" i="9"/>
  <c r="G551" i="9" s="1"/>
  <c r="F552" i="9"/>
  <c r="G552" i="9" s="1"/>
  <c r="G553" i="9"/>
  <c r="F554" i="9"/>
  <c r="G554" i="9" s="1"/>
  <c r="F555" i="9"/>
  <c r="G555" i="9" s="1"/>
  <c r="F556" i="9"/>
  <c r="G556" i="9" s="1"/>
  <c r="F557" i="9"/>
  <c r="G557" i="9" s="1"/>
  <c r="F558" i="9"/>
  <c r="G558" i="9" s="1"/>
  <c r="F559" i="9"/>
  <c r="G559" i="9" s="1"/>
  <c r="F560" i="9"/>
  <c r="G560" i="9" s="1"/>
  <c r="G561" i="9"/>
  <c r="F562" i="9"/>
  <c r="G562" i="9" s="1"/>
  <c r="F563" i="9"/>
  <c r="G563" i="9" s="1"/>
  <c r="F564" i="9"/>
  <c r="G564" i="9" s="1"/>
  <c r="F565" i="9"/>
  <c r="G565" i="9" s="1"/>
  <c r="F566" i="9"/>
  <c r="G566" i="9" s="1"/>
  <c r="F567" i="9"/>
  <c r="G567" i="9" s="1"/>
  <c r="F568" i="9"/>
  <c r="G568" i="9" s="1"/>
  <c r="F569" i="9"/>
  <c r="G569" i="9" s="1"/>
  <c r="F570" i="9"/>
  <c r="G570" i="9" s="1"/>
  <c r="F571" i="9"/>
  <c r="G571" i="9" s="1"/>
  <c r="F572" i="9"/>
  <c r="G572" i="9" s="1"/>
  <c r="F573" i="9"/>
  <c r="G573" i="9" s="1"/>
  <c r="F574" i="9"/>
  <c r="G574" i="9" s="1"/>
  <c r="F575" i="9"/>
  <c r="G575" i="9" s="1"/>
  <c r="F576" i="9"/>
  <c r="G576" i="9" s="1"/>
  <c r="F577" i="9"/>
  <c r="G577" i="9" s="1"/>
  <c r="G578" i="9"/>
  <c r="F579" i="9"/>
  <c r="G579" i="9" s="1"/>
  <c r="F580" i="9"/>
  <c r="G580" i="9" s="1"/>
  <c r="F581" i="9"/>
  <c r="G581" i="9" s="1"/>
  <c r="F582" i="9"/>
  <c r="G582" i="9" s="1"/>
  <c r="F583" i="9"/>
  <c r="G583" i="9" s="1"/>
  <c r="F584" i="9"/>
  <c r="G584" i="9" s="1"/>
  <c r="F585" i="9"/>
  <c r="G585" i="9" s="1"/>
  <c r="F586" i="9"/>
  <c r="G586" i="9" s="1"/>
  <c r="F587" i="9"/>
  <c r="G587" i="9" s="1"/>
  <c r="F588" i="9"/>
  <c r="G588" i="9" s="1"/>
  <c r="F589" i="9"/>
  <c r="G589" i="9" s="1"/>
  <c r="F590" i="9"/>
  <c r="G590" i="9" s="1"/>
  <c r="F591" i="9"/>
  <c r="G591" i="9" s="1"/>
  <c r="F592" i="9"/>
  <c r="G592" i="9" s="1"/>
  <c r="F593" i="9"/>
  <c r="G593" i="9" s="1"/>
  <c r="F594" i="9"/>
  <c r="G594" i="9" s="1"/>
  <c r="F595" i="9"/>
  <c r="G595" i="9" s="1"/>
  <c r="F596" i="9"/>
  <c r="G596" i="9" s="1"/>
  <c r="F597" i="9"/>
  <c r="G597" i="9" s="1"/>
  <c r="F598" i="9"/>
  <c r="G598" i="9" s="1"/>
  <c r="F599" i="9"/>
  <c r="G599" i="9" s="1"/>
  <c r="F600" i="9"/>
  <c r="G600" i="9" s="1"/>
  <c r="F601" i="9"/>
  <c r="G601" i="9" s="1"/>
  <c r="F602" i="9"/>
  <c r="G602" i="9" s="1"/>
  <c r="F603" i="9"/>
  <c r="G603" i="9" s="1"/>
  <c r="F604" i="9"/>
  <c r="G604" i="9" s="1"/>
  <c r="F605" i="9"/>
  <c r="G605" i="9" s="1"/>
  <c r="F606" i="9"/>
  <c r="G606" i="9" s="1"/>
  <c r="F607" i="9"/>
  <c r="G607" i="9" s="1"/>
  <c r="F608" i="9"/>
  <c r="G608" i="9" s="1"/>
  <c r="F609" i="9"/>
  <c r="G609" i="9" s="1"/>
  <c r="F610" i="9"/>
  <c r="G610" i="9" s="1"/>
  <c r="F611" i="9"/>
  <c r="G611" i="9" s="1"/>
  <c r="F612" i="9"/>
  <c r="G612" i="9" s="1"/>
  <c r="F613" i="9"/>
  <c r="G613" i="9" s="1"/>
  <c r="F614" i="9"/>
  <c r="G614" i="9" s="1"/>
  <c r="F615" i="9"/>
  <c r="G615" i="9" s="1"/>
  <c r="F616" i="9"/>
  <c r="G616" i="9" s="1"/>
  <c r="F617" i="9"/>
  <c r="G617" i="9" s="1"/>
  <c r="F618" i="9"/>
  <c r="G618" i="9" s="1"/>
  <c r="F619" i="9"/>
  <c r="G619" i="9" s="1"/>
  <c r="F620" i="9"/>
  <c r="G620" i="9" s="1"/>
  <c r="F621" i="9"/>
  <c r="G621" i="9" s="1"/>
  <c r="F622" i="9"/>
  <c r="G622" i="9" s="1"/>
  <c r="F623" i="9"/>
  <c r="G623" i="9" s="1"/>
  <c r="F624" i="9"/>
  <c r="G624" i="9" s="1"/>
  <c r="F625" i="9"/>
  <c r="G625" i="9" s="1"/>
  <c r="F626" i="9"/>
  <c r="G626" i="9" s="1"/>
  <c r="F627" i="9"/>
  <c r="G627" i="9" s="1"/>
  <c r="F628" i="9"/>
  <c r="G628" i="9" s="1"/>
  <c r="F629" i="9"/>
  <c r="G629" i="9" s="1"/>
  <c r="F630" i="9"/>
  <c r="G630" i="9" s="1"/>
  <c r="F631" i="9"/>
  <c r="G631" i="9" s="1"/>
  <c r="G654" i="9"/>
  <c r="G655" i="9"/>
  <c r="G656" i="9"/>
  <c r="G657" i="9"/>
  <c r="G658" i="9"/>
  <c r="G659" i="9"/>
  <c r="G660" i="9"/>
  <c r="G661" i="9"/>
  <c r="G662" i="9"/>
  <c r="G663" i="9"/>
  <c r="G664" i="9"/>
  <c r="G665" i="9"/>
  <c r="G666" i="9"/>
  <c r="G667" i="9"/>
  <c r="G668" i="9"/>
  <c r="G669" i="9"/>
  <c r="F670" i="9"/>
  <c r="G670" i="9" s="1"/>
  <c r="F671" i="9"/>
  <c r="G671" i="9" s="1"/>
  <c r="F672" i="9"/>
  <c r="G672" i="9" s="1"/>
  <c r="F673" i="9"/>
  <c r="G673" i="9" s="1"/>
  <c r="F674" i="9"/>
  <c r="G674" i="9" s="1"/>
  <c r="F675" i="9"/>
  <c r="G675" i="9" s="1"/>
  <c r="F676" i="9"/>
  <c r="G676" i="9" s="1"/>
  <c r="F677" i="9"/>
  <c r="G677" i="9" s="1"/>
  <c r="F678" i="9"/>
  <c r="G678" i="9" s="1"/>
  <c r="F679" i="9"/>
  <c r="G679" i="9" s="1"/>
  <c r="F680" i="9"/>
  <c r="G680" i="9" s="1"/>
  <c r="F681" i="9"/>
  <c r="G681" i="9" s="1"/>
  <c r="F682" i="9"/>
  <c r="G682" i="9" s="1"/>
  <c r="F683" i="9"/>
  <c r="G683" i="9" s="1"/>
  <c r="F684" i="9"/>
  <c r="G684" i="9" s="1"/>
  <c r="F685" i="9"/>
  <c r="G685" i="9" s="1"/>
  <c r="F686" i="9"/>
  <c r="G686" i="9" s="1"/>
  <c r="F687" i="9"/>
  <c r="G687" i="9" s="1"/>
  <c r="F688" i="9"/>
  <c r="G688" i="9" s="1"/>
  <c r="F689" i="9"/>
  <c r="G689" i="9" s="1"/>
  <c r="F690" i="9"/>
  <c r="G690" i="9" s="1"/>
  <c r="F691" i="9"/>
  <c r="G691" i="9" s="1"/>
  <c r="F692" i="9"/>
  <c r="G692" i="9" s="1"/>
  <c r="F693" i="9"/>
  <c r="G693" i="9" s="1"/>
  <c r="G694" i="9"/>
  <c r="G695" i="9"/>
  <c r="G696" i="9"/>
  <c r="G697" i="9"/>
  <c r="G698" i="9"/>
  <c r="F699" i="9"/>
  <c r="G699" i="9" s="1"/>
  <c r="F700" i="9"/>
  <c r="G700" i="9" s="1"/>
  <c r="F701" i="9"/>
  <c r="G701" i="9" s="1"/>
  <c r="F702" i="9"/>
  <c r="G702" i="9" s="1"/>
  <c r="F703" i="9"/>
  <c r="G703" i="9" s="1"/>
  <c r="G704" i="9"/>
  <c r="F705" i="9"/>
  <c r="G705" i="9" s="1"/>
  <c r="F706" i="9"/>
  <c r="G706" i="9" s="1"/>
  <c r="G707" i="9"/>
  <c r="F708" i="9"/>
  <c r="G708" i="9" s="1"/>
  <c r="I364" i="4" l="1"/>
  <c r="G657" i="4" l="1"/>
  <c r="F656" i="4"/>
  <c r="F655" i="4"/>
  <c r="G655" i="4" s="1"/>
  <c r="J655" i="4" s="1"/>
  <c r="F654" i="4"/>
  <c r="G654" i="4" s="1"/>
  <c r="J654" i="4" s="1"/>
  <c r="F653" i="4"/>
  <c r="G653" i="4" s="1"/>
  <c r="J653" i="4" s="1"/>
  <c r="P654" i="4" l="1"/>
  <c r="Q654" i="4"/>
  <c r="R654" i="4"/>
  <c r="S654" i="4"/>
  <c r="P653" i="4"/>
  <c r="Q653" i="4"/>
  <c r="R653" i="4"/>
  <c r="S653" i="4"/>
  <c r="P655" i="4"/>
  <c r="Q655" i="4"/>
  <c r="R655" i="4"/>
  <c r="S655" i="4"/>
  <c r="G656" i="4"/>
  <c r="J656" i="4" s="1"/>
  <c r="P656" i="4" l="1"/>
  <c r="Q656" i="4"/>
  <c r="R656" i="4"/>
  <c r="S656" i="4"/>
  <c r="I152" i="4" l="1"/>
  <c r="I139" i="4"/>
  <c r="I126" i="4"/>
  <c r="I113" i="4"/>
  <c r="I97" i="4"/>
  <c r="I81" i="4"/>
  <c r="I65" i="4"/>
  <c r="I49" i="4"/>
  <c r="I22" i="4"/>
  <c r="I14" i="4"/>
  <c r="I634" i="4" l="1" a="1"/>
  <c r="I634" i="4" s="1"/>
  <c r="I191" i="4" l="1" a="1"/>
  <c r="I191" i="4" s="1"/>
  <c r="G228" i="4"/>
  <c r="S712" i="4"/>
  <c r="F694" i="4"/>
  <c r="G694" i="4" s="1"/>
  <c r="J694" i="4" s="1"/>
  <c r="F693" i="4"/>
  <c r="G693" i="4" s="1"/>
  <c r="J693" i="4" s="1"/>
  <c r="F692" i="4"/>
  <c r="G692" i="4" s="1"/>
  <c r="J692" i="4" s="1"/>
  <c r="F691" i="4"/>
  <c r="G691" i="4" s="1"/>
  <c r="J691" i="4" s="1"/>
  <c r="F690" i="4"/>
  <c r="G690" i="4" s="1"/>
  <c r="J690" i="4" s="1"/>
  <c r="F689" i="4"/>
  <c r="G689" i="4" s="1"/>
  <c r="J689" i="4" s="1"/>
  <c r="F688" i="4"/>
  <c r="G688" i="4" s="1"/>
  <c r="J688" i="4" s="1"/>
  <c r="R699" i="4"/>
  <c r="Q699" i="4"/>
  <c r="P699" i="4"/>
  <c r="S699" i="4"/>
  <c r="R698" i="4"/>
  <c r="Q698" i="4"/>
  <c r="P698" i="4"/>
  <c r="S698" i="4"/>
  <c r="R697" i="4"/>
  <c r="Q697" i="4"/>
  <c r="P697" i="4"/>
  <c r="S697" i="4"/>
  <c r="R696" i="4"/>
  <c r="Q696" i="4"/>
  <c r="P696" i="4"/>
  <c r="S696" i="4"/>
  <c r="R695" i="4"/>
  <c r="Q695" i="4"/>
  <c r="P695" i="4"/>
  <c r="F695" i="4"/>
  <c r="G695" i="4" s="1"/>
  <c r="F687" i="4"/>
  <c r="G687" i="4" s="1"/>
  <c r="J687" i="4" s="1"/>
  <c r="F680" i="4"/>
  <c r="G680" i="4" s="1"/>
  <c r="J680" i="4" s="1"/>
  <c r="F679" i="4"/>
  <c r="G679" i="4" s="1"/>
  <c r="J679" i="4" s="1"/>
  <c r="F678" i="4"/>
  <c r="G678" i="4" s="1"/>
  <c r="J678" i="4" s="1"/>
  <c r="F677" i="4"/>
  <c r="G677" i="4" s="1"/>
  <c r="J677" i="4" s="1"/>
  <c r="F676" i="4"/>
  <c r="G676" i="4" s="1"/>
  <c r="J676" i="4" s="1"/>
  <c r="F675" i="4"/>
  <c r="G675" i="4" s="1"/>
  <c r="J675" i="4" s="1"/>
  <c r="F674" i="4"/>
  <c r="G674" i="4" s="1"/>
  <c r="J674" i="4" s="1"/>
  <c r="F681" i="4"/>
  <c r="G681" i="4" s="1"/>
  <c r="F673" i="4"/>
  <c r="G673" i="4" s="1"/>
  <c r="J673" i="4" s="1"/>
  <c r="F666" i="4"/>
  <c r="G666" i="4" s="1"/>
  <c r="F665" i="4"/>
  <c r="G665" i="4" s="1"/>
  <c r="F664" i="4"/>
  <c r="G664" i="4" s="1"/>
  <c r="G667" i="4"/>
  <c r="F663" i="4"/>
  <c r="G663" i="4" s="1"/>
  <c r="G647" i="4"/>
  <c r="F646" i="4"/>
  <c r="G646" i="4" s="1"/>
  <c r="F645" i="4"/>
  <c r="G645" i="4" s="1"/>
  <c r="F644" i="4"/>
  <c r="G644" i="4" s="1"/>
  <c r="F643" i="4"/>
  <c r="G643" i="4" s="1"/>
  <c r="I636" i="4"/>
  <c r="F636" i="4"/>
  <c r="G636" i="4" s="1"/>
  <c r="I635" i="4"/>
  <c r="F635" i="4"/>
  <c r="G635" i="4" s="1"/>
  <c r="F634" i="4"/>
  <c r="G634" i="4" s="1"/>
  <c r="G637" i="4"/>
  <c r="F633" i="4"/>
  <c r="G633" i="4" s="1"/>
  <c r="J633" i="4" s="1"/>
  <c r="F537" i="4"/>
  <c r="G537" i="4" s="1"/>
  <c r="F536" i="4"/>
  <c r="G536" i="4" s="1"/>
  <c r="F535" i="4"/>
  <c r="G535" i="4" s="1"/>
  <c r="F534" i="4"/>
  <c r="G534" i="4" s="1"/>
  <c r="F533" i="4"/>
  <c r="G533" i="4" s="1"/>
  <c r="F532" i="4"/>
  <c r="G532" i="4" s="1"/>
  <c r="F531" i="4"/>
  <c r="G531" i="4" s="1"/>
  <c r="F530" i="4"/>
  <c r="G530" i="4" s="1"/>
  <c r="F529" i="4"/>
  <c r="G529" i="4" s="1"/>
  <c r="F528" i="4"/>
  <c r="G528" i="4" s="1"/>
  <c r="F527" i="4"/>
  <c r="G527" i="4" s="1"/>
  <c r="F526" i="4"/>
  <c r="G526" i="4" s="1"/>
  <c r="F538" i="4"/>
  <c r="G538" i="4" s="1"/>
  <c r="F525" i="4"/>
  <c r="G525" i="4" s="1"/>
  <c r="F616" i="4"/>
  <c r="G616" i="4" s="1"/>
  <c r="F615" i="4"/>
  <c r="G615" i="4" s="1"/>
  <c r="F614" i="4"/>
  <c r="G614" i="4" s="1"/>
  <c r="F613" i="4"/>
  <c r="G613" i="4" s="1"/>
  <c r="G612" i="4"/>
  <c r="G611" i="4"/>
  <c r="F610" i="4"/>
  <c r="G610" i="4" s="1"/>
  <c r="F609" i="4"/>
  <c r="G609" i="4" s="1"/>
  <c r="F608" i="4"/>
  <c r="G608" i="4" s="1"/>
  <c r="F607" i="4"/>
  <c r="G607" i="4" s="1"/>
  <c r="F606" i="4"/>
  <c r="G606" i="4" s="1"/>
  <c r="F605" i="4"/>
  <c r="G605" i="4" s="1"/>
  <c r="F604" i="4"/>
  <c r="G604" i="4" s="1"/>
  <c r="F603" i="4"/>
  <c r="G603" i="4" s="1"/>
  <c r="F602" i="4"/>
  <c r="G602" i="4" s="1"/>
  <c r="F601" i="4"/>
  <c r="G601" i="4" s="1"/>
  <c r="F600" i="4"/>
  <c r="G600" i="4" s="1"/>
  <c r="F599" i="4"/>
  <c r="G599" i="4" s="1"/>
  <c r="F598" i="4"/>
  <c r="G598" i="4" s="1"/>
  <c r="F597" i="4"/>
  <c r="G597" i="4" s="1"/>
  <c r="F596" i="4"/>
  <c r="G596" i="4" s="1"/>
  <c r="F595" i="4"/>
  <c r="G595" i="4" s="1"/>
  <c r="F594" i="4"/>
  <c r="G594" i="4" s="1"/>
  <c r="F593" i="4"/>
  <c r="G593" i="4" s="1"/>
  <c r="F592" i="4"/>
  <c r="G592" i="4" s="1"/>
  <c r="F591" i="4"/>
  <c r="G591" i="4" s="1"/>
  <c r="F590" i="4"/>
  <c r="G590" i="4" s="1"/>
  <c r="F589" i="4"/>
  <c r="G589" i="4" s="1"/>
  <c r="F588" i="4"/>
  <c r="G588" i="4" s="1"/>
  <c r="F587" i="4"/>
  <c r="G587" i="4" s="1"/>
  <c r="F586" i="4"/>
  <c r="G586" i="4" s="1"/>
  <c r="F585" i="4"/>
  <c r="G585" i="4" s="1"/>
  <c r="I584" i="4"/>
  <c r="F584" i="4"/>
  <c r="G584" i="4" s="1"/>
  <c r="F583" i="4"/>
  <c r="G583" i="4" s="1"/>
  <c r="G582" i="4"/>
  <c r="G581" i="4"/>
  <c r="F580" i="4"/>
  <c r="G580" i="4" s="1"/>
  <c r="F579" i="4"/>
  <c r="G579" i="4" s="1"/>
  <c r="F578" i="4"/>
  <c r="G578" i="4" s="1"/>
  <c r="F577" i="4"/>
  <c r="G577" i="4" s="1"/>
  <c r="F576" i="4"/>
  <c r="G576" i="4" s="1"/>
  <c r="F575" i="4"/>
  <c r="G575" i="4" s="1"/>
  <c r="F574" i="4"/>
  <c r="G574" i="4" s="1"/>
  <c r="F573" i="4"/>
  <c r="G573" i="4" s="1"/>
  <c r="F572" i="4"/>
  <c r="G572" i="4" s="1"/>
  <c r="F571" i="4"/>
  <c r="G571" i="4" s="1"/>
  <c r="F570" i="4"/>
  <c r="G570" i="4" s="1"/>
  <c r="F569" i="4"/>
  <c r="G569" i="4" s="1"/>
  <c r="F568" i="4"/>
  <c r="G568" i="4" s="1"/>
  <c r="F567" i="4"/>
  <c r="G567" i="4" s="1"/>
  <c r="F566" i="4"/>
  <c r="G566" i="4" s="1"/>
  <c r="F565" i="4"/>
  <c r="G565" i="4" s="1"/>
  <c r="F564" i="4"/>
  <c r="G564" i="4" s="1"/>
  <c r="F563" i="4"/>
  <c r="G563" i="4" s="1"/>
  <c r="F562" i="4"/>
  <c r="G562" i="4" s="1"/>
  <c r="F561" i="4"/>
  <c r="G561" i="4" s="1"/>
  <c r="F560" i="4"/>
  <c r="G560" i="4" s="1"/>
  <c r="F559" i="4"/>
  <c r="G559" i="4" s="1"/>
  <c r="F558" i="4"/>
  <c r="G558" i="4" s="1"/>
  <c r="F557" i="4"/>
  <c r="G557" i="4" s="1"/>
  <c r="F556" i="4"/>
  <c r="G556" i="4" s="1"/>
  <c r="F555" i="4"/>
  <c r="G555" i="4" s="1"/>
  <c r="G617" i="4"/>
  <c r="F554" i="4"/>
  <c r="G554" i="4" s="1"/>
  <c r="F508" i="4"/>
  <c r="G508" i="4" s="1"/>
  <c r="F507" i="4"/>
  <c r="G507" i="4" s="1"/>
  <c r="F506" i="4"/>
  <c r="G506" i="4" s="1"/>
  <c r="G505" i="4"/>
  <c r="G504" i="4"/>
  <c r="F503" i="4"/>
  <c r="G503" i="4" s="1"/>
  <c r="F502" i="4"/>
  <c r="G502" i="4" s="1"/>
  <c r="F501" i="4"/>
  <c r="G501" i="4" s="1"/>
  <c r="F500" i="4"/>
  <c r="G500" i="4" s="1"/>
  <c r="F499" i="4"/>
  <c r="G499" i="4" s="1"/>
  <c r="I497" i="4"/>
  <c r="F497" i="4"/>
  <c r="G497" i="4" s="1"/>
  <c r="F496" i="4"/>
  <c r="G496" i="4" s="1"/>
  <c r="F495" i="4"/>
  <c r="G495" i="4" s="1"/>
  <c r="F494" i="4"/>
  <c r="G494" i="4" s="1"/>
  <c r="G493" i="4"/>
  <c r="G492" i="4"/>
  <c r="F491" i="4"/>
  <c r="G491" i="4" s="1"/>
  <c r="F490" i="4"/>
  <c r="G490" i="4" s="1"/>
  <c r="F489" i="4"/>
  <c r="G489" i="4" s="1"/>
  <c r="F488" i="4"/>
  <c r="G488" i="4" s="1"/>
  <c r="F487" i="4"/>
  <c r="G487" i="4" s="1"/>
  <c r="F486" i="4"/>
  <c r="G486" i="4" s="1"/>
  <c r="I484" i="4"/>
  <c r="F484" i="4"/>
  <c r="G484" i="4" s="1"/>
  <c r="F483" i="4"/>
  <c r="G483" i="4" s="1"/>
  <c r="F482" i="4"/>
  <c r="G482" i="4" s="1"/>
  <c r="F481" i="4"/>
  <c r="G481" i="4" s="1"/>
  <c r="F480" i="4"/>
  <c r="G480" i="4" s="1"/>
  <c r="F479" i="4"/>
  <c r="G479" i="4" s="1"/>
  <c r="F478" i="4"/>
  <c r="G478" i="4" s="1"/>
  <c r="G477" i="4"/>
  <c r="G476" i="4"/>
  <c r="F475" i="4"/>
  <c r="G475" i="4" s="1"/>
  <c r="F474" i="4"/>
  <c r="G474" i="4" s="1"/>
  <c r="F473" i="4"/>
  <c r="G473" i="4" s="1"/>
  <c r="F472" i="4"/>
  <c r="G472" i="4" s="1"/>
  <c r="F471" i="4"/>
  <c r="G471" i="4" s="1"/>
  <c r="F470" i="4"/>
  <c r="G470" i="4" s="1"/>
  <c r="F509" i="4"/>
  <c r="G509" i="4" s="1"/>
  <c r="F468" i="4"/>
  <c r="G468" i="4" s="1"/>
  <c r="F443" i="4"/>
  <c r="G443" i="4" s="1"/>
  <c r="F442" i="4"/>
  <c r="G442" i="4" s="1"/>
  <c r="F441" i="4"/>
  <c r="G441" i="4" s="1"/>
  <c r="F440" i="4"/>
  <c r="G440" i="4" s="1"/>
  <c r="F439" i="4"/>
  <c r="G439" i="4" s="1"/>
  <c r="F438" i="4"/>
  <c r="G438" i="4" s="1"/>
  <c r="F437" i="4"/>
  <c r="G437" i="4" s="1"/>
  <c r="I436" i="4"/>
  <c r="F436" i="4"/>
  <c r="G436" i="4" s="1"/>
  <c r="F435" i="4"/>
  <c r="G435" i="4" s="1"/>
  <c r="F434" i="4"/>
  <c r="G434" i="4" s="1"/>
  <c r="F433" i="4"/>
  <c r="G433" i="4" s="1"/>
  <c r="F431" i="4"/>
  <c r="G431" i="4" s="1"/>
  <c r="I430" i="4"/>
  <c r="F430" i="4"/>
  <c r="G430" i="4" s="1"/>
  <c r="F429" i="4"/>
  <c r="G429" i="4" s="1"/>
  <c r="F428" i="4"/>
  <c r="G428" i="4" s="1"/>
  <c r="F427" i="4"/>
  <c r="G427" i="4" s="1"/>
  <c r="F426" i="4"/>
  <c r="G426" i="4" s="1"/>
  <c r="F424" i="4"/>
  <c r="G424" i="4" s="1"/>
  <c r="G452" i="4"/>
  <c r="G423" i="4"/>
  <c r="F372" i="4"/>
  <c r="G372" i="4" s="1"/>
  <c r="F371" i="4"/>
  <c r="G371" i="4" s="1"/>
  <c r="F370" i="4"/>
  <c r="G370" i="4" s="1"/>
  <c r="F368" i="4"/>
  <c r="G368" i="4" s="1"/>
  <c r="F367" i="4"/>
  <c r="G367" i="4" s="1"/>
  <c r="F366" i="4"/>
  <c r="G366" i="4" s="1"/>
  <c r="F365" i="4"/>
  <c r="G365" i="4" s="1"/>
  <c r="F364" i="4"/>
  <c r="G364" i="4" s="1"/>
  <c r="J364" i="4" s="1"/>
  <c r="F347" i="4"/>
  <c r="G347" i="4" s="1"/>
  <c r="F346" i="4"/>
  <c r="G346" i="4" s="1"/>
  <c r="F345" i="4"/>
  <c r="G345" i="4" s="1"/>
  <c r="F344" i="4"/>
  <c r="G344" i="4" s="1"/>
  <c r="F342" i="4"/>
  <c r="G342" i="4" s="1"/>
  <c r="F341" i="4"/>
  <c r="G341" i="4" s="1"/>
  <c r="F340" i="4"/>
  <c r="G340" i="4" s="1"/>
  <c r="F339" i="4"/>
  <c r="G339" i="4" s="1"/>
  <c r="G406" i="4"/>
  <c r="F338" i="4"/>
  <c r="G338" i="4" s="1"/>
  <c r="F285" i="4"/>
  <c r="G285" i="4" s="1"/>
  <c r="F284" i="4"/>
  <c r="G284" i="4" s="1"/>
  <c r="F283" i="4"/>
  <c r="G283" i="4" s="1"/>
  <c r="F281" i="4"/>
  <c r="G281" i="4" s="1"/>
  <c r="F280" i="4"/>
  <c r="G280" i="4" s="1"/>
  <c r="F279" i="4"/>
  <c r="G279" i="4" s="1"/>
  <c r="F278" i="4"/>
  <c r="G278" i="4" s="1"/>
  <c r="I277" i="4"/>
  <c r="F277" i="4"/>
  <c r="G277" i="4" s="1"/>
  <c r="F257" i="4"/>
  <c r="G257" i="4" s="1"/>
  <c r="F256" i="4"/>
  <c r="G256" i="4" s="1"/>
  <c r="F255" i="4"/>
  <c r="G255" i="4" s="1"/>
  <c r="F254" i="4"/>
  <c r="G254" i="4" s="1"/>
  <c r="F253" i="4"/>
  <c r="G253" i="4" s="1"/>
  <c r="F251" i="4"/>
  <c r="G251" i="4" s="1"/>
  <c r="F250" i="4"/>
  <c r="G250" i="4" s="1"/>
  <c r="F248" i="4"/>
  <c r="G248" i="4" s="1"/>
  <c r="F247" i="4"/>
  <c r="G247" i="4" s="1"/>
  <c r="F246" i="4"/>
  <c r="G246" i="4" s="1"/>
  <c r="G321" i="4"/>
  <c r="F245" i="4"/>
  <c r="G245" i="4" s="1"/>
  <c r="J245" i="4" s="1"/>
  <c r="G221" i="4"/>
  <c r="F220" i="4"/>
  <c r="G220" i="4" s="1"/>
  <c r="F219" i="4"/>
  <c r="G219" i="4" s="1"/>
  <c r="F218" i="4"/>
  <c r="G218" i="4" s="1"/>
  <c r="F217" i="4"/>
  <c r="G217" i="4" s="1"/>
  <c r="I216" i="4"/>
  <c r="F216" i="4"/>
  <c r="G216" i="4" s="1"/>
  <c r="G209" i="4"/>
  <c r="F208" i="4"/>
  <c r="G208" i="4" s="1"/>
  <c r="F207" i="4"/>
  <c r="G207" i="4" s="1"/>
  <c r="F206" i="4"/>
  <c r="G206" i="4" s="1"/>
  <c r="F205" i="4"/>
  <c r="G205" i="4" s="1"/>
  <c r="I204" i="4"/>
  <c r="F204" i="4"/>
  <c r="G204" i="4" s="1"/>
  <c r="F196" i="4"/>
  <c r="G196" i="4" s="1"/>
  <c r="F195" i="4"/>
  <c r="G195" i="4" s="1"/>
  <c r="F194" i="4"/>
  <c r="G194" i="4" s="1"/>
  <c r="F193" i="4"/>
  <c r="G193" i="4" s="1"/>
  <c r="F192" i="4"/>
  <c r="G192" i="4" s="1"/>
  <c r="F191" i="4"/>
  <c r="G191" i="4" s="1"/>
  <c r="F183" i="4"/>
  <c r="G183" i="4" s="1"/>
  <c r="F182" i="4"/>
  <c r="G182" i="4" s="1"/>
  <c r="F181" i="4"/>
  <c r="G181" i="4" s="1"/>
  <c r="F180" i="4"/>
  <c r="G180" i="4" s="1"/>
  <c r="F179" i="4"/>
  <c r="G179" i="4" s="1"/>
  <c r="F178" i="4"/>
  <c r="G178" i="4" s="1"/>
  <c r="F161" i="4"/>
  <c r="G161" i="4" s="1"/>
  <c r="F159" i="4"/>
  <c r="G159" i="4" s="1"/>
  <c r="F158" i="4"/>
  <c r="G158" i="4" s="1"/>
  <c r="F157" i="4"/>
  <c r="G157" i="4" s="1"/>
  <c r="F156" i="4"/>
  <c r="G156" i="4" s="1"/>
  <c r="F155" i="4"/>
  <c r="G155" i="4" s="1"/>
  <c r="F154" i="4"/>
  <c r="G154" i="4" s="1"/>
  <c r="F153" i="4"/>
  <c r="G153" i="4" s="1"/>
  <c r="F152" i="4"/>
  <c r="G152" i="4" s="1"/>
  <c r="F148" i="4"/>
  <c r="G148" i="4" s="1"/>
  <c r="F146" i="4"/>
  <c r="G146" i="4" s="1"/>
  <c r="F145" i="4"/>
  <c r="G145" i="4" s="1"/>
  <c r="F144" i="4"/>
  <c r="G144" i="4" s="1"/>
  <c r="F143" i="4"/>
  <c r="G143" i="4" s="1"/>
  <c r="F142" i="4"/>
  <c r="G142" i="4" s="1"/>
  <c r="F141" i="4"/>
  <c r="G141" i="4" s="1"/>
  <c r="F140" i="4"/>
  <c r="G140" i="4" s="1"/>
  <c r="F139" i="4"/>
  <c r="G139" i="4" s="1"/>
  <c r="F135" i="4"/>
  <c r="G135" i="4" s="1"/>
  <c r="F133" i="4"/>
  <c r="G133" i="4" s="1"/>
  <c r="F132" i="4"/>
  <c r="G132" i="4" s="1"/>
  <c r="F131" i="4"/>
  <c r="G131" i="4" s="1"/>
  <c r="F130" i="4"/>
  <c r="G130" i="4" s="1"/>
  <c r="F129" i="4"/>
  <c r="G129" i="4" s="1"/>
  <c r="F128" i="4"/>
  <c r="G128" i="4" s="1"/>
  <c r="F127" i="4"/>
  <c r="G127" i="4" s="1"/>
  <c r="F126" i="4"/>
  <c r="G126" i="4" s="1"/>
  <c r="F122" i="4"/>
  <c r="G122" i="4" s="1"/>
  <c r="F120" i="4"/>
  <c r="G120" i="4" s="1"/>
  <c r="F119" i="4"/>
  <c r="G119" i="4" s="1"/>
  <c r="F118" i="4"/>
  <c r="G118" i="4" s="1"/>
  <c r="F117" i="4"/>
  <c r="G117" i="4" s="1"/>
  <c r="F116" i="4"/>
  <c r="G116" i="4" s="1"/>
  <c r="F115" i="4"/>
  <c r="G115" i="4" s="1"/>
  <c r="F114" i="4"/>
  <c r="G114" i="4" s="1"/>
  <c r="F113" i="4"/>
  <c r="G113" i="4" s="1"/>
  <c r="F109" i="4"/>
  <c r="G109" i="4" s="1"/>
  <c r="F107" i="4"/>
  <c r="G107" i="4" s="1"/>
  <c r="F106" i="4"/>
  <c r="G106" i="4" s="1"/>
  <c r="F105" i="4"/>
  <c r="G105" i="4" s="1"/>
  <c r="F104" i="4"/>
  <c r="G104" i="4" s="1"/>
  <c r="F103" i="4"/>
  <c r="G103" i="4" s="1"/>
  <c r="F102" i="4"/>
  <c r="G102" i="4" s="1"/>
  <c r="F101" i="4"/>
  <c r="G101" i="4" s="1"/>
  <c r="F100" i="4"/>
  <c r="G100" i="4" s="1"/>
  <c r="F99" i="4"/>
  <c r="G99" i="4" s="1"/>
  <c r="F98" i="4"/>
  <c r="G98" i="4" s="1"/>
  <c r="F97" i="4"/>
  <c r="G97" i="4" s="1"/>
  <c r="F93" i="4"/>
  <c r="G93" i="4" s="1"/>
  <c r="F91" i="4"/>
  <c r="G91" i="4" s="1"/>
  <c r="F90" i="4"/>
  <c r="G90" i="4" s="1"/>
  <c r="F89" i="4"/>
  <c r="G89" i="4" s="1"/>
  <c r="F88" i="4"/>
  <c r="G88" i="4" s="1"/>
  <c r="F87" i="4"/>
  <c r="G87" i="4" s="1"/>
  <c r="F86" i="4"/>
  <c r="G86" i="4" s="1"/>
  <c r="F85" i="4"/>
  <c r="G85" i="4" s="1"/>
  <c r="F84" i="4"/>
  <c r="G84" i="4" s="1"/>
  <c r="F83" i="4"/>
  <c r="G83" i="4" s="1"/>
  <c r="F82" i="4"/>
  <c r="G82" i="4" s="1"/>
  <c r="F81" i="4"/>
  <c r="G81" i="4" s="1"/>
  <c r="F77" i="4"/>
  <c r="G77" i="4" s="1"/>
  <c r="F75" i="4"/>
  <c r="G75" i="4" s="1"/>
  <c r="F74" i="4"/>
  <c r="G74" i="4" s="1"/>
  <c r="F73" i="4"/>
  <c r="G73" i="4" s="1"/>
  <c r="F72" i="4"/>
  <c r="G72" i="4" s="1"/>
  <c r="F71" i="4"/>
  <c r="G71" i="4" s="1"/>
  <c r="F70" i="4"/>
  <c r="G70" i="4" s="1"/>
  <c r="F69" i="4"/>
  <c r="G69" i="4" s="1"/>
  <c r="F68" i="4"/>
  <c r="G68" i="4" s="1"/>
  <c r="F67" i="4"/>
  <c r="G67" i="4" s="1"/>
  <c r="F66" i="4"/>
  <c r="G66" i="4" s="1"/>
  <c r="F65" i="4"/>
  <c r="G65" i="4" s="1"/>
  <c r="F61" i="4"/>
  <c r="G61" i="4" s="1"/>
  <c r="F59" i="4"/>
  <c r="G59" i="4" s="1"/>
  <c r="F58" i="4"/>
  <c r="G58" i="4" s="1"/>
  <c r="F57" i="4"/>
  <c r="G57" i="4" s="1"/>
  <c r="F56" i="4"/>
  <c r="G56" i="4" s="1"/>
  <c r="F55" i="4"/>
  <c r="G55" i="4" s="1"/>
  <c r="F54" i="4"/>
  <c r="G54" i="4" s="1"/>
  <c r="F53" i="4"/>
  <c r="G53" i="4" s="1"/>
  <c r="F52" i="4"/>
  <c r="G52" i="4" s="1"/>
  <c r="F51" i="4"/>
  <c r="G51" i="4" s="1"/>
  <c r="F50" i="4"/>
  <c r="G50" i="4" s="1"/>
  <c r="F165" i="4"/>
  <c r="G165" i="4" s="1"/>
  <c r="F49" i="4"/>
  <c r="G49" i="4" s="1"/>
  <c r="F26" i="4"/>
  <c r="G26" i="4" s="1"/>
  <c r="F25" i="4"/>
  <c r="G25" i="4" s="1"/>
  <c r="F24" i="4"/>
  <c r="G24" i="4" s="1"/>
  <c r="F23" i="4"/>
  <c r="G23" i="4" s="1"/>
  <c r="F22" i="4"/>
  <c r="G22" i="4" s="1"/>
  <c r="F18" i="4"/>
  <c r="G18" i="4" s="1"/>
  <c r="F17" i="4"/>
  <c r="G17" i="4" s="1"/>
  <c r="F16" i="4"/>
  <c r="G16" i="4" s="1"/>
  <c r="F15" i="4"/>
  <c r="G15" i="4" s="1"/>
  <c r="F14" i="4"/>
  <c r="G14" i="4" s="1"/>
  <c r="F10" i="4"/>
  <c r="G10" i="4" s="1"/>
  <c r="F9" i="4"/>
  <c r="G9" i="4" s="1"/>
  <c r="F8" i="4"/>
  <c r="G8" i="4" s="1"/>
  <c r="F7" i="4"/>
  <c r="G7" i="4" s="1"/>
  <c r="F32" i="4"/>
  <c r="G32" i="4" s="1"/>
  <c r="F6" i="4"/>
  <c r="G6" i="4" s="1"/>
  <c r="P364" i="4" l="1"/>
  <c r="Q364" i="4"/>
  <c r="R364" i="4"/>
  <c r="S364" i="4"/>
  <c r="P673" i="4"/>
  <c r="Q673" i="4"/>
  <c r="R673" i="4"/>
  <c r="S673" i="4"/>
  <c r="P688" i="4"/>
  <c r="Q688" i="4"/>
  <c r="R688" i="4"/>
  <c r="S688" i="4"/>
  <c r="P690" i="4"/>
  <c r="Q690" i="4"/>
  <c r="R690" i="4"/>
  <c r="S690" i="4"/>
  <c r="P692" i="4"/>
  <c r="Q692" i="4"/>
  <c r="R692" i="4"/>
  <c r="S692" i="4"/>
  <c r="P694" i="4"/>
  <c r="Q694" i="4"/>
  <c r="R694" i="4"/>
  <c r="S694" i="4"/>
  <c r="P245" i="4"/>
  <c r="Q245" i="4"/>
  <c r="R245" i="4"/>
  <c r="S245" i="4"/>
  <c r="P376" i="4"/>
  <c r="Q376" i="4"/>
  <c r="R376" i="4"/>
  <c r="S376" i="4"/>
  <c r="P675" i="4"/>
  <c r="Q675" i="4"/>
  <c r="R675" i="4"/>
  <c r="S675" i="4"/>
  <c r="P677" i="4"/>
  <c r="Q677" i="4"/>
  <c r="R677" i="4"/>
  <c r="S677" i="4"/>
  <c r="P679" i="4"/>
  <c r="Q679" i="4"/>
  <c r="R679" i="4"/>
  <c r="S679" i="4"/>
  <c r="P687" i="4"/>
  <c r="R687" i="4"/>
  <c r="Q687" i="4"/>
  <c r="S687" i="4"/>
  <c r="P351" i="4"/>
  <c r="Q351" i="4"/>
  <c r="R351" i="4"/>
  <c r="S351" i="4"/>
  <c r="P689" i="4"/>
  <c r="Q689" i="4"/>
  <c r="R689" i="4"/>
  <c r="S689" i="4"/>
  <c r="P691" i="4"/>
  <c r="Q691" i="4"/>
  <c r="R691" i="4"/>
  <c r="S691" i="4"/>
  <c r="P693" i="4"/>
  <c r="R693" i="4"/>
  <c r="Q693" i="4"/>
  <c r="S693" i="4"/>
  <c r="P633" i="4"/>
  <c r="R633" i="4"/>
  <c r="Q633" i="4"/>
  <c r="S633" i="4"/>
  <c r="P674" i="4"/>
  <c r="R674" i="4"/>
  <c r="Q674" i="4"/>
  <c r="S674" i="4"/>
  <c r="P676" i="4"/>
  <c r="Q676" i="4"/>
  <c r="R676" i="4"/>
  <c r="S676" i="4"/>
  <c r="P678" i="4"/>
  <c r="Q678" i="4"/>
  <c r="R678" i="4"/>
  <c r="S678" i="4"/>
  <c r="P680" i="4"/>
  <c r="Q680" i="4"/>
  <c r="R680" i="4"/>
  <c r="S680" i="4"/>
  <c r="I666" i="4"/>
  <c r="J666" i="4" s="1"/>
  <c r="J6" i="4"/>
  <c r="J497" i="4"/>
  <c r="I664" i="4"/>
  <c r="J664" i="4" s="1"/>
  <c r="I665" i="4"/>
  <c r="J665" i="4" s="1"/>
  <c r="J645" i="4"/>
  <c r="J646" i="4"/>
  <c r="J22" i="4"/>
  <c r="J663" i="4"/>
  <c r="J178" i="4"/>
  <c r="J113" i="4"/>
  <c r="J139" i="4"/>
  <c r="J97" i="4"/>
  <c r="J126" i="4"/>
  <c r="J152" i="4"/>
  <c r="J216" i="4"/>
  <c r="J644" i="4"/>
  <c r="J636" i="4"/>
  <c r="J65" i="4"/>
  <c r="J81" i="4"/>
  <c r="J191" i="4"/>
  <c r="J525" i="4"/>
  <c r="J277" i="4"/>
  <c r="J14" i="4"/>
  <c r="J204" i="4"/>
  <c r="J49" i="4"/>
  <c r="J554" i="4"/>
  <c r="J584" i="4"/>
  <c r="J423" i="4"/>
  <c r="J436" i="4"/>
  <c r="J635" i="4"/>
  <c r="J430" i="4"/>
  <c r="J468" i="4"/>
  <c r="J484" i="4"/>
  <c r="J634" i="4"/>
  <c r="J643" i="4"/>
  <c r="J532" i="4"/>
  <c r="P643" i="4" l="1"/>
  <c r="Q643" i="4"/>
  <c r="R643" i="4"/>
  <c r="S643" i="4"/>
  <c r="P634" i="4"/>
  <c r="Q634" i="4"/>
  <c r="R634" i="4"/>
  <c r="S634" i="4"/>
  <c r="P554" i="4"/>
  <c r="Q554" i="4"/>
  <c r="R554" i="4"/>
  <c r="S554" i="4"/>
  <c r="P204" i="4"/>
  <c r="Q204" i="4"/>
  <c r="R204" i="4"/>
  <c r="S204" i="4"/>
  <c r="P14" i="4"/>
  <c r="Q14" i="4"/>
  <c r="R14" i="4"/>
  <c r="S14" i="4"/>
  <c r="P65" i="4"/>
  <c r="Q65" i="4"/>
  <c r="R65" i="4"/>
  <c r="S65" i="4"/>
  <c r="P636" i="4"/>
  <c r="R636" i="4"/>
  <c r="Q636" i="4"/>
  <c r="S636" i="4"/>
  <c r="P126" i="4"/>
  <c r="Q126" i="4"/>
  <c r="R126" i="4"/>
  <c r="S126" i="4"/>
  <c r="P113" i="4"/>
  <c r="Q113" i="4"/>
  <c r="R113" i="4"/>
  <c r="S113" i="4"/>
  <c r="P663" i="4"/>
  <c r="Q663" i="4"/>
  <c r="R663" i="4"/>
  <c r="S663" i="4"/>
  <c r="P22" i="4"/>
  <c r="Q22" i="4"/>
  <c r="R22" i="4"/>
  <c r="S22" i="4"/>
  <c r="P666" i="4"/>
  <c r="Q666" i="4"/>
  <c r="R666" i="4"/>
  <c r="S666" i="4"/>
  <c r="P468" i="4"/>
  <c r="S468" i="4"/>
  <c r="Q468" i="4"/>
  <c r="R468" i="4"/>
  <c r="P430" i="4"/>
  <c r="Q430" i="4"/>
  <c r="S430" i="4"/>
  <c r="R430" i="4"/>
  <c r="P436" i="4"/>
  <c r="S436" i="4"/>
  <c r="Q436" i="4"/>
  <c r="R436" i="4"/>
  <c r="P525" i="4"/>
  <c r="R525" i="4"/>
  <c r="Q525" i="4"/>
  <c r="S525" i="4"/>
  <c r="P152" i="4"/>
  <c r="Q152" i="4"/>
  <c r="R152" i="4"/>
  <c r="S152" i="4"/>
  <c r="P139" i="4"/>
  <c r="Q139" i="4"/>
  <c r="R139" i="4"/>
  <c r="S139" i="4"/>
  <c r="P646" i="4"/>
  <c r="Q646" i="4"/>
  <c r="R646" i="4"/>
  <c r="S646" i="4"/>
  <c r="P665" i="4"/>
  <c r="Q665" i="4"/>
  <c r="R665" i="4"/>
  <c r="S665" i="4"/>
  <c r="P532" i="4"/>
  <c r="Q532" i="4"/>
  <c r="R532" i="4"/>
  <c r="S532" i="4"/>
  <c r="P423" i="4"/>
  <c r="Q423" i="4"/>
  <c r="S423" i="4"/>
  <c r="R423" i="4"/>
  <c r="P49" i="4"/>
  <c r="Q49" i="4"/>
  <c r="R49" i="4"/>
  <c r="S49" i="4"/>
  <c r="P277" i="4"/>
  <c r="Q277" i="4"/>
  <c r="R277" i="4"/>
  <c r="S277" i="4"/>
  <c r="P191" i="4"/>
  <c r="Q191" i="4"/>
  <c r="R191" i="4"/>
  <c r="S191" i="4"/>
  <c r="P644" i="4"/>
  <c r="Q644" i="4"/>
  <c r="R644" i="4"/>
  <c r="S644" i="4"/>
  <c r="P216" i="4"/>
  <c r="Q216" i="4"/>
  <c r="R216" i="4"/>
  <c r="S216" i="4"/>
  <c r="P97" i="4"/>
  <c r="Q97" i="4"/>
  <c r="R97" i="4"/>
  <c r="S97" i="4"/>
  <c r="P664" i="4"/>
  <c r="R664" i="4"/>
  <c r="Q664" i="4"/>
  <c r="S664" i="4"/>
  <c r="P484" i="4"/>
  <c r="Q484" i="4"/>
  <c r="S484" i="4"/>
  <c r="R484" i="4"/>
  <c r="P635" i="4"/>
  <c r="Q635" i="4"/>
  <c r="R635" i="4"/>
  <c r="S635" i="4"/>
  <c r="P584" i="4"/>
  <c r="R584" i="4"/>
  <c r="S584" i="4"/>
  <c r="Q584" i="4"/>
  <c r="P81" i="4"/>
  <c r="Q81" i="4"/>
  <c r="R81" i="4"/>
  <c r="S81" i="4"/>
  <c r="P178" i="4"/>
  <c r="Q178" i="4"/>
  <c r="R178" i="4"/>
  <c r="S178" i="4"/>
  <c r="P645" i="4"/>
  <c r="Q645" i="4"/>
  <c r="R645" i="4"/>
  <c r="S645" i="4"/>
  <c r="P497" i="4"/>
  <c r="S497" i="4"/>
  <c r="Q497" i="4"/>
  <c r="R497" i="4"/>
  <c r="P6" i="4"/>
  <c r="Q6" i="4"/>
  <c r="R6" i="4"/>
  <c r="S6" i="4"/>
  <c r="G59" i="10" l="1"/>
  <c r="F101" i="10" l="1"/>
  <c r="G101" i="10" s="1"/>
  <c r="F100" i="10"/>
  <c r="G100" i="10" s="1"/>
  <c r="F99" i="10"/>
  <c r="G99" i="10" s="1"/>
  <c r="F98" i="10"/>
  <c r="G98" i="10" s="1"/>
  <c r="F97" i="10"/>
  <c r="G97" i="10" s="1"/>
  <c r="F96" i="10"/>
  <c r="G96" i="10" s="1"/>
  <c r="F95" i="10"/>
  <c r="G95" i="10" s="1"/>
  <c r="F94" i="10"/>
  <c r="G94" i="10" s="1"/>
  <c r="F93" i="10"/>
  <c r="G93" i="10" s="1"/>
  <c r="F92" i="10"/>
  <c r="G92" i="10" s="1"/>
  <c r="F91" i="10"/>
  <c r="G91" i="10" s="1"/>
  <c r="G90" i="10"/>
  <c r="G88" i="10" l="1"/>
  <c r="G87" i="10"/>
  <c r="G86" i="10"/>
  <c r="G85" i="10"/>
  <c r="G84" i="10"/>
  <c r="G83" i="10"/>
  <c r="G82" i="10"/>
  <c r="G81" i="10"/>
  <c r="G80" i="10"/>
  <c r="G79" i="10"/>
  <c r="G78" i="10"/>
  <c r="G77" i="10"/>
  <c r="G76" i="10"/>
  <c r="G75" i="10"/>
  <c r="G74" i="10"/>
  <c r="G73" i="10"/>
  <c r="G72" i="10"/>
  <c r="G71" i="10"/>
  <c r="G70" i="10"/>
  <c r="G69" i="10"/>
  <c r="G68" i="10"/>
  <c r="G67" i="10"/>
  <c r="G66" i="10"/>
  <c r="G63" i="10"/>
  <c r="G62" i="10"/>
  <c r="G61" i="10"/>
  <c r="G60" i="10"/>
  <c r="G58" i="10"/>
  <c r="G51" i="10"/>
  <c r="G49" i="10"/>
  <c r="G36" i="10"/>
  <c r="G31" i="10"/>
  <c r="G26" i="10"/>
  <c r="G21" i="10"/>
  <c r="G14" i="10"/>
  <c r="G13" i="10"/>
  <c r="G12" i="10"/>
  <c r="G11" i="10"/>
  <c r="G10" i="10"/>
  <c r="G9" i="10"/>
  <c r="B65" i="3" l="1"/>
  <c r="J338" i="4" l="1"/>
  <c r="P338" i="4" l="1"/>
  <c r="Q338" i="4"/>
  <c r="R338" i="4"/>
  <c r="S338" i="4"/>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<sst xmlns="http://schemas.openxmlformats.org/spreadsheetml/2006/main" count="22383" uniqueCount="3689">
  <si>
    <t>TARIF N°7 - LOT5 - MATINFO5</t>
  </si>
  <si>
    <t>DATE DE SOUMISSION</t>
  </si>
  <si>
    <t>VERSION</t>
  </si>
  <si>
    <t>AJOUT</t>
  </si>
  <si>
    <t>Le __/__/2023</t>
  </si>
  <si>
    <t>Tarif n°7</t>
  </si>
  <si>
    <t>le 25/10/2022</t>
  </si>
  <si>
    <t>tarif n°6</t>
  </si>
  <si>
    <r>
      <rPr>
        <sz val="16"/>
        <color theme="1"/>
        <rFont val="Calibri"/>
        <family val="2"/>
        <scheme val="minor"/>
      </rPr>
      <t xml:space="preserve">18/10/2022 : Keynote Apple nouveaux modèles iPad : </t>
    </r>
    <r>
      <rPr>
        <sz val="16"/>
        <color rgb="FF2CAB42"/>
        <rFont val="Calibri"/>
        <family val="2"/>
        <scheme val="minor"/>
      </rPr>
      <t>Nouvel iPad Pro 11 et 12,9 : Puce M2, Wifi 6 et nouvelles fonctionnalités avec l'Apple Pencil. Mêmes dimensions que les précédents
	Nouvel iPad 10.9 : Puce A14 USB-C,
	Nouveau magic keyboard pour iPad Pro,
	Nouvelle Apple TV : Puce A15</t>
    </r>
  </si>
  <si>
    <t>Augmentation de prix : Garanties, moniteurs, disques durs (mail explicatif)</t>
  </si>
  <si>
    <t>Ajout de nouveaux accessoires (multi marques)</t>
  </si>
  <si>
    <t>le 17/06/2022</t>
  </si>
  <si>
    <t>tarif n°5</t>
  </si>
  <si>
    <t>06/06/2022 Keynote Apple : nouveau MacBook Air M2 et MacBook Pro 13 M2</t>
  </si>
  <si>
    <t>Supression des modèles MacBook Air M1 haut de gamme et MacBook Pro 13“ M1</t>
  </si>
  <si>
    <t>Augmentation de prix pour les MacBook Air M1 (MGN63FN/A - MGN93FN/A et MGND3FN/A)</t>
  </si>
  <si>
    <t>Ajout d'accessoires (Apple et Belkin adaptateurs et câbles USB-C)</t>
  </si>
  <si>
    <t>le 22/03/2022</t>
  </si>
  <si>
    <t>Tarif n°4</t>
  </si>
  <si>
    <t>08/03/2022 suite à la Keynote Apple nouveaux iPad Air 10,9 et nouvelle configuration Mac Studio</t>
  </si>
  <si>
    <t xml:space="preserve"> iMac 21,5 et 27“ obsolètes et sorties de la gamme Apple</t>
  </si>
  <si>
    <t>Baisse de prix sur des références de passages pour les 2 Mac pro (stockage, carte graphique)</t>
  </si>
  <si>
    <t>Modification des références sur les passages de claviers portables (IE anglais International, BR anglais Britannique et US anglais américain)</t>
  </si>
  <si>
    <t>Onglet services : modification références et désignation Ecocare par E-Care et augmentation des prix</t>
  </si>
  <si>
    <t>Ajout de nouveaux étuis de protection iPad et  housses pour MacBook Pro 13 et 14“</t>
  </si>
  <si>
    <t>Supression onglets 6 et 7 DROM-COM et ajout des contrats AppleCare 3 ans spécifique DROM-COM dans l'onglet 2</t>
  </si>
  <si>
    <t>Changement de références pour les services spécifiques DROM-COM (C2I)</t>
  </si>
  <si>
    <t>le 25/10/2021</t>
  </si>
  <si>
    <t>Tarif n°3_V1</t>
  </si>
  <si>
    <t>18/10/2021 Keynote Apple : 2 nouveaux modèles MacBook Pro 14“ et 16“</t>
  </si>
  <si>
    <t>Supression de la gamme MacBook Pro 13“ et 16“ INTEL</t>
  </si>
  <si>
    <t>Augmentation de prix sur logiciels Apple</t>
  </si>
  <si>
    <t>le 24/09/2021</t>
  </si>
  <si>
    <t>Tarif n°2_V1</t>
  </si>
  <si>
    <t>14/09/2021 Suite à la Keynote Apple annonce de nouveaux modèles : iPad 10,2" et iPad mini</t>
  </si>
  <si>
    <t>Correction de prix sur les garanties optionnelles (Pro et Platine 7 et 8 ans)</t>
  </si>
  <si>
    <t>Ajout d'accessoires (smart folio pour nouveaux ipad + hub Satechi )</t>
  </si>
  <si>
    <t>le 25/08/2021</t>
  </si>
  <si>
    <t>Tarif n°1_V2</t>
  </si>
  <si>
    <t>03/08/2021 changement Apple : Introduction de nouvelles cartes graphique pour Mac Pro + suppression des références obsolètes</t>
  </si>
  <si>
    <t>Création de nouvelles références de garantie pour chaque gamme iPad ( iPad 10,2"iPad Air, et iPad Pro 11 &amp; 12")</t>
  </si>
  <si>
    <t>Correction du prix public sur MacBook Pro 16" (MVVM2F/A + MVVK2F/A) erreur de prix</t>
  </si>
  <si>
    <t>Correction des prix public (sans l'écotaxe) sur la gamme MacBook Pro 13" M1 et intel</t>
  </si>
  <si>
    <t>Introduction de nouveaux claviers "magic keyboard pour Mac et iPad</t>
  </si>
  <si>
    <t>Introduction de nouveaux accessoires Apple, Satechi</t>
  </si>
  <si>
    <t>Suppression des produits obsolètes</t>
  </si>
  <si>
    <t>le 19/07/2021</t>
  </si>
  <si>
    <t>Tarif n°1_V1</t>
  </si>
  <si>
    <t>Introdution d'une page de garde</t>
  </si>
  <si>
    <t>Nouveaux onglets créés : accessoires et logiciels, service et location</t>
  </si>
  <si>
    <t>Suppression du moniteur Apple 32"</t>
  </si>
  <si>
    <t xml:space="preserve">Mise à jour de la gamme des iMacs et introduction des iMacs 24" </t>
  </si>
  <si>
    <t xml:space="preserve">Suppression du contrat Apple Care Entreprise 5 ans </t>
  </si>
  <si>
    <t>Introduction des moniteurs Viewsonic et  Samsung</t>
  </si>
  <si>
    <t>Introduction des accessoires ancienne génération de portables</t>
  </si>
  <si>
    <t>Introduction d'accessoires Mobilis pour iPad</t>
  </si>
  <si>
    <t>Introduction de barrettes mémoire pour station fixes (iMac et Mac Pro)</t>
  </si>
  <si>
    <t>Introduction de chariots Lockncharge</t>
  </si>
  <si>
    <t>Introduction de la nouvelle gamme iPad Pro 11 et 12,9" puce M1 (à l'exception de la capacité de stockage de 2To)</t>
  </si>
  <si>
    <t>modification et création d'une seule référence de "gravure", suppression des références par "tranche"</t>
  </si>
  <si>
    <t>Modification de référence et désignation sur l'option de garantie ECOCARE</t>
  </si>
  <si>
    <t>Coeff locatif 12 mois</t>
  </si>
  <si>
    <t>Coeff locatif 24 mois</t>
  </si>
  <si>
    <t>Coeff locatif 36 mois</t>
  </si>
  <si>
    <t>Coeff locatif 48 mois</t>
  </si>
  <si>
    <t>LÉGENDE</t>
  </si>
  <si>
    <r>
      <t>Vert: Nouveauté</t>
    </r>
    <r>
      <rPr>
        <b/>
        <sz val="14"/>
        <color rgb="FF000000"/>
        <rFont val="Calibri"/>
        <family val="2"/>
      </rPr>
      <t xml:space="preserve"> -</t>
    </r>
    <r>
      <rPr>
        <b/>
        <sz val="14"/>
        <color rgb="FFFF0000"/>
        <rFont val="Calibri"/>
        <family val="2"/>
      </rPr>
      <t xml:space="preserve"> Rouge: Suppression</t>
    </r>
    <r>
      <rPr>
        <b/>
        <sz val="14"/>
        <color rgb="FF000000"/>
        <rFont val="Calibri"/>
        <family val="2"/>
      </rPr>
      <t xml:space="preserve"> - </t>
    </r>
    <r>
      <rPr>
        <b/>
        <sz val="14"/>
        <color rgb="FFFFC000"/>
        <rFont val="Calibri"/>
        <family val="2"/>
      </rPr>
      <t>Orange: Modification</t>
    </r>
  </si>
  <si>
    <t>PROPOSITION DE TARIF N°7 VALIDE AU XX/XX/2023</t>
  </si>
  <si>
    <t>Catégories - Configurations</t>
  </si>
  <si>
    <t>Nomenclatures CPV</t>
  </si>
  <si>
    <t>Code NACRES</t>
  </si>
  <si>
    <t>durée de location</t>
  </si>
  <si>
    <t>TARIF N°6 VALIDE AU 03/11/2022</t>
  </si>
  <si>
    <t>Réf. article fournisseur</t>
  </si>
  <si>
    <t xml:space="preserve">Libellé de l'article </t>
    <phoneticPr fontId="3" type="noConversion"/>
  </si>
  <si>
    <t>Unité de vente</t>
  </si>
  <si>
    <t>Marque</t>
  </si>
  <si>
    <t>Réf. article fabricant</t>
  </si>
  <si>
    <t>Prix public par unité de vente en € HT</t>
  </si>
  <si>
    <t>Taux de remise en %</t>
  </si>
  <si>
    <t>Prix net remisé par unité de vente en € HT</t>
  </si>
  <si>
    <t>Réf. extension garantie obligatoire</t>
  </si>
  <si>
    <t>Prix Passage à une garantie obligatoire</t>
  </si>
  <si>
    <t>Prix total remisé configuration</t>
  </si>
  <si>
    <t>Taxe Copie Privée en € HT</t>
  </si>
  <si>
    <t>Ecotaxe en € HT</t>
  </si>
  <si>
    <t>Statistiques Matinfo 4</t>
  </si>
  <si>
    <t xml:space="preserve">Libellé de l'article </t>
  </si>
  <si>
    <t>MGN93FN/A</t>
  </si>
  <si>
    <t>MacBook Air 13" argent / M1 CPU 8 cœurs GPU 7 cœurs / 8 Go / 256 Go SSD / 2xThunderbolt USB 4 / Wi‑Fi 6 802.11ax / Bluetooth 5.0</t>
  </si>
  <si>
    <t>APPLE</t>
  </si>
  <si>
    <t>MI5-MBA-13-5-PLUS</t>
  </si>
  <si>
    <t>-</t>
  </si>
  <si>
    <t>Catégorie 1 - Portables legers - Configuration 1</t>
  </si>
  <si>
    <t xml:space="preserve">30213100-6 </t>
  </si>
  <si>
    <t>IA12</t>
  </si>
  <si>
    <t>CTO-MGN93-16GB</t>
  </si>
  <si>
    <t>Passage à 16 Go de mémoire unifiée pour MacBook Air MGN93FN/A</t>
  </si>
  <si>
    <t/>
  </si>
  <si>
    <t>CTO-MGN93-SSD512</t>
  </si>
  <si>
    <t>Passage à 512 Go de stockage SSD pour MacBook Air MGN93FN/A</t>
  </si>
  <si>
    <t>CTO-MGN93-SSD1To</t>
  </si>
  <si>
    <t>Passage à 1 To de stockage SSD pour MacBook Air MGN93FN/A</t>
  </si>
  <si>
    <t>CTO-MGN93-SSD2To</t>
  </si>
  <si>
    <t>Passage à 2 To de stockage SSD pour MacBook Air MGN93FN/A</t>
  </si>
  <si>
    <t>CTO-MGN93-QUS</t>
  </si>
  <si>
    <t>Passage à un clavier rétro-éclairé anglais américain &amp; guide utilisateur anglais pour MacBook Air MGN93FN/A</t>
  </si>
  <si>
    <t>CTO-MGN93-QBR</t>
  </si>
  <si>
    <t>Passage à un clavier rétro-éclairé anglais Britannique &amp; guide utilisateur anglais pour MacBook Air MGN93FN/A</t>
  </si>
  <si>
    <t>CTO-MGN93-QIE</t>
  </si>
  <si>
    <t>Passage à un clavier rétro-éclairé anglais International &amp; guide utilisateur anglais pour MacBook Air MGN93FN/A</t>
  </si>
  <si>
    <t>OPTION CLAVIERS "LANGUES" disponibles pour les références : (MGN93 + MGN63 + MGND3 + MGNA3 + MGN73 + MGNE3)</t>
  </si>
  <si>
    <t>existe en :  allemand / espagnol / italien / suisse</t>
  </si>
  <si>
    <t>Garantie 5 ans formule Plus pour MacBook Air (intervention à J+1 - réparation à J+3 ou MacBook Air de prêt)</t>
  </si>
  <si>
    <t>ECONOCOM</t>
  </si>
  <si>
    <t>Extensions de garantie</t>
  </si>
  <si>
    <t xml:space="preserve"> 66515000-3</t>
  </si>
  <si>
    <t>IC02</t>
  </si>
  <si>
    <t>MI5-MBA-13-6-PLUS</t>
  </si>
  <si>
    <r>
      <t xml:space="preserve">Passage à une garantie 6 ans </t>
    </r>
    <r>
      <rPr>
        <sz val="10"/>
        <rFont val="Calibri (Corps)"/>
      </rPr>
      <t>formule Plus</t>
    </r>
    <r>
      <rPr>
        <sz val="10"/>
        <rFont val="Calibri"/>
        <family val="2"/>
        <scheme val="minor"/>
      </rPr>
      <t xml:space="preserve"> pour MacBook Air (intervention à J+1 - réparation à J+3 ou MacBook Air de prêt)</t>
    </r>
  </si>
  <si>
    <t>Passage à une garantie 6 ans formule Plus pour MacBook Air (intervention à J+1 - réparation à J+3 ou MacBook Air de prêt)</t>
  </si>
  <si>
    <t>MI5-MBA-13-7-PLUS</t>
  </si>
  <si>
    <r>
      <t xml:space="preserve">Passage à une garantie 7 ans </t>
    </r>
    <r>
      <rPr>
        <sz val="10"/>
        <rFont val="Calibri (Corps)"/>
      </rPr>
      <t>formule Plus</t>
    </r>
    <r>
      <rPr>
        <sz val="10"/>
        <rFont val="Calibri"/>
        <family val="2"/>
        <scheme val="minor"/>
      </rPr>
      <t xml:space="preserve"> pour MacBook Air (intervention à J+1 - réparation à J+3 ou MacBook Air de prêt)</t>
    </r>
  </si>
  <si>
    <t>Passage à une garantie 7 ans formule Plus pour MacBook Air (intervention à J+1 - réparation à J+3 ou MacBook Air de prêt)</t>
  </si>
  <si>
    <t>MI5-MBA-13-8-PLUS</t>
  </si>
  <si>
    <r>
      <t xml:space="preserve">Passage à une garantie 8 ans </t>
    </r>
    <r>
      <rPr>
        <sz val="10"/>
        <rFont val="Calibri (Corps)"/>
      </rPr>
      <t>formule Plus</t>
    </r>
    <r>
      <rPr>
        <sz val="10"/>
        <rFont val="Calibri"/>
        <family val="2"/>
        <scheme val="minor"/>
      </rPr>
      <t xml:space="preserve"> pour MacBook Air (intervention à J+1 - réparation à J+3 ou MacBook Air de prêt)</t>
    </r>
  </si>
  <si>
    <t>Passage à une garantie 8 ans formule Plus pour MacBook Air (intervention à J+1 - réparation à J+3 ou MacBook Air de prêt)</t>
  </si>
  <si>
    <t>MI5-MBA-13-5-PRO</t>
  </si>
  <si>
    <r>
      <t xml:space="preserve">Passage à une garantie 5 ans </t>
    </r>
    <r>
      <rPr>
        <sz val="10"/>
        <rFont val="Calibri (Corps)"/>
      </rPr>
      <t>formule Pro+</t>
    </r>
    <r>
      <rPr>
        <sz val="10"/>
        <rFont val="Calibri"/>
        <family val="2"/>
        <scheme val="minor"/>
      </rPr>
      <t xml:space="preserve"> pour MacBook Air (diagnostic à H+4 - remplacement à J+1)</t>
    </r>
  </si>
  <si>
    <t>Passage à une garantie 5 ans formule Pro+ pour MacBook Air (diagnostic à H+4 - remplacement à J+1)</t>
  </si>
  <si>
    <t>MI5-MBA-13-6-PRO</t>
  </si>
  <si>
    <r>
      <t xml:space="preserve">Passage à une garantie 6 ans </t>
    </r>
    <r>
      <rPr>
        <sz val="10"/>
        <rFont val="Calibri (Corps)"/>
      </rPr>
      <t>formule Pro+</t>
    </r>
    <r>
      <rPr>
        <sz val="10"/>
        <rFont val="Calibri"/>
        <family val="2"/>
        <scheme val="minor"/>
      </rPr>
      <t xml:space="preserve"> pour MacBook Air (diagnostic à H+4 - remplacement à J+1)</t>
    </r>
  </si>
  <si>
    <t>Passage à une garantie 6 ans formule Pro+ pour MacBook Air (diagnostic à H+4 - remplacement à J+1)</t>
  </si>
  <si>
    <t>MI5-MBA-13-7-PRO</t>
  </si>
  <si>
    <r>
      <t xml:space="preserve">Passage à une garantie 7 ans </t>
    </r>
    <r>
      <rPr>
        <sz val="10"/>
        <rFont val="Calibri (Corps)"/>
      </rPr>
      <t>formule Pro+</t>
    </r>
    <r>
      <rPr>
        <sz val="10"/>
        <rFont val="Calibri"/>
        <family val="2"/>
        <scheme val="minor"/>
      </rPr>
      <t xml:space="preserve"> pour MacBook Air (diagnostic à H+4 - remplacement à J+1)</t>
    </r>
  </si>
  <si>
    <t>Passage à une garantie 7 ans formule Pro+ pour MacBook Air (diagnostic à H+4 - remplacement à J+1)</t>
  </si>
  <si>
    <t>MI5-MBA-13-8-PRO</t>
  </si>
  <si>
    <r>
      <t xml:space="preserve">Passage à une garantie 8 ans </t>
    </r>
    <r>
      <rPr>
        <sz val="10"/>
        <rFont val="Calibri (Corps)"/>
      </rPr>
      <t>formule Pro+</t>
    </r>
    <r>
      <rPr>
        <sz val="10"/>
        <rFont val="Calibri"/>
        <family val="2"/>
        <scheme val="minor"/>
      </rPr>
      <t xml:space="preserve"> pour MacBook Air (diagnostic à H+4 - remplacement à J+1)</t>
    </r>
  </si>
  <si>
    <t>Passage à une garantie 8 ans formule Pro+ pour MacBook Air (diagnostic à H+4 - remplacement à J+1)</t>
  </si>
  <si>
    <t>MI5-MBA-13-5-PLATINE</t>
  </si>
  <si>
    <r>
      <t xml:space="preserve">Passage à une garantie 5 ans formule </t>
    </r>
    <r>
      <rPr>
        <sz val="10"/>
        <rFont val="Calibri (Corps)"/>
      </rPr>
      <t>Platine</t>
    </r>
    <r>
      <rPr>
        <sz val="10"/>
        <rFont val="Calibri"/>
        <family val="2"/>
        <scheme val="minor"/>
      </rPr>
      <t xml:space="preserve"> pour MacBook Air (réparation sur site de J+1 à J+3 maximum)</t>
    </r>
  </si>
  <si>
    <t>Passage à une garantie 5 ans formule Platine pour MacBook Air (réparation sur site de J+1 à J+3 maximum)</t>
  </si>
  <si>
    <t>MI5-MBA-13-6-PLATINE</t>
  </si>
  <si>
    <r>
      <t xml:space="preserve">Passage à une garantie 6 ans formule </t>
    </r>
    <r>
      <rPr>
        <sz val="10"/>
        <rFont val="Calibri (Corps)"/>
      </rPr>
      <t>Platine</t>
    </r>
    <r>
      <rPr>
        <sz val="10"/>
        <rFont val="Calibri"/>
        <family val="2"/>
        <scheme val="minor"/>
      </rPr>
      <t xml:space="preserve"> pour MacBook Air (réparation sur site de J+1 à J+3 maximum)</t>
    </r>
  </si>
  <si>
    <t>Passage à une garantie 6 ans formule Platine pour MacBook Air (réparation sur site de J+1 à J+3 maximum)</t>
  </si>
  <si>
    <t>MI5-MBA-13-7-PLATINE</t>
  </si>
  <si>
    <r>
      <t xml:space="preserve">Passage à une garantie 7 ans formule </t>
    </r>
    <r>
      <rPr>
        <sz val="10"/>
        <rFont val="Calibri (Corps)"/>
      </rPr>
      <t>Platine</t>
    </r>
    <r>
      <rPr>
        <sz val="10"/>
        <rFont val="Calibri"/>
        <family val="2"/>
        <scheme val="minor"/>
      </rPr>
      <t xml:space="preserve"> pour MacBook Air (réparation sur site de J+1 à J+3 maximum)</t>
    </r>
  </si>
  <si>
    <t>Passage à une garantie 7 ans formule Platine pour MacBook Air (réparation sur site de J+1 à J+3 maximum)</t>
  </si>
  <si>
    <t>MI5-MBA-13-8-PLATINE</t>
  </si>
  <si>
    <r>
      <t xml:space="preserve">Passage à une garantie 8 ans formule </t>
    </r>
    <r>
      <rPr>
        <sz val="10"/>
        <rFont val="Calibri (Corps)"/>
      </rPr>
      <t>Platine</t>
    </r>
    <r>
      <rPr>
        <sz val="10"/>
        <rFont val="Calibri"/>
        <family val="2"/>
        <scheme val="minor"/>
      </rPr>
      <t xml:space="preserve"> pour MacBook Air (réparation sur site de J+1 à J+3 maximum)</t>
    </r>
  </si>
  <si>
    <t>Passage à une garantie 8 ans formule Platine pour MacBook Air (réparation sur site de J+1 à J+3 maximum)</t>
  </si>
  <si>
    <t>MI5-MBA-13-5-PLUS-INTER</t>
  </si>
  <si>
    <t>Garantie 5 ans formule Plus internationale pour MacBook Air (France : intervention à J+1 - réparation à J+3 ou MacBook Air de prêt pour la France Métropolitaine - retour atelier pour l'étranger) (remplace la garantie 5 ans formule Plus)</t>
  </si>
  <si>
    <t>MI5-MBA-13-5-PRO-INTER</t>
  </si>
  <si>
    <t>Garantie 5 ans formule Pro internationale pour MacBook Air (diagnostic à H+4 - remplacement à J+1 - retour atelier à l'étranger)(remplace la garantie 5 ans formule Plus)</t>
  </si>
  <si>
    <t>MI5-MBA-13-5-E-CARE</t>
  </si>
  <si>
    <t>Service de substitution forfaité d'une durée de 5 ans pour MacBook Air</t>
  </si>
  <si>
    <t>MI5-MBA-13-5-E-KYOD</t>
  </si>
  <si>
    <t>Service de conservation du disque dur pour une durée de 5 ans pour MacBook Air (Keep your own drive)</t>
  </si>
  <si>
    <t>MGN63FN/A</t>
  </si>
  <si>
    <t>MacBook Air 13" gris sidéral / M1 CPU 8 cœurs GPU 7 cœurs / 8 Go / 256 Go SSD / 2xThunderbolt USB 4 / Wi‑Fi 6 802.11ax / Bluetooth 5.0</t>
  </si>
  <si>
    <t>CTO-MGN63-16GB</t>
  </si>
  <si>
    <t>Passage à 16 Go de mémoire unifiée pour MacBook Air MGN63FN/A</t>
  </si>
  <si>
    <t>CTO-MGN63-SSD512</t>
  </si>
  <si>
    <t>Passage à 512 Go de stockage SSD pour MacBook Air MGN63FN/A</t>
  </si>
  <si>
    <t>CTO-MGN63-SSD1To</t>
  </si>
  <si>
    <t>Passage à 1 To de stockage SSD pour MacBook Air MGN63FN/A</t>
  </si>
  <si>
    <t>CTO-MGN63-SSD2To</t>
  </si>
  <si>
    <t>Passage à 2 To de stockage SSD pour MacBook Air MGN63FN/A</t>
  </si>
  <si>
    <t>CTO-MGN63-QUS</t>
  </si>
  <si>
    <t>Passage à un clavier rétro-éclairé anglais américain &amp; guide utilisateur anglais pour MacBook Air MGN63FN/A</t>
  </si>
  <si>
    <t>CTO-MGN63-QBR</t>
  </si>
  <si>
    <t>Passage à un clavier rétro-éclairé anglais Britannique &amp; guide utilisateur anglais pour MacBook Air MGN63FN/A</t>
  </si>
  <si>
    <t>CTO-MGN63-QIE</t>
  </si>
  <si>
    <t>Passage à un clavier rétro-éclairé anglais International &amp; guide utilisateur anglais pour MacBook Air MGN63FN/A</t>
  </si>
  <si>
    <t>MGND3FN/A</t>
  </si>
  <si>
    <t>MacBook Air 13" or / M1 CPU 8 cœurs GPU 7 cœurs / 8 Go / 256 Go SSD / 2xThunderbolt USB 4 / Wi‑Fi 6 802.11ax / Bluetooth 5.0</t>
  </si>
  <si>
    <t>CTO-MGND3-16GB</t>
  </si>
  <si>
    <t>Passage à 16 Go de mémoire unifiée pour MacBook Air MGND3FN/A</t>
  </si>
  <si>
    <t>CTO-MGND3-SSD512</t>
  </si>
  <si>
    <t>Passage à 512 Go de stockage SSD pour MacBook Air MGND3FN/A</t>
  </si>
  <si>
    <t>CTO-MGND3-SSD1To</t>
  </si>
  <si>
    <t>Passage à 1 To de stockage SSD pour MacBook Air MGND3FN/A</t>
  </si>
  <si>
    <t>CTO-MGND3-SSD2To</t>
  </si>
  <si>
    <t>Passage à 2 To de stockage SSD pour MacBook Air MGND3FN/A</t>
  </si>
  <si>
    <t>CTO-MGND3-QUS</t>
  </si>
  <si>
    <t>Passage à un clavier rétro-éclairé anglais américain &amp; guide utilisateur anglais pour MacBook Air MGND3FN/A</t>
  </si>
  <si>
    <t>CTO-MGND3-QBR</t>
  </si>
  <si>
    <t>Passage à un clavier rétro-éclairé anglais Britannique &amp; guide utilisateur anglais pour MacBook Air MGND3FN/A</t>
  </si>
  <si>
    <t>CTO-MGND3-QIE</t>
  </si>
  <si>
    <t>Passage à un clavier rétro-éclairé anglais International &amp; guide utilisateur anglais pour MacBook Air MGND3FN/A</t>
  </si>
  <si>
    <t>MLXW3FN/A</t>
  </si>
  <si>
    <t>MacBook Air 13,6" / M2 CPU 8 cœurs GPU 8 cœurs / 8 Go / 256 Go SSD / 2xThunderbolt USB 4 / Wi-Fi 6 802.11ax / MagSafe 3 / Gris sidéral</t>
  </si>
  <si>
    <t>Catégorie 1 - Portables legers - Configuration 2</t>
  </si>
  <si>
    <t>CTO-MLXW3-M2GPU10</t>
  </si>
  <si>
    <t>Passage à un M2 avec CPU 8 cœurs GPU 10 cœurs pour MacBook Air MLXW3FN/A</t>
  </si>
  <si>
    <t>CTO-MLXW3-16GB</t>
  </si>
  <si>
    <t>Passage à 16 Go de mémoire unifiée pour MacBook Air MLXW3FN/A</t>
  </si>
  <si>
    <t>CTO-MLXW3-24GB</t>
  </si>
  <si>
    <t>Passage à 24 Go de mémoire unifiée pour MacBook Air MLXW3FN/A</t>
  </si>
  <si>
    <t>CTO-MLXW3-SSD512</t>
  </si>
  <si>
    <t>Passage à 512 Go de stockage SSD pour MacBook Air MLXW3FN/A</t>
  </si>
  <si>
    <t>CTO-MLXW3-SSD1To</t>
  </si>
  <si>
    <t>Passage à 1 To de stockage SSD pour MacBook Air MLXW3FN/A</t>
  </si>
  <si>
    <t>CTO-MLXW3-SSD2To</t>
  </si>
  <si>
    <t>Passage à 2 To de stockage SSD pour MacBook Air MLXW3FN/A</t>
  </si>
  <si>
    <t>CTO-MLXW3-35W</t>
  </si>
  <si>
    <t>Passage à un adaptateur secteur double port USB-C 35 W pour MacBook Air MLXW3FN/A</t>
  </si>
  <si>
    <t>CTO-MLXW3-67W</t>
  </si>
  <si>
    <t>Passage à un adaptateur secteur USB-C 67 W pour MacBook Air MLXW3FN/A</t>
  </si>
  <si>
    <t>CTO-MLXW3-QUS</t>
  </si>
  <si>
    <t>Passage à un clavier américain &amp; guide utilisateur anglais pour MacBook Air MLXW3FN/A</t>
  </si>
  <si>
    <t>CTO-MLXW3-QIE</t>
  </si>
  <si>
    <t>Passage à un clavier anglais international &amp; guide utilisateur anglais pour MacBook Air MLXW3FN/A</t>
  </si>
  <si>
    <t>CTO-MLXW3-QAL</t>
  </si>
  <si>
    <t>Passage à un clavier rétro-éclairé allemand pour MacBook Air MLXW3FN/A</t>
  </si>
  <si>
    <t>CTO-MLXW3-QBR</t>
  </si>
  <si>
    <t>Passage à un clavier rétro-éclairé anglais britannique pour MacBook Air MLXW3FN/A</t>
  </si>
  <si>
    <t>CTO-MLXW3-QCH</t>
  </si>
  <si>
    <t>Passage à un clavier rétro-éclairé suisse pour MacBook Air MLXW3FN/A</t>
  </si>
  <si>
    <t>CTO-MLXW3-QES</t>
  </si>
  <si>
    <t>Passage à un clavier rétro-éclairé espagnol pour MacBook Air MLXW3FN/A</t>
  </si>
  <si>
    <t>CTO-MLXW3-QIT</t>
  </si>
  <si>
    <t>Passage à un clavier rétro-éclairé italien pour MacBook Air MLXW3FN/A</t>
  </si>
  <si>
    <t>MLXY3FN/A</t>
  </si>
  <si>
    <t>MacBook Air 13,6" / M2 CPU 8 cœurs GPU 8 cœurs / 8 Go / 256 Go SSD / 2xThunderbolt USB 4 / Wi‑Fi 6 802.11ax / MagSafe 3 / Argent</t>
  </si>
  <si>
    <t>CTO-MLXY3-M2GPU10</t>
  </si>
  <si>
    <t>Passage à un M2 avec CPU 8 cœurs GPU 10 cœurs pour MacBook Air MLXY3FN/A</t>
  </si>
  <si>
    <t>CTO-MLXY3-16GB</t>
  </si>
  <si>
    <t>Passage à 16 Go de mémoire unifiée pour MacBook Air MLXY3FN/A</t>
  </si>
  <si>
    <t>CTO-MLXY3-24GB</t>
  </si>
  <si>
    <t>Passage à 24 Go de mémoire unifiée pour MacBook Air MLXY3FN/A</t>
  </si>
  <si>
    <t>CTO-MLXY3-SSD512</t>
  </si>
  <si>
    <t>Passage à 512 Go de stockage SSD pour MacBook Air MLXY3FN/A</t>
  </si>
  <si>
    <t>CTO-MLXY3-SSD1To</t>
  </si>
  <si>
    <t>Passage à 1 To de stockage SSD pour MacBook Air MLXY3FN/A</t>
  </si>
  <si>
    <t>CTO-MLXY3-SSD2To</t>
  </si>
  <si>
    <t>Passage à 2 To de stockage SSD pour MacBook Air MLXY3FN/A</t>
  </si>
  <si>
    <t>CTO-MLXY3-35W</t>
  </si>
  <si>
    <t>Passage à un adaptateur secteur double port USB-C 35 W pour MacBook Air MLXY3FN/A</t>
  </si>
  <si>
    <t>CTO-MLXY3-67W</t>
  </si>
  <si>
    <t>Passage à un adaptateur secteur USB-C 67 W pour MacBook Air MLXY3FN/A</t>
  </si>
  <si>
    <t>CTO-MLXY3-QUS</t>
  </si>
  <si>
    <t>Passage à un clavier américain &amp; guide utilisateur anglais pour MacBook Air MLXY3FN/A</t>
  </si>
  <si>
    <t>CTO-MLXY3-QIE</t>
  </si>
  <si>
    <t>Passage à un clavier anglais international &amp; guide utilisateur anglais pour MacBook Air MLXY3FN/A</t>
  </si>
  <si>
    <t>CTO-MLXY3-QAL</t>
  </si>
  <si>
    <t>Passage à un clavier rétro-éclairé allemand pour MacBook Air MLXY3FN/A</t>
  </si>
  <si>
    <t>CTO-MLXY3-QBR</t>
  </si>
  <si>
    <t>Passage à un clavier rétro-éclairé anglais britannique pour MacBook Air MLXY3FN/A</t>
  </si>
  <si>
    <t>CTO-MLXY3-QCH</t>
  </si>
  <si>
    <t>Passage à un clavier rétro-éclairé suisse pour MacBook Air MLXY3FN/A</t>
  </si>
  <si>
    <t>CTO-MLXY3-QES</t>
  </si>
  <si>
    <t>Passage à un clavier rétro-éclairé espagnol pour MacBook Air MLXY3FN/A</t>
  </si>
  <si>
    <t>CTO-MLXY3-QIT</t>
  </si>
  <si>
    <t>Passage à un clavier rétro-éclairé italien pour MacBook Air MLXY3FN/A</t>
  </si>
  <si>
    <t>MLY13FN/A</t>
  </si>
  <si>
    <t>MacBook Air 13,6" / M2 CPU 8 cœurs GPU 8 cœurs / 8 Go / 256 Go SSD / 2xThunderbolt USB 4 / Wi‑Fi 6 802.11ax / MagSafe 3 / Lumière stellaire</t>
  </si>
  <si>
    <t>CTO-MLY13-M2GPU10</t>
  </si>
  <si>
    <t>Passage à un M2 avec CPU 8 cœurs GPU 10 cœurs pour MacBook Air MLY13FN/A</t>
  </si>
  <si>
    <t>CTO-MLY13-16GB</t>
  </si>
  <si>
    <t>Passage à 16 Go de mémoire unifiée pour MacBook Air MLY13FN/A</t>
  </si>
  <si>
    <t>CTO-MLY13-24GB</t>
  </si>
  <si>
    <t>Passage à 24 Go de mémoire unifiée pour MacBook Air MLY13FN/A</t>
  </si>
  <si>
    <t>CTO-MLY13-SSD512</t>
  </si>
  <si>
    <t>Passage à 512 Go de stockage SSD pour MacBook Air MLY13FN/A</t>
  </si>
  <si>
    <t>CTO-MLY13-SSD1To</t>
  </si>
  <si>
    <t>Passage à 1 To de stockage SSD pour MacBook Air MLY13FN/A</t>
  </si>
  <si>
    <t>CTO-MLY13-SSD2To</t>
  </si>
  <si>
    <t>Passage à 2 To de stockage SSD pour MacBook Air MLY13FN/A</t>
  </si>
  <si>
    <t>CTO-MLY13-35W</t>
  </si>
  <si>
    <t>Passage à un adaptateur secteur double port USB-C 35 W pour MacBook Air MLY13FN/A</t>
  </si>
  <si>
    <t>CTO-MLY13-67W</t>
  </si>
  <si>
    <t>Passage à un adaptateur secteur USB-C 67 W pour MacBook Air MLY13FN/A</t>
  </si>
  <si>
    <t>CTO-MLY13-QUS</t>
  </si>
  <si>
    <t>Passage à un clavier américain &amp; guide utilisateur anglais pour MacBook Air MLY13FN/A</t>
  </si>
  <si>
    <t>CTO-MLY13-QIE</t>
  </si>
  <si>
    <t>Passage à un clavier anglais international &amp; guide utilisateur anglais pour MacBook Air MLY13FN/A</t>
  </si>
  <si>
    <t>CTO-MLY13-QAL</t>
  </si>
  <si>
    <t>Passage à un clavier rétro-éclairé allemand pour MacBook Air MLY13FN/A</t>
  </si>
  <si>
    <t>CTO-MLY13-QBR</t>
  </si>
  <si>
    <t>Passage à un clavier rétro-éclairé anglais britannique pour MacBook Air MLY13FN/A</t>
  </si>
  <si>
    <t>CTO-MLY13-QCH</t>
  </si>
  <si>
    <t>Passage à un clavier rétro-éclairé suisse pour MacBook Air MLY13FN/A</t>
  </si>
  <si>
    <t>CTO-MLY13-QES</t>
  </si>
  <si>
    <t>Passage à un clavier rétro-éclairé espagnol pour MacBook Air MLY13FN/A</t>
  </si>
  <si>
    <t>CTO-MLY13-QIT</t>
  </si>
  <si>
    <t>Passage à un clavier rétro-éclairé italien pour MacBook Air MLY13FN/A</t>
  </si>
  <si>
    <t>MLY33FN/A</t>
  </si>
  <si>
    <t>MacBook Air 13,6" / M2 CPU 8 cœurs GPU 8 cœurs / 8 Go / 256 Go SSD / 2xThunderbolt USB 4 / Wi‑Fi 6 802.11ax / MagSafe 3 / Minuit</t>
  </si>
  <si>
    <t>CTO-MLY33-M2GPU10</t>
  </si>
  <si>
    <t>Passage à un M2 avec CPU 8 cœurs GPU 10 cœurs pour MacBook Air MLY33FN/A</t>
  </si>
  <si>
    <t>CTO-MLY33-16GB</t>
  </si>
  <si>
    <t>Passage à 16 Go de mémoire unifiée pour MacBook Air MLY33FN/A</t>
  </si>
  <si>
    <t>CTO-MLY33-24GB</t>
  </si>
  <si>
    <t>Passage à 24 Go de mémoire unifiée pour MacBook Air MLY33FN/A</t>
  </si>
  <si>
    <t>CTO-MLY33-SSD512</t>
  </si>
  <si>
    <t>Passage à 512 Go de stockage SSD pour MacBook Air MLY33FN/A</t>
  </si>
  <si>
    <t>CTO-MLY33-SSD1To</t>
  </si>
  <si>
    <t>Passage à 1 To de stockage SSD pour MacBook Air MLY33FN/A</t>
  </si>
  <si>
    <t>CTO-MLY33-SSD2To</t>
  </si>
  <si>
    <t>Passage à 2 To de stockage SSD pour MacBook Air MLY33FN/A</t>
  </si>
  <si>
    <t>CTO-MLY33-35W</t>
  </si>
  <si>
    <t>Passage à un adaptateur secteur double port USB-C 35 W pour MacBook Air MLY33FN/A</t>
  </si>
  <si>
    <t>CTO-MLY33-67W</t>
  </si>
  <si>
    <t>Passage à un adaptateur secteur USB-C 67 W pour MacBook Air MLY33FN/A</t>
  </si>
  <si>
    <t>CTO-MLY33-QUS</t>
  </si>
  <si>
    <t>Passage à un clavier américain &amp; guide utilisateur anglais pour MacBook Air MLY33FN/A</t>
  </si>
  <si>
    <t>CTO-MLY33-QIE</t>
  </si>
  <si>
    <t>Passage à un clavier anglais international &amp; guide utilisateur anglais pour MacBook Air MLY33FN/A</t>
  </si>
  <si>
    <t>CTO-MLY33-QAL</t>
  </si>
  <si>
    <t>Passage à un clavier rétro-éclairé allemand pour MacBook Air MLY33FN/A</t>
  </si>
  <si>
    <t>CTO-MLY33-QBR</t>
  </si>
  <si>
    <t>Passage à un clavier rétro-éclairé anglais britannique pour MacBook Air MLY33FN/A</t>
  </si>
  <si>
    <t>CTO-MLY33-QCH</t>
  </si>
  <si>
    <t>Passage à un clavier rétro-éclairé suisse pour MacBook Air MLY33FN/A</t>
  </si>
  <si>
    <t>CTO-MLY33-QES</t>
  </si>
  <si>
    <t>Passage à un clavier rétro-éclairé espagnol pour MacBook Air MLY33FN/A</t>
  </si>
  <si>
    <t>CTO-MLY33-QIT</t>
  </si>
  <si>
    <t>Passage à un clavier rétro-éclairé italien pour MacBook Air MLY33FN/A</t>
  </si>
  <si>
    <t>MLXX3FN/A</t>
  </si>
  <si>
    <t>MacBook Air 13,6" / M2 CPU 8 cœurs GPU 10 cœurs / 8 Go / 512 Go SSD / 2xThunderbolt USB 4 / Wi‑Fi 6 802.11ax / MagSafe 3 / Gris sidéral</t>
  </si>
  <si>
    <t>Catégorie 1 - Portables legers - Configuration 3</t>
  </si>
  <si>
    <t>CTO-MLXX3-16GB</t>
  </si>
  <si>
    <t>Passage à 16 Go de mémoire unifiée pour MacBook Air MLXX3FN/A</t>
  </si>
  <si>
    <t>CTO-MLXX3-24GB</t>
  </si>
  <si>
    <t>Passage à 24 Go de mémoire unifiée pour MacBook Air MLXX3FN/A</t>
  </si>
  <si>
    <t>CTO-MLXX3-SSD1To</t>
  </si>
  <si>
    <t>Passage à 1 To de stockage SSD pour MacBook Air MLXX3FN/A</t>
  </si>
  <si>
    <t>CTO-MLXX3-SSD2To</t>
  </si>
  <si>
    <t>Passage à 2 To de stockage SSD pour MacBook Air MLXX3FN/A</t>
  </si>
  <si>
    <t>CTO-MLXX3-67W</t>
  </si>
  <si>
    <t>Passage à un adaptateur secteur USB-C 67 W pour MacBook Air MLXX3FN/A</t>
  </si>
  <si>
    <t>CTO-MLX33-QUS</t>
  </si>
  <si>
    <t>Passage à un clavier américain &amp; guide utilisateur anglais pour MacBook Air MLX33FN/A</t>
  </si>
  <si>
    <t>CTO-MLX33-QIE</t>
  </si>
  <si>
    <t>Passage à un clavier anglais international &amp; guide utilisateur anglais pour MacBook Air MLX33FN/A</t>
  </si>
  <si>
    <t>CTO-MLX33-QAL</t>
  </si>
  <si>
    <t>Passage à un clavier rétro-éclairé allemand pour MacBook Air MLX33FN/A</t>
  </si>
  <si>
    <t>CTO-MLX33-QBR</t>
  </si>
  <si>
    <t>Passage à un clavier rétro-éclairé anglais britannique pour MacBook Air MLX33FN/A</t>
  </si>
  <si>
    <t>CTO-MLX33-QCH</t>
  </si>
  <si>
    <t>Passage à un clavier rétro-éclairé suisse pour MacBook Air MLX33FN/A</t>
  </si>
  <si>
    <t>CTO-MLX33-QES</t>
  </si>
  <si>
    <t>Passage à un clavier rétro-éclairé espagnol pour MacBook Air MLX33FN/A</t>
  </si>
  <si>
    <t>CTO-MLX33-QIT</t>
  </si>
  <si>
    <t>Passage à un clavier rétro-éclairé italien pour MacBook Air MLX33FN/A</t>
  </si>
  <si>
    <t>MLY03FN/A</t>
  </si>
  <si>
    <t>MacBook Air 13,6" / M2 CPU 8 cœurs GPU 10 cœurs / 8 Go / 512 Go SSD / 2xThunderbolt USB 4 / Wi‑Fi 6 802.11ax / MagSafe 3 / Argent</t>
  </si>
  <si>
    <t>CTO-MLY03-16GB</t>
  </si>
  <si>
    <t>Passage à 16 Go de mémoire unifiée pour MacBook Air MLY03FN/A</t>
  </si>
  <si>
    <t>CTO-MLY03-24GB</t>
  </si>
  <si>
    <t>Passage à 24 Go de mémoire unifiée pour MacBook Air MLY03FN/A</t>
  </si>
  <si>
    <t>CTO-MLY03-SSD1To</t>
  </si>
  <si>
    <t>Passage à 1 To de stockage SSD pour MacBook Air MLY03FN/A</t>
  </si>
  <si>
    <t>CTO-MLY03-SSD2To</t>
  </si>
  <si>
    <t>Passage à 2 To de stockage SSD pour MacBook Air MLY03FN/A</t>
  </si>
  <si>
    <t>CTO-MLY03-67W</t>
  </si>
  <si>
    <t>Passage à un adaptateur secteur USB-C 67 W pour MacBook Air MLY03FN/A</t>
  </si>
  <si>
    <t>CTO-MLY03-QUS</t>
  </si>
  <si>
    <t>Passage à un clavier américain &amp; guide utilisateur anglais pour MacBook Air MLY03FN/A</t>
  </si>
  <si>
    <t>CTO-MLY03-QIE</t>
  </si>
  <si>
    <t>Passage à un clavier anglais international &amp; guide utilisateur anglais pour MacBook Air MLY03FN/A</t>
  </si>
  <si>
    <t>CTO-MLY03-QAL</t>
  </si>
  <si>
    <t>Passage à un clavier rétro-éclairé allemand pour MacBook Air MLY03FN/A</t>
  </si>
  <si>
    <t>CTO-MLY03-QBR</t>
  </si>
  <si>
    <t>Passage à un clavier rétro-éclairé anglais britannique pour MacBook Air MLY03FN/A</t>
  </si>
  <si>
    <t>CTO-MLY03-QCH</t>
  </si>
  <si>
    <t>Passage à un clavier rétro-éclairé suisse pour MacBook Air MLY03FN/A</t>
  </si>
  <si>
    <t>CTO-MLY03-QES</t>
  </si>
  <si>
    <t>Passage à un clavier rétro-éclairé espagnol pour MacBook Air MLY03FN/A</t>
  </si>
  <si>
    <t>CTO-MLY03-QIT</t>
  </si>
  <si>
    <t>Passage à un clavier rétro-éclairé italien pour MacBook Air MLY03FN/A</t>
  </si>
  <si>
    <t>MLY23FN/A</t>
  </si>
  <si>
    <t>MacBook Air 13,6" / M2 CPU 8 cœurs GPU 10 cœurs / 8 Go / 512 Go SSD / 2xThunderbolt USB 4 / Wi‑Fi 6 802.11ax / MagSafe 3 / Lumière stellaire</t>
  </si>
  <si>
    <t>CTO-MLY23-16GB</t>
  </si>
  <si>
    <t>Passage à 16 Go de mémoire unifiée pour MacBook Air MLY23FN/A</t>
  </si>
  <si>
    <t>CTO-MLY23-24GB</t>
  </si>
  <si>
    <t>Passage à 24 Go de mémoire unifiée pour MacBook Air MLY23FN/A</t>
  </si>
  <si>
    <t>CTO-MLY23-SSD1To</t>
  </si>
  <si>
    <t>Passage à 1 To de stockage SSD pour MacBook Air MLY23FN/A</t>
  </si>
  <si>
    <t>CTO-MLY23-SSD2To</t>
  </si>
  <si>
    <t>Passage à 2 To de stockage SSD pour MacBook Air MLY23FN/A</t>
  </si>
  <si>
    <t>CTO-MLY23-67W</t>
  </si>
  <si>
    <t>Passage à un adaptateur secteur USB-C 67 W pour MacBook Air MLY23FN/A</t>
  </si>
  <si>
    <t>CTO-MLY23-QUS</t>
  </si>
  <si>
    <t>Passage à un clavier américain &amp; guide utilisateur anglais pour MacBook Air MLY23FN/A</t>
  </si>
  <si>
    <t>CTO-MLY23-QIE</t>
  </si>
  <si>
    <t>Passage à un clavier anglais international &amp; guide utilisateur anglais pour MacBook Air MLY23FN/A</t>
  </si>
  <si>
    <t>CTO-MLY23-QAL</t>
  </si>
  <si>
    <t>Passage à un clavier rétro-éclairé allemand pour MacBook Air MLY23FN/A</t>
  </si>
  <si>
    <t>CTO-MLY23-QBR</t>
  </si>
  <si>
    <t>Passage à un clavier rétro-éclairé anglais britannique pour MacBook Air MLY23FN/A</t>
  </si>
  <si>
    <t>CTO-MLY23-QCH</t>
  </si>
  <si>
    <t>Passage à un clavier rétro-éclairé suisse pour MacBook Air MLY23FN/A</t>
  </si>
  <si>
    <t>CTO-MLY23-QES</t>
  </si>
  <si>
    <t>Passage à un clavier rétro-éclairé espagnol pour MacBook Air MLY23FN/A</t>
  </si>
  <si>
    <t>CTO-MLY23-QIT</t>
  </si>
  <si>
    <t>Passage à un clavier rétro-éclairé italien pour MacBook Air MLY23FN/A</t>
  </si>
  <si>
    <t>MLY43FN/A</t>
  </si>
  <si>
    <t>MacBook Air 13,6" / M2 CPU 8 cœurs GPU 10 cœurs / 8 Go / 512 Go SSD / 2xThunderbolt USB 4 / Wi‑Fi 6 802.11ax / MagSafe 3 / Minuit</t>
  </si>
  <si>
    <t>CTO-MLY43-16GB</t>
  </si>
  <si>
    <t>Passage à 16 Go de mémoire unifiée pour MacBook Air MLY43FN/A</t>
  </si>
  <si>
    <t>CTO-MLY43-24GB</t>
  </si>
  <si>
    <t>Passage à 24 Go de mémoire unifiée pour MacBook Air MLY43FN/A</t>
  </si>
  <si>
    <t>CTO-MLY43-SSD1To</t>
  </si>
  <si>
    <t>Passage à 1 To de stockage SSD pour MacBook Air MLY43FN/A</t>
  </si>
  <si>
    <t>CTO-MLY43-SSD2To</t>
  </si>
  <si>
    <t>Passage à 2 To de stockage SSD pour MacBook Air MLY43FN/A</t>
  </si>
  <si>
    <t>CTO-MLY43-67W</t>
  </si>
  <si>
    <t>Passage à un adaptateur secteur USB-C 67 W pour MacBook Air MLY43FN/A</t>
  </si>
  <si>
    <t>CTO-MLY43-QUS</t>
  </si>
  <si>
    <t>Passage à un clavier américain &amp; guide utilisateur anglais pour MacBook Air MLY43FN/A</t>
  </si>
  <si>
    <t>CTO-MLY43-QIE</t>
  </si>
  <si>
    <t>Passage à un clavier anglais international &amp; guide utilisateur anglais pour MacBook Air MLY43FN/A</t>
  </si>
  <si>
    <t>CTO-MLY43-QAL</t>
  </si>
  <si>
    <t>Passage à un clavier rétro-éclairé allemand pour MacBook Air MLY43FN/A</t>
  </si>
  <si>
    <t>CTO-MLY43-QBR</t>
  </si>
  <si>
    <t>Passage à un clavier rétro-éclairé anglais britannique pour MacBook Air MLY43FN/A</t>
  </si>
  <si>
    <t>CTO-MLY43-QCH</t>
  </si>
  <si>
    <t>Passage à un clavier rétro-éclairé suisse pour MacBook Air MLY43FN/A</t>
  </si>
  <si>
    <t>CTO-MLY43-QES</t>
  </si>
  <si>
    <t>Passage à un clavier rétro-éclairé espagnol pour MacBook Air MLY43FN/A</t>
  </si>
  <si>
    <t>CTO-MLY43-QIT</t>
  </si>
  <si>
    <t>Passage à un clavier rétro-éclairé italien pour MacBook Air MLY43FN/A</t>
  </si>
  <si>
    <t>MNEH3FN/A</t>
  </si>
  <si>
    <t>MacBook Pro 13" Touch Bar / M2 CPU 8 cœurs GPU 10 cœurs / 8 Go / 256 Go SSD / 2x Thunderbolt USB 4 / Gris sidéral</t>
  </si>
  <si>
    <t>MI5-MBP-13-5-PLUS</t>
  </si>
  <si>
    <t>Catégorie 2 - Portables standards - Configuration 1</t>
  </si>
  <si>
    <t>IA11</t>
  </si>
  <si>
    <t>Garantie 5 ans formule Plus pour MacBook Pro 13" (intervention à J+1 - réparation à J+3 ou MacBook Pro 13" de prêt)</t>
  </si>
  <si>
    <t>CTO-MNEH3-16GB</t>
  </si>
  <si>
    <t>Passage à 16 Go de mémoire unifiée pour MacBook Pro MNEH3FN/A</t>
  </si>
  <si>
    <t>CTO-MNEH3-24GB</t>
  </si>
  <si>
    <t>Passage à 24 Go de mémoire unifiée pour MacBook Pro MNEH3FN/A</t>
  </si>
  <si>
    <t>CTO-MNEH3-SSD512</t>
  </si>
  <si>
    <t>Passage à 512 Go de stockage SSD pour MacBook Pro MNEH3FN/A</t>
  </si>
  <si>
    <t>CTO-MNEH3-SSD1To</t>
  </si>
  <si>
    <t>Passage à 1 To de stockage SSD pour MacBook Pro MNEH3FN/A</t>
  </si>
  <si>
    <t>CTO-MNEH3-SSD2To</t>
  </si>
  <si>
    <t>Passage à 2 To de stockage SSD pour MacBook Pro MNEH3FN/A</t>
  </si>
  <si>
    <t>CTO-MNEH3-QUS</t>
  </si>
  <si>
    <t>Passage à un clavier américain &amp; guide utilisateur anglais pour MacBook Pro MNEH3FN/A</t>
  </si>
  <si>
    <t>CTO-MNEH3-QIE</t>
  </si>
  <si>
    <t>Passage à un clavier anglais international &amp; guide utilisateur anglais pour MacBook Pro MNEH3FN/A</t>
  </si>
  <si>
    <t>CTO-MNEH3-QAL</t>
  </si>
  <si>
    <t>Passage à un clavier rétro-éclairé allemand pour MacBook Pro MNEH3FN/A</t>
  </si>
  <si>
    <t>CTO-MNEH3-QBR</t>
  </si>
  <si>
    <t>Passage à un clavier rétro-éclairé anglais britannique pour MacBook Pro MNEH3FN/A</t>
  </si>
  <si>
    <t>CTO-MNEH3-QCH</t>
  </si>
  <si>
    <t>Passage à un clavier rétro-éclairé suisse pour MacBook Pro MNEH3FN/A</t>
  </si>
  <si>
    <t>CTO-MNEH3-QES</t>
  </si>
  <si>
    <t>Passage à un clavier rétro-éclairé espagnol pour MacBook Pro MNEH3FN/A</t>
  </si>
  <si>
    <t>CTO-MNEH3-QIT</t>
  </si>
  <si>
    <t>Passage à un clavier rétro-éclairé italien pour MacBook Pro MNEH3FN/A</t>
  </si>
  <si>
    <t>MNEP3FN/A</t>
  </si>
  <si>
    <t>MacBook Pro 13" Touch Bar / M2 CPU 8 cœurs GPU 10 cœurs / 8 Go / 256 Go SSD / 2x Thunderbolt 4 / Argent</t>
  </si>
  <si>
    <t>MNEJ3FN/A</t>
  </si>
  <si>
    <t>MacBook Pro 13" Touch Bar / M2 CPU 8 cœurs GPU 10 cœurs / 8 Go / 512 Go SSD / 2x Thunderbolt 4 / Gris sidéral</t>
  </si>
  <si>
    <t>Catégorie 2 - Portables standards - Configuration 2</t>
  </si>
  <si>
    <t>CTO-MNEJ3-16GB</t>
  </si>
  <si>
    <t>Passage à 16 Go de mémoire unifiée pour MacBook Pro MNEJ3FN/A</t>
  </si>
  <si>
    <t>CTO-MNEJ3-24GB</t>
  </si>
  <si>
    <t>Passage à 24 Go de mémoire unifiée pour MacBook Pro MNEJ3FN/A</t>
  </si>
  <si>
    <t>CTO-MNEJ3-SSD1To</t>
  </si>
  <si>
    <t>Passage à 1 To de stockage SSD pour MacBook Pro MNEJ3FN/A</t>
  </si>
  <si>
    <t>CTO-MNEJ3-SSD2To</t>
  </si>
  <si>
    <t>Passage à 2 To de stockage SSD pour MacBook Pro MNEJ3FN/A</t>
  </si>
  <si>
    <t>CTO-MNEJ3-QUS</t>
  </si>
  <si>
    <t>Passage à un clavier américain &amp; guide utilisateur anglais pour MacBook Pro MNEJ3FN/A</t>
  </si>
  <si>
    <t>CTO-MNEJ3-QIE</t>
  </si>
  <si>
    <t>Passage à un clavier anglais international &amp; guide utilisateur anglais pour MacBook Pro MNEJ3FN/A</t>
  </si>
  <si>
    <t>CTO-MNEJ3-QAL</t>
  </si>
  <si>
    <t>Passage à un clavier rétro-éclairé allemand pour MacBook Pro MNEJ3FN/A</t>
  </si>
  <si>
    <t>CTO-MNEJ3-QBR</t>
  </si>
  <si>
    <t>Passage à un clavier rétro-éclairé anglais britannique pour MacBook Pro MNEJ3FN/A</t>
  </si>
  <si>
    <t>CTO-MNEJ3-QCH</t>
  </si>
  <si>
    <t>Passage à un clavier rétro-éclairé suisse pour MacBook Pro MNEJ3FN/A</t>
  </si>
  <si>
    <t>CTO-MNEJ3-QES</t>
  </si>
  <si>
    <t>Passage à un clavier rétro-éclairé espagnol pour MacBook Pro MNEJ3FN/A</t>
  </si>
  <si>
    <t>CTO-MNEJ3-QIT</t>
  </si>
  <si>
    <t>Passage à un clavier rétro-éclairé italien pour MacBook Pro MNEJ3FN/A</t>
  </si>
  <si>
    <t>MNEQ3FN/A</t>
  </si>
  <si>
    <t>MacBook Pro 13" Touch Bar / M2 CPU 8 cœurs GPU 10 cœurs / 8 Go / 512 Go SSD / 2x Thunderbolt 4 / Argent</t>
  </si>
  <si>
    <t>CTO-MNEQ3-16GB</t>
  </si>
  <si>
    <t>Passage à 16 Go de mémoire unifiée pour MacBook Pro MNEQ3FN/A</t>
  </si>
  <si>
    <t>CTO-MNEQ3-24GB</t>
  </si>
  <si>
    <t>Passage à 24 Go de mémoire unifiée pour MacBook Pro MNEQ3FN/A</t>
  </si>
  <si>
    <t>CTO-MNEQ3-SSD1To</t>
  </si>
  <si>
    <t>Passage à 1 To de stockage SSD pour MacBook Pro MNEQ3FN/A</t>
  </si>
  <si>
    <t>CTO-MNEQ3-SSD2To</t>
  </si>
  <si>
    <t>Passage à 2 To de stockage SSD pour MacBook Pro MNEQ3FN/A</t>
  </si>
  <si>
    <t>CTO-MNEQ3-QUS</t>
  </si>
  <si>
    <t>Passage à un clavier américain &amp; guide utilisateur anglais pour MacBook Pro MNEQ3FN/A</t>
  </si>
  <si>
    <t>CTO-MNEQ3-QIE</t>
  </si>
  <si>
    <t>Passage à un clavier anglais international &amp; guide utilisateur anglais pour MacBook Pro MNEQ3FN/A</t>
  </si>
  <si>
    <t>CTO-MNEQ3-QAL</t>
  </si>
  <si>
    <t>Passage à un clavier rétro-éclairé allemand pour MacBook Pro MNEQ3FN/A</t>
  </si>
  <si>
    <t>CTO-MNEQ3-QBR</t>
  </si>
  <si>
    <t>Passage à un clavier rétro-éclairé anglais britannique pour MacBook Pro MNEQ3FN/A</t>
  </si>
  <si>
    <t>CTO-MNEQ3-QCH</t>
  </si>
  <si>
    <t>Passage à un clavier rétro-éclairé suisse pour MacBook Pro MNEQ3FN/A</t>
  </si>
  <si>
    <t>CTO-MNEQ3-QES</t>
  </si>
  <si>
    <t>Passage à un clavier rétro-éclairé espagnol pour MacBook Pro MNEQ3FN/A</t>
  </si>
  <si>
    <t>CTO-MNEQ3-QIT</t>
  </si>
  <si>
    <t>Passage à un clavier rétro-éclairé italien pour MacBook Pro MNEQ3FN/A</t>
  </si>
  <si>
    <t>MI5-MBP-13-6-PLUS</t>
  </si>
  <si>
    <r>
      <t xml:space="preserve">Passage à une garantie 6 ans </t>
    </r>
    <r>
      <rPr>
        <b/>
        <sz val="10"/>
        <rFont val="Calibri (Corps)"/>
      </rPr>
      <t>formule Plus</t>
    </r>
    <r>
      <rPr>
        <b/>
        <sz val="10"/>
        <rFont val="Calibri"/>
        <family val="2"/>
        <scheme val="minor"/>
      </rPr>
      <t xml:space="preserve"> pour MacBook Pro 13" (intervention à J+1 - réparation à J+3 ou MacBook Pro de prêt)</t>
    </r>
  </si>
  <si>
    <t>Passage à une garantie 6 ans formule Plus pour MacBook Pro 13" (intervention à J+1 - réparation à J+3 ou MacBook Pro de prêt)</t>
  </si>
  <si>
    <t>MI5-MBP-13-7-PLUS</t>
  </si>
  <si>
    <r>
      <t xml:space="preserve">Passage à une garantie 7 ans </t>
    </r>
    <r>
      <rPr>
        <b/>
        <sz val="10"/>
        <rFont val="Calibri (Corps)"/>
      </rPr>
      <t>formule Plus</t>
    </r>
    <r>
      <rPr>
        <b/>
        <sz val="10"/>
        <rFont val="Calibri"/>
        <family val="2"/>
        <scheme val="minor"/>
      </rPr>
      <t xml:space="preserve"> pour MacBook Pro 13" (intervention à J+1 - réparation à J+3 ou MacBook Pro de prêt)</t>
    </r>
  </si>
  <si>
    <t>Passage à une garantie 7 ans formule Plus pour MacBook Pro 13" (intervention à J+1 - réparation à J+3 ou MacBook Pro de prêt)</t>
  </si>
  <si>
    <t>MI5-MBP-13-8-PLUS</t>
  </si>
  <si>
    <r>
      <t xml:space="preserve">Passage à une garantie 8 ans </t>
    </r>
    <r>
      <rPr>
        <b/>
        <sz val="10"/>
        <rFont val="Calibri (Corps)"/>
      </rPr>
      <t>formule Plus</t>
    </r>
    <r>
      <rPr>
        <b/>
        <sz val="10"/>
        <rFont val="Calibri"/>
        <family val="2"/>
        <scheme val="minor"/>
      </rPr>
      <t xml:space="preserve"> pour MacBook Pro 13" (intervention à J+1 - réparation à J+3 ou MacBook Pro de prêt)</t>
    </r>
  </si>
  <si>
    <t>Passage à une garantie 8 ans formule Plus pour MacBook Pro 13" (intervention à J+1 - réparation à J+3 ou MacBook Pro de prêt)</t>
  </si>
  <si>
    <t>MI5-MBP-13-5-PRO</t>
  </si>
  <si>
    <r>
      <t xml:space="preserve">Passage à une garantie 5 ans </t>
    </r>
    <r>
      <rPr>
        <b/>
        <sz val="10"/>
        <rFont val="Calibri (Corps)"/>
      </rPr>
      <t>formule Pro+</t>
    </r>
    <r>
      <rPr>
        <b/>
        <sz val="10"/>
        <rFont val="Calibri"/>
        <family val="2"/>
        <scheme val="minor"/>
      </rPr>
      <t xml:space="preserve"> pour MacBook Pro 13" (diagnostic à H+4 - remplacement à J+1)</t>
    </r>
  </si>
  <si>
    <t>Passage à une garantie 5 ans formule Pro+ pour MacBook Pro 13" (diagnostic à H+4 - remplacement à J+1)</t>
  </si>
  <si>
    <t>MI5-MBP-13-6-PRO</t>
  </si>
  <si>
    <r>
      <t xml:space="preserve">Passage à une garantie 6 ans </t>
    </r>
    <r>
      <rPr>
        <b/>
        <sz val="10"/>
        <rFont val="Calibri (Corps)"/>
      </rPr>
      <t>formule Pro+</t>
    </r>
    <r>
      <rPr>
        <b/>
        <sz val="10"/>
        <rFont val="Calibri"/>
        <family val="2"/>
        <scheme val="minor"/>
      </rPr>
      <t xml:space="preserve"> pour MacBook Pro 13" (diagnostic à H+4 - remplacement à J+1)</t>
    </r>
  </si>
  <si>
    <t>Passage à une garantie 6 ans formule Pro+ pour MacBook Pro 13" (diagnostic à H+4 - remplacement à J+1)</t>
  </si>
  <si>
    <t>MI5-MBP-13-7-PRO</t>
  </si>
  <si>
    <r>
      <t xml:space="preserve">Passage à une garantie 7 ans </t>
    </r>
    <r>
      <rPr>
        <b/>
        <sz val="10"/>
        <rFont val="Calibri (Corps)"/>
      </rPr>
      <t>formule Pro+</t>
    </r>
    <r>
      <rPr>
        <b/>
        <sz val="10"/>
        <rFont val="Calibri"/>
        <family val="2"/>
        <scheme val="minor"/>
      </rPr>
      <t xml:space="preserve"> pour MacBook Pro (diagnostic à H+4 - remplacement à J+1)</t>
    </r>
  </si>
  <si>
    <t>Passage à une garantie 7 ans formule Pro+ pour MacBook Pro (diagnostic à H+4 - remplacement à J+1)</t>
  </si>
  <si>
    <t>MI5-MBP-13-8-PRO</t>
  </si>
  <si>
    <r>
      <t xml:space="preserve">Passage à une garantie 8 ans </t>
    </r>
    <r>
      <rPr>
        <b/>
        <sz val="10"/>
        <rFont val="Calibri (Corps)"/>
      </rPr>
      <t>formule Pro+</t>
    </r>
    <r>
      <rPr>
        <b/>
        <sz val="10"/>
        <rFont val="Calibri"/>
        <family val="2"/>
        <scheme val="minor"/>
      </rPr>
      <t xml:space="preserve"> pour MacBook Pro (diagnostic à H+4 - remplacement à J+1)</t>
    </r>
  </si>
  <si>
    <t>Passage à une garantie 8 ans formule Pro+ pour MacBook Pro (diagnostic à H+4 - remplacement à J+1)</t>
  </si>
  <si>
    <t>MI5-MBP-13-5-PLATINE</t>
  </si>
  <si>
    <r>
      <t xml:space="preserve">Passage à une garantie 5 ans formule </t>
    </r>
    <r>
      <rPr>
        <b/>
        <sz val="10"/>
        <rFont val="Calibri (Corps)"/>
      </rPr>
      <t>Platine</t>
    </r>
    <r>
      <rPr>
        <b/>
        <sz val="10"/>
        <rFont val="Calibri"/>
        <family val="2"/>
        <scheme val="minor"/>
      </rPr>
      <t xml:space="preserve"> pour MacBook Pro (réparation sur site de J+1 à J+3 maximum)</t>
    </r>
  </si>
  <si>
    <t>Passage à une garantie 5 ans formule Platine pour MacBook Pro (réparation sur site de J+1 à J+3 maximum)</t>
  </si>
  <si>
    <t>MI5-MBP-13-6-PLATINE</t>
  </si>
  <si>
    <r>
      <t xml:space="preserve">Passage à une garantie 6 ans formule </t>
    </r>
    <r>
      <rPr>
        <b/>
        <sz val="10"/>
        <rFont val="Calibri (Corps)"/>
      </rPr>
      <t>Platine</t>
    </r>
    <r>
      <rPr>
        <b/>
        <sz val="10"/>
        <rFont val="Calibri"/>
        <family val="2"/>
        <scheme val="minor"/>
      </rPr>
      <t xml:space="preserve"> pour MacBook Pro (réparation sur site de J+1 à J+3 maximum)</t>
    </r>
  </si>
  <si>
    <t>Passage à une garantie 6 ans formule Platine pour MacBook Pro (réparation sur site de J+1 à J+3 maximum)</t>
  </si>
  <si>
    <t>MI5-MBP-13-7-PLATINE</t>
  </si>
  <si>
    <r>
      <t xml:space="preserve">Passage à une garantie 7 ans formule </t>
    </r>
    <r>
      <rPr>
        <b/>
        <sz val="10"/>
        <rFont val="Calibri (Corps)"/>
      </rPr>
      <t>Platine</t>
    </r>
    <r>
      <rPr>
        <b/>
        <sz val="10"/>
        <rFont val="Calibri"/>
        <family val="2"/>
        <scheme val="minor"/>
      </rPr>
      <t xml:space="preserve"> pour MacBook Pro (réparation sur site de J+1 à J+3 maximum)</t>
    </r>
  </si>
  <si>
    <t>Passage à une garantie 7 ans formule Platine pour MacBook Pro (réparation sur site de J+1 à J+3 maximum)</t>
  </si>
  <si>
    <t>MI5-MBP-13-8-PLATINE</t>
  </si>
  <si>
    <r>
      <t xml:space="preserve">Passage à une garantie 8 ans formule </t>
    </r>
    <r>
      <rPr>
        <b/>
        <sz val="10"/>
        <rFont val="Calibri (Corps)"/>
      </rPr>
      <t>Platine</t>
    </r>
    <r>
      <rPr>
        <b/>
        <sz val="10"/>
        <rFont val="Calibri"/>
        <family val="2"/>
        <scheme val="minor"/>
      </rPr>
      <t xml:space="preserve"> pour MacBook Pro (réparation sur site de J+1 à J+3 maximum)</t>
    </r>
  </si>
  <si>
    <t>Passage à une garantie 8 ans formule Platine pour MacBook Pro (réparation sur site de J+1 à J+3 maximum)</t>
  </si>
  <si>
    <t>MI5-MBP-13-5-PLUS-INTER</t>
  </si>
  <si>
    <t>Garantie 5 ans formule Plus internationale pour MacBook Pro 13" (France : intervention à J+1 - réparation à J+3 ou MacBook Air de prêt pour la France Métropolitaine - retour atelier pour l'étranger) (remplace la garantie 5 ans formule Plus)</t>
  </si>
  <si>
    <t>MI5-MBP-13-5-PRO-INTER</t>
  </si>
  <si>
    <t>Garantie 5 ans formule Pro internationale pour MacBook Pro 13" (diagnostic à H+4 - remplacement à J+1 - retour atelier à l'étranger) (remplace la garantie 5 ans formule Plus)</t>
  </si>
  <si>
    <t>MI5-MBP-13-5-E-CARE</t>
  </si>
  <si>
    <t>Service de substitution forfaité d'une durée de 5 ans pour MacBook Pro 13"</t>
  </si>
  <si>
    <t>MI5-MBP-13-5-E-KYOD</t>
  </si>
  <si>
    <t>Service de conservation du disque dur pour une durée de 5 ans pour MacBook Pro (Keep your own drive)</t>
  </si>
  <si>
    <t>MKGP3FN/A</t>
  </si>
  <si>
    <t>MacBook Pro 14" / M1 Pro CPU 8 cœurs GPU 14 cœurs / 16 Go / 512 Go SSD / 3x Thunderbolt 4 / HDMI / lecteur carte SDXC / port MagSafe 3 / Gris sidéral</t>
  </si>
  <si>
    <t>MI5-MBP-14-5-PLUS</t>
  </si>
  <si>
    <t>Catégorie 2 - Portables standards - Configuration 4</t>
  </si>
  <si>
    <t>CTO-MKGP3-GPU14</t>
  </si>
  <si>
    <t>Passage à un M1 pro avec CPU 10 cœurs GPU 14 cœurs et chargeur 96 W pour MacBook Pro 14" MKGP3FN/A</t>
  </si>
  <si>
    <t>CTO-MKGP3-GPU16</t>
  </si>
  <si>
    <t>Passage à un M1 pro avec CPU 10 cœurs GPU 16 cœurs et chargeur 96 W pour MacBook Pro 14" MKGP3FN/A</t>
  </si>
  <si>
    <t>CTO-MKGP3-GPU24</t>
  </si>
  <si>
    <t>Passage à un M1 Max avec CPU 10 cœurs GPU 24 cœurs, 32 Go de mémoire unifiée et chargeur 96 W pour MacBook Pro 14" MKGP3FN/A</t>
  </si>
  <si>
    <t>CTO-MKGP3-GPU32</t>
  </si>
  <si>
    <t>Passage à un M1 Max avec CPU 10 cœurs GPU 32 cœurs, 32 Go de mémoire unifiée et chargeur 96 W pour MacBook Pro 14" MKGP3FN/A</t>
  </si>
  <si>
    <t>CTO-MKGP3-32GB</t>
  </si>
  <si>
    <t>Passage à 32 Go de mémoire unifiée pour MacBook Pro 14" (uniquement avec M1 Pro) MKGP3FN/A</t>
  </si>
  <si>
    <t>CTO-MKGP3-64GB</t>
  </si>
  <si>
    <t>Passage à 64 Go de mémoire unifiée pour MacBook Pro 14" (uniquement avec M1 Max) MKGP3FN/A</t>
  </si>
  <si>
    <t>CTO-MKGP3-SSD1To</t>
  </si>
  <si>
    <t>Passage à 1 To de stockage SSD pour MacBook Pro 14" MKGP3FN/A</t>
  </si>
  <si>
    <t>CTO-MKGP3-SSD2To</t>
  </si>
  <si>
    <t>Passage à 2 To de stockage SSD pour MacBook Pro 14" MKGP3FN/A</t>
  </si>
  <si>
    <t>CTO-MKGP3-SSD4To</t>
  </si>
  <si>
    <t>Passage à 4 To de stockage SSD pour MacBook Pro 14" MKGP3FN/A</t>
  </si>
  <si>
    <t>CTO-MKGP3-SSD8To</t>
  </si>
  <si>
    <t>Passage à 8 To de stockage SSD pour MacBook Pro 14" MKGP3FN/A</t>
  </si>
  <si>
    <t>CTO-MKGP3-96W</t>
  </si>
  <si>
    <t>Passage à un adaptateur secteur USB‑C 96 W pour MacBook Pro 14" (uniquement avec M1 Pro CPU 8 cœurs) MKGP3FN/A</t>
  </si>
  <si>
    <t>CTO-MKGP3-QUS</t>
  </si>
  <si>
    <t>Passage à un clavier rétro-éclairé anglais américain &amp; guide utilisateur anglais pour MacBook Pro 14" MKGP3FN/A</t>
  </si>
  <si>
    <t>CTO-MKGP3-QIE</t>
  </si>
  <si>
    <t>Passage à un clavier rétro-éclairé anglais international &amp; guide utilisateur anglais pour MacBook Pro 14" MKGP3FN/A</t>
  </si>
  <si>
    <t>CTO-MKGP3-QBR</t>
  </si>
  <si>
    <t>Passage à un clavier rétro-éclairé anglais Britannique &amp; guide utilisateur anglais pour MacBook Pro 14“ MKGP3FN/A</t>
  </si>
  <si>
    <t>MKGR3FN/A</t>
  </si>
  <si>
    <t>MacBook Pro 14" / M1 Pro CPU 8 cœurs GPU 14 cœurs / 16 Go / 512 Go SSD / 3x Thunderbolt 4 / HDMI / lecteur carte SDXC / port MagSafe 3 / Argent</t>
  </si>
  <si>
    <t>CTO-MKGR3-GPU14</t>
  </si>
  <si>
    <t>Passage à un M1 pro avec CPU 10 cœurs GPU 14 cœurs et chargeur 96 W pour MacBook Pro 14" MKGR3FN/A</t>
  </si>
  <si>
    <t>CTO-MKGR3-GPU16</t>
  </si>
  <si>
    <t>Passage à un M1 pro avec CPU 10 cœurs GPU 16 cœurs et chargeur 96 W pour MacBook Pro 14" MKGR3FN/A</t>
  </si>
  <si>
    <t>CTO-MKGR3-GPU24</t>
  </si>
  <si>
    <t>Passage à un M1 Max avec CPU 10 cœurs GPU 24 cœurs, 32 Go de mémoire unifiée et chargeur 96 W pour MacBook Pro 14" MKGR3FN/A</t>
  </si>
  <si>
    <t>CTO-MKGR3-GPU32</t>
  </si>
  <si>
    <t>Passage à un M1 Max avec CPU 10 cœurs GPU 32 cœurs, 32 Go de mémoire unifiée et chargeur 96 W pour MacBook Pro 14" MKGR3FN/A</t>
  </si>
  <si>
    <t>CTO-MKGR3-32GB</t>
  </si>
  <si>
    <t>Passage à 32 Go de mémoire unifiée pour MacBook Pro 14" (uniquement avec M1 Pro) MKGR3FN/A</t>
  </si>
  <si>
    <t>CTO-MKGR3-64GB</t>
  </si>
  <si>
    <t>Passage à 64 Go de mémoire unifiée pour MacBook Pro 14" (uniquement avec M1 Max) MKGR3FN/A</t>
  </si>
  <si>
    <t>CTO-MKGR3-SSD1To</t>
  </si>
  <si>
    <t>Passage à 1 To de stockage SSD pour MacBook Pro 14" MKGR3FN/A</t>
  </si>
  <si>
    <t>CTO-MKGR3-SSD2To</t>
  </si>
  <si>
    <t>Passage à 2 To de stockage SSD pour MacBook Pro 14" MKGR3FN/A</t>
  </si>
  <si>
    <t>CTO-MKGR3-SSD4To</t>
  </si>
  <si>
    <t>Passage à 4 To de stockage SSD pour MacBook Pro 14" MKGR3FN/A</t>
  </si>
  <si>
    <t>CTO-MKGR3-SSD8To</t>
  </si>
  <si>
    <t>Passage à 8 To de stockage SSD pour MacBook Pro 14" MKGR3FN/A</t>
  </si>
  <si>
    <t>CTO-MKGR3-96W</t>
  </si>
  <si>
    <t>Passage à un adaptateur secteur USB‑C 96 W pour MacBook Pro 14" (uniquement avec M1 Pro CPU 8 cœurs) MKGR3FN/A</t>
  </si>
  <si>
    <t>CTO-MKGR3-QUS</t>
  </si>
  <si>
    <t>Passage à un clavier rétro-éclairé anglais américain &amp; guide utilisateur anglais pour MacBook Pro 14" MKGR3FN/A</t>
  </si>
  <si>
    <t>CTO-MKGR3-QIE</t>
  </si>
  <si>
    <t>Passage à un clavier rétro-éclairé anglais international &amp; guide utilisateur anglais pour MacBook Pro 14" MKGR3FN/A</t>
  </si>
  <si>
    <t>CTO-MKGR3-QBR</t>
  </si>
  <si>
    <t>Passage à un clavier rétro-éclairé anglais Britannique &amp; guide utilisateur anglais pour MacBook Pro 14“ MKGR3FN/A</t>
  </si>
  <si>
    <t>MKGQ3FN/A</t>
  </si>
  <si>
    <t>MacBook Pro 14" / M1 Pro CPU 10 cœurs GPU 16 cœurs / 16 Go / 1 To SSD / 3x Thunderbolt 4 / HDMI / lecteur carte SDXC / port MagSafe 3 / Gris sidéral</t>
  </si>
  <si>
    <t>Catégorie 2 - Portables standards - Configuration 5</t>
  </si>
  <si>
    <t>CTO-MKGQ3-GPU24</t>
  </si>
  <si>
    <t>Passage à un M1 Max avec CPU 10 cœurs GPU 24 cœurs, 32 Go de mémoire unifiée et chargeur 96 W pour MacBook Pro 14" MKGQ3FN/A</t>
  </si>
  <si>
    <t>CTO-MKGQ3-GPU32</t>
  </si>
  <si>
    <t>Passage à un M1 Max avec CPU 10 cœurs GPU 32 cœurs, 32 Go de mémoire unifiée et chargeur 96 W pour MacBook Pro 14" MKGQ3FN/A</t>
  </si>
  <si>
    <t>CTO-MKGQ3-32GB</t>
  </si>
  <si>
    <t>Passage à 32 Go de mémoire unifiée pour MacBook Pro 14" (uniquement avec M1 Pro) MKGQ3FN/A</t>
  </si>
  <si>
    <t>CTO-MKGQ3-64GB</t>
  </si>
  <si>
    <t>Passage à 64 Go de mémoire unifiée pour MacBook Pro 14" (uniquement avec M1 Max) MKGQ3FN/A</t>
  </si>
  <si>
    <t>CTO-MKGQ3-SSD2To</t>
  </si>
  <si>
    <t>Passage à 2 To de stockage SSD pour MacBook Pro 14" MKGQ3FN/A</t>
  </si>
  <si>
    <t>CTO-MKGQ3-SSD4To</t>
  </si>
  <si>
    <t>Passage à 4 To de stockage SSD pour MacBook Pro 14" MKGQ3FN/A</t>
  </si>
  <si>
    <t>CTO-MKGQ3-SSD8To</t>
  </si>
  <si>
    <t>Passage à 8 To de stockage SSD pour MacBook Pro 14" MKGQ3FN/A</t>
  </si>
  <si>
    <t>CTO-MKGQ3-QUS</t>
  </si>
  <si>
    <t>Passage à un clavier rétro-éclairé anglais américain &amp; guide utilisateur anglais pour MacBook Pro 14" MKGQ3FN/A</t>
  </si>
  <si>
    <t>CTO-MKGQ3-QIE</t>
  </si>
  <si>
    <t>Passage à un clavier rétro-éclairé anglais international &amp; guide utilisateur anglais pour MacBook Pro 14" MKGQ3FN/A</t>
  </si>
  <si>
    <t>CTO-MKGQ3-QBR</t>
  </si>
  <si>
    <t>MKGT3FN/A</t>
  </si>
  <si>
    <t>MacBook Pro 14" / M1 Pro CPU 10 cœurs GPU 16 cœurs / 16 Go / 1 To SSD / 3x Thunderbolt 4 / HDMI / lecteur carte SDXC / port MagSafe 3 / Argent</t>
  </si>
  <si>
    <t>CTO-MKGT3-GPU24</t>
  </si>
  <si>
    <t>Passage à un M1 Max avec CPU 10 cœurs GPU 24 cœurs, 32 Go de mémoire unifiée et chargeur 96 W pour MacBook Pro 14" MKGT3FN/A</t>
  </si>
  <si>
    <t>CTO-MKGT3-GPU32</t>
  </si>
  <si>
    <t>Passage à un M1 Max avec CPU 10 cœurs GPU 32 cœurs, 32 Go de mémoire unifiée et chargeur 96 W pour MacBook Pro 14" MKGT3FN/A</t>
  </si>
  <si>
    <t>CTO-MKGT3-32GB</t>
  </si>
  <si>
    <t>Passage à 32 Go de mémoire unifiée pour MacBook Pro 14" (uniquement avec M1 Pro) MKGT3FN/A</t>
  </si>
  <si>
    <t>CTO-MKGT3-64GB</t>
  </si>
  <si>
    <t>Passage à 64 Go de mémoire unifiée pour MacBook Pro 14" (uniquement avec M1 Max) MKGT3FN/A</t>
  </si>
  <si>
    <t>CTO-MKGT3-SSD2To</t>
  </si>
  <si>
    <t>Passage à 2 To de stockage SSD pour MacBook Pro 14" MKGT3FN/A</t>
  </si>
  <si>
    <t>CTO-MKGT3-SSD4To</t>
  </si>
  <si>
    <t>Passage à 4 To de stockage SSD pour MacBook Pro 14" MKGT3FN/A</t>
  </si>
  <si>
    <t>CTO-MKGT3-SSD8To</t>
  </si>
  <si>
    <t>Passage à 8 To de stockage SSD pour MacBook Pro 14" MKGT3FN/A</t>
  </si>
  <si>
    <t>CTO-MKGT3-QUS</t>
  </si>
  <si>
    <t>Passage à un clavier rétro-éclairé anglais américain &amp; guide utilisateur anglais pour MacBook Pro 14" MKGT3FN/A</t>
  </si>
  <si>
    <t>CTO-MKGT3-QIE</t>
  </si>
  <si>
    <t>Passage à un clavier rétro-éclairé anglais international &amp; guide utilisateur anglais pour MacBook Pro 14" MKGT3FN/A</t>
  </si>
  <si>
    <t>CTO-MKGT3-QBR</t>
  </si>
  <si>
    <t>Passage à un clavier rétro-éclairé anglais Britannique &amp; guide utilisateur anglais pour MacBook Pro 14“ MKGT3FN/A</t>
  </si>
  <si>
    <t>30213100-7</t>
  </si>
  <si>
    <t>Garantie 5 ans formule Plus pour MacBook Pro 14" (intervention à J+1 - réparation à J+3 ou MacBook Pro 14" de prêt)</t>
  </si>
  <si>
    <t>MI5-MBP-14-6-PLUS</t>
  </si>
  <si>
    <r>
      <t xml:space="preserve">Passage à une garantie 6 ans </t>
    </r>
    <r>
      <rPr>
        <sz val="10"/>
        <rFont val="Calibri (Corps)"/>
      </rPr>
      <t>formule Plus</t>
    </r>
    <r>
      <rPr>
        <sz val="10"/>
        <rFont val="Calibri"/>
        <family val="2"/>
        <scheme val="minor"/>
      </rPr>
      <t xml:space="preserve"> pour MacBook Pro 14" (intervention à J+1 - réparation à J+3 ou MacBook Pro 14“)</t>
    </r>
  </si>
  <si>
    <t>Passage à une garantie 6 ans formule Plus pour MacBook Pro 14" (intervention à J+1 - réparation à J+3 ou MacBook Pro 14“)</t>
  </si>
  <si>
    <t>MI5-MBP-14-7-PLUS</t>
  </si>
  <si>
    <r>
      <t xml:space="preserve">Passage à une garantie 7 ans </t>
    </r>
    <r>
      <rPr>
        <sz val="10"/>
        <rFont val="Calibri (Corps)"/>
      </rPr>
      <t>formule Plus</t>
    </r>
    <r>
      <rPr>
        <sz val="10"/>
        <rFont val="Calibri"/>
        <family val="2"/>
        <scheme val="minor"/>
      </rPr>
      <t xml:space="preserve"> pour MacBook Pro 14" (intervention à J+1 - réparation à J+3 ou MacBook Pro 14</t>
    </r>
  </si>
  <si>
    <t>Passage à une garantie 7 ans formule Plus pour MacBook Pro 14" (intervention à J+1 - réparation à J+3 ou MacBook Pro 14</t>
  </si>
  <si>
    <t>MI5-MBP-14-8-PLUS</t>
  </si>
  <si>
    <r>
      <t xml:space="preserve">Passage à une garantie 8 ans </t>
    </r>
    <r>
      <rPr>
        <sz val="10"/>
        <rFont val="Calibri (Corps)"/>
      </rPr>
      <t>formule Plus</t>
    </r>
    <r>
      <rPr>
        <sz val="10"/>
        <rFont val="Calibri"/>
        <family val="2"/>
        <scheme val="minor"/>
      </rPr>
      <t xml:space="preserve"> pour MacBook Pro 14" (intervention à J+1 - réparation à J+3 ou MacBook Pro 14“)</t>
    </r>
  </si>
  <si>
    <t>Passage à une garantie 8 ans formule Plus pour MacBook Pro 14" (intervention à J+1 - réparation à J+3 ou MacBook Pro 14“)</t>
  </si>
  <si>
    <t>MI5-MBP-14-5-PRO</t>
  </si>
  <si>
    <r>
      <t xml:space="preserve">Passage à une garantie 5 ans </t>
    </r>
    <r>
      <rPr>
        <sz val="10"/>
        <rFont val="Calibri (Corps)"/>
      </rPr>
      <t>formule Pro</t>
    </r>
    <r>
      <rPr>
        <sz val="10"/>
        <rFont val="Calibri"/>
        <family val="2"/>
        <scheme val="minor"/>
      </rPr>
      <t xml:space="preserve"> pour MacBook Pro 14" (diagnostic à H+4 - remplacement à J+1)</t>
    </r>
  </si>
  <si>
    <t>Passage à une garantie 5 ans formule Pro pour MacBook Pro 14" (diagnostic à H+4 - remplacement à J+1)</t>
  </si>
  <si>
    <t>MI5-MBP-14-6-PRO</t>
  </si>
  <si>
    <r>
      <t xml:space="preserve">Passage à une garantie 6 ans </t>
    </r>
    <r>
      <rPr>
        <sz val="10"/>
        <rFont val="Calibri (Corps)"/>
      </rPr>
      <t>formule Pro</t>
    </r>
    <r>
      <rPr>
        <sz val="10"/>
        <rFont val="Calibri"/>
        <family val="2"/>
        <scheme val="minor"/>
      </rPr>
      <t xml:space="preserve"> pour MacBook Pro 14" (diagnostic à H+4 - remplacement à J+1)</t>
    </r>
  </si>
  <si>
    <t>Passage à une garantie 6 ans formule Pro pour MacBook Pro 14" (diagnostic à H+4 - remplacement à J+1)</t>
  </si>
  <si>
    <t>MI5-MBP-14-7-PRO</t>
  </si>
  <si>
    <r>
      <t xml:space="preserve">Passage à une garantie 7 ans </t>
    </r>
    <r>
      <rPr>
        <sz val="10"/>
        <rFont val="Calibri (Corps)"/>
      </rPr>
      <t>formule Pro</t>
    </r>
    <r>
      <rPr>
        <sz val="10"/>
        <rFont val="Calibri"/>
        <family val="2"/>
        <scheme val="minor"/>
      </rPr>
      <t xml:space="preserve"> pour MacBook Pro 14“ (diagnostic à H+4 - remplacement à J+1)</t>
    </r>
  </si>
  <si>
    <t>Passage à une garantie 7 ans formule Pro pour MacBook Pro 14“ (diagnostic à H+4 - remplacement à J+1)</t>
  </si>
  <si>
    <t>MI5-MBP-14-8-PRO</t>
  </si>
  <si>
    <r>
      <t xml:space="preserve">Passage à une garantie 8 ans </t>
    </r>
    <r>
      <rPr>
        <sz val="10"/>
        <rFont val="Calibri (Corps)"/>
      </rPr>
      <t>formule Pro</t>
    </r>
    <r>
      <rPr>
        <sz val="10"/>
        <rFont val="Calibri"/>
        <family val="2"/>
        <scheme val="minor"/>
      </rPr>
      <t xml:space="preserve"> pour MacBook Pro 14“ (diagnostic à H+4 - remplacement à J+1)</t>
    </r>
  </si>
  <si>
    <t>Passage à une garantie 8 ans formule Pro pour MacBook Pro 14“ (diagnostic à H+4 - remplacement à J+1)</t>
  </si>
  <si>
    <t>MI5-MBP-14-5-PLATINE</t>
  </si>
  <si>
    <r>
      <t xml:space="preserve">Passage à une garantie 5 ans formule </t>
    </r>
    <r>
      <rPr>
        <sz val="10"/>
        <rFont val="Calibri (Corps)"/>
      </rPr>
      <t>Platine</t>
    </r>
    <r>
      <rPr>
        <sz val="10"/>
        <rFont val="Calibri"/>
        <family val="2"/>
        <scheme val="minor"/>
      </rPr>
      <t xml:space="preserve"> pour MacBook Pro 14“ (réparation sur site de J+1 à J+3 maximum)</t>
    </r>
  </si>
  <si>
    <t>Passage à une garantie 5 ans formule Platine pour MacBook Pro 14“ (réparation sur site de J+1 à J+3 maximum)</t>
  </si>
  <si>
    <t>MI5-MBP-14-6-PLATINE</t>
  </si>
  <si>
    <r>
      <t xml:space="preserve">Passage à une garantie 6 ans formule </t>
    </r>
    <r>
      <rPr>
        <sz val="10"/>
        <rFont val="Calibri (Corps)"/>
      </rPr>
      <t>Platine</t>
    </r>
    <r>
      <rPr>
        <sz val="10"/>
        <rFont val="Calibri"/>
        <family val="2"/>
        <scheme val="minor"/>
      </rPr>
      <t xml:space="preserve"> pour MacBook Pro 14“ (réparation sur site de J+1 à J+3 maximum)</t>
    </r>
  </si>
  <si>
    <t>Passage à une garantie 6 ans formule Platine pour MacBook Pro 14“ (réparation sur site de J+1 à J+3 maximum)</t>
  </si>
  <si>
    <t>MI5-MBP-14-7-PLATINE</t>
  </si>
  <si>
    <r>
      <t xml:space="preserve">Passage à une garantie 7 ans formule </t>
    </r>
    <r>
      <rPr>
        <sz val="10"/>
        <rFont val="Calibri (Corps)"/>
      </rPr>
      <t>Platine</t>
    </r>
    <r>
      <rPr>
        <sz val="10"/>
        <rFont val="Calibri"/>
        <family val="2"/>
        <scheme val="minor"/>
      </rPr>
      <t xml:space="preserve"> pour MacBook Pro 14“ (réparation sur site de J+1 à J+3 maximum)</t>
    </r>
  </si>
  <si>
    <t>Passage à une garantie 7 ans formule Platine pour MacBook Pro 14“ (réparation sur site de J+1 à J+3 maximum)</t>
  </si>
  <si>
    <t>MI5-MBP-14-8-PLATINE</t>
  </si>
  <si>
    <r>
      <t xml:space="preserve">Passage à une garantie 8 ans formule </t>
    </r>
    <r>
      <rPr>
        <sz val="10"/>
        <rFont val="Calibri (Corps)"/>
      </rPr>
      <t>Platine</t>
    </r>
    <r>
      <rPr>
        <sz val="10"/>
        <rFont val="Calibri"/>
        <family val="2"/>
        <scheme val="minor"/>
      </rPr>
      <t xml:space="preserve"> pour MacBook Pro 14“ (réparation sur site de J+1 à J+3 maximum)</t>
    </r>
  </si>
  <si>
    <t>Passage à une garantie 8 ans formule Platine pour MacBook Pro 14“ (réparation sur site de J+1 à J+3 maximum)</t>
  </si>
  <si>
    <t>MI5-MBP-14-5-PLUS-INTER</t>
  </si>
  <si>
    <t>Garantie 5 ans formule Plus internationale pour MacBook Pro 14“ (France : intervention à J+1 - réparation à J+3 ou MacBook Pro 14“ pour la France Métropolitaine - retour atelier pour l'étranger) (remplace la garantie 5 ans formule Plus)</t>
  </si>
  <si>
    <t>MI5-MBP-14-5-PRO-INTER</t>
  </si>
  <si>
    <t>Garantie 5 ans formule Pro+  internationale pour MacBook Pro 14“ (diagnostic à H+4 - remplacement à J+1 - retour atelier à l'étranger) (remplace la garantie 5 ans formule Plus)</t>
  </si>
  <si>
    <t>MI5-MBP-14-5-E-CARE</t>
  </si>
  <si>
    <t>Service de substitution forfaité d'une durée de 5 ans pour MacBook Pro 14"</t>
  </si>
  <si>
    <t>MI5-MBP-14-5-E-KYOD</t>
  </si>
  <si>
    <t>Service de conservation du disque dur pour une durée de 5 ans pour MacBook Pro 14“ (Keep your own drive)</t>
  </si>
  <si>
    <t>MK183FN/A</t>
  </si>
  <si>
    <t>MacBook Pro 16" / M1 Pro CPU 10 cœurs GPU 16 cœurs / 16 Go / 512 Go SSD / 3x Thunderbolt 4 / HDMI / lecteur carte SDXC / port MagSafe 3 / Gris sidéral</t>
  </si>
  <si>
    <t>MI5-MBP-16-5-PLUS</t>
  </si>
  <si>
    <t>Catégorie 2 - Portables standards - Configuration 6</t>
  </si>
  <si>
    <t>30200000-1</t>
  </si>
  <si>
    <t>CTO-MK183-GPU24</t>
  </si>
  <si>
    <t>Passage à un M1 Max avec CPU 10 cœurs GPU 24 cœurs et 32 Go de mémoire unifiée pour MacBook Pro 16" MK183FN/A</t>
  </si>
  <si>
    <t>CTO-MK183-GPU32</t>
  </si>
  <si>
    <t>Passage à un M1 Max avec CPU 10 cœurs GPU 32 cœurs et 32 Go de mémoire unifiée pour MacBook Pro 16" MK183FN/A</t>
  </si>
  <si>
    <t>CTO-MK183-32GB</t>
  </si>
  <si>
    <t>Passage à 32 Go de mémoire unifiée pour MacBook Pro 16" (uniquement avec M1 Pro) MK183FN/A</t>
  </si>
  <si>
    <t>CTO-MK183-64GB</t>
  </si>
  <si>
    <t>Passage à 64 Go de mémoire unifiée pour MacBook Pro 16" (uniquement avec M1 Max) MK183FN/A</t>
  </si>
  <si>
    <t>CTO-MK183-SSD1To</t>
  </si>
  <si>
    <t>Passage à 1 To de stockage SSD pour MacBook Pro 16" MK183FN/A</t>
  </si>
  <si>
    <t>CTO-MK183-SSD2To</t>
  </si>
  <si>
    <t>Passage à 2 To de stockage SSD pour MacBook Pro 16" MK183FN/A</t>
  </si>
  <si>
    <t>CTO-MK183-SSD4To</t>
  </si>
  <si>
    <t>Passage à 4 To de stockage SSD pour MacBook Pro 16" MK183FN/A</t>
  </si>
  <si>
    <t>CTO-MK183-SSD8To</t>
  </si>
  <si>
    <t>Passage à 8 To de stockage SSD pour MacBook Pro 16" MK183FN/A</t>
  </si>
  <si>
    <t>CTO-MK183-QUS</t>
  </si>
  <si>
    <t>Passage à un clavier rétro-éclairé anglais américain &amp; guide utilisateur anglais pour MacBook Pro 16" MK183FN/A</t>
  </si>
  <si>
    <t>CTO-MK183-QBR</t>
  </si>
  <si>
    <t>Passage à un clavier rétro-éclairé anglais Britannique &amp; guide utilisateur anglais pour MacBook Pro 16" MK183FN/A</t>
  </si>
  <si>
    <t>CTO-MK183-QIE</t>
  </si>
  <si>
    <t>Passage à un clavier rétro-éclairé anglais International &amp; guide utilisateur anglais pour MacBook Pro 16“ MK183FN/A</t>
  </si>
  <si>
    <t>MK1E3FN/A</t>
  </si>
  <si>
    <t>MacBook Pro 16" / M1 Pro CPU 10 cœurs GPU 16 cœurs / 16 Go / 512 Go SSD / 3x Thunderbolt 4 / HDMI / lecteur carte SDXC / port MagSafe 3 / Argent</t>
  </si>
  <si>
    <t>CTO-MK1E3-GPU24</t>
  </si>
  <si>
    <t>Passage à un M1 Max avec CPU 10 cœurs GPU 24 cœurs et 32 Go de mémoire unifiée pour MacBook Pro 16" MK1E3FN/A</t>
  </si>
  <si>
    <t>CTO-MK1E3-GPU32</t>
  </si>
  <si>
    <t>Passage à un M1 Max avec CPU 10 cœurs GPU 32 cœurs et 32 Go de mémoire unifiée pour MacBook Pro 16" MK1E3FN/A</t>
  </si>
  <si>
    <t>CTO-MK1E3-32GB</t>
  </si>
  <si>
    <t>Passage à 32 Go de mémoire unifiée pour MacBook Pro 16" (uniquement avec M1 Pro) MK1E3FN/A</t>
  </si>
  <si>
    <t>CTO-MK1E3-64GB</t>
  </si>
  <si>
    <t>Passage à 64 Go de mémoire unifiée pour MacBook Pro 16" (uniquement avec M1 Max) MK1E3FN/A</t>
  </si>
  <si>
    <t>CTO-MK1E3-SSD1To</t>
  </si>
  <si>
    <t>Passage à 1 To de stockage SSD pour MacBook Pro 16" MK1E3FN/A</t>
  </si>
  <si>
    <t>CTO-MK1E3-SSD2To</t>
  </si>
  <si>
    <t>Passage à 2 To de stockage SSD pour MacBook Pro 16" MK1E3FN/A</t>
  </si>
  <si>
    <t>CTO-MK1E3-SSD4To</t>
  </si>
  <si>
    <t>Passage à 4 To de stockage SSD pour MacBook Pro 16" MK1E3FN/A</t>
  </si>
  <si>
    <t>CTO-MK1E3-SSD8To</t>
  </si>
  <si>
    <t>Passage à 8 To de stockage SSD pour MacBook Pro 16" MK1E3FN/A</t>
  </si>
  <si>
    <t>CTO-MK1E3-QUS</t>
  </si>
  <si>
    <t>Passage à un clavier rétro-éclairé anglais américain &amp; guide utilisateur anglais pour MacBook Pro 16" MK1E3FN/A</t>
  </si>
  <si>
    <t>CTO-MK1E3-QBR</t>
  </si>
  <si>
    <t>Passage à un clavier rétro-éclairé anglais Britannique &amp; guide utilisateur anglais pour MacBook Pro 16" MK1E3FN/A</t>
  </si>
  <si>
    <t>CTO-MK1E3-QIE</t>
  </si>
  <si>
    <t>Passage à un clavier rétro-éclairé anglais International &amp; guide utilisateur anglais pour MacBook Pro 16“ MK1E3FN/A</t>
  </si>
  <si>
    <t>MK193FN/A</t>
  </si>
  <si>
    <t>MacBook Pro 16" / M1 Pro CPU 10 cœurs GPU 16 cœurs / 16 Go / 1 To SSD / 3x Thunderbolt 4 / HDMI / lecteur carte SDXC / port MagSafe 3 / Gris sidéral</t>
  </si>
  <si>
    <t>CTO-MK193-GPU24</t>
  </si>
  <si>
    <t>Passage à un M1 Max avec CPU 10 cœurs GPU 24 cœurs et 32 Go de mémoire unifiée pour MacBook Pro 16" MK193FN/A</t>
  </si>
  <si>
    <t>CTO-MK193-GPU32</t>
  </si>
  <si>
    <t>Passage à un M1 Max avec CPU 10 cœurs GPU 32 cœurs et 32 Go de mémoire unifiée pour MacBook Pro 16" MK193FN/A</t>
  </si>
  <si>
    <t>CTO-MK193-32GB</t>
  </si>
  <si>
    <t>Passage à 32 Go de mémoire unifiée pour MacBook Pro 16" (uniquement avec M1 Pro) MK193FN/A</t>
  </si>
  <si>
    <t>CTO-MK193-64GB</t>
  </si>
  <si>
    <t>Passage à 64 Go de mémoire unifiée pour MacBook Pro 16" (uniquement avec M1 Max) MK193FN/A</t>
  </si>
  <si>
    <t>CTO-MK193-SSD2To</t>
  </si>
  <si>
    <t>Passage à 2 To de stockage SSD pour MacBook Pro 16" MK193FN/A</t>
  </si>
  <si>
    <t>CTO-MK193-SSD4To</t>
  </si>
  <si>
    <t>Passage à 4 To de stockage SSD pour MacBook Pro 16" MK193FN/A</t>
  </si>
  <si>
    <t>CTO-MK193-SSD8To</t>
  </si>
  <si>
    <t>Passage à 8 To de stockage SSD pour MacBook Pro 16" MK193FN/A</t>
  </si>
  <si>
    <t>CTO-MK193-QUS</t>
  </si>
  <si>
    <t>Passage à un clavier rétro-éclairé anglais américain &amp; guide utilisateur anglais pour MacBook Pro 16" MK193FN/A</t>
  </si>
  <si>
    <t>CTO-MK193-QBR</t>
  </si>
  <si>
    <t>Passage à un clavier rétro-éclairé anglais Britannique &amp; guide utilisateur anglais pour MacBook Pro 16" MK193FN/A</t>
  </si>
  <si>
    <t>CTO-MK193-QIE</t>
  </si>
  <si>
    <t>Passage à un clavier rétro-éclairé anglais International &amp; guide utilisateur anglais pour MacBook Pro 16“ MK193FN/A</t>
  </si>
  <si>
    <t>MK1F3FN/A</t>
  </si>
  <si>
    <t>MacBook Pro 16" / M1 Pro CPU 10 cœurs GPU 16 cœurs / 16 Go / 1 To SSD / 3x Thunderbolt 4 / HDMI / lecteur carte SDXC / port MagSafe 3 / Argent</t>
  </si>
  <si>
    <t>CTO-MK1F3-GPU24</t>
  </si>
  <si>
    <t>Passage à un M1 Max avec CPU 10 cœurs GPU 24 cœurs et 32 Go de mémoire unifiée pour MacBook Pro 16" MK1F3FN/A</t>
  </si>
  <si>
    <t>CTO-MK1F3-GPU32</t>
  </si>
  <si>
    <t>Passage à un M1 Max avec CPU 10 cœurs GPU 32 cœurs et 32 Go de mémoire unifiée pour MacBook Pro 16" MK1F3FN/A</t>
  </si>
  <si>
    <t>CTO-MK1F3-32GB</t>
  </si>
  <si>
    <t>Passage à 32 Go de mémoire unifiée pour MacBook Pro 16" (uniquement avec M1 Pro) MK1F3FN/A</t>
  </si>
  <si>
    <t>CTO-MK1F3-64GB</t>
  </si>
  <si>
    <t>Passage à 64 Go de mémoire unifiée pour MacBook Pro 16" (uniquement avec M1 Max) MK1F3FN/A</t>
  </si>
  <si>
    <t>CTO-MK1F3-SSD2To</t>
  </si>
  <si>
    <t>Passage à 2 To de stockage SSD pour MacBook Pro 16" MK1F3FN/A</t>
  </si>
  <si>
    <t>CTO-MK1F3-SSD4To</t>
  </si>
  <si>
    <t>Passage à 4 To de stockage SSD pour MacBook Pro 16" MK1F3FN/A</t>
  </si>
  <si>
    <t>CTO-MK1F3-SSD8To</t>
  </si>
  <si>
    <t>Passage à 8 To de stockage SSD pour MacBook Pro 16" MK1F3FN/A</t>
  </si>
  <si>
    <t>CTO-MK1F3-QUS</t>
  </si>
  <si>
    <t>Passage à un clavier rétro-éclairé anglais américain &amp; guide utilisateur anglais pour MacBook Pro 16" MK1F3FN/A</t>
  </si>
  <si>
    <t>CTO-MK1F3-QBR</t>
  </si>
  <si>
    <t>Passage à un clavier rétro-éclairé anglais Britannique &amp; guide utilisateur anglais pour MacBook Pro 16" MK1F3FN/A</t>
  </si>
  <si>
    <t>CTO-MK1F3-QIE</t>
  </si>
  <si>
    <t>Passage à un clavier rétro-éclairé anglais International &amp; guide utilisateur anglais pour MacBook Pro 16“ MK1F3FN/A</t>
  </si>
  <si>
    <t>MK1A3FN/A</t>
  </si>
  <si>
    <t>MacBook Pro 16" / M1 Max CPU 10 cœurs GPU 32 cœurs / 32 Go / 1 To SSD / 3x Thunderbolt 4 / HDMI / lecteur carte SDXC / port MagSafe 3 / Gris sidéral</t>
  </si>
  <si>
    <t>CTO-MK1A3-64GB</t>
  </si>
  <si>
    <t>Passage à 64 Go de mémoire unifiée pour MacBook Pro 16" MK1A3FN/A</t>
  </si>
  <si>
    <t>CTO-MK1A3-SSD2To</t>
  </si>
  <si>
    <t>Passage à 2 To de stockage SSD pour MacBook Pro 16" MK1A3FN/A</t>
  </si>
  <si>
    <t>CTO-MK1A3-SSD4To</t>
  </si>
  <si>
    <t>Passage à 4 To de stockage SSD pour MacBook Pro 16" MK1A3FN/A</t>
  </si>
  <si>
    <t>CTO-MK1A3-SSD8To</t>
  </si>
  <si>
    <t>Passage à 8 To de stockage SSD pour MacBook Pro 16" MK1A3FN/A</t>
  </si>
  <si>
    <t>CTO-MK1A3-QUS</t>
  </si>
  <si>
    <t>Passage à un clavier rétro-éclairé anglais américain &amp; guide utilisateur anglais pour MacBook Pro 16" MK1A3FN/A</t>
  </si>
  <si>
    <t>CTO-MK1A3-QBR</t>
  </si>
  <si>
    <t>Passage à un clavier rétro-éclairé anglais Britannique &amp; guide utilisateur anglais pour MacBook Pro 16" MK1A3FN/A</t>
  </si>
  <si>
    <t>CTO-MK1A3-QIE</t>
  </si>
  <si>
    <t>Passage à un clavier rétro-éclairé anglais International &amp; guide utilisateur anglais pour MacBook Air MK1A3FN/A</t>
  </si>
  <si>
    <t>MK1H3FN/A</t>
  </si>
  <si>
    <t>MacBook Pro 16" / M1 Max CPU 10 cœurs GPU 32 cœurs / 32 Go / 1 To SSD / 3x Thunderbolt 4 / HDMI / lecteur carte SDXC / port MagSafe 3 / Argent</t>
  </si>
  <si>
    <t>CTO-MK1H3-64GB</t>
  </si>
  <si>
    <t>Passage à 64 Go de mémoire unifiée pour MacBook Pro 16" MK1H3FN/A</t>
  </si>
  <si>
    <t>CTO-MK1H3-SSD2To</t>
  </si>
  <si>
    <t>Passage à 2 To de stockage SSD pour MacBook Pro 16" MK1H3FN/A</t>
  </si>
  <si>
    <t>CTO-MK1H3-SSD4To</t>
  </si>
  <si>
    <t>Passage à 4 To de stockage SSD pour MacBook Pro 16" MK1H3FN/A</t>
  </si>
  <si>
    <t>CTO-MK1H3-SSD8To</t>
  </si>
  <si>
    <t>Passage à 8 To de stockage SSD pour MacBook Pro 16" MK1H3FN/A</t>
  </si>
  <si>
    <t>CTO-MK1H3-QUS</t>
  </si>
  <si>
    <t>Passage à un clavier rétro-éclairé anglais américain &amp; guide utilisateur anglais pour MacBook Pro 16" MK1H3FN/A</t>
  </si>
  <si>
    <t>CTO-MK1H3-QBR</t>
  </si>
  <si>
    <t>Passage à un clavier rétro-éclairé anglais Britannique &amp; guide utilisateur anglais pour MacBook Pro 16" MK1H3FN/A</t>
  </si>
  <si>
    <t>CTO-MK1H3-QIE</t>
  </si>
  <si>
    <t>Passage à un clavier rétro-éclairé anglais International &amp; guide utilisateur anglais pour MacBook Pro 16“ MK1H3FN/A</t>
  </si>
  <si>
    <t>Garantie 5 ans formule Plus pour MacBook Pro 16" (intervention à J+1 - réparation à J+3 ou MacBook Pro 16" de prêt)</t>
  </si>
  <si>
    <t>MI5-MBP-16-6-PLUS</t>
  </si>
  <si>
    <r>
      <t xml:space="preserve">Passage à une garantie 6 ans </t>
    </r>
    <r>
      <rPr>
        <sz val="10"/>
        <rFont val="Calibri (Corps)"/>
      </rPr>
      <t>formule Plus</t>
    </r>
    <r>
      <rPr>
        <sz val="10"/>
        <rFont val="Calibri"/>
        <family val="2"/>
        <scheme val="minor"/>
      </rPr>
      <t xml:space="preserve"> pour MacBook Pro 16" (intervention à J+1 - réparation à J+3 ou MacBook Pro 16")</t>
    </r>
  </si>
  <si>
    <t>Passage à une garantie 6 ans formule Plus pour MacBook Pro 16" (intervention à J+1 - réparation à J+3 ou MacBook Pro 16")</t>
  </si>
  <si>
    <t>MI5-MBP-16-7-PLUS</t>
  </si>
  <si>
    <r>
      <t xml:space="preserve">Passage à une garantie 7 ans </t>
    </r>
    <r>
      <rPr>
        <sz val="10"/>
        <rFont val="Calibri (Corps)"/>
      </rPr>
      <t>formule Plus</t>
    </r>
    <r>
      <rPr>
        <sz val="10"/>
        <rFont val="Calibri"/>
        <family val="2"/>
        <scheme val="minor"/>
      </rPr>
      <t xml:space="preserve"> pour MacBook Pro 16" (intervention à J+1 - réparation à J+3 ou MacBook Pro 16")</t>
    </r>
  </si>
  <si>
    <t>Passage à une garantie 7 ans formule Plus pour MacBook Pro 16" (intervention à J+1 - réparation à J+3 ou MacBook Pro 16")</t>
  </si>
  <si>
    <t>MI5-MBP-16-8-PLUS</t>
  </si>
  <si>
    <r>
      <t xml:space="preserve">Passage à une garantie 8 ans </t>
    </r>
    <r>
      <rPr>
        <sz val="10"/>
        <rFont val="Calibri (Corps)"/>
      </rPr>
      <t>formule Plus</t>
    </r>
    <r>
      <rPr>
        <sz val="10"/>
        <rFont val="Calibri"/>
        <family val="2"/>
        <scheme val="minor"/>
      </rPr>
      <t xml:space="preserve"> pour MacBook Pro 16" (intervention à J+1 - réparation à J+3 ou MacBook Pro 16")</t>
    </r>
  </si>
  <si>
    <t>Passage à une garantie 8 ans formule Plus pour MacBook Pro 16" (intervention à J+1 - réparation à J+3 ou MacBook Pro 16")</t>
  </si>
  <si>
    <t>MI5-MBP-16-5-PRO</t>
  </si>
  <si>
    <r>
      <t xml:space="preserve">Passage à une garantie 5 ans </t>
    </r>
    <r>
      <rPr>
        <sz val="10"/>
        <rFont val="Calibri (Corps)"/>
      </rPr>
      <t>formule Pro</t>
    </r>
    <r>
      <rPr>
        <sz val="10"/>
        <rFont val="Calibri"/>
        <family val="2"/>
        <scheme val="minor"/>
      </rPr>
      <t xml:space="preserve"> pour MacBook Pro 16" (diagnostic à H+4 - remplacement à J+1)</t>
    </r>
  </si>
  <si>
    <t>Passage à une garantie 5 ans formule Pro pour MacBook Pro 16" (diagnostic à H+4 - remplacement à J+1)</t>
  </si>
  <si>
    <t>MI5-MBP-16-6-PRO</t>
  </si>
  <si>
    <r>
      <t xml:space="preserve">Passage à une garantie 6 ans </t>
    </r>
    <r>
      <rPr>
        <sz val="10"/>
        <rFont val="Calibri (Corps)"/>
      </rPr>
      <t>formule Pro</t>
    </r>
    <r>
      <rPr>
        <sz val="10"/>
        <rFont val="Calibri"/>
        <family val="2"/>
        <scheme val="minor"/>
      </rPr>
      <t xml:space="preserve"> pour MacBook Pro 16" (diagnostic à H+4 - remplacement à J+1)</t>
    </r>
  </si>
  <si>
    <t>Passage à une garantie 6 ans formule Pro pour MacBook Pro 16" (diagnostic à H+4 - remplacement à J+1)</t>
  </si>
  <si>
    <t>MI5-MBP-16-7-PRO</t>
  </si>
  <si>
    <r>
      <t xml:space="preserve">Passage à une garantie 7 ans </t>
    </r>
    <r>
      <rPr>
        <sz val="10"/>
        <rFont val="Calibri (Corps)"/>
      </rPr>
      <t>formule Pro</t>
    </r>
    <r>
      <rPr>
        <sz val="10"/>
        <rFont val="Calibri"/>
        <family val="2"/>
        <scheme val="minor"/>
      </rPr>
      <t xml:space="preserve"> pour MacBook Pro 16" (diagnostic à H+4 - remplacement à J+1)</t>
    </r>
  </si>
  <si>
    <t>Passage à une garantie 7 ans formule Pro pour MacBook Pro 16" (diagnostic à H+4 - remplacement à J+1)</t>
  </si>
  <si>
    <t>MI5-MBP-16-8-PRO</t>
  </si>
  <si>
    <r>
      <t xml:space="preserve">Passage à une garantie 8 ans </t>
    </r>
    <r>
      <rPr>
        <sz val="10"/>
        <rFont val="Calibri (Corps)"/>
      </rPr>
      <t>formule Pro</t>
    </r>
    <r>
      <rPr>
        <sz val="10"/>
        <rFont val="Calibri"/>
        <family val="2"/>
        <scheme val="minor"/>
      </rPr>
      <t xml:space="preserve"> pour MacBook Pro 16" (diagnostic à H+4 - remplacement à J+1)</t>
    </r>
  </si>
  <si>
    <t>Passage à une garantie 8 ans formule Pro pour MacBook Pro 16" (diagnostic à H+4 - remplacement à J+1)</t>
  </si>
  <si>
    <t>MI5-MBP-16-5-PLATINE</t>
  </si>
  <si>
    <r>
      <t xml:space="preserve">Passage à une garantie 5 ans formule </t>
    </r>
    <r>
      <rPr>
        <sz val="10"/>
        <rFont val="Calibri (Corps)"/>
      </rPr>
      <t>Platine</t>
    </r>
    <r>
      <rPr>
        <sz val="10"/>
        <rFont val="Calibri"/>
        <family val="2"/>
        <scheme val="minor"/>
      </rPr>
      <t xml:space="preserve"> pour MacBook Pro 16" (réparation sur site de J+1 à J+3 maximum) </t>
    </r>
  </si>
  <si>
    <t xml:space="preserve">Passage à une garantie 5 ans formule Platine pour MacBook Pro 16" (réparation sur site de J+1 à J+3 maximum) </t>
  </si>
  <si>
    <t>MI5-MBP-16-6-PLATINE</t>
  </si>
  <si>
    <r>
      <t xml:space="preserve">Passage à une garantie 6 ans formule </t>
    </r>
    <r>
      <rPr>
        <sz val="10"/>
        <rFont val="Calibri (Corps)"/>
      </rPr>
      <t>Platine</t>
    </r>
    <r>
      <rPr>
        <sz val="10"/>
        <rFont val="Calibri"/>
        <family val="2"/>
        <scheme val="minor"/>
      </rPr>
      <t xml:space="preserve"> pour MacBook Pro 16" (réparation sur site de J+1 à J+3 maximum) </t>
    </r>
  </si>
  <si>
    <t xml:space="preserve">Passage à une garantie 6 ans formule Platine pour MacBook Pro 16" (réparation sur site de J+1 à J+3 maximum) </t>
  </si>
  <si>
    <t>MI5-MBP-16-7-PLATINE</t>
  </si>
  <si>
    <r>
      <t xml:space="preserve">Passage à une garantie 7 ans formule </t>
    </r>
    <r>
      <rPr>
        <sz val="10"/>
        <rFont val="Calibri (Corps)"/>
      </rPr>
      <t>Platine</t>
    </r>
    <r>
      <rPr>
        <sz val="10"/>
        <rFont val="Calibri"/>
        <family val="2"/>
        <scheme val="minor"/>
      </rPr>
      <t xml:space="preserve"> pour MacBook Pro 16" (réparation sur site de J+1 à J+3 maximum) </t>
    </r>
  </si>
  <si>
    <t xml:space="preserve">Passage à une garantie 7 ans formule Platine pour MacBook Pro 16" (réparation sur site de J+1 à J+3 maximum) </t>
  </si>
  <si>
    <t>MI5-MBP-16-8-PLATINE</t>
  </si>
  <si>
    <r>
      <t xml:space="preserve">Passage à une garantie 8 ans formule </t>
    </r>
    <r>
      <rPr>
        <sz val="10"/>
        <rFont val="Calibri (Corps)"/>
      </rPr>
      <t>Platine</t>
    </r>
    <r>
      <rPr>
        <sz val="10"/>
        <rFont val="Calibri"/>
        <family val="2"/>
        <scheme val="minor"/>
      </rPr>
      <t xml:space="preserve"> pour MacBook Pro 16" (réparation sur site de J+1 à J+3 maximum) </t>
    </r>
  </si>
  <si>
    <t xml:space="preserve">Passage à une garantie 8 ans formule Platine pour MacBook Pro 16" (réparation sur site de J+1 à J+3 maximum) </t>
  </si>
  <si>
    <t>MI5-MBP-16-5-PLUS-INTER</t>
  </si>
  <si>
    <t>Garantie 5 ans formule Plus internationale pour MacBook Pro 16" (France : intervention à J+1 - réparation à J+3 ou MacBook Pro 16" de prêt pour la France Métropolitaine - retour atelier pour l'étranger) (remplace la garantie 5 ans formule Plus)</t>
  </si>
  <si>
    <t>MI5-MBP-16-5-PRO-INTER</t>
  </si>
  <si>
    <t>Garantie 5 ans formule Pro+  internationale pour MacBook Pro 16" (diagnostic à H+4 - remplacement à J+1 - retour atelier à l'étranger) (remplace la garantie 5 ans formule Plus)</t>
  </si>
  <si>
    <t>MI5-MBP-16-5-E-CARE</t>
  </si>
  <si>
    <t>Service de substitution forfaité d'une durée de 5 ans pour MacBook Pro 16"</t>
  </si>
  <si>
    <t>IC03</t>
  </si>
  <si>
    <t>MI5-MBP-16-5-E-KYOD</t>
  </si>
  <si>
    <r>
      <t xml:space="preserve">Service de conservation du disque dur pour une durée de 5 ans pour </t>
    </r>
    <r>
      <rPr>
        <sz val="10"/>
        <rFont val="Calibri (Corps)"/>
      </rPr>
      <t>MacBook Pro 16"</t>
    </r>
    <r>
      <rPr>
        <sz val="10"/>
        <rFont val="Calibri"/>
        <family val="2"/>
        <scheme val="minor"/>
      </rPr>
      <t xml:space="preserve"> (Keep your own drive)</t>
    </r>
  </si>
  <si>
    <t>Service de conservation du disque dur pour une durée de 5 ans pour MacBook Pro 16" (Keep your own drive)</t>
  </si>
  <si>
    <t>MGNR3FN/A</t>
  </si>
  <si>
    <t>Mac mini M1 CPU 8 cœurs GPU 8 cœurs / 8 Go / 256 Go / 2x Thunderbolt USB 4 / Wi‑Fi 6 802.11ax / Bluetooth 5.0</t>
  </si>
  <si>
    <t>MI5-MM-5-PLUS</t>
  </si>
  <si>
    <t>Catégorie 3 - Fixes à faible encombrement - Configuration 1</t>
  </si>
  <si>
    <t>30214000-2</t>
  </si>
  <si>
    <t>IA01</t>
  </si>
  <si>
    <t>CTO-MGNR3-16GB</t>
  </si>
  <si>
    <t>Passage à 16 Go de mémoire unifiée pour Mac mini MGNR3FN/A</t>
  </si>
  <si>
    <t>CTO-MGNR3-SSD512</t>
  </si>
  <si>
    <t>Passage à 512 Go de stockage SSD pour Mac mini MGNR3FN/A</t>
  </si>
  <si>
    <t>CTO-MGNR3-SSD1To</t>
  </si>
  <si>
    <t>Passage à 1 To de stockage SSD pour Mac mini MGNR3FN/A</t>
  </si>
  <si>
    <t>CTO-MGNR3-SSD2To</t>
  </si>
  <si>
    <t>Passage à 2 To de stockage SSD pour Mac mini MGNR3FN/A</t>
  </si>
  <si>
    <t>CTO-MGNR3-ETH</t>
  </si>
  <si>
    <t>Passage à 10 Gigabit Ethernet à commander avec MGNR3FN/A</t>
  </si>
  <si>
    <t>Garantie 5 ans formule Plus pour Mac mini (intervention à J+1 - réparation à J+3 ou Mac mini de prêt)</t>
  </si>
  <si>
    <t>IC01</t>
  </si>
  <si>
    <t>MI5-MM-6-PLUS</t>
  </si>
  <si>
    <r>
      <t xml:space="preserve">Passage à une garantie 6 ans </t>
    </r>
    <r>
      <rPr>
        <sz val="10"/>
        <rFont val="Calibri (Corps)"/>
      </rPr>
      <t>formule Plus</t>
    </r>
    <r>
      <rPr>
        <sz val="10"/>
        <rFont val="Calibri"/>
        <family val="2"/>
        <scheme val="minor"/>
      </rPr>
      <t xml:space="preserve"> pour Mac mini (intervention à J+1 - réparation à J+3 ou Mac mini de prêt)</t>
    </r>
  </si>
  <si>
    <t>Passage à une garantie 6 ans formule Plus pour Mac mini (intervention à J+1 - réparation à J+3 ou Mac mini de prêt)</t>
  </si>
  <si>
    <t>MI5-MM-7-PLUS</t>
  </si>
  <si>
    <r>
      <t xml:space="preserve">Passage à une garantie 7 ans </t>
    </r>
    <r>
      <rPr>
        <sz val="10"/>
        <rFont val="Calibri (Corps)"/>
      </rPr>
      <t>formule Plus</t>
    </r>
    <r>
      <rPr>
        <sz val="10"/>
        <rFont val="Calibri"/>
        <family val="2"/>
        <scheme val="minor"/>
      </rPr>
      <t xml:space="preserve"> pour Mac mini (intervention à J+1 - réparation à J+3 ou Mac mini de prêt)</t>
    </r>
  </si>
  <si>
    <t>Passage à une garantie 7 ans formule Plus pour Mac mini (intervention à J+1 - réparation à J+3 ou Mac mini de prêt)</t>
  </si>
  <si>
    <t>MI5-MM-8-PLUS</t>
  </si>
  <si>
    <r>
      <t xml:space="preserve">Passage à une garantie 8 ans </t>
    </r>
    <r>
      <rPr>
        <sz val="10"/>
        <rFont val="Calibri (Corps)"/>
      </rPr>
      <t>formule Plus</t>
    </r>
    <r>
      <rPr>
        <sz val="10"/>
        <rFont val="Calibri"/>
        <family val="2"/>
        <scheme val="minor"/>
      </rPr>
      <t xml:space="preserve"> pour Mac mini (intervention à J+1 - réparation à J+3 ou Mac mini de prêt)</t>
    </r>
  </si>
  <si>
    <t>Passage à une garantie 8 ans formule Plus pour Mac mini (intervention à J+1 - réparation à J+3 ou Mac mini de prêt)</t>
  </si>
  <si>
    <t>MI5-MM-5-PRO</t>
  </si>
  <si>
    <r>
      <t xml:space="preserve">Passage à une garantie 5 ans </t>
    </r>
    <r>
      <rPr>
        <sz val="10"/>
        <rFont val="Calibri (Corps)"/>
      </rPr>
      <t>formule Pro+</t>
    </r>
    <r>
      <rPr>
        <sz val="10"/>
        <rFont val="Calibri"/>
        <family val="2"/>
        <scheme val="minor"/>
      </rPr>
      <t xml:space="preserve"> pour Mac mini (diagnostic à H+4 - remplacement à J+1)</t>
    </r>
  </si>
  <si>
    <t>Passage à une garantie 5 ans formule Pro+ pour Mac mini (diagnostic à H+4 - remplacement à J+1)</t>
  </si>
  <si>
    <t>MI5-MM-6-PRO</t>
  </si>
  <si>
    <r>
      <t xml:space="preserve">Passage à une garantie 6 ans </t>
    </r>
    <r>
      <rPr>
        <sz val="10"/>
        <rFont val="Calibri (Corps)"/>
      </rPr>
      <t>formule Pro+</t>
    </r>
    <r>
      <rPr>
        <sz val="10"/>
        <rFont val="Calibri"/>
        <family val="2"/>
        <scheme val="minor"/>
      </rPr>
      <t xml:space="preserve"> pour Mac mini (diagnostic à H+4 - remplacement à J+1)</t>
    </r>
  </si>
  <si>
    <t>Passage à une garantie 6 ans formule Pro+ pour Mac mini (diagnostic à H+4 - remplacement à J+1)</t>
  </si>
  <si>
    <t>MI5-MM-7-PRO</t>
  </si>
  <si>
    <r>
      <t xml:space="preserve">Passage à une garantie 7 ans </t>
    </r>
    <r>
      <rPr>
        <sz val="10"/>
        <rFont val="Calibri (Corps)"/>
      </rPr>
      <t>formule Pro+</t>
    </r>
    <r>
      <rPr>
        <sz val="10"/>
        <rFont val="Calibri"/>
        <family val="2"/>
        <scheme val="minor"/>
      </rPr>
      <t xml:space="preserve"> pour Mac mini (diagnostic à H+4 - remplacement à J+1)</t>
    </r>
  </si>
  <si>
    <t>Passage à une garantie 7 ans formule Pro+ pour Mac mini (diagnostic à H+4 - remplacement à J+1)</t>
  </si>
  <si>
    <t>MI5-MM-8-PRO</t>
  </si>
  <si>
    <r>
      <t xml:space="preserve">Passage à une garantie 8 ans </t>
    </r>
    <r>
      <rPr>
        <sz val="10"/>
        <rFont val="Calibri (Corps)"/>
      </rPr>
      <t>formule Pro+</t>
    </r>
    <r>
      <rPr>
        <sz val="10"/>
        <rFont val="Calibri"/>
        <family val="2"/>
        <scheme val="minor"/>
      </rPr>
      <t xml:space="preserve"> pour Mac mini (diagnostic à H+4 - remplacement à J+1)</t>
    </r>
  </si>
  <si>
    <t>Passage à une garantie 8 ans formule Pro+ pour Mac mini (diagnostic à H+4 - remplacement à J+1)</t>
  </si>
  <si>
    <t>MI5-MM-5-PLATINE</t>
  </si>
  <si>
    <r>
      <t xml:space="preserve">Passage à une garantie 5 ans formule </t>
    </r>
    <r>
      <rPr>
        <sz val="10"/>
        <rFont val="Calibri (Corps)"/>
      </rPr>
      <t>Platine</t>
    </r>
    <r>
      <rPr>
        <sz val="10"/>
        <rFont val="Calibri"/>
        <family val="2"/>
        <scheme val="minor"/>
      </rPr>
      <t xml:space="preserve"> pour Mac mini (réparation sur site de J+1 à J+3 maximum)</t>
    </r>
  </si>
  <si>
    <t>Passage à une garantie 5 ans formule Platine pour Mac mini (réparation sur site de J+1 à J+3 maximum)</t>
  </si>
  <si>
    <t>MI5-MM-6-PLATINE</t>
  </si>
  <si>
    <r>
      <t xml:space="preserve">Passage à une garantie 6 ans formule </t>
    </r>
    <r>
      <rPr>
        <sz val="10"/>
        <rFont val="Calibri (Corps)"/>
      </rPr>
      <t>Platine</t>
    </r>
    <r>
      <rPr>
        <sz val="10"/>
        <rFont val="Calibri"/>
        <family val="2"/>
        <scheme val="minor"/>
      </rPr>
      <t xml:space="preserve"> pour Mac mini(réparation sur site de J+1 à J+3 maximum)</t>
    </r>
  </si>
  <si>
    <t>Passage à une garantie 6 ans formule Platine pour Mac mini(réparation sur site de J+1 à J+3 maximum)</t>
  </si>
  <si>
    <t>MI5-MM-7-PLATINE</t>
  </si>
  <si>
    <r>
      <t xml:space="preserve">Passage à une garantie 7 ans formule </t>
    </r>
    <r>
      <rPr>
        <sz val="10"/>
        <rFont val="Calibri (Corps)"/>
      </rPr>
      <t>Platine</t>
    </r>
    <r>
      <rPr>
        <sz val="10"/>
        <rFont val="Calibri"/>
        <family val="2"/>
        <scheme val="minor"/>
      </rPr>
      <t xml:space="preserve"> pour Mac mini (réparation sur site de J+1 à J+3 maximum)</t>
    </r>
  </si>
  <si>
    <t>Passage à une garantie 7 ans formule Platine pour Mac mini (réparation sur site de J+1 à J+3 maximum)</t>
  </si>
  <si>
    <t>MI5-MM-8-PLATINE</t>
  </si>
  <si>
    <r>
      <t xml:space="preserve">Passage à une garantie 8 ans formule </t>
    </r>
    <r>
      <rPr>
        <sz val="10"/>
        <rFont val="Calibri (Corps)"/>
      </rPr>
      <t>Platine</t>
    </r>
    <r>
      <rPr>
        <sz val="10"/>
        <rFont val="Calibri"/>
        <family val="2"/>
        <scheme val="minor"/>
      </rPr>
      <t xml:space="preserve"> pour Mac mini (réparation sur site de J+1 à J+3 maximum)</t>
    </r>
  </si>
  <si>
    <t>Passage à une garantie 8 ans formule Platine pour Mac mini (réparation sur site de J+1 à J+3 maximum)</t>
  </si>
  <si>
    <t>MI5-MM-5-PLUS-INTER</t>
  </si>
  <si>
    <t>Garantie 5 ans formule Plus internationale pour Mac mini (France : intervention à J+1 - réparation à J+3 ou Mac mini de prêt pour la France Métropolitaine - retour atelier pour l'étranger) (remplace la garantie 5 ans formule Plus)</t>
  </si>
  <si>
    <t>MI5-MM-5-PRO-INTER</t>
  </si>
  <si>
    <t>Garantie 5 ans formule Pro internationale pour Mac mini (diagnostic à H+4 - remplacement à J+1 - retour atelier à l'étranger)(remplace la garantie 5 ans formule Plus)</t>
  </si>
  <si>
    <t>MI5-MM-5-E-KYOD</t>
  </si>
  <si>
    <t>Service de conservation du disque dur pour une durée de 5 ans pour Mac mini (Keep your own drive)</t>
  </si>
  <si>
    <t>MGNT3FN/A</t>
  </si>
  <si>
    <t>Mac mini M1 CPU 8 cœurs GPU 8 cœurs / 8 Go / 512 Go / 2x Thunderbolt USB 4 / Wi‑Fi 6 802.11ax / Bluetooth 5.0</t>
  </si>
  <si>
    <t>MI5-MM-5PL</t>
  </si>
  <si>
    <t>Catégorie 3 - Fixes à faible encombrement - Configuration 2</t>
  </si>
  <si>
    <t>CTO-MGNT3-16GB</t>
  </si>
  <si>
    <t>Passage à 16 Go de mémoire unifiée pour Mac mini MGNT3FN/A</t>
  </si>
  <si>
    <t>CTO-MGNT3-SSD1To</t>
  </si>
  <si>
    <t>Passage à 1 To de stockage SSD pour Mac mini MGNT3FN/A</t>
  </si>
  <si>
    <t>CTO-MGNT3-SSD2To</t>
  </si>
  <si>
    <t>Passage à 2 To de stockage SSD pour Mac mini MGNT3FN/A</t>
  </si>
  <si>
    <t>CTO-MGNT3-ETH</t>
  </si>
  <si>
    <t>Passage à 10 Gigabit Ethernet à commander avec MGNT3FN/A</t>
  </si>
  <si>
    <t>MXNG2FN/A</t>
  </si>
  <si>
    <t>Mac mini Intel hexacœur Core i5 3,0 GHz / 8 Go / 512 Go SSD PCIe / Intel UHD Graphics 630 / AirPort Extreme 802.11ac / Bluetooth 5.0 / Go Eth</t>
  </si>
  <si>
    <t>CTO-MXNG2-i76c-3,2</t>
  </si>
  <si>
    <t>Passage à un processeur hexacœur Intel Core i7 à 3,2 GHz à commander avec MXNG2FN/A</t>
  </si>
  <si>
    <t>CTO-MXNG2-2x8GB</t>
  </si>
  <si>
    <t>Passage à 16 Go de mémoire (2x8 Go) DDR4 2 666 MHz non soudés à commander avec MXNG2FN/A</t>
  </si>
  <si>
    <t>CTO-MXNG2-2x16GB</t>
  </si>
  <si>
    <t>Passage à 32 Go de mémoire (2x16 Go) DDR4 2 666 MHz non soudés à commander avec MXNG2FN/A</t>
  </si>
  <si>
    <t>CTO-MXNG2-2x32GB</t>
  </si>
  <si>
    <t>Passage à 64 Go de mémoire (2x32 Go) DDR4 2 666 MHz non soudés à commander avec MXNG2FN/A</t>
  </si>
  <si>
    <t>CTO-MXNG2-SSD1To</t>
  </si>
  <si>
    <t>Passage à 1 To de stockage SSD PCIe à commander avec MXNG2FN/A</t>
  </si>
  <si>
    <t>CTO-MXNG2-SSD2To</t>
  </si>
  <si>
    <t>Passage à 2 To de stockage SSD PCIe à commander avec MXNG2FN/A</t>
  </si>
  <si>
    <t>CTO-MXNG2-ETH</t>
  </si>
  <si>
    <t>Passage à 10 Gigabit Ethernet à commander avec MXNG2FN/A</t>
  </si>
  <si>
    <t>existe en bleu / vert / rose et argent</t>
  </si>
  <si>
    <t>MGTF3FN/A</t>
  </si>
  <si>
    <t>iMac 24" Retina 4,5K / Apple M1 CPU 8 cœurs et GPU 7 cœurs / 8 Go de mémoire unifiée / SSD 256 Go / 2xThunderbolt/USB 4 / Wi‑Fi 6 802.11ax / Bluetooth 5.0 - Argent</t>
  </si>
  <si>
    <t>MI5-IMAC-24-5-PLUS</t>
  </si>
  <si>
    <t>Catégorie 4 - Fixes bureautiques - Configuration 2</t>
  </si>
  <si>
    <t xml:space="preserve">CTO-MGTF3-16GB </t>
  </si>
  <si>
    <t>Passage à 16 Go de mémoire unifiée pour iMac 24'' Retina 4,5K MGTF3FN/A</t>
  </si>
  <si>
    <t xml:space="preserve">CTO-MGTF3-SSD512 </t>
  </si>
  <si>
    <t>Passage à 512 Go de stockage SSD pour iMac 24'' Retina 4,5K MGTF3FN/A</t>
  </si>
  <si>
    <t>CTO-MGTF3-SSD1To</t>
  </si>
  <si>
    <t>Passage à 1 To de stockage SSD pour iMac 24'' Retina 4,5K MGTF3FN/A</t>
  </si>
  <si>
    <t xml:space="preserve">CTO-MGTF3-ETH </t>
  </si>
  <si>
    <t>Passage à 10 Gigabit Ethernet pour iMac 24'' Retina 4,5K MGTF3FN/A</t>
  </si>
  <si>
    <t xml:space="preserve">CTO-MGTF3-MTP2 </t>
  </si>
  <si>
    <t>Passage à un Magic Trackpad 2 (Force Touch sans fil Bluetooth rechargeable Lightning) pour iMac 24'' Retina 4,5K MGTF3FN/A</t>
  </si>
  <si>
    <t xml:space="preserve">CTO-MGTF3-MMTP2 </t>
  </si>
  <si>
    <t>Passage à une souris Magic Mouse 2 et un Magic Trackpad 2 (Force Touch sans fil Bluetooth rechargeable Lightning) pour iMac 24'' Retina 4,5K MGTF3FN/A</t>
  </si>
  <si>
    <t>CTO-MGTF3-MKE-QUS</t>
  </si>
  <si>
    <t>Passage à un Magic Keyboard américain 78 touches sans fil Bluetooth rechargeable (sans pavé numérique) pour iMac 24'' Retina 4,5K MGTF3FN/A</t>
  </si>
  <si>
    <t>CTO-MGTF3-MKE-QIE</t>
  </si>
  <si>
    <t>Passage à un Magic Keyboard anglais international 78 touches sans fil Bluetooth rechargeable (sans pavé numérique) pour iMac 24'' Retina 4,5K MGTF3FN/A</t>
  </si>
  <si>
    <t>CTO-MGTF3-MKETI-FR</t>
  </si>
  <si>
    <t>Passage à un Magic Keyboard français avec Touch ID 78 touches sans fil Bluetooth rechargeable (sans pavé numérique) pour iMac 24'' Retina 4,5K MGTF3FN/A</t>
  </si>
  <si>
    <t>CTO-MGTF3-MKETI-US</t>
  </si>
  <si>
    <t>Passage à un Magic Keyboard américain avec Touch ID 78 touches sans fil Bluetooth rechargeable (sans pavé numérique) pour iMac 24'' Retina 4,5K MGTF3FN/A</t>
  </si>
  <si>
    <t>CTO-MGTF3-MKETI-IE</t>
  </si>
  <si>
    <t>Passage à un Magic Keyboard anglais international avec Touch ID 78 touches sans fil Bluetooth rechargeable (sans pavé numérique) pour iMac 24'' Retina 4,5K MGTF3FN/A</t>
  </si>
  <si>
    <t>CTO-MGTF3-MKETIPV-FR</t>
  </si>
  <si>
    <t>Passage à un Magic Keyboard français avec Touch ID 109 touches sans fil Bluetooth rechargeable avec pavé numérique pour iMac 24'' Retina 4,5K MGTF3FN/A</t>
  </si>
  <si>
    <t>CTO-MGTF3-MKETIPV-US</t>
  </si>
  <si>
    <t>Passage à un Magic Keyboard américain avec Touch ID 109 touches sans fil Bluetooth rechargeable avec pavé numérique pour iMac 24'' Retina 4,5K MGTF3FN/A</t>
  </si>
  <si>
    <t>CTO-MGTF3-MKETIPV-IE</t>
  </si>
  <si>
    <t>Passage à un Magic Keyboard anglais international avec Touch ID 109 touches sans fil Bluetooth rechargeable avec pavé numérique pour iMac 24'' Retina 4,5K MGTF3FN/A</t>
  </si>
  <si>
    <t>existe en bleu / vert / rose / argent / jaune / orange et mauve</t>
  </si>
  <si>
    <t>MGPC3FN/A</t>
  </si>
  <si>
    <t>iMac 24" Retina 4,5K / Apple M1 CPU 8 cœurs et GPU 8 cœurs / 8 Go de mémoire unifiée / SSD 256 Go / 2xThunderbolt/USB 4 / 2xUSB 3 / Wi‑Fi 6 802.11ax  / Bluetooth 5.0  / GBIt Eth - Argent</t>
  </si>
  <si>
    <t>Catégorie 4 - Fixes bureautiques - Configuration 3</t>
  </si>
  <si>
    <t>CTO-MGPC3-16GB</t>
  </si>
  <si>
    <t>Passage à 16 Go de mémoire unifiée pour iMac 24'' Retina 4,5K MGPC3FN/A</t>
  </si>
  <si>
    <t>CTO-MGPC3-SSD512</t>
  </si>
  <si>
    <t>Passage à 512 Go de stockage SSD pour iMac 24'' Retina 4,5K MGPC3FN/A</t>
  </si>
  <si>
    <t>CTO-MGPC3-SSD1To</t>
  </si>
  <si>
    <t>Passage à 1 To de stockage SSD pour iMac 24'' Retina 4,5K MGPC3FN/A</t>
  </si>
  <si>
    <t>CTO-MGPC3-SSD2To</t>
  </si>
  <si>
    <t>Passage à 2 To de stockage SSD pour iMac 24'' Retina 4,5K MGPC3FN/A</t>
  </si>
  <si>
    <t xml:space="preserve">CTO-MGPC3-MTP2 </t>
  </si>
  <si>
    <t>Passage à un Magic Trackpad 2 (Force Touch sans fil Bluetooth rechargeable Lightning) pour iMac 24'' Retina 4,5K MGPC3FN/A</t>
  </si>
  <si>
    <t xml:space="preserve">CTO-MGPC3-MMTP2 </t>
  </si>
  <si>
    <t>Passage à une souris Magic Mouse 2 et un Magic Trackpad 2 (Force Touch sans fil Bluetooth rechargeable Lightning) pour iMac 24'' Retina 4,5K MGPC3FN/A</t>
  </si>
  <si>
    <t>CTO-MGPC3-MKETI-US</t>
  </si>
  <si>
    <t>Passage à un Magic Keyboard américain avec Touch ID 78 touches sans fil Bluetooth rechargeable (sans pavé numérique) pour iMac 24'' Retina 4,5K MGPC3FN/A</t>
  </si>
  <si>
    <t>CTO-MGPC3-MKETI-IE</t>
  </si>
  <si>
    <t>Passage à un Magic Keyboard anglais international avec Touch ID 78 touches sans fil Bluetooth rechargeable (sans pavé numérique) pour iMac 24'' Retina 4,5K MGPC3FN/A</t>
  </si>
  <si>
    <t>CTO-MGPC3-MKETIPV-FR</t>
  </si>
  <si>
    <t>Passage à un Magic Keyboard français avec Touch ID 109 touches sans fil Bluetooth rechargeable avec pavé numérique pour iMac 24'' Retina 4,5K MGPC3FN/A</t>
  </si>
  <si>
    <t>CTO-MGPC3-MKETIPV-US</t>
  </si>
  <si>
    <t>Passage à un Magic Keyboard américain avec Touch ID 109 touches sans fil Bluetooth rechargeable avec pavé numérique pour iMac 24'' Retina 4,5K MGPC3FN/A</t>
  </si>
  <si>
    <t>CTO-MGPC3-MKETIPV-IE</t>
  </si>
  <si>
    <t>Passage à un Magic Keyboard anglais international avec Touch ID 109 touches sans fil Bluetooth rechargeable avec pavé numérique pour iMac 24'' Retina 4,5K MGPC3FN/A</t>
  </si>
  <si>
    <t>MGPD3FN/A</t>
  </si>
  <si>
    <t>iMac 24" Retina 4,5K / Apple M1 CPU 8 cœurs et GPU 8 cœurs / 8 Go de mémoire unifiée / SSD 512 Go / 2xThunderbolt/USB 4 / 2xUSB 3 / Wi‑Fi 6 802.11ax  / Bluetooth 5.0  / Gbit Eth - Argent</t>
  </si>
  <si>
    <t>Catégorie 4 - Fixes bureautiques - Configuration 4</t>
  </si>
  <si>
    <t xml:space="preserve">CTO-MGPD3-16GB </t>
  </si>
  <si>
    <t>Passage à 16 Go de mémoire unifiée pour iMac 24'' Retina 4,5K MGPD3FN/A</t>
  </si>
  <si>
    <t>CTO-MGPD3-SSD1To</t>
  </si>
  <si>
    <t>Passage à 1 To de stockage SSD pour iMac 24'' Retina 4,5K MGPD3FN/A</t>
  </si>
  <si>
    <t>CTO-MGPD3-SSD2To</t>
  </si>
  <si>
    <t>Passage à 2 To de stockage SSD pour iMac 24'' Retina 4,5K MGPD3FN/A</t>
  </si>
  <si>
    <t xml:space="preserve">CTO-MGPD3-MTP2 </t>
  </si>
  <si>
    <t>Passage à un Magic Trackpad 2 (Force Touch sans fil Bluetooth rechargeable Lightning) pour iMac 24'' Retina 4,5K MGPD3FN/A</t>
  </si>
  <si>
    <t xml:space="preserve">CTO-MGPD3-MMTP2 </t>
  </si>
  <si>
    <t>Passage à une souris Magic Mouse 2 et un Magic Trackpad 2 (Force Touch sans fil Bluetooth rechargeable Lightning) pour iMac 24'' Retina 4,5K MGPD3FN/A</t>
  </si>
  <si>
    <t>CTO-MGPD3-MKETI-US</t>
  </si>
  <si>
    <t>Passage à un Magic Keyboard américain avec Touch ID 78 touches sans fil Bluetooth rechargeable (sans pavé numérique) pour iMac 24'' Retina 4,5K MGPD3FN/A</t>
  </si>
  <si>
    <t>CTO-MGPD3-MKETI-IE</t>
  </si>
  <si>
    <t>Passage à un Magic Keyboard anglais international avec Touch ID 78 touches sans fil Bluetooth rechargeable (sans pavé numérique) pour iMac 24'' Retina 4,5K MGPD3FN/A</t>
  </si>
  <si>
    <t>CTO-MGPD3-MKETIPV-FR</t>
  </si>
  <si>
    <t>Passage à un Magic Keyboard français avec Touch ID 109 touches sans fil Bluetooth rechargeable avec pavé numérique pour iMac 24'' Retina 4,5K MGPD3FN/A</t>
  </si>
  <si>
    <t>CTO-MGPD3-MKETIPV-US</t>
  </si>
  <si>
    <t>Passage à un Magic Keyboard américain avec Touch ID 109 touches sans fil Bluetooth rechargeable avec pavé numérique pour iMac 24'' Retina 4,5K MGPD3FN/A</t>
  </si>
  <si>
    <t>CTO-MGPD3-MKETIPV-IE</t>
  </si>
  <si>
    <t>Passage à un Magic Keyboard anglais international avec Touch ID 109 touches sans fil Bluetooth rechargeable avec pavé numérique pour iMac 24'' Retina 4,5K MGPD3FN/A</t>
  </si>
  <si>
    <t>Garantie 5 ans formule Plus pour iMac 21 &amp; 24" (intervention à J+1 - réparation à J+3 ou iMac 21 ou 24" de prêt)</t>
  </si>
  <si>
    <t>MI5-IMAC-24-6-PLUS</t>
  </si>
  <si>
    <r>
      <t xml:space="preserve">Passage à une garantie 6 ans </t>
    </r>
    <r>
      <rPr>
        <sz val="10"/>
        <rFont val="Calibri (Corps)"/>
      </rPr>
      <t>formule Plus</t>
    </r>
    <r>
      <rPr>
        <sz val="10"/>
        <rFont val="Calibri"/>
        <family val="2"/>
        <scheme val="minor"/>
      </rPr>
      <t xml:space="preserve"> pour iMac 24" (intervention à J+1 - réparation à J+3 ou iMac 21,5" de prêt)</t>
    </r>
  </si>
  <si>
    <t>Passage à une garantie 6 ans formule Plus pour iMac 24" (intervention à J+1 - réparation à J+3 ou iMac 21,5" de prêt)</t>
  </si>
  <si>
    <t>MI5-IMAC-24-7-PLUS</t>
  </si>
  <si>
    <r>
      <t xml:space="preserve">Passage à une garantie 7 ans </t>
    </r>
    <r>
      <rPr>
        <sz val="10"/>
        <rFont val="Calibri (Corps)"/>
      </rPr>
      <t>formule Plus</t>
    </r>
    <r>
      <rPr>
        <sz val="10"/>
        <rFont val="Calibri"/>
        <family val="2"/>
        <scheme val="minor"/>
      </rPr>
      <t xml:space="preserve"> pour iMac 24" (intervention à J+1 - réparation à J+3 ou iMac 21,5" de prêt)</t>
    </r>
  </si>
  <si>
    <t>Passage à une garantie 7 ans formule Plus pour iMac 24" (intervention à J+1 - réparation à J+3 ou iMac 21,5" de prêt)</t>
  </si>
  <si>
    <t>MI5-IMAC-24-8-PLUS</t>
  </si>
  <si>
    <r>
      <t xml:space="preserve">Passage à une garantie 8 ans </t>
    </r>
    <r>
      <rPr>
        <sz val="10"/>
        <rFont val="Calibri (Corps)"/>
      </rPr>
      <t>formule Plus</t>
    </r>
    <r>
      <rPr>
        <sz val="10"/>
        <rFont val="Calibri"/>
        <family val="2"/>
        <scheme val="minor"/>
      </rPr>
      <t xml:space="preserve"> pour iMac 24" (intervention à J+1 - réparation à J+3 ou iMac 21,5" de prêt)</t>
    </r>
  </si>
  <si>
    <t>Passage à une garantie 8 ans formule Plus pour iMac 24" (intervention à J+1 - réparation à J+3 ou iMac 21,5" de prêt)</t>
  </si>
  <si>
    <t>MI5-IMAC-24-5-PRO</t>
  </si>
  <si>
    <r>
      <t xml:space="preserve">Passage à une garantie 5 ans </t>
    </r>
    <r>
      <rPr>
        <sz val="10"/>
        <rFont val="Calibri (Corps)"/>
      </rPr>
      <t>formule Pro+</t>
    </r>
    <r>
      <rPr>
        <sz val="10"/>
        <rFont val="Calibri"/>
        <family val="2"/>
        <scheme val="minor"/>
      </rPr>
      <t xml:space="preserve"> pour iMac 24" (diagnostic à H+4 - remplacement à J+1)</t>
    </r>
  </si>
  <si>
    <t>Passage à une garantie 5 ans formule Pro+ pour iMac 24" (diagnostic à H+4 - remplacement à J+1)</t>
  </si>
  <si>
    <t>MI5-IMAC-24-6-PRO</t>
  </si>
  <si>
    <r>
      <t xml:space="preserve">Passage à une garantie 6 ans </t>
    </r>
    <r>
      <rPr>
        <sz val="10"/>
        <rFont val="Calibri (Corps)"/>
      </rPr>
      <t>formule Pro+</t>
    </r>
    <r>
      <rPr>
        <sz val="10"/>
        <rFont val="Calibri"/>
        <family val="2"/>
        <scheme val="minor"/>
      </rPr>
      <t xml:space="preserve"> pour iMac 24" (diagnostic à H+4 - remplacement à J+1)</t>
    </r>
  </si>
  <si>
    <t>Passage à une garantie 6 ans formule Pro+ pour iMac 24" (diagnostic à H+4 - remplacement à J+1)</t>
  </si>
  <si>
    <t>MI5-IMAC-24-7-PRO</t>
  </si>
  <si>
    <r>
      <t xml:space="preserve">Passage à une garantie 7 ans </t>
    </r>
    <r>
      <rPr>
        <sz val="10"/>
        <rFont val="Calibri (Corps)"/>
      </rPr>
      <t>formule Pro+</t>
    </r>
    <r>
      <rPr>
        <sz val="10"/>
        <rFont val="Calibri"/>
        <family val="2"/>
        <scheme val="minor"/>
      </rPr>
      <t xml:space="preserve"> pour iMac 24" (diagnostic à H+4 - remplacement à J+1)</t>
    </r>
  </si>
  <si>
    <t>Passage à une garantie 7 ans formule Pro+ pour iMac 24" (diagnostic à H+4 - remplacement à J+1)</t>
  </si>
  <si>
    <t>MI5-IMAC-24-8-PRO</t>
  </si>
  <si>
    <r>
      <t xml:space="preserve">Passage à une garantie 8 ans </t>
    </r>
    <r>
      <rPr>
        <sz val="10"/>
        <rFont val="Calibri (Corps)"/>
      </rPr>
      <t>formule Pro+</t>
    </r>
    <r>
      <rPr>
        <sz val="10"/>
        <rFont val="Calibri"/>
        <family val="2"/>
        <scheme val="minor"/>
      </rPr>
      <t xml:space="preserve"> pour iMac 24" (diagnostic à H+4 - remplacement à J+1)</t>
    </r>
  </si>
  <si>
    <t>Passage à une garantie 8 ans formule Pro+ pour iMac 24" (diagnostic à H+4 - remplacement à J+1)</t>
  </si>
  <si>
    <t>MI5-IMAC-24-5-PLATINE</t>
  </si>
  <si>
    <t xml:space="preserve">Passage à une garantie 5 ans formule Platine pour iMac 24" (réparation sur site de J+1 à J+3 maximum) </t>
  </si>
  <si>
    <t>MI5-IMAC-24-6-PLATINE</t>
  </si>
  <si>
    <t>Passage à une garantie 6 ans formule Platine pour iMac 24" (réparation sur site de J+1 à J+3 maximum)</t>
  </si>
  <si>
    <t>MI5-IMAC-24-7-PLATINE</t>
  </si>
  <si>
    <t xml:space="preserve">Passage à une garantie 7 ans formule Platine pour iMac 24" (réparation sur site de J+1 à J+3 maximum) </t>
  </si>
  <si>
    <t>MI5-IMAC-24-8-PLATINE</t>
  </si>
  <si>
    <t xml:space="preserve">Passage à une garantie 8 ans formule Platine pour iMac 24" (réparation sur site de J+1 à J+3 maximum) </t>
  </si>
  <si>
    <t>MI5-IMAC-24-5-PLUS-INTER</t>
  </si>
  <si>
    <t>Garantie 5 ans formule Plus internationale pour iMac 24" (France : intervention à J+1 - réparation à J+3 ou iMac 21,5" ou 24" de prêt pour la France Métropolitaine - retour atelier pour l'étranger)(remplace la garantie 5 ans formule Plus)</t>
  </si>
  <si>
    <t>MI5-IMAC-24-5-PRO-INTER</t>
  </si>
  <si>
    <t>Garantie 5 ans formule Pro internationale pour iMac 24" (diagnostic à H+4 - remplacement à J+1 - retour atelier à l'étranger)(remplace la garantie 5 ans formule Plus)</t>
  </si>
  <si>
    <t>MI5-IMAC-24-5-E-KYOD</t>
  </si>
  <si>
    <t>Service de conservation du disque dur pour une durée de 5 ans pour iMac 24" (Keep your own drive)</t>
  </si>
  <si>
    <t>Z0W3</t>
  </si>
  <si>
    <t>CTO Mac Pro tour Intel Xeon W 8-core 3,5 GHz/32 Go (4x8) DDR4 ECC/512 Go SSD/Radeon Pro W5500X 8 Go GDDR6/Magic Keyboard avec pavé numérique &amp; Magic Mouse 2</t>
  </si>
  <si>
    <t>MI5-MACPRO-5-PLUS</t>
  </si>
  <si>
    <t>Catégorie 5 - Fixes performants - Configuration 1</t>
  </si>
  <si>
    <t>CTO-Z0W3-12C-3,3</t>
  </si>
  <si>
    <t>Passage à processeur 12 cœurs Intel Xeon W à 3,3 GHz avec 31,25 Mo mémoire cache N3 à commander avec Z0W3</t>
  </si>
  <si>
    <t>CTO-Z0W3-16C-3,2</t>
  </si>
  <si>
    <t>Passage à processeur 16 cœurs Intel Xeon W à 3,2 GHz avec 38 Mo mémoire cache N3 à commander avec Z0W3</t>
  </si>
  <si>
    <t>CTO-Z0W3-24C-2,7</t>
  </si>
  <si>
    <t>Passage à processeur 24 cœurs Intel Xeon W à 2,7 GHz avec 57 Mo mémoire cache N3 à commander avec Z0W3</t>
  </si>
  <si>
    <t>CTO-Z0W3-28C-2,5</t>
  </si>
  <si>
    <t>Passage à processeur 28 cœurs Intel Xeon W à 2,5 GHz avec 66,5 Mo mémoire cache N3 à commander avec Z0W3</t>
  </si>
  <si>
    <t>CTO-Z0W3-6x8GB</t>
  </si>
  <si>
    <t>Passage à 48 Go de mémoire (6x8 Go) DDR4 2 666 MHz ou 2 933 Mhz non soudés à commander avec Z0W3</t>
  </si>
  <si>
    <t>CTO-Z0W3-6x16GB</t>
  </si>
  <si>
    <t>Passage à 96 Go de mémoire (6x16 Go) DDR4 2 666 MHz ou 2 933 Mhz non soudés à commander avec Z0W3</t>
  </si>
  <si>
    <t xml:space="preserve">CTO-Z0W3-6x32GB </t>
  </si>
  <si>
    <t>Passage à 192 Go de mémoire (6x32 Go) DDR4 2 666 MHz ou 2 933 Mhz non soudés à commander avec Z0W3</t>
  </si>
  <si>
    <t>CTO-Z0W3-6x64GB</t>
  </si>
  <si>
    <t>Passage à 384 Go de mémoire (6x64 Go) DDR4 2 666 MHz ou 2 933 Mhz non soudés à commander avec Z0W3</t>
  </si>
  <si>
    <t>CTO-Z0W3-12x64GB</t>
  </si>
  <si>
    <t>Passage à 768 Go de mémoire (12x64 Go) DDR4 2 666 MHz ou 2 933 Mhz non soudés à commander avec Z0W3</t>
  </si>
  <si>
    <t>CTO-Z0W3-6x128GB</t>
  </si>
  <si>
    <t>Passage à 768 Go de mémoire (6x128 Go) DDR4 2 666 MHz ou 2 933 Mhz non soudés à commander avec Z0W3</t>
  </si>
  <si>
    <t>CTO-Z0W3-SSD1To</t>
  </si>
  <si>
    <t>Passage à 1 To de stockage SSD NVMe à commander avec Z0W3</t>
  </si>
  <si>
    <t>CTO-Z0W3-SSD2To</t>
  </si>
  <si>
    <t>Passage à 2 To de stockage SSD NVMe à commander avec Z0W3</t>
  </si>
  <si>
    <t>CTO-Z0W3-SSD4To</t>
  </si>
  <si>
    <t>Passage à 4 To de stockage SSD NVMe à commander avec Z0W3</t>
  </si>
  <si>
    <t>CTO-Z0W3-SSD8To</t>
  </si>
  <si>
    <t>Passage à 8 To de stockage SSD NVMe à commander avec Z0W3</t>
  </si>
  <si>
    <t>CTO-Z0W3-RADW5700X16</t>
  </si>
  <si>
    <t>Passage à un processeur graphique Radeon Pro W5700X avec 16 Go de mémoire GDDR6 pour Mac Pro Z0W3</t>
  </si>
  <si>
    <t>CTO-Z0W3-2xRADW5700X16</t>
  </si>
  <si>
    <t>Passage à deux processeurs graphiques Radeon Pro W5700X avec 16 Go de mémoire GDDR6 pour Mac Pro Z0W3</t>
  </si>
  <si>
    <t>CTO-Z0W3-RADW6600X8</t>
  </si>
  <si>
    <t>Passage à un processeur graphique Radeon Pro W6600X avec 8 Go de mémoire GDDR6 pour Mac Pro Z0W3</t>
  </si>
  <si>
    <t>CTO-Z0W3-RADW6800X32</t>
  </si>
  <si>
    <t>Passage à un processeur graphique Radeon Pro W6800X avec 32 Go de mémoire GDDR6 pour Mac Pro Z0W3</t>
  </si>
  <si>
    <t>CTO-Z0W3-2xRADW6800X32</t>
  </si>
  <si>
    <t>Passage à deux processeurs graphiques Radeon Pro W6800X avec 32 Go de mémoire GDDR6 chacun pour Mac Pro Z0W3</t>
  </si>
  <si>
    <t>CTO-Z0W3-RADW6800XDUO</t>
  </si>
  <si>
    <t>Passage à un processeur graphique Radeon Pro W6800X Duo avec 64 Go de mémoire GDDR6 pour Mac Pro Z0W3</t>
  </si>
  <si>
    <t>CTO-Z0W3-2xRADW6800XDUO</t>
  </si>
  <si>
    <t>Passage à deux processeurs graphiques Radeon Pro W6800X avec 64 Go de mémoire GDDR6 chacun pour Mac Pro Z0W3</t>
  </si>
  <si>
    <t>CTO-Z0W3-RADW6900X32</t>
  </si>
  <si>
    <t>Passage à un processeur graphique Radeon Pro W6900X avec 32 Go de mémoire GDDR6 pour Mac Pro Z0W3</t>
  </si>
  <si>
    <t>CTO-Z0W3-2xRADW6900X32</t>
  </si>
  <si>
    <t>Passage à deux processeurs graphiques Radeon Pro W6900X avec 32 Go de mémoire GDDR6 chacun pour Mac Pro Z0W3</t>
  </si>
  <si>
    <t>CTO-Z0W3-AFTERBURNER</t>
  </si>
  <si>
    <t>Ajout d'une carte Apple Afterburner pour Mac Pro Z0W3</t>
  </si>
  <si>
    <t>CTO-Z0W3-MTP2</t>
  </si>
  <si>
    <t>Passage à un Magic Trackpad 2 (Force Touch sans fil Bluetooth rechargeable Lightning) à commander avec Z0W3</t>
  </si>
  <si>
    <t>CTO-Z0W3-MMTP2</t>
  </si>
  <si>
    <t>Passage à une souris Magic Mouse 2 et un Magic Trackpad 2 (Force Touch sans fil Bluetooth rechargeable Lightning) à commander avec Z0W3</t>
  </si>
  <si>
    <t>CTO-Z0W3-MKEPV-US</t>
  </si>
  <si>
    <t>Passage à un Magic Keyboard américain 109 touches avec pavé numérique argent et noir à commander avec Z0W3</t>
  </si>
  <si>
    <t>CTO-Z0W3-MKEPV-IE</t>
  </si>
  <si>
    <t>Passage à un Magic Keyboard anglais international 109 touches avec pavé numérique argent et noir à commander avec Z0W3</t>
  </si>
  <si>
    <t>CTO-Z0W3-ROUES</t>
  </si>
  <si>
    <t>Passage à un châssis en acier inoxydable avec roulettes à commander avec Z0W3</t>
  </si>
  <si>
    <t>Garantie 5 ans formule Plus pour Mac Pro (intervention à J+1 - réparation à J+3 ou Mac Pro de prêt)</t>
  </si>
  <si>
    <t>MI5-MACPRO-6-PLUS</t>
  </si>
  <si>
    <t>Passage à une garantie 6 ans formule Plus pour Mac Pro (intervention à J+1 - réparation à J+3 ou Mac Pro de prêt)</t>
  </si>
  <si>
    <t>MI5-MACPRO-7-PLUS</t>
  </si>
  <si>
    <t>Passage à une garantie 7 ans formule Plus pour Mac Pro (intervention à J+1 - réparation à J+3 ou Mac Pro de prêt)</t>
  </si>
  <si>
    <t>MI5-MACPRO-8-PLUS</t>
  </si>
  <si>
    <t>Passage à une garantie 8 ans formule Plus pour Mac Pro (intervention à J+1 - réparation à J+3 ou Mac Pro de prêt)</t>
  </si>
  <si>
    <t>MI5-MACPRO-5-PRO</t>
  </si>
  <si>
    <r>
      <t xml:space="preserve">Passage à une garantie 5 ans </t>
    </r>
    <r>
      <rPr>
        <sz val="10"/>
        <rFont val="Calibri (Corps)"/>
      </rPr>
      <t>formule Pro+</t>
    </r>
    <r>
      <rPr>
        <sz val="10"/>
        <rFont val="Calibri"/>
        <family val="2"/>
        <scheme val="minor"/>
      </rPr>
      <t xml:space="preserve"> pour Mac Pro (diagnostic à H+4 - remplacement à J+1)</t>
    </r>
  </si>
  <si>
    <t>Passage à une garantie 5 ans formule Pro+ pour Mac Pro (diagnostic à H+4 - remplacement à J+1)</t>
  </si>
  <si>
    <t>MI5-MACPRO-6-PRO</t>
  </si>
  <si>
    <r>
      <t xml:space="preserve">Passage à une garantie 6 ans </t>
    </r>
    <r>
      <rPr>
        <sz val="10"/>
        <rFont val="Calibri (Corps)"/>
      </rPr>
      <t>formule Pro+</t>
    </r>
    <r>
      <rPr>
        <sz val="10"/>
        <rFont val="Calibri"/>
        <family val="2"/>
        <scheme val="minor"/>
      </rPr>
      <t xml:space="preserve"> pour Mac Pro (diagnostic à H+4 - remplacement à J+1)</t>
    </r>
  </si>
  <si>
    <t>Passage à une garantie 6 ans formule Pro+ pour Mac Pro (diagnostic à H+4 - remplacement à J+1)</t>
  </si>
  <si>
    <t>MI5-MACPRO-7-PRO</t>
  </si>
  <si>
    <r>
      <t xml:space="preserve">Passage à une garantie 7 ans </t>
    </r>
    <r>
      <rPr>
        <sz val="10"/>
        <rFont val="Calibri (Corps)"/>
      </rPr>
      <t>formule Pro+</t>
    </r>
    <r>
      <rPr>
        <sz val="10"/>
        <rFont val="Calibri"/>
        <family val="2"/>
        <scheme val="minor"/>
      </rPr>
      <t xml:space="preserve"> pour Mac Pro (diagnostic à H+4 - remplacement à J+1)</t>
    </r>
  </si>
  <si>
    <t>Passage à une garantie 7 ans formule Pro+ pour Mac Pro (diagnostic à H+4 - remplacement à J+1)</t>
  </si>
  <si>
    <t>MI5-MACPRO-8-PRO</t>
  </si>
  <si>
    <r>
      <t xml:space="preserve">Passage à une garantie 8 ans </t>
    </r>
    <r>
      <rPr>
        <sz val="10"/>
        <rFont val="Calibri (Corps)"/>
      </rPr>
      <t>formule Pro+</t>
    </r>
    <r>
      <rPr>
        <sz val="10"/>
        <rFont val="Calibri"/>
        <family val="2"/>
        <scheme val="minor"/>
      </rPr>
      <t xml:space="preserve"> pour MacPro (diagnostic à H+4 - remplacement à J+1)</t>
    </r>
  </si>
  <si>
    <t>Passage à une garantie 8 ans formule Pro+ pour MacPro (diagnostic à H+4 - remplacement à J+1)</t>
  </si>
  <si>
    <t>MI5-MACPRO-5-PLATINE</t>
  </si>
  <si>
    <t>Passage à une garantie 5 ans formule Platine pour Mac Pro (réparation sur site de J+1 à J+3 maximum)</t>
  </si>
  <si>
    <t>MI5-MACPRO-6-PLATINE</t>
  </si>
  <si>
    <t xml:space="preserve">Passage à une garantie 6 ans formule Platine pour Mac Pro(réparation sur site de J+1 à J+3 maximum) </t>
  </si>
  <si>
    <t>MI5-MACPRO-7-PLATINE</t>
  </si>
  <si>
    <t>Passage à une garantie 7 ans formule Platine pour Mac Pro (réparation sur site de J+1 à J+3 maximum)</t>
  </si>
  <si>
    <t>MI5-MACPRO-8-PLATINE</t>
  </si>
  <si>
    <t>Passage à une garantie 8 ans formule Platine pour Mac Pro (réparation sur site de J+1 à J+3 maximum)</t>
  </si>
  <si>
    <t>MI5-MACPRO-5-PLUS-INTER</t>
  </si>
  <si>
    <t>Garantie 5 ans formule Plus internationale pour Mac Pro (France : intervention à J+1 - réparation à J+3 ou Mac Pro de prêt pour la France Métropolitaine - retour atelier pour l'étranger) (remplace la garantie 5 ans formule Plus)</t>
  </si>
  <si>
    <t>MI5-MACPRO-5-PRO-INTER</t>
  </si>
  <si>
    <t>Garantie 5 ans formule Pro internationale pour Mac Pro (diagnostic à H+4 - remplacement à J+1 - retour atelier à l'étranger)(remplace la garantie 5 ans formule Plus)</t>
  </si>
  <si>
    <t>MI5-MACPRO-5-E-KYOD</t>
  </si>
  <si>
    <t>Service de conservation du disque dur pour une durée de 5 ans pour Mac Pro (Keep your own drive)</t>
  </si>
  <si>
    <t>Z0YZ</t>
  </si>
  <si>
    <t>CTO Mac Pro rack Intel Xeon W 8-core 3,5 GHz/32 Go (4x8) DDR4 ECC/512 Go SSD/Radeon Pro W5500X 8 Go GDDR6/Magic Keyboard avec pavé numérique &amp; Magic Mouse 2</t>
  </si>
  <si>
    <t>Catégorie 5 - Fixes performants - Configuration 2</t>
  </si>
  <si>
    <t>CTO-Z0YZ-12C-3,3</t>
  </si>
  <si>
    <t>Passage à processeur 12 cœurs Intel Xeon W à 3,3 GHz avec 31,25 Mo mémoire cache N3 à commander avec Z0YZ</t>
  </si>
  <si>
    <t>CTO-Z0YZ-16C-3,2</t>
  </si>
  <si>
    <t>Passage à processeur 16 cœurs Intel Xeon W à 3,2 GHz avec 38 Mo mémoire cache N3 à commander avec Z0YZ</t>
  </si>
  <si>
    <t>CTO-Z0YZ-24C-2,7</t>
  </si>
  <si>
    <t>Passage à processeur 24 cœurs Intel Xeon W à 2,7 GHz avec 57 Mo mémoire cache N3 à commander avec Z0YZ</t>
  </si>
  <si>
    <t>CTO-Z0YZ-28C-2,5</t>
  </si>
  <si>
    <t>Passage à processeur 28 cœurs Intel Xeon W à 2,5 GHz avec 66,5 Mo mémoire cache N3 à commander avec Z0YZ</t>
  </si>
  <si>
    <t>CTO-Z0YZ-6x8GB</t>
  </si>
  <si>
    <t>Passage à 48 Go de mémoire (6x8 Go) DDR4 2 666 MHz ou 2 933 Mhz non soudés à commander avec Z0YZ</t>
  </si>
  <si>
    <t>CTO-Z0YZ-6x16GB</t>
  </si>
  <si>
    <t>Passage à 96 Go de mémoire (6x16 Go) DDR4 2 666 MHz ou 2 933 Mhz non soudés à commander avec Z0YZ</t>
  </si>
  <si>
    <t xml:space="preserve">CTO-Z0YZ-6x32GB </t>
  </si>
  <si>
    <t>Passage à 192 Go de mémoire (6x32 Go) DDR4 2 666 MHz ou 2 933 Mhz non soudés à commander avec Z0YZ</t>
  </si>
  <si>
    <t>CTO-Z0YZ-6x64GB</t>
  </si>
  <si>
    <t>Passage à 384 Go de mémoire (6x64 Go) DDR4 2 666 MHz ou 2 933 Mhz non soudés à commander avec Z0YZ</t>
  </si>
  <si>
    <t>CTO-Z0YZ-12x64GB</t>
  </si>
  <si>
    <t>Passage à 768 Go de mémoire (12x64 Go) DDR4 2 666 MHz ou 2 933 Mhz non soudés à commander avec Z0YZ</t>
  </si>
  <si>
    <t>CTO-Z0YZ-6x128GB</t>
  </si>
  <si>
    <t>Passage à 768 Go de mémoire (6x128 Go) DDR4 2 666 MHz ou 2 933 Mhz non soudés à commander avec Z0YZ</t>
  </si>
  <si>
    <t>CTO-Z0YZ-SSD1To</t>
  </si>
  <si>
    <t>Passage à 1 To de stockage SSD NVMe à commander avec Z0YZ</t>
  </si>
  <si>
    <t>CTO-Z0YZ-SSD2To</t>
  </si>
  <si>
    <t>Passage à 2 To de stockage SSD NVMe à commander avec Z0YZ</t>
  </si>
  <si>
    <t>CTO-Z0YZ-SSD4To</t>
  </si>
  <si>
    <t>Passage à 4 To de stockage SSD NVMe à commander avec Z0YZ</t>
  </si>
  <si>
    <t>CTO-Z0YZ-SSD8To</t>
  </si>
  <si>
    <t>Passage à 8 To de stockage SSD NVMe à commander avec Z0YZ</t>
  </si>
  <si>
    <t>CTO-Z0YZ-RADW5700X16</t>
  </si>
  <si>
    <t>Passage à un processeur graphique Radeon Pro W5700X avec 16 Go de mémoire GDDR6 pour Mac Pro Z0YZ</t>
  </si>
  <si>
    <t>CTO-Z0YZ-2xRADW5700X16</t>
  </si>
  <si>
    <t>Passage à deux processeurs graphiques Radeon Pro W5700X avec 16 Go de mémoire GDDR6 pour Mac Pro Z0YZ</t>
  </si>
  <si>
    <t>CTO-Z0YZ-RADW6800X32</t>
  </si>
  <si>
    <t>Passage à un processeur graphique Radeon Pro W6800X avec 32 Go de mémoire GDDR6 pour Mac Pro Z0YZ</t>
  </si>
  <si>
    <t>CTO-Z0YZ-2xRADW6800X32</t>
  </si>
  <si>
    <t>Passage à deux processeurs graphiques Radeon Pro W6800X avec 32 Go de mémoire GDDR6 chacun pour Mac Pro Z0YZ</t>
  </si>
  <si>
    <t>CTO-Z0YZ-RADW6800XDUO</t>
  </si>
  <si>
    <t>Passage à un processeur graphique Radeon Pro W6800X Duo avec 64 Go de mémoire GDDR6 pour Mac Pro Z0YZ</t>
  </si>
  <si>
    <t>CTO-Z0YZ-2xRADW6800XDUO</t>
  </si>
  <si>
    <t>Passage à deux processeurs graphiques Radeon Pro W6800X avec 64 Go de mémoire GDDR6 chacun pour Mac Pro Z0YZ</t>
  </si>
  <si>
    <t>CTO-Z0YZ-RADW6900X32</t>
  </si>
  <si>
    <t>Passage à un processeur graphique Radeon Pro W6900X avec 32 Go de mémoire GDDR6 pour Mac Pro Z0YZ</t>
  </si>
  <si>
    <t>Passage à deux processeurs graphiques Radeon Pro W6900X avec 32 Go de mémoire GDDR6 chacun pour Mac Pro Z0YZ</t>
  </si>
  <si>
    <t>CTO-Z0YZ-AFTERBURNER</t>
  </si>
  <si>
    <t>Ajout d'une carte Apple Afterburner pour Mac Pro Z0YZ</t>
  </si>
  <si>
    <t>CTO-Z0YZ-MTP2</t>
  </si>
  <si>
    <t>Passage à un Magic Trackpad 2 (Force Touch sans fil Bluetooth rechargeable Lightning) à commander avec Z0YZ</t>
  </si>
  <si>
    <t>CTO-Z0YZ-MMTP2</t>
  </si>
  <si>
    <t>Passage à une souris Magic Mouse 2 et un Magic Trackpad 2 (Force Touch sans fil Bluetooth rechargeable Lightning) à commander avec Z0YZ</t>
  </si>
  <si>
    <t>CTO-Z0YZ-MKEPV-US</t>
  </si>
  <si>
    <t>Passage à un Magic Keyboard américain 109 touches avec pavé numérique argent et noir à commander avec Z0YZ</t>
  </si>
  <si>
    <t>CTO-Z0YZ-MKEPV-IE</t>
  </si>
  <si>
    <t>Passage à un Magic Keyboard anglais international 109 touches avec pavé numérique argent et noir à commander avec Z0YZ</t>
  </si>
  <si>
    <t>MJ073ZM/A</t>
  </si>
  <si>
    <t>Apple module MPX avec Radeon Pro W6800X</t>
  </si>
  <si>
    <t>Accessoires</t>
  </si>
  <si>
    <t>IA24</t>
  </si>
  <si>
    <t>MJ093ZM/A</t>
  </si>
  <si>
    <t>Apple module MPX avec Radeon Pro W6800X Duo</t>
  </si>
  <si>
    <t>MJ103ZM/A</t>
  </si>
  <si>
    <t>Apple module MPX avec Radeon Pro W6900X</t>
  </si>
  <si>
    <t>MKGY3ZM/A</t>
  </si>
  <si>
    <t>Apple module MPX avec Radeon Pro W6600X</t>
  </si>
  <si>
    <t>MJMV3FN/A</t>
  </si>
  <si>
    <t xml:space="preserve">Mac Studio / M1 Max CPU 10 cœurs GPU 24 cœurs / 32 Go / 512 Go SSD / 4x Thunderbolt 4 / 2x USB-C / 2x USB-A / 10 Gigabit Ethernet / HDMI / lecteur carte SDXC </t>
  </si>
  <si>
    <t>MI5-MS-5-PLUS</t>
  </si>
  <si>
    <t>Catégorie 5 - Fixes performants - Configuration 3</t>
  </si>
  <si>
    <t>CTO-MJMV3-M1MAX32</t>
  </si>
  <si>
    <t>Passage à un M1 Max avec CPU 10 cœurs GPU 32 cœurs pour Mac Studio MJMV3FN/A</t>
  </si>
  <si>
    <t>CTO-MJMV3-64GB</t>
  </si>
  <si>
    <t>Passage à 64 Go de mémoire unifiée pour Mac Studio MJMV3FN/A (uniquement avec processeur M1 Max)</t>
  </si>
  <si>
    <t>CTO-MJMV3-SSD1To</t>
  </si>
  <si>
    <t>Passage à 1 To de stockage SSD pour Mac Studio MJMV3FN/A</t>
  </si>
  <si>
    <t>CTO-MJMV3-SSD2To</t>
  </si>
  <si>
    <t>Passage à 2 To de stockage SSD pour Mac Studio MJMV3FN/A</t>
  </si>
  <si>
    <t>CTO-MJMV3-SSD4To</t>
  </si>
  <si>
    <t>Passage à 4 To de stockage SSD pour Mac Studio MJMV3FN/A</t>
  </si>
  <si>
    <t>CTO-MJMV3-SSD8To</t>
  </si>
  <si>
    <t>Passage à 8 To de stockage SSD pour Mac Studio MJMV3FN/A</t>
  </si>
  <si>
    <t>MJMW3FN/A</t>
  </si>
  <si>
    <t xml:space="preserve">Mac Studio / M1 Ultra CPU 20 cœurs GPU 48 cœurs / 64 Go / 1 To SSD / 6x Thunderbolt 4 / 2x USB-A / 10 Gigabit Ethernet / HDMI / lecteur carte SDXC </t>
  </si>
  <si>
    <t>Catégorie 5 - Fixes performants - Configuration 4</t>
  </si>
  <si>
    <t>CTO-MJMW3-M1ULTRA64</t>
  </si>
  <si>
    <t>Passage à un M1 Ultra avec CPU 20 cœurs GPU 64 cœurs pour Mac Studio MJMW3FN/A</t>
  </si>
  <si>
    <t>CTO-MJMW3-128GB</t>
  </si>
  <si>
    <t>Passage à 128 Go de mémoire unifiée pour Mac Studio MJMW3FN/A</t>
  </si>
  <si>
    <t>CTO-MJMW3-SSD2To</t>
  </si>
  <si>
    <t>Passage à 2 To de stockage SSD pour Mac Studio MJMW3FN/A</t>
  </si>
  <si>
    <t>CTO-MJMW3-SSD4To</t>
  </si>
  <si>
    <t>Passage à 4 To de stockage SSD pour Mac Studio MJMW3FN/A</t>
  </si>
  <si>
    <t>CTO-MJMW3-SSD8To</t>
  </si>
  <si>
    <t>Passage à 8 To de stockage SSD pour Mac Studio MJMW3FN/A</t>
  </si>
  <si>
    <t>Garantie 5 ans formule Plus pour Mac Studio (intervention à J+1 - réparation à J+3 ou Mac Studio de prêt)</t>
  </si>
  <si>
    <t>MI5-MS-6-PLUS</t>
  </si>
  <si>
    <t>Passage à une garantie 6 ans formule Plus pour Mac Studio (intervention à J+1 - réparation à J+3 ou Mac Studio de prêt)</t>
  </si>
  <si>
    <t>MI5-MS-7-PLUS</t>
  </si>
  <si>
    <t>Passage à une garantie 7 ans formule Plus pour Mac Studio (intervention à J+1 - réparation à J+3 ou Mac Studio de prêt)</t>
  </si>
  <si>
    <t>MI5-MS-8-PLUS</t>
  </si>
  <si>
    <t>Passage à une garantie 8 ans formule Plus pour Mac Studio (intervention à J+1 - réparation à J+3 ou Mac Studio de prêt)</t>
  </si>
  <si>
    <t>MI5-MS-5-PRO</t>
  </si>
  <si>
    <r>
      <t xml:space="preserve">Passage à une garantie 5 ans </t>
    </r>
    <r>
      <rPr>
        <sz val="10"/>
        <rFont val="Calibri (Corps)"/>
      </rPr>
      <t>formule Pro+</t>
    </r>
    <r>
      <rPr>
        <sz val="10"/>
        <rFont val="Calibri"/>
        <family val="2"/>
        <scheme val="minor"/>
      </rPr>
      <t xml:space="preserve"> pour Mac Studio (diagnostic à H+4 - remplacement à J+1)</t>
    </r>
  </si>
  <si>
    <t>Passage à une garantie 5 ans formule Pro+ pour Mac Studio (diagnostic à H+4 - remplacement à J+1)</t>
  </si>
  <si>
    <t>MI5-MS-6-PRO</t>
  </si>
  <si>
    <r>
      <t xml:space="preserve">Passage à une garantie 6 ans </t>
    </r>
    <r>
      <rPr>
        <sz val="10"/>
        <rFont val="Calibri (Corps)"/>
      </rPr>
      <t>formule Pro+</t>
    </r>
    <r>
      <rPr>
        <sz val="10"/>
        <rFont val="Calibri"/>
        <family val="2"/>
        <scheme val="minor"/>
      </rPr>
      <t xml:space="preserve"> pour Mac Studio (diagnostic à H+4 - remplacement à J+1)</t>
    </r>
  </si>
  <si>
    <t>Passage à une garantie 6 ans formule Pro+ pour Mac Studio (diagnostic à H+4 - remplacement à J+1)</t>
  </si>
  <si>
    <t>MI5-MS-7-PRO</t>
  </si>
  <si>
    <r>
      <t xml:space="preserve">Passage à une garantie 7 ans </t>
    </r>
    <r>
      <rPr>
        <sz val="10"/>
        <rFont val="Calibri (Corps)"/>
      </rPr>
      <t>formule Pro+</t>
    </r>
    <r>
      <rPr>
        <sz val="10"/>
        <rFont val="Calibri"/>
        <family val="2"/>
        <scheme val="minor"/>
      </rPr>
      <t xml:space="preserve"> pour Mac Studio (diagnostic à H+4 - remplacement à J+1)</t>
    </r>
  </si>
  <si>
    <t>Passage à une garantie 7 ans formule Pro+ pour Mac Studio (diagnostic à H+4 - remplacement à J+1)</t>
  </si>
  <si>
    <t>MI5-MS-8-PRO</t>
  </si>
  <si>
    <r>
      <t xml:space="preserve">Passage à une garantie 8 ans </t>
    </r>
    <r>
      <rPr>
        <sz val="10"/>
        <rFont val="Calibri (Corps)"/>
      </rPr>
      <t>formule Pro+</t>
    </r>
    <r>
      <rPr>
        <sz val="10"/>
        <rFont val="Calibri"/>
        <family val="2"/>
        <scheme val="minor"/>
      </rPr>
      <t xml:space="preserve"> pour Mac Studio(diagnostic à H+4 - remplacement à J+1)</t>
    </r>
  </si>
  <si>
    <t>Passage à une garantie 8 ans formule Pro+ pour Mac Studio(diagnostic à H+4 - remplacement à J+1)</t>
  </si>
  <si>
    <t>MI5-MS-5-PLATINE</t>
  </si>
  <si>
    <t>Passage à une garantie 5 ans formule Platine pour Mac Studio (réparation sur site de J+1 à J+3 maximum)</t>
  </si>
  <si>
    <t>MI5-MS-6-PLATINE</t>
  </si>
  <si>
    <t xml:space="preserve">Passage à une garantie 6 ans formule Platine pour Mac Studio(réparation sur site de J+1 à J+3 maximum) </t>
  </si>
  <si>
    <t>MI5-MS-7-PLATINE</t>
  </si>
  <si>
    <t>Passage à une garantie 7 ans formule Platine pour Mac Studio (réparation sur site de J+1 à J+3 maximum)</t>
  </si>
  <si>
    <t>MI5-MS-8-PLATINE</t>
  </si>
  <si>
    <t>Passage à une garantie 8 ans formule Platine pour Mac Studio (réparation sur site de J+1 à J+3 maximum)</t>
  </si>
  <si>
    <t>MI5-MS-5-PLUS-INTER</t>
  </si>
  <si>
    <t>Garantie 5 ans formule Plus internationale pour Mac Studio (France : intervention à J+1 - réparation à J+3 ou Mac Studio de prêt pour la France Métropolitaine - retour atelier pour l'étranger) (remplace la garantie 5 ans formule Plus)</t>
  </si>
  <si>
    <t>MI5-MS-5-PRO-INTER</t>
  </si>
  <si>
    <t>Garantie 5 ans formule Pro internationale pour Mac Studio (diagnostic à H+4 - remplacement à J+1 - retour atelier à l'étranger) (remplace la garantie 5 ans formule Plus)</t>
  </si>
  <si>
    <t>MI5-MS-5-E-KYOD</t>
  </si>
  <si>
    <t>Service de conservation du disque dur pour une durée de 5 ans pour Mac Studio (Keep your own drive)</t>
  </si>
  <si>
    <t>iPad mini (6ème génération) - Existe aussi en coloris rose, mauve et lumière stellaire</t>
  </si>
  <si>
    <t>MK7M3NF/A</t>
  </si>
  <si>
    <t>iPad mini (6e gén.) - A15 - Wi-Fi - 64 Go - Gris sidéral</t>
  </si>
  <si>
    <t>MI5-IPADMINI-5-PLUS</t>
  </si>
  <si>
    <t>Catégorie 6 - Tablettes - Configuration 1</t>
  </si>
  <si>
    <t xml:space="preserve">30213200-7 </t>
  </si>
  <si>
    <t>MK7T3NF/A</t>
  </si>
  <si>
    <t>iPad mini (6e gén.) - A15 - Wi-Fi - 256 Go - Gris sidéral</t>
  </si>
  <si>
    <t>Catégorie 6 - Tablettes - Configuration 2</t>
  </si>
  <si>
    <t>MK893NF/A</t>
  </si>
  <si>
    <t>iPad mini (6e gén.) - A15 - Wi-Fi &amp; Cellulaire - 64 Go - Gris sidéral</t>
  </si>
  <si>
    <t>Catégorie 6 - Tablettes - Configuration 3</t>
  </si>
  <si>
    <t>MK8F3NF/A</t>
  </si>
  <si>
    <t>iPad mini (6e gén.) - A15 - Wi-Fi &amp; Cellulaire - 256 Go - Gris sidéral</t>
  </si>
  <si>
    <t>Catégorie 6 - Tablettes - Configuration 4</t>
  </si>
  <si>
    <t>Garantie 5 ans formule Plus pour iPad mini 7,9" (intervention à J+1 - réparation à J+3 ou iPad 7,9" de prêt)</t>
  </si>
  <si>
    <t>MI5-IPADMINI-6-PLUS</t>
  </si>
  <si>
    <t>Passage à une garantie 6 ans formule Plus pour iPad mini 7,9"  (intervention à J+1 - réparation à J+3 ou iPad de prêt)</t>
  </si>
  <si>
    <t>MI5-IPADMINI-7-PLUS</t>
  </si>
  <si>
    <r>
      <t xml:space="preserve">Passage à une garantie 7 ans formule Plus pour </t>
    </r>
    <r>
      <rPr>
        <sz val="10"/>
        <rFont val="Calibri (Corps)"/>
      </rPr>
      <t>iPad mini 7,9"</t>
    </r>
    <r>
      <rPr>
        <sz val="10"/>
        <rFont val="Calibri"/>
        <family val="2"/>
        <scheme val="minor"/>
      </rPr>
      <t xml:space="preserve">  (intervention à J+1 - réparation à J+3 ou iPad de prêt)</t>
    </r>
  </si>
  <si>
    <t>Passage à une garantie 7 ans formule Plus pour iPad mini 7,9"  (intervention à J+1 - réparation à J+3 ou iPad de prêt)</t>
  </si>
  <si>
    <t>MI5-IPADMINI-8-PLUS</t>
  </si>
  <si>
    <r>
      <t xml:space="preserve">Passage à une garantie 8 ans formule Plus pour </t>
    </r>
    <r>
      <rPr>
        <sz val="10"/>
        <rFont val="Calibri (Corps)"/>
      </rPr>
      <t>iPad mini</t>
    </r>
    <r>
      <rPr>
        <sz val="10"/>
        <rFont val="Calibri"/>
        <family val="2"/>
        <scheme val="minor"/>
      </rPr>
      <t xml:space="preserve"> 7,9" (intervention à J+1 - réparation à J+3 ou iPad de prêt)</t>
    </r>
  </si>
  <si>
    <t>Passage à une garantie 8 ans formule Plus pour iPad mini 7,9" (intervention à J+1 - réparation à J+3 ou iPad de prêt)</t>
  </si>
  <si>
    <t>MI5-IPADMINI-5-E-CARE</t>
  </si>
  <si>
    <t>Service de substitution forfaité d'une durée de 5 ans pour iPad mini 7,9"</t>
  </si>
  <si>
    <t>iPad 10,2" (9ème génération) - Existe aussi en Argent</t>
  </si>
  <si>
    <t>MK2K3NF/A</t>
  </si>
  <si>
    <t>iPad 10,2" (9e gén.) - A13 - Wi-Fi - 64 Go - Gris sidéral</t>
  </si>
  <si>
    <t>MI5-IPAD-5-PLUS</t>
  </si>
  <si>
    <t>Catégorie 6 - Tablettes - Configuration 5</t>
  </si>
  <si>
    <t>MK2N3NF/A</t>
  </si>
  <si>
    <t>iPad 10,2" (9e gén.) - A13 - Wi-Fi - 256 Go - Gris sidéral</t>
  </si>
  <si>
    <t>Catégorie 6 - Tablettes - Configuration 6</t>
  </si>
  <si>
    <t>MK473NF/A</t>
  </si>
  <si>
    <t>iPad 10,2" (9e gén.) - A13 - Wi-Fi &amp; Cellulaire - 64 Go - Gris sidéral</t>
  </si>
  <si>
    <t>Catégorie 6 - Tablettes - Configuration 7</t>
  </si>
  <si>
    <t>MK4E3NF/A</t>
  </si>
  <si>
    <t>iPad 10,2" (9e gén.) - A13 - Wi-Fi &amp; Cellulaire - 256 Go - Gris sidéral</t>
  </si>
  <si>
    <t>Catégorie 6 - Tablettes - Configuration 8</t>
  </si>
  <si>
    <r>
      <t xml:space="preserve">Garantie 5 ans formule Plus pour </t>
    </r>
    <r>
      <rPr>
        <b/>
        <sz val="10"/>
        <rFont val="Calibri (Corps)"/>
      </rPr>
      <t>iPad 10,2"</t>
    </r>
    <r>
      <rPr>
        <b/>
        <sz val="10"/>
        <rFont val="Calibri"/>
        <family val="2"/>
        <scheme val="minor"/>
      </rPr>
      <t xml:space="preserve"> (intervention à J+1 - réparation à J+3 ou iPad de prêt)</t>
    </r>
  </si>
  <si>
    <t>Garantie 5 ans formule Plus pour iPad 10,2" (intervention à J+1 - réparation à J+3 ou iPad de prêt)</t>
  </si>
  <si>
    <t>MI5-IPAD-6-PLUS</t>
  </si>
  <si>
    <r>
      <t xml:space="preserve">Passage à une garantie 6 ans formule Plus pour iPad </t>
    </r>
    <r>
      <rPr>
        <sz val="10"/>
        <rFont val="Calibri (Corps)"/>
      </rPr>
      <t>10,2"</t>
    </r>
    <r>
      <rPr>
        <sz val="10"/>
        <rFont val="Calibri"/>
        <family val="2"/>
        <scheme val="minor"/>
      </rPr>
      <t xml:space="preserve">  (intervention à J+1 - réparation à J+3 ou iPad de prêt)</t>
    </r>
  </si>
  <si>
    <t>Passage à une garantie 6 ans formule Plus pour iPad 10,2"  (intervention à J+1 - réparation à J+3 ou iPad de prêt)</t>
  </si>
  <si>
    <t>MI5-IPAD-7-PLUS</t>
  </si>
  <si>
    <r>
      <t xml:space="preserve">Passage à une garantie 7 ans formule Plus pour </t>
    </r>
    <r>
      <rPr>
        <sz val="10"/>
        <rFont val="Calibri (Corps)"/>
      </rPr>
      <t>iPad 10,2"</t>
    </r>
    <r>
      <rPr>
        <sz val="10"/>
        <rFont val="Calibri"/>
        <family val="2"/>
        <scheme val="minor"/>
      </rPr>
      <t xml:space="preserve">  (intervention à J+1 - réparation à J+3 ou iPad de prêt)</t>
    </r>
  </si>
  <si>
    <t>Passage à une garantie 7 ans formule Plus pour iPad 10,2"  (intervention à J+1 - réparation à J+3 ou iPad de prêt)</t>
  </si>
  <si>
    <t>MI5-IPAD-8-PLUS</t>
  </si>
  <si>
    <r>
      <t xml:space="preserve">Passage à une garantie 8 ans formule Plus pour </t>
    </r>
    <r>
      <rPr>
        <sz val="10"/>
        <rFont val="Calibri (Corps)"/>
      </rPr>
      <t>iPad 10,2"</t>
    </r>
    <r>
      <rPr>
        <sz val="10"/>
        <rFont val="Calibri"/>
        <family val="2"/>
        <scheme val="minor"/>
      </rPr>
      <t xml:space="preserve">  (intervention à J+1 - réparation à J+3 ou iPad de prêt)</t>
    </r>
  </si>
  <si>
    <t>Passage à une garantie 8 ans formule Plus pour iPad 10,2"  (intervention à J+1 - réparation à J+3 ou iPad de prêt)</t>
  </si>
  <si>
    <t>MI5-IPAD-5-E-CARE</t>
  </si>
  <si>
    <t>Service de substitution forfaité d'une durée de 5 ans pour iPad 10,2"</t>
  </si>
  <si>
    <t>iPad 10,9" (10ème génération) - Existe aussi en coloris bleu, rose et jaune</t>
  </si>
  <si>
    <t>MPQ03NF/A</t>
  </si>
  <si>
    <t>iPad 10,9" (10e gén.) - A14 - Wi-Fi - 64 Go - argent</t>
  </si>
  <si>
    <t>Catégorie 6 - Tablettes - Configuration 9</t>
  </si>
  <si>
    <t>MPQ83NF/A</t>
  </si>
  <si>
    <t>iPad 10,9" (10e gén.) - A14 - Wi-Fi - 256 Go - argent</t>
  </si>
  <si>
    <t>Catégorie 6 - Tablettes - Configuration 10</t>
  </si>
  <si>
    <t>MQ6J3NF/A</t>
  </si>
  <si>
    <t>iPad 10,9" (10e gén.) - A14 - Wi-Fi &amp; Cellulaire 5G - 64 Go - argent</t>
  </si>
  <si>
    <t>Catégorie 6 - Tablettes - Configuration 11</t>
  </si>
  <si>
    <t>MQ6T3NF/A</t>
  </si>
  <si>
    <t>iPad 10,9" (10e gén.) - A14 - Wi-Fi &amp; Cellulaire 5G - 256 Go - argent</t>
  </si>
  <si>
    <t>Catégorie 6 - Tablettes - Configuration 12</t>
  </si>
  <si>
    <t>iPad Air 10,9" (5ème génération) - Existe aussi en coloris bleu, rose, mauve et lumière stellaire</t>
  </si>
  <si>
    <t>MM9C3NF/A</t>
  </si>
  <si>
    <t>iPad Air 10,9'' (5e gén.) - M1 - Wi-Fi- 64 Go - Gris sidéral</t>
  </si>
  <si>
    <t>MI5-IPADAIR-5-PLUS</t>
  </si>
  <si>
    <t>Catégorie 6 - Tablettes - Configuration 13</t>
  </si>
  <si>
    <t>MM9L3NF/A</t>
  </si>
  <si>
    <t>iPad Air 10,9'' (5e gén.) - M1 - Wi-Fi - 256 Go - Gris sidéral</t>
  </si>
  <si>
    <t>Catégorie 6 - Tablettes - Configuration 14</t>
  </si>
  <si>
    <t>MM6R3NF/A</t>
  </si>
  <si>
    <t>iPad Air 10,9'' (5e gén.) - M1 - Wi-Fi &amp; Cellulaire - 64 Go - Gris sidéral</t>
  </si>
  <si>
    <t>Catégorie 6 - Tablettes - Configuration 15</t>
  </si>
  <si>
    <t>MM713NF/A</t>
  </si>
  <si>
    <t>iPad Air 10,9'' (5e gén.) - M1 - Wi-Fi &amp; Cellulaire - 256 Go - Gris sidéral</t>
  </si>
  <si>
    <t>Catégorie 6 - Tablettes - Configuration 16</t>
  </si>
  <si>
    <r>
      <t xml:space="preserve">Garantie 5 ans formule Plus pour </t>
    </r>
    <r>
      <rPr>
        <b/>
        <sz val="10"/>
        <color theme="1"/>
        <rFont val="Calibri (Corps)"/>
      </rPr>
      <t>iPad Air 10,9"</t>
    </r>
    <r>
      <rPr>
        <b/>
        <sz val="10"/>
        <color theme="1"/>
        <rFont val="Calibri"/>
        <family val="2"/>
        <scheme val="minor"/>
      </rPr>
      <t xml:space="preserve"> (intervention à J+1 - réparation à J+3 ou iPad de prêt)</t>
    </r>
  </si>
  <si>
    <t>Garantie 5 ans formule Plus pour iPad Air 10,9" (intervention à J+1 - réparation à J+3 ou iPad de prêt)</t>
  </si>
  <si>
    <t>MI5-IPADAIR-6-PLUS</t>
  </si>
  <si>
    <t>Passage à une garantie 6 ans formule Plus pour iPad Air 10,9" (intervention à J+1 - réparation à J+3 ou iPad de prêt)</t>
  </si>
  <si>
    <t>MI5-IPADAIR-7-PLUS</t>
  </si>
  <si>
    <r>
      <t xml:space="preserve">Passage à une garantie 7 ans formule Plus pour </t>
    </r>
    <r>
      <rPr>
        <sz val="10"/>
        <rFont val="Calibri (Corps)"/>
      </rPr>
      <t>iPad Air 10,9"</t>
    </r>
    <r>
      <rPr>
        <sz val="10"/>
        <rFont val="Calibri"/>
        <family val="2"/>
        <scheme val="minor"/>
      </rPr>
      <t xml:space="preserve">  (intervention à J+1 - réparation à J+3 ou iPad de prêt)</t>
    </r>
  </si>
  <si>
    <t>Passage à une garantie 7 ans formule Plus pour iPad Air 10,9"  (intervention à J+1 - réparation à J+3 ou iPad de prêt)</t>
  </si>
  <si>
    <t>MI5-IPADAIR-8-PLUS</t>
  </si>
  <si>
    <r>
      <t xml:space="preserve">Passage à une garantie 8 ans formule Plus pour </t>
    </r>
    <r>
      <rPr>
        <sz val="10"/>
        <rFont val="Calibri (Corps)"/>
      </rPr>
      <t>iPad Air</t>
    </r>
    <r>
      <rPr>
        <sz val="10"/>
        <rFont val="Calibri"/>
        <family val="2"/>
        <scheme val="minor"/>
      </rPr>
      <t xml:space="preserve"> 10,9" (intervention à J+1 - réparation à J+3 ou iPad de prêt)</t>
    </r>
  </si>
  <si>
    <t>Passage à une garantie 8 ans formule Plus pour iPad Air 10,9" (intervention à J+1 - réparation à J+3 ou iPad de prêt)</t>
  </si>
  <si>
    <t>MI5-IPADAIR-5-E-CARE</t>
  </si>
  <si>
    <t>Service de substitution forfaité d'une durée de 5 ans pour iPad Air 10,9"</t>
  </si>
  <si>
    <t>iPad Pro 11" (4ème génération) - Existe aussi en coloris argent</t>
  </si>
  <si>
    <t>MNXD3NF/A</t>
  </si>
  <si>
    <t>iPad Pro 11" (4e gén.) - M2 - Wi-FI - 128 Go - Gris sidéral</t>
  </si>
  <si>
    <t>MI5-IPADPRO11-5-PLUS</t>
  </si>
  <si>
    <t>Catégorie 6 - Tablettes - Configuration 17</t>
  </si>
  <si>
    <t>MNXF3NF/A</t>
  </si>
  <si>
    <t>iPad Pro 11" (4e gén.) - M2 - Wi-FI - 256 Go - Gris sidéral</t>
  </si>
  <si>
    <t>Catégorie 6 - Tablettes - Configuration 18</t>
  </si>
  <si>
    <t>MNXH3NF/A</t>
  </si>
  <si>
    <t>iPad Pro 11" (4e gén.) - M2 - Wi-FI - 512 Go - Gris sidéral</t>
  </si>
  <si>
    <t>Catégorie 6 - Tablettes - Configuration 19</t>
  </si>
  <si>
    <t>MNXK3NF/A</t>
  </si>
  <si>
    <t>iPad Pro 11" (4e gén.) - M2 - Wi-FI - 1 To - Gris sidéral</t>
  </si>
  <si>
    <t>Catégorie 6 - Tablettes - Configuration 20</t>
  </si>
  <si>
    <t>MNYC3NF/A</t>
  </si>
  <si>
    <t>iPad Pro 11" (4e gén.) - M2 - Wi-FI &amp; Cellulaire - 128 Go - Gris sidéral</t>
  </si>
  <si>
    <t>Catégorie 6 - Tablettes - Configuration 21</t>
  </si>
  <si>
    <t>MNYE3NF/A</t>
  </si>
  <si>
    <t>iPad Pro 11" (4e gén.) - M2 - Wi-FI &amp; Cellulaire - 256 Go - Gris sidéral</t>
  </si>
  <si>
    <t>Catégorie 6 - Tablettes - Configuration 22</t>
  </si>
  <si>
    <t>MNYG3NF/A</t>
  </si>
  <si>
    <t>iPad Pro 11" (4e gén.) - M2 - Wi-FI &amp; Cellulaire - 512 Go - Gris sidéral</t>
  </si>
  <si>
    <t>Catégorie 6 - Tablettes - Configuration 23</t>
  </si>
  <si>
    <t>MNYJ3NF/A</t>
  </si>
  <si>
    <t>iPad Pro 11" (4e gén.) - M2 - Wi-FI &amp; Cellulaire - 1 To - Gris sidéral</t>
  </si>
  <si>
    <t>Catégorie 6 - Tablettes - Configuration 24</t>
  </si>
  <si>
    <r>
      <t xml:space="preserve">Garantie 5 ans formule Plus pour </t>
    </r>
    <r>
      <rPr>
        <b/>
        <sz val="10"/>
        <rFont val="Calibri (Corps)"/>
      </rPr>
      <t>iPad Pro 11"</t>
    </r>
    <r>
      <rPr>
        <b/>
        <sz val="10"/>
        <rFont val="Calibri"/>
        <family val="2"/>
        <scheme val="minor"/>
      </rPr>
      <t xml:space="preserve"> (intervention à J+1 - réparation à J+3 ou iPad de prêt)</t>
    </r>
  </si>
  <si>
    <t>Garantie 5 ans formule Plus pour iPad Pro 11" (intervention à J+1 - réparation à J+3 ou iPad de prêt)</t>
  </si>
  <si>
    <t>MI5-IPADPRO11-6-PLUS</t>
  </si>
  <si>
    <t>Passage à une garantie 6 ans formule Plus pour iPad Pro 11"  (intervention à J+1 - réparation à J+3 ou iPad de prêt)</t>
  </si>
  <si>
    <t>MI5-IPADPRO11-7-PLUS</t>
  </si>
  <si>
    <r>
      <t xml:space="preserve">Passage à une garantie 7 ans formule Plus pour </t>
    </r>
    <r>
      <rPr>
        <sz val="10"/>
        <rFont val="Calibri (Corps)"/>
      </rPr>
      <t>iPad Pro</t>
    </r>
    <r>
      <rPr>
        <sz val="10"/>
        <rFont val="Calibri"/>
        <family val="2"/>
        <scheme val="minor"/>
      </rPr>
      <t xml:space="preserve"> 11" (intervention à J+1 - réparation à J+3 ou iPad de prêt)</t>
    </r>
  </si>
  <si>
    <t>Passage à une garantie 7 ans formule Plus pour iPad Pro 11" (intervention à J+1 - réparation à J+3 ou iPad de prêt)</t>
  </si>
  <si>
    <t>MI5-IPADPRO11-8-PLUS</t>
  </si>
  <si>
    <r>
      <t xml:space="preserve">Passage à une garantie 8 ans formule Plus pour </t>
    </r>
    <r>
      <rPr>
        <sz val="10"/>
        <rFont val="Calibri (Corps)"/>
      </rPr>
      <t>iPad Pro</t>
    </r>
    <r>
      <rPr>
        <sz val="10"/>
        <rFont val="Calibri"/>
        <family val="2"/>
        <scheme val="minor"/>
      </rPr>
      <t xml:space="preserve"> 11" (intervention à J+1 - réparation à J+3 ou iPad de prêt)</t>
    </r>
  </si>
  <si>
    <t>Passage à une garantie 8 ans formule Plus pour iPad Pro 11" (intervention à J+1 - réparation à J+3 ou iPad de prêt)</t>
  </si>
  <si>
    <t>MI5-IPADPRO11-5-E-CARE</t>
  </si>
  <si>
    <t>Service de substitution forfaité d'une durée de 5 ans pour iPad Pro 11"</t>
  </si>
  <si>
    <t>iPad Pro 12,9" (6ème génération) - Existe aussi en coloris argent</t>
  </si>
  <si>
    <t>MNXP3NF/A</t>
  </si>
  <si>
    <t>iPad Pro 12,9" (6e gén.) - M2 - Wi-Fi - 128 Go - Gris sidéral</t>
  </si>
  <si>
    <t>MI5-IPADPRO12-5-PLUS</t>
  </si>
  <si>
    <t>Catégorie 6 - Tablettes - Configuration 25</t>
  </si>
  <si>
    <t>MNXR3NF/A</t>
  </si>
  <si>
    <t>iPad Pro 12,9" (6e gén.) - M2 - Wi-Fi - 256 Go - Gris sidéral</t>
  </si>
  <si>
    <t>Catégorie 6 - Tablettes - Configuration 26</t>
  </si>
  <si>
    <t>MNXU3NF/A</t>
  </si>
  <si>
    <t>iPad Pro 12,9" (6e gén.) - M2 - Wi-Fi - 512 Go - Gris sidéral</t>
  </si>
  <si>
    <t>Catégorie 6 - Tablettes - Configuration 27</t>
  </si>
  <si>
    <t>MNXW3NF/A</t>
  </si>
  <si>
    <t>iPad Pro 12,9" (6e gén.) - M2 - Wi-Fi - 1 To - Gris sidéral</t>
  </si>
  <si>
    <t>Catégorie 6 - Tablettes - Configuration 28</t>
  </si>
  <si>
    <t>MP1X3NF/A</t>
  </si>
  <si>
    <t>iPad Pro 12,9" (6e gén.) - M2 - Wi‑Fi &amp; Cellulaire - 128 Go - Gris sidéral</t>
  </si>
  <si>
    <t>Catégorie 6 - Tablettes - Configuration 29</t>
  </si>
  <si>
    <t>MP203NF/A</t>
  </si>
  <si>
    <t>iPad Pro 12,9" (6e gén.) - M2 - Wi‑Fi &amp; Cellulaire - 256 Go - Gris sidéral</t>
  </si>
  <si>
    <t>Catégorie 6 - Tablettes - Configuration 30</t>
  </si>
  <si>
    <t>MP223NF/A</t>
  </si>
  <si>
    <t>iPad Pro 12,9" (6e gén.) - M2 - Wi‑Fi &amp; Cellulaire - 512 Go - Gris sidéral</t>
  </si>
  <si>
    <t>Catégorie 6 - Tablettes - Configuration 31</t>
  </si>
  <si>
    <t>MP243NF/A</t>
  </si>
  <si>
    <t>iPad Pro 12,9" (6e gén.) - M2 - Wi‑Fi &amp; Cellulaire - 1 To - Gris sidéral</t>
  </si>
  <si>
    <t>Catégorie 6 - Tablettes - Configuration 32</t>
  </si>
  <si>
    <r>
      <t xml:space="preserve">Garantie 5 ans formule Plus pour </t>
    </r>
    <r>
      <rPr>
        <b/>
        <sz val="10"/>
        <rFont val="Calibri (Corps)"/>
      </rPr>
      <t>iPad Pro 12"</t>
    </r>
    <r>
      <rPr>
        <b/>
        <sz val="10"/>
        <rFont val="Calibri"/>
        <family val="2"/>
        <scheme val="minor"/>
      </rPr>
      <t xml:space="preserve"> (intervention à J+1 - réparation à J+3 ou iPad de prêt)</t>
    </r>
  </si>
  <si>
    <t>Garantie 5 ans formule Plus pour iPad Pro 12" (intervention à J+1 - réparation à J+3 ou iPad de prêt)</t>
  </si>
  <si>
    <t>MI5-IPADPRO12-6-PLUS</t>
  </si>
  <si>
    <t>Passage à une garantie 6 ans formule Plus pour iPad Pro 12"  (intervention à J+1 - réparation à J+3 ou iPad de prêt)</t>
  </si>
  <si>
    <t>MI5-IPADPRO12-7-PLUS</t>
  </si>
  <si>
    <r>
      <t xml:space="preserve">Passage à une garantie 7 ans formule Plus pour </t>
    </r>
    <r>
      <rPr>
        <sz val="10"/>
        <rFont val="Calibri (Corps)"/>
      </rPr>
      <t>iPad Pro 12"</t>
    </r>
    <r>
      <rPr>
        <sz val="10"/>
        <rFont val="Calibri"/>
        <family val="2"/>
        <scheme val="minor"/>
      </rPr>
      <t xml:space="preserve">  (intervention à J+1 - réparation à J+3 ou iPad de prêt)</t>
    </r>
  </si>
  <si>
    <t>Passage à une garantie 7 ans formule Plus pour iPad Pro 12"  (intervention à J+1 - réparation à J+3 ou iPad de prêt)</t>
  </si>
  <si>
    <t>MI5-IPADPRO12-8-PLUS</t>
  </si>
  <si>
    <t>Passage à une garantie 8 ans formule Plus pour iPad Pro 12"  (intervention à J+1 - réparation à J+3 ou iPad de prêt)</t>
  </si>
  <si>
    <t>MI5-IPADPRO12-5-E-CARE</t>
  </si>
  <si>
    <t>Service de substitution forfaité d'une durée de 5 ans pour iPad Pro 12""</t>
  </si>
  <si>
    <t>*ATTENTION, LE PRIX DES CONFIGURATIONS INCLUENT POUR LES DROM-COM  UNE  GARANTIES DE BASE  APPLE CARE 1 ANS - LES EXTENSIONS DE GARANTIE CI-DESSOUS SONT DISPONIBLES A LA COMMANDE</t>
  </si>
  <si>
    <t>S9732ZM/A</t>
  </si>
  <si>
    <t>Apple extension de garantie 3 ans AppleCare Plan dématérialisée pour MacBook Air</t>
  </si>
  <si>
    <t>SFFL2ZM/A</t>
  </si>
  <si>
    <t>Apple extension de garantie 3 ans AppleCare Plan dématérialisée pour MacBook Air M2</t>
  </si>
  <si>
    <t>SFFN2ZM/A</t>
  </si>
  <si>
    <t>Apple extension de garantie 3 ans AppleCare Plan dématérialisée pour MacBook Pro 13"M2</t>
  </si>
  <si>
    <t>SCPX2ZM/A</t>
  </si>
  <si>
    <t>Apple extension de garantie 3 ans AppleCare Plan dématérialisée pour MacBook Pro 14"</t>
  </si>
  <si>
    <t>SE282ZM/A</t>
  </si>
  <si>
    <t>Apple extension de garantie 3 ans AppleCare Plan dématérialisée pour MacBook Pro 16"</t>
  </si>
  <si>
    <t>S7127ZM/A</t>
  </si>
  <si>
    <t>Apple extension de garantie 3 ans AppleCare Plan dématérialisée pour Mac mini</t>
  </si>
  <si>
    <t>S7126ZM/A</t>
  </si>
  <si>
    <t>Apple extension de garantie 3 ans AppleCare Plan dématérialisée pour iMac 24'</t>
  </si>
  <si>
    <t>S7128ZM/A</t>
  </si>
  <si>
    <t>Apple extension de garantie 3 ans AppleCare Plan dématérialisée pour Mac Pro</t>
  </si>
  <si>
    <t>SEV82ZM/A</t>
  </si>
  <si>
    <t>Apple extension de garantie 3 ans AppleCare Plan dématérialisée pour Mac Studio</t>
  </si>
  <si>
    <t>S5790Z/A</t>
  </si>
  <si>
    <t>Apple extension de garantie 3 ans AppleCare Plan dématérialisée pour iPad</t>
  </si>
  <si>
    <t>MI5-FRAIS-DROM-COM</t>
  </si>
  <si>
    <t>Cotation spécifique de transport Frais d'expédition DROM-COM</t>
  </si>
  <si>
    <t>PROPOSITION DE TARIF N°7 VALIDE LE xx/xx/2023</t>
  </si>
  <si>
    <t>TARIF N°6 VALIDE LE 03/11/2022</t>
  </si>
  <si>
    <t>Moniteurs standard</t>
  </si>
  <si>
    <t>XU2390HS-B1</t>
  </si>
  <si>
    <t>Iiyama moniteur ProLite LED 23" 1920 x 1080 Full HD (1080p) IPS 250 cd/m² 1000:1 4 ms HDMI, DVI-D, VGA, haut-parleurs – noir Garantie 3 ans certifié ENERGY STAR</t>
  </si>
  <si>
    <t>IIYAMA</t>
  </si>
  <si>
    <t>Moniteurs</t>
  </si>
  <si>
    <t>XB2483HSU-B3</t>
  </si>
  <si>
    <t>Iiyama moniteur 24'' LED ProLite (HDMI, VGA, DisplayPort - 16:9 résolution 1920x1080, 4 ms, noir, TCO 6 )</t>
  </si>
  <si>
    <t>B2791HSU-B1</t>
  </si>
  <si>
    <t>Iiyama moniteur 27" LED ProLite (HDMI/VGA/DisplayPort - 16/9 rés. 1920x1080, 1 ms, noir , TCO 6)</t>
  </si>
  <si>
    <t>XB3288UHSU-B1</t>
  </si>
  <si>
    <t>Iiyama moniteur 32" ProLite LED - 4K - 32"- HDR (VA, 2xHDMI, 1xDisplayPort, 1 x câble USB - 16:9 résolution 4K 3840 x 2160 à 60 Hz, noir, Energystar)</t>
  </si>
  <si>
    <t>XUB3493WQSU-B1</t>
  </si>
  <si>
    <t>Iiyama moniteur 34'' LED IPS ProLite XUB3493WQSU (2x HDMI/DisplayPort - 21:9 résolution 3440x1440, 4 ms, noir, TCO 6)</t>
  </si>
  <si>
    <t>Moniteurs spécifiques : multimédia, stations d'accueil</t>
  </si>
  <si>
    <t>272B7QUPBEB/00</t>
  </si>
  <si>
    <t>Philips moniteur 27'' LED Brilliance B-line 272B7QUPBEB (USB-C, HDMI, DisplayPort, USB, Ethernet - 16:9 résolution 2560x1440 - 5 ms - noir - TCO) sans webcam intégrée</t>
  </si>
  <si>
    <t>PHILIPS</t>
  </si>
  <si>
    <t>346B1C/00</t>
  </si>
  <si>
    <t>Philips moniteur 34'' Incurvé LED Brilliance B-line 346B1C (HDMI, DisplayPort, USB-C avec Port RJ45, 4x USB 3,2 -  21:9 résolution 3440x1440, 5 ms, noir, réglable en hauteur)</t>
  </si>
  <si>
    <t>272B7QUBHEB/00</t>
  </si>
  <si>
    <t>Philips moniteur 27'' QHD LED Brilliance B-line 272B7QUBHEB (USB-C, HDMI, DisplayPort, 4x USB, Ethernet - webcam - 16:9 résolution 2560x1440, 5 ms, noir) avec webcam intégrée</t>
  </si>
  <si>
    <t>328P6VUBREB/00</t>
  </si>
  <si>
    <t>Philips moniteur 32'' 4K UHD LED Brilliance P-line 328P6VUBREB (USB-C, 2x HDMI, DisplayPort, 4x USB, Ethernet - 16:9 résolution 3840x2160, 4 ms, noir)</t>
  </si>
  <si>
    <t>241B7QGJEB/00</t>
  </si>
  <si>
    <t>242B1V/00</t>
  </si>
  <si>
    <t>Philips moniteur avec mode confidentiel 24'' LED B-line ( Display Port, HDMI, DVI-D (numérique, HDCP), VGA - 16:9 résolution 1920 x 1080, 5 ms, noir)</t>
  </si>
  <si>
    <t>LF24T450FQRXEN</t>
  </si>
  <si>
    <t>Samsung F24T450FQR - T45F Series - écran LED 24" - Full HD (1080p) 1920 x 1080 @ 75 Hz 250 cd/m² 1000: 15 ms 2xHDMI,DisplayPort - noir</t>
  </si>
  <si>
    <t>SAMSUNG</t>
  </si>
  <si>
    <t>LS27A600UUUXEN</t>
  </si>
  <si>
    <t>Samsung S27A600UUU - S60UA Series - écran LED 27" - QHD - 2560 x 1440 @ 75 Hz 300 cd/m² 1000: 15 ms 2xHDMI,DisplayPort - noir</t>
  </si>
  <si>
    <t>LS27A600U</t>
  </si>
  <si>
    <t>LS32A600UUUXEN</t>
  </si>
  <si>
    <t>Samsung S32A600UUU - S60A Series - écran LED 32" - QHD - 2560 x 1440 @ 75 Hz 300 cd/m² 3000:15 ms HDMI,DisplayPort,USB-C - noir</t>
  </si>
  <si>
    <t>LS32A600U</t>
  </si>
  <si>
    <t>VG2239SMH-2</t>
  </si>
  <si>
    <t>ViewSonic moniteur 22" LED VG2239Smh (connexion DisplayPort+VGA+HDMI - 16:9 résolution 1920x1080 - 6,5 ms - noir)</t>
  </si>
  <si>
    <t>VIEWSONIC</t>
  </si>
  <si>
    <t>VP2458</t>
  </si>
  <si>
    <t>ViewSonic ColorPro VP2458 Écran LED 24" (23.8" visualisable) 1920 x 1080 Full HD (1080p) IPS 250 cd/m² 1000:1 7 ms HDMI, VGA, DisplayPort</t>
  </si>
  <si>
    <t>VP2468A</t>
  </si>
  <si>
    <t>Viewsonic moniteur 24" (1920 x 1080) Dalle IPS LED monitor with 100% sRGB, 5ms, HDMI, DisplayPort in, DisplayPort out, USB-C, RJ45, 2 USB</t>
  </si>
  <si>
    <t>VP2785-4K</t>
  </si>
  <si>
    <t xml:space="preserve">Viewsonic moniteur 27" (3840 x 2160) UHD, IPS sans bords, support du HDR10,  2x HDMI, Mini DisplayPort, DisplayPort, USB 3.1, USB type C, </t>
  </si>
  <si>
    <t>VG2755</t>
  </si>
  <si>
    <t>Viewsonic moniteur 27", (1920 x 1080) 5ms, VGA, HDMI, DisplayPort, USB type C, 3x USB, hauts-parleurs, support entièrement ergonomique avec grand angle d'inclinaison</t>
  </si>
  <si>
    <t>VP3268-4K</t>
  </si>
  <si>
    <t>Viewsonic moniteur 32" (3840 x 2160) UHD 2x HDMI, Mini DisplayPort, DisplayPort, USB, hauts-parleurs, support entièrement ergonomique, Calibrage matériel</t>
  </si>
  <si>
    <t>Options langues pour les "claviers Magic Keyboard" existe en langues (anglais britannique, anglais US et anglais international)</t>
  </si>
  <si>
    <t>MK2A3F/A</t>
  </si>
  <si>
    <t>Apple clavier Magic Keyboard français sans pavé numérique - sans fil rechargeable Bluetooth Lightning - 78 touches - argent</t>
  </si>
  <si>
    <t>MK2C3F/A</t>
  </si>
  <si>
    <t>Apple clavier Magic Keyboard avec Touch ID et pavé numérique pour les Mac avec puce Apple  - sans fil rechargeable Bluetooth Lightning - français - argent</t>
  </si>
  <si>
    <t>MK293F/A</t>
  </si>
  <si>
    <t>Apple clavier Magic Keyboard avec Touch ID pour les Mac avec puce Apple sans pavé numérique - sans fil rechargeable Bluetooth Lightning - français - argent</t>
  </si>
  <si>
    <t>MQ052F/A</t>
  </si>
  <si>
    <t>Apple clavier Magic Keyboard français avec pavé numérique - sans fil rechargeable Bluetooth Lightning - 109 touches - argent</t>
  </si>
  <si>
    <t>MQ052LB/A</t>
  </si>
  <si>
    <t>Apple clavier Magic Keyboard américain avec pavé numérique - sans fil rechargeable Bluetooth Lightning - 109 touches - argent</t>
  </si>
  <si>
    <t>MQ052Z/A</t>
  </si>
  <si>
    <t>Apple clavier Magic Keyboard anglais international avec pavé numérique - sans fil rechargeable Bluetooth Lightning - 109 touches - argent</t>
  </si>
  <si>
    <t>MMMR3F/A</t>
  </si>
  <si>
    <t>Apple clavier Magic Keyboard avec Touch ID et pavé numérique pour les Mac avec puce Apple - sans fil rechargeable Bluetooth Lightning - touches noires - français</t>
  </si>
  <si>
    <t>MMMQ3Z/A</t>
  </si>
  <si>
    <t>Apple souris sans fil Magic Mouse (Multi-Touch - rechargeable - Bluetooth - Lightning) - noir</t>
  </si>
  <si>
    <t>MN713ZM/A</t>
  </si>
  <si>
    <t>Apple câble Thunderbolt 4 Pro (1,8 m)</t>
  </si>
  <si>
    <t>MWP02ZM/A</t>
  </si>
  <si>
    <t>Apple câble Thunderbolt 4 Pro (3 m)</t>
  </si>
  <si>
    <t>MX3L2F/A</t>
  </si>
  <si>
    <t>Apple Smart Keyboard AZERTY français pour iPad 10,2", iPad Air 10,5" et iPad Pro 10,5''</t>
  </si>
  <si>
    <t>MX3L2LB/A</t>
  </si>
  <si>
    <t>Apple Smart Keyboard QWERTY US pour iPad 10,2", iPad Air 10,5" et iPad Pro 10,5''</t>
  </si>
  <si>
    <t>MXNK2F/A</t>
  </si>
  <si>
    <t>Apple Smart Keyboard Folio AZERTY français pour iPad Pro 11'' et iPad Air 10,9"</t>
  </si>
  <si>
    <t>MXNK2LB/A</t>
  </si>
  <si>
    <t>Apple Smart Keyboard Folio QWERTY US pour iPad Pro 11'' et iPad Air 10,9"</t>
  </si>
  <si>
    <t>MXNL2F/A</t>
  </si>
  <si>
    <t>Apple Smart Keyboard Folio AZERTY français pour iPad Pro 12,9'' (3e et 4e gén.)</t>
  </si>
  <si>
    <t>MXNL2LB/A</t>
  </si>
  <si>
    <t>Apple Smart Keyboard Folio QWERTY US pour iPad Pro 12,9'' (3e et 4e gén.)</t>
  </si>
  <si>
    <t>MQDP3F/A</t>
  </si>
  <si>
    <t>Apple Magic Keyboard Folio pour iPad 10,9" (10e gén) - Français - Blanc</t>
  </si>
  <si>
    <t>MQDP3LB/A</t>
  </si>
  <si>
    <t>Apple Magic Keyboard Folio pour iPad 10,9" (10e gén) - Anglais Américain - Blanc</t>
  </si>
  <si>
    <t>MJQJ3F/A</t>
  </si>
  <si>
    <t>Apple Magic Keyboard pour iPad Pro 11'' (1,2,3 et 4e gén) et iPad Air 10,9" (4 et 5e gén.) - Français - Blanc</t>
  </si>
  <si>
    <t>MXQT2F/A</t>
  </si>
  <si>
    <t>Apple Magic Keyboard pour iPad Pro 11'' (1,2,3 et 4e gén) et iPad Air 10,9" (4 et 5e gén.) - Français - Noir</t>
  </si>
  <si>
    <t>MJQJ3LB/A</t>
  </si>
  <si>
    <t>Apple Magic Keyboard pour iPad Pro 11'' (1,2,3 et 4e gén) et iPad Air 10,9" (4 et 5e gén.) - Anglais Américain - Blanc</t>
  </si>
  <si>
    <t>MXQT2LB/A</t>
  </si>
  <si>
    <t>Apple Magic Keyboard pour iPad Pro 11'' (1,2,3 et 4e gén) et iPad Air 10,9" (4 et 5e gén.) - Anglais Américain - Noir</t>
  </si>
  <si>
    <t>MJQL3F/A</t>
  </si>
  <si>
    <t>Apple Magic Keyboard pour iPad Pro 12,9'' (3,4,5 et 6e gén) - Français - Blanc</t>
  </si>
  <si>
    <t>MJQK3F/A</t>
  </si>
  <si>
    <t>Apple Magic Keyboard pour iPad Pro 12,9'' (3,4,5 et 6e gén) - Français - Noir</t>
  </si>
  <si>
    <t>MJQL3LB/A</t>
  </si>
  <si>
    <t>Apple Magic Keyboard pour iPad Pro 12,9'' (3,4,5 et 6e gén) - Anglais Américain - Blanc</t>
  </si>
  <si>
    <t>MJQK3LB/A</t>
  </si>
  <si>
    <t>Apple Magic Keyboard pour iPad Pro 12,9'' (3,4,5 et 6e gén) - Anglais Américain - Noir</t>
  </si>
  <si>
    <t>920-009554</t>
  </si>
  <si>
    <t>Logitech Clavier MX Keys pour Mac – Clavier rétroéclairé - Bluetooth, 2.4 GHz – AZERTY – Français - gris</t>
  </si>
  <si>
    <t>LOGITECH</t>
  </si>
  <si>
    <t>910-006559</t>
  </si>
  <si>
    <t>Logitech MX Master 3S - Souris sans fil Bluetooth - Graphite</t>
  </si>
  <si>
    <t>910-003357</t>
  </si>
  <si>
    <t>Logitech souris B100 optique filaire - USB - noir</t>
  </si>
  <si>
    <t>MK2E3Z/A</t>
  </si>
  <si>
    <t>Apple souris sans fil magic mouse 2 argent (Multi-Touch - rechargeable - Bluetooth - Lightning)</t>
  </si>
  <si>
    <t>MK2D3Z/A</t>
  </si>
  <si>
    <t>Apple trackpad sans fil Magic Trackpad 2 argent (Force Touch - rechargeable - Bluetooth - Lightning)</t>
  </si>
  <si>
    <t>MMMP3Z/A</t>
  </si>
  <si>
    <t>Apple trackpad sans fil Magic Trackpad (Force Touch - rechargeable - Bluetooth - Lightning) - noir</t>
  </si>
  <si>
    <t>MK0C2ZM/A</t>
  </si>
  <si>
    <t>Apple Pencil 1ère génération pour iPad (6,7,8,9 et 10e gén.), iPad mini (5e gén.), iPad Air (3e gén.), iPad Pro 9,7", 10,5" et iPad Pro 12,9 (1 et 2e gén.)</t>
  </si>
  <si>
    <t>MU8F2ZM/A</t>
  </si>
  <si>
    <t>Apple Pencil 2ème génération pour iPad Pro 11"(1,2,3 et 4e gén.), iPad Pro 12,9" (3,4,5 et 6e gén.), iPad mini (6e gén.) iPad Air (4 et 5e gén.)</t>
  </si>
  <si>
    <t>MLUN2ZM/A</t>
  </si>
  <si>
    <t>Apple pointes pour Apple Pencil - Lot de 4 - Pour Apple Pencil 1ère et 2ème génération</t>
  </si>
  <si>
    <t>MQLU3ZM/A</t>
  </si>
  <si>
    <t>Apple adaptateur USB‑C vers Lightning femelle Apple Pencil 1ère génération</t>
  </si>
  <si>
    <t>Adaptateurs vidéo (VGA, HDMI, etc)</t>
  </si>
  <si>
    <t>MXLY2ZM/A</t>
  </si>
  <si>
    <t>Apple câble Lightning vers USB-A 1m (pour iPad, iPhone et iPod à connecteur Lightning)</t>
  </si>
  <si>
    <t>MD819ZM/A</t>
  </si>
  <si>
    <t>Apple câble Lightning vers USB-A 2m (pour iPad, iPhone et iPod à connecteur Lightning)</t>
  </si>
  <si>
    <t>MD825ZM/A</t>
  </si>
  <si>
    <t>Apple adaptateur Lightning vers VGA</t>
  </si>
  <si>
    <t>MD821ZM/A</t>
  </si>
  <si>
    <t>Apple adaptateur Lightning vers USB-A pour appareil photo</t>
  </si>
  <si>
    <t>MK0W2ZM/A</t>
  </si>
  <si>
    <t>Apple adaptateur Lightning vers USB-A + Lightning  pour appareil photo</t>
  </si>
  <si>
    <t>MD826ZM/A</t>
  </si>
  <si>
    <t>Apple adaptateur Lightning vers HDMI (AV numérique)</t>
  </si>
  <si>
    <t>MD861ZM/A</t>
  </si>
  <si>
    <t>Apple câble Thunderbolt - Thunderbolt blanc 2 m</t>
  </si>
  <si>
    <t>MD862ZM/A</t>
  </si>
  <si>
    <t>Apple câble Thunderbolt - Thunderbolt blanc 0,5 m</t>
  </si>
  <si>
    <t>ME291ZM/A</t>
  </si>
  <si>
    <t>Apple câble Lightning vers USB 0,5 m (pour iPad Retina, iPad mini, iPhone 5, iPod touch 5G et iPod nano 7G)</t>
  </si>
  <si>
    <t>MJ1M2ZM/A</t>
  </si>
  <si>
    <t>Apple adaptateur USB-C - USB pour MacBook 12" &amp; MacBook Pro Thunderbolt 3</t>
  </si>
  <si>
    <t>MU7E2ZM/A</t>
  </si>
  <si>
    <t>Apple adaptateur USB-C vers mini-jack 3,5 mm pour iPad Pro 2018 et MacBook, MacBook Air 2018 MacBook Pro</t>
  </si>
  <si>
    <t>MUF82ZM/A</t>
  </si>
  <si>
    <t>Apple adaptateur multiport AV numérique - USB-C (1 port HDMI &amp; 1 port USB) pour iPad Pro 2018 et MacBook, MacBook Air 2018 MacBook Pro</t>
  </si>
  <si>
    <t>MJ1L2ZM/A</t>
  </si>
  <si>
    <t>Apple adaptateur multiport VGA - USB-C (1 port VGA &amp; 1 port USB)</t>
  </si>
  <si>
    <t>MJYT2ZM/A</t>
  </si>
  <si>
    <t>Apple adaptateur Lightning vers lecteur de carte SD</t>
  </si>
  <si>
    <t>MX0K2ZM/A</t>
  </si>
  <si>
    <t>Apple câble Lightning vers USB-C 1 m (pour iPad, iPhone et iPod à connecteur Lightning)</t>
  </si>
  <si>
    <t>MQGH2ZM/A</t>
  </si>
  <si>
    <t>Apple câble Lightning vers USB-C 2 m (pour iPad, iPhone et iPod à connecteur Lightning)</t>
  </si>
  <si>
    <t>MQ4H2ZM/A</t>
  </si>
  <si>
    <t>Apple câble Thunderbolt 3 (USB-C) 0,80 m</t>
  </si>
  <si>
    <t>MMEL2ZM/A</t>
  </si>
  <si>
    <t>Apple adaptateur Thunderbolt 3 (USB-C) vers Thunderbolt 2</t>
  </si>
  <si>
    <t>MUF82ZM/A  </t>
  </si>
  <si>
    <t>MD837ZM/A</t>
  </si>
  <si>
    <t>Apple kit de voyage - 7 fiches secteur pour adaptateur secteur Apple</t>
  </si>
  <si>
    <t>MD564Z/A</t>
  </si>
  <si>
    <t>Apple lecteur graveur SuperDrive (DVD±R DL/DVD±RW/CD-RW) externe USB 2</t>
  </si>
  <si>
    <t>MUFG2ZM/A</t>
  </si>
  <si>
    <t>Apple adaptateur USB-C vers lecteur de carte SD pour iPad Pro 2018 et MacBook, MacBook Air 2018 MacBook Pro</t>
  </si>
  <si>
    <t>Adaptateur secteurs</t>
  </si>
  <si>
    <t>MHJE3ZM/A</t>
  </si>
  <si>
    <t>Adaptateur secteur 20W USB-C pour iPad Pro (nécessite un câble UBS-C Lightning)</t>
  </si>
  <si>
    <t>MY1W2ZM/A</t>
  </si>
  <si>
    <t>Apple adaptateur secteur USB-C 30 W pour MacBook 12", MacBook Air 13" 2018 ou iPad Pro 10,5" iPad Pro 11" et iPad Pro 12,9"</t>
  </si>
  <si>
    <t>MNWP3ZM/A</t>
  </si>
  <si>
    <t xml:space="preserve">Adaptateur secteur double port USB-C 35 W </t>
  </si>
  <si>
    <t>MKU63ZM/A</t>
  </si>
  <si>
    <t>Adaptateur secteur 67W USB-C</t>
  </si>
  <si>
    <t>MX0J2ZM/A</t>
  </si>
  <si>
    <t>Adaptateur secteur 96W USB-C</t>
  </si>
  <si>
    <t>MK122Z/A</t>
  </si>
  <si>
    <t>Apple rallonge secteur pour adaptateur secteur</t>
  </si>
  <si>
    <t>MQKJ3ZM/A</t>
  </si>
  <si>
    <t>Apple câble de charge tissé USB‑C (1 m)</t>
  </si>
  <si>
    <t>MLL82ZM/A</t>
  </si>
  <si>
    <t>Apple câble de charge USB-C  (2m)</t>
  </si>
  <si>
    <t>F2CU029bt1M-BLK</t>
  </si>
  <si>
    <t>Belkin Belkin Câble USB-A vers USB-C 3.1 en 1m - noir</t>
  </si>
  <si>
    <t>BELKIN</t>
  </si>
  <si>
    <t>B2B139vf</t>
  </si>
  <si>
    <t>Belkin - Chargeur USB 10 ports (2,4 A, EU)</t>
  </si>
  <si>
    <t>WCH010vfWH</t>
  </si>
  <si>
    <t>Chargeur Belkin GaN 4 ports (108W) - Blanc</t>
  </si>
  <si>
    <t>ST-UC165GM-EU</t>
  </si>
  <si>
    <t>Satechi - Adaptateur secteur 165W - 2 x USB-C jusqu'à 100W et 2 x USB-C jusqu'à 60 W - Gris sidéral</t>
  </si>
  <si>
    <t>SATECHI</t>
  </si>
  <si>
    <t>ST-UC100WSM-EU</t>
  </si>
  <si>
    <t>Satechi - Adaptateur secteur GaN 100W USB-C PD - Gris sidéral</t>
  </si>
  <si>
    <t>AVC008btSGY</t>
  </si>
  <si>
    <t>Belkin Station d’accueil Hub USB-C, HDMI, RJ45, 2xUSB-A, 1 carte mémoire SD, 4K Ultra HD 100 W</t>
  </si>
  <si>
    <t>AVC006btSGY</t>
  </si>
  <si>
    <t>Belkin - Station d'accueil USB-C  4-en-1 (60W)</t>
  </si>
  <si>
    <t>INC004btSGY</t>
  </si>
  <si>
    <t>Belkin Station d’accueil USB-C multiport 11 en 1 - Carte mémoire SD, microSD, 2 x USB 3.1, RJ-45, DisplayPort, HDMI, USB 2.0, VGA, USB-C 3.0, jack 3,5 mm</t>
  </si>
  <si>
    <t>INC002vfBK</t>
  </si>
  <si>
    <t>Belkin Station d’accueil USB-C pour affichage double (1x USB-C PD avec Pass-Through 85W - 3x USB-A - 2 ports HDMI - 1x Gigabit Ethernet - 1 entrée / sortie audio)</t>
  </si>
  <si>
    <t>Etuis, coques, protections iPad</t>
  </si>
  <si>
    <t>MM6H3ZM/A</t>
  </si>
  <si>
    <r>
      <t xml:space="preserve">Apple Smart Folio pour iPad mini (6e gén.) - Blanc </t>
    </r>
    <r>
      <rPr>
        <sz val="10"/>
        <color theme="1"/>
        <rFont val="Calibri (Corps)"/>
      </rPr>
      <t>(existe aussi en coloris noir, lavande anglaise, orange éléctrique et cerise noire)</t>
    </r>
  </si>
  <si>
    <t>Apple Smart Folio pour iPad mini (6e gén.) - Blanc (existe aussi en coloris noir, lavande anglaise, orange éléctrique et cerise noire)</t>
  </si>
  <si>
    <t>MX4U2ZM/A</t>
  </si>
  <si>
    <t>Smart Cover pour iPad (7,8 et 9e gén., iPad Air 3e gén. et Pro 10,5") - noir (existe aussi en coloris lavande anglaise)</t>
  </si>
  <si>
    <t>30200000-2</t>
  </si>
  <si>
    <t>IA25</t>
  </si>
  <si>
    <t>MQDQ3ZM/A</t>
  </si>
  <si>
    <t>Apple Smart Folio pour iPad (10e gén.) - Blanc (existe aussi en coloris bleu ciel, pastèque et limonade)</t>
  </si>
  <si>
    <t>MH0A3ZM/A</t>
  </si>
  <si>
    <t>Apple Smart Folio pour iPad Air 10,9 (4 et 5e gén.) - Blanc (existe aussi en coloris noir, lavande anglaise, bleu marine, orange éléctrique et cerise noir)</t>
  </si>
  <si>
    <t>MJMA3ZM/A</t>
  </si>
  <si>
    <t>Apple Smart Folio pour iPad Pro 11" (1,2,3 et 4e gén.) - Blanc  (existe aussi en coloris noir, lavande anglaise et bleu marine)</t>
  </si>
  <si>
    <t>MJMH3ZM/A</t>
  </si>
  <si>
    <t>Apple Smart Folio pour iPad Pro 12,9" (3,4,5 et 6e gén.) - Blanc  (existe aussi en coloris noir, lavande anglaise et bleu marine)</t>
  </si>
  <si>
    <t>CSIE2155 Black</t>
  </si>
  <si>
    <t>Case Logic SnapView folio pour iPad mini 6 - noir</t>
  </si>
  <si>
    <t>THULE</t>
  </si>
  <si>
    <t>CSIE2253 Black</t>
  </si>
  <si>
    <t>Case Logic Snapview Folio pour Ipad 10''2 Noir avec porte stylet</t>
  </si>
  <si>
    <t>CSIE2153 Black</t>
  </si>
  <si>
    <t xml:space="preserve">Case Logic Snapview Folio pour Ipad 10''2 Noir  </t>
  </si>
  <si>
    <t xml:space="preserve">CSIE2254 Black </t>
  </si>
  <si>
    <t>Case Logic Snapview pour Ipad Air &amp; Pro 11 avec porte stylet</t>
  </si>
  <si>
    <t>053002</t>
  </si>
  <si>
    <t>Mobilis coque renforcée en TPU Protech pour Tab iPad 2019 10.2 '' - Trépied - Patte de saisie (ergonomique) - Porte-stylet - 1 Bandoulière incluse - Couleur noire</t>
  </si>
  <si>
    <t>MOBILIS</t>
  </si>
  <si>
    <t>048026</t>
  </si>
  <si>
    <t>Mobilis étui Folio Origine pour iPad Mini 5 (2019) / Mini 4 - Coque rigide noire - Accès à tous les ports, caractéristiques et fonctions - Fermeture aimantée -2 positions utilisation mode visionnage et clavier - Imitation cuir</t>
  </si>
  <si>
    <t>048027</t>
  </si>
  <si>
    <t>Mobilis étui Folio Origine pour iPad 2019 10.2 '' - Coque rigide noire - Accès à tous les ports, fonctionnalités et fonctions - Fermeture aimantée - 2 positions utilisation mode visionnage et clavier - Imitation cuir</t>
  </si>
  <si>
    <t>048043</t>
  </si>
  <si>
    <t>Mobilis étui Folio Origine pour iPad Air 4 10,9 '' 2020 - Coque rigide noire - Accès à tous les ports, fonctionnalités et fonctions - Fermeture aimantée - 2 positions utilisation mode visionnage et clavier -  Simili cuir</t>
  </si>
  <si>
    <t>048033</t>
  </si>
  <si>
    <t>Mobilis étui Origine Folio pour iPad 2019 10.2"'avec clavier Bluetooth français - Coque rigide noire - Accès à tous les ports, caractéristiques et fonctions - Fermeture aimantée - Simili cuir</t>
  </si>
  <si>
    <t>048025</t>
  </si>
  <si>
    <t>Mobilis étui Origine Folio Universel pour Tablette 10,2" iPad Air 10,9". iPad Pro 11 ''(5e gén) avec clavier Bluetooth Français - Coque rigide noire - Accès à tous les ports, fonctionnalités et fonctions - Fermeture aimantée - Simili cuir</t>
  </si>
  <si>
    <t>060001</t>
  </si>
  <si>
    <t xml:space="preserve">Mobilis étui folio (rabat noir et dos transparent) avec coins renforcés et porte-stylet pour iPad 2019 10.2 '' - Bumpers à chaque coins - Accès à tous les ports, fonctionnalités et fonctions - </t>
  </si>
  <si>
    <t>060006</t>
  </si>
  <si>
    <t xml:space="preserve">Mobilis étui folio (rabat noir et dos transparent) avec coins renforcés et porte-stylet pour iPad Air 4 2020 10.9 '' - Accès à tous les ports, fonctionnalités et fonctions - </t>
  </si>
  <si>
    <t>029020</t>
  </si>
  <si>
    <t>Mobilis coque folio noir C2 pour iPad 10,2 2019 - 2 positions: mode clavier et mode visionage - Sangle élastique - Porte-stylet - Finition cuir</t>
  </si>
  <si>
    <t>029025</t>
  </si>
  <si>
    <t>Mobilis coque folio noir C2 pour iPad Air 10,9 2020 - 2 positions: mode clavier et mode visionage - Sangle élastique - Porte-stylet - Finition cuir</t>
  </si>
  <si>
    <t>029026</t>
  </si>
  <si>
    <t>Mobilis coque folio noir C2 pour iPad Pro 12,9 2020 - 2 positions: mode clavier et mode visionage - Sangle élastique - Porte-stylet - Finition cuir</t>
  </si>
  <si>
    <t>010172</t>
  </si>
  <si>
    <t>Mobilis coque Jelly pour iPad Pro 11 '' - Couleur noire - Accès à tous les ports et fonctions - Bulk no pack</t>
  </si>
  <si>
    <t>010173</t>
  </si>
  <si>
    <t>Mobilis coque Jelly pour iPad Pro 12,9 '' - Couleur noire - Accès à tous les ports et fonctions - Bulk no pack</t>
  </si>
  <si>
    <t>048044</t>
  </si>
  <si>
    <t>Mobilis étui Folio Origine pour iPad Air 10,9 '' 2020 - Coque rigide rouge - Accès à tous les ports, fonctionnalités et fonctions - Fermeture aimantée - Simili cuir</t>
  </si>
  <si>
    <t>044003</t>
  </si>
  <si>
    <t>Mobilis support mural universel pour smartphone / tablette - SecureLock inclus - 2 adhésifs de rechange inclus</t>
  </si>
  <si>
    <t>MMC13UF</t>
  </si>
  <si>
    <t>Sleeve avec Mousse Mémoire de forme pour Macbook Pro 13/Macbook Air 13 - Noir</t>
  </si>
  <si>
    <t>URBAN FACTORY</t>
  </si>
  <si>
    <t>MMC14UF</t>
  </si>
  <si>
    <t>Sleeve avec Mousse Mémoire de forme pour Macbook Pro 14 - Noir</t>
  </si>
  <si>
    <t>MMC16UF</t>
  </si>
  <si>
    <t>Sleeve avec Mousse Mémoire de forme pour Macbook Pro 16 - Noir</t>
  </si>
  <si>
    <t>Apple TV</t>
  </si>
  <si>
    <t>MN873FD/A</t>
  </si>
  <si>
    <t>Apple TV 4K - Wi‑Fi - 64 Go</t>
  </si>
  <si>
    <t>MN893FD/A</t>
  </si>
  <si>
    <t>Apple TV 4K - Wi‑Fi + Ethernet - 128 Go</t>
  </si>
  <si>
    <t>MNC73Z/A</t>
  </si>
  <si>
    <t>Apple Siri Remote (3ème gén.) - Pour Apple TV 4K et HD</t>
  </si>
  <si>
    <t>Logiciels d'exploitation, de services et support</t>
  </si>
  <si>
    <t>D6105ZM/A</t>
  </si>
  <si>
    <t>Apple Remote Desktop 3 licence électronique monoposte</t>
  </si>
  <si>
    <t>Logiciels</t>
  </si>
  <si>
    <t>48219300-9</t>
  </si>
  <si>
    <t>IB02</t>
  </si>
  <si>
    <t>D6109ZM/A</t>
  </si>
  <si>
    <t>Apple Final Cut Pro X licence électronique monoposte</t>
  </si>
  <si>
    <t>D6110ZM/A</t>
  </si>
  <si>
    <t>Apple Motion licence électronique monoposte</t>
  </si>
  <si>
    <t>D6111ZM/A</t>
  </si>
  <si>
    <t>Apple Compressor licence électronique monoposte</t>
  </si>
  <si>
    <t>D6626ZM/A</t>
  </si>
  <si>
    <t>Apple Logic Pro X licence électronique monoposte</t>
  </si>
  <si>
    <t>D6627ZM/A</t>
  </si>
  <si>
    <t>Apple MainStage licence électronique monoposte</t>
  </si>
  <si>
    <t>Adaptateurs divers</t>
  </si>
  <si>
    <t>Apple adaptateur Lightning vers câble USB 3.0 pour appareil photo</t>
  </si>
  <si>
    <t>Accessoires portable</t>
  </si>
  <si>
    <t>MC747Z/A</t>
  </si>
  <si>
    <t>Adaptateur secteur 45W MagSafe pour MacBook Air</t>
  </si>
  <si>
    <t>MC556Z/B</t>
  </si>
  <si>
    <t>Adaptateur secteur 85W MagSafe pour MacBook Pro 15" &amp; 17"</t>
  </si>
  <si>
    <t>MC461Z/A</t>
  </si>
  <si>
    <t>Adaptateur secteur 60W MagSafe pour generation MacBook 13''  &amp; MacBook Pro 13"</t>
  </si>
  <si>
    <t>MD592Z/A</t>
  </si>
  <si>
    <t>Adaptateur secteur 45W MagSafe 2 pour MacBook Air</t>
  </si>
  <si>
    <t>MD565Z/A</t>
  </si>
  <si>
    <t>Adaptateur secteur 60W MagSafe 2 pour MacBook Pro 13" Retina</t>
  </si>
  <si>
    <t>MD506Z/A</t>
  </si>
  <si>
    <t>Adaptateur secteur 85W MagSafe 2 pour MacBook Pro 15" Retina</t>
  </si>
  <si>
    <t>Adaptateur secteur 67W USB-C pour MacBook Air, MacBook Pro 13“ et 14" M1</t>
  </si>
  <si>
    <t>Apple adaptateur secteur USB-C 96 W pour MacBook Pro 16"</t>
  </si>
  <si>
    <t>MLYU3ZM/A</t>
  </si>
  <si>
    <t>Apple adaptateur secteur USB-C 140 W pour MacBook Pro 16“</t>
  </si>
  <si>
    <t>MLYV3ZM/A</t>
  </si>
  <si>
    <t>Apple câble de charge USB-C vers Magsafe 3 (2 m)</t>
  </si>
  <si>
    <t>MM0A3ZM/A</t>
  </si>
  <si>
    <t>Apple câble de charge USB-C vers lightning (1m)</t>
  </si>
  <si>
    <t>MGN13ZM/A</t>
  </si>
  <si>
    <t>Adaptateur secteur 5W USB-A</t>
  </si>
  <si>
    <t>MGN03ZM/A</t>
  </si>
  <si>
    <t>Adaptateur secteur 12W USB-A</t>
  </si>
  <si>
    <t>MD504ZM/A</t>
  </si>
  <si>
    <t>Apple convertisseur MagSafe vers MagSafe 2</t>
  </si>
  <si>
    <t>MD463ZM/A</t>
  </si>
  <si>
    <t>Apple adaptateur Thunderbolt &lt;--&gt; Ethernet Gigabit 10/100/1000 BT</t>
  </si>
  <si>
    <t>MD464ZM/A</t>
  </si>
  <si>
    <t>Apple Adaptateur Thunderbolt &lt;--&gt; FireWire 800 (9 pins)</t>
  </si>
  <si>
    <t>MC704ZM/A</t>
  </si>
  <si>
    <t>Apple adaptateur USB &lt;--&gt; Ethernet 10/100 BT pour MacBook Air, MacBook Pro Retina</t>
  </si>
  <si>
    <t>C2G adaptateur Mini DisplayPort vers VGA - Thunderbolt (M) pour VGA (F) - 20 cm - noir</t>
  </si>
  <si>
    <t>C2G</t>
  </si>
  <si>
    <t>MDP2DPMM6</t>
  </si>
  <si>
    <t>Startech câble adaptateur Mini DisplayPort vers DisplayPort 1.2 de 1,8m - M/M</t>
  </si>
  <si>
    <t>STARTECH</t>
  </si>
  <si>
    <t>MDP2VGDVHDW</t>
  </si>
  <si>
    <t>Startech adaptateur vidéo Mini DisplayPort vers DVI &amp; VGA &amp; HDMI blanc</t>
  </si>
  <si>
    <t>CDP2MDP</t>
  </si>
  <si>
    <t>StarTech Adaptateur USB-C vers Mini DisplayPort 4K 60 Hz - Blanc</t>
  </si>
  <si>
    <t>Barrettes mémoire pour stations fixes ancienne génération</t>
  </si>
  <si>
    <t>iMac Mi 2017</t>
  </si>
  <si>
    <t>S/AP-IM424S4G</t>
  </si>
  <si>
    <t>Carte 4 Go SDRAM DDR4 à 2 400 MHz So-DIMM pour iMac 27" Retina 5K mi 2017</t>
  </si>
  <si>
    <t>SQP</t>
  </si>
  <si>
    <t>S/AP-IM424S8G</t>
  </si>
  <si>
    <t>Carte 8 Go SDRAM DDR4 à 2 400 MHz So-DIMM pour iMac 27" Retina 5K mi 2017</t>
  </si>
  <si>
    <t>S/AP-IM424S16G</t>
  </si>
  <si>
    <t>Carte 16 Go SDRAM DDR4 à 2 400 MHz So-DIMM pour iMac 27" Retina 5K mi 2017</t>
  </si>
  <si>
    <t>iMac Mi 2020</t>
  </si>
  <si>
    <t>S/AP-IM426S8G</t>
  </si>
  <si>
    <t>Carte 8 Go SDRAM DDR4 à 2 666 MHz So-DIMM pour iMac 27" Retina 5K (03 2019)</t>
  </si>
  <si>
    <t>S/AP-IM426S16G</t>
  </si>
  <si>
    <t>Carte 16 Go SDRAM DDR4 à 2 666 MHz So-DIMM pour iMac 27" Retina 5K (03 2019)</t>
  </si>
  <si>
    <t>S/AP-IM426S32G</t>
  </si>
  <si>
    <t>Carte 32 Go SDRAM DDR4 à 2 666 MHz So-DIMM pour iMac 27" Retina 5K (03 2019)</t>
  </si>
  <si>
    <t>Mac Pro 2010 à Mi 2012</t>
  </si>
  <si>
    <t>S/AP-MP313F4G</t>
  </si>
  <si>
    <t>Module mémoire 4 Go DDR3 Dimm 1333 MHz pour Mac Pro Xeon hexacœur ou dodécacœur (06-2012 et 08-2010)
Garantie: 10 ans</t>
  </si>
  <si>
    <t>S/AP-MP313F8G</t>
  </si>
  <si>
    <t>Module mémoire 8 Go DDR3 ECC 1333 MHz pour Mac Pro Xeon hexacœur ou dodécacœur (06-2012 et 08-2010)</t>
  </si>
  <si>
    <t>S/AP-MP313F16G</t>
  </si>
  <si>
    <t>Module mémoire 16 Go DDR3 ECC 1333 MHz pour Mac Pro Xeon hexacœur ou dodécacœur (08-2010)</t>
  </si>
  <si>
    <t>Accessoires autres marques</t>
  </si>
  <si>
    <t>ADP4B</t>
  </si>
  <si>
    <t>Adonit Jot Pro 4 - stylet pointe fine avec embout amortisseur de précision et capuchon magnétique - noir</t>
  </si>
  <si>
    <t>ADONIT</t>
  </si>
  <si>
    <t>ADN2</t>
  </si>
  <si>
    <t>Adonit stylet Note 2 noir – aluminium – chargement USB-C - Fonctionnalité Palm Rejection native - Étanche à la poussière et à l'eau - Veille prolongée - Embout remplaçable</t>
  </si>
  <si>
    <t>PMH63VT-FR</t>
  </si>
  <si>
    <t xml:space="preserve">APC SurgeArrest multiprise 230 V parafoudre 6 prises </t>
  </si>
  <si>
    <t>APC</t>
  </si>
  <si>
    <t>BE325-FR</t>
  </si>
  <si>
    <t xml:space="preserve">APC onduleur Back-UPS ES 325VA / 185W - 4 connecteurs standard </t>
  </si>
  <si>
    <t>BK500EI</t>
  </si>
  <si>
    <t>APC onduleur Back-UPS CS 500VA - 300 W (nécessite un câble AP9870 par périphérique branché)</t>
  </si>
  <si>
    <t>AP9870</t>
  </si>
  <si>
    <t>APC câble alimentation IEC 320 C13 femelle &lt;--&gt; IEC 320 C14 male 2,4 m</t>
  </si>
  <si>
    <t>INC001btBK</t>
  </si>
  <si>
    <t>Belkin - Adaptateur USB-C vers ETHERNET + recharge 60W</t>
  </si>
  <si>
    <t>AVC002btBK</t>
  </si>
  <si>
    <t>Belkin - Adaptateur USB-C vers HDMI 4K + recharge 60W</t>
  </si>
  <si>
    <t>F2CD079BT</t>
  </si>
  <si>
    <t>Belkin adaptateur vidéo 4K Mini DisplayPort vers HDMI avec audio - noir</t>
  </si>
  <si>
    <t>AVC003btBK</t>
  </si>
  <si>
    <t>Belkin adaptateur vidéo USB-C UNIVERSEL (VGA, DVI, HDMI et DISPLAY PORT)</t>
  </si>
  <si>
    <t>AV10175BT2M-BLK</t>
  </si>
  <si>
    <t>Belkin câble HDMI 4K ultra haute vitesse - HDR et Dolby Vision -  2 m - noir</t>
  </si>
  <si>
    <t>AV10168BT2M-BLK</t>
  </si>
  <si>
    <t>Belkin câble HDMI Ultra HD 2 m - noir</t>
  </si>
  <si>
    <t>F4U110bt</t>
  </si>
  <si>
    <t>Belkin Station d'accueil Thunderbolt 3 Dock Core avec Câble Thunderbolt 3 (Double Affichage 4K à 60 Hz, Transfert de Données de 40 Gbit/s, Puissance de Sortie de 60 W)</t>
  </si>
  <si>
    <t>F4U109vf</t>
  </si>
  <si>
    <t>Belkin Thunderbolt 3 Dock Plus - station d'accueil Thunderbolt 3 (2 ports DisplayPort - 3 ports USB-A 3.0 - 2 ports USB-C - 1 port Gigabit Ethernet - 1 port audio)</t>
  </si>
  <si>
    <t>F4U097vf</t>
  </si>
  <si>
    <t>Belkin Thunderbolt 3 Dock Pro - station d'accueil Thunderbolt 3 (2 ports Thunderbolt 3 - 1 port USB-C - 1 Gigabit Ethernet - 4 USB 3.0 - 1 DisplayPort - lecteur carte SD - port audio / micro stéréo)</t>
  </si>
  <si>
    <t>INC006vfSGY</t>
  </si>
  <si>
    <t>Belkin Thunderbolt 4 Dock Pro - 90W (2 ports Thunderbolt 4 - 1 port USB-C - 1 Gigabit Ethernet - 2 USB-A 3.1- 2 USB-A 2.0 - 2 HDMI - lecteur carte SD - 1 port audio / micro stéréo)</t>
  </si>
  <si>
    <t>INC007VFBK</t>
  </si>
  <si>
    <t>Belkin Station d'accueil USB-C - Display Link - Jusqu'à 3 écran 4K - 85W - (2 ports USB-C - 1 Gigabit Ethernet - 5 ports USB-A 3.0 - 3 HDMI ou 2 Displayport - 1 port audio - 1 port micro stéréo)</t>
  </si>
  <si>
    <t>SDCS2/32GB</t>
  </si>
  <si>
    <t>Cartes mémoires Kingston Canvas Select Plus 32 Go</t>
  </si>
  <si>
    <t>KINGSTON</t>
  </si>
  <si>
    <t>SDCS2/64GB</t>
  </si>
  <si>
    <t xml:space="preserve">Cartes mémoires Kingston Canvas Select Plus 64 Go </t>
  </si>
  <si>
    <t>SDCS2/128GB</t>
  </si>
  <si>
    <t>Cartes mémoires Kingston Canvas Select Plus 128 Go</t>
  </si>
  <si>
    <t>SDCS2/256GB</t>
  </si>
  <si>
    <t xml:space="preserve">Cartes mémoires Kingston Canvas Select Plus 256 Go </t>
  </si>
  <si>
    <t>DT100G3/64GB</t>
  </si>
  <si>
    <t>Clé USB Kingston DataTraveler 100 G3 64 Go</t>
  </si>
  <si>
    <t>DT100G3/128GB</t>
  </si>
  <si>
    <t>Clé USB Kingston DataTraveler 100 G3 128 Go</t>
  </si>
  <si>
    <t>DT100G3/256GB</t>
  </si>
  <si>
    <t>Clé USB Kingston DataTraveler 100 G3 256 Go</t>
  </si>
  <si>
    <t>Clé USB Verbatim PinStripe USB Drive 8 Go</t>
  </si>
  <si>
    <t>VERBATIM</t>
  </si>
  <si>
    <t>Clé USB Verbatim PinStripe USB Drive 16 Go</t>
  </si>
  <si>
    <t>JK-1610FR-1</t>
  </si>
  <si>
    <t>Cherry clavier KC 6000 SLIM FOR MAC USB Français commutateur : CHERRY SX argent</t>
  </si>
  <si>
    <t>CHERRY</t>
  </si>
  <si>
    <t>JM-0800-0</t>
  </si>
  <si>
    <t>Cherry MC 1000 White Mouse 1200dpi - Souris filaire optique 3 boutons 1200 dpi ambidextre blanc usb</t>
  </si>
  <si>
    <t>D31591</t>
  </si>
  <si>
    <t>Dicota Secret 2-Way filtre de confidentialité magnétique pour MacBook Pro 13" Thunderbolt 3 et Touch Bar</t>
  </si>
  <si>
    <t>DICOTA</t>
  </si>
  <si>
    <t>D31275</t>
  </si>
  <si>
    <t>Dicota Secret 2-Way protection d'écran filtre de confidentialité pour iMac 21,5'' Retina</t>
  </si>
  <si>
    <t>D31276</t>
  </si>
  <si>
    <t>Dicota Secret 2-Way protection d'écran filtre de confidentialité pour iMac 27'' Retina</t>
  </si>
  <si>
    <t>D31399</t>
  </si>
  <si>
    <t>Dicota Secret 4-Way filtre de confidentialité adhésif pour iPad Air 10,5" ou iPad Pro 10,5"</t>
  </si>
  <si>
    <t>D70091</t>
  </si>
  <si>
    <t>Dicota Secret 4-Way filtre de confidentialité adhésif pour iPad Pro 11" 2018</t>
  </si>
  <si>
    <t>D70090</t>
  </si>
  <si>
    <t>Dicota Secret 4-Way filtre de confidentialité adhésif pour iPad Pro 12,9" 2018</t>
  </si>
  <si>
    <t>D31159</t>
  </si>
  <si>
    <t>Dicota Secret 4-Way filtre de confidentialité adhésif pour iPad Pro 12,9" 2017</t>
  </si>
  <si>
    <t xml:space="preserve">Epos Micro-casque filaire duo jack 3,5 mm et USB-A </t>
  </si>
  <si>
    <t>EPOS</t>
  </si>
  <si>
    <t>Epos Micro-casque filaire duo prise jack 3,5 mm et USB-A, micro ultra anti-bruit, garantie 3 ans</t>
  </si>
  <si>
    <t xml:space="preserve">Epos Micro-casque duo Bluetooth, ANC, dongle USB Bluetooth, câble USB-C, câble jack </t>
  </si>
  <si>
    <t>45-241-224</t>
  </si>
  <si>
    <t>Ergotron Bras LX, simple écran, fixation bureau, noir mat (existe en coloris blanc)</t>
  </si>
  <si>
    <t>ERGOTRON</t>
  </si>
  <si>
    <t>45-245-224</t>
  </si>
  <si>
    <t>Ergotron Bras LX bi-écrans juxtaposés, fixation bureau, noir mat - pour 2 ecrans jusque 27 pouces (existe en coloris blanc)</t>
  </si>
  <si>
    <t>45-509-216</t>
  </si>
  <si>
    <t>Ergotron Bras LX bi-écrans superposés colonne haute, fixation bureau, blanc - supporte jusque 2 écrans 40 pouces</t>
  </si>
  <si>
    <t>33-406-085</t>
  </si>
  <si>
    <t>Ergotron Bureau assis debout Work Fit TL à poser - noir  (existe en coloris blanc)</t>
  </si>
  <si>
    <t xml:space="preserve">Evoluent Vertical Mouse 3 - droitier </t>
  </si>
  <si>
    <t>EVOLUENT</t>
  </si>
  <si>
    <t xml:space="preserve">Evoluent Vertical Mouse 4 - droitier </t>
  </si>
  <si>
    <t>Evoluent Vertical Mouse 4 - gaucher</t>
  </si>
  <si>
    <t>Evoluent Vertical Mouse 4 bluetooth - droitier</t>
  </si>
  <si>
    <t>PFNAP002</t>
  </si>
  <si>
    <t xml:space="preserve">Filtre de confidentialité 3M pour Apple MacBook Air 13" </t>
  </si>
  <si>
    <t>3M</t>
  </si>
  <si>
    <t>PFNAP010</t>
  </si>
  <si>
    <t>Filtre de confidentialité 3M pour Apple MacBook Pro 16"</t>
  </si>
  <si>
    <t>HCMAP001</t>
  </si>
  <si>
    <t>Filtre de confidentialité High Clarity 3M pour Apple iMac 21,5“"</t>
  </si>
  <si>
    <t>HCMAP002</t>
  </si>
  <si>
    <t>Filtre de confidentialité High Clarity 3M pour Apple iMac 27" et iMac Pro 27“</t>
  </si>
  <si>
    <t>PFTAP003</t>
  </si>
  <si>
    <t xml:space="preserve">Filtre de confidentialité 3M pour Apple iPad mini 5 Portrait </t>
  </si>
  <si>
    <t>PFTAP012</t>
  </si>
  <si>
    <t>Filtre de confidentialité 3M pour Apple iPad 10,2“ Portrait</t>
  </si>
  <si>
    <t>PFTAP009</t>
  </si>
  <si>
    <t>Filtre de confidentialité pour écran (paysage) pour iPad Pro 11“</t>
  </si>
  <si>
    <t>PFTAP010</t>
  </si>
  <si>
    <t>Filtre de confidentialité pour écran (paysage) pour iPad Pro 12,9“</t>
  </si>
  <si>
    <t>INMB200615-CLR</t>
  </si>
  <si>
    <t>Incase Hardshell coque de protection transparente pour MacBook Air 13" (USB-C) (2020)</t>
  </si>
  <si>
    <t>INCASE</t>
  </si>
  <si>
    <t>INMB200629-CLR </t>
  </si>
  <si>
    <t>Incase Hardshell coque de protection transparente pour MacBook Pro 13" (USB-C) (2020)</t>
  </si>
  <si>
    <t xml:space="preserve">INMB200719-CLR  </t>
  </si>
  <si>
    <t>Incase Hardshell coque de protection pour MacBook Pro 14" 2021 - Transparent mat</t>
  </si>
  <si>
    <t>INMB200719-BLK</t>
  </si>
  <si>
    <t>Incase Hardshell coque de protection pour MacBook Pro 14" 2021 - Noir</t>
  </si>
  <si>
    <t>INMB200722-CLR</t>
  </si>
  <si>
    <t>Incase Hardshell coque de protection pour MacBook Pro 16" 2021 - Transparent mat</t>
  </si>
  <si>
    <t>INMB200722-BLK</t>
  </si>
  <si>
    <t>Incase Hardshell coque de protection pour MacBook Pro 16" 2021 - Noir</t>
  </si>
  <si>
    <t>INMB200679-CLR</t>
  </si>
  <si>
    <t>Incase Hardshell coque de protection transparente pour MacBook Pro 16“ 2019</t>
  </si>
  <si>
    <t>JBLGO3BLK</t>
  </si>
  <si>
    <t>JBL Go 3 noir (Bluetooth - fonction kit main libre - autonomie 5h - IP67 - USB-C)</t>
  </si>
  <si>
    <t>JBL</t>
  </si>
  <si>
    <t>JBLT500BLK</t>
  </si>
  <si>
    <t>JBL casque Tune 500 noir (casque filaire supra auriculaire - microphone intégré - connecteur audio 3,5 mm)</t>
  </si>
  <si>
    <t>JBLT510BTBLKEU</t>
  </si>
  <si>
    <t>JBL casque Tune 510 BT sans fil noir (casque sans fil Bluetooth supra auriculaire - microphone intégré)</t>
  </si>
  <si>
    <t>JBLT500BTBLK</t>
  </si>
  <si>
    <t>JBLLIVE460NCBLK</t>
  </si>
  <si>
    <t>JBL casque sans fil 460NC noir - forme arceau supra auriculaire – prise jack 3,5mm – connecteur USB Type C- Garantie 2 ans</t>
  </si>
  <si>
    <t>JBLFLIP6BLK</t>
  </si>
  <si>
    <t>JBL Flip 6 - Enceinte sans fil Bluetooth - Étanche à l’eau et la poussière IP67 - 12 h d’autonomie</t>
  </si>
  <si>
    <t>K72426EU</t>
  </si>
  <si>
    <t>Kensington Presenter Expert</t>
  </si>
  <si>
    <t>KENSINGTON</t>
  </si>
  <si>
    <t>K33820WW</t>
  </si>
  <si>
    <t>Kensington Station d’accueil mobile UH1400P USB-C 8 en 1 (1 HDMI 2.0 + 1 GigaBit Ethernet + 1 USB-C + 3 USB 3.2 type A + 1 USB 3.2 type C + micro SD)</t>
  </si>
  <si>
    <t>K34009EU</t>
  </si>
  <si>
    <t>Kensington station d’accueil SD5600T Thunderbolt 3 USB-C avec 2 sorties 4K alimentation 100W - Win/Mac</t>
  </si>
  <si>
    <t>K39122EU</t>
  </si>
  <si>
    <t>Kensington UH4000C hub UBS 3.0 4 ports</t>
  </si>
  <si>
    <t>K67822WW</t>
  </si>
  <si>
    <t>Kensington SafeStand à clé - Kit de sécurité pour Apple iMac</t>
  </si>
  <si>
    <t>K64453WW</t>
  </si>
  <si>
    <t>Kensington station de verrouillage 2.0 avec kit antivol MicroSaver 2.0 à clé (compatible tout portable de 12" à 16")</t>
  </si>
  <si>
    <t>STFR1000800</t>
  </si>
  <si>
    <t>LaCie Rugged USB-C - Disque dur - 1 To - externe (portable) - USB 3.1 Gen 1 (USB-C connecteur)</t>
  </si>
  <si>
    <t>LACIE</t>
  </si>
  <si>
    <t>STFR2000800</t>
  </si>
  <si>
    <t>LaCie Rugged USB-C - Disque dur - 2 To - externe (portable) - USB 3.1 Gen 1 (USB-C connecteur)</t>
  </si>
  <si>
    <t>STFR4000800</t>
  </si>
  <si>
    <t>LaCie Rugged USB-C - Disque dur - 4 To - externe (portable) - USB 3.1 Gen 1 (USB-C connecteur) - orange</t>
  </si>
  <si>
    <t>STFR5000800</t>
  </si>
  <si>
    <t>LaCie Rugged USB-C STFR5000800 - Disque dur - 5 To - externe (portable) - USB 3.1 Gen 1 (USB-C connecteur) - avec 2 ans Rescue Data Recovery Service Plan</t>
  </si>
  <si>
    <t>STFR2000403</t>
  </si>
  <si>
    <t>LaCie Rugged Secure STFR2000403 - Disque dur - chiffré - 2 To - externe (portable) - USB 3.1 Gen 1 (USB-C connecteur) - AES 256 bits - avec 2 ans Rescue Data Recovery Service Plan</t>
  </si>
  <si>
    <t>STGW4000800</t>
  </si>
  <si>
    <t>LaCie Rugged RAID PRO STGW4000800 - Baie de disques - 4 To - 2 Baies - HDD 2 To x 2 - USB 3.1 (externe) - avec 3 years Rescue Data Recovery Service Plan</t>
  </si>
  <si>
    <t>LaCie Rugged Mini - Disque dur - 2 To - externe (portable) - USB 3.0</t>
  </si>
  <si>
    <t>STLG16000400</t>
  </si>
  <si>
    <t>LaCie 2big Dock V2 16 To - Baie de stockage externe (2 Baies) - RAID 0, 1 ou JBOD - Thunderbolt 3</t>
  </si>
  <si>
    <t>STLG20000400</t>
  </si>
  <si>
    <t>LaCie 2big Dock V2 20 To - Baie de stockage externe (2 Baies) - RAID 0, 1 ou JBOD - Thunderbolt 3</t>
  </si>
  <si>
    <t>STLG28000400</t>
  </si>
  <si>
    <t>LaCie 2big Dock V2 28 To - Baie de stockage externe (2 Baies) - RAID 0, 1 ou JBOD - Thunderbolt 3</t>
  </si>
  <si>
    <t>STLG32000400</t>
  </si>
  <si>
    <t>LaCie 2big Dock V2 32 To - Baie de stockage externe (2 Baies) - RAID 0, 1 ou JBOD - Thunderbolt 3</t>
  </si>
  <si>
    <t>STLG36000400</t>
  </si>
  <si>
    <t>LaCie 2big Dock V2 36 To - Baie de stockage externe (2 Baies) - RAID 0, 1 ou JBOD - Thunderbolt 3</t>
  </si>
  <si>
    <t>STLG40000400</t>
  </si>
  <si>
    <t>LaCie 2big Dock V2 40 To - Baie de stockage externe (2 Baies) - RAID 0, 1 ou JBOD - Thunderbolt 3</t>
  </si>
  <si>
    <t>STKS500400</t>
  </si>
  <si>
    <t>LaCie Portable SSD v.2 - 500 Go - externe (portable) - USB 3.1 Gen 2 (USB-C connecteur)</t>
  </si>
  <si>
    <t>STKS1000400</t>
  </si>
  <si>
    <t>LaCie Portable SSD v.2 - 1To - externe (portable) - USB 3.1 Gen 2 (USB-C connecteur)</t>
  </si>
  <si>
    <t>STKS2000400</t>
  </si>
  <si>
    <t>LaCie Portable SSD v.2 - 2 To - externe (portable) - USB 3.1 Gen 2 (USB-C connecteur)</t>
  </si>
  <si>
    <t>STHA6000800</t>
  </si>
  <si>
    <t>LaCie d2 Professional 6 To - Disque dur externe de bureau - USB-C 3.1 - Jusqu'à 290 Mo/s - Rescue Data Recovery (Services de récupération des données)</t>
  </si>
  <si>
    <t>STHA8000800</t>
  </si>
  <si>
    <t>LaCie d2 Professional 8 To - Disque dur externe de bureau - USB-C 3.1 - Jusqu'à 290 Mo/s - Rescue Data Recovery (Services de récupération des données)</t>
  </si>
  <si>
    <t>STHA10000800</t>
  </si>
  <si>
    <t>LaCie d2 Professional 10 To - Disque dur externe de bureau - USB-C 3.1 - Jusqu'à 290 Mo/s - Rescue Data Recovery (Services de récupération des données)</t>
  </si>
  <si>
    <t>STHR500800</t>
  </si>
  <si>
    <t>LaCie Rugged SSD 500 Go  - SSD externe portable  - USB-C 3.2 Gen2 - Jusqu'à 1050 Mo/s - Étanche IP67 - Seagate Secure (autochiffrement) - Orange</t>
  </si>
  <si>
    <t>STHR1000800</t>
  </si>
  <si>
    <t>LaCie Rugged SSD 1 To  - SSD externe portable  - USB-C 3.2 Gen2 - Jusqu'à 1050 Mo/s - Étanche IP67 - Seagate Secure (autochiffrement) - Orange</t>
  </si>
  <si>
    <t>STHR2000800</t>
  </si>
  <si>
    <t>LaCie Rugged SSD 2 To  - SSD externe portable  - USB-C 3.2 Gen2 - Jusqu'à 1050 Mo/s - Étanche IP67 - Seagate Secure (autochiffrement) - Orange</t>
  </si>
  <si>
    <t>STHZ1000800</t>
  </si>
  <si>
    <t>LaCie Rugged SSD Pro 1 To  - SSD externe portable  - Thunderbolt 3 - Jusqu'à 2 800 Mo/s - Étanche IP67 - Noir</t>
  </si>
  <si>
    <t>STHZ2000800</t>
  </si>
  <si>
    <t>LaCie Rugged SSD Pro 2 To  - SSD externe portable  - Thunderbolt 3 - Jusqu'à 2 800 Mo/s - Étanche IP67 - Noir</t>
  </si>
  <si>
    <t>STLP1000400</t>
  </si>
  <si>
    <t>LaCie Mobile Drive V2 1 To - Disque dur externe portable - USB-C  3.1 - Argent</t>
  </si>
  <si>
    <t>STLP2000400</t>
  </si>
  <si>
    <t>LaCie Mobile Drive V2 2 To - Disque dur externe portable - USB-C  3.1 - Argent</t>
  </si>
  <si>
    <t xml:space="preserve">STLP4000400 </t>
  </si>
  <si>
    <t>LaCie Mobile Drive V2 4 To - Disque dur externe portable - USB-C  3.1 - Argent</t>
  </si>
  <si>
    <t>STLP5000400</t>
  </si>
  <si>
    <t>LaCie Mobile Drive V2 5 To - Disque dur externe portable - USB-C  3.1 - Argent</t>
  </si>
  <si>
    <t>STKP6000400</t>
  </si>
  <si>
    <r>
      <t xml:space="preserve">Seagate Expansion Desktop </t>
    </r>
    <r>
      <rPr>
        <sz val="10"/>
        <color theme="1"/>
        <rFont val="Calibri (Corps)"/>
      </rPr>
      <t>STKP6000400</t>
    </r>
    <r>
      <rPr>
        <sz val="10"/>
        <color theme="1"/>
        <rFont val="Calibri"/>
        <family val="2"/>
        <scheme val="minor"/>
      </rPr>
      <t xml:space="preserve"> - Disque dur - 6 To - externe (de bureau) - USB 3.0</t>
    </r>
  </si>
  <si>
    <t>Seagate Expansion Desktop STKP6000400 - Disque dur - 6 To - externe (de bureau) - USB 3.0</t>
  </si>
  <si>
    <t>STKP8000400</t>
  </si>
  <si>
    <r>
      <t xml:space="preserve">Seagate Expansion Desktop </t>
    </r>
    <r>
      <rPr>
        <sz val="10"/>
        <color theme="1"/>
        <rFont val="Calibri (Corps)"/>
      </rPr>
      <t>STKP8000400</t>
    </r>
    <r>
      <rPr>
        <sz val="10"/>
        <color theme="1"/>
        <rFont val="Calibri"/>
        <family val="2"/>
        <scheme val="minor"/>
      </rPr>
      <t xml:space="preserve"> - Disque dur - 8 To - externe (de bureau) - USB 3.0</t>
    </r>
  </si>
  <si>
    <t>Seagate Expansion Desktop STKP8000400 - Disque dur - 8 To - externe (de bureau) - USB 3.0</t>
  </si>
  <si>
    <t>STKP10000400</t>
  </si>
  <si>
    <r>
      <t xml:space="preserve">Seagate Expansion Desktop </t>
    </r>
    <r>
      <rPr>
        <sz val="10"/>
        <color theme="1"/>
        <rFont val="Calibri (Corps)"/>
      </rPr>
      <t>STKP10000400</t>
    </r>
    <r>
      <rPr>
        <sz val="10"/>
        <color theme="1"/>
        <rFont val="Calibri"/>
        <family val="2"/>
        <scheme val="minor"/>
      </rPr>
      <t xml:space="preserve"> - Disque dur - 10 To - externe (de bureau) - USB 3.0 - noir</t>
    </r>
  </si>
  <si>
    <t>Seagate Expansion Desktop STKP10000400 - Disque dur - 10 To - externe (de bureau) - USB 3.0 - noir</t>
  </si>
  <si>
    <t>STKM1000400</t>
  </si>
  <si>
    <r>
      <t xml:space="preserve">Seagate Expansion </t>
    </r>
    <r>
      <rPr>
        <sz val="10"/>
        <color theme="1"/>
        <rFont val="Calibri (Corps)"/>
      </rPr>
      <t>STKM1000400</t>
    </r>
    <r>
      <rPr>
        <sz val="10"/>
        <color theme="1"/>
        <rFont val="Calibri"/>
        <family val="2"/>
        <scheme val="minor"/>
      </rPr>
      <t xml:space="preserve"> - Disque dur - 1 To - externe (portable) - USB 3.0</t>
    </r>
  </si>
  <si>
    <t>Seagate Expansion STKM1000400 - Disque dur - 1 To - externe (portable) - USB 3.0</t>
  </si>
  <si>
    <t>STKM2000400</t>
  </si>
  <si>
    <r>
      <t xml:space="preserve">Seagate Expansion </t>
    </r>
    <r>
      <rPr>
        <sz val="10"/>
        <color theme="1"/>
        <rFont val="Calibri (Corps)"/>
      </rPr>
      <t>STKM2000400</t>
    </r>
    <r>
      <rPr>
        <sz val="10"/>
        <color theme="1"/>
        <rFont val="Calibri"/>
        <family val="2"/>
        <scheme val="minor"/>
      </rPr>
      <t xml:space="preserve"> - Disque dur - 2 To - externe (portable) - USB 3.0</t>
    </r>
  </si>
  <si>
    <t>Seagate Expansion STKM2000400 - Disque dur - 2 To - externe (portable) - USB 3.0</t>
  </si>
  <si>
    <t>STKM4000400</t>
  </si>
  <si>
    <r>
      <t xml:space="preserve">Seagate Expansion </t>
    </r>
    <r>
      <rPr>
        <sz val="10"/>
        <color theme="1"/>
        <rFont val="Calibri (Corps)"/>
      </rPr>
      <t>STKM4000400</t>
    </r>
    <r>
      <rPr>
        <sz val="10"/>
        <color theme="1"/>
        <rFont val="Calibri"/>
        <family val="2"/>
        <scheme val="minor"/>
      </rPr>
      <t xml:space="preserve"> - Disque dur - 4 To - externe (portable) - 2.5' - USB 3.0</t>
    </r>
  </si>
  <si>
    <t>Seagate Expansion STKM4000400 - Disque dur - 4 To - externe (portable) - 2.5' - USB 3.0</t>
  </si>
  <si>
    <t>STKM5000400</t>
  </si>
  <si>
    <r>
      <t xml:space="preserve">Seagate Expansion </t>
    </r>
    <r>
      <rPr>
        <sz val="10"/>
        <color theme="1"/>
        <rFont val="Calibri (Corps)"/>
      </rPr>
      <t xml:space="preserve">STKM5000400 </t>
    </r>
    <r>
      <rPr>
        <sz val="10"/>
        <color theme="1"/>
        <rFont val="Calibri"/>
        <family val="2"/>
        <scheme val="minor"/>
      </rPr>
      <t>- Disque dur - 5 To - externe (portable) - USB 3.0 - noir</t>
    </r>
  </si>
  <si>
    <t>Seagate Expansion STKM5000400 - Disque dur - 5 To - externe (portable) - USB 3.0 - noir</t>
  </si>
  <si>
    <t>STHH1000400</t>
  </si>
  <si>
    <t>Seagate Backup Plus Ultra Touch STHH1000400 - Disque dur - chiffré - 1 To - externe (portable) - USB 3.0 - AES 256 bits - noir</t>
  </si>
  <si>
    <t>WDBMUT0040JWT-EESN</t>
  </si>
  <si>
    <t>Western Digital My Cloud Home Duo - Dispositif de stockage personnel dans le nuage - 4 To - HDD 2 To x 2 - Gigabit Ethernet</t>
  </si>
  <si>
    <t>WESTERN DIGITAL</t>
  </si>
  <si>
    <t>910-004913</t>
  </si>
  <si>
    <t>Logitech souris B330 optique sans fil</t>
  </si>
  <si>
    <t>910-004861</t>
  </si>
  <si>
    <t>Logitech Spotlight</t>
  </si>
  <si>
    <t>980-000814</t>
  </si>
  <si>
    <t>Logitech Kit enceintes 2.0 Z150 - noir</t>
  </si>
  <si>
    <t>980-000010</t>
  </si>
  <si>
    <t>Logitech Kit enceintes 2.0 S120 - noir</t>
  </si>
  <si>
    <t>980-001202</t>
  </si>
  <si>
    <t>Logitech Kit enceintes 2.1 Z333 - noir</t>
  </si>
  <si>
    <t>980-001054</t>
  </si>
  <si>
    <t>Logitech Kit enceintes 2.1 Z533 - noir</t>
  </si>
  <si>
    <t>981-000519</t>
  </si>
  <si>
    <t>Logitech casque microphone Headset stéréo H650e - filaire - Plug &amp; Play USB</t>
  </si>
  <si>
    <t>MBALDG03</t>
  </si>
  <si>
    <t>MacLocks The Ledge - Adaptateur antivol pour MacBook Air 13“ M1 et Intel fin-2018 à fin-2020</t>
  </si>
  <si>
    <t>MACLOCKS</t>
  </si>
  <si>
    <t>MBALDG03KL</t>
  </si>
  <si>
    <t>MacLocks The Ledge - Adaptateur antivol pour MacBook Air 13“ M1 et Intel fin-2018 à fin-2020 + câble de sécurité à clé</t>
  </si>
  <si>
    <t>MBALDG03CL</t>
  </si>
  <si>
    <t>MacLocks The Ledge - Adaptateur antivol pour MacBook Air 13“ M1 et Intel fin-2018 à fin-2020 + câble de sécurité à code</t>
  </si>
  <si>
    <t>MBALDG01CL</t>
  </si>
  <si>
    <t>UNVMBPRLDG01KL</t>
  </si>
  <si>
    <t>MacLocks The Ledge - Adaptateur antivol pour MacBook Pro 13 M1 et M2 + câble de sécurité à clé</t>
  </si>
  <si>
    <t>MBPRLDGTB01KL</t>
  </si>
  <si>
    <t>MacLocks The Ledge - Adaptateur antivol pour MacBook Pro 13" et 15" Touch Bar 4 port Thunderbolt + câble de sécurité à clé</t>
  </si>
  <si>
    <t>MBPRLDGTB01CL</t>
  </si>
  <si>
    <t>MacLocks The Ledge - Adaptateur antivol pour MacBook Pro 13" et 15" Touch Bar 4 port Thunderbolt + câble de sécurité à code</t>
  </si>
  <si>
    <t>MMEN76</t>
  </si>
  <si>
    <t>MacLocks - Support VESA (75 x 75 - 100 x 100)  antivol pour Mac mini M1 et Intel mi-2010 à fin-2018 + kit de sécurité à clé</t>
  </si>
  <si>
    <t>ATVEN35</t>
  </si>
  <si>
    <t>MacLocks - Support VESA (75x75) antivol pour Apple TV HD et 4K + kit de sécurité à clé</t>
  </si>
  <si>
    <t>CL15UTL</t>
  </si>
  <si>
    <t>MacLocks - Adaptateur antivol adhésif universel + cable de sécurité à clé</t>
  </si>
  <si>
    <t>BLD01CL</t>
  </si>
  <si>
    <t>MacLocks The Blade - Adaptateur antivol adhésif universel + câble de sécurité à code</t>
  </si>
  <si>
    <t>BLD01KL</t>
  </si>
  <si>
    <t>MacLocks The Blade - Adaptateur antivol adhésif universel + câble de sécurité à clé</t>
  </si>
  <si>
    <t>MBPR16LDG01</t>
  </si>
  <si>
    <t>MacLocks The Ledge - Adaptateur antivol pour MacBook Pro 16" Touch Bar 2019</t>
  </si>
  <si>
    <t>MBPR16LDG01KL</t>
  </si>
  <si>
    <t>MacLocks The Ledge - Adaptateur antivol pour MacBook Pro 16" Touch Bar 2019  + câble de sécurité à clé</t>
  </si>
  <si>
    <t>MBPR16LDG01CL</t>
  </si>
  <si>
    <t>MacLocks The Ledge - Adaptateur antivol pour MacBook Pro 16" Touch Bar 2019  + câble de sécurité à code</t>
  </si>
  <si>
    <t>MBPR14LDG01</t>
  </si>
  <si>
    <t>MacLocks The Ledge - Adaptateur antivol pour MacBook Pro 14" M1 2021</t>
  </si>
  <si>
    <t>MBPR14LDG01KL</t>
  </si>
  <si>
    <t>MacLocks The Ledge - Adaptateur antivol pour MacBook Pro 14" M1 2021 + câble de sécurité à clef</t>
  </si>
  <si>
    <t>MBPR14LDG01CL</t>
  </si>
  <si>
    <t>MacLocks The Ledge - Adaptateur antivol pour MacBook Pro 14" M1 2021 + câble de sécurité à code</t>
  </si>
  <si>
    <t>MBPR16LDG02</t>
  </si>
  <si>
    <t>MacLocks The Ledge - Adaptateur antivol pour MacBook Pro 16" M1 2021</t>
  </si>
  <si>
    <t>MBPR16LDG02KL</t>
  </si>
  <si>
    <t>MacLocks The Ledge - Adaptateur antivol pour MacBook Pro 16" M1 2021 + câble de sécurité à clef</t>
  </si>
  <si>
    <t>MBPR16LDG02CL</t>
  </si>
  <si>
    <t>MacLocks The Ledge - Adaptateur antivol pour MacBook Pro 16" M1 2021 + câble de sécurité à code</t>
  </si>
  <si>
    <t>99MO084213</t>
  </si>
  <si>
    <t>Moshi adaptateur multimédia USB-C 3-en-1 (2 ports USB - 1 port HDMI - lecteur carte SD) gris sidéral</t>
  </si>
  <si>
    <t>MOSHI</t>
  </si>
  <si>
    <t>99MO085018</t>
  </si>
  <si>
    <t>Moshi Umbra protection d'écran avec filtre de confidentialité pour MacBook Pro 16"</t>
  </si>
  <si>
    <t>99MO040913</t>
  </si>
  <si>
    <t>Moshi protection d'écran iVisor XT pour MacBook Pro/Air 13" (2020 - USB-C), gande clarté et netteté, installation facile 100% sans bulles, lavable et réutilisable.</t>
  </si>
  <si>
    <t>99MO071909</t>
  </si>
  <si>
    <t>Moshi iGlaze coque de protection transparente pour pour MacBook Air 13" USB-C (2018 &amp; 2020)</t>
  </si>
  <si>
    <t>99MO124901</t>
  </si>
  <si>
    <t>Moshi iGlaze coque de protection transparente pour MacBook Pro 16"</t>
  </si>
  <si>
    <t>MW-300047-P</t>
  </si>
  <si>
    <t>MW Folio Slim rouge coque arrière transparente - pour iPad 10,2"</t>
  </si>
  <si>
    <t>MW</t>
  </si>
  <si>
    <t>MW-300049-P</t>
  </si>
  <si>
    <t>MW Folio Slim noire coque arrière transparente - pour iPad 10,2"</t>
  </si>
  <si>
    <t>MW-300060</t>
  </si>
  <si>
    <t>MW Folio Slim noire coque arrière transparente - pour iPad Air 10,9" (4 et 5ème gén.)</t>
  </si>
  <si>
    <t>MW-200150</t>
  </si>
  <si>
    <t>MW protection d'écran verre trempé pour iPad mini 8,3“ (6ème gén.)</t>
  </si>
  <si>
    <t>MW-200118</t>
  </si>
  <si>
    <t>MW protection d'écran verre trempé pour iPad 10,2" (7,8 et 9ème gén.)</t>
  </si>
  <si>
    <t>MW-200142</t>
  </si>
  <si>
    <t>MW protection d'écran iPad Air (4 et 5 ème gén.) et iPad Pro 11 (1,2,3 et 4ème gén)</t>
  </si>
  <si>
    <t>MW-200063-P</t>
  </si>
  <si>
    <t>MW protection d'écran verre trempé pour iPad Pro 12,9" (3,4,5 et 6ème gén.)</t>
  </si>
  <si>
    <t>HOUSSE-MBPTB-13</t>
  </si>
  <si>
    <t xml:space="preserve">MW- Housse de protection pour MacBook Air/Pro 13" (USB-C) </t>
  </si>
  <si>
    <t>MW-410002</t>
  </si>
  <si>
    <t>MW- Housse de protection pour MacBook Air/Pro 13" (USB-C) - Gris/Blanc</t>
  </si>
  <si>
    <t>MW-410130</t>
  </si>
  <si>
    <t>MW- Housse de protection pour MacBook Pro 14" (USB-C) Seasons Grey</t>
  </si>
  <si>
    <t>MW-410110</t>
  </si>
  <si>
    <t>MW- Housse de protection pour MacBook Pro 16" (USB-C) - Grey/white</t>
  </si>
  <si>
    <t>BX700UI</t>
  </si>
  <si>
    <t>Onduleur APC Back-UPS 700VA - Prises FR</t>
  </si>
  <si>
    <t>BX950MI-FR</t>
  </si>
  <si>
    <t>Onduleur APC Back-UPS 950VA - Prises FR</t>
  </si>
  <si>
    <t>BX1400U-FR</t>
  </si>
  <si>
    <t>Onduleur APC Back-UPS 1400VA - Prises FR</t>
  </si>
  <si>
    <t>78-52705</t>
  </si>
  <si>
    <t>OtterBox Power Bank Bundle 5 000 MAh USB A &amp; Micro USB 10W livrée avec cable 3 en 1 (micro, USB C, Lightning) - 1m</t>
  </si>
  <si>
    <t>OTTERBOX</t>
  </si>
  <si>
    <t>78-52563</t>
  </si>
  <si>
    <t>OtterBox Power Bank fast charge 10 000 Mah-18W USB A (2.4A) &amp; USB C (3A)</t>
  </si>
  <si>
    <t>78-80691</t>
  </si>
  <si>
    <t>OtterBox Power Bank fast charge 15 000 Mah - USB-C 18W + USB-A 18W</t>
  </si>
  <si>
    <t>78-52680</t>
  </si>
  <si>
    <t>OtterBox câble de charge/sync tressé et renforcé : USB C - USB C - 1M - compatible Power Delivery 2.0+</t>
  </si>
  <si>
    <t>78-52723</t>
  </si>
  <si>
    <t>OtterBox Chargeur secteur fast charger 30W - 1x USB C (3A/18W) + USB A (2.4A/12W) - noir</t>
  </si>
  <si>
    <t>78-52727</t>
  </si>
  <si>
    <t>OtterBox Pack chargeur secteur USB C (3A/18W) + Cable renforcé USB C-USB C 1M  - noir</t>
  </si>
  <si>
    <t>78-80480</t>
  </si>
  <si>
    <r>
      <t>OtterBox Pack chargeur fast charge secteur USB C (3A/</t>
    </r>
    <r>
      <rPr>
        <sz val="10"/>
        <color theme="1"/>
        <rFont val="Calibri (Corps)"/>
      </rPr>
      <t>20W</t>
    </r>
    <r>
      <rPr>
        <sz val="10"/>
        <color theme="1"/>
        <rFont val="Calibri"/>
        <family val="2"/>
        <scheme val="minor"/>
      </rPr>
      <t>) + Cable renforcé USB C-Lightning 1M  - blanc</t>
    </r>
  </si>
  <si>
    <t>OtterBox Pack chargeur fast charge secteur USB C (3A/20W) + Cable renforcé USB C-Lightning 1M  - blanc</t>
  </si>
  <si>
    <t>77-62045</t>
  </si>
  <si>
    <t>Otterbox Symmetry Folio etui folio antichoc avec porte stylet pour iPad 10.2" (7ème et 8ème génération) - noir / transparent</t>
  </si>
  <si>
    <t>77-62047</t>
  </si>
  <si>
    <t>Otterbox Symmetry Folio etui folio antichoc avec porte stylet pour iPad 10.2" (7ème et 8ème génération) - bleu / transparent</t>
  </si>
  <si>
    <t>77-62038</t>
  </si>
  <si>
    <t>Otterbox UnlimitEd pour iPad 10.2" (7ème et 8ème génération) - coque antichoc avec protection écran intégrée et porte pencil</t>
  </si>
  <si>
    <t>77-62041</t>
  </si>
  <si>
    <t>Otterbox UnlimitEd Folio pour iPad 10.2" (7ème et 8ème génération) - coque antichoc avec Folio et protection écran intégrée et porte pencil</t>
  </si>
  <si>
    <t>77-63576</t>
  </si>
  <si>
    <t>Otterbox SYMMETRY CLEAR coque antichoc pour iPad 10.2" (7ème et 8ème génération) compatible avec Smart Keyboard et Smart Cover</t>
  </si>
  <si>
    <t>77-80707</t>
  </si>
  <si>
    <t>Otterbox REACT coque antichoc ultra fine pour iPad 10,2“ (7ème et 8ème génération)  - Noire crystale</t>
  </si>
  <si>
    <t>77-81229</t>
  </si>
  <si>
    <t>OtterBox DEFENDER coque antichoc avec protection écran intégrée pour iPad Air 4e generation</t>
  </si>
  <si>
    <t>ST-UCSW3M-FR</t>
  </si>
  <si>
    <t>Satechi clavier filaire Slim aluminium Azerty USB-C - Space Gray</t>
  </si>
  <si>
    <t>ST-TAUCM</t>
  </si>
  <si>
    <t>Satechi adaptateur USB-A vers USB-C - space gray</t>
  </si>
  <si>
    <t>ST-AWUCMM</t>
  </si>
  <si>
    <t>Satechi souris filaire USB-C space grey</t>
  </si>
  <si>
    <t>ST-ABTCMS</t>
  </si>
  <si>
    <t>Satechi souris Bluetooth M1 aluminium avec port Type-C rechargeable - Argent</t>
  </si>
  <si>
    <t>ST-ABTCMM</t>
  </si>
  <si>
    <t>Satechi souris Bluetooth M1 aluminium avec port Type-C rechargeable - Gris sidéral</t>
  </si>
  <si>
    <t>ST-ELMPK</t>
  </si>
  <si>
    <t>Satechi tapis de souris en cuir éco noir</t>
  </si>
  <si>
    <t>ST-ELMPN</t>
  </si>
  <si>
    <t>Satechi tapis de souris en cuir éco marron</t>
  </si>
  <si>
    <t>ST-XLABKS</t>
  </si>
  <si>
    <t>Satechi extension de clavier sans fil- connexion Bluetooth - port de charge USB-C - touches raccourcis MacOS - Argent</t>
  </si>
  <si>
    <t>ST-XLABKM</t>
  </si>
  <si>
    <t>Satechi extension de clavier sans fil- connexion Bluetooth - port de charge USB-C - touches raccourcis MacOS - Gris sidéral</t>
  </si>
  <si>
    <t>ST-SALKPS</t>
  </si>
  <si>
    <t>Satechi Slim Wireless Keypad pavé numérique rechargeable Bluetooth argent</t>
  </si>
  <si>
    <t>ST-SALKPM</t>
  </si>
  <si>
    <t>Satechi Slim Wireless Keypad pavé numérique rechargeable Bluetooth gris sidéral</t>
  </si>
  <si>
    <t>ST-TCVGAS</t>
  </si>
  <si>
    <t>Satechi adaptateur USB-C vers VGA argent</t>
  </si>
  <si>
    <t>ST-TCVGAM</t>
  </si>
  <si>
    <t>Satechi adaptateur USB-C vers VGA gris sidéral</t>
  </si>
  <si>
    <t>ST-TC4KHAS</t>
  </si>
  <si>
    <t>Satechi adaptateur USB-C vers HDMI 4K (60 Hz) argent</t>
  </si>
  <si>
    <t>ST-TC4KHAM</t>
  </si>
  <si>
    <t>Satechi adaptateur USB-C vers HDMI 4K (60 Hz) gris sidéral</t>
  </si>
  <si>
    <t>ST-TCENS</t>
  </si>
  <si>
    <t>Satechi adaptateur USB-C vers Ethernet GigaBit - argent</t>
  </si>
  <si>
    <t>ST-TCENM</t>
  </si>
  <si>
    <t>Satechi adaptateur USB-C vers Ethernet GigaBit - gris sidéral</t>
  </si>
  <si>
    <t>ST-TC2N1USB31AM</t>
  </si>
  <si>
    <t>Satechi Hub USB-C - 3 ports USB 3.0 - 1 port GigaBit Ethernet - gris sidéral</t>
  </si>
  <si>
    <t>ST-UCSMA3M</t>
  </si>
  <si>
    <t>Satechi Hub USB-C avec 1x USB-C (60W), 1x HDMI 4K, 1x Ethernet, 2x USB-A, 1x SD et 1x Micro SD - gris sidéral (existe en coloris argent)</t>
  </si>
  <si>
    <t>ST-TCPHEM</t>
  </si>
  <si>
    <t>Satechi Station d’accueil plug-in USB-C gris sidéral pour MacBook Air 2020 MacBook Pro 13’’ et 16’’ - 1 HDMI 4K - 1 GigaBit Eth - 1 USB-C pass through 87W - 2 x USB 3.0 - 1 lecteur MSD (existe en coloris argent)</t>
  </si>
  <si>
    <t>ST-UCPHMIM</t>
  </si>
  <si>
    <t>Satechi Pro Hub Mini - Gris sidéral</t>
  </si>
  <si>
    <t>ST-UCPHMIS</t>
  </si>
  <si>
    <t>Satechi Pro Hub Mini - Argent</t>
  </si>
  <si>
    <t>30200000-3</t>
  </si>
  <si>
    <t>IA26</t>
  </si>
  <si>
    <t>ST-UCPHMXM</t>
  </si>
  <si>
    <t>Satechi Pro Hub Max - Gris sidéral</t>
  </si>
  <si>
    <t>30200000-4</t>
  </si>
  <si>
    <t>IA27</t>
  </si>
  <si>
    <t>ST-UCPHMXS</t>
  </si>
  <si>
    <t>Satechi Pro Hub Max - Argent</t>
  </si>
  <si>
    <t>30200000-5</t>
  </si>
  <si>
    <t>IA28</t>
  </si>
  <si>
    <t>ST-UCT4DM</t>
  </si>
  <si>
    <t>Satechi Station d'accueil Thunderbolt 4 - Gris sidéral</t>
  </si>
  <si>
    <t>ST-TCSHIPM</t>
  </si>
  <si>
    <t>Satechi support et hub pour iPad Pro aluminium</t>
  </si>
  <si>
    <t>ST-ALTSS</t>
  </si>
  <si>
    <t>Satechi support en aluminium argent pour ordinateur portable</t>
  </si>
  <si>
    <t>ST-ALTSM</t>
  </si>
  <si>
    <t>Satechi support en aluminium gris sidéral pour ordinateur portable</t>
  </si>
  <si>
    <t>ST-ABHFM</t>
  </si>
  <si>
    <t>Satechi support hub (1x USB-C - 3x USB-A 3.0 - 1x lecteur cartes micro/SD - port 3,5mm) pour Mac Mini - gris sidéral</t>
  </si>
  <si>
    <t>ST-UCICHS</t>
  </si>
  <si>
    <t>Satechi hub USB-C CLAMP pour iMac 24" 1x USB-C, 3x USB et lecteurs de cartes micro/SD</t>
  </si>
  <si>
    <t>ST-ABHFS</t>
  </si>
  <si>
    <t>Satechi support hub (1x USB-C - 3x USB-A 3.0 - 1x lecteur cartes micro/SD - port 3,5mm) pour Mac Mini - argent</t>
  </si>
  <si>
    <t>TW-12-1708</t>
  </si>
  <si>
    <t>Twelve South Curve - Socle de bureau - Noir mat</t>
  </si>
  <si>
    <t>TWELVE</t>
  </si>
  <si>
    <t>TW-12-1915</t>
  </si>
  <si>
    <t>Twelve South Curve - Socle de bureau - Blanc mat</t>
  </si>
  <si>
    <t>REFPC114DB</t>
  </si>
  <si>
    <t>Case Logic Reflect - housse d'ordinateur portable avec fermeture éclair - bleu foncé pour MacBook Pro 14“</t>
  </si>
  <si>
    <t>CASE LOGIC</t>
  </si>
  <si>
    <t>REFMB113DB</t>
  </si>
  <si>
    <t>Case Logic Reflect - housse d'ordinateur portable avec fermeture éclair - bleu foncé pour MacBook Pro 13“</t>
  </si>
  <si>
    <t>ST-222-237JU-01</t>
  </si>
  <si>
    <t>STM étui Dux Plus Duo pour iPad 10,2" 8ème 7ème génération - Emplacement stylet Apple Pencil ou Logitech Crayon - Noir et face arrière transparente - Polybag</t>
  </si>
  <si>
    <t>STM</t>
  </si>
  <si>
    <t>ST-222-237JU-02</t>
  </si>
  <si>
    <t>STM étui Dux Plus Duo pour iPad 10,2" 8ème 7ème génération - Emplacement stylet Apple Pencil ou Logitech Crayon - Rouge et face arrière transparente - Polybag</t>
  </si>
  <si>
    <t>ST-222-286JT-01</t>
  </si>
  <si>
    <t>STM étui Dux Plus pour iPad Air 10,9" 5ème 4ème génération - Emplacement Apple Pencil compatible recharge - Noir et face arrière transparente</t>
  </si>
  <si>
    <t>ST-222-286JT-02</t>
  </si>
  <si>
    <t>STM étui Dux Plus pour iPad Air 10,9" 5ème 4ème génération - Emplacement Apple Pencil compatible recharge - Rouge et face arrière transparente</t>
  </si>
  <si>
    <t xml:space="preserve">ST-222-334KZ-01 </t>
  </si>
  <si>
    <t>STM étui Dux Plus pour iPad Pro 11 3ème 2ème 1ème génération - Emplacement Apple Pencil compatible recharge - Noir et face arrière transparente</t>
  </si>
  <si>
    <t>ST-222-334LZ-01</t>
  </si>
  <si>
    <t>STM étui Dux Plus pour iPad Pro 12.9 5ème 4ème 3ème génération - Emplacement Apple Pencil compatible recharge - Noir et face arrière transparente</t>
  </si>
  <si>
    <t>ST-111-265P-01</t>
  </si>
  <si>
    <t>STM sac à dos Gamechange pack pour MacBook Pro 15 et 16" - Noir</t>
  </si>
  <si>
    <t>ST-117-268M-01</t>
  </si>
  <si>
    <t>STM sacoche Gamechange brief pour MacBook Pro et Air 13" - Noir</t>
  </si>
  <si>
    <t>ST-117-268P-01</t>
  </si>
  <si>
    <t>STM sacoche Gamechange brief pour MacBook Pro 15 et 16" - Noir</t>
  </si>
  <si>
    <t>KBMAC</t>
  </si>
  <si>
    <t>T’nB Clavier Mac sans fil BlueTooth (batterie intégrée)</t>
  </si>
  <si>
    <t>TNB</t>
  </si>
  <si>
    <t>AMU30EUZ</t>
  </si>
  <si>
    <t>Targus souris optique USB</t>
  </si>
  <si>
    <t>TARGUS</t>
  </si>
  <si>
    <t>TEBP-313</t>
  </si>
  <si>
    <t>Thule EnRoute BackPack 13" 14L sac à dos pour MacBook Air ou MacBook Pro 13,3" - Turquoise profond</t>
  </si>
  <si>
    <t>UA-121616114040</t>
  </si>
  <si>
    <t>UAG coque folio Metropolis pour iPad mini 5ème 4ème génération - Emplacement pour Pencil - Noir</t>
  </si>
  <si>
    <t>UAG</t>
  </si>
  <si>
    <t>UA-121916114040</t>
  </si>
  <si>
    <t>UAG coque folio Metropolis pour iPad 10,2" - noire</t>
  </si>
  <si>
    <t>UA-121916119393</t>
  </si>
  <si>
    <t>UAG coque folio Metropolis pour iPad 10,2" - rouge</t>
  </si>
  <si>
    <t>UA-12191IB14040</t>
  </si>
  <si>
    <t>UAG Etui folio SCOUT iPad 10.2 Noir - polybag</t>
  </si>
  <si>
    <t>UA-122996119393</t>
  </si>
  <si>
    <t>UAG coque folio Metropolis pour iPad Pro 11" (2018 &amp; 2020) - rouge  - porte stylet Pencil</t>
  </si>
  <si>
    <t>UA-122946114040</t>
  </si>
  <si>
    <t>UAG coque folio Metropolis pour iPad Pro 12,9" 2021 (5e gén.) - noir - porte stylet Pencil</t>
  </si>
  <si>
    <t>UA-122946119393</t>
  </si>
  <si>
    <t>UAG coque folio Metropolis pour iPad Pro 12,9" (3e et 4e gén.) - rouge  - porte stylet Pencil</t>
  </si>
  <si>
    <t>TCM15UF</t>
  </si>
  <si>
    <t>Urban Factory station d'accueil mobile USB-C (4K édition) gris sidéral - 1 HDMI 4K - 1 VGA - 1 GigaBit Eth - 1 USB-C pass through 87W - 3 ports USB 3.0 - 1 lecteurs MSD - 1 sortie audio</t>
  </si>
  <si>
    <t>TCM16UF</t>
  </si>
  <si>
    <t>Urban Factory station d'accueil mobile USB-C - Sortie USB-C 100W avec distribution de courant, HDMI 4K, vidéo VGA, 3x USB 3.0, Port LAN Gigabit Ethernet, port Jack, port SD et MSD</t>
  </si>
  <si>
    <t>WHD20UF</t>
  </si>
  <si>
    <t>Urban Factory WEBEE - Webcam FULL HD 1080p, autofocus, compatible MAC</t>
  </si>
  <si>
    <t>BBK01UF</t>
  </si>
  <si>
    <t>Urban Factory Onlee - clavier sans fil Bluetooth- AZERTY - noir</t>
  </si>
  <si>
    <t>XT-FS401</t>
  </si>
  <si>
    <t>Xtorm Power Bank Fuel 20W - 10 000 mAh (batterie externe 10 000 mAh  - sorties 1x USB-C PD 20W + 2x USB 3.0 , entrée USB-C PD 20W)</t>
  </si>
  <si>
    <t>XTORM</t>
  </si>
  <si>
    <t>XT-FS402</t>
  </si>
  <si>
    <t xml:space="preserve">Xtorm Power Bank 20.000 USB-C PD 20W (batterie externe 20 000 mAh  - sorties 1x USB-C PD 20W + 2x USB Quick Charge 3.0 , entrée USB-C PD 20W) </t>
  </si>
  <si>
    <t>ST-UCATCM</t>
  </si>
  <si>
    <t>Satechi – Adaptateur USB-C vers USB-A 3.0</t>
  </si>
  <si>
    <t>IM4ZF2-BBF</t>
  </si>
  <si>
    <t>ZAGG Slim Book clavier Bluetooth avec coque iPad Mini 5</t>
  </si>
  <si>
    <t>ZAGG</t>
  </si>
  <si>
    <t>CPCF-C32-iPD05-200</t>
  </si>
  <si>
    <t>Arhtim - Gamme Kallysta - Chariot Apollo 32 (chariot de transport, charge et synchronisation pour 32 iPad (7,9'', 9,7', 10,2'' ou 10,5'') - Nécéssite le kit câble KC-C32</t>
  </si>
  <si>
    <t>ARHTIM</t>
  </si>
  <si>
    <t>KC-C32</t>
  </si>
  <si>
    <t>Arhtim - Gamme Kallysta - Kit de 32 câbles Lightning Apple MFI - option obligatoire depuis les iPad 10.2'' (8ème génération)</t>
  </si>
  <si>
    <t>KL-C32</t>
  </si>
  <si>
    <t>Arhtim - Gamme Kallysta - Option Kit LED (32 témoins de charge en façade)</t>
  </si>
  <si>
    <t>KN-C32</t>
  </si>
  <si>
    <t>Arhtim - Gamme Kallysta - Option Kit de numérotation des emplacements iPad (1 à 32)</t>
  </si>
  <si>
    <t>KM-CH</t>
  </si>
  <si>
    <t>Arhtim - Gamme Kallysta - Option kit de marquage magnétique pour tous les chariots Apollo - Kit Marquage Magnétique (4 bandes latérales 1 couleur, petits et grands côtés + 2 rectangles 2 couleurs Face avant et arrière)</t>
  </si>
  <si>
    <t>SRV-MES-1</t>
  </si>
  <si>
    <t>Arhtim - Gamme Kallysta - Option mise en service sur site apollo 16 &amp; 32- (Déballage Chariot, iPad, housse, installation des options sauf écran de protection, Installation des iPad client , Mise en route), Frais de déplacement inclus</t>
  </si>
  <si>
    <t>SRV-MES-32</t>
  </si>
  <si>
    <t>Arhtim - Gamme Kallysta - Option Installation écran de protection iPad sur site - (Déballage Ecran de protection, Mise en place sur les iPad) - Nécessite obligatoirement l'option  mise en service sur site (SRV-MES-1)</t>
  </si>
  <si>
    <t>KSECU-CH</t>
  </si>
  <si>
    <t>Arhtim - Gamme Kallysta - Option kit de sécurisation murale (pour tous les chariots Apollo et NoteFlex)</t>
  </si>
  <si>
    <t>KAPLA-CH01</t>
  </si>
  <si>
    <t>Arhtim - Gamme Kallysta - Option Starter Kit - Kit de pilotage de l’alimentation du chariot à distance</t>
  </si>
  <si>
    <t>KAPLA-CH02</t>
  </si>
  <si>
    <t>Arhtim - Gamme Kallysta - Option Extension - Boitier supplémentaire pour le Kit de pilotage de l’alimentation du chariot à distance</t>
  </si>
  <si>
    <t>CPCF-C48-iPD05-200</t>
  </si>
  <si>
    <t>Arhtim - Gamme Kallysta - Chariot Apollo 48 (chariot de transport, charge et synchronisation pour 48 iPad (7,9'' ,  9,7' , 10,2'' ou 10,5'') - Nécéssite le kit câble KC-C48</t>
  </si>
  <si>
    <t>KC-C48</t>
  </si>
  <si>
    <t>Arhtim - Gamme Kallysta - Kit de 48 câbles Lightning Apple MFI - option obligatoire depuis les iPad 10.2'' (8ème génération)</t>
  </si>
  <si>
    <t>KL-C48</t>
  </si>
  <si>
    <t>Arhtim - Gamme Kallysta - Option Kit LED (48 témoins de charge en façade)</t>
  </si>
  <si>
    <t>KN-C48</t>
  </si>
  <si>
    <t>Arhtim - Gamme Kallysta - Option Kit de numérotation des emplacements iPad (1 à 48)</t>
  </si>
  <si>
    <t>SRV-MES-2</t>
  </si>
  <si>
    <t>Arhtim - Gamme Kallysta - Option mise en service sur site Apollo 48 &amp; 64- (Déballage Chariot, iPad, housse, installation des options sauf écran de protection, Installation des iPad client , Mise en route), Frais de déplacement inclus</t>
  </si>
  <si>
    <t>SRV-MES-48</t>
  </si>
  <si>
    <t>Arhtim - Gamme Kallysta - Option Installation écran de protection iPad sur site - (Déballage Ecran de protection, Mise en place sur les iPad) - Nécessite obligatoirement l'option  mise en service sur site (SRV-MES-2)</t>
  </si>
  <si>
    <t>CMCF-C64-iPD05-200</t>
  </si>
  <si>
    <t>Arhtim - Gamme Kallysta - Chariot Apollo 64 (chariot de transport, charge et synchronisation pour 64 iPad (7,9'' ,  9,7' , 10,2'' ou 10,5'') - Nécéssite le kit câble KC-C64</t>
  </si>
  <si>
    <t>KC-C64</t>
  </si>
  <si>
    <t>Arhtim - Gamme Kallysta - Kit de 64 câbles Lightning Apple MFI - option obligatoire depuis les iPad 10.2'' (8ème génération)</t>
  </si>
  <si>
    <t>KL-C64</t>
  </si>
  <si>
    <t>Arhtim - Gamme Kallysta - Option Kit LED (64 témoins de charge en façade)</t>
  </si>
  <si>
    <t>KN-C64</t>
  </si>
  <si>
    <t>Arhtim - Gamme Kallysta - Option Kit de numérotation des emplacements iPad (1 à 64)</t>
  </si>
  <si>
    <t>SRV-MES-64</t>
  </si>
  <si>
    <t>CGCF-C90-iPD05-200</t>
  </si>
  <si>
    <t>Arhtim - Gamme Kallysta - Chariot Apollo 90 (chariot de transport, charge et synchronisation pour 90 iPad (7,9'' ,  9,7' , 10,2'' ou 10,5'') - Nécéssite le kit câble KC-C90</t>
  </si>
  <si>
    <t>KC-C90</t>
  </si>
  <si>
    <t>Arhtim - Gamme Kallysta - Kit de 90 câbles Lightning Apple MFI - option obligatoire depuis les iPad 10.2'' (8ème génération)</t>
  </si>
  <si>
    <t>KL-C90</t>
  </si>
  <si>
    <t>Arhtim - Gamme Kallysta - Option Kit LED (90 témoins de charge en façade)</t>
  </si>
  <si>
    <t>KN-C90</t>
  </si>
  <si>
    <t>Arhtim - Gamme Kallysta - Option Kit de numérotation des emplacements iPad (1 à 90)</t>
  </si>
  <si>
    <t>SRV-MES-3</t>
  </si>
  <si>
    <t>Arhtim - Gamme Kallysta - Option mise en service sur site Apollo 90 &amp; 120 (Déballage Chariot, iPad, housse, installation des options sauf écran de protection, Installation des iPad client , Mise en route), Frais de déplacement inclus</t>
  </si>
  <si>
    <t>SRV-MES-90</t>
  </si>
  <si>
    <t>Arhtim - Gamme Kallysta - Option Installation écran de protection iPad sur site - (Déballage Ecran de protection, Mise en place sur les iPad) - Nécessite obligatoirement l'option  mise en service sur site (SRV-MES-3)</t>
  </si>
  <si>
    <t>KPBSUP-C90-120</t>
  </si>
  <si>
    <t>Arhtim - Gamme Kallysta - Option Poignées supplémentaires - Kit poignées basses pour accompagner des passages surélevés - Nécessite ref SRV-MES-3</t>
  </si>
  <si>
    <t>CGCF-C120-iPD05-200</t>
  </si>
  <si>
    <t>Arhtim - Gamme Kallysta - Chariot Apollo 120 (chariot de transport, charge et synchronisation pour 120 iPad (7,9'' ,  9,7' , 10,2'' ou 10,5'') - Nécéssite le kit câble KC-C120</t>
  </si>
  <si>
    <t>KC-C120</t>
  </si>
  <si>
    <t>Arhtim - Gamme Kallysta - Kit de 120 câbles Lightning Apple MFI - option obligatoire depuis les iPad 10.2'' (8ème génération)</t>
  </si>
  <si>
    <t>KL-C120</t>
  </si>
  <si>
    <t>Arhtim - Gamme Kallysta - Option Kit LED (120 témoins de charge en façade)</t>
  </si>
  <si>
    <t>KN-C120</t>
  </si>
  <si>
    <t>Arhtim - Gamme Kallysta - Option Kit de numérotation des emplacements iPad (1 à 120)</t>
  </si>
  <si>
    <t>SRV-MES-120</t>
  </si>
  <si>
    <t>MGCF-D18-V-MB13-iPD08</t>
  </si>
  <si>
    <t>Arhtim - Gamme Kallysta - Malle Docking - Magellan KSync D18 docking 18 iPad 10.2" 8ème Génération sans housse  (emplacement de rangement de 1 portable 13'', 1 VideoProjecteur, 1 borne WiFi + cables , charge et synchronisation malle fermée)</t>
  </si>
  <si>
    <t>SRV-EXTGA-M-3</t>
  </si>
  <si>
    <t>Arhtim - Gamme Kallysta - Option extension de garantie Malle Magellan de 1 à 3 ans (retour atelier)</t>
  </si>
  <si>
    <t>SRV-EXTGA-M-5</t>
  </si>
  <si>
    <t>Arhtim - Gamme Kallysta - Option extension de garantie Malle Magellan de 3 à 5 ans (retour atelier)</t>
  </si>
  <si>
    <t>PiPP-01</t>
  </si>
  <si>
    <t>Arhtim - Gamme Kallysta - Option préparation de la malle en atelier (Installation et configuration malle, WiFi, tablettes)</t>
  </si>
  <si>
    <t>FKSYNC-01</t>
  </si>
  <si>
    <t>Arhtim - Gamme Kallysta - Option formation malle KSync iPad (usages, création de contenu) 1 jour (frais de déplacement compris)</t>
  </si>
  <si>
    <t>FKSYNC-02</t>
  </si>
  <si>
    <t>Arhtim - Gamme Kallysta - Option formation malle KSync iPad (usages, création de contenu) 2 jour (frais de déplacement compris)</t>
  </si>
  <si>
    <t>FKMESST-01</t>
  </si>
  <si>
    <t>Arhtim - Gamme Kallysta - Option mise en route et prise en main de 2h sur site - Nécéssite la préparation option PiPP01</t>
  </si>
  <si>
    <t>KS-604D</t>
  </si>
  <si>
    <t>Arhtim - Gamme Kallysta - Option kit de sécurisation - Cadenas à code 4 chiffres (1 x Cadenas MasterLock 604D)</t>
  </si>
  <si>
    <t>MGCF-D24-MB13-iPD08</t>
  </si>
  <si>
    <t>Arhtim - Gamme Kallysta - Malle Docking - Magellan KSync D24 docking 24 iPad 10.2" 8ème Génération sans housse  (emplacement de rangement de 1 portable 13'', 1 borne WiFi + cables , charge et synchronisation malle fermée)</t>
  </si>
  <si>
    <t>MGCF-D36-MB13-iPD08</t>
  </si>
  <si>
    <t>Arhtim - Gamme Kallysta - Malle Docking - Magellan KSync D36 docking 36 iPad 10.2" 8ème Génération sans housse  (charge et synchronisation malle fermée)</t>
  </si>
  <si>
    <t>MGCF-C-MB13-196</t>
  </si>
  <si>
    <t>Arhtim - Gamme Kallysta - Malle Magellan Filaire Grand format pour maximum 32 iPad + housse - épaisseur 19,6mm  (malle de transport pour 16 iPad 7,9'' ,  9,7' , 10,2'' ou 10,5'' - emplacement de rangement pour 1 portable 13'')</t>
  </si>
  <si>
    <t>KT-MGCF-C7P</t>
  </si>
  <si>
    <t>Arhtim - Gamme Kallysta - Option kit de cales pour iPad mini</t>
  </si>
  <si>
    <t>KCS-MGCF</t>
  </si>
  <si>
    <t>Arhtim - Gamme Kallysta - Option kit de charge &amp; synchronisation des iPad - Charge fermée (Alimentation, système de ventilation actif, interrupteur, carte de charge &amp; synchronisation, connecteurs USB) - Nécéssite obligatoirement un kit câble</t>
  </si>
  <si>
    <t>KCL-C16</t>
  </si>
  <si>
    <t>Arhtim - Gamme Kallysta - Option kit de 16 câbles Apple Lightning MFI</t>
  </si>
  <si>
    <t>KCL-C24</t>
  </si>
  <si>
    <t>Arhtim - Gamme Kallysta - Option kit de 24 câbles Apple Lightning MFI</t>
  </si>
  <si>
    <t>KCL-C28</t>
  </si>
  <si>
    <t>Arhtim - Gamme Kallysta - Option kit de 28 câbles Apple Lightning MFI</t>
  </si>
  <si>
    <t>KCL-C32</t>
  </si>
  <si>
    <t>Arhtim - Gamme Kallysta - Option kit de 32 câbles Apple Lightning MFI</t>
  </si>
  <si>
    <t>KWUT-802.11ac-MGCF</t>
  </si>
  <si>
    <t>Arhtim - Gamme Kallysta - Option kit WiFi Ultra-Thin qualité standard pour Malle MGCF (Borne WiFi Ultra-Thin 802.11ac, Alimentation, connecteur Ethernet)</t>
  </si>
  <si>
    <t>KWHP-Ruckus-MGCF</t>
  </si>
  <si>
    <t>Arhtim - Gamme Kallysta - Option précâblage WiFi Haute performance - Pré-câblage WiFi Ruckus R510 (Alimentation, interrupteur, connecteur Ethernet) - Borne non fournie</t>
  </si>
  <si>
    <t>NCF-B16-SC-250</t>
  </si>
  <si>
    <t>Arhtim - Gamme NoteFlex -  Chariot NoteFlex 16 (chariot de transport, charge pour 16 iPad (7,9'' ,  9,7' , 10,2'' ou 10,5'') - La charge utilise les adaptateurs secteur et les câbles livrés en standard avec les iPad - Montage à effectuer par le client</t>
  </si>
  <si>
    <t>SRV-MES-4</t>
  </si>
  <si>
    <t>Arhtim - Gamme NoteFlex -  Option mise en service NoteFlex 16 sur site - (Déballage Chariot, iPad, câbles, adaptateurs, housse, câblage, installation des options sauf écran de protection, Installation des iPad client , Mise en route), Frais de déplacement inclus</t>
  </si>
  <si>
    <t>SRV-MES-416</t>
  </si>
  <si>
    <t>Arhtim - Gamme NoteFlex -  Option Installation écran de protection iPad NoteFlex 16 sur site - (Déballage Ecran de protection, Mise en place sur les iPad) - Nécessite obligatoirement l'option  mise en service sur site (SRV-MES-4)</t>
  </si>
  <si>
    <t>Arhtim - Gamme NoteFlex -  Option kit de sécurisation murale (pour tous les chariots Apollo)</t>
  </si>
  <si>
    <t>NCF-16-SYNC</t>
  </si>
  <si>
    <t>Arhtim - Gamme NoteFlex -  Option kit Synchronisation NoteFlex 16 (1 Boitier KSync MA16S + Kit 16 câbles Ch&amp;Sync + Connecteur USB + Brassage Câbles)</t>
  </si>
  <si>
    <t>NCF-B32-SC-250</t>
  </si>
  <si>
    <t>Arhtim - Gamme NoteFlex -  Chariot NoteFlex 32 (chariot de transport, charge pour 32 iPad (7,9'' ,  9,7' , 10,2'' ou 10,5'') - La charge utilise les adaptateurs secteur et les câbles livrés en standard avec les iPad - Montage à effectuer par le client</t>
  </si>
  <si>
    <t>SRV-MES-5</t>
  </si>
  <si>
    <t>Arhtim - Gamme NoteFlex -  Option mise en service NoteFlex 32 sur site - (Déballage Chariot, iPad, câbles, adaptateurs, housse, câblage, installation des options sauf écran de protection, Installation des iPad client , Mise en route), Frais de déplacement inclus</t>
  </si>
  <si>
    <t>SRV-MES-532</t>
  </si>
  <si>
    <t>Arhtim - Gamme NoteFlex -  Option Installation écran de protection iPad NoteFlex 32 sur site - (Déballage Ecran de protection, Mise en place sur les iPad) - Nécessite obligatoirement l'option  mise en service sur site (SRV-MES-5)</t>
  </si>
  <si>
    <t>NCF-32-SYNC</t>
  </si>
  <si>
    <t>Arhtim - Gamme NoteFlex -  Option kit Synchronisation NoteFlex 32(2 Boitiers KSync MA16S + Kit 32 câbles Ch&amp;Sync + Connecteur USB + Brassage Câbles)</t>
  </si>
  <si>
    <t>NO3-NL-12M12D-SC</t>
  </si>
  <si>
    <t>Arhtim - Gamme NoteLocker - Casiers  de rangement individuels pour 12 appareils - Verrouillage par Cadenas (non fourni) - la charge se fait en utilisant l'adaptateur secteur et le câble fourni avec le iPad</t>
  </si>
  <si>
    <t>KSNL12-604D</t>
  </si>
  <si>
    <t>Arhtim - Gamme NoteLocker - Option kit de sécurisation par cadenas - 12 Cadenas à code 4 chiffres (12 x Cadenas MasterLock 604D)</t>
  </si>
  <si>
    <t>KSNL12-12SE-CLMC</t>
  </si>
  <si>
    <t>Arhtim - Gamme NoteLocker - Option Kit de  Fermeture des casiers par serrure électronique à code par clavier avec clé master de deverrouillge</t>
  </si>
  <si>
    <t>SRV-MES-6</t>
  </si>
  <si>
    <t>Arhtim - Gamme NoteLocker - Option mise en service NoteLocker 12 sur site - (Déballage NoteLocker, installation et fixation murale, Paramètrage des serrures electronique et prise en main), Frais de déplacement inclus - nécessite une arrivée électrique près des casiers</t>
  </si>
  <si>
    <t>CITUNES-25</t>
  </si>
  <si>
    <t>Arhtim - Carte iTunes 25€</t>
  </si>
  <si>
    <t>CITUNES-50</t>
  </si>
  <si>
    <t>Arhtim - Carte iTunes 50€</t>
  </si>
  <si>
    <t>LNC10381</t>
  </si>
  <si>
    <t>LocknCharge Joey 40 v2. - charriot de charge universelle pour 40 iPads et MacBooks avec grands panier et sans câble USB - Lightning et garantie 10 ans inclus</t>
  </si>
  <si>
    <t>LOCK'N'CHARGE</t>
  </si>
  <si>
    <t>LNC7121EUUK</t>
  </si>
  <si>
    <t>LocknCharge iQ10 Charging Station - armoire de recharge USB-A (2.4A/port) avec deux paniers pour 10 iPads livré sans câbles USB Lightning et garantie a vie inclus</t>
  </si>
  <si>
    <t>LNC7008EUUK</t>
  </si>
  <si>
    <t>LocknCharge IQ16 Sync &amp; Charge box pour 16 iPads et garantie a vie inclus</t>
  </si>
  <si>
    <t>LNC10206</t>
  </si>
  <si>
    <t>LocknCharge FUYL Tower 15MK2 armoire connectée 15 casiers charging Lockers - FR - sans licence Cloud vendu séparément et garantie a vie inclus</t>
  </si>
  <si>
    <t>LNC10211</t>
  </si>
  <si>
    <t>LocknCharge FUYL Tower 5MK2 armoire connectée 5 casiers charging Lockers - FR - sans licence Cloud vendu séparément et garantie a vie inclus</t>
  </si>
  <si>
    <t>LNC10049</t>
  </si>
  <si>
    <t>LocknCharge  CarryOn - Malette de recharge USB-A (2.4A/port) portable pour 5 iPads et garantie a vie inclus</t>
  </si>
  <si>
    <t>LNC10346</t>
  </si>
  <si>
    <t>LocknCharge Uvone - Station de desinfection UV-C pour iPads</t>
  </si>
  <si>
    <t>LNC10162</t>
  </si>
  <si>
    <t>LocknCharge Putnam 16 - amoire de recharge pour 16 iPads avec indicateurs LED de charge avec câbles USB Lightning inclus et garantie a vie inclus</t>
  </si>
  <si>
    <t>LNC10178 </t>
  </si>
  <si>
    <t>LocknCharge Putnam 8 - amoire de recharge pour 8 iPads avec indicateurs LED de charge avec câbles USB Lightning inclus et garantie a vie inclus</t>
  </si>
  <si>
    <t>LNC10387</t>
  </si>
  <si>
    <t>LocknCharge Carrier 10 - armoire de charge universelle (prises secteur 240V) pour 10 iPads, MacBooks et autres modeles de tablettes et PC Portables. Deux grands paniers LocknCharge inclus et un rack de stockage en metal pour appareils &lt;17''. Garantie a vie incluse</t>
  </si>
  <si>
    <t>LNC10390</t>
  </si>
  <si>
    <t>LocknCharge Carrier 20 - chariot de charge universelle (prises secteur 240V) pour 20 iPads, MacBooks et autres modeles de tablettes et PC Portables. Quatre grands paniers LocknCharge inclus. Rack de stockage en metal en option pour appareils &lt;17''. Garantie a vie incluse</t>
  </si>
  <si>
    <t>LNC10375</t>
  </si>
  <si>
    <t>LocknCharge Carrier 30 - chariot de charge universelle (prises secteur 240V) pour 30 iPads, MacBooks et autres modeles de tablettes et PC Portables. Six grands paniers LocknCharge inclus. Rack de stockage en metal en option pour appareils &lt;17''. Garantie a vie incluse</t>
  </si>
  <si>
    <t>LNC10393</t>
  </si>
  <si>
    <t>LocknCharge Carrier 40 - chariot de charge universelle (prises secteur 240V) pour 40 iPads, MacBooks et autres modeles de tablettes et PC Portables. Quatre grands paniers LocknCharge inclus. Rack de stockage en metal en option pour appareils &lt;17''. Garantie a vie incluse</t>
  </si>
  <si>
    <t>LNC10150</t>
  </si>
  <si>
    <t>Option Carrier 20 - rack de stockage en metal 10 slots pour appareils &lt;17'' (deux par colis)</t>
  </si>
  <si>
    <t>LNC10106</t>
  </si>
  <si>
    <t>Option Carrier 30 - rack de stockage en metal 15 slots pour appareils &lt;17'' (deux par colis)</t>
  </si>
  <si>
    <t>LNC10108</t>
  </si>
  <si>
    <t>Option Carrier 40 - rack de stockage en metal 20 slots pour appareils &lt;17'' (deux par colis)</t>
  </si>
  <si>
    <t>FE_LOCK'NCHARGE</t>
  </si>
  <si>
    <t>Forfait livraison par transporteur pour les chariots de (+ de 30kg) références concernés: LNC10381 + LNC10206 + LNC10211+ LNC10049 + LNC10346 + LNC10162 + LNC10178 + LNC10387 + LNC10390 + LNC10375 + LNC10393 + LNC10150 + LNC10108 + LNC10106</t>
  </si>
  <si>
    <t>LBC-V2-ONB20EUB</t>
  </si>
  <si>
    <t>LoxBox - Cart 20 Chariot de chargement sécurisé jusqu'à 20 iPads, tablettes ou ordinateurs portables (jusqu'à 16'') - noir/orange</t>
  </si>
  <si>
    <t>LOXBOX</t>
  </si>
  <si>
    <t>LBC-V1-ONB30EUB</t>
  </si>
  <si>
    <t>LoxBox - Cart 30 Chariot de chargement sécurisé jusqu'à 30 iPads, tablettes ou ordinateurs portables (jusqu'à 16'') - noir/orange</t>
  </si>
  <si>
    <t>LBC-V1-ONB40EUB</t>
  </si>
  <si>
    <t>LoxBox - Cart 40 Chariot de chargement sécurisé jusqu'à 40 iPads, tablettes ou ordinateurs portables (jusqu'à 16'') - noir/orange</t>
  </si>
  <si>
    <t>RA0247B</t>
  </si>
  <si>
    <t>Naotic valise Trolley naoCase M500 - pour le transport et le rechargement de 16 tablettes ou 9 ordinateurs portables.</t>
  </si>
  <si>
    <t>NAOTIC</t>
  </si>
  <si>
    <t>RG0263A</t>
  </si>
  <si>
    <t>Naotic option temporisation de charge électrique pour naocase M500</t>
  </si>
  <si>
    <t>RG0276A</t>
  </si>
  <si>
    <t>Naotic option interrupteur de coupure Wifi pour naocase M500</t>
  </si>
  <si>
    <t>PE9995A</t>
  </si>
  <si>
    <t>Naotic Cadenas à combinaison avec possibilité́ de clef passe – fournis avec un ensemble de 6 clefs passe pour naocase M500</t>
  </si>
  <si>
    <t>RA0325A</t>
  </si>
  <si>
    <t>Naotic Armoire compacte TABIBOX WT1 - 10 tablettes ou ordinateurs jusqu'à 14 pouces</t>
  </si>
  <si>
    <t>RA0313</t>
  </si>
  <si>
    <t>Naotic kit d'équipement pour la recharge électrique Tabibox WT1 jusqu'à 10 tablettes</t>
  </si>
  <si>
    <t>NA0812B</t>
  </si>
  <si>
    <t>Naotic système de séparation intercalaire</t>
  </si>
  <si>
    <t>PB0188A</t>
  </si>
  <si>
    <t>Naotic casier mobile TABICASE MT1 de transport et de rechargement pour 10 tablettes - USB-C</t>
  </si>
  <si>
    <t>AB0544A</t>
  </si>
  <si>
    <t xml:space="preserve">Naotic soufflet de rangement pour 5 tablettes pour Tabicase M1 </t>
  </si>
  <si>
    <t>RA0330A</t>
  </si>
  <si>
    <t>Naotic sac à dos connecté pour le transport et le rechargement Tabicase ST1 pour 10 tablettes USB-C</t>
  </si>
  <si>
    <t>PB0187A</t>
  </si>
  <si>
    <t>Naotic Tabicart S2 20 emplacements - chariot mobile avec poignée centrale de transport pouvant accueillir 20 tablettes avec sacoche de transport</t>
  </si>
  <si>
    <t>RG0317A</t>
  </si>
  <si>
    <t>Naotic prise RJ45 latérale pour Tabicart S2 fournie avec cordon cat6 5mètres</t>
  </si>
  <si>
    <t>PDFM-AENTSUB-1Y-ML</t>
  </si>
  <si>
    <t>Parallels Desktop pour Mac Business Edition - Première souscription académique - 1 utilisateur - 1 an</t>
  </si>
  <si>
    <t>PARALLELS</t>
  </si>
  <si>
    <t>48213000-4</t>
  </si>
  <si>
    <t>IB01</t>
  </si>
  <si>
    <t>PDFM-AENTSUB-2Y-ML</t>
  </si>
  <si>
    <t>Parallels Desktop pour Mac Business Edition - Première souscription académique - 1 utilisateur - 2 ans</t>
  </si>
  <si>
    <t>PDFM-AENTSUB-3Y-ML</t>
  </si>
  <si>
    <t>Parallels Desktop pour Mac Business Edition - Première souscription académique - 1 utilisateur - 3 ans</t>
  </si>
  <si>
    <t>PDFM-A-ENTSUB-REN-1Y-ML</t>
  </si>
  <si>
    <t>Parallels Desktop pour Mac Business Edition - Renouvellement académique - 1 utilisateur - 1 an</t>
  </si>
  <si>
    <t>PDFM-A-ENTSUB-REN-2Y-ML</t>
  </si>
  <si>
    <t>Parallels Desktop pour Mac Business Edition - Renouvellement académique - 1 utilisateur - 2 ans</t>
  </si>
  <si>
    <t>PDFM-A-ENTSUB-REN-3Y-ML</t>
  </si>
  <si>
    <t>Parallels Desktop pour Mac Business Edition - Renouvellement académique - 1 utilisateur - 3 ans</t>
  </si>
  <si>
    <t>Jamf forfait JumpStart pour Jamf Pro iOS - Remote 4 h + 4 h en deux sessions (à commander avec ABT-JSIO-INT-4H+4H-W)</t>
  </si>
  <si>
    <t>JAMF</t>
  </si>
  <si>
    <t>72211000-7</t>
  </si>
  <si>
    <t>ABT-JSIO-INT-4H+4H-W</t>
  </si>
  <si>
    <r>
      <t xml:space="preserve">Econocom </t>
    </r>
    <r>
      <rPr>
        <sz val="10"/>
        <color theme="1"/>
        <rFont val="Calibri (Corps)"/>
      </rPr>
      <t>prestation</t>
    </r>
    <r>
      <rPr>
        <sz val="10"/>
        <color theme="1"/>
        <rFont val="Calibri"/>
        <family val="2"/>
        <scheme val="minor"/>
      </rPr>
      <t xml:space="preserve"> JumpStart pour Jamf Pro iOS - Remote 4 h + 4 h en deux sessions - 1912001502</t>
    </r>
  </si>
  <si>
    <t>Econocom prestation JumpStart pour Jamf Pro iOS - Remote 4 h + 4 h en deux sessions - 1912001502</t>
  </si>
  <si>
    <t>Jamf forfait JumpStart pour Jamf Pro iOS - Remote 4 h ( à commander avec ABT-JSIO-INT-4H-W)</t>
  </si>
  <si>
    <t>ABT-JSIO-INT-4H-W</t>
  </si>
  <si>
    <r>
      <t xml:space="preserve">Econocom </t>
    </r>
    <r>
      <rPr>
        <sz val="10"/>
        <color theme="1"/>
        <rFont val="Calibri (Corps)"/>
      </rPr>
      <t>prestation</t>
    </r>
    <r>
      <rPr>
        <sz val="10"/>
        <color theme="1"/>
        <rFont val="Calibri"/>
        <family val="2"/>
        <scheme val="minor"/>
      </rPr>
      <t xml:space="preserve"> JumpStart pour Jamf Pro iOS - Remote 4 h - 1912001200</t>
    </r>
  </si>
  <si>
    <t>Econocom prestation JumpStart pour Jamf Pro iOS - Remote 4 h - 1912001200</t>
  </si>
  <si>
    <t>Jamf forfait JumpStart pour Jamf Pro macOS - 2 journées sur site ( à commander avec ABT-JSMO-INT-2J)</t>
  </si>
  <si>
    <t>ABT-JSMO-INT-2J</t>
  </si>
  <si>
    <r>
      <t xml:space="preserve">Econocom </t>
    </r>
    <r>
      <rPr>
        <sz val="10"/>
        <color theme="1"/>
        <rFont val="Calibri (Corps)"/>
      </rPr>
      <t xml:space="preserve">prestation </t>
    </r>
    <r>
      <rPr>
        <sz val="10"/>
        <color theme="1"/>
        <rFont val="Calibri"/>
        <family val="2"/>
        <scheme val="minor"/>
      </rPr>
      <t>JumpStart pour Jamf Pro macOS - 2 journées sur site - 1912031200</t>
    </r>
  </si>
  <si>
    <t>Econocom prestation JumpStart pour Jamf Pro macOS - 2 journées sur site - 1912031200</t>
  </si>
  <si>
    <t>Jamf forfait JumpStart pour Jamf Pro macOS &amp; iOS - 3 journées sur site ( à commander avec ABT-JSIM-INT-3J)</t>
  </si>
  <si>
    <t>ABT-JSIM-INT-3J</t>
  </si>
  <si>
    <r>
      <rPr>
        <sz val="10"/>
        <color theme="1"/>
        <rFont val="Calibri (Corps)"/>
      </rPr>
      <t>Econocom</t>
    </r>
    <r>
      <rPr>
        <sz val="10"/>
        <color theme="1"/>
        <rFont val="Calibri"/>
        <family val="2"/>
        <scheme val="minor"/>
      </rPr>
      <t xml:space="preserve"> prestation </t>
    </r>
    <r>
      <rPr>
        <sz val="10"/>
        <color theme="1"/>
        <rFont val="Calibri (Corps)"/>
      </rPr>
      <t>JumpStart pour Jamf Pro macOS &amp; iOS - 3 journées sur site - 1912051200</t>
    </r>
  </si>
  <si>
    <t>Econocom prestation JumpStart pour Jamf Pro macOS &amp; iOS - 3 journées sur site - 1912051200</t>
  </si>
  <si>
    <t>Jamf forfait Jumpstart pour Jamf Pro macOS Remote 2+2+4h ( à commander avec ABT-JSMO-INT-2H+2H+4H-W)</t>
  </si>
  <si>
    <t>ABT-JSMO-INT-2H+2H+4H-W</t>
  </si>
  <si>
    <r>
      <t xml:space="preserve">Econocom </t>
    </r>
    <r>
      <rPr>
        <sz val="10"/>
        <color theme="1"/>
        <rFont val="Calibri (Corps)"/>
      </rPr>
      <t>prestation</t>
    </r>
    <r>
      <rPr>
        <sz val="10"/>
        <color theme="1"/>
        <rFont val="Calibri"/>
        <family val="2"/>
        <scheme val="minor"/>
      </rPr>
      <t xml:space="preserve"> Jumpstart pour Jamf Pro macOS Remote 2+2+4h - 1912031201</t>
    </r>
  </si>
  <si>
    <t>Econocom prestation Jumpstart pour Jamf Pro macOS Remote 2+2+4h - 1912031201</t>
  </si>
  <si>
    <t>Jamf Pro macOS éducation - Licence annuelle par poste avec installation sur site (tranche 100 à 9999) - Nouveaux clients</t>
  </si>
  <si>
    <t>Jamf Pro macOS éducation - Licence annuelle par poste avec installation sur site (tranche + 10000) - Nouveaux clients</t>
  </si>
  <si>
    <t>Jamf Pro iOS éducation - Licence annuelle par poste avec installation sur site (tranche 100 à 9999) - Nouveaux clients</t>
  </si>
  <si>
    <t>Jamf Pro iOS éducation - Licence annuelle par poste avec installation sur site (tranche + 10000) - Nouveaux clients</t>
  </si>
  <si>
    <t>Jamf Pro tvOS éducation - Licence annuelle par poste avec installation sur site (tranche 100 à 9999) - Nouveaux clients</t>
  </si>
  <si>
    <t>Jamf Pro tvOS éducation - Licence annuelle par poste avec installation sur site (tranche + 10000) - Nouveaux clients</t>
  </si>
  <si>
    <t>Jamf Pro macOS éducation - Licence cloud annuelle par poste (tranche 100 à 9999) - Nouveaux clients</t>
  </si>
  <si>
    <t>Jamf Pro macOS éducation - Licence cloud annuelle par poste (tranche + 10000) - Nouveaux clients</t>
  </si>
  <si>
    <t>Jamf Pro iOS éducation - Licence cloud annuelle par poste (tranche 100 à 9999) - Nouveaux clients</t>
  </si>
  <si>
    <t>Jamf Pro iOS éducation - Licence cloud annuelle par poste (tranche + 10000) - Nouveaux clients</t>
  </si>
  <si>
    <t>Jamf Pro tvOS éducation - Licence cloud annuelle par poste (tranche 100 à 9999) - Nouveaux clients</t>
  </si>
  <si>
    <t>Jamf Pro tvOS éducation - Licence cloud annuelle par poste (tranche + 10000) - Nouveaux clients</t>
  </si>
  <si>
    <t>Jamf Pro macOS éducation - Renouvellement licence annuelle par poste avec installation sur site (tranche 100 à 9999)</t>
  </si>
  <si>
    <t>Jamf Pro macOS éducation - Renouvellement licence annuelle par poste avec installation sur site (tranche + 10000)</t>
  </si>
  <si>
    <t>Jamf Pro iOS éducation - Renouvellement licence annuelle par poste avec installation sur site (tranche 100 à 9999)</t>
  </si>
  <si>
    <t>Jamf Pro iOS éducation - Renouvellement licence annuelle par poste avec installation sur site (tranche + 10000)</t>
  </si>
  <si>
    <t>Jamf Pro tvOS éducation - Renouvellement licence annuelle par poste avec installation sur site (tranche 100 à 9999)</t>
  </si>
  <si>
    <t>Jamf Pro tvOS éducation - Renouvellement licence annuelle par poste avec installation sur site (tranche + 10000)</t>
  </si>
  <si>
    <t>Jamf Pro macOS éducation - Renouvellement licence cloud annuelle par poste (tranche 100 à 9999)</t>
  </si>
  <si>
    <t>Jamf Pro macOS éducation - Renouvellement licence cloud annuelle par poste (tranche + 10000)</t>
  </si>
  <si>
    <t>Jamf Pro iOS éducation - Renouvellement licence cloud annuelle par poste (tranche 100 à 9999)</t>
  </si>
  <si>
    <t>Jamf Pro iOS éducation - Renouvellement licence cloud annuelle par poste (tranche + 10000)</t>
  </si>
  <si>
    <t>Jamf Pro tvOS éducation - Renouvellement licence cloud annuelle par poste (tranche 100 à 9999)</t>
  </si>
  <si>
    <t>Jamf Pro tvOS éducation - Renouvellement licence cloud annuelle par poste (tranche + 10000)</t>
  </si>
  <si>
    <t>ZU-IOS-CLOUD-ACA</t>
  </si>
  <si>
    <t>Jamf School licence Cloud par poste - année académique (du 01/08 au 31/07)</t>
  </si>
  <si>
    <t>ZU-IOS-CLOUD-CIV</t>
  </si>
  <si>
    <t>Jamf School licence Cloud par poste - année civile (du 01/01 au 31/12)</t>
  </si>
  <si>
    <t>ZU-IOS-CLOUD-CPLT</t>
  </si>
  <si>
    <t>Jamf School licence Cloud par poste - année complète (valable 12 mois à partir de la date d’achat)</t>
  </si>
  <si>
    <t>ZU-IOS-CLOUD-PERP</t>
  </si>
  <si>
    <t>Jamf School Licence Cloud perpétuelle par poste</t>
  </si>
  <si>
    <t>ABT-JSIO-INT-3J</t>
  </si>
  <si>
    <r>
      <t xml:space="preserve">Econocom </t>
    </r>
    <r>
      <rPr>
        <sz val="10"/>
        <color theme="1"/>
        <rFont val="Calibri (Corps)"/>
      </rPr>
      <t>prestation</t>
    </r>
    <r>
      <rPr>
        <sz val="10"/>
        <color theme="1"/>
        <rFont val="Calibri"/>
        <family val="2"/>
        <scheme val="minor"/>
      </rPr>
      <t xml:space="preserve"> Jamf School pack démarrage iPadOS - 3 jours (2 jours à distance + 1j sur site)</t>
    </r>
  </si>
  <si>
    <t>Econocom prestation Jamf School pack démarrage iPadOS - 3 jours (2 jours à distance + 1j sur site)</t>
  </si>
  <si>
    <t>Jamf Connect EDU tranche 1 à 9999</t>
  </si>
  <si>
    <t>Jamf Connect EDU 10000+</t>
  </si>
  <si>
    <t>Jamf Connect EDU 1 à 9999 - Renouvellement</t>
  </si>
  <si>
    <t>Jamf Connect EDU 10000+ Renouvellement</t>
  </si>
  <si>
    <t>Jamf Connect for macOS configuration &amp; installation - Remote 4 h ( à commander avec ABT-JACO-EXT-4H-W)</t>
  </si>
  <si>
    <t>ABT-JACO-EXT-4H-W</t>
  </si>
  <si>
    <r>
      <t xml:space="preserve">Econocom </t>
    </r>
    <r>
      <rPr>
        <sz val="10"/>
        <color theme="1"/>
        <rFont val="Calibri (Corps)"/>
      </rPr>
      <t>prestation</t>
    </r>
    <r>
      <rPr>
        <sz val="10"/>
        <color theme="1"/>
        <rFont val="Calibri"/>
        <family val="2"/>
        <scheme val="minor"/>
      </rPr>
      <t xml:space="preserve"> Jamf Connect for macOS configuration &amp; installation - Remote 4 h - 1912101220</t>
    </r>
  </si>
  <si>
    <t>Econocom prestation Jamf Connect for macOS configuration &amp; installation - Remote 4 h - 1912101220</t>
  </si>
  <si>
    <t>7768328-EDU</t>
  </si>
  <si>
    <t>Jamf Protect Education Licence macOS Education</t>
  </si>
  <si>
    <t>7768328-EDU-1</t>
  </si>
  <si>
    <t>Jamf Protect Education Renouvellement Licence macOS Education</t>
  </si>
  <si>
    <t>ABT-JPRO-WEBEX-4H</t>
  </si>
  <si>
    <r>
      <t xml:space="preserve">Econocom </t>
    </r>
    <r>
      <rPr>
        <sz val="10"/>
        <color theme="1"/>
        <rFont val="Calibri (Corps)"/>
      </rPr>
      <t>prestation</t>
    </r>
    <r>
      <rPr>
        <sz val="10"/>
        <color theme="1"/>
        <rFont val="Calibri"/>
        <family val="2"/>
        <scheme val="minor"/>
      </rPr>
      <t xml:space="preserve"> Jamf Protect à distance webex 4h (2h+2h)</t>
    </r>
  </si>
  <si>
    <t>Econocom prestation Jamf Protect à distance webex 4h (2h+2h)</t>
  </si>
  <si>
    <t>Jamf Formation par personne niveau 200, 300, or 400</t>
  </si>
  <si>
    <t>Vert: Nouveauté - Rouge: Suppression - Jaune: Modification</t>
  </si>
  <si>
    <t>Prestations de marquage et étiquetage (Gravure, Etiquetage, Rapports, Marquage Antivol, …)</t>
  </si>
  <si>
    <t>30200000-29</t>
  </si>
  <si>
    <t>IA52</t>
  </si>
  <si>
    <t>MI5-ETIQUETTE</t>
  </si>
  <si>
    <t>Fourniture et pose d'une étiquette avec logo de l'établissement, numéro de série et adresse MAC</t>
  </si>
  <si>
    <t>Services</t>
  </si>
  <si>
    <t>MI5-ETAB-ETIQ3_1</t>
  </si>
  <si>
    <t>Fourniture et pose d'une étiquette code barre avec logo et mention texte « Propriété de » avec numéro d’inventaire. Envoi d’un fichier de rapport de suivi.</t>
  </si>
  <si>
    <t>MI5-ETAB-ETIQ3_2</t>
  </si>
  <si>
    <t>Fourniture et pose d'une étiquette code barre avec logo et mention texte de l'établissement, numéro d’inventaire, numéro de commande, date fin de garantie. Envoi d’un fichier de rapport de suivi.</t>
  </si>
  <si>
    <t>MI5-ETAB-ETIQ3_3</t>
  </si>
  <si>
    <t>Fourniture et pose d'une étiquette code barre avec mention texte "Établissement", numéro d’inventaire, numéro de commande, adresse MAC et numéro de série. Envoi d’un fichier de rapport de suivi.</t>
  </si>
  <si>
    <t>MI5-STOPTRACK</t>
  </si>
  <si>
    <t>Fourniture et pose d'une plaque StopTrack avec identification marché et numéro d'identification</t>
  </si>
  <si>
    <t>MI5-GRAVURE</t>
  </si>
  <si>
    <t>Gravure laser logo vectoriel ou texte unitaire - tranche de 1 à 100</t>
  </si>
  <si>
    <t>MI5-SERIG-INT-1</t>
  </si>
  <si>
    <t>Marquage par sérigraphie</t>
  </si>
  <si>
    <t>GDLASER</t>
  </si>
  <si>
    <t>MI5-INST-BUG-BA-TR1</t>
  </si>
  <si>
    <t>Installation basique 1 poste</t>
  </si>
  <si>
    <t>BUGBUSTER</t>
  </si>
  <si>
    <t>ABT-INST-BUG-BA-TR1</t>
  </si>
  <si>
    <t>MI5-INST-BUG-BA-TR2-6</t>
  </si>
  <si>
    <t>Installation basique tranche 2 à 5 postes</t>
  </si>
  <si>
    <t>ABT-INST-BUG-BA-TR2-6</t>
  </si>
  <si>
    <t>MI5-INST-BUG-BA-TR6-9</t>
  </si>
  <si>
    <t>Installation basique tranche  6 à 9 postes</t>
  </si>
  <si>
    <t>ABT-INST-BUG-BA-TR6-9</t>
  </si>
  <si>
    <t>MI5-INST-BUG-BA-TR&gt;10</t>
  </si>
  <si>
    <t>Installation basique tranche 10 postes et plus</t>
  </si>
  <si>
    <t>MI5-INST-BUG-AV-TR1</t>
  </si>
  <si>
    <t>Installation avancée 1 poste</t>
  </si>
  <si>
    <t>ABT-INST-BUG-AV-TR1</t>
  </si>
  <si>
    <t>MI5-INST-BUG-AV-TR2-5</t>
  </si>
  <si>
    <t>Installation avancée tranche 2 à 5 postes</t>
  </si>
  <si>
    <t>ABT-INST-BUG-AV-TR2-5</t>
  </si>
  <si>
    <t>MI5-INST-BUG-AV-TR6-9</t>
  </si>
  <si>
    <t>Installation avancée tranche  6 à 9 postes</t>
  </si>
  <si>
    <t>ABT-INST-BUG-AV-TR6-9</t>
  </si>
  <si>
    <t>MI5-INST-BUG-AV-TR&gt;10</t>
  </si>
  <si>
    <t>Installation avancée tranche 10 postes et plus</t>
  </si>
  <si>
    <t>ABT-INST-BUG-AV-TR&gt;10</t>
  </si>
  <si>
    <t>MI5-INST-BUG-LOG-NIV1-TR1</t>
  </si>
  <si>
    <t>Installation logicielle seule  1 poste</t>
  </si>
  <si>
    <t>ABT-INST-BUG-LOG-NIV1-TR1</t>
  </si>
  <si>
    <t>MI5-INST-BUG-LOG-NIV1-TR2-5</t>
  </si>
  <si>
    <t>Installation logicielle seule tranche 2 à 5 postes</t>
  </si>
  <si>
    <t>ABT-INST-BUG-LOG-NIV1-TR2-5</t>
  </si>
  <si>
    <t>MI5-INST-BUG-LOG-NIV1-TR6-9</t>
  </si>
  <si>
    <t>Installation logicielle seule tranche  6 à 9 postes</t>
  </si>
  <si>
    <t>ABT-INST-BUG-LOG-NIV1-TR6-9</t>
  </si>
  <si>
    <t>MI5-BUG-LOG-NIV1-TR&gt;10</t>
  </si>
  <si>
    <t>Installation logicielle seule tranche 10 postes et plus</t>
  </si>
  <si>
    <t>MI5-BUG-LOG-NIV2-TR1</t>
  </si>
  <si>
    <t>Installation logicielle concomitante à une installation physique  1 poste</t>
  </si>
  <si>
    <t>MI5-BUG-LOG-NIV2-TR2-5</t>
  </si>
  <si>
    <t>Installation logicielle concomitante tranche 2 à 5 postes</t>
  </si>
  <si>
    <t>MI5-BUG-LOG-NIV2-TR6-9</t>
  </si>
  <si>
    <t>Installation logicielle concomitante tranche  6 à 9 postes</t>
  </si>
  <si>
    <t>MI5-BUG-LOG-NIV2-TR&gt;10</t>
  </si>
  <si>
    <t>Installation logicielle concomitante tranche 10 postes et plus</t>
  </si>
  <si>
    <t>MI5-CLEAN-BUG-SITE</t>
  </si>
  <si>
    <t>Blanchiment sur site prestation associée à l'installation physique - prix par disque</t>
  </si>
  <si>
    <t>ABT-CLEAN-BUG-SITE</t>
  </si>
  <si>
    <t>MI5-SAVE-BUG</t>
  </si>
  <si>
    <t>Rétention de disque dans le cadre de la garantie</t>
  </si>
  <si>
    <t>ABT-SAVE-BUG</t>
  </si>
  <si>
    <t>MI5-DESTROY-BUG-SITE</t>
  </si>
  <si>
    <t xml:space="preserve">Destruction de disque sur site / 1er disque </t>
  </si>
  <si>
    <t>ABT-DESTROY-BUG-SITE</t>
  </si>
  <si>
    <t>MI5-DESTROY-BUG-DD</t>
  </si>
  <si>
    <t>Destruction d'un disque supplémentaire sur site</t>
  </si>
  <si>
    <t>ABT-DESTROY-BUG-DD</t>
  </si>
  <si>
    <t>MI5-TRANSFER-BUG-TR1</t>
  </si>
  <si>
    <t>Transfert de données utilisateur 1 poste</t>
  </si>
  <si>
    <t>ABT-TRANSFER-BUG-TR1</t>
  </si>
  <si>
    <t>MI5-TRANSFER-BUG-TR2-5</t>
  </si>
  <si>
    <t>Transfert de données utilisateur tranche 2 à 5 postes</t>
  </si>
  <si>
    <t>ABT-TRANSFER-BUG-TR2-5</t>
  </si>
  <si>
    <t>MI5-TRANSFER-BUG-TR6-9</t>
  </si>
  <si>
    <t>Transfert de données utilisateur tranche  6 à 9 postes</t>
  </si>
  <si>
    <t>ABT-TRANSFER-BUG-TR6-9</t>
  </si>
  <si>
    <t>MI5-TRANSFER-BUG-TR&gt;10</t>
  </si>
  <si>
    <t>Transfert de données utilisateur tranche 10 postes et plus</t>
  </si>
  <si>
    <t>ABT-TRANSFER-BUG-TR&gt;10</t>
  </si>
  <si>
    <t>MI5-SAVE-CARBONITE-1Y</t>
  </si>
  <si>
    <t>Sauvegarde en ligne des données - Carbonite (1an)</t>
  </si>
  <si>
    <t>ABT-SAVE-CARBONITE-1Y</t>
  </si>
  <si>
    <t>MI5-SAVE-CARBONITE-3Y</t>
  </si>
  <si>
    <t>Sauvegarde en ligne des données - Carbonite (3 ans)</t>
  </si>
  <si>
    <t>ABT-SAVE-CARBONITE-3Y</t>
  </si>
  <si>
    <t>MI5-REP-BUG-MAC</t>
  </si>
  <si>
    <t>Reprise machine pour mise à disposition</t>
  </si>
  <si>
    <t>ABT-REP-BUG-MAC</t>
  </si>
  <si>
    <t>MI5-REP-BUG-MAC-BL</t>
  </si>
  <si>
    <t>Reprise machine + blanchiment atelier</t>
  </si>
  <si>
    <t>ABT-REP-BUG-MAC-BL</t>
  </si>
  <si>
    <t>MI5-EXP-BUG-MAC</t>
  </si>
  <si>
    <t>Expédition poste repris vers établissement</t>
  </si>
  <si>
    <t>ABT-EXP-BUG-MAC</t>
  </si>
  <si>
    <t>MI5-TCO-BUG-IPADOS-2H</t>
  </si>
  <si>
    <t>﻿Forfait transfert de compétence iPadOS  2 heures sur site - mono utilisateur</t>
  </si>
  <si>
    <t>ABT-TCO-BUG-IPADOS-2H</t>
  </si>
  <si>
    <t>MI5-TCO-BUG-IPADOS-1/2J</t>
  </si>
  <si>
    <t>﻿Forfait transfert de compétence iPadOS  1/2 journée sur site - mono utilisateur</t>
  </si>
  <si>
    <t>ABT-TCO-BUG-IPADOS-1/2J</t>
  </si>
  <si>
    <t>MI5-TCO-BUG-IPADOS-1J</t>
  </si>
  <si>
    <t>﻿Forfait transfert de compétence iPadOS  1 journée sur site - mono utilisateur</t>
  </si>
  <si>
    <t>ABT-TCO-BUG-IPADOS-1J</t>
  </si>
  <si>
    <t>MI5-TCO-BUG-MACOS-2H</t>
  </si>
  <si>
    <t>﻿Forfait transfert de compétence macOS  2 heures sur site - mono utilisateur</t>
  </si>
  <si>
    <t>ABT-TCO-BUG-MACOS-2H</t>
  </si>
  <si>
    <t>MI5-TCO-BUG-MACOS-1/2J</t>
  </si>
  <si>
    <t>﻿Forfait transfert de compétence macOS  1/2 journée sur site - mono utilisateur</t>
  </si>
  <si>
    <t>ABT-TCO-BUG-MACOS-1/2J</t>
  </si>
  <si>
    <t>MI5-TCO-BUG-MACOS-1J</t>
  </si>
  <si>
    <t>﻿Forfait transfert de compétence macOS  1 journée sur site - mono utilisateur</t>
  </si>
  <si>
    <t>ABT-TCO-BUG-MACOS-1J</t>
  </si>
  <si>
    <t>MI5-TECH-BUG-SITE-2H</t>
  </si>
  <si>
    <t>﻿Forfait mise à disposition 2 heures sur site d'un technicien niveau 2</t>
  </si>
  <si>
    <t>ABT-TECH-BUG-SITE-2H</t>
  </si>
  <si>
    <t>MI5-TECH-BUG-SITE-1/2J</t>
  </si>
  <si>
    <t>﻿Forfait mise à disposition 1/2 journée sur site d'un technicien niveau 2</t>
  </si>
  <si>
    <t>ABT-TECH-BUG-SITE-1/2J</t>
  </si>
  <si>
    <t>MI5-TECH-BUG-SITE-1J</t>
  </si>
  <si>
    <t>﻿Forfait mise à disposition 1 journée sur site d'un technicien niveau 2</t>
  </si>
  <si>
    <t>ABT-TECH-BUG-SITE-1J</t>
  </si>
  <si>
    <t>SSD-ING-MI5-DRIVE-1J</t>
  </si>
  <si>
    <t>Forfait mise à disposition ingénieur technique niveau 3 - 1 journée sur site (frais de déplacement non inclus)</t>
  </si>
  <si>
    <t>SSD-ING-MI5-DRIVE -1H-W</t>
  </si>
  <si>
    <t>Forfait Webex Ingénieur 1h</t>
  </si>
  <si>
    <t>SSD-ING-MI5-DRIVE-1/2J-W</t>
  </si>
  <si>
    <t>Forfait Webex Ingénieur 1/2 journée</t>
  </si>
  <si>
    <t>SSD-ING-MI5-DRIVE-1J-W</t>
  </si>
  <si>
    <t>Forfait Webex Ingénieur 1 journée</t>
  </si>
  <si>
    <t>SSD-ACCMOS-MI5-DRIVE-2H-W</t>
  </si>
  <si>
    <t>Forfait Webex Prise en main de l'environnement macOS 2H</t>
  </si>
  <si>
    <t>SSD-ING-MI5-DRIVE-1/2J</t>
  </si>
  <si>
    <t>Forfait mise à disposition ingénieur technique niveau 3 – 1/2 journée sur site</t>
  </si>
  <si>
    <t>ABT-CDP-BUG-SITE-1J</t>
  </si>
  <si>
    <t>﻿Forfait mise à disposition 1 journée Chef de Projet</t>
  </si>
  <si>
    <t>ABT-COR-BUG-SITE-1J</t>
  </si>
  <si>
    <t>﻿Forfait mise à disposition 1 journée Coordinateur</t>
  </si>
  <si>
    <t>ABT-TAM-PCARE</t>
  </si>
  <si>
    <t>Technical Account Manager dédié</t>
  </si>
  <si>
    <t>ABT-RECYC-PAPREC-1POSTE</t>
  </si>
  <si>
    <t>Gestion des emballages (enlèvement des cartons pour un poste)</t>
  </si>
  <si>
    <t>PAPREC</t>
  </si>
  <si>
    <t>ABT-RECYC-PAPREC-VRAC</t>
  </si>
  <si>
    <t>Traitement des emballages  en vrac &lt; 3m3</t>
  </si>
  <si>
    <t>ABT-RECYC-PAPREC&lt;3m3</t>
  </si>
  <si>
    <t>Collecte vrac DEEE et recyclage &lt; 3m3</t>
  </si>
  <si>
    <t>ABT-RECYC-PAPREC&lt;4-7m3</t>
  </si>
  <si>
    <t>Collecte vrac DEEE et recyclage de 4 m3 à 7m3</t>
  </si>
  <si>
    <t>ABT-RECYC-PAPREC&lt;8-15m3</t>
  </si>
  <si>
    <t>Collecte vrac DEEE et recyclage de 8 m3 à 15m3</t>
  </si>
  <si>
    <t>ABT-DEEE-PAPREC</t>
  </si>
  <si>
    <t>Manutention complexe collecte DEEE</t>
  </si>
  <si>
    <t>ABT-D3BOX-PAPREC-GF</t>
  </si>
  <si>
    <t>D3BOX grand format</t>
  </si>
  <si>
    <t>ABT-D3BOX-PAPREC-PF</t>
  </si>
  <si>
    <t>D3BOX petit format</t>
  </si>
  <si>
    <t>ABT-RECYC-PAPREC-BOX</t>
  </si>
  <si>
    <t>Box cartouches d'impression</t>
  </si>
  <si>
    <t>ABT-RECYC-PAPREC-LUMIBOX</t>
  </si>
  <si>
    <t>Lumibox (Boîte de recyclages pour des ampoules usagées)</t>
  </si>
  <si>
    <t>ABT-TRACK-PAPREC</t>
  </si>
  <si>
    <t>Traçabilité numéros de série DEEE</t>
  </si>
  <si>
    <t>ABT-REPORT-PAPREC</t>
  </si>
  <si>
    <t>Reporting environnemental</t>
  </si>
  <si>
    <t>ABT-DESTROY-PAPREC-ZONE1-SITE</t>
  </si>
  <si>
    <t>Camion broyeur sur site - Zone 1</t>
  </si>
  <si>
    <t>ABT-DESTROY-PAPREC-ZONE2-SITE</t>
  </si>
  <si>
    <t>Camion broyeur sur site - Zone 2</t>
  </si>
  <si>
    <t>ABT-DESTROY-PAPREC-ZONE3-SITE</t>
  </si>
  <si>
    <t>Camion broyeur sur site - Zone 3</t>
  </si>
  <si>
    <t>ABT-RECYC-GREEN-TR1 à 1999</t>
  </si>
  <si>
    <t>Offre Watt's green de 1 à 1999 assets</t>
  </si>
  <si>
    <t>ABT-RECYC-GREEN-TR2000 à 4999</t>
  </si>
  <si>
    <t>Offre Watt's green de 2000 à 4999 assets</t>
  </si>
  <si>
    <t>ABT-RECYC-GREEN-TR5000 à 9999</t>
  </si>
  <si>
    <t>Offre Watt's green de 5000 à 9999 assets</t>
  </si>
  <si>
    <t>ABT-RECYC-GREEN-TR10000 à 14999</t>
  </si>
  <si>
    <t>Offre Watt's green de 10 000 à 14 999 assets</t>
  </si>
  <si>
    <t>ABT-RECYC-GREEN-TR150000 à 20000</t>
  </si>
  <si>
    <t>Offre Watt's green de 15 000 à 20 000 assets</t>
  </si>
  <si>
    <t>ABT-CEG-1J</t>
  </si>
  <si>
    <t>Consultant Expert Green IT - 1 journée ( visio conférence)</t>
  </si>
  <si>
    <t>ABT-FORM-APF</t>
  </si>
  <si>
    <t>Formation APF - Pratiques en matière d’accessibilité des outils numériques</t>
  </si>
  <si>
    <t>AppleCare OS Support</t>
  </si>
  <si>
    <t>D5690ZM/A</t>
  </si>
  <si>
    <t>AppleCare OS Support Preferred (1 Year) contrat de garantie 12 heures par jour / 7 jours par semaine pour macOS, macOS server, iOS, iPadOS (n.b illimité d'incidents - réponse sous 2 h, chargé de compte AppleCare dédié au client, intervention sur un seul site)</t>
  </si>
  <si>
    <t>AppleCare</t>
  </si>
  <si>
    <t>D6408Z/A</t>
  </si>
  <si>
    <t>AppleCare OS Support Preferred (2 Years) contrat de garantie 12 heures par jour / 7 jours par semaine pour macOS, macOS server, iOS, iPadOS (nbr illimité d'incidents - réponse sous 2 h, chargé de compte AppleCare dédié au client, intervention sur un seul site)</t>
  </si>
  <si>
    <t>D5692ZM/A</t>
  </si>
  <si>
    <t>AppleCare OS Support Preferred (3 Years) contrat de garantie 12 heures par jour / 7 jours par semaine pour macOS, macOS server, iOS, iPadOS (n.b illimité d'incidents - réponse sous 2 h, chargé de compte AppleCare dédié au client, intervention sur un seul site)</t>
  </si>
  <si>
    <t>D6602ZM/A</t>
  </si>
  <si>
    <t>AppleCare OS Support Select (1 Year) contrat de garantie 12 heures par jour / 7 jours par semaine pour macOS, macOS server, iOS, iPadOS (10 incidents - réponse sous 4 h, chargé de compte AppleCare dédié au client, intervention sur un seul site)</t>
  </si>
  <si>
    <t>D6152Z/A</t>
  </si>
  <si>
    <t>AppleCare OS Support Select (2 Years) contrat de garantie 12 heures par jour / 7 jours par semaine pour macOS, macOS server, iOS, iPadOS (10 incidents - réponse sous 4 h, chargé de compte AppleCare dédié au client, intervention sur un seul site)</t>
  </si>
  <si>
    <t>D5845Z/A</t>
  </si>
  <si>
    <t>AppleCare OS Support Select (3 Years) contrat de garantie 12 heures par jour / 7 jours par semaine pour macOS, macOS server, iOS, iPadOS (10 incidents - réponse sous 4 h, chargé de compte AppleCare dédié au client, intervention sur un seul site)</t>
  </si>
  <si>
    <t>D5691ZM/A</t>
  </si>
  <si>
    <t>AppleCare OS Support Alliance (1 Year) contrat de garantie 12 heures par jour / 7 jours par semaine pour macOS, macOS server, iOS, iPadOS (n.b illimité d'incidents - réponse sous 1 h, chargé de compte AppleCare dédié au client, intervention sur multi sites)</t>
  </si>
  <si>
    <t>D5865ZM/A</t>
  </si>
  <si>
    <t>AppleCare OS Support Alliance (2 Years) contrat de garantie 12 heures par jour / 7 jours par semaine pour macOS, macOS server, iOS, iPadOS (n.b illimité d'incidents - réponse sous 1 h, chargé de compte AppleCare dédié au client, intervention sur multi sites)</t>
  </si>
  <si>
    <t>D5693ZM/A</t>
  </si>
  <si>
    <t>AppleCare OS Support Alliance (3 Years) contrat de garantie 12 heures par jour / 7 jours par semaine pour macOS, macOS server, iOS, iPadOS (n.b illimité d'incidents - réponse sous 1 h, chargé de compte AppleCare dédié au client, intervention sur multi sites)</t>
  </si>
  <si>
    <t>D8080Z/A</t>
  </si>
  <si>
    <t>AppleCare Help Desk Support - contrat d'assistance téléphonique 12 heures par jour / 7 jours par semaine pour macOS, macOS server, iOS, iPadOS - 1 an</t>
  </si>
  <si>
    <t>D8082Z/A</t>
  </si>
  <si>
    <t>AppleCare Help Desk Support - contrat d'assistance téléphonique 12 heures par jour / 7 jours par semaine pour macOS, macOS server, iOS, iPadOS - 2 ans</t>
  </si>
  <si>
    <t>D8084Z/A</t>
  </si>
  <si>
    <t>AppleCare Help Desk Support - contrat d'assistance téléphonique 12 heures par jour / 7 jours par semaine pour macOS, macOS server, iOS, iPadOS - 3ans</t>
  </si>
  <si>
    <t>OFFRE LOCATIVE RESERVEE AUX ÉTABLISSEMENTS SIGNATAIRES D'UN MARCHE SUBSÉQUENT DE LOCATION</t>
  </si>
  <si>
    <t>Loyer trimestriel HT</t>
  </si>
  <si>
    <t>Option d'achat HT</t>
  </si>
  <si>
    <t>Coefficient trimestriel</t>
  </si>
  <si>
    <t>Catégories</t>
  </si>
  <si>
    <t>Référence</t>
  </si>
  <si>
    <t>Prix de vente HT (garantie 5 ans incluse)</t>
  </si>
  <si>
    <t>12 mois</t>
  </si>
  <si>
    <t>24 mois</t>
  </si>
  <si>
    <t>36 mois</t>
  </si>
  <si>
    <t>48 mois</t>
  </si>
  <si>
    <t>cat1config1_MacBook Air 13“ M2</t>
  </si>
  <si>
    <t>MI5-MBA-13-1-E-CARE</t>
  </si>
  <si>
    <t>MI5-MBA-13-2-E-CARE</t>
  </si>
  <si>
    <t>MI5-MBA-13-3-E-CARE</t>
  </si>
  <si>
    <t>MI5-MBA-13-4-E-CARE</t>
  </si>
  <si>
    <t>cat2config1_MacBook Pro 13“ M2</t>
  </si>
  <si>
    <t>MI5-MBP-13-1-E-CARE</t>
  </si>
  <si>
    <t>MI5-MBP-13-2-E-CARE</t>
  </si>
  <si>
    <t>MI5-MBP-13-3-E-CARE</t>
  </si>
  <si>
    <t>MI5-MBP-13-4-E-CARE</t>
  </si>
  <si>
    <t>cat2config3_MacBook Pro 14“</t>
  </si>
  <si>
    <t>MI5-MBP-14-1-E-CARE</t>
  </si>
  <si>
    <t>MI5-MBP-14-2-E-CARE</t>
  </si>
  <si>
    <t>MI5-MBP-14-3-E-CARE</t>
  </si>
  <si>
    <t>MI5-MBP-14-4-E-CARE</t>
  </si>
  <si>
    <t>cat2config2_MacBook Pro 16“</t>
  </si>
  <si>
    <t>MI5-MBP-16-1-E-CARE</t>
  </si>
  <si>
    <t>MI5-MBP-16-2-E-CARE</t>
  </si>
  <si>
    <t>MI5-MBP-16-3-E-CARE</t>
  </si>
  <si>
    <t>MI5-MBP-16-4-E-CARE</t>
  </si>
  <si>
    <t>cat3config1_Mac mini</t>
  </si>
  <si>
    <t>MI5-MM-1-E-CARE</t>
  </si>
  <si>
    <t>MI5-MM-2-E-CARE</t>
  </si>
  <si>
    <t>MI5-MM-3-E-CARE</t>
  </si>
  <si>
    <t>MI5-MM-4-E-CARE</t>
  </si>
  <si>
    <t>cat4config1_iMac 24“</t>
  </si>
  <si>
    <t>MI5-IMAC-24-1-E-CARE</t>
  </si>
  <si>
    <t>MI5-IMAC-24-2-E-CARE</t>
  </si>
  <si>
    <t>MI5-IMAC-24-3-E-CARE</t>
  </si>
  <si>
    <t>MI5-IMAC-24-4-E-CARE</t>
  </si>
  <si>
    <t>cat5config2_Mac Pro</t>
  </si>
  <si>
    <t>MI5-MACPRO-1-E-CARE</t>
  </si>
  <si>
    <t>MI5-MACPRO-2-E-CARE</t>
  </si>
  <si>
    <t>MI5-MACPRO-3-E-CARE</t>
  </si>
  <si>
    <t>MI5-MACPRO-4-E-CARE</t>
  </si>
  <si>
    <t xml:space="preserve">cat6config1_iPad mini </t>
  </si>
  <si>
    <t>MI5-IPADMINI-1-E-CARE</t>
  </si>
  <si>
    <t>MI5-IPADMINI-2-E-CARE</t>
  </si>
  <si>
    <t>MI5-IPADMINI-3-E-CARE</t>
  </si>
  <si>
    <t>MI5-IPADMINI-4-E-CARE</t>
  </si>
  <si>
    <t>cat6config2_iPad 10,2"</t>
  </si>
  <si>
    <t>MI5-IPAD-1-E-CARE</t>
  </si>
  <si>
    <t>MI5-IPAD-2-E-CARE</t>
  </si>
  <si>
    <t>MI5-IPAD-3-E-CARE</t>
  </si>
  <si>
    <t>MI5-IPAD-4-E-CARE</t>
  </si>
  <si>
    <t>cat6config3_iPad Pro 11"</t>
  </si>
  <si>
    <t>MI5-IPADPRO11-1-E-CARE</t>
  </si>
  <si>
    <t>MI5-IPADPRO11-2-E-CARE</t>
  </si>
  <si>
    <t>MI5-IPADPRO11-3-E-CARE</t>
  </si>
  <si>
    <t>MI5-IPADPRO11-4-E-CARE</t>
  </si>
  <si>
    <t>Mac Studio</t>
  </si>
  <si>
    <t>MI5-MS-1-E-CARE</t>
  </si>
  <si>
    <t>MI5-MS-2-E-CARE</t>
  </si>
  <si>
    <t>MI5-MS-3-E-CARE</t>
  </si>
  <si>
    <t>MI5-MS-4-E-CARE</t>
  </si>
  <si>
    <t>* L'offre de service E-CARE sur les durées 1,2,3 et 4 ans sont valables uniquement pour le modèle locatif</t>
  </si>
  <si>
    <t xml:space="preserve">Le service de Palettisation est facturable au moment de la reprise des équipements </t>
  </si>
  <si>
    <t>Prix unitaire d'achat en €HT</t>
  </si>
  <si>
    <t>Service de Palettisation : récupération des équipements en un lieu unique, en rez-de-chaussée et accessible avec un transpalette. Le prix est exprimé en euro HT par équipement</t>
  </si>
  <si>
    <t>SERVICES DROM COM TARIF N°7 VALIDE AU xx/xx/2023</t>
  </si>
  <si>
    <t>SERVICES DROM COM TARIF N°7 VALIDE AU 03/11/2022</t>
  </si>
  <si>
    <t xml:space="preserve">Libellé de l'article </t>
    <phoneticPr fontId="4" type="noConversion"/>
  </si>
  <si>
    <t>ABT-INST-C2I-BA-TR1</t>
  </si>
  <si>
    <t>C2I</t>
  </si>
  <si>
    <t>ABT-INST-C2I-BA-TR2-6</t>
  </si>
  <si>
    <t>ABT-INST-C2I-BA-TR6-9</t>
  </si>
  <si>
    <t>ABT-INST-C2I-BA-TR&gt;10</t>
  </si>
  <si>
    <t>MI5-INST-C2I-BA-TR&gt;10</t>
  </si>
  <si>
    <t>ABT-INST-C2I-AV-TR1</t>
  </si>
  <si>
    <t>ABT-INST-C2I-AV-TR2-5</t>
  </si>
  <si>
    <t>ABT-INST-C2I-AV-TR6-9</t>
  </si>
  <si>
    <t>ABT-INST-C2I-AV-TR&gt;10</t>
  </si>
  <si>
    <t>ABT-INST-C2I-LOG-NIV1-TR1</t>
  </si>
  <si>
    <t>ABT-INST-C2I-LOG-NIV1-TR2-5</t>
  </si>
  <si>
    <t>ABT-INST-C2I-LOG-NIV1-TR6-9</t>
  </si>
  <si>
    <t>MI5-C2I-LOG-NIV1-TR&gt;10</t>
  </si>
  <si>
    <t>MI5-C2I-LOG-NIV2-TR1</t>
  </si>
  <si>
    <t>MI5-C2I-LOG-NIV2-TR2-5</t>
  </si>
  <si>
    <t>MI5-C2I-LOG-NIV2-TR6-9</t>
  </si>
  <si>
    <t>MI5-C2I-LOG-NIV2-TR&gt;10</t>
  </si>
  <si>
    <t>ABT-CLEAN-C2I-SITE</t>
  </si>
  <si>
    <t>Blanchiment sur site prestation associée à l'installation physique - prix par disque (retour atelier C2I)</t>
  </si>
  <si>
    <t>ABT-DESTROY-C2I-SITE</t>
  </si>
  <si>
    <t>Destruction de disque sur site / 1er disque (retour atelier C2I)</t>
  </si>
  <si>
    <t>ABT-DESTROY-C2I-DD</t>
  </si>
  <si>
    <t>Destruction d'un disque supplémentaire sur site (retour atelier C2i)</t>
  </si>
  <si>
    <t>ABT-TRANSFER-C2I-TR1</t>
  </si>
  <si>
    <t>Transfert de données utilisateur 1 poste retour atelier C2I</t>
  </si>
  <si>
    <t>ABT-TRANSFER-C2I-TR2-5</t>
  </si>
  <si>
    <t>Transfert de données utilisateur tranche 2 à 5 postes retour atelier C2I</t>
  </si>
  <si>
    <t>ABT-TRANSFER-C2I-TR6-9</t>
  </si>
  <si>
    <t>Transfert de données utilisateur tranche  6 à 9 postes retour atelier C2I</t>
  </si>
  <si>
    <t>ABT-TRANSFER-C2I-TR&gt;10</t>
  </si>
  <si>
    <t>Transfert de données utilisateur tranche 10 postes et plus retour atelier C2I</t>
  </si>
  <si>
    <t>ABT-REP-C2I-MAC</t>
  </si>
  <si>
    <t>ABT-REP-C2I-MAC-BL</t>
  </si>
  <si>
    <t>ABT-EXP-C2I-MAC</t>
  </si>
  <si>
    <t>Expédition poste repris vers établissement (sur demande de devis)</t>
  </si>
  <si>
    <t>ABT-TCO-C2I-IPADOS-2H</t>
  </si>
  <si>
    <t>ABT-TCO-C2I-IPADOS-1/2J</t>
  </si>
  <si>
    <t>ABT-TCO-C2I-IPADOS-1J</t>
  </si>
  <si>
    <t>ABT-TCO-C2I-MACOS-2H</t>
  </si>
  <si>
    <t>ABT-TCO-C2I-MACOS-1/2J</t>
  </si>
  <si>
    <t>ABT-TCO-C2I-MACOS-1J</t>
  </si>
  <si>
    <t>ABT-TECH-C2I-SITE-2H</t>
  </si>
  <si>
    <t>ABT-TECH-C2I-SITE-1/2J</t>
  </si>
  <si>
    <t>ABT-TECH-C2I-SITE-1J</t>
  </si>
  <si>
    <t>ABT-CDP-C2I-SITE-1J</t>
  </si>
  <si>
    <t>ABT-COR-C2I-SITE-1J</t>
  </si>
  <si>
    <t>Manutention complexe collecte DEEE (uniquement sur devis)</t>
  </si>
  <si>
    <t>RÉCAPITULATIF REMISES MATINFO5</t>
  </si>
  <si>
    <t>REMISES MATINFO5 - APPLE</t>
  </si>
  <si>
    <t>Remise MacBook Air milieu de gamme</t>
  </si>
  <si>
    <t>Remise MacBook Air haut de gamme</t>
  </si>
  <si>
    <t>Remise AppleCare MacBook Air</t>
  </si>
  <si>
    <t>Remise MacBook Air CTO milieu de gamme</t>
  </si>
  <si>
    <t>Remise MacBook Air CTO haut de gamme</t>
  </si>
  <si>
    <t>Remise MacBook Pro 13" 2 ports Thunderbolt 3 entrée de gamme</t>
  </si>
  <si>
    <t>Remise MacBook Pro 13" 2 ports Thunderbolt 3 haut de gamme</t>
  </si>
  <si>
    <t>Remise MacBook Pro 13" 4 ports Thunderbolt 3 entrée de gamme</t>
  </si>
  <si>
    <t>Remise MacBook Pro 13" 4 ports Thunderbolt 3 haut de gamme</t>
  </si>
  <si>
    <t>Remise AppleCare MacBook Pro 13“</t>
  </si>
  <si>
    <t>Remise MacBook Pro 13" 2 ports Thunderbolt 3 entrée de gamme CTO</t>
  </si>
  <si>
    <t>Remise MacBook Pro 13" 2 ports Thunderbolt 3 haut de gamme CTO</t>
  </si>
  <si>
    <t>Remise MacBook Pro 13" 4 ports Thunderbolt 3 entrée de gamme CTO</t>
  </si>
  <si>
    <t>Remise MacBook Pro 13" 4 ports Thunderbolt 3 haut de gamme CTO</t>
  </si>
  <si>
    <t>Remise MacBook Pro 14" entrée de gamme</t>
  </si>
  <si>
    <t>Remise MacBook Pro 14" entrée de gamme CTO</t>
  </si>
  <si>
    <t>Remise MacBook Pro 14" haut de gamme</t>
  </si>
  <si>
    <t>Remise MacBook Pro 14" haut de gamme CTO</t>
  </si>
  <si>
    <t>Remise AppleCare MacBook Pro 14“</t>
  </si>
  <si>
    <t>Remise MacBook Pro 16" entrée de gamme</t>
  </si>
  <si>
    <t>Remise MacBook Pro 16" haut de gamme</t>
  </si>
  <si>
    <t>Remise Mac mini entrée de gamme</t>
  </si>
  <si>
    <t>Remise Mac mini haut de gamme</t>
  </si>
  <si>
    <t>Remise AppleCare mac mini</t>
  </si>
  <si>
    <t>Remise MacBook Pro 16" entrée de gamme CTO</t>
  </si>
  <si>
    <t>Remise MacBook Pro 16" haut de gamme CTO</t>
  </si>
  <si>
    <t>Remise Mac mini entrée de gamme CTO</t>
  </si>
  <si>
    <t>Remise Mac mini haut de gamme CTO</t>
  </si>
  <si>
    <t>Remise MacBook Pro 16" milieu de gamme CTO</t>
  </si>
  <si>
    <t>Remise AppleCare MacBook Pro 16“</t>
  </si>
  <si>
    <t>Remise iMac 21,5" entrée de gamme</t>
  </si>
  <si>
    <t>Remise iMac 21,5" haut de gamme</t>
  </si>
  <si>
    <t>Remise iMac 27" entrée de gamme</t>
  </si>
  <si>
    <t>Remise iMac 27" haut de gamme</t>
  </si>
  <si>
    <t>Remise AppleCare iMac 24“</t>
  </si>
  <si>
    <t>Remise iMac 21,5" entrée de gamme CTO</t>
  </si>
  <si>
    <t>Remise iMac 21,5" haut de gamme CTO</t>
  </si>
  <si>
    <t>Remise iMac 27" entrée de gamme CTO</t>
  </si>
  <si>
    <t>Remise iMac 27" haut de gamme CTO</t>
  </si>
  <si>
    <t>Remise iMac Pro</t>
  </si>
  <si>
    <t>Remise Mac Pro entrée de gamme</t>
  </si>
  <si>
    <t>Remise Mac Studio entrée de gamme</t>
  </si>
  <si>
    <t>Remise Mac Studio haut de gamme</t>
  </si>
  <si>
    <t>Remise AppleCare mac studio</t>
  </si>
  <si>
    <t>Remise iMac Pro CTO</t>
  </si>
  <si>
    <t>Remise Mac Pro entrée de gamme CTO</t>
  </si>
  <si>
    <t>Remise Mac Studio entrée de gamme CTO</t>
  </si>
  <si>
    <t>Remise Mac Studio haut de gamme CTO</t>
  </si>
  <si>
    <t>Remise AppleCare mac Pro</t>
  </si>
  <si>
    <t>Remise iPad mini 5</t>
  </si>
  <si>
    <t>Remise iPad 10,2" 32 Go</t>
  </si>
  <si>
    <t>Remise iPad 10,2" 128 Go</t>
  </si>
  <si>
    <t>Remise AppleCare ipad</t>
  </si>
  <si>
    <t>Remise iPad Air 10,5"</t>
  </si>
  <si>
    <t>Remise iPad Pro 11"</t>
  </si>
  <si>
    <t>Remise iPad Pro 12,9"</t>
  </si>
  <si>
    <t>Remise accessoires Apple Mac</t>
  </si>
  <si>
    <t>Remise accessoires Apple iPad</t>
  </si>
  <si>
    <t>Remise accessoires sans DAC</t>
  </si>
  <si>
    <t>Remise Apple TV</t>
  </si>
  <si>
    <t>Remise pencil</t>
  </si>
  <si>
    <t>remise pencil 2</t>
  </si>
  <si>
    <t>Remise accessoires AppleCare</t>
  </si>
  <si>
    <t>Remise logiciels Apple volume</t>
  </si>
  <si>
    <t>Remise accessoires sans CRT</t>
  </si>
  <si>
    <t>Remise cartes vidéo Mac Pro</t>
  </si>
  <si>
    <t>REMISES MATINFO5 - AUTRES</t>
  </si>
  <si>
    <t>Remise accessoires</t>
  </si>
  <si>
    <t>Remise accessoires spécial</t>
  </si>
  <si>
    <t>Remise onduleur</t>
  </si>
  <si>
    <t>Remise ajout RAM</t>
  </si>
  <si>
    <t>Remise stockage</t>
  </si>
  <si>
    <t>Remise clé USB</t>
  </si>
  <si>
    <t>Remise écran Iiyama</t>
  </si>
  <si>
    <t>Remise écran Philips</t>
  </si>
  <si>
    <t>Remise Viewsonic</t>
  </si>
  <si>
    <t>Remise Kallysta Apollo</t>
  </si>
  <si>
    <t>Remise Kallysta Magellan</t>
  </si>
  <si>
    <t>Remise Jamf MDM</t>
  </si>
  <si>
    <t>Remise écran Apple</t>
  </si>
  <si>
    <t>Remise Samsung</t>
  </si>
  <si>
    <t>Stockage externe</t>
  </si>
  <si>
    <t>Clé USB - Disque dur externe - SSD externe - Baie de stockage</t>
  </si>
  <si>
    <t>DTMAX/1TB</t>
  </si>
  <si>
    <t>DTMAX/512GB</t>
  </si>
  <si>
    <t>DTMAX/256GB</t>
  </si>
  <si>
    <t>SDDDC2-032G-G46</t>
  </si>
  <si>
    <t>SANDISK</t>
  </si>
  <si>
    <t>SDDDC2-064G-G46</t>
  </si>
  <si>
    <t>SDDDC2-128G-G46</t>
  </si>
  <si>
    <t>SDDDC2-256G-G46</t>
  </si>
  <si>
    <t>Kingston DataTraveler Max - 256 Go - Clé USB hautes performances (Jusqu’à 1 000 Mo/s) - USB-C 3.2 Gen2</t>
  </si>
  <si>
    <t>Kingston DataTraveler Max - 512 Go - Clé USB hautes performances (Jusqu’à 1 000 Mo/s) - USB-C 3.2 Gen2</t>
  </si>
  <si>
    <t>Kingston DataTraveler Max - 1 To - Clé USB hautes performances (Jusqu’à 1 000 Mo/s) - USB-C 3.2 Gen2</t>
  </si>
  <si>
    <t>MUF-64DA/APC</t>
  </si>
  <si>
    <t>MUF-128DA/APC</t>
  </si>
  <si>
    <t>MUF-256DA/APC</t>
  </si>
  <si>
    <t>Samsung Clé USB (jusqu'à 400 Mo/s) - 64 Go - USB-C 3.1 - Résistant à l'eau</t>
  </si>
  <si>
    <t>Samsung Clé USB (jusqu'à 400 Mo/s) - 128 Go - USB-C 3.1 - Résistant à l'eau</t>
  </si>
  <si>
    <t>Samsung Clé USB (jusqu'à 400 Mo/s) - 256 Go - USB-C 3.1 - Résistant à l'eau</t>
  </si>
  <si>
    <t>Sandisk Ultra Dual Drive - 32 Go - Clé USB (Jusqu'à 150 Mo/s) - USB-C 3.1 et USB-A 3.1</t>
  </si>
  <si>
    <t>Sandisk Ultra Dual Drive - 64 Go - Clé USB (Jusqu'à 150 Mo/s) - USB-C 3.1 et USB-A 3.1</t>
  </si>
  <si>
    <t>Sandisk Ultra Dual Drive - 128 Go - Clé USB (Jusqu'à 150 Mo/s) - USB-C 3.1 et USB-A 3.1</t>
  </si>
  <si>
    <t>Sandisk Ultra Dual Drive - 256 Go - Clé USB (Jusqu'à 150 Mo/s) - USB-C 3.1 et USB-A 3.1</t>
  </si>
  <si>
    <t>Housse de protection pour portable</t>
  </si>
  <si>
    <t>MW-410139</t>
  </si>
  <si>
    <t>MW-410140</t>
  </si>
  <si>
    <t>MW-410142</t>
  </si>
  <si>
    <t>MW-410141</t>
  </si>
  <si>
    <t>MW-410048</t>
  </si>
  <si>
    <t>MW-410135</t>
  </si>
  <si>
    <t>MW-410136</t>
  </si>
  <si>
    <t>MSLDG01</t>
  </si>
  <si>
    <t>MacLocks The Ledge - Adaptateur antivol pour Mac Studio</t>
  </si>
  <si>
    <t>MSLDG01KL</t>
  </si>
  <si>
    <t>MSLDG01CL</t>
  </si>
  <si>
    <t>MacLocks The Ledge - Adaptateur antivol pour Mac Studio + câble de sécurité à clef</t>
  </si>
  <si>
    <t>MacLocks The Ledge - Adaptateur antivol pour Mac Studio + câble de sécurité à code</t>
  </si>
  <si>
    <t>CL15</t>
  </si>
  <si>
    <t>MacLocks - Câble de sécurité à clef - 1,8m - Noir</t>
  </si>
  <si>
    <t>CL15W</t>
  </si>
  <si>
    <t>MacLocks - Câble de sécurité à clef - 1,8m - Blanc</t>
  </si>
  <si>
    <t>CL15C</t>
  </si>
  <si>
    <t>MacLocks - Câble de sécurité spiralée à clef - 1,52m - Noir</t>
  </si>
  <si>
    <t>CL02H</t>
  </si>
  <si>
    <t>MacLocks - Câble de sécurité spiralée double tête à clef - Noir</t>
  </si>
  <si>
    <t>CL37</t>
  </si>
  <si>
    <t>MacLocks - Câble de sécurité à code - 1,8m - Noir</t>
  </si>
  <si>
    <t>CL15CUTL</t>
  </si>
  <si>
    <t>MacLocks - Adaptateur antivol adhésif universel + câble de sécurité spiralée à clef</t>
  </si>
  <si>
    <t>MacLocks - Adaptateur antivol adhésif universel + câble de sécurité à clé</t>
  </si>
  <si>
    <t>TBRPLT</t>
  </si>
  <si>
    <t>MacLocks - Adaptateur antivol adhésif universel</t>
  </si>
  <si>
    <t>CL37UTL</t>
  </si>
  <si>
    <t>MacLocks - Adaptateur antivol adhésif universel + câble de sécurité à code</t>
  </si>
  <si>
    <t>EK1-AU50G</t>
  </si>
  <si>
    <t>MacLocks - Ancre de fixation pour cable antivol</t>
  </si>
  <si>
    <t>ATVEN43</t>
  </si>
  <si>
    <t>MacLocks - Support antivol pour Apple TV HD et 4K 2017 à 2021 - VESA (75x75 - 100 x 100) + kit de sécurité à clé</t>
  </si>
  <si>
    <t>MacLocks - Support antivol pour Apple TV 4K 2022 - VESA (75x75 - 100 x 100) + kit de sécurité à clé</t>
  </si>
  <si>
    <t>AV10175BT2MBKV2</t>
  </si>
  <si>
    <t>WCH010vfBK</t>
  </si>
  <si>
    <t>Belkin Station d’accueil Hub USB-C, HDMI 4K, RJ45, 2xUSB-A, lecteur de carte SD - Pass-Through jusqu'à 100 W</t>
  </si>
  <si>
    <t>WCH011vfWH</t>
  </si>
  <si>
    <t>Belkin - Chargeur GaN jusqu'à 108W - 4 ports - 2xUSB-C et 2xUSB-A - Blanc</t>
  </si>
  <si>
    <t>Belkin - Chargeur GaN jusqu'à 108W - 4 ports - 2xUSB-C et 2xUSB-A - Noir</t>
  </si>
  <si>
    <t>WCH011vfBK</t>
  </si>
  <si>
    <t>WCH013vfWH</t>
  </si>
  <si>
    <t>WCH013vfBK</t>
  </si>
  <si>
    <t>Belkin - BoostCharge Pro jusqu'à 45W - GaN - 2 ports USB-C - Blanc</t>
  </si>
  <si>
    <t>Belkin - BoostCharge Pro jusqu'à 45W - GaN - 2 ports USB-C - Noir</t>
  </si>
  <si>
    <t>Belkin - BoostCharge Pro jusqu'à 65W - GaN - 2 ports USB-C - Noir</t>
  </si>
  <si>
    <t>Belkin - BoostCharge Pro jusqu'à 65W - GaN - 2 ports USB-C - Blanc</t>
  </si>
  <si>
    <t>INC011btWH</t>
  </si>
  <si>
    <t>Belkin CONNECT - Station d'accueil USB-C avec support de fixation adhésif pour iMac - Lecteur de carte SD et micro-SD - 1xUSB-C - 2xUSB-A - Ethernet</t>
  </si>
  <si>
    <t>HDMI0018G-5M</t>
  </si>
  <si>
    <t>DP14VMM1M</t>
  </si>
  <si>
    <t>Belkin câble HDMI - 4K 30 Hz - 5 m - Noir</t>
  </si>
  <si>
    <t>Belkin câble HDMI 2.0 - 4K 60 Hz - 2 m - Noir</t>
  </si>
  <si>
    <t>Belkin câble HDMI 2.1 - 8K 60 Hz et 4K 120Hz - ALLM, VRR, e-ARC, HDR, HDR 10+ et Dolby Vision -  2 m - Noir</t>
  </si>
  <si>
    <t>StarTech câble DisplayPort 1.4 - 8K 60 Hz et 4k 120Hz - 1 m - Noir</t>
  </si>
  <si>
    <t>StarTech câble DisplayPort 1.4 - 8K 60 Hz et 4k 120Hz - 2 m - Noir</t>
  </si>
  <si>
    <t>StarTech câble DisplayPort 1.4 - 8K 60 Hz et 4k 120Hz - 5 m - Noir</t>
  </si>
  <si>
    <t>DP14VMM2M</t>
  </si>
  <si>
    <t>DP14VMM5M</t>
  </si>
  <si>
    <t>CDP2DP141MBD</t>
  </si>
  <si>
    <t>StarTech câble USB-C vers DisplayPort 1.4 - 8K 60 Hz et 4k 120Hz - 1 m - Noir</t>
  </si>
  <si>
    <t>CDP2DP142MBD</t>
  </si>
  <si>
    <t>F4U090btBLK</t>
  </si>
  <si>
    <t>Belkin - Hub USB-C - 2xUSB-C, 2x USB-A - Noir</t>
  </si>
  <si>
    <t>F2CU049BT2M-BLK</t>
  </si>
  <si>
    <t>Belkin Câble USB-C vers USB-A - 3.1 - 10Gbit/s - 1m - Noir</t>
  </si>
  <si>
    <t>INZ001bt0.8MBK</t>
  </si>
  <si>
    <t>Belkin Câble USB-C 4.0 - 40Gbit/s - 0,8m - Noir</t>
  </si>
  <si>
    <t>Belkin Câble USB-C 3.0 - 5Gbit/s - 4K 60Hz - 2m - Noir</t>
  </si>
  <si>
    <t>INZ002BT2MBK</t>
  </si>
  <si>
    <t>Belkin Câble Thunderbolt 4 - 40Gbit/s - 2m - Noir</t>
  </si>
  <si>
    <t>CAB014bt2MWH</t>
  </si>
  <si>
    <t>CAB014bt2MBK</t>
  </si>
  <si>
    <t>CAB014bt3MWH</t>
  </si>
  <si>
    <t>CAB014bt3MBK</t>
  </si>
  <si>
    <t>Belkin Boost Charge - Câble de recharche USB-C - 100 W - 2m - Blanc</t>
  </si>
  <si>
    <t>Belkin Boost Charge - Câble de recharche USB-C - 100 W - 2m - Noir</t>
  </si>
  <si>
    <t>Belkin Boost Charge - Câble de recharche USB-C - 100 W - 3m - Blanc</t>
  </si>
  <si>
    <t>Belkin Boost Charge - Câble de recharche USB-C - 100 W - 3m - Noir</t>
  </si>
  <si>
    <t>AUZ002vfBK</t>
  </si>
  <si>
    <t>NPA004btBK</t>
  </si>
  <si>
    <t>Belkin SoundForm Connect - Adaptateur audio Airplay 2 - Jack 3,5mm femelle et entrée optique - Noir</t>
  </si>
  <si>
    <t>Belkin RockStar - Adaptateur USB-C vers Jack 3,5mm femelle et USB-C - Noir</t>
  </si>
  <si>
    <t>F7U079bt03-BLK</t>
  </si>
  <si>
    <t>BSV102ca</t>
  </si>
  <si>
    <t>BSV400ca2M</t>
  </si>
  <si>
    <t>Belkin prise parafoudre - 1 prise - Blanc et gris</t>
  </si>
  <si>
    <t>Belkin multiprise parafoudre - 4 prises - Blanc et gris</t>
  </si>
  <si>
    <t>BSV603ca2M</t>
  </si>
  <si>
    <t>Belkin multiprise parafoudre - 6 prises - Blanc et gris</t>
  </si>
  <si>
    <t>BSV103ca</t>
  </si>
  <si>
    <t>BSV401ca2M</t>
  </si>
  <si>
    <t>BSV804ca2M</t>
  </si>
  <si>
    <t>Belkin prise parafoudre - 1 prise + 2 ports USB-A - Blanc et gris</t>
  </si>
  <si>
    <t>Belkin multiprise parafoudre - 4 prises + 2 ports USB-A - Blanc et gris</t>
  </si>
  <si>
    <t>Belkin multiprise parafoudre - 8 prises + 2 ports USB-A - Blanc et gris</t>
  </si>
  <si>
    <t>XB2483HSU-B5</t>
  </si>
  <si>
    <t>XUB2792HSU-B5</t>
  </si>
  <si>
    <t>XUB3493WQSU-B5</t>
  </si>
  <si>
    <t>Iiyama moniteur 27'' ProLite - IPS LED - HDMI, DisplayPort, VGA - 16:9 - résolution de 1920x1080, 75Hz, 250 cd/m², contraste de 1 000:1, 4 ms, TCO 8 - Noir</t>
  </si>
  <si>
    <t>Iiyama moniteur 24'' ProLite - VA LED - HDMI, DisplayPort, VGA - 16:9 - résolution de 1920x1080, 75Hz, 250 cd/m², contraste de 3 000:1, 4 ms, TCO 8 - Noir</t>
  </si>
  <si>
    <t>Iiyama moniteur 32" ProLite LED - 4K - HDR (VA, 2xHDMI, 1xDisplayPort, 1 x câble USB - 16:9 résolution 4K 3840 x 2160 à 60 Hz, noir, Energystar)</t>
  </si>
  <si>
    <t>Iiyama moniteur 34'' ProLite - ADS-IPS - 2 x HDMI, DisplayPort - 21:9 - résolution de 3440 x 1440, 75Hz, 400 cd/m², contraste de 1 000:1, 4 ms - Noir</t>
  </si>
  <si>
    <t>Belkin RockStar - Câble USB-C vers jack 3,5mm mâle - 1m - Noir</t>
  </si>
  <si>
    <t>AV10172bt06-BLK</t>
  </si>
  <si>
    <t>Belkin - Câble audio jack 3,5 mm avec connecteur Lightning - 1,8m - Noir</t>
  </si>
  <si>
    <t>F8J212btWHT</t>
  </si>
  <si>
    <t>Belkin RockStar - Adaptateur Lightning vers jack 3,5mm femelle + Lightning - Blanc</t>
  </si>
  <si>
    <t>EDC001</t>
  </si>
  <si>
    <t>B2B118</t>
  </si>
  <si>
    <t>Belkin Tablet Stage - Support pour iPad 7" à 12,9" - Avec application de capture vidéo et de présentation Stage</t>
  </si>
  <si>
    <t>Belkin Portable Tablet Stage - Support pour iPad 7" à 12,9"</t>
  </si>
  <si>
    <t>910-005448</t>
  </si>
  <si>
    <t>Logitech MX Vertical - Souris vertical ergonomique avancée</t>
  </si>
  <si>
    <t>MQLY3ZM/A</t>
  </si>
  <si>
    <t>INMB200749-CLR</t>
  </si>
  <si>
    <t>Incase Hardshell coque de protection transparente pour MacBook Air 13" M2 2022 - Transparent mat</t>
  </si>
  <si>
    <t>Incase Hardshell coque de protection transparente pour MacBook Air 13" M2 2022 - Noir</t>
  </si>
  <si>
    <t>INMB200749-BLK</t>
  </si>
  <si>
    <t>Apple Pencil 1ère génération avec adaptateur USB-C vers ligthning femelle pour iPad (6,7,8,9 et 10e gén.), iPad mini (5e gén.), iPad Air (3e gén.), iPad Pro 9,7", 10,5" et iPad Pro 12,9 (1 et 2e gén.)</t>
  </si>
  <si>
    <t>MI5-FRAIS-HORS-FR-METROP</t>
  </si>
  <si>
    <t>Cotation spécifique de frais de déplacement pour prestation sur site</t>
  </si>
  <si>
    <t>MI5-FRAIS-DRI-VOY</t>
  </si>
  <si>
    <t>Sur devis</t>
  </si>
  <si>
    <t>242B1G/00</t>
  </si>
  <si>
    <t>Philips moniteur écologique 24'' LED B-line (DisplayPort, HDMI, 16:9 résolution 1920 x 1080, 5 ms, noir, très faible consomation)</t>
  </si>
  <si>
    <t>Philips moniteur écologique 24'' IPS W-LED B-line - DisplayPort 1.2, HDMI 1.4, DVI-D, 16:9, résolution 1920 x 1080, 75Hz, 250 cd/m², contraste de 1000:1, 4 ms, très faible consommation - Noir</t>
  </si>
  <si>
    <t>329P1H/00</t>
  </si>
  <si>
    <t>XB402</t>
  </si>
  <si>
    <t>XB401</t>
  </si>
  <si>
    <t>CY4131PBCHE</t>
  </si>
  <si>
    <t>CYGNETT</t>
  </si>
  <si>
    <t>Cygnett ChargeUp Pro - Batterie externe 25.000 mAh - Jusqu'à 118W - 1 x USB-C 100W, 1 x USB-C 18W - 1 x USB-A 18W - Noir</t>
  </si>
  <si>
    <t>Xtorm Titan Pro - Batterie externe 24.000 mAh - Jusqu'à 150W - 1 x USB-C PD 3.1 140W, 1 x USB-C PD 60W, 2 x USB-C PD 30W - Noir</t>
  </si>
  <si>
    <t>Xtorm Titan - Batterie externe 24.000 mAh - Jusqu'à 90W - 1 x USB-C PD 60W, 2 x USB-C PD 30W - Noir</t>
  </si>
  <si>
    <t>ST-U4MGEM</t>
  </si>
  <si>
    <t>Satechi Station d’accueil USB-C 4.0 - 1 HDMI 8K - 2,5 Gbit/s ethernet - 2 USB-C 3.2 pass through 100W - 1 x USB-A 3.2 - 1 Prise Jack 3,5mm - Gris sidéral</t>
  </si>
  <si>
    <t>Satechi adaptateur USB-C vers VGA - Gris sidéral</t>
  </si>
  <si>
    <t>MBALDG04</t>
  </si>
  <si>
    <t>MBALDG04KL</t>
  </si>
  <si>
    <t>MBALDG04CL</t>
  </si>
  <si>
    <t>MacLocks The Ledge - Adaptateur antivol pour MacBook Air 13“ M2</t>
  </si>
  <si>
    <t>MacLocks The Ledge - Adaptateur antivol pour MacBook Air 13“ M2 + câble de sécurité à clé</t>
  </si>
  <si>
    <t>MacLocks The Ledge - Adaptateur antivol pour MacBook Air 13“ M2 + câble de sécurité à code</t>
  </si>
  <si>
    <t>UNVMBPRLDG01</t>
  </si>
  <si>
    <t>MacLocks The Ledge - Adaptateur antivol pour MacBook Pro 13" M1 et M2</t>
  </si>
  <si>
    <t>MacLocks The Ledge - Adaptateur antivol pour MacBook Pro 13" M1 et M2 + câble de sécurité à clé</t>
  </si>
  <si>
    <t>78-80836</t>
  </si>
  <si>
    <t>OtterBox Power Bank fast charge 10 000 Mah - 1 x USB-C 18W, 1 x USB A 18W - Noir</t>
  </si>
  <si>
    <t>OtterBox Power Bank Bundle 5 000 MAh USB A &amp; Micro USB 10W livrée avec cable 3 en 1 (micro, USB C, Lightning) - 1m - Blanc</t>
  </si>
  <si>
    <t>78-80690</t>
  </si>
  <si>
    <t>Urban Factory WEBEE Pro - Webcam USB-A - FULL HD 1080p - Autofocus</t>
  </si>
  <si>
    <t>BMDOKS-BK</t>
  </si>
  <si>
    <t>TUCANO</t>
  </si>
  <si>
    <t>BMDOK-BK</t>
  </si>
  <si>
    <t>BKMESH11-BK</t>
  </si>
  <si>
    <t>BKMESH1314-BK</t>
  </si>
  <si>
    <t>BKTED1314-BK</t>
  </si>
  <si>
    <t>Tucano MODO 15" - Sac à dos pour Mac 15" et 16" - Intérieur vert, extérieur noir</t>
  </si>
  <si>
    <t>Tucano MODO 14" - Sac à dos pour Mac 13" et 14" - Intérieur vert, extérieur noir</t>
  </si>
  <si>
    <t>Tucano TED 14" - Sac à dos en plastique recyclé pour Mac 13" et 14" - Intérieur orange, extérieur gris foncé</t>
  </si>
  <si>
    <t>Tucano MESH 11" - Sac à dos en plastique recyclé pour iPad jusqu'à 11" - Intérieur noir, extérieur noir</t>
  </si>
  <si>
    <t>BKLON2-L-O</t>
  </si>
  <si>
    <t>Tucano LONTRA 30L - Sac à dos flottant en plastique recyclé - Fourni avec un sous sac étanche amovible de 2L et un de 15L - Orange</t>
  </si>
  <si>
    <t>BKBZ17-AGS-BK</t>
  </si>
  <si>
    <t>Tucano BIZIP AGS - Sac à dos pour ordinateur portable jusqu'à 17"- Avec Anti Gravity System - Intérieur kaki, extérieur noir</t>
  </si>
  <si>
    <t>BKBRA-AGS-BK</t>
  </si>
  <si>
    <t>Tucano BRAVO GRAVITY - Sac à dos pour Mac 15" et 16" - Intérieur noir, extérieur noir</t>
  </si>
  <si>
    <t>Bagagerie</t>
  </si>
  <si>
    <t>BSMART15D-BK</t>
  </si>
  <si>
    <t>Tucano SMART 15" DOUBLE - Sacoche en plastique recyclé pour Mac 15" et 16" - Double compartiment - Intérieur noir, extérieur gris foncé</t>
  </si>
  <si>
    <t>BSTOP1314-BK</t>
  </si>
  <si>
    <t>Tucano STOP 13" et 14" - Sacoche en plastique recyclé pour Mac 13" et 14" - Intérieur noir, extérieur gris foncé</t>
  </si>
  <si>
    <t>Tucano MESH 14" - Sac à dos en plastique recyclé pour iPad Pro 12,9, Mac 13" et 14" - Intérieur noir, extérieur noir</t>
  </si>
  <si>
    <t>Tucano STOP 11" et 13" - Sacoche en plastique recyclé pour iPad Pro 12,9 et Mac Book Air 13" - Intérieur noir, extérieur gris foncé</t>
  </si>
  <si>
    <t>BSTOP1112-BK</t>
  </si>
  <si>
    <t>BSTOP1516-BK</t>
  </si>
  <si>
    <t>Tucano STOP 15" - Sacoche en plastique recyclé pour Mac 15" et 16" - Intérieur noir, extérieur gris foncé</t>
  </si>
  <si>
    <t>BAGOWE-BK</t>
  </si>
  <si>
    <t>Tucano AGO Weekender - Sac de voyage en plastique recyclé pour Mac jusqu'à 16" - Intérieur bleu pastel, extérieur noir</t>
  </si>
  <si>
    <t>WO4-MB16-AX</t>
  </si>
  <si>
    <t>WO4-MB14-AX</t>
  </si>
  <si>
    <t>BSMART15-BK</t>
  </si>
  <si>
    <t>Tucano SMART 15" - Sacoche en plastique recyclé pour Mac 15" et 16" - Intérieur noir, extérieur gris foncé</t>
  </si>
  <si>
    <t>BSMART15-VM</t>
  </si>
  <si>
    <t>BSMART15-B</t>
  </si>
  <si>
    <t>Tucano SMART 15" - Sacoche en plastique recyclé pour Mac 15" et 16" - Intérieur marron, extérieur kaki</t>
  </si>
  <si>
    <t>Tucano SMART 15" - Sacoche en plastique recyclé pour Mac 15" et 16" - Intérieur bleu ciel, extérieur bleu foncé</t>
  </si>
  <si>
    <t>BFC1011</t>
  </si>
  <si>
    <t>Tucano COLORE - Housse en plastique recyclé pour iPad jusqu'à 11" - Noir</t>
  </si>
  <si>
    <t>MW BASICS ²LIFE - Housse de protection a 99% en matériaux recyclés pour MacBook Pro 16" - Noir</t>
  </si>
  <si>
    <t>MW BASICS ²LIFE - Housse de protection a 99% en matériaux recyclés pour MacBook Pro 14" - Noir</t>
  </si>
  <si>
    <t>MW BASICS ²LIFE - Housse de protection a 99% en matériaux recyclés pour MacBook Air et Pro 13" - Gris</t>
  </si>
  <si>
    <t>MW BASICS ²LIFE - Housse de protection a 99% en matériaux recyclés pour MacBook Air et Pro 13" - Noir</t>
  </si>
  <si>
    <t>MW Housse de protection pour MacBook Pro 16" - Gris clair</t>
  </si>
  <si>
    <t>MW Housse de protection pour MacBook Pro 14" - Gris foncé</t>
  </si>
  <si>
    <t>MW Housse de protection pour MacBook Air/Pro 13" - Gris clair</t>
  </si>
  <si>
    <t>MW Housse de protection à mémoire de forme pour MacBook Pro 16" - Noir</t>
  </si>
  <si>
    <t>MW Housse de protection à mémoire de forme pour MacBook Pro 14" - Noir</t>
  </si>
  <si>
    <t>MW Housse de protection à mémoire de forme pour MacBook Air et Pro 13" - Noir</t>
  </si>
  <si>
    <t>BFMCO-BK</t>
  </si>
  <si>
    <t>BFMCP-BK</t>
  </si>
  <si>
    <t>MPHE3FN/A</t>
  </si>
  <si>
    <t>MacBook Pro 14" / M2 Pro CPU 10 cœurs GPU 16 cœurs / 16 Go / 512 Go SSD / 3x Thunderbolt 4 / HDMI / lecteur carte SDXC / port MagSafe 3 / Gris sidéral</t>
  </si>
  <si>
    <t>CTO-MPHE3-GPU19</t>
  </si>
  <si>
    <t>CTO-MPHE3-GPU30</t>
  </si>
  <si>
    <t>CTO-MPHE3-GPU38</t>
  </si>
  <si>
    <t>Passage à un M2 Pro avec CPU 12 cœurs GPU 19 cœurs et chargeur 96 W pour MacBook Pro 14" MPHE3FN/A</t>
  </si>
  <si>
    <t>Passage à un M2 Max avec CPU 12 cœurs GPU 30 cœurs, 32 Go de mémoire unifiée et chargeur 96 W pour MacBook Pro 14" MPHE3FN/A</t>
  </si>
  <si>
    <t>Passage à un M2 Max avec CPU 12 cœurs GPU 38 cœurs, 32 Go de mémoire unifiée et chargeur 96 W pour MacBook Pro 14" MPHE3FN/A</t>
  </si>
  <si>
    <t>CTO-MPHE3-32GB</t>
  </si>
  <si>
    <t>CTO-MPHE3-64GB</t>
  </si>
  <si>
    <t>CTO-MPHE3-96GB</t>
  </si>
  <si>
    <t>Passage à 32 Go de mémoire unifiée pour MacBook Pro 14" (uniquement avec M2 Pro) MPHE3FN/A</t>
  </si>
  <si>
    <t>Passage à 64 Go de mémoire unifiée pour MacBook Pro 14" (uniquement avec M2 Max) MPHE3FN/A</t>
  </si>
  <si>
    <t>Passage à 96 Go de mémoire unifiée pour MacBook Pro 14" (uniquement avec M2 Max GPU 38 cœurs) MPHE3FN/A</t>
  </si>
  <si>
    <t>CTO-MPHE3-SSD1To</t>
  </si>
  <si>
    <t>CTO-MPHE3-SSD2To</t>
  </si>
  <si>
    <t>CTO-MPHE3-SSD4To</t>
  </si>
  <si>
    <t>CTO-MPHE3-SSD8To</t>
  </si>
  <si>
    <t>Passage à 1 To de stockage SSD pour MacBook Pro 14" MPHE3FN/A</t>
  </si>
  <si>
    <t>Passage à 2 To de stockage SSD pour MacBook Pro 14" MPHE3FN/A</t>
  </si>
  <si>
    <t>Passage à 4 To de stockage SSD pour MacBook Pro 14" MPHE3FN/A</t>
  </si>
  <si>
    <t>Passage à 8 To de stockage SSD pour MacBook Pro 14" MPHE3FN/A</t>
  </si>
  <si>
    <t>CTO-MPHE3-QUS</t>
  </si>
  <si>
    <t>CTO-MPHE3-QBR</t>
  </si>
  <si>
    <t>CTO-MPHE3-QIE</t>
  </si>
  <si>
    <t>Passage à un clavier anglais international &amp; guide utilisateur anglais pour MacBook Pro 14" MPHE3FN/A</t>
  </si>
  <si>
    <t>Passage à un clavier anglais britannique pour MacBook Pro 14" MPHE3FN/A</t>
  </si>
  <si>
    <t>MPHH3FN/A</t>
  </si>
  <si>
    <t>MacBook Pro 14" / M2 Pro CPU 10 cœurs GPU 16 cœurs / 16 Go / 512 Go SSD / 3x Thunderbolt 4 / HDMI / lecteur carte SDXC / port MagSafe 3 / Argent</t>
  </si>
  <si>
    <t>CTO-MPHH3-GPU19</t>
  </si>
  <si>
    <t>CTO-MPHH3-GPU30</t>
  </si>
  <si>
    <t>CTO-MPHH3-GPU38</t>
  </si>
  <si>
    <t>CTO-MPHH3-32GB</t>
  </si>
  <si>
    <t>CTO-MPHH3-64GB</t>
  </si>
  <si>
    <t>CTO-MPHH3-96GB</t>
  </si>
  <si>
    <t>CTO-MPHH3-SSD1To</t>
  </si>
  <si>
    <t>CTO-MPHH3-SSD2To</t>
  </si>
  <si>
    <t>CTO-MPHH3-SSD4To</t>
  </si>
  <si>
    <t>CTO-MPHH3-SSD8To</t>
  </si>
  <si>
    <t>CTO-MPHH3-QUS</t>
  </si>
  <si>
    <t>CTO-MPHH3-QBR</t>
  </si>
  <si>
    <t>Passage à un M2 Pro avec CPU 12 cœurs GPU 19 cœurs et chargeur 96 W pour MacBook Pro 14" MPHH3FN/A</t>
  </si>
  <si>
    <t>Passage à un M2 Max avec CPU 12 cœurs GPU 30 cœurs, 32 Go de mémoire unifiée et chargeur 96 W pour MacBook Pro 14" MPHH3FN/A</t>
  </si>
  <si>
    <t>Passage à un M2 Max avec CPU 12 cœurs GPU 38 cœurs, 32 Go de mémoire unifiée et chargeur 96 W pour MacBook Pro 14" MPHH3FN/A</t>
  </si>
  <si>
    <t>Passage à 32 Go de mémoire unifiée pour MacBook Pro 14" (uniquement avec M2 Pro) MPHH3FN/A</t>
  </si>
  <si>
    <t>Passage à 64 Go de mémoire unifiée pour MacBook Pro 14" (uniquement avec M2 Max) MPHH3FN/A</t>
  </si>
  <si>
    <t>Passage à 96 Go de mémoire unifiée pour MacBook Pro 14" (uniquement avec M2 Max GPU 38 cœurs) MPHH3FN/A</t>
  </si>
  <si>
    <t>Passage à 1 To de stockage SSD pour MacBook Pro 14" MPHH3FN/A</t>
  </si>
  <si>
    <t>Passage à 2 To de stockage SSD pour MacBook Pro 14" MPHH3FN/A</t>
  </si>
  <si>
    <t>Passage à 4 To de stockage SSD pour MacBook Pro 14" MPHH3FN/A</t>
  </si>
  <si>
    <t>Passage à 8 To de stockage SSD pour MacBook Pro 14" MPHH3FN/A</t>
  </si>
  <si>
    <t>Passage à un clavier anglais international &amp; guide utilisateur anglais pour MacBook Pro 14" MPHH3FN/A</t>
  </si>
  <si>
    <t>MPHF3FN/A</t>
  </si>
  <si>
    <t>MacBook Pro 14" / M2 Pro CPU 12 cœurs GPU 19 cœurs / 16 Go / 1 To SSD / 3x Thunderbolt 4 / HDMI / lecteur carte SDXC / port MagSafe 3 / Gris sidéral</t>
  </si>
  <si>
    <t>CTO-MPHF3-GPU30</t>
  </si>
  <si>
    <t>Passage à un M2 Max avec CPU 12 cœurs GPU 30 cœurs, 32 Go de mémoire unifiée pour MacBook Pro 14" MPHF3FN/A</t>
  </si>
  <si>
    <t>CTO-MPHF3-GPU38</t>
  </si>
  <si>
    <t>Passage à un M2 Max avec CPU 12 cœurs GPU 38 cœurs, 32 Go de mémoire unifiée pour MacBook Pro 14" MPHF3FN/A</t>
  </si>
  <si>
    <t>CTO-MPHF3-32GB</t>
  </si>
  <si>
    <t>CTO-MPHF3-64GB</t>
  </si>
  <si>
    <t>CTO-MPHF3-96GB</t>
  </si>
  <si>
    <t>Passage à 32 Go de mémoire unifiée pour MacBook Pro 14" (uniquement avec M2 Pro) MPHF3FN/A</t>
  </si>
  <si>
    <t>Passage à 64 Go de mémoire unifiée pour MacBook Pro 14" (uniquement avec M2 Max) MPHF3FN/A</t>
  </si>
  <si>
    <t>Passage à 96 Go de mémoire unifiée pour MacBook Pro 14" (uniquement avec M2 Max GPU 38 cœurs) MPHF3FN/A</t>
  </si>
  <si>
    <t>CTO-MPHF3-SSD2To</t>
  </si>
  <si>
    <t>CTO-MPHF3-SSD4To</t>
  </si>
  <si>
    <t>CTO-MPHF3-SSD8To</t>
  </si>
  <si>
    <t>Passage à 2 To de stockage SSD pour MacBook Pro 14" MPHF3FN/A</t>
  </si>
  <si>
    <t>Passage à 4 To de stockage SSD pour MacBook Pro 14" MPHF3FN/A</t>
  </si>
  <si>
    <t>Passage à 8 To de stockage SSD pour MacBook Pro 14" MPHF3FN/A</t>
  </si>
  <si>
    <t>CTO-MPHH3-QIE</t>
  </si>
  <si>
    <t>CTO-MPHF3-QUS</t>
  </si>
  <si>
    <t>CTO-MPHF3-QBR</t>
  </si>
  <si>
    <t>CTO-MPHF3-QIE</t>
  </si>
  <si>
    <t>Passage à un clavier anglais international &amp; guide utilisateur anglais pour MacBook Pro 14" MPHF3FN/A</t>
  </si>
  <si>
    <t>Passage à un clavier anglais britannique pour MacBook Pro 14" MPHH3FN/A</t>
  </si>
  <si>
    <t>Passage à un clavier anglais britannique pour MacBook Pro 14" MPHF3FN/A</t>
  </si>
  <si>
    <t>MPHJ3FN/A</t>
  </si>
  <si>
    <t>MacBook Pro 14" / M2 Pro CPU 12 cœurs GPU 19 cœurs / 16 Go / 1 To SSD / 3x Thunderbolt 4 / HDMI / lecteur carte SDXC / port MagSafe 3 / Argent</t>
  </si>
  <si>
    <t>CTO-MPHJ3-GPU30</t>
  </si>
  <si>
    <t>CTO-MPHJ3-GPU38</t>
  </si>
  <si>
    <t>CTO-MPHJ3-32GB</t>
  </si>
  <si>
    <t>CTO-MPHJ3-64GB</t>
  </si>
  <si>
    <t>CTO-MPHJ3-96GB</t>
  </si>
  <si>
    <t>CTO-MPHJ3-SSD2To</t>
  </si>
  <si>
    <t>CTO-MPHJ3-SSD4To</t>
  </si>
  <si>
    <t>CTO-MPHJ3-SSD8To</t>
  </si>
  <si>
    <t>CTO-MPHJ3-QUS</t>
  </si>
  <si>
    <t>CTO-MPHJ3-QBR</t>
  </si>
  <si>
    <t>CTO-MPHJ3-QIE</t>
  </si>
  <si>
    <t>Passage à un clavier anglais international &amp; guide utilisateur anglais pour MacBook Pro 14" MPHJ3FN/A</t>
  </si>
  <si>
    <t>Passage à un clavier anglais britannique pour MacBook Pro 14" MPHJ3FN/A</t>
  </si>
  <si>
    <t>Passage à un M2 Max avec CPU 12 cœurs GPU 30 cœurs, 32 Go de mémoire unifiée pour MacBook Pro 14" MPHJ3FN/A</t>
  </si>
  <si>
    <t>Passage à un M2 Max avec CPU 12 cœurs GPU 38 cœurs, 32 Go de mémoire unifiée pour MacBook Pro 14" MPHJ3FN/A</t>
  </si>
  <si>
    <t>Passage à 32 Go de mémoire unifiée pour MacBook Pro 14" (uniquement avec M2 Pro) MPHJ3FN/A</t>
  </si>
  <si>
    <t>Passage à 64 Go de mémoire unifiée pour MacBook Pro 14" (uniquement avec M2 Max) MPHJ3FN/A</t>
  </si>
  <si>
    <t>Passage à 96 Go de mémoire unifiée pour MacBook Pro 14" (uniquement avec M2 Max GPU 38 cœurs) MPHJ3FN/A</t>
  </si>
  <si>
    <t>Passage à 2 To de stockage SSD pour MacBook Pro 14" MPHJ3FN/A</t>
  </si>
  <si>
    <t>Passage à 4 To de stockage SSD pour MacBook Pro 14" MPHJ3FN/A</t>
  </si>
  <si>
    <t>Passage à 8 To de stockage SSD pour MacBook Pro 14" MPHJ3FN/A</t>
  </si>
  <si>
    <t>MPHG3FN/A</t>
  </si>
  <si>
    <t>MPHK3FN/A</t>
  </si>
  <si>
    <t>MacBook Pro 14" / M2 Max CPU 12 cœurs GPU 30 cœurs / 32 Go / 1 To SSD / 3x Thunderbolt 4 / HDMI / lecteur carte SDXC / port MagSafe 3 / Argent</t>
  </si>
  <si>
    <t>MacBook Pro 14" / M2 Max CPU 12 cœurs GPU 30 cœurs / 32 Go / 1 To SSD / 3x Thunderbolt 4 / HDMI / lecteur carte SDXC / port MagSafe 3 / Gris sidéral</t>
  </si>
  <si>
    <t>CTO-MPHG3-GPU38</t>
  </si>
  <si>
    <t>CTO-MPHG3-64GB</t>
  </si>
  <si>
    <t>CTO-MPHG3-96GB</t>
  </si>
  <si>
    <t>CTO-MPHG3-SSD2To</t>
  </si>
  <si>
    <t>CTO-MPHG3-SSD4To</t>
  </si>
  <si>
    <t>CTO-MPHG3-SSD8To</t>
  </si>
  <si>
    <t>CTO-MPHG3-QUS</t>
  </si>
  <si>
    <t>CTO-MPHG3-QBR</t>
  </si>
  <si>
    <t>CTO-MPHG3-QIE</t>
  </si>
  <si>
    <t>Passage à un clavier anglais international &amp; guide utilisateur anglais pour MacBook Pro 14" MPHG3FN/A</t>
  </si>
  <si>
    <t>Passage à un clavier anglais britannique pour MacBook Pro 14" MPHG3FN/A</t>
  </si>
  <si>
    <t>Passage à un clavier anglais américain &amp; guide utilisateur anglais pour MacBook Pro 14" MPHG3FN/A</t>
  </si>
  <si>
    <t>Passage à un clavier anglais américain &amp; guide utilisateur anglais pour MacBook Pro 14" MPHJ3FN/A</t>
  </si>
  <si>
    <t>Passage à un clavier anglais américain &amp; guide utilisateur anglais pour MacBook Pro 14" MPHF3FN/A</t>
  </si>
  <si>
    <t>Passage à un clavier anglais américain &amp; guide utilisateur anglais pour MacBook Pro 14" MPHH3FN/A</t>
  </si>
  <si>
    <t>Passage à un clavier anglais américain &amp; guide utilisateur anglais pour MacBook Pro 14" MPHE3FN/A</t>
  </si>
  <si>
    <t>Passage à un M2 Max avec CPU 12 cœurs GPU 38 cœurs pour MacBook Pro 14" MPHG3FN/A</t>
  </si>
  <si>
    <t>Passage à 64 Go de mémoire unifiée pour MacBook Pro 14" MPHG3FN/A</t>
  </si>
  <si>
    <t>Passage à 96 Go de mémoire unifiée pour MacBook Pro 14" (uniquement avec M2 Max GPU 38 cœurs) MPHG3FN/A</t>
  </si>
  <si>
    <t>Passage à 2 To de stockage SSD pour MacBook Pro 14" MPHG3FN/A</t>
  </si>
  <si>
    <t>Passage à 4 To de stockage SSD pour MacBook Pro 14" MPHG3FN/A</t>
  </si>
  <si>
    <t>Passage à 8 To de stockage SSD pour MacBook Pro 14" MPHG3FN/A</t>
  </si>
  <si>
    <t>CTO-MPHK3-GPU38</t>
  </si>
  <si>
    <t>CTO-MPHK3-64GB</t>
  </si>
  <si>
    <t>CTO-MPHK3-96GB</t>
  </si>
  <si>
    <t>CTO-MPHK3-SSD2To</t>
  </si>
  <si>
    <t>CTO-MPHK3-SSD4To</t>
  </si>
  <si>
    <t>CTO-MPHK3-SSD8To</t>
  </si>
  <si>
    <t>CTO-MPHK3-QUS</t>
  </si>
  <si>
    <t>CTO-MPHK3-QUK</t>
  </si>
  <si>
    <t>CTO-MPHK3-QIE</t>
  </si>
  <si>
    <t>Passage à un M2 Max avec CPU 12 cœurs GPU 38 cœurs  pour MacBook Pro 14" MPHK3FN/A</t>
  </si>
  <si>
    <t>Passage à 64 Go de mémoire unifiée pour MacBook Pro 14" MPHK3FN/A</t>
  </si>
  <si>
    <t>Passage à 96 Go de mémoire unifiée pour MacBook Pro 14" (uniquement avec M2 Max GPU 38 cœurs) MPHK3FN/A</t>
  </si>
  <si>
    <t>Passage à 2 To de stockage SSD pour MacBook Pro 14" MPHK3FN/A</t>
  </si>
  <si>
    <t>Passage à 4 To de stockage SSD pour MacBook Pro 14" MPHK3FN/A</t>
  </si>
  <si>
    <t>Passage à 8 To de stockage SSD pour MacBook Pro 14" MPHK3FN/A</t>
  </si>
  <si>
    <t>Passage à un clavier américain &amp; guide utilisateur anglais pour MacBook Pro 14" MPHK3FN/A</t>
  </si>
  <si>
    <t>Passage à un clavier anglais international &amp; guide utilisateur anglais pour MacBook Pro 14" MPHK3FN/A</t>
  </si>
  <si>
    <t>Passage à un clavier rétro-éclairé anglais britannique pour MacBook Pro 14" MPHK3FN/A</t>
  </si>
  <si>
    <t>CTO-MPHE3-96W</t>
  </si>
  <si>
    <t>Passage à un adaptateur secteur USB‑C 96 W pour MacBook Pro 14" (uniquement avec M2 Pro 10 cœurs) MPHE3FN/A</t>
  </si>
  <si>
    <t>CTO-MPHH3-96W</t>
  </si>
  <si>
    <t>Passage à un adaptateur secteur USB‑C 96 W  pour MacBook Pro 14" (uniquement avec M2 Pro 10 cœurs) MPHH3FN/A</t>
  </si>
  <si>
    <t>MNW83FN/A</t>
  </si>
  <si>
    <t>MacBook Pro 16" / M2 Pro CPU 12 cœurs GPU 19 cœurs / 16 Go / 512 Go SSD / 3x Thunderbolt 4 / HDMI / lecteur carte SDXC / port MagSafe 3 / Gris sidéral</t>
  </si>
  <si>
    <t>CTO-MNW83-GPU30</t>
  </si>
  <si>
    <t>CTO-MNW83-GPU38</t>
  </si>
  <si>
    <t>CTO-MNW83-32GB</t>
  </si>
  <si>
    <t>CTO-MNW83-64GB</t>
  </si>
  <si>
    <t>CTO-MNW83-96GB</t>
  </si>
  <si>
    <t>CTO-MNW83-SSD1To</t>
  </si>
  <si>
    <t>CTO-MNW83-SSD2To</t>
  </si>
  <si>
    <t>CTO-MNW83-SSD4To</t>
  </si>
  <si>
    <t>CTO-MNW83-SSD8To</t>
  </si>
  <si>
    <t>CTO-MNW83-QUS</t>
  </si>
  <si>
    <t>CTO-MNW83-QUK</t>
  </si>
  <si>
    <t>Passage à un M2 Max avec CPU 12 cœurs GPU 30 cœurs, 32 Go de mémoire unifiée pour MacBook Pro 16" MNW83FN/A</t>
  </si>
  <si>
    <t>Passage à un M2 Max avec CPU 12 cœurs GPU 38 cœurs, 32 Go de mémoire unifiée pour MacBook Pro 16" MNW83FN/A</t>
  </si>
  <si>
    <t>Passage à 32 Go de mémoire unifiée pour MacBook Pro 16" (uniquement avec M2 Pro) MNW83FN/A</t>
  </si>
  <si>
    <t>Passage à 64 Go de mémoire unifiée pour MacBook Pro 16" (uniquement avec M2 Max) MNW83FN/A</t>
  </si>
  <si>
    <t>Passage à 96 Go de mémoire unifiée pour MacBook Pro 16" (uniquement avec M2 Max GPU 38 cœurs) MNW83FN/A</t>
  </si>
  <si>
    <t>Passage à 1 To de stockage SSD pour MacBook Pro 16" MNW83FN/A</t>
  </si>
  <si>
    <t>Passage à 2 To de stockage SSD pour MacBook Pro 16" MNW83FN/A</t>
  </si>
  <si>
    <t>Passage à 4 To de stockage SSD pour MacBook Pro 16" MNW83FN/A</t>
  </si>
  <si>
    <t>Passage à 8 To de stockage SSD pour MacBook Pro 16" MNW83FN/A</t>
  </si>
  <si>
    <t>Passage à un clavier anglais international &amp; guide utilisateur anglais pour MacBook Pro 16" MNW83FN/A</t>
  </si>
  <si>
    <t>Passage à un clavier anglais britannique pour MacBook Pro 16" MNW83FN/A</t>
  </si>
  <si>
    <t>Passage à un clavier anglais américain &amp; guide utilisateur anglais pour MacBook Pro 16" MNW83FN/A</t>
  </si>
  <si>
    <t>MNWC3FN/A</t>
  </si>
  <si>
    <t>MacBook Pro 16" / M2 Pro CPU 12 cœurs GPU 19 cœurs / 16 Go / 512 Go SSD / 3x Thunderbolt 4 / HDMI / lecteur carte SDXC / port MagSafe 3 / Argent</t>
  </si>
  <si>
    <t>CTO-MNWC3-GPU30</t>
  </si>
  <si>
    <t>Passage à un M2 Max avec CPU 12 cœurs GPU 30 cœurs, 32 Go de mémoire unifiée pour MacBook Pro 16" MNWC3FN/A</t>
  </si>
  <si>
    <t>CTO-MNWC3-GPU38</t>
  </si>
  <si>
    <t>Passage à un M2 Max avec CPU 12 cœurs GPU 38 cœurs, 32 Go de mémoire unifiée pour MacBook Pro 16" MNWC3FN/A</t>
  </si>
  <si>
    <t>CTO-MNWC3-32GB</t>
  </si>
  <si>
    <t>Passage à 32 Go de mémoire unifiée pour MacBook Pro 16" (uniquement avec M2 Pro) MNWC3FN/A</t>
  </si>
  <si>
    <t>CTO-MNWC3-64GB</t>
  </si>
  <si>
    <t>Passage à 64 Go de mémoire unifiée pour MacBook Pro 16" (uniquement avec M2 Max) MNWC3FN/A</t>
  </si>
  <si>
    <t>CTO-MNWC3-96GB</t>
  </si>
  <si>
    <t>Passage à 96 Go de mémoire unifiée pour MacBook Pro 16" (uniquement avec M2 Max GPU 38 cœurs) MNWC3FN/A</t>
  </si>
  <si>
    <t>CTO-MNWC3-SSD1To</t>
  </si>
  <si>
    <t>Passage à 1 To de stockage SSD pour MacBook Pro 16" MNWC3FN/A</t>
  </si>
  <si>
    <t>CTO-MNWC3-SSD2To</t>
  </si>
  <si>
    <t>Passage à 2 To de stockage SSD pour MacBook Pro 16" MNWC3FN/A</t>
  </si>
  <si>
    <t>CTO-MNWC3-SSD4To</t>
  </si>
  <si>
    <t>Passage à 4 To de stockage SSD pour MacBook Pro 16" MNWC3FN/A</t>
  </si>
  <si>
    <t>CTO-MNWC3-SSD8To</t>
  </si>
  <si>
    <t>Passage à 8 To de stockage SSD pour MacBook Pro 16" MNWC3FN/A</t>
  </si>
  <si>
    <t>CTO-MNWC3-QUS</t>
  </si>
  <si>
    <t>Passage à un clavier américain &amp; guide utilisateur anglais pour MacBook Pro 16" MNWC3FN/A</t>
  </si>
  <si>
    <t>CTO-MNWC3-QUK</t>
  </si>
  <si>
    <t>Passage à un clavier anglais international &amp; guide utilisateur anglais pour MacBook Pro 16" MNWC3FN/A</t>
  </si>
  <si>
    <t>Passage à un clavier rétro-éclairé anglais britannique pour MacBook Pro 16" MNWC3FN/A</t>
  </si>
  <si>
    <t>CTO-MNWC3-QIE</t>
  </si>
  <si>
    <t>CTO-MNW83-QIE</t>
  </si>
  <si>
    <t>MNW93FN/A</t>
  </si>
  <si>
    <t>MacBook Pro 16" / M2 Pro CPU 12 cœurs GPU 19 cœurs / 16 Go / 1 To SSD / 3x Thunderbolt 4 / HDMI / lecteur carte SDXC / port MagSafe 3 / Gris sidéral</t>
  </si>
  <si>
    <t>CTO-MNW93-GPU30</t>
  </si>
  <si>
    <t>CTO-MNW93-GPU38</t>
  </si>
  <si>
    <t>CTO-MNW93-32GB</t>
  </si>
  <si>
    <t>CTO-MNW93-64GB</t>
  </si>
  <si>
    <t>CTO-MNW93-96GB</t>
  </si>
  <si>
    <t>CTO-MNW93-SSD2To</t>
  </si>
  <si>
    <t>CTO-MNW93-SSD4To</t>
  </si>
  <si>
    <t>CTO-MNW93-SSD8To</t>
  </si>
  <si>
    <t>CTO-MNW93-QUS</t>
  </si>
  <si>
    <t>CTO-MNW93-QIE</t>
  </si>
  <si>
    <t>CTO-MNW93-QBR</t>
  </si>
  <si>
    <t>Passage à un M2 Max avec CPU 12 cœurs GPU 30 cœurs, 32 Go de mémoire unifiée pour MacBook Pro 16" MNW93FN/A</t>
  </si>
  <si>
    <t>Passage à un M2 Max avec CPU 12 cœurs GPU 38 cœurs, 32 Go de mémoire unifiée pour MacBook Pro 16" MNW93FN/A</t>
  </si>
  <si>
    <t>Passage à 32 Go de mémoire unifiée pour MacBook Pro 16" (uniquement avec M2 Pro) MNW93FN/A</t>
  </si>
  <si>
    <t>Passage à 64 Go de mémoire unifiée pour MacBook Pro 16" (uniquement avec M2 Max) MNW93FN/A</t>
  </si>
  <si>
    <t>Passage à 96 Go de mémoire unifiée pour MacBook Pro 16" (uniquement avec M2 Max GPU 38 cœurs) MNW93FN/A</t>
  </si>
  <si>
    <t>Passage à 2 To de stockage SSD pour MacBook Pro 16" MNW93FN/A</t>
  </si>
  <si>
    <t>Passage à 4 To de stockage SSD pour MacBook Pro 16" MNW93FN/A</t>
  </si>
  <si>
    <t>Passage à 8 To de stockage SSD pour MacBook Pro 16" MNW93FN/A</t>
  </si>
  <si>
    <t>Passage à un clavier américain &amp; guide utilisateur anglais pour MacBook Pro 16" MNW93FN/A</t>
  </si>
  <si>
    <t>Passage à un clavier anglais international &amp; guide utilisateur anglais pour MacBook Pro 16" MNW93FN/A</t>
  </si>
  <si>
    <t>Passage à un clavier rétro-éclairé anglais britannique pour MacBook Pro 16" MNW93FN/A</t>
  </si>
  <si>
    <t>MNWD3FN/A</t>
  </si>
  <si>
    <t>MacBook Pro 16" / M2 Pro CPU 12 cœurs GPU 19 cœurs / 16 Go / 1 To SSD / 3x Thunderbolt 4 / HDMI / lecteur carte SDXC / port MagSafe 3 / Argent</t>
  </si>
  <si>
    <t>CTO-MNWD3-GPU30</t>
  </si>
  <si>
    <t>CTO-MNWD3-GPU38</t>
  </si>
  <si>
    <t>CTO-MNWD3-32GB</t>
  </si>
  <si>
    <t>CTO-MNWD3-64GB</t>
  </si>
  <si>
    <t>CTO-MNWD3-96GB</t>
  </si>
  <si>
    <t>CTO-MNWD3-SSD2To</t>
  </si>
  <si>
    <t>CTO-MNWD3-SSD4To</t>
  </si>
  <si>
    <t>CTO-MNWD3-SSD8To</t>
  </si>
  <si>
    <t>CTO-MNWD3-QUS</t>
  </si>
  <si>
    <t>CTO-MNWD3-QIE</t>
  </si>
  <si>
    <t>CTO-MNWD3-QBR</t>
  </si>
  <si>
    <t>Passage à un M2 Max avec CPU 12 cœurs GPU 30 cœurs, 32 Go de mémoire unifiée pour MacBook Pro 16" MNWD3FN/A</t>
  </si>
  <si>
    <t>Passage à un M2 Max avec CPU 12 cœurs GPU 38 cœurs, 32 Go de mémoire unifiée pour MacBook Pro 16" MNWD3FN/A</t>
  </si>
  <si>
    <t>Passage à 32 Go de mémoire unifiée pour MacBook Pro 16" (uniquement avec M2 Pro) MNWD3FN/A</t>
  </si>
  <si>
    <t>Passage à 64 Go de mémoire unifiée pour MacBook Pro 16" (uniquement avec M2 Max) MNWD3FN/A</t>
  </si>
  <si>
    <t>Passage à 96 Go de mémoire unifiée pour MacBook Pro 16" (uniquement avec M2 Max GPU 38 cœurs) MNWD3FN/A</t>
  </si>
  <si>
    <t>Passage à 2 To de stockage SSD pour MacBook Pro 16" MNWD3FN/A</t>
  </si>
  <si>
    <t>Passage à 4 To de stockage SSD pour MacBook Pro 16" MNWD3FN/A</t>
  </si>
  <si>
    <t>Passage à 8 To de stockage SSD pour MacBook Pro 16" MNWD3FN/A</t>
  </si>
  <si>
    <t>Passage à un clavier américain &amp; guide utilisateur anglais pour MacBook Pro 16" MNWD3FN/A</t>
  </si>
  <si>
    <t>Passage à un clavier anglais international &amp; guide utilisateur anglais pour MacBook Pro 16" MNWD3FN/A</t>
  </si>
  <si>
    <t>Passage à un clavier rétro-éclairé anglais britannique pour MacBook Pro 16" MNWD3FN/A</t>
  </si>
  <si>
    <t>MNWA3FN/A</t>
  </si>
  <si>
    <t>MacBook Pro 16" / M2 Max CPU 12 cœurs GPU 38 cœurs / 32 Go / 1 To SSD / 3x Thunderbolt 4 / HDMI / lecteur carte SDXC / port MagSafe 3 / Gris sidéral</t>
  </si>
  <si>
    <t>CTO-MNWA3-64GB</t>
  </si>
  <si>
    <t>Passage à 64 Go de mémoire unifiée pour MacBook Pro 16" MNWA3FN/A</t>
  </si>
  <si>
    <t>CTO-MNWA3-96GB</t>
  </si>
  <si>
    <t>Passage à 96 Go de mémoire unifiée pour MacBook Pro 16" MNWA3FN/A</t>
  </si>
  <si>
    <t>CTO-MNWA3-SSD2To</t>
  </si>
  <si>
    <t>Passage à 2 To de stockage SSD pour MacBook Pro 16" MNWA3FN/A</t>
  </si>
  <si>
    <t>CTO-MNWA3-SSD4To</t>
  </si>
  <si>
    <t>Passage à 4 To de stockage SSD pour MacBook Pro 16" MNWA3FN/A</t>
  </si>
  <si>
    <t>CTO-MNWA3-SSD8To</t>
  </si>
  <si>
    <t>Passage à 8 To de stockage SSD pour MacBook Pro 16" MNWA3FN/A</t>
  </si>
  <si>
    <t>CTO-MNWA3-QUS</t>
  </si>
  <si>
    <t>Passage à un clavier anglais américain &amp; guide utilisateur anglais pour MacBook Pro 16" MNWA3FN/A</t>
  </si>
  <si>
    <t>CTO-MNWA3-QIE</t>
  </si>
  <si>
    <t>Passage à un clavier anglais international &amp; guide utilisateur anglais pour MacBook Pro 16" MNWA3FN/A</t>
  </si>
  <si>
    <t>CTO-MNWA3-QBR</t>
  </si>
  <si>
    <t>Passage à un clavier anglais britannique pour MacBook Pro 16" MNWA3FN/A</t>
  </si>
  <si>
    <t>MNWE3FN/A</t>
  </si>
  <si>
    <t>MacBook Pro 16" / M2 Max CPU 12 cœurs GPU 38 cœurs / 32 Go / 1 To SSD / 3x Thunderbolt 4 / HDMI / lecteur carte SDXC / port MagSafe 3 / Argent</t>
  </si>
  <si>
    <t>CTO-MNWE3-64GB</t>
  </si>
  <si>
    <t>CTO-MNWE3-96GB</t>
  </si>
  <si>
    <t>CTO-MNWE3-SSD2To</t>
  </si>
  <si>
    <t>CTO-MNWE3-SSD4To</t>
  </si>
  <si>
    <t>CTO-MNWE3-SSD8To</t>
  </si>
  <si>
    <t>CTO-MNWE3-QUS</t>
  </si>
  <si>
    <t>CTO-MNWE3-QIE</t>
  </si>
  <si>
    <t>CTO-MNWE3-QBR</t>
  </si>
  <si>
    <t>Passage à 64 Go de mémoire unifiée pour MacBook Pro 16" MNWE3FN/A</t>
  </si>
  <si>
    <t>Passage à 96 Go de mémoire unifiée pour MacBook Pro 16" MNWE3FN/A</t>
  </si>
  <si>
    <t>Passage à 2 To de stockage SSD pour MacBook Pro 16" MNWE3FN/A</t>
  </si>
  <si>
    <t>Passage à 4 To de stockage SSD pour MacBook Pro 16" MNWE3FN/A</t>
  </si>
  <si>
    <t>Passage à 8 To de stockage SSD pour MacBook Pro 16" MNWE3FN/A</t>
  </si>
  <si>
    <t>Passage à un clavier américain &amp; guide utilisateur anglais pour MacBook Pro 16" MNWE3FN/A</t>
  </si>
  <si>
    <t>Passage à un clavier anglais international &amp; guide utilisateur anglais pour MacBook Pro 16" MNWE3FN/A</t>
  </si>
  <si>
    <t>Passage à un clavier rétro-éclairé anglais britannique pour MacBook Pro 16" MNWE3FN/A</t>
  </si>
  <si>
    <t>MMFJ3FN/A</t>
  </si>
  <si>
    <t>CTO-MMFJ3-16GB</t>
  </si>
  <si>
    <t>CTO-MMFJ3-24GB</t>
  </si>
  <si>
    <t>CTO-MMFJ3-SSD512</t>
  </si>
  <si>
    <t>CTO-MMFJ3-SSD1To</t>
  </si>
  <si>
    <t>CTO-MMFJ3-SSD2To</t>
  </si>
  <si>
    <t>CTO-MMFJ3-ETH</t>
  </si>
  <si>
    <t>Passage à 16 Go de mémoire unifiée pour Mac mini M2 MMFJ3FN/A</t>
  </si>
  <si>
    <t>Passage à 24 Go de mémoire unifiée pour Mac mini M2 MMFJ3FN/A</t>
  </si>
  <si>
    <t>Passage à 512 Go de stockage SSD pour Mac mini M2 MMFJ3FN/A</t>
  </si>
  <si>
    <t>Passage à 1 To de stockage SSD pour Mac mini M2 MMFJ3FN/A</t>
  </si>
  <si>
    <t>Passage à 2 To de stockage SSD pour Mac mini M2 MMFJ3FN/A</t>
  </si>
  <si>
    <t>Passage à 10 Gigabit Ethernet pour Mac mini M2 MMFJ3FN/A</t>
  </si>
  <si>
    <t>Mac mini M2 CPU 8 cœurs GPU 10 cœurs / 8 Go / 256 Go / 2x Thunderbolt USB 4 / Wi‑Fi 6E 802.11ax / 1Gb Eth / Bluetooth 5.3</t>
  </si>
  <si>
    <t>MMFK3FN/A</t>
  </si>
  <si>
    <t>Mac mini M2 CPU 8 cœurs GPU 10 cœurs / 8 Go / 512 Go / 2x Thunderbolt USB 4 / Wi‑Fi 6E 802.11ax / Gb Eth / Bluetooth 5.3</t>
  </si>
  <si>
    <t>CTO-MMFK3-16GB</t>
  </si>
  <si>
    <t>CTO-MMFK3-24GB</t>
  </si>
  <si>
    <t>CTO-MMFK3-SSD1To</t>
  </si>
  <si>
    <t>CTO-MMFK3-SSD2To</t>
  </si>
  <si>
    <t>CTO-MMFK3-ETH</t>
  </si>
  <si>
    <t>Passage à 16 Go de mémoire unifiée pour Mac mini M2 MMFK3FN/A</t>
  </si>
  <si>
    <t>Passage à 24 Go de mémoire unifiée pour Mac mini M2 MMFK3FN/A</t>
  </si>
  <si>
    <t>Passage à 1 To de stockage SSD pour Mac mini M2 MMFK3FN/A</t>
  </si>
  <si>
    <t>Passage à 2 To de stockage SSD pour Mac mini M2 MMFK3FN/A</t>
  </si>
  <si>
    <t>Passage à 10 Gigabit Ethernet pour Mac mini M2 MMFK3FN/A</t>
  </si>
  <si>
    <t>MNH73FN/A</t>
  </si>
  <si>
    <t>Mac mini M2 Pro CPU 10 cœurs GPU 16 cœurs / 16 Go / 512 Go / 4x Thunderbolt USB 4 / Wi‑Fi 6E 802.11ax / Gb Eth / Bluetooth 5.3</t>
  </si>
  <si>
    <t>WHD30UF</t>
  </si>
  <si>
    <t>CTO-MNH73-GPU19</t>
  </si>
  <si>
    <t>CTO-MNH73-32GB</t>
  </si>
  <si>
    <t>CTO-MNH73-SSD1To</t>
  </si>
  <si>
    <t>CTO-MNH73-SSD2To</t>
  </si>
  <si>
    <t>CTO-MNH73-SSD4To</t>
  </si>
  <si>
    <t>CTO-MNH73-SSD8To</t>
  </si>
  <si>
    <t>CTO-MNH73-ETH</t>
  </si>
  <si>
    <t>Passage à un M2 Pro avec CPU 12 cœurs, GPU 19 cœurs pour Mac mini M2 Pro MNH73FN/A</t>
  </si>
  <si>
    <t>Passage à 32 Go de mémoire unifiée pour Mac mini M2 Pro MNH73FN/A</t>
  </si>
  <si>
    <t>Passage à 1 To de stockage SSD pour Mac mini M2 Pro MNH73FN/A</t>
  </si>
  <si>
    <t>Passage à 2 To de stockage SSD pour Mac mini M2 Pro MNH73FN/A</t>
  </si>
  <si>
    <t>Passage à 4 To de stockage SSD pour Mac mini M2 Pro MNH73FN/A</t>
  </si>
  <si>
    <t>Passage à 8 To de stockage SSD pour Mac mini M2 Pro MNH73FN/A</t>
  </si>
  <si>
    <t>Passage à 10 Gigabit Ethernet pour Mac mini M2 Pro MNH73FN/A</t>
  </si>
  <si>
    <t>Tucano MELANGE POUCH - Housse en plastique recyclé 22x15x1,5 pour accessoires - Intérieur noir, extérieur anthracite</t>
  </si>
  <si>
    <t>Tucano MELANGE ORGANIZER - Pochette en plastique recyclé 25x19x2 pour accessoires - Intérieur noir, extérieur anthracite</t>
  </si>
  <si>
    <t>Tucano WORK OUT 4 - Sacoche mince en plastique recyclé pour Mac 13" et 14" - Intérieur kaki, extérieur anthracite</t>
  </si>
  <si>
    <t>Tucano WORK OUT 4 - Sacoche mince en plastique recyclé pour Mac 15" et 16" - Intérieur kaki, extérieur anthracite</t>
  </si>
  <si>
    <t>Mac mini M2 et M2 Pro - début 2023</t>
  </si>
  <si>
    <t>iMac 24" M2 - mi 2021</t>
  </si>
  <si>
    <t>MacBook Pro 16" M2 Pro et M2 Max - début 2023</t>
  </si>
  <si>
    <t>MacBook Pro 14" M2 Pro et M2 Max - début 2023</t>
  </si>
  <si>
    <t>MacBook Pro 13" M2 - mi 2022</t>
  </si>
  <si>
    <t>MacBook Air 13" M2 - mi 2022</t>
  </si>
  <si>
    <t>MacBook Air 13" M1 - fin 2020</t>
  </si>
  <si>
    <t>Mac Pro - fin 2029</t>
  </si>
  <si>
    <t>Mac Studio M1 Ultra et M1 Max - début 2022</t>
  </si>
  <si>
    <t xml:space="preserve">Cotation spécifique de frais de livraison hors France métropolitaine </t>
  </si>
  <si>
    <t>Ajout d'une référence de frais de déplacement liée aux prestations sur site et de frais de livraison hors France métropolitaine</t>
  </si>
  <si>
    <t>Ajout des nouvelles références de Mac mini M2 et M2 Pro</t>
  </si>
  <si>
    <t>Ajout des nouvelles références de MacBook Pro 14" et 16" M2 Pro et M2 Max</t>
  </si>
  <si>
    <t>Retrait des références obsolètes de MacBook Pro 14" et 16" M1 Pro et M1 Max et Mac mini M1 et Intel</t>
  </si>
  <si>
    <t>Augmentation de prix pour les iMac 24" M1</t>
  </si>
  <si>
    <t>Ajout de nouveux accessoires</t>
  </si>
  <si>
    <t>MAINTRONIC</t>
  </si>
  <si>
    <t>Augmentation des références standards de gravure et d'étiquetage</t>
  </si>
  <si>
    <t>StarTech câble USB-C vers DisplayPort 1.4 - 8K 60 Hz et 4k 120Hz - 2 m - Noir</t>
  </si>
  <si>
    <t>MW-300072</t>
  </si>
  <si>
    <t>MW Folio Slim noire coque arrière transparente - pour iPad 10,9" (10ème gén.)</t>
  </si>
  <si>
    <t>UA-12339I114040</t>
  </si>
  <si>
    <t>UAG coque Folio Scout pour iPad 10,9 (10ème gén.) - Porte stylet Pencil - Noir</t>
  </si>
  <si>
    <t>ST-222-387KX-01</t>
  </si>
  <si>
    <t>STM étui Dux Plus pour iPad 10,9" (10 ème gén.) - Emplacement Apple Pencil - Noir, gris et face arrière transparente</t>
  </si>
  <si>
    <t>MW-200178</t>
  </si>
  <si>
    <t>MW protection d'écran verre trempé pour iPad 10,9" (10ème gén.)</t>
  </si>
  <si>
    <t>MI5-MAIN-INST-BAS-1PST</t>
  </si>
  <si>
    <t>MI5-MAIN-INST-BAS-1PST+1</t>
  </si>
  <si>
    <t>MI5-MAIN-INST-AV-TR1</t>
  </si>
  <si>
    <t>MI5-MAIN-INST-AV-TR1+1</t>
  </si>
  <si>
    <t>MI5-MAIN-INST-SOFT-TR1</t>
  </si>
  <si>
    <t>MI5-MAIN-INST-SOFT-TR1+1</t>
  </si>
  <si>
    <t>MI5-MAIN-INST-AV+SOFT-TR1</t>
  </si>
  <si>
    <t>MI5-MAIN-INST-AV+SOFT-TR1+1</t>
  </si>
  <si>
    <t>MI5-MAIN-DATATRANS-TR1</t>
  </si>
  <si>
    <t>MI5-MAIN-DATATRANS-TR1+1</t>
  </si>
  <si>
    <t>Installation basique sur site - 1 poste</t>
  </si>
  <si>
    <t>Installation avancée sur site - 1 poste</t>
  </si>
  <si>
    <t>Installation basique sur site - 1 poste supplémentaire - Référence à associer à la prestation MI5-MAIN-INST-BAS-1PST - Sur même site - Limitée à 8 postes par jour</t>
  </si>
  <si>
    <t>Installation avancée sur site - 1 poste supplémentaire - Référence à associer à la prestation MI5-MAIN-INST-AV-TR1 - Sur même site - Limitée à 3 postes par jour</t>
  </si>
  <si>
    <t>Installation logicielle sur site - 1 poste</t>
  </si>
  <si>
    <t>Installation logicielle sur site - 1 poste supplémentaire - Référence à associer à la prestation MI5-MAIN-INST-LOG-NIV1-TR1 - Sur même site - Limitée à 12 postes par jour</t>
  </si>
  <si>
    <t>Transfert de données utilisateur sur site - 256 Go pour 1 poste</t>
  </si>
  <si>
    <t>Transfert de données utilisateur sur site - 256 Go suppémentaire pour le même poste - Référence à associer à la prestation MI5-MAIN-DATATRANS-TR1 - Sur même site - Limitée à 1000 Go par poste par jour</t>
  </si>
  <si>
    <t>Installation avancée + installation logicielle sur site - 1 poste</t>
  </si>
  <si>
    <t>Installation avancée + installation logicielle sur site - 1 poste suppémentaire - Référence à associer à la prestation MI5-MAIN-INST-AV+SOFT-TR1 - Sur même site - Limitée à 2 postes par jour</t>
  </si>
  <si>
    <t>MI5-MAIN-CLEAN-TR1</t>
  </si>
  <si>
    <t>Effacement sécurisé et formatage d'un périphérique de stockage sur site - Pour 1 disque</t>
  </si>
  <si>
    <t>MI5-MAIN-TRANSCOMP-IPADOS-2H</t>
  </si>
  <si>
    <t>MI5-MAIN-TRANSCOMP-IPADOS-1/2J</t>
  </si>
  <si>
    <t>﻿Transfert de compétence iPadOS - 2 heures sur site - 1 utilisateur</t>
  </si>
  <si>
    <t>﻿Transfert de compétence iPadOS - 1/2 journée sur site - 1 utilisateur</t>
  </si>
  <si>
    <t>MI5-MAIN-TRANSCOMP-IPADOS-1J</t>
  </si>
  <si>
    <t>MI5-MAIN-TRANSCOMP-MACOS-2H</t>
  </si>
  <si>
    <t>MI5-MAIN-TRANSCOMP-MACOS-1/2J</t>
  </si>
  <si>
    <t>MI5-MAIN-TRANSCOMP-MACOS-1J</t>
  </si>
  <si>
    <t>﻿Transfert de compétence iPadOS  1 journée sur site - 1 utilisateur</t>
  </si>
  <si>
    <t>﻿Transfert de compétence MacOS  2 heures sur site - 1 utilisateur</t>
  </si>
  <si>
    <t>﻿Transfert de compétence MacOS  1/2 journée sur site - 1 utilisateur</t>
  </si>
  <si>
    <t>﻿Transfert de compétence MacOS  1 journée sur site - 1 utilisateur</t>
  </si>
  <si>
    <t>Prestations d'installation agréées</t>
  </si>
  <si>
    <t>Modification des références de prestation, à la suite d'un changement de prestataire pour un prestataire agréé</t>
  </si>
  <si>
    <t>Philips moniteur 32'' 4K IPS W-LED  P-line - USB-C 3.2 90W, 2x HDMI 2.0, DisplayPort 1.4, 4x USB, Ethernet - 16:9, résolution 3840x2160, 60Hz, 350 cd/m², constraste de 1000:1, 4 ms - Webcam intégrée - Noir</t>
  </si>
  <si>
    <t>Catégorie 2 - Portables standards - Configuration 3</t>
  </si>
  <si>
    <t>Catégorie 2 - Portables standards - Configuration 7</t>
  </si>
  <si>
    <t>Catégorie 2 - Portables standards - Configuration 8</t>
  </si>
  <si>
    <t>Catégorie 3 - Fixes à faible encombrement - Configuration 3</t>
  </si>
  <si>
    <t>30213200-7</t>
  </si>
  <si>
    <t>66515000-3</t>
  </si>
  <si>
    <t>Périphériques d'entrée</t>
  </si>
  <si>
    <t>Existe aussi en coloris argent</t>
  </si>
  <si>
    <t>iPad Pro 12,9" (6ème génération)</t>
  </si>
  <si>
    <t>iPad Pro 11" (4ème génération)</t>
  </si>
  <si>
    <t>Existe aussi en coloris bleu, rose, mauve et lumière stellaire</t>
  </si>
  <si>
    <t>iPad Air 10,9" (5ème génération)</t>
  </si>
  <si>
    <t>Existe aussi en coloris bleu, rose et jaune</t>
  </si>
  <si>
    <t>iPad 10,9" (10ème génération)</t>
  </si>
  <si>
    <t>iPad 10,2" (9ème génération)</t>
  </si>
  <si>
    <t>Existe aussi en Argent</t>
  </si>
  <si>
    <t>iPad mini (6ème génération)</t>
  </si>
  <si>
    <t>Existe aussi en coloris rose, mauve et lumière stellaire</t>
  </si>
  <si>
    <t>Clavier disponible dans les langues : allemand, espagnol, italien, suisse</t>
  </si>
  <si>
    <t>Apple Smart Folio pour iPad Air 10,9 (4 et 5e gén.) - Blanc (existe aussi en coloris noir, lavande anglaise, orange éléctrique et cerise noir)</t>
  </si>
  <si>
    <t>PROPOSITION DE TARIF N°7 VALIDE AU 22/02/2023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</si>
</sst>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 #,##0\ &quot;€&quot;_-;\-* #,##0\ &quot;€&quot;_-;_-* &quot;-&quot;\ &quot;€&quot;_-;_-@_-"/>
    <numFmt numFmtId="41" formatCode="_-* #,##0\ _€_-;\-* #,##0\ _€_-;_-* &quot;-&quot;\ _€_-;_-@_-"/>
    <numFmt numFmtId="43" formatCode="_-* #,##0.00\ _€_-;\-* #,##0.00\ _€_-;_-* &quot;-&quot;??\ _€_-;_-@_-"/>
    <numFmt numFmtId="164" formatCode="#,##0.00&quot; F&quot;;[Red]\-#,##0.00&quot; F&quot;"/>
    <numFmt numFmtId="165" formatCode="#,##0.00\ &quot;€&quot;"/>
    <numFmt numFmtId="166" formatCode="0.0%"/>
    <numFmt numFmtId="167" formatCode="#,##0.00\ &quot;€&quot;;[Red]#,##0.00\ &quot;€&quot;"/>
    <numFmt numFmtId="168" formatCode="_-* #,##0.00_-;\-* #,##0.00_-;_-* &quot;-&quot;??_-;_-@_-"/>
    <numFmt numFmtId="169" formatCode="0.000%"/>
    <numFmt numFmtId="170" formatCode="_-* #,##0_-;\-* #,##0_-;_-* &quot;-&quot;??_-;_-@_-"/>
  </numFmts>
  <fonts count="158">
    <font>
      <sz val="10"/>
      <name val="Geneva"/>
    </font>
    <font>
      <sz val="12"/>
      <color theme="1"/>
      <name val="Calibri"/>
      <family val="2"/>
      <scheme val="minor"/>
    </font>
    <font>
      <sz val="12"/>
      <color theme="1"/>
      <name val="Calibri"/>
      <family val="2"/>
      <scheme val="minor"/>
    </font>
    <font>
      <sz val="12"/>
      <color theme="1"/>
      <name val="Calibri"/>
      <family val="2"/>
      <scheme val="minor"/>
    </font>
    <font>
      <sz val="10"/>
      <name val="Geneva"/>
      <family val="2"/>
    </font>
    <font>
      <u/>
      <sz val="10"/>
      <color theme="10"/>
      <name val="Geneva"/>
      <family val="2"/>
    </font>
    <font>
      <u/>
      <sz val="10"/>
      <color theme="11"/>
      <name val="Genev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65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0"/>
      <name val="Geneva"/>
      <family val="2"/>
    </font>
    <font>
      <u/>
      <sz val="16"/>
      <color rgb="FFCA1230"/>
      <name val="Myriad Apple Text"/>
    </font>
    <font>
      <sz val="12"/>
      <color rgb="FFCA1230"/>
      <name val="Century Gothic"/>
      <family val="1"/>
    </font>
    <font>
      <sz val="10"/>
      <color rgb="FF666266"/>
      <name val="Century Gothic"/>
      <family val="1"/>
    </font>
    <font>
      <sz val="22"/>
      <color rgb="FF240058"/>
      <name val="Calibri Light"/>
      <family val="2"/>
    </font>
    <font>
      <sz val="16"/>
      <color rgb="FF240058"/>
      <name val="Calibri Light"/>
      <family val="2"/>
    </font>
    <font>
      <sz val="24"/>
      <color rgb="FF240058"/>
      <name val="Calibri Light"/>
      <family val="2"/>
    </font>
    <font>
      <sz val="14"/>
      <color rgb="FF240058"/>
      <name val="Calibri Light"/>
      <family val="2"/>
    </font>
    <font>
      <sz val="11"/>
      <color rgb="FF240058"/>
      <name val="Calibri Light"/>
      <family val="2"/>
    </font>
    <font>
      <sz val="13"/>
      <color rgb="FFE30613"/>
      <name val="Calibri Light"/>
      <family val="2"/>
    </font>
    <font>
      <sz val="15"/>
      <color rgb="FF737373"/>
      <name val="Calibri Light"/>
      <family val="2"/>
    </font>
    <font>
      <sz val="15"/>
      <color rgb="FF240058"/>
      <name val="Calibri Light"/>
      <family val="2"/>
    </font>
    <font>
      <sz val="11"/>
      <color rgb="FF951746"/>
      <name val="Calibri Light"/>
      <family val="2"/>
    </font>
    <font>
      <sz val="14"/>
      <color rgb="FF240058"/>
      <name val="Calibri"/>
      <family val="2"/>
      <scheme val="minor"/>
    </font>
    <font>
      <sz val="24"/>
      <color rgb="FF240058"/>
      <name val="Calibri"/>
      <family val="2"/>
      <scheme val="minor"/>
    </font>
    <font>
      <sz val="10"/>
      <name val="Calibri"/>
      <family val="2"/>
      <scheme val="minor"/>
    </font>
    <font>
      <sz val="12"/>
      <color rgb="FFCA1230"/>
      <name val="Calibri"/>
      <family val="2"/>
      <scheme val="minor"/>
    </font>
    <font>
      <sz val="18"/>
      <color rgb="FF240058"/>
      <name val="Calibri Light"/>
      <family val="2"/>
    </font>
    <font>
      <sz val="9"/>
      <color theme="1"/>
      <name val="calibri"/>
      <family val="2"/>
    </font>
    <font>
      <b/>
      <sz val="11"/>
      <color theme="0"/>
      <name val="Calibri"/>
      <family val="2"/>
      <scheme val="minor"/>
    </font>
    <font>
      <b/>
      <sz val="10"/>
      <color indexed="10"/>
      <name val="Calibri"/>
      <family val="2"/>
      <scheme val="minor"/>
    </font>
    <font>
      <b/>
      <sz val="10"/>
      <color indexed="11"/>
      <name val="Calibri"/>
      <family val="2"/>
      <scheme val="minor"/>
    </font>
    <font>
      <sz val="10"/>
      <color rgb="FFE1641E"/>
      <name val="Calibri"/>
      <family val="2"/>
      <scheme val="minor"/>
    </font>
    <font>
      <sz val="24"/>
      <color rgb="FF3DB97C"/>
      <name val="Calibri"/>
      <family val="2"/>
      <scheme val="minor"/>
    </font>
    <font>
      <sz val="24"/>
      <color rgb="FFE1641E"/>
      <name val="Calibri"/>
      <family val="2"/>
      <scheme val="minor"/>
    </font>
    <font>
      <sz val="20"/>
      <color rgb="FF3366FF"/>
      <name val="Calibri"/>
      <family val="2"/>
      <scheme val="minor"/>
    </font>
    <font>
      <b/>
      <sz val="10"/>
      <name val="Calibri"/>
      <family val="2"/>
      <scheme val="minor"/>
    </font>
    <font>
      <sz val="14"/>
      <color rgb="FF3366FF"/>
      <name val="Calibri"/>
      <family val="2"/>
      <scheme val="minor"/>
    </font>
    <font>
      <b/>
      <sz val="10"/>
      <color rgb="FFCA1230"/>
      <name val="Calibri"/>
      <family val="2"/>
      <scheme val="minor"/>
    </font>
    <font>
      <sz val="10"/>
      <color rgb="FF3366FF"/>
      <name val="Calibri"/>
      <family val="2"/>
      <scheme val="minor"/>
    </font>
    <font>
      <sz val="12"/>
      <name val="Calibri"/>
      <family val="2"/>
      <scheme val="minor"/>
    </font>
    <font>
      <sz val="10"/>
      <color rgb="FFFF0000"/>
      <name val="Calibri"/>
      <family val="2"/>
      <scheme val="minor"/>
    </font>
    <font>
      <sz val="10"/>
      <name val="Calibri"/>
      <family val="2"/>
    </font>
    <font>
      <sz val="10"/>
      <color rgb="FF2CAB42"/>
      <name val="Calibri"/>
      <family val="2"/>
      <scheme val="minor"/>
    </font>
    <font>
      <sz val="24"/>
      <color rgb="FF2CAB42"/>
      <name val="Calibri"/>
      <family val="2"/>
      <scheme val="minor"/>
    </font>
    <font>
      <b/>
      <sz val="10"/>
      <color rgb="FF2CAB42"/>
      <name val="Calibri"/>
      <family val="2"/>
      <scheme val="minor"/>
    </font>
    <font>
      <b/>
      <sz val="10"/>
      <color theme="4"/>
      <name val="Calibri"/>
      <family val="2"/>
      <scheme val="minor"/>
    </font>
    <font>
      <sz val="10"/>
      <color theme="4"/>
      <name val="Calibri"/>
      <family val="2"/>
      <scheme val="minor"/>
    </font>
    <font>
      <b/>
      <sz val="22"/>
      <color rgb="FF240058"/>
      <name val="Calibri Light"/>
      <family val="2"/>
    </font>
    <font>
      <sz val="14"/>
      <name val="Calibri"/>
      <family val="2"/>
      <scheme val="minor"/>
    </font>
    <font>
      <sz val="12"/>
      <color rgb="FF2CAB42"/>
      <name val="Calibri"/>
      <family val="2"/>
      <scheme val="minor"/>
    </font>
    <font>
      <sz val="10"/>
      <color theme="1"/>
      <name val="Calibri"/>
      <family val="2"/>
      <scheme val="minor"/>
    </font>
    <font>
      <sz val="8"/>
      <name val="Geneva"/>
      <family val="2"/>
    </font>
    <font>
      <b/>
      <sz val="10"/>
      <color theme="1"/>
      <name val="Calibri"/>
      <family val="2"/>
      <scheme val="minor"/>
    </font>
    <font>
      <sz val="10"/>
      <color rgb="FF2CAB42"/>
      <name val="Calibri (Corps)"/>
    </font>
    <font>
      <sz val="10"/>
      <name val="Calibri (Corps)"/>
    </font>
    <font>
      <b/>
      <sz val="10"/>
      <name val="Calibri (Corps)"/>
    </font>
    <font>
      <b/>
      <sz val="10"/>
      <color rgb="FF4F81BD"/>
      <name val="Calibri"/>
      <family val="2"/>
      <scheme val="minor"/>
    </font>
    <font>
      <sz val="10"/>
      <color rgb="FF4F81BD"/>
      <name val="Calibri"/>
      <family val="2"/>
      <scheme val="minor"/>
    </font>
    <font>
      <b/>
      <sz val="10"/>
      <color rgb="FF000000"/>
      <name val="Arial"/>
      <family val="2"/>
    </font>
    <font>
      <sz val="10"/>
      <color rgb="FFFF0000"/>
      <name val="Calibri (Corps)"/>
    </font>
    <font>
      <b/>
      <sz val="10"/>
      <color theme="3"/>
      <name val="Calibri (Corps)"/>
    </font>
    <font>
      <sz val="10"/>
      <color theme="3"/>
      <name val="Calibri (Corps)"/>
    </font>
    <font>
      <b/>
      <sz val="10"/>
      <color theme="3"/>
      <name val="Calibri"/>
      <family val="2"/>
      <scheme val="minor"/>
    </font>
    <font>
      <sz val="10"/>
      <color theme="3"/>
      <name val="Calibri"/>
      <family val="2"/>
      <scheme val="minor"/>
    </font>
    <font>
      <sz val="11"/>
      <color theme="1"/>
      <name val="Calibri"/>
      <family val="2"/>
      <scheme val="minor"/>
    </font>
    <font>
      <sz val="24"/>
      <color theme="1"/>
      <name val="Calibri"/>
      <family val="2"/>
      <scheme val="minor"/>
    </font>
    <font>
      <b/>
      <sz val="10"/>
      <color theme="1"/>
      <name val="Calibri (Corps)"/>
    </font>
    <font>
      <sz val="10"/>
      <color theme="1"/>
      <name val="Calibri (Corps)"/>
    </font>
    <font>
      <sz val="10"/>
      <color rgb="FF00B050"/>
      <name val="Calibri (Corps)"/>
    </font>
    <font>
      <b/>
      <sz val="12"/>
      <name val="Calibri"/>
      <family val="2"/>
      <scheme val="minor"/>
    </font>
    <font>
      <b/>
      <sz val="18"/>
      <color rgb="FFFF0000"/>
      <name val="Calibri"/>
      <family val="2"/>
      <scheme val="minor"/>
    </font>
    <font>
      <b/>
      <sz val="20"/>
      <color rgb="FF0070C0"/>
      <name val="Calibri"/>
      <family val="2"/>
      <scheme val="minor"/>
    </font>
    <font>
      <sz val="16"/>
      <color theme="1"/>
      <name val="Calibri"/>
      <family val="2"/>
      <scheme val="minor"/>
    </font>
    <font>
      <b/>
      <sz val="26"/>
      <color rgb="FF0070C0"/>
      <name val="Calibri"/>
      <family val="2"/>
      <scheme val="minor"/>
    </font>
    <font>
      <b/>
      <sz val="24"/>
      <color rgb="FF0070C0"/>
      <name val="Calibri"/>
      <family val="2"/>
      <scheme val="minor"/>
    </font>
    <font>
      <b/>
      <sz val="10"/>
      <color rgb="FFC00000"/>
      <name val="Calibri"/>
      <family val="2"/>
      <scheme val="minor"/>
    </font>
    <font>
      <b/>
      <sz val="10"/>
      <color rgb="FFC00000"/>
      <name val="Geneva"/>
      <family val="2"/>
    </font>
    <font>
      <sz val="24"/>
      <name val="Calibri"/>
      <family val="2"/>
      <scheme val="minor"/>
    </font>
    <font>
      <b/>
      <sz val="14"/>
      <color rgb="FF000000"/>
      <name val="Calibri"/>
      <family val="2"/>
    </font>
    <font>
      <b/>
      <sz val="14"/>
      <color rgb="FF2CAB42"/>
      <name val="Calibri"/>
      <family val="2"/>
    </font>
    <font>
      <b/>
      <sz val="14"/>
      <color rgb="FFFF0000"/>
      <name val="Calibri"/>
      <family val="2"/>
    </font>
    <font>
      <b/>
      <sz val="14"/>
      <color rgb="FFFFC000"/>
      <name val="Calibri"/>
      <family val="2"/>
    </font>
    <font>
      <b/>
      <sz val="10"/>
      <color rgb="FF4F81BD"/>
      <name val="Calibri (Corps)"/>
    </font>
    <font>
      <sz val="10"/>
      <color rgb="FF4F81BD"/>
      <name val="Calibri (Corps)"/>
    </font>
    <font>
      <b/>
      <sz val="10"/>
      <color rgb="FF2CAB42"/>
      <name val="Calibri (Corps)"/>
    </font>
    <font>
      <b/>
      <i/>
      <sz val="9"/>
      <name val="Calibri"/>
      <family val="2"/>
      <scheme val="minor"/>
    </font>
    <font>
      <sz val="16"/>
      <name val="Calibri"/>
      <family val="2"/>
      <scheme val="minor"/>
    </font>
    <font>
      <b/>
      <i/>
      <sz val="10"/>
      <name val="Calibri (Corps)"/>
    </font>
    <font>
      <sz val="11"/>
      <name val="Calibri (Corps)"/>
    </font>
    <font>
      <sz val="10"/>
      <color rgb="FF2CAB42"/>
      <name val="Calibri"/>
      <family val="2"/>
    </font>
    <font>
      <b/>
      <sz val="10"/>
      <color rgb="FF000000"/>
      <name val="Calibri"/>
      <family val="2"/>
    </font>
    <font>
      <sz val="10"/>
      <color rgb="FF3366FF"/>
      <name val="Calibri"/>
      <family val="2"/>
    </font>
    <font>
      <sz val="10"/>
      <color rgb="FF000000"/>
      <name val="Calibri"/>
      <family val="2"/>
    </font>
    <font>
      <b/>
      <sz val="12"/>
      <color rgb="FF2CAB42"/>
      <name val="Calibri"/>
      <family val="2"/>
      <scheme val="minor"/>
    </font>
    <font>
      <sz val="16"/>
      <color rgb="FFFF0000"/>
      <name val="Calibri"/>
      <family val="2"/>
      <scheme val="minor"/>
    </font>
    <font>
      <sz val="16"/>
      <color rgb="FF2CAB42"/>
      <name val="Calibri"/>
      <family val="2"/>
      <scheme val="minor"/>
    </font>
    <font>
      <sz val="16"/>
      <color rgb="FFFFC000"/>
      <name val="Calibri"/>
      <family val="2"/>
      <scheme val="minor"/>
    </font>
    <font>
      <b/>
      <sz val="10"/>
      <color theme="4"/>
      <name val="Calibri (Corps)"/>
    </font>
    <font>
      <sz val="10"/>
      <color theme="4"/>
      <name val="Calibri (Corps)"/>
    </font>
    <font>
      <b/>
      <sz val="10"/>
      <color rgb="FF2CAB42"/>
      <name val="Calibri"/>
      <family val="2"/>
    </font>
    <font>
      <b/>
      <sz val="10"/>
      <name val="Calibri"/>
      <family val="2"/>
    </font>
    <font>
      <b/>
      <sz val="12"/>
      <color rgb="FFCA1230"/>
      <name val="Calibri"/>
      <family val="2"/>
      <scheme val="minor"/>
    </font>
    <font>
      <b/>
      <sz val="10"/>
      <color rgb="FFFFC000"/>
      <name val="Calibri"/>
      <family val="2"/>
      <scheme val="minor"/>
    </font>
    <font>
      <sz val="10"/>
      <color rgb="FF0070C0"/>
      <name val="Calibri"/>
      <family val="2"/>
      <scheme val="minor"/>
    </font>
    <font>
      <sz val="10"/>
      <color rgb="FFFFC000"/>
      <name val="Calibri"/>
      <family val="2"/>
      <scheme val="minor"/>
    </font>
    <font>
      <sz val="10"/>
      <color rgb="FFFFC000"/>
      <name val="Calibri (Corps)"/>
    </font>
    <font>
      <b/>
      <sz val="10"/>
      <color theme="1"/>
      <name val="Arial"/>
      <family val="2"/>
    </font>
    <font>
      <sz val="10"/>
      <color theme="1"/>
      <name val="Calibri"/>
      <family val="2"/>
    </font>
    <font>
      <sz val="10"/>
      <color theme="1"/>
      <name val="Geneva"/>
      <family val="2"/>
    </font>
    <font>
      <b/>
      <sz val="24"/>
      <color rgb="FF3DB97C"/>
      <name val="Calibri"/>
      <family val="2"/>
      <scheme val="minor"/>
    </font>
    <font>
      <b/>
      <sz val="10"/>
      <color rgb="FF4F81BD"/>
      <name val="Calibri"/>
      <family val="2"/>
    </font>
    <font>
      <b/>
      <sz val="24"/>
      <name val="Calibri"/>
      <family val="2"/>
      <scheme val="minor"/>
    </font>
    <font>
      <sz val="10"/>
      <color rgb="FF0432FF"/>
      <name val="Calibri"/>
      <family val="2"/>
      <scheme val="minor"/>
    </font>
    <font>
      <sz val="20"/>
      <color rgb="FF0432FF"/>
      <name val="Calibri"/>
      <family val="2"/>
      <scheme val="minor"/>
    </font>
    <font>
      <sz val="14"/>
      <color rgb="FF0432FF"/>
      <name val="Calibri"/>
      <family val="2"/>
      <scheme val="minor"/>
    </font>
    <font>
      <sz val="10"/>
      <color rgb="FF0432FF"/>
      <name val="Geneva"/>
      <family val="2"/>
    </font>
    <font>
      <i/>
      <sz val="10"/>
      <color theme="1"/>
      <name val="Calibri"/>
      <family val="2"/>
      <scheme val="minor"/>
    </font>
    <font>
      <b/>
      <sz val="14"/>
      <color theme="1"/>
      <name val="Calibri"/>
      <family val="2"/>
      <scheme val="minor"/>
    </font>
    <font>
      <b/>
      <i/>
      <sz val="10"/>
      <color theme="1"/>
      <name val="Calibri"/>
      <family val="2"/>
      <scheme val="minor"/>
    </font>
    <font>
      <b/>
      <sz val="10"/>
      <color rgb="FFFFC000"/>
      <name val="Calibri (Corps)"/>
    </font>
    <font>
      <b/>
      <i/>
      <sz val="11"/>
      <name val="Calibri"/>
      <family val="2"/>
      <scheme val="minor"/>
    </font>
    <font>
      <b/>
      <sz val="11"/>
      <name val="Calibri (Corps)"/>
    </font>
    <font>
      <sz val="11"/>
      <color rgb="FF3366FF"/>
      <name val="Calibri"/>
      <family val="2"/>
      <scheme val="minor"/>
    </font>
    <font>
      <sz val="11"/>
      <name val="Calibri"/>
      <family val="2"/>
      <scheme val="minor"/>
    </font>
    <font>
      <b/>
      <sz val="11"/>
      <color rgb="FF2CAB42"/>
      <name val="Calibri"/>
      <family val="2"/>
      <scheme val="minor"/>
    </font>
    <font>
      <b/>
      <sz val="11"/>
      <color rgb="FF2CAB42"/>
      <name val="Calibri (Corps)"/>
    </font>
    <font>
      <sz val="11"/>
      <color rgb="FF2CAB42"/>
      <name val="Calibri"/>
      <family val="2"/>
      <scheme val="minor"/>
    </font>
    <font>
      <b/>
      <sz val="11"/>
      <color rgb="FF4F81BD"/>
      <name val="Calibri (Corps)"/>
    </font>
    <font>
      <b/>
      <sz val="11"/>
      <color rgb="FF4F81BD"/>
      <name val="Calibri"/>
      <family val="2"/>
      <scheme val="minor"/>
    </font>
    <font>
      <b/>
      <sz val="11"/>
      <name val="Calibri"/>
      <family val="2"/>
      <scheme val="minor"/>
    </font>
    <font>
      <b/>
      <i/>
      <sz val="11"/>
      <name val="Calibri"/>
      <family val="2"/>
    </font>
    <font>
      <b/>
      <sz val="10"/>
      <color theme="1"/>
      <name val="Geneva"/>
      <family val="2"/>
    </font>
    <font>
      <b/>
      <sz val="12"/>
      <color rgb="FFFFC000"/>
      <name val="Calibri"/>
      <family val="2"/>
      <scheme val="minor"/>
    </font>
    <font>
      <b/>
      <i/>
      <sz val="12"/>
      <name val="Calibri"/>
      <family val="2"/>
      <scheme val="minor"/>
    </font>
    <font>
      <b/>
      <i/>
      <sz val="12"/>
      <color theme="1"/>
      <name val="Calibri"/>
      <family val="2"/>
      <scheme val="minor"/>
    </font>
    <font>
      <b/>
      <i/>
      <sz val="12"/>
      <name val="Calibri (Corps)"/>
    </font>
    <font>
      <b/>
      <i/>
      <sz val="12"/>
      <name val="Calibri"/>
      <family val="2"/>
    </font>
    <font>
      <b/>
      <i/>
      <sz val="12"/>
      <color rgb="FF2CAB42"/>
      <name val="Calibri"/>
      <family val="2"/>
      <scheme val="minor"/>
    </font>
    <font>
      <b/>
      <sz val="12"/>
      <color theme="1"/>
      <name val="Arial"/>
      <family val="2"/>
    </font>
    <font>
      <sz val="12"/>
      <color rgb="FF0432FF"/>
      <name val="Calibri"/>
      <family val="2"/>
      <scheme val="minor"/>
    </font>
    <font>
      <sz val="12"/>
      <color rgb="FF3366FF"/>
      <name val="Calibri"/>
      <family val="2"/>
      <scheme val="minor"/>
    </font>
    <font>
      <sz val="14"/>
      <color theme="1"/>
      <name val="Calibri"/>
      <family val="2"/>
      <scheme val="minor"/>
    </font>
    <font>
      <sz val="14"/>
      <color theme="1"/>
      <name val="Calibri (Corps)"/>
    </font>
    <font>
      <sz val="14"/>
      <name val="Calibri (Corps)"/>
    </font>
  </fonts>
  <fills count="5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DBEC"/>
        <bgColor indexed="64"/>
      </patternFill>
    </fill>
    <fill>
      <patternFill patternType="solid">
        <fgColor rgb="FFC3EFFF"/>
        <bgColor indexed="64"/>
      </patternFill>
    </fill>
    <fill>
      <patternFill patternType="solid">
        <fgColor rgb="FFD7B3FF"/>
        <bgColor indexed="64"/>
      </patternFill>
    </fill>
    <fill>
      <patternFill patternType="solid">
        <fgColor rgb="FFCFB38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C1FFB5"/>
        <bgColor indexed="64"/>
      </patternFill>
    </fill>
    <fill>
      <patternFill patternType="solid">
        <fgColor rgb="FFEAFFA2"/>
        <bgColor indexed="64"/>
      </patternFill>
    </fill>
    <fill>
      <patternFill patternType="solid">
        <fgColor rgb="FFF2F1FF"/>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E4E4E4"/>
        <bgColor indexed="64"/>
      </patternFill>
    </fill>
    <fill>
      <patternFill patternType="solid">
        <fgColor theme="8" tint="0.39997558519241921"/>
        <bgColor indexed="64"/>
      </patternFill>
    </fill>
    <fill>
      <patternFill patternType="solid">
        <fgColor rgb="FF4F81BD"/>
        <bgColor indexed="64"/>
      </patternFill>
    </fill>
    <fill>
      <patternFill patternType="solid">
        <fgColor rgb="FFFFFF00"/>
        <bgColor indexed="64"/>
      </patternFill>
    </fill>
    <fill>
      <patternFill patternType="solid">
        <fgColor rgb="FFD9D9D9"/>
        <bgColor rgb="FF000000"/>
      </patternFill>
    </fill>
    <fill>
      <patternFill patternType="solid">
        <fgColor rgb="FFFF0000"/>
        <bgColor indexed="64"/>
      </patternFill>
    </fill>
  </fills>
  <borders count="1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6A6363"/>
      </left>
      <right/>
      <top/>
      <bottom/>
      <diagonal/>
    </border>
    <border>
      <left/>
      <right/>
      <top style="thin">
        <color rgb="FF6A6363"/>
      </top>
      <bottom style="thin">
        <color rgb="FF6A6363"/>
      </bottom>
      <diagonal/>
    </border>
    <border>
      <left style="thin">
        <color auto="1"/>
      </left>
      <right/>
      <top/>
      <bottom/>
      <diagonal/>
    </border>
    <border>
      <left style="thin">
        <color auto="1"/>
      </left>
      <right style="thin">
        <color auto="1"/>
      </right>
      <top/>
      <bottom/>
      <diagonal/>
    </border>
    <border>
      <left/>
      <right/>
      <top/>
      <bottom style="thin">
        <color rgb="FF240058"/>
      </bottom>
      <diagonal/>
    </border>
    <border>
      <left/>
      <right/>
      <top style="thin">
        <color rgb="FF737373"/>
      </top>
      <bottom/>
      <diagonal/>
    </border>
    <border>
      <left/>
      <right/>
      <top style="thin">
        <color auto="1"/>
      </top>
      <bottom/>
      <diagonal/>
    </border>
    <border>
      <left style="thick">
        <color rgb="FFD90A12"/>
      </left>
      <right style="thin">
        <color rgb="FF6A6363"/>
      </right>
      <top style="thin">
        <color rgb="FF6A6363"/>
      </top>
      <bottom style="thin">
        <color auto="1"/>
      </bottom>
      <diagonal/>
    </border>
    <border>
      <left style="thick">
        <color rgb="FFCD0911"/>
      </left>
      <right/>
      <top/>
      <bottom/>
      <diagonal/>
    </border>
    <border>
      <left style="thick">
        <color rgb="FFE30613"/>
      </left>
      <right/>
      <top/>
      <bottom/>
      <diagonal/>
    </border>
    <border>
      <left style="thick">
        <color rgb="FFE30613"/>
      </left>
      <right/>
      <top style="thin">
        <color rgb="FF6A6363"/>
      </top>
      <bottom style="thin">
        <color rgb="FF6A6363"/>
      </bottom>
      <diagonal/>
    </border>
    <border>
      <left style="thin">
        <color auto="1"/>
      </left>
      <right style="thin">
        <color auto="1"/>
      </right>
      <top style="thin">
        <color auto="1"/>
      </top>
      <bottom style="thin">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rgb="FF6A6363"/>
      </bottom>
      <diagonal/>
    </border>
    <border>
      <left style="thin">
        <color auto="1"/>
      </left>
      <right style="thin">
        <color auto="1"/>
      </right>
      <top style="thin">
        <color rgb="FF6A6363"/>
      </top>
      <bottom style="thin">
        <color rgb="FF6A6363"/>
      </bottom>
      <diagonal/>
    </border>
    <border>
      <left style="thin">
        <color rgb="FF6A6363"/>
      </left>
      <right/>
      <top style="thin">
        <color rgb="FF6A6363"/>
      </top>
      <bottom style="thin">
        <color rgb="FF6A6363"/>
      </bottom>
      <diagonal/>
    </border>
    <border>
      <left/>
      <right style="thin">
        <color indexed="64"/>
      </right>
      <top/>
      <bottom style="thin">
        <color rgb="FF6A6363"/>
      </bottom>
      <diagonal/>
    </border>
    <border>
      <left/>
      <right style="thin">
        <color indexed="64"/>
      </right>
      <top style="thin">
        <color rgb="FF6A6363"/>
      </top>
      <bottom style="thin">
        <color rgb="FF6A6363"/>
      </bottom>
      <diagonal/>
    </border>
    <border>
      <left/>
      <right style="thin">
        <color indexed="64"/>
      </right>
      <top style="thin">
        <color rgb="FF6A6363"/>
      </top>
      <bottom/>
      <diagonal/>
    </border>
    <border>
      <left style="thin">
        <color auto="1"/>
      </left>
      <right style="thin">
        <color indexed="64"/>
      </right>
      <top style="thin">
        <color rgb="FF6A6363"/>
      </top>
      <bottom/>
      <diagonal/>
    </border>
    <border>
      <left style="thin">
        <color theme="1"/>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auto="1"/>
      </top>
      <bottom/>
      <diagonal/>
    </border>
    <border>
      <left/>
      <right/>
      <top/>
      <bottom style="thin">
        <color indexed="64"/>
      </bottom>
      <diagonal/>
    </border>
    <border>
      <left style="thick">
        <color rgb="FFC00000"/>
      </left>
      <right style="thin">
        <color auto="1"/>
      </right>
      <top/>
      <bottom/>
      <diagonal/>
    </border>
    <border>
      <left style="thick">
        <color rgb="FFC00000"/>
      </left>
      <right style="thin">
        <color rgb="FF6A6363"/>
      </right>
      <top/>
      <bottom/>
      <diagonal/>
    </border>
    <border>
      <left/>
      <right/>
      <top style="thin">
        <color rgb="FF6A6363"/>
      </top>
      <bottom/>
      <diagonal/>
    </border>
    <border>
      <left style="thin">
        <color indexed="64"/>
      </left>
      <right style="thin">
        <color indexed="64"/>
      </right>
      <top/>
      <bottom style="thin">
        <color indexed="64"/>
      </bottom>
      <diagonal/>
    </border>
    <border>
      <left style="thick">
        <color rgb="FFC00000"/>
      </left>
      <right/>
      <top/>
      <bottom/>
      <diagonal/>
    </border>
    <border>
      <left style="thick">
        <color auto="1"/>
      </left>
      <right/>
      <top style="thick">
        <color auto="1"/>
      </top>
      <bottom/>
      <diagonal/>
    </border>
    <border>
      <left/>
      <right/>
      <top style="thick">
        <color auto="1"/>
      </top>
      <bottom/>
      <diagonal/>
    </border>
    <border>
      <left style="thick">
        <color auto="1"/>
      </left>
      <right style="thick">
        <color auto="1"/>
      </right>
      <top style="thick">
        <color auto="1"/>
      </top>
      <bottom style="thick">
        <color auto="1"/>
      </bottom>
      <diagonal/>
    </border>
    <border>
      <left style="thick">
        <color auto="1"/>
      </left>
      <right/>
      <top/>
      <bottom style="thick">
        <color auto="1"/>
      </bottom>
      <diagonal/>
    </border>
    <border>
      <left/>
      <right style="thick">
        <color auto="1"/>
      </right>
      <top/>
      <bottom style="thick">
        <color indexed="64"/>
      </bottom>
      <diagonal/>
    </border>
    <border>
      <left style="thick">
        <color rgb="FFC00000"/>
      </left>
      <right style="thin">
        <color auto="1"/>
      </right>
      <top style="thin">
        <color auto="1"/>
      </top>
      <bottom style="thin">
        <color auto="1"/>
      </bottom>
      <diagonal/>
    </border>
    <border>
      <left style="thick">
        <color rgb="FFC00000"/>
      </left>
      <right style="thin">
        <color rgb="FF6A6363"/>
      </right>
      <top style="thin">
        <color rgb="FF6A6363"/>
      </top>
      <bottom style="thin">
        <color auto="1"/>
      </bottom>
      <diagonal/>
    </border>
    <border>
      <left style="thick">
        <color rgb="FFC00000"/>
      </left>
      <right style="thin">
        <color indexed="64"/>
      </right>
      <top/>
      <bottom style="thin">
        <color auto="1"/>
      </bottom>
      <diagonal/>
    </border>
    <border>
      <left/>
      <right/>
      <top/>
      <bottom style="thin">
        <color rgb="FF6A6363"/>
      </bottom>
      <diagonal/>
    </border>
    <border>
      <left style="thin">
        <color theme="1"/>
      </left>
      <right/>
      <top/>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auto="1"/>
      </right>
      <top style="thin">
        <color theme="1"/>
      </top>
      <bottom/>
      <diagonal/>
    </border>
    <border>
      <left style="thick">
        <color rgb="FFC00000"/>
      </left>
      <right/>
      <top style="thin">
        <color theme="1"/>
      </top>
      <bottom style="thin">
        <color theme="1"/>
      </bottom>
      <diagonal/>
    </border>
    <border>
      <left style="thin">
        <color indexed="64"/>
      </left>
      <right/>
      <top/>
      <bottom style="thin">
        <color indexed="64"/>
      </bottom>
      <diagonal/>
    </border>
    <border>
      <left style="thick">
        <color rgb="FFC00000"/>
      </left>
      <right/>
      <top style="thin">
        <color rgb="FF6A6363"/>
      </top>
      <bottom style="thin">
        <color rgb="FF6A6363"/>
      </bottom>
      <diagonal/>
    </border>
    <border>
      <left style="thin">
        <color theme="1"/>
      </left>
      <right style="thin">
        <color theme="1"/>
      </right>
      <top style="thin">
        <color theme="1"/>
      </top>
      <bottom style="thin">
        <color theme="1"/>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ck">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ck">
        <color theme="1"/>
      </left>
      <right style="thin">
        <color theme="1"/>
      </right>
      <top style="thin">
        <color theme="1"/>
      </top>
      <bottom style="thick">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n">
        <color theme="1"/>
      </left>
      <right style="thin">
        <color theme="1"/>
      </right>
      <top/>
      <bottom style="thin">
        <color theme="1"/>
      </bottom>
      <diagonal/>
    </border>
    <border>
      <left style="thick">
        <color theme="1"/>
      </left>
      <right style="thin">
        <color theme="1"/>
      </right>
      <top/>
      <bottom style="thin">
        <color theme="1"/>
      </bottom>
      <diagonal/>
    </border>
    <border>
      <left style="thin">
        <color theme="1"/>
      </left>
      <right style="thick">
        <color theme="1"/>
      </right>
      <top/>
      <bottom style="thin">
        <color theme="1"/>
      </bottom>
      <diagonal/>
    </border>
    <border>
      <left style="thick">
        <color theme="1"/>
      </left>
      <right style="thin">
        <color theme="1"/>
      </right>
      <top style="thick">
        <color theme="1"/>
      </top>
      <bottom/>
      <diagonal/>
    </border>
    <border>
      <left style="thin">
        <color theme="1"/>
      </left>
      <right style="thin">
        <color theme="1"/>
      </right>
      <top style="thick">
        <color theme="1"/>
      </top>
      <bottom/>
      <diagonal/>
    </border>
    <border>
      <left style="thin">
        <color theme="1"/>
      </left>
      <right style="thick">
        <color theme="1"/>
      </right>
      <top style="thick">
        <color theme="1"/>
      </top>
      <bottom/>
      <diagonal/>
    </border>
    <border>
      <left style="thick">
        <color theme="1"/>
      </left>
      <right/>
      <top/>
      <bottom/>
      <diagonal/>
    </border>
    <border>
      <left/>
      <right style="thick">
        <color theme="1"/>
      </right>
      <top/>
      <bottom/>
      <diagonal/>
    </border>
    <border>
      <left style="thin">
        <color theme="1"/>
      </left>
      <right style="thin">
        <color theme="1"/>
      </right>
      <top/>
      <bottom style="thick">
        <color theme="1"/>
      </bottom>
      <diagonal/>
    </border>
    <border>
      <left style="thick">
        <color rgb="FFC00000"/>
      </left>
      <right/>
      <top style="medium">
        <color theme="1"/>
      </top>
      <bottom style="medium">
        <color theme="1"/>
      </bottom>
      <diagonal/>
    </border>
    <border>
      <left style="thin">
        <color auto="1"/>
      </left>
      <right style="thin">
        <color auto="1"/>
      </right>
      <top style="medium">
        <color theme="1"/>
      </top>
      <bottom style="medium">
        <color theme="1"/>
      </bottom>
      <diagonal/>
    </border>
    <border>
      <left/>
      <right style="thin">
        <color auto="1"/>
      </right>
      <top style="medium">
        <color theme="1"/>
      </top>
      <bottom style="medium">
        <color theme="1"/>
      </bottom>
      <diagonal/>
    </border>
    <border>
      <left style="thin">
        <color auto="1"/>
      </left>
      <right style="thick">
        <color rgb="FFC00000"/>
      </right>
      <top style="medium">
        <color theme="1"/>
      </top>
      <bottom style="medium">
        <color theme="1"/>
      </bottom>
      <diagonal/>
    </border>
    <border>
      <left/>
      <right/>
      <top style="medium">
        <color theme="1"/>
      </top>
      <bottom style="medium">
        <color theme="1"/>
      </bottom>
      <diagonal/>
    </border>
    <border>
      <left style="thin">
        <color auto="1"/>
      </left>
      <right/>
      <top style="medium">
        <color theme="1"/>
      </top>
      <bottom style="medium">
        <color theme="1"/>
      </bottom>
      <diagonal/>
    </border>
    <border>
      <left style="thin">
        <color rgb="FF6A6363"/>
      </left>
      <right/>
      <top style="thin">
        <color rgb="FF6A6363"/>
      </top>
      <bottom/>
      <diagonal/>
    </border>
    <border>
      <left style="thick">
        <color rgb="FFC00000"/>
      </left>
      <right style="thin">
        <color rgb="FF6A6363"/>
      </right>
      <top style="thin">
        <color rgb="FF6A6363"/>
      </top>
      <bottom style="thin">
        <color theme="0" tint="-0.14999847407452621"/>
      </bottom>
      <diagonal/>
    </border>
    <border>
      <left style="thick">
        <color rgb="FFD90A12"/>
      </left>
      <right style="thin">
        <color rgb="FF6A6363"/>
      </right>
      <top style="thin">
        <color rgb="FF6A6363"/>
      </top>
      <bottom/>
      <diagonal/>
    </border>
    <border>
      <left/>
      <right style="thin">
        <color auto="1"/>
      </right>
      <top style="thin">
        <color auto="1"/>
      </top>
      <bottom/>
      <diagonal/>
    </border>
    <border>
      <left style="thick">
        <color theme="1"/>
      </left>
      <right style="thin">
        <color theme="1"/>
      </right>
      <top/>
      <bottom/>
      <diagonal/>
    </border>
    <border>
      <left style="thick">
        <color theme="1"/>
      </left>
      <right style="thin">
        <color theme="1"/>
      </right>
      <top/>
      <bottom style="thick">
        <color theme="1"/>
      </bottom>
      <diagonal/>
    </border>
    <border>
      <left style="thin">
        <color theme="1"/>
      </left>
      <right style="thin">
        <color theme="1"/>
      </right>
      <top/>
      <bottom/>
      <diagonal/>
    </border>
    <border>
      <left style="thin">
        <color theme="1"/>
      </left>
      <right style="thick">
        <color theme="1"/>
      </right>
      <top/>
      <bottom/>
      <diagonal/>
    </border>
    <border>
      <left style="thick">
        <color rgb="FFC00000"/>
      </left>
      <right style="thin">
        <color theme="1"/>
      </right>
      <top style="thin">
        <color theme="1"/>
      </top>
      <bottom style="thin">
        <color theme="0" tint="-0.249977111117893"/>
      </bottom>
      <diagonal/>
    </border>
    <border>
      <left style="thick">
        <color rgb="FFC00000"/>
      </left>
      <right style="thin">
        <color theme="1"/>
      </right>
      <top/>
      <bottom style="thin">
        <color theme="1"/>
      </bottom>
      <diagonal/>
    </border>
    <border>
      <left style="thin">
        <color theme="1"/>
      </left>
      <right style="thin">
        <color theme="1"/>
      </right>
      <top style="thin">
        <color theme="1"/>
      </top>
      <bottom style="thin">
        <color theme="0" tint="-0.249977111117893"/>
      </bottom>
      <diagonal/>
    </border>
    <border>
      <left style="thin">
        <color theme="1"/>
      </left>
      <right/>
      <top style="thin">
        <color theme="1"/>
      </top>
      <bottom style="thin">
        <color theme="0" tint="-0.249977111117893"/>
      </bottom>
      <diagonal/>
    </border>
    <border>
      <left style="thin">
        <color theme="1"/>
      </left>
      <right/>
      <top/>
      <bottom style="thin">
        <color theme="1"/>
      </bottom>
      <diagonal/>
    </border>
    <border>
      <left style="thick">
        <color rgb="FFC00000"/>
      </left>
      <right/>
      <top style="thin">
        <color auto="1"/>
      </top>
      <bottom/>
      <diagonal/>
    </border>
    <border>
      <left style="thick">
        <color rgb="FFC00000"/>
      </left>
      <right/>
      <top/>
      <bottom style="thin">
        <color auto="1"/>
      </bottom>
      <diagonal/>
    </border>
    <border>
      <left style="thick">
        <color rgb="FFC00000"/>
      </left>
      <right style="thin">
        <color indexed="64"/>
      </right>
      <top style="thin">
        <color theme="1"/>
      </top>
      <bottom style="thin">
        <color theme="1"/>
      </bottom>
      <diagonal/>
    </border>
    <border>
      <left style="thin">
        <color auto="1"/>
      </left>
      <right style="thin">
        <color auto="1"/>
      </right>
      <top style="thin">
        <color theme="1"/>
      </top>
      <bottom style="thin">
        <color theme="1"/>
      </bottom>
      <diagonal/>
    </border>
    <border>
      <left/>
      <right style="thin">
        <color auto="1"/>
      </right>
      <top style="thin">
        <color theme="1"/>
      </top>
      <bottom style="thin">
        <color theme="1"/>
      </bottom>
      <diagonal/>
    </border>
    <border>
      <left style="thick">
        <color rgb="FFCD0911"/>
      </left>
      <right/>
      <top style="thin">
        <color theme="1"/>
      </top>
      <bottom style="thin">
        <color theme="1"/>
      </bottom>
      <diagonal/>
    </border>
    <border>
      <left style="thick">
        <color rgb="FFC00000"/>
      </left>
      <right style="thin">
        <color indexed="64"/>
      </right>
      <top/>
      <bottom style="thin">
        <color theme="1"/>
      </bottom>
      <diagonal/>
    </border>
    <border>
      <left/>
      <right/>
      <top/>
      <bottom style="thin">
        <color theme="1"/>
      </bottom>
      <diagonal/>
    </border>
    <border>
      <left style="thin">
        <color auto="1"/>
      </left>
      <right style="thin">
        <color auto="1"/>
      </right>
      <top/>
      <bottom style="thin">
        <color theme="1"/>
      </bottom>
      <diagonal/>
    </border>
    <border>
      <left/>
      <right style="thin">
        <color auto="1"/>
      </right>
      <top/>
      <bottom style="thin">
        <color theme="1"/>
      </bottom>
      <diagonal/>
    </border>
    <border>
      <left style="thin">
        <color auto="1"/>
      </left>
      <right/>
      <top/>
      <bottom style="thin">
        <color theme="1"/>
      </bottom>
      <diagonal/>
    </border>
    <border>
      <left style="thick">
        <color rgb="FFC00000"/>
      </left>
      <right style="thin">
        <color auto="1"/>
      </right>
      <top style="thin">
        <color auto="1"/>
      </top>
      <bottom style="thin">
        <color theme="1"/>
      </bottom>
      <diagonal/>
    </border>
    <border>
      <left style="thin">
        <color theme="1"/>
      </left>
      <right style="thin">
        <color indexed="64"/>
      </right>
      <top/>
      <bottom style="thin">
        <color rgb="FF6A6363"/>
      </bottom>
      <diagonal/>
    </border>
    <border>
      <left style="thin">
        <color theme="1"/>
      </left>
      <right style="thin">
        <color indexed="64"/>
      </right>
      <top style="thin">
        <color rgb="FF6A6363"/>
      </top>
      <bottom/>
      <diagonal/>
    </border>
    <border>
      <left style="thin">
        <color theme="1"/>
      </left>
      <right style="thin">
        <color auto="1"/>
      </right>
      <top/>
      <bottom style="thin">
        <color theme="1"/>
      </bottom>
      <diagonal/>
    </border>
    <border>
      <left style="thin">
        <color theme="1"/>
      </left>
      <right style="thin">
        <color auto="1"/>
      </right>
      <top style="thin">
        <color theme="1"/>
      </top>
      <bottom style="thin">
        <color theme="1"/>
      </bottom>
      <diagonal/>
    </border>
    <border>
      <left style="thin">
        <color auto="1"/>
      </left>
      <right/>
      <top/>
      <bottom style="thin">
        <color rgb="FF6A6363"/>
      </bottom>
      <diagonal/>
    </border>
    <border>
      <left style="thin">
        <color auto="1"/>
      </left>
      <right/>
      <top style="thin">
        <color rgb="FF6A6363"/>
      </top>
      <bottom/>
      <diagonal/>
    </border>
    <border>
      <left style="thin">
        <color auto="1"/>
      </left>
      <right/>
      <top style="thin">
        <color theme="1"/>
      </top>
      <bottom style="thin">
        <color theme="1"/>
      </bottom>
      <diagonal/>
    </border>
    <border>
      <left style="thin">
        <color theme="1"/>
      </left>
      <right/>
      <top/>
      <bottom style="thin">
        <color rgb="FF6A6363"/>
      </bottom>
      <diagonal/>
    </border>
    <border>
      <left style="thin">
        <color theme="1"/>
      </left>
      <right/>
      <top style="thin">
        <color rgb="FF6A6363"/>
      </top>
      <bottom/>
      <diagonal/>
    </border>
    <border>
      <left style="thin">
        <color theme="1"/>
      </left>
      <right/>
      <top style="thin">
        <color theme="1"/>
      </top>
      <bottom style="thin">
        <color theme="1"/>
      </bottom>
      <diagonal/>
    </border>
    <border>
      <left style="thin">
        <color theme="1"/>
      </left>
      <right style="thin">
        <color indexed="64"/>
      </right>
      <top style="thin">
        <color rgb="FF6A6363"/>
      </top>
      <bottom style="thin">
        <color rgb="FF6A6363"/>
      </bottom>
      <diagonal/>
    </border>
    <border>
      <left style="thin">
        <color theme="1"/>
      </left>
      <right style="thin">
        <color auto="1"/>
      </right>
      <top style="medium">
        <color theme="1"/>
      </top>
      <bottom style="medium">
        <color theme="1"/>
      </bottom>
      <diagonal/>
    </border>
    <border>
      <left style="thin">
        <color theme="1"/>
      </left>
      <right/>
      <top style="thin">
        <color theme="1"/>
      </top>
      <bottom/>
      <diagonal/>
    </border>
    <border>
      <left style="thin">
        <color auto="1"/>
      </left>
      <right style="thin">
        <color theme="1"/>
      </right>
      <top style="thin">
        <color theme="1"/>
      </top>
      <bottom/>
      <diagonal/>
    </border>
    <border>
      <left style="thin">
        <color auto="1"/>
      </left>
      <right style="thin">
        <color theme="1"/>
      </right>
      <top/>
      <bottom/>
      <diagonal/>
    </border>
    <border>
      <left/>
      <right style="thick">
        <color rgb="FFC00000"/>
      </right>
      <top/>
      <bottom/>
      <diagonal/>
    </border>
    <border>
      <left style="thin">
        <color auto="1"/>
      </left>
      <right style="thick">
        <color rgb="FFC00000"/>
      </right>
      <top/>
      <bottom/>
      <diagonal/>
    </border>
    <border>
      <left style="thick">
        <color rgb="FFC00000"/>
      </left>
      <right style="thin">
        <color auto="1"/>
      </right>
      <top style="medium">
        <color theme="1"/>
      </top>
      <bottom style="medium">
        <color theme="1"/>
      </bottom>
      <diagonal/>
    </border>
  </borders>
  <cellStyleXfs count="24616">
    <xf numFmtId="0" fontId="0" fillId="0" borderId="0"/>
    <xf numFmtId="164" fontId="4" fillId="0" borderId="0" applyFont="0" applyFill="0" applyBorder="0" applyAlignment="0" applyProtection="0"/>
    <xf numFmtId="9" fontId="4"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42" fontId="4" fillId="0" borderId="0" applyFont="0" applyFill="0" applyBorder="0" applyAlignment="0" applyProtection="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4" fillId="8"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2" fillId="32" borderId="0" applyNumberFormat="0" applyBorder="0" applyAlignment="0" applyProtection="0"/>
    <xf numFmtId="0" fontId="29" fillId="0" borderId="15">
      <alignment horizontal="left" indent="5"/>
    </xf>
    <xf numFmtId="0" fontId="25" fillId="0" borderId="0">
      <alignment horizontal="center"/>
    </xf>
    <xf numFmtId="0" fontId="5"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6" fillId="0" borderId="0" applyNumberFormat="0" applyFill="0" applyBorder="0" applyAlignment="0" applyProtection="0"/>
    <xf numFmtId="0" fontId="26" fillId="0" borderId="0">
      <alignment horizontal="center"/>
    </xf>
    <xf numFmtId="9" fontId="30" fillId="0" borderId="0">
      <alignment horizontal="center"/>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27" fillId="0" borderId="14">
      <alignment horizontal="left" indent="5"/>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28" fillId="0" borderId="0">
      <alignment horizontal="left"/>
    </xf>
    <xf numFmtId="10" fontId="32" fillId="0" borderId="0">
      <alignment horizontal="center"/>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33" fillId="0" borderId="16">
      <alignment horizontal="left" indent="7"/>
    </xf>
    <xf numFmtId="0" fontId="31" fillId="0" borderId="0">
      <alignment horizontal="left" indent="1"/>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34" fillId="0" borderId="16">
      <alignment horizontal="left" indent="9"/>
    </xf>
    <xf numFmtId="0" fontId="35" fillId="0" borderId="0">
      <alignment horizontal="left" indent="2"/>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41" fillId="0" borderId="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165" fontId="5" fillId="0" borderId="0" applyNumberFormat="0" applyFill="0" applyBorder="0" applyAlignment="0" applyProtection="0"/>
    <xf numFmtId="165" fontId="6" fillId="0" borderId="0" applyNumberFormat="0" applyFill="0" applyBorder="0" applyAlignment="0" applyProtection="0"/>
    <xf numFmtId="9" fontId="78" fillId="0" borderId="0" applyFont="0" applyFill="0" applyBorder="0" applyAlignment="0" applyProtection="0"/>
    <xf numFmtId="168" fontId="78" fillId="0" borderId="0" applyFont="0" applyFill="0" applyBorder="0" applyAlignment="0" applyProtection="0"/>
    <xf numFmtId="0" fontId="4" fillId="0" borderId="0"/>
  </cellStyleXfs>
  <cellXfs count="1197">
    <xf numFmtId="0" fontId="0" fillId="0" borderId="0" xfId="0"/>
    <xf numFmtId="165" fontId="38" fillId="0" borderId="0" xfId="0" applyNumberFormat="1" applyFont="1"/>
    <xf numFmtId="0" fontId="37" fillId="0" borderId="15" xfId="49" applyFont="1" applyAlignment="1">
      <alignment horizontal="left" vertical="center" indent="5"/>
    </xf>
    <xf numFmtId="165" fontId="39" fillId="0" borderId="0" xfId="0" applyNumberFormat="1" applyFont="1" applyAlignment="1">
      <alignment horizontal="center"/>
    </xf>
    <xf numFmtId="9" fontId="36" fillId="0" borderId="0" xfId="1154" applyFont="1">
      <alignment horizontal="center"/>
    </xf>
    <xf numFmtId="165" fontId="39" fillId="0" borderId="0" xfId="0" applyNumberFormat="1" applyFont="1"/>
    <xf numFmtId="165" fontId="39" fillId="0" borderId="0" xfId="0" applyNumberFormat="1" applyFont="1" applyAlignment="1">
      <alignment horizontal="center" vertical="center"/>
    </xf>
    <xf numFmtId="0" fontId="39" fillId="0" borderId="0" xfId="50" applyFont="1">
      <alignment horizontal="center"/>
    </xf>
    <xf numFmtId="9" fontId="30" fillId="0" borderId="0" xfId="1154">
      <alignment horizontal="center"/>
    </xf>
    <xf numFmtId="0" fontId="27" fillId="0" borderId="14" xfId="3656">
      <alignment horizontal="left" indent="5"/>
    </xf>
    <xf numFmtId="0" fontId="42" fillId="33" borderId="19" xfId="0" applyFont="1" applyFill="1" applyBorder="1" applyAlignment="1">
      <alignment horizontal="center"/>
    </xf>
    <xf numFmtId="165" fontId="43" fillId="0" borderId="0" xfId="0" applyNumberFormat="1" applyFont="1"/>
    <xf numFmtId="0" fontId="42" fillId="0" borderId="19" xfId="0" applyFont="1" applyBorder="1" applyAlignment="1">
      <alignment horizontal="center"/>
    </xf>
    <xf numFmtId="0" fontId="49" fillId="0" borderId="17" xfId="0" applyFont="1" applyBorder="1" applyAlignment="1">
      <alignment horizontal="left" vertical="top" wrapText="1"/>
    </xf>
    <xf numFmtId="2" fontId="38" fillId="0" borderId="13" xfId="0" applyNumberFormat="1" applyFont="1" applyBorder="1" applyAlignment="1">
      <alignment horizontal="center" vertical="top"/>
    </xf>
    <xf numFmtId="2" fontId="49" fillId="0" borderId="21" xfId="0" applyNumberFormat="1" applyFont="1" applyBorder="1" applyAlignment="1">
      <alignment horizontal="center" vertical="top" wrapText="1"/>
    </xf>
    <xf numFmtId="165" fontId="38" fillId="0" borderId="13" xfId="0" applyNumberFormat="1" applyFont="1" applyBorder="1" applyAlignment="1">
      <alignment horizontal="center" vertical="top"/>
    </xf>
    <xf numFmtId="165" fontId="38" fillId="0" borderId="0" xfId="0" applyNumberFormat="1" applyFont="1" applyAlignment="1">
      <alignment vertical="top"/>
    </xf>
    <xf numFmtId="0" fontId="61" fillId="0" borderId="16" xfId="3656" applyFont="1" applyBorder="1" applyAlignment="1">
      <alignment horizontal="left" vertical="top"/>
    </xf>
    <xf numFmtId="0" fontId="40" fillId="0" borderId="14" xfId="3656" applyFont="1" applyAlignment="1">
      <alignment horizontal="left" vertical="top" indent="1"/>
    </xf>
    <xf numFmtId="0" fontId="27" fillId="0" borderId="0" xfId="3656" applyBorder="1">
      <alignment horizontal="left" indent="5"/>
    </xf>
    <xf numFmtId="9" fontId="38" fillId="0" borderId="22" xfId="0" applyNumberFormat="1" applyFont="1" applyBorder="1" applyAlignment="1">
      <alignment horizontal="center"/>
    </xf>
    <xf numFmtId="165" fontId="38" fillId="0" borderId="13" xfId="0" applyNumberFormat="1" applyFont="1" applyBorder="1"/>
    <xf numFmtId="0" fontId="38" fillId="0" borderId="18" xfId="0" applyFont="1" applyBorder="1" applyAlignment="1">
      <alignment horizontal="left"/>
    </xf>
    <xf numFmtId="165" fontId="38" fillId="0" borderId="22" xfId="0" applyNumberFormat="1" applyFont="1" applyBorder="1"/>
    <xf numFmtId="165" fontId="45" fillId="0" borderId="13" xfId="0" applyNumberFormat="1" applyFont="1" applyBorder="1"/>
    <xf numFmtId="0" fontId="38" fillId="0" borderId="13" xfId="0" applyFont="1" applyBorder="1" applyAlignment="1">
      <alignment horizontal="center"/>
    </xf>
    <xf numFmtId="165" fontId="38" fillId="0" borderId="22" xfId="0" applyNumberFormat="1" applyFont="1" applyBorder="1" applyAlignment="1">
      <alignment horizontal="center" vertical="top"/>
    </xf>
    <xf numFmtId="165" fontId="38" fillId="0" borderId="22" xfId="0" applyNumberFormat="1" applyFont="1" applyBorder="1" applyAlignment="1">
      <alignment horizontal="center"/>
    </xf>
    <xf numFmtId="2" fontId="49" fillId="0" borderId="28" xfId="0" applyNumberFormat="1" applyFont="1" applyBorder="1" applyAlignment="1">
      <alignment horizontal="center" vertical="top" wrapText="1"/>
    </xf>
    <xf numFmtId="165" fontId="44" fillId="0" borderId="22" xfId="0" applyNumberFormat="1" applyFont="1" applyBorder="1"/>
    <xf numFmtId="166" fontId="38" fillId="0" borderId="22" xfId="0" applyNumberFormat="1" applyFont="1" applyBorder="1"/>
    <xf numFmtId="166" fontId="38" fillId="0" borderId="27" xfId="0" applyNumberFormat="1" applyFont="1" applyBorder="1"/>
    <xf numFmtId="166" fontId="49" fillId="0" borderId="28" xfId="0" applyNumberFormat="1" applyFont="1" applyBorder="1" applyAlignment="1">
      <alignment horizontal="center" vertical="top" wrapText="1"/>
    </xf>
    <xf numFmtId="2" fontId="49" fillId="0" borderId="23" xfId="0" applyNumberFormat="1" applyFont="1" applyBorder="1" applyAlignment="1">
      <alignment horizontal="center" vertical="top" wrapText="1"/>
    </xf>
    <xf numFmtId="2" fontId="46" fillId="0" borderId="29" xfId="0" applyNumberFormat="1" applyFont="1" applyBorder="1" applyAlignment="1">
      <alignment horizontal="center"/>
    </xf>
    <xf numFmtId="2" fontId="46" fillId="0" borderId="30" xfId="0" applyNumberFormat="1" applyFont="1" applyBorder="1" applyAlignment="1">
      <alignment horizontal="center"/>
    </xf>
    <xf numFmtId="2" fontId="47" fillId="0" borderId="25" xfId="0" applyNumberFormat="1" applyFont="1" applyBorder="1" applyAlignment="1">
      <alignment horizontal="center"/>
    </xf>
    <xf numFmtId="2" fontId="57" fillId="0" borderId="25" xfId="0" applyNumberFormat="1" applyFont="1" applyBorder="1" applyAlignment="1">
      <alignment horizontal="center"/>
    </xf>
    <xf numFmtId="165" fontId="48" fillId="0" borderId="21" xfId="0" applyNumberFormat="1" applyFont="1" applyBorder="1" applyAlignment="1">
      <alignment horizontal="center"/>
    </xf>
    <xf numFmtId="165" fontId="50" fillId="0" borderId="24" xfId="0" applyNumberFormat="1" applyFont="1" applyBorder="1" applyAlignment="1">
      <alignment horizontal="center" vertical="top" wrapText="1"/>
    </xf>
    <xf numFmtId="165" fontId="52" fillId="0" borderId="13" xfId="0" applyNumberFormat="1" applyFont="1" applyBorder="1" applyAlignment="1">
      <alignment horizontal="center" vertical="center"/>
    </xf>
    <xf numFmtId="2" fontId="68" fillId="0" borderId="13" xfId="0" applyNumberFormat="1" applyFont="1" applyBorder="1" applyAlignment="1">
      <alignment horizontal="center" vertical="top"/>
    </xf>
    <xf numFmtId="165" fontId="68" fillId="0" borderId="13" xfId="0" applyNumberFormat="1" applyFont="1" applyBorder="1" applyAlignment="1">
      <alignment horizontal="center" vertical="center"/>
    </xf>
    <xf numFmtId="165" fontId="56" fillId="0" borderId="13" xfId="0" applyNumberFormat="1" applyFont="1" applyBorder="1" applyAlignment="1">
      <alignment horizontal="center"/>
    </xf>
    <xf numFmtId="10" fontId="30" fillId="0" borderId="0" xfId="1154" applyNumberFormat="1">
      <alignment horizontal="center"/>
    </xf>
    <xf numFmtId="165" fontId="38" fillId="0" borderId="0" xfId="0" applyNumberFormat="1" applyFont="1" applyAlignment="1">
      <alignment horizontal="center"/>
    </xf>
    <xf numFmtId="165" fontId="38" fillId="0" borderId="13" xfId="0" applyNumberFormat="1" applyFont="1" applyBorder="1" applyAlignment="1">
      <alignment horizontal="center"/>
    </xf>
    <xf numFmtId="0" fontId="38" fillId="0" borderId="13" xfId="0" applyFont="1" applyBorder="1" applyAlignment="1">
      <alignment horizontal="left"/>
    </xf>
    <xf numFmtId="1" fontId="38" fillId="0" borderId="13" xfId="0" applyNumberFormat="1" applyFont="1" applyBorder="1" applyAlignment="1">
      <alignment horizontal="center"/>
    </xf>
    <xf numFmtId="10" fontId="36" fillId="0" borderId="0" xfId="1154" applyNumberFormat="1" applyFont="1">
      <alignment horizontal="center"/>
    </xf>
    <xf numFmtId="165" fontId="38" fillId="0" borderId="22" xfId="0" applyNumberFormat="1" applyFont="1" applyBorder="1" applyAlignment="1">
      <alignment horizontal="center" vertical="center"/>
    </xf>
    <xf numFmtId="165" fontId="38" fillId="0" borderId="0" xfId="0" applyNumberFormat="1" applyFont="1" applyAlignment="1">
      <alignment horizontal="center" vertical="center"/>
    </xf>
    <xf numFmtId="165" fontId="38" fillId="0" borderId="13" xfId="0" applyNumberFormat="1" applyFont="1" applyBorder="1" applyAlignment="1">
      <alignment horizontal="center" vertical="center"/>
    </xf>
    <xf numFmtId="165" fontId="43" fillId="0" borderId="13" xfId="0" applyNumberFormat="1" applyFont="1" applyBorder="1" applyAlignment="1">
      <alignment horizontal="center"/>
    </xf>
    <xf numFmtId="165" fontId="44" fillId="0" borderId="22" xfId="0" applyNumberFormat="1" applyFont="1" applyBorder="1" applyAlignment="1">
      <alignment horizontal="center"/>
    </xf>
    <xf numFmtId="9" fontId="38" fillId="0" borderId="22" xfId="0" applyNumberFormat="1" applyFont="1" applyBorder="1" applyAlignment="1">
      <alignment horizontal="center" vertical="center"/>
    </xf>
    <xf numFmtId="0" fontId="39" fillId="40" borderId="0" xfId="50" applyFont="1" applyFill="1">
      <alignment horizontal="center"/>
    </xf>
    <xf numFmtId="165" fontId="39" fillId="41" borderId="0" xfId="0" applyNumberFormat="1" applyFont="1" applyFill="1" applyAlignment="1">
      <alignment horizontal="center"/>
    </xf>
    <xf numFmtId="0" fontId="39" fillId="42" borderId="0" xfId="50" applyFont="1" applyFill="1">
      <alignment horizontal="center"/>
    </xf>
    <xf numFmtId="0" fontId="39" fillId="43" borderId="0" xfId="50" applyFont="1" applyFill="1">
      <alignment horizontal="center"/>
    </xf>
    <xf numFmtId="0" fontId="39" fillId="37" borderId="0" xfId="50" applyFont="1" applyFill="1">
      <alignment horizontal="center"/>
    </xf>
    <xf numFmtId="165" fontId="39" fillId="38" borderId="0" xfId="0" applyNumberFormat="1" applyFont="1" applyFill="1" applyAlignment="1">
      <alignment horizontal="center"/>
    </xf>
    <xf numFmtId="165" fontId="39" fillId="34" borderId="0" xfId="0" applyNumberFormat="1" applyFont="1" applyFill="1" applyAlignment="1">
      <alignment horizontal="center"/>
    </xf>
    <xf numFmtId="0" fontId="39" fillId="36" borderId="0" xfId="50" applyFont="1" applyFill="1">
      <alignment horizontal="center"/>
    </xf>
    <xf numFmtId="0" fontId="39" fillId="44" borderId="0" xfId="50" applyFont="1" applyFill="1">
      <alignment horizontal="center"/>
    </xf>
    <xf numFmtId="0" fontId="39" fillId="35" borderId="0" xfId="50" applyFont="1" applyFill="1">
      <alignment horizontal="center"/>
    </xf>
    <xf numFmtId="0" fontId="39" fillId="39" borderId="0" xfId="50" applyFont="1" applyFill="1">
      <alignment horizontal="center"/>
    </xf>
    <xf numFmtId="0" fontId="39" fillId="45" borderId="0" xfId="50" applyFont="1" applyFill="1">
      <alignment horizontal="center"/>
    </xf>
    <xf numFmtId="165" fontId="39" fillId="46" borderId="0" xfId="0" applyNumberFormat="1" applyFont="1" applyFill="1" applyAlignment="1">
      <alignment horizontal="center"/>
    </xf>
    <xf numFmtId="165" fontId="70" fillId="0" borderId="10" xfId="0" applyNumberFormat="1" applyFont="1" applyBorder="1" applyAlignment="1">
      <alignment horizontal="left"/>
    </xf>
    <xf numFmtId="0" fontId="70" fillId="0" borderId="13" xfId="0" applyFont="1" applyBorder="1" applyAlignment="1">
      <alignment horizontal="center"/>
    </xf>
    <xf numFmtId="165" fontId="70" fillId="0" borderId="22" xfId="0" applyNumberFormat="1" applyFont="1" applyBorder="1" applyAlignment="1">
      <alignment horizontal="center"/>
    </xf>
    <xf numFmtId="10" fontId="71" fillId="0" borderId="22" xfId="0" applyNumberFormat="1" applyFont="1" applyBorder="1" applyAlignment="1">
      <alignment horizontal="center"/>
    </xf>
    <xf numFmtId="165" fontId="71" fillId="0" borderId="22" xfId="0" applyNumberFormat="1" applyFont="1" applyBorder="1" applyAlignment="1">
      <alignment horizontal="center" vertical="top"/>
    </xf>
    <xf numFmtId="165" fontId="71" fillId="0" borderId="13" xfId="0" applyNumberFormat="1" applyFont="1" applyBorder="1" applyAlignment="1">
      <alignment horizontal="center" vertical="top"/>
    </xf>
    <xf numFmtId="165" fontId="49" fillId="0" borderId="13" xfId="0" applyNumberFormat="1" applyFont="1" applyBorder="1" applyAlignment="1">
      <alignment horizontal="center" vertical="top"/>
    </xf>
    <xf numFmtId="10" fontId="38" fillId="0" borderId="22" xfId="0" applyNumberFormat="1" applyFont="1" applyBorder="1" applyAlignment="1">
      <alignment horizontal="center"/>
    </xf>
    <xf numFmtId="0" fontId="49" fillId="0" borderId="18" xfId="0" applyFont="1" applyBorder="1" applyAlignment="1">
      <alignment horizontal="left"/>
    </xf>
    <xf numFmtId="165" fontId="49" fillId="0" borderId="10" xfId="0" applyNumberFormat="1" applyFont="1" applyBorder="1" applyAlignment="1">
      <alignment horizontal="left"/>
    </xf>
    <xf numFmtId="0" fontId="49" fillId="0" borderId="13" xfId="0" applyFont="1" applyBorder="1" applyAlignment="1">
      <alignment horizontal="center"/>
    </xf>
    <xf numFmtId="0" fontId="49" fillId="0" borderId="31" xfId="0" applyFont="1" applyBorder="1" applyAlignment="1">
      <alignment horizontal="center"/>
    </xf>
    <xf numFmtId="9" fontId="49" fillId="0" borderId="22" xfId="0" applyNumberFormat="1" applyFont="1" applyBorder="1" applyAlignment="1">
      <alignment horizontal="center"/>
    </xf>
    <xf numFmtId="165" fontId="70" fillId="0" borderId="0" xfId="0" applyNumberFormat="1" applyFont="1" applyAlignment="1">
      <alignment horizontal="center"/>
    </xf>
    <xf numFmtId="0" fontId="70" fillId="0" borderId="12" xfId="0" applyFont="1" applyBorder="1" applyAlignment="1">
      <alignment horizontal="center"/>
    </xf>
    <xf numFmtId="165" fontId="70" fillId="0" borderId="13" xfId="0" applyNumberFormat="1" applyFont="1" applyBorder="1" applyAlignment="1">
      <alignment horizontal="center"/>
    </xf>
    <xf numFmtId="0" fontId="68" fillId="0" borderId="18" xfId="0" applyFont="1" applyBorder="1" applyAlignment="1">
      <alignment horizontal="left"/>
    </xf>
    <xf numFmtId="0" fontId="68" fillId="0" borderId="13" xfId="0" applyFont="1" applyBorder="1" applyAlignment="1">
      <alignment horizontal="center"/>
    </xf>
    <xf numFmtId="165" fontId="68" fillId="0" borderId="22" xfId="0" applyNumberFormat="1" applyFont="1" applyBorder="1" applyAlignment="1">
      <alignment horizontal="center"/>
    </xf>
    <xf numFmtId="10" fontId="68" fillId="0" borderId="22" xfId="0" applyNumberFormat="1" applyFont="1" applyBorder="1" applyAlignment="1">
      <alignment horizontal="center"/>
    </xf>
    <xf numFmtId="165" fontId="68" fillId="0" borderId="0" xfId="0" applyNumberFormat="1" applyFont="1"/>
    <xf numFmtId="165" fontId="70" fillId="0" borderId="13" xfId="0" applyNumberFormat="1" applyFont="1" applyBorder="1" applyAlignment="1">
      <alignment horizontal="center" vertical="top"/>
    </xf>
    <xf numFmtId="0" fontId="38" fillId="0" borderId="10" xfId="0" applyFont="1" applyBorder="1" applyAlignment="1">
      <alignment horizontal="left"/>
    </xf>
    <xf numFmtId="165" fontId="56" fillId="0" borderId="22" xfId="0" applyNumberFormat="1" applyFont="1" applyBorder="1" applyAlignment="1">
      <alignment horizontal="center" vertical="top"/>
    </xf>
    <xf numFmtId="165" fontId="59" fillId="0" borderId="10" xfId="0" applyNumberFormat="1" applyFont="1" applyBorder="1" applyAlignment="1">
      <alignment horizontal="left"/>
    </xf>
    <xf numFmtId="0" fontId="59" fillId="0" borderId="13" xfId="0" applyFont="1" applyBorder="1" applyAlignment="1">
      <alignment horizontal="center"/>
    </xf>
    <xf numFmtId="165" fontId="60" fillId="0" borderId="22" xfId="0" applyNumberFormat="1" applyFont="1" applyBorder="1" applyAlignment="1">
      <alignment horizontal="center" vertical="top"/>
    </xf>
    <xf numFmtId="10" fontId="59" fillId="0" borderId="22" xfId="0" applyNumberFormat="1" applyFont="1" applyBorder="1" applyAlignment="1">
      <alignment horizontal="center"/>
    </xf>
    <xf numFmtId="165" fontId="59" fillId="0" borderId="13" xfId="0" applyNumberFormat="1" applyFont="1" applyBorder="1" applyAlignment="1">
      <alignment horizontal="center" vertical="top"/>
    </xf>
    <xf numFmtId="165" fontId="67" fillId="0" borderId="13" xfId="0" applyNumberFormat="1" applyFont="1" applyBorder="1" applyAlignment="1">
      <alignment horizontal="center" vertical="top"/>
    </xf>
    <xf numFmtId="0" fontId="70" fillId="0" borderId="13" xfId="0" applyFont="1" applyBorder="1" applyAlignment="1">
      <alignment horizontal="left"/>
    </xf>
    <xf numFmtId="165" fontId="70" fillId="0" borderId="10" xfId="0" applyNumberFormat="1" applyFont="1" applyBorder="1" applyAlignment="1">
      <alignment horizontal="center"/>
    </xf>
    <xf numFmtId="9" fontId="68" fillId="0" borderId="22" xfId="0" applyNumberFormat="1" applyFont="1" applyBorder="1" applyAlignment="1">
      <alignment horizontal="center"/>
    </xf>
    <xf numFmtId="10" fontId="70" fillId="0" borderId="22" xfId="0" applyNumberFormat="1" applyFont="1" applyBorder="1" applyAlignment="1">
      <alignment horizontal="center"/>
    </xf>
    <xf numFmtId="0" fontId="38" fillId="0" borderId="12" xfId="0" applyFont="1" applyBorder="1" applyAlignment="1">
      <alignment horizontal="center"/>
    </xf>
    <xf numFmtId="165" fontId="68" fillId="0" borderId="10" xfId="0" applyNumberFormat="1" applyFont="1" applyBorder="1" applyAlignment="1">
      <alignment horizontal="left"/>
    </xf>
    <xf numFmtId="165" fontId="64" fillId="0" borderId="22" xfId="0" applyNumberFormat="1" applyFont="1" applyBorder="1" applyAlignment="1">
      <alignment horizontal="center"/>
    </xf>
    <xf numFmtId="165" fontId="66" fillId="0" borderId="22" xfId="0" applyNumberFormat="1" applyFont="1" applyBorder="1" applyAlignment="1">
      <alignment horizontal="center" vertical="top"/>
    </xf>
    <xf numFmtId="165" fontId="68" fillId="0" borderId="22" xfId="0" applyNumberFormat="1" applyFont="1" applyBorder="1" applyAlignment="1">
      <alignment horizontal="center" vertical="top"/>
    </xf>
    <xf numFmtId="165" fontId="68" fillId="0" borderId="13" xfId="0" applyNumberFormat="1" applyFont="1" applyBorder="1" applyAlignment="1">
      <alignment horizontal="center" vertical="top"/>
    </xf>
    <xf numFmtId="165" fontId="38" fillId="0" borderId="10" xfId="0" applyNumberFormat="1" applyFont="1" applyBorder="1" applyAlignment="1">
      <alignment horizontal="left"/>
    </xf>
    <xf numFmtId="165" fontId="70" fillId="0" borderId="22" xfId="0" applyNumberFormat="1" applyFont="1" applyBorder="1" applyAlignment="1">
      <alignment horizontal="center" vertical="top"/>
    </xf>
    <xf numFmtId="0" fontId="55" fillId="0" borderId="13" xfId="0" applyFont="1" applyBorder="1" applyAlignment="1">
      <alignment horizontal="center"/>
    </xf>
    <xf numFmtId="0" fontId="59" fillId="0" borderId="13" xfId="0" applyFont="1" applyBorder="1" applyAlignment="1">
      <alignment horizontal="left"/>
    </xf>
    <xf numFmtId="1" fontId="59" fillId="0" borderId="13" xfId="0" applyNumberFormat="1" applyFont="1" applyBorder="1" applyAlignment="1">
      <alignment horizontal="center"/>
    </xf>
    <xf numFmtId="165" fontId="59" fillId="0" borderId="22" xfId="0" applyNumberFormat="1" applyFont="1" applyBorder="1" applyAlignment="1">
      <alignment horizontal="center"/>
    </xf>
    <xf numFmtId="9" fontId="59" fillId="0" borderId="22" xfId="0" applyNumberFormat="1" applyFont="1" applyBorder="1" applyAlignment="1">
      <alignment horizontal="center"/>
    </xf>
    <xf numFmtId="165" fontId="68" fillId="0" borderId="22" xfId="0" applyNumberFormat="1" applyFont="1" applyBorder="1"/>
    <xf numFmtId="165" fontId="68" fillId="0" borderId="13" xfId="0" applyNumberFormat="1" applyFont="1" applyBorder="1"/>
    <xf numFmtId="165" fontId="49" fillId="0" borderId="22" xfId="0" applyNumberFormat="1" applyFont="1" applyBorder="1" applyAlignment="1">
      <alignment horizontal="center"/>
    </xf>
    <xf numFmtId="165" fontId="49" fillId="0" borderId="22" xfId="0" applyNumberFormat="1" applyFont="1" applyBorder="1" applyAlignment="1">
      <alignment horizontal="center" vertical="top"/>
    </xf>
    <xf numFmtId="165" fontId="56" fillId="0" borderId="13" xfId="0" applyNumberFormat="1" applyFont="1" applyBorder="1" applyAlignment="1">
      <alignment horizontal="center" vertical="top"/>
    </xf>
    <xf numFmtId="0" fontId="49" fillId="0" borderId="12" xfId="0" applyFont="1" applyBorder="1" applyAlignment="1">
      <alignment horizontal="center"/>
    </xf>
    <xf numFmtId="165" fontId="49" fillId="0" borderId="0" xfId="0" applyNumberFormat="1" applyFont="1" applyAlignment="1">
      <alignment horizontal="center"/>
    </xf>
    <xf numFmtId="165" fontId="72" fillId="0" borderId="21" xfId="0" applyNumberFormat="1" applyFont="1" applyBorder="1" applyAlignment="1">
      <alignment vertical="center" wrapText="1"/>
    </xf>
    <xf numFmtId="165" fontId="38" fillId="0" borderId="0" xfId="0" applyNumberFormat="1" applyFont="1" applyAlignment="1">
      <alignment vertical="center"/>
    </xf>
    <xf numFmtId="165" fontId="74" fillId="0" borderId="13" xfId="0" applyNumberFormat="1" applyFont="1" applyBorder="1" applyAlignment="1">
      <alignment horizontal="center" vertical="top"/>
    </xf>
    <xf numFmtId="165" fontId="75" fillId="0" borderId="0" xfId="0" applyNumberFormat="1" applyFont="1"/>
    <xf numFmtId="165" fontId="76" fillId="0" borderId="13" xfId="0" applyNumberFormat="1" applyFont="1" applyBorder="1" applyAlignment="1">
      <alignment horizontal="center" vertical="top"/>
    </xf>
    <xf numFmtId="165" fontId="77" fillId="0" borderId="0" xfId="0" applyNumberFormat="1" applyFont="1"/>
    <xf numFmtId="2" fontId="46" fillId="0" borderId="0" xfId="0" applyNumberFormat="1" applyFont="1"/>
    <xf numFmtId="9" fontId="36" fillId="0" borderId="36" xfId="1154" applyFont="1" applyBorder="1">
      <alignment horizontal="center"/>
    </xf>
    <xf numFmtId="165" fontId="38" fillId="0" borderId="36" xfId="0" applyNumberFormat="1" applyFont="1" applyBorder="1"/>
    <xf numFmtId="1" fontId="49" fillId="0" borderId="13" xfId="0" applyNumberFormat="1" applyFont="1" applyBorder="1" applyAlignment="1">
      <alignment horizontal="center"/>
    </xf>
    <xf numFmtId="165" fontId="43" fillId="0" borderId="24" xfId="0" applyNumberFormat="1" applyFont="1" applyBorder="1" applyAlignment="1">
      <alignment horizontal="center"/>
    </xf>
    <xf numFmtId="165" fontId="44" fillId="0" borderId="27" xfId="0" applyNumberFormat="1" applyFont="1" applyBorder="1"/>
    <xf numFmtId="165" fontId="38" fillId="0" borderId="27" xfId="0" applyNumberFormat="1" applyFont="1" applyBorder="1"/>
    <xf numFmtId="165" fontId="38" fillId="0" borderId="24" xfId="0" applyNumberFormat="1" applyFont="1" applyBorder="1"/>
    <xf numFmtId="165" fontId="45" fillId="0" borderId="24" xfId="0" applyNumberFormat="1" applyFont="1" applyBorder="1"/>
    <xf numFmtId="165" fontId="56" fillId="0" borderId="24" xfId="0" applyNumberFormat="1" applyFont="1" applyBorder="1" applyAlignment="1">
      <alignment horizontal="center"/>
    </xf>
    <xf numFmtId="165" fontId="49" fillId="0" borderId="26" xfId="0" applyNumberFormat="1" applyFont="1" applyBorder="1" applyAlignment="1">
      <alignment horizontal="left" vertical="top" wrapText="1"/>
    </xf>
    <xf numFmtId="165" fontId="49" fillId="0" borderId="25" xfId="0" applyNumberFormat="1" applyFont="1" applyBorder="1" applyAlignment="1">
      <alignment horizontal="center" vertical="top" wrapText="1"/>
    </xf>
    <xf numFmtId="165" fontId="49" fillId="0" borderId="28" xfId="0" applyNumberFormat="1" applyFont="1" applyBorder="1" applyAlignment="1">
      <alignment horizontal="center" vertical="top" wrapText="1"/>
    </xf>
    <xf numFmtId="165" fontId="44" fillId="0" borderId="27" xfId="0" applyNumberFormat="1" applyFont="1" applyBorder="1" applyAlignment="1">
      <alignment horizontal="center"/>
    </xf>
    <xf numFmtId="165" fontId="38" fillId="0" borderId="21" xfId="0" applyNumberFormat="1" applyFont="1" applyBorder="1"/>
    <xf numFmtId="165" fontId="64" fillId="0" borderId="22" xfId="0" applyNumberFormat="1" applyFont="1" applyBorder="1" applyAlignment="1">
      <alignment horizontal="center" vertical="top"/>
    </xf>
    <xf numFmtId="0" fontId="38" fillId="0" borderId="0" xfId="0" applyFont="1"/>
    <xf numFmtId="165" fontId="64" fillId="0" borderId="22" xfId="0" applyNumberFormat="1" applyFont="1" applyBorder="1"/>
    <xf numFmtId="165" fontId="64" fillId="0" borderId="27" xfId="0" applyNumberFormat="1" applyFont="1" applyBorder="1"/>
    <xf numFmtId="2" fontId="79" fillId="0" borderId="29" xfId="0" applyNumberFormat="1" applyFont="1" applyBorder="1" applyAlignment="1">
      <alignment horizontal="center"/>
    </xf>
    <xf numFmtId="2" fontId="66" fillId="0" borderId="23" xfId="0" applyNumberFormat="1" applyFont="1" applyBorder="1" applyAlignment="1">
      <alignment horizontal="center" vertical="top" wrapText="1"/>
    </xf>
    <xf numFmtId="165" fontId="80" fillId="0" borderId="22" xfId="0" applyNumberFormat="1" applyFont="1" applyBorder="1" applyAlignment="1">
      <alignment horizontal="center" vertical="top"/>
    </xf>
    <xf numFmtId="165" fontId="81" fillId="0" borderId="22" xfId="0" applyNumberFormat="1" applyFont="1" applyBorder="1" applyAlignment="1">
      <alignment horizontal="center" vertical="top"/>
    </xf>
    <xf numFmtId="0" fontId="66" fillId="0" borderId="13" xfId="0" applyFont="1" applyBorder="1" applyAlignment="1">
      <alignment horizontal="center"/>
    </xf>
    <xf numFmtId="165" fontId="59" fillId="0" borderId="10" xfId="0" applyNumberFormat="1" applyFont="1" applyBorder="1" applyAlignment="1">
      <alignment horizontal="center"/>
    </xf>
    <xf numFmtId="165" fontId="82" fillId="0" borderId="0" xfId="0" applyNumberFormat="1" applyFont="1"/>
    <xf numFmtId="165" fontId="73" fillId="0" borderId="0" xfId="0" applyNumberFormat="1" applyFont="1"/>
    <xf numFmtId="2" fontId="38" fillId="0" borderId="12" xfId="0" applyNumberFormat="1" applyFont="1" applyBorder="1" applyAlignment="1">
      <alignment horizontal="center" vertical="top"/>
    </xf>
    <xf numFmtId="2" fontId="81" fillId="0" borderId="13" xfId="0" applyNumberFormat="1" applyFont="1" applyBorder="1" applyAlignment="1">
      <alignment horizontal="center" vertical="top"/>
    </xf>
    <xf numFmtId="2" fontId="64" fillId="0" borderId="13" xfId="0" applyNumberFormat="1" applyFont="1" applyBorder="1" applyAlignment="1">
      <alignment horizontal="center" vertical="top"/>
    </xf>
    <xf numFmtId="165" fontId="49" fillId="0" borderId="0" xfId="0" applyNumberFormat="1" applyFont="1"/>
    <xf numFmtId="9" fontId="56" fillId="0" borderId="22" xfId="0" applyNumberFormat="1" applyFont="1" applyBorder="1" applyAlignment="1">
      <alignment horizontal="center"/>
    </xf>
    <xf numFmtId="165" fontId="38" fillId="0" borderId="0" xfId="0" applyNumberFormat="1" applyFont="1" applyAlignment="1">
      <alignment vertical="center" wrapText="1"/>
    </xf>
    <xf numFmtId="165" fontId="64" fillId="0" borderId="13" xfId="0" applyNumberFormat="1" applyFont="1" applyBorder="1"/>
    <xf numFmtId="0" fontId="64" fillId="0" borderId="0" xfId="0" applyFont="1"/>
    <xf numFmtId="165" fontId="64" fillId="0" borderId="0" xfId="0" applyNumberFormat="1" applyFont="1"/>
    <xf numFmtId="0" fontId="64" fillId="0" borderId="13" xfId="0" applyFont="1" applyBorder="1"/>
    <xf numFmtId="2" fontId="91" fillId="0" borderId="25" xfId="0" applyNumberFormat="1" applyFont="1" applyBorder="1" applyAlignment="1">
      <alignment horizontal="center"/>
    </xf>
    <xf numFmtId="2" fontId="49" fillId="0" borderId="25" xfId="0" applyNumberFormat="1" applyFont="1" applyBorder="1" applyAlignment="1">
      <alignment horizontal="center" vertical="top" wrapText="1"/>
    </xf>
    <xf numFmtId="2" fontId="38" fillId="0" borderId="25" xfId="0" applyNumberFormat="1" applyFont="1" applyBorder="1" applyAlignment="1">
      <alignment horizontal="center" vertical="top" wrapText="1"/>
    </xf>
    <xf numFmtId="165" fontId="38" fillId="0" borderId="24" xfId="0" applyNumberFormat="1" applyFont="1" applyBorder="1" applyAlignment="1">
      <alignment horizontal="center"/>
    </xf>
    <xf numFmtId="165" fontId="68" fillId="0" borderId="13" xfId="0" applyNumberFormat="1" applyFont="1" applyBorder="1" applyAlignment="1">
      <alignment horizontal="center"/>
    </xf>
    <xf numFmtId="0" fontId="4" fillId="0" borderId="0" xfId="0" applyFont="1"/>
    <xf numFmtId="166" fontId="38" fillId="0" borderId="0" xfId="0" applyNumberFormat="1" applyFont="1"/>
    <xf numFmtId="2" fontId="64" fillId="0" borderId="0" xfId="0" applyNumberFormat="1" applyFont="1" applyAlignment="1">
      <alignment horizontal="center" vertical="top"/>
    </xf>
    <xf numFmtId="0" fontId="38" fillId="0" borderId="13" xfId="0" applyFont="1" applyBorder="1" applyAlignment="1">
      <alignment horizontal="center" vertical="center"/>
    </xf>
    <xf numFmtId="165" fontId="93" fillId="0" borderId="10" xfId="0" applyNumberFormat="1" applyFont="1" applyBorder="1" applyAlignment="1">
      <alignment horizontal="left" indent="5"/>
    </xf>
    <xf numFmtId="165" fontId="49" fillId="0" borderId="0" xfId="0" applyNumberFormat="1" applyFont="1" applyAlignment="1">
      <alignment horizontal="center" vertical="center"/>
    </xf>
    <xf numFmtId="165" fontId="49" fillId="0" borderId="13" xfId="0" applyNumberFormat="1" applyFont="1" applyBorder="1" applyAlignment="1">
      <alignment horizontal="center" vertical="center"/>
    </xf>
    <xf numFmtId="2" fontId="64" fillId="0" borderId="13" xfId="0" applyNumberFormat="1" applyFont="1" applyBorder="1" applyAlignment="1">
      <alignment horizontal="center" vertical="center"/>
    </xf>
    <xf numFmtId="165" fontId="64" fillId="0" borderId="22" xfId="0" applyNumberFormat="1" applyFont="1" applyBorder="1" applyAlignment="1">
      <alignment horizontal="center" vertical="center"/>
    </xf>
    <xf numFmtId="2" fontId="64" fillId="0" borderId="30" xfId="0" applyNumberFormat="1" applyFont="1" applyBorder="1" applyAlignment="1">
      <alignment horizontal="center" vertical="top"/>
    </xf>
    <xf numFmtId="2" fontId="64" fillId="0" borderId="0" xfId="0" applyNumberFormat="1" applyFont="1" applyAlignment="1">
      <alignment horizontal="center" vertical="center"/>
    </xf>
    <xf numFmtId="2" fontId="81" fillId="0" borderId="0" xfId="0" applyNumberFormat="1" applyFont="1" applyAlignment="1">
      <alignment horizontal="center" vertical="top"/>
    </xf>
    <xf numFmtId="2" fontId="81" fillId="0" borderId="0" xfId="0" applyNumberFormat="1" applyFont="1" applyAlignment="1">
      <alignment horizontal="center" vertical="center"/>
    </xf>
    <xf numFmtId="2" fontId="68" fillId="0" borderId="0" xfId="0" applyNumberFormat="1" applyFont="1" applyAlignment="1">
      <alignment horizontal="center" vertical="top"/>
    </xf>
    <xf numFmtId="165" fontId="68" fillId="0" borderId="22" xfId="0" applyNumberFormat="1" applyFont="1" applyBorder="1" applyAlignment="1">
      <alignment horizontal="center" vertical="center"/>
    </xf>
    <xf numFmtId="2" fontId="68" fillId="0" borderId="0" xfId="0" applyNumberFormat="1" applyFont="1" applyAlignment="1">
      <alignment horizontal="center" vertical="center"/>
    </xf>
    <xf numFmtId="2" fontId="68" fillId="0" borderId="13" xfId="0" applyNumberFormat="1" applyFont="1" applyBorder="1" applyAlignment="1">
      <alignment horizontal="center" vertical="center"/>
    </xf>
    <xf numFmtId="0" fontId="68" fillId="0" borderId="13" xfId="0" applyFont="1" applyBorder="1" applyAlignment="1">
      <alignment horizontal="left"/>
    </xf>
    <xf numFmtId="0" fontId="96" fillId="0" borderId="13" xfId="0" applyFont="1" applyBorder="1" applyAlignment="1">
      <alignment horizontal="center"/>
    </xf>
    <xf numFmtId="165" fontId="96" fillId="0" borderId="0" xfId="0" applyNumberFormat="1" applyFont="1" applyAlignment="1">
      <alignment horizontal="center"/>
    </xf>
    <xf numFmtId="10" fontId="96" fillId="0" borderId="22" xfId="0" applyNumberFormat="1" applyFont="1" applyBorder="1" applyAlignment="1">
      <alignment horizontal="center"/>
    </xf>
    <xf numFmtId="165" fontId="97" fillId="0" borderId="13" xfId="0" applyNumberFormat="1" applyFont="1" applyBorder="1" applyAlignment="1">
      <alignment horizontal="center" vertical="top"/>
    </xf>
    <xf numFmtId="165" fontId="96" fillId="0" borderId="13" xfId="0" applyNumberFormat="1" applyFont="1" applyBorder="1" applyAlignment="1">
      <alignment horizontal="center" vertical="top"/>
    </xf>
    <xf numFmtId="165" fontId="71" fillId="0" borderId="0" xfId="0" applyNumberFormat="1" applyFont="1"/>
    <xf numFmtId="165" fontId="71" fillId="0" borderId="0" xfId="0" applyNumberFormat="1" applyFont="1" applyAlignment="1">
      <alignment horizontal="center" vertical="top"/>
    </xf>
    <xf numFmtId="0" fontId="70" fillId="0" borderId="0" xfId="0" applyFont="1" applyAlignment="1">
      <alignment horizontal="center"/>
    </xf>
    <xf numFmtId="0" fontId="71" fillId="0" borderId="0" xfId="0" applyFont="1" applyAlignment="1">
      <alignment horizontal="center" vertical="center"/>
    </xf>
    <xf numFmtId="2" fontId="71" fillId="0" borderId="0" xfId="0" applyNumberFormat="1" applyFont="1" applyAlignment="1">
      <alignment horizontal="center" vertical="top"/>
    </xf>
    <xf numFmtId="0" fontId="70" fillId="0" borderId="0" xfId="0" applyFont="1" applyAlignment="1">
      <alignment horizontal="left"/>
    </xf>
    <xf numFmtId="165" fontId="96" fillId="0" borderId="22" xfId="0" applyNumberFormat="1" applyFont="1" applyBorder="1" applyAlignment="1">
      <alignment horizontal="center" vertical="top"/>
    </xf>
    <xf numFmtId="165" fontId="59" fillId="0" borderId="22" xfId="0" applyNumberFormat="1" applyFont="1" applyBorder="1" applyAlignment="1">
      <alignment horizontal="center" vertical="top"/>
    </xf>
    <xf numFmtId="165" fontId="56" fillId="0" borderId="0" xfId="0" applyNumberFormat="1" applyFont="1"/>
    <xf numFmtId="1" fontId="68" fillId="0" borderId="13" xfId="0" applyNumberFormat="1" applyFont="1" applyBorder="1" applyAlignment="1">
      <alignment horizontal="center"/>
    </xf>
    <xf numFmtId="165" fontId="68" fillId="0" borderId="0" xfId="0" applyNumberFormat="1" applyFont="1" applyAlignment="1">
      <alignment horizontal="center"/>
    </xf>
    <xf numFmtId="0" fontId="68" fillId="0" borderId="12" xfId="0" applyFont="1" applyBorder="1" applyAlignment="1">
      <alignment horizontal="center"/>
    </xf>
    <xf numFmtId="2" fontId="38" fillId="0" borderId="0" xfId="0" applyNumberFormat="1" applyFont="1" applyAlignment="1">
      <alignment horizontal="center" vertical="top"/>
    </xf>
    <xf numFmtId="0" fontId="68" fillId="0" borderId="0" xfId="0" applyFont="1" applyAlignment="1">
      <alignment horizontal="center"/>
    </xf>
    <xf numFmtId="165" fontId="49" fillId="0" borderId="13" xfId="0" applyNumberFormat="1" applyFont="1" applyBorder="1" applyAlignment="1">
      <alignment horizontal="center"/>
    </xf>
    <xf numFmtId="165" fontId="71" fillId="0" borderId="13" xfId="0" applyNumberFormat="1" applyFont="1" applyBorder="1" applyAlignment="1">
      <alignment horizontal="center"/>
    </xf>
    <xf numFmtId="165" fontId="66" fillId="0" borderId="10" xfId="0" applyNumberFormat="1" applyFont="1" applyBorder="1" applyAlignment="1">
      <alignment horizontal="left"/>
    </xf>
    <xf numFmtId="165" fontId="66" fillId="0" borderId="0" xfId="0" applyNumberFormat="1" applyFont="1" applyAlignment="1">
      <alignment horizontal="center"/>
    </xf>
    <xf numFmtId="165" fontId="66" fillId="0" borderId="22" xfId="0" applyNumberFormat="1" applyFont="1" applyBorder="1" applyAlignment="1">
      <alignment horizontal="center"/>
    </xf>
    <xf numFmtId="10" fontId="66" fillId="0" borderId="22" xfId="0" applyNumberFormat="1" applyFont="1" applyBorder="1" applyAlignment="1">
      <alignment horizontal="center"/>
    </xf>
    <xf numFmtId="165" fontId="56" fillId="0" borderId="13" xfId="0" applyNumberFormat="1" applyFont="1" applyBorder="1"/>
    <xf numFmtId="165" fontId="98" fillId="0" borderId="13" xfId="0" applyNumberFormat="1" applyFont="1" applyBorder="1" applyAlignment="1">
      <alignment horizontal="center" vertical="top"/>
    </xf>
    <xf numFmtId="2" fontId="67" fillId="0" borderId="0" xfId="0" applyNumberFormat="1" applyFont="1" applyAlignment="1">
      <alignment horizontal="center" vertical="top"/>
    </xf>
    <xf numFmtId="2" fontId="67" fillId="0" borderId="13" xfId="0" applyNumberFormat="1" applyFont="1" applyBorder="1" applyAlignment="1">
      <alignment horizontal="center" vertical="top"/>
    </xf>
    <xf numFmtId="165" fontId="80" fillId="0" borderId="13" xfId="0" applyNumberFormat="1" applyFont="1" applyBorder="1" applyAlignment="1">
      <alignment horizontal="center" vertical="top"/>
    </xf>
    <xf numFmtId="165" fontId="81" fillId="0" borderId="13" xfId="0" applyNumberFormat="1" applyFont="1" applyBorder="1" applyAlignment="1">
      <alignment horizontal="center" vertical="top"/>
    </xf>
    <xf numFmtId="2" fontId="64" fillId="0" borderId="12" xfId="0" applyNumberFormat="1" applyFont="1" applyBorder="1" applyAlignment="1">
      <alignment horizontal="center" vertical="top"/>
    </xf>
    <xf numFmtId="165" fontId="67" fillId="0" borderId="13" xfId="0" applyNumberFormat="1" applyFont="1" applyBorder="1"/>
    <xf numFmtId="165" fontId="56" fillId="0" borderId="13" xfId="0" applyNumberFormat="1" applyFont="1" applyBorder="1" applyAlignment="1">
      <alignment horizontal="center" vertical="center"/>
    </xf>
    <xf numFmtId="0" fontId="4" fillId="0" borderId="0" xfId="24615"/>
    <xf numFmtId="165" fontId="38" fillId="0" borderId="0" xfId="24615" applyNumberFormat="1" applyFont="1"/>
    <xf numFmtId="165" fontId="38" fillId="0" borderId="13" xfId="24615" applyNumberFormat="1" applyFont="1" applyBorder="1" applyAlignment="1">
      <alignment horizontal="center"/>
    </xf>
    <xf numFmtId="165" fontId="38" fillId="0" borderId="13" xfId="24615" applyNumberFormat="1" applyFont="1" applyBorder="1"/>
    <xf numFmtId="165" fontId="38" fillId="0" borderId="22" xfId="24615" applyNumberFormat="1" applyFont="1" applyBorder="1"/>
    <xf numFmtId="166" fontId="38" fillId="0" borderId="22" xfId="24615" applyNumberFormat="1" applyFont="1" applyBorder="1"/>
    <xf numFmtId="0" fontId="83" fillId="50" borderId="21" xfId="24615" applyFont="1" applyFill="1" applyBorder="1" applyAlignment="1">
      <alignment horizontal="center" vertical="center"/>
    </xf>
    <xf numFmtId="0" fontId="83" fillId="46" borderId="21" xfId="24615" applyFont="1" applyFill="1" applyBorder="1" applyAlignment="1">
      <alignment horizontal="center" vertical="center"/>
    </xf>
    <xf numFmtId="0" fontId="83" fillId="40" borderId="21" xfId="24615" applyFont="1" applyFill="1" applyBorder="1" applyAlignment="1">
      <alignment horizontal="center" vertical="center"/>
    </xf>
    <xf numFmtId="0" fontId="83" fillId="49" borderId="21" xfId="24615" applyFont="1" applyFill="1" applyBorder="1" applyAlignment="1">
      <alignment horizontal="center" vertical="center"/>
    </xf>
    <xf numFmtId="10" fontId="53" fillId="0" borderId="21" xfId="24615" applyNumberFormat="1" applyFont="1" applyBorder="1" applyAlignment="1">
      <alignment horizontal="center" vertical="center"/>
    </xf>
    <xf numFmtId="165" fontId="64" fillId="0" borderId="22" xfId="24615" applyNumberFormat="1" applyFont="1" applyBorder="1"/>
    <xf numFmtId="165" fontId="44" fillId="0" borderId="22" xfId="24615" applyNumberFormat="1" applyFont="1" applyBorder="1"/>
    <xf numFmtId="165" fontId="44" fillId="0" borderId="22" xfId="24615" applyNumberFormat="1" applyFont="1" applyBorder="1" applyAlignment="1">
      <alignment horizontal="center"/>
    </xf>
    <xf numFmtId="165" fontId="43" fillId="0" borderId="13" xfId="24615" applyNumberFormat="1" applyFont="1" applyBorder="1" applyAlignment="1">
      <alignment horizontal="center"/>
    </xf>
    <xf numFmtId="0" fontId="42" fillId="33" borderId="19" xfId="24615" applyFont="1" applyFill="1" applyBorder="1" applyAlignment="1">
      <alignment horizontal="center"/>
    </xf>
    <xf numFmtId="0" fontId="53" fillId="0" borderId="0" xfId="24615" applyFont="1"/>
    <xf numFmtId="0" fontId="53" fillId="0" borderId="0" xfId="24615" applyFont="1" applyAlignment="1">
      <alignment horizontal="center" vertical="center"/>
    </xf>
    <xf numFmtId="0" fontId="83" fillId="0" borderId="21" xfId="24615" applyFont="1" applyBorder="1" applyAlignment="1">
      <alignment horizontal="center" vertical="center" wrapText="1"/>
    </xf>
    <xf numFmtId="0" fontId="83" fillId="0" borderId="21" xfId="24615" applyFont="1" applyBorder="1" applyAlignment="1">
      <alignment horizontal="center" vertical="center"/>
    </xf>
    <xf numFmtId="0" fontId="21" fillId="0" borderId="21" xfId="24615" applyFont="1" applyBorder="1" applyAlignment="1">
      <alignment horizontal="center" vertical="center"/>
    </xf>
    <xf numFmtId="0" fontId="23" fillId="0" borderId="0" xfId="24615" applyFont="1" applyAlignment="1">
      <alignment horizontal="center" vertical="center"/>
    </xf>
    <xf numFmtId="0" fontId="83" fillId="0" borderId="0" xfId="24615" applyFont="1" applyAlignment="1">
      <alignment horizontal="center" vertical="center"/>
    </xf>
    <xf numFmtId="165" fontId="64" fillId="0" borderId="13" xfId="24615" applyNumberFormat="1" applyFont="1" applyBorder="1"/>
    <xf numFmtId="165" fontId="54" fillId="0" borderId="13" xfId="24615" applyNumberFormat="1" applyFont="1" applyBorder="1"/>
    <xf numFmtId="165" fontId="43" fillId="0" borderId="0" xfId="24615" applyNumberFormat="1" applyFont="1" applyAlignment="1">
      <alignment horizontal="center"/>
    </xf>
    <xf numFmtId="165" fontId="38" fillId="34" borderId="10" xfId="0" applyNumberFormat="1" applyFont="1" applyFill="1" applyBorder="1" applyAlignment="1">
      <alignment horizontal="left"/>
    </xf>
    <xf numFmtId="165" fontId="49" fillId="34" borderId="10" xfId="0" applyNumberFormat="1" applyFont="1" applyFill="1" applyBorder="1" applyAlignment="1">
      <alignment horizontal="left"/>
    </xf>
    <xf numFmtId="0" fontId="68" fillId="34" borderId="0" xfId="0" applyFont="1" applyFill="1" applyAlignment="1">
      <alignment vertical="center"/>
    </xf>
    <xf numFmtId="165" fontId="96" fillId="0" borderId="13" xfId="0" applyNumberFormat="1" applyFont="1" applyBorder="1" applyAlignment="1">
      <alignment horizontal="center"/>
    </xf>
    <xf numFmtId="0" fontId="70" fillId="0" borderId="12" xfId="0" applyFont="1" applyBorder="1" applyAlignment="1">
      <alignment horizontal="center" vertical="center"/>
    </xf>
    <xf numFmtId="0" fontId="38" fillId="0" borderId="13" xfId="24615" applyFont="1" applyBorder="1" applyAlignment="1">
      <alignment horizontal="left"/>
    </xf>
    <xf numFmtId="1" fontId="38" fillId="0" borderId="13" xfId="24615" applyNumberFormat="1" applyFont="1" applyBorder="1" applyAlignment="1">
      <alignment horizontal="center"/>
    </xf>
    <xf numFmtId="165" fontId="38" fillId="0" borderId="22" xfId="24615" applyNumberFormat="1" applyFont="1" applyBorder="1" applyAlignment="1">
      <alignment horizontal="center"/>
    </xf>
    <xf numFmtId="0" fontId="38" fillId="0" borderId="13" xfId="24615" applyFont="1" applyBorder="1" applyAlignment="1">
      <alignment horizontal="center" vertical="center"/>
    </xf>
    <xf numFmtId="165" fontId="38" fillId="0" borderId="22" xfId="24615" applyNumberFormat="1" applyFont="1" applyBorder="1" applyAlignment="1">
      <alignment horizontal="center" vertical="center"/>
    </xf>
    <xf numFmtId="9" fontId="38" fillId="0" borderId="22" xfId="24615" applyNumberFormat="1" applyFont="1" applyBorder="1" applyAlignment="1">
      <alignment horizontal="center"/>
    </xf>
    <xf numFmtId="10" fontId="67" fillId="0" borderId="22" xfId="0" applyNumberFormat="1" applyFont="1" applyBorder="1" applyAlignment="1">
      <alignment horizontal="center"/>
    </xf>
    <xf numFmtId="165" fontId="67" fillId="0" borderId="22" xfId="0" applyNumberFormat="1" applyFont="1" applyBorder="1" applyAlignment="1">
      <alignment horizontal="center" vertical="top"/>
    </xf>
    <xf numFmtId="0" fontId="67" fillId="0" borderId="13" xfId="0" applyFont="1" applyBorder="1" applyAlignment="1">
      <alignment horizontal="center"/>
    </xf>
    <xf numFmtId="165" fontId="67" fillId="0" borderId="22" xfId="0" applyNumberFormat="1" applyFont="1" applyBorder="1" applyAlignment="1">
      <alignment horizontal="center"/>
    </xf>
    <xf numFmtId="165" fontId="39" fillId="52" borderId="0" xfId="0" applyNumberFormat="1" applyFont="1" applyFill="1" applyAlignment="1">
      <alignment horizontal="center"/>
    </xf>
    <xf numFmtId="165" fontId="58" fillId="0" borderId="22" xfId="0" applyNumberFormat="1" applyFont="1" applyBorder="1" applyAlignment="1">
      <alignment horizontal="center" vertical="top"/>
    </xf>
    <xf numFmtId="10" fontId="36" fillId="0" borderId="0" xfId="24613" applyNumberFormat="1" applyFont="1" applyAlignment="1">
      <alignment horizontal="center"/>
    </xf>
    <xf numFmtId="165" fontId="56" fillId="0" borderId="22" xfId="0" applyNumberFormat="1" applyFont="1" applyBorder="1" applyAlignment="1">
      <alignment horizontal="center" vertical="center"/>
    </xf>
    <xf numFmtId="165" fontId="69" fillId="0" borderId="13" xfId="0" applyNumberFormat="1" applyFont="1" applyBorder="1" applyAlignment="1">
      <alignment horizontal="center" vertical="top"/>
    </xf>
    <xf numFmtId="165" fontId="58" fillId="0" borderId="13" xfId="0" applyNumberFormat="1" applyFont="1" applyBorder="1" applyAlignment="1">
      <alignment horizontal="center" vertical="top"/>
    </xf>
    <xf numFmtId="0" fontId="101" fillId="34" borderId="0" xfId="0" applyFont="1" applyFill="1" applyAlignment="1">
      <alignment vertical="center"/>
    </xf>
    <xf numFmtId="165" fontId="69" fillId="0" borderId="22" xfId="0" applyNumberFormat="1" applyFont="1" applyBorder="1" applyAlignment="1">
      <alignment horizontal="center" vertical="top"/>
    </xf>
    <xf numFmtId="0" fontId="68" fillId="0" borderId="10" xfId="0" applyFont="1" applyBorder="1" applyAlignment="1">
      <alignment horizontal="left"/>
    </xf>
    <xf numFmtId="0" fontId="38" fillId="0" borderId="12" xfId="0" applyFont="1" applyBorder="1" applyAlignment="1">
      <alignment horizontal="center" vertical="center"/>
    </xf>
    <xf numFmtId="166" fontId="68" fillId="0" borderId="22" xfId="0" applyNumberFormat="1" applyFont="1" applyBorder="1"/>
    <xf numFmtId="0" fontId="102" fillId="0" borderId="13" xfId="0" applyFont="1" applyBorder="1" applyAlignment="1">
      <alignment horizontal="left"/>
    </xf>
    <xf numFmtId="0" fontId="102" fillId="0" borderId="0" xfId="0" applyFont="1" applyAlignment="1">
      <alignment horizontal="center"/>
    </xf>
    <xf numFmtId="0" fontId="102" fillId="0" borderId="13" xfId="0" applyFont="1" applyBorder="1" applyAlignment="1">
      <alignment horizontal="center"/>
    </xf>
    <xf numFmtId="0" fontId="102" fillId="0" borderId="0" xfId="0" applyFont="1" applyAlignment="1">
      <alignment horizontal="left"/>
    </xf>
    <xf numFmtId="165" fontId="89" fillId="0" borderId="39" xfId="0" applyNumberFormat="1" applyFont="1" applyBorder="1" applyAlignment="1">
      <alignment horizontal="center" vertical="center" textRotation="90" wrapText="1"/>
    </xf>
    <xf numFmtId="165" fontId="90" fillId="0" borderId="0" xfId="0" applyNumberFormat="1" applyFont="1" applyAlignment="1">
      <alignment horizontal="center" vertical="center" textRotation="90" wrapText="1"/>
    </xf>
    <xf numFmtId="165" fontId="64" fillId="0" borderId="12" xfId="0" applyNumberFormat="1" applyFont="1" applyBorder="1"/>
    <xf numFmtId="165" fontId="104" fillId="0" borderId="22" xfId="0" applyNumberFormat="1" applyFont="1" applyBorder="1" applyAlignment="1">
      <alignment horizontal="center" vertical="top"/>
    </xf>
    <xf numFmtId="0" fontId="55" fillId="0" borderId="0" xfId="0" applyFont="1"/>
    <xf numFmtId="165" fontId="55" fillId="0" borderId="22" xfId="0" applyNumberFormat="1" applyFont="1" applyBorder="1" applyAlignment="1">
      <alignment horizontal="center" vertical="top"/>
    </xf>
    <xf numFmtId="165" fontId="105" fillId="0" borderId="22" xfId="0" applyNumberFormat="1" applyFont="1" applyBorder="1" applyAlignment="1">
      <alignment horizontal="center" vertical="center"/>
    </xf>
    <xf numFmtId="0" fontId="106" fillId="0" borderId="0" xfId="0" applyFont="1"/>
    <xf numFmtId="0" fontId="106" fillId="0" borderId="13" xfId="0" applyFont="1" applyBorder="1"/>
    <xf numFmtId="165" fontId="55" fillId="0" borderId="10" xfId="0" applyNumberFormat="1" applyFont="1" applyBorder="1" applyAlignment="1">
      <alignment horizontal="left"/>
    </xf>
    <xf numFmtId="9" fontId="55" fillId="0" borderId="22" xfId="0" applyNumberFormat="1" applyFont="1" applyBorder="1" applyAlignment="1">
      <alignment horizontal="center"/>
    </xf>
    <xf numFmtId="0" fontId="39" fillId="38" borderId="0" xfId="50" applyFont="1" applyFill="1">
      <alignment horizontal="center"/>
    </xf>
    <xf numFmtId="165" fontId="98" fillId="0" borderId="22" xfId="0" applyNumberFormat="1" applyFont="1" applyBorder="1" applyAlignment="1">
      <alignment horizontal="center" vertical="top"/>
    </xf>
    <xf numFmtId="2" fontId="38" fillId="0" borderId="0" xfId="0" applyNumberFormat="1" applyFont="1" applyAlignment="1">
      <alignment horizontal="center" vertical="center"/>
    </xf>
    <xf numFmtId="2" fontId="38" fillId="0" borderId="13" xfId="0" applyNumberFormat="1" applyFont="1" applyBorder="1" applyAlignment="1">
      <alignment horizontal="center" vertical="center"/>
    </xf>
    <xf numFmtId="165" fontId="53" fillId="0" borderId="0" xfId="24615" applyNumberFormat="1" applyFont="1" applyAlignment="1">
      <alignment horizontal="center" vertical="center" wrapText="1"/>
    </xf>
    <xf numFmtId="0" fontId="53" fillId="0" borderId="34" xfId="24615" applyFont="1" applyBorder="1" applyAlignment="1">
      <alignment horizontal="center" vertical="center"/>
    </xf>
    <xf numFmtId="0" fontId="53" fillId="0" borderId="13" xfId="24615" applyFont="1" applyBorder="1" applyAlignment="1">
      <alignment horizontal="center" vertical="center"/>
    </xf>
    <xf numFmtId="0" fontId="53" fillId="0" borderId="40" xfId="24615" applyFont="1" applyBorder="1" applyAlignment="1">
      <alignment horizontal="center" vertical="center"/>
    </xf>
    <xf numFmtId="165" fontId="83" fillId="0" borderId="21" xfId="24615" applyNumberFormat="1" applyFont="1" applyBorder="1" applyAlignment="1">
      <alignment horizontal="center" vertical="center"/>
    </xf>
    <xf numFmtId="165" fontId="63" fillId="0" borderId="21" xfId="24615" applyNumberFormat="1" applyFont="1" applyBorder="1" applyAlignment="1">
      <alignment horizontal="center" vertical="center"/>
    </xf>
    <xf numFmtId="165" fontId="21" fillId="0" borderId="21" xfId="24615" applyNumberFormat="1" applyFont="1" applyBorder="1" applyAlignment="1">
      <alignment horizontal="center" vertical="center"/>
    </xf>
    <xf numFmtId="0" fontId="83" fillId="0" borderId="13" xfId="24615" applyFont="1" applyBorder="1" applyAlignment="1">
      <alignment horizontal="center" vertical="center"/>
    </xf>
    <xf numFmtId="0" fontId="83" fillId="0" borderId="40" xfId="24615" applyFont="1" applyBorder="1" applyAlignment="1">
      <alignment horizontal="center" vertical="center"/>
    </xf>
    <xf numFmtId="0" fontId="107" fillId="0" borderId="0" xfId="24615" applyFont="1" applyAlignment="1">
      <alignment horizontal="left" vertical="center"/>
    </xf>
    <xf numFmtId="0" fontId="107" fillId="0" borderId="42" xfId="24615" applyFont="1" applyBorder="1" applyAlignment="1">
      <alignment horizontal="left" vertical="center"/>
    </xf>
    <xf numFmtId="0" fontId="107" fillId="0" borderId="43" xfId="24615" applyFont="1" applyBorder="1" applyAlignment="1">
      <alignment horizontal="center" vertical="center"/>
    </xf>
    <xf numFmtId="0" fontId="107" fillId="0" borderId="44" xfId="24615" applyFont="1" applyBorder="1" applyAlignment="1">
      <alignment horizontal="center" vertical="center"/>
    </xf>
    <xf numFmtId="165" fontId="107" fillId="0" borderId="44" xfId="24615" applyNumberFormat="1" applyFont="1" applyBorder="1" applyAlignment="1">
      <alignment horizontal="center" vertical="center" wrapText="1"/>
    </xf>
    <xf numFmtId="165" fontId="38" fillId="0" borderId="0" xfId="24615" applyNumberFormat="1" applyFont="1" applyAlignment="1">
      <alignment horizontal="center"/>
    </xf>
    <xf numFmtId="2" fontId="64" fillId="0" borderId="0" xfId="24615" applyNumberFormat="1" applyFont="1" applyAlignment="1">
      <alignment horizontal="center" vertical="top"/>
    </xf>
    <xf numFmtId="165" fontId="52" fillId="0" borderId="13" xfId="24615" applyNumberFormat="1" applyFont="1" applyBorder="1" applyAlignment="1">
      <alignment horizontal="center" vertical="center"/>
    </xf>
    <xf numFmtId="165" fontId="75" fillId="0" borderId="0" xfId="24615" applyNumberFormat="1" applyFont="1"/>
    <xf numFmtId="165" fontId="68" fillId="0" borderId="13" xfId="24615" applyNumberFormat="1" applyFont="1" applyBorder="1" applyAlignment="1">
      <alignment horizontal="center" vertical="top"/>
    </xf>
    <xf numFmtId="165" fontId="74" fillId="0" borderId="13" xfId="24615" applyNumberFormat="1" applyFont="1" applyBorder="1" applyAlignment="1">
      <alignment horizontal="center" vertical="top"/>
    </xf>
    <xf numFmtId="165" fontId="80" fillId="0" borderId="22" xfId="24615" applyNumberFormat="1" applyFont="1" applyBorder="1" applyAlignment="1">
      <alignment horizontal="center" vertical="top"/>
    </xf>
    <xf numFmtId="2" fontId="38" fillId="0" borderId="13" xfId="24615" applyNumberFormat="1" applyFont="1" applyBorder="1" applyAlignment="1">
      <alignment horizontal="center" vertical="top"/>
    </xf>
    <xf numFmtId="165" fontId="68" fillId="0" borderId="13" xfId="24615" applyNumberFormat="1" applyFont="1" applyBorder="1" applyAlignment="1">
      <alignment horizontal="center"/>
    </xf>
    <xf numFmtId="0" fontId="68" fillId="0" borderId="12" xfId="24615" applyFont="1" applyBorder="1" applyAlignment="1">
      <alignment horizontal="center"/>
    </xf>
    <xf numFmtId="165" fontId="68" fillId="0" borderId="0" xfId="24615" applyNumberFormat="1" applyFont="1" applyAlignment="1">
      <alignment horizontal="center"/>
    </xf>
    <xf numFmtId="1" fontId="68" fillId="0" borderId="13" xfId="24615" applyNumberFormat="1" applyFont="1" applyBorder="1" applyAlignment="1">
      <alignment horizontal="center"/>
    </xf>
    <xf numFmtId="0" fontId="68" fillId="0" borderId="13" xfId="24615" applyFont="1" applyBorder="1" applyAlignment="1">
      <alignment horizontal="left"/>
    </xf>
    <xf numFmtId="0" fontId="68" fillId="0" borderId="18" xfId="24615" applyFont="1" applyBorder="1" applyAlignment="1">
      <alignment horizontal="left"/>
    </xf>
    <xf numFmtId="0" fontId="38" fillId="0" borderId="13" xfId="24615" applyFont="1" applyBorder="1" applyAlignment="1">
      <alignment horizontal="center"/>
    </xf>
    <xf numFmtId="0" fontId="38" fillId="0" borderId="18" xfId="24615" applyFont="1" applyBorder="1" applyAlignment="1">
      <alignment horizontal="left"/>
    </xf>
    <xf numFmtId="165" fontId="68" fillId="0" borderId="22" xfId="24615" applyNumberFormat="1" applyFont="1" applyBorder="1" applyAlignment="1">
      <alignment horizontal="center"/>
    </xf>
    <xf numFmtId="0" fontId="68" fillId="0" borderId="13" xfId="24615" applyFont="1" applyBorder="1" applyAlignment="1">
      <alignment horizontal="center"/>
    </xf>
    <xf numFmtId="165" fontId="50" fillId="0" borderId="24" xfId="24615" applyNumberFormat="1" applyFont="1" applyBorder="1" applyAlignment="1">
      <alignment horizontal="center" vertical="top" wrapText="1"/>
    </xf>
    <xf numFmtId="2" fontId="49" fillId="0" borderId="21" xfId="24615" applyNumberFormat="1" applyFont="1" applyBorder="1" applyAlignment="1">
      <alignment horizontal="center" vertical="top" wrapText="1"/>
    </xf>
    <xf numFmtId="2" fontId="49" fillId="0" borderId="28" xfId="24615" applyNumberFormat="1" applyFont="1" applyBorder="1" applyAlignment="1">
      <alignment horizontal="center" vertical="top" wrapText="1"/>
    </xf>
    <xf numFmtId="166" fontId="49" fillId="0" borderId="28" xfId="24615" applyNumberFormat="1" applyFont="1" applyBorder="1" applyAlignment="1">
      <alignment horizontal="center" vertical="top" wrapText="1"/>
    </xf>
    <xf numFmtId="165" fontId="49" fillId="0" borderId="28" xfId="24615" applyNumberFormat="1" applyFont="1" applyBorder="1" applyAlignment="1">
      <alignment horizontal="center" vertical="top" wrapText="1"/>
    </xf>
    <xf numFmtId="165" fontId="49" fillId="0" borderId="25" xfId="24615" applyNumberFormat="1" applyFont="1" applyBorder="1" applyAlignment="1">
      <alignment horizontal="center" vertical="top" wrapText="1"/>
    </xf>
    <xf numFmtId="165" fontId="49" fillId="0" borderId="26" xfId="24615" applyNumberFormat="1" applyFont="1" applyBorder="1" applyAlignment="1">
      <alignment horizontal="left" vertical="top" wrapText="1"/>
    </xf>
    <xf numFmtId="0" fontId="49" fillId="0" borderId="17" xfId="24615" applyFont="1" applyBorder="1" applyAlignment="1">
      <alignment horizontal="left" vertical="top" wrapText="1"/>
    </xf>
    <xf numFmtId="165" fontId="48" fillId="0" borderId="21" xfId="24615" applyNumberFormat="1" applyFont="1" applyBorder="1" applyAlignment="1">
      <alignment horizontal="center"/>
    </xf>
    <xf numFmtId="2" fontId="46" fillId="0" borderId="30" xfId="24615" applyNumberFormat="1" applyFont="1" applyBorder="1" applyAlignment="1">
      <alignment horizontal="center"/>
    </xf>
    <xf numFmtId="165" fontId="38" fillId="0" borderId="24" xfId="24615" applyNumberFormat="1" applyFont="1" applyBorder="1"/>
    <xf numFmtId="165" fontId="38" fillId="0" borderId="27" xfId="24615" applyNumberFormat="1" applyFont="1" applyBorder="1"/>
    <xf numFmtId="166" fontId="38" fillId="0" borderId="27" xfId="24615" applyNumberFormat="1" applyFont="1" applyBorder="1"/>
    <xf numFmtId="165" fontId="44" fillId="0" borderId="27" xfId="24615" applyNumberFormat="1" applyFont="1" applyBorder="1"/>
    <xf numFmtId="165" fontId="44" fillId="0" borderId="27" xfId="24615" applyNumberFormat="1" applyFont="1" applyBorder="1" applyAlignment="1">
      <alignment horizontal="center"/>
    </xf>
    <xf numFmtId="165" fontId="43" fillId="0" borderId="24" xfId="24615" applyNumberFormat="1" applyFont="1" applyBorder="1" applyAlignment="1">
      <alignment horizontal="center"/>
    </xf>
    <xf numFmtId="0" fontId="42" fillId="0" borderId="19" xfId="24615" applyFont="1" applyBorder="1" applyAlignment="1">
      <alignment horizontal="center"/>
    </xf>
    <xf numFmtId="165" fontId="43" fillId="0" borderId="0" xfId="24615" applyNumberFormat="1" applyFont="1"/>
    <xf numFmtId="165" fontId="72" fillId="0" borderId="21" xfId="24615" applyNumberFormat="1" applyFont="1" applyBorder="1" applyAlignment="1">
      <alignment vertical="center" wrapText="1"/>
    </xf>
    <xf numFmtId="165" fontId="56" fillId="0" borderId="0" xfId="24615" applyNumberFormat="1" applyFont="1"/>
    <xf numFmtId="2" fontId="49" fillId="0" borderId="23" xfId="24615" applyNumberFormat="1" applyFont="1" applyBorder="1" applyAlignment="1">
      <alignment horizontal="center" vertical="top" wrapText="1"/>
    </xf>
    <xf numFmtId="2" fontId="46" fillId="0" borderId="29" xfId="24615" applyNumberFormat="1" applyFont="1" applyBorder="1" applyAlignment="1">
      <alignment horizontal="center"/>
    </xf>
    <xf numFmtId="165" fontId="93" fillId="0" borderId="10" xfId="24615" applyNumberFormat="1" applyFont="1" applyBorder="1" applyAlignment="1">
      <alignment horizontal="left" indent="5"/>
    </xf>
    <xf numFmtId="0" fontId="102" fillId="0" borderId="0" xfId="24615" applyFont="1" applyAlignment="1">
      <alignment horizontal="left"/>
    </xf>
    <xf numFmtId="0" fontId="102" fillId="0" borderId="13" xfId="24615" applyFont="1" applyBorder="1" applyAlignment="1">
      <alignment horizontal="center"/>
    </xf>
    <xf numFmtId="0" fontId="102" fillId="0" borderId="0" xfId="24615" applyFont="1" applyAlignment="1">
      <alignment horizontal="center"/>
    </xf>
    <xf numFmtId="0" fontId="102" fillId="0" borderId="13" xfId="24615" applyFont="1" applyBorder="1" applyAlignment="1">
      <alignment horizontal="left"/>
    </xf>
    <xf numFmtId="166" fontId="68" fillId="0" borderId="22" xfId="24615" applyNumberFormat="1" applyFont="1" applyBorder="1"/>
    <xf numFmtId="0" fontId="49" fillId="0" borderId="13" xfId="24615" applyFont="1" applyBorder="1" applyAlignment="1">
      <alignment horizontal="left"/>
    </xf>
    <xf numFmtId="0" fontId="64" fillId="0" borderId="18" xfId="24615" applyFont="1" applyBorder="1" applyAlignment="1">
      <alignment horizontal="left"/>
    </xf>
    <xf numFmtId="0" fontId="49" fillId="0" borderId="18" xfId="24615" applyFont="1" applyBorder="1" applyAlignment="1">
      <alignment horizontal="left"/>
    </xf>
    <xf numFmtId="165" fontId="38" fillId="0" borderId="38" xfId="0" applyNumberFormat="1" applyFont="1" applyBorder="1" applyAlignment="1">
      <alignment horizontal="left"/>
    </xf>
    <xf numFmtId="165" fontId="38" fillId="0" borderId="41" xfId="0" applyNumberFormat="1" applyFont="1" applyBorder="1" applyAlignment="1">
      <alignment horizontal="left"/>
    </xf>
    <xf numFmtId="165" fontId="38" fillId="0" borderId="31" xfId="0" applyNumberFormat="1" applyFont="1" applyBorder="1" applyAlignment="1">
      <alignment horizontal="left"/>
    </xf>
    <xf numFmtId="165" fontId="59" fillId="0" borderId="38" xfId="0" applyNumberFormat="1" applyFont="1" applyBorder="1" applyAlignment="1">
      <alignment horizontal="left"/>
    </xf>
    <xf numFmtId="165" fontId="59" fillId="0" borderId="13" xfId="0" applyNumberFormat="1" applyFont="1" applyBorder="1" applyAlignment="1">
      <alignment horizontal="center" vertical="center"/>
    </xf>
    <xf numFmtId="0" fontId="49" fillId="0" borderId="12" xfId="24615" applyFont="1" applyBorder="1" applyAlignment="1">
      <alignment horizontal="left"/>
    </xf>
    <xf numFmtId="0" fontId="49" fillId="0" borderId="13" xfId="24615" applyFont="1" applyBorder="1" applyAlignment="1">
      <alignment horizontal="center"/>
    </xf>
    <xf numFmtId="165" fontId="49" fillId="0" borderId="0" xfId="24615" applyNumberFormat="1" applyFont="1" applyAlignment="1">
      <alignment horizontal="center"/>
    </xf>
    <xf numFmtId="10" fontId="49" fillId="0" borderId="0" xfId="24615" applyNumberFormat="1" applyFont="1" applyAlignment="1">
      <alignment horizontal="center"/>
    </xf>
    <xf numFmtId="165" fontId="49" fillId="0" borderId="13" xfId="24615" applyNumberFormat="1" applyFont="1" applyBorder="1" applyAlignment="1">
      <alignment horizontal="center" vertical="top"/>
    </xf>
    <xf numFmtId="0" fontId="69" fillId="0" borderId="12" xfId="24615" applyFont="1" applyBorder="1" applyAlignment="1">
      <alignment horizontal="left"/>
    </xf>
    <xf numFmtId="0" fontId="69" fillId="0" borderId="13" xfId="24615" applyFont="1" applyBorder="1" applyAlignment="1">
      <alignment horizontal="center"/>
    </xf>
    <xf numFmtId="165" fontId="69" fillId="0" borderId="0" xfId="24615" applyNumberFormat="1" applyFont="1" applyAlignment="1">
      <alignment horizontal="center"/>
    </xf>
    <xf numFmtId="0" fontId="69" fillId="0" borderId="13" xfId="24615" applyFont="1" applyBorder="1" applyAlignment="1">
      <alignment horizontal="left"/>
    </xf>
    <xf numFmtId="1" fontId="49" fillId="0" borderId="0" xfId="24615" applyNumberFormat="1" applyFont="1" applyAlignment="1">
      <alignment horizontal="center"/>
    </xf>
    <xf numFmtId="165" fontId="49" fillId="0" borderId="12" xfId="24615" applyNumberFormat="1" applyFont="1" applyBorder="1" applyAlignment="1">
      <alignment horizontal="center"/>
    </xf>
    <xf numFmtId="165" fontId="49" fillId="0" borderId="13" xfId="24615" applyNumberFormat="1" applyFont="1" applyBorder="1" applyAlignment="1">
      <alignment horizontal="center" vertical="center"/>
    </xf>
    <xf numFmtId="1" fontId="59" fillId="0" borderId="10" xfId="0" applyNumberFormat="1" applyFont="1" applyBorder="1" applyAlignment="1">
      <alignment horizontal="center"/>
    </xf>
    <xf numFmtId="165" fontId="111" fillId="0" borderId="13" xfId="0" applyNumberFormat="1" applyFont="1" applyBorder="1" applyAlignment="1">
      <alignment horizontal="center" vertical="center"/>
    </xf>
    <xf numFmtId="0" fontId="59" fillId="0" borderId="0" xfId="0" applyFont="1" applyAlignment="1">
      <alignment horizontal="left"/>
    </xf>
    <xf numFmtId="1" fontId="112" fillId="0" borderId="13" xfId="0" applyNumberFormat="1" applyFont="1" applyBorder="1" applyAlignment="1">
      <alignment horizontal="center"/>
    </xf>
    <xf numFmtId="165" fontId="60" fillId="0" borderId="0" xfId="0" applyNumberFormat="1" applyFont="1" applyAlignment="1">
      <alignment horizontal="center"/>
    </xf>
    <xf numFmtId="0" fontId="59" fillId="0" borderId="12" xfId="0" applyFont="1" applyBorder="1" applyAlignment="1">
      <alignment horizontal="center"/>
    </xf>
    <xf numFmtId="165" fontId="59" fillId="0" borderId="22" xfId="0" applyNumberFormat="1" applyFont="1" applyBorder="1" applyAlignment="1">
      <alignment horizontal="center" vertical="center"/>
    </xf>
    <xf numFmtId="165" fontId="103" fillId="0" borderId="22" xfId="0" applyNumberFormat="1" applyFont="1" applyBorder="1" applyAlignment="1">
      <alignment horizontal="center" vertical="top"/>
    </xf>
    <xf numFmtId="165" fontId="113" fillId="0" borderId="13" xfId="0" applyNumberFormat="1" applyFont="1" applyBorder="1" applyAlignment="1">
      <alignment horizontal="center" vertical="top"/>
    </xf>
    <xf numFmtId="165" fontId="49" fillId="54" borderId="21" xfId="0" applyNumberFormat="1" applyFont="1" applyFill="1" applyBorder="1" applyAlignment="1">
      <alignment horizontal="center" vertical="center" wrapText="1"/>
    </xf>
    <xf numFmtId="169" fontId="38" fillId="0" borderId="21" xfId="24613" applyNumberFormat="1" applyFont="1" applyBorder="1" applyAlignment="1">
      <alignment horizontal="center" vertical="center"/>
    </xf>
    <xf numFmtId="170" fontId="38" fillId="0" borderId="21" xfId="24614" applyNumberFormat="1" applyFont="1" applyBorder="1" applyAlignment="1">
      <alignment horizontal="center" vertical="center"/>
    </xf>
    <xf numFmtId="165" fontId="70" fillId="0" borderId="38" xfId="0" applyNumberFormat="1" applyFont="1" applyBorder="1" applyAlignment="1">
      <alignment horizontal="left"/>
    </xf>
    <xf numFmtId="165" fontId="38" fillId="0" borderId="10" xfId="0" applyNumberFormat="1" applyFont="1" applyBorder="1" applyAlignment="1">
      <alignment horizontal="center"/>
    </xf>
    <xf numFmtId="0" fontId="71" fillId="0" borderId="13" xfId="0" applyFont="1" applyBorder="1" applyAlignment="1">
      <alignment horizontal="center"/>
    </xf>
    <xf numFmtId="165" fontId="70" fillId="0" borderId="0" xfId="0" applyNumberFormat="1" applyFont="1" applyAlignment="1">
      <alignment horizontal="center" vertical="top"/>
    </xf>
    <xf numFmtId="0" fontId="49" fillId="0" borderId="38" xfId="0" applyFont="1" applyBorder="1" applyAlignment="1">
      <alignment horizontal="left"/>
    </xf>
    <xf numFmtId="165" fontId="114" fillId="0" borderId="13" xfId="0" applyNumberFormat="1" applyFont="1" applyBorder="1" applyAlignment="1">
      <alignment horizontal="center" vertical="top"/>
    </xf>
    <xf numFmtId="165" fontId="98" fillId="0" borderId="22" xfId="24615" applyNumberFormat="1" applyFont="1" applyBorder="1" applyAlignment="1">
      <alignment horizontal="center" vertical="top"/>
    </xf>
    <xf numFmtId="165" fontId="98" fillId="0" borderId="13" xfId="24615" applyNumberFormat="1" applyFont="1" applyBorder="1" applyAlignment="1">
      <alignment horizontal="center" vertical="top"/>
    </xf>
    <xf numFmtId="165" fontId="67" fillId="0" borderId="13" xfId="24615" applyNumberFormat="1" applyFont="1" applyBorder="1" applyAlignment="1">
      <alignment horizontal="center" vertical="top"/>
    </xf>
    <xf numFmtId="165" fontId="67" fillId="0" borderId="0" xfId="24615" applyNumberFormat="1" applyFont="1"/>
    <xf numFmtId="0" fontId="58" fillId="0" borderId="0" xfId="24615" applyFont="1" applyAlignment="1">
      <alignment horizontal="left"/>
    </xf>
    <xf numFmtId="0" fontId="58" fillId="0" borderId="0" xfId="24615" applyFont="1" applyAlignment="1">
      <alignment horizontal="center"/>
    </xf>
    <xf numFmtId="165" fontId="58" fillId="0" borderId="0" xfId="24615" applyNumberFormat="1" applyFont="1" applyAlignment="1">
      <alignment horizontal="center"/>
    </xf>
    <xf numFmtId="0" fontId="98" fillId="0" borderId="0" xfId="24615" applyFont="1" applyAlignment="1">
      <alignment horizontal="left"/>
    </xf>
    <xf numFmtId="0" fontId="98" fillId="0" borderId="0" xfId="24615" applyFont="1" applyAlignment="1">
      <alignment horizontal="center"/>
    </xf>
    <xf numFmtId="165" fontId="98" fillId="0" borderId="0" xfId="24615" applyNumberFormat="1" applyFont="1" applyAlignment="1">
      <alignment horizontal="center"/>
    </xf>
    <xf numFmtId="165" fontId="114" fillId="0" borderId="22" xfId="0" applyNumberFormat="1" applyFont="1" applyBorder="1" applyAlignment="1">
      <alignment horizontal="center" vertical="top"/>
    </xf>
    <xf numFmtId="0" fontId="115" fillId="40" borderId="0" xfId="50" applyFont="1" applyFill="1">
      <alignment horizontal="center"/>
    </xf>
    <xf numFmtId="165" fontId="115" fillId="46" borderId="0" xfId="0" applyNumberFormat="1" applyFont="1" applyFill="1" applyAlignment="1">
      <alignment horizontal="center"/>
    </xf>
    <xf numFmtId="165" fontId="115" fillId="52" borderId="0" xfId="0" applyNumberFormat="1" applyFont="1" applyFill="1" applyAlignment="1">
      <alignment horizontal="center"/>
    </xf>
    <xf numFmtId="0" fontId="115" fillId="43" borderId="0" xfId="50" applyFont="1" applyFill="1">
      <alignment horizontal="center"/>
    </xf>
    <xf numFmtId="165" fontId="69" fillId="0" borderId="13" xfId="24615" applyNumberFormat="1" applyFont="1" applyBorder="1" applyAlignment="1">
      <alignment horizontal="center" vertical="top"/>
    </xf>
    <xf numFmtId="0" fontId="115" fillId="42" borderId="0" xfId="50" applyFont="1" applyFill="1">
      <alignment horizontal="center"/>
    </xf>
    <xf numFmtId="0" fontId="115" fillId="38" borderId="0" xfId="50" applyFont="1" applyFill="1">
      <alignment horizontal="center"/>
    </xf>
    <xf numFmtId="0" fontId="115" fillId="54" borderId="0" xfId="50" applyFont="1" applyFill="1">
      <alignment horizontal="center"/>
    </xf>
    <xf numFmtId="2" fontId="64" fillId="0" borderId="13" xfId="24615" applyNumberFormat="1" applyFont="1" applyBorder="1" applyAlignment="1">
      <alignment horizontal="center" vertical="top"/>
    </xf>
    <xf numFmtId="2" fontId="38" fillId="0" borderId="12" xfId="24615" applyNumberFormat="1" applyFont="1" applyBorder="1" applyAlignment="1">
      <alignment horizontal="center" vertical="top"/>
    </xf>
    <xf numFmtId="165" fontId="72" fillId="0" borderId="47" xfId="24615" applyNumberFormat="1" applyFont="1" applyBorder="1" applyAlignment="1">
      <alignment vertical="center" wrapText="1"/>
    </xf>
    <xf numFmtId="165" fontId="38" fillId="0" borderId="32" xfId="0" applyNumberFormat="1" applyFont="1" applyBorder="1"/>
    <xf numFmtId="2" fontId="68" fillId="0" borderId="12" xfId="0" applyNumberFormat="1" applyFont="1" applyBorder="1" applyAlignment="1">
      <alignment horizontal="center" vertical="top"/>
    </xf>
    <xf numFmtId="2" fontId="81" fillId="0" borderId="12" xfId="0" applyNumberFormat="1" applyFont="1" applyBorder="1" applyAlignment="1">
      <alignment horizontal="center" vertical="top"/>
    </xf>
    <xf numFmtId="0" fontId="42" fillId="33" borderId="41" xfId="0" applyFont="1" applyFill="1" applyBorder="1" applyAlignment="1">
      <alignment horizontal="center"/>
    </xf>
    <xf numFmtId="0" fontId="42" fillId="0" borderId="41" xfId="0" applyFont="1" applyBorder="1" applyAlignment="1">
      <alignment horizontal="center"/>
    </xf>
    <xf numFmtId="0" fontId="49" fillId="0" borderId="48" xfId="0" applyFont="1" applyBorder="1" applyAlignment="1">
      <alignment horizontal="left" vertical="top" wrapText="1"/>
    </xf>
    <xf numFmtId="0" fontId="38" fillId="0" borderId="41" xfId="0" applyFont="1" applyBorder="1" applyAlignment="1">
      <alignment horizontal="left"/>
    </xf>
    <xf numFmtId="0" fontId="68" fillId="0" borderId="41" xfId="0" applyFont="1" applyBorder="1" applyAlignment="1">
      <alignment horizontal="left"/>
    </xf>
    <xf numFmtId="0" fontId="99" fillId="34" borderId="41" xfId="0" applyFont="1" applyFill="1" applyBorder="1" applyAlignment="1">
      <alignment horizontal="left" vertical="center"/>
    </xf>
    <xf numFmtId="0" fontId="38" fillId="0" borderId="41" xfId="0" applyFont="1" applyBorder="1" applyAlignment="1">
      <alignment horizontal="left" vertical="center"/>
    </xf>
    <xf numFmtId="0" fontId="70" fillId="0" borderId="41" xfId="0" applyFont="1" applyBorder="1" applyAlignment="1">
      <alignment horizontal="left"/>
    </xf>
    <xf numFmtId="0" fontId="0" fillId="0" borderId="41" xfId="0" applyBorder="1"/>
    <xf numFmtId="165" fontId="117" fillId="0" borderId="13" xfId="0" applyNumberFormat="1" applyFont="1" applyBorder="1" applyAlignment="1">
      <alignment horizontal="center" vertical="center"/>
    </xf>
    <xf numFmtId="165" fontId="64" fillId="0" borderId="13" xfId="0" applyNumberFormat="1" applyFont="1" applyBorder="1" applyAlignment="1">
      <alignment horizontal="center"/>
    </xf>
    <xf numFmtId="165" fontId="118" fillId="0" borderId="13" xfId="0" applyNumberFormat="1" applyFont="1" applyBorder="1" applyAlignment="1">
      <alignment horizontal="center"/>
    </xf>
    <xf numFmtId="9" fontId="64" fillId="0" borderId="22" xfId="0" applyNumberFormat="1" applyFont="1" applyBorder="1" applyAlignment="1">
      <alignment horizontal="center"/>
    </xf>
    <xf numFmtId="165" fontId="44" fillId="0" borderId="0" xfId="0" applyNumberFormat="1" applyFont="1"/>
    <xf numFmtId="165" fontId="44" fillId="0" borderId="50" xfId="0" applyNumberFormat="1" applyFont="1" applyBorder="1"/>
    <xf numFmtId="165" fontId="49" fillId="0" borderId="11" xfId="0" applyNumberFormat="1" applyFont="1" applyBorder="1" applyAlignment="1">
      <alignment horizontal="center" vertical="top" wrapText="1"/>
    </xf>
    <xf numFmtId="0" fontId="49" fillId="0" borderId="0" xfId="0" applyFont="1" applyAlignment="1">
      <alignment horizontal="center"/>
    </xf>
    <xf numFmtId="0" fontId="38" fillId="0" borderId="0" xfId="0" applyFont="1" applyAlignment="1">
      <alignment horizontal="center"/>
    </xf>
    <xf numFmtId="0" fontId="55" fillId="0" borderId="0" xfId="0" applyFont="1" applyAlignment="1">
      <alignment horizontal="center"/>
    </xf>
    <xf numFmtId="165" fontId="70" fillId="0" borderId="12" xfId="0" applyNumberFormat="1" applyFont="1" applyBorder="1" applyAlignment="1">
      <alignment horizontal="center"/>
    </xf>
    <xf numFmtId="165" fontId="49" fillId="0" borderId="12" xfId="0" applyNumberFormat="1" applyFont="1" applyBorder="1" applyAlignment="1">
      <alignment horizontal="center" vertical="center"/>
    </xf>
    <xf numFmtId="0" fontId="59" fillId="0" borderId="0" xfId="0" applyFont="1" applyAlignment="1">
      <alignment horizontal="center"/>
    </xf>
    <xf numFmtId="0" fontId="66" fillId="0" borderId="12" xfId="0" applyFont="1" applyBorder="1" applyAlignment="1">
      <alignment horizontal="center"/>
    </xf>
    <xf numFmtId="0" fontId="49" fillId="0" borderId="51" xfId="24615" applyFont="1" applyBorder="1" applyAlignment="1">
      <alignment horizontal="center" vertical="center"/>
    </xf>
    <xf numFmtId="0" fontId="69" fillId="0" borderId="51" xfId="24615" applyFont="1" applyBorder="1" applyAlignment="1">
      <alignment horizontal="center" vertical="center"/>
    </xf>
    <xf numFmtId="165" fontId="49" fillId="0" borderId="12" xfId="24615" applyNumberFormat="1" applyFont="1" applyBorder="1" applyAlignment="1">
      <alignment horizontal="center" vertical="center"/>
    </xf>
    <xf numFmtId="165" fontId="67" fillId="0" borderId="13" xfId="0" applyNumberFormat="1" applyFont="1" applyBorder="1" applyAlignment="1">
      <alignment horizontal="center"/>
    </xf>
    <xf numFmtId="165" fontId="59" fillId="0" borderId="13" xfId="0" applyNumberFormat="1" applyFont="1" applyBorder="1" applyAlignment="1">
      <alignment horizontal="center"/>
    </xf>
    <xf numFmtId="165" fontId="69" fillId="0" borderId="13" xfId="24615" applyNumberFormat="1" applyFont="1" applyBorder="1" applyAlignment="1">
      <alignment horizontal="center" vertical="center"/>
    </xf>
    <xf numFmtId="10" fontId="38" fillId="0" borderId="0" xfId="0" applyNumberFormat="1" applyFont="1" applyAlignment="1">
      <alignment horizontal="center"/>
    </xf>
    <xf numFmtId="10" fontId="59" fillId="0" borderId="0" xfId="0" applyNumberFormat="1" applyFont="1" applyAlignment="1">
      <alignment horizontal="center"/>
    </xf>
    <xf numFmtId="166" fontId="49" fillId="0" borderId="22" xfId="24615" applyNumberFormat="1" applyFont="1" applyBorder="1" applyAlignment="1">
      <alignment horizontal="center" vertical="center"/>
    </xf>
    <xf numFmtId="165" fontId="116" fillId="0" borderId="13" xfId="0" applyNumberFormat="1" applyFont="1" applyBorder="1" applyAlignment="1">
      <alignment horizontal="center" vertical="top"/>
    </xf>
    <xf numFmtId="165" fontId="38" fillId="0" borderId="10" xfId="0" applyNumberFormat="1" applyFont="1" applyBorder="1" applyAlignment="1">
      <alignment horizontal="left" vertical="center" wrapText="1"/>
    </xf>
    <xf numFmtId="0" fontId="38" fillId="0" borderId="51" xfId="0" applyFont="1" applyBorder="1" applyAlignment="1">
      <alignment horizontal="center"/>
    </xf>
    <xf numFmtId="0" fontId="68" fillId="0" borderId="12" xfId="0" applyFont="1" applyBorder="1" applyAlignment="1">
      <alignment horizontal="center" vertical="center"/>
    </xf>
    <xf numFmtId="165" fontId="58" fillId="0" borderId="13" xfId="0" applyNumberFormat="1" applyFont="1" applyBorder="1" applyAlignment="1">
      <alignment horizontal="center"/>
    </xf>
    <xf numFmtId="0" fontId="70" fillId="0" borderId="31" xfId="0" applyFont="1" applyBorder="1" applyAlignment="1">
      <alignment horizontal="left"/>
    </xf>
    <xf numFmtId="0" fontId="99" fillId="34" borderId="41" xfId="0" applyFont="1" applyFill="1" applyBorder="1" applyAlignment="1">
      <alignment horizontal="left"/>
    </xf>
    <xf numFmtId="0" fontId="49" fillId="0" borderId="41" xfId="0" applyFont="1" applyBorder="1" applyAlignment="1">
      <alignment horizontal="left"/>
    </xf>
    <xf numFmtId="0" fontId="55" fillId="0" borderId="41" xfId="0" applyFont="1" applyBorder="1" applyAlignment="1">
      <alignment horizontal="left"/>
    </xf>
    <xf numFmtId="0" fontId="38" fillId="0" borderId="38" xfId="0" applyFont="1" applyBorder="1" applyAlignment="1">
      <alignment horizontal="left" vertical="center"/>
    </xf>
    <xf numFmtId="0" fontId="38" fillId="0" borderId="38" xfId="0" applyFont="1" applyBorder="1" applyAlignment="1">
      <alignment horizontal="left"/>
    </xf>
    <xf numFmtId="0" fontId="99" fillId="34" borderId="41" xfId="0" applyFont="1" applyFill="1" applyBorder="1" applyAlignment="1">
      <alignment vertical="center"/>
    </xf>
    <xf numFmtId="0" fontId="101" fillId="34" borderId="41" xfId="0" applyFont="1" applyFill="1" applyBorder="1" applyAlignment="1">
      <alignment vertical="center"/>
    </xf>
    <xf numFmtId="0" fontId="96" fillId="0" borderId="41" xfId="0" applyFont="1" applyBorder="1" applyAlignment="1">
      <alignment horizontal="left"/>
    </xf>
    <xf numFmtId="0" fontId="59" fillId="0" borderId="41" xfId="0" applyFont="1" applyBorder="1" applyAlignment="1">
      <alignment horizontal="left"/>
    </xf>
    <xf numFmtId="0" fontId="66" fillId="0" borderId="41" xfId="0" applyFont="1" applyBorder="1" applyAlignment="1">
      <alignment horizontal="left"/>
    </xf>
    <xf numFmtId="0" fontId="49" fillId="0" borderId="37" xfId="0" applyFont="1" applyBorder="1" applyAlignment="1">
      <alignment horizontal="left"/>
    </xf>
    <xf numFmtId="0" fontId="38" fillId="0" borderId="41" xfId="0" applyFont="1" applyBorder="1"/>
    <xf numFmtId="0" fontId="49" fillId="0" borderId="18" xfId="0" applyFont="1" applyBorder="1" applyAlignment="1">
      <alignment horizontal="left" vertical="center"/>
    </xf>
    <xf numFmtId="0" fontId="49" fillId="0" borderId="13" xfId="0" applyFont="1" applyBorder="1" applyAlignment="1">
      <alignment horizontal="center" vertical="center"/>
    </xf>
    <xf numFmtId="0" fontId="49" fillId="0" borderId="12" xfId="0" applyFont="1" applyBorder="1" applyAlignment="1">
      <alignment horizontal="center" vertical="center"/>
    </xf>
    <xf numFmtId="0" fontId="64" fillId="0" borderId="18" xfId="0" applyFont="1" applyBorder="1" applyAlignment="1">
      <alignment horizontal="left"/>
    </xf>
    <xf numFmtId="165" fontId="64" fillId="0" borderId="10" xfId="0" applyNumberFormat="1" applyFont="1" applyBorder="1" applyAlignment="1">
      <alignment horizontal="left"/>
    </xf>
    <xf numFmtId="0" fontId="64" fillId="0" borderId="13" xfId="0" applyFont="1" applyBorder="1" applyAlignment="1">
      <alignment horizontal="center"/>
    </xf>
    <xf numFmtId="165" fontId="49" fillId="54" borderId="32" xfId="0" applyNumberFormat="1" applyFont="1" applyFill="1" applyBorder="1" applyAlignment="1">
      <alignment horizontal="center" vertical="center" wrapText="1"/>
    </xf>
    <xf numFmtId="169" fontId="38" fillId="0" borderId="32" xfId="24613" applyNumberFormat="1" applyFont="1" applyBorder="1" applyAlignment="1">
      <alignment horizontal="center" vertical="center"/>
    </xf>
    <xf numFmtId="170" fontId="38" fillId="0" borderId="32" xfId="24614" applyNumberFormat="1" applyFont="1" applyBorder="1" applyAlignment="1">
      <alignment horizontal="center" vertical="center"/>
    </xf>
    <xf numFmtId="0" fontId="64" fillId="0" borderId="41" xfId="0" applyFont="1" applyBorder="1" applyAlignment="1">
      <alignment horizontal="left"/>
    </xf>
    <xf numFmtId="2" fontId="67" fillId="0" borderId="12" xfId="0" applyNumberFormat="1" applyFont="1" applyBorder="1" applyAlignment="1">
      <alignment horizontal="center" vertical="top"/>
    </xf>
    <xf numFmtId="165" fontId="67" fillId="0" borderId="0" xfId="0" applyNumberFormat="1" applyFont="1"/>
    <xf numFmtId="0" fontId="0" fillId="0" borderId="0" xfId="24615" applyFont="1"/>
    <xf numFmtId="169" fontId="53" fillId="0" borderId="21" xfId="24615" applyNumberFormat="1" applyFont="1" applyBorder="1" applyAlignment="1">
      <alignment horizontal="center" vertical="center"/>
    </xf>
    <xf numFmtId="0" fontId="2" fillId="0" borderId="21" xfId="24615" applyFont="1" applyBorder="1" applyAlignment="1">
      <alignment horizontal="center" vertical="center"/>
    </xf>
    <xf numFmtId="165" fontId="2" fillId="0" borderId="21" xfId="24615" applyNumberFormat="1" applyFont="1" applyBorder="1" applyAlignment="1">
      <alignment horizontal="center" vertical="center"/>
    </xf>
    <xf numFmtId="0" fontId="2" fillId="0" borderId="34" xfId="24615" applyFont="1" applyBorder="1" applyAlignment="1">
      <alignment horizontal="center" vertical="center"/>
    </xf>
    <xf numFmtId="0" fontId="2" fillId="0" borderId="13" xfId="24615" applyFont="1" applyBorder="1" applyAlignment="1">
      <alignment horizontal="center" vertical="center"/>
    </xf>
    <xf numFmtId="0" fontId="2" fillId="0" borderId="21" xfId="0" applyFont="1" applyBorder="1" applyAlignment="1">
      <alignment horizontal="center"/>
    </xf>
    <xf numFmtId="0" fontId="2" fillId="0" borderId="40" xfId="24615" applyFont="1" applyBorder="1" applyAlignment="1">
      <alignment horizontal="center" vertical="center"/>
    </xf>
    <xf numFmtId="2" fontId="81" fillId="0" borderId="13" xfId="0" applyNumberFormat="1" applyFont="1" applyBorder="1" applyAlignment="1">
      <alignment horizontal="center" vertical="center"/>
    </xf>
    <xf numFmtId="165" fontId="52" fillId="0" borderId="0" xfId="0" applyNumberFormat="1" applyFont="1" applyAlignment="1">
      <alignment horizontal="left" vertical="center"/>
    </xf>
    <xf numFmtId="0" fontId="70" fillId="0" borderId="0" xfId="0" applyFont="1" applyAlignment="1">
      <alignment horizontal="center" vertical="center"/>
    </xf>
    <xf numFmtId="0" fontId="66" fillId="0" borderId="48" xfId="0" applyFont="1" applyBorder="1" applyAlignment="1">
      <alignment horizontal="left" vertical="top" wrapText="1"/>
    </xf>
    <xf numFmtId="165" fontId="66" fillId="0" borderId="26" xfId="0" applyNumberFormat="1" applyFont="1" applyBorder="1" applyAlignment="1">
      <alignment horizontal="left" vertical="top" wrapText="1"/>
    </xf>
    <xf numFmtId="165" fontId="66" fillId="0" borderId="25" xfId="0" applyNumberFormat="1" applyFont="1" applyBorder="1" applyAlignment="1">
      <alignment horizontal="center" vertical="top" wrapText="1"/>
    </xf>
    <xf numFmtId="165" fontId="66" fillId="0" borderId="28" xfId="0" applyNumberFormat="1" applyFont="1" applyBorder="1" applyAlignment="1">
      <alignment horizontal="center" vertical="top" wrapText="1"/>
    </xf>
    <xf numFmtId="2" fontId="66" fillId="0" borderId="28" xfId="0" applyNumberFormat="1" applyFont="1" applyBorder="1" applyAlignment="1">
      <alignment horizontal="center" vertical="top" wrapText="1"/>
    </xf>
    <xf numFmtId="166" fontId="66" fillId="0" borderId="28" xfId="0" applyNumberFormat="1" applyFont="1" applyBorder="1" applyAlignment="1">
      <alignment horizontal="center" vertical="top" wrapText="1"/>
    </xf>
    <xf numFmtId="2" fontId="66" fillId="0" borderId="21" xfId="0" applyNumberFormat="1" applyFont="1" applyBorder="1" applyAlignment="1">
      <alignment horizontal="center" vertical="top" wrapText="1"/>
    </xf>
    <xf numFmtId="2" fontId="64" fillId="0" borderId="25" xfId="0" applyNumberFormat="1" applyFont="1" applyBorder="1" applyAlignment="1">
      <alignment horizontal="center" vertical="top" wrapText="1"/>
    </xf>
    <xf numFmtId="165" fontId="120" fillId="0" borderId="47" xfId="0" applyNumberFormat="1" applyFont="1" applyBorder="1" applyAlignment="1">
      <alignment horizontal="left" vertical="center"/>
    </xf>
    <xf numFmtId="166" fontId="64" fillId="0" borderId="22" xfId="0" applyNumberFormat="1" applyFont="1" applyBorder="1"/>
    <xf numFmtId="0" fontId="64" fillId="0" borderId="12" xfId="0" applyFont="1" applyBorder="1" applyAlignment="1">
      <alignment horizontal="left"/>
    </xf>
    <xf numFmtId="0" fontId="64" fillId="0" borderId="13" xfId="0" applyFont="1" applyBorder="1" applyAlignment="1">
      <alignment horizontal="center" vertical="top"/>
    </xf>
    <xf numFmtId="165" fontId="64" fillId="0" borderId="13" xfId="0" applyNumberFormat="1" applyFont="1" applyBorder="1" applyAlignment="1">
      <alignment horizontal="center" vertical="top"/>
    </xf>
    <xf numFmtId="165" fontId="64" fillId="0" borderId="13" xfId="0" applyNumberFormat="1" applyFont="1" applyBorder="1" applyAlignment="1">
      <alignment horizontal="center" vertical="center"/>
    </xf>
    <xf numFmtId="0" fontId="64" fillId="0" borderId="13" xfId="0" applyFont="1" applyBorder="1" applyAlignment="1">
      <alignment horizontal="left"/>
    </xf>
    <xf numFmtId="1" fontId="64" fillId="0" borderId="13" xfId="0" applyNumberFormat="1" applyFont="1" applyBorder="1" applyAlignment="1">
      <alignment horizontal="center"/>
    </xf>
    <xf numFmtId="165" fontId="81" fillId="0" borderId="10" xfId="0" applyNumberFormat="1" applyFont="1" applyBorder="1" applyAlignment="1">
      <alignment horizontal="left"/>
    </xf>
    <xf numFmtId="0" fontId="64" fillId="0" borderId="12" xfId="0" applyFont="1" applyBorder="1" applyAlignment="1">
      <alignment horizontal="center"/>
    </xf>
    <xf numFmtId="165" fontId="120" fillId="0" borderId="47" xfId="0" applyNumberFormat="1" applyFont="1" applyBorder="1" applyAlignment="1">
      <alignment vertical="center"/>
    </xf>
    <xf numFmtId="0" fontId="81" fillId="0" borderId="41" xfId="0" applyFont="1" applyBorder="1" applyAlignment="1">
      <alignment horizontal="left"/>
    </xf>
    <xf numFmtId="165" fontId="81" fillId="0" borderId="13" xfId="0" applyNumberFormat="1" applyFont="1" applyBorder="1" applyAlignment="1">
      <alignment horizontal="left"/>
    </xf>
    <xf numFmtId="1" fontId="81" fillId="0" borderId="13" xfId="0" applyNumberFormat="1" applyFont="1" applyBorder="1" applyAlignment="1">
      <alignment horizontal="center"/>
    </xf>
    <xf numFmtId="165" fontId="81" fillId="0" borderId="13" xfId="0" applyNumberFormat="1" applyFont="1" applyBorder="1" applyAlignment="1">
      <alignment horizontal="center"/>
    </xf>
    <xf numFmtId="9" fontId="81" fillId="0" borderId="22" xfId="0" applyNumberFormat="1" applyFont="1" applyBorder="1" applyAlignment="1">
      <alignment horizontal="center"/>
    </xf>
    <xf numFmtId="165" fontId="81" fillId="0" borderId="22" xfId="0" applyNumberFormat="1" applyFont="1" applyBorder="1" applyAlignment="1">
      <alignment horizontal="center"/>
    </xf>
    <xf numFmtId="1" fontId="81" fillId="0" borderId="12" xfId="0" applyNumberFormat="1" applyFont="1" applyBorder="1" applyAlignment="1">
      <alignment horizontal="center"/>
    </xf>
    <xf numFmtId="0" fontId="81" fillId="0" borderId="12" xfId="0" applyFont="1" applyBorder="1" applyAlignment="1">
      <alignment horizontal="center"/>
    </xf>
    <xf numFmtId="0" fontId="81" fillId="0" borderId="13" xfId="0" applyFont="1" applyBorder="1" applyAlignment="1">
      <alignment horizontal="center"/>
    </xf>
    <xf numFmtId="0" fontId="81" fillId="0" borderId="41" xfId="0" applyFont="1" applyBorder="1" applyAlignment="1">
      <alignment horizontal="left" vertical="center"/>
    </xf>
    <xf numFmtId="165" fontId="81" fillId="0" borderId="10" xfId="0" applyNumberFormat="1" applyFont="1" applyBorder="1" applyAlignment="1">
      <alignment horizontal="left" vertical="center" wrapText="1"/>
    </xf>
    <xf numFmtId="1" fontId="81" fillId="0" borderId="13" xfId="0" applyNumberFormat="1" applyFont="1" applyBorder="1" applyAlignment="1">
      <alignment horizontal="center" vertical="center" wrapText="1"/>
    </xf>
    <xf numFmtId="0" fontId="81" fillId="0" borderId="12" xfId="0" applyFont="1" applyBorder="1" applyAlignment="1">
      <alignment horizontal="center" vertical="center" wrapText="1"/>
    </xf>
    <xf numFmtId="165" fontId="64" fillId="0" borderId="13" xfId="0" applyNumberFormat="1" applyFont="1" applyBorder="1" applyAlignment="1">
      <alignment horizontal="center" vertical="center" wrapText="1"/>
    </xf>
    <xf numFmtId="9" fontId="81" fillId="0" borderId="22" xfId="0" applyNumberFormat="1" applyFont="1" applyBorder="1" applyAlignment="1">
      <alignment horizontal="center" vertical="center" wrapText="1"/>
    </xf>
    <xf numFmtId="165" fontId="81" fillId="0" borderId="22" xfId="0" applyNumberFormat="1" applyFont="1" applyBorder="1" applyAlignment="1">
      <alignment horizontal="center" vertical="center" wrapText="1"/>
    </xf>
    <xf numFmtId="165" fontId="64" fillId="0" borderId="22" xfId="0" applyNumberFormat="1" applyFont="1" applyBorder="1" applyAlignment="1">
      <alignment vertical="center" wrapText="1"/>
    </xf>
    <xf numFmtId="165" fontId="64" fillId="0" borderId="13" xfId="0" applyNumberFormat="1" applyFont="1" applyBorder="1" applyAlignment="1">
      <alignment vertical="center" wrapText="1"/>
    </xf>
    <xf numFmtId="165" fontId="64" fillId="0" borderId="12" xfId="0" applyNumberFormat="1" applyFont="1" applyBorder="1" applyAlignment="1">
      <alignment horizontal="center"/>
    </xf>
    <xf numFmtId="0" fontId="81" fillId="0" borderId="13" xfId="0" applyFont="1" applyBorder="1" applyAlignment="1">
      <alignment horizontal="left"/>
    </xf>
    <xf numFmtId="165" fontId="81" fillId="0" borderId="13" xfId="0" applyNumberFormat="1" applyFont="1" applyBorder="1" applyAlignment="1">
      <alignment horizontal="center" vertical="center"/>
    </xf>
    <xf numFmtId="165" fontId="81" fillId="0" borderId="22" xfId="0" applyNumberFormat="1" applyFont="1" applyBorder="1"/>
    <xf numFmtId="165" fontId="81" fillId="0" borderId="13" xfId="0" applyNumberFormat="1" applyFont="1" applyBorder="1"/>
    <xf numFmtId="165" fontId="81" fillId="0" borderId="12" xfId="0" applyNumberFormat="1" applyFont="1" applyBorder="1" applyAlignment="1">
      <alignment horizontal="center" vertical="center"/>
    </xf>
    <xf numFmtId="165" fontId="81" fillId="0" borderId="22" xfId="0" applyNumberFormat="1" applyFont="1" applyBorder="1" applyAlignment="1">
      <alignment horizontal="center" vertical="center"/>
    </xf>
    <xf numFmtId="9" fontId="81" fillId="0" borderId="22" xfId="0" applyNumberFormat="1" applyFont="1" applyBorder="1" applyAlignment="1">
      <alignment horizontal="center" vertical="center"/>
    </xf>
    <xf numFmtId="0" fontId="81" fillId="0" borderId="13" xfId="0" applyFont="1" applyBorder="1" applyAlignment="1">
      <alignment horizontal="center" vertical="center"/>
    </xf>
    <xf numFmtId="0" fontId="64" fillId="0" borderId="13" xfId="0" applyFont="1" applyBorder="1" applyAlignment="1">
      <alignment horizontal="center" vertical="center"/>
    </xf>
    <xf numFmtId="165" fontId="64" fillId="0" borderId="12" xfId="0" applyNumberFormat="1" applyFont="1" applyBorder="1" applyAlignment="1">
      <alignment horizontal="center" vertical="center"/>
    </xf>
    <xf numFmtId="9" fontId="64" fillId="0" borderId="22" xfId="0" applyNumberFormat="1" applyFont="1" applyBorder="1" applyAlignment="1">
      <alignment horizontal="center" vertical="center"/>
    </xf>
    <xf numFmtId="0" fontId="64" fillId="0" borderId="22" xfId="0" applyFont="1" applyBorder="1" applyAlignment="1">
      <alignment horizontal="center"/>
    </xf>
    <xf numFmtId="0" fontId="120" fillId="0" borderId="47" xfId="0" applyFont="1" applyBorder="1" applyAlignment="1">
      <alignment vertical="center" wrapText="1"/>
    </xf>
    <xf numFmtId="166" fontId="64" fillId="0" borderId="22" xfId="0" applyNumberFormat="1" applyFont="1" applyBorder="1" applyAlignment="1">
      <alignment horizontal="center"/>
    </xf>
    <xf numFmtId="165" fontId="120" fillId="0" borderId="47" xfId="0" applyNumberFormat="1" applyFont="1" applyBorder="1" applyAlignment="1">
      <alignment vertical="center" wrapText="1"/>
    </xf>
    <xf numFmtId="1" fontId="64" fillId="0" borderId="13" xfId="0" applyNumberFormat="1" applyFont="1" applyBorder="1" applyAlignment="1">
      <alignment horizontal="center" vertical="center"/>
    </xf>
    <xf numFmtId="0" fontId="64" fillId="0" borderId="22" xfId="0" applyFont="1" applyBorder="1" applyAlignment="1">
      <alignment horizontal="center" vertical="center"/>
    </xf>
    <xf numFmtId="166" fontId="64" fillId="0" borderId="22" xfId="0" applyNumberFormat="1" applyFont="1" applyBorder="1" applyAlignment="1">
      <alignment horizontal="center" vertical="center"/>
    </xf>
    <xf numFmtId="165" fontId="64" fillId="0" borderId="22" xfId="0" applyNumberFormat="1" applyFont="1" applyBorder="1" applyAlignment="1">
      <alignment vertical="center"/>
    </xf>
    <xf numFmtId="165" fontId="64" fillId="0" borderId="13" xfId="0" applyNumberFormat="1" applyFont="1" applyBorder="1" applyAlignment="1">
      <alignment vertical="center"/>
    </xf>
    <xf numFmtId="0" fontId="64" fillId="0" borderId="37" xfId="24615" applyFont="1" applyBorder="1" applyAlignment="1">
      <alignment horizontal="left"/>
    </xf>
    <xf numFmtId="0" fontId="64" fillId="0" borderId="13" xfId="24615" applyFont="1" applyBorder="1" applyAlignment="1">
      <alignment horizontal="left"/>
    </xf>
    <xf numFmtId="1" fontId="64" fillId="0" borderId="13" xfId="24615" applyNumberFormat="1" applyFont="1" applyBorder="1" applyAlignment="1">
      <alignment horizontal="center"/>
    </xf>
    <xf numFmtId="165" fontId="64" fillId="0" borderId="22" xfId="24615" applyNumberFormat="1" applyFont="1" applyBorder="1" applyAlignment="1">
      <alignment horizontal="center"/>
    </xf>
    <xf numFmtId="0" fontId="64" fillId="0" borderId="13" xfId="24615" applyFont="1" applyBorder="1" applyAlignment="1">
      <alignment horizontal="center" vertical="center"/>
    </xf>
    <xf numFmtId="165" fontId="81" fillId="0" borderId="22" xfId="24615" applyNumberFormat="1" applyFont="1" applyBorder="1" applyAlignment="1">
      <alignment horizontal="center" vertical="center"/>
    </xf>
    <xf numFmtId="9" fontId="64" fillId="0" borderId="22" xfId="24615" applyNumberFormat="1" applyFont="1" applyBorder="1" applyAlignment="1">
      <alignment horizontal="center"/>
    </xf>
    <xf numFmtId="0" fontId="81" fillId="0" borderId="13" xfId="24615" applyFont="1" applyBorder="1" applyAlignment="1">
      <alignment horizontal="left"/>
    </xf>
    <xf numFmtId="165" fontId="64" fillId="0" borderId="22" xfId="24615" applyNumberFormat="1" applyFont="1" applyBorder="1" applyAlignment="1">
      <alignment horizontal="center" vertical="center"/>
    </xf>
    <xf numFmtId="0" fontId="64" fillId="0" borderId="13" xfId="24615" applyFont="1" applyBorder="1" applyAlignment="1">
      <alignment horizontal="center"/>
    </xf>
    <xf numFmtId="0" fontId="64" fillId="0" borderId="12" xfId="24615" applyFont="1" applyBorder="1" applyAlignment="1">
      <alignment horizontal="center" vertical="center"/>
    </xf>
    <xf numFmtId="49" fontId="64" fillId="0" borderId="41" xfId="0" applyNumberFormat="1" applyFont="1" applyBorder="1" applyAlignment="1">
      <alignment horizontal="left"/>
    </xf>
    <xf numFmtId="49" fontId="64" fillId="0" borderId="13" xfId="0" applyNumberFormat="1" applyFont="1" applyBorder="1" applyAlignment="1">
      <alignment horizontal="center" vertical="center"/>
    </xf>
    <xf numFmtId="49" fontId="64" fillId="0" borderId="22" xfId="0" applyNumberFormat="1" applyFont="1" applyBorder="1" applyAlignment="1">
      <alignment horizontal="center" vertical="center"/>
    </xf>
    <xf numFmtId="0" fontId="64" fillId="0" borderId="12" xfId="24615" applyFont="1" applyBorder="1" applyAlignment="1">
      <alignment horizontal="center"/>
    </xf>
    <xf numFmtId="166" fontId="81" fillId="0" borderId="22" xfId="0" applyNumberFormat="1" applyFont="1" applyBorder="1" applyAlignment="1">
      <alignment horizontal="center"/>
    </xf>
    <xf numFmtId="0" fontId="64" fillId="0" borderId="37" xfId="0" applyFont="1" applyBorder="1" applyAlignment="1">
      <alignment horizontal="left"/>
    </xf>
    <xf numFmtId="0" fontId="64" fillId="0" borderId="49" xfId="0" applyFont="1" applyBorder="1" applyAlignment="1">
      <alignment horizontal="left"/>
    </xf>
    <xf numFmtId="0" fontId="120" fillId="0" borderId="47" xfId="0" applyFont="1" applyBorder="1" applyAlignment="1">
      <alignment horizontal="left" vertical="center" wrapText="1"/>
    </xf>
    <xf numFmtId="0" fontId="81" fillId="0" borderId="22" xfId="0" applyFont="1" applyBorder="1" applyAlignment="1">
      <alignment horizontal="center"/>
    </xf>
    <xf numFmtId="0" fontId="120" fillId="0" borderId="41" xfId="0" applyFont="1" applyBorder="1" applyAlignment="1">
      <alignment horizontal="left" vertical="center"/>
    </xf>
    <xf numFmtId="0" fontId="64" fillId="0" borderId="41" xfId="0" applyFont="1" applyBorder="1" applyAlignment="1">
      <alignment horizontal="left" vertical="center"/>
    </xf>
    <xf numFmtId="0" fontId="81" fillId="0" borderId="13" xfId="0" applyFont="1" applyBorder="1" applyAlignment="1">
      <alignment horizontal="left" wrapText="1"/>
    </xf>
    <xf numFmtId="167" fontId="64" fillId="0" borderId="22" xfId="0" applyNumberFormat="1" applyFont="1" applyBorder="1" applyAlignment="1">
      <alignment horizontal="center"/>
    </xf>
    <xf numFmtId="0" fontId="64" fillId="0" borderId="13" xfId="0" applyFont="1" applyBorder="1" applyAlignment="1">
      <alignment horizontal="left" wrapText="1"/>
    </xf>
    <xf numFmtId="0" fontId="121" fillId="0" borderId="13" xfId="0" applyFont="1" applyBorder="1" applyAlignment="1">
      <alignment horizontal="left" wrapText="1"/>
    </xf>
    <xf numFmtId="0" fontId="64" fillId="0" borderId="12" xfId="0" applyFont="1" applyBorder="1" applyAlignment="1">
      <alignment horizontal="center" vertical="center"/>
    </xf>
    <xf numFmtId="0" fontId="121" fillId="0" borderId="13" xfId="0" applyFont="1" applyBorder="1" applyAlignment="1">
      <alignment horizontal="center"/>
    </xf>
    <xf numFmtId="0" fontId="81" fillId="0" borderId="22" xfId="0" applyFont="1" applyBorder="1" applyAlignment="1">
      <alignment horizontal="left"/>
    </xf>
    <xf numFmtId="0" fontId="66" fillId="0" borderId="13" xfId="0" applyFont="1" applyBorder="1" applyAlignment="1">
      <alignment horizontal="left"/>
    </xf>
    <xf numFmtId="1" fontId="66" fillId="0" borderId="13" xfId="0" applyNumberFormat="1" applyFont="1" applyBorder="1" applyAlignment="1">
      <alignment horizontal="center"/>
    </xf>
    <xf numFmtId="9" fontId="66" fillId="0" borderId="22" xfId="0" applyNumberFormat="1" applyFont="1" applyBorder="1" applyAlignment="1">
      <alignment horizontal="center"/>
    </xf>
    <xf numFmtId="0" fontId="64" fillId="0" borderId="13" xfId="0" applyFont="1" applyBorder="1" applyAlignment="1">
      <alignment horizontal="left" vertical="center" wrapText="1"/>
    </xf>
    <xf numFmtId="0" fontId="64" fillId="0" borderId="0" xfId="0" applyFont="1" applyAlignment="1">
      <alignment horizontal="left"/>
    </xf>
    <xf numFmtId="0" fontId="81" fillId="0" borderId="0" xfId="0" applyFont="1" applyAlignment="1">
      <alignment horizontal="left"/>
    </xf>
    <xf numFmtId="0" fontId="64" fillId="0" borderId="0" xfId="0" applyFont="1" applyAlignment="1">
      <alignment horizontal="left" vertical="center"/>
    </xf>
    <xf numFmtId="165" fontId="64" fillId="0" borderId="0" xfId="0" applyNumberFormat="1" applyFont="1" applyAlignment="1">
      <alignment horizontal="center"/>
    </xf>
    <xf numFmtId="0" fontId="81" fillId="0" borderId="0" xfId="0" applyFont="1" applyAlignment="1">
      <alignment horizontal="center"/>
    </xf>
    <xf numFmtId="1" fontId="81" fillId="0" borderId="0" xfId="0" applyNumberFormat="1" applyFont="1" applyAlignment="1">
      <alignment horizontal="center" vertical="center"/>
    </xf>
    <xf numFmtId="1" fontId="81" fillId="0" borderId="0" xfId="0" applyNumberFormat="1" applyFont="1" applyAlignment="1">
      <alignment horizontal="center"/>
    </xf>
    <xf numFmtId="1" fontId="64" fillId="0" borderId="0" xfId="0" applyNumberFormat="1" applyFont="1" applyAlignment="1">
      <alignment horizontal="center"/>
    </xf>
    <xf numFmtId="165" fontId="64" fillId="0" borderId="0" xfId="0" applyNumberFormat="1" applyFont="1" applyAlignment="1">
      <alignment horizontal="center" vertical="center"/>
    </xf>
    <xf numFmtId="165" fontId="81" fillId="0" borderId="0" xfId="0" applyNumberFormat="1" applyFont="1" applyAlignment="1">
      <alignment horizontal="center" vertical="center"/>
    </xf>
    <xf numFmtId="165" fontId="81" fillId="0" borderId="0" xfId="0" applyNumberFormat="1" applyFont="1" applyAlignment="1">
      <alignment horizontal="center"/>
    </xf>
    <xf numFmtId="165" fontId="64" fillId="0" borderId="0" xfId="24615" applyNumberFormat="1" applyFont="1" applyAlignment="1">
      <alignment horizontal="center"/>
    </xf>
    <xf numFmtId="165" fontId="64" fillId="0" borderId="0" xfId="0" applyNumberFormat="1" applyFont="1" applyAlignment="1">
      <alignment horizontal="center" vertical="top"/>
    </xf>
    <xf numFmtId="0" fontId="64" fillId="0" borderId="0" xfId="0" applyFont="1" applyAlignment="1">
      <alignment horizontal="center" vertical="center"/>
    </xf>
    <xf numFmtId="165" fontId="70" fillId="0" borderId="54" xfId="0" applyNumberFormat="1" applyFont="1" applyBorder="1" applyAlignment="1">
      <alignment horizontal="left"/>
    </xf>
    <xf numFmtId="165" fontId="70" fillId="0" borderId="12" xfId="0" applyNumberFormat="1" applyFont="1" applyBorder="1" applyAlignment="1">
      <alignment horizontal="center" vertical="center"/>
    </xf>
    <xf numFmtId="165" fontId="66" fillId="0" borderId="13" xfId="0" applyNumberFormat="1" applyFont="1" applyBorder="1" applyAlignment="1">
      <alignment horizontal="center" vertical="center"/>
    </xf>
    <xf numFmtId="10" fontId="66" fillId="0" borderId="22" xfId="0" applyNumberFormat="1" applyFont="1" applyBorder="1" applyAlignment="1">
      <alignment horizontal="center" vertical="center"/>
    </xf>
    <xf numFmtId="165" fontId="66" fillId="0" borderId="22" xfId="0" applyNumberFormat="1" applyFont="1" applyBorder="1" applyAlignment="1">
      <alignment horizontal="center" vertical="center"/>
    </xf>
    <xf numFmtId="165" fontId="66" fillId="0" borderId="13" xfId="0" applyNumberFormat="1" applyFont="1" applyBorder="1" applyAlignment="1">
      <alignment horizontal="center"/>
    </xf>
    <xf numFmtId="10" fontId="66" fillId="0" borderId="0" xfId="0" applyNumberFormat="1" applyFont="1" applyAlignment="1">
      <alignment horizontal="center"/>
    </xf>
    <xf numFmtId="165" fontId="66" fillId="0" borderId="13" xfId="0" applyNumberFormat="1" applyFont="1" applyBorder="1" applyAlignment="1">
      <alignment horizontal="center" vertical="top"/>
    </xf>
    <xf numFmtId="10" fontId="64" fillId="0" borderId="22" xfId="0" applyNumberFormat="1" applyFont="1" applyBorder="1" applyAlignment="1">
      <alignment horizontal="center"/>
    </xf>
    <xf numFmtId="165" fontId="96" fillId="0" borderId="13" xfId="0" applyNumberFormat="1" applyFont="1" applyBorder="1" applyAlignment="1">
      <alignment horizontal="center" vertical="center"/>
    </xf>
    <xf numFmtId="165" fontId="97" fillId="0" borderId="13" xfId="0" applyNumberFormat="1" applyFont="1" applyBorder="1"/>
    <xf numFmtId="0" fontId="70" fillId="0" borderId="22" xfId="0" applyFont="1" applyBorder="1" applyAlignment="1">
      <alignment horizontal="center"/>
    </xf>
    <xf numFmtId="165" fontId="70" fillId="0" borderId="12" xfId="0" applyNumberFormat="1" applyFont="1" applyBorder="1" applyAlignment="1">
      <alignment horizontal="center" vertical="top"/>
    </xf>
    <xf numFmtId="165" fontId="49" fillId="0" borderId="13" xfId="0" applyNumberFormat="1" applyFont="1" applyBorder="1"/>
    <xf numFmtId="165" fontId="49" fillId="0" borderId="24" xfId="0" applyNumberFormat="1" applyFont="1" applyBorder="1"/>
    <xf numFmtId="2" fontId="123" fillId="0" borderId="30" xfId="0" applyNumberFormat="1" applyFont="1" applyBorder="1" applyAlignment="1">
      <alignment horizontal="center"/>
    </xf>
    <xf numFmtId="165" fontId="113" fillId="0" borderId="22" xfId="0" applyNumberFormat="1" applyFont="1" applyBorder="1" applyAlignment="1">
      <alignment horizontal="center" vertical="top"/>
    </xf>
    <xf numFmtId="165" fontId="124" fillId="0" borderId="22" xfId="0" applyNumberFormat="1" applyFont="1" applyBorder="1" applyAlignment="1">
      <alignment horizontal="center" vertical="top"/>
    </xf>
    <xf numFmtId="165" fontId="58" fillId="0" borderId="13" xfId="0" applyNumberFormat="1" applyFont="1" applyBorder="1" applyAlignment="1">
      <alignment horizontal="center" vertical="center"/>
    </xf>
    <xf numFmtId="165" fontId="69" fillId="0" borderId="13" xfId="0" applyNumberFormat="1" applyFont="1" applyBorder="1" applyAlignment="1">
      <alignment horizontal="center" vertical="center"/>
    </xf>
    <xf numFmtId="165" fontId="69" fillId="0" borderId="13" xfId="0" applyNumberFormat="1" applyFont="1" applyBorder="1"/>
    <xf numFmtId="165" fontId="58" fillId="0" borderId="0" xfId="24615" applyNumberFormat="1" applyFont="1"/>
    <xf numFmtId="165" fontId="49" fillId="0" borderId="24" xfId="0" applyNumberFormat="1" applyFont="1" applyBorder="1" applyAlignment="1">
      <alignment horizontal="center"/>
    </xf>
    <xf numFmtId="2" fontId="125" fillId="0" borderId="25" xfId="0" applyNumberFormat="1" applyFont="1" applyBorder="1" applyAlignment="1">
      <alignment horizontal="center"/>
    </xf>
    <xf numFmtId="165" fontId="69" fillId="0" borderId="13" xfId="0" applyNumberFormat="1" applyFont="1" applyBorder="1" applyAlignment="1">
      <alignment horizontal="center"/>
    </xf>
    <xf numFmtId="165" fontId="126" fillId="0" borderId="13" xfId="0" applyNumberFormat="1" applyFont="1" applyBorder="1"/>
    <xf numFmtId="165" fontId="127" fillId="0" borderId="21" xfId="0" applyNumberFormat="1" applyFont="1" applyBorder="1" applyAlignment="1">
      <alignment horizontal="center"/>
    </xf>
    <xf numFmtId="165" fontId="128" fillId="0" borderId="24" xfId="0" applyNumberFormat="1" applyFont="1" applyBorder="1" applyAlignment="1">
      <alignment horizontal="center" vertical="top" wrapText="1"/>
    </xf>
    <xf numFmtId="165" fontId="126" fillId="0" borderId="13" xfId="0" applyNumberFormat="1" applyFont="1" applyBorder="1" applyAlignment="1">
      <alignment horizontal="center" vertical="center"/>
    </xf>
    <xf numFmtId="0" fontId="129" fillId="0" borderId="0" xfId="0" applyFont="1"/>
    <xf numFmtId="165" fontId="64" fillId="0" borderId="21" xfId="0" applyNumberFormat="1" applyFont="1" applyBorder="1"/>
    <xf numFmtId="165" fontId="64" fillId="0" borderId="32" xfId="0" applyNumberFormat="1" applyFont="1" applyBorder="1"/>
    <xf numFmtId="0" fontId="122" fillId="0" borderId="0" xfId="0" applyFont="1"/>
    <xf numFmtId="0" fontId="109" fillId="0" borderId="63" xfId="0" applyFont="1" applyBorder="1" applyAlignment="1">
      <alignment horizontal="center" vertical="center" wrapText="1"/>
    </xf>
    <xf numFmtId="0" fontId="110" fillId="0" borderId="63" xfId="0" applyFont="1" applyBorder="1" applyAlignment="1">
      <alignment horizontal="center" vertical="center" wrapText="1"/>
    </xf>
    <xf numFmtId="0" fontId="108" fillId="0" borderId="63" xfId="0" applyFont="1" applyBorder="1" applyAlignment="1">
      <alignment horizontal="center" vertical="center" wrapText="1"/>
    </xf>
    <xf numFmtId="0" fontId="100" fillId="0" borderId="63" xfId="0" applyFont="1" applyBorder="1" applyAlignment="1">
      <alignment horizontal="center" vertical="center" wrapText="1"/>
    </xf>
    <xf numFmtId="0" fontId="86" fillId="0" borderId="63" xfId="0" applyFont="1" applyBorder="1" applyAlignment="1">
      <alignment horizontal="center" vertical="center" wrapText="1"/>
    </xf>
    <xf numFmtId="0" fontId="86" fillId="0" borderId="66" xfId="0" applyFont="1" applyBorder="1" applyAlignment="1">
      <alignment horizontal="center" vertical="center" wrapText="1"/>
    </xf>
    <xf numFmtId="2" fontId="108" fillId="0" borderId="63" xfId="0" applyNumberFormat="1" applyFont="1" applyBorder="1" applyAlignment="1">
      <alignment horizontal="center" vertical="center" wrapText="1"/>
    </xf>
    <xf numFmtId="0" fontId="86" fillId="0" borderId="69" xfId="0" applyFont="1" applyBorder="1" applyAlignment="1">
      <alignment horizontal="center" vertical="center" wrapText="1"/>
    </xf>
    <xf numFmtId="0" fontId="86" fillId="0" borderId="61" xfId="0" applyFont="1" applyBorder="1" applyAlignment="1">
      <alignment horizontal="center" vertical="center" wrapText="1"/>
    </xf>
    <xf numFmtId="0" fontId="109" fillId="0" borderId="72" xfId="0" applyFont="1" applyBorder="1" applyAlignment="1">
      <alignment horizontal="center" vertical="center" wrapText="1"/>
    </xf>
    <xf numFmtId="0" fontId="109" fillId="0" borderId="66" xfId="0" applyFont="1" applyBorder="1" applyAlignment="1">
      <alignment horizontal="center" vertical="center" wrapText="1"/>
    </xf>
    <xf numFmtId="165" fontId="88" fillId="51" borderId="73" xfId="0" applyNumberFormat="1" applyFont="1" applyFill="1" applyBorder="1" applyAlignment="1">
      <alignment horizontal="center" vertical="center"/>
    </xf>
    <xf numFmtId="165" fontId="88" fillId="51" borderId="74" xfId="0" applyNumberFormat="1" applyFont="1" applyFill="1" applyBorder="1" applyAlignment="1">
      <alignment horizontal="center" vertical="center"/>
    </xf>
    <xf numFmtId="2" fontId="88" fillId="51" borderId="75" xfId="0" applyNumberFormat="1" applyFont="1" applyFill="1" applyBorder="1" applyAlignment="1">
      <alignment horizontal="center" vertical="center" wrapText="1"/>
    </xf>
    <xf numFmtId="0" fontId="109" fillId="0" borderId="61" xfId="0" applyFont="1" applyBorder="1" applyAlignment="1">
      <alignment horizontal="center" vertical="center" wrapText="1"/>
    </xf>
    <xf numFmtId="0" fontId="0" fillId="0" borderId="76" xfId="0" applyBorder="1"/>
    <xf numFmtId="0" fontId="0" fillId="0" borderId="77" xfId="0" applyBorder="1"/>
    <xf numFmtId="165" fontId="118" fillId="0" borderId="13" xfId="0" applyNumberFormat="1" applyFont="1" applyBorder="1" applyAlignment="1">
      <alignment horizontal="center" vertical="top"/>
    </xf>
    <xf numFmtId="165" fontId="56" fillId="0" borderId="22" xfId="0" applyNumberFormat="1" applyFont="1" applyBorder="1" applyAlignment="1">
      <alignment horizontal="center"/>
    </xf>
    <xf numFmtId="165" fontId="118" fillId="0" borderId="22" xfId="0" applyNumberFormat="1" applyFont="1" applyBorder="1" applyAlignment="1">
      <alignment horizontal="center"/>
    </xf>
    <xf numFmtId="165" fontId="116" fillId="0" borderId="13" xfId="0" applyNumberFormat="1" applyFont="1" applyBorder="1" applyAlignment="1">
      <alignment horizontal="center"/>
    </xf>
    <xf numFmtId="0" fontId="64" fillId="56" borderId="41" xfId="0" applyFont="1" applyFill="1" applyBorder="1" applyAlignment="1">
      <alignment horizontal="left"/>
    </xf>
    <xf numFmtId="0" fontId="64" fillId="56" borderId="13" xfId="0" applyFont="1" applyFill="1" applyBorder="1" applyAlignment="1">
      <alignment horizontal="left"/>
    </xf>
    <xf numFmtId="1" fontId="64" fillId="56" borderId="13" xfId="0" applyNumberFormat="1" applyFont="1" applyFill="1" applyBorder="1" applyAlignment="1">
      <alignment horizontal="center"/>
    </xf>
    <xf numFmtId="0" fontId="64" fillId="56" borderId="13" xfId="0" applyFont="1" applyFill="1" applyBorder="1" applyAlignment="1">
      <alignment horizontal="center"/>
    </xf>
    <xf numFmtId="165" fontId="64" fillId="56" borderId="22" xfId="0" applyNumberFormat="1" applyFont="1" applyFill="1" applyBorder="1" applyAlignment="1">
      <alignment horizontal="center"/>
    </xf>
    <xf numFmtId="9" fontId="64" fillId="56" borderId="22" xfId="0" applyNumberFormat="1" applyFont="1" applyFill="1" applyBorder="1" applyAlignment="1">
      <alignment horizontal="center"/>
    </xf>
    <xf numFmtId="165" fontId="64" fillId="56" borderId="22" xfId="0" applyNumberFormat="1" applyFont="1" applyFill="1" applyBorder="1"/>
    <xf numFmtId="165" fontId="64" fillId="56" borderId="13" xfId="0" applyNumberFormat="1" applyFont="1" applyFill="1" applyBorder="1"/>
    <xf numFmtId="165" fontId="64" fillId="56" borderId="13" xfId="0" applyNumberFormat="1" applyFont="1" applyFill="1" applyBorder="1" applyAlignment="1">
      <alignment horizontal="center" vertical="top"/>
    </xf>
    <xf numFmtId="165" fontId="64" fillId="56" borderId="13" xfId="0" applyNumberFormat="1" applyFont="1" applyFill="1" applyBorder="1" applyAlignment="1">
      <alignment horizontal="center"/>
    </xf>
    <xf numFmtId="165" fontId="52" fillId="56" borderId="13" xfId="0" applyNumberFormat="1" applyFont="1" applyFill="1" applyBorder="1" applyAlignment="1">
      <alignment horizontal="center" vertical="center"/>
    </xf>
    <xf numFmtId="2" fontId="68" fillId="56" borderId="13" xfId="0" applyNumberFormat="1" applyFont="1" applyFill="1" applyBorder="1" applyAlignment="1">
      <alignment horizontal="center" vertical="top"/>
    </xf>
    <xf numFmtId="2" fontId="68" fillId="56" borderId="12" xfId="0" applyNumberFormat="1" applyFont="1" applyFill="1" applyBorder="1" applyAlignment="1">
      <alignment horizontal="center" vertical="top"/>
    </xf>
    <xf numFmtId="1" fontId="64" fillId="0" borderId="80" xfId="0" applyNumberFormat="1" applyFont="1" applyBorder="1" applyAlignment="1">
      <alignment horizontal="center"/>
    </xf>
    <xf numFmtId="165" fontId="64" fillId="0" borderId="81" xfId="0" applyNumberFormat="1" applyFont="1" applyBorder="1" applyAlignment="1">
      <alignment horizontal="center"/>
    </xf>
    <xf numFmtId="9" fontId="64" fillId="0" borderId="81" xfId="0" applyNumberFormat="1" applyFont="1" applyBorder="1" applyAlignment="1">
      <alignment horizontal="center"/>
    </xf>
    <xf numFmtId="165" fontId="64" fillId="0" borderId="81" xfId="0" applyNumberFormat="1" applyFont="1" applyBorder="1"/>
    <xf numFmtId="165" fontId="64" fillId="0" borderId="80" xfId="0" applyNumberFormat="1" applyFont="1" applyBorder="1"/>
    <xf numFmtId="165" fontId="64" fillId="0" borderId="80" xfId="0" applyNumberFormat="1" applyFont="1" applyBorder="1" applyAlignment="1">
      <alignment horizontal="center"/>
    </xf>
    <xf numFmtId="165" fontId="126" fillId="0" borderId="80" xfId="0" applyNumberFormat="1" applyFont="1" applyBorder="1" applyAlignment="1">
      <alignment horizontal="center" vertical="center"/>
    </xf>
    <xf numFmtId="2" fontId="81" fillId="0" borderId="80" xfId="0" applyNumberFormat="1" applyFont="1" applyBorder="1" applyAlignment="1">
      <alignment horizontal="center" vertical="top"/>
    </xf>
    <xf numFmtId="2" fontId="81" fillId="0" borderId="82" xfId="0" applyNumberFormat="1" applyFont="1" applyBorder="1" applyAlignment="1">
      <alignment horizontal="center" vertical="top"/>
    </xf>
    <xf numFmtId="0" fontId="130" fillId="0" borderId="80" xfId="0" applyFont="1" applyBorder="1" applyAlignment="1">
      <alignment horizontal="left" vertical="center"/>
    </xf>
    <xf numFmtId="0" fontId="131" fillId="0" borderId="79" xfId="0" applyFont="1" applyBorder="1" applyAlignment="1">
      <alignment horizontal="left" vertical="center"/>
    </xf>
    <xf numFmtId="0" fontId="64" fillId="0" borderId="79" xfId="0" applyFont="1" applyBorder="1" applyAlignment="1">
      <alignment horizontal="left"/>
    </xf>
    <xf numFmtId="0" fontId="64" fillId="0" borderId="80" xfId="0" applyFont="1" applyBorder="1" applyAlignment="1">
      <alignment horizontal="left"/>
    </xf>
    <xf numFmtId="0" fontId="64" fillId="0" borderId="83" xfId="0" applyFont="1" applyBorder="1" applyAlignment="1">
      <alignment horizontal="center"/>
    </xf>
    <xf numFmtId="0" fontId="64" fillId="0" borderId="84" xfId="0" applyFont="1" applyBorder="1" applyAlignment="1">
      <alignment horizontal="center"/>
    </xf>
    <xf numFmtId="165" fontId="64" fillId="0" borderId="80" xfId="0" applyNumberFormat="1" applyFont="1" applyBorder="1" applyAlignment="1">
      <alignment horizontal="center" vertical="top"/>
    </xf>
    <xf numFmtId="2" fontId="81" fillId="0" borderId="84" xfId="0" applyNumberFormat="1" applyFont="1" applyBorder="1" applyAlignment="1">
      <alignment horizontal="center" vertical="top"/>
    </xf>
    <xf numFmtId="165" fontId="52" fillId="0" borderId="80" xfId="0" applyNumberFormat="1" applyFont="1" applyBorder="1" applyAlignment="1">
      <alignment horizontal="center" vertical="center"/>
    </xf>
    <xf numFmtId="2" fontId="68" fillId="0" borderId="80" xfId="0" applyNumberFormat="1" applyFont="1" applyBorder="1" applyAlignment="1">
      <alignment horizontal="center" vertical="top"/>
    </xf>
    <xf numFmtId="2" fontId="68" fillId="0" borderId="84" xfId="0" applyNumberFormat="1" applyFont="1" applyBorder="1" applyAlignment="1">
      <alignment horizontal="center" vertical="top"/>
    </xf>
    <xf numFmtId="165" fontId="38" fillId="0" borderId="83" xfId="0" applyNumberFormat="1" applyFont="1" applyBorder="1"/>
    <xf numFmtId="0" fontId="56" fillId="0" borderId="41" xfId="0" applyFont="1" applyBorder="1" applyAlignment="1">
      <alignment horizontal="left"/>
    </xf>
    <xf numFmtId="0" fontId="56" fillId="0" borderId="13" xfId="0" applyFont="1" applyBorder="1" applyAlignment="1">
      <alignment horizontal="left"/>
    </xf>
    <xf numFmtId="1" fontId="56" fillId="0" borderId="13" xfId="0" applyNumberFormat="1" applyFont="1" applyBorder="1" applyAlignment="1">
      <alignment horizontal="center"/>
    </xf>
    <xf numFmtId="0" fontId="56" fillId="0" borderId="13" xfId="0" applyFont="1" applyBorder="1" applyAlignment="1">
      <alignment horizontal="center"/>
    </xf>
    <xf numFmtId="165" fontId="56" fillId="0" borderId="22" xfId="0" applyNumberFormat="1" applyFont="1" applyBorder="1"/>
    <xf numFmtId="165" fontId="38" fillId="56" borderId="13" xfId="0" applyNumberFormat="1" applyFont="1" applyFill="1" applyBorder="1"/>
    <xf numFmtId="165" fontId="64" fillId="56" borderId="0" xfId="0" applyNumberFormat="1" applyFont="1" applyFill="1" applyAlignment="1">
      <alignment horizontal="center"/>
    </xf>
    <xf numFmtId="0" fontId="64" fillId="56" borderId="12" xfId="0" applyFont="1" applyFill="1" applyBorder="1" applyAlignment="1">
      <alignment horizontal="center"/>
    </xf>
    <xf numFmtId="9" fontId="118" fillId="0" borderId="22" xfId="0" applyNumberFormat="1" applyFont="1" applyBorder="1" applyAlignment="1">
      <alignment horizontal="center"/>
    </xf>
    <xf numFmtId="165" fontId="56" fillId="0" borderId="0" xfId="0" applyNumberFormat="1" applyFont="1" applyAlignment="1">
      <alignment horizontal="center"/>
    </xf>
    <xf numFmtId="0" fontId="56" fillId="0" borderId="37" xfId="0" applyFont="1" applyBorder="1" applyAlignment="1">
      <alignment horizontal="left"/>
    </xf>
    <xf numFmtId="0" fontId="56" fillId="0" borderId="13" xfId="0" applyFont="1" applyBorder="1" applyAlignment="1">
      <alignment horizontal="left" wrapText="1"/>
    </xf>
    <xf numFmtId="165" fontId="118" fillId="0" borderId="22" xfId="0" applyNumberFormat="1" applyFont="1" applyBorder="1" applyAlignment="1">
      <alignment horizontal="center" vertical="center"/>
    </xf>
    <xf numFmtId="0" fontId="118" fillId="0" borderId="13" xfId="0" applyFont="1" applyBorder="1" applyAlignment="1">
      <alignment horizontal="left"/>
    </xf>
    <xf numFmtId="0" fontId="64" fillId="56" borderId="12" xfId="0" applyFont="1" applyFill="1" applyBorder="1" applyAlignment="1">
      <alignment horizontal="left"/>
    </xf>
    <xf numFmtId="165" fontId="64" fillId="56" borderId="0" xfId="0" applyNumberFormat="1" applyFont="1" applyFill="1" applyAlignment="1">
      <alignment horizontal="center" vertical="top"/>
    </xf>
    <xf numFmtId="49" fontId="64" fillId="56" borderId="13" xfId="0" applyNumberFormat="1" applyFont="1" applyFill="1" applyBorder="1" applyAlignment="1">
      <alignment horizontal="center" vertical="center"/>
    </xf>
    <xf numFmtId="165" fontId="81" fillId="56" borderId="22" xfId="0" applyNumberFormat="1" applyFont="1" applyFill="1" applyBorder="1" applyAlignment="1">
      <alignment horizontal="center"/>
    </xf>
    <xf numFmtId="165" fontId="64" fillId="56" borderId="22" xfId="0" applyNumberFormat="1" applyFont="1" applyFill="1" applyBorder="1" applyAlignment="1">
      <alignment horizontal="center" vertical="top"/>
    </xf>
    <xf numFmtId="0" fontId="81" fillId="56" borderId="41" xfId="0" applyFont="1" applyFill="1" applyBorder="1" applyAlignment="1">
      <alignment horizontal="left"/>
    </xf>
    <xf numFmtId="0" fontId="81" fillId="56" borderId="13" xfId="0" applyFont="1" applyFill="1" applyBorder="1" applyAlignment="1">
      <alignment horizontal="left"/>
    </xf>
    <xf numFmtId="1" fontId="81" fillId="56" borderId="13" xfId="0" applyNumberFormat="1" applyFont="1" applyFill="1" applyBorder="1" applyAlignment="1">
      <alignment horizontal="center"/>
    </xf>
    <xf numFmtId="0" fontId="81" fillId="56" borderId="13" xfId="0" applyFont="1" applyFill="1" applyBorder="1" applyAlignment="1">
      <alignment horizontal="center"/>
    </xf>
    <xf numFmtId="165" fontId="81" fillId="56" borderId="22" xfId="0" applyNumberFormat="1" applyFont="1" applyFill="1" applyBorder="1" applyAlignment="1">
      <alignment horizontal="center" vertical="center"/>
    </xf>
    <xf numFmtId="9" fontId="81" fillId="56" borderId="22" xfId="0" applyNumberFormat="1" applyFont="1" applyFill="1" applyBorder="1" applyAlignment="1">
      <alignment horizontal="center"/>
    </xf>
    <xf numFmtId="165" fontId="81" fillId="56" borderId="22" xfId="0" applyNumberFormat="1" applyFont="1" applyFill="1" applyBorder="1"/>
    <xf numFmtId="165" fontId="81" fillId="56" borderId="13" xfId="0" applyNumberFormat="1" applyFont="1" applyFill="1" applyBorder="1"/>
    <xf numFmtId="165" fontId="81" fillId="56" borderId="13" xfId="0" applyNumberFormat="1" applyFont="1" applyFill="1" applyBorder="1" applyAlignment="1">
      <alignment horizontal="center"/>
    </xf>
    <xf numFmtId="165" fontId="132" fillId="34" borderId="0" xfId="0" applyNumberFormat="1" applyFont="1" applyFill="1" applyAlignment="1">
      <alignment horizontal="left" vertical="center"/>
    </xf>
    <xf numFmtId="165" fontId="66" fillId="0" borderId="85" xfId="0" applyNumberFormat="1" applyFont="1" applyBorder="1" applyAlignment="1">
      <alignment horizontal="left" vertical="top" wrapText="1"/>
    </xf>
    <xf numFmtId="0" fontId="66" fillId="0" borderId="86" xfId="0" applyFont="1" applyBorder="1" applyAlignment="1">
      <alignment horizontal="left" vertical="top" wrapText="1"/>
    </xf>
    <xf numFmtId="2" fontId="38" fillId="56" borderId="13" xfId="0" applyNumberFormat="1" applyFont="1" applyFill="1" applyBorder="1" applyAlignment="1">
      <alignment horizontal="center" vertical="top"/>
    </xf>
    <xf numFmtId="2" fontId="38" fillId="56" borderId="12" xfId="0" applyNumberFormat="1" applyFont="1" applyFill="1" applyBorder="1" applyAlignment="1">
      <alignment horizontal="center" vertical="top"/>
    </xf>
    <xf numFmtId="165" fontId="64" fillId="56" borderId="13" xfId="0" applyNumberFormat="1" applyFont="1" applyFill="1" applyBorder="1" applyAlignment="1">
      <alignment horizontal="center" vertical="center"/>
    </xf>
    <xf numFmtId="0" fontId="67" fillId="0" borderId="41" xfId="0" applyFont="1" applyBorder="1" applyAlignment="1">
      <alignment horizontal="left"/>
    </xf>
    <xf numFmtId="0" fontId="67" fillId="0" borderId="13" xfId="0" applyFont="1" applyBorder="1" applyAlignment="1">
      <alignment horizontal="left"/>
    </xf>
    <xf numFmtId="1" fontId="67" fillId="0" borderId="13" xfId="0" applyNumberFormat="1" applyFont="1" applyBorder="1" applyAlignment="1">
      <alignment horizontal="center"/>
    </xf>
    <xf numFmtId="9" fontId="67" fillId="0" borderId="22" xfId="0" applyNumberFormat="1" applyFont="1" applyBorder="1" applyAlignment="1">
      <alignment horizontal="center"/>
    </xf>
    <xf numFmtId="165" fontId="67" fillId="0" borderId="22" xfId="0" applyNumberFormat="1" applyFont="1" applyBorder="1"/>
    <xf numFmtId="165" fontId="67" fillId="0" borderId="0" xfId="0" applyNumberFormat="1" applyFont="1" applyAlignment="1">
      <alignment horizontal="center"/>
    </xf>
    <xf numFmtId="165" fontId="67" fillId="0" borderId="13" xfId="0" applyNumberFormat="1" applyFont="1" applyBorder="1" applyAlignment="1">
      <alignment horizontal="center" vertical="center"/>
    </xf>
    <xf numFmtId="165" fontId="98" fillId="0" borderId="13" xfId="0" applyNumberFormat="1" applyFont="1" applyBorder="1" applyAlignment="1">
      <alignment horizontal="center"/>
    </xf>
    <xf numFmtId="165" fontId="133" fillId="0" borderId="13" xfId="0" applyNumberFormat="1" applyFont="1" applyBorder="1" applyAlignment="1">
      <alignment horizontal="center"/>
    </xf>
    <xf numFmtId="165" fontId="119" fillId="0" borderId="22" xfId="0" applyNumberFormat="1" applyFont="1" applyBorder="1" applyAlignment="1">
      <alignment horizontal="center"/>
    </xf>
    <xf numFmtId="9" fontId="67" fillId="0" borderId="22" xfId="0" applyNumberFormat="1" applyFont="1" applyBorder="1" applyAlignment="1">
      <alignment horizontal="center" vertical="center"/>
    </xf>
    <xf numFmtId="165" fontId="64" fillId="56" borderId="22" xfId="0" applyNumberFormat="1" applyFont="1" applyFill="1" applyBorder="1" applyAlignment="1">
      <alignment horizontal="center" vertical="center"/>
    </xf>
    <xf numFmtId="9" fontId="81" fillId="56" borderId="22" xfId="0" applyNumberFormat="1" applyFont="1" applyFill="1" applyBorder="1" applyAlignment="1">
      <alignment horizontal="center" vertical="center"/>
    </xf>
    <xf numFmtId="165" fontId="50" fillId="0" borderId="13" xfId="24615" applyNumberFormat="1" applyFont="1" applyBorder="1" applyAlignment="1">
      <alignment horizontal="center" vertical="top" wrapText="1"/>
    </xf>
    <xf numFmtId="0" fontId="49" fillId="0" borderId="0" xfId="24615" applyFont="1" applyAlignment="1">
      <alignment horizontal="left"/>
    </xf>
    <xf numFmtId="165" fontId="49" fillId="0" borderId="0" xfId="24615" applyNumberFormat="1" applyFont="1" applyAlignment="1">
      <alignment horizontal="center" vertical="center"/>
    </xf>
    <xf numFmtId="165" fontId="49" fillId="0" borderId="22" xfId="24615" applyNumberFormat="1" applyFont="1" applyBorder="1" applyAlignment="1">
      <alignment horizontal="center" vertical="center"/>
    </xf>
    <xf numFmtId="0" fontId="49" fillId="0" borderId="87" xfId="0" applyFont="1" applyBorder="1" applyAlignment="1">
      <alignment horizontal="left" vertical="top" wrapText="1"/>
    </xf>
    <xf numFmtId="165" fontId="49" fillId="0" borderId="85" xfId="0" applyNumberFormat="1" applyFont="1" applyBorder="1" applyAlignment="1">
      <alignment horizontal="left" vertical="top" wrapText="1"/>
    </xf>
    <xf numFmtId="2" fontId="49" fillId="0" borderId="29" xfId="0" applyNumberFormat="1" applyFont="1" applyBorder="1" applyAlignment="1">
      <alignment horizontal="center" vertical="top" wrapText="1"/>
    </xf>
    <xf numFmtId="166" fontId="49" fillId="0" borderId="29" xfId="0" applyNumberFormat="1" applyFont="1" applyBorder="1" applyAlignment="1">
      <alignment horizontal="center" vertical="top" wrapText="1"/>
    </xf>
    <xf numFmtId="2" fontId="49" fillId="0" borderId="88" xfId="0" applyNumberFormat="1" applyFont="1" applyBorder="1" applyAlignment="1">
      <alignment horizontal="center" vertical="top" wrapText="1"/>
    </xf>
    <xf numFmtId="2" fontId="49" fillId="0" borderId="34" xfId="0" applyNumberFormat="1" applyFont="1" applyBorder="1" applyAlignment="1">
      <alignment horizontal="center" vertical="top" wrapText="1"/>
    </xf>
    <xf numFmtId="165" fontId="50" fillId="0" borderId="13" xfId="0" applyNumberFormat="1" applyFont="1" applyBorder="1" applyAlignment="1">
      <alignment horizontal="center" vertical="top" wrapText="1"/>
    </xf>
    <xf numFmtId="165" fontId="56" fillId="0" borderId="58" xfId="24615" applyNumberFormat="1" applyFont="1" applyBorder="1"/>
    <xf numFmtId="165" fontId="58" fillId="0" borderId="58" xfId="24615" applyNumberFormat="1" applyFont="1" applyBorder="1"/>
    <xf numFmtId="165" fontId="66" fillId="0" borderId="58" xfId="24615" applyNumberFormat="1" applyFont="1" applyBorder="1" applyAlignment="1">
      <alignment horizontal="center" vertical="center"/>
    </xf>
    <xf numFmtId="0" fontId="49" fillId="0" borderId="87" xfId="24615" applyFont="1" applyBorder="1" applyAlignment="1">
      <alignment horizontal="left" vertical="top" wrapText="1"/>
    </xf>
    <xf numFmtId="165" fontId="49" fillId="0" borderId="85" xfId="24615" applyNumberFormat="1" applyFont="1" applyBorder="1" applyAlignment="1">
      <alignment horizontal="left" vertical="top" wrapText="1"/>
    </xf>
    <xf numFmtId="165" fontId="49" fillId="0" borderId="30" xfId="24615" applyNumberFormat="1" applyFont="1" applyBorder="1" applyAlignment="1">
      <alignment horizontal="center" vertical="top" wrapText="1"/>
    </xf>
    <xf numFmtId="165" fontId="49" fillId="0" borderId="29" xfId="24615" applyNumberFormat="1" applyFont="1" applyBorder="1" applyAlignment="1">
      <alignment horizontal="center" vertical="top" wrapText="1"/>
    </xf>
    <xf numFmtId="2" fontId="49" fillId="0" borderId="29" xfId="24615" applyNumberFormat="1" applyFont="1" applyBorder="1" applyAlignment="1">
      <alignment horizontal="center" vertical="top" wrapText="1"/>
    </xf>
    <xf numFmtId="166" fontId="49" fillId="0" borderId="29" xfId="24615" applyNumberFormat="1" applyFont="1" applyBorder="1" applyAlignment="1">
      <alignment horizontal="center" vertical="top" wrapText="1"/>
    </xf>
    <xf numFmtId="2" fontId="49" fillId="0" borderId="88" xfId="24615" applyNumberFormat="1" applyFont="1" applyBorder="1" applyAlignment="1">
      <alignment horizontal="center" vertical="top" wrapText="1"/>
    </xf>
    <xf numFmtId="2" fontId="49" fillId="0" borderId="34" xfId="24615" applyNumberFormat="1" applyFont="1" applyBorder="1" applyAlignment="1">
      <alignment horizontal="center" vertical="top" wrapText="1"/>
    </xf>
    <xf numFmtId="165" fontId="72" fillId="0" borderId="40" xfId="24615" applyNumberFormat="1" applyFont="1" applyBorder="1" applyAlignment="1">
      <alignment vertical="center" wrapText="1"/>
    </xf>
    <xf numFmtId="0" fontId="49" fillId="0" borderId="58" xfId="24615" applyFont="1" applyBorder="1" applyAlignment="1">
      <alignment horizontal="left"/>
    </xf>
    <xf numFmtId="1" fontId="49" fillId="0" borderId="58" xfId="24615" applyNumberFormat="1" applyFont="1" applyBorder="1" applyAlignment="1">
      <alignment horizontal="center"/>
    </xf>
    <xf numFmtId="165" fontId="49" fillId="0" borderId="58" xfId="24615" applyNumberFormat="1" applyFont="1" applyBorder="1" applyAlignment="1">
      <alignment horizontal="center"/>
    </xf>
    <xf numFmtId="165" fontId="49" fillId="0" borderId="58" xfId="24615" applyNumberFormat="1" applyFont="1" applyBorder="1" applyAlignment="1">
      <alignment horizontal="center" vertical="center"/>
    </xf>
    <xf numFmtId="166" fontId="49" fillId="0" borderId="58" xfId="24615" applyNumberFormat="1" applyFont="1" applyBorder="1" applyAlignment="1">
      <alignment horizontal="center" vertical="center"/>
    </xf>
    <xf numFmtId="165" fontId="64" fillId="56" borderId="10" xfId="0" applyNumberFormat="1" applyFont="1" applyFill="1" applyBorder="1" applyAlignment="1">
      <alignment horizontal="left"/>
    </xf>
    <xf numFmtId="165" fontId="67" fillId="0" borderId="10" xfId="0" applyNumberFormat="1" applyFont="1" applyBorder="1" applyAlignment="1">
      <alignment horizontal="left"/>
    </xf>
    <xf numFmtId="165" fontId="56" fillId="0" borderId="10" xfId="0" applyNumberFormat="1" applyFont="1" applyBorder="1" applyAlignment="1">
      <alignment horizontal="left"/>
    </xf>
    <xf numFmtId="0" fontId="64" fillId="0" borderId="22" xfId="0" applyFont="1" applyBorder="1" applyAlignment="1">
      <alignment horizontal="left"/>
    </xf>
    <xf numFmtId="0" fontId="121" fillId="56" borderId="13" xfId="0" applyFont="1" applyFill="1" applyBorder="1" applyAlignment="1">
      <alignment horizontal="center"/>
    </xf>
    <xf numFmtId="0" fontId="70" fillId="56" borderId="41" xfId="0" applyFont="1" applyFill="1" applyBorder="1" applyAlignment="1">
      <alignment horizontal="left"/>
    </xf>
    <xf numFmtId="0" fontId="68" fillId="56" borderId="41" xfId="0" applyFont="1" applyFill="1" applyBorder="1" applyAlignment="1">
      <alignment horizontal="left"/>
    </xf>
    <xf numFmtId="0" fontId="38" fillId="56" borderId="41" xfId="0" applyFont="1" applyFill="1" applyBorder="1" applyAlignment="1">
      <alignment horizontal="left"/>
    </xf>
    <xf numFmtId="0" fontId="55" fillId="56" borderId="41" xfId="0" applyFont="1" applyFill="1" applyBorder="1" applyAlignment="1">
      <alignment horizontal="left"/>
    </xf>
    <xf numFmtId="165" fontId="70" fillId="56" borderId="41" xfId="0" applyNumberFormat="1" applyFont="1" applyFill="1" applyBorder="1" applyAlignment="1">
      <alignment horizontal="left"/>
    </xf>
    <xf numFmtId="2" fontId="64" fillId="56" borderId="0" xfId="0" applyNumberFormat="1" applyFont="1" applyFill="1" applyAlignment="1">
      <alignment horizontal="center" vertical="top"/>
    </xf>
    <xf numFmtId="165" fontId="38" fillId="56" borderId="0" xfId="0" applyNumberFormat="1" applyFont="1" applyFill="1"/>
    <xf numFmtId="165" fontId="105" fillId="56" borderId="22" xfId="0" applyNumberFormat="1" applyFont="1" applyFill="1" applyBorder="1" applyAlignment="1">
      <alignment horizontal="center" vertical="center"/>
    </xf>
    <xf numFmtId="2" fontId="64" fillId="56" borderId="13" xfId="0" applyNumberFormat="1" applyFont="1" applyFill="1" applyBorder="1" applyAlignment="1">
      <alignment horizontal="center" vertical="top"/>
    </xf>
    <xf numFmtId="0" fontId="106" fillId="56" borderId="0" xfId="0" applyFont="1" applyFill="1"/>
    <xf numFmtId="0" fontId="106" fillId="56" borderId="13" xfId="0" applyFont="1" applyFill="1" applyBorder="1"/>
    <xf numFmtId="165" fontId="70" fillId="56" borderId="10" xfId="0" applyNumberFormat="1" applyFont="1" applyFill="1" applyBorder="1" applyAlignment="1">
      <alignment horizontal="left"/>
    </xf>
    <xf numFmtId="0" fontId="70" fillId="56" borderId="13" xfId="0" applyFont="1" applyFill="1" applyBorder="1" applyAlignment="1">
      <alignment horizontal="center"/>
    </xf>
    <xf numFmtId="165" fontId="70" fillId="56" borderId="22" xfId="0" applyNumberFormat="1" applyFont="1" applyFill="1" applyBorder="1" applyAlignment="1">
      <alignment horizontal="center"/>
    </xf>
    <xf numFmtId="165" fontId="70" fillId="56" borderId="0" xfId="0" applyNumberFormat="1" applyFont="1" applyFill="1" applyAlignment="1">
      <alignment horizontal="center"/>
    </xf>
    <xf numFmtId="165" fontId="70" fillId="56" borderId="13" xfId="0" applyNumberFormat="1" applyFont="1" applyFill="1" applyBorder="1" applyAlignment="1">
      <alignment horizontal="center"/>
    </xf>
    <xf numFmtId="10" fontId="70" fillId="56" borderId="22" xfId="0" applyNumberFormat="1" applyFont="1" applyFill="1" applyBorder="1" applyAlignment="1">
      <alignment horizontal="center"/>
    </xf>
    <xf numFmtId="165" fontId="70" fillId="56" borderId="22" xfId="0" applyNumberFormat="1" applyFont="1" applyFill="1" applyBorder="1" applyAlignment="1">
      <alignment horizontal="center" vertical="top"/>
    </xf>
    <xf numFmtId="165" fontId="70" fillId="56" borderId="13" xfId="0" applyNumberFormat="1" applyFont="1" applyFill="1" applyBorder="1" applyAlignment="1">
      <alignment horizontal="center" vertical="top"/>
    </xf>
    <xf numFmtId="165" fontId="96" fillId="56" borderId="13" xfId="0" applyNumberFormat="1" applyFont="1" applyFill="1" applyBorder="1" applyAlignment="1">
      <alignment horizontal="center" vertical="top"/>
    </xf>
    <xf numFmtId="0" fontId="68" fillId="56" borderId="10" xfId="0" applyFont="1" applyFill="1" applyBorder="1" applyAlignment="1">
      <alignment horizontal="left"/>
    </xf>
    <xf numFmtId="0" fontId="68" fillId="56" borderId="13" xfId="0" applyFont="1" applyFill="1" applyBorder="1" applyAlignment="1">
      <alignment horizontal="center"/>
    </xf>
    <xf numFmtId="165" fontId="68" fillId="56" borderId="22" xfId="0" applyNumberFormat="1" applyFont="1" applyFill="1" applyBorder="1" applyAlignment="1">
      <alignment horizontal="center"/>
    </xf>
    <xf numFmtId="0" fontId="68" fillId="56" borderId="0" xfId="0" applyFont="1" applyFill="1" applyAlignment="1">
      <alignment horizontal="center"/>
    </xf>
    <xf numFmtId="165" fontId="68" fillId="56" borderId="13" xfId="0" applyNumberFormat="1" applyFont="1" applyFill="1" applyBorder="1" applyAlignment="1">
      <alignment horizontal="center"/>
    </xf>
    <xf numFmtId="10" fontId="68" fillId="56" borderId="22" xfId="0" applyNumberFormat="1" applyFont="1" applyFill="1" applyBorder="1" applyAlignment="1">
      <alignment horizontal="center"/>
    </xf>
    <xf numFmtId="165" fontId="68" fillId="56" borderId="22" xfId="0" applyNumberFormat="1" applyFont="1" applyFill="1" applyBorder="1" applyAlignment="1">
      <alignment horizontal="center" vertical="top"/>
    </xf>
    <xf numFmtId="165" fontId="69" fillId="56" borderId="13" xfId="0" applyNumberFormat="1" applyFont="1" applyFill="1" applyBorder="1" applyAlignment="1">
      <alignment horizontal="center" vertical="top"/>
    </xf>
    <xf numFmtId="165" fontId="67" fillId="56" borderId="13" xfId="0" applyNumberFormat="1" applyFont="1" applyFill="1" applyBorder="1" applyAlignment="1">
      <alignment horizontal="center" vertical="top"/>
    </xf>
    <xf numFmtId="165" fontId="38" fillId="56" borderId="13" xfId="0" applyNumberFormat="1" applyFont="1" applyFill="1" applyBorder="1" applyAlignment="1">
      <alignment horizontal="center"/>
    </xf>
    <xf numFmtId="165" fontId="55" fillId="56" borderId="10" xfId="0" applyNumberFormat="1" applyFont="1" applyFill="1" applyBorder="1" applyAlignment="1">
      <alignment horizontal="left"/>
    </xf>
    <xf numFmtId="0" fontId="55" fillId="56" borderId="13" xfId="0" applyFont="1" applyFill="1" applyBorder="1" applyAlignment="1">
      <alignment horizontal="center"/>
    </xf>
    <xf numFmtId="165" fontId="55" fillId="56" borderId="22" xfId="0" applyNumberFormat="1" applyFont="1" applyFill="1" applyBorder="1" applyAlignment="1">
      <alignment horizontal="center" vertical="top"/>
    </xf>
    <xf numFmtId="0" fontId="55" fillId="56" borderId="0" xfId="0" applyFont="1" applyFill="1" applyAlignment="1">
      <alignment horizontal="center"/>
    </xf>
    <xf numFmtId="9" fontId="55" fillId="56" borderId="22" xfId="0" applyNumberFormat="1" applyFont="1" applyFill="1" applyBorder="1" applyAlignment="1">
      <alignment horizontal="center"/>
    </xf>
    <xf numFmtId="165" fontId="114" fillId="56" borderId="22" xfId="0" applyNumberFormat="1" applyFont="1" applyFill="1" applyBorder="1" applyAlignment="1">
      <alignment horizontal="center" vertical="top"/>
    </xf>
    <xf numFmtId="165" fontId="97" fillId="56" borderId="13" xfId="0" applyNumberFormat="1" applyFont="1" applyFill="1" applyBorder="1" applyAlignment="1">
      <alignment horizontal="center" vertical="top"/>
    </xf>
    <xf numFmtId="165" fontId="98" fillId="56" borderId="13" xfId="0" applyNumberFormat="1" applyFont="1" applyFill="1" applyBorder="1" applyAlignment="1">
      <alignment horizontal="center" vertical="top"/>
    </xf>
    <xf numFmtId="2" fontId="68" fillId="56" borderId="0" xfId="0" applyNumberFormat="1" applyFont="1" applyFill="1" applyAlignment="1">
      <alignment horizontal="center" vertical="top"/>
    </xf>
    <xf numFmtId="0" fontId="64" fillId="56" borderId="0" xfId="0" applyFont="1" applyFill="1"/>
    <xf numFmtId="0" fontId="64" fillId="56" borderId="13" xfId="0" applyFont="1" applyFill="1" applyBorder="1"/>
    <xf numFmtId="0" fontId="70" fillId="56" borderId="0" xfId="0" applyFont="1" applyFill="1" applyAlignment="1">
      <alignment horizontal="center"/>
    </xf>
    <xf numFmtId="0" fontId="68" fillId="56" borderId="13" xfId="0" applyFont="1" applyFill="1" applyBorder="1" applyAlignment="1">
      <alignment horizontal="left"/>
    </xf>
    <xf numFmtId="165" fontId="68" fillId="56" borderId="13" xfId="0" applyNumberFormat="1" applyFont="1" applyFill="1" applyBorder="1" applyAlignment="1">
      <alignment horizontal="center" vertical="top"/>
    </xf>
    <xf numFmtId="9" fontId="68" fillId="56" borderId="22" xfId="0" applyNumberFormat="1" applyFont="1" applyFill="1" applyBorder="1" applyAlignment="1">
      <alignment horizontal="center"/>
    </xf>
    <xf numFmtId="165" fontId="38" fillId="56" borderId="10" xfId="0" applyNumberFormat="1" applyFont="1" applyFill="1" applyBorder="1" applyAlignment="1">
      <alignment horizontal="left"/>
    </xf>
    <xf numFmtId="0" fontId="38" fillId="56" borderId="13" xfId="0" applyFont="1" applyFill="1" applyBorder="1" applyAlignment="1">
      <alignment horizontal="center"/>
    </xf>
    <xf numFmtId="165" fontId="38" fillId="56" borderId="22" xfId="0" applyNumberFormat="1" applyFont="1" applyFill="1" applyBorder="1" applyAlignment="1">
      <alignment horizontal="center" vertical="top"/>
    </xf>
    <xf numFmtId="0" fontId="38" fillId="56" borderId="0" xfId="0" applyFont="1" applyFill="1" applyAlignment="1">
      <alignment horizontal="center"/>
    </xf>
    <xf numFmtId="9" fontId="38" fillId="56" borderId="22" xfId="0" applyNumberFormat="1" applyFont="1" applyFill="1" applyBorder="1" applyAlignment="1">
      <alignment horizontal="center"/>
    </xf>
    <xf numFmtId="165" fontId="49" fillId="56" borderId="22" xfId="0" applyNumberFormat="1" applyFont="1" applyFill="1" applyBorder="1" applyAlignment="1">
      <alignment horizontal="center" vertical="top"/>
    </xf>
    <xf numFmtId="165" fontId="49" fillId="56" borderId="13" xfId="0" applyNumberFormat="1" applyFont="1" applyFill="1" applyBorder="1" applyAlignment="1">
      <alignment horizontal="center" vertical="top"/>
    </xf>
    <xf numFmtId="165" fontId="38" fillId="56" borderId="13" xfId="0" applyNumberFormat="1" applyFont="1" applyFill="1" applyBorder="1" applyAlignment="1">
      <alignment horizontal="center" vertical="top"/>
    </xf>
    <xf numFmtId="165" fontId="68" fillId="56" borderId="10" xfId="0" applyNumberFormat="1" applyFont="1" applyFill="1" applyBorder="1" applyAlignment="1">
      <alignment horizontal="left"/>
    </xf>
    <xf numFmtId="165" fontId="104" fillId="56" borderId="22" xfId="0" applyNumberFormat="1" applyFont="1" applyFill="1" applyBorder="1" applyAlignment="1">
      <alignment horizontal="center" vertical="top"/>
    </xf>
    <xf numFmtId="0" fontId="70" fillId="56" borderId="13" xfId="0" applyFont="1" applyFill="1" applyBorder="1" applyAlignment="1">
      <alignment horizontal="left"/>
    </xf>
    <xf numFmtId="0" fontId="70" fillId="56" borderId="12" xfId="0" applyFont="1" applyFill="1" applyBorder="1" applyAlignment="1">
      <alignment horizontal="center"/>
    </xf>
    <xf numFmtId="10" fontId="71" fillId="56" borderId="22" xfId="0" applyNumberFormat="1" applyFont="1" applyFill="1" applyBorder="1" applyAlignment="1">
      <alignment horizontal="center"/>
    </xf>
    <xf numFmtId="165" fontId="71" fillId="56" borderId="22" xfId="0" applyNumberFormat="1" applyFont="1" applyFill="1" applyBorder="1" applyAlignment="1">
      <alignment horizontal="center" vertical="top"/>
    </xf>
    <xf numFmtId="165" fontId="71" fillId="56" borderId="13" xfId="0" applyNumberFormat="1" applyFont="1" applyFill="1" applyBorder="1" applyAlignment="1">
      <alignment horizontal="center" vertical="top"/>
    </xf>
    <xf numFmtId="0" fontId="38" fillId="56" borderId="10" xfId="0" applyFont="1" applyFill="1" applyBorder="1" applyAlignment="1">
      <alignment horizontal="left"/>
    </xf>
    <xf numFmtId="165" fontId="38" fillId="56" borderId="22" xfId="0" applyNumberFormat="1" applyFont="1" applyFill="1" applyBorder="1" applyAlignment="1">
      <alignment horizontal="center"/>
    </xf>
    <xf numFmtId="10" fontId="38" fillId="56" borderId="22" xfId="0" applyNumberFormat="1" applyFont="1" applyFill="1" applyBorder="1" applyAlignment="1">
      <alignment horizontal="center"/>
    </xf>
    <xf numFmtId="0" fontId="70" fillId="56" borderId="10" xfId="0" applyFont="1" applyFill="1" applyBorder="1" applyAlignment="1">
      <alignment horizontal="center"/>
    </xf>
    <xf numFmtId="165" fontId="70" fillId="56" borderId="10" xfId="0" applyNumberFormat="1" applyFont="1" applyFill="1" applyBorder="1" applyAlignment="1">
      <alignment horizontal="center"/>
    </xf>
    <xf numFmtId="165" fontId="59" fillId="56" borderId="13" xfId="0" applyNumberFormat="1" applyFont="1" applyFill="1" applyBorder="1" applyAlignment="1">
      <alignment horizontal="center" vertical="top"/>
    </xf>
    <xf numFmtId="0" fontId="58" fillId="0" borderId="41" xfId="0" applyFont="1" applyBorder="1" applyAlignment="1">
      <alignment horizontal="left"/>
    </xf>
    <xf numFmtId="165" fontId="58" fillId="0" borderId="10" xfId="0" applyNumberFormat="1" applyFont="1" applyBorder="1" applyAlignment="1">
      <alignment horizontal="left"/>
    </xf>
    <xf numFmtId="0" fontId="58" fillId="0" borderId="13" xfId="0" applyFont="1" applyBorder="1" applyAlignment="1">
      <alignment horizontal="center"/>
    </xf>
    <xf numFmtId="165" fontId="58" fillId="0" borderId="22" xfId="0" applyNumberFormat="1" applyFont="1" applyBorder="1" applyAlignment="1">
      <alignment horizontal="center"/>
    </xf>
    <xf numFmtId="165" fontId="58" fillId="0" borderId="0" xfId="0" applyNumberFormat="1" applyFont="1" applyAlignment="1">
      <alignment horizontal="center"/>
    </xf>
    <xf numFmtId="10" fontId="58" fillId="0" borderId="22" xfId="0" applyNumberFormat="1" applyFont="1" applyBorder="1" applyAlignment="1">
      <alignment horizontal="center"/>
    </xf>
    <xf numFmtId="0" fontId="56" fillId="0" borderId="10" xfId="0" applyFont="1" applyBorder="1" applyAlignment="1">
      <alignment horizontal="left"/>
    </xf>
    <xf numFmtId="10" fontId="56" fillId="0" borderId="22" xfId="0" applyNumberFormat="1" applyFont="1" applyBorder="1" applyAlignment="1">
      <alignment horizontal="center"/>
    </xf>
    <xf numFmtId="0" fontId="103" fillId="0" borderId="41" xfId="0" applyFont="1" applyBorder="1" applyAlignment="1">
      <alignment horizontal="left"/>
    </xf>
    <xf numFmtId="0" fontId="67" fillId="0" borderId="10" xfId="0" applyFont="1" applyBorder="1" applyAlignment="1">
      <alignment horizontal="left"/>
    </xf>
    <xf numFmtId="165" fontId="103" fillId="0" borderId="10" xfId="0" applyNumberFormat="1" applyFont="1" applyBorder="1" applyAlignment="1">
      <alignment horizontal="left"/>
    </xf>
    <xf numFmtId="0" fontId="103" fillId="0" borderId="13" xfId="0" applyFont="1" applyBorder="1" applyAlignment="1">
      <alignment horizontal="center"/>
    </xf>
    <xf numFmtId="0" fontId="58" fillId="0" borderId="13" xfId="0" applyFont="1" applyBorder="1" applyAlignment="1">
      <alignment horizontal="left"/>
    </xf>
    <xf numFmtId="165" fontId="58" fillId="0" borderId="41" xfId="0" applyNumberFormat="1" applyFont="1" applyBorder="1" applyAlignment="1">
      <alignment horizontal="left"/>
    </xf>
    <xf numFmtId="165" fontId="58" fillId="0" borderId="10" xfId="0" applyNumberFormat="1" applyFont="1" applyBorder="1" applyAlignment="1">
      <alignment horizontal="center"/>
    </xf>
    <xf numFmtId="0" fontId="58" fillId="0" borderId="10" xfId="0" applyFont="1" applyBorder="1" applyAlignment="1">
      <alignment horizontal="center"/>
    </xf>
    <xf numFmtId="0" fontId="49" fillId="0" borderId="41" xfId="0" applyFont="1" applyBorder="1" applyAlignment="1">
      <alignment horizontal="left" vertical="center"/>
    </xf>
    <xf numFmtId="165" fontId="38" fillId="0" borderId="41" xfId="0" applyNumberFormat="1" applyFont="1" applyBorder="1"/>
    <xf numFmtId="0" fontId="134" fillId="34" borderId="55" xfId="0" applyFont="1" applyFill="1" applyBorder="1" applyAlignment="1">
      <alignment horizontal="left" vertical="center"/>
    </xf>
    <xf numFmtId="0" fontId="102" fillId="34" borderId="52" xfId="0" applyFont="1" applyFill="1" applyBorder="1" applyAlignment="1">
      <alignment horizontal="left"/>
    </xf>
    <xf numFmtId="1" fontId="102" fillId="34" borderId="52" xfId="0" applyNumberFormat="1" applyFont="1" applyFill="1" applyBorder="1" applyAlignment="1">
      <alignment horizontal="center"/>
    </xf>
    <xf numFmtId="165" fontId="102" fillId="34" borderId="52" xfId="0" applyNumberFormat="1" applyFont="1" applyFill="1" applyBorder="1" applyAlignment="1">
      <alignment horizontal="center"/>
    </xf>
    <xf numFmtId="0" fontId="102" fillId="34" borderId="52" xfId="0" applyFont="1" applyFill="1" applyBorder="1" applyAlignment="1">
      <alignment horizontal="center"/>
    </xf>
    <xf numFmtId="165" fontId="102" fillId="34" borderId="52" xfId="0" applyNumberFormat="1" applyFont="1" applyFill="1" applyBorder="1" applyAlignment="1">
      <alignment horizontal="center" vertical="center"/>
    </xf>
    <xf numFmtId="9" fontId="102" fillId="34" borderId="52" xfId="0" applyNumberFormat="1" applyFont="1" applyFill="1" applyBorder="1" applyAlignment="1">
      <alignment horizontal="center"/>
    </xf>
    <xf numFmtId="165" fontId="102" fillId="34" borderId="52" xfId="0" applyNumberFormat="1" applyFont="1" applyFill="1" applyBorder="1"/>
    <xf numFmtId="165" fontId="135" fillId="34" borderId="52" xfId="0" applyNumberFormat="1" applyFont="1" applyFill="1" applyBorder="1"/>
    <xf numFmtId="165" fontId="135" fillId="34" borderId="53" xfId="0" applyNumberFormat="1" applyFont="1" applyFill="1" applyBorder="1" applyAlignment="1">
      <alignment horizontal="center"/>
    </xf>
    <xf numFmtId="165" fontId="136" fillId="0" borderId="13" xfId="0" applyNumberFormat="1" applyFont="1" applyBorder="1" applyAlignment="1">
      <alignment horizontal="center" vertical="center"/>
    </xf>
    <xf numFmtId="2" fontId="102" fillId="0" borderId="13" xfId="0" applyNumberFormat="1" applyFont="1" applyBorder="1" applyAlignment="1">
      <alignment horizontal="center" vertical="top"/>
    </xf>
    <xf numFmtId="165" fontId="137" fillId="0" borderId="0" xfId="0" applyNumberFormat="1" applyFont="1"/>
    <xf numFmtId="2" fontId="102" fillId="0" borderId="0" xfId="0" applyNumberFormat="1" applyFont="1" applyAlignment="1">
      <alignment horizontal="center" vertical="top"/>
    </xf>
    <xf numFmtId="165" fontId="102" fillId="0" borderId="0" xfId="0" applyNumberFormat="1" applyFont="1"/>
    <xf numFmtId="165" fontId="138" fillId="34" borderId="52" xfId="0" applyNumberFormat="1" applyFont="1" applyFill="1" applyBorder="1" applyAlignment="1">
      <alignment horizontal="left"/>
    </xf>
    <xf numFmtId="0" fontId="139" fillId="34" borderId="52" xfId="0" applyFont="1" applyFill="1" applyBorder="1" applyAlignment="1">
      <alignment horizontal="center"/>
    </xf>
    <xf numFmtId="165" fontId="139" fillId="34" borderId="52" xfId="0" applyNumberFormat="1" applyFont="1" applyFill="1" applyBorder="1" applyAlignment="1">
      <alignment horizontal="center"/>
    </xf>
    <xf numFmtId="0" fontId="138" fillId="34" borderId="52" xfId="0" applyFont="1" applyFill="1" applyBorder="1" applyAlignment="1">
      <alignment horizontal="center" vertical="center"/>
    </xf>
    <xf numFmtId="10" fontId="139" fillId="34" borderId="52" xfId="0" applyNumberFormat="1" applyFont="1" applyFill="1" applyBorder="1" applyAlignment="1">
      <alignment horizontal="center"/>
    </xf>
    <xf numFmtId="165" fontId="139" fillId="34" borderId="52" xfId="0" applyNumberFormat="1" applyFont="1" applyFill="1" applyBorder="1" applyAlignment="1">
      <alignment horizontal="center" vertical="top"/>
    </xf>
    <xf numFmtId="165" fontId="138" fillId="34" borderId="52" xfId="0" applyNumberFormat="1" applyFont="1" applyFill="1" applyBorder="1" applyAlignment="1">
      <alignment horizontal="center" vertical="top"/>
    </xf>
    <xf numFmtId="165" fontId="139" fillId="34" borderId="53" xfId="0" applyNumberFormat="1" applyFont="1" applyFill="1" applyBorder="1" applyAlignment="1">
      <alignment horizontal="center" vertical="top"/>
    </xf>
    <xf numFmtId="2" fontId="78" fillId="0" borderId="0" xfId="0" applyNumberFormat="1" applyFont="1" applyAlignment="1">
      <alignment horizontal="center" vertical="top"/>
    </xf>
    <xf numFmtId="0" fontId="141" fillId="34" borderId="52" xfId="0" applyFont="1" applyFill="1" applyBorder="1" applyAlignment="1">
      <alignment horizontal="center"/>
    </xf>
    <xf numFmtId="165" fontId="141" fillId="34" borderId="52" xfId="0" applyNumberFormat="1" applyFont="1" applyFill="1" applyBorder="1" applyAlignment="1">
      <alignment horizontal="center"/>
    </xf>
    <xf numFmtId="0" fontId="142" fillId="34" borderId="52" xfId="0" applyFont="1" applyFill="1" applyBorder="1" applyAlignment="1">
      <alignment horizontal="center" vertical="center"/>
    </xf>
    <xf numFmtId="10" fontId="141" fillId="34" borderId="52" xfId="0" applyNumberFormat="1" applyFont="1" applyFill="1" applyBorder="1" applyAlignment="1">
      <alignment horizontal="center"/>
    </xf>
    <xf numFmtId="165" fontId="141" fillId="34" borderId="52" xfId="0" applyNumberFormat="1" applyFont="1" applyFill="1" applyBorder="1" applyAlignment="1">
      <alignment horizontal="center" vertical="top"/>
    </xf>
    <xf numFmtId="165" fontId="135" fillId="34" borderId="53" xfId="0" applyNumberFormat="1" applyFont="1" applyFill="1" applyBorder="1" applyAlignment="1">
      <alignment horizontal="center" vertical="top"/>
    </xf>
    <xf numFmtId="0" fontId="137" fillId="34" borderId="52" xfId="0" applyFont="1" applyFill="1" applyBorder="1" applyAlignment="1">
      <alignment horizontal="center"/>
    </xf>
    <xf numFmtId="165" fontId="137" fillId="34" borderId="52" xfId="0" applyNumberFormat="1" applyFont="1" applyFill="1" applyBorder="1" applyAlignment="1">
      <alignment horizontal="center"/>
    </xf>
    <xf numFmtId="9" fontId="137" fillId="34" borderId="52" xfId="0" applyNumberFormat="1" applyFont="1" applyFill="1" applyBorder="1" applyAlignment="1">
      <alignment horizontal="center"/>
    </xf>
    <xf numFmtId="165" fontId="137" fillId="34" borderId="52" xfId="0" applyNumberFormat="1" applyFont="1" applyFill="1" applyBorder="1" applyAlignment="1">
      <alignment horizontal="center" vertical="top"/>
    </xf>
    <xf numFmtId="0" fontId="142" fillId="34" borderId="52" xfId="0" applyFont="1" applyFill="1" applyBorder="1" applyAlignment="1">
      <alignment horizontal="center"/>
    </xf>
    <xf numFmtId="165" fontId="143" fillId="34" borderId="52" xfId="0" applyNumberFormat="1" applyFont="1" applyFill="1" applyBorder="1" applyAlignment="1">
      <alignment horizontal="center" vertical="top"/>
    </xf>
    <xf numFmtId="165" fontId="143" fillId="34" borderId="53" xfId="0" applyNumberFormat="1" applyFont="1" applyFill="1" applyBorder="1" applyAlignment="1">
      <alignment horizontal="center" vertical="top"/>
    </xf>
    <xf numFmtId="2" fontId="78" fillId="0" borderId="13" xfId="0" applyNumberFormat="1" applyFont="1" applyBorder="1" applyAlignment="1">
      <alignment horizontal="center" vertical="top"/>
    </xf>
    <xf numFmtId="165" fontId="140" fillId="34" borderId="52" xfId="0" applyNumberFormat="1" applyFont="1" applyFill="1" applyBorder="1" applyAlignment="1">
      <alignment horizontal="center" vertical="top"/>
    </xf>
    <xf numFmtId="165" fontId="138" fillId="34" borderId="53" xfId="0" applyNumberFormat="1" applyFont="1" applyFill="1" applyBorder="1" applyAlignment="1">
      <alignment horizontal="center" vertical="top"/>
    </xf>
    <xf numFmtId="2" fontId="137" fillId="0" borderId="0" xfId="0" applyNumberFormat="1" applyFont="1" applyAlignment="1">
      <alignment horizontal="center" vertical="top"/>
    </xf>
    <xf numFmtId="2" fontId="137" fillId="0" borderId="13" xfId="0" applyNumberFormat="1" applyFont="1" applyBorder="1" applyAlignment="1">
      <alignment horizontal="center" vertical="top"/>
    </xf>
    <xf numFmtId="165" fontId="140" fillId="0" borderId="0" xfId="0" applyNumberFormat="1" applyFont="1"/>
    <xf numFmtId="0" fontId="144" fillId="55" borderId="55" xfId="0" applyFont="1" applyFill="1" applyBorder="1" applyAlignment="1">
      <alignment horizontal="left" vertical="center"/>
    </xf>
    <xf numFmtId="0" fontId="144" fillId="55" borderId="52" xfId="0" applyFont="1" applyFill="1" applyBorder="1" applyAlignment="1">
      <alignment horizontal="left" vertical="center"/>
    </xf>
    <xf numFmtId="165" fontId="78" fillId="34" borderId="52" xfId="0" applyNumberFormat="1" applyFont="1" applyFill="1" applyBorder="1" applyAlignment="1">
      <alignment horizontal="center" vertical="top"/>
    </xf>
    <xf numFmtId="0" fontId="134" fillId="0" borderId="55" xfId="0" applyFont="1" applyBorder="1" applyAlignment="1">
      <alignment horizontal="left" vertical="center"/>
    </xf>
    <xf numFmtId="165" fontId="138" fillId="0" borderId="52" xfId="0" applyNumberFormat="1" applyFont="1" applyBorder="1" applyAlignment="1">
      <alignment horizontal="left"/>
    </xf>
    <xf numFmtId="0" fontId="139" fillId="0" borderId="52" xfId="0" applyFont="1" applyBorder="1" applyAlignment="1">
      <alignment horizontal="center"/>
    </xf>
    <xf numFmtId="165" fontId="139" fillId="0" borderId="52" xfId="0" applyNumberFormat="1" applyFont="1" applyBorder="1" applyAlignment="1">
      <alignment horizontal="center"/>
    </xf>
    <xf numFmtId="0" fontId="138" fillId="0" borderId="52" xfId="0" applyFont="1" applyBorder="1" applyAlignment="1">
      <alignment horizontal="center" vertical="center"/>
    </xf>
    <xf numFmtId="10" fontId="139" fillId="0" borderId="52" xfId="0" applyNumberFormat="1" applyFont="1" applyBorder="1" applyAlignment="1">
      <alignment horizontal="center"/>
    </xf>
    <xf numFmtId="165" fontId="139" fillId="0" borderId="52" xfId="0" applyNumberFormat="1" applyFont="1" applyBorder="1" applyAlignment="1">
      <alignment horizontal="center" vertical="top"/>
    </xf>
    <xf numFmtId="165" fontId="138" fillId="0" borderId="52" xfId="0" applyNumberFormat="1" applyFont="1" applyBorder="1" applyAlignment="1">
      <alignment horizontal="center" vertical="top"/>
    </xf>
    <xf numFmtId="165" fontId="139" fillId="0" borderId="53" xfId="0" applyNumberFormat="1" applyFont="1" applyBorder="1" applyAlignment="1">
      <alignment horizontal="center" vertical="top"/>
    </xf>
    <xf numFmtId="2" fontId="109" fillId="0" borderId="61" xfId="0" applyNumberFormat="1" applyFont="1" applyBorder="1" applyAlignment="1">
      <alignment horizontal="center" vertical="center" wrapText="1"/>
    </xf>
    <xf numFmtId="2" fontId="109" fillId="0" borderId="63" xfId="0" applyNumberFormat="1" applyFont="1" applyBorder="1" applyAlignment="1">
      <alignment horizontal="center" vertical="center" wrapText="1"/>
    </xf>
    <xf numFmtId="2" fontId="110" fillId="0" borderId="63" xfId="0" applyNumberFormat="1" applyFont="1" applyBorder="1" applyAlignment="1">
      <alignment horizontal="center" vertical="center" wrapText="1"/>
    </xf>
    <xf numFmtId="0" fontId="109" fillId="0" borderId="92" xfId="0" applyFont="1" applyBorder="1" applyAlignment="1">
      <alignment horizontal="center" vertical="center"/>
    </xf>
    <xf numFmtId="0" fontId="58" fillId="0" borderId="94" xfId="24615" applyFont="1" applyBorder="1" applyAlignment="1">
      <alignment horizontal="left"/>
    </xf>
    <xf numFmtId="0" fontId="58" fillId="0" borderId="70" xfId="24615" applyFont="1" applyBorder="1" applyAlignment="1">
      <alignment horizontal="left"/>
    </xf>
    <xf numFmtId="165" fontId="58" fillId="0" borderId="70" xfId="24615" applyNumberFormat="1" applyFont="1" applyBorder="1" applyAlignment="1">
      <alignment horizontal="center"/>
    </xf>
    <xf numFmtId="165" fontId="58" fillId="0" borderId="70" xfId="24615" applyNumberFormat="1" applyFont="1" applyBorder="1" applyAlignment="1">
      <alignment horizontal="center" vertical="center"/>
    </xf>
    <xf numFmtId="166" fontId="58" fillId="0" borderId="70" xfId="24615" applyNumberFormat="1" applyFont="1" applyBorder="1" applyAlignment="1">
      <alignment horizontal="center" vertical="center"/>
    </xf>
    <xf numFmtId="165" fontId="56" fillId="0" borderId="70" xfId="24615" applyNumberFormat="1" applyFont="1" applyBorder="1"/>
    <xf numFmtId="165" fontId="58" fillId="0" borderId="70" xfId="24615" applyNumberFormat="1" applyFont="1" applyBorder="1"/>
    <xf numFmtId="0" fontId="58" fillId="0" borderId="93" xfId="24615" applyFont="1" applyBorder="1" applyAlignment="1">
      <alignment horizontal="left"/>
    </xf>
    <xf numFmtId="0" fontId="58" fillId="0" borderId="95" xfId="24615" applyFont="1" applyBorder="1" applyAlignment="1">
      <alignment horizontal="left"/>
    </xf>
    <xf numFmtId="165" fontId="58" fillId="0" borderId="95" xfId="24615" applyNumberFormat="1" applyFont="1" applyBorder="1" applyAlignment="1">
      <alignment horizontal="center"/>
    </xf>
    <xf numFmtId="165" fontId="58" fillId="0" borderId="95" xfId="24615" applyNumberFormat="1" applyFont="1" applyBorder="1" applyAlignment="1">
      <alignment horizontal="center" vertical="center"/>
    </xf>
    <xf numFmtId="166" fontId="58" fillId="0" borderId="95" xfId="24615" applyNumberFormat="1" applyFont="1" applyBorder="1" applyAlignment="1">
      <alignment horizontal="center" vertical="center"/>
    </xf>
    <xf numFmtId="165" fontId="56" fillId="0" borderId="95" xfId="24615" applyNumberFormat="1" applyFont="1" applyBorder="1"/>
    <xf numFmtId="165" fontId="58" fillId="0" borderId="95" xfId="24615" applyNumberFormat="1" applyFont="1" applyBorder="1"/>
    <xf numFmtId="165" fontId="56" fillId="0" borderId="96" xfId="24615" applyNumberFormat="1" applyFont="1" applyBorder="1"/>
    <xf numFmtId="165" fontId="56" fillId="0" borderId="97" xfId="24615" applyNumberFormat="1" applyFont="1" applyBorder="1"/>
    <xf numFmtId="0" fontId="49" fillId="0" borderId="98" xfId="24615" applyFont="1" applyBorder="1" applyAlignment="1">
      <alignment horizontal="left"/>
    </xf>
    <xf numFmtId="0" fontId="49" fillId="0" borderId="99" xfId="24615" applyFont="1" applyBorder="1" applyAlignment="1">
      <alignment horizontal="left"/>
    </xf>
    <xf numFmtId="165" fontId="72" fillId="0" borderId="100" xfId="0" applyNumberFormat="1" applyFont="1" applyBorder="1" applyAlignment="1">
      <alignment vertical="center" wrapText="1"/>
    </xf>
    <xf numFmtId="0" fontId="38" fillId="0" borderId="101" xfId="0" applyFont="1" applyBorder="1" applyAlignment="1">
      <alignment horizontal="left"/>
    </xf>
    <xf numFmtId="1" fontId="38" fillId="0" borderId="101" xfId="0" applyNumberFormat="1" applyFont="1" applyBorder="1" applyAlignment="1">
      <alignment horizontal="center"/>
    </xf>
    <xf numFmtId="165" fontId="38" fillId="0" borderId="102" xfId="0" applyNumberFormat="1" applyFont="1" applyBorder="1" applyAlignment="1">
      <alignment horizontal="center"/>
    </xf>
    <xf numFmtId="0" fontId="38" fillId="0" borderId="101" xfId="0" applyFont="1" applyBorder="1" applyAlignment="1">
      <alignment horizontal="center"/>
    </xf>
    <xf numFmtId="166" fontId="38" fillId="0" borderId="102" xfId="0" applyNumberFormat="1" applyFont="1" applyBorder="1"/>
    <xf numFmtId="165" fontId="38" fillId="0" borderId="102" xfId="0" applyNumberFormat="1" applyFont="1" applyBorder="1"/>
    <xf numFmtId="165" fontId="38" fillId="0" borderId="101" xfId="0" applyNumberFormat="1" applyFont="1" applyBorder="1"/>
    <xf numFmtId="165" fontId="45" fillId="0" borderId="101" xfId="0" applyNumberFormat="1" applyFont="1" applyBorder="1"/>
    <xf numFmtId="165" fontId="56" fillId="0" borderId="101" xfId="0" applyNumberFormat="1" applyFont="1" applyBorder="1" applyAlignment="1">
      <alignment horizontal="center"/>
    </xf>
    <xf numFmtId="165" fontId="52" fillId="0" borderId="101" xfId="0" applyNumberFormat="1" applyFont="1" applyBorder="1" applyAlignment="1">
      <alignment horizontal="center" vertical="center"/>
    </xf>
    <xf numFmtId="2" fontId="38" fillId="0" borderId="101" xfId="0" applyNumberFormat="1" applyFont="1" applyBorder="1" applyAlignment="1">
      <alignment horizontal="center" vertical="top"/>
    </xf>
    <xf numFmtId="0" fontId="38" fillId="0" borderId="103" xfId="0" applyFont="1" applyBorder="1" applyAlignment="1">
      <alignment horizontal="left"/>
    </xf>
    <xf numFmtId="165" fontId="38" fillId="0" borderId="52" xfId="0" applyNumberFormat="1" applyFont="1" applyBorder="1"/>
    <xf numFmtId="165" fontId="72" fillId="0" borderId="104" xfId="0" applyNumberFormat="1" applyFont="1" applyBorder="1" applyAlignment="1">
      <alignment vertical="center" wrapText="1"/>
    </xf>
    <xf numFmtId="165" fontId="38" fillId="0" borderId="105" xfId="0" applyNumberFormat="1" applyFont="1" applyBorder="1"/>
    <xf numFmtId="1" fontId="38" fillId="0" borderId="106" xfId="0" applyNumberFormat="1" applyFont="1" applyBorder="1" applyAlignment="1">
      <alignment horizontal="center"/>
    </xf>
    <xf numFmtId="165" fontId="38" fillId="0" borderId="107" xfId="0" applyNumberFormat="1" applyFont="1" applyBorder="1" applyAlignment="1">
      <alignment horizontal="center"/>
    </xf>
    <xf numFmtId="165" fontId="38" fillId="0" borderId="107" xfId="0" applyNumberFormat="1" applyFont="1" applyBorder="1"/>
    <xf numFmtId="166" fontId="38" fillId="0" borderId="107" xfId="0" applyNumberFormat="1" applyFont="1" applyBorder="1"/>
    <xf numFmtId="165" fontId="38" fillId="0" borderId="106" xfId="0" applyNumberFormat="1" applyFont="1" applyBorder="1"/>
    <xf numFmtId="165" fontId="45" fillId="0" borderId="106" xfId="0" applyNumberFormat="1" applyFont="1" applyBorder="1"/>
    <xf numFmtId="165" fontId="56" fillId="0" borderId="106" xfId="0" applyNumberFormat="1" applyFont="1" applyBorder="1" applyAlignment="1">
      <alignment horizontal="center"/>
    </xf>
    <xf numFmtId="165" fontId="52" fillId="0" borderId="106" xfId="0" applyNumberFormat="1" applyFont="1" applyBorder="1" applyAlignment="1">
      <alignment horizontal="center" vertical="center"/>
    </xf>
    <xf numFmtId="2" fontId="38" fillId="0" borderId="106" xfId="0" applyNumberFormat="1" applyFont="1" applyBorder="1" applyAlignment="1">
      <alignment horizontal="center" vertical="top"/>
    </xf>
    <xf numFmtId="2" fontId="38" fillId="0" borderId="108" xfId="0" applyNumberFormat="1" applyFont="1" applyBorder="1" applyAlignment="1">
      <alignment horizontal="center" vertical="top"/>
    </xf>
    <xf numFmtId="165" fontId="72" fillId="0" borderId="109" xfId="0" applyNumberFormat="1" applyFont="1" applyBorder="1" applyAlignment="1">
      <alignment vertical="center" wrapText="1"/>
    </xf>
    <xf numFmtId="165" fontId="118" fillId="0" borderId="22" xfId="0" applyNumberFormat="1" applyFont="1" applyBorder="1" applyAlignment="1">
      <alignment horizontal="center" vertical="top"/>
    </xf>
    <xf numFmtId="165" fontId="119" fillId="0" borderId="22" xfId="0" applyNumberFormat="1" applyFont="1" applyBorder="1" applyAlignment="1">
      <alignment horizontal="center" vertical="top"/>
    </xf>
    <xf numFmtId="0" fontId="145" fillId="0" borderId="0" xfId="24615" applyFont="1" applyAlignment="1">
      <alignment horizontal="center" vertical="center"/>
    </xf>
    <xf numFmtId="0" fontId="107" fillId="0" borderId="21" xfId="24615" applyFont="1" applyBorder="1" applyAlignment="1">
      <alignment horizontal="center" vertical="center"/>
    </xf>
    <xf numFmtId="165" fontId="107" fillId="0" borderId="21" xfId="24615" applyNumberFormat="1" applyFont="1" applyBorder="1" applyAlignment="1">
      <alignment horizontal="center" vertical="center"/>
    </xf>
    <xf numFmtId="165" fontId="146" fillId="0" borderId="21" xfId="24615" applyNumberFormat="1" applyFont="1" applyBorder="1" applyAlignment="1">
      <alignment horizontal="center" vertical="center"/>
    </xf>
    <xf numFmtId="0" fontId="38" fillId="56" borderId="18" xfId="0" applyFont="1" applyFill="1" applyBorder="1" applyAlignment="1">
      <alignment horizontal="left"/>
    </xf>
    <xf numFmtId="0" fontId="38" fillId="56" borderId="13" xfId="0" applyFont="1" applyFill="1" applyBorder="1" applyAlignment="1">
      <alignment horizontal="left"/>
    </xf>
    <xf numFmtId="1" fontId="38" fillId="56" borderId="13" xfId="0" applyNumberFormat="1" applyFont="1" applyFill="1" applyBorder="1" applyAlignment="1">
      <alignment horizontal="center"/>
    </xf>
    <xf numFmtId="166" fontId="38" fillId="56" borderId="22" xfId="0" applyNumberFormat="1" applyFont="1" applyFill="1" applyBorder="1"/>
    <xf numFmtId="165" fontId="38" fillId="56" borderId="22" xfId="0" applyNumberFormat="1" applyFont="1" applyFill="1" applyBorder="1"/>
    <xf numFmtId="165" fontId="45" fillId="56" borderId="13" xfId="0" applyNumberFormat="1" applyFont="1" applyFill="1" applyBorder="1"/>
    <xf numFmtId="165" fontId="56" fillId="56" borderId="13" xfId="0" applyNumberFormat="1" applyFont="1" applyFill="1" applyBorder="1" applyAlignment="1">
      <alignment horizontal="center"/>
    </xf>
    <xf numFmtId="0" fontId="56" fillId="0" borderId="18" xfId="0" applyFont="1" applyBorder="1" applyAlignment="1">
      <alignment horizontal="left"/>
    </xf>
    <xf numFmtId="166" fontId="56" fillId="0" borderId="22" xfId="0" applyNumberFormat="1" applyFont="1" applyBorder="1"/>
    <xf numFmtId="166" fontId="67" fillId="0" borderId="22" xfId="0" applyNumberFormat="1" applyFont="1" applyBorder="1"/>
    <xf numFmtId="165" fontId="58" fillId="0" borderId="96" xfId="24615" applyNumberFormat="1" applyFont="1" applyBorder="1" applyAlignment="1">
      <alignment horizontal="center"/>
    </xf>
    <xf numFmtId="165" fontId="58" fillId="0" borderId="97" xfId="24615" applyNumberFormat="1" applyFont="1" applyBorder="1" applyAlignment="1">
      <alignment horizontal="center"/>
    </xf>
    <xf numFmtId="165" fontId="38" fillId="0" borderId="31" xfId="0" applyNumberFormat="1" applyFont="1" applyBorder="1"/>
    <xf numFmtId="165" fontId="38" fillId="0" borderId="110" xfId="0" applyNumberFormat="1" applyFont="1" applyBorder="1"/>
    <xf numFmtId="2" fontId="49" fillId="0" borderId="111" xfId="0" applyNumberFormat="1" applyFont="1" applyBorder="1" applyAlignment="1">
      <alignment horizontal="center" vertical="top" wrapText="1"/>
    </xf>
    <xf numFmtId="165" fontId="38" fillId="0" borderId="112" xfId="0" applyNumberFormat="1" applyFont="1" applyBorder="1"/>
    <xf numFmtId="165" fontId="119" fillId="0" borderId="31" xfId="0" applyNumberFormat="1" applyFont="1" applyBorder="1" applyAlignment="1">
      <alignment horizontal="center"/>
    </xf>
    <xf numFmtId="165" fontId="38" fillId="0" borderId="31" xfId="0" applyNumberFormat="1" applyFont="1" applyBorder="1" applyAlignment="1">
      <alignment horizontal="center"/>
    </xf>
    <xf numFmtId="165" fontId="38" fillId="0" borderId="113" xfId="0" applyNumberFormat="1" applyFont="1" applyBorder="1" applyAlignment="1">
      <alignment horizontal="center"/>
    </xf>
    <xf numFmtId="165" fontId="56" fillId="0" borderId="31" xfId="0" applyNumberFormat="1" applyFont="1" applyBorder="1" applyAlignment="1">
      <alignment horizontal="center"/>
    </xf>
    <xf numFmtId="165" fontId="67" fillId="0" borderId="31" xfId="0" applyNumberFormat="1" applyFont="1" applyBorder="1" applyAlignment="1">
      <alignment horizontal="center"/>
    </xf>
    <xf numFmtId="165" fontId="68" fillId="0" borderId="31" xfId="0" applyNumberFormat="1" applyFont="1" applyBorder="1" applyAlignment="1">
      <alignment horizontal="center"/>
    </xf>
    <xf numFmtId="165" fontId="38" fillId="0" borderId="31" xfId="0" applyNumberFormat="1" applyFont="1" applyBorder="1" applyAlignment="1">
      <alignment horizontal="center" vertical="center"/>
    </xf>
    <xf numFmtId="0" fontId="0" fillId="0" borderId="51" xfId="0" applyBorder="1"/>
    <xf numFmtId="165" fontId="43" fillId="0" borderId="12" xfId="0" applyNumberFormat="1" applyFont="1" applyBorder="1" applyAlignment="1">
      <alignment horizontal="center"/>
    </xf>
    <xf numFmtId="165" fontId="43" fillId="0" borderId="114" xfId="0" applyNumberFormat="1" applyFont="1" applyBorder="1" applyAlignment="1">
      <alignment horizontal="center"/>
    </xf>
    <xf numFmtId="165" fontId="49" fillId="0" borderId="115" xfId="0" applyNumberFormat="1" applyFont="1" applyBorder="1" applyAlignment="1">
      <alignment horizontal="center" vertical="top" wrapText="1"/>
    </xf>
    <xf numFmtId="1" fontId="58" fillId="0" borderId="96" xfId="24615" applyNumberFormat="1" applyFont="1" applyBorder="1" applyAlignment="1">
      <alignment horizontal="center"/>
    </xf>
    <xf numFmtId="1" fontId="58" fillId="0" borderId="97" xfId="24615" applyNumberFormat="1" applyFont="1" applyBorder="1" applyAlignment="1">
      <alignment horizontal="center"/>
    </xf>
    <xf numFmtId="1" fontId="38" fillId="0" borderId="108" xfId="0" applyNumberFormat="1" applyFont="1" applyBorder="1" applyAlignment="1">
      <alignment horizontal="center"/>
    </xf>
    <xf numFmtId="1" fontId="38" fillId="0" borderId="12" xfId="0" applyNumberFormat="1" applyFont="1" applyBorder="1" applyAlignment="1">
      <alignment horizontal="center"/>
    </xf>
    <xf numFmtId="1" fontId="38" fillId="0" borderId="116" xfId="0" applyNumberFormat="1" applyFont="1" applyBorder="1" applyAlignment="1">
      <alignment horizontal="center"/>
    </xf>
    <xf numFmtId="1" fontId="56" fillId="0" borderId="12" xfId="0" applyNumberFormat="1" applyFont="1" applyBorder="1" applyAlignment="1">
      <alignment horizontal="center"/>
    </xf>
    <xf numFmtId="1" fontId="68" fillId="0" borderId="12" xfId="0" applyNumberFormat="1" applyFont="1" applyBorder="1" applyAlignment="1">
      <alignment horizontal="center"/>
    </xf>
    <xf numFmtId="165" fontId="44" fillId="0" borderId="51" xfId="0" applyNumberFormat="1" applyFont="1" applyBorder="1" applyAlignment="1">
      <alignment horizontal="center"/>
    </xf>
    <xf numFmtId="165" fontId="44" fillId="0" borderId="117" xfId="0" applyNumberFormat="1" applyFont="1" applyBorder="1" applyAlignment="1">
      <alignment horizontal="center"/>
    </xf>
    <xf numFmtId="165" fontId="49" fillId="0" borderId="118" xfId="0" applyNumberFormat="1" applyFont="1" applyBorder="1" applyAlignment="1">
      <alignment horizontal="center" vertical="top" wrapText="1"/>
    </xf>
    <xf numFmtId="165" fontId="38" fillId="0" borderId="97" xfId="0" applyNumberFormat="1" applyFont="1" applyBorder="1" applyAlignment="1">
      <alignment horizontal="center"/>
    </xf>
    <xf numFmtId="165" fontId="38" fillId="0" borderId="51" xfId="0" applyNumberFormat="1" applyFont="1" applyBorder="1" applyAlignment="1">
      <alignment horizontal="center"/>
    </xf>
    <xf numFmtId="165" fontId="38" fillId="0" borderId="119" xfId="0" applyNumberFormat="1" applyFont="1" applyBorder="1" applyAlignment="1">
      <alignment horizontal="center"/>
    </xf>
    <xf numFmtId="165" fontId="56" fillId="0" borderId="51" xfId="0" applyNumberFormat="1" applyFont="1" applyBorder="1" applyAlignment="1">
      <alignment horizontal="center"/>
    </xf>
    <xf numFmtId="165" fontId="68" fillId="0" borderId="51" xfId="0" applyNumberFormat="1" applyFont="1" applyBorder="1" applyAlignment="1">
      <alignment horizontal="center"/>
    </xf>
    <xf numFmtId="165" fontId="44" fillId="0" borderId="0" xfId="0" applyNumberFormat="1" applyFont="1" applyAlignment="1">
      <alignment horizontal="center"/>
    </xf>
    <xf numFmtId="165" fontId="44" fillId="0" borderId="50" xfId="0" applyNumberFormat="1" applyFont="1" applyBorder="1" applyAlignment="1">
      <alignment horizontal="center"/>
    </xf>
    <xf numFmtId="165" fontId="66" fillId="0" borderId="11" xfId="0" applyNumberFormat="1" applyFont="1" applyBorder="1" applyAlignment="1">
      <alignment horizontal="center" vertical="top" wrapText="1"/>
    </xf>
    <xf numFmtId="165" fontId="64" fillId="0" borderId="12" xfId="0" applyNumberFormat="1" applyFont="1" applyBorder="1" applyAlignment="1">
      <alignment horizontal="center" vertical="top"/>
    </xf>
    <xf numFmtId="165" fontId="64" fillId="0" borderId="83" xfId="0" applyNumberFormat="1" applyFont="1" applyBorder="1" applyAlignment="1">
      <alignment horizontal="center"/>
    </xf>
    <xf numFmtId="0" fontId="56" fillId="0" borderId="12" xfId="0" applyFont="1" applyBorder="1" applyAlignment="1">
      <alignment horizontal="center"/>
    </xf>
    <xf numFmtId="165" fontId="59" fillId="0" borderId="0" xfId="0" applyNumberFormat="1" applyFont="1" applyAlignment="1">
      <alignment horizontal="center"/>
    </xf>
    <xf numFmtId="2" fontId="66" fillId="0" borderId="120" xfId="0" applyNumberFormat="1" applyFont="1" applyBorder="1" applyAlignment="1">
      <alignment horizontal="center" vertical="top" wrapText="1"/>
    </xf>
    <xf numFmtId="165" fontId="64" fillId="0" borderId="31" xfId="0" applyNumberFormat="1" applyFont="1" applyBorder="1"/>
    <xf numFmtId="165" fontId="64" fillId="0" borderId="31" xfId="0" applyNumberFormat="1" applyFont="1" applyBorder="1" applyAlignment="1">
      <alignment horizontal="center"/>
    </xf>
    <xf numFmtId="165" fontId="81" fillId="0" borderId="31" xfId="0" applyNumberFormat="1" applyFont="1" applyBorder="1" applyAlignment="1">
      <alignment horizontal="center"/>
    </xf>
    <xf numFmtId="165" fontId="64" fillId="0" borderId="31" xfId="0" applyNumberFormat="1" applyFont="1" applyBorder="1" applyAlignment="1">
      <alignment horizontal="center" vertical="center" wrapText="1"/>
    </xf>
    <xf numFmtId="165" fontId="81" fillId="0" borderId="31" xfId="0" applyNumberFormat="1" applyFont="1" applyBorder="1" applyAlignment="1">
      <alignment horizontal="center" vertical="center"/>
    </xf>
    <xf numFmtId="165" fontId="64" fillId="0" borderId="31" xfId="0" applyNumberFormat="1" applyFont="1" applyBorder="1" applyAlignment="1">
      <alignment horizontal="center" vertical="center"/>
    </xf>
    <xf numFmtId="165" fontId="118" fillId="0" borderId="31" xfId="0" applyNumberFormat="1" applyFont="1" applyBorder="1" applyAlignment="1">
      <alignment horizontal="center" vertical="center"/>
    </xf>
    <xf numFmtId="165" fontId="119" fillId="0" borderId="31" xfId="0" applyNumberFormat="1" applyFont="1" applyBorder="1" applyAlignment="1">
      <alignment horizontal="center" vertical="center"/>
    </xf>
    <xf numFmtId="165" fontId="56" fillId="0" borderId="31" xfId="0" applyNumberFormat="1" applyFont="1" applyBorder="1" applyAlignment="1">
      <alignment horizontal="center" vertical="center"/>
    </xf>
    <xf numFmtId="165" fontId="81" fillId="0" borderId="31" xfId="24615" applyNumberFormat="1" applyFont="1" applyBorder="1" applyAlignment="1">
      <alignment horizontal="center" vertical="center"/>
    </xf>
    <xf numFmtId="165" fontId="64" fillId="0" borderId="31" xfId="24615" applyNumberFormat="1" applyFont="1" applyBorder="1" applyAlignment="1">
      <alignment horizontal="center" vertical="center"/>
    </xf>
    <xf numFmtId="165" fontId="118" fillId="0" borderId="31" xfId="0" applyNumberFormat="1" applyFont="1" applyBorder="1" applyAlignment="1">
      <alignment horizontal="center"/>
    </xf>
    <xf numFmtId="165" fontId="64" fillId="0" borderId="121" xfId="0" applyNumberFormat="1" applyFont="1" applyBorder="1" applyAlignment="1">
      <alignment horizontal="center"/>
    </xf>
    <xf numFmtId="167" fontId="64" fillId="0" borderId="31" xfId="0" applyNumberFormat="1" applyFont="1" applyBorder="1" applyAlignment="1">
      <alignment horizontal="center"/>
    </xf>
    <xf numFmtId="167" fontId="56" fillId="0" borderId="31" xfId="0" applyNumberFormat="1" applyFont="1" applyBorder="1" applyAlignment="1">
      <alignment horizontal="center"/>
    </xf>
    <xf numFmtId="165" fontId="59" fillId="0" borderId="31" xfId="0" applyNumberFormat="1" applyFont="1" applyBorder="1" applyAlignment="1">
      <alignment horizontal="center"/>
    </xf>
    <xf numFmtId="165" fontId="81" fillId="56" borderId="13" xfId="0" applyNumberFormat="1" applyFont="1" applyFill="1" applyBorder="1" applyAlignment="1">
      <alignment horizontal="center" vertical="center"/>
    </xf>
    <xf numFmtId="165" fontId="133" fillId="0" borderId="13" xfId="0" applyNumberFormat="1" applyFont="1" applyBorder="1" applyAlignment="1">
      <alignment horizontal="center" vertical="top"/>
    </xf>
    <xf numFmtId="165" fontId="38" fillId="0" borderId="10" xfId="0" applyNumberFormat="1" applyFont="1" applyBorder="1" applyAlignment="1">
      <alignment horizontal="left" vertical="center"/>
    </xf>
    <xf numFmtId="165" fontId="49" fillId="0" borderId="10" xfId="0" applyNumberFormat="1" applyFont="1" applyBorder="1" applyAlignment="1">
      <alignment horizontal="left" vertical="center"/>
    </xf>
    <xf numFmtId="165" fontId="138" fillId="34" borderId="52" xfId="0" applyNumberFormat="1" applyFont="1" applyFill="1" applyBorder="1" applyAlignment="1">
      <alignment horizontal="center" vertical="center"/>
    </xf>
    <xf numFmtId="0" fontId="49" fillId="0" borderId="22" xfId="24615" applyFont="1" applyBorder="1" applyAlignment="1">
      <alignment horizontal="left" vertical="center"/>
    </xf>
    <xf numFmtId="0" fontId="69" fillId="0" borderId="0" xfId="24615" applyFont="1" applyAlignment="1">
      <alignment horizontal="left"/>
    </xf>
    <xf numFmtId="0" fontId="18" fillId="0" borderId="0" xfId="0" applyFont="1" applyAlignment="1">
      <alignment vertical="center" wrapText="1"/>
    </xf>
    <xf numFmtId="0" fontId="49" fillId="0" borderId="0" xfId="24615" applyFont="1" applyAlignment="1">
      <alignment horizontal="center"/>
    </xf>
    <xf numFmtId="165" fontId="49" fillId="0" borderId="0" xfId="24615" applyNumberFormat="1" applyFont="1" applyAlignment="1">
      <alignment horizontal="center" vertical="top"/>
    </xf>
    <xf numFmtId="165" fontId="80" fillId="0" borderId="0" xfId="24615" applyNumberFormat="1" applyFont="1" applyAlignment="1">
      <alignment horizontal="center" vertical="top"/>
    </xf>
    <xf numFmtId="165" fontId="74" fillId="0" borderId="0" xfId="24615" applyNumberFormat="1" applyFont="1" applyAlignment="1">
      <alignment horizontal="center" vertical="top"/>
    </xf>
    <xf numFmtId="165" fontId="52" fillId="0" borderId="0" xfId="24615" applyNumberFormat="1" applyFont="1" applyAlignment="1">
      <alignment horizontal="center" vertical="center"/>
    </xf>
    <xf numFmtId="2" fontId="64" fillId="0" borderId="0" xfId="24615" applyNumberFormat="1" applyFont="1" applyAlignment="1">
      <alignment horizontal="center" vertical="center"/>
    </xf>
    <xf numFmtId="165" fontId="98" fillId="0" borderId="0" xfId="24615" applyNumberFormat="1" applyFont="1" applyAlignment="1">
      <alignment horizontal="center" vertical="top"/>
    </xf>
    <xf numFmtId="0" fontId="49" fillId="0" borderId="0" xfId="24615" applyFont="1" applyAlignment="1">
      <alignment horizontal="left" vertical="center"/>
    </xf>
    <xf numFmtId="0" fontId="69" fillId="0" borderId="0" xfId="24615" applyFont="1" applyAlignment="1">
      <alignment horizontal="center"/>
    </xf>
    <xf numFmtId="165" fontId="69" fillId="0" borderId="0" xfId="24615" applyNumberFormat="1" applyFont="1" applyAlignment="1">
      <alignment horizontal="center" vertical="center"/>
    </xf>
    <xf numFmtId="165" fontId="69" fillId="0" borderId="0" xfId="24615" applyNumberFormat="1" applyFont="1" applyAlignment="1">
      <alignment horizontal="center" vertical="top"/>
    </xf>
    <xf numFmtId="165" fontId="67" fillId="0" borderId="0" xfId="24615" applyNumberFormat="1" applyFont="1" applyAlignment="1">
      <alignment horizontal="center" vertical="top"/>
    </xf>
    <xf numFmtId="165" fontId="68" fillId="0" borderId="0" xfId="24615" applyNumberFormat="1" applyFont="1" applyAlignment="1">
      <alignment horizontal="center" vertical="top"/>
    </xf>
    <xf numFmtId="165" fontId="52" fillId="0" borderId="12" xfId="0" applyNumberFormat="1" applyFont="1" applyBorder="1" applyAlignment="1">
      <alignment horizontal="center" vertical="center"/>
    </xf>
    <xf numFmtId="2" fontId="64" fillId="0" borderId="122" xfId="0" applyNumberFormat="1" applyFont="1" applyBorder="1" applyAlignment="1">
      <alignment horizontal="center" vertical="center"/>
    </xf>
    <xf numFmtId="2" fontId="64" fillId="0" borderId="51" xfId="0" applyNumberFormat="1" applyFont="1" applyBorder="1" applyAlignment="1">
      <alignment horizontal="center" vertical="center"/>
    </xf>
    <xf numFmtId="2" fontId="68" fillId="0" borderId="122" xfId="0" applyNumberFormat="1" applyFont="1" applyBorder="1" applyAlignment="1">
      <alignment horizontal="center" vertical="center"/>
    </xf>
    <xf numFmtId="2" fontId="68" fillId="0" borderId="51" xfId="0" applyNumberFormat="1" applyFont="1" applyBorder="1" applyAlignment="1">
      <alignment horizontal="center" vertical="center"/>
    </xf>
    <xf numFmtId="2" fontId="81" fillId="0" borderId="51" xfId="0" applyNumberFormat="1" applyFont="1" applyBorder="1" applyAlignment="1">
      <alignment horizontal="center" vertical="center"/>
    </xf>
    <xf numFmtId="2" fontId="38" fillId="0" borderId="51" xfId="0" applyNumberFormat="1" applyFont="1" applyBorder="1" applyAlignment="1">
      <alignment horizontal="center" vertical="center"/>
    </xf>
    <xf numFmtId="2" fontId="68" fillId="0" borderId="54" xfId="0" applyNumberFormat="1" applyFont="1" applyBorder="1" applyAlignment="1">
      <alignment horizontal="center" vertical="center"/>
    </xf>
    <xf numFmtId="2" fontId="68" fillId="0" borderId="31" xfId="0" applyNumberFormat="1" applyFont="1" applyBorder="1" applyAlignment="1">
      <alignment horizontal="center" vertical="center"/>
    </xf>
    <xf numFmtId="2" fontId="38" fillId="0" borderId="31" xfId="0" applyNumberFormat="1" applyFont="1" applyBorder="1" applyAlignment="1">
      <alignment horizontal="center" vertical="center"/>
    </xf>
    <xf numFmtId="2" fontId="64" fillId="0" borderId="123" xfId="0" applyNumberFormat="1" applyFont="1" applyBorder="1" applyAlignment="1">
      <alignment horizontal="center" vertical="top"/>
    </xf>
    <xf numFmtId="2" fontId="64" fillId="0" borderId="124" xfId="0" applyNumberFormat="1" applyFont="1" applyBorder="1" applyAlignment="1">
      <alignment horizontal="center" vertical="top"/>
    </xf>
    <xf numFmtId="2" fontId="64" fillId="0" borderId="124" xfId="0" applyNumberFormat="1" applyFont="1" applyBorder="1" applyAlignment="1">
      <alignment horizontal="center" vertical="center"/>
    </xf>
    <xf numFmtId="2" fontId="68" fillId="0" borderId="123" xfId="0" applyNumberFormat="1" applyFont="1" applyBorder="1" applyAlignment="1">
      <alignment horizontal="center" vertical="top"/>
    </xf>
    <xf numFmtId="2" fontId="68" fillId="0" borderId="124" xfId="0" applyNumberFormat="1" applyFont="1" applyBorder="1" applyAlignment="1">
      <alignment horizontal="center" vertical="top"/>
    </xf>
    <xf numFmtId="2" fontId="81" fillId="0" borderId="124" xfId="0" applyNumberFormat="1" applyFont="1" applyBorder="1" applyAlignment="1">
      <alignment horizontal="center" vertical="center"/>
    </xf>
    <xf numFmtId="2" fontId="68" fillId="0" borderId="124" xfId="0" applyNumberFormat="1" applyFont="1" applyBorder="1" applyAlignment="1">
      <alignment horizontal="center" vertical="center"/>
    </xf>
    <xf numFmtId="2" fontId="81" fillId="0" borderId="124" xfId="0" applyNumberFormat="1" applyFont="1" applyBorder="1" applyAlignment="1">
      <alignment horizontal="center" vertical="top"/>
    </xf>
    <xf numFmtId="2" fontId="38" fillId="0" borderId="124" xfId="0" applyNumberFormat="1" applyFont="1" applyBorder="1" applyAlignment="1">
      <alignment horizontal="center" vertical="top"/>
    </xf>
    <xf numFmtId="2" fontId="38" fillId="0" borderId="124" xfId="0" applyNumberFormat="1" applyFont="1" applyBorder="1" applyAlignment="1">
      <alignment horizontal="center" vertical="center"/>
    </xf>
    <xf numFmtId="2" fontId="64" fillId="0" borderId="68" xfId="0" applyNumberFormat="1" applyFont="1" applyBorder="1" applyAlignment="1">
      <alignment horizontal="center" vertical="top"/>
    </xf>
    <xf numFmtId="2" fontId="64" fillId="0" borderId="91" xfId="0" applyNumberFormat="1" applyFont="1" applyBorder="1" applyAlignment="1">
      <alignment horizontal="center" vertical="top"/>
    </xf>
    <xf numFmtId="2" fontId="64" fillId="0" borderId="70" xfId="0" applyNumberFormat="1" applyFont="1" applyBorder="1" applyAlignment="1">
      <alignment horizontal="center" vertical="top"/>
    </xf>
    <xf numFmtId="2" fontId="64" fillId="0" borderId="126" xfId="0" applyNumberFormat="1" applyFont="1" applyBorder="1" applyAlignment="1">
      <alignment horizontal="center" vertical="top"/>
    </xf>
    <xf numFmtId="165" fontId="38" fillId="0" borderId="125" xfId="0" applyNumberFormat="1" applyFont="1" applyBorder="1"/>
    <xf numFmtId="165" fontId="58" fillId="0" borderId="125" xfId="24615" applyNumberFormat="1" applyFont="1" applyBorder="1" applyAlignment="1">
      <alignment horizontal="center"/>
    </xf>
    <xf numFmtId="165" fontId="98" fillId="0" borderId="125" xfId="24615" applyNumberFormat="1" applyFont="1" applyBorder="1" applyAlignment="1">
      <alignment horizontal="center"/>
    </xf>
    <xf numFmtId="165" fontId="64" fillId="0" borderId="125" xfId="0" applyNumberFormat="1" applyFont="1" applyBorder="1"/>
    <xf numFmtId="0" fontId="99" fillId="0" borderId="41" xfId="0" applyFont="1" applyBorder="1" applyAlignment="1">
      <alignment horizontal="left"/>
    </xf>
    <xf numFmtId="0" fontId="147" fillId="34" borderId="55" xfId="0" applyFont="1" applyFill="1" applyBorder="1" applyAlignment="1">
      <alignment horizontal="left" vertical="center"/>
    </xf>
    <xf numFmtId="0" fontId="147" fillId="34" borderId="52" xfId="0" applyFont="1" applyFill="1" applyBorder="1" applyAlignment="1">
      <alignment horizontal="left" vertical="center"/>
    </xf>
    <xf numFmtId="0" fontId="150" fillId="55" borderId="55" xfId="0" applyFont="1" applyFill="1" applyBorder="1" applyAlignment="1">
      <alignment horizontal="left" vertical="center"/>
    </xf>
    <xf numFmtId="0" fontId="150" fillId="55" borderId="52" xfId="0" applyFont="1" applyFill="1" applyBorder="1" applyAlignment="1">
      <alignment horizontal="left" vertical="center"/>
    </xf>
    <xf numFmtId="165" fontId="148" fillId="34" borderId="52" xfId="0" applyNumberFormat="1" applyFont="1" applyFill="1" applyBorder="1" applyAlignment="1">
      <alignment horizontal="left" vertical="center"/>
    </xf>
    <xf numFmtId="165" fontId="151" fillId="34" borderId="52" xfId="0" applyNumberFormat="1" applyFont="1" applyFill="1" applyBorder="1" applyAlignment="1">
      <alignment horizontal="left" vertical="center"/>
    </xf>
    <xf numFmtId="165" fontId="138" fillId="34" borderId="52" xfId="0" applyNumberFormat="1" applyFont="1" applyFill="1" applyBorder="1" applyAlignment="1">
      <alignment horizontal="left" vertical="center"/>
    </xf>
    <xf numFmtId="0" fontId="149" fillId="34" borderId="52" xfId="0" applyFont="1" applyFill="1" applyBorder="1" applyAlignment="1">
      <alignment horizontal="left" vertical="center"/>
    </xf>
    <xf numFmtId="165" fontId="152" fillId="0" borderId="127" xfId="0" applyNumberFormat="1" applyFont="1" applyBorder="1" applyAlignment="1">
      <alignment vertical="center"/>
    </xf>
    <xf numFmtId="165" fontId="148" fillId="0" borderId="83" xfId="0" applyNumberFormat="1" applyFont="1" applyBorder="1" applyAlignment="1">
      <alignment horizontal="left" vertical="center"/>
    </xf>
    <xf numFmtId="1" fontId="1" fillId="0" borderId="80" xfId="0" applyNumberFormat="1" applyFont="1" applyBorder="1" applyAlignment="1">
      <alignment horizontal="center"/>
    </xf>
    <xf numFmtId="1" fontId="1" fillId="0" borderId="83" xfId="0" applyNumberFormat="1" applyFont="1" applyBorder="1" applyAlignment="1">
      <alignment horizontal="center"/>
    </xf>
    <xf numFmtId="165" fontId="1" fillId="0" borderId="121" xfId="0" applyNumberFormat="1" applyFont="1" applyBorder="1" applyAlignment="1">
      <alignment horizontal="center"/>
    </xf>
    <xf numFmtId="9" fontId="1" fillId="0" borderId="81" xfId="0" applyNumberFormat="1" applyFont="1" applyBorder="1" applyAlignment="1">
      <alignment horizontal="center"/>
    </xf>
    <xf numFmtId="165" fontId="1" fillId="0" borderId="81" xfId="0" applyNumberFormat="1" applyFont="1" applyBorder="1" applyAlignment="1">
      <alignment horizontal="center"/>
    </xf>
    <xf numFmtId="165" fontId="1" fillId="0" borderId="81" xfId="0" applyNumberFormat="1" applyFont="1" applyBorder="1"/>
    <xf numFmtId="165" fontId="1" fillId="0" borderId="80" xfId="0" applyNumberFormat="1" applyFont="1" applyBorder="1"/>
    <xf numFmtId="165" fontId="1" fillId="0" borderId="80" xfId="0" applyNumberFormat="1" applyFont="1" applyBorder="1" applyAlignment="1">
      <alignment horizontal="center"/>
    </xf>
    <xf numFmtId="165" fontId="153" fillId="0" borderId="80" xfId="0" applyNumberFormat="1" applyFont="1" applyBorder="1" applyAlignment="1">
      <alignment horizontal="center" vertical="center"/>
    </xf>
    <xf numFmtId="2" fontId="1" fillId="0" borderId="80" xfId="0" applyNumberFormat="1" applyFont="1" applyBorder="1" applyAlignment="1">
      <alignment horizontal="center" vertical="top"/>
    </xf>
    <xf numFmtId="2" fontId="1" fillId="0" borderId="84" xfId="0" applyNumberFormat="1" applyFont="1" applyBorder="1" applyAlignment="1">
      <alignment horizontal="center" vertical="top"/>
    </xf>
    <xf numFmtId="165" fontId="53" fillId="0" borderId="83" xfId="0" applyNumberFormat="1" applyFont="1" applyBorder="1"/>
    <xf numFmtId="165" fontId="1" fillId="0" borderId="84" xfId="0" applyNumberFormat="1" applyFont="1" applyBorder="1" applyAlignment="1">
      <alignment horizontal="center"/>
    </xf>
    <xf numFmtId="165" fontId="154" fillId="0" borderId="80" xfId="0" applyNumberFormat="1" applyFont="1" applyBorder="1" applyAlignment="1">
      <alignment horizontal="center" vertical="center"/>
    </xf>
    <xf numFmtId="2" fontId="53" fillId="0" borderId="80" xfId="0" applyNumberFormat="1" applyFont="1" applyBorder="1" applyAlignment="1">
      <alignment horizontal="center" vertical="top"/>
    </xf>
    <xf numFmtId="2" fontId="53" fillId="0" borderId="84" xfId="0" applyNumberFormat="1" applyFont="1" applyBorder="1" applyAlignment="1">
      <alignment horizontal="center" vertical="top"/>
    </xf>
    <xf numFmtId="165" fontId="53" fillId="0" borderId="0" xfId="0" applyNumberFormat="1" applyFont="1"/>
    <xf numFmtId="1" fontId="155" fillId="0" borderId="80" xfId="0" applyNumberFormat="1" applyFont="1" applyBorder="1" applyAlignment="1">
      <alignment horizontal="center"/>
    </xf>
    <xf numFmtId="165" fontId="155" fillId="0" borderId="121" xfId="0" applyNumberFormat="1" applyFont="1" applyBorder="1" applyAlignment="1">
      <alignment horizontal="center"/>
    </xf>
    <xf numFmtId="9" fontId="155" fillId="0" borderId="81" xfId="0" applyNumberFormat="1" applyFont="1" applyBorder="1" applyAlignment="1">
      <alignment horizontal="center"/>
    </xf>
    <xf numFmtId="165" fontId="155" fillId="0" borderId="81" xfId="0" applyNumberFormat="1" applyFont="1" applyBorder="1" applyAlignment="1">
      <alignment horizontal="center"/>
    </xf>
    <xf numFmtId="165" fontId="155" fillId="0" borderId="81" xfId="0" applyNumberFormat="1" applyFont="1" applyBorder="1"/>
    <xf numFmtId="165" fontId="155" fillId="0" borderId="80" xfId="0" applyNumberFormat="1" applyFont="1" applyBorder="1"/>
    <xf numFmtId="165" fontId="155" fillId="0" borderId="80" xfId="0" applyNumberFormat="1" applyFont="1" applyBorder="1" applyAlignment="1">
      <alignment horizontal="center"/>
    </xf>
    <xf numFmtId="165" fontId="128" fillId="0" borderId="80" xfId="0" applyNumberFormat="1" applyFont="1" applyBorder="1" applyAlignment="1">
      <alignment horizontal="center" vertical="center"/>
    </xf>
    <xf numFmtId="165" fontId="62" fillId="0" borderId="83" xfId="0" applyNumberFormat="1" applyFont="1" applyBorder="1"/>
    <xf numFmtId="165" fontId="50" fillId="0" borderId="80" xfId="0" applyNumberFormat="1" applyFont="1" applyBorder="1" applyAlignment="1">
      <alignment horizontal="center" vertical="center"/>
    </xf>
    <xf numFmtId="0" fontId="155" fillId="0" borderId="80" xfId="0" applyFont="1" applyBorder="1" applyAlignment="1">
      <alignment horizontal="left"/>
    </xf>
    <xf numFmtId="0" fontId="155" fillId="0" borderId="83" xfId="0" applyFont="1" applyBorder="1" applyAlignment="1">
      <alignment horizontal="center"/>
    </xf>
    <xf numFmtId="165" fontId="155" fillId="0" borderId="80" xfId="0" applyNumberFormat="1" applyFont="1" applyBorder="1" applyAlignment="1">
      <alignment horizontal="center" vertical="top"/>
    </xf>
    <xf numFmtId="2" fontId="156" fillId="0" borderId="80" xfId="0" applyNumberFormat="1" applyFont="1" applyBorder="1" applyAlignment="1">
      <alignment horizontal="center" vertical="top"/>
    </xf>
    <xf numFmtId="2" fontId="156" fillId="0" borderId="84" xfId="0" applyNumberFormat="1" applyFont="1" applyBorder="1" applyAlignment="1">
      <alignment horizontal="center" vertical="top"/>
    </xf>
    <xf numFmtId="0" fontId="155" fillId="0" borderId="79" xfId="0" applyFont="1" applyBorder="1" applyAlignment="1">
      <alignment horizontal="left"/>
    </xf>
    <xf numFmtId="0" fontId="155" fillId="0" borderId="84" xfId="0" applyFont="1" applyBorder="1" applyAlignment="1">
      <alignment horizontal="center"/>
    </xf>
    <xf numFmtId="2" fontId="157" fillId="0" borderId="80" xfId="0" applyNumberFormat="1" applyFont="1" applyBorder="1" applyAlignment="1">
      <alignment horizontal="center" vertical="top"/>
    </xf>
    <xf numFmtId="2" fontId="157" fillId="0" borderId="84" xfId="0" applyNumberFormat="1" applyFont="1" applyBorder="1" applyAlignment="1">
      <alignment horizontal="center" vertical="top"/>
    </xf>
    <xf numFmtId="2" fontId="66" fillId="0" borderId="30" xfId="0" applyNumberFormat="1" applyFont="1" applyBorder="1" applyAlignment="1">
      <alignment horizontal="center" vertical="top" wrapText="1"/>
    </xf>
    <xf numFmtId="165" fontId="64" fillId="0" borderId="13" xfId="24615" applyNumberFormat="1" applyFont="1" applyBorder="1" applyAlignment="1">
      <alignment horizontal="center"/>
    </xf>
    <xf numFmtId="165" fontId="64" fillId="0" borderId="24" xfId="24615" applyNumberFormat="1" applyFont="1" applyBorder="1"/>
    <xf numFmtId="165" fontId="64" fillId="0" borderId="24" xfId="24615" applyNumberFormat="1" applyFont="1" applyBorder="1" applyAlignment="1">
      <alignment horizontal="center"/>
    </xf>
    <xf numFmtId="2" fontId="79" fillId="0" borderId="25" xfId="24615" applyNumberFormat="1" applyFont="1" applyBorder="1" applyAlignment="1">
      <alignment horizontal="center"/>
    </xf>
    <xf numFmtId="2" fontId="66" fillId="0" borderId="30" xfId="24615" applyNumberFormat="1" applyFont="1" applyBorder="1" applyAlignment="1">
      <alignment horizontal="center" vertical="top" wrapText="1"/>
    </xf>
    <xf numFmtId="165" fontId="64" fillId="0" borderId="58" xfId="24615" applyNumberFormat="1" applyFont="1" applyBorder="1"/>
    <xf numFmtId="165" fontId="66" fillId="0" borderId="58" xfId="24615" applyNumberFormat="1" applyFont="1" applyBorder="1" applyAlignment="1">
      <alignment horizontal="center"/>
    </xf>
    <xf numFmtId="0" fontId="122" fillId="0" borderId="0" xfId="24615" applyFont="1"/>
    <xf numFmtId="2" fontId="66" fillId="0" borderId="25" xfId="24615" applyNumberFormat="1" applyFont="1" applyBorder="1" applyAlignment="1">
      <alignment horizontal="center" vertical="top" wrapText="1"/>
    </xf>
    <xf numFmtId="165" fontId="64" fillId="0" borderId="0" xfId="24615" applyNumberFormat="1" applyFont="1"/>
    <xf numFmtId="165" fontId="66" fillId="0" borderId="0" xfId="24615" applyNumberFormat="1" applyFont="1" applyAlignment="1">
      <alignment horizontal="center"/>
    </xf>
    <xf numFmtId="2" fontId="66" fillId="0" borderId="25" xfId="0" applyNumberFormat="1" applyFont="1" applyBorder="1" applyAlignment="1">
      <alignment horizontal="center" vertical="top" wrapText="1"/>
    </xf>
    <xf numFmtId="0" fontId="0" fillId="0" borderId="0" xfId="0" applyAlignment="1">
      <alignment horizontal="center"/>
    </xf>
    <xf numFmtId="165" fontId="84" fillId="0" borderId="0" xfId="0" applyNumberFormat="1" applyFont="1" applyAlignment="1">
      <alignment horizontal="center"/>
    </xf>
    <xf numFmtId="0" fontId="87" fillId="0" borderId="0" xfId="0" applyFont="1" applyAlignment="1">
      <alignment horizontal="center" vertical="center"/>
    </xf>
    <xf numFmtId="165" fontId="100" fillId="0" borderId="71" xfId="0" applyNumberFormat="1" applyFont="1" applyBorder="1" applyAlignment="1">
      <alignment horizontal="center" vertical="center"/>
    </xf>
    <xf numFmtId="0" fontId="100" fillId="0" borderId="62" xfId="0" applyFont="1" applyBorder="1" applyAlignment="1">
      <alignment horizontal="center" vertical="center"/>
    </xf>
    <xf numFmtId="0" fontId="100" fillId="0" borderId="67" xfId="0" applyFont="1" applyBorder="1" applyAlignment="1">
      <alignment horizontal="center" vertical="center"/>
    </xf>
    <xf numFmtId="165" fontId="100" fillId="0" borderId="70" xfId="0" applyNumberFormat="1" applyFont="1" applyBorder="1" applyAlignment="1">
      <alignment horizontal="center" vertical="center"/>
    </xf>
    <xf numFmtId="0" fontId="100" fillId="0" borderId="58" xfId="0" applyFont="1" applyBorder="1" applyAlignment="1">
      <alignment horizontal="center" vertical="center"/>
    </xf>
    <xf numFmtId="0" fontId="100" fillId="0" borderId="65" xfId="0" applyFont="1" applyBorder="1" applyAlignment="1">
      <alignment horizontal="center" vertical="center"/>
    </xf>
    <xf numFmtId="165" fontId="100" fillId="0" borderId="59" xfId="0" applyNumberFormat="1" applyFont="1" applyBorder="1" applyAlignment="1">
      <alignment horizontal="center" vertical="center"/>
    </xf>
    <xf numFmtId="165" fontId="100" fillId="0" borderId="62" xfId="0" applyNumberFormat="1" applyFont="1" applyBorder="1" applyAlignment="1">
      <alignment horizontal="center" vertical="center"/>
    </xf>
    <xf numFmtId="165" fontId="100" fillId="0" borderId="64" xfId="0" applyNumberFormat="1" applyFont="1" applyBorder="1" applyAlignment="1">
      <alignment horizontal="center" vertical="center"/>
    </xf>
    <xf numFmtId="165" fontId="100" fillId="0" borderId="60" xfId="0" applyNumberFormat="1" applyFont="1" applyBorder="1" applyAlignment="1">
      <alignment horizontal="center" vertical="center"/>
    </xf>
    <xf numFmtId="165" fontId="100" fillId="0" borderId="58" xfId="0" applyNumberFormat="1" applyFont="1" applyBorder="1" applyAlignment="1">
      <alignment horizontal="center" vertical="center"/>
    </xf>
    <xf numFmtId="165" fontId="100" fillId="0" borderId="65" xfId="0" applyNumberFormat="1" applyFont="1" applyBorder="1" applyAlignment="1">
      <alignment horizontal="center" vertical="center"/>
    </xf>
    <xf numFmtId="0" fontId="100" fillId="0" borderId="73" xfId="0" applyFont="1" applyBorder="1" applyAlignment="1">
      <alignment horizontal="center" vertical="center"/>
    </xf>
    <xf numFmtId="0" fontId="100" fillId="0" borderId="89" xfId="0" applyFont="1" applyBorder="1" applyAlignment="1">
      <alignment horizontal="center" vertical="center"/>
    </xf>
    <xf numFmtId="0" fontId="100" fillId="0" borderId="90" xfId="0" applyFont="1" applyBorder="1" applyAlignment="1">
      <alignment horizontal="center" vertical="center"/>
    </xf>
    <xf numFmtId="0" fontId="100" fillId="0" borderId="74" xfId="0" applyFont="1" applyBorder="1" applyAlignment="1">
      <alignment horizontal="center" vertical="center"/>
    </xf>
    <xf numFmtId="0" fontId="100" fillId="0" borderId="91" xfId="0" applyFont="1" applyBorder="1" applyAlignment="1">
      <alignment horizontal="center" vertical="center"/>
    </xf>
    <xf numFmtId="0" fontId="100" fillId="0" borderId="78" xfId="0" applyFont="1" applyBorder="1" applyAlignment="1">
      <alignment horizontal="center" vertical="center"/>
    </xf>
    <xf numFmtId="0" fontId="100" fillId="0" borderId="64" xfId="0" applyFont="1" applyBorder="1"/>
    <xf numFmtId="0" fontId="100" fillId="0" borderId="65" xfId="0" applyFont="1" applyBorder="1"/>
    <xf numFmtId="0" fontId="100" fillId="0" borderId="64" xfId="0" applyFont="1" applyBorder="1" applyAlignment="1">
      <alignment horizontal="center" vertical="center"/>
    </xf>
    <xf numFmtId="0" fontId="100" fillId="0" borderId="68" xfId="0" applyFont="1" applyBorder="1" applyAlignment="1">
      <alignment horizontal="center" vertical="center"/>
    </xf>
    <xf numFmtId="0" fontId="147" fillId="34" borderId="55" xfId="0" applyFont="1" applyFill="1" applyBorder="1" applyAlignment="1">
      <alignment horizontal="left" vertical="center"/>
    </xf>
    <xf numFmtId="0" fontId="147" fillId="34" borderId="52" xfId="0" applyFont="1" applyFill="1" applyBorder="1" applyAlignment="1">
      <alignment horizontal="left" vertical="center"/>
    </xf>
    <xf numFmtId="165" fontId="49" fillId="0" borderId="32" xfId="0" applyNumberFormat="1" applyFont="1" applyBorder="1" applyAlignment="1">
      <alignment horizontal="center"/>
    </xf>
    <xf numFmtId="165" fontId="49" fillId="0" borderId="33" xfId="0" applyNumberFormat="1" applyFont="1" applyBorder="1" applyAlignment="1">
      <alignment horizontal="center"/>
    </xf>
    <xf numFmtId="165" fontId="49" fillId="0" borderId="21" xfId="0" applyNumberFormat="1" applyFont="1" applyBorder="1" applyAlignment="1">
      <alignment horizontal="center"/>
    </xf>
    <xf numFmtId="0" fontId="18" fillId="53" borderId="0" xfId="0" applyFont="1" applyFill="1" applyAlignment="1">
      <alignment horizontal="center" vertical="center" wrapText="1"/>
    </xf>
    <xf numFmtId="0" fontId="18" fillId="53" borderId="22" xfId="0" applyFont="1" applyFill="1" applyBorder="1" applyAlignment="1">
      <alignment horizontal="center" vertical="center" wrapText="1"/>
    </xf>
    <xf numFmtId="2" fontId="46" fillId="0" borderId="20" xfId="0" applyNumberFormat="1" applyFont="1" applyBorder="1" applyAlignment="1">
      <alignment horizontal="center"/>
    </xf>
    <xf numFmtId="2" fontId="46" fillId="0" borderId="11" xfId="0" applyNumberFormat="1" applyFont="1" applyBorder="1" applyAlignment="1">
      <alignment horizontal="center"/>
    </xf>
    <xf numFmtId="165" fontId="89" fillId="0" borderId="30" xfId="0" applyNumberFormat="1" applyFont="1" applyBorder="1" applyAlignment="1">
      <alignment horizontal="center" vertical="center" textRotation="90" wrapText="1"/>
    </xf>
    <xf numFmtId="165" fontId="89" fillId="0" borderId="24" xfId="0" applyNumberFormat="1" applyFont="1" applyBorder="1" applyAlignment="1">
      <alignment horizontal="center" vertical="center" textRotation="90" wrapText="1"/>
    </xf>
    <xf numFmtId="165" fontId="90" fillId="0" borderId="24" xfId="0" applyNumberFormat="1" applyFont="1" applyBorder="1" applyAlignment="1">
      <alignment horizontal="center" vertical="center" textRotation="90" wrapText="1"/>
    </xf>
    <xf numFmtId="165" fontId="51" fillId="0" borderId="34" xfId="0" applyNumberFormat="1" applyFont="1" applyBorder="1" applyAlignment="1">
      <alignment horizontal="center" vertical="center" textRotation="90" wrapText="1"/>
    </xf>
    <xf numFmtId="165" fontId="51" fillId="0" borderId="40" xfId="0" applyNumberFormat="1" applyFont="1" applyBorder="1" applyAlignment="1">
      <alignment horizontal="center" vertical="center" textRotation="90" wrapText="1"/>
    </xf>
    <xf numFmtId="165" fontId="51" fillId="0" borderId="35" xfId="0" applyNumberFormat="1" applyFont="1" applyBorder="1" applyAlignment="1">
      <alignment horizontal="center" vertical="center" textRotation="90" wrapText="1"/>
    </xf>
    <xf numFmtId="165" fontId="51" fillId="0" borderId="56" xfId="0" applyNumberFormat="1" applyFont="1" applyBorder="1" applyAlignment="1">
      <alignment horizontal="center" vertical="center" textRotation="90" wrapText="1"/>
    </xf>
    <xf numFmtId="2" fontId="57" fillId="0" borderId="20" xfId="0" applyNumberFormat="1" applyFont="1" applyBorder="1" applyAlignment="1">
      <alignment horizontal="center"/>
    </xf>
    <xf numFmtId="2" fontId="57" fillId="0" borderId="11" xfId="0" applyNumberFormat="1" applyFont="1" applyBorder="1" applyAlignment="1">
      <alignment horizontal="center"/>
    </xf>
    <xf numFmtId="2" fontId="46" fillId="0" borderId="57" xfId="0" applyNumberFormat="1" applyFont="1" applyBorder="1" applyAlignment="1">
      <alignment horizontal="center"/>
    </xf>
    <xf numFmtId="165" fontId="51" fillId="0" borderId="30" xfId="0" applyNumberFormat="1" applyFont="1" applyBorder="1" applyAlignment="1">
      <alignment horizontal="center" vertical="center" textRotation="90" wrapText="1"/>
    </xf>
    <xf numFmtId="165" fontId="23" fillId="0" borderId="24" xfId="0" applyNumberFormat="1" applyFont="1" applyBorder="1" applyAlignment="1">
      <alignment horizontal="center" vertical="center" textRotation="90" wrapText="1"/>
    </xf>
    <xf numFmtId="165" fontId="23" fillId="0" borderId="13" xfId="0" applyNumberFormat="1" applyFont="1" applyBorder="1" applyAlignment="1">
      <alignment horizontal="center" vertical="center" textRotation="90" wrapText="1"/>
    </xf>
    <xf numFmtId="0" fontId="63" fillId="0" borderId="45" xfId="24615" applyFont="1" applyBorder="1" applyAlignment="1">
      <alignment horizontal="left" vertical="center" wrapText="1"/>
    </xf>
    <xf numFmtId="0" fontId="63" fillId="0" borderId="46" xfId="24615" applyFont="1" applyBorder="1" applyAlignment="1">
      <alignment horizontal="left" vertical="center" wrapText="1"/>
    </xf>
    <xf numFmtId="0" fontId="83" fillId="47" borderId="32" xfId="24615" applyFont="1" applyFill="1" applyBorder="1" applyAlignment="1">
      <alignment horizontal="center" vertical="center"/>
    </xf>
    <xf numFmtId="0" fontId="83" fillId="47" borderId="33" xfId="24615" applyFont="1" applyFill="1" applyBorder="1" applyAlignment="1">
      <alignment horizontal="center" vertical="center"/>
    </xf>
    <xf numFmtId="0" fontId="83" fillId="47" borderId="23" xfId="24615" applyFont="1" applyFill="1" applyBorder="1" applyAlignment="1">
      <alignment horizontal="center" vertical="center"/>
    </xf>
    <xf numFmtId="0" fontId="83" fillId="48" borderId="32" xfId="24615" applyFont="1" applyFill="1" applyBorder="1" applyAlignment="1">
      <alignment horizontal="center" vertical="center"/>
    </xf>
    <xf numFmtId="0" fontId="83" fillId="48" borderId="33" xfId="24615" applyFont="1" applyFill="1" applyBorder="1" applyAlignment="1">
      <alignment horizontal="center" vertical="center"/>
    </xf>
    <xf numFmtId="0" fontId="83" fillId="48" borderId="23" xfId="24615" applyFont="1" applyFill="1" applyBorder="1" applyAlignment="1">
      <alignment horizontal="center" vertical="center"/>
    </xf>
    <xf numFmtId="0" fontId="85" fillId="0" borderId="0" xfId="24615" applyFont="1" applyAlignment="1">
      <alignment horizontal="center" vertical="center"/>
    </xf>
    <xf numFmtId="0" fontId="0" fillId="0" borderId="0" xfId="24615" applyFont="1" applyAlignment="1">
      <alignment horizontal="center" vertical="center"/>
    </xf>
    <xf numFmtId="165" fontId="93" fillId="0" borderId="10" xfId="24615" applyNumberFormat="1" applyFont="1" applyBorder="1" applyAlignment="1">
      <alignment horizontal="center"/>
    </xf>
    <xf numFmtId="165" fontId="93" fillId="0" borderId="0" xfId="24615" applyNumberFormat="1" applyFont="1" applyAlignment="1">
      <alignment horizontal="center"/>
    </xf>
    <xf numFmtId="165" fontId="51" fillId="0" borderId="30" xfId="24615" applyNumberFormat="1" applyFont="1" applyBorder="1" applyAlignment="1">
      <alignment horizontal="center" vertical="center" textRotation="90" wrapText="1"/>
    </xf>
    <xf numFmtId="165" fontId="51" fillId="0" borderId="24" xfId="24615" applyNumberFormat="1" applyFont="1" applyBorder="1" applyAlignment="1">
      <alignment horizontal="center" vertical="center" textRotation="90" wrapText="1"/>
    </xf>
    <xf numFmtId="2" fontId="46" fillId="0" borderId="20" xfId="24615" applyNumberFormat="1" applyFont="1" applyBorder="1" applyAlignment="1">
      <alignment horizontal="center"/>
    </xf>
    <xf numFmtId="2" fontId="46" fillId="0" borderId="11" xfId="24615" applyNumberFormat="1" applyFont="1" applyBorder="1" applyAlignment="1">
      <alignment horizontal="center"/>
    </xf>
    <xf numFmtId="165" fontId="51" fillId="0" borderId="13" xfId="24615" applyNumberFormat="1" applyFont="1" applyBorder="1" applyAlignment="1">
      <alignment horizontal="center" vertical="center" textRotation="90" wrapText="1"/>
    </xf>
  </cellXfs>
  <cellStyles count="24616">
    <cellStyle name="20 % - Accent1" xfId="26" builtinId="30" hidden="1"/>
    <cellStyle name="20 % - Accent2" xfId="30" builtinId="34" hidden="1"/>
    <cellStyle name="20 % - Accent3" xfId="34" builtinId="38" hidden="1"/>
    <cellStyle name="20 % - Accent4" xfId="38" builtinId="42" hidden="1"/>
    <cellStyle name="20 % - Accent5" xfId="42" builtinId="46" hidden="1"/>
    <cellStyle name="20 % - Accent6" xfId="46" builtinId="50" hidden="1"/>
    <cellStyle name="40 % - Accent1" xfId="27" builtinId="31" hidden="1"/>
    <cellStyle name="40 % - Accent2" xfId="31" builtinId="35" hidden="1"/>
    <cellStyle name="40 % - Accent3" xfId="35" builtinId="39" hidden="1"/>
    <cellStyle name="40 % - Accent4" xfId="39" builtinId="43" hidden="1"/>
    <cellStyle name="40 % - Accent5" xfId="43" builtinId="47" hidden="1"/>
    <cellStyle name="40 % - Accent6" xfId="47" builtinId="51" hidden="1"/>
    <cellStyle name="60 % - Accent1" xfId="28" builtinId="32" hidden="1"/>
    <cellStyle name="60 % - Accent2" xfId="32" builtinId="36" hidden="1"/>
    <cellStyle name="60 % - Accent3" xfId="36" builtinId="40" hidden="1"/>
    <cellStyle name="60 % - Accent4" xfId="40" builtinId="44" hidden="1"/>
    <cellStyle name="60 % - Accent5" xfId="44" builtinId="48" hidden="1"/>
    <cellStyle name="60 % - Accent6" xfId="48" builtinId="52" hidden="1"/>
    <cellStyle name="Accent1" xfId="25" builtinId="29" hidden="1"/>
    <cellStyle name="Accent2" xfId="29" builtinId="33" hidden="1"/>
    <cellStyle name="Accent3" xfId="33" builtinId="37" hidden="1"/>
    <cellStyle name="Accent4" xfId="37" builtinId="41" hidden="1"/>
    <cellStyle name="Accent5" xfId="41" builtinId="45" hidden="1"/>
    <cellStyle name="Accent6" xfId="45" builtinId="49" hidden="1"/>
    <cellStyle name="Avertissement" xfId="21" builtinId="11" hidden="1"/>
    <cellStyle name="Calcul" xfId="18" builtinId="22" hidden="1"/>
    <cellStyle name="Cellule liée" xfId="19" builtinId="24" hidden="1"/>
    <cellStyle name="Entrée" xfId="16" builtinId="20" hidden="1"/>
    <cellStyle name="Insatisfaisant" xfId="14" builtinId="27" hidden="1"/>
    <cellStyle name="Int_%_Marge" xfId="3664" xr:uid="{00000000-0005-0000-0000-00001E000000}"/>
    <cellStyle name="Int_Remise" xfId="50" xr:uid="{00000000-0005-0000-0000-00001F000000}"/>
    <cellStyle name="Lien hypertexte" xfId="16854" builtinId="8" hidden="1"/>
    <cellStyle name="Lien hypertexte" xfId="16894" builtinId="8" hidden="1"/>
    <cellStyle name="Lien hypertexte" xfId="16932" builtinId="8" hidden="1"/>
    <cellStyle name="Lien hypertexte" xfId="16970" builtinId="8" hidden="1"/>
    <cellStyle name="Lien hypertexte" xfId="17012" builtinId="8" hidden="1"/>
    <cellStyle name="Lien hypertexte" xfId="17050" builtinId="8" hidden="1"/>
    <cellStyle name="Lien hypertexte" xfId="17088" builtinId="8" hidden="1"/>
    <cellStyle name="Lien hypertexte" xfId="17126" builtinId="8" hidden="1"/>
    <cellStyle name="Lien hypertexte" xfId="17166" builtinId="8" hidden="1"/>
    <cellStyle name="Lien hypertexte" xfId="17206" builtinId="8" hidden="1"/>
    <cellStyle name="Lien hypertexte" xfId="17244" builtinId="8" hidden="1"/>
    <cellStyle name="Lien hypertexte" xfId="17284" builtinId="8" hidden="1"/>
    <cellStyle name="Lien hypertexte" xfId="17322" builtinId="8" hidden="1"/>
    <cellStyle name="Lien hypertexte" xfId="17362" builtinId="8" hidden="1"/>
    <cellStyle name="Lien hypertexte" xfId="17400" builtinId="8" hidden="1"/>
    <cellStyle name="Lien hypertexte" xfId="17440" builtinId="8" hidden="1"/>
    <cellStyle name="Lien hypertexte" xfId="17478" builtinId="8" hidden="1"/>
    <cellStyle name="Lien hypertexte" xfId="17516" builtinId="8" hidden="1"/>
    <cellStyle name="Lien hypertexte" xfId="17558" builtinId="8" hidden="1"/>
    <cellStyle name="Lien hypertexte" xfId="17596" builtinId="8" hidden="1"/>
    <cellStyle name="Lien hypertexte" xfId="17634" builtinId="8" hidden="1"/>
    <cellStyle name="Lien hypertexte" xfId="17672" builtinId="8" hidden="1"/>
    <cellStyle name="Lien hypertexte" xfId="17714" builtinId="8" hidden="1"/>
    <cellStyle name="Lien hypertexte" xfId="17752" builtinId="8" hidden="1"/>
    <cellStyle name="Lien hypertexte" xfId="17790" builtinId="8" hidden="1"/>
    <cellStyle name="Lien hypertexte" xfId="17830" builtinId="8" hidden="1"/>
    <cellStyle name="Lien hypertexte" xfId="17868" builtinId="8" hidden="1"/>
    <cellStyle name="Lien hypertexte" xfId="17908" builtinId="8" hidden="1"/>
    <cellStyle name="Lien hypertexte" xfId="17946" builtinId="8" hidden="1"/>
    <cellStyle name="Lien hypertexte" xfId="17986" builtinId="8" hidden="1"/>
    <cellStyle name="Lien hypertexte" xfId="18024" builtinId="8" hidden="1"/>
    <cellStyle name="Lien hypertexte" xfId="18062" builtinId="8" hidden="1"/>
    <cellStyle name="Lien hypertexte" xfId="18104" builtinId="8" hidden="1"/>
    <cellStyle name="Lien hypertexte" xfId="18142" builtinId="8" hidden="1"/>
    <cellStyle name="Lien hypertexte" xfId="18180" builtinId="8" hidden="1"/>
    <cellStyle name="Lien hypertexte" xfId="18218" builtinId="8" hidden="1"/>
    <cellStyle name="Lien hypertexte" xfId="18260" builtinId="8" hidden="1"/>
    <cellStyle name="Lien hypertexte" xfId="18298" builtinId="8" hidden="1"/>
    <cellStyle name="Lien hypertexte" xfId="18353" builtinId="8" hidden="1"/>
    <cellStyle name="Lien hypertexte" xfId="18393" builtinId="8" hidden="1"/>
    <cellStyle name="Lien hypertexte" xfId="18431" builtinId="8" hidden="1"/>
    <cellStyle name="Lien hypertexte" xfId="18471" builtinId="8" hidden="1"/>
    <cellStyle name="Lien hypertexte" xfId="18509" builtinId="8" hidden="1"/>
    <cellStyle name="Lien hypertexte" xfId="18549" builtinId="8" hidden="1"/>
    <cellStyle name="Lien hypertexte" xfId="18587" builtinId="8" hidden="1"/>
    <cellStyle name="Lien hypertexte" xfId="18627" builtinId="8" hidden="1"/>
    <cellStyle name="Lien hypertexte" xfId="18667" builtinId="8" hidden="1"/>
    <cellStyle name="Lien hypertexte" xfId="18705" builtinId="8" hidden="1"/>
    <cellStyle name="Lien hypertexte" xfId="18743" builtinId="8" hidden="1"/>
    <cellStyle name="Lien hypertexte" xfId="18781" builtinId="8" hidden="1"/>
    <cellStyle name="Lien hypertexte" xfId="18823" builtinId="8" hidden="1"/>
    <cellStyle name="Lien hypertexte" xfId="18625" builtinId="8" hidden="1"/>
    <cellStyle name="Lien hypertexte" xfId="18032" builtinId="8" hidden="1"/>
    <cellStyle name="Lien hypertexte" xfId="17424" builtinId="8" hidden="1"/>
    <cellStyle name="Lien hypertexte" xfId="16848" builtinId="8" hidden="1"/>
    <cellStyle name="Lien hypertexte" xfId="16272" builtinId="8" hidden="1"/>
    <cellStyle name="Lien hypertexte" xfId="14644" builtinId="8" hidden="1"/>
    <cellStyle name="Lien hypertexte" xfId="14682" builtinId="8" hidden="1"/>
    <cellStyle name="Lien hypertexte" xfId="14720" builtinId="8" hidden="1"/>
    <cellStyle name="Lien hypertexte" xfId="14756" builtinId="8" hidden="1"/>
    <cellStyle name="Lien hypertexte" xfId="14796" builtinId="8" hidden="1"/>
    <cellStyle name="Lien hypertexte" xfId="14834" builtinId="8" hidden="1"/>
    <cellStyle name="Lien hypertexte" xfId="14870" builtinId="8" hidden="1"/>
    <cellStyle name="Lien hypertexte" xfId="14908" builtinId="8" hidden="1"/>
    <cellStyle name="Lien hypertexte" xfId="14946" builtinId="8" hidden="1"/>
    <cellStyle name="Lien hypertexte" xfId="14984" builtinId="8" hidden="1"/>
    <cellStyle name="Lien hypertexte" xfId="15020" builtinId="8" hidden="1"/>
    <cellStyle name="Lien hypertexte" xfId="15060" builtinId="8" hidden="1"/>
    <cellStyle name="Lien hypertexte" xfId="15098" builtinId="8" hidden="1"/>
    <cellStyle name="Lien hypertexte" xfId="15134" builtinId="8" hidden="1"/>
    <cellStyle name="Lien hypertexte" xfId="15172" builtinId="8" hidden="1"/>
    <cellStyle name="Lien hypertexte" xfId="15210" builtinId="8" hidden="1"/>
    <cellStyle name="Lien hypertexte" xfId="15248" builtinId="8" hidden="1"/>
    <cellStyle name="Lien hypertexte" xfId="15286" builtinId="8" hidden="1"/>
    <cellStyle name="Lien hypertexte" xfId="15324" builtinId="8" hidden="1"/>
    <cellStyle name="Lien hypertexte" xfId="15362" builtinId="8" hidden="1"/>
    <cellStyle name="Lien hypertexte" xfId="15398" builtinId="8" hidden="1"/>
    <cellStyle name="Lien hypertexte" xfId="15436" builtinId="8" hidden="1"/>
    <cellStyle name="Lien hypertexte" xfId="15476" builtinId="8" hidden="1"/>
    <cellStyle name="Lien hypertexte" xfId="15512" builtinId="8" hidden="1"/>
    <cellStyle name="Lien hypertexte" xfId="15550" builtinId="8" hidden="1"/>
    <cellStyle name="Lien hypertexte" xfId="15588" builtinId="8" hidden="1"/>
    <cellStyle name="Lien hypertexte" xfId="15626" builtinId="8" hidden="1"/>
    <cellStyle name="Lien hypertexte" xfId="15662" builtinId="8" hidden="1"/>
    <cellStyle name="Lien hypertexte" xfId="15700" builtinId="8" hidden="1"/>
    <cellStyle name="Lien hypertexte" xfId="15740" builtinId="8" hidden="1"/>
    <cellStyle name="Lien hypertexte" xfId="15776" builtinId="8" hidden="1"/>
    <cellStyle name="Lien hypertexte" xfId="15814" builtinId="8" hidden="1"/>
    <cellStyle name="Lien hypertexte" xfId="15852" builtinId="8" hidden="1"/>
    <cellStyle name="Lien hypertexte" xfId="15890" builtinId="8" hidden="1"/>
    <cellStyle name="Lien hypertexte" xfId="15928" builtinId="8" hidden="1"/>
    <cellStyle name="Lien hypertexte" xfId="15024" builtinId="8" hidden="1"/>
    <cellStyle name="Lien hypertexte" xfId="676" builtinId="8" hidden="1"/>
    <cellStyle name="Lien hypertexte" xfId="714" builtinId="8" hidden="1"/>
    <cellStyle name="Lien hypertexte" xfId="750" builtinId="8" hidden="1"/>
    <cellStyle name="Lien hypertexte" xfId="788" builtinId="8" hidden="1"/>
    <cellStyle name="Lien hypertexte" xfId="824" builtinId="8" hidden="1"/>
    <cellStyle name="Lien hypertexte" xfId="862" builtinId="8" hidden="1"/>
    <cellStyle name="Lien hypertexte" xfId="898" builtinId="8" hidden="1"/>
    <cellStyle name="Lien hypertexte" xfId="936" builtinId="8" hidden="1"/>
    <cellStyle name="Lien hypertexte" xfId="974" builtinId="8" hidden="1"/>
    <cellStyle name="Lien hypertexte" xfId="1010" builtinId="8" hidden="1"/>
    <cellStyle name="Lien hypertexte" xfId="1048" builtinId="8" hidden="1"/>
    <cellStyle name="Lien hypertexte" xfId="1084" builtinId="8" hidden="1"/>
    <cellStyle name="Lien hypertexte" xfId="1122" builtinId="8" hidden="1"/>
    <cellStyle name="Lien hypertexte" xfId="3661" builtinId="8" hidden="1"/>
    <cellStyle name="Lien hypertexte" xfId="14550" builtinId="8" hidden="1"/>
    <cellStyle name="Lien hypertexte" xfId="14588" builtinId="8" hidden="1"/>
    <cellStyle name="Lien hypertexte" xfId="14624" builtinId="8" hidden="1"/>
    <cellStyle name="Lien hypertexte" xfId="372" builtinId="8" hidden="1"/>
    <cellStyle name="Lien hypertexte" xfId="408" builtinId="8" hidden="1"/>
    <cellStyle name="Lien hypertexte" xfId="444" builtinId="8" hidden="1"/>
    <cellStyle name="Lien hypertexte" xfId="482" builtinId="8" hidden="1"/>
    <cellStyle name="Lien hypertexte" xfId="520" builtinId="8" hidden="1"/>
    <cellStyle name="Lien hypertexte" xfId="556" builtinId="8" hidden="1"/>
    <cellStyle name="Lien hypertexte" xfId="592" builtinId="8" hidden="1"/>
    <cellStyle name="Lien hypertexte" xfId="630" builtinId="8" hidden="1"/>
    <cellStyle name="Lien hypertexte" xfId="210" builtinId="8" hidden="1"/>
    <cellStyle name="Lien hypertexte" xfId="246" builtinId="8" hidden="1"/>
    <cellStyle name="Lien hypertexte" xfId="282" builtinId="8" hidden="1"/>
    <cellStyle name="Lien hypertexte" xfId="320" builtinId="8" hidden="1"/>
    <cellStyle name="Lien hypertexte" xfId="132" builtinId="8" hidden="1"/>
    <cellStyle name="Lien hypertexte" xfId="168" builtinId="8" hidden="1"/>
    <cellStyle name="Lien hypertexte" xfId="94" builtinId="8" hidden="1"/>
    <cellStyle name="Lien hypertexte" xfId="74" builtinId="8" hidden="1"/>
    <cellStyle name="Lien hypertexte" xfId="108" builtinId="8" hidden="1"/>
    <cellStyle name="Lien hypertexte" xfId="644" builtinId="8" hidden="1"/>
    <cellStyle name="Lien hypertexte" xfId="386" builtinId="8" hidden="1"/>
    <cellStyle name="Lien hypertexte" xfId="1062" builtinId="8" hidden="1"/>
    <cellStyle name="Lien hypertexte" xfId="802" builtinId="8" hidden="1"/>
    <cellStyle name="Lien hypertexte" xfId="15868" builtinId="8" hidden="1"/>
    <cellStyle name="Lien hypertexte" xfId="15604" builtinId="8" hidden="1"/>
    <cellStyle name="Lien hypertexte" xfId="15338" builtinId="8" hidden="1"/>
    <cellStyle name="Lien hypertexte" xfId="15074" builtinId="8" hidden="1"/>
    <cellStyle name="Lien hypertexte" xfId="14810" builtinId="8" hidden="1"/>
    <cellStyle name="Lien hypertexte" xfId="17200" builtinId="8" hidden="1"/>
    <cellStyle name="Lien hypertexte" xfId="18681" builtinId="8" hidden="1"/>
    <cellStyle name="Lien hypertexte" xfId="18409" builtinId="8" hidden="1"/>
    <cellStyle name="Lien hypertexte" xfId="18118" builtinId="8" hidden="1"/>
    <cellStyle name="Lien hypertexte" xfId="17846" builtinId="8" hidden="1"/>
    <cellStyle name="Lien hypertexte" xfId="17572" builtinId="8" hidden="1"/>
    <cellStyle name="Lien hypertexte" xfId="17300" builtinId="8" hidden="1"/>
    <cellStyle name="Lien hypertexte" xfId="17026" builtinId="8" hidden="1"/>
    <cellStyle name="Lien hypertexte" xfId="16754" builtinId="8" hidden="1"/>
    <cellStyle name="Lien hypertexte" xfId="16480" builtinId="8" hidden="1"/>
    <cellStyle name="Lien hypertexte" xfId="16206" builtinId="8" hidden="1"/>
    <cellStyle name="Lien hypertexte" xfId="18849" builtinId="8" hidden="1"/>
    <cellStyle name="Lien hypertexte" xfId="20897" builtinId="8" hidden="1"/>
    <cellStyle name="Lien hypertexte" xfId="21767" builtinId="8" hidden="1"/>
    <cellStyle name="Lien hypertexte" xfId="21805" builtinId="8" hidden="1"/>
    <cellStyle name="Lien hypertexte" xfId="21845" builtinId="8" hidden="1"/>
    <cellStyle name="Lien hypertexte" xfId="21883" builtinId="8" hidden="1"/>
    <cellStyle name="Lien hypertexte" xfId="21923" builtinId="8" hidden="1"/>
    <cellStyle name="Lien hypertexte" xfId="21961" builtinId="8" hidden="1"/>
    <cellStyle name="Lien hypertexte" xfId="21999" builtinId="8" hidden="1"/>
    <cellStyle name="Lien hypertexte" xfId="22039" builtinId="8" hidden="1"/>
    <cellStyle name="Lien hypertexte" xfId="22077" builtinId="8" hidden="1"/>
    <cellStyle name="Lien hypertexte" xfId="22117" builtinId="8" hidden="1"/>
    <cellStyle name="Lien hypertexte" xfId="22155" builtinId="8" hidden="1"/>
    <cellStyle name="Lien hypertexte" xfId="22195" builtinId="8" hidden="1"/>
    <cellStyle name="Lien hypertexte" xfId="22233" builtinId="8" hidden="1"/>
    <cellStyle name="Lien hypertexte" xfId="22275" builtinId="8" hidden="1"/>
    <cellStyle name="Lien hypertexte" xfId="22313" builtinId="8" hidden="1"/>
    <cellStyle name="Lien hypertexte" xfId="22351" builtinId="8" hidden="1"/>
    <cellStyle name="Lien hypertexte" xfId="22391" builtinId="8" hidden="1"/>
    <cellStyle name="Lien hypertexte" xfId="22429" builtinId="8" hidden="1"/>
    <cellStyle name="Lien hypertexte" xfId="22469" builtinId="8" hidden="1"/>
    <cellStyle name="Lien hypertexte" xfId="22507" builtinId="8" hidden="1"/>
    <cellStyle name="Lien hypertexte" xfId="22547" builtinId="8" hidden="1"/>
    <cellStyle name="Lien hypertexte" xfId="22585" builtinId="8" hidden="1"/>
    <cellStyle name="Lien hypertexte" xfId="22623" builtinId="8" hidden="1"/>
    <cellStyle name="Lien hypertexte" xfId="22663" builtinId="8" hidden="1"/>
    <cellStyle name="Lien hypertexte" xfId="22701" builtinId="8" hidden="1"/>
    <cellStyle name="Lien hypertexte" xfId="22741" builtinId="8" hidden="1"/>
    <cellStyle name="Lien hypertexte" xfId="22779" builtinId="8" hidden="1"/>
    <cellStyle name="Lien hypertexte" xfId="22819" builtinId="8" hidden="1"/>
    <cellStyle name="Lien hypertexte" xfId="22859" builtinId="8" hidden="1"/>
    <cellStyle name="Lien hypertexte" xfId="22899" builtinId="8" hidden="1"/>
    <cellStyle name="Lien hypertexte" xfId="22937" builtinId="8" hidden="1"/>
    <cellStyle name="Lien hypertexte" xfId="22975" builtinId="8" hidden="1"/>
    <cellStyle name="Lien hypertexte" xfId="23015" builtinId="8" hidden="1"/>
    <cellStyle name="Lien hypertexte" xfId="23053" builtinId="8" hidden="1"/>
    <cellStyle name="Lien hypertexte" xfId="23093" builtinId="8" hidden="1"/>
    <cellStyle name="Lien hypertexte" xfId="23131" builtinId="8" hidden="1"/>
    <cellStyle name="Lien hypertexte" xfId="23171" builtinId="8" hidden="1"/>
    <cellStyle name="Lien hypertexte" xfId="23209" builtinId="8" hidden="1"/>
    <cellStyle name="Lien hypertexte" xfId="23247" builtinId="8" hidden="1"/>
    <cellStyle name="Lien hypertexte" xfId="23287" builtinId="8" hidden="1"/>
    <cellStyle name="Lien hypertexte" xfId="23325" builtinId="8" hidden="1"/>
    <cellStyle name="Lien hypertexte" xfId="23365" builtinId="8" hidden="1"/>
    <cellStyle name="Lien hypertexte" xfId="23403" builtinId="8" hidden="1"/>
    <cellStyle name="Lien hypertexte" xfId="23445" builtinId="8" hidden="1"/>
    <cellStyle name="Lien hypertexte" xfId="23483" builtinId="8" hidden="1"/>
    <cellStyle name="Lien hypertexte" xfId="23523" builtinId="8" hidden="1"/>
    <cellStyle name="Lien hypertexte" xfId="23561" builtinId="8" hidden="1"/>
    <cellStyle name="Lien hypertexte" xfId="23599" builtinId="8" hidden="1"/>
    <cellStyle name="Lien hypertexte" xfId="23639" builtinId="8" hidden="1"/>
    <cellStyle name="Lien hypertexte" xfId="23677" builtinId="8" hidden="1"/>
    <cellStyle name="Lien hypertexte" xfId="23717" builtinId="8" hidden="1"/>
    <cellStyle name="Lien hypertexte" xfId="23755" builtinId="8" hidden="1"/>
    <cellStyle name="Lien hypertexte" xfId="23795" builtinId="8" hidden="1"/>
    <cellStyle name="Lien hypertexte" xfId="23833" builtinId="8" hidden="1"/>
    <cellStyle name="Lien hypertexte" xfId="23871" builtinId="8" hidden="1"/>
    <cellStyle name="Lien hypertexte" xfId="23911" builtinId="8" hidden="1"/>
    <cellStyle name="Lien hypertexte" xfId="23949" builtinId="8" hidden="1"/>
    <cellStyle name="Lien hypertexte" xfId="23989" builtinId="8" hidden="1"/>
    <cellStyle name="Lien hypertexte" xfId="24029" builtinId="8" hidden="1"/>
    <cellStyle name="Lien hypertexte" xfId="24069" builtinId="8" hidden="1"/>
    <cellStyle name="Lien hypertexte" xfId="24107" builtinId="8" hidden="1"/>
    <cellStyle name="Lien hypertexte" xfId="24147" builtinId="8" hidden="1"/>
    <cellStyle name="Lien hypertexte" xfId="24185" builtinId="8" hidden="1"/>
    <cellStyle name="Lien hypertexte" xfId="24223" builtinId="8" hidden="1"/>
    <cellStyle name="Lien hypertexte" xfId="24263" builtinId="8" hidden="1"/>
    <cellStyle name="Lien hypertexte" xfId="24301" builtinId="8" hidden="1"/>
    <cellStyle name="Lien hypertexte" xfId="24341" builtinId="8" hidden="1"/>
    <cellStyle name="Lien hypertexte" xfId="24379" builtinId="8" hidden="1"/>
    <cellStyle name="Lien hypertexte" xfId="24419" builtinId="8" hidden="1"/>
    <cellStyle name="Lien hypertexte" xfId="24457" builtinId="8" hidden="1"/>
    <cellStyle name="Lien hypertexte" xfId="24495" builtinId="8" hidden="1"/>
    <cellStyle name="Lien hypertexte" xfId="24535" builtinId="8" hidden="1"/>
    <cellStyle name="Lien hypertexte" xfId="24573" builtinId="8" hidden="1"/>
    <cellStyle name="Lien hypertexte" xfId="24593" builtinId="8" hidden="1"/>
    <cellStyle name="Lien hypertexte" xfId="24321" builtinId="8" hidden="1"/>
    <cellStyle name="Lien hypertexte" xfId="24049" builtinId="8" hidden="1"/>
    <cellStyle name="Lien hypertexte" xfId="23777" builtinId="8" hidden="1"/>
    <cellStyle name="Lien hypertexte" xfId="23505" builtinId="8" hidden="1"/>
    <cellStyle name="Lien hypertexte" xfId="23233" builtinId="8" hidden="1"/>
    <cellStyle name="Lien hypertexte" xfId="22961" builtinId="8" hidden="1"/>
    <cellStyle name="Lien hypertexte" xfId="22689" builtinId="8" hidden="1"/>
    <cellStyle name="Lien hypertexte" xfId="22417" builtinId="8" hidden="1"/>
    <cellStyle name="Lien hypertexte" xfId="22145" builtinId="8" hidden="1"/>
    <cellStyle name="Lien hypertexte" xfId="21873" builtinId="8" hidden="1"/>
    <cellStyle name="Lien hypertexte" xfId="21601" builtinId="8" hidden="1"/>
    <cellStyle name="Lien hypertexte" xfId="24539" builtinId="8" hidden="1"/>
    <cellStyle name="Lien hypertexte" xfId="23955" builtinId="8" hidden="1"/>
    <cellStyle name="Lien hypertexte" xfId="23369" builtinId="8" hidden="1"/>
    <cellStyle name="Lien hypertexte" xfId="22783" builtinId="8" hidden="1"/>
    <cellStyle name="Lien hypertexte" xfId="22199" builtinId="8" hidden="1"/>
    <cellStyle name="Lien hypertexte" xfId="20253" builtinId="8" hidden="1"/>
    <cellStyle name="Lien hypertexte" xfId="20293" builtinId="8" hidden="1"/>
    <cellStyle name="Lien hypertexte" xfId="20329" builtinId="8" hidden="1"/>
    <cellStyle name="Lien hypertexte" xfId="20367" builtinId="8" hidden="1"/>
    <cellStyle name="Lien hypertexte" xfId="20405" builtinId="8" hidden="1"/>
    <cellStyle name="Lien hypertexte" xfId="20443" builtinId="8" hidden="1"/>
    <cellStyle name="Lien hypertexte" xfId="20483" builtinId="8" hidden="1"/>
    <cellStyle name="Lien hypertexte" xfId="20519" builtinId="8" hidden="1"/>
    <cellStyle name="Lien hypertexte" xfId="20557" builtinId="8" hidden="1"/>
    <cellStyle name="Lien hypertexte" xfId="20595" builtinId="8" hidden="1"/>
    <cellStyle name="Lien hypertexte" xfId="20633" builtinId="8" hidden="1"/>
    <cellStyle name="Lien hypertexte" xfId="20669" builtinId="8" hidden="1"/>
    <cellStyle name="Lien hypertexte" xfId="20709" builtinId="8" hidden="1"/>
    <cellStyle name="Lien hypertexte" xfId="20745" builtinId="8" hidden="1"/>
    <cellStyle name="Lien hypertexte" xfId="20783" builtinId="8" hidden="1"/>
    <cellStyle name="Lien hypertexte" xfId="20821" builtinId="8" hidden="1"/>
    <cellStyle name="Lien hypertexte" xfId="20859" builtinId="8" hidden="1"/>
    <cellStyle name="Lien hypertexte" xfId="20895" builtinId="8" hidden="1"/>
    <cellStyle name="Lien hypertexte" xfId="20935" builtinId="8" hidden="1"/>
    <cellStyle name="Lien hypertexte" xfId="20971" builtinId="8" hidden="1"/>
    <cellStyle name="Lien hypertexte" xfId="21011" builtinId="8" hidden="1"/>
    <cellStyle name="Lien hypertexte" xfId="21047" builtinId="8" hidden="1"/>
    <cellStyle name="Lien hypertexte" xfId="21085" builtinId="8" hidden="1"/>
    <cellStyle name="Lien hypertexte" xfId="21123" builtinId="8" hidden="1"/>
    <cellStyle name="Lien hypertexte" xfId="21161" builtinId="8" hidden="1"/>
    <cellStyle name="Lien hypertexte" xfId="21197" builtinId="8" hidden="1"/>
    <cellStyle name="Lien hypertexte" xfId="21237" builtinId="8" hidden="1"/>
    <cellStyle name="Lien hypertexte" xfId="21273" builtinId="8" hidden="1"/>
    <cellStyle name="Lien hypertexte" xfId="21311" builtinId="8" hidden="1"/>
    <cellStyle name="Lien hypertexte" xfId="21349" builtinId="8" hidden="1"/>
    <cellStyle name="Lien hypertexte" xfId="21387" builtinId="8" hidden="1"/>
    <cellStyle name="Lien hypertexte" xfId="21423" builtinId="8" hidden="1"/>
    <cellStyle name="Lien hypertexte" xfId="21463" builtinId="8" hidden="1"/>
    <cellStyle name="Lien hypertexte" xfId="21499" builtinId="8" hidden="1"/>
    <cellStyle name="Lien hypertexte" xfId="21539" builtinId="8" hidden="1"/>
    <cellStyle name="Lien hypertexte" xfId="21575" builtinId="8" hidden="1"/>
    <cellStyle name="Lien hypertexte" xfId="21613" builtinId="8" hidden="1"/>
    <cellStyle name="Lien hypertexte" xfId="21653" builtinId="8" hidden="1"/>
    <cellStyle name="Lien hypertexte" xfId="21689" builtinId="8" hidden="1"/>
    <cellStyle name="Lien hypertexte" xfId="21727" builtinId="8" hidden="1"/>
    <cellStyle name="Lien hypertexte" xfId="20991" builtinId="8" hidden="1"/>
    <cellStyle name="Lien hypertexte" xfId="19547" builtinId="8" hidden="1"/>
    <cellStyle name="Lien hypertexte" xfId="19583" builtinId="8" hidden="1"/>
    <cellStyle name="Lien hypertexte" xfId="19623" builtinId="8" hidden="1"/>
    <cellStyle name="Lien hypertexte" xfId="19659" builtinId="8" hidden="1"/>
    <cellStyle name="Lien hypertexte" xfId="19695" builtinId="8" hidden="1"/>
    <cellStyle name="Lien hypertexte" xfId="19733" builtinId="8" hidden="1"/>
    <cellStyle name="Lien hypertexte" xfId="19771" builtinId="8" hidden="1"/>
    <cellStyle name="Lien hypertexte" xfId="19807" builtinId="8" hidden="1"/>
    <cellStyle name="Lien hypertexte" xfId="19845" builtinId="8" hidden="1"/>
    <cellStyle name="Lien hypertexte" xfId="19881" builtinId="8" hidden="1"/>
    <cellStyle name="Lien hypertexte" xfId="19919" builtinId="8" hidden="1"/>
    <cellStyle name="Lien hypertexte" xfId="19957" builtinId="8" hidden="1"/>
    <cellStyle name="Lien hypertexte" xfId="19993" builtinId="8" hidden="1"/>
    <cellStyle name="Lien hypertexte" xfId="20029" builtinId="8" hidden="1"/>
    <cellStyle name="Lien hypertexte" xfId="20069" builtinId="8" hidden="1"/>
    <cellStyle name="Lien hypertexte" xfId="20105" builtinId="8" hidden="1"/>
    <cellStyle name="Lien hypertexte" xfId="20141" builtinId="8" hidden="1"/>
    <cellStyle name="Lien hypertexte" xfId="20179" builtinId="8" hidden="1"/>
    <cellStyle name="Lien hypertexte" xfId="20217" builtinId="8" hidden="1"/>
    <cellStyle name="Lien hypertexte" xfId="19749" builtinId="8" hidden="1"/>
    <cellStyle name="Lien hypertexte" xfId="19221" builtinId="8" hidden="1"/>
    <cellStyle name="Lien hypertexte" xfId="19257" builtinId="8" hidden="1"/>
    <cellStyle name="Lien hypertexte" xfId="19293" builtinId="8" hidden="1"/>
    <cellStyle name="Lien hypertexte" xfId="19333" builtinId="8" hidden="1"/>
    <cellStyle name="Lien hypertexte" xfId="19369" builtinId="8" hidden="1"/>
    <cellStyle name="Lien hypertexte" xfId="19405" builtinId="8" hidden="1"/>
    <cellStyle name="Lien hypertexte" xfId="19443" builtinId="8" hidden="1"/>
    <cellStyle name="Lien hypertexte" xfId="19479" builtinId="8" hidden="1"/>
    <cellStyle name="Lien hypertexte" xfId="19515" builtinId="8" hidden="1"/>
    <cellStyle name="Lien hypertexte" xfId="19031" builtinId="8" hidden="1"/>
    <cellStyle name="Lien hypertexte" xfId="19067" builtinId="8" hidden="1"/>
    <cellStyle name="Lien hypertexte" xfId="19103" builtinId="8" hidden="1"/>
    <cellStyle name="Lien hypertexte" xfId="19141" builtinId="8" hidden="1"/>
    <cellStyle name="Lien hypertexte" xfId="19177" builtinId="8" hidden="1"/>
    <cellStyle name="Lien hypertexte" xfId="18957" builtinId="8" hidden="1"/>
    <cellStyle name="Lien hypertexte" xfId="18995" builtinId="8" hidden="1"/>
    <cellStyle name="Lien hypertexte" xfId="18903" builtinId="8" hidden="1"/>
    <cellStyle name="Lien hypertexte" xfId="18875" builtinId="8" hidden="1"/>
    <cellStyle name="Lien hypertexte" xfId="18851" builtinId="8" hidden="1"/>
    <cellStyle name="Lien hypertexte" xfId="18869" builtinId="8" hidden="1"/>
    <cellStyle name="Lien hypertexte" xfId="18895" builtinId="8" hidden="1"/>
    <cellStyle name="Lien hypertexte" xfId="18987" builtinId="8" hidden="1"/>
    <cellStyle name="Lien hypertexte" xfId="18951" builtinId="8" hidden="1"/>
    <cellStyle name="Lien hypertexte" xfId="19171" builtinId="8" hidden="1"/>
    <cellStyle name="Lien hypertexte" xfId="19133" builtinId="8" hidden="1"/>
    <cellStyle name="Lien hypertexte" xfId="19097" builtinId="8" hidden="1"/>
    <cellStyle name="Lien hypertexte" xfId="19061" builtinId="8" hidden="1"/>
    <cellStyle name="Lien hypertexte" xfId="19023" builtinId="8" hidden="1"/>
    <cellStyle name="Lien hypertexte" xfId="19509" builtinId="8" hidden="1"/>
    <cellStyle name="Lien hypertexte" xfId="19471" builtinId="8" hidden="1"/>
    <cellStyle name="Lien hypertexte" xfId="19435" builtinId="8" hidden="1"/>
    <cellStyle name="Lien hypertexte" xfId="19399" builtinId="8" hidden="1"/>
    <cellStyle name="Lien hypertexte" xfId="19363" builtinId="8" hidden="1"/>
    <cellStyle name="Lien hypertexte" xfId="19325" builtinId="8" hidden="1"/>
    <cellStyle name="Lien hypertexte" xfId="19287" builtinId="8" hidden="1"/>
    <cellStyle name="Lien hypertexte" xfId="19251" builtinId="8" hidden="1"/>
    <cellStyle name="Lien hypertexte" xfId="19213" builtinId="8" hidden="1"/>
    <cellStyle name="Lien hypertexte" xfId="20187" builtinId="8" hidden="1"/>
    <cellStyle name="Lien hypertexte" xfId="20211" builtinId="8" hidden="1"/>
    <cellStyle name="Lien hypertexte" xfId="20171" builtinId="8" hidden="1"/>
    <cellStyle name="Lien hypertexte" xfId="20135" builtinId="8" hidden="1"/>
    <cellStyle name="Lien hypertexte" xfId="20099" builtinId="8" hidden="1"/>
    <cellStyle name="Lien hypertexte" xfId="20061" builtinId="8" hidden="1"/>
    <cellStyle name="Lien hypertexte" xfId="20023" builtinId="8" hidden="1"/>
    <cellStyle name="Lien hypertexte" xfId="19987" builtinId="8" hidden="1"/>
    <cellStyle name="Lien hypertexte" xfId="19949" builtinId="8" hidden="1"/>
    <cellStyle name="Lien hypertexte" xfId="19913" builtinId="8" hidden="1"/>
    <cellStyle name="Lien hypertexte" xfId="19875" builtinId="8" hidden="1"/>
    <cellStyle name="Lien hypertexte" xfId="19837" builtinId="8" hidden="1"/>
    <cellStyle name="Lien hypertexte" xfId="19801" builtinId="8" hidden="1"/>
    <cellStyle name="Lien hypertexte" xfId="19765" builtinId="8" hidden="1"/>
    <cellStyle name="Lien hypertexte" xfId="19725" builtinId="8" hidden="1"/>
    <cellStyle name="Lien hypertexte" xfId="19689" builtinId="8" hidden="1"/>
    <cellStyle name="Lien hypertexte" xfId="19653" builtinId="8" hidden="1"/>
    <cellStyle name="Lien hypertexte" xfId="19615" builtinId="8" hidden="1"/>
    <cellStyle name="Lien hypertexte" xfId="19577" builtinId="8" hidden="1"/>
    <cellStyle name="Lien hypertexte" xfId="19541" builtinId="8" hidden="1"/>
    <cellStyle name="Lien hypertexte" xfId="21211" builtinId="8" hidden="1"/>
    <cellStyle name="Lien hypertexte" xfId="21719" builtinId="8" hidden="1"/>
    <cellStyle name="Lien hypertexte" xfId="21683" builtinId="8" hidden="1"/>
    <cellStyle name="Lien hypertexte" xfId="21643" builtinId="8" hidden="1"/>
    <cellStyle name="Lien hypertexte" xfId="21607" builtinId="8" hidden="1"/>
    <cellStyle name="Lien hypertexte" xfId="21567" builtinId="8" hidden="1"/>
    <cellStyle name="Lien hypertexte" xfId="21531" builtinId="8" hidden="1"/>
    <cellStyle name="Lien hypertexte" xfId="21493" builtinId="8" hidden="1"/>
    <cellStyle name="Lien hypertexte" xfId="21455" builtinId="8" hidden="1"/>
    <cellStyle name="Lien hypertexte" xfId="21417" builtinId="8" hidden="1"/>
    <cellStyle name="Lien hypertexte" xfId="21381" builtinId="8" hidden="1"/>
    <cellStyle name="Lien hypertexte" xfId="21341" builtinId="8" hidden="1"/>
    <cellStyle name="Lien hypertexte" xfId="21305" builtinId="8" hidden="1"/>
    <cellStyle name="Lien hypertexte" xfId="21267" builtinId="8" hidden="1"/>
    <cellStyle name="Lien hypertexte" xfId="21229" builtinId="8" hidden="1"/>
    <cellStyle name="Lien hypertexte" xfId="21191" builtinId="8" hidden="1"/>
    <cellStyle name="Lien hypertexte" xfId="21155" builtinId="8" hidden="1"/>
    <cellStyle name="Lien hypertexte" xfId="21115" builtinId="8" hidden="1"/>
    <cellStyle name="Lien hypertexte" xfId="21079" builtinId="8" hidden="1"/>
    <cellStyle name="Lien hypertexte" xfId="21039" builtinId="8" hidden="1"/>
    <cellStyle name="Lien hypertexte" xfId="21003" builtinId="8" hidden="1"/>
    <cellStyle name="Lien hypertexte" xfId="20965" builtinId="8" hidden="1"/>
    <cellStyle name="Lien hypertexte" xfId="20927" builtinId="8" hidden="1"/>
    <cellStyle name="Lien hypertexte" xfId="20889" builtinId="8" hidden="1"/>
    <cellStyle name="Lien hypertexte" xfId="20853" builtinId="8" hidden="1"/>
    <cellStyle name="Lien hypertexte" xfId="20813" builtinId="8" hidden="1"/>
    <cellStyle name="Lien hypertexte" xfId="20777" builtinId="8" hidden="1"/>
    <cellStyle name="Lien hypertexte" xfId="20739" builtinId="8" hidden="1"/>
    <cellStyle name="Lien hypertexte" xfId="20701" builtinId="8" hidden="1"/>
    <cellStyle name="Lien hypertexte" xfId="20663" builtinId="8" hidden="1"/>
    <cellStyle name="Lien hypertexte" xfId="20623" builtinId="8" hidden="1"/>
    <cellStyle name="Lien hypertexte" xfId="20587" builtinId="8" hidden="1"/>
    <cellStyle name="Lien hypertexte" xfId="20549" builtinId="8" hidden="1"/>
    <cellStyle name="Lien hypertexte" xfId="20511" builtinId="8" hidden="1"/>
    <cellStyle name="Lien hypertexte" xfId="20473" builtinId="8" hidden="1"/>
    <cellStyle name="Lien hypertexte" xfId="20437" builtinId="8" hidden="1"/>
    <cellStyle name="Lien hypertexte" xfId="20397" builtinId="8" hidden="1"/>
    <cellStyle name="Lien hypertexte" xfId="20361" builtinId="8" hidden="1"/>
    <cellStyle name="Lien hypertexte" xfId="20323" builtinId="8" hidden="1"/>
    <cellStyle name="Lien hypertexte" xfId="20285" builtinId="8" hidden="1"/>
    <cellStyle name="Lien hypertexte" xfId="20247" builtinId="8" hidden="1"/>
    <cellStyle name="Lien hypertexte" xfId="22309" builtinId="8" hidden="1"/>
    <cellStyle name="Lien hypertexte" xfId="22893" builtinId="8" hidden="1"/>
    <cellStyle name="Lien hypertexte" xfId="23479" builtinId="8" hidden="1"/>
    <cellStyle name="Lien hypertexte" xfId="24063" builtinId="8" hidden="1"/>
    <cellStyle name="Lien hypertexte" xfId="24353" builtinId="8" hidden="1"/>
    <cellStyle name="Lien hypertexte" xfId="21649" builtinId="8" hidden="1"/>
    <cellStyle name="Lien hypertexte" xfId="21921" builtinId="8" hidden="1"/>
    <cellStyle name="Lien hypertexte" xfId="22193" builtinId="8" hidden="1"/>
    <cellStyle name="Lien hypertexte" xfId="22465" builtinId="8" hidden="1"/>
    <cellStyle name="Lien hypertexte" xfId="22737" builtinId="8" hidden="1"/>
    <cellStyle name="Lien hypertexte" xfId="23009" builtinId="8" hidden="1"/>
    <cellStyle name="Lien hypertexte" xfId="23281" builtinId="8" hidden="1"/>
    <cellStyle name="Lien hypertexte" xfId="23553" builtinId="8" hidden="1"/>
    <cellStyle name="Lien hypertexte" xfId="23825" builtinId="8" hidden="1"/>
    <cellStyle name="Lien hypertexte" xfId="24113" builtinId="8" hidden="1"/>
    <cellStyle name="Lien hypertexte" xfId="24385" builtinId="8" hidden="1"/>
    <cellStyle name="Lien hypertexte" xfId="24605" builtinId="8" hidden="1"/>
    <cellStyle name="Lien hypertexte" xfId="24567" builtinId="8" hidden="1"/>
    <cellStyle name="Lien hypertexte" xfId="24527" builtinId="8" hidden="1"/>
    <cellStyle name="Lien hypertexte" xfId="24489" builtinId="8" hidden="1"/>
    <cellStyle name="Lien hypertexte" xfId="24451" builtinId="8" hidden="1"/>
    <cellStyle name="Lien hypertexte" xfId="24411" builtinId="8" hidden="1"/>
    <cellStyle name="Lien hypertexte" xfId="24373" builtinId="8" hidden="1"/>
    <cellStyle name="Lien hypertexte" xfId="24333" builtinId="8" hidden="1"/>
    <cellStyle name="Lien hypertexte" xfId="24295" builtinId="8" hidden="1"/>
    <cellStyle name="Lien hypertexte" xfId="24255" builtinId="8" hidden="1"/>
    <cellStyle name="Lien hypertexte" xfId="24217" builtinId="8" hidden="1"/>
    <cellStyle name="Lien hypertexte" xfId="24179" builtinId="8" hidden="1"/>
    <cellStyle name="Lien hypertexte" xfId="24139" builtinId="8" hidden="1"/>
    <cellStyle name="Lien hypertexte" xfId="24099" builtinId="8" hidden="1"/>
    <cellStyle name="Lien hypertexte" xfId="24059" builtinId="8" hidden="1"/>
    <cellStyle name="Lien hypertexte" xfId="24021" builtinId="8" hidden="1"/>
    <cellStyle name="Lien hypertexte" xfId="23981" builtinId="8" hidden="1"/>
    <cellStyle name="Lien hypertexte" xfId="23943" builtinId="8" hidden="1"/>
    <cellStyle name="Lien hypertexte" xfId="23903" builtinId="8" hidden="1"/>
    <cellStyle name="Lien hypertexte" xfId="23865" builtinId="8" hidden="1"/>
    <cellStyle name="Lien hypertexte" xfId="23827" builtinId="8" hidden="1"/>
    <cellStyle name="Lien hypertexte" xfId="23787" builtinId="8" hidden="1"/>
    <cellStyle name="Lien hypertexte" xfId="23749" builtinId="8" hidden="1"/>
    <cellStyle name="Lien hypertexte" xfId="23709" builtinId="8" hidden="1"/>
    <cellStyle name="Lien hypertexte" xfId="23671" builtinId="8" hidden="1"/>
    <cellStyle name="Lien hypertexte" xfId="23631" builtinId="8" hidden="1"/>
    <cellStyle name="Lien hypertexte" xfId="23593" builtinId="8" hidden="1"/>
    <cellStyle name="Lien hypertexte" xfId="23555" builtinId="8" hidden="1"/>
    <cellStyle name="Lien hypertexte" xfId="23513" builtinId="8" hidden="1"/>
    <cellStyle name="Lien hypertexte" xfId="23475" builtinId="8" hidden="1"/>
    <cellStyle name="Lien hypertexte" xfId="23435" builtinId="8" hidden="1"/>
    <cellStyle name="Lien hypertexte" xfId="23397" builtinId="8" hidden="1"/>
    <cellStyle name="Lien hypertexte" xfId="23357" builtinId="8" hidden="1"/>
    <cellStyle name="Lien hypertexte" xfId="23319" builtinId="8" hidden="1"/>
    <cellStyle name="Lien hypertexte" xfId="23279" builtinId="8" hidden="1"/>
    <cellStyle name="Lien hypertexte" xfId="23241" builtinId="8" hidden="1"/>
    <cellStyle name="Lien hypertexte" xfId="23203" builtinId="8" hidden="1"/>
    <cellStyle name="Lien hypertexte" xfId="23163" builtinId="8" hidden="1"/>
    <cellStyle name="Lien hypertexte" xfId="23125" builtinId="8" hidden="1"/>
    <cellStyle name="Lien hypertexte" xfId="23085" builtinId="8" hidden="1"/>
    <cellStyle name="Lien hypertexte" xfId="23047" builtinId="8" hidden="1"/>
    <cellStyle name="Lien hypertexte" xfId="23007" builtinId="8" hidden="1"/>
    <cellStyle name="Lien hypertexte" xfId="22969" builtinId="8" hidden="1"/>
    <cellStyle name="Lien hypertexte" xfId="22927" builtinId="8" hidden="1"/>
    <cellStyle name="Lien hypertexte" xfId="22889" builtinId="8" hidden="1"/>
    <cellStyle name="Lien hypertexte" xfId="22851" builtinId="8" hidden="1"/>
    <cellStyle name="Lien hypertexte" xfId="22811" builtinId="8" hidden="1"/>
    <cellStyle name="Lien hypertexte" xfId="22773" builtinId="8" hidden="1"/>
    <cellStyle name="Lien hypertexte" xfId="22733" builtinId="8" hidden="1"/>
    <cellStyle name="Lien hypertexte" xfId="22695" builtinId="8" hidden="1"/>
    <cellStyle name="Lien hypertexte" xfId="22655" builtinId="8" hidden="1"/>
    <cellStyle name="Lien hypertexte" xfId="22617" builtinId="8" hidden="1"/>
    <cellStyle name="Lien hypertexte" xfId="22579" builtinId="8" hidden="1"/>
    <cellStyle name="Lien hypertexte" xfId="22539" builtinId="8" hidden="1"/>
    <cellStyle name="Lien hypertexte" xfId="22501" builtinId="8" hidden="1"/>
    <cellStyle name="Lien hypertexte" xfId="22461" builtinId="8" hidden="1"/>
    <cellStyle name="Lien hypertexte" xfId="22423" builtinId="8" hidden="1"/>
    <cellStyle name="Lien hypertexte" xfId="22383" builtinId="8" hidden="1"/>
    <cellStyle name="Lien hypertexte" xfId="22343" builtinId="8" hidden="1"/>
    <cellStyle name="Lien hypertexte" xfId="22303" builtinId="8" hidden="1"/>
    <cellStyle name="Lien hypertexte" xfId="22265" builtinId="8" hidden="1"/>
    <cellStyle name="Lien hypertexte" xfId="22227" builtinId="8" hidden="1"/>
    <cellStyle name="Lien hypertexte" xfId="22187" builtinId="8" hidden="1"/>
    <cellStyle name="Lien hypertexte" xfId="22149" builtinId="8" hidden="1"/>
    <cellStyle name="Lien hypertexte" xfId="22109" builtinId="8" hidden="1"/>
    <cellStyle name="Lien hypertexte" xfId="22071" builtinId="8" hidden="1"/>
    <cellStyle name="Lien hypertexte" xfId="22031" builtinId="8" hidden="1"/>
    <cellStyle name="Lien hypertexte" xfId="21993" builtinId="8" hidden="1"/>
    <cellStyle name="Lien hypertexte" xfId="21955" builtinId="8" hidden="1"/>
    <cellStyle name="Lien hypertexte" xfId="21915" builtinId="8" hidden="1"/>
    <cellStyle name="Lien hypertexte" xfId="21877" builtinId="8" hidden="1"/>
    <cellStyle name="Lien hypertexte" xfId="21837" builtinId="8" hidden="1"/>
    <cellStyle name="Lien hypertexte" xfId="21799" builtinId="8" hidden="1"/>
    <cellStyle name="Lien hypertexte" xfId="21757" builtinId="8" hidden="1"/>
    <cellStyle name="Lien hypertexte" xfId="20513" builtinId="8" hidden="1"/>
    <cellStyle name="Lien hypertexte" xfId="15986" builtinId="8" hidden="1"/>
    <cellStyle name="Lien hypertexte" xfId="16258" builtinId="8" hidden="1"/>
    <cellStyle name="Lien hypertexte" xfId="16532" builtinId="8" hidden="1"/>
    <cellStyle name="Lien hypertexte" xfId="16804" builtinId="8" hidden="1"/>
    <cellStyle name="Lien hypertexte" xfId="17078" builtinId="8" hidden="1"/>
    <cellStyle name="Lien hypertexte" xfId="17350" builtinId="8" hidden="1"/>
    <cellStyle name="Lien hypertexte" xfId="17624" builtinId="8" hidden="1"/>
    <cellStyle name="Lien hypertexte" xfId="17896" builtinId="8" hidden="1"/>
    <cellStyle name="Lien hypertexte" xfId="18170" builtinId="8" hidden="1"/>
    <cellStyle name="Lien hypertexte" xfId="18459" builtinId="8" hidden="1"/>
    <cellStyle name="Lien hypertexte" xfId="18733" builtinId="8" hidden="1"/>
    <cellStyle name="Lien hypertexte" xfId="16432" builtinId="8" hidden="1"/>
    <cellStyle name="Lien hypertexte" xfId="14860" builtinId="8" hidden="1"/>
    <cellStyle name="Lien hypertexte" xfId="15124" builtinId="8" hidden="1"/>
    <cellStyle name="Lien hypertexte" xfId="15388" builtinId="8" hidden="1"/>
    <cellStyle name="Lien hypertexte" xfId="15652" builtinId="8" hidden="1"/>
    <cellStyle name="Lien hypertexte" xfId="15916" builtinId="8" hidden="1"/>
    <cellStyle name="Lien hypertexte" xfId="852" builtinId="8" hidden="1"/>
    <cellStyle name="Lien hypertexte" xfId="1112" builtinId="8" hidden="1"/>
    <cellStyle name="Lien hypertexte" xfId="434" builtinId="8" hidden="1"/>
    <cellStyle name="Lien hypertexte" xfId="236" builtinId="8" hidden="1"/>
    <cellStyle name="Lien hypertexte" xfId="52" builtinId="8" hidden="1"/>
    <cellStyle name="Lien hypertexte" xfId="122" builtinId="8" hidden="1"/>
    <cellStyle name="Lien hypertexte" xfId="86" builtinId="8" hidden="1"/>
    <cellStyle name="Lien hypertexte" xfId="162" builtinId="8" hidden="1"/>
    <cellStyle name="Lien hypertexte" xfId="126" builtinId="8" hidden="1"/>
    <cellStyle name="Lien hypertexte" xfId="312" builtinId="8" hidden="1"/>
    <cellStyle name="Lien hypertexte" xfId="276" builtinId="8" hidden="1"/>
    <cellStyle name="Lien hypertexte" xfId="240" builtinId="8" hidden="1"/>
    <cellStyle name="Lien hypertexte" xfId="202" builtinId="8" hidden="1"/>
    <cellStyle name="Lien hypertexte" xfId="622" builtinId="8" hidden="1"/>
    <cellStyle name="Lien hypertexte" xfId="586" builtinId="8" hidden="1"/>
    <cellStyle name="Lien hypertexte" xfId="550" builtinId="8" hidden="1"/>
    <cellStyle name="Lien hypertexte" xfId="512" builtinId="8" hidden="1"/>
    <cellStyle name="Lien hypertexte" xfId="476" builtinId="8" hidden="1"/>
    <cellStyle name="Lien hypertexte" xfId="438" builtinId="8" hidden="1"/>
    <cellStyle name="Lien hypertexte" xfId="400" builtinId="8" hidden="1"/>
    <cellStyle name="Lien hypertexte" xfId="364" builtinId="8" hidden="1"/>
    <cellStyle name="Lien hypertexte" xfId="14618" builtinId="8" hidden="1"/>
    <cellStyle name="Lien hypertexte" xfId="14582" builtinId="8" hidden="1"/>
    <cellStyle name="Lien hypertexte" xfId="14542" builtinId="8" hidden="1"/>
    <cellStyle name="Lien hypertexte" xfId="51" builtinId="8" hidden="1"/>
    <cellStyle name="Lien hypertexte" xfId="1116" builtinId="8" hidden="1"/>
    <cellStyle name="Lien hypertexte" xfId="1076" builtinId="8" hidden="1"/>
    <cellStyle name="Lien hypertexte" xfId="1040" builtinId="8" hidden="1"/>
    <cellStyle name="Lien hypertexte" xfId="1004" builtinId="8" hidden="1"/>
    <cellStyle name="Lien hypertexte" xfId="968" builtinId="8" hidden="1"/>
    <cellStyle name="Lien hypertexte" xfId="928" builtinId="8" hidden="1"/>
    <cellStyle name="Lien hypertexte" xfId="892" builtinId="8" hidden="1"/>
    <cellStyle name="Lien hypertexte" xfId="856" builtinId="8" hidden="1"/>
    <cellStyle name="Lien hypertexte" xfId="816" builtinId="8" hidden="1"/>
    <cellStyle name="Lien hypertexte" xfId="780" builtinId="8" hidden="1"/>
    <cellStyle name="Lien hypertexte" xfId="744" builtinId="8" hidden="1"/>
    <cellStyle name="Lien hypertexte" xfId="706" builtinId="8" hidden="1"/>
    <cellStyle name="Lien hypertexte" xfId="668" builtinId="8" hidden="1"/>
    <cellStyle name="Lien hypertexte" xfId="15216" builtinId="8" hidden="1"/>
    <cellStyle name="Lien hypertexte" xfId="15922" builtinId="8" hidden="1"/>
    <cellStyle name="Lien hypertexte" xfId="15882" builtinId="8" hidden="1"/>
    <cellStyle name="Lien hypertexte" xfId="15844" builtinId="8" hidden="1"/>
    <cellStyle name="Lien hypertexte" xfId="15808" builtinId="8" hidden="1"/>
    <cellStyle name="Lien hypertexte" xfId="15770" builtinId="8" hidden="1"/>
    <cellStyle name="Lien hypertexte" xfId="15732" builtinId="8" hidden="1"/>
    <cellStyle name="Lien hypertexte" xfId="15694" builtinId="8" hidden="1"/>
    <cellStyle name="Lien hypertexte" xfId="15656" builtinId="8" hidden="1"/>
    <cellStyle name="Lien hypertexte" xfId="15618" builtinId="8" hidden="1"/>
    <cellStyle name="Lien hypertexte" xfId="15580" builtinId="8" hidden="1"/>
    <cellStyle name="Lien hypertexte" xfId="15544" builtinId="8" hidden="1"/>
    <cellStyle name="Lien hypertexte" xfId="15506" builtinId="8" hidden="1"/>
    <cellStyle name="Lien hypertexte" xfId="15466" builtinId="8" hidden="1"/>
    <cellStyle name="Lien hypertexte" xfId="15430" builtinId="8" hidden="1"/>
    <cellStyle name="Lien hypertexte" xfId="15392" builtinId="8" hidden="1"/>
    <cellStyle name="Lien hypertexte" xfId="15354" builtinId="8" hidden="1"/>
    <cellStyle name="Lien hypertexte" xfId="15316" builtinId="8" hidden="1"/>
    <cellStyle name="Lien hypertexte" xfId="15278" builtinId="8" hidden="1"/>
    <cellStyle name="Lien hypertexte" xfId="15242" builtinId="8" hidden="1"/>
    <cellStyle name="Lien hypertexte" xfId="15202" builtinId="8" hidden="1"/>
    <cellStyle name="Lien hypertexte" xfId="15166" builtinId="8" hidden="1"/>
    <cellStyle name="Lien hypertexte" xfId="15128" builtinId="8" hidden="1"/>
    <cellStyle name="Lien hypertexte" xfId="15090" builtinId="8" hidden="1"/>
    <cellStyle name="Lien hypertexte" xfId="15052" builtinId="8" hidden="1"/>
    <cellStyle name="Lien hypertexte" xfId="15014" builtinId="8" hidden="1"/>
    <cellStyle name="Lien hypertexte" xfId="14978" builtinId="8" hidden="1"/>
    <cellStyle name="Lien hypertexte" xfId="14938" builtinId="8" hidden="1"/>
    <cellStyle name="Lien hypertexte" xfId="14902" builtinId="8" hidden="1"/>
    <cellStyle name="Lien hypertexte" xfId="14864" builtinId="8" hidden="1"/>
    <cellStyle name="Lien hypertexte" xfId="14824" builtinId="8" hidden="1"/>
    <cellStyle name="Lien hypertexte" xfId="14788" builtinId="8" hidden="1"/>
    <cellStyle name="Lien hypertexte" xfId="14750" builtinId="8" hidden="1"/>
    <cellStyle name="Lien hypertexte" xfId="14714" builtinId="8" hidden="1"/>
    <cellStyle name="Lien hypertexte" xfId="14674" builtinId="8" hidden="1"/>
    <cellStyle name="Lien hypertexte" xfId="14636" builtinId="8" hidden="1"/>
    <cellStyle name="Lien hypertexte" xfId="16368" builtinId="8" hidden="1"/>
    <cellStyle name="Lien hypertexte" xfId="16976" builtinId="8" hidden="1"/>
    <cellStyle name="Lien hypertexte" xfId="17552" builtinId="8" hidden="1"/>
    <cellStyle name="Lien hypertexte" xfId="18128" builtinId="8" hidden="1"/>
    <cellStyle name="Lien hypertexte" xfId="18721" builtinId="8" hidden="1"/>
    <cellStyle name="Lien hypertexte" xfId="18813" builtinId="8" hidden="1"/>
    <cellStyle name="Lien hypertexte" xfId="18775" builtinId="8" hidden="1"/>
    <cellStyle name="Lien hypertexte" xfId="18737" builtinId="8" hidden="1"/>
    <cellStyle name="Lien hypertexte" xfId="18697" builtinId="8" hidden="1"/>
    <cellStyle name="Lien hypertexte" xfId="18659" builtinId="8" hidden="1"/>
    <cellStyle name="Lien hypertexte" xfId="18619" builtinId="8" hidden="1"/>
    <cellStyle name="Lien hypertexte" xfId="18581" builtinId="8" hidden="1"/>
    <cellStyle name="Lien hypertexte" xfId="18541" builtinId="8" hidden="1"/>
    <cellStyle name="Lien hypertexte" xfId="18503" builtinId="8" hidden="1"/>
    <cellStyle name="Lien hypertexte" xfId="18463" builtinId="8" hidden="1"/>
    <cellStyle name="Lien hypertexte" xfId="18423" builtinId="8" hidden="1"/>
    <cellStyle name="Lien hypertexte" xfId="18385" builtinId="8" hidden="1"/>
    <cellStyle name="Lien hypertexte" xfId="18347" builtinId="8" hidden="1"/>
    <cellStyle name="Lien hypertexte" xfId="18292" builtinId="8" hidden="1"/>
    <cellStyle name="Lien hypertexte" xfId="18250" builtinId="8" hidden="1"/>
    <cellStyle name="Lien hypertexte" xfId="18212" builtinId="8" hidden="1"/>
    <cellStyle name="Lien hypertexte" xfId="18174" builtinId="8" hidden="1"/>
    <cellStyle name="Lien hypertexte" xfId="18134" builtinId="8" hidden="1"/>
    <cellStyle name="Lien hypertexte" xfId="18094" builtinId="8" hidden="1"/>
    <cellStyle name="Lien hypertexte" xfId="18056" builtinId="8" hidden="1"/>
    <cellStyle name="Lien hypertexte" xfId="18018" builtinId="8" hidden="1"/>
    <cellStyle name="Lien hypertexte" xfId="17978" builtinId="8" hidden="1"/>
    <cellStyle name="Lien hypertexte" xfId="17940" builtinId="8" hidden="1"/>
    <cellStyle name="Lien hypertexte" xfId="17900" builtinId="8" hidden="1"/>
    <cellStyle name="Lien hypertexte" xfId="17860" builtinId="8" hidden="1"/>
    <cellStyle name="Lien hypertexte" xfId="17822" builtinId="8" hidden="1"/>
    <cellStyle name="Lien hypertexte" xfId="17784" builtinId="8" hidden="1"/>
    <cellStyle name="Lien hypertexte" xfId="17746" builtinId="8" hidden="1"/>
    <cellStyle name="Lien hypertexte" xfId="17704" builtinId="8" hidden="1"/>
    <cellStyle name="Lien hypertexte" xfId="17666" builtinId="8" hidden="1"/>
    <cellStyle name="Lien hypertexte" xfId="17628" builtinId="8" hidden="1"/>
    <cellStyle name="Lien hypertexte" xfId="17588" builtinId="8" hidden="1"/>
    <cellStyle name="Lien hypertexte" xfId="17548" builtinId="8" hidden="1"/>
    <cellStyle name="Lien hypertexte" xfId="17510" builtinId="8" hidden="1"/>
    <cellStyle name="Lien hypertexte" xfId="17472" builtinId="8" hidden="1"/>
    <cellStyle name="Lien hypertexte" xfId="17432" builtinId="8" hidden="1"/>
    <cellStyle name="Lien hypertexte" xfId="17394" builtinId="8" hidden="1"/>
    <cellStyle name="Lien hypertexte" xfId="17354" builtinId="8" hidden="1"/>
    <cellStyle name="Lien hypertexte" xfId="17314" builtinId="8" hidden="1"/>
    <cellStyle name="Lien hypertexte" xfId="17276" builtinId="8" hidden="1"/>
    <cellStyle name="Lien hypertexte" xfId="17238" builtinId="8" hidden="1"/>
    <cellStyle name="Lien hypertexte" xfId="17198" builtinId="8" hidden="1"/>
    <cellStyle name="Lien hypertexte" xfId="17158" builtinId="8" hidden="1"/>
    <cellStyle name="Lien hypertexte" xfId="17120" builtinId="8" hidden="1"/>
    <cellStyle name="Lien hypertexte" xfId="17082" builtinId="8" hidden="1"/>
    <cellStyle name="Lien hypertexte" xfId="17042" builtinId="8" hidden="1"/>
    <cellStyle name="Lien hypertexte" xfId="17002" builtinId="8" hidden="1"/>
    <cellStyle name="Lien hypertexte" xfId="16964" builtinId="8" hidden="1"/>
    <cellStyle name="Lien hypertexte" xfId="16926" builtinId="8" hidden="1"/>
    <cellStyle name="Lien hypertexte" xfId="16886" builtinId="8" hidden="1"/>
    <cellStyle name="Lien hypertexte" xfId="16846" builtinId="8" hidden="1"/>
    <cellStyle name="Lien hypertexte" xfId="16808" builtinId="8" hidden="1"/>
    <cellStyle name="Lien hypertexte" xfId="16768" builtinId="8" hidden="1"/>
    <cellStyle name="Lien hypertexte" xfId="16730" builtinId="8" hidden="1"/>
    <cellStyle name="Lien hypertexte" xfId="16692" builtinId="8" hidden="1"/>
    <cellStyle name="Lien hypertexte" xfId="16652" builtinId="8" hidden="1"/>
    <cellStyle name="Lien hypertexte" xfId="16612" builtinId="8" hidden="1"/>
    <cellStyle name="Lien hypertexte" xfId="16574" builtinId="8" hidden="1"/>
    <cellStyle name="Lien hypertexte" xfId="16536" builtinId="8" hidden="1"/>
    <cellStyle name="Lien hypertexte" xfId="16494" builtinId="8" hidden="1"/>
    <cellStyle name="Lien hypertexte" xfId="16456" builtinId="8" hidden="1"/>
    <cellStyle name="Lien hypertexte" xfId="16418" builtinId="8" hidden="1"/>
    <cellStyle name="Lien hypertexte" xfId="16380" builtinId="8" hidden="1"/>
    <cellStyle name="Lien hypertexte" xfId="16340" builtinId="8" hidden="1"/>
    <cellStyle name="Lien hypertexte" xfId="16300" builtinId="8" hidden="1"/>
    <cellStyle name="Lien hypertexte" xfId="16262" builtinId="8" hidden="1"/>
    <cellStyle name="Lien hypertexte" xfId="16222" builtinId="8" hidden="1"/>
    <cellStyle name="Lien hypertexte" xfId="16184" builtinId="8" hidden="1"/>
    <cellStyle name="Lien hypertexte" xfId="16146" builtinId="8" hidden="1"/>
    <cellStyle name="Lien hypertexte" xfId="16106" builtinId="8" hidden="1"/>
    <cellStyle name="Lien hypertexte" xfId="16066" builtinId="8" hidden="1"/>
    <cellStyle name="Lien hypertexte" xfId="16028" builtinId="8" hidden="1"/>
    <cellStyle name="Lien hypertexte" xfId="15990" builtinId="8" hidden="1"/>
    <cellStyle name="Lien hypertexte" xfId="15948" builtinId="8" hidden="1"/>
    <cellStyle name="Lien hypertexte" xfId="19025" builtinId="8" hidden="1"/>
    <cellStyle name="Lien hypertexte" xfId="19313" builtinId="8" hidden="1"/>
    <cellStyle name="Lien hypertexte" xfId="19601" builtinId="8" hidden="1"/>
    <cellStyle name="Lien hypertexte" xfId="19905" builtinId="8" hidden="1"/>
    <cellStyle name="Lien hypertexte" xfId="20193" builtinId="8" hidden="1"/>
    <cellStyle name="Lien hypertexte" xfId="20481" builtinId="8" hidden="1"/>
    <cellStyle name="Lien hypertexte" xfId="20785" builtinId="8" hidden="1"/>
    <cellStyle name="Lien hypertexte" xfId="21265" builtinId="8" hidden="1"/>
    <cellStyle name="Lien hypertexte" xfId="21073" builtinId="8" hidden="1"/>
    <cellStyle name="Lien hypertexte" xfId="21105" builtinId="8" hidden="1"/>
    <cellStyle name="Lien hypertexte" xfId="21377" builtinId="8" hidden="1"/>
    <cellStyle name="Lien hypertexte" xfId="21521" builtinId="8" hidden="1"/>
    <cellStyle name="Lien hypertexte" xfId="21441" builtinId="8" hidden="1"/>
    <cellStyle name="Lien hypertexte" xfId="20945" builtinId="8" hidden="1"/>
    <cellStyle name="Lien hypertexte" xfId="21137" builtinId="8" hidden="1"/>
    <cellStyle name="Lien hypertexte" xfId="21345" builtinId="8" hidden="1"/>
    <cellStyle name="Lien hypertexte" xfId="20673" builtinId="8" hidden="1"/>
    <cellStyle name="Lien hypertexte" xfId="20369" builtinId="8" hidden="1"/>
    <cellStyle name="Lien hypertexte" xfId="20081" builtinId="8" hidden="1"/>
    <cellStyle name="Lien hypertexte" xfId="19793" builtinId="8" hidden="1"/>
    <cellStyle name="Lien hypertexte" xfId="19505" builtinId="8" hidden="1"/>
    <cellStyle name="Lien hypertexte" xfId="19201" builtinId="8" hidden="1"/>
    <cellStyle name="Lien hypertexte" xfId="18913" builtinId="8" hidden="1"/>
    <cellStyle name="Lien hypertexte" xfId="15964" builtinId="8" hidden="1"/>
    <cellStyle name="Lien hypertexte" xfId="16004" builtinId="8" hidden="1"/>
    <cellStyle name="Lien hypertexte" xfId="16042" builtinId="8" hidden="1"/>
    <cellStyle name="Lien hypertexte" xfId="16082" builtinId="8" hidden="1"/>
    <cellStyle name="Lien hypertexte" xfId="16120" builtinId="8" hidden="1"/>
    <cellStyle name="Lien hypertexte" xfId="16160" builtinId="8" hidden="1"/>
    <cellStyle name="Lien hypertexte" xfId="16198" builtinId="8" hidden="1"/>
    <cellStyle name="Lien hypertexte" xfId="16236" builtinId="8" hidden="1"/>
    <cellStyle name="Lien hypertexte" xfId="16278" builtinId="8" hidden="1"/>
    <cellStyle name="Lien hypertexte" xfId="16316" builtinId="8" hidden="1"/>
    <cellStyle name="Lien hypertexte" xfId="16354" builtinId="8" hidden="1"/>
    <cellStyle name="Lien hypertexte" xfId="16392" builtinId="8" hidden="1"/>
    <cellStyle name="Lien hypertexte" xfId="16434" builtinId="8" hidden="1"/>
    <cellStyle name="Lien hypertexte" xfId="16472" builtinId="8" hidden="1"/>
    <cellStyle name="Lien hypertexte" xfId="16510" builtinId="8" hidden="1"/>
    <cellStyle name="Lien hypertexte" xfId="16550" builtinId="8" hidden="1"/>
    <cellStyle name="Lien hypertexte" xfId="16588" builtinId="8" hidden="1"/>
    <cellStyle name="Lien hypertexte" xfId="16628" builtinId="8" hidden="1"/>
    <cellStyle name="Lien hypertexte" xfId="16666" builtinId="8" hidden="1"/>
    <cellStyle name="Lien hypertexte" xfId="16706" builtinId="8" hidden="1"/>
    <cellStyle name="Lien hypertexte" xfId="16744" builtinId="8" hidden="1"/>
    <cellStyle name="Lien hypertexte" xfId="16782" builtinId="8" hidden="1"/>
    <cellStyle name="Lien hypertexte" xfId="16824" builtinId="8" hidden="1"/>
    <cellStyle name="Lien hypertexte" xfId="16862" builtinId="8" hidden="1"/>
    <cellStyle name="Lien hypertexte" xfId="16900" builtinId="8" hidden="1"/>
    <cellStyle name="Lien hypertexte" xfId="16938" builtinId="8" hidden="1"/>
    <cellStyle name="Lien hypertexte" xfId="16980" builtinId="8" hidden="1"/>
    <cellStyle name="Lien hypertexte" xfId="17018" builtinId="8" hidden="1"/>
    <cellStyle name="Lien hypertexte" xfId="17056" builtinId="8" hidden="1"/>
    <cellStyle name="Lien hypertexte" xfId="17096" builtinId="8" hidden="1"/>
    <cellStyle name="Lien hypertexte" xfId="17134" builtinId="8" hidden="1"/>
    <cellStyle name="Lien hypertexte" xfId="17174" builtinId="8" hidden="1"/>
    <cellStyle name="Lien hypertexte" xfId="17212" builtinId="8" hidden="1"/>
    <cellStyle name="Lien hypertexte" xfId="17252" builtinId="8" hidden="1"/>
    <cellStyle name="Lien hypertexte" xfId="17290" builtinId="8" hidden="1"/>
    <cellStyle name="Lien hypertexte" xfId="17330" builtinId="8" hidden="1"/>
    <cellStyle name="Lien hypertexte" xfId="17370" builtinId="8" hidden="1"/>
    <cellStyle name="Lien hypertexte" xfId="17408" builtinId="8" hidden="1"/>
    <cellStyle name="Lien hypertexte" xfId="17446" builtinId="8" hidden="1"/>
    <cellStyle name="Lien hypertexte" xfId="17484" builtinId="8" hidden="1"/>
    <cellStyle name="Lien hypertexte" xfId="17526" builtinId="8" hidden="1"/>
    <cellStyle name="Lien hypertexte" xfId="17564" builtinId="8" hidden="1"/>
    <cellStyle name="Lien hypertexte" xfId="17602" builtinId="8" hidden="1"/>
    <cellStyle name="Lien hypertexte" xfId="17642" builtinId="8" hidden="1"/>
    <cellStyle name="Lien hypertexte" xfId="17682" builtinId="8" hidden="1"/>
    <cellStyle name="Lien hypertexte" xfId="17720" builtinId="8" hidden="1"/>
    <cellStyle name="Lien hypertexte" xfId="17758" builtinId="8" hidden="1"/>
    <cellStyle name="Lien hypertexte" xfId="17798" builtinId="8" hidden="1"/>
    <cellStyle name="Lien hypertexte" xfId="17836" builtinId="8" hidden="1"/>
    <cellStyle name="Lien hypertexte" xfId="17876" builtinId="8" hidden="1"/>
    <cellStyle name="Lien hypertexte" xfId="17916" builtinId="8" hidden="1"/>
    <cellStyle name="Lien hypertexte" xfId="17954" builtinId="8" hidden="1"/>
    <cellStyle name="Lien hypertexte" xfId="17992" builtinId="8" hidden="1"/>
    <cellStyle name="Lien hypertexte" xfId="18030" builtinId="8" hidden="1"/>
    <cellStyle name="Lien hypertexte" xfId="18072" builtinId="8" hidden="1"/>
    <cellStyle name="Lien hypertexte" xfId="18110" builtinId="8" hidden="1"/>
    <cellStyle name="Lien hypertexte" xfId="18148" builtinId="8" hidden="1"/>
    <cellStyle name="Lien hypertexte" xfId="18188" builtinId="8" hidden="1"/>
    <cellStyle name="Lien hypertexte" xfId="18228" builtinId="8" hidden="1"/>
    <cellStyle name="Lien hypertexte" xfId="18266" builtinId="8" hidden="1"/>
    <cellStyle name="Lien hypertexte" xfId="18304" builtinId="8" hidden="1"/>
    <cellStyle name="Lien hypertexte" xfId="18361" builtinId="8" hidden="1"/>
    <cellStyle name="Lien hypertexte" xfId="18399" builtinId="8" hidden="1"/>
    <cellStyle name="Lien hypertexte" xfId="18439" builtinId="8" hidden="1"/>
    <cellStyle name="Lien hypertexte" xfId="18479" builtinId="8" hidden="1"/>
    <cellStyle name="Lien hypertexte" xfId="18517" builtinId="8" hidden="1"/>
    <cellStyle name="Lien hypertexte" xfId="18555" builtinId="8" hidden="1"/>
    <cellStyle name="Lien hypertexte" xfId="18595" builtinId="8" hidden="1"/>
    <cellStyle name="Lien hypertexte" xfId="18635" builtinId="8" hidden="1"/>
    <cellStyle name="Lien hypertexte" xfId="18673" builtinId="8" hidden="1"/>
    <cellStyle name="Lien hypertexte" xfId="18711" builtinId="8" hidden="1"/>
    <cellStyle name="Lien hypertexte" xfId="18751" builtinId="8" hidden="1"/>
    <cellStyle name="Lien hypertexte" xfId="18791" builtinId="8" hidden="1"/>
    <cellStyle name="Lien hypertexte" xfId="18829" builtinId="8" hidden="1"/>
    <cellStyle name="Lien hypertexte" xfId="18529" builtinId="8" hidden="1"/>
    <cellStyle name="Lien hypertexte" xfId="17904" builtinId="8" hidden="1"/>
    <cellStyle name="Lien hypertexte" xfId="17328" builtinId="8" hidden="1"/>
    <cellStyle name="Lien hypertexte" xfId="16752" builtinId="8" hidden="1"/>
    <cellStyle name="Lien hypertexte" xfId="16144" builtinId="8" hidden="1"/>
    <cellStyle name="Lien hypertexte" xfId="14652" builtinId="8" hidden="1"/>
    <cellStyle name="Lien hypertexte" xfId="14688" builtinId="8" hidden="1"/>
    <cellStyle name="Lien hypertexte" xfId="14726" builtinId="8" hidden="1"/>
    <cellStyle name="Lien hypertexte" xfId="14764" builtinId="8" hidden="1"/>
    <cellStyle name="Lien hypertexte" xfId="14802" builtinId="8" hidden="1"/>
    <cellStyle name="Lien hypertexte" xfId="14840" builtinId="8" hidden="1"/>
    <cellStyle name="Lien hypertexte" xfId="14878" builtinId="8" hidden="1"/>
    <cellStyle name="Lien hypertexte" xfId="14916" builtinId="8" hidden="1"/>
    <cellStyle name="Lien hypertexte" xfId="14952" builtinId="8" hidden="1"/>
    <cellStyle name="Lien hypertexte" xfId="14990" builtinId="8" hidden="1"/>
    <cellStyle name="Lien hypertexte" xfId="15030" builtinId="8" hidden="1"/>
    <cellStyle name="Lien hypertexte" xfId="15066" builtinId="8" hidden="1"/>
    <cellStyle name="Lien hypertexte" xfId="15104" builtinId="8" hidden="1"/>
    <cellStyle name="Lien hypertexte" xfId="15142" builtinId="8" hidden="1"/>
    <cellStyle name="Lien hypertexte" xfId="15180" builtinId="8" hidden="1"/>
    <cellStyle name="Lien hypertexte" xfId="15218" builtinId="8" hidden="1"/>
    <cellStyle name="Lien hypertexte" xfId="15254" builtinId="8" hidden="1"/>
    <cellStyle name="Lien hypertexte" xfId="15294" builtinId="8" hidden="1"/>
    <cellStyle name="Lien hypertexte" xfId="15330" builtinId="8" hidden="1"/>
    <cellStyle name="Lien hypertexte" xfId="15368" builtinId="8" hidden="1"/>
    <cellStyle name="Lien hypertexte" xfId="15406" builtinId="8" hidden="1"/>
    <cellStyle name="Lien hypertexte" xfId="15444" builtinId="8" hidden="1"/>
    <cellStyle name="Lien hypertexte" xfId="15482" builtinId="8" hidden="1"/>
    <cellStyle name="Lien hypertexte" xfId="15518" builtinId="8" hidden="1"/>
    <cellStyle name="Lien hypertexte" xfId="15558" builtinId="8" hidden="1"/>
    <cellStyle name="Lien hypertexte" xfId="15594" builtinId="8" hidden="1"/>
    <cellStyle name="Lien hypertexte" xfId="15632" builtinId="8" hidden="1"/>
    <cellStyle name="Lien hypertexte" xfId="15672" builtinId="8" hidden="1"/>
    <cellStyle name="Lien hypertexte" xfId="15708" builtinId="8" hidden="1"/>
    <cellStyle name="Lien hypertexte" xfId="15746" builtinId="8" hidden="1"/>
    <cellStyle name="Lien hypertexte" xfId="15782" builtinId="8" hidden="1"/>
    <cellStyle name="Lien hypertexte" xfId="15822" builtinId="8" hidden="1"/>
    <cellStyle name="Lien hypertexte" xfId="15860" builtinId="8" hidden="1"/>
    <cellStyle name="Lien hypertexte" xfId="15896" builtinId="8" hidden="1"/>
    <cellStyle name="Lien hypertexte" xfId="15920" builtinId="8" hidden="1"/>
    <cellStyle name="Lien hypertexte" xfId="14768" builtinId="8" hidden="1"/>
    <cellStyle name="Lien hypertexte" xfId="682" builtinId="8" hidden="1"/>
    <cellStyle name="Lien hypertexte" xfId="720" builtinId="8" hidden="1"/>
    <cellStyle name="Lien hypertexte" xfId="758" builtinId="8" hidden="1"/>
    <cellStyle name="Lien hypertexte" xfId="794" builtinId="8" hidden="1"/>
    <cellStyle name="Lien hypertexte" xfId="830" builtinId="8" hidden="1"/>
    <cellStyle name="Lien hypertexte" xfId="870" builtinId="8" hidden="1"/>
    <cellStyle name="Lien hypertexte" xfId="906" builtinId="8" hidden="1"/>
    <cellStyle name="Lien hypertexte" xfId="942" builtinId="8" hidden="1"/>
    <cellStyle name="Lien hypertexte" xfId="980" builtinId="8" hidden="1"/>
    <cellStyle name="Lien hypertexte" xfId="1018" builtinId="8" hidden="1"/>
    <cellStyle name="Lien hypertexte" xfId="1054" builtinId="8" hidden="1"/>
    <cellStyle name="Lien hypertexte" xfId="1090" builtinId="8" hidden="1"/>
    <cellStyle name="Lien hypertexte" xfId="1130" builtinId="8" hidden="1"/>
    <cellStyle name="Lien hypertexte" xfId="14520" builtinId="8" hidden="1"/>
    <cellStyle name="Lien hypertexte" xfId="14556" builtinId="8" hidden="1"/>
    <cellStyle name="Lien hypertexte" xfId="14594" builtinId="8" hidden="1"/>
    <cellStyle name="Lien hypertexte" xfId="966" builtinId="8" hidden="1"/>
    <cellStyle name="Lien hypertexte" xfId="378" builtinId="8" hidden="1"/>
    <cellStyle name="Lien hypertexte" xfId="414" builtinId="8" hidden="1"/>
    <cellStyle name="Lien hypertexte" xfId="452" builtinId="8" hidden="1"/>
    <cellStyle name="Lien hypertexte" xfId="490" builtinId="8" hidden="1"/>
    <cellStyle name="Lien hypertexte" xfId="526" builtinId="8" hidden="1"/>
    <cellStyle name="Lien hypertexte" xfId="562" builtinId="8" hidden="1"/>
    <cellStyle name="Lien hypertexte" xfId="600" builtinId="8" hidden="1"/>
    <cellStyle name="Lien hypertexte" xfId="636" builtinId="8" hidden="1"/>
    <cellStyle name="Lien hypertexte" xfId="216" builtinId="8" hidden="1"/>
    <cellStyle name="Lien hypertexte" xfId="254" builtinId="8" hidden="1"/>
    <cellStyle name="Lien hypertexte" xfId="290" builtinId="8" hidden="1"/>
    <cellStyle name="Lien hypertexte" xfId="326" builtinId="8" hidden="1"/>
    <cellStyle name="Lien hypertexte" xfId="138" builtinId="8" hidden="1"/>
    <cellStyle name="Lien hypertexte" xfId="176" builtinId="8" hidden="1"/>
    <cellStyle name="Lien hypertexte" xfId="100" builtinId="8" hidden="1"/>
    <cellStyle name="Lien hypertexte" xfId="80" builtinId="8" hidden="1"/>
    <cellStyle name="Lien hypertexte" xfId="172" builtinId="8" hidden="1"/>
    <cellStyle name="Lien hypertexte" xfId="596" builtinId="8" hidden="1"/>
    <cellStyle name="Lien hypertexte" xfId="14576" builtinId="8" hidden="1"/>
    <cellStyle name="Lien hypertexte" xfId="1014" builtinId="8" hidden="1"/>
    <cellStyle name="Lien hypertexte" xfId="754" builtinId="8" hidden="1"/>
    <cellStyle name="Lien hypertexte" xfId="15818" builtinId="8" hidden="1"/>
    <cellStyle name="Lien hypertexte" xfId="15554" builtinId="8" hidden="1"/>
    <cellStyle name="Lien hypertexte" xfId="15290" builtinId="8" hidden="1"/>
    <cellStyle name="Lien hypertexte" xfId="15026" builtinId="8" hidden="1"/>
    <cellStyle name="Lien hypertexte" xfId="14760" builtinId="8" hidden="1"/>
    <cellStyle name="Lien hypertexte" xfId="17968" builtinId="8" hidden="1"/>
    <cellStyle name="Lien hypertexte" xfId="18631" builtinId="8" hidden="1"/>
    <cellStyle name="Lien hypertexte" xfId="18357" builtinId="8" hidden="1"/>
    <cellStyle name="Lien hypertexte" xfId="18068" builtinId="8" hidden="1"/>
    <cellStyle name="Lien hypertexte" xfId="17794" builtinId="8" hidden="1"/>
    <cellStyle name="Lien hypertexte" xfId="17522" builtinId="8" hidden="1"/>
    <cellStyle name="Lien hypertexte" xfId="17248" builtinId="8" hidden="1"/>
    <cellStyle name="Lien hypertexte" xfId="16974" builtinId="8" hidden="1"/>
    <cellStyle name="Lien hypertexte" xfId="16702" builtinId="8" hidden="1"/>
    <cellStyle name="Lien hypertexte" xfId="16428" builtinId="8" hidden="1"/>
    <cellStyle name="Lien hypertexte" xfId="16156" builtinId="8" hidden="1"/>
    <cellStyle name="Lien hypertexte" xfId="19233" builtinId="8" hidden="1"/>
    <cellStyle name="Lien hypertexte" xfId="21281" builtinId="8" hidden="1"/>
    <cellStyle name="Lien hypertexte" xfId="21773" builtinId="8" hidden="1"/>
    <cellStyle name="Lien hypertexte" xfId="21813" builtinId="8" hidden="1"/>
    <cellStyle name="Lien hypertexte" xfId="21851" builtinId="8" hidden="1"/>
    <cellStyle name="Lien hypertexte" xfId="21891" builtinId="8" hidden="1"/>
    <cellStyle name="Lien hypertexte" xfId="21929" builtinId="8" hidden="1"/>
    <cellStyle name="Lien hypertexte" xfId="21967" builtinId="8" hidden="1"/>
    <cellStyle name="Lien hypertexte" xfId="22007" builtinId="8" hidden="1"/>
    <cellStyle name="Lien hypertexte" xfId="22045" builtinId="8" hidden="1"/>
    <cellStyle name="Lien hypertexte" xfId="22085" builtinId="8" hidden="1"/>
    <cellStyle name="Lien hypertexte" xfId="22123" builtinId="8" hidden="1"/>
    <cellStyle name="Lien hypertexte" xfId="22165" builtinId="8" hidden="1"/>
    <cellStyle name="Lien hypertexte" xfId="22203" builtinId="8" hidden="1"/>
    <cellStyle name="Lien hypertexte" xfId="22243" builtinId="8" hidden="1"/>
    <cellStyle name="Lien hypertexte" xfId="22281" builtinId="8" hidden="1"/>
    <cellStyle name="Lien hypertexte" xfId="22319" builtinId="8" hidden="1"/>
    <cellStyle name="Lien hypertexte" xfId="22359" builtinId="8" hidden="1"/>
    <cellStyle name="Lien hypertexte" xfId="22397" builtinId="8" hidden="1"/>
    <cellStyle name="Lien hypertexte" xfId="22437" builtinId="8" hidden="1"/>
    <cellStyle name="Lien hypertexte" xfId="22475" builtinId="8" hidden="1"/>
    <cellStyle name="Lien hypertexte" xfId="22515" builtinId="8" hidden="1"/>
    <cellStyle name="Lien hypertexte" xfId="22553" builtinId="8" hidden="1"/>
    <cellStyle name="Lien hypertexte" xfId="22591" builtinId="8" hidden="1"/>
    <cellStyle name="Lien hypertexte" xfId="22631" builtinId="8" hidden="1"/>
    <cellStyle name="Lien hypertexte" xfId="22669" builtinId="8" hidden="1"/>
    <cellStyle name="Lien hypertexte" xfId="22709" builtinId="8" hidden="1"/>
    <cellStyle name="Lien hypertexte" xfId="22749" builtinId="8" hidden="1"/>
    <cellStyle name="Lien hypertexte" xfId="22789" builtinId="8" hidden="1"/>
    <cellStyle name="Lien hypertexte" xfId="22827" builtinId="8" hidden="1"/>
    <cellStyle name="Lien hypertexte" xfId="22867" builtinId="8" hidden="1"/>
    <cellStyle name="Lien hypertexte" xfId="22905" builtinId="8" hidden="1"/>
    <cellStyle name="Lien hypertexte" xfId="22943" builtinId="8" hidden="1"/>
    <cellStyle name="Lien hypertexte" xfId="22983" builtinId="8" hidden="1"/>
    <cellStyle name="Lien hypertexte" xfId="23021" builtinId="8" hidden="1"/>
    <cellStyle name="Lien hypertexte" xfId="23061" builtinId="8" hidden="1"/>
    <cellStyle name="Lien hypertexte" xfId="23099" builtinId="8" hidden="1"/>
    <cellStyle name="Lien hypertexte" xfId="23139" builtinId="8" hidden="1"/>
    <cellStyle name="Lien hypertexte" xfId="23177" builtinId="8" hidden="1"/>
    <cellStyle name="Lien hypertexte" xfId="23215" builtinId="8" hidden="1"/>
    <cellStyle name="Lien hypertexte" xfId="23255" builtinId="8" hidden="1"/>
    <cellStyle name="Lien hypertexte" xfId="23293" builtinId="8" hidden="1"/>
    <cellStyle name="Lien hypertexte" xfId="23335" builtinId="8" hidden="1"/>
    <cellStyle name="Lien hypertexte" xfId="23373" builtinId="8" hidden="1"/>
    <cellStyle name="Lien hypertexte" xfId="23413" builtinId="8" hidden="1"/>
    <cellStyle name="Lien hypertexte" xfId="23451" builtinId="8" hidden="1"/>
    <cellStyle name="Lien hypertexte" xfId="23491" builtinId="8" hidden="1"/>
    <cellStyle name="Lien hypertexte" xfId="23529" builtinId="8" hidden="1"/>
    <cellStyle name="Lien hypertexte" xfId="23567" builtinId="8" hidden="1"/>
    <cellStyle name="Lien hypertexte" xfId="23607" builtinId="8" hidden="1"/>
    <cellStyle name="Lien hypertexte" xfId="23645" builtinId="8" hidden="1"/>
    <cellStyle name="Lien hypertexte" xfId="23685" builtinId="8" hidden="1"/>
    <cellStyle name="Lien hypertexte" xfId="23723" builtinId="8" hidden="1"/>
    <cellStyle name="Lien hypertexte" xfId="23763" builtinId="8" hidden="1"/>
    <cellStyle name="Lien hypertexte" xfId="23801" builtinId="8" hidden="1"/>
    <cellStyle name="Lien hypertexte" xfId="23839" builtinId="8" hidden="1"/>
    <cellStyle name="Lien hypertexte" xfId="23879" builtinId="8" hidden="1"/>
    <cellStyle name="Lien hypertexte" xfId="23919" builtinId="8" hidden="1"/>
    <cellStyle name="Lien hypertexte" xfId="23959" builtinId="8" hidden="1"/>
    <cellStyle name="Lien hypertexte" xfId="23997" builtinId="8" hidden="1"/>
    <cellStyle name="Lien hypertexte" xfId="24037" builtinId="8" hidden="1"/>
    <cellStyle name="Lien hypertexte" xfId="24075" builtinId="8" hidden="1"/>
    <cellStyle name="Lien hypertexte" xfId="24115" builtinId="8" hidden="1"/>
    <cellStyle name="Lien hypertexte" xfId="24153" builtinId="8" hidden="1"/>
    <cellStyle name="Lien hypertexte" xfId="24191" builtinId="8" hidden="1"/>
    <cellStyle name="Lien hypertexte" xfId="24231" builtinId="8" hidden="1"/>
    <cellStyle name="Lien hypertexte" xfId="24269" builtinId="8" hidden="1"/>
    <cellStyle name="Lien hypertexte" xfId="24309" builtinId="8" hidden="1"/>
    <cellStyle name="Lien hypertexte" xfId="24347" builtinId="8" hidden="1"/>
    <cellStyle name="Lien hypertexte" xfId="24387" builtinId="8" hidden="1"/>
    <cellStyle name="Lien hypertexte" xfId="24425" builtinId="8" hidden="1"/>
    <cellStyle name="Lien hypertexte" xfId="24463" builtinId="8" hidden="1"/>
    <cellStyle name="Lien hypertexte" xfId="24505" builtinId="8" hidden="1"/>
    <cellStyle name="Lien hypertexte" xfId="24543" builtinId="8" hidden="1"/>
    <cellStyle name="Lien hypertexte" xfId="24583" builtinId="8" hidden="1"/>
    <cellStyle name="Lien hypertexte" xfId="24545" builtinId="8" hidden="1"/>
    <cellStyle name="Lien hypertexte" xfId="24273" builtinId="8" hidden="1"/>
    <cellStyle name="Lien hypertexte" xfId="24001" builtinId="8" hidden="1"/>
    <cellStyle name="Lien hypertexte" xfId="23729" builtinId="8" hidden="1"/>
    <cellStyle name="Lien hypertexte" xfId="23457" builtinId="8" hidden="1"/>
    <cellStyle name="Lien hypertexte" xfId="23185" builtinId="8" hidden="1"/>
    <cellStyle name="Lien hypertexte" xfId="22913" builtinId="8" hidden="1"/>
    <cellStyle name="Lien hypertexte" xfId="22641" builtinId="8" hidden="1"/>
    <cellStyle name="Lien hypertexte" xfId="22369" builtinId="8" hidden="1"/>
    <cellStyle name="Lien hypertexte" xfId="22097" builtinId="8" hidden="1"/>
    <cellStyle name="Lien hypertexte" xfId="21825" builtinId="8" hidden="1"/>
    <cellStyle name="Lien hypertexte" xfId="21793" builtinId="8" hidden="1"/>
    <cellStyle name="Lien hypertexte" xfId="24429" builtinId="8" hidden="1"/>
    <cellStyle name="Lien hypertexte" xfId="23845" builtinId="8" hidden="1"/>
    <cellStyle name="Lien hypertexte" xfId="23259" builtinId="8" hidden="1"/>
    <cellStyle name="Lien hypertexte" xfId="22675" builtinId="8" hidden="1"/>
    <cellStyle name="Lien hypertexte" xfId="22089" builtinId="8" hidden="1"/>
    <cellStyle name="Lien hypertexte" xfId="20263" builtinId="8" hidden="1"/>
    <cellStyle name="Lien hypertexte" xfId="20299" builtinId="8" hidden="1"/>
    <cellStyle name="Lien hypertexte" xfId="20339" builtinId="8" hidden="1"/>
    <cellStyle name="Lien hypertexte" xfId="20375" builtinId="8" hidden="1"/>
    <cellStyle name="Lien hypertexte" xfId="20413" builtinId="8" hidden="1"/>
    <cellStyle name="Lien hypertexte" xfId="20451" builtinId="8" hidden="1"/>
    <cellStyle name="Lien hypertexte" xfId="20489" builtinId="8" hidden="1"/>
    <cellStyle name="Lien hypertexte" xfId="20525" builtinId="8" hidden="1"/>
    <cellStyle name="Lien hypertexte" xfId="20565" builtinId="8" hidden="1"/>
    <cellStyle name="Lien hypertexte" xfId="20601" builtinId="8" hidden="1"/>
    <cellStyle name="Lien hypertexte" xfId="20639" builtinId="8" hidden="1"/>
    <cellStyle name="Lien hypertexte" xfId="20677" builtinId="8" hidden="1"/>
    <cellStyle name="Lien hypertexte" xfId="20715" builtinId="8" hidden="1"/>
    <cellStyle name="Lien hypertexte" xfId="20751" builtinId="8" hidden="1"/>
    <cellStyle name="Lien hypertexte" xfId="20791" builtinId="8" hidden="1"/>
    <cellStyle name="Lien hypertexte" xfId="20827" builtinId="8" hidden="1"/>
    <cellStyle name="Lien hypertexte" xfId="20867" builtinId="8" hidden="1"/>
    <cellStyle name="Lien hypertexte" xfId="20903" builtinId="8" hidden="1"/>
    <cellStyle name="Lien hypertexte" xfId="20941" builtinId="8" hidden="1"/>
    <cellStyle name="Lien hypertexte" xfId="20979" builtinId="8" hidden="1"/>
    <cellStyle name="Lien hypertexte" xfId="21017" builtinId="8" hidden="1"/>
    <cellStyle name="Lien hypertexte" xfId="21053" builtinId="8" hidden="1"/>
    <cellStyle name="Lien hypertexte" xfId="21093" builtinId="8" hidden="1"/>
    <cellStyle name="Lien hypertexte" xfId="21129" builtinId="8" hidden="1"/>
    <cellStyle name="Lien hypertexte" xfId="21167" builtinId="8" hidden="1"/>
    <cellStyle name="Lien hypertexte" xfId="21205" builtinId="8" hidden="1"/>
    <cellStyle name="Lien hypertexte" xfId="21243" builtinId="8" hidden="1"/>
    <cellStyle name="Lien hypertexte" xfId="21279" builtinId="8" hidden="1"/>
    <cellStyle name="Lien hypertexte" xfId="21319" builtinId="8" hidden="1"/>
    <cellStyle name="Lien hypertexte" xfId="21355" builtinId="8" hidden="1"/>
    <cellStyle name="Lien hypertexte" xfId="21395" builtinId="8" hidden="1"/>
    <cellStyle name="Lien hypertexte" xfId="21433" builtinId="8" hidden="1"/>
    <cellStyle name="Lien hypertexte" xfId="21469" builtinId="8" hidden="1"/>
    <cellStyle name="Lien hypertexte" xfId="21509" builtinId="8" hidden="1"/>
    <cellStyle name="Lien hypertexte" xfId="21545" builtinId="8" hidden="1"/>
    <cellStyle name="Lien hypertexte" xfId="21583" builtinId="8" hidden="1"/>
    <cellStyle name="Lien hypertexte" xfId="21621" builtinId="8" hidden="1"/>
    <cellStyle name="Lien hypertexte" xfId="21659" builtinId="8" hidden="1"/>
    <cellStyle name="Lien hypertexte" xfId="21695" builtinId="8" hidden="1"/>
    <cellStyle name="Lien hypertexte" xfId="21735" builtinId="8" hidden="1"/>
    <cellStyle name="Lien hypertexte" xfId="20773" builtinId="8" hidden="1"/>
    <cellStyle name="Lien hypertexte" xfId="19555" builtinId="8" hidden="1"/>
    <cellStyle name="Lien hypertexte" xfId="19591" builtinId="8" hidden="1"/>
    <cellStyle name="Lien hypertexte" xfId="19629" builtinId="8" hidden="1"/>
    <cellStyle name="Lien hypertexte" xfId="19667" builtinId="8" hidden="1"/>
    <cellStyle name="Lien hypertexte" xfId="19703" builtinId="8" hidden="1"/>
    <cellStyle name="Lien hypertexte" xfId="19739" builtinId="8" hidden="1"/>
    <cellStyle name="Lien hypertexte" xfId="19779" builtinId="8" hidden="1"/>
    <cellStyle name="Lien hypertexte" xfId="19815" builtinId="8" hidden="1"/>
    <cellStyle name="Lien hypertexte" xfId="19851" builtinId="8" hidden="1"/>
    <cellStyle name="Lien hypertexte" xfId="19887" builtinId="8" hidden="1"/>
    <cellStyle name="Lien hypertexte" xfId="19927" builtinId="8" hidden="1"/>
    <cellStyle name="Lien hypertexte" xfId="19963" builtinId="8" hidden="1"/>
    <cellStyle name="Lien hypertexte" xfId="19999" builtinId="8" hidden="1"/>
    <cellStyle name="Lien hypertexte" xfId="20037" builtinId="8" hidden="1"/>
    <cellStyle name="Lien hypertexte" xfId="20075" builtinId="8" hidden="1"/>
    <cellStyle name="Lien hypertexte" xfId="20111" builtinId="8" hidden="1"/>
    <cellStyle name="Lien hypertexte" xfId="20149" builtinId="8" hidden="1"/>
    <cellStyle name="Lien hypertexte" xfId="20185" builtinId="8" hidden="1"/>
    <cellStyle name="Lien hypertexte" xfId="20223" builtinId="8" hidden="1"/>
    <cellStyle name="Lien hypertexte" xfId="19191" builtinId="8" hidden="1"/>
    <cellStyle name="Lien hypertexte" xfId="19227" builtinId="8" hidden="1"/>
    <cellStyle name="Lien hypertexte" xfId="19263" builtinId="8" hidden="1"/>
    <cellStyle name="Lien hypertexte" xfId="19301" builtinId="8" hidden="1"/>
    <cellStyle name="Lien hypertexte" xfId="19339" builtinId="8" hidden="1"/>
    <cellStyle name="Lien hypertexte" xfId="19375" builtinId="8" hidden="1"/>
    <cellStyle name="Lien hypertexte" xfId="19413" builtinId="8" hidden="1"/>
    <cellStyle name="Lien hypertexte" xfId="19449" builtinId="8" hidden="1"/>
    <cellStyle name="Lien hypertexte" xfId="19485" builtinId="8" hidden="1"/>
    <cellStyle name="Lien hypertexte" xfId="19523" builtinId="8" hidden="1"/>
    <cellStyle name="Lien hypertexte" xfId="19037" builtinId="8" hidden="1"/>
    <cellStyle name="Lien hypertexte" xfId="19075" builtinId="8" hidden="1"/>
    <cellStyle name="Lien hypertexte" xfId="19111" builtinId="8" hidden="1"/>
    <cellStyle name="Lien hypertexte" xfId="19147" builtinId="8" hidden="1"/>
    <cellStyle name="Lien hypertexte" xfId="19183" builtinId="8" hidden="1"/>
    <cellStyle name="Lien hypertexte" xfId="18965" builtinId="8" hidden="1"/>
    <cellStyle name="Lien hypertexte" xfId="19001" builtinId="8" hidden="1"/>
    <cellStyle name="Lien hypertexte" xfId="18909" builtinId="8" hidden="1"/>
    <cellStyle name="Lien hypertexte" xfId="18883" builtinId="8" hidden="1"/>
    <cellStyle name="Lien hypertexte" xfId="18867" builtinId="8" hidden="1"/>
    <cellStyle name="Lien hypertexte" xfId="18925" builtinId="8" hidden="1"/>
    <cellStyle name="Lien hypertexte" xfId="18889" builtinId="8" hidden="1"/>
    <cellStyle name="Lien hypertexte" xfId="18981" builtinId="8" hidden="1"/>
    <cellStyle name="Lien hypertexte" xfId="18943" builtinId="8" hidden="1"/>
    <cellStyle name="Lien hypertexte" xfId="19163" builtinId="8" hidden="1"/>
    <cellStyle name="Lien hypertexte" xfId="19127" builtinId="8" hidden="1"/>
    <cellStyle name="Lien hypertexte" xfId="19091" builtinId="8" hidden="1"/>
    <cellStyle name="Lien hypertexte" xfId="19053" builtinId="8" hidden="1"/>
    <cellStyle name="Lien hypertexte" xfId="19017" builtinId="8" hidden="1"/>
    <cellStyle name="Lien hypertexte" xfId="19501" builtinId="8" hidden="1"/>
    <cellStyle name="Lien hypertexte" xfId="19465" builtinId="8" hidden="1"/>
    <cellStyle name="Lien hypertexte" xfId="19429" builtinId="8" hidden="1"/>
    <cellStyle name="Lien hypertexte" xfId="19391" builtinId="8" hidden="1"/>
    <cellStyle name="Lien hypertexte" xfId="19355" builtinId="8" hidden="1"/>
    <cellStyle name="Lien hypertexte" xfId="19319" builtinId="8" hidden="1"/>
    <cellStyle name="Lien hypertexte" xfId="19279" builtinId="8" hidden="1"/>
    <cellStyle name="Lien hypertexte" xfId="19243" builtinId="8" hidden="1"/>
    <cellStyle name="Lien hypertexte" xfId="19207" builtinId="8" hidden="1"/>
    <cellStyle name="Lien hypertexte" xfId="20239" builtinId="8" hidden="1"/>
    <cellStyle name="Lien hypertexte" xfId="20203" builtinId="8" hidden="1"/>
    <cellStyle name="Lien hypertexte" xfId="20165" builtinId="8" hidden="1"/>
    <cellStyle name="Lien hypertexte" xfId="20127" builtinId="8" hidden="1"/>
    <cellStyle name="Lien hypertexte" xfId="20091" builtinId="8" hidden="1"/>
    <cellStyle name="Lien hypertexte" xfId="20055" builtinId="8" hidden="1"/>
    <cellStyle name="Lien hypertexte" xfId="20015" builtinId="8" hidden="1"/>
    <cellStyle name="Lien hypertexte" xfId="19979" builtinId="8" hidden="1"/>
    <cellStyle name="Lien hypertexte" xfId="19943" builtinId="8" hidden="1"/>
    <cellStyle name="Lien hypertexte" xfId="19907" builtinId="8" hidden="1"/>
    <cellStyle name="Lien hypertexte" xfId="19867" builtinId="8" hidden="1"/>
    <cellStyle name="Lien hypertexte" xfId="19831" builtinId="8" hidden="1"/>
    <cellStyle name="Lien hypertexte" xfId="19795" builtinId="8" hidden="1"/>
    <cellStyle name="Lien hypertexte" xfId="19757" builtinId="8" hidden="1"/>
    <cellStyle name="Lien hypertexte" xfId="19719" builtinId="8" hidden="1"/>
    <cellStyle name="Lien hypertexte" xfId="19683" builtinId="8" hidden="1"/>
    <cellStyle name="Lien hypertexte" xfId="19645" builtinId="8" hidden="1"/>
    <cellStyle name="Lien hypertexte" xfId="19609" builtinId="8" hidden="1"/>
    <cellStyle name="Lien hypertexte" xfId="19571" builtinId="8" hidden="1"/>
    <cellStyle name="Lien hypertexte" xfId="20261" builtinId="8" hidden="1"/>
    <cellStyle name="Lien hypertexte" xfId="21431" builtinId="8" hidden="1"/>
    <cellStyle name="Lien hypertexte" xfId="21711" builtinId="8" hidden="1"/>
    <cellStyle name="Lien hypertexte" xfId="21675" builtinId="8" hidden="1"/>
    <cellStyle name="Lien hypertexte" xfId="21637" builtinId="8" hidden="1"/>
    <cellStyle name="Lien hypertexte" xfId="21599" builtinId="8" hidden="1"/>
    <cellStyle name="Lien hypertexte" xfId="21561" builtinId="8" hidden="1"/>
    <cellStyle name="Lien hypertexte" xfId="21525" builtinId="8" hidden="1"/>
    <cellStyle name="Lien hypertexte" xfId="21485" builtinId="8" hidden="1"/>
    <cellStyle name="Lien hypertexte" xfId="21449" builtinId="8" hidden="1"/>
    <cellStyle name="Lien hypertexte" xfId="21411" builtinId="8" hidden="1"/>
    <cellStyle name="Lien hypertexte" xfId="21373" builtinId="8" hidden="1"/>
    <cellStyle name="Lien hypertexte" xfId="21335" builtinId="8" hidden="1"/>
    <cellStyle name="Lien hypertexte" xfId="21299" builtinId="8" hidden="1"/>
    <cellStyle name="Lien hypertexte" xfId="21259" builtinId="8" hidden="1"/>
    <cellStyle name="Lien hypertexte" xfId="21223" builtinId="8" hidden="1"/>
    <cellStyle name="Lien hypertexte" xfId="21183" builtinId="8" hidden="1"/>
    <cellStyle name="Lien hypertexte" xfId="21147" builtinId="8" hidden="1"/>
    <cellStyle name="Lien hypertexte" xfId="21109" builtinId="8" hidden="1"/>
    <cellStyle name="Lien hypertexte" xfId="21071" builtinId="8" hidden="1"/>
    <cellStyle name="Lien hypertexte" xfId="21033" builtinId="8" hidden="1"/>
    <cellStyle name="Lien hypertexte" xfId="20997" builtinId="8" hidden="1"/>
    <cellStyle name="Lien hypertexte" xfId="20957" builtinId="8" hidden="1"/>
    <cellStyle name="Lien hypertexte" xfId="20921" builtinId="8" hidden="1"/>
    <cellStyle name="Lien hypertexte" xfId="20883" builtinId="8" hidden="1"/>
    <cellStyle name="Lien hypertexte" xfId="20843" builtinId="8" hidden="1"/>
    <cellStyle name="Lien hypertexte" xfId="20807" builtinId="8" hidden="1"/>
    <cellStyle name="Lien hypertexte" xfId="20767" builtinId="8" hidden="1"/>
    <cellStyle name="Lien hypertexte" xfId="20731" builtinId="8" hidden="1"/>
    <cellStyle name="Lien hypertexte" xfId="20693" builtinId="8" hidden="1"/>
    <cellStyle name="Lien hypertexte" xfId="20655" builtinId="8" hidden="1"/>
    <cellStyle name="Lien hypertexte" xfId="20617" builtinId="8" hidden="1"/>
    <cellStyle name="Lien hypertexte" xfId="20581" builtinId="8" hidden="1"/>
    <cellStyle name="Lien hypertexte" xfId="20541" builtinId="8" hidden="1"/>
    <cellStyle name="Lien hypertexte" xfId="20505" builtinId="8" hidden="1"/>
    <cellStyle name="Lien hypertexte" xfId="20467" builtinId="8" hidden="1"/>
    <cellStyle name="Lien hypertexte" xfId="20429" builtinId="8" hidden="1"/>
    <cellStyle name="Lien hypertexte" xfId="20391" builtinId="8" hidden="1"/>
    <cellStyle name="Lien hypertexte" xfId="20355" builtinId="8" hidden="1"/>
    <cellStyle name="Lien hypertexte" xfId="20315" builtinId="8" hidden="1"/>
    <cellStyle name="Lien hypertexte" xfId="20279" builtinId="8" hidden="1"/>
    <cellStyle name="Lien hypertexte" xfId="21833" builtinId="8" hidden="1"/>
    <cellStyle name="Lien hypertexte" xfId="22419" builtinId="8" hidden="1"/>
    <cellStyle name="Lien hypertexte" xfId="23003" builtinId="8" hidden="1"/>
    <cellStyle name="Lien hypertexte" xfId="23589" builtinId="8" hidden="1"/>
    <cellStyle name="Lien hypertexte" xfId="24173" builtinId="8" hidden="1"/>
    <cellStyle name="Lien hypertexte" xfId="23585" builtinId="8" hidden="1"/>
    <cellStyle name="Lien hypertexte" xfId="21697" builtinId="8" hidden="1"/>
    <cellStyle name="Lien hypertexte" xfId="21969" builtinId="8" hidden="1"/>
    <cellStyle name="Lien hypertexte" xfId="22241" builtinId="8" hidden="1"/>
    <cellStyle name="Lien hypertexte" xfId="22513" builtinId="8" hidden="1"/>
    <cellStyle name="Lien hypertexte" xfId="22785" builtinId="8" hidden="1"/>
    <cellStyle name="Lien hypertexte" xfId="23057" builtinId="8" hidden="1"/>
    <cellStyle name="Lien hypertexte" xfId="23345" builtinId="8" hidden="1"/>
    <cellStyle name="Lien hypertexte" xfId="23617" builtinId="8" hidden="1"/>
    <cellStyle name="Lien hypertexte" xfId="23889" builtinId="8" hidden="1"/>
    <cellStyle name="Lien hypertexte" xfId="24161" builtinId="8" hidden="1"/>
    <cellStyle name="Lien hypertexte" xfId="24433" builtinId="8" hidden="1"/>
    <cellStyle name="Lien hypertexte" xfId="24599" builtinId="8" hidden="1"/>
    <cellStyle name="Lien hypertexte" xfId="24559" builtinId="8" hidden="1"/>
    <cellStyle name="Lien hypertexte" xfId="24521" builtinId="8" hidden="1"/>
    <cellStyle name="Lien hypertexte" xfId="24483" builtinId="8" hidden="1"/>
    <cellStyle name="Lien hypertexte" xfId="24443" builtinId="8" hidden="1"/>
    <cellStyle name="Lien hypertexte" xfId="24405" builtinId="8" hidden="1"/>
    <cellStyle name="Lien hypertexte" xfId="24365" builtinId="8" hidden="1"/>
    <cellStyle name="Lien hypertexte" xfId="24327" builtinId="8" hidden="1"/>
    <cellStyle name="Lien hypertexte" xfId="24287" builtinId="8" hidden="1"/>
    <cellStyle name="Lien hypertexte" xfId="24249" builtinId="8" hidden="1"/>
    <cellStyle name="Lien hypertexte" xfId="24207" builtinId="8" hidden="1"/>
    <cellStyle name="Lien hypertexte" xfId="24169" builtinId="8" hidden="1"/>
    <cellStyle name="Lien hypertexte" xfId="24131" builtinId="8" hidden="1"/>
    <cellStyle name="Lien hypertexte" xfId="24091" builtinId="8" hidden="1"/>
    <cellStyle name="Lien hypertexte" xfId="24053" builtinId="8" hidden="1"/>
    <cellStyle name="Lien hypertexte" xfId="24013" builtinId="8" hidden="1"/>
    <cellStyle name="Lien hypertexte" xfId="23975" builtinId="8" hidden="1"/>
    <cellStyle name="Lien hypertexte" xfId="23935" builtinId="8" hidden="1"/>
    <cellStyle name="Lien hypertexte" xfId="23897" builtinId="8" hidden="1"/>
    <cellStyle name="Lien hypertexte" xfId="23859" builtinId="8" hidden="1"/>
    <cellStyle name="Lien hypertexte" xfId="23819" builtinId="8" hidden="1"/>
    <cellStyle name="Lien hypertexte" xfId="23781" builtinId="8" hidden="1"/>
    <cellStyle name="Lien hypertexte" xfId="23741" builtinId="8" hidden="1"/>
    <cellStyle name="Lien hypertexte" xfId="23703" builtinId="8" hidden="1"/>
    <cellStyle name="Lien hypertexte" xfId="23663" builtinId="8" hidden="1"/>
    <cellStyle name="Lien hypertexte" xfId="23623" builtinId="8" hidden="1"/>
    <cellStyle name="Lien hypertexte" xfId="23583" builtinId="8" hidden="1"/>
    <cellStyle name="Lien hypertexte" xfId="23545" builtinId="8" hidden="1"/>
    <cellStyle name="Lien hypertexte" xfId="23507" builtinId="8" hidden="1"/>
    <cellStyle name="Lien hypertexte" xfId="23467" builtinId="8" hidden="1"/>
    <cellStyle name="Lien hypertexte" xfId="23429" builtinId="8" hidden="1"/>
    <cellStyle name="Lien hypertexte" xfId="23389" builtinId="8" hidden="1"/>
    <cellStyle name="Lien hypertexte" xfId="23351" builtinId="8" hidden="1"/>
    <cellStyle name="Lien hypertexte" xfId="23311" builtinId="8" hidden="1"/>
    <cellStyle name="Lien hypertexte" xfId="23273" builtinId="8" hidden="1"/>
    <cellStyle name="Lien hypertexte" xfId="23235" builtinId="8" hidden="1"/>
    <cellStyle name="Lien hypertexte" xfId="23195" builtinId="8" hidden="1"/>
    <cellStyle name="Lien hypertexte" xfId="23157" builtinId="8" hidden="1"/>
    <cellStyle name="Lien hypertexte" xfId="23117" builtinId="8" hidden="1"/>
    <cellStyle name="Lien hypertexte" xfId="23079" builtinId="8" hidden="1"/>
    <cellStyle name="Lien hypertexte" xfId="23037" builtinId="8" hidden="1"/>
    <cellStyle name="Lien hypertexte" xfId="22999" builtinId="8" hidden="1"/>
    <cellStyle name="Lien hypertexte" xfId="22959" builtinId="8" hidden="1"/>
    <cellStyle name="Lien hypertexte" xfId="22921" builtinId="8" hidden="1"/>
    <cellStyle name="Lien hypertexte" xfId="22883" builtinId="8" hidden="1"/>
    <cellStyle name="Lien hypertexte" xfId="22843" builtinId="8" hidden="1"/>
    <cellStyle name="Lien hypertexte" xfId="22805" builtinId="8" hidden="1"/>
    <cellStyle name="Lien hypertexte" xfId="22765" builtinId="8" hidden="1"/>
    <cellStyle name="Lien hypertexte" xfId="22727" builtinId="8" hidden="1"/>
    <cellStyle name="Lien hypertexte" xfId="22687" builtinId="8" hidden="1"/>
    <cellStyle name="Lien hypertexte" xfId="22649" builtinId="8" hidden="1"/>
    <cellStyle name="Lien hypertexte" xfId="22611" builtinId="8" hidden="1"/>
    <cellStyle name="Lien hypertexte" xfId="22571" builtinId="8" hidden="1"/>
    <cellStyle name="Lien hypertexte" xfId="22533" builtinId="8" hidden="1"/>
    <cellStyle name="Lien hypertexte" xfId="22493" builtinId="8" hidden="1"/>
    <cellStyle name="Lien hypertexte" xfId="22453" builtinId="8" hidden="1"/>
    <cellStyle name="Lien hypertexte" xfId="22413" builtinId="8" hidden="1"/>
    <cellStyle name="Lien hypertexte" xfId="22375" builtinId="8" hidden="1"/>
    <cellStyle name="Lien hypertexte" xfId="22335" builtinId="8" hidden="1"/>
    <cellStyle name="Lien hypertexte" xfId="22297" builtinId="8" hidden="1"/>
    <cellStyle name="Lien hypertexte" xfId="22259" builtinId="8" hidden="1"/>
    <cellStyle name="Lien hypertexte" xfId="22219" builtinId="8" hidden="1"/>
    <cellStyle name="Lien hypertexte" xfId="22181" builtinId="8" hidden="1"/>
    <cellStyle name="Lien hypertexte" xfId="22141" builtinId="8" hidden="1"/>
    <cellStyle name="Lien hypertexte" xfId="22103" builtinId="8" hidden="1"/>
    <cellStyle name="Lien hypertexte" xfId="22063" builtinId="8" hidden="1"/>
    <cellStyle name="Lien hypertexte" xfId="22025" builtinId="8" hidden="1"/>
    <cellStyle name="Lien hypertexte" xfId="21987" builtinId="8" hidden="1"/>
    <cellStyle name="Lien hypertexte" xfId="21947" builtinId="8" hidden="1"/>
    <cellStyle name="Lien hypertexte" xfId="21909" builtinId="8" hidden="1"/>
    <cellStyle name="Lien hypertexte" xfId="21867" builtinId="8" hidden="1"/>
    <cellStyle name="Lien hypertexte" xfId="21829" builtinId="8" hidden="1"/>
    <cellStyle name="Lien hypertexte" xfId="21789" builtinId="8" hidden="1"/>
    <cellStyle name="Lien hypertexte" xfId="21751" builtinId="8" hidden="1"/>
    <cellStyle name="Lien hypertexte" xfId="20129" builtinId="8" hidden="1"/>
    <cellStyle name="Lien hypertexte" xfId="16036" builtinId="8" hidden="1"/>
    <cellStyle name="Lien hypertexte" xfId="16310" builtinId="8" hidden="1"/>
    <cellStyle name="Lien hypertexte" xfId="16582" builtinId="8" hidden="1"/>
    <cellStyle name="Lien hypertexte" xfId="16856" builtinId="8" hidden="1"/>
    <cellStyle name="Lien hypertexte" xfId="17128" builtinId="8" hidden="1"/>
    <cellStyle name="Lien hypertexte" xfId="17402" builtinId="8" hidden="1"/>
    <cellStyle name="Lien hypertexte" xfId="17674" builtinId="8" hidden="1"/>
    <cellStyle name="Lien hypertexte" xfId="17948" builtinId="8" hidden="1"/>
    <cellStyle name="Lien hypertexte" xfId="18220" builtinId="8" hidden="1"/>
    <cellStyle name="Lien hypertexte" xfId="18511" builtinId="8" hidden="1"/>
    <cellStyle name="Lien hypertexte" xfId="18783" builtinId="8" hidden="1"/>
    <cellStyle name="Lien hypertexte" xfId="14646" builtinId="8" hidden="1"/>
    <cellStyle name="Lien hypertexte" xfId="14910" builtinId="8" hidden="1"/>
    <cellStyle name="Lien hypertexte" xfId="15174" builtinId="8" hidden="1"/>
    <cellStyle name="Lien hypertexte" xfId="15438" builtinId="8" hidden="1"/>
    <cellStyle name="Lien hypertexte" xfId="15702" builtinId="8" hidden="1"/>
    <cellStyle name="Lien hypertexte" xfId="14960" builtinId="8" hidden="1"/>
    <cellStyle name="Lien hypertexte" xfId="900" builtinId="8" hidden="1"/>
    <cellStyle name="Lien hypertexte" xfId="3695" builtinId="8" hidden="1"/>
    <cellStyle name="Lien hypertexte" xfId="484" builtinId="8" hidden="1"/>
    <cellStyle name="Lien hypertexte" xfId="284" builtinId="8" hidden="1"/>
    <cellStyle name="Lien hypertexte" xfId="54" builtinId="8" hidden="1"/>
    <cellStyle name="Lien hypertexte" xfId="116" builtinId="8" hidden="1"/>
    <cellStyle name="Lien hypertexte" xfId="192" builtinId="8" hidden="1"/>
    <cellStyle name="Lien hypertexte" xfId="154" builtinId="8" hidden="1"/>
    <cellStyle name="Lien hypertexte" xfId="342" builtinId="8" hidden="1"/>
    <cellStyle name="Lien hypertexte" xfId="306" builtinId="8" hidden="1"/>
    <cellStyle name="Lien hypertexte" xfId="270" builtinId="8" hidden="1"/>
    <cellStyle name="Lien hypertexte" xfId="232" builtinId="8" hidden="1"/>
    <cellStyle name="Lien hypertexte" xfId="454" builtinId="8" hidden="1"/>
    <cellStyle name="Lien hypertexte" xfId="616" builtinId="8" hidden="1"/>
    <cellStyle name="Lien hypertexte" xfId="578" builtinId="8" hidden="1"/>
    <cellStyle name="Lien hypertexte" xfId="542" builtinId="8" hidden="1"/>
    <cellStyle name="Lien hypertexte" xfId="506" builtinId="8" hidden="1"/>
    <cellStyle name="Lien hypertexte" xfId="470" builtinId="8" hidden="1"/>
    <cellStyle name="Lien hypertexte" xfId="430" builtinId="8" hidden="1"/>
    <cellStyle name="Lien hypertexte" xfId="394" builtinId="8" hidden="1"/>
    <cellStyle name="Lien hypertexte" xfId="358" builtinId="8" hidden="1"/>
    <cellStyle name="Lien hypertexte" xfId="14610" builtinId="8" hidden="1"/>
    <cellStyle name="Lien hypertexte" xfId="14572" builtinId="8" hidden="1"/>
    <cellStyle name="Lien hypertexte" xfId="14536" builtinId="8" hidden="1"/>
    <cellStyle name="Lien hypertexte" xfId="1146" builtinId="8" hidden="1"/>
    <cellStyle name="Lien hypertexte" xfId="1108" builtinId="8" hidden="1"/>
    <cellStyle name="Lien hypertexte" xfId="1070" builtinId="8" hidden="1"/>
    <cellStyle name="Lien hypertexte" xfId="1034" builtinId="8" hidden="1"/>
    <cellStyle name="Lien hypertexte" xfId="996" builtinId="8" hidden="1"/>
    <cellStyle name="Lien hypertexte" xfId="958" builtinId="8" hidden="1"/>
    <cellStyle name="Lien hypertexte" xfId="922" builtinId="8" hidden="1"/>
    <cellStyle name="Lien hypertexte" xfId="886" builtinId="8" hidden="1"/>
    <cellStyle name="Lien hypertexte" xfId="848" builtinId="8" hidden="1"/>
    <cellStyle name="Lien hypertexte" xfId="810" builtinId="8" hidden="1"/>
    <cellStyle name="Lien hypertexte" xfId="774" builtinId="8" hidden="1"/>
    <cellStyle name="Lien hypertexte" xfId="736" builtinId="8" hidden="1"/>
    <cellStyle name="Lien hypertexte" xfId="698" builtinId="8" hidden="1"/>
    <cellStyle name="Lien hypertexte" xfId="662" builtinId="8" hidden="1"/>
    <cellStyle name="Lien hypertexte" xfId="15408" builtinId="8" hidden="1"/>
    <cellStyle name="Lien hypertexte" xfId="15912" builtinId="8" hidden="1"/>
    <cellStyle name="Lien hypertexte" xfId="15876" builtinId="8" hidden="1"/>
    <cellStyle name="Lien hypertexte" xfId="15838" builtinId="8" hidden="1"/>
    <cellStyle name="Lien hypertexte" xfId="15800" builtinId="8" hidden="1"/>
    <cellStyle name="Lien hypertexte" xfId="15762" builtinId="8" hidden="1"/>
    <cellStyle name="Lien hypertexte" xfId="15724" builtinId="8" hidden="1"/>
    <cellStyle name="Lien hypertexte" xfId="15688" builtinId="8" hidden="1"/>
    <cellStyle name="Lien hypertexte" xfId="15648" builtinId="8" hidden="1"/>
    <cellStyle name="Lien hypertexte" xfId="15612" builtinId="8" hidden="1"/>
    <cellStyle name="Lien hypertexte" xfId="15574" builtinId="8" hidden="1"/>
    <cellStyle name="Lien hypertexte" xfId="15534" builtinId="8" hidden="1"/>
    <cellStyle name="Lien hypertexte" xfId="15498" builtinId="8" hidden="1"/>
    <cellStyle name="Lien hypertexte" xfId="15460" builtinId="8" hidden="1"/>
    <cellStyle name="Lien hypertexte" xfId="15424" builtinId="8" hidden="1"/>
    <cellStyle name="Lien hypertexte" xfId="15384" builtinId="8" hidden="1"/>
    <cellStyle name="Lien hypertexte" xfId="15348" builtinId="8" hidden="1"/>
    <cellStyle name="Lien hypertexte" xfId="15310" builtinId="8" hidden="1"/>
    <cellStyle name="Lien hypertexte" xfId="15270" builtinId="8" hidden="1"/>
    <cellStyle name="Lien hypertexte" xfId="15234" builtinId="8" hidden="1"/>
    <cellStyle name="Lien hypertexte" xfId="15196" builtinId="8" hidden="1"/>
    <cellStyle name="Lien hypertexte" xfId="15160" builtinId="8" hidden="1"/>
    <cellStyle name="Lien hypertexte" xfId="15120" builtinId="8" hidden="1"/>
    <cellStyle name="Lien hypertexte" xfId="15082" builtinId="8" hidden="1"/>
    <cellStyle name="Lien hypertexte" xfId="15046" builtinId="8" hidden="1"/>
    <cellStyle name="Lien hypertexte" xfId="15006" builtinId="8" hidden="1"/>
    <cellStyle name="Lien hypertexte" xfId="14970" builtinId="8" hidden="1"/>
    <cellStyle name="Lien hypertexte" xfId="14932" builtinId="8" hidden="1"/>
    <cellStyle name="Lien hypertexte" xfId="14894" builtinId="8" hidden="1"/>
    <cellStyle name="Lien hypertexte" xfId="14856" builtinId="8" hidden="1"/>
    <cellStyle name="Lien hypertexte" xfId="14818" builtinId="8" hidden="1"/>
    <cellStyle name="Lien hypertexte" xfId="14782" builtinId="8" hidden="1"/>
    <cellStyle name="Lien hypertexte" xfId="14742" builtinId="8" hidden="1"/>
    <cellStyle name="Lien hypertexte" xfId="14706" builtinId="8" hidden="1"/>
    <cellStyle name="Lien hypertexte" xfId="14668" builtinId="8" hidden="1"/>
    <cellStyle name="Lien hypertexte" xfId="14630" builtinId="8" hidden="1"/>
    <cellStyle name="Lien hypertexte" xfId="16496" builtinId="8" hidden="1"/>
    <cellStyle name="Lien hypertexte" xfId="17072" builtinId="8" hidden="1"/>
    <cellStyle name="Lien hypertexte" xfId="17648" builtinId="8" hidden="1"/>
    <cellStyle name="Lien hypertexte" xfId="18256" builtinId="8" hidden="1"/>
    <cellStyle name="Lien hypertexte" xfId="18845" builtinId="8" hidden="1"/>
    <cellStyle name="Lien hypertexte" xfId="18807" builtinId="8" hidden="1"/>
    <cellStyle name="Lien hypertexte" xfId="18769" builtinId="8" hidden="1"/>
    <cellStyle name="Lien hypertexte" xfId="18729" builtinId="8" hidden="1"/>
    <cellStyle name="Lien hypertexte" xfId="18691" builtinId="8" hidden="1"/>
    <cellStyle name="Lien hypertexte" xfId="18651" builtinId="8" hidden="1"/>
    <cellStyle name="Lien hypertexte" xfId="18611" builtinId="8" hidden="1"/>
    <cellStyle name="Lien hypertexte" xfId="18573" builtinId="8" hidden="1"/>
    <cellStyle name="Lien hypertexte" xfId="18535" builtinId="8" hidden="1"/>
    <cellStyle name="Lien hypertexte" xfId="18495" builtinId="8" hidden="1"/>
    <cellStyle name="Lien hypertexte" xfId="18455" builtinId="8" hidden="1"/>
    <cellStyle name="Lien hypertexte" xfId="18417" builtinId="8" hidden="1"/>
    <cellStyle name="Lien hypertexte" xfId="18379" builtinId="8" hidden="1"/>
    <cellStyle name="Lien hypertexte" xfId="18339" builtinId="8" hidden="1"/>
    <cellStyle name="Lien hypertexte" xfId="18282" builtinId="8" hidden="1"/>
    <cellStyle name="Lien hypertexte" xfId="18244" builtinId="8" hidden="1"/>
    <cellStyle name="Lien hypertexte" xfId="18206" builtinId="8" hidden="1"/>
    <cellStyle name="Lien hypertexte" xfId="18166" builtinId="8" hidden="1"/>
    <cellStyle name="Lien hypertexte" xfId="18126" builtinId="8" hidden="1"/>
    <cellStyle name="Lien hypertexte" xfId="18088" builtinId="8" hidden="1"/>
    <cellStyle name="Lien hypertexte" xfId="18048" builtinId="8" hidden="1"/>
    <cellStyle name="Lien hypertexte" xfId="18010" builtinId="8" hidden="1"/>
    <cellStyle name="Lien hypertexte" xfId="17972" builtinId="8" hidden="1"/>
    <cellStyle name="Lien hypertexte" xfId="17932" builtinId="8" hidden="1"/>
    <cellStyle name="Lien hypertexte" xfId="17892" builtinId="8" hidden="1"/>
    <cellStyle name="Lien hypertexte" xfId="17854" builtinId="8" hidden="1"/>
    <cellStyle name="Lien hypertexte" xfId="17816" builtinId="8" hidden="1"/>
    <cellStyle name="Lien hypertexte" xfId="17774" builtinId="8" hidden="1"/>
    <cellStyle name="Lien hypertexte" xfId="17736" builtinId="8" hidden="1"/>
    <cellStyle name="Lien hypertexte" xfId="17698" builtinId="8" hidden="1"/>
    <cellStyle name="Lien hypertexte" xfId="17660" builtinId="8" hidden="1"/>
    <cellStyle name="Lien hypertexte" xfId="17620" builtinId="8" hidden="1"/>
    <cellStyle name="Lien hypertexte" xfId="17580" builtinId="8" hidden="1"/>
    <cellStyle name="Lien hypertexte" xfId="17542" builtinId="8" hidden="1"/>
    <cellStyle name="Lien hypertexte" xfId="17502" builtinId="8" hidden="1"/>
    <cellStyle name="Lien hypertexte" xfId="17464" builtinId="8" hidden="1"/>
    <cellStyle name="Lien hypertexte" xfId="17426" builtinId="8" hidden="1"/>
    <cellStyle name="Lien hypertexte" xfId="17386" builtinId="8" hidden="1"/>
    <cellStyle name="Lien hypertexte" xfId="17346" builtinId="8" hidden="1"/>
    <cellStyle name="Lien hypertexte" xfId="17308" builtinId="8" hidden="1"/>
    <cellStyle name="Lien hypertexte" xfId="17270" builtinId="8" hidden="1"/>
    <cellStyle name="Lien hypertexte" xfId="17228" builtinId="8" hidden="1"/>
    <cellStyle name="Lien hypertexte" xfId="17190" builtinId="8" hidden="1"/>
    <cellStyle name="Lien hypertexte" xfId="17152" builtinId="8" hidden="1"/>
    <cellStyle name="Lien hypertexte" xfId="17114" builtinId="8" hidden="1"/>
    <cellStyle name="Lien hypertexte" xfId="17074" builtinId="8" hidden="1"/>
    <cellStyle name="Lien hypertexte" xfId="17034" builtinId="8" hidden="1"/>
    <cellStyle name="Lien hypertexte" xfId="16996" builtinId="8" hidden="1"/>
    <cellStyle name="Lien hypertexte" xfId="16956" builtinId="8" hidden="1"/>
    <cellStyle name="Lien hypertexte" xfId="16918" builtinId="8" hidden="1"/>
    <cellStyle name="Lien hypertexte" xfId="16878" builtinId="8" hidden="1"/>
    <cellStyle name="Lien hypertexte" xfId="16840" builtinId="8" hidden="1"/>
    <cellStyle name="Lien hypertexte" xfId="16800" builtinId="8" hidden="1"/>
    <cellStyle name="Lien hypertexte" xfId="16762" builtinId="8" hidden="1"/>
    <cellStyle name="Lien hypertexte" xfId="16724" builtinId="8" hidden="1"/>
    <cellStyle name="Lien hypertexte" xfId="16682" builtinId="8" hidden="1"/>
    <cellStyle name="Lien hypertexte" xfId="16644" builtinId="8" hidden="1"/>
    <cellStyle name="Lien hypertexte" xfId="16606" builtinId="8" hidden="1"/>
    <cellStyle name="Lien hypertexte" xfId="16568" builtinId="8" hidden="1"/>
    <cellStyle name="Lien hypertexte" xfId="16526" builtinId="8" hidden="1"/>
    <cellStyle name="Lien hypertexte" xfId="16488" builtinId="8" hidden="1"/>
    <cellStyle name="Lien hypertexte" xfId="16450" builtinId="8" hidden="1"/>
    <cellStyle name="Lien hypertexte" xfId="16410" builtinId="8" hidden="1"/>
    <cellStyle name="Lien hypertexte" xfId="16372" builtinId="8" hidden="1"/>
    <cellStyle name="Lien hypertexte" xfId="16332" builtinId="8" hidden="1"/>
    <cellStyle name="Lien hypertexte" xfId="16294" builtinId="8" hidden="1"/>
    <cellStyle name="Lien hypertexte" xfId="16254" builtinId="8" hidden="1"/>
    <cellStyle name="Lien hypertexte" xfId="16216" builtinId="8" hidden="1"/>
    <cellStyle name="Lien hypertexte" xfId="16178" builtinId="8" hidden="1"/>
    <cellStyle name="Lien hypertexte" xfId="16136" builtinId="8" hidden="1"/>
    <cellStyle name="Lien hypertexte" xfId="16098" builtinId="8" hidden="1"/>
    <cellStyle name="Lien hypertexte" xfId="16060" builtinId="8" hidden="1"/>
    <cellStyle name="Lien hypertexte" xfId="16022" builtinId="8" hidden="1"/>
    <cellStyle name="Lien hypertexte" xfId="15980" builtinId="8" hidden="1"/>
    <cellStyle name="Lien hypertexte" xfId="15942" builtinId="8" hidden="1"/>
    <cellStyle name="Lien hypertexte" xfId="19073" builtinId="8" hidden="1"/>
    <cellStyle name="Lien hypertexte" xfId="19377" builtinId="8" hidden="1"/>
    <cellStyle name="Lien hypertexte" xfId="19665" builtinId="8" hidden="1"/>
    <cellStyle name="Lien hypertexte" xfId="20353" builtinId="8" hidden="1"/>
    <cellStyle name="Lien hypertexte" xfId="20145" builtinId="8" hidden="1"/>
    <cellStyle name="Lien hypertexte" xfId="19953" builtinId="8" hidden="1"/>
    <cellStyle name="Lien hypertexte" xfId="19777" builtinId="8" hidden="1"/>
    <cellStyle name="Lien hypertexte" xfId="20033" builtinId="8" hidden="1"/>
    <cellStyle name="Lien hypertexte" xfId="20721" builtinId="8" hidden="1"/>
    <cellStyle name="Lien hypertexte" xfId="20577" builtinId="8" hidden="1"/>
    <cellStyle name="Lien hypertexte" xfId="20801" builtinId="8" hidden="1"/>
    <cellStyle name="Lien hypertexte" xfId="20865" builtinId="8" hidden="1"/>
    <cellStyle name="Lien hypertexte" xfId="20545" builtinId="8" hidden="1"/>
    <cellStyle name="Lien hypertexte" xfId="20689" builtinId="8" hidden="1"/>
    <cellStyle name="Lien hypertexte" xfId="20177" builtinId="8" hidden="1"/>
    <cellStyle name="Lien hypertexte" xfId="19697" builtinId="8" hidden="1"/>
    <cellStyle name="Lien hypertexte" xfId="19921" builtinId="8" hidden="1"/>
    <cellStyle name="Lien hypertexte" xfId="20097" builtinId="8" hidden="1"/>
    <cellStyle name="Lien hypertexte" xfId="20289" builtinId="8" hidden="1"/>
    <cellStyle name="Lien hypertexte" xfId="20497" builtinId="8" hidden="1"/>
    <cellStyle name="Lien hypertexte" xfId="19441" builtinId="8" hidden="1"/>
    <cellStyle name="Lien hypertexte" xfId="19153" builtinId="8" hidden="1"/>
    <cellStyle name="Lien hypertexte" xfId="18865" builtinId="8" hidden="1"/>
    <cellStyle name="Lien hypertexte" xfId="15972" builtinId="8" hidden="1"/>
    <cellStyle name="Lien hypertexte" xfId="16010" builtinId="8" hidden="1"/>
    <cellStyle name="Lien hypertexte" xfId="16050" builtinId="8" hidden="1"/>
    <cellStyle name="Lien hypertexte" xfId="16090" builtinId="8" hidden="1"/>
    <cellStyle name="Lien hypertexte" xfId="16128" builtinId="8" hidden="1"/>
    <cellStyle name="Lien hypertexte" xfId="16166" builtinId="8" hidden="1"/>
    <cellStyle name="Lien hypertexte" xfId="16204" builtinId="8" hidden="1"/>
    <cellStyle name="Lien hypertexte" xfId="16246" builtinId="8" hidden="1"/>
    <cellStyle name="Lien hypertexte" xfId="16284" builtinId="8" hidden="1"/>
    <cellStyle name="Lien hypertexte" xfId="16322" builtinId="8" hidden="1"/>
    <cellStyle name="Lien hypertexte" xfId="16362" builtinId="8" hidden="1"/>
    <cellStyle name="Lien hypertexte" xfId="16402" builtinId="8" hidden="1"/>
    <cellStyle name="Lien hypertexte" xfId="16440" builtinId="8" hidden="1"/>
    <cellStyle name="Lien hypertexte" xfId="16478" builtinId="8" hidden="1"/>
    <cellStyle name="Lien hypertexte" xfId="16518" builtinId="8" hidden="1"/>
    <cellStyle name="Lien hypertexte" xfId="16556" builtinId="8" hidden="1"/>
    <cellStyle name="Lien hypertexte" xfId="16596" builtinId="8" hidden="1"/>
    <cellStyle name="Lien hypertexte" xfId="16636" builtinId="8" hidden="1"/>
    <cellStyle name="Lien hypertexte" xfId="16674" builtinId="8" hidden="1"/>
    <cellStyle name="Lien hypertexte" xfId="16712" builtinId="8" hidden="1"/>
    <cellStyle name="Lien hypertexte" xfId="16750" builtinId="8" hidden="1"/>
    <cellStyle name="Lien hypertexte" xfId="16792" builtinId="8" hidden="1"/>
    <cellStyle name="Lien hypertexte" xfId="16830" builtinId="8" hidden="1"/>
    <cellStyle name="Lien hypertexte" xfId="16868" builtinId="8" hidden="1"/>
    <cellStyle name="Lien hypertexte" xfId="16908" builtinId="8" hidden="1"/>
    <cellStyle name="Lien hypertexte" xfId="16948" builtinId="8" hidden="1"/>
    <cellStyle name="Lien hypertexte" xfId="16986" builtinId="8" hidden="1"/>
    <cellStyle name="Lien hypertexte" xfId="17024" builtinId="8" hidden="1"/>
    <cellStyle name="Lien hypertexte" xfId="17064" builtinId="8" hidden="1"/>
    <cellStyle name="Lien hypertexte" xfId="17102" builtinId="8" hidden="1"/>
    <cellStyle name="Lien hypertexte" xfId="17142" builtinId="8" hidden="1"/>
    <cellStyle name="Lien hypertexte" xfId="17182" builtinId="8" hidden="1"/>
    <cellStyle name="Lien hypertexte" xfId="17220" builtinId="8" hidden="1"/>
    <cellStyle name="Lien hypertexte" xfId="17258" builtinId="8" hidden="1"/>
    <cellStyle name="Lien hypertexte" xfId="17298" builtinId="8" hidden="1"/>
    <cellStyle name="Lien hypertexte" xfId="17338" builtinId="8" hidden="1"/>
    <cellStyle name="Lien hypertexte" xfId="17376" builtinId="8" hidden="1"/>
    <cellStyle name="Lien hypertexte" xfId="17414" builtinId="8" hidden="1"/>
    <cellStyle name="Lien hypertexte" xfId="17454" builtinId="8" hidden="1"/>
    <cellStyle name="Lien hypertexte" xfId="17494" builtinId="8" hidden="1"/>
    <cellStyle name="Lien hypertexte" xfId="17532" builtinId="8" hidden="1"/>
    <cellStyle name="Lien hypertexte" xfId="17570" builtinId="8" hidden="1"/>
    <cellStyle name="Lien hypertexte" xfId="17610" builtinId="8" hidden="1"/>
    <cellStyle name="Lien hypertexte" xfId="17650" builtinId="8" hidden="1"/>
    <cellStyle name="Lien hypertexte" xfId="17688" builtinId="8" hidden="1"/>
    <cellStyle name="Lien hypertexte" xfId="17728" builtinId="8" hidden="1"/>
    <cellStyle name="Lien hypertexte" xfId="17766" builtinId="8" hidden="1"/>
    <cellStyle name="Lien hypertexte" xfId="17804" builtinId="8" hidden="1"/>
    <cellStyle name="Lien hypertexte" xfId="17844" builtinId="8" hidden="1"/>
    <cellStyle name="Lien hypertexte" xfId="17884" builtinId="8" hidden="1"/>
    <cellStyle name="Lien hypertexte" xfId="17922" builtinId="8" hidden="1"/>
    <cellStyle name="Lien hypertexte" xfId="17960" builtinId="8" hidden="1"/>
    <cellStyle name="Lien hypertexte" xfId="18002" builtinId="8" hidden="1"/>
    <cellStyle name="Lien hypertexte" xfId="18040" builtinId="8" hidden="1"/>
    <cellStyle name="Lien hypertexte" xfId="18078" builtinId="8" hidden="1"/>
    <cellStyle name="Lien hypertexte" xfId="18116" builtinId="8" hidden="1"/>
    <cellStyle name="Lien hypertexte" xfId="18156" builtinId="8" hidden="1"/>
    <cellStyle name="Lien hypertexte" xfId="18196" builtinId="8" hidden="1"/>
    <cellStyle name="Lien hypertexte" xfId="18234" builtinId="8" hidden="1"/>
    <cellStyle name="Lien hypertexte" xfId="18274" builtinId="8" hidden="1"/>
    <cellStyle name="Lien hypertexte" xfId="18329" builtinId="8" hidden="1"/>
    <cellStyle name="Lien hypertexte" xfId="18367" builtinId="8" hidden="1"/>
    <cellStyle name="Lien hypertexte" xfId="18407" builtinId="8" hidden="1"/>
    <cellStyle name="Lien hypertexte" xfId="18447" builtinId="8" hidden="1"/>
    <cellStyle name="Lien hypertexte" xfId="18485" builtinId="8" hidden="1"/>
    <cellStyle name="Lien hypertexte" xfId="18523" builtinId="8" hidden="1"/>
    <cellStyle name="Lien hypertexte" xfId="18565" builtinId="8" hidden="1"/>
    <cellStyle name="Lien hypertexte" xfId="18603" builtinId="8" hidden="1"/>
    <cellStyle name="Lien hypertexte" xfId="18641" builtinId="8" hidden="1"/>
    <cellStyle name="Lien hypertexte" xfId="18679" builtinId="8" hidden="1"/>
    <cellStyle name="Lien hypertexte" xfId="18719" builtinId="8" hidden="1"/>
    <cellStyle name="Lien hypertexte" xfId="18759" builtinId="8" hidden="1"/>
    <cellStyle name="Lien hypertexte" xfId="18797" builtinId="8" hidden="1"/>
    <cellStyle name="Lien hypertexte" xfId="18837" builtinId="8" hidden="1"/>
    <cellStyle name="Lien hypertexte" xfId="18401" builtinId="8" hidden="1"/>
    <cellStyle name="Lien hypertexte" xfId="17808" builtinId="8" hidden="1"/>
    <cellStyle name="Lien hypertexte" xfId="17232" builtinId="8" hidden="1"/>
    <cellStyle name="Lien hypertexte" xfId="16624" builtinId="8" hidden="1"/>
    <cellStyle name="Lien hypertexte" xfId="16048" builtinId="8" hidden="1"/>
    <cellStyle name="Lien hypertexte" xfId="14658" builtinId="8" hidden="1"/>
    <cellStyle name="Lien hypertexte" xfId="14696" builtinId="8" hidden="1"/>
    <cellStyle name="Lien hypertexte" xfId="14734" builtinId="8" hidden="1"/>
    <cellStyle name="Lien hypertexte" xfId="14772" builtinId="8" hidden="1"/>
    <cellStyle name="Lien hypertexte" xfId="14808" builtinId="8" hidden="1"/>
    <cellStyle name="Lien hypertexte" xfId="14848" builtinId="8" hidden="1"/>
    <cellStyle name="Lien hypertexte" xfId="14884" builtinId="8" hidden="1"/>
    <cellStyle name="Lien hypertexte" xfId="14922" builtinId="8" hidden="1"/>
    <cellStyle name="Lien hypertexte" xfId="14962" builtinId="8" hidden="1"/>
    <cellStyle name="Lien hypertexte" xfId="14998" builtinId="8" hidden="1"/>
    <cellStyle name="Lien hypertexte" xfId="15036" builtinId="8" hidden="1"/>
    <cellStyle name="Lien hypertexte" xfId="15072" builtinId="8" hidden="1"/>
    <cellStyle name="Lien hypertexte" xfId="15112" builtinId="8" hidden="1"/>
    <cellStyle name="Lien hypertexte" xfId="15148" builtinId="8" hidden="1"/>
    <cellStyle name="Lien hypertexte" xfId="15186" builtinId="8" hidden="1"/>
    <cellStyle name="Lien hypertexte" xfId="15226" builtinId="8" hidden="1"/>
    <cellStyle name="Lien hypertexte" xfId="15262" builtinId="8" hidden="1"/>
    <cellStyle name="Lien hypertexte" xfId="15300" builtinId="8" hidden="1"/>
    <cellStyle name="Lien hypertexte" xfId="15336" builtinId="8" hidden="1"/>
    <cellStyle name="Lien hypertexte" xfId="15376" builtinId="8" hidden="1"/>
    <cellStyle name="Lien hypertexte" xfId="15414" builtinId="8" hidden="1"/>
    <cellStyle name="Lien hypertexte" xfId="15450" builtinId="8" hidden="1"/>
    <cellStyle name="Lien hypertexte" xfId="15490" builtinId="8" hidden="1"/>
    <cellStyle name="Lien hypertexte" xfId="15526" builtinId="8" hidden="1"/>
    <cellStyle name="Lien hypertexte" xfId="15564" builtinId="8" hidden="1"/>
    <cellStyle name="Lien hypertexte" xfId="15602" builtinId="8" hidden="1"/>
    <cellStyle name="Lien hypertexte" xfId="15640" builtinId="8" hidden="1"/>
    <cellStyle name="Lien hypertexte" xfId="15678" builtinId="8" hidden="1"/>
    <cellStyle name="Lien hypertexte" xfId="15714" builtinId="8" hidden="1"/>
    <cellStyle name="Lien hypertexte" xfId="15754" builtinId="8" hidden="1"/>
    <cellStyle name="Lien hypertexte" xfId="15790" builtinId="8" hidden="1"/>
    <cellStyle name="Lien hypertexte" xfId="15828" builtinId="8" hidden="1"/>
    <cellStyle name="Lien hypertexte" xfId="15866" builtinId="8" hidden="1"/>
    <cellStyle name="Lien hypertexte" xfId="15904" builtinId="8" hidden="1"/>
    <cellStyle name="Lien hypertexte" xfId="15728" builtinId="8" hidden="1"/>
    <cellStyle name="Lien hypertexte" xfId="652" builtinId="8" hidden="1"/>
    <cellStyle name="Lien hypertexte" xfId="690" builtinId="8" hidden="1"/>
    <cellStyle name="Lien hypertexte" xfId="728" builtinId="8" hidden="1"/>
    <cellStyle name="Lien hypertexte" xfId="764" builtinId="8" hidden="1"/>
    <cellStyle name="Lien hypertexte" xfId="800" builtinId="8" hidden="1"/>
    <cellStyle name="Lien hypertexte" xfId="840" builtinId="8" hidden="1"/>
    <cellStyle name="Lien hypertexte" xfId="876" builtinId="8" hidden="1"/>
    <cellStyle name="Lien hypertexte" xfId="912" builtinId="8" hidden="1"/>
    <cellStyle name="Lien hypertexte" xfId="950" builtinId="8" hidden="1"/>
    <cellStyle name="Lien hypertexte" xfId="988" builtinId="8" hidden="1"/>
    <cellStyle name="Lien hypertexte" xfId="1024" builtinId="8" hidden="1"/>
    <cellStyle name="Lien hypertexte" xfId="1060" builtinId="8" hidden="1"/>
    <cellStyle name="Lien hypertexte" xfId="1100" builtinId="8" hidden="1"/>
    <cellStyle name="Lien hypertexte" xfId="1136" builtinId="8" hidden="1"/>
    <cellStyle name="Lien hypertexte" xfId="14526" builtinId="8" hidden="1"/>
    <cellStyle name="Lien hypertexte" xfId="14564" builtinId="8" hidden="1"/>
    <cellStyle name="Lien hypertexte" xfId="14602" builtinId="8" hidden="1"/>
    <cellStyle name="Lien hypertexte" xfId="348" builtinId="8" hidden="1"/>
    <cellStyle name="Lien hypertexte" xfId="384" builtinId="8" hidden="1"/>
    <cellStyle name="Lien hypertexte" xfId="422" builtinId="8" hidden="1"/>
    <cellStyle name="Lien hypertexte" xfId="460" builtinId="8" hidden="1"/>
    <cellStyle name="Lien hypertexte" xfId="496" builtinId="8" hidden="1"/>
    <cellStyle name="Lien hypertexte" xfId="534" builtinId="8" hidden="1"/>
    <cellStyle name="Lien hypertexte" xfId="570" builtinId="8" hidden="1"/>
    <cellStyle name="Lien hypertexte" xfId="606" builtinId="8" hidden="1"/>
    <cellStyle name="Lien hypertexte" xfId="642" builtinId="8" hidden="1"/>
    <cellStyle name="Lien hypertexte" xfId="224" builtinId="8" hidden="1"/>
    <cellStyle name="Lien hypertexte" xfId="260" builtinId="8" hidden="1"/>
    <cellStyle name="Lien hypertexte" xfId="296" builtinId="8" hidden="1"/>
    <cellStyle name="Lien hypertexte" xfId="334" builtinId="8" hidden="1"/>
    <cellStyle name="Lien hypertexte" xfId="146" builtinId="8" hidden="1"/>
    <cellStyle name="Lien hypertexte" xfId="182" builtinId="8" hidden="1"/>
    <cellStyle name="Lien hypertexte" xfId="106" builtinId="8" hidden="1"/>
    <cellStyle name="Lien hypertexte" xfId="60" builtinId="8" hidden="1"/>
    <cellStyle name="Lien hypertexte" xfId="124" builtinId="8" hidden="1"/>
    <cellStyle name="Lien hypertexte" xfId="548" builtinId="8" hidden="1"/>
    <cellStyle name="Lien hypertexte" xfId="14580" builtinId="8" hidden="1"/>
    <cellStyle name="Lien hypertexte" xfId="964" builtinId="8" hidden="1"/>
    <cellStyle name="Lien hypertexte" xfId="704" builtinId="8" hidden="1"/>
    <cellStyle name="Lien hypertexte" xfId="15768" builtinId="8" hidden="1"/>
    <cellStyle name="Lien hypertexte" xfId="15504" builtinId="8" hidden="1"/>
    <cellStyle name="Lien hypertexte" xfId="15240" builtinId="8" hidden="1"/>
    <cellStyle name="Lien hypertexte" xfId="14976" builtinId="8" hidden="1"/>
    <cellStyle name="Lien hypertexte" xfId="14712" builtinId="8" hidden="1"/>
    <cellStyle name="Lien hypertexte" xfId="18753" builtinId="8" hidden="1"/>
    <cellStyle name="Lien hypertexte" xfId="18579" builtinId="8" hidden="1"/>
    <cellStyle name="Lien hypertexte" xfId="18290" builtinId="8" hidden="1"/>
    <cellStyle name="Lien hypertexte" xfId="18016" builtinId="8" hidden="1"/>
    <cellStyle name="Lien hypertexte" xfId="17742" builtinId="8" hidden="1"/>
    <cellStyle name="Lien hypertexte" xfId="17470" builtinId="8" hidden="1"/>
    <cellStyle name="Lien hypertexte" xfId="17196" builtinId="8" hidden="1"/>
    <cellStyle name="Lien hypertexte" xfId="16924" builtinId="8" hidden="1"/>
    <cellStyle name="Lien hypertexte" xfId="16650" builtinId="8" hidden="1"/>
    <cellStyle name="Lien hypertexte" xfId="16378" builtinId="8" hidden="1"/>
    <cellStyle name="Lien hypertexte" xfId="16104" builtinId="8" hidden="1"/>
    <cellStyle name="Lien hypertexte" xfId="19617" builtinId="8" hidden="1"/>
    <cellStyle name="Lien hypertexte" xfId="21741" builtinId="8" hidden="1"/>
    <cellStyle name="Lien hypertexte" xfId="21781" builtinId="8" hidden="1"/>
    <cellStyle name="Lien hypertexte" xfId="21819" builtinId="8" hidden="1"/>
    <cellStyle name="Lien hypertexte" xfId="21859" builtinId="8" hidden="1"/>
    <cellStyle name="Lien hypertexte" xfId="21897" builtinId="8" hidden="1"/>
    <cellStyle name="Lien hypertexte" xfId="21935" builtinId="8" hidden="1"/>
    <cellStyle name="Lien hypertexte" xfId="21975" builtinId="8" hidden="1"/>
    <cellStyle name="Lien hypertexte" xfId="22013" builtinId="8" hidden="1"/>
    <cellStyle name="Lien hypertexte" xfId="22055" builtinId="8" hidden="1"/>
    <cellStyle name="Lien hypertexte" xfId="22093" builtinId="8" hidden="1"/>
    <cellStyle name="Lien hypertexte" xfId="22133" builtinId="8" hidden="1"/>
    <cellStyle name="Lien hypertexte" xfId="22171" builtinId="8" hidden="1"/>
    <cellStyle name="Lien hypertexte" xfId="22211" builtinId="8" hidden="1"/>
    <cellStyle name="Lien hypertexte" xfId="22249" builtinId="8" hidden="1"/>
    <cellStyle name="Lien hypertexte" xfId="22287" builtinId="8" hidden="1"/>
    <cellStyle name="Lien hypertexte" xfId="22327" builtinId="8" hidden="1"/>
    <cellStyle name="Lien hypertexte" xfId="22365" builtinId="8" hidden="1"/>
    <cellStyle name="Lien hypertexte" xfId="22405" builtinId="8" hidden="1"/>
    <cellStyle name="Lien hypertexte" xfId="22443" builtinId="8" hidden="1"/>
    <cellStyle name="Lien hypertexte" xfId="22483" builtinId="8" hidden="1"/>
    <cellStyle name="Lien hypertexte" xfId="22521" builtinId="8" hidden="1"/>
    <cellStyle name="Lien hypertexte" xfId="22559" builtinId="8" hidden="1"/>
    <cellStyle name="Lien hypertexte" xfId="22599" builtinId="8" hidden="1"/>
    <cellStyle name="Lien hypertexte" xfId="22639" builtinId="8" hidden="1"/>
    <cellStyle name="Lien hypertexte" xfId="22679" builtinId="8" hidden="1"/>
    <cellStyle name="Lien hypertexte" xfId="22717" builtinId="8" hidden="1"/>
    <cellStyle name="Lien hypertexte" xfId="22757" builtinId="8" hidden="1"/>
    <cellStyle name="Lien hypertexte" xfId="22795" builtinId="8" hidden="1"/>
    <cellStyle name="Lien hypertexte" xfId="22835" builtinId="8" hidden="1"/>
    <cellStyle name="Lien hypertexte" xfId="22873" builtinId="8" hidden="1"/>
    <cellStyle name="Lien hypertexte" xfId="22911" builtinId="8" hidden="1"/>
    <cellStyle name="Lien hypertexte" xfId="22951" builtinId="8" hidden="1"/>
    <cellStyle name="Lien hypertexte" xfId="22989" builtinId="8" hidden="1"/>
    <cellStyle name="Lien hypertexte" xfId="23029" builtinId="8" hidden="1"/>
    <cellStyle name="Lien hypertexte" xfId="23067" builtinId="8" hidden="1"/>
    <cellStyle name="Lien hypertexte" xfId="23107" builtinId="8" hidden="1"/>
    <cellStyle name="Lien hypertexte" xfId="23145" builtinId="8" hidden="1"/>
    <cellStyle name="Lien hypertexte" xfId="23183" builtinId="8" hidden="1"/>
    <cellStyle name="Lien hypertexte" xfId="23225" builtinId="8" hidden="1"/>
    <cellStyle name="Lien hypertexte" xfId="23263" builtinId="8" hidden="1"/>
    <cellStyle name="Lien hypertexte" xfId="23303" builtinId="8" hidden="1"/>
    <cellStyle name="Lien hypertexte" xfId="23341" builtinId="8" hidden="1"/>
    <cellStyle name="Lien hypertexte" xfId="23381" builtinId="8" hidden="1"/>
    <cellStyle name="Lien hypertexte" xfId="23419" builtinId="8" hidden="1"/>
    <cellStyle name="Lien hypertexte" xfId="23459" builtinId="8" hidden="1"/>
    <cellStyle name="Lien hypertexte" xfId="23497" builtinId="8" hidden="1"/>
    <cellStyle name="Lien hypertexte" xfId="23535" builtinId="8" hidden="1"/>
    <cellStyle name="Lien hypertexte" xfId="23575" builtinId="8" hidden="1"/>
    <cellStyle name="Lien hypertexte" xfId="23613" builtinId="8" hidden="1"/>
    <cellStyle name="Lien hypertexte" xfId="23653" builtinId="8" hidden="1"/>
    <cellStyle name="Lien hypertexte" xfId="23691" builtinId="8" hidden="1"/>
    <cellStyle name="Lien hypertexte" xfId="23731" builtinId="8" hidden="1"/>
    <cellStyle name="Lien hypertexte" xfId="23769" builtinId="8" hidden="1"/>
    <cellStyle name="Lien hypertexte" xfId="23811" builtinId="8" hidden="1"/>
    <cellStyle name="Lien hypertexte" xfId="23849" builtinId="8" hidden="1"/>
    <cellStyle name="Lien hypertexte" xfId="23887" builtinId="8" hidden="1"/>
    <cellStyle name="Lien hypertexte" xfId="23927" builtinId="8" hidden="1"/>
    <cellStyle name="Lien hypertexte" xfId="23965" builtinId="8" hidden="1"/>
    <cellStyle name="Lien hypertexte" xfId="24005" builtinId="8" hidden="1"/>
    <cellStyle name="Lien hypertexte" xfId="24043" builtinId="8" hidden="1"/>
    <cellStyle name="Lien hypertexte" xfId="24083" builtinId="8" hidden="1"/>
    <cellStyle name="Lien hypertexte" xfId="24121" builtinId="8" hidden="1"/>
    <cellStyle name="Lien hypertexte" xfId="24159" builtinId="8" hidden="1"/>
    <cellStyle name="Lien hypertexte" xfId="24199" builtinId="8" hidden="1"/>
    <cellStyle name="Lien hypertexte" xfId="24237" builtinId="8" hidden="1"/>
    <cellStyle name="Lien hypertexte" xfId="24277" builtinId="8" hidden="1"/>
    <cellStyle name="Lien hypertexte" xfId="24315" builtinId="8" hidden="1"/>
    <cellStyle name="Lien hypertexte" xfId="24355" builtinId="8" hidden="1"/>
    <cellStyle name="Lien hypertexte" xfId="24395" builtinId="8" hidden="1"/>
    <cellStyle name="Lien hypertexte" xfId="24435" builtinId="8" hidden="1"/>
    <cellStyle name="Lien hypertexte" xfId="24473" builtinId="8" hidden="1"/>
    <cellStyle name="Lien hypertexte" xfId="24511" builtinId="8" hidden="1"/>
    <cellStyle name="Lien hypertexte" xfId="24551" builtinId="8" hidden="1"/>
    <cellStyle name="Lien hypertexte" xfId="24589" builtinId="8" hidden="1"/>
    <cellStyle name="Lien hypertexte" xfId="24497" builtinId="8" hidden="1"/>
    <cellStyle name="Lien hypertexte" xfId="24225" builtinId="8" hidden="1"/>
    <cellStyle name="Lien hypertexte" xfId="23953" builtinId="8" hidden="1"/>
    <cellStyle name="Lien hypertexte" xfId="23681" builtinId="8" hidden="1"/>
    <cellStyle name="Lien hypertexte" xfId="23409" builtinId="8" hidden="1"/>
    <cellStyle name="Lien hypertexte" xfId="23137" builtinId="8" hidden="1"/>
    <cellStyle name="Lien hypertexte" xfId="22865" builtinId="8" hidden="1"/>
    <cellStyle name="Lien hypertexte" xfId="22593" builtinId="8" hidden="1"/>
    <cellStyle name="Lien hypertexte" xfId="22321" builtinId="8" hidden="1"/>
    <cellStyle name="Lien hypertexte" xfId="22033" builtinId="8" hidden="1"/>
    <cellStyle name="Lien hypertexte" xfId="21761" builtinId="8" hidden="1"/>
    <cellStyle name="Lien hypertexte" xfId="22561" builtinId="8" hidden="1"/>
    <cellStyle name="Lien hypertexte" xfId="24319" builtinId="8" hidden="1"/>
    <cellStyle name="Lien hypertexte" xfId="23735" builtinId="8" hidden="1"/>
    <cellStyle name="Lien hypertexte" xfId="23149" builtinId="8" hidden="1"/>
    <cellStyle name="Lien hypertexte" xfId="22565" builtinId="8" hidden="1"/>
    <cellStyle name="Lien hypertexte" xfId="21979" builtinId="8" hidden="1"/>
    <cellStyle name="Lien hypertexte" xfId="20269" builtinId="8" hidden="1"/>
    <cellStyle name="Lien hypertexte" xfId="20307" builtinId="8" hidden="1"/>
    <cellStyle name="Lien hypertexte" xfId="20345" builtinId="8" hidden="1"/>
    <cellStyle name="Lien hypertexte" xfId="20381" builtinId="8" hidden="1"/>
    <cellStyle name="Lien hypertexte" xfId="20421" builtinId="8" hidden="1"/>
    <cellStyle name="Lien hypertexte" xfId="20457" builtinId="8" hidden="1"/>
    <cellStyle name="Lien hypertexte" xfId="20495" builtinId="8" hidden="1"/>
    <cellStyle name="Lien hypertexte" xfId="20533" builtinId="8" hidden="1"/>
    <cellStyle name="Lien hypertexte" xfId="20571" builtinId="8" hidden="1"/>
    <cellStyle name="Lien hypertexte" xfId="20607" builtinId="8" hidden="1"/>
    <cellStyle name="Lien hypertexte" xfId="20647" builtinId="8" hidden="1"/>
    <cellStyle name="Lien hypertexte" xfId="20683" builtinId="8" hidden="1"/>
    <cellStyle name="Lien hypertexte" xfId="20723" builtinId="8" hidden="1"/>
    <cellStyle name="Lien hypertexte" xfId="20759" builtinId="8" hidden="1"/>
    <cellStyle name="Lien hypertexte" xfId="20797" builtinId="8" hidden="1"/>
    <cellStyle name="Lien hypertexte" xfId="20835" builtinId="8" hidden="1"/>
    <cellStyle name="Lien hypertexte" xfId="20873" builtinId="8" hidden="1"/>
    <cellStyle name="Lien hypertexte" xfId="20909" builtinId="8" hidden="1"/>
    <cellStyle name="Lien hypertexte" xfId="20949" builtinId="8" hidden="1"/>
    <cellStyle name="Lien hypertexte" xfId="20985" builtinId="8" hidden="1"/>
    <cellStyle name="Lien hypertexte" xfId="21023" builtinId="8" hidden="1"/>
    <cellStyle name="Lien hypertexte" xfId="21061" builtinId="8" hidden="1"/>
    <cellStyle name="Lien hypertexte" xfId="21099" builtinId="8" hidden="1"/>
    <cellStyle name="Lien hypertexte" xfId="21135" builtinId="8" hidden="1"/>
    <cellStyle name="Lien hypertexte" xfId="21175" builtinId="8" hidden="1"/>
    <cellStyle name="Lien hypertexte" xfId="21213" builtinId="8" hidden="1"/>
    <cellStyle name="Lien hypertexte" xfId="21251" builtinId="8" hidden="1"/>
    <cellStyle name="Lien hypertexte" xfId="21289" builtinId="8" hidden="1"/>
    <cellStyle name="Lien hypertexte" xfId="21325" builtinId="8" hidden="1"/>
    <cellStyle name="Lien hypertexte" xfId="21365" builtinId="8" hidden="1"/>
    <cellStyle name="Lien hypertexte" xfId="21401" builtinId="8" hidden="1"/>
    <cellStyle name="Lien hypertexte" xfId="21439" builtinId="8" hidden="1"/>
    <cellStyle name="Lien hypertexte" xfId="21477" builtinId="8" hidden="1"/>
    <cellStyle name="Lien hypertexte" xfId="21515" builtinId="8" hidden="1"/>
    <cellStyle name="Lien hypertexte" xfId="21551" builtinId="8" hidden="1"/>
    <cellStyle name="Lien hypertexte" xfId="21591" builtinId="8" hidden="1"/>
    <cellStyle name="Lien hypertexte" xfId="21627" builtinId="8" hidden="1"/>
    <cellStyle name="Lien hypertexte" xfId="21667" builtinId="8" hidden="1"/>
    <cellStyle name="Lien hypertexte" xfId="21703" builtinId="8" hidden="1"/>
    <cellStyle name="Lien hypertexte" xfId="21723" builtinId="8" hidden="1"/>
    <cellStyle name="Lien hypertexte" xfId="20553" builtinId="8" hidden="1"/>
    <cellStyle name="Lien hypertexte" xfId="19561" builtinId="8" hidden="1"/>
    <cellStyle name="Lien hypertexte" xfId="19597" builtinId="8" hidden="1"/>
    <cellStyle name="Lien hypertexte" xfId="19637" builtinId="8" hidden="1"/>
    <cellStyle name="Lien hypertexte" xfId="19673" builtinId="8" hidden="1"/>
    <cellStyle name="Lien hypertexte" xfId="19709" builtinId="8" hidden="1"/>
    <cellStyle name="Lien hypertexte" xfId="19747" builtinId="8" hidden="1"/>
    <cellStyle name="Lien hypertexte" xfId="19785" builtinId="8" hidden="1"/>
    <cellStyle name="Lien hypertexte" xfId="19821" builtinId="8" hidden="1"/>
    <cellStyle name="Lien hypertexte" xfId="19859" builtinId="8" hidden="1"/>
    <cellStyle name="Lien hypertexte" xfId="19897" builtinId="8" hidden="1"/>
    <cellStyle name="Lien hypertexte" xfId="19933" builtinId="8" hidden="1"/>
    <cellStyle name="Lien hypertexte" xfId="19971" builtinId="8" hidden="1"/>
    <cellStyle name="Lien hypertexte" xfId="20007" builtinId="8" hidden="1"/>
    <cellStyle name="Lien hypertexte" xfId="20045" builtinId="8" hidden="1"/>
    <cellStyle name="Lien hypertexte" xfId="20083" builtinId="8" hidden="1"/>
    <cellStyle name="Lien hypertexte" xfId="20119" builtinId="8" hidden="1"/>
    <cellStyle name="Lien hypertexte" xfId="20155" builtinId="8" hidden="1"/>
    <cellStyle name="Lien hypertexte" xfId="20195" builtinId="8" hidden="1"/>
    <cellStyle name="Lien hypertexte" xfId="20231" builtinId="8" hidden="1"/>
    <cellStyle name="Lien hypertexte" xfId="19197" builtinId="8" hidden="1"/>
    <cellStyle name="Lien hypertexte" xfId="19235" builtinId="8" hidden="1"/>
    <cellStyle name="Lien hypertexte" xfId="19271" builtinId="8" hidden="1"/>
    <cellStyle name="Lien hypertexte" xfId="19307" builtinId="8" hidden="1"/>
    <cellStyle name="Lien hypertexte" xfId="19347" builtinId="8" hidden="1"/>
    <cellStyle name="Lien hypertexte" xfId="19383" builtinId="8" hidden="1"/>
    <cellStyle name="Lien hypertexte" xfId="19419" builtinId="8" hidden="1"/>
    <cellStyle name="Lien hypertexte" xfId="19455" builtinId="8" hidden="1"/>
    <cellStyle name="Lien hypertexte" xfId="19493" builtinId="8" hidden="1"/>
    <cellStyle name="Lien hypertexte" xfId="19529" builtinId="8" hidden="1"/>
    <cellStyle name="Lien hypertexte" xfId="19045" builtinId="8" hidden="1"/>
    <cellStyle name="Lien hypertexte" xfId="19081" builtinId="8" hidden="1"/>
    <cellStyle name="Lien hypertexte" xfId="19117" builtinId="8" hidden="1"/>
    <cellStyle name="Lien hypertexte" xfId="19155" builtinId="8" hidden="1"/>
    <cellStyle name="Lien hypertexte" xfId="18935" builtinId="8" hidden="1"/>
    <cellStyle name="Lien hypertexte" xfId="18971" builtinId="8" hidden="1"/>
    <cellStyle name="Lien hypertexte" xfId="19007" builtinId="8" hidden="1"/>
    <cellStyle name="Lien hypertexte" xfId="18917" builtinId="8" hidden="1"/>
    <cellStyle name="Lien hypertexte" xfId="18857" builtinId="8" hidden="1"/>
    <cellStyle name="Lien hypertexte" xfId="18859" builtinId="8" hidden="1"/>
    <cellStyle name="Lien hypertexte" xfId="18919" builtinId="8" hidden="1"/>
    <cellStyle name="Lien hypertexte" xfId="19011" builtinId="8" hidden="1"/>
    <cellStyle name="Lien hypertexte" xfId="18973" builtinId="8" hidden="1"/>
    <cellStyle name="Lien hypertexte" xfId="18937" builtinId="8" hidden="1"/>
    <cellStyle name="Lien hypertexte" xfId="19157" builtinId="8" hidden="1"/>
    <cellStyle name="Lien hypertexte" xfId="19119" builtinId="8" hidden="1"/>
    <cellStyle name="Lien hypertexte" xfId="19083" builtinId="8" hidden="1"/>
    <cellStyle name="Lien hypertexte" xfId="19047" builtinId="8" hidden="1"/>
    <cellStyle name="Lien hypertexte" xfId="19531" builtinId="8" hidden="1"/>
    <cellStyle name="Lien hypertexte" xfId="19495" builtinId="8" hidden="1"/>
    <cellStyle name="Lien hypertexte" xfId="19459" builtinId="8" hidden="1"/>
    <cellStyle name="Lien hypertexte" xfId="19421" builtinId="8" hidden="1"/>
    <cellStyle name="Lien hypertexte" xfId="19385" builtinId="8" hidden="1"/>
    <cellStyle name="Lien hypertexte" xfId="19349" builtinId="8" hidden="1"/>
    <cellStyle name="Lien hypertexte" xfId="19311" builtinId="8" hidden="1"/>
    <cellStyle name="Lien hypertexte" xfId="19273" builtinId="8" hidden="1"/>
    <cellStyle name="Lien hypertexte" xfId="19237" builtinId="8" hidden="1"/>
    <cellStyle name="Lien hypertexte" xfId="19199" builtinId="8" hidden="1"/>
    <cellStyle name="Lien hypertexte" xfId="20233" builtinId="8" hidden="1"/>
    <cellStyle name="Lien hypertexte" xfId="20197" builtinId="8" hidden="1"/>
    <cellStyle name="Lien hypertexte" xfId="20157" builtinId="8" hidden="1"/>
    <cellStyle name="Lien hypertexte" xfId="20121" builtinId="8" hidden="1"/>
    <cellStyle name="Lien hypertexte" xfId="20085" builtinId="8" hidden="1"/>
    <cellStyle name="Lien hypertexte" xfId="20047" builtinId="8" hidden="1"/>
    <cellStyle name="Lien hypertexte" xfId="20009" builtinId="8" hidden="1"/>
    <cellStyle name="Lien hypertexte" xfId="19973" builtinId="8" hidden="1"/>
    <cellStyle name="Lien hypertexte" xfId="19935" builtinId="8" hidden="1"/>
    <cellStyle name="Lien hypertexte" xfId="19899" builtinId="8" hidden="1"/>
    <cellStyle name="Lien hypertexte" xfId="19861" builtinId="8" hidden="1"/>
    <cellStyle name="Lien hypertexte" xfId="19823" builtinId="8" hidden="1"/>
    <cellStyle name="Lien hypertexte" xfId="19787" builtinId="8" hidden="1"/>
    <cellStyle name="Lien hypertexte" xfId="19751" builtinId="8" hidden="1"/>
    <cellStyle name="Lien hypertexte" xfId="19711" builtinId="8" hidden="1"/>
    <cellStyle name="Lien hypertexte" xfId="19675" builtinId="8" hidden="1"/>
    <cellStyle name="Lien hypertexte" xfId="19639" builtinId="8" hidden="1"/>
    <cellStyle name="Lien hypertexte" xfId="19599" builtinId="8" hidden="1"/>
    <cellStyle name="Lien hypertexte" xfId="19563" builtinId="8" hidden="1"/>
    <cellStyle name="Lien hypertexte" xfId="20479" builtinId="8" hidden="1"/>
    <cellStyle name="Lien hypertexte" xfId="21651" builtinId="8" hidden="1"/>
    <cellStyle name="Lien hypertexte" xfId="21705" builtinId="8" hidden="1"/>
    <cellStyle name="Lien hypertexte" xfId="21669" builtinId="8" hidden="1"/>
    <cellStyle name="Lien hypertexte" xfId="21629" builtinId="8" hidden="1"/>
    <cellStyle name="Lien hypertexte" xfId="21593" builtinId="8" hidden="1"/>
    <cellStyle name="Lien hypertexte" xfId="21555" builtinId="8" hidden="1"/>
    <cellStyle name="Lien hypertexte" xfId="21517" builtinId="8" hidden="1"/>
    <cellStyle name="Lien hypertexte" xfId="21479" builtinId="8" hidden="1"/>
    <cellStyle name="Lien hypertexte" xfId="21443" builtinId="8" hidden="1"/>
    <cellStyle name="Lien hypertexte" xfId="21403" builtinId="8" hidden="1"/>
    <cellStyle name="Lien hypertexte" xfId="21367" builtinId="8" hidden="1"/>
    <cellStyle name="Lien hypertexte" xfId="21327" builtinId="8" hidden="1"/>
    <cellStyle name="Lien hypertexte" xfId="21291" builtinId="8" hidden="1"/>
    <cellStyle name="Lien hypertexte" xfId="21253" builtinId="8" hidden="1"/>
    <cellStyle name="Lien hypertexte" xfId="21215" builtinId="8" hidden="1"/>
    <cellStyle name="Lien hypertexte" xfId="21177" builtinId="8" hidden="1"/>
    <cellStyle name="Lien hypertexte" xfId="21141" builtinId="8" hidden="1"/>
    <cellStyle name="Lien hypertexte" xfId="21101" builtinId="8" hidden="1"/>
    <cellStyle name="Lien hypertexte" xfId="21063" builtinId="8" hidden="1"/>
    <cellStyle name="Lien hypertexte" xfId="21027" builtinId="8" hidden="1"/>
    <cellStyle name="Lien hypertexte" xfId="20987" builtinId="8" hidden="1"/>
    <cellStyle name="Lien hypertexte" xfId="20951" builtinId="8" hidden="1"/>
    <cellStyle name="Lien hypertexte" xfId="20911" builtinId="8" hidden="1"/>
    <cellStyle name="Lien hypertexte" xfId="20875" builtinId="8" hidden="1"/>
    <cellStyle name="Lien hypertexte" xfId="20837" builtinId="8" hidden="1"/>
    <cellStyle name="Lien hypertexte" xfId="20799" builtinId="8" hidden="1"/>
    <cellStyle name="Lien hypertexte" xfId="20761" builtinId="8" hidden="1"/>
    <cellStyle name="Lien hypertexte" xfId="20725" builtinId="8" hidden="1"/>
    <cellStyle name="Lien hypertexte" xfId="20685" builtinId="8" hidden="1"/>
    <cellStyle name="Lien hypertexte" xfId="20649" builtinId="8" hidden="1"/>
    <cellStyle name="Lien hypertexte" xfId="20611" builtinId="8" hidden="1"/>
    <cellStyle name="Lien hypertexte" xfId="20573" builtinId="8" hidden="1"/>
    <cellStyle name="Lien hypertexte" xfId="20535" builtinId="8" hidden="1"/>
    <cellStyle name="Lien hypertexte" xfId="20499" builtinId="8" hidden="1"/>
    <cellStyle name="Lien hypertexte" xfId="20459" builtinId="8" hidden="1"/>
    <cellStyle name="Lien hypertexte" xfId="20423" builtinId="8" hidden="1"/>
    <cellStyle name="Lien hypertexte" xfId="20383" builtinId="8" hidden="1"/>
    <cellStyle name="Lien hypertexte" xfId="20347" builtinId="8" hidden="1"/>
    <cellStyle name="Lien hypertexte" xfId="20309" builtinId="8" hidden="1"/>
    <cellStyle name="Lien hypertexte" xfId="20271" builtinId="8" hidden="1"/>
    <cellStyle name="Lien hypertexte" xfId="21943" builtinId="8" hidden="1"/>
    <cellStyle name="Lien hypertexte" xfId="22527" builtinId="8" hidden="1"/>
    <cellStyle name="Lien hypertexte" xfId="23113" builtinId="8" hidden="1"/>
    <cellStyle name="Lien hypertexte" xfId="23699" builtinId="8" hidden="1"/>
    <cellStyle name="Lien hypertexte" xfId="24283" builtinId="8" hidden="1"/>
    <cellStyle name="Lien hypertexte" xfId="22817" builtinId="8" hidden="1"/>
    <cellStyle name="Lien hypertexte" xfId="21745" builtinId="8" hidden="1"/>
    <cellStyle name="Lien hypertexte" xfId="22017" builtinId="8" hidden="1"/>
    <cellStyle name="Lien hypertexte" xfId="22289" builtinId="8" hidden="1"/>
    <cellStyle name="Lien hypertexte" xfId="22577" builtinId="8" hidden="1"/>
    <cellStyle name="Lien hypertexte" xfId="22849" builtinId="8" hidden="1"/>
    <cellStyle name="Lien hypertexte" xfId="23121" builtinId="8" hidden="1"/>
    <cellStyle name="Lien hypertexte" xfId="23393" builtinId="8" hidden="1"/>
    <cellStyle name="Lien hypertexte" xfId="23665" builtinId="8" hidden="1"/>
    <cellStyle name="Lien hypertexte" xfId="23937" builtinId="8" hidden="1"/>
    <cellStyle name="Lien hypertexte" xfId="24209" builtinId="8" hidden="1"/>
    <cellStyle name="Lien hypertexte" xfId="24481" builtinId="8" hidden="1"/>
    <cellStyle name="Lien hypertexte" xfId="24591" builtinId="8" hidden="1"/>
    <cellStyle name="Lien hypertexte" xfId="24553" builtinId="8" hidden="1"/>
    <cellStyle name="Lien hypertexte" xfId="24515" builtinId="8" hidden="1"/>
    <cellStyle name="Lien hypertexte" xfId="24475" builtinId="8" hidden="1"/>
    <cellStyle name="Lien hypertexte" xfId="24437" builtinId="8" hidden="1"/>
    <cellStyle name="Lien hypertexte" xfId="24397" builtinId="8" hidden="1"/>
    <cellStyle name="Lien hypertexte" xfId="24359" builtinId="8" hidden="1"/>
    <cellStyle name="Lien hypertexte" xfId="24317" builtinId="8" hidden="1"/>
    <cellStyle name="Lien hypertexte" xfId="24279" builtinId="8" hidden="1"/>
    <cellStyle name="Lien hypertexte" xfId="24239" builtinId="8" hidden="1"/>
    <cellStyle name="Lien hypertexte" xfId="24201" builtinId="8" hidden="1"/>
    <cellStyle name="Lien hypertexte" xfId="24163" builtinId="8" hidden="1"/>
    <cellStyle name="Lien hypertexte" xfId="24123" builtinId="8" hidden="1"/>
    <cellStyle name="Lien hypertexte" xfId="24085" builtinId="8" hidden="1"/>
    <cellStyle name="Lien hypertexte" xfId="24045" builtinId="8" hidden="1"/>
    <cellStyle name="Lien hypertexte" xfId="24007" builtinId="8" hidden="1"/>
    <cellStyle name="Lien hypertexte" xfId="23967" builtinId="8" hidden="1"/>
    <cellStyle name="Lien hypertexte" xfId="23929" builtinId="8" hidden="1"/>
    <cellStyle name="Lien hypertexte" xfId="23891" builtinId="8" hidden="1"/>
    <cellStyle name="Lien hypertexte" xfId="23851" builtinId="8" hidden="1"/>
    <cellStyle name="Lien hypertexte" xfId="23813" builtinId="8" hidden="1"/>
    <cellStyle name="Lien hypertexte" xfId="23773" builtinId="8" hidden="1"/>
    <cellStyle name="Lien hypertexte" xfId="23733" builtinId="8" hidden="1"/>
    <cellStyle name="Lien hypertexte" xfId="23693" builtinId="8" hidden="1"/>
    <cellStyle name="Lien hypertexte" xfId="23655" builtinId="8" hidden="1"/>
    <cellStyle name="Lien hypertexte" xfId="23615" builtinId="8" hidden="1"/>
    <cellStyle name="Lien hypertexte" xfId="23577" builtinId="8" hidden="1"/>
    <cellStyle name="Lien hypertexte" xfId="23539" builtinId="8" hidden="1"/>
    <cellStyle name="Lien hypertexte" xfId="23499" builtinId="8" hidden="1"/>
    <cellStyle name="Lien hypertexte" xfId="23461" builtinId="8" hidden="1"/>
    <cellStyle name="Lien hypertexte" xfId="23421" builtinId="8" hidden="1"/>
    <cellStyle name="Lien hypertexte" xfId="23383" builtinId="8" hidden="1"/>
    <cellStyle name="Lien hypertexte" xfId="23343" builtinId="8" hidden="1"/>
    <cellStyle name="Lien hypertexte" xfId="23305" builtinId="8" hidden="1"/>
    <cellStyle name="Lien hypertexte" xfId="23267" builtinId="8" hidden="1"/>
    <cellStyle name="Lien hypertexte" xfId="23227" builtinId="8" hidden="1"/>
    <cellStyle name="Lien hypertexte" xfId="23189" builtinId="8" hidden="1"/>
    <cellStyle name="Lien hypertexte" xfId="23147" builtinId="8" hidden="1"/>
    <cellStyle name="Lien hypertexte" xfId="23109" builtinId="8" hidden="1"/>
    <cellStyle name="Lien hypertexte" xfId="23069" builtinId="8" hidden="1"/>
    <cellStyle name="Lien hypertexte" xfId="23031" builtinId="8" hidden="1"/>
    <cellStyle name="Lien hypertexte" xfId="22991" builtinId="8" hidden="1"/>
    <cellStyle name="Lien hypertexte" xfId="22953" builtinId="8" hidden="1"/>
    <cellStyle name="Lien hypertexte" xfId="22915" builtinId="8" hidden="1"/>
    <cellStyle name="Lien hypertexte" xfId="22875" builtinId="8" hidden="1"/>
    <cellStyle name="Lien hypertexte" xfId="22837" builtinId="8" hidden="1"/>
    <cellStyle name="Lien hypertexte" xfId="22797" builtinId="8" hidden="1"/>
    <cellStyle name="Lien hypertexte" xfId="22759" builtinId="8" hidden="1"/>
    <cellStyle name="Lien hypertexte" xfId="22719" builtinId="8" hidden="1"/>
    <cellStyle name="Lien hypertexte" xfId="22681" builtinId="8" hidden="1"/>
    <cellStyle name="Lien hypertexte" xfId="22643" builtinId="8" hidden="1"/>
    <cellStyle name="Lien hypertexte" xfId="22603" builtinId="8" hidden="1"/>
    <cellStyle name="Lien hypertexte" xfId="22563" builtinId="8" hidden="1"/>
    <cellStyle name="Lien hypertexte" xfId="22523" builtinId="8" hidden="1"/>
    <cellStyle name="Lien hypertexte" xfId="22485" builtinId="8" hidden="1"/>
    <cellStyle name="Lien hypertexte" xfId="22445" builtinId="8" hidden="1"/>
    <cellStyle name="Lien hypertexte" xfId="22407" builtinId="8" hidden="1"/>
    <cellStyle name="Lien hypertexte" xfId="22367" builtinId="8" hidden="1"/>
    <cellStyle name="Lien hypertexte" xfId="22329" builtinId="8" hidden="1"/>
    <cellStyle name="Lien hypertexte" xfId="22291" builtinId="8" hidden="1"/>
    <cellStyle name="Lien hypertexte" xfId="22251" builtinId="8" hidden="1"/>
    <cellStyle name="Lien hypertexte" xfId="22213" builtinId="8" hidden="1"/>
    <cellStyle name="Lien hypertexte" xfId="22173" builtinId="8" hidden="1"/>
    <cellStyle name="Lien hypertexte" xfId="22135" builtinId="8" hidden="1"/>
    <cellStyle name="Lien hypertexte" xfId="22095" builtinId="8" hidden="1"/>
    <cellStyle name="Lien hypertexte" xfId="22057" builtinId="8" hidden="1"/>
    <cellStyle name="Lien hypertexte" xfId="22019" builtinId="8" hidden="1"/>
    <cellStyle name="Lien hypertexte" xfId="21977" builtinId="8" hidden="1"/>
    <cellStyle name="Lien hypertexte" xfId="21939" builtinId="8" hidden="1"/>
    <cellStyle name="Lien hypertexte" xfId="21899" builtinId="8" hidden="1"/>
    <cellStyle name="Lien hypertexte" xfId="21861" builtinId="8" hidden="1"/>
    <cellStyle name="Lien hypertexte" xfId="21821" builtinId="8" hidden="1"/>
    <cellStyle name="Lien hypertexte" xfId="21783" builtinId="8" hidden="1"/>
    <cellStyle name="Lien hypertexte" xfId="21743" builtinId="8" hidden="1"/>
    <cellStyle name="Lien hypertexte" xfId="19745" builtinId="8" hidden="1"/>
    <cellStyle name="Lien hypertexte" xfId="16088" builtinId="8" hidden="1"/>
    <cellStyle name="Lien hypertexte" xfId="16360" builtinId="8" hidden="1"/>
    <cellStyle name="Lien hypertexte" xfId="16634" builtinId="8" hidden="1"/>
    <cellStyle name="Lien hypertexte" xfId="16906" builtinId="8" hidden="1"/>
    <cellStyle name="Lien hypertexte" xfId="17180" builtinId="8" hidden="1"/>
    <cellStyle name="Lien hypertexte" xfId="17452" builtinId="8" hidden="1"/>
    <cellStyle name="Lien hypertexte" xfId="17726" builtinId="8" hidden="1"/>
    <cellStyle name="Lien hypertexte" xfId="17998" builtinId="8" hidden="1"/>
    <cellStyle name="Lien hypertexte" xfId="18272" builtinId="8" hidden="1"/>
    <cellStyle name="Lien hypertexte" xfId="18563" builtinId="8" hidden="1"/>
    <cellStyle name="Lien hypertexte" xfId="18835" builtinId="8" hidden="1"/>
    <cellStyle name="Lien hypertexte" xfId="14694" builtinId="8" hidden="1"/>
    <cellStyle name="Lien hypertexte" xfId="14958" builtinId="8" hidden="1"/>
    <cellStyle name="Lien hypertexte" xfId="15224" builtinId="8" hidden="1"/>
    <cellStyle name="Lien hypertexte" xfId="15488" builtinId="8" hidden="1"/>
    <cellStyle name="Lien hypertexte" xfId="15752" builtinId="8" hidden="1"/>
    <cellStyle name="Lien hypertexte" xfId="688" builtinId="8" hidden="1"/>
    <cellStyle name="Lien hypertexte" xfId="948" builtinId="8" hidden="1"/>
    <cellStyle name="Lien hypertexte" xfId="14562" builtinId="8" hidden="1"/>
    <cellStyle name="Lien hypertexte" xfId="532" builtinId="8" hidden="1"/>
    <cellStyle name="Lien hypertexte" xfId="332" builtinId="8" hidden="1"/>
    <cellStyle name="Lien hypertexte" xfId="62" builtinId="8" hidden="1"/>
    <cellStyle name="Lien hypertexte" xfId="110" builtinId="8" hidden="1"/>
    <cellStyle name="Lien hypertexte" xfId="184" builtinId="8" hidden="1"/>
    <cellStyle name="Lien hypertexte" xfId="148" builtinId="8" hidden="1"/>
    <cellStyle name="Lien hypertexte" xfId="336" builtinId="8" hidden="1"/>
    <cellStyle name="Lien hypertexte" xfId="298" builtinId="8" hidden="1"/>
    <cellStyle name="Lien hypertexte" xfId="262" builtinId="8" hidden="1"/>
    <cellStyle name="Lien hypertexte" xfId="226" builtinId="8" hidden="1"/>
    <cellStyle name="Lien hypertexte" xfId="646" builtinId="8" hidden="1"/>
    <cellStyle name="Lien hypertexte" xfId="608" builtinId="8" hidden="1"/>
    <cellStyle name="Lien hypertexte" xfId="572" builtinId="8" hidden="1"/>
    <cellStyle name="Lien hypertexte" xfId="536" builtinId="8" hidden="1"/>
    <cellStyle name="Lien hypertexte" xfId="498" builtinId="8" hidden="1"/>
    <cellStyle name="Lien hypertexte" xfId="462" builtinId="8" hidden="1"/>
    <cellStyle name="Lien hypertexte" xfId="424" builtinId="8" hidden="1"/>
    <cellStyle name="Lien hypertexte" xfId="388" builtinId="8" hidden="1"/>
    <cellStyle name="Lien hypertexte" xfId="350" builtinId="8" hidden="1"/>
    <cellStyle name="Lien hypertexte" xfId="14604" builtinId="8" hidden="1"/>
    <cellStyle name="Lien hypertexte" xfId="14566" builtinId="8" hidden="1"/>
    <cellStyle name="Lien hypertexte" xfId="14528" builtinId="8" hidden="1"/>
    <cellStyle name="Lien hypertexte" xfId="1138" builtinId="8" hidden="1"/>
    <cellStyle name="Lien hypertexte" xfId="1102" builtinId="8" hidden="1"/>
    <cellStyle name="Lien hypertexte" xfId="1064" builtinId="8" hidden="1"/>
    <cellStyle name="Lien hypertexte" xfId="1026" builtinId="8" hidden="1"/>
    <cellStyle name="Lien hypertexte" xfId="990" builtinId="8" hidden="1"/>
    <cellStyle name="Lien hypertexte" xfId="952" builtinId="8" hidden="1"/>
    <cellStyle name="Lien hypertexte" xfId="914" builtinId="8" hidden="1"/>
    <cellStyle name="Lien hypertexte" xfId="878" builtinId="8" hidden="1"/>
    <cellStyle name="Lien hypertexte" xfId="842" builtinId="8" hidden="1"/>
    <cellStyle name="Lien hypertexte" xfId="804" builtinId="8" hidden="1"/>
    <cellStyle name="Lien hypertexte" xfId="766" builtinId="8" hidden="1"/>
    <cellStyle name="Lien hypertexte" xfId="730" builtinId="8" hidden="1"/>
    <cellStyle name="Lien hypertexte" xfId="692" builtinId="8" hidden="1"/>
    <cellStyle name="Lien hypertexte" xfId="654" builtinId="8" hidden="1"/>
    <cellStyle name="Lien hypertexte" xfId="15664" builtinId="8" hidden="1"/>
    <cellStyle name="Lien hypertexte" xfId="15906" builtinId="8" hidden="1"/>
    <cellStyle name="Lien hypertexte" xfId="15870" builtinId="8" hidden="1"/>
    <cellStyle name="Lien hypertexte" xfId="15830" builtinId="8" hidden="1"/>
    <cellStyle name="Lien hypertexte" xfId="15794" builtinId="8" hidden="1"/>
    <cellStyle name="Lien hypertexte" xfId="15756" builtinId="8" hidden="1"/>
    <cellStyle name="Lien hypertexte" xfId="15716" builtinId="8" hidden="1"/>
    <cellStyle name="Lien hypertexte" xfId="15680" builtinId="8" hidden="1"/>
    <cellStyle name="Lien hypertexte" xfId="15642" builtinId="8" hidden="1"/>
    <cellStyle name="Lien hypertexte" xfId="15606" builtinId="8" hidden="1"/>
    <cellStyle name="Lien hypertexte" xfId="15566" builtinId="8" hidden="1"/>
    <cellStyle name="Lien hypertexte" xfId="15528" builtinId="8" hidden="1"/>
    <cellStyle name="Lien hypertexte" xfId="15492" builtinId="8" hidden="1"/>
    <cellStyle name="Lien hypertexte" xfId="15452" builtinId="8" hidden="1"/>
    <cellStyle name="Lien hypertexte" xfId="15416" builtinId="8" hidden="1"/>
    <cellStyle name="Lien hypertexte" xfId="15378" builtinId="8" hidden="1"/>
    <cellStyle name="Lien hypertexte" xfId="15340" builtinId="8" hidden="1"/>
    <cellStyle name="Lien hypertexte" xfId="15302" builtinId="8" hidden="1"/>
    <cellStyle name="Lien hypertexte" xfId="15264" builtinId="8" hidden="1"/>
    <cellStyle name="Lien hypertexte" xfId="15228" builtinId="8" hidden="1"/>
    <cellStyle name="Lien hypertexte" xfId="15188" builtinId="8" hidden="1"/>
    <cellStyle name="Lien hypertexte" xfId="15150" builtinId="8" hidden="1"/>
    <cellStyle name="Lien hypertexte" xfId="15114" builtinId="8" hidden="1"/>
    <cellStyle name="Lien hypertexte" xfId="15076" builtinId="8" hidden="1"/>
    <cellStyle name="Lien hypertexte" xfId="15038" builtinId="8" hidden="1"/>
    <cellStyle name="Lien hypertexte" xfId="15000" builtinId="8" hidden="1"/>
    <cellStyle name="Lien hypertexte" xfId="14964" builtinId="8" hidden="1"/>
    <cellStyle name="Lien hypertexte" xfId="14924" builtinId="8" hidden="1"/>
    <cellStyle name="Lien hypertexte" xfId="14886" builtinId="8" hidden="1"/>
    <cellStyle name="Lien hypertexte" xfId="14850" builtinId="8" hidden="1"/>
    <cellStyle name="Lien hypertexte" xfId="14812" builtinId="8" hidden="1"/>
    <cellStyle name="Lien hypertexte" xfId="14774" builtinId="8" hidden="1"/>
    <cellStyle name="Lien hypertexte" xfId="14736" builtinId="8" hidden="1"/>
    <cellStyle name="Lien hypertexte" xfId="14698" builtinId="8" hidden="1"/>
    <cellStyle name="Lien hypertexte" xfId="14660" builtinId="8" hidden="1"/>
    <cellStyle name="Lien hypertexte" xfId="16016" builtinId="8" hidden="1"/>
    <cellStyle name="Lien hypertexte" xfId="16592" builtinId="8" hidden="1"/>
    <cellStyle name="Lien hypertexte" xfId="17168" builtinId="8" hidden="1"/>
    <cellStyle name="Lien hypertexte" xfId="17776" builtinId="8" hidden="1"/>
    <cellStyle name="Lien hypertexte" xfId="18369" builtinId="8" hidden="1"/>
    <cellStyle name="Lien hypertexte" xfId="18839" builtinId="8" hidden="1"/>
    <cellStyle name="Lien hypertexte" xfId="18799" builtinId="8" hidden="1"/>
    <cellStyle name="Lien hypertexte" xfId="18761" builtinId="8" hidden="1"/>
    <cellStyle name="Lien hypertexte" xfId="18723" builtinId="8" hidden="1"/>
    <cellStyle name="Lien hypertexte" xfId="18683" builtinId="8" hidden="1"/>
    <cellStyle name="Lien hypertexte" xfId="18643" builtinId="8" hidden="1"/>
    <cellStyle name="Lien hypertexte" xfId="18605" builtinId="8" hidden="1"/>
    <cellStyle name="Lien hypertexte" xfId="18567" builtinId="8" hidden="1"/>
    <cellStyle name="Lien hypertexte" xfId="18525" builtinId="8" hidden="1"/>
    <cellStyle name="Lien hypertexte" xfId="18487" builtinId="8" hidden="1"/>
    <cellStyle name="Lien hypertexte" xfId="18449" builtinId="8" hidden="1"/>
    <cellStyle name="Lien hypertexte" xfId="18411" builtinId="8" hidden="1"/>
    <cellStyle name="Lien hypertexte" xfId="18371" builtinId="8" hidden="1"/>
    <cellStyle name="Lien hypertexte" xfId="18331" builtinId="8" hidden="1"/>
    <cellStyle name="Lien hypertexte" xfId="18276" builtinId="8" hidden="1"/>
    <cellStyle name="Lien hypertexte" xfId="18236" builtinId="8" hidden="1"/>
    <cellStyle name="Lien hypertexte" xfId="18198" builtinId="8" hidden="1"/>
    <cellStyle name="Lien hypertexte" xfId="18158" builtinId="8" hidden="1"/>
    <cellStyle name="Lien hypertexte" xfId="18120" builtinId="8" hidden="1"/>
    <cellStyle name="Lien hypertexte" xfId="18080" builtinId="8" hidden="1"/>
    <cellStyle name="Lien hypertexte" xfId="18042" builtinId="8" hidden="1"/>
    <cellStyle name="Lien hypertexte" xfId="18004" builtinId="8" hidden="1"/>
    <cellStyle name="Lien hypertexte" xfId="17962" builtinId="8" hidden="1"/>
    <cellStyle name="Lien hypertexte" xfId="17924" builtinId="8" hidden="1"/>
    <cellStyle name="Lien hypertexte" xfId="17886" builtinId="8" hidden="1"/>
    <cellStyle name="Lien hypertexte" xfId="17848" builtinId="8" hidden="1"/>
    <cellStyle name="Lien hypertexte" xfId="17806" builtinId="8" hidden="1"/>
    <cellStyle name="Lien hypertexte" xfId="17768" builtinId="8" hidden="1"/>
    <cellStyle name="Lien hypertexte" xfId="17730" builtinId="8" hidden="1"/>
    <cellStyle name="Lien hypertexte" xfId="17690" builtinId="8" hidden="1"/>
    <cellStyle name="Lien hypertexte" xfId="17652" builtinId="8" hidden="1"/>
    <cellStyle name="Lien hypertexte" xfId="17612" builtinId="8" hidden="1"/>
    <cellStyle name="Lien hypertexte" xfId="17574" builtinId="8" hidden="1"/>
    <cellStyle name="Lien hypertexte" xfId="17534" builtinId="8" hidden="1"/>
    <cellStyle name="Lien hypertexte" xfId="17496" builtinId="8" hidden="1"/>
    <cellStyle name="Lien hypertexte" xfId="17458" builtinId="8" hidden="1"/>
    <cellStyle name="Lien hypertexte" xfId="17416" builtinId="8" hidden="1"/>
    <cellStyle name="Lien hypertexte" xfId="17378" builtinId="8" hidden="1"/>
    <cellStyle name="Lien hypertexte" xfId="17340" builtinId="8" hidden="1"/>
    <cellStyle name="Lien hypertexte" xfId="17302" builtinId="8" hidden="1"/>
    <cellStyle name="Lien hypertexte" xfId="17260" builtinId="8" hidden="1"/>
    <cellStyle name="Lien hypertexte" xfId="17222" builtinId="8" hidden="1"/>
    <cellStyle name="Lien hypertexte" xfId="17184" builtinId="8" hidden="1"/>
    <cellStyle name="Lien hypertexte" xfId="17144" builtinId="8" hidden="1"/>
    <cellStyle name="Lien hypertexte" xfId="17106" builtinId="8" hidden="1"/>
    <cellStyle name="Lien hypertexte" xfId="17066" builtinId="8" hidden="1"/>
    <cellStyle name="Lien hypertexte" xfId="17028" builtinId="8" hidden="1"/>
    <cellStyle name="Lien hypertexte" xfId="16988" builtinId="8" hidden="1"/>
    <cellStyle name="Lien hypertexte" xfId="16950" builtinId="8" hidden="1"/>
    <cellStyle name="Lien hypertexte" xfId="16910" builtinId="8" hidden="1"/>
    <cellStyle name="Lien hypertexte" xfId="16870" builtinId="8" hidden="1"/>
    <cellStyle name="Lien hypertexte" xfId="16832" builtinId="8" hidden="1"/>
    <cellStyle name="Lien hypertexte" xfId="16794" builtinId="8" hidden="1"/>
    <cellStyle name="Lien hypertexte" xfId="16756" builtinId="8" hidden="1"/>
    <cellStyle name="Lien hypertexte" xfId="16714" builtinId="8" hidden="1"/>
    <cellStyle name="Lien hypertexte" xfId="16676" builtinId="8" hidden="1"/>
    <cellStyle name="Lien hypertexte" xfId="16638" builtinId="8" hidden="1"/>
    <cellStyle name="Lien hypertexte" xfId="16598" builtinId="8" hidden="1"/>
    <cellStyle name="Lien hypertexte" xfId="16558" builtinId="8" hidden="1"/>
    <cellStyle name="Lien hypertexte" xfId="16520" builtinId="8" hidden="1"/>
    <cellStyle name="Lien hypertexte" xfId="16482" builtinId="8" hidden="1"/>
    <cellStyle name="Lien hypertexte" xfId="16442" builtinId="8" hidden="1"/>
    <cellStyle name="Lien hypertexte" xfId="16404" builtinId="8" hidden="1"/>
    <cellStyle name="Lien hypertexte" xfId="16364" builtinId="8" hidden="1"/>
    <cellStyle name="Lien hypertexte" xfId="16324" builtinId="8" hidden="1"/>
    <cellStyle name="Lien hypertexte" xfId="16286" builtinId="8" hidden="1"/>
    <cellStyle name="Lien hypertexte" xfId="16248" builtinId="8" hidden="1"/>
    <cellStyle name="Lien hypertexte" xfId="16210" builtinId="8" hidden="1"/>
    <cellStyle name="Lien hypertexte" xfId="16168" builtinId="8" hidden="1"/>
    <cellStyle name="Lien hypertexte" xfId="16130" builtinId="8" hidden="1"/>
    <cellStyle name="Lien hypertexte" xfId="16092" builtinId="8" hidden="1"/>
    <cellStyle name="Lien hypertexte" xfId="16052" builtinId="8" hidden="1"/>
    <cellStyle name="Lien hypertexte" xfId="16012" builtinId="8" hidden="1"/>
    <cellStyle name="Lien hypertexte" xfId="15974" builtinId="8" hidden="1"/>
    <cellStyle name="Lien hypertexte" xfId="15936" builtinId="8" hidden="1"/>
    <cellStyle name="Lien hypertexte" xfId="19137" builtinId="8" hidden="1"/>
    <cellStyle name="Lien hypertexte" xfId="19425" builtinId="8" hidden="1"/>
    <cellStyle name="Lien hypertexte" xfId="19713" builtinId="8" hidden="1"/>
    <cellStyle name="Lien hypertexte" xfId="20017" builtinId="8" hidden="1"/>
    <cellStyle name="Lien hypertexte" xfId="20305" builtinId="8" hidden="1"/>
    <cellStyle name="Lien hypertexte" xfId="20593" builtinId="8" hidden="1"/>
    <cellStyle name="Lien hypertexte" xfId="20881" builtinId="8" hidden="1"/>
    <cellStyle name="Lien hypertexte" xfId="21201" builtinId="8" hidden="1"/>
    <cellStyle name="Lien hypertexte" xfId="20993" builtinId="8" hidden="1"/>
    <cellStyle name="Lien hypertexte" xfId="21329" builtinId="8" hidden="1"/>
    <cellStyle name="Lien hypertexte" xfId="21505" builtinId="8" hidden="1"/>
    <cellStyle name="Lien hypertexte" xfId="21473" builtinId="8" hidden="1"/>
    <cellStyle name="Lien hypertexte" xfId="21249" builtinId="8" hidden="1"/>
    <cellStyle name="Lien hypertexte" xfId="21009" builtinId="8" hidden="1"/>
    <cellStyle name="Lien hypertexte" xfId="21217" builtinId="8" hidden="1"/>
    <cellStyle name="Lien hypertexte" xfId="20849" builtinId="8" hidden="1"/>
    <cellStyle name="Lien hypertexte" xfId="20561" builtinId="8" hidden="1"/>
    <cellStyle name="Lien hypertexte" xfId="20273" builtinId="8" hidden="1"/>
    <cellStyle name="Lien hypertexte" xfId="19969" builtinId="8" hidden="1"/>
    <cellStyle name="Lien hypertexte" xfId="19681" builtinId="8" hidden="1"/>
    <cellStyle name="Lien hypertexte" xfId="19393" builtinId="8" hidden="1"/>
    <cellStyle name="Lien hypertexte" xfId="19089" builtinId="8" hidden="1"/>
    <cellStyle name="Lien hypertexte" xfId="15940" builtinId="8" hidden="1"/>
    <cellStyle name="Lien hypertexte" xfId="15978" builtinId="8" hidden="1"/>
    <cellStyle name="Lien hypertexte" xfId="16018" builtinId="8" hidden="1"/>
    <cellStyle name="Lien hypertexte" xfId="16058" builtinId="8" hidden="1"/>
    <cellStyle name="Lien hypertexte" xfId="16096" builtinId="8" hidden="1"/>
    <cellStyle name="Lien hypertexte" xfId="16134" builtinId="8" hidden="1"/>
    <cellStyle name="Lien hypertexte" xfId="16174" builtinId="8" hidden="1"/>
    <cellStyle name="Lien hypertexte" xfId="16214" builtinId="8" hidden="1"/>
    <cellStyle name="Lien hypertexte" xfId="16252" builtinId="8" hidden="1"/>
    <cellStyle name="Lien hypertexte" xfId="16290" builtinId="8" hidden="1"/>
    <cellStyle name="Lien hypertexte" xfId="16330" builtinId="8" hidden="1"/>
    <cellStyle name="Lien hypertexte" xfId="16370" builtinId="8" hidden="1"/>
    <cellStyle name="Lien hypertexte" xfId="16408" builtinId="8" hidden="1"/>
    <cellStyle name="Lien hypertexte" xfId="16448" builtinId="8" hidden="1"/>
    <cellStyle name="Lien hypertexte" xfId="16486" builtinId="8" hidden="1"/>
    <cellStyle name="Lien hypertexte" xfId="16524" builtinId="8" hidden="1"/>
    <cellStyle name="Lien hypertexte" xfId="16564" builtinId="8" hidden="1"/>
    <cellStyle name="Lien hypertexte" xfId="16604" builtinId="8" hidden="1"/>
    <cellStyle name="Lien hypertexte" xfId="16642" builtinId="8" hidden="1"/>
    <cellStyle name="Lien hypertexte" xfId="16680" builtinId="8" hidden="1"/>
    <cellStyle name="Lien hypertexte" xfId="16722" builtinId="8" hidden="1"/>
    <cellStyle name="Lien hypertexte" xfId="16760" builtinId="8" hidden="1"/>
    <cellStyle name="Lien hypertexte" xfId="16798" builtinId="8" hidden="1"/>
    <cellStyle name="Lien hypertexte" xfId="16836" builtinId="8" hidden="1"/>
    <cellStyle name="Lien hypertexte" xfId="16876" builtinId="8" hidden="1"/>
    <cellStyle name="Lien hypertexte" xfId="16916" builtinId="8" hidden="1"/>
    <cellStyle name="Lien hypertexte" xfId="16954" builtinId="8" hidden="1"/>
    <cellStyle name="Lien hypertexte" xfId="16994" builtinId="8" hidden="1"/>
    <cellStyle name="Lien hypertexte" xfId="17032" builtinId="8" hidden="1"/>
    <cellStyle name="Lien hypertexte" xfId="17070" builtinId="8" hidden="1"/>
    <cellStyle name="Lien hypertexte" xfId="17110" builtinId="8" hidden="1"/>
    <cellStyle name="Lien hypertexte" xfId="17150" builtinId="8" hidden="1"/>
    <cellStyle name="Lien hypertexte" xfId="17188" builtinId="8" hidden="1"/>
    <cellStyle name="Lien hypertexte" xfId="17226" builtinId="8" hidden="1"/>
    <cellStyle name="Lien hypertexte" xfId="17268" builtinId="8" hidden="1"/>
    <cellStyle name="Lien hypertexte" xfId="17306" builtinId="8" hidden="1"/>
    <cellStyle name="Lien hypertexte" xfId="17344" builtinId="8" hidden="1"/>
    <cellStyle name="Lien hypertexte" xfId="17382" builtinId="8" hidden="1"/>
    <cellStyle name="Lien hypertexte" xfId="17422" builtinId="8" hidden="1"/>
    <cellStyle name="Lien hypertexte" xfId="17462" builtinId="8" hidden="1"/>
    <cellStyle name="Lien hypertexte" xfId="17500" builtinId="8" hidden="1"/>
    <cellStyle name="Lien hypertexte" xfId="17540" builtinId="8" hidden="1"/>
    <cellStyle name="Lien hypertexte" xfId="17578" builtinId="8" hidden="1"/>
    <cellStyle name="Lien hypertexte" xfId="17618" builtinId="8" hidden="1"/>
    <cellStyle name="Lien hypertexte" xfId="17656" builtinId="8" hidden="1"/>
    <cellStyle name="Lien hypertexte" xfId="17696" builtinId="8" hidden="1"/>
    <cellStyle name="Lien hypertexte" xfId="17734" builtinId="8" hidden="1"/>
    <cellStyle name="Lien hypertexte" xfId="17772" builtinId="8" hidden="1"/>
    <cellStyle name="Lien hypertexte" xfId="17814" builtinId="8" hidden="1"/>
    <cellStyle name="Lien hypertexte" xfId="17852" builtinId="8" hidden="1"/>
    <cellStyle name="Lien hypertexte" xfId="17890" builtinId="8" hidden="1"/>
    <cellStyle name="Lien hypertexte" xfId="17928" builtinId="8" hidden="1"/>
    <cellStyle name="Lien hypertexte" xfId="17970" builtinId="8" hidden="1"/>
    <cellStyle name="Lien hypertexte" xfId="18008" builtinId="8" hidden="1"/>
    <cellStyle name="Lien hypertexte" xfId="18046" builtinId="8" hidden="1"/>
    <cellStyle name="Lien hypertexte" xfId="18086" builtinId="8" hidden="1"/>
    <cellStyle name="Lien hypertexte" xfId="18124" builtinId="8" hidden="1"/>
    <cellStyle name="Lien hypertexte" xfId="18164" builtinId="8" hidden="1"/>
    <cellStyle name="Lien hypertexte" xfId="18202" builtinId="8" hidden="1"/>
    <cellStyle name="Lien hypertexte" xfId="18242" builtinId="8" hidden="1"/>
    <cellStyle name="Lien hypertexte" xfId="18280" builtinId="8" hidden="1"/>
    <cellStyle name="Lien hypertexte" xfId="18335" builtinId="8" hidden="1"/>
    <cellStyle name="Lien hypertexte" xfId="18377" builtinId="8" hidden="1"/>
    <cellStyle name="Lien hypertexte" xfId="18415" builtinId="8" hidden="1"/>
    <cellStyle name="Lien hypertexte" xfId="18453" builtinId="8" hidden="1"/>
    <cellStyle name="Lien hypertexte" xfId="18491" builtinId="8" hidden="1"/>
    <cellStyle name="Lien hypertexte" xfId="18533" builtinId="8" hidden="1"/>
    <cellStyle name="Lien hypertexte" xfId="18571" builtinId="8" hidden="1"/>
    <cellStyle name="Lien hypertexte" xfId="18609" builtinId="8" hidden="1"/>
    <cellStyle name="Lien hypertexte" xfId="18649" builtinId="8" hidden="1"/>
    <cellStyle name="Lien hypertexte" xfId="18687" builtinId="8" hidden="1"/>
    <cellStyle name="Lien hypertexte" xfId="18727" builtinId="8" hidden="1"/>
    <cellStyle name="Lien hypertexte" xfId="18765" builtinId="8" hidden="1"/>
    <cellStyle name="Lien hypertexte" xfId="18805" builtinId="8" hidden="1"/>
    <cellStyle name="Lien hypertexte" xfId="18843" builtinId="8" hidden="1"/>
    <cellStyle name="Lien hypertexte" xfId="18288" builtinId="8" hidden="1"/>
    <cellStyle name="Lien hypertexte" xfId="17680" builtinId="8" hidden="1"/>
    <cellStyle name="Lien hypertexte" xfId="17104" builtinId="8" hidden="1"/>
    <cellStyle name="Lien hypertexte" xfId="16528" builtinId="8" hidden="1"/>
    <cellStyle name="Lien hypertexte" xfId="15952" builtinId="8" hidden="1"/>
    <cellStyle name="Lien hypertexte" xfId="14666" builtinId="8" hidden="1"/>
    <cellStyle name="Lien hypertexte" xfId="14702" builtinId="8" hidden="1"/>
    <cellStyle name="Lien hypertexte" xfId="14740" builtinId="8" hidden="1"/>
    <cellStyle name="Lien hypertexte" xfId="14780" builtinId="8" hidden="1"/>
    <cellStyle name="Lien hypertexte" xfId="14816" builtinId="8" hidden="1"/>
    <cellStyle name="Lien hypertexte" xfId="14854" builtinId="8" hidden="1"/>
    <cellStyle name="Lien hypertexte" xfId="14890" builtinId="8" hidden="1"/>
    <cellStyle name="Lien hypertexte" xfId="14930" builtinId="8" hidden="1"/>
    <cellStyle name="Lien hypertexte" xfId="14968" builtinId="8" hidden="1"/>
    <cellStyle name="Lien hypertexte" xfId="15004" builtinId="8" hidden="1"/>
    <cellStyle name="Lien hypertexte" xfId="15044" builtinId="8" hidden="1"/>
    <cellStyle name="Lien hypertexte" xfId="15080" builtinId="8" hidden="1"/>
    <cellStyle name="Lien hypertexte" xfId="15118" builtinId="8" hidden="1"/>
    <cellStyle name="Lien hypertexte" xfId="15156" builtinId="8" hidden="1"/>
    <cellStyle name="Lien hypertexte" xfId="15194" builtinId="8" hidden="1"/>
    <cellStyle name="Lien hypertexte" xfId="15232" builtinId="8" hidden="1"/>
    <cellStyle name="Lien hypertexte" xfId="15268" builtinId="8" hidden="1"/>
    <cellStyle name="Lien hypertexte" xfId="15308" builtinId="8" hidden="1"/>
    <cellStyle name="Lien hypertexte" xfId="15346" builtinId="8" hidden="1"/>
    <cellStyle name="Lien hypertexte" xfId="15382" builtinId="8" hidden="1"/>
    <cellStyle name="Lien hypertexte" xfId="15420" builtinId="8" hidden="1"/>
    <cellStyle name="Lien hypertexte" xfId="15458" builtinId="8" hidden="1"/>
    <cellStyle name="Lien hypertexte" xfId="15496" builtinId="8" hidden="1"/>
    <cellStyle name="Lien hypertexte" xfId="15532" builtinId="8" hidden="1"/>
    <cellStyle name="Lien hypertexte" xfId="15572" builtinId="8" hidden="1"/>
    <cellStyle name="Lien hypertexte" xfId="15610" builtinId="8" hidden="1"/>
    <cellStyle name="Lien hypertexte" xfId="15646" builtinId="8" hidden="1"/>
    <cellStyle name="Lien hypertexte" xfId="15684" builtinId="8" hidden="1"/>
    <cellStyle name="Lien hypertexte" xfId="15722" builtinId="8" hidden="1"/>
    <cellStyle name="Lien hypertexte" xfId="15760" builtinId="8" hidden="1"/>
    <cellStyle name="Lien hypertexte" xfId="15798" builtinId="8" hidden="1"/>
    <cellStyle name="Lien hypertexte" xfId="15836" builtinId="8" hidden="1"/>
    <cellStyle name="Lien hypertexte" xfId="15874" builtinId="8" hidden="1"/>
    <cellStyle name="Lien hypertexte" xfId="15910" builtinId="8" hidden="1"/>
    <cellStyle name="Lien hypertexte" xfId="15536" builtinId="8" hidden="1"/>
    <cellStyle name="Lien hypertexte" xfId="660" builtinId="8" hidden="1"/>
    <cellStyle name="Lien hypertexte" xfId="696" builtinId="8" hidden="1"/>
    <cellStyle name="Lien hypertexte" xfId="734" builtinId="8" hidden="1"/>
    <cellStyle name="Lien hypertexte" xfId="772" builtinId="8" hidden="1"/>
    <cellStyle name="Lien hypertexte" xfId="808" builtinId="8" hidden="1"/>
    <cellStyle name="Lien hypertexte" xfId="846" builtinId="8" hidden="1"/>
    <cellStyle name="Lien hypertexte" xfId="882" builtinId="8" hidden="1"/>
    <cellStyle name="Lien hypertexte" xfId="920" builtinId="8" hidden="1"/>
    <cellStyle name="Lien hypertexte" xfId="956" builtinId="8" hidden="1"/>
    <cellStyle name="Lien hypertexte" xfId="994" builtinId="8" hidden="1"/>
    <cellStyle name="Lien hypertexte" xfId="1032" builtinId="8" hidden="1"/>
    <cellStyle name="Lien hypertexte" xfId="1068" builtinId="8" hidden="1"/>
    <cellStyle name="Lien hypertexte" xfId="1106" builtinId="8" hidden="1"/>
    <cellStyle name="Lien hypertexte" xfId="1142" builtinId="8" hidden="1"/>
    <cellStyle name="Lien hypertexte" xfId="14534" builtinId="8" hidden="1"/>
    <cellStyle name="Lien hypertexte" xfId="14570" builtinId="8" hidden="1"/>
    <cellStyle name="Lien hypertexte" xfId="14608" builtinId="8" hidden="1"/>
    <cellStyle name="Lien hypertexte" xfId="356" builtinId="8" hidden="1"/>
    <cellStyle name="Lien hypertexte" xfId="392" builtinId="8" hidden="1"/>
    <cellStyle name="Lien hypertexte" xfId="428" builtinId="8" hidden="1"/>
    <cellStyle name="Lien hypertexte" xfId="466" builtinId="8" hidden="1"/>
    <cellStyle name="Lien hypertexte" xfId="504" builtinId="8" hidden="1"/>
    <cellStyle name="Lien hypertexte" xfId="540" builtinId="8" hidden="1"/>
    <cellStyle name="Lien hypertexte" xfId="576" builtinId="8" hidden="1"/>
    <cellStyle name="Lien hypertexte" xfId="614" builtinId="8" hidden="1"/>
    <cellStyle name="Lien hypertexte" xfId="650" builtinId="8" hidden="1"/>
    <cellStyle name="Lien hypertexte" xfId="230" builtinId="8" hidden="1"/>
    <cellStyle name="Lien hypertexte" xfId="266" builtinId="8" hidden="1"/>
    <cellStyle name="Lien hypertexte" xfId="304" builtinId="8" hidden="1"/>
    <cellStyle name="Lien hypertexte" xfId="340" builtinId="8" hidden="1"/>
    <cellStyle name="Lien hypertexte" xfId="152" builtinId="8" hidden="1"/>
    <cellStyle name="Lien hypertexte" xfId="190" builtinId="8" hidden="1"/>
    <cellStyle name="Lien hypertexte" xfId="114" builtinId="8" hidden="1"/>
    <cellStyle name="Lien hypertexte" xfId="66" builtinId="8" hidden="1"/>
    <cellStyle name="Lien hypertexte" xfId="300" builtinId="8" hidden="1"/>
    <cellStyle name="Lien hypertexte" xfId="500" builtinId="8" hidden="1"/>
    <cellStyle name="Lien hypertexte" xfId="14530" builtinId="8" hidden="1"/>
    <cellStyle name="Lien hypertexte" xfId="916" builtinId="8" hidden="1"/>
    <cellStyle name="Lien hypertexte" xfId="656" builtinId="8" hidden="1"/>
    <cellStyle name="Lien hypertexte" xfId="15718" builtinId="8" hidden="1"/>
    <cellStyle name="Lien hypertexte" xfId="15454" builtinId="8" hidden="1"/>
    <cellStyle name="Lien hypertexte" xfId="15190" builtinId="8" hidden="1"/>
    <cellStyle name="Lien hypertexte" xfId="14926" builtinId="8" hidden="1"/>
    <cellStyle name="Lien hypertexte" xfId="14662" builtinId="8" hidden="1"/>
    <cellStyle name="Lien hypertexte" xfId="18801" builtinId="8" hidden="1"/>
    <cellStyle name="Lien hypertexte" xfId="18527" builtinId="8" hidden="1"/>
    <cellStyle name="Lien hypertexte" xfId="18238" builtinId="8" hidden="1"/>
    <cellStyle name="Lien hypertexte" xfId="17964" builtinId="8" hidden="1"/>
    <cellStyle name="Lien hypertexte" xfId="17692" builtinId="8" hidden="1"/>
    <cellStyle name="Lien hypertexte" xfId="17418" builtinId="8" hidden="1"/>
    <cellStyle name="Lien hypertexte" xfId="17146" builtinId="8" hidden="1"/>
    <cellStyle name="Lien hypertexte" xfId="16872" builtinId="8" hidden="1"/>
    <cellStyle name="Lien hypertexte" xfId="16600" builtinId="8" hidden="1"/>
    <cellStyle name="Lien hypertexte" xfId="16326" builtinId="8" hidden="1"/>
    <cellStyle name="Lien hypertexte" xfId="16054" builtinId="8" hidden="1"/>
    <cellStyle name="Lien hypertexte" xfId="20001" builtinId="8" hidden="1"/>
    <cellStyle name="Lien hypertexte" xfId="21749" builtinId="8" hidden="1"/>
    <cellStyle name="Lien hypertexte" xfId="21787" builtinId="8" hidden="1"/>
    <cellStyle name="Lien hypertexte" xfId="21827" builtinId="8" hidden="1"/>
    <cellStyle name="Lien hypertexte" xfId="21865" builtinId="8" hidden="1"/>
    <cellStyle name="Lien hypertexte" xfId="21903" builtinId="8" hidden="1"/>
    <cellStyle name="Lien hypertexte" xfId="21945" builtinId="8" hidden="1"/>
    <cellStyle name="Lien hypertexte" xfId="21983" builtinId="8" hidden="1"/>
    <cellStyle name="Lien hypertexte" xfId="22023" builtinId="8" hidden="1"/>
    <cellStyle name="Lien hypertexte" xfId="22061" builtinId="8" hidden="1"/>
    <cellStyle name="Lien hypertexte" xfId="22101" builtinId="8" hidden="1"/>
    <cellStyle name="Lien hypertexte" xfId="22139" builtinId="8" hidden="1"/>
    <cellStyle name="Lien hypertexte" xfId="22179" builtinId="8" hidden="1"/>
    <cellStyle name="Lien hypertexte" xfId="22217" builtinId="8" hidden="1"/>
    <cellStyle name="Lien hypertexte" xfId="22255" builtinId="8" hidden="1"/>
    <cellStyle name="Lien hypertexte" xfId="22295" builtinId="8" hidden="1"/>
    <cellStyle name="Lien hypertexte" xfId="22333" builtinId="8" hidden="1"/>
    <cellStyle name="Lien hypertexte" xfId="22373" builtinId="8" hidden="1"/>
    <cellStyle name="Lien hypertexte" xfId="22411" builtinId="8" hidden="1"/>
    <cellStyle name="Lien hypertexte" xfId="22451" builtinId="8" hidden="1"/>
    <cellStyle name="Lien hypertexte" xfId="22489" builtinId="8" hidden="1"/>
    <cellStyle name="Lien hypertexte" xfId="22531" builtinId="8" hidden="1"/>
    <cellStyle name="Lien hypertexte" xfId="22569" builtinId="8" hidden="1"/>
    <cellStyle name="Lien hypertexte" xfId="22607" builtinId="8" hidden="1"/>
    <cellStyle name="Lien hypertexte" xfId="22647" builtinId="8" hidden="1"/>
    <cellStyle name="Lien hypertexte" xfId="22685" builtinId="8" hidden="1"/>
    <cellStyle name="Lien hypertexte" xfId="22725" builtinId="8" hidden="1"/>
    <cellStyle name="Lien hypertexte" xfId="22763" builtinId="8" hidden="1"/>
    <cellStyle name="Lien hypertexte" xfId="22803" builtinId="8" hidden="1"/>
    <cellStyle name="Lien hypertexte" xfId="22841" builtinId="8" hidden="1"/>
    <cellStyle name="Lien hypertexte" xfId="22879" builtinId="8" hidden="1"/>
    <cellStyle name="Lien hypertexte" xfId="22919" builtinId="8" hidden="1"/>
    <cellStyle name="Lien hypertexte" xfId="22957" builtinId="8" hidden="1"/>
    <cellStyle name="Lien hypertexte" xfId="22997" builtinId="8" hidden="1"/>
    <cellStyle name="Lien hypertexte" xfId="23035" builtinId="8" hidden="1"/>
    <cellStyle name="Lien hypertexte" xfId="23075" builtinId="8" hidden="1"/>
    <cellStyle name="Lien hypertexte" xfId="23115" builtinId="8" hidden="1"/>
    <cellStyle name="Lien hypertexte" xfId="23155" builtinId="8" hidden="1"/>
    <cellStyle name="Lien hypertexte" xfId="23193" builtinId="8" hidden="1"/>
    <cellStyle name="Lien hypertexte" xfId="23231" builtinId="8" hidden="1"/>
    <cellStyle name="Lien hypertexte" xfId="23271" builtinId="8" hidden="1"/>
    <cellStyle name="Lien hypertexte" xfId="23309" builtinId="8" hidden="1"/>
    <cellStyle name="Lien hypertexte" xfId="23349" builtinId="8" hidden="1"/>
    <cellStyle name="Lien hypertexte" xfId="23387" builtinId="8" hidden="1"/>
    <cellStyle name="Lien hypertexte" xfId="23427" builtinId="8" hidden="1"/>
    <cellStyle name="Lien hypertexte" xfId="23465" builtinId="8" hidden="1"/>
    <cellStyle name="Lien hypertexte" xfId="23503" builtinId="8" hidden="1"/>
    <cellStyle name="Lien hypertexte" xfId="23543" builtinId="8" hidden="1"/>
    <cellStyle name="Lien hypertexte" xfId="23581" builtinId="8" hidden="1"/>
    <cellStyle name="Lien hypertexte" xfId="23621" builtinId="8" hidden="1"/>
    <cellStyle name="Lien hypertexte" xfId="23659" builtinId="8" hidden="1"/>
    <cellStyle name="Lien hypertexte" xfId="23701" builtinId="8" hidden="1"/>
    <cellStyle name="Lien hypertexte" xfId="23739" builtinId="8" hidden="1"/>
    <cellStyle name="Lien hypertexte" xfId="23779" builtinId="8" hidden="1"/>
    <cellStyle name="Lien hypertexte" xfId="23817" builtinId="8" hidden="1"/>
    <cellStyle name="Lien hypertexte" xfId="23855" builtinId="8" hidden="1"/>
    <cellStyle name="Lien hypertexte" xfId="23895" builtinId="8" hidden="1"/>
    <cellStyle name="Lien hypertexte" xfId="23933" builtinId="8" hidden="1"/>
    <cellStyle name="Lien hypertexte" xfId="23973" builtinId="8" hidden="1"/>
    <cellStyle name="Lien hypertexte" xfId="24011" builtinId="8" hidden="1"/>
    <cellStyle name="Lien hypertexte" xfId="24051" builtinId="8" hidden="1"/>
    <cellStyle name="Lien hypertexte" xfId="24089" builtinId="8" hidden="1"/>
    <cellStyle name="Lien hypertexte" xfId="24127" builtinId="8" hidden="1"/>
    <cellStyle name="Lien hypertexte" xfId="24167" builtinId="8" hidden="1"/>
    <cellStyle name="Lien hypertexte" xfId="24205" builtinId="8" hidden="1"/>
    <cellStyle name="Lien hypertexte" xfId="24245" builtinId="8" hidden="1"/>
    <cellStyle name="Lien hypertexte" xfId="24285" builtinId="8" hidden="1"/>
    <cellStyle name="Lien hypertexte" xfId="24325" builtinId="8" hidden="1"/>
    <cellStyle name="Lien hypertexte" xfId="24363" builtinId="8" hidden="1"/>
    <cellStyle name="Lien hypertexte" xfId="24403" builtinId="8" hidden="1"/>
    <cellStyle name="Lien hypertexte" xfId="24441" builtinId="8" hidden="1"/>
    <cellStyle name="Lien hypertexte" xfId="24479" builtinId="8" hidden="1"/>
    <cellStyle name="Lien hypertexte" xfId="24519" builtinId="8" hidden="1"/>
    <cellStyle name="Lien hypertexte" xfId="24557" builtinId="8" hidden="1"/>
    <cellStyle name="Lien hypertexte" xfId="24597" builtinId="8" hidden="1"/>
    <cellStyle name="Lien hypertexte" xfId="24449" builtinId="8" hidden="1"/>
    <cellStyle name="Lien hypertexte" xfId="24177" builtinId="8" hidden="1"/>
    <cellStyle name="Lien hypertexte" xfId="23905" builtinId="8" hidden="1"/>
    <cellStyle name="Lien hypertexte" xfId="23633" builtinId="8" hidden="1"/>
    <cellStyle name="Lien hypertexte" xfId="23361" builtinId="8" hidden="1"/>
    <cellStyle name="Lien hypertexte" xfId="23089" builtinId="8" hidden="1"/>
    <cellStyle name="Lien hypertexte" xfId="22801" builtinId="8" hidden="1"/>
    <cellStyle name="Lien hypertexte" xfId="22529" builtinId="8" hidden="1"/>
    <cellStyle name="Lien hypertexte" xfId="22257" builtinId="8" hidden="1"/>
    <cellStyle name="Lien hypertexte" xfId="21985" builtinId="8" hidden="1"/>
    <cellStyle name="Lien hypertexte" xfId="21713" builtinId="8" hidden="1"/>
    <cellStyle name="Lien hypertexte" xfId="23329" builtinId="8" hidden="1"/>
    <cellStyle name="Lien hypertexte" xfId="24211" builtinId="8" hidden="1"/>
    <cellStyle name="Lien hypertexte" xfId="23625" builtinId="8" hidden="1"/>
    <cellStyle name="Lien hypertexte" xfId="23039" builtinId="8" hidden="1"/>
    <cellStyle name="Lien hypertexte" xfId="22455" builtinId="8" hidden="1"/>
    <cellStyle name="Lien hypertexte" xfId="21869" builtinId="8" hidden="1"/>
    <cellStyle name="Lien hypertexte" xfId="20277" builtinId="8" hidden="1"/>
    <cellStyle name="Lien hypertexte" xfId="20313" builtinId="8" hidden="1"/>
    <cellStyle name="Lien hypertexte" xfId="20351" builtinId="8" hidden="1"/>
    <cellStyle name="Lien hypertexte" xfId="20389" builtinId="8" hidden="1"/>
    <cellStyle name="Lien hypertexte" xfId="20427" builtinId="8" hidden="1"/>
    <cellStyle name="Lien hypertexte" xfId="20463" builtinId="8" hidden="1"/>
    <cellStyle name="Lien hypertexte" xfId="20503" builtinId="8" hidden="1"/>
    <cellStyle name="Lien hypertexte" xfId="20539" builtinId="8" hidden="1"/>
    <cellStyle name="Lien hypertexte" xfId="20579" builtinId="8" hidden="1"/>
    <cellStyle name="Lien hypertexte" xfId="20615" builtinId="8" hidden="1"/>
    <cellStyle name="Lien hypertexte" xfId="20653" builtinId="8" hidden="1"/>
    <cellStyle name="Lien hypertexte" xfId="20691" builtinId="8" hidden="1"/>
    <cellStyle name="Lien hypertexte" xfId="20729" builtinId="8" hidden="1"/>
    <cellStyle name="Lien hypertexte" xfId="20765" builtinId="8" hidden="1"/>
    <cellStyle name="Lien hypertexte" xfId="20805" builtinId="8" hidden="1"/>
    <cellStyle name="Lien hypertexte" xfId="20841" builtinId="8" hidden="1"/>
    <cellStyle name="Lien hypertexte" xfId="20879" builtinId="8" hidden="1"/>
    <cellStyle name="Lien hypertexte" xfId="20917" builtinId="8" hidden="1"/>
    <cellStyle name="Lien hypertexte" xfId="20955" builtinId="8" hidden="1"/>
    <cellStyle name="Lien hypertexte" xfId="20995" builtinId="8" hidden="1"/>
    <cellStyle name="Lien hypertexte" xfId="21031" builtinId="8" hidden="1"/>
    <cellStyle name="Lien hypertexte" xfId="21069" builtinId="8" hidden="1"/>
    <cellStyle name="Lien hypertexte" xfId="21107" builtinId="8" hidden="1"/>
    <cellStyle name="Lien hypertexte" xfId="21145" builtinId="8" hidden="1"/>
    <cellStyle name="Lien hypertexte" xfId="21181" builtinId="8" hidden="1"/>
    <cellStyle name="Lien hypertexte" xfId="21221" builtinId="8" hidden="1"/>
    <cellStyle name="Lien hypertexte" xfId="21257" builtinId="8" hidden="1"/>
    <cellStyle name="Lien hypertexte" xfId="21295" builtinId="8" hidden="1"/>
    <cellStyle name="Lien hypertexte" xfId="21333" builtinId="8" hidden="1"/>
    <cellStyle name="Lien hypertexte" xfId="21371" builtinId="8" hidden="1"/>
    <cellStyle name="Lien hypertexte" xfId="21407" builtinId="8" hidden="1"/>
    <cellStyle name="Lien hypertexte" xfId="21447" builtinId="8" hidden="1"/>
    <cellStyle name="Lien hypertexte" xfId="21483" builtinId="8" hidden="1"/>
    <cellStyle name="Lien hypertexte" xfId="21523" builtinId="8" hidden="1"/>
    <cellStyle name="Lien hypertexte" xfId="21559" builtinId="8" hidden="1"/>
    <cellStyle name="Lien hypertexte" xfId="21597" builtinId="8" hidden="1"/>
    <cellStyle name="Lien hypertexte" xfId="21635" builtinId="8" hidden="1"/>
    <cellStyle name="Lien hypertexte" xfId="21673" builtinId="8" hidden="1"/>
    <cellStyle name="Lien hypertexte" xfId="21709" builtinId="8" hidden="1"/>
    <cellStyle name="Lien hypertexte" xfId="21503" builtinId="8" hidden="1"/>
    <cellStyle name="Lien hypertexte" xfId="20333" builtinId="8" hidden="1"/>
    <cellStyle name="Lien hypertexte" xfId="19567" builtinId="8" hidden="1"/>
    <cellStyle name="Lien hypertexte" xfId="19607" builtinId="8" hidden="1"/>
    <cellStyle name="Lien hypertexte" xfId="19643" builtinId="8" hidden="1"/>
    <cellStyle name="Lien hypertexte" xfId="19679" builtinId="8" hidden="1"/>
    <cellStyle name="Lien hypertexte" xfId="19717" builtinId="8" hidden="1"/>
    <cellStyle name="Lien hypertexte" xfId="19755" builtinId="8" hidden="1"/>
    <cellStyle name="Lien hypertexte" xfId="19791" builtinId="8" hidden="1"/>
    <cellStyle name="Lien hypertexte" xfId="19829" builtinId="8" hidden="1"/>
    <cellStyle name="Lien hypertexte" xfId="19865" builtinId="8" hidden="1"/>
    <cellStyle name="Lien hypertexte" xfId="19903" builtinId="8" hidden="1"/>
    <cellStyle name="Lien hypertexte" xfId="19941" builtinId="8" hidden="1"/>
    <cellStyle name="Lien hypertexte" xfId="19977" builtinId="8" hidden="1"/>
    <cellStyle name="Lien hypertexte" xfId="20013" builtinId="8" hidden="1"/>
    <cellStyle name="Lien hypertexte" xfId="20053" builtinId="8" hidden="1"/>
    <cellStyle name="Lien hypertexte" xfId="20089" builtinId="8" hidden="1"/>
    <cellStyle name="Lien hypertexte" xfId="20125" builtinId="8" hidden="1"/>
    <cellStyle name="Lien hypertexte" xfId="20163" builtinId="8" hidden="1"/>
    <cellStyle name="Lien hypertexte" xfId="20201" builtinId="8" hidden="1"/>
    <cellStyle name="Lien hypertexte" xfId="20237" builtinId="8" hidden="1"/>
    <cellStyle name="Lien hypertexte" xfId="19205" builtinId="8" hidden="1"/>
    <cellStyle name="Lien hypertexte" xfId="19241" builtinId="8" hidden="1"/>
    <cellStyle name="Lien hypertexte" xfId="19277" builtinId="8" hidden="1"/>
    <cellStyle name="Lien hypertexte" xfId="19317" builtinId="8" hidden="1"/>
    <cellStyle name="Lien hypertexte" xfId="19353" builtinId="8" hidden="1"/>
    <cellStyle name="Lien hypertexte" xfId="19389" builtinId="8" hidden="1"/>
    <cellStyle name="Lien hypertexte" xfId="19427" builtinId="8" hidden="1"/>
    <cellStyle name="Lien hypertexte" xfId="19463" builtinId="8" hidden="1"/>
    <cellStyle name="Lien hypertexte" xfId="19499" builtinId="8" hidden="1"/>
    <cellStyle name="Lien hypertexte" xfId="19309" builtinId="8" hidden="1"/>
    <cellStyle name="Lien hypertexte" xfId="19051" builtinId="8" hidden="1"/>
    <cellStyle name="Lien hypertexte" xfId="19087" builtinId="8" hidden="1"/>
    <cellStyle name="Lien hypertexte" xfId="19125" builtinId="8" hidden="1"/>
    <cellStyle name="Lien hypertexte" xfId="19161" builtinId="8" hidden="1"/>
    <cellStyle name="Lien hypertexte" xfId="18941" builtinId="8" hidden="1"/>
    <cellStyle name="Lien hypertexte" xfId="18979" builtinId="8" hidden="1"/>
    <cellStyle name="Lien hypertexte" xfId="19015" builtinId="8" hidden="1"/>
    <cellStyle name="Lien hypertexte" xfId="18923" builtinId="8" hidden="1"/>
    <cellStyle name="Lien hypertexte" xfId="18863" builtinId="8" hidden="1"/>
    <cellStyle name="Lien hypertexte" xfId="18885" builtinId="8" hidden="1"/>
    <cellStyle name="Lien hypertexte" xfId="18911" builtinId="8" hidden="1"/>
    <cellStyle name="Lien hypertexte" xfId="19003" builtinId="8" hidden="1"/>
    <cellStyle name="Lien hypertexte" xfId="18967" builtinId="8" hidden="1"/>
    <cellStyle name="Lien hypertexte" xfId="19187" builtinId="8" hidden="1"/>
    <cellStyle name="Lien hypertexte" xfId="19149" builtinId="8" hidden="1"/>
    <cellStyle name="Lien hypertexte" xfId="19113" builtinId="8" hidden="1"/>
    <cellStyle name="Lien hypertexte" xfId="19077" builtinId="8" hidden="1"/>
    <cellStyle name="Lien hypertexte" xfId="19039" builtinId="8" hidden="1"/>
    <cellStyle name="Lien hypertexte" xfId="19525" builtinId="8" hidden="1"/>
    <cellStyle name="Lien hypertexte" xfId="19487" builtinId="8" hidden="1"/>
    <cellStyle name="Lien hypertexte" xfId="19451" builtinId="8" hidden="1"/>
    <cellStyle name="Lien hypertexte" xfId="19415" builtinId="8" hidden="1"/>
    <cellStyle name="Lien hypertexte" xfId="19379" builtinId="8" hidden="1"/>
    <cellStyle name="Lien hypertexte" xfId="19341" builtinId="8" hidden="1"/>
    <cellStyle name="Lien hypertexte" xfId="19303" builtinId="8" hidden="1"/>
    <cellStyle name="Lien hypertexte" xfId="19267" builtinId="8" hidden="1"/>
    <cellStyle name="Lien hypertexte" xfId="19229" builtinId="8" hidden="1"/>
    <cellStyle name="Lien hypertexte" xfId="19193" builtinId="8" hidden="1"/>
    <cellStyle name="Lien hypertexte" xfId="20227" builtinId="8" hidden="1"/>
    <cellStyle name="Lien hypertexte" xfId="20189" builtinId="8" hidden="1"/>
    <cellStyle name="Lien hypertexte" xfId="20151" builtinId="8" hidden="1"/>
    <cellStyle name="Lien hypertexte" xfId="20115" builtinId="8" hidden="1"/>
    <cellStyle name="Lien hypertexte" xfId="20077" builtinId="8" hidden="1"/>
    <cellStyle name="Lien hypertexte" xfId="20039" builtinId="8" hidden="1"/>
    <cellStyle name="Lien hypertexte" xfId="20003" builtinId="8" hidden="1"/>
    <cellStyle name="Lien hypertexte" xfId="19965" builtinId="8" hidden="1"/>
    <cellStyle name="Lien hypertexte" xfId="19929" builtinId="8" hidden="1"/>
    <cellStyle name="Lien hypertexte" xfId="19891" builtinId="8" hidden="1"/>
    <cellStyle name="Lien hypertexte" xfId="19853" builtinId="8" hidden="1"/>
    <cellStyle name="Lien hypertexte" xfId="19817" builtinId="8" hidden="1"/>
    <cellStyle name="Lien hypertexte" xfId="19781" builtinId="8" hidden="1"/>
    <cellStyle name="Lien hypertexte" xfId="19741" builtinId="8" hidden="1"/>
    <cellStyle name="Lien hypertexte" xfId="19705" builtinId="8" hidden="1"/>
    <cellStyle name="Lien hypertexte" xfId="19669" builtinId="8" hidden="1"/>
    <cellStyle name="Lien hypertexte" xfId="19631" builtinId="8" hidden="1"/>
    <cellStyle name="Lien hypertexte" xfId="19593" builtinId="8" hidden="1"/>
    <cellStyle name="Lien hypertexte" xfId="19557" builtinId="8" hidden="1"/>
    <cellStyle name="Lien hypertexte" xfId="20699" builtinId="8" hidden="1"/>
    <cellStyle name="Lien hypertexte" xfId="21737" builtinId="8" hidden="1"/>
    <cellStyle name="Lien hypertexte" xfId="21699" builtinId="8" hidden="1"/>
    <cellStyle name="Lien hypertexte" xfId="21661" builtinId="8" hidden="1"/>
    <cellStyle name="Lien hypertexte" xfId="21623" builtinId="8" hidden="1"/>
    <cellStyle name="Lien hypertexte" xfId="21587" builtinId="8" hidden="1"/>
    <cellStyle name="Lien hypertexte" xfId="21547" builtinId="8" hidden="1"/>
    <cellStyle name="Lien hypertexte" xfId="21511" builtinId="8" hidden="1"/>
    <cellStyle name="Lien hypertexte" xfId="21471" builtinId="8" hidden="1"/>
    <cellStyle name="Lien hypertexte" xfId="21435" builtinId="8" hidden="1"/>
    <cellStyle name="Lien hypertexte" xfId="21397" builtinId="8" hidden="1"/>
    <cellStyle name="Lien hypertexte" xfId="21359" builtinId="8" hidden="1"/>
    <cellStyle name="Lien hypertexte" xfId="21321" builtinId="8" hidden="1"/>
    <cellStyle name="Lien hypertexte" xfId="21283" builtinId="8" hidden="1"/>
    <cellStyle name="Lien hypertexte" xfId="21245" builtinId="8" hidden="1"/>
    <cellStyle name="Lien hypertexte" xfId="21207" builtinId="8" hidden="1"/>
    <cellStyle name="Lien hypertexte" xfId="21171" builtinId="8" hidden="1"/>
    <cellStyle name="Lien hypertexte" xfId="21131" builtinId="8" hidden="1"/>
    <cellStyle name="Lien hypertexte" xfId="21095" builtinId="8" hidden="1"/>
    <cellStyle name="Lien hypertexte" xfId="21055" builtinId="8" hidden="1"/>
    <cellStyle name="Lien hypertexte" xfId="21019" builtinId="8" hidden="1"/>
    <cellStyle name="Lien hypertexte" xfId="20981" builtinId="8" hidden="1"/>
    <cellStyle name="Lien hypertexte" xfId="20943" builtinId="8" hidden="1"/>
    <cellStyle name="Lien hypertexte" xfId="20905" builtinId="8" hidden="1"/>
    <cellStyle name="Lien hypertexte" xfId="20869" builtinId="8" hidden="1"/>
    <cellStyle name="Lien hypertexte" xfId="20829" builtinId="8" hidden="1"/>
    <cellStyle name="Lien hypertexte" xfId="20793" builtinId="8" hidden="1"/>
    <cellStyle name="Lien hypertexte" xfId="20755" builtinId="8" hidden="1"/>
    <cellStyle name="Lien hypertexte" xfId="20717" builtinId="8" hidden="1"/>
    <cellStyle name="Lien hypertexte" xfId="20679" builtinId="8" hidden="1"/>
    <cellStyle name="Lien hypertexte" xfId="20643" builtinId="8" hidden="1"/>
    <cellStyle name="Lien hypertexte" xfId="20603" builtinId="8" hidden="1"/>
    <cellStyle name="Lien hypertexte" xfId="20567" builtinId="8" hidden="1"/>
    <cellStyle name="Lien hypertexte" xfId="20527" builtinId="8" hidden="1"/>
    <cellStyle name="Lien hypertexte" xfId="20491" builtinId="8" hidden="1"/>
    <cellStyle name="Lien hypertexte" xfId="20453" builtinId="8" hidden="1"/>
    <cellStyle name="Lien hypertexte" xfId="20415" builtinId="8" hidden="1"/>
    <cellStyle name="Lien hypertexte" xfId="20377" builtinId="8" hidden="1"/>
    <cellStyle name="Lien hypertexte" xfId="20341" builtinId="8" hidden="1"/>
    <cellStyle name="Lien hypertexte" xfId="20301" builtinId="8" hidden="1"/>
    <cellStyle name="Lien hypertexte" xfId="20265" builtinId="8" hidden="1"/>
    <cellStyle name="Lien hypertexte" xfId="22053" builtinId="8" hidden="1"/>
    <cellStyle name="Lien hypertexte" xfId="22637" builtinId="8" hidden="1"/>
    <cellStyle name="Lien hypertexte" xfId="23223" builtinId="8" hidden="1"/>
    <cellStyle name="Lien hypertexte" xfId="23807" builtinId="8" hidden="1"/>
    <cellStyle name="Lien hypertexte" xfId="24393" builtinId="8" hidden="1"/>
    <cellStyle name="Lien hypertexte" xfId="22049" builtinId="8" hidden="1"/>
    <cellStyle name="Lien hypertexte" xfId="21809" builtinId="8" hidden="1"/>
    <cellStyle name="Lien hypertexte" xfId="22081" builtinId="8" hidden="1"/>
    <cellStyle name="Lien hypertexte" xfId="22353" builtinId="8" hidden="1"/>
    <cellStyle name="Lien hypertexte" xfId="22625" builtinId="8" hidden="1"/>
    <cellStyle name="Lien hypertexte" xfId="22897" builtinId="8" hidden="1"/>
    <cellStyle name="Lien hypertexte" xfId="23169" builtinId="8" hidden="1"/>
    <cellStyle name="Lien hypertexte" xfId="23441" builtinId="8" hidden="1"/>
    <cellStyle name="Lien hypertexte" xfId="23713" builtinId="8" hidden="1"/>
    <cellStyle name="Lien hypertexte" xfId="23985" builtinId="8" hidden="1"/>
    <cellStyle name="Lien hypertexte" xfId="24257" builtinId="8" hidden="1"/>
    <cellStyle name="Lien hypertexte" xfId="24529" builtinId="8" hidden="1"/>
    <cellStyle name="Lien hypertexte" xfId="24585" builtinId="8" hidden="1"/>
    <cellStyle name="Lien hypertexte" xfId="24547" builtinId="8" hidden="1"/>
    <cellStyle name="Lien hypertexte" xfId="24507" builtinId="8" hidden="1"/>
    <cellStyle name="Lien hypertexte" xfId="24469" builtinId="8" hidden="1"/>
    <cellStyle name="Lien hypertexte" xfId="24427" builtinId="8" hidden="1"/>
    <cellStyle name="Lien hypertexte" xfId="24389" builtinId="8" hidden="1"/>
    <cellStyle name="Lien hypertexte" xfId="24349" builtinId="8" hidden="1"/>
    <cellStyle name="Lien hypertexte" xfId="24311" builtinId="8" hidden="1"/>
    <cellStyle name="Lien hypertexte" xfId="24271" builtinId="8" hidden="1"/>
    <cellStyle name="Lien hypertexte" xfId="24233" builtinId="8" hidden="1"/>
    <cellStyle name="Lien hypertexte" xfId="24195" builtinId="8" hidden="1"/>
    <cellStyle name="Lien hypertexte" xfId="24155" builtinId="8" hidden="1"/>
    <cellStyle name="Lien hypertexte" xfId="24117" builtinId="8" hidden="1"/>
    <cellStyle name="Lien hypertexte" xfId="24077" builtinId="8" hidden="1"/>
    <cellStyle name="Lien hypertexte" xfId="24039" builtinId="8" hidden="1"/>
    <cellStyle name="Lien hypertexte" xfId="23999" builtinId="8" hidden="1"/>
    <cellStyle name="Lien hypertexte" xfId="23961" builtinId="8" hidden="1"/>
    <cellStyle name="Lien hypertexte" xfId="23923" builtinId="8" hidden="1"/>
    <cellStyle name="Lien hypertexte" xfId="23883" builtinId="8" hidden="1"/>
    <cellStyle name="Lien hypertexte" xfId="23843" builtinId="8" hidden="1"/>
    <cellStyle name="Lien hypertexte" xfId="23803" builtinId="8" hidden="1"/>
    <cellStyle name="Lien hypertexte" xfId="23765" builtinId="8" hidden="1"/>
    <cellStyle name="Lien hypertexte" xfId="23725" builtinId="8" hidden="1"/>
    <cellStyle name="Lien hypertexte" xfId="23687" builtinId="8" hidden="1"/>
    <cellStyle name="Lien hypertexte" xfId="23647" builtinId="8" hidden="1"/>
    <cellStyle name="Lien hypertexte" xfId="23609" builtinId="8" hidden="1"/>
    <cellStyle name="Lien hypertexte" xfId="23571" builtinId="8" hidden="1"/>
    <cellStyle name="Lien hypertexte" xfId="23531" builtinId="8" hidden="1"/>
    <cellStyle name="Lien hypertexte" xfId="23493" builtinId="8" hidden="1"/>
    <cellStyle name="Lien hypertexte" xfId="23453" builtinId="8" hidden="1"/>
    <cellStyle name="Lien hypertexte" xfId="23415" builtinId="8" hidden="1"/>
    <cellStyle name="Lien hypertexte" xfId="23375" builtinId="8" hidden="1"/>
    <cellStyle name="Lien hypertexte" xfId="23337" builtinId="8" hidden="1"/>
    <cellStyle name="Lien hypertexte" xfId="23299" builtinId="8" hidden="1"/>
    <cellStyle name="Lien hypertexte" xfId="23257" builtinId="8" hidden="1"/>
    <cellStyle name="Lien hypertexte" xfId="23219" builtinId="8" hidden="1"/>
    <cellStyle name="Lien hypertexte" xfId="23179" builtinId="8" hidden="1"/>
    <cellStyle name="Lien hypertexte" xfId="23141" builtinId="8" hidden="1"/>
    <cellStyle name="Lien hypertexte" xfId="23101" builtinId="8" hidden="1"/>
    <cellStyle name="Lien hypertexte" xfId="23063" builtinId="8" hidden="1"/>
    <cellStyle name="Lien hypertexte" xfId="23023" builtinId="8" hidden="1"/>
    <cellStyle name="Lien hypertexte" xfId="22985" builtinId="8" hidden="1"/>
    <cellStyle name="Lien hypertexte" xfId="22947" builtinId="8" hidden="1"/>
    <cellStyle name="Lien hypertexte" xfId="22907" builtinId="8" hidden="1"/>
    <cellStyle name="Lien hypertexte" xfId="22869" builtinId="8" hidden="1"/>
    <cellStyle name="Lien hypertexte" xfId="22829" builtinId="8" hidden="1"/>
    <cellStyle name="Lien hypertexte" xfId="22791" builtinId="8" hidden="1"/>
    <cellStyle name="Lien hypertexte" xfId="22751" builtinId="8" hidden="1"/>
    <cellStyle name="Lien hypertexte" xfId="22713" builtinId="8" hidden="1"/>
    <cellStyle name="Lien hypertexte" xfId="22671" builtinId="8" hidden="1"/>
    <cellStyle name="Lien hypertexte" xfId="22633" builtinId="8" hidden="1"/>
    <cellStyle name="Lien hypertexte" xfId="22595" builtinId="8" hidden="1"/>
    <cellStyle name="Lien hypertexte" xfId="22555" builtinId="8" hidden="1"/>
    <cellStyle name="Lien hypertexte" xfId="22517" builtinId="8" hidden="1"/>
    <cellStyle name="Lien hypertexte" xfId="22477" builtinId="8" hidden="1"/>
    <cellStyle name="Lien hypertexte" xfId="22439" builtinId="8" hidden="1"/>
    <cellStyle name="Lien hypertexte" xfId="22399" builtinId="8" hidden="1"/>
    <cellStyle name="Lien hypertexte" xfId="22361" builtinId="8" hidden="1"/>
    <cellStyle name="Lien hypertexte" xfId="22323" builtinId="8" hidden="1"/>
    <cellStyle name="Lien hypertexte" xfId="22283" builtinId="8" hidden="1"/>
    <cellStyle name="Lien hypertexte" xfId="22245" builtinId="8" hidden="1"/>
    <cellStyle name="Lien hypertexte" xfId="22205" builtinId="8" hidden="1"/>
    <cellStyle name="Lien hypertexte" xfId="22167" builtinId="8" hidden="1"/>
    <cellStyle name="Lien hypertexte" xfId="22127" builtinId="8" hidden="1"/>
    <cellStyle name="Lien hypertexte" xfId="22087" builtinId="8" hidden="1"/>
    <cellStyle name="Lien hypertexte" xfId="22047" builtinId="8" hidden="1"/>
    <cellStyle name="Lien hypertexte" xfId="22009" builtinId="8" hidden="1"/>
    <cellStyle name="Lien hypertexte" xfId="21971" builtinId="8" hidden="1"/>
    <cellStyle name="Lien hypertexte" xfId="21931" builtinId="8" hidden="1"/>
    <cellStyle name="Lien hypertexte" xfId="21893" builtinId="8" hidden="1"/>
    <cellStyle name="Lien hypertexte" xfId="21853" builtinId="8" hidden="1"/>
    <cellStyle name="Lien hypertexte" xfId="21815" builtinId="8" hidden="1"/>
    <cellStyle name="Lien hypertexte" xfId="21775" builtinId="8" hidden="1"/>
    <cellStyle name="Lien hypertexte" xfId="21409" builtinId="8" hidden="1"/>
    <cellStyle name="Lien hypertexte" xfId="19361" builtinId="8" hidden="1"/>
    <cellStyle name="Lien hypertexte" xfId="16138" builtinId="8" hidden="1"/>
    <cellStyle name="Lien hypertexte" xfId="16412" builtinId="8" hidden="1"/>
    <cellStyle name="Lien hypertexte" xfId="16684" builtinId="8" hidden="1"/>
    <cellStyle name="Lien hypertexte" xfId="16958" builtinId="8" hidden="1"/>
    <cellStyle name="Lien hypertexte" xfId="17230" builtinId="8" hidden="1"/>
    <cellStyle name="Lien hypertexte" xfId="17504" builtinId="8" hidden="1"/>
    <cellStyle name="Lien hypertexte" xfId="17778" builtinId="8" hidden="1"/>
    <cellStyle name="Lien hypertexte" xfId="18050" builtinId="8" hidden="1"/>
    <cellStyle name="Lien hypertexte" xfId="18341" builtinId="8" hidden="1"/>
    <cellStyle name="Lien hypertexte" xfId="18613" builtinId="8" hidden="1"/>
    <cellStyle name="Lien hypertexte" xfId="18224" builtinId="8" hidden="1"/>
    <cellStyle name="Lien hypertexte" xfId="14744" builtinId="8" hidden="1"/>
    <cellStyle name="Lien hypertexte" xfId="15008" builtinId="8" hidden="1"/>
    <cellStyle name="Lien hypertexte" xfId="15272" builtinId="8" hidden="1"/>
    <cellStyle name="Lien hypertexte" xfId="15538" builtinId="8" hidden="1"/>
    <cellStyle name="Lien hypertexte" xfId="15802" builtinId="8" hidden="1"/>
    <cellStyle name="Lien hypertexte" xfId="738" builtinId="8" hidden="1"/>
    <cellStyle name="Lien hypertexte" xfId="998" builtinId="8" hidden="1"/>
    <cellStyle name="Lien hypertexte" xfId="14612" builtinId="8" hidden="1"/>
    <cellStyle name="Lien hypertexte" xfId="580" builtinId="8" hidden="1"/>
    <cellStyle name="Lien hypertexte" xfId="156" builtinId="8" hidden="1"/>
    <cellStyle name="Lien hypertexte" xfId="82" builtinId="8" hidden="1"/>
    <cellStyle name="Lien hypertexte" xfId="102" builtinId="8" hidden="1"/>
    <cellStyle name="Lien hypertexte" xfId="178" builtinId="8" hidden="1"/>
    <cellStyle name="Lien hypertexte" xfId="142" builtinId="8" hidden="1"/>
    <cellStyle name="Lien hypertexte" xfId="328" builtinId="8" hidden="1"/>
    <cellStyle name="Lien hypertexte" xfId="292" builtinId="8" hidden="1"/>
    <cellStyle name="Lien hypertexte" xfId="256" builtinId="8" hidden="1"/>
    <cellStyle name="Lien hypertexte" xfId="218" builtinId="8" hidden="1"/>
    <cellStyle name="Lien hypertexte" xfId="638" builtinId="8" hidden="1"/>
    <cellStyle name="Lien hypertexte" xfId="602" builtinId="8" hidden="1"/>
    <cellStyle name="Lien hypertexte" xfId="566" builtinId="8" hidden="1"/>
    <cellStyle name="Lien hypertexte" xfId="528" builtinId="8" hidden="1"/>
    <cellStyle name="Lien hypertexte" xfId="492" builtinId="8" hidden="1"/>
    <cellStyle name="Lien hypertexte" xfId="456" builtinId="8" hidden="1"/>
    <cellStyle name="Lien hypertexte" xfId="416" builtinId="8" hidden="1"/>
    <cellStyle name="Lien hypertexte" xfId="380" builtinId="8" hidden="1"/>
    <cellStyle name="Lien hypertexte" xfId="838" builtinId="8" hidden="1"/>
    <cellStyle name="Lien hypertexte" xfId="14598" builtinId="8" hidden="1"/>
    <cellStyle name="Lien hypertexte" xfId="14558" builtinId="8" hidden="1"/>
    <cellStyle name="Lien hypertexte" xfId="14522" builtinId="8" hidden="1"/>
    <cellStyle name="Lien hypertexte" xfId="1132" builtinId="8" hidden="1"/>
    <cellStyle name="Lien hypertexte" xfId="1092" builtinId="8" hidden="1"/>
    <cellStyle name="Lien hypertexte" xfId="1056" builtinId="8" hidden="1"/>
    <cellStyle name="Lien hypertexte" xfId="1020" builtinId="8" hidden="1"/>
    <cellStyle name="Lien hypertexte" xfId="984" builtinId="8" hidden="1"/>
    <cellStyle name="Lien hypertexte" xfId="944" builtinId="8" hidden="1"/>
    <cellStyle name="Lien hypertexte" xfId="908" builtinId="8" hidden="1"/>
    <cellStyle name="Lien hypertexte" xfId="872" builtinId="8" hidden="1"/>
    <cellStyle name="Lien hypertexte" xfId="832" builtinId="8" hidden="1"/>
    <cellStyle name="Lien hypertexte" xfId="796" builtinId="8" hidden="1"/>
    <cellStyle name="Lien hypertexte" xfId="760" builtinId="8" hidden="1"/>
    <cellStyle name="Lien hypertexte" xfId="724" builtinId="8" hidden="1"/>
    <cellStyle name="Lien hypertexte" xfId="684" builtinId="8" hidden="1"/>
    <cellStyle name="Lien hypertexte" xfId="14704" builtinId="8" hidden="1"/>
    <cellStyle name="Lien hypertexte" xfId="15856" builtinId="8" hidden="1"/>
    <cellStyle name="Lien hypertexte" xfId="15898" builtinId="8" hidden="1"/>
    <cellStyle name="Lien hypertexte" xfId="15862" builtinId="8" hidden="1"/>
    <cellStyle name="Lien hypertexte" xfId="15824" builtinId="8" hidden="1"/>
    <cellStyle name="Lien hypertexte" xfId="15786" builtinId="8" hidden="1"/>
    <cellStyle name="Lien hypertexte" xfId="15748" builtinId="8" hidden="1"/>
    <cellStyle name="Lien hypertexte" xfId="15710" builtinId="8" hidden="1"/>
    <cellStyle name="Lien hypertexte" xfId="15674" builtinId="8" hidden="1"/>
    <cellStyle name="Lien hypertexte" xfId="15634" builtinId="8" hidden="1"/>
    <cellStyle name="Lien hypertexte" xfId="15596" builtinId="8" hidden="1"/>
    <cellStyle name="Lien hypertexte" xfId="15560" builtinId="8" hidden="1"/>
    <cellStyle name="Lien hypertexte" xfId="15522" builtinId="8" hidden="1"/>
    <cellStyle name="Lien hypertexte" xfId="15484" builtinId="8" hidden="1"/>
    <cellStyle name="Lien hypertexte" xfId="15446" builtinId="8" hidden="1"/>
    <cellStyle name="Lien hypertexte" xfId="15410" builtinId="8" hidden="1"/>
    <cellStyle name="Lien hypertexte" xfId="15370" builtinId="8" hidden="1"/>
    <cellStyle name="Lien hypertexte" xfId="15332" builtinId="8" hidden="1"/>
    <cellStyle name="Lien hypertexte" xfId="15296" builtinId="8" hidden="1"/>
    <cellStyle name="Lien hypertexte" xfId="15258" builtinId="8" hidden="1"/>
    <cellStyle name="Lien hypertexte" xfId="15220" builtinId="8" hidden="1"/>
    <cellStyle name="Lien hypertexte" xfId="15182" builtinId="8" hidden="1"/>
    <cellStyle name="Lien hypertexte" xfId="15144" builtinId="8" hidden="1"/>
    <cellStyle name="Lien hypertexte" xfId="15106" builtinId="8" hidden="1"/>
    <cellStyle name="Lien hypertexte" xfId="15068" builtinId="8" hidden="1"/>
    <cellStyle name="Lien hypertexte" xfId="15032" builtinId="8" hidden="1"/>
    <cellStyle name="Lien hypertexte" xfId="14994" builtinId="8" hidden="1"/>
    <cellStyle name="Lien hypertexte" xfId="14954" builtinId="8" hidden="1"/>
    <cellStyle name="Lien hypertexte" xfId="14918" builtinId="8" hidden="1"/>
    <cellStyle name="Lien hypertexte" xfId="14880" builtinId="8" hidden="1"/>
    <cellStyle name="Lien hypertexte" xfId="14842" builtinId="8" hidden="1"/>
    <cellStyle name="Lien hypertexte" xfId="14804" builtinId="8" hidden="1"/>
    <cellStyle name="Lien hypertexte" xfId="14766" builtinId="8" hidden="1"/>
    <cellStyle name="Lien hypertexte" xfId="14730" builtinId="8" hidden="1"/>
    <cellStyle name="Lien hypertexte" xfId="14690" builtinId="8" hidden="1"/>
    <cellStyle name="Lien hypertexte" xfId="14654" builtinId="8" hidden="1"/>
    <cellStyle name="Lien hypertexte" xfId="16112" builtinId="8" hidden="1"/>
    <cellStyle name="Lien hypertexte" xfId="16720" builtinId="8" hidden="1"/>
    <cellStyle name="Lien hypertexte" xfId="17296" builtinId="8" hidden="1"/>
    <cellStyle name="Lien hypertexte" xfId="17872" builtinId="8" hidden="1"/>
    <cellStyle name="Lien hypertexte" xfId="18465" builtinId="8" hidden="1"/>
    <cellStyle name="Lien hypertexte" xfId="18831" builtinId="8" hidden="1"/>
    <cellStyle name="Lien hypertexte" xfId="18793" builtinId="8" hidden="1"/>
    <cellStyle name="Lien hypertexte" xfId="18755" builtinId="8" hidden="1"/>
    <cellStyle name="Lien hypertexte" xfId="18713" builtinId="8" hidden="1"/>
    <cellStyle name="Lien hypertexte" xfId="18675" builtinId="8" hidden="1"/>
    <cellStyle name="Lien hypertexte" xfId="18637" builtinId="8" hidden="1"/>
    <cellStyle name="Lien hypertexte" xfId="18599" builtinId="8" hidden="1"/>
    <cellStyle name="Lien hypertexte" xfId="18557" builtinId="8" hidden="1"/>
    <cellStyle name="Lien hypertexte" xfId="18519" builtinId="8" hidden="1"/>
    <cellStyle name="Lien hypertexte" xfId="18481" builtinId="8" hidden="1"/>
    <cellStyle name="Lien hypertexte" xfId="18441" builtinId="8" hidden="1"/>
    <cellStyle name="Lien hypertexte" xfId="18403" builtinId="8" hidden="1"/>
    <cellStyle name="Lien hypertexte" xfId="18363" builtinId="8" hidden="1"/>
    <cellStyle name="Lien hypertexte" xfId="18308" builtinId="8" hidden="1"/>
    <cellStyle name="Lien hypertexte" xfId="18268" builtinId="8" hidden="1"/>
    <cellStyle name="Lien hypertexte" xfId="18230" builtinId="8" hidden="1"/>
    <cellStyle name="Lien hypertexte" xfId="18190" builtinId="8" hidden="1"/>
    <cellStyle name="Lien hypertexte" xfId="18150" builtinId="8" hidden="1"/>
    <cellStyle name="Lien hypertexte" xfId="18112" builtinId="8" hidden="1"/>
    <cellStyle name="Lien hypertexte" xfId="18074" builtinId="8" hidden="1"/>
    <cellStyle name="Lien hypertexte" xfId="18036" builtinId="8" hidden="1"/>
    <cellStyle name="Lien hypertexte" xfId="17994" builtinId="8" hidden="1"/>
    <cellStyle name="Lien hypertexte" xfId="17956" builtinId="8" hidden="1"/>
    <cellStyle name="Lien hypertexte" xfId="17918" builtinId="8" hidden="1"/>
    <cellStyle name="Lien hypertexte" xfId="17878" builtinId="8" hidden="1"/>
    <cellStyle name="Lien hypertexte" xfId="17838" builtinId="8" hidden="1"/>
    <cellStyle name="Lien hypertexte" xfId="17800" builtinId="8" hidden="1"/>
    <cellStyle name="Lien hypertexte" xfId="17762" builtinId="8" hidden="1"/>
    <cellStyle name="Lien hypertexte" xfId="17722" builtinId="8" hidden="1"/>
    <cellStyle name="Lien hypertexte" xfId="17684" builtinId="8" hidden="1"/>
    <cellStyle name="Lien hypertexte" xfId="17644" builtinId="8" hidden="1"/>
    <cellStyle name="Lien hypertexte" xfId="17604" builtinId="8" hidden="1"/>
    <cellStyle name="Lien hypertexte" xfId="17566" builtinId="8" hidden="1"/>
    <cellStyle name="Lien hypertexte" xfId="17528" builtinId="8" hidden="1"/>
    <cellStyle name="Lien hypertexte" xfId="17490" builtinId="8" hidden="1"/>
    <cellStyle name="Lien hypertexte" xfId="17448" builtinId="8" hidden="1"/>
    <cellStyle name="Lien hypertexte" xfId="17410" builtinId="8" hidden="1"/>
    <cellStyle name="Lien hypertexte" xfId="17372" builtinId="8" hidden="1"/>
    <cellStyle name="Lien hypertexte" xfId="17332" builtinId="8" hidden="1"/>
    <cellStyle name="Lien hypertexte" xfId="17292" builtinId="8" hidden="1"/>
    <cellStyle name="Lien hypertexte" xfId="17254" builtinId="8" hidden="1"/>
    <cellStyle name="Lien hypertexte" xfId="17216" builtinId="8" hidden="1"/>
    <cellStyle name="Lien hypertexte" xfId="17176" builtinId="8" hidden="1"/>
    <cellStyle name="Lien hypertexte" xfId="17138" builtinId="8" hidden="1"/>
    <cellStyle name="Lien hypertexte" xfId="17098" builtinId="8" hidden="1"/>
    <cellStyle name="Lien hypertexte" xfId="17058" builtinId="8" hidden="1"/>
    <cellStyle name="Lien hypertexte" xfId="17020" builtinId="8" hidden="1"/>
    <cellStyle name="Lien hypertexte" xfId="16982" builtinId="8" hidden="1"/>
    <cellStyle name="Lien hypertexte" xfId="16942" builtinId="8" hidden="1"/>
    <cellStyle name="Lien hypertexte" xfId="16902" builtinId="8" hidden="1"/>
    <cellStyle name="Lien hypertexte" xfId="16864" builtinId="8" hidden="1"/>
    <cellStyle name="Lien hypertexte" xfId="16826" builtinId="8" hidden="1"/>
    <cellStyle name="Lien hypertexte" xfId="16786" builtinId="8" hidden="1"/>
    <cellStyle name="Lien hypertexte" xfId="16746" builtinId="8" hidden="1"/>
    <cellStyle name="Lien hypertexte" xfId="16708" builtinId="8" hidden="1"/>
    <cellStyle name="Lien hypertexte" xfId="16670" builtinId="8" hidden="1"/>
    <cellStyle name="Lien hypertexte" xfId="16630" builtinId="8" hidden="1"/>
    <cellStyle name="Lien hypertexte" xfId="16590" builtinId="8" hidden="1"/>
    <cellStyle name="Lien hypertexte" xfId="16552" builtinId="8" hidden="1"/>
    <cellStyle name="Lien hypertexte" xfId="16512" builtinId="8" hidden="1"/>
    <cellStyle name="Lien hypertexte" xfId="16474" builtinId="8" hidden="1"/>
    <cellStyle name="Lien hypertexte" xfId="16436" builtinId="8" hidden="1"/>
    <cellStyle name="Lien hypertexte" xfId="16396" builtinId="8" hidden="1"/>
    <cellStyle name="Lien hypertexte" xfId="16356" builtinId="8" hidden="1"/>
    <cellStyle name="Lien hypertexte" xfId="16318" builtinId="8" hidden="1"/>
    <cellStyle name="Lien hypertexte" xfId="16280" builtinId="8" hidden="1"/>
    <cellStyle name="Lien hypertexte" xfId="16238" builtinId="8" hidden="1"/>
    <cellStyle name="Lien hypertexte" xfId="16200" builtinId="8" hidden="1"/>
    <cellStyle name="Lien hypertexte" xfId="16162" builtinId="8" hidden="1"/>
    <cellStyle name="Lien hypertexte" xfId="15958" builtinId="8" hidden="1"/>
    <cellStyle name="Lien hypertexte" xfId="15976" builtinId="8" hidden="1"/>
    <cellStyle name="Lien hypertexte" xfId="16006" builtinId="8" hidden="1"/>
    <cellStyle name="Lien hypertexte" xfId="16034" builtinId="8" hidden="1"/>
    <cellStyle name="Lien hypertexte" xfId="16056" builtinId="8" hidden="1"/>
    <cellStyle name="Lien hypertexte" xfId="16084" builtinId="8" hidden="1"/>
    <cellStyle name="Lien hypertexte" xfId="16114" builtinId="8" hidden="1"/>
    <cellStyle name="Lien hypertexte" xfId="16132" builtinId="8" hidden="1"/>
    <cellStyle name="Lien hypertexte" xfId="16142" builtinId="8" hidden="1"/>
    <cellStyle name="Lien hypertexte" xfId="16064" builtinId="8" hidden="1"/>
    <cellStyle name="Lien hypertexte" xfId="15988" builtinId="8" hidden="1"/>
    <cellStyle name="Lien hypertexte" xfId="19265" builtinId="8" hidden="1"/>
    <cellStyle name="Lien hypertexte" xfId="19121" builtinId="8" hidden="1"/>
    <cellStyle name="Lien hypertexte" xfId="18961" builtinId="8" hidden="1"/>
    <cellStyle name="Lien hypertexte" xfId="19329" builtinId="8" hidden="1"/>
    <cellStyle name="Lien hypertexte" xfId="19409" builtinId="8" hidden="1"/>
    <cellStyle name="Lien hypertexte" xfId="19633" builtinId="8" hidden="1"/>
    <cellStyle name="Lien hypertexte" xfId="19553" builtinId="8" hidden="1"/>
    <cellStyle name="Lien hypertexte" xfId="19473" builtinId="8" hidden="1"/>
    <cellStyle name="Lien hypertexte" xfId="18897" builtinId="8" hidden="1"/>
    <cellStyle name="Lien hypertexte" xfId="19041" builtinId="8" hidden="1"/>
    <cellStyle name="Lien hypertexte" xfId="19185" builtinId="8" hidden="1"/>
    <cellStyle name="Lien hypertexte" xfId="15946" builtinId="8" hidden="1"/>
    <cellStyle name="Lien hypertexte" xfId="16026" builtinId="8" hidden="1"/>
    <cellStyle name="Lien hypertexte" xfId="16102" builtinId="8" hidden="1"/>
    <cellStyle name="Lien hypertexte" xfId="16152" builtinId="8" hidden="1"/>
    <cellStyle name="Lien hypertexte" xfId="16124" builtinId="8" hidden="1"/>
    <cellStyle name="Lien hypertexte" xfId="16094" builtinId="8" hidden="1"/>
    <cellStyle name="Lien hypertexte" xfId="16074" builtinId="8" hidden="1"/>
    <cellStyle name="Lien hypertexte" xfId="16044" builtinId="8" hidden="1"/>
    <cellStyle name="Lien hypertexte" xfId="16014" builtinId="8" hidden="1"/>
    <cellStyle name="Lien hypertexte" xfId="15996" builtinId="8" hidden="1"/>
    <cellStyle name="Lien hypertexte" xfId="15966" builtinId="8" hidden="1"/>
    <cellStyle name="Lien hypertexte" xfId="15938" builtinId="8" hidden="1"/>
    <cellStyle name="Lien hypertexte" xfId="16182" builtinId="8" hidden="1"/>
    <cellStyle name="Lien hypertexte" xfId="16220" builtinId="8" hidden="1"/>
    <cellStyle name="Lien hypertexte" xfId="16260" builtinId="8" hidden="1"/>
    <cellStyle name="Lien hypertexte" xfId="16298" builtinId="8" hidden="1"/>
    <cellStyle name="Lien hypertexte" xfId="16338" builtinId="8" hidden="1"/>
    <cellStyle name="Lien hypertexte" xfId="16376" builtinId="8" hidden="1"/>
    <cellStyle name="Lien hypertexte" xfId="16416" builtinId="8" hidden="1"/>
    <cellStyle name="Lien hypertexte" xfId="16454" builtinId="8" hidden="1"/>
    <cellStyle name="Lien hypertexte" xfId="16492" builtinId="8" hidden="1"/>
    <cellStyle name="Lien hypertexte" xfId="16534" builtinId="8" hidden="1"/>
    <cellStyle name="Lien hypertexte" xfId="16572" builtinId="8" hidden="1"/>
    <cellStyle name="Lien hypertexte" xfId="16610" builtinId="8" hidden="1"/>
    <cellStyle name="Lien hypertexte" xfId="16648" builtinId="8" hidden="1"/>
    <cellStyle name="Lien hypertexte" xfId="16690" builtinId="8" hidden="1"/>
    <cellStyle name="Lien hypertexte" xfId="16728" builtinId="8" hidden="1"/>
    <cellStyle name="Lien hypertexte" xfId="16766" builtinId="8" hidden="1"/>
    <cellStyle name="Lien hypertexte" xfId="16806" builtinId="8" hidden="1"/>
    <cellStyle name="Lien hypertexte" xfId="16844" builtinId="8" hidden="1"/>
    <cellStyle name="Lien hypertexte" xfId="16884" builtinId="8" hidden="1"/>
    <cellStyle name="Lien hypertexte" xfId="16922" builtinId="8" hidden="1"/>
    <cellStyle name="Lien hypertexte" xfId="16962" builtinId="8" hidden="1"/>
    <cellStyle name="Lien hypertexte" xfId="17000" builtinId="8" hidden="1"/>
    <cellStyle name="Lien hypertexte" xfId="17038" builtinId="8" hidden="1"/>
    <cellStyle name="Lien hypertexte" xfId="17080" builtinId="8" hidden="1"/>
    <cellStyle name="Lien hypertexte" xfId="17118" builtinId="8" hidden="1"/>
    <cellStyle name="Lien hypertexte" xfId="17156" builtinId="8" hidden="1"/>
    <cellStyle name="Lien hypertexte" xfId="17194" builtinId="8" hidden="1"/>
    <cellStyle name="Lien hypertexte" xfId="17236" builtinId="8" hidden="1"/>
    <cellStyle name="Lien hypertexte" xfId="17274" builtinId="8" hidden="1"/>
    <cellStyle name="Lien hypertexte" xfId="17312" builtinId="8" hidden="1"/>
    <cellStyle name="Lien hypertexte" xfId="17352" builtinId="8" hidden="1"/>
    <cellStyle name="Lien hypertexte" xfId="17390" builtinId="8" hidden="1"/>
    <cellStyle name="Lien hypertexte" xfId="17430" builtinId="8" hidden="1"/>
    <cellStyle name="Lien hypertexte" xfId="17468" builtinId="8" hidden="1"/>
    <cellStyle name="Lien hypertexte" xfId="17508" builtinId="8" hidden="1"/>
    <cellStyle name="Lien hypertexte" xfId="17546" builtinId="8" hidden="1"/>
    <cellStyle name="Lien hypertexte" xfId="17586" builtinId="8" hidden="1"/>
    <cellStyle name="Lien hypertexte" xfId="17626" builtinId="8" hidden="1"/>
    <cellStyle name="Lien hypertexte" xfId="17664" builtinId="8" hidden="1"/>
    <cellStyle name="Lien hypertexte" xfId="17702" builtinId="8" hidden="1"/>
    <cellStyle name="Lien hypertexte" xfId="17740" builtinId="8" hidden="1"/>
    <cellStyle name="Lien hypertexte" xfId="17782" builtinId="8" hidden="1"/>
    <cellStyle name="Lien hypertexte" xfId="17820" builtinId="8" hidden="1"/>
    <cellStyle name="Lien hypertexte" xfId="17858" builtinId="8" hidden="1"/>
    <cellStyle name="Lien hypertexte" xfId="17898" builtinId="8" hidden="1"/>
    <cellStyle name="Lien hypertexte" xfId="17938" builtinId="8" hidden="1"/>
    <cellStyle name="Lien hypertexte" xfId="17976" builtinId="8" hidden="1"/>
    <cellStyle name="Lien hypertexte" xfId="18014" builtinId="8" hidden="1"/>
    <cellStyle name="Lien hypertexte" xfId="18054" builtinId="8" hidden="1"/>
    <cellStyle name="Lien hypertexte" xfId="18092" builtinId="8" hidden="1"/>
    <cellStyle name="Lien hypertexte" xfId="18132" builtinId="8" hidden="1"/>
    <cellStyle name="Lien hypertexte" xfId="18172" builtinId="8" hidden="1"/>
    <cellStyle name="Lien hypertexte" xfId="18210" builtinId="8" hidden="1"/>
    <cellStyle name="Lien hypertexte" xfId="18248" builtinId="8" hidden="1"/>
    <cellStyle name="Lien hypertexte" xfId="18286" builtinId="8" hidden="1"/>
    <cellStyle name="Lien hypertexte" xfId="18345" builtinId="8" hidden="1"/>
    <cellStyle name="Lien hypertexte" xfId="18383" builtinId="8" hidden="1"/>
    <cellStyle name="Lien hypertexte" xfId="18421" builtinId="8" hidden="1"/>
    <cellStyle name="Lien hypertexte" xfId="18461" builtinId="8" hidden="1"/>
    <cellStyle name="Lien hypertexte" xfId="18501" builtinId="8" hidden="1"/>
    <cellStyle name="Lien hypertexte" xfId="18539" builtinId="8" hidden="1"/>
    <cellStyle name="Lien hypertexte" xfId="18577" builtinId="8" hidden="1"/>
    <cellStyle name="Lien hypertexte" xfId="18617" builtinId="8" hidden="1"/>
    <cellStyle name="Lien hypertexte" xfId="18655" builtinId="8" hidden="1"/>
    <cellStyle name="Lien hypertexte" xfId="18695" builtinId="8" hidden="1"/>
    <cellStyle name="Lien hypertexte" xfId="18735" builtinId="8" hidden="1"/>
    <cellStyle name="Lien hypertexte" xfId="18773" builtinId="8" hidden="1"/>
    <cellStyle name="Lien hypertexte" xfId="18811" builtinId="8" hidden="1"/>
    <cellStyle name="Lien hypertexte" xfId="18785" builtinId="8" hidden="1"/>
    <cellStyle name="Lien hypertexte" xfId="18160" builtinId="8" hidden="1"/>
    <cellStyle name="Lien hypertexte" xfId="17584" builtinId="8" hidden="1"/>
    <cellStyle name="Lien hypertexte" xfId="17008" builtinId="8" hidden="1"/>
    <cellStyle name="Lien hypertexte" xfId="16400" builtinId="8" hidden="1"/>
    <cellStyle name="Lien hypertexte" xfId="14634" builtinId="8" hidden="1"/>
    <cellStyle name="Lien hypertexte" xfId="14672" builtinId="8" hidden="1"/>
    <cellStyle name="Lien hypertexte" xfId="14710" builtinId="8" hidden="1"/>
    <cellStyle name="Lien hypertexte" xfId="14748" builtinId="8" hidden="1"/>
    <cellStyle name="Lien hypertexte" xfId="14786" builtinId="8" hidden="1"/>
    <cellStyle name="Lien hypertexte" xfId="14822" builtinId="8" hidden="1"/>
    <cellStyle name="Lien hypertexte" xfId="14862" builtinId="8" hidden="1"/>
    <cellStyle name="Lien hypertexte" xfId="14900" builtinId="8" hidden="1"/>
    <cellStyle name="Lien hypertexte" xfId="14936" builtinId="8" hidden="1"/>
    <cellStyle name="Lien hypertexte" xfId="14974" builtinId="8" hidden="1"/>
    <cellStyle name="Lien hypertexte" xfId="15012" builtinId="8" hidden="1"/>
    <cellStyle name="Lien hypertexte" xfId="15050" builtinId="8" hidden="1"/>
    <cellStyle name="Lien hypertexte" xfId="15086" builtinId="8" hidden="1"/>
    <cellStyle name="Lien hypertexte" xfId="15126" builtinId="8" hidden="1"/>
    <cellStyle name="Lien hypertexte" xfId="15164" builtinId="8" hidden="1"/>
    <cellStyle name="Lien hypertexte" xfId="15200" builtinId="8" hidden="1"/>
    <cellStyle name="Lien hypertexte" xfId="15238" builtinId="8" hidden="1"/>
    <cellStyle name="Lien hypertexte" xfId="15276" builtinId="8" hidden="1"/>
    <cellStyle name="Lien hypertexte" xfId="15314" builtinId="8" hidden="1"/>
    <cellStyle name="Lien hypertexte" xfId="15352" builtinId="8" hidden="1"/>
    <cellStyle name="Lien hypertexte" xfId="15390" builtinId="8" hidden="1"/>
    <cellStyle name="Lien hypertexte" xfId="15428" builtinId="8" hidden="1"/>
    <cellStyle name="Lien hypertexte" xfId="15464" builtinId="8" hidden="1"/>
    <cellStyle name="Lien hypertexte" xfId="15502" builtinId="8" hidden="1"/>
    <cellStyle name="Lien hypertexte" xfId="15542" builtinId="8" hidden="1"/>
    <cellStyle name="Lien hypertexte" xfId="15578" builtinId="8" hidden="1"/>
    <cellStyle name="Lien hypertexte" xfId="15616" builtinId="8" hidden="1"/>
    <cellStyle name="Lien hypertexte" xfId="15654" builtinId="8" hidden="1"/>
    <cellStyle name="Lien hypertexte" xfId="15692" builtinId="8" hidden="1"/>
    <cellStyle name="Lien hypertexte" xfId="15730" builtinId="8" hidden="1"/>
    <cellStyle name="Lien hypertexte" xfId="15766" builtinId="8" hidden="1"/>
    <cellStyle name="Lien hypertexte" xfId="15806" builtinId="8" hidden="1"/>
    <cellStyle name="Lien hypertexte" xfId="15842" builtinId="8" hidden="1"/>
    <cellStyle name="Lien hypertexte" xfId="15880" builtinId="8" hidden="1"/>
    <cellStyle name="Lien hypertexte" xfId="15918" builtinId="8" hidden="1"/>
    <cellStyle name="Lien hypertexte" xfId="15280" builtinId="8" hidden="1"/>
    <cellStyle name="Lien hypertexte" xfId="666" builtinId="8" hidden="1"/>
    <cellStyle name="Lien hypertexte" xfId="702" builtinId="8" hidden="1"/>
    <cellStyle name="Lien hypertexte" xfId="742" builtinId="8" hidden="1"/>
    <cellStyle name="Lien hypertexte" xfId="778" builtinId="8" hidden="1"/>
    <cellStyle name="Lien hypertexte" xfId="814" builtinId="8" hidden="1"/>
    <cellStyle name="Lien hypertexte" xfId="854" builtinId="8" hidden="1"/>
    <cellStyle name="Lien hypertexte" xfId="890" builtinId="8" hidden="1"/>
    <cellStyle name="Lien hypertexte" xfId="926" builtinId="8" hidden="1"/>
    <cellStyle name="Lien hypertexte" xfId="962" builtinId="8" hidden="1"/>
    <cellStyle name="Lien hypertexte" xfId="1002" builtinId="8" hidden="1"/>
    <cellStyle name="Lien hypertexte" xfId="1038" builtinId="8" hidden="1"/>
    <cellStyle name="Lien hypertexte" xfId="1074" builtinId="8" hidden="1"/>
    <cellStyle name="Lien hypertexte" xfId="1114" builtinId="8" hidden="1"/>
    <cellStyle name="Lien hypertexte" xfId="1150" builtinId="8" hidden="1" customBuiltin="1"/>
    <cellStyle name="Lien hypertexte" xfId="14540" builtinId="8" hidden="1"/>
    <cellStyle name="Lien hypertexte" xfId="14578" builtinId="8" hidden="1"/>
    <cellStyle name="Lien hypertexte" xfId="14616" builtinId="8" hidden="1"/>
    <cellStyle name="Lien hypertexte" xfId="362" builtinId="8" hidden="1"/>
    <cellStyle name="Lien hypertexte" xfId="398" builtinId="8" hidden="1"/>
    <cellStyle name="Lien hypertexte" xfId="436" builtinId="8" hidden="1"/>
    <cellStyle name="Lien hypertexte" xfId="474" builtinId="8" hidden="1"/>
    <cellStyle name="Lien hypertexte" xfId="510" builtinId="8" hidden="1"/>
    <cellStyle name="Lien hypertexte" xfId="546" builtinId="8" hidden="1"/>
    <cellStyle name="Lien hypertexte" xfId="584" builtinId="8" hidden="1"/>
    <cellStyle name="Lien hypertexte" xfId="620" builtinId="8" hidden="1"/>
    <cellStyle name="Lien hypertexte" xfId="200" builtinId="8" hidden="1"/>
    <cellStyle name="Lien hypertexte" xfId="238" builtinId="8" hidden="1"/>
    <cellStyle name="Lien hypertexte" xfId="274" builtinId="8" hidden="1"/>
    <cellStyle name="Lien hypertexte" xfId="310" builtinId="8" hidden="1"/>
    <cellStyle name="Lien hypertexte" xfId="346" builtinId="8" hidden="1"/>
    <cellStyle name="Lien hypertexte" xfId="160" builtinId="8" hidden="1"/>
    <cellStyle name="Lien hypertexte" xfId="196" builtinId="8" hidden="1"/>
    <cellStyle name="Lien hypertexte" xfId="120" builtinId="8" hidden="1"/>
    <cellStyle name="Lien hypertexte" xfId="3" builtinId="8" hidden="1"/>
    <cellStyle name="Lien hypertexte" xfId="252" builtinId="8" hidden="1"/>
    <cellStyle name="Lien hypertexte" xfId="450" builtinId="8" hidden="1"/>
    <cellStyle name="Lien hypertexte" xfId="1128" builtinId="8" hidden="1"/>
    <cellStyle name="Lien hypertexte" xfId="868" builtinId="8" hidden="1"/>
    <cellStyle name="Lien hypertexte" xfId="15934" builtinId="8" hidden="1"/>
    <cellStyle name="Lien hypertexte" xfId="15670" builtinId="8" hidden="1"/>
    <cellStyle name="Lien hypertexte" xfId="15404" builtinId="8" hidden="1"/>
    <cellStyle name="Lien hypertexte" xfId="15140" builtinId="8" hidden="1"/>
    <cellStyle name="Lien hypertexte" xfId="14876" builtinId="8" hidden="1"/>
    <cellStyle name="Lien hypertexte" xfId="16176" builtinId="8" hidden="1"/>
    <cellStyle name="Lien hypertexte" xfId="18749" builtinId="8" hidden="1"/>
    <cellStyle name="Lien hypertexte" xfId="18477" builtinId="8" hidden="1"/>
    <cellStyle name="Lien hypertexte" xfId="18186" builtinId="8" hidden="1"/>
    <cellStyle name="Lien hypertexte" xfId="17914" builtinId="8" hidden="1"/>
    <cellStyle name="Lien hypertexte" xfId="17640" builtinId="8" hidden="1"/>
    <cellStyle name="Lien hypertexte" xfId="17368" builtinId="8" hidden="1"/>
    <cellStyle name="Lien hypertexte" xfId="17094" builtinId="8" hidden="1"/>
    <cellStyle name="Lien hypertexte" xfId="16822" builtinId="8" hidden="1"/>
    <cellStyle name="Lien hypertexte" xfId="16548" builtinId="8" hidden="1"/>
    <cellStyle name="Lien hypertexte" xfId="16276" builtinId="8" hidden="1"/>
    <cellStyle name="Lien hypertexte" xfId="16002" builtinId="8" hidden="1"/>
    <cellStyle name="Lien hypertexte" xfId="20385" builtinId="8" hidden="1"/>
    <cellStyle name="Lien hypertexte" xfId="21755" builtinId="8" hidden="1"/>
    <cellStyle name="Lien hypertexte" xfId="21795" builtinId="8" hidden="1"/>
    <cellStyle name="Lien hypertexte" xfId="21835" builtinId="8" hidden="1"/>
    <cellStyle name="Lien hypertexte" xfId="21875" builtinId="8" hidden="1"/>
    <cellStyle name="Lien hypertexte" xfId="21913" builtinId="8" hidden="1"/>
    <cellStyle name="Lien hypertexte" xfId="21951" builtinId="8" hidden="1"/>
    <cellStyle name="Lien hypertexte" xfId="21991" builtinId="8" hidden="1"/>
    <cellStyle name="Lien hypertexte" xfId="22029" builtinId="8" hidden="1"/>
    <cellStyle name="Lien hypertexte" xfId="22069" builtinId="8" hidden="1"/>
    <cellStyle name="Lien hypertexte" xfId="22107" builtinId="8" hidden="1"/>
    <cellStyle name="Lien hypertexte" xfId="22147" builtinId="8" hidden="1"/>
    <cellStyle name="Lien hypertexte" xfId="22185" builtinId="8" hidden="1"/>
    <cellStyle name="Lien hypertexte" xfId="22223" builtinId="8" hidden="1"/>
    <cellStyle name="Lien hypertexte" xfId="22263" builtinId="8" hidden="1"/>
    <cellStyle name="Lien hypertexte" xfId="22301" builtinId="8" hidden="1"/>
    <cellStyle name="Lien hypertexte" xfId="22341" builtinId="8" hidden="1"/>
    <cellStyle name="Lien hypertexte" xfId="22379" builtinId="8" hidden="1"/>
    <cellStyle name="Lien hypertexte" xfId="22421" builtinId="8" hidden="1"/>
    <cellStyle name="Lien hypertexte" xfId="22459" builtinId="8" hidden="1"/>
    <cellStyle name="Lien hypertexte" xfId="22499" builtinId="8" hidden="1"/>
    <cellStyle name="Lien hypertexte" xfId="22537" builtinId="8" hidden="1"/>
    <cellStyle name="Lien hypertexte" xfId="22575" builtinId="8" hidden="1"/>
    <cellStyle name="Lien hypertexte" xfId="22615" builtinId="8" hidden="1"/>
    <cellStyle name="Lien hypertexte" xfId="22653" builtinId="8" hidden="1"/>
    <cellStyle name="Lien hypertexte" xfId="22693" builtinId="8" hidden="1"/>
    <cellStyle name="Lien hypertexte" xfId="22731" builtinId="8" hidden="1"/>
    <cellStyle name="Lien hypertexte" xfId="22771" builtinId="8" hidden="1"/>
    <cellStyle name="Lien hypertexte" xfId="22809" builtinId="8" hidden="1"/>
    <cellStyle name="Lien hypertexte" xfId="22847" builtinId="8" hidden="1"/>
    <cellStyle name="Lien hypertexte" xfId="22887" builtinId="8" hidden="1"/>
    <cellStyle name="Lien hypertexte" xfId="22925" builtinId="8" hidden="1"/>
    <cellStyle name="Lien hypertexte" xfId="22965" builtinId="8" hidden="1"/>
    <cellStyle name="Lien hypertexte" xfId="23005" builtinId="8" hidden="1"/>
    <cellStyle name="Lien hypertexte" xfId="23045" builtinId="8" hidden="1"/>
    <cellStyle name="Lien hypertexte" xfId="23083" builtinId="8" hidden="1"/>
    <cellStyle name="Lien hypertexte" xfId="23123" builtinId="8" hidden="1"/>
    <cellStyle name="Lien hypertexte" xfId="23161" builtinId="8" hidden="1"/>
    <cellStyle name="Lien hypertexte" xfId="23199" builtinId="8" hidden="1"/>
    <cellStyle name="Lien hypertexte" xfId="23239" builtinId="8" hidden="1"/>
    <cellStyle name="Lien hypertexte" xfId="23277" builtinId="8" hidden="1"/>
    <cellStyle name="Lien hypertexte" xfId="23317" builtinId="8" hidden="1"/>
    <cellStyle name="Lien hypertexte" xfId="23355" builtinId="8" hidden="1"/>
    <cellStyle name="Lien hypertexte" xfId="23395" builtinId="8" hidden="1"/>
    <cellStyle name="Lien hypertexte" xfId="23433" builtinId="8" hidden="1"/>
    <cellStyle name="Lien hypertexte" xfId="23471" builtinId="8" hidden="1"/>
    <cellStyle name="Lien hypertexte" xfId="23511" builtinId="8" hidden="1"/>
    <cellStyle name="Lien hypertexte" xfId="23549" builtinId="8" hidden="1"/>
    <cellStyle name="Lien hypertexte" xfId="23591" builtinId="8" hidden="1"/>
    <cellStyle name="Lien hypertexte" xfId="23629" builtinId="8" hidden="1"/>
    <cellStyle name="Lien hypertexte" xfId="23669" builtinId="8" hidden="1"/>
    <cellStyle name="Lien hypertexte" xfId="23707" builtinId="8" hidden="1"/>
    <cellStyle name="Lien hypertexte" xfId="23747" builtinId="8" hidden="1"/>
    <cellStyle name="Lien hypertexte" xfId="23785" builtinId="8" hidden="1"/>
    <cellStyle name="Lien hypertexte" xfId="23823" builtinId="8" hidden="1"/>
    <cellStyle name="Lien hypertexte" xfId="23863" builtinId="8" hidden="1"/>
    <cellStyle name="Lien hypertexte" xfId="23901" builtinId="8" hidden="1"/>
    <cellStyle name="Lien hypertexte" xfId="23941" builtinId="8" hidden="1"/>
    <cellStyle name="Lien hypertexte" xfId="23979" builtinId="8" hidden="1"/>
    <cellStyle name="Lien hypertexte" xfId="24019" builtinId="8" hidden="1"/>
    <cellStyle name="Lien hypertexte" xfId="24057" builtinId="8" hidden="1"/>
    <cellStyle name="Lien hypertexte" xfId="24095" builtinId="8" hidden="1"/>
    <cellStyle name="Lien hypertexte" xfId="24135" builtinId="8" hidden="1"/>
    <cellStyle name="Lien hypertexte" xfId="24175" builtinId="8" hidden="1"/>
    <cellStyle name="Lien hypertexte" xfId="24215" builtinId="8" hidden="1"/>
    <cellStyle name="Lien hypertexte" xfId="24253" builtinId="8" hidden="1"/>
    <cellStyle name="Lien hypertexte" xfId="24293" builtinId="8" hidden="1"/>
    <cellStyle name="Lien hypertexte" xfId="24331" builtinId="8" hidden="1"/>
    <cellStyle name="Lien hypertexte" xfId="24371" builtinId="8" hidden="1"/>
    <cellStyle name="Lien hypertexte" xfId="24409" builtinId="8" hidden="1"/>
    <cellStyle name="Lien hypertexte" xfId="24447" builtinId="8" hidden="1"/>
    <cellStyle name="Lien hypertexte" xfId="24487" builtinId="8" hidden="1"/>
    <cellStyle name="Lien hypertexte" xfId="24525" builtinId="8" hidden="1"/>
    <cellStyle name="Lien hypertexte" xfId="24565" builtinId="8" hidden="1"/>
    <cellStyle name="Lien hypertexte" xfId="24603" builtinId="8" hidden="1"/>
    <cellStyle name="Lien hypertexte" xfId="24401" builtinId="8" hidden="1"/>
    <cellStyle name="Lien hypertexte" xfId="24129" builtinId="8" hidden="1"/>
    <cellStyle name="Lien hypertexte" xfId="23857" builtinId="8" hidden="1"/>
    <cellStyle name="Lien hypertexte" xfId="23569" builtinId="8" hidden="1"/>
    <cellStyle name="Lien hypertexte" xfId="23297" builtinId="8" hidden="1"/>
    <cellStyle name="Lien hypertexte" xfId="23025" builtinId="8" hidden="1"/>
    <cellStyle name="Lien hypertexte" xfId="22753" builtinId="8" hidden="1"/>
    <cellStyle name="Lien hypertexte" xfId="22481" builtinId="8" hidden="1"/>
    <cellStyle name="Lien hypertexte" xfId="22209" builtinId="8" hidden="1"/>
    <cellStyle name="Lien hypertexte" xfId="21937" builtinId="8" hidden="1"/>
    <cellStyle name="Lien hypertexte" xfId="21665" builtinId="8" hidden="1"/>
    <cellStyle name="Lien hypertexte" xfId="24097" builtinId="8" hidden="1"/>
    <cellStyle name="Lien hypertexte" xfId="24101" builtinId="8" hidden="1"/>
    <cellStyle name="Lien hypertexte" xfId="23515" builtinId="8" hidden="1"/>
    <cellStyle name="Lien hypertexte" xfId="22931" builtinId="8" hidden="1"/>
    <cellStyle name="Lien hypertexte" xfId="22345" builtinId="8" hidden="1"/>
    <cellStyle name="Lien hypertexte" xfId="21759" builtinId="8" hidden="1"/>
    <cellStyle name="Lien hypertexte" xfId="20283" builtinId="8" hidden="1"/>
    <cellStyle name="Lien hypertexte" xfId="20319" builtinId="8" hidden="1"/>
    <cellStyle name="Lien hypertexte" xfId="20359" builtinId="8" hidden="1"/>
    <cellStyle name="Lien hypertexte" xfId="20395" builtinId="8" hidden="1"/>
    <cellStyle name="Lien hypertexte" xfId="20435" builtinId="8" hidden="1"/>
    <cellStyle name="Lien hypertexte" xfId="20471" builtinId="8" hidden="1"/>
    <cellStyle name="Lien hypertexte" xfId="20509" builtinId="8" hidden="1"/>
    <cellStyle name="Lien hypertexte" xfId="20547" builtinId="8" hidden="1"/>
    <cellStyle name="Lien hypertexte" xfId="20585" builtinId="8" hidden="1"/>
    <cellStyle name="Lien hypertexte" xfId="20621" builtinId="8" hidden="1"/>
    <cellStyle name="Lien hypertexte" xfId="20661" builtinId="8" hidden="1"/>
    <cellStyle name="Lien hypertexte" xfId="20697" builtinId="8" hidden="1"/>
    <cellStyle name="Lien hypertexte" xfId="20735" builtinId="8" hidden="1"/>
    <cellStyle name="Lien hypertexte" xfId="20775" builtinId="8" hidden="1"/>
    <cellStyle name="Lien hypertexte" xfId="20811" builtinId="8" hidden="1"/>
    <cellStyle name="Lien hypertexte" xfId="20851" builtinId="8" hidden="1"/>
    <cellStyle name="Lien hypertexte" xfId="20887" builtinId="8" hidden="1"/>
    <cellStyle name="Lien hypertexte" xfId="20925" builtinId="8" hidden="1"/>
    <cellStyle name="Lien hypertexte" xfId="20963" builtinId="8" hidden="1"/>
    <cellStyle name="Lien hypertexte" xfId="21001" builtinId="8" hidden="1"/>
    <cellStyle name="Lien hypertexte" xfId="21037" builtinId="8" hidden="1"/>
    <cellStyle name="Lien hypertexte" xfId="21077" builtinId="8" hidden="1"/>
    <cellStyle name="Lien hypertexte" xfId="21113" builtinId="8" hidden="1"/>
    <cellStyle name="Lien hypertexte" xfId="21151" builtinId="8" hidden="1"/>
    <cellStyle name="Lien hypertexte" xfId="21189" builtinId="8" hidden="1"/>
    <cellStyle name="Lien hypertexte" xfId="21227" builtinId="8" hidden="1"/>
    <cellStyle name="Lien hypertexte" xfId="21263" builtinId="8" hidden="1"/>
    <cellStyle name="Lien hypertexte" xfId="21303" builtinId="8" hidden="1"/>
    <cellStyle name="Lien hypertexte" xfId="21339" builtinId="8" hidden="1"/>
    <cellStyle name="Lien hypertexte" xfId="21379" builtinId="8" hidden="1"/>
    <cellStyle name="Lien hypertexte" xfId="21415" builtinId="8" hidden="1"/>
    <cellStyle name="Lien hypertexte" xfId="21453" builtinId="8" hidden="1"/>
    <cellStyle name="Lien hypertexte" xfId="21491" builtinId="8" hidden="1"/>
    <cellStyle name="Lien hypertexte" xfId="21529" builtinId="8" hidden="1"/>
    <cellStyle name="Lien hypertexte" xfId="21565" builtinId="8" hidden="1"/>
    <cellStyle name="Lien hypertexte" xfId="21605" builtinId="8" hidden="1"/>
    <cellStyle name="Lien hypertexte" xfId="21641" builtinId="8" hidden="1"/>
    <cellStyle name="Lien hypertexte" xfId="21679" builtinId="8" hidden="1"/>
    <cellStyle name="Lien hypertexte" xfId="21717" builtinId="8" hidden="1"/>
    <cellStyle name="Lien hypertexte" xfId="21285" builtinId="8" hidden="1"/>
    <cellStyle name="Lien hypertexte" xfId="19539" builtinId="8" hidden="1"/>
    <cellStyle name="Lien hypertexte" xfId="19575" builtinId="8" hidden="1"/>
    <cellStyle name="Lien hypertexte" xfId="19613" builtinId="8" hidden="1"/>
    <cellStyle name="Lien hypertexte" xfId="19651" builtinId="8" hidden="1"/>
    <cellStyle name="Lien hypertexte" xfId="19687" builtinId="8" hidden="1"/>
    <cellStyle name="Lien hypertexte" xfId="19723" builtinId="8" hidden="1"/>
    <cellStyle name="Lien hypertexte" xfId="19763" builtinId="8" hidden="1"/>
    <cellStyle name="Lien hypertexte" xfId="19799" builtinId="8" hidden="1"/>
    <cellStyle name="Lien hypertexte" xfId="19835" builtinId="8" hidden="1"/>
    <cellStyle name="Lien hypertexte" xfId="19871" builtinId="8" hidden="1"/>
    <cellStyle name="Lien hypertexte" xfId="19911" builtinId="8" hidden="1"/>
    <cellStyle name="Lien hypertexte" xfId="19947" builtinId="8" hidden="1"/>
    <cellStyle name="Lien hypertexte" xfId="19983" builtinId="8" hidden="1"/>
    <cellStyle name="Lien hypertexte" xfId="20021" builtinId="8" hidden="1"/>
    <cellStyle name="Lien hypertexte" xfId="20059" builtinId="8" hidden="1"/>
    <cellStyle name="Lien hypertexte" xfId="20095" builtinId="8" hidden="1"/>
    <cellStyle name="Lien hypertexte" xfId="20133" builtinId="8" hidden="1"/>
    <cellStyle name="Lien hypertexte" xfId="20169" builtinId="8" hidden="1"/>
    <cellStyle name="Lien hypertexte" xfId="20207" builtinId="8" hidden="1"/>
    <cellStyle name="Lien hypertexte" xfId="20245" builtinId="8" hidden="1"/>
    <cellStyle name="Lien hypertexte" xfId="19211" builtinId="8" hidden="1"/>
    <cellStyle name="Lien hypertexte" xfId="19247" builtinId="8" hidden="1"/>
    <cellStyle name="Lien hypertexte" xfId="19285" builtinId="8" hidden="1"/>
    <cellStyle name="Lien hypertexte" xfId="19323" builtinId="8" hidden="1"/>
    <cellStyle name="Lien hypertexte" xfId="19359" builtinId="8" hidden="1"/>
    <cellStyle name="Lien hypertexte" xfId="19397" builtinId="8" hidden="1"/>
    <cellStyle name="Lien hypertexte" xfId="19433" builtinId="8" hidden="1"/>
    <cellStyle name="Lien hypertexte" xfId="19469" builtinId="8" hidden="1"/>
    <cellStyle name="Lien hypertexte" xfId="19507" builtinId="8" hidden="1"/>
    <cellStyle name="Lien hypertexte" xfId="19021" builtinId="8" hidden="1"/>
    <cellStyle name="Lien hypertexte" xfId="19059" builtinId="8" hidden="1"/>
    <cellStyle name="Lien hypertexte" xfId="19095" builtinId="8" hidden="1"/>
    <cellStyle name="Lien hypertexte" xfId="19131" builtinId="8" hidden="1"/>
    <cellStyle name="Lien hypertexte" xfId="19167" builtinId="8" hidden="1"/>
    <cellStyle name="Lien hypertexte" xfId="18949" builtinId="8" hidden="1"/>
    <cellStyle name="Lien hypertexte" xfId="18985" builtinId="8" hidden="1"/>
    <cellStyle name="Lien hypertexte" xfId="18893" builtinId="8" hidden="1"/>
    <cellStyle name="Lien hypertexte" xfId="18931" builtinId="8" hidden="1"/>
    <cellStyle name="Lien hypertexte" xfId="18855" builtinId="8" hidden="1"/>
    <cellStyle name="Lien hypertexte" xfId="18877" builtinId="8" hidden="1"/>
    <cellStyle name="Lien hypertexte" xfId="18905" builtinId="8" hidden="1"/>
    <cellStyle name="Lien hypertexte" xfId="18997" builtinId="8" hidden="1"/>
    <cellStyle name="Lien hypertexte" xfId="18959" builtinId="8" hidden="1"/>
    <cellStyle name="Lien hypertexte" xfId="19179" builtinId="8" hidden="1"/>
    <cellStyle name="Lien hypertexte" xfId="19143" builtinId="8" hidden="1"/>
    <cellStyle name="Lien hypertexte" xfId="19107" builtinId="8" hidden="1"/>
    <cellStyle name="Lien hypertexte" xfId="19069" builtinId="8" hidden="1"/>
    <cellStyle name="Lien hypertexte" xfId="19033" builtinId="8" hidden="1"/>
    <cellStyle name="Lien hypertexte" xfId="19517" builtinId="8" hidden="1"/>
    <cellStyle name="Lien hypertexte" xfId="19481" builtinId="8" hidden="1"/>
    <cellStyle name="Lien hypertexte" xfId="19445" builtinId="8" hidden="1"/>
    <cellStyle name="Lien hypertexte" xfId="19407" builtinId="8" hidden="1"/>
    <cellStyle name="Lien hypertexte" xfId="19371" builtinId="8" hidden="1"/>
    <cellStyle name="Lien hypertexte" xfId="19335" builtinId="8" hidden="1"/>
    <cellStyle name="Lien hypertexte" xfId="19295" builtinId="8" hidden="1"/>
    <cellStyle name="Lien hypertexte" xfId="19259" builtinId="8" hidden="1"/>
    <cellStyle name="Lien hypertexte" xfId="19223" builtinId="8" hidden="1"/>
    <cellStyle name="Lien hypertexte" xfId="19603" builtinId="8" hidden="1"/>
    <cellStyle name="Lien hypertexte" xfId="20219" builtinId="8" hidden="1"/>
    <cellStyle name="Lien hypertexte" xfId="20181" builtinId="8" hidden="1"/>
    <cellStyle name="Lien hypertexte" xfId="20143" builtinId="8" hidden="1"/>
    <cellStyle name="Lien hypertexte" xfId="20107" builtinId="8" hidden="1"/>
    <cellStyle name="Lien hypertexte" xfId="20071" builtinId="8" hidden="1"/>
    <cellStyle name="Lien hypertexte" xfId="20031" builtinId="8" hidden="1"/>
    <cellStyle name="Lien hypertexte" xfId="19995" builtinId="8" hidden="1"/>
    <cellStyle name="Lien hypertexte" xfId="19959" builtinId="8" hidden="1"/>
    <cellStyle name="Lien hypertexte" xfId="19923" builtinId="8" hidden="1"/>
    <cellStyle name="Lien hypertexte" xfId="19883" builtinId="8" hidden="1"/>
    <cellStyle name="Lien hypertexte" xfId="19847" builtinId="8" hidden="1"/>
    <cellStyle name="Lien hypertexte" xfId="19811" builtinId="8" hidden="1"/>
    <cellStyle name="Lien hypertexte" xfId="19773" builtinId="8" hidden="1"/>
    <cellStyle name="Lien hypertexte" xfId="19735" builtinId="8" hidden="1"/>
    <cellStyle name="Lien hypertexte" xfId="19699" builtinId="8" hidden="1"/>
    <cellStyle name="Lien hypertexte" xfId="19661" builtinId="8" hidden="1"/>
    <cellStyle name="Lien hypertexte" xfId="19625" builtinId="8" hidden="1"/>
    <cellStyle name="Lien hypertexte" xfId="19587" builtinId="8" hidden="1"/>
    <cellStyle name="Lien hypertexte" xfId="19549" builtinId="8" hidden="1"/>
    <cellStyle name="Lien hypertexte" xfId="20919" builtinId="8" hidden="1"/>
    <cellStyle name="Lien hypertexte" xfId="21731" builtinId="8" hidden="1"/>
    <cellStyle name="Lien hypertexte" xfId="21691" builtinId="8" hidden="1"/>
    <cellStyle name="Lien hypertexte" xfId="21655" builtinId="8" hidden="1"/>
    <cellStyle name="Lien hypertexte" xfId="21615" builtinId="8" hidden="1"/>
    <cellStyle name="Lien hypertexte" xfId="21579" builtinId="8" hidden="1"/>
    <cellStyle name="Lien hypertexte" xfId="21541" builtinId="8" hidden="1"/>
    <cellStyle name="Lien hypertexte" xfId="21501" builtinId="8" hidden="1"/>
    <cellStyle name="Lien hypertexte" xfId="21465" builtinId="8" hidden="1"/>
    <cellStyle name="Lien hypertexte" xfId="21427" builtinId="8" hidden="1"/>
    <cellStyle name="Lien hypertexte" xfId="21389" builtinId="8" hidden="1"/>
    <cellStyle name="Lien hypertexte" xfId="21351" builtinId="8" hidden="1"/>
    <cellStyle name="Lien hypertexte" xfId="21315" builtinId="8" hidden="1"/>
    <cellStyle name="Lien hypertexte" xfId="21275" builtinId="8" hidden="1"/>
    <cellStyle name="Lien hypertexte" xfId="21239" builtinId="8" hidden="1"/>
    <cellStyle name="Lien hypertexte" xfId="21199" builtinId="8" hidden="1"/>
    <cellStyle name="Lien hypertexte" xfId="21163" builtinId="8" hidden="1"/>
    <cellStyle name="Lien hypertexte" xfId="21125" builtinId="8" hidden="1"/>
    <cellStyle name="Lien hypertexte" xfId="21087" builtinId="8" hidden="1"/>
    <cellStyle name="Lien hypertexte" xfId="21049" builtinId="8" hidden="1"/>
    <cellStyle name="Lien hypertexte" xfId="21013" builtinId="8" hidden="1"/>
    <cellStyle name="Lien hypertexte" xfId="20973" builtinId="8" hidden="1"/>
    <cellStyle name="Lien hypertexte" xfId="20937" builtinId="8" hidden="1"/>
    <cellStyle name="Lien hypertexte" xfId="20899" builtinId="8" hidden="1"/>
    <cellStyle name="Lien hypertexte" xfId="20861" builtinId="8" hidden="1"/>
    <cellStyle name="Lien hypertexte" xfId="20823" builtinId="8" hidden="1"/>
    <cellStyle name="Lien hypertexte" xfId="20787" builtinId="8" hidden="1"/>
    <cellStyle name="Lien hypertexte" xfId="20747" builtinId="8" hidden="1"/>
    <cellStyle name="Lien hypertexte" xfId="20711" builtinId="8" hidden="1"/>
    <cellStyle name="Lien hypertexte" xfId="20671" builtinId="8" hidden="1"/>
    <cellStyle name="Lien hypertexte" xfId="20635" builtinId="8" hidden="1"/>
    <cellStyle name="Lien hypertexte" xfId="20597" builtinId="8" hidden="1"/>
    <cellStyle name="Lien hypertexte" xfId="20559" builtinId="8" hidden="1"/>
    <cellStyle name="Lien hypertexte" xfId="20521" builtinId="8" hidden="1"/>
    <cellStyle name="Lien hypertexte" xfId="20485" builtinId="8" hidden="1"/>
    <cellStyle name="Lien hypertexte" xfId="20445" builtinId="8" hidden="1"/>
    <cellStyle name="Lien hypertexte" xfId="20409" builtinId="8" hidden="1"/>
    <cellStyle name="Lien hypertexte" xfId="20371" builtinId="8" hidden="1"/>
    <cellStyle name="Lien hypertexte" xfId="20331" builtinId="8" hidden="1"/>
    <cellStyle name="Lien hypertexte" xfId="20295" builtinId="8" hidden="1"/>
    <cellStyle name="Lien hypertexte" xfId="20255" builtinId="8" hidden="1"/>
    <cellStyle name="Lien hypertexte" xfId="22163" builtinId="8" hidden="1"/>
    <cellStyle name="Lien hypertexte" xfId="22747" builtinId="8" hidden="1"/>
    <cellStyle name="Lien hypertexte" xfId="23333" builtinId="8" hidden="1"/>
    <cellStyle name="Lien hypertexte" xfId="23917" builtinId="8" hidden="1"/>
    <cellStyle name="Lien hypertexte" xfId="24503" builtinId="8" hidden="1"/>
    <cellStyle name="Lien hypertexte" xfId="21585" builtinId="8" hidden="1"/>
    <cellStyle name="Lien hypertexte" xfId="21857" builtinId="8" hidden="1"/>
    <cellStyle name="Lien hypertexte" xfId="22129" builtinId="8" hidden="1"/>
    <cellStyle name="Lien hypertexte" xfId="22401" builtinId="8" hidden="1"/>
    <cellStyle name="Lien hypertexte" xfId="22673" builtinId="8" hidden="1"/>
    <cellStyle name="Lien hypertexte" xfId="22945" builtinId="8" hidden="1"/>
    <cellStyle name="Lien hypertexte" xfId="23217" builtinId="8" hidden="1"/>
    <cellStyle name="Lien hypertexte" xfId="23489" builtinId="8" hidden="1"/>
    <cellStyle name="Lien hypertexte" xfId="23761" builtinId="8" hidden="1"/>
    <cellStyle name="Lien hypertexte" xfId="24033" builtinId="8" hidden="1"/>
    <cellStyle name="Lien hypertexte" xfId="24305" builtinId="8" hidden="1"/>
    <cellStyle name="Lien hypertexte" xfId="24577" builtinId="8" hidden="1"/>
    <cellStyle name="Lien hypertexte" xfId="24579" builtinId="8" hidden="1"/>
    <cellStyle name="Lien hypertexte" xfId="24537" builtinId="8" hidden="1"/>
    <cellStyle name="Lien hypertexte" xfId="24499" builtinId="8" hidden="1"/>
    <cellStyle name="Lien hypertexte" xfId="24459" builtinId="8" hidden="1"/>
    <cellStyle name="Lien hypertexte" xfId="24421" builtinId="8" hidden="1"/>
    <cellStyle name="Lien hypertexte" xfId="24381" builtinId="8" hidden="1"/>
    <cellStyle name="Lien hypertexte" xfId="24343" builtinId="8" hidden="1"/>
    <cellStyle name="Lien hypertexte" xfId="24303" builtinId="8" hidden="1"/>
    <cellStyle name="Lien hypertexte" xfId="24265" builtinId="8" hidden="1"/>
    <cellStyle name="Lien hypertexte" xfId="24227" builtinId="8" hidden="1"/>
    <cellStyle name="Lien hypertexte" xfId="24187" builtinId="8" hidden="1"/>
    <cellStyle name="Lien hypertexte" xfId="24149" builtinId="8" hidden="1"/>
    <cellStyle name="Lien hypertexte" xfId="24109" builtinId="8" hidden="1"/>
    <cellStyle name="Lien hypertexte" xfId="24071" builtinId="8" hidden="1"/>
    <cellStyle name="Lien hypertexte" xfId="24031" builtinId="8" hidden="1"/>
    <cellStyle name="Lien hypertexte" xfId="23993" builtinId="8" hidden="1"/>
    <cellStyle name="Lien hypertexte" xfId="23951" builtinId="8" hidden="1"/>
    <cellStyle name="Lien hypertexte" xfId="23913" builtinId="8" hidden="1"/>
    <cellStyle name="Lien hypertexte" xfId="23875" builtinId="8" hidden="1"/>
    <cellStyle name="Lien hypertexte" xfId="23835" builtinId="8" hidden="1"/>
    <cellStyle name="Lien hypertexte" xfId="23797" builtinId="8" hidden="1"/>
    <cellStyle name="Lien hypertexte" xfId="23757" builtinId="8" hidden="1"/>
    <cellStyle name="Lien hypertexte" xfId="23719" builtinId="8" hidden="1"/>
    <cellStyle name="Lien hypertexte" xfId="23679" builtinId="8" hidden="1"/>
    <cellStyle name="Lien hypertexte" xfId="23641" builtinId="8" hidden="1"/>
    <cellStyle name="Lien hypertexte" xfId="23603" builtinId="8" hidden="1"/>
    <cellStyle name="Lien hypertexte" xfId="23563" builtinId="8" hidden="1"/>
    <cellStyle name="Lien hypertexte" xfId="23525" builtinId="8" hidden="1"/>
    <cellStyle name="Lien hypertexte" xfId="23485" builtinId="8" hidden="1"/>
    <cellStyle name="Lien hypertexte" xfId="23447" builtinId="8" hidden="1"/>
    <cellStyle name="Lien hypertexte" xfId="23407" builtinId="8" hidden="1"/>
    <cellStyle name="Lien hypertexte" xfId="23367" builtinId="8" hidden="1"/>
    <cellStyle name="Lien hypertexte" xfId="23327" builtinId="8" hidden="1"/>
    <cellStyle name="Lien hypertexte" xfId="23289" builtinId="8" hidden="1"/>
    <cellStyle name="Lien hypertexte" xfId="23251" builtinId="8" hidden="1"/>
    <cellStyle name="Lien hypertexte" xfId="23211" builtinId="8" hidden="1"/>
    <cellStyle name="Lien hypertexte" xfId="23173" builtinId="8" hidden="1"/>
    <cellStyle name="Lien hypertexte" xfId="23133" builtinId="8" hidden="1"/>
    <cellStyle name="Lien hypertexte" xfId="23095" builtinId="8" hidden="1"/>
    <cellStyle name="Lien hypertexte" xfId="23055" builtinId="8" hidden="1"/>
    <cellStyle name="Lien hypertexte" xfId="23017" builtinId="8" hidden="1"/>
    <cellStyle name="Lien hypertexte" xfId="22979" builtinId="8" hidden="1"/>
    <cellStyle name="Lien hypertexte" xfId="22939" builtinId="8" hidden="1"/>
    <cellStyle name="Lien hypertexte" xfId="22901" builtinId="8" hidden="1"/>
    <cellStyle name="Lien hypertexte" xfId="22861" builtinId="8" hidden="1"/>
    <cellStyle name="Lien hypertexte" xfId="22823" builtinId="8" hidden="1"/>
    <cellStyle name="Lien hypertexte" xfId="22781" builtinId="8" hidden="1"/>
    <cellStyle name="Lien hypertexte" xfId="22743" builtinId="8" hidden="1"/>
    <cellStyle name="Lien hypertexte" xfId="22703" builtinId="8" hidden="1"/>
    <cellStyle name="Lien hypertexte" xfId="22665" builtinId="8" hidden="1"/>
    <cellStyle name="Lien hypertexte" xfId="22627" builtinId="8" hidden="1"/>
    <cellStyle name="Lien hypertexte" xfId="22587" builtinId="8" hidden="1"/>
    <cellStyle name="Lien hypertexte" xfId="22549" builtinId="8" hidden="1"/>
    <cellStyle name="Lien hypertexte" xfId="22509" builtinId="8" hidden="1"/>
    <cellStyle name="Lien hypertexte" xfId="22471" builtinId="8" hidden="1"/>
    <cellStyle name="Lien hypertexte" xfId="22431" builtinId="8" hidden="1"/>
    <cellStyle name="Lien hypertexte" xfId="22393" builtinId="8" hidden="1"/>
    <cellStyle name="Lien hypertexte" xfId="22355" builtinId="8" hidden="1"/>
    <cellStyle name="Lien hypertexte" xfId="22315" builtinId="8" hidden="1"/>
    <cellStyle name="Lien hypertexte" xfId="22277" builtinId="8" hidden="1"/>
    <cellStyle name="Lien hypertexte" xfId="22237" builtinId="8" hidden="1"/>
    <cellStyle name="Lien hypertexte" xfId="22197" builtinId="8" hidden="1"/>
    <cellStyle name="Lien hypertexte" xfId="22157" builtinId="8" hidden="1"/>
    <cellStyle name="Lien hypertexte" xfId="22119" builtinId="8" hidden="1"/>
    <cellStyle name="Lien hypertexte" xfId="22079" builtinId="8" hidden="1"/>
    <cellStyle name="Lien hypertexte" xfId="22041" builtinId="8" hidden="1"/>
    <cellStyle name="Lien hypertexte" xfId="22003" builtinId="8" hidden="1"/>
    <cellStyle name="Lien hypertexte" xfId="21963" builtinId="8" hidden="1"/>
    <cellStyle name="Lien hypertexte" xfId="21925" builtinId="8" hidden="1"/>
    <cellStyle name="Lien hypertexte" xfId="21885" builtinId="8" hidden="1"/>
    <cellStyle name="Lien hypertexte" xfId="21847" builtinId="8" hidden="1"/>
    <cellStyle name="Lien hypertexte" xfId="21807" builtinId="8" hidden="1"/>
    <cellStyle name="Lien hypertexte" xfId="21769" builtinId="8" hidden="1"/>
    <cellStyle name="Lien hypertexte" xfId="21025" builtinId="8" hidden="1"/>
    <cellStyle name="Lien hypertexte" xfId="18977" builtinId="8" hidden="1"/>
    <cellStyle name="Lien hypertexte" xfId="16190" builtinId="8" hidden="1"/>
    <cellStyle name="Lien hypertexte" xfId="16462" builtinId="8" hidden="1"/>
    <cellStyle name="Lien hypertexte" xfId="16736" builtinId="8" hidden="1"/>
    <cellStyle name="Lien hypertexte" xfId="17010" builtinId="8" hidden="1"/>
    <cellStyle name="Lien hypertexte" xfId="17282" builtinId="8" hidden="1"/>
    <cellStyle name="Lien hypertexte" xfId="17556" builtinId="8" hidden="1"/>
    <cellStyle name="Lien hypertexte" xfId="17828" builtinId="8" hidden="1"/>
    <cellStyle name="Lien hypertexte" xfId="18102" builtinId="8" hidden="1"/>
    <cellStyle name="Lien hypertexte" xfId="18391" builtinId="8" hidden="1"/>
    <cellStyle name="Lien hypertexte" xfId="18665" builtinId="8" hidden="1"/>
    <cellStyle name="Lien hypertexte" xfId="17456" builtinId="8" hidden="1"/>
    <cellStyle name="Lien hypertexte" xfId="14794" builtinId="8" hidden="1"/>
    <cellStyle name="Lien hypertexte" xfId="15058" builtinId="8" hidden="1"/>
    <cellStyle name="Lien hypertexte" xfId="15322" builtinId="8" hidden="1"/>
    <cellStyle name="Lien hypertexte" xfId="15586" builtinId="8" hidden="1"/>
    <cellStyle name="Lien hypertexte" xfId="15850" builtinId="8" hidden="1"/>
    <cellStyle name="Lien hypertexte" xfId="786" builtinId="8" hidden="1"/>
    <cellStyle name="Lien hypertexte" xfId="1046" builtinId="8" hidden="1"/>
    <cellStyle name="Lien hypertexte" xfId="370" builtinId="8" hidden="1"/>
    <cellStyle name="Lien hypertexte" xfId="628" builtinId="8" hidden="1"/>
    <cellStyle name="Lien hypertexte" xfId="92" builtinId="8" hidden="1"/>
    <cellStyle name="Lien hypertexte" xfId="76" builtinId="8" hidden="1"/>
    <cellStyle name="Lien hypertexte" xfId="96" builtinId="8" hidden="1"/>
    <cellStyle name="Lien hypertexte" xfId="170" builtinId="8" hidden="1"/>
    <cellStyle name="Lien hypertexte" xfId="134" builtinId="8" hidden="1"/>
    <cellStyle name="Lien hypertexte" xfId="322" builtinId="8" hidden="1"/>
    <cellStyle name="Lien hypertexte" xfId="286" builtinId="8" hidden="1"/>
    <cellStyle name="Lien hypertexte" xfId="248" builtinId="8" hidden="1"/>
    <cellStyle name="Lien hypertexte" xfId="212" builtinId="8" hidden="1"/>
    <cellStyle name="Lien hypertexte" xfId="632" builtinId="8" hidden="1"/>
    <cellStyle name="Lien hypertexte" xfId="594" builtinId="8" hidden="1"/>
    <cellStyle name="Lien hypertexte" xfId="558" builtinId="8" hidden="1"/>
    <cellStyle name="Lien hypertexte" xfId="522" builtinId="8" hidden="1"/>
    <cellStyle name="Lien hypertexte" xfId="486" builtinId="8" hidden="1"/>
    <cellStyle name="Lien hypertexte" xfId="446" builtinId="8" hidden="1"/>
    <cellStyle name="Lien hypertexte" xfId="410" builtinId="8" hidden="1"/>
    <cellStyle name="Lien hypertexte" xfId="374" builtinId="8" hidden="1"/>
    <cellStyle name="Lien hypertexte" xfId="14626" builtinId="8" hidden="1"/>
    <cellStyle name="Lien hypertexte" xfId="14590" builtinId="8" hidden="1"/>
    <cellStyle name="Lien hypertexte" xfId="14552" builtinId="8" hidden="1"/>
    <cellStyle name="Lien hypertexte" xfId="14516" builtinId="8" hidden="1"/>
    <cellStyle name="Lien hypertexte" xfId="1124" builtinId="8" hidden="1"/>
    <cellStyle name="Lien hypertexte" xfId="1086" builtinId="8" hidden="1"/>
    <cellStyle name="Lien hypertexte" xfId="1050" builtinId="8" hidden="1"/>
    <cellStyle name="Lien hypertexte" xfId="1012" builtinId="8" hidden="1"/>
    <cellStyle name="Lien hypertexte" xfId="976" builtinId="8" hidden="1"/>
    <cellStyle name="Lien hypertexte" xfId="938" builtinId="8" hidden="1"/>
    <cellStyle name="Lien hypertexte" xfId="902" builtinId="8" hidden="1"/>
    <cellStyle name="Lien hypertexte" xfId="864" builtinId="8" hidden="1"/>
    <cellStyle name="Lien hypertexte" xfId="826" builtinId="8" hidden="1"/>
    <cellStyle name="Lien hypertexte" xfId="790" builtinId="8" hidden="1"/>
    <cellStyle name="Lien hypertexte" xfId="752" builtinId="8" hidden="1"/>
    <cellStyle name="Lien hypertexte" xfId="716" builtinId="8" hidden="1"/>
    <cellStyle name="Lien hypertexte" xfId="678" builtinId="8" hidden="1"/>
    <cellStyle name="Lien hypertexte" xfId="14896" builtinId="8" hidden="1"/>
    <cellStyle name="Lien hypertexte" xfId="15930" builtinId="8" hidden="1"/>
    <cellStyle name="Lien hypertexte" xfId="15892" builtinId="8" hidden="1"/>
    <cellStyle name="Lien hypertexte" xfId="15854" builtinId="8" hidden="1"/>
    <cellStyle name="Lien hypertexte" xfId="15816" builtinId="8" hidden="1"/>
    <cellStyle name="Lien hypertexte" xfId="15778" builtinId="8" hidden="1"/>
    <cellStyle name="Lien hypertexte" xfId="15742" builtinId="8" hidden="1"/>
    <cellStyle name="Lien hypertexte" xfId="15704" builtinId="8" hidden="1"/>
    <cellStyle name="Lien hypertexte" xfId="15666" builtinId="8" hidden="1"/>
    <cellStyle name="Lien hypertexte" xfId="15628" builtinId="8" hidden="1"/>
    <cellStyle name="Lien hypertexte" xfId="15590" builtinId="8" hidden="1"/>
    <cellStyle name="Lien hypertexte" xfId="15552" builtinId="8" hidden="1"/>
    <cellStyle name="Lien hypertexte" xfId="15514" builtinId="8" hidden="1"/>
    <cellStyle name="Lien hypertexte" xfId="15478" builtinId="8" hidden="1"/>
    <cellStyle name="Lien hypertexte" xfId="15440" builtinId="8" hidden="1"/>
    <cellStyle name="Lien hypertexte" xfId="15400" builtinId="8" hidden="1"/>
    <cellStyle name="Lien hypertexte" xfId="15364" builtinId="8" hidden="1"/>
    <cellStyle name="Lien hypertexte" xfId="15326" builtinId="8" hidden="1"/>
    <cellStyle name="Lien hypertexte" xfId="15288" builtinId="8" hidden="1"/>
    <cellStyle name="Lien hypertexte" xfId="15250" builtinId="8" hidden="1"/>
    <cellStyle name="Lien hypertexte" xfId="15212" builtinId="8" hidden="1"/>
    <cellStyle name="Lien hypertexte" xfId="15176" builtinId="8" hidden="1"/>
    <cellStyle name="Lien hypertexte" xfId="15136" builtinId="8" hidden="1"/>
    <cellStyle name="Lien hypertexte" xfId="15100" builtinId="8" hidden="1"/>
    <cellStyle name="Lien hypertexte" xfId="15062" builtinId="8" hidden="1"/>
    <cellStyle name="Lien hypertexte" xfId="15022" builtinId="8" hidden="1"/>
    <cellStyle name="Lien hypertexte" xfId="14986" builtinId="8" hidden="1"/>
    <cellStyle name="Lien hypertexte" xfId="14948" builtinId="8" hidden="1"/>
    <cellStyle name="Lien hypertexte" xfId="14912" builtinId="8" hidden="1"/>
    <cellStyle name="Lien hypertexte" xfId="14872" builtinId="8" hidden="1"/>
    <cellStyle name="Lien hypertexte" xfId="14836" builtinId="8" hidden="1"/>
    <cellStyle name="Lien hypertexte" xfId="14798" builtinId="8" hidden="1"/>
    <cellStyle name="Lien hypertexte" xfId="14758" builtinId="8" hidden="1"/>
    <cellStyle name="Lien hypertexte" xfId="14722" builtinId="8" hidden="1"/>
    <cellStyle name="Lien hypertexte" xfId="14684" builtinId="8" hidden="1"/>
    <cellStyle name="Lien hypertexte" xfId="14648" builtinId="8" hidden="1"/>
    <cellStyle name="Lien hypertexte" xfId="16240" builtinId="8" hidden="1"/>
    <cellStyle name="Lien hypertexte" xfId="16816" builtinId="8" hidden="1"/>
    <cellStyle name="Lien hypertexte" xfId="17392" builtinId="8" hidden="1"/>
    <cellStyle name="Lien hypertexte" xfId="18000" builtinId="8" hidden="1"/>
    <cellStyle name="Lien hypertexte" xfId="18593" builtinId="8" hidden="1"/>
    <cellStyle name="Lien hypertexte" xfId="18825" builtinId="8" hidden="1"/>
    <cellStyle name="Lien hypertexte" xfId="18787" builtinId="8" hidden="1"/>
    <cellStyle name="Lien hypertexte" xfId="18745" builtinId="8" hidden="1"/>
    <cellStyle name="Lien hypertexte" xfId="18707" builtinId="8" hidden="1"/>
    <cellStyle name="Lien hypertexte" xfId="18669" builtinId="8" hidden="1"/>
    <cellStyle name="Lien hypertexte" xfId="18629" builtinId="8" hidden="1"/>
    <cellStyle name="Lien hypertexte" xfId="18589" builtinId="8" hidden="1"/>
    <cellStyle name="Lien hypertexte" xfId="18551" builtinId="8" hidden="1"/>
    <cellStyle name="Lien hypertexte" xfId="18513" builtinId="8" hidden="1"/>
    <cellStyle name="Lien hypertexte" xfId="18473" builtinId="8" hidden="1"/>
    <cellStyle name="Lien hypertexte" xfId="18435" builtinId="8" hidden="1"/>
    <cellStyle name="Lien hypertexte" xfId="18395" builtinId="8" hidden="1"/>
    <cellStyle name="Lien hypertexte" xfId="18355" builtinId="8" hidden="1"/>
    <cellStyle name="Lien hypertexte" xfId="18300" builtinId="8" hidden="1"/>
    <cellStyle name="Lien hypertexte" xfId="18262" builtinId="8" hidden="1"/>
    <cellStyle name="Lien hypertexte" xfId="18222" builtinId="8" hidden="1"/>
    <cellStyle name="Lien hypertexte" xfId="18182" builtinId="8" hidden="1"/>
    <cellStyle name="Lien hypertexte" xfId="18144" builtinId="8" hidden="1"/>
    <cellStyle name="Lien hypertexte" xfId="18106" builtinId="8" hidden="1"/>
    <cellStyle name="Lien hypertexte" xfId="18066" builtinId="8" hidden="1"/>
    <cellStyle name="Lien hypertexte" xfId="18026" builtinId="8" hidden="1"/>
    <cellStyle name="Lien hypertexte" xfId="17988" builtinId="8" hidden="1"/>
    <cellStyle name="Lien hypertexte" xfId="17950" builtinId="8" hidden="1"/>
    <cellStyle name="Lien hypertexte" xfId="17910" builtinId="8" hidden="1"/>
    <cellStyle name="Lien hypertexte" xfId="17870" builtinId="8" hidden="1"/>
    <cellStyle name="Lien hypertexte" xfId="17832" builtinId="8" hidden="1"/>
    <cellStyle name="Lien hypertexte" xfId="17792" builtinId="8" hidden="1"/>
    <cellStyle name="Lien hypertexte" xfId="17754" builtinId="8" hidden="1"/>
    <cellStyle name="Lien hypertexte" xfId="17716" builtinId="8" hidden="1"/>
    <cellStyle name="Lien hypertexte" xfId="17676" builtinId="8" hidden="1"/>
    <cellStyle name="Lien hypertexte" xfId="17636" builtinId="8" hidden="1"/>
    <cellStyle name="Lien hypertexte" xfId="17598" builtinId="8" hidden="1"/>
    <cellStyle name="Lien hypertexte" xfId="17560" builtinId="8" hidden="1"/>
    <cellStyle name="Lien hypertexte" xfId="17518" builtinId="8" hidden="1"/>
    <cellStyle name="Lien hypertexte" xfId="17480" builtinId="8" hidden="1"/>
    <cellStyle name="Lien hypertexte" xfId="17442" builtinId="8" hidden="1"/>
    <cellStyle name="Lien hypertexte" xfId="17404" builtinId="8" hidden="1"/>
    <cellStyle name="Lien hypertexte" xfId="17364" builtinId="8" hidden="1"/>
    <cellStyle name="Lien hypertexte" xfId="17324" builtinId="8" hidden="1"/>
    <cellStyle name="Lien hypertexte" xfId="17286" builtinId="8" hidden="1"/>
    <cellStyle name="Lien hypertexte" xfId="17246" builtinId="8" hidden="1"/>
    <cellStyle name="Lien hypertexte" xfId="17208" builtinId="8" hidden="1"/>
    <cellStyle name="Lien hypertexte" xfId="17170" builtinId="8" hidden="1"/>
    <cellStyle name="Lien hypertexte" xfId="17130" builtinId="8" hidden="1"/>
    <cellStyle name="Lien hypertexte" xfId="17090" builtinId="8" hidden="1"/>
    <cellStyle name="Lien hypertexte" xfId="17052" builtinId="8" hidden="1"/>
    <cellStyle name="Lien hypertexte" xfId="17014" builtinId="8" hidden="1"/>
    <cellStyle name="Lien hypertexte" xfId="16972" builtinId="8" hidden="1"/>
    <cellStyle name="Lien hypertexte" xfId="16934" builtinId="8" hidden="1"/>
    <cellStyle name="Lien hypertexte" xfId="16896" builtinId="8" hidden="1"/>
    <cellStyle name="Lien hypertexte" xfId="16858" builtinId="8" hidden="1"/>
    <cellStyle name="Lien hypertexte" xfId="16818" builtinId="8" hidden="1"/>
    <cellStyle name="Lien hypertexte" xfId="16778" builtinId="8" hidden="1"/>
    <cellStyle name="Lien hypertexte" xfId="16740" builtinId="8" hidden="1"/>
    <cellStyle name="Lien hypertexte" xfId="16700" builtinId="8" hidden="1"/>
    <cellStyle name="Lien hypertexte" xfId="16662" builtinId="8" hidden="1"/>
    <cellStyle name="Lien hypertexte" xfId="16622" builtinId="8" hidden="1"/>
    <cellStyle name="Lien hypertexte" xfId="16584" builtinId="8" hidden="1"/>
    <cellStyle name="Lien hypertexte" xfId="16544" builtinId="8" hidden="1"/>
    <cellStyle name="Lien hypertexte" xfId="16506" builtinId="8" hidden="1"/>
    <cellStyle name="Lien hypertexte" xfId="16468" builtinId="8" hidden="1"/>
    <cellStyle name="Lien hypertexte" xfId="16426" builtinId="8" hidden="1"/>
    <cellStyle name="Lien hypertexte" xfId="16388" builtinId="8" hidden="1"/>
    <cellStyle name="Lien hypertexte" xfId="16350" builtinId="8" hidden="1"/>
    <cellStyle name="Lien hypertexte" xfId="16312" builtinId="8" hidden="1"/>
    <cellStyle name="Lien hypertexte" xfId="16270" builtinId="8" hidden="1"/>
    <cellStyle name="Lien hypertexte" xfId="16232" builtinId="8" hidden="1"/>
    <cellStyle name="Lien hypertexte" xfId="16194" builtinId="8" hidden="1"/>
    <cellStyle name="Lien hypertexte" xfId="16154" builtinId="8" hidden="1"/>
    <cellStyle name="Lien hypertexte" xfId="16116" builtinId="8" hidden="1"/>
    <cellStyle name="Lien hypertexte" xfId="16076" builtinId="8" hidden="1"/>
    <cellStyle name="Lien hypertexte" xfId="16038" builtinId="8" hidden="1"/>
    <cellStyle name="Lien hypertexte" xfId="15998" builtinId="8" hidden="1"/>
    <cellStyle name="Lien hypertexte" xfId="15960" builtinId="8" hidden="1"/>
    <cellStyle name="Lien hypertexte" xfId="18945" builtinId="8" hidden="1"/>
    <cellStyle name="Lien hypertexte" xfId="19249" builtinId="8" hidden="1"/>
    <cellStyle name="Lien hypertexte" xfId="19537" builtinId="8" hidden="1"/>
    <cellStyle name="Lien hypertexte" xfId="19825" builtinId="8" hidden="1"/>
    <cellStyle name="Lien hypertexte" xfId="20113" builtinId="8" hidden="1"/>
    <cellStyle name="Lien hypertexte" xfId="20417" builtinId="8" hidden="1"/>
    <cellStyle name="Lien hypertexte" xfId="20705" builtinId="8" hidden="1"/>
    <cellStyle name="Lien hypertexte" xfId="21313" builtinId="8" hidden="1"/>
    <cellStyle name="Lien hypertexte" xfId="21121" builtinId="8" hidden="1"/>
    <cellStyle name="Lien hypertexte" xfId="20961" builtinId="8" hidden="1"/>
    <cellStyle name="Lien hypertexte" xfId="21425" builtinId="8" hidden="1"/>
    <cellStyle name="Lien hypertexte" xfId="21553" builtinId="8" hidden="1"/>
    <cellStyle name="Lien hypertexte" xfId="21393" builtinId="8" hidden="1"/>
    <cellStyle name="Lien hypertexte" xfId="21041" builtinId="8" hidden="1"/>
    <cellStyle name="Lien hypertexte" xfId="21089" builtinId="8" hidden="1"/>
    <cellStyle name="Lien hypertexte" xfId="21297" builtinId="8" hidden="1"/>
    <cellStyle name="Lien hypertexte" xfId="20737" builtinId="8" hidden="1"/>
    <cellStyle name="Lien hypertexte" xfId="20449" builtinId="8" hidden="1"/>
    <cellStyle name="Lien hypertexte" xfId="20161" builtinId="8" hidden="1"/>
    <cellStyle name="Lien hypertexte" xfId="19857" builtinId="8" hidden="1"/>
    <cellStyle name="Lien hypertexte" xfId="19569" builtinId="8" hidden="1"/>
    <cellStyle name="Lien hypertexte" xfId="19281" builtinId="8" hidden="1"/>
    <cellStyle name="Lien hypertexte" xfId="18993" builtinId="8" hidden="1"/>
    <cellStyle name="Lien hypertexte" xfId="15956" builtinId="8" hidden="1"/>
    <cellStyle name="Lien hypertexte" xfId="15994" builtinId="8" hidden="1"/>
    <cellStyle name="Lien hypertexte" xfId="16032" builtinId="8" hidden="1"/>
    <cellStyle name="Lien hypertexte" xfId="16072" builtinId="8" hidden="1"/>
    <cellStyle name="Lien hypertexte" xfId="16110" builtinId="8" hidden="1"/>
    <cellStyle name="Lien hypertexte" xfId="16150" builtinId="8" hidden="1"/>
    <cellStyle name="Lien hypertexte" xfId="16188" builtinId="8" hidden="1"/>
    <cellStyle name="Lien hypertexte" xfId="16228" builtinId="8" hidden="1"/>
    <cellStyle name="Lien hypertexte" xfId="16266" builtinId="8" hidden="1"/>
    <cellStyle name="Lien hypertexte" xfId="16306" builtinId="8" hidden="1"/>
    <cellStyle name="Lien hypertexte" xfId="16346" builtinId="8" hidden="1"/>
    <cellStyle name="Lien hypertexte" xfId="16384" builtinId="8" hidden="1"/>
    <cellStyle name="Lien hypertexte" xfId="16422" builtinId="8" hidden="1"/>
    <cellStyle name="Lien hypertexte" xfId="16460" builtinId="8" hidden="1"/>
    <cellStyle name="Lien hypertexte" xfId="16502" builtinId="8" hidden="1"/>
    <cellStyle name="Lien hypertexte" xfId="16540" builtinId="8" hidden="1"/>
    <cellStyle name="Lien hypertexte" xfId="16578" builtinId="8" hidden="1"/>
    <cellStyle name="Lien hypertexte" xfId="16618" builtinId="8" hidden="1"/>
    <cellStyle name="Lien hypertexte" xfId="16658" builtinId="8" hidden="1"/>
    <cellStyle name="Lien hypertexte" xfId="16696" builtinId="8" hidden="1"/>
    <cellStyle name="Lien hypertexte" xfId="16734" builtinId="8" hidden="1"/>
    <cellStyle name="Lien hypertexte" xfId="16774" builtinId="8" hidden="1"/>
    <cellStyle name="Lien hypertexte" xfId="16812" builtinId="8" hidden="1"/>
    <cellStyle name="Lien hypertexte" xfId="16852" builtinId="8" hidden="1"/>
    <cellStyle name="Lien hypertexte" xfId="16892" builtinId="8" hidden="1"/>
    <cellStyle name="Lien hypertexte" xfId="16930" builtinId="8" hidden="1"/>
    <cellStyle name="Lien hypertexte" xfId="16968" builtinId="8" hidden="1"/>
    <cellStyle name="Lien hypertexte" xfId="17006" builtinId="8" hidden="1"/>
    <cellStyle name="Lien hypertexte" xfId="17048" builtinId="8" hidden="1"/>
    <cellStyle name="Lien hypertexte" xfId="17086" builtinId="8" hidden="1"/>
    <cellStyle name="Lien hypertexte" xfId="17124" builtinId="8" hidden="1"/>
    <cellStyle name="Lien hypertexte" xfId="17164" builtinId="8" hidden="1"/>
    <cellStyle name="Lien hypertexte" xfId="17204" builtinId="8" hidden="1"/>
    <cellStyle name="Lien hypertexte" xfId="17242" builtinId="8" hidden="1"/>
    <cellStyle name="Lien hypertexte" xfId="17280" builtinId="8" hidden="1"/>
    <cellStyle name="Lien hypertexte" xfId="17320" builtinId="8" hidden="1"/>
    <cellStyle name="Lien hypertexte" xfId="17358" builtinId="8" hidden="1"/>
    <cellStyle name="Lien hypertexte" xfId="17398" builtinId="8" hidden="1"/>
    <cellStyle name="Lien hypertexte" xfId="17438" builtinId="8" hidden="1"/>
    <cellStyle name="Lien hypertexte" xfId="17476" builtinId="8" hidden="1"/>
    <cellStyle name="Lien hypertexte" xfId="17514" builtinId="8" hidden="1"/>
    <cellStyle name="Lien hypertexte" xfId="17554" builtinId="8" hidden="1"/>
    <cellStyle name="Lien hypertexte" xfId="17594" builtinId="8" hidden="1"/>
    <cellStyle name="Lien hypertexte" xfId="17632" builtinId="8" hidden="1"/>
    <cellStyle name="Lien hypertexte" xfId="17670" builtinId="8" hidden="1"/>
    <cellStyle name="Lien hypertexte" xfId="17710" builtinId="8" hidden="1"/>
    <cellStyle name="Lien hypertexte" xfId="17750" builtinId="8" hidden="1"/>
    <cellStyle name="Lien hypertexte" xfId="17788" builtinId="8" hidden="1"/>
    <cellStyle name="Lien hypertexte" xfId="17826" builtinId="8" hidden="1"/>
    <cellStyle name="Lien hypertexte" xfId="17866" builtinId="8" hidden="1"/>
    <cellStyle name="Lien hypertexte" xfId="17906" builtinId="8" hidden="1"/>
    <cellStyle name="Lien hypertexte" xfId="17944" builtinId="8" hidden="1"/>
    <cellStyle name="Lien hypertexte" xfId="17984" builtinId="8" hidden="1"/>
    <cellStyle name="Lien hypertexte" xfId="18022" builtinId="8" hidden="1"/>
    <cellStyle name="Lien hypertexte" xfId="18060" builtinId="8" hidden="1"/>
    <cellStyle name="Lien hypertexte" xfId="18100" builtinId="8" hidden="1"/>
    <cellStyle name="Lien hypertexte" xfId="18140" builtinId="8" hidden="1"/>
    <cellStyle name="Lien hypertexte" xfId="18178" builtinId="8" hidden="1"/>
    <cellStyle name="Lien hypertexte" xfId="18216" builtinId="8" hidden="1"/>
    <cellStyle name="Lien hypertexte" xfId="18258" builtinId="8" hidden="1"/>
    <cellStyle name="Lien hypertexte" xfId="18296" builtinId="8" hidden="1"/>
    <cellStyle name="Lien hypertexte" xfId="18351" builtinId="8" hidden="1"/>
    <cellStyle name="Lien hypertexte" xfId="18389" builtinId="8" hidden="1"/>
    <cellStyle name="Lien hypertexte" xfId="18429" builtinId="8" hidden="1"/>
    <cellStyle name="Lien hypertexte" xfId="18469" builtinId="8" hidden="1"/>
    <cellStyle name="Lien hypertexte" xfId="18507" builtinId="8" hidden="1"/>
    <cellStyle name="Lien hypertexte" xfId="18547" builtinId="8" hidden="1"/>
    <cellStyle name="Lien hypertexte" xfId="18585" builtinId="8" hidden="1"/>
    <cellStyle name="Lien hypertexte" xfId="18623" builtinId="8" hidden="1"/>
    <cellStyle name="Lien hypertexte" xfId="18663" builtinId="8" hidden="1"/>
    <cellStyle name="Lien hypertexte" xfId="18703" builtinId="8" hidden="1"/>
    <cellStyle name="Lien hypertexte" xfId="18741" builtinId="8" hidden="1"/>
    <cellStyle name="Lien hypertexte" xfId="18779" builtinId="8" hidden="1"/>
    <cellStyle name="Lien hypertexte" xfId="18821" builtinId="8" hidden="1"/>
    <cellStyle name="Lien hypertexte" xfId="18657" builtinId="8" hidden="1"/>
    <cellStyle name="Lien hypertexte" xfId="18064" builtinId="8" hidden="1"/>
    <cellStyle name="Lien hypertexte" xfId="17488" builtinId="8" hidden="1"/>
    <cellStyle name="Lien hypertexte" xfId="16880" builtinId="8" hidden="1"/>
    <cellStyle name="Lien hypertexte" xfId="16304" builtinId="8" hidden="1"/>
    <cellStyle name="Lien hypertexte" xfId="14642" builtinId="8" hidden="1"/>
    <cellStyle name="Lien hypertexte" xfId="14680" builtinId="8" hidden="1"/>
    <cellStyle name="Lien hypertexte" xfId="14718" builtinId="8" hidden="1"/>
    <cellStyle name="Lien hypertexte" xfId="14754" builtinId="8" hidden="1"/>
    <cellStyle name="Lien hypertexte" xfId="14792" builtinId="8" hidden="1"/>
    <cellStyle name="Lien hypertexte" xfId="14830" builtinId="8" hidden="1"/>
    <cellStyle name="Lien hypertexte" xfId="14868" builtinId="8" hidden="1"/>
    <cellStyle name="Lien hypertexte" xfId="14906" builtinId="8" hidden="1"/>
    <cellStyle name="Lien hypertexte" xfId="14944" builtinId="8" hidden="1"/>
    <cellStyle name="Lien hypertexte" xfId="14982" builtinId="8" hidden="1"/>
    <cellStyle name="Lien hypertexte" xfId="15018" builtinId="8" hidden="1"/>
    <cellStyle name="Lien hypertexte" xfId="15056" builtinId="8" hidden="1"/>
    <cellStyle name="Lien hypertexte" xfId="15096" builtinId="8" hidden="1"/>
    <cellStyle name="Lien hypertexte" xfId="15132" builtinId="8" hidden="1"/>
    <cellStyle name="Lien hypertexte" xfId="15170" builtinId="8" hidden="1"/>
    <cellStyle name="Lien hypertexte" xfId="15208" builtinId="8" hidden="1"/>
    <cellStyle name="Lien hypertexte" xfId="15246" builtinId="8" hidden="1"/>
    <cellStyle name="Lien hypertexte" xfId="15284" builtinId="8" hidden="1"/>
    <cellStyle name="Lien hypertexte" xfId="15320" builtinId="8" hidden="1"/>
    <cellStyle name="Lien hypertexte" xfId="15360" builtinId="8" hidden="1"/>
    <cellStyle name="Lien hypertexte" xfId="15396" builtinId="8" hidden="1"/>
    <cellStyle name="Lien hypertexte" xfId="15434" builtinId="8" hidden="1"/>
    <cellStyle name="Lien hypertexte" xfId="15474" builtinId="8" hidden="1"/>
    <cellStyle name="Lien hypertexte" xfId="15510" builtinId="8" hidden="1"/>
    <cellStyle name="Lien hypertexte" xfId="15548" builtinId="8" hidden="1"/>
    <cellStyle name="Lien hypertexte" xfId="15584" builtinId="8" hidden="1"/>
    <cellStyle name="Lien hypertexte" xfId="15624" builtinId="8" hidden="1"/>
    <cellStyle name="Lien hypertexte" xfId="15660" builtinId="8" hidden="1"/>
    <cellStyle name="Lien hypertexte" xfId="15698" builtinId="8" hidden="1"/>
    <cellStyle name="Lien hypertexte" xfId="15738" builtinId="8" hidden="1"/>
    <cellStyle name="Lien hypertexte" xfId="15774" builtinId="8" hidden="1"/>
    <cellStyle name="Lien hypertexte" xfId="15812" builtinId="8" hidden="1"/>
    <cellStyle name="Lien hypertexte" xfId="15848" builtinId="8" hidden="1"/>
    <cellStyle name="Lien hypertexte" xfId="15888" builtinId="8" hidden="1"/>
    <cellStyle name="Lien hypertexte" xfId="15926" builtinId="8" hidden="1"/>
    <cellStyle name="Lien hypertexte" xfId="15088" builtinId="8" hidden="1"/>
    <cellStyle name="Lien hypertexte" xfId="674" builtinId="8" hidden="1"/>
    <cellStyle name="Lien hypertexte" xfId="712" builtinId="8" hidden="1"/>
    <cellStyle name="Lien hypertexte" xfId="748" builtinId="8" hidden="1"/>
    <cellStyle name="Lien hypertexte" xfId="784" builtinId="8" hidden="1"/>
    <cellStyle name="Lien hypertexte" xfId="822" builtinId="8" hidden="1"/>
    <cellStyle name="Lien hypertexte" xfId="860" builtinId="8" hidden="1"/>
    <cellStyle name="Lien hypertexte" xfId="896" builtinId="8" hidden="1"/>
    <cellStyle name="Lien hypertexte" xfId="934" builtinId="8" hidden="1"/>
    <cellStyle name="Lien hypertexte" xfId="972" builtinId="8" hidden="1"/>
    <cellStyle name="Lien hypertexte" xfId="1008" builtinId="8" hidden="1"/>
    <cellStyle name="Lien hypertexte" xfId="1044" builtinId="8" hidden="1"/>
    <cellStyle name="Lien hypertexte" xfId="1082" builtinId="8" hidden="1"/>
    <cellStyle name="Lien hypertexte" xfId="1120" builtinId="8" hidden="1"/>
    <cellStyle name="Lien hypertexte" xfId="3655" builtinId="8" hidden="1"/>
    <cellStyle name="Lien hypertexte" xfId="14548" builtinId="8" hidden="1"/>
    <cellStyle name="Lien hypertexte" xfId="14586" builtinId="8" hidden="1"/>
    <cellStyle name="Lien hypertexte" xfId="14622" builtinId="8" hidden="1"/>
    <cellStyle name="Lien hypertexte" xfId="368" builtinId="8" hidden="1"/>
    <cellStyle name="Lien hypertexte" xfId="406" builtinId="8" hidden="1"/>
    <cellStyle name="Lien hypertexte" xfId="442" builtinId="8" hidden="1"/>
    <cellStyle name="Lien hypertexte" xfId="480" builtinId="8" hidden="1"/>
    <cellStyle name="Lien hypertexte" xfId="518" builtinId="8" hidden="1"/>
    <cellStyle name="Lien hypertexte" xfId="554" builtinId="8" hidden="1"/>
    <cellStyle name="Lien hypertexte" xfId="590" builtinId="8" hidden="1"/>
    <cellStyle name="Lien hypertexte" xfId="626" builtinId="8" hidden="1"/>
    <cellStyle name="Lien hypertexte" xfId="208" builtinId="8" hidden="1"/>
    <cellStyle name="Lien hypertexte" xfId="244" builtinId="8" hidden="1"/>
    <cellStyle name="Lien hypertexte" xfId="280" builtinId="8" hidden="1"/>
    <cellStyle name="Lien hypertexte" xfId="318" builtinId="8" hidden="1"/>
    <cellStyle name="Lien hypertexte" xfId="130" builtinId="8" hidden="1"/>
    <cellStyle name="Lien hypertexte" xfId="166" builtinId="8" hidden="1"/>
    <cellStyle name="Lien hypertexte" xfId="90" builtinId="8" hidden="1"/>
    <cellStyle name="Lien hypertexte" xfId="72" builtinId="8" hidden="1"/>
    <cellStyle name="Lien hypertexte" xfId="68" builtinId="8" hidden="1"/>
    <cellStyle name="Lien hypertexte" xfId="204" builtinId="8" hidden="1"/>
    <cellStyle name="Lien hypertexte" xfId="402" builtinId="8" hidden="1"/>
    <cellStyle name="Lien hypertexte" xfId="1078" builtinId="8" hidden="1"/>
    <cellStyle name="Lien hypertexte" xfId="818" builtinId="8" hidden="1"/>
    <cellStyle name="Lien hypertexte" xfId="15884" builtinId="8" hidden="1"/>
    <cellStyle name="Lien hypertexte" xfId="15620" builtinId="8" hidden="1"/>
    <cellStyle name="Lien hypertexte" xfId="15356" builtinId="8" hidden="1"/>
    <cellStyle name="Lien hypertexte" xfId="15092" builtinId="8" hidden="1"/>
    <cellStyle name="Lien hypertexte" xfId="14826" builtinId="8" hidden="1"/>
    <cellStyle name="Lien hypertexte" xfId="16944" builtinId="8" hidden="1"/>
    <cellStyle name="Lien hypertexte" xfId="18699" builtinId="8" hidden="1"/>
    <cellStyle name="Lien hypertexte" xfId="18425" builtinId="8" hidden="1"/>
    <cellStyle name="Lien hypertexte" xfId="18136" builtinId="8" hidden="1"/>
    <cellStyle name="Lien hypertexte" xfId="17862" builtinId="8" hidden="1"/>
    <cellStyle name="Lien hypertexte" xfId="17590" builtinId="8" hidden="1"/>
    <cellStyle name="Lien hypertexte" xfId="17316" builtinId="8" hidden="1"/>
    <cellStyle name="Lien hypertexte" xfId="17044" builtinId="8" hidden="1"/>
    <cellStyle name="Lien hypertexte" xfId="16770" builtinId="8" hidden="1"/>
    <cellStyle name="Lien hypertexte" xfId="16498" builtinId="8" hidden="1"/>
    <cellStyle name="Lien hypertexte" xfId="16224" builtinId="8" hidden="1"/>
    <cellStyle name="Lien hypertexte" xfId="15950" builtinId="8" hidden="1"/>
    <cellStyle name="Lien hypertexte" xfId="20769" builtinId="8" hidden="1"/>
    <cellStyle name="Lien hypertexte" xfId="21765" builtinId="8" hidden="1"/>
    <cellStyle name="Lien hypertexte" xfId="21803" builtinId="8" hidden="1"/>
    <cellStyle name="Lien hypertexte" xfId="21843" builtinId="8" hidden="1"/>
    <cellStyle name="Lien hypertexte" xfId="21881" builtinId="8" hidden="1"/>
    <cellStyle name="Lien hypertexte" xfId="21919" builtinId="8" hidden="1"/>
    <cellStyle name="Lien hypertexte" xfId="21959" builtinId="8" hidden="1"/>
    <cellStyle name="Lien hypertexte" xfId="21997" builtinId="8" hidden="1"/>
    <cellStyle name="Lien hypertexte" xfId="22037" builtinId="8" hidden="1"/>
    <cellStyle name="Lien hypertexte" xfId="22075" builtinId="8" hidden="1"/>
    <cellStyle name="Lien hypertexte" xfId="22115" builtinId="8" hidden="1"/>
    <cellStyle name="Lien hypertexte" xfId="22153" builtinId="8" hidden="1"/>
    <cellStyle name="Lien hypertexte" xfId="22191" builtinId="8" hidden="1"/>
    <cellStyle name="Lien hypertexte" xfId="22231" builtinId="8" hidden="1"/>
    <cellStyle name="Lien hypertexte" xfId="22269" builtinId="8" hidden="1"/>
    <cellStyle name="Lien hypertexte" xfId="22311" builtinId="8" hidden="1"/>
    <cellStyle name="Lien hypertexte" xfId="22349" builtinId="8" hidden="1"/>
    <cellStyle name="Lien hypertexte" xfId="22389" builtinId="8" hidden="1"/>
    <cellStyle name="Lien hypertexte" xfId="22427" builtinId="8" hidden="1"/>
    <cellStyle name="Lien hypertexte" xfId="22467" builtinId="8" hidden="1"/>
    <cellStyle name="Lien hypertexte" xfId="22505" builtinId="8" hidden="1"/>
    <cellStyle name="Lien hypertexte" xfId="22543" builtinId="8" hidden="1"/>
    <cellStyle name="Lien hypertexte" xfId="22583" builtinId="8" hidden="1"/>
    <cellStyle name="Lien hypertexte" xfId="22621" builtinId="8" hidden="1"/>
    <cellStyle name="Lien hypertexte" xfId="22661" builtinId="8" hidden="1"/>
    <cellStyle name="Lien hypertexte" xfId="22699" builtinId="8" hidden="1"/>
    <cellStyle name="Lien hypertexte" xfId="22739" builtinId="8" hidden="1"/>
    <cellStyle name="Lien hypertexte" xfId="22777" builtinId="8" hidden="1"/>
    <cellStyle name="Lien hypertexte" xfId="22815" builtinId="8" hidden="1"/>
    <cellStyle name="Lien hypertexte" xfId="22855" builtinId="8" hidden="1"/>
    <cellStyle name="Lien hypertexte" xfId="22895" builtinId="8" hidden="1"/>
    <cellStyle name="Lien hypertexte" xfId="22935" builtinId="8" hidden="1"/>
    <cellStyle name="Lien hypertexte" xfId="22973" builtinId="8" hidden="1"/>
    <cellStyle name="Lien hypertexte" xfId="23013" builtinId="8" hidden="1"/>
    <cellStyle name="Lien hypertexte" xfId="23051" builtinId="8" hidden="1"/>
    <cellStyle name="Lien hypertexte" xfId="23091" builtinId="8" hidden="1"/>
    <cellStyle name="Lien hypertexte" xfId="23129" builtinId="8" hidden="1"/>
    <cellStyle name="Lien hypertexte" xfId="23167" builtinId="8" hidden="1"/>
    <cellStyle name="Lien hypertexte" xfId="23207" builtinId="8" hidden="1"/>
    <cellStyle name="Lien hypertexte" xfId="23245" builtinId="8" hidden="1"/>
    <cellStyle name="Lien hypertexte" xfId="23285" builtinId="8" hidden="1"/>
    <cellStyle name="Lien hypertexte" xfId="23323" builtinId="8" hidden="1"/>
    <cellStyle name="Lien hypertexte" xfId="23363" builtinId="8" hidden="1"/>
    <cellStyle name="Lien hypertexte" xfId="23401" builtinId="8" hidden="1"/>
    <cellStyle name="Lien hypertexte" xfId="23439" builtinId="8" hidden="1"/>
    <cellStyle name="Lien hypertexte" xfId="23481" builtinId="8" hidden="1"/>
    <cellStyle name="Lien hypertexte" xfId="23519" builtinId="8" hidden="1"/>
    <cellStyle name="Lien hypertexte" xfId="23559" builtinId="8" hidden="1"/>
    <cellStyle name="Lien hypertexte" xfId="23597" builtinId="8" hidden="1"/>
    <cellStyle name="Lien hypertexte" xfId="23637" builtinId="8" hidden="1"/>
    <cellStyle name="Lien hypertexte" xfId="23675" builtinId="8" hidden="1"/>
    <cellStyle name="Lien hypertexte" xfId="23715" builtinId="8" hidden="1"/>
    <cellStyle name="Lien hypertexte" xfId="23753" builtinId="8" hidden="1"/>
    <cellStyle name="Lien hypertexte" xfId="23791" builtinId="8" hidden="1"/>
    <cellStyle name="Lien hypertexte" xfId="23831" builtinId="8" hidden="1"/>
    <cellStyle name="Lien hypertexte" xfId="23869" builtinId="8" hidden="1"/>
    <cellStyle name="Lien hypertexte" xfId="23909" builtinId="8" hidden="1"/>
    <cellStyle name="Lien hypertexte" xfId="23947" builtinId="8" hidden="1"/>
    <cellStyle name="Lien hypertexte" xfId="23987" builtinId="8" hidden="1"/>
    <cellStyle name="Lien hypertexte" xfId="24025" builtinId="8" hidden="1"/>
    <cellStyle name="Lien hypertexte" xfId="24067" builtinId="8" hidden="1"/>
    <cellStyle name="Lien hypertexte" xfId="24105" builtinId="8" hidden="1"/>
    <cellStyle name="Lien hypertexte" xfId="24143" builtinId="8" hidden="1"/>
    <cellStyle name="Lien hypertexte" xfId="24183" builtinId="8" hidden="1"/>
    <cellStyle name="Lien hypertexte" xfId="24221" builtinId="8" hidden="1"/>
    <cellStyle name="Lien hypertexte" xfId="24261" builtinId="8" hidden="1"/>
    <cellStyle name="Lien hypertexte" xfId="24299" builtinId="8" hidden="1"/>
    <cellStyle name="Lien hypertexte" xfId="24339" builtinId="8" hidden="1"/>
    <cellStyle name="Lien hypertexte" xfId="24377" builtinId="8" hidden="1"/>
    <cellStyle name="Lien hypertexte" xfId="24415" builtinId="8" hidden="1"/>
    <cellStyle name="Lien hypertexte" xfId="24455" builtinId="8" hidden="1"/>
    <cellStyle name="Lien hypertexte" xfId="24493" builtinId="8" hidden="1"/>
    <cellStyle name="Lien hypertexte" xfId="24533" builtinId="8" hidden="1"/>
    <cellStyle name="Lien hypertexte" xfId="24571" builtinId="8" hidden="1"/>
    <cellStyle name="Lien hypertexte" xfId="24611" builtinId="8" hidden="1"/>
    <cellStyle name="Lien hypertexte" xfId="24337" builtinId="8" hidden="1"/>
    <cellStyle name="Lien hypertexte" xfId="24065" builtinId="8" hidden="1"/>
    <cellStyle name="Lien hypertexte" xfId="23793" builtinId="8" hidden="1"/>
    <cellStyle name="Lien hypertexte" xfId="23521" builtinId="8" hidden="1"/>
    <cellStyle name="Lien hypertexte" xfId="23249" builtinId="8" hidden="1"/>
    <cellStyle name="Lien hypertexte" xfId="22977" builtinId="8" hidden="1"/>
    <cellStyle name="Lien hypertexte" xfId="22705" builtinId="8" hidden="1"/>
    <cellStyle name="Lien hypertexte" xfId="22433" builtinId="8" hidden="1"/>
    <cellStyle name="Lien hypertexte" xfId="22161" builtinId="8" hidden="1"/>
    <cellStyle name="Lien hypertexte" xfId="21889" builtinId="8" hidden="1"/>
    <cellStyle name="Lien hypertexte" xfId="21617" builtinId="8" hidden="1"/>
    <cellStyle name="Lien hypertexte" xfId="24575" builtinId="8" hidden="1"/>
    <cellStyle name="Lien hypertexte" xfId="23991" builtinId="8" hidden="1"/>
    <cellStyle name="Lien hypertexte" xfId="23405" builtinId="8" hidden="1"/>
    <cellStyle name="Lien hypertexte" xfId="22821" builtinId="8" hidden="1"/>
    <cellStyle name="Lien hypertexte" xfId="22235" builtinId="8" hidden="1"/>
    <cellStyle name="Lien hypertexte" xfId="20251" builtinId="8" hidden="1"/>
    <cellStyle name="Lien hypertexte" xfId="20291" builtinId="8" hidden="1"/>
    <cellStyle name="Lien hypertexte" xfId="20327" builtinId="8" hidden="1"/>
    <cellStyle name="Lien hypertexte" xfId="20365" builtinId="8" hidden="1"/>
    <cellStyle name="Lien hypertexte" xfId="20403" builtinId="8" hidden="1"/>
    <cellStyle name="Lien hypertexte" xfId="20441" builtinId="8" hidden="1"/>
    <cellStyle name="Lien hypertexte" xfId="20477" builtinId="8" hidden="1"/>
    <cellStyle name="Lien hypertexte" xfId="20517" builtinId="8" hidden="1"/>
    <cellStyle name="Lien hypertexte" xfId="20555" builtinId="8" hidden="1"/>
    <cellStyle name="Lien hypertexte" xfId="20591" builtinId="8" hidden="1"/>
    <cellStyle name="Lien hypertexte" xfId="20631" builtinId="8" hidden="1"/>
    <cellStyle name="Lien hypertexte" xfId="20667" builtinId="8" hidden="1"/>
    <cellStyle name="Lien hypertexte" xfId="20707" builtinId="8" hidden="1"/>
    <cellStyle name="Lien hypertexte" xfId="20743" builtinId="8" hidden="1"/>
    <cellStyle name="Lien hypertexte" xfId="20781" builtinId="8" hidden="1"/>
    <cellStyle name="Lien hypertexte" xfId="20819" builtinId="8" hidden="1"/>
    <cellStyle name="Lien hypertexte" xfId="20857" builtinId="8" hidden="1"/>
    <cellStyle name="Lien hypertexte" xfId="20893" builtinId="8" hidden="1"/>
    <cellStyle name="Lien hypertexte" xfId="20933" builtinId="8" hidden="1"/>
    <cellStyle name="Lien hypertexte" xfId="20969" builtinId="8" hidden="1"/>
    <cellStyle name="Lien hypertexte" xfId="21007" builtinId="8" hidden="1"/>
    <cellStyle name="Lien hypertexte" xfId="21045" builtinId="8" hidden="1"/>
    <cellStyle name="Lien hypertexte" xfId="21083" builtinId="8" hidden="1"/>
    <cellStyle name="Lien hypertexte" xfId="21119" builtinId="8" hidden="1"/>
    <cellStyle name="Lien hypertexte" xfId="21159" builtinId="8" hidden="1"/>
    <cellStyle name="Lien hypertexte" xfId="21195" builtinId="8" hidden="1"/>
    <cellStyle name="Lien hypertexte" xfId="21235" builtinId="8" hidden="1"/>
    <cellStyle name="Lien hypertexte" xfId="21271" builtinId="8" hidden="1"/>
    <cellStyle name="Lien hypertexte" xfId="21309" builtinId="8" hidden="1"/>
    <cellStyle name="Lien hypertexte" xfId="21347" builtinId="8" hidden="1"/>
    <cellStyle name="Lien hypertexte" xfId="21385" builtinId="8" hidden="1"/>
    <cellStyle name="Lien hypertexte" xfId="21421" builtinId="8" hidden="1"/>
    <cellStyle name="Lien hypertexte" xfId="21461" builtinId="8" hidden="1"/>
    <cellStyle name="Lien hypertexte" xfId="21497" builtinId="8" hidden="1"/>
    <cellStyle name="Lien hypertexte" xfId="21535" builtinId="8" hidden="1"/>
    <cellStyle name="Lien hypertexte" xfId="21573" builtinId="8" hidden="1"/>
    <cellStyle name="Lien hypertexte" xfId="21611" builtinId="8" hidden="1"/>
    <cellStyle name="Lien hypertexte" xfId="21647" builtinId="8" hidden="1"/>
    <cellStyle name="Lien hypertexte" xfId="21687" builtinId="8" hidden="1"/>
    <cellStyle name="Lien hypertexte" xfId="21725" builtinId="8" hidden="1"/>
    <cellStyle name="Lien hypertexte" xfId="21065" builtinId="8" hidden="1"/>
    <cellStyle name="Lien hypertexte" xfId="19545" builtinId="8" hidden="1"/>
    <cellStyle name="Lien hypertexte" xfId="19581" builtinId="8" hidden="1"/>
    <cellStyle name="Lien hypertexte" xfId="19621" builtinId="8" hidden="1"/>
    <cellStyle name="Lien hypertexte" xfId="19657" builtinId="8" hidden="1"/>
    <cellStyle name="Lien hypertexte" xfId="19693" builtinId="8" hidden="1"/>
    <cellStyle name="Lien hypertexte" xfId="19731" builtinId="8" hidden="1"/>
    <cellStyle name="Lien hypertexte" xfId="19769" builtinId="8" hidden="1"/>
    <cellStyle name="Lien hypertexte" xfId="19805" builtinId="8" hidden="1"/>
    <cellStyle name="Lien hypertexte" xfId="19843" builtinId="8" hidden="1"/>
    <cellStyle name="Lien hypertexte" xfId="19879" builtinId="8" hidden="1"/>
    <cellStyle name="Lien hypertexte" xfId="19917" builtinId="8" hidden="1"/>
    <cellStyle name="Lien hypertexte" xfId="19955" builtinId="8" hidden="1"/>
    <cellStyle name="Lien hypertexte" xfId="19991" builtinId="8" hidden="1"/>
    <cellStyle name="Lien hypertexte" xfId="20027" builtinId="8" hidden="1"/>
    <cellStyle name="Lien hypertexte" xfId="20067" builtinId="8" hidden="1"/>
    <cellStyle name="Lien hypertexte" xfId="20103" builtinId="8" hidden="1"/>
    <cellStyle name="Lien hypertexte" xfId="20139" builtinId="8" hidden="1"/>
    <cellStyle name="Lien hypertexte" xfId="20175" builtinId="8" hidden="1"/>
    <cellStyle name="Lien hypertexte" xfId="20215" builtinId="8" hidden="1"/>
    <cellStyle name="Lien hypertexte" xfId="19895" builtinId="8" hidden="1"/>
    <cellStyle name="Lien hypertexte" xfId="19219" builtinId="8" hidden="1"/>
    <cellStyle name="Lien hypertexte" xfId="19255" builtinId="8" hidden="1"/>
    <cellStyle name="Lien hypertexte" xfId="19291" builtinId="8" hidden="1"/>
    <cellStyle name="Lien hypertexte" xfId="19331" builtinId="8" hidden="1"/>
    <cellStyle name="Lien hypertexte" xfId="19367" builtinId="8" hidden="1"/>
    <cellStyle name="Lien hypertexte" xfId="19403" builtinId="8" hidden="1"/>
    <cellStyle name="Lien hypertexte" xfId="19439" builtinId="8" hidden="1"/>
    <cellStyle name="Lien hypertexte" xfId="19477" builtinId="8" hidden="1"/>
    <cellStyle name="Lien hypertexte" xfId="19513" builtinId="8" hidden="1"/>
    <cellStyle name="Lien hypertexte" xfId="19029" builtinId="8" hidden="1"/>
    <cellStyle name="Lien hypertexte" xfId="19065" builtinId="8" hidden="1"/>
    <cellStyle name="Lien hypertexte" xfId="19101" builtinId="8" hidden="1"/>
    <cellStyle name="Lien hypertexte" xfId="19139" builtinId="8" hidden="1"/>
    <cellStyle name="Lien hypertexte" xfId="19175" builtinId="8" hidden="1"/>
    <cellStyle name="Lien hypertexte" xfId="18955" builtinId="8" hidden="1"/>
    <cellStyle name="Lien hypertexte" xfId="18991" builtinId="8" hidden="1"/>
    <cellStyle name="Lien hypertexte" xfId="18901" builtinId="8" hidden="1"/>
    <cellStyle name="Lien hypertexte" xfId="18873" builtinId="8" hidden="1"/>
    <cellStyle name="Lien hypertexte" xfId="18847" builtinId="8" hidden="1"/>
    <cellStyle name="Lien hypertexte" xfId="18871" builtinId="8" hidden="1"/>
    <cellStyle name="Lien hypertexte" xfId="18899" builtinId="8" hidden="1"/>
    <cellStyle name="Lien hypertexte" xfId="18989" builtinId="8" hidden="1"/>
    <cellStyle name="Lien hypertexte" xfId="18953" builtinId="8" hidden="1"/>
    <cellStyle name="Lien hypertexte" xfId="19173" builtinId="8" hidden="1"/>
    <cellStyle name="Lien hypertexte" xfId="19135" builtinId="8" hidden="1"/>
    <cellStyle name="Lien hypertexte" xfId="19099" builtinId="8" hidden="1"/>
    <cellStyle name="Lien hypertexte" xfId="19063" builtinId="8" hidden="1"/>
    <cellStyle name="Lien hypertexte" xfId="19027" builtinId="8" hidden="1"/>
    <cellStyle name="Lien hypertexte" xfId="19511" builtinId="8" hidden="1"/>
    <cellStyle name="Lien hypertexte" xfId="19475" builtinId="8" hidden="1"/>
    <cellStyle name="Lien hypertexte" xfId="19437" builtinId="8" hidden="1"/>
    <cellStyle name="Lien hypertexte" xfId="19401" builtinId="8" hidden="1"/>
    <cellStyle name="Lien hypertexte" xfId="19365" builtinId="8" hidden="1"/>
    <cellStyle name="Lien hypertexte" xfId="19327" builtinId="8" hidden="1"/>
    <cellStyle name="Lien hypertexte" xfId="19289" builtinId="8" hidden="1"/>
    <cellStyle name="Lien hypertexte" xfId="19253" builtinId="8" hidden="1"/>
    <cellStyle name="Lien hypertexte" xfId="19215" builtinId="8" hidden="1"/>
    <cellStyle name="Lien hypertexte" xfId="20041" builtinId="8" hidden="1"/>
    <cellStyle name="Lien hypertexte" xfId="20213" builtinId="8" hidden="1"/>
    <cellStyle name="Lien hypertexte" xfId="20173" builtinId="8" hidden="1"/>
    <cellStyle name="Lien hypertexte" xfId="20137" builtinId="8" hidden="1"/>
    <cellStyle name="Lien hypertexte" xfId="20101" builtinId="8" hidden="1"/>
    <cellStyle name="Lien hypertexte" xfId="20063" builtinId="8" hidden="1"/>
    <cellStyle name="Lien hypertexte" xfId="20025" builtinId="8" hidden="1"/>
    <cellStyle name="Lien hypertexte" xfId="19989" builtinId="8" hidden="1"/>
    <cellStyle name="Lien hypertexte" xfId="19951" builtinId="8" hidden="1"/>
    <cellStyle name="Lien hypertexte" xfId="19915" builtinId="8" hidden="1"/>
    <cellStyle name="Lien hypertexte" xfId="19877" builtinId="8" hidden="1"/>
    <cellStyle name="Lien hypertexte" xfId="19839" builtinId="8" hidden="1"/>
    <cellStyle name="Lien hypertexte" xfId="19803" builtinId="8" hidden="1"/>
    <cellStyle name="Lien hypertexte" xfId="19767" builtinId="8" hidden="1"/>
    <cellStyle name="Lien hypertexte" xfId="19727" builtinId="8" hidden="1"/>
    <cellStyle name="Lien hypertexte" xfId="19691" builtinId="8" hidden="1"/>
    <cellStyle name="Lien hypertexte" xfId="19655" builtinId="8" hidden="1"/>
    <cellStyle name="Lien hypertexte" xfId="19619" builtinId="8" hidden="1"/>
    <cellStyle name="Lien hypertexte" xfId="19579" builtinId="8" hidden="1"/>
    <cellStyle name="Lien hypertexte" xfId="19543" builtinId="8" hidden="1"/>
    <cellStyle name="Lien hypertexte" xfId="21139" builtinId="8" hidden="1"/>
    <cellStyle name="Lien hypertexte" xfId="21721" builtinId="8" hidden="1"/>
    <cellStyle name="Lien hypertexte" xfId="21685" builtinId="8" hidden="1"/>
    <cellStyle name="Lien hypertexte" xfId="21645" builtinId="8" hidden="1"/>
    <cellStyle name="Lien hypertexte" xfId="21609" builtinId="8" hidden="1"/>
    <cellStyle name="Lien hypertexte" xfId="21571" builtinId="8" hidden="1"/>
    <cellStyle name="Lien hypertexte" xfId="21533" builtinId="8" hidden="1"/>
    <cellStyle name="Lien hypertexte" xfId="21495" builtinId="8" hidden="1"/>
    <cellStyle name="Lien hypertexte" xfId="21459" builtinId="8" hidden="1"/>
    <cellStyle name="Lien hypertexte" xfId="21419" builtinId="8" hidden="1"/>
    <cellStyle name="Lien hypertexte" xfId="21383" builtinId="8" hidden="1"/>
    <cellStyle name="Lien hypertexte" xfId="21343" builtinId="8" hidden="1"/>
    <cellStyle name="Lien hypertexte" xfId="21307" builtinId="8" hidden="1"/>
    <cellStyle name="Lien hypertexte" xfId="21269" builtinId="8" hidden="1"/>
    <cellStyle name="Lien hypertexte" xfId="21231" builtinId="8" hidden="1"/>
    <cellStyle name="Lien hypertexte" xfId="21193" builtinId="8" hidden="1"/>
    <cellStyle name="Lien hypertexte" xfId="21157" builtinId="8" hidden="1"/>
    <cellStyle name="Lien hypertexte" xfId="21117" builtinId="8" hidden="1"/>
    <cellStyle name="Lien hypertexte" xfId="21081" builtinId="8" hidden="1"/>
    <cellStyle name="Lien hypertexte" xfId="21043" builtinId="8" hidden="1"/>
    <cellStyle name="Lien hypertexte" xfId="21005" builtinId="8" hidden="1"/>
    <cellStyle name="Lien hypertexte" xfId="20967" builtinId="8" hidden="1"/>
    <cellStyle name="Lien hypertexte" xfId="20931" builtinId="8" hidden="1"/>
    <cellStyle name="Lien hypertexte" xfId="20891" builtinId="8" hidden="1"/>
    <cellStyle name="Lien hypertexte" xfId="20855" builtinId="8" hidden="1"/>
    <cellStyle name="Lien hypertexte" xfId="20815" builtinId="8" hidden="1"/>
    <cellStyle name="Lien hypertexte" xfId="20779" builtinId="8" hidden="1"/>
    <cellStyle name="Lien hypertexte" xfId="20741" builtinId="8" hidden="1"/>
    <cellStyle name="Lien hypertexte" xfId="20703" builtinId="8" hidden="1"/>
    <cellStyle name="Lien hypertexte" xfId="20665" builtinId="8" hidden="1"/>
    <cellStyle name="Lien hypertexte" xfId="20629" builtinId="8" hidden="1"/>
    <cellStyle name="Lien hypertexte" xfId="20589" builtinId="8" hidden="1"/>
    <cellStyle name="Lien hypertexte" xfId="20551" builtinId="8" hidden="1"/>
    <cellStyle name="Lien hypertexte" xfId="20515" builtinId="8" hidden="1"/>
    <cellStyle name="Lien hypertexte" xfId="20475" builtinId="8" hidden="1"/>
    <cellStyle name="Lien hypertexte" xfId="20439" builtinId="8" hidden="1"/>
    <cellStyle name="Lien hypertexte" xfId="20399" builtinId="8" hidden="1"/>
    <cellStyle name="Lien hypertexte" xfId="20363" builtinId="8" hidden="1"/>
    <cellStyle name="Lien hypertexte" xfId="20325" builtinId="8" hidden="1"/>
    <cellStyle name="Lien hypertexte" xfId="20287" builtinId="8" hidden="1"/>
    <cellStyle name="Lien hypertexte" xfId="20249" builtinId="8" hidden="1"/>
    <cellStyle name="Lien hypertexte" xfId="22271" builtinId="8" hidden="1"/>
    <cellStyle name="Lien hypertexte" xfId="22857" builtinId="8" hidden="1"/>
    <cellStyle name="Lien hypertexte" xfId="23443" builtinId="8" hidden="1"/>
    <cellStyle name="Lien hypertexte" xfId="24027" builtinId="8" hidden="1"/>
    <cellStyle name="Lien hypertexte" xfId="24609" builtinId="8" hidden="1"/>
    <cellStyle name="Lien hypertexte" xfId="21633" builtinId="8" hidden="1"/>
    <cellStyle name="Lien hypertexte" xfId="21905" builtinId="8" hidden="1"/>
    <cellStyle name="Lien hypertexte" xfId="22177" builtinId="8" hidden="1"/>
    <cellStyle name="Lien hypertexte" xfId="22449" builtinId="8" hidden="1"/>
    <cellStyle name="Lien hypertexte" xfId="22721" builtinId="8" hidden="1"/>
    <cellStyle name="Lien hypertexte" xfId="22993" builtinId="8" hidden="1"/>
    <cellStyle name="Lien hypertexte" xfId="23265" builtinId="8" hidden="1"/>
    <cellStyle name="Lien hypertexte" xfId="23537" builtinId="8" hidden="1"/>
    <cellStyle name="Lien hypertexte" xfId="23809" builtinId="8" hidden="1"/>
    <cellStyle name="Lien hypertexte" xfId="24081" builtinId="8" hidden="1"/>
    <cellStyle name="Lien hypertexte" xfId="24369" builtinId="8" hidden="1"/>
    <cellStyle name="Lien hypertexte" xfId="24607" builtinId="8" hidden="1"/>
    <cellStyle name="Lien hypertexte" xfId="24569" builtinId="8" hidden="1"/>
    <cellStyle name="Lien hypertexte" xfId="24531" builtinId="8" hidden="1"/>
    <cellStyle name="Lien hypertexte" xfId="24491" builtinId="8" hidden="1"/>
    <cellStyle name="Lien hypertexte" xfId="24453" builtinId="8" hidden="1"/>
    <cellStyle name="Lien hypertexte" xfId="24413" builtinId="8" hidden="1"/>
    <cellStyle name="Lien hypertexte" xfId="24375" builtinId="8" hidden="1"/>
    <cellStyle name="Lien hypertexte" xfId="24335" builtinId="8" hidden="1"/>
    <cellStyle name="Lien hypertexte" xfId="24297" builtinId="8" hidden="1"/>
    <cellStyle name="Lien hypertexte" xfId="24259" builtinId="8" hidden="1"/>
    <cellStyle name="Lien hypertexte" xfId="24219" builtinId="8" hidden="1"/>
    <cellStyle name="Lien hypertexte" xfId="24181" builtinId="8" hidden="1"/>
    <cellStyle name="Lien hypertexte" xfId="24141" builtinId="8" hidden="1"/>
    <cellStyle name="Lien hypertexte" xfId="24103" builtinId="8" hidden="1"/>
    <cellStyle name="Lien hypertexte" xfId="24061" builtinId="8" hidden="1"/>
    <cellStyle name="Lien hypertexte" xfId="24023" builtinId="8" hidden="1"/>
    <cellStyle name="Lien hypertexte" xfId="23983" builtinId="8" hidden="1"/>
    <cellStyle name="Lien hypertexte" xfId="23945" builtinId="8" hidden="1"/>
    <cellStyle name="Lien hypertexte" xfId="23907" builtinId="8" hidden="1"/>
    <cellStyle name="Lien hypertexte" xfId="23867" builtinId="8" hidden="1"/>
    <cellStyle name="Lien hypertexte" xfId="23829" builtinId="8" hidden="1"/>
    <cellStyle name="Lien hypertexte" xfId="23789" builtinId="8" hidden="1"/>
    <cellStyle name="Lien hypertexte" xfId="23751" builtinId="8" hidden="1"/>
    <cellStyle name="Lien hypertexte" xfId="23711" builtinId="8" hidden="1"/>
    <cellStyle name="Lien hypertexte" xfId="23673" builtinId="8" hidden="1"/>
    <cellStyle name="Lien hypertexte" xfId="23635" builtinId="8" hidden="1"/>
    <cellStyle name="Lien hypertexte" xfId="23595" builtinId="8" hidden="1"/>
    <cellStyle name="Lien hypertexte" xfId="23557" builtinId="8" hidden="1"/>
    <cellStyle name="Lien hypertexte" xfId="23517" builtinId="8" hidden="1"/>
    <cellStyle name="Lien hypertexte" xfId="23477" builtinId="8" hidden="1"/>
    <cellStyle name="Lien hypertexte" xfId="23437" builtinId="8" hidden="1"/>
    <cellStyle name="Lien hypertexte" xfId="23399" builtinId="8" hidden="1"/>
    <cellStyle name="Lien hypertexte" xfId="23359" builtinId="8" hidden="1"/>
    <cellStyle name="Lien hypertexte" xfId="23321" builtinId="8" hidden="1"/>
    <cellStyle name="Lien hypertexte" xfId="23283" builtinId="8" hidden="1"/>
    <cellStyle name="Lien hypertexte" xfId="23243" builtinId="8" hidden="1"/>
    <cellStyle name="Lien hypertexte" xfId="23205" builtinId="8" hidden="1"/>
    <cellStyle name="Lien hypertexte" xfId="23165" builtinId="8" hidden="1"/>
    <cellStyle name="Lien hypertexte" xfId="23127" builtinId="8" hidden="1"/>
    <cellStyle name="Lien hypertexte" xfId="23087" builtinId="8" hidden="1"/>
    <cellStyle name="Lien hypertexte" xfId="23049" builtinId="8" hidden="1"/>
    <cellStyle name="Lien hypertexte" xfId="23011" builtinId="8" hidden="1"/>
    <cellStyle name="Lien hypertexte" xfId="22971" builtinId="8" hidden="1"/>
    <cellStyle name="Lien hypertexte" xfId="22933" builtinId="8" hidden="1"/>
    <cellStyle name="Lien hypertexte" xfId="22891" builtinId="8" hidden="1"/>
    <cellStyle name="Lien hypertexte" xfId="22853" builtinId="8" hidden="1"/>
    <cellStyle name="Lien hypertexte" xfId="22813" builtinId="8" hidden="1"/>
    <cellStyle name="Lien hypertexte" xfId="22775" builtinId="8" hidden="1"/>
    <cellStyle name="Lien hypertexte" xfId="22735" builtinId="8" hidden="1"/>
    <cellStyle name="Lien hypertexte" xfId="22697" builtinId="8" hidden="1"/>
    <cellStyle name="Lien hypertexte" xfId="22659" builtinId="8" hidden="1"/>
    <cellStyle name="Lien hypertexte" xfId="22619" builtinId="8" hidden="1"/>
    <cellStyle name="Lien hypertexte" xfId="22581" builtinId="8" hidden="1"/>
    <cellStyle name="Lien hypertexte" xfId="22541" builtinId="8" hidden="1"/>
    <cellStyle name="Lien hypertexte" xfId="22503" builtinId="8" hidden="1"/>
    <cellStyle name="Lien hypertexte" xfId="22463" builtinId="8" hidden="1"/>
    <cellStyle name="Lien hypertexte" xfId="22425" builtinId="8" hidden="1"/>
    <cellStyle name="Lien hypertexte" xfId="22387" builtinId="8" hidden="1"/>
    <cellStyle name="Lien hypertexte" xfId="22347" builtinId="8" hidden="1"/>
    <cellStyle name="Lien hypertexte" xfId="22307" builtinId="8" hidden="1"/>
    <cellStyle name="Lien hypertexte" xfId="22267" builtinId="8" hidden="1"/>
    <cellStyle name="Lien hypertexte" xfId="22229" builtinId="8" hidden="1"/>
    <cellStyle name="Lien hypertexte" xfId="22189" builtinId="8" hidden="1"/>
    <cellStyle name="Lien hypertexte" xfId="22151" builtinId="8" hidden="1"/>
    <cellStyle name="Lien hypertexte" xfId="22111" builtinId="8" hidden="1"/>
    <cellStyle name="Lien hypertexte" xfId="22073" builtinId="8" hidden="1"/>
    <cellStyle name="Lien hypertexte" xfId="22035" builtinId="8" hidden="1"/>
    <cellStyle name="Lien hypertexte" xfId="21995" builtinId="8" hidden="1"/>
    <cellStyle name="Lien hypertexte" xfId="21957" builtinId="8" hidden="1"/>
    <cellStyle name="Lien hypertexte" xfId="21917" builtinId="8" hidden="1"/>
    <cellStyle name="Lien hypertexte" xfId="21879" builtinId="8" hidden="1"/>
    <cellStyle name="Lien hypertexte" xfId="21839" builtinId="8" hidden="1"/>
    <cellStyle name="Lien hypertexte" xfId="21801" builtinId="8" hidden="1"/>
    <cellStyle name="Lien hypertexte" xfId="21763" builtinId="8" hidden="1"/>
    <cellStyle name="Lien hypertexte" xfId="20641" builtinId="8" hidden="1"/>
    <cellStyle name="Lien hypertexte" xfId="15968" builtinId="8" hidden="1"/>
    <cellStyle name="Lien hypertexte" xfId="16242" builtinId="8" hidden="1"/>
    <cellStyle name="Lien hypertexte" xfId="16514" builtinId="8" hidden="1"/>
    <cellStyle name="Lien hypertexte" xfId="16788" builtinId="8" hidden="1"/>
    <cellStyle name="Lien hypertexte" xfId="17060" builtinId="8" hidden="1"/>
    <cellStyle name="Lien hypertexte" xfId="17334" builtinId="8" hidden="1"/>
    <cellStyle name="Lien hypertexte" xfId="17606" builtinId="8" hidden="1"/>
    <cellStyle name="Lien hypertexte" xfId="17880" builtinId="8" hidden="1"/>
    <cellStyle name="Lien hypertexte" xfId="18152" builtinId="8" hidden="1"/>
    <cellStyle name="Lien hypertexte" xfId="18443" builtinId="8" hidden="1"/>
    <cellStyle name="Lien hypertexte" xfId="18715" builtinId="8" hidden="1"/>
    <cellStyle name="Lien hypertexte" xfId="16688" builtinId="8" hidden="1"/>
    <cellStyle name="Lien hypertexte" xfId="14844" builtinId="8" hidden="1"/>
    <cellStyle name="Lien hypertexte" xfId="15108" builtinId="8" hidden="1"/>
    <cellStyle name="Lien hypertexte" xfId="15372" builtinId="8" hidden="1"/>
    <cellStyle name="Lien hypertexte" xfId="15636" builtinId="8" hidden="1"/>
    <cellStyle name="Lien hypertexte" xfId="15900" builtinId="8" hidden="1"/>
    <cellStyle name="Lien hypertexte" xfId="834" builtinId="8" hidden="1"/>
    <cellStyle name="Lien hypertexte" xfId="1096" builtinId="8" hidden="1"/>
    <cellStyle name="Lien hypertexte" xfId="418" builtinId="8" hidden="1"/>
    <cellStyle name="Lien hypertexte" xfId="220" builtinId="8" hidden="1"/>
    <cellStyle name="Lien hypertexte" xfId="84" builtinId="8" hidden="1"/>
    <cellStyle name="Lien hypertexte" xfId="70" builtinId="8" hidden="1"/>
    <cellStyle name="Lien hypertexte" xfId="88" builtinId="8" hidden="1"/>
    <cellStyle name="Lien hypertexte" xfId="164" builtinId="8" hidden="1"/>
    <cellStyle name="Lien hypertexte" xfId="128" builtinId="8" hidden="1"/>
    <cellStyle name="Lien hypertexte" xfId="314" builtinId="8" hidden="1"/>
    <cellStyle name="Lien hypertexte" xfId="278" builtinId="8" hidden="1"/>
    <cellStyle name="Lien hypertexte" xfId="242" builtinId="8" hidden="1"/>
    <cellStyle name="Lien hypertexte" xfId="206" builtinId="8" hidden="1"/>
    <cellStyle name="Lien hypertexte" xfId="624" builtinId="8" hidden="1"/>
    <cellStyle name="Lien hypertexte" xfId="588" builtinId="8" hidden="1"/>
    <cellStyle name="Lien hypertexte" xfId="552" builtinId="8" hidden="1"/>
    <cellStyle name="Lien hypertexte" xfId="514" builtinId="8" hidden="1"/>
    <cellStyle name="Lien hypertexte" xfId="478" builtinId="8" hidden="1"/>
    <cellStyle name="Lien hypertexte" xfId="440" builtinId="8" hidden="1"/>
    <cellStyle name="Lien hypertexte" xfId="404" builtinId="8" hidden="1"/>
    <cellStyle name="Lien hypertexte" xfId="366" builtinId="8" hidden="1"/>
    <cellStyle name="Lien hypertexte" xfId="14620" builtinId="8" hidden="1"/>
    <cellStyle name="Lien hypertexte" xfId="14584" builtinId="8" hidden="1"/>
    <cellStyle name="Lien hypertexte" xfId="14544" builtinId="8" hidden="1"/>
    <cellStyle name="Lien hypertexte" xfId="2201" builtinId="8" hidden="1"/>
    <cellStyle name="Lien hypertexte" xfId="1118" builtinId="8" hidden="1"/>
    <cellStyle name="Lien hypertexte" xfId="1080" builtinId="8" hidden="1"/>
    <cellStyle name="Lien hypertexte" xfId="1042" builtinId="8" hidden="1"/>
    <cellStyle name="Lien hypertexte" xfId="1006" builtinId="8" hidden="1"/>
    <cellStyle name="Lien hypertexte" xfId="970" builtinId="8" hidden="1"/>
    <cellStyle name="Lien hypertexte" xfId="930" builtinId="8" hidden="1"/>
    <cellStyle name="Lien hypertexte" xfId="894" builtinId="8" hidden="1"/>
    <cellStyle name="Lien hypertexte" xfId="858" builtinId="8" hidden="1"/>
    <cellStyle name="Lien hypertexte" xfId="820" builtinId="8" hidden="1"/>
    <cellStyle name="Lien hypertexte" xfId="782" builtinId="8" hidden="1"/>
    <cellStyle name="Lien hypertexte" xfId="746" builtinId="8" hidden="1"/>
    <cellStyle name="Lien hypertexte" xfId="708" builtinId="8" hidden="1"/>
    <cellStyle name="Lien hypertexte" xfId="670" builtinId="8" hidden="1"/>
    <cellStyle name="Lien hypertexte" xfId="15152" builtinId="8" hidden="1"/>
    <cellStyle name="Lien hypertexte" xfId="15924" builtinId="8" hidden="1"/>
    <cellStyle name="Lien hypertexte" xfId="15886" builtinId="8" hidden="1"/>
    <cellStyle name="Lien hypertexte" xfId="15846" builtinId="8" hidden="1"/>
    <cellStyle name="Lien hypertexte" xfId="15810" builtinId="8" hidden="1"/>
    <cellStyle name="Lien hypertexte" xfId="15772" builtinId="8" hidden="1"/>
    <cellStyle name="Lien hypertexte" xfId="15734" builtinId="8" hidden="1"/>
    <cellStyle name="Lien hypertexte" xfId="15696" builtinId="8" hidden="1"/>
    <cellStyle name="Lien hypertexte" xfId="15658" builtinId="8" hidden="1"/>
    <cellStyle name="Lien hypertexte" xfId="15622" builtinId="8" hidden="1"/>
    <cellStyle name="Lien hypertexte" xfId="15582" builtinId="8" hidden="1"/>
    <cellStyle name="Lien hypertexte" xfId="15546" builtinId="8" hidden="1"/>
    <cellStyle name="Lien hypertexte" xfId="15508" builtinId="8" hidden="1"/>
    <cellStyle name="Lien hypertexte" xfId="15468" builtinId="8" hidden="1"/>
    <cellStyle name="Lien hypertexte" xfId="15432" builtinId="8" hidden="1"/>
    <cellStyle name="Lien hypertexte" xfId="15394" builtinId="8" hidden="1"/>
    <cellStyle name="Lien hypertexte" xfId="15358" builtinId="8" hidden="1"/>
    <cellStyle name="Lien hypertexte" xfId="15318" builtinId="8" hidden="1"/>
    <cellStyle name="Lien hypertexte" xfId="15282" builtinId="8" hidden="1"/>
    <cellStyle name="Lien hypertexte" xfId="15244" builtinId="8" hidden="1"/>
    <cellStyle name="Lien hypertexte" xfId="15204" builtinId="8" hidden="1"/>
    <cellStyle name="Lien hypertexte" xfId="15168" builtinId="8" hidden="1"/>
    <cellStyle name="Lien hypertexte" xfId="15130" builtinId="8" hidden="1"/>
    <cellStyle name="Lien hypertexte" xfId="15094" builtinId="8" hidden="1"/>
    <cellStyle name="Lien hypertexte" xfId="15054" builtinId="8" hidden="1"/>
    <cellStyle name="Lien hypertexte" xfId="15016" builtinId="8" hidden="1"/>
    <cellStyle name="Lien hypertexte" xfId="14980" builtinId="8" hidden="1"/>
    <cellStyle name="Lien hypertexte" xfId="14940" builtinId="8" hidden="1"/>
    <cellStyle name="Lien hypertexte" xfId="14904" builtinId="8" hidden="1"/>
    <cellStyle name="Lien hypertexte" xfId="14866" builtinId="8" hidden="1"/>
    <cellStyle name="Lien hypertexte" xfId="14828" builtinId="8" hidden="1"/>
    <cellStyle name="Lien hypertexte" xfId="14790" builtinId="8" hidden="1"/>
    <cellStyle name="Lien hypertexte" xfId="14752" builtinId="8" hidden="1"/>
    <cellStyle name="Lien hypertexte" xfId="14716" builtinId="8" hidden="1"/>
    <cellStyle name="Lien hypertexte" xfId="14676" builtinId="8" hidden="1"/>
    <cellStyle name="Lien hypertexte" xfId="14638" builtinId="8" hidden="1"/>
    <cellStyle name="Lien hypertexte" xfId="16336" builtinId="8" hidden="1"/>
    <cellStyle name="Lien hypertexte" xfId="16912" builtinId="8" hidden="1"/>
    <cellStyle name="Lien hypertexte" xfId="17520" builtinId="8" hidden="1"/>
    <cellStyle name="Lien hypertexte" xfId="18096" builtinId="8" hidden="1"/>
    <cellStyle name="Lien hypertexte" xfId="18689" builtinId="8" hidden="1"/>
    <cellStyle name="Lien hypertexte" xfId="18815" builtinId="8" hidden="1"/>
    <cellStyle name="Lien hypertexte" xfId="18777" builtinId="8" hidden="1"/>
    <cellStyle name="Lien hypertexte" xfId="18739" builtinId="8" hidden="1"/>
    <cellStyle name="Lien hypertexte" xfId="18701" builtinId="8" hidden="1"/>
    <cellStyle name="Lien hypertexte" xfId="18661" builtinId="8" hidden="1"/>
    <cellStyle name="Lien hypertexte" xfId="18621" builtinId="8" hidden="1"/>
    <cellStyle name="Lien hypertexte" xfId="18583" builtinId="8" hidden="1"/>
    <cellStyle name="Lien hypertexte" xfId="18543" builtinId="8" hidden="1"/>
    <cellStyle name="Lien hypertexte" xfId="18505" builtinId="8" hidden="1"/>
    <cellStyle name="Lien hypertexte" xfId="18467" builtinId="8" hidden="1"/>
    <cellStyle name="Lien hypertexte" xfId="18427" builtinId="8" hidden="1"/>
    <cellStyle name="Lien hypertexte" xfId="18387" builtinId="8" hidden="1"/>
    <cellStyle name="Lien hypertexte" xfId="18349" builtinId="8" hidden="1"/>
    <cellStyle name="Lien hypertexte" xfId="18294" builtinId="8" hidden="1"/>
    <cellStyle name="Lien hypertexte" xfId="18252" builtinId="8" hidden="1"/>
    <cellStyle name="Lien hypertexte" xfId="18214" builtinId="8" hidden="1"/>
    <cellStyle name="Lien hypertexte" xfId="18176" builtinId="8" hidden="1"/>
    <cellStyle name="Lien hypertexte" xfId="18138" builtinId="8" hidden="1"/>
    <cellStyle name="Lien hypertexte" xfId="18098" builtinId="8" hidden="1"/>
    <cellStyle name="Lien hypertexte" xfId="18058" builtinId="8" hidden="1"/>
    <cellStyle name="Lien hypertexte" xfId="18020" builtinId="8" hidden="1"/>
    <cellStyle name="Lien hypertexte" xfId="17980" builtinId="8" hidden="1"/>
    <cellStyle name="Lien hypertexte" xfId="17942" builtinId="8" hidden="1"/>
    <cellStyle name="Lien hypertexte" xfId="17902" builtinId="8" hidden="1"/>
    <cellStyle name="Lien hypertexte" xfId="17864" builtinId="8" hidden="1"/>
    <cellStyle name="Lien hypertexte" xfId="17824" builtinId="8" hidden="1"/>
    <cellStyle name="Lien hypertexte" xfId="17786" builtinId="8" hidden="1"/>
    <cellStyle name="Lien hypertexte" xfId="17748" builtinId="8" hidden="1"/>
    <cellStyle name="Lien hypertexte" xfId="17706" builtinId="8" hidden="1"/>
    <cellStyle name="Lien hypertexte" xfId="17668" builtinId="8" hidden="1"/>
    <cellStyle name="Lien hypertexte" xfId="17630" builtinId="8" hidden="1"/>
    <cellStyle name="Lien hypertexte" xfId="17592" builtinId="8" hidden="1"/>
    <cellStyle name="Lien hypertexte" xfId="17550" builtinId="8" hidden="1"/>
    <cellStyle name="Lien hypertexte" xfId="17512" builtinId="8" hidden="1"/>
    <cellStyle name="Lien hypertexte" xfId="17474" builtinId="8" hidden="1"/>
    <cellStyle name="Lien hypertexte" xfId="17434" builtinId="8" hidden="1"/>
    <cellStyle name="Lien hypertexte" xfId="17396" builtinId="8" hidden="1"/>
    <cellStyle name="Lien hypertexte" xfId="17356" builtinId="8" hidden="1"/>
    <cellStyle name="Lien hypertexte" xfId="17318" builtinId="8" hidden="1"/>
    <cellStyle name="Lien hypertexte" xfId="17278" builtinId="8" hidden="1"/>
    <cellStyle name="Lien hypertexte" xfId="17240" builtinId="8" hidden="1"/>
    <cellStyle name="Lien hypertexte" xfId="17202" builtinId="8" hidden="1"/>
    <cellStyle name="Lien hypertexte" xfId="17160" builtinId="8" hidden="1"/>
    <cellStyle name="Lien hypertexte" xfId="17122" builtinId="8" hidden="1"/>
    <cellStyle name="Lien hypertexte" xfId="17084" builtinId="8" hidden="1"/>
    <cellStyle name="Lien hypertexte" xfId="17046" builtinId="8" hidden="1"/>
    <cellStyle name="Lien hypertexte" xfId="17004" builtinId="8" hidden="1"/>
    <cellStyle name="Lien hypertexte" xfId="16966" builtinId="8" hidden="1"/>
    <cellStyle name="Lien hypertexte" xfId="16928" builtinId="8" hidden="1"/>
    <cellStyle name="Lien hypertexte" xfId="16888" builtinId="8" hidden="1"/>
    <cellStyle name="Lien hypertexte" xfId="16850" builtinId="8" hidden="1"/>
    <cellStyle name="Lien hypertexte" xfId="16810" builtinId="8" hidden="1"/>
    <cellStyle name="Lien hypertexte" xfId="16772" builtinId="8" hidden="1"/>
    <cellStyle name="Lien hypertexte" xfId="16732" builtinId="8" hidden="1"/>
    <cellStyle name="Lien hypertexte" xfId="16694" builtinId="8" hidden="1"/>
    <cellStyle name="Lien hypertexte" xfId="16654" builtinId="8" hidden="1"/>
    <cellStyle name="Lien hypertexte" xfId="16614" builtinId="8" hidden="1"/>
    <cellStyle name="Lien hypertexte" xfId="16576" builtinId="8" hidden="1"/>
    <cellStyle name="Lien hypertexte" xfId="16538" builtinId="8" hidden="1"/>
    <cellStyle name="Lien hypertexte" xfId="16500" builtinId="8" hidden="1"/>
    <cellStyle name="Lien hypertexte" xfId="16458" builtinId="8" hidden="1"/>
    <cellStyle name="Lien hypertexte" xfId="16420" builtinId="8" hidden="1"/>
    <cellStyle name="Lien hypertexte" xfId="16382" builtinId="8" hidden="1"/>
    <cellStyle name="Lien hypertexte" xfId="16342" builtinId="8" hidden="1"/>
    <cellStyle name="Lien hypertexte" xfId="16302" builtinId="8" hidden="1"/>
    <cellStyle name="Lien hypertexte" xfId="16264" builtinId="8" hidden="1"/>
    <cellStyle name="Lien hypertexte" xfId="16226" builtinId="8" hidden="1"/>
    <cellStyle name="Lien hypertexte" xfId="16186" builtinId="8" hidden="1"/>
    <cellStyle name="Lien hypertexte" xfId="16148" builtinId="8" hidden="1"/>
    <cellStyle name="Lien hypertexte" xfId="16108" builtinId="8" hidden="1"/>
    <cellStyle name="Lien hypertexte" xfId="16068" builtinId="8" hidden="1"/>
    <cellStyle name="Lien hypertexte" xfId="16030" builtinId="8" hidden="1"/>
    <cellStyle name="Lien hypertexte" xfId="15992" builtinId="8" hidden="1"/>
    <cellStyle name="Lien hypertexte" xfId="15954" builtinId="8" hidden="1"/>
    <cellStyle name="Lien hypertexte" xfId="19009" builtinId="8" hidden="1"/>
    <cellStyle name="Lien hypertexte" xfId="19297" builtinId="8" hidden="1"/>
    <cellStyle name="Lien hypertexte" xfId="19585" builtinId="8" hidden="1"/>
    <cellStyle name="Lien hypertexte" xfId="20401" builtinId="8" hidden="1"/>
    <cellStyle name="Lien hypertexte" xfId="20209" builtinId="8" hidden="1"/>
    <cellStyle name="Lien hypertexte" xfId="19985" builtinId="8" hidden="1"/>
    <cellStyle name="Lien hypertexte" xfId="19809" builtinId="8" hidden="1"/>
    <cellStyle name="Lien hypertexte" xfId="19889" builtinId="8" hidden="1"/>
    <cellStyle name="Lien hypertexte" xfId="20465" builtinId="8" hidden="1"/>
    <cellStyle name="Lien hypertexte" xfId="20609" builtinId="8" hidden="1"/>
    <cellStyle name="Lien hypertexte" xfId="20833" builtinId="8" hidden="1"/>
    <cellStyle name="Lien hypertexte" xfId="20913" builtinId="8" hidden="1"/>
    <cellStyle name="Lien hypertexte" xfId="20753" builtinId="8" hidden="1"/>
    <cellStyle name="Lien hypertexte" xfId="20657" builtinId="8" hidden="1"/>
    <cellStyle name="Lien hypertexte" xfId="20321" builtinId="8" hidden="1"/>
    <cellStyle name="Lien hypertexte" xfId="19729" builtinId="8" hidden="1"/>
    <cellStyle name="Lien hypertexte" xfId="19841" builtinId="8" hidden="1"/>
    <cellStyle name="Lien hypertexte" xfId="20065" builtinId="8" hidden="1"/>
    <cellStyle name="Lien hypertexte" xfId="20241" builtinId="8" hidden="1"/>
    <cellStyle name="Lien hypertexte" xfId="20433" builtinId="8" hidden="1"/>
    <cellStyle name="Lien hypertexte" xfId="19521" builtinId="8" hidden="1"/>
    <cellStyle name="Lien hypertexte" xfId="19217" builtinId="8" hidden="1"/>
    <cellStyle name="Lien hypertexte" xfId="18929" builtinId="8" hidden="1"/>
    <cellStyle name="Lien hypertexte" xfId="15962" builtinId="8" hidden="1"/>
    <cellStyle name="Lien hypertexte" xfId="16000" builtinId="8" hidden="1"/>
    <cellStyle name="Lien hypertexte" xfId="16040" builtinId="8" hidden="1"/>
    <cellStyle name="Lien hypertexte" xfId="16078" builtinId="8" hidden="1"/>
    <cellStyle name="Lien hypertexte" xfId="16118" builtinId="8" hidden="1"/>
    <cellStyle name="Lien hypertexte" xfId="16158" builtinId="8" hidden="1"/>
    <cellStyle name="Lien hypertexte" xfId="16196" builtinId="8" hidden="1"/>
    <cellStyle name="Lien hypertexte" xfId="16234" builtinId="8" hidden="1"/>
    <cellStyle name="Lien hypertexte" xfId="16274" builtinId="8" hidden="1"/>
    <cellStyle name="Lien hypertexte" xfId="16314" builtinId="8" hidden="1"/>
    <cellStyle name="Lien hypertexte" xfId="16352" builtinId="8" hidden="1"/>
    <cellStyle name="Lien hypertexte" xfId="16390" builtinId="8" hidden="1"/>
    <cellStyle name="Lien hypertexte" xfId="16430" builtinId="8" hidden="1"/>
    <cellStyle name="Lien hypertexte" xfId="16470" builtinId="8" hidden="1"/>
    <cellStyle name="Lien hypertexte" xfId="16508" builtinId="8" hidden="1"/>
    <cellStyle name="Lien hypertexte" xfId="16546" builtinId="8" hidden="1"/>
    <cellStyle name="Lien hypertexte" xfId="16586" builtinId="8" hidden="1"/>
    <cellStyle name="Lien hypertexte" xfId="16626" builtinId="8" hidden="1"/>
    <cellStyle name="Lien hypertexte" xfId="16664" builtinId="8" hidden="1"/>
    <cellStyle name="Lien hypertexte" xfId="16704" builtinId="8" hidden="1"/>
    <cellStyle name="Lien hypertexte" xfId="16742" builtinId="8" hidden="1"/>
    <cellStyle name="Lien hypertexte" xfId="16780" builtinId="8" hidden="1"/>
    <cellStyle name="Lien hypertexte" xfId="16820" builtinId="8" hidden="1"/>
    <cellStyle name="Lien hypertexte" xfId="16860" builtinId="8" hidden="1"/>
    <cellStyle name="Lien hypertexte" xfId="16898" builtinId="8" hidden="1"/>
    <cellStyle name="Lien hypertexte" xfId="16936" builtinId="8" hidden="1"/>
    <cellStyle name="Lien hypertexte" xfId="16978" builtinId="8" hidden="1"/>
    <cellStyle name="Lien hypertexte" xfId="17016" builtinId="8" hidden="1"/>
    <cellStyle name="Lien hypertexte" xfId="17054" builtinId="8" hidden="1"/>
    <cellStyle name="Lien hypertexte" xfId="17092" builtinId="8" hidden="1"/>
    <cellStyle name="Lien hypertexte" xfId="17132" builtinId="8" hidden="1"/>
    <cellStyle name="Lien hypertexte" xfId="17172" builtinId="8" hidden="1"/>
    <cellStyle name="Lien hypertexte" xfId="17210" builtinId="8" hidden="1"/>
    <cellStyle name="Lien hypertexte" xfId="17250" builtinId="8" hidden="1"/>
    <cellStyle name="Lien hypertexte" xfId="17288" builtinId="8" hidden="1"/>
    <cellStyle name="Lien hypertexte" xfId="17326" builtinId="8" hidden="1"/>
    <cellStyle name="Lien hypertexte" xfId="17366" builtinId="8" hidden="1"/>
    <cellStyle name="Lien hypertexte" xfId="17406" builtinId="8" hidden="1"/>
    <cellStyle name="Lien hypertexte" xfId="17444" builtinId="8" hidden="1"/>
    <cellStyle name="Lien hypertexte" xfId="17482" builtinId="8" hidden="1"/>
    <cellStyle name="Lien hypertexte" xfId="17524" builtinId="8" hidden="1"/>
    <cellStyle name="Lien hypertexte" xfId="17562" builtinId="8" hidden="1"/>
    <cellStyle name="Lien hypertexte" xfId="17600" builtinId="8" hidden="1"/>
    <cellStyle name="Lien hypertexte" xfId="17638" builtinId="8" hidden="1"/>
    <cellStyle name="Lien hypertexte" xfId="17678" builtinId="8" hidden="1"/>
    <cellStyle name="Lien hypertexte" xfId="17718" builtinId="8" hidden="1"/>
    <cellStyle name="Lien hypertexte" xfId="17756" builtinId="8" hidden="1"/>
    <cellStyle name="Lien hypertexte" xfId="17796" builtinId="8" hidden="1"/>
    <cellStyle name="Lien hypertexte" xfId="17834" builtinId="8" hidden="1"/>
    <cellStyle name="Lien hypertexte" xfId="17874" builtinId="8" hidden="1"/>
    <cellStyle name="Lien hypertexte" xfId="17912" builtinId="8" hidden="1"/>
    <cellStyle name="Lien hypertexte" xfId="17952" builtinId="8" hidden="1"/>
    <cellStyle name="Lien hypertexte" xfId="17990" builtinId="8" hidden="1"/>
    <cellStyle name="Lien hypertexte" xfId="18028" builtinId="8" hidden="1"/>
    <cellStyle name="Lien hypertexte" xfId="18070" builtinId="8" hidden="1"/>
    <cellStyle name="Lien hypertexte" xfId="18108" builtinId="8" hidden="1"/>
    <cellStyle name="Lien hypertexte" xfId="18146" builtinId="8" hidden="1"/>
    <cellStyle name="Lien hypertexte" xfId="18184" builtinId="8" hidden="1"/>
    <cellStyle name="Lien hypertexte" xfId="18226" builtinId="8" hidden="1"/>
    <cellStyle name="Lien hypertexte" xfId="18264" builtinId="8" hidden="1"/>
    <cellStyle name="Lien hypertexte" xfId="18302" builtinId="8" hidden="1"/>
    <cellStyle name="Lien hypertexte" xfId="18359" builtinId="8" hidden="1"/>
    <cellStyle name="Lien hypertexte" xfId="18397" builtinId="8" hidden="1"/>
    <cellStyle name="Lien hypertexte" xfId="18437" builtinId="8" hidden="1"/>
    <cellStyle name="Lien hypertexte" xfId="18475" builtinId="8" hidden="1"/>
    <cellStyle name="Lien hypertexte" xfId="18515" builtinId="8" hidden="1"/>
    <cellStyle name="Lien hypertexte" xfId="18553" builtinId="8" hidden="1"/>
    <cellStyle name="Lien hypertexte" xfId="18591" builtinId="8" hidden="1"/>
    <cellStyle name="Lien hypertexte" xfId="18633" builtinId="8" hidden="1"/>
    <cellStyle name="Lien hypertexte" xfId="18671" builtinId="8" hidden="1"/>
    <cellStyle name="Lien hypertexte" xfId="18709" builtinId="8" hidden="1"/>
    <cellStyle name="Lien hypertexte" xfId="18747" builtinId="8" hidden="1"/>
    <cellStyle name="Lien hypertexte" xfId="18789" builtinId="8" hidden="1"/>
    <cellStyle name="Lien hypertexte" xfId="18827" builtinId="8" hidden="1"/>
    <cellStyle name="Lien hypertexte" xfId="18561" builtinId="8" hidden="1"/>
    <cellStyle name="Lien hypertexte" xfId="17936" builtinId="8" hidden="1"/>
    <cellStyle name="Lien hypertexte" xfId="17360" builtinId="8" hidden="1"/>
    <cellStyle name="Lien hypertexte" xfId="16784" builtinId="8" hidden="1"/>
    <cellStyle name="Lien hypertexte" xfId="16208" builtinId="8" hidden="1"/>
    <cellStyle name="Lien hypertexte" xfId="14650" builtinId="8" hidden="1"/>
    <cellStyle name="Lien hypertexte" xfId="14686" builtinId="8" hidden="1"/>
    <cellStyle name="Lien hypertexte" xfId="14724" builtinId="8" hidden="1"/>
    <cellStyle name="Lien hypertexte" xfId="14762" builtinId="8" hidden="1"/>
    <cellStyle name="Lien hypertexte" xfId="14800" builtinId="8" hidden="1"/>
    <cellStyle name="Lien hypertexte" xfId="14838" builtinId="8" hidden="1"/>
    <cellStyle name="Lien hypertexte" xfId="14874" builtinId="8" hidden="1"/>
    <cellStyle name="Lien hypertexte" xfId="14914" builtinId="8" hidden="1"/>
    <cellStyle name="Lien hypertexte" xfId="14950" builtinId="8" hidden="1"/>
    <cellStyle name="Lien hypertexte" xfId="14988" builtinId="8" hidden="1"/>
    <cellStyle name="Lien hypertexte" xfId="15028" builtinId="8" hidden="1"/>
    <cellStyle name="Lien hypertexte" xfId="15064" builtinId="8" hidden="1"/>
    <cellStyle name="Lien hypertexte" xfId="15102" builtinId="8" hidden="1"/>
    <cellStyle name="Lien hypertexte" xfId="15138" builtinId="8" hidden="1"/>
    <cellStyle name="Lien hypertexte" xfId="15178" builtinId="8" hidden="1"/>
    <cellStyle name="Lien hypertexte" xfId="15214" builtinId="8" hidden="1"/>
    <cellStyle name="Lien hypertexte" xfId="15252" builtinId="8" hidden="1"/>
    <cellStyle name="Lien hypertexte" xfId="15292" builtinId="8" hidden="1"/>
    <cellStyle name="Lien hypertexte" xfId="15328" builtinId="8" hidden="1"/>
    <cellStyle name="Lien hypertexte" xfId="15366" builtinId="8" hidden="1"/>
    <cellStyle name="Lien hypertexte" xfId="15402" builtinId="8" hidden="1"/>
    <cellStyle name="Lien hypertexte" xfId="15442" builtinId="8" hidden="1"/>
    <cellStyle name="Lien hypertexte" xfId="15480" builtinId="8" hidden="1"/>
    <cellStyle name="Lien hypertexte" xfId="15516" builtinId="8" hidden="1"/>
    <cellStyle name="Lien hypertexte" xfId="15556" builtinId="8" hidden="1"/>
    <cellStyle name="Lien hypertexte" xfId="15592" builtinId="8" hidden="1"/>
    <cellStyle name="Lien hypertexte" xfId="15630" builtinId="8" hidden="1"/>
    <cellStyle name="Lien hypertexte" xfId="15668" builtinId="8" hidden="1"/>
    <cellStyle name="Lien hypertexte" xfId="15706" builtinId="8" hidden="1"/>
    <cellStyle name="Lien hypertexte" xfId="15744" builtinId="8" hidden="1"/>
    <cellStyle name="Lien hypertexte" xfId="15780" builtinId="8" hidden="1"/>
    <cellStyle name="Lien hypertexte" xfId="15820" builtinId="8" hidden="1"/>
    <cellStyle name="Lien hypertexte" xfId="15858" builtinId="8" hidden="1"/>
    <cellStyle name="Lien hypertexte" xfId="15894" builtinId="8" hidden="1"/>
    <cellStyle name="Lien hypertexte" xfId="15932" builtinId="8" hidden="1"/>
    <cellStyle name="Lien hypertexte" xfId="14832" builtinId="8" hidden="1"/>
    <cellStyle name="Lien hypertexte" xfId="680" builtinId="8" hidden="1"/>
    <cellStyle name="Lien hypertexte" xfId="718" builtinId="8" hidden="1"/>
    <cellStyle name="Lien hypertexte" xfId="756" builtinId="8" hidden="1"/>
    <cellStyle name="Lien hypertexte" xfId="792" builtinId="8" hidden="1"/>
    <cellStyle name="Lien hypertexte" xfId="828" builtinId="8" hidden="1"/>
    <cellStyle name="Lien hypertexte" xfId="866" builtinId="8" hidden="1"/>
    <cellStyle name="Lien hypertexte" xfId="904" builtinId="8" hidden="1"/>
    <cellStyle name="Lien hypertexte" xfId="940" builtinId="8" hidden="1"/>
    <cellStyle name="Lien hypertexte" xfId="978" builtinId="8" hidden="1"/>
    <cellStyle name="Lien hypertexte" xfId="1016" builtinId="8" hidden="1"/>
    <cellStyle name="Lien hypertexte" xfId="1052" builtinId="8" hidden="1"/>
    <cellStyle name="Lien hypertexte" xfId="1088" builtinId="8" hidden="1"/>
    <cellStyle name="Lien hypertexte" xfId="1126" builtinId="8" hidden="1"/>
    <cellStyle name="Lien hypertexte" xfId="14518" builtinId="8" hidden="1"/>
    <cellStyle name="Lien hypertexte" xfId="14554" builtinId="8" hidden="1"/>
    <cellStyle name="Lien hypertexte" xfId="14592" builtinId="8" hidden="1"/>
    <cellStyle name="Lien hypertexte" xfId="1094" builtinId="8" hidden="1"/>
    <cellStyle name="Lien hypertexte" xfId="376" builtinId="8" hidden="1"/>
    <cellStyle name="Lien hypertexte" xfId="412" builtinId="8" hidden="1"/>
    <cellStyle name="Lien hypertexte" xfId="448" builtinId="8" hidden="1"/>
    <cellStyle name="Lien hypertexte" xfId="488" builtinId="8" hidden="1"/>
    <cellStyle name="Lien hypertexte" xfId="524" builtinId="8" hidden="1"/>
    <cellStyle name="Lien hypertexte" xfId="560" builtinId="8" hidden="1"/>
    <cellStyle name="Lien hypertexte" xfId="598" builtinId="8" hidden="1"/>
    <cellStyle name="Lien hypertexte" xfId="634" builtinId="8" hidden="1"/>
    <cellStyle name="Lien hypertexte" xfId="214" builtinId="8" hidden="1"/>
    <cellStyle name="Lien hypertexte" xfId="250" builtinId="8" hidden="1"/>
    <cellStyle name="Lien hypertexte" xfId="288" builtinId="8" hidden="1"/>
    <cellStyle name="Lien hypertexte" xfId="324" builtinId="8" hidden="1"/>
    <cellStyle name="Lien hypertexte" xfId="136" builtinId="8" hidden="1"/>
    <cellStyle name="Lien hypertexte" xfId="174" builtinId="8" hidden="1"/>
    <cellStyle name="Lien hypertexte" xfId="98" builtinId="8" hidden="1"/>
    <cellStyle name="Lien hypertexte" xfId="78" builtinId="8" hidden="1"/>
    <cellStyle name="Lien hypertexte" xfId="188" builtinId="8" hidden="1"/>
    <cellStyle name="Lien hypertexte" xfId="612" builtinId="8" hidden="1"/>
    <cellStyle name="Lien hypertexte" xfId="354" builtinId="8" hidden="1"/>
    <cellStyle name="Lien hypertexte" xfId="1030" builtinId="8" hidden="1"/>
    <cellStyle name="Lien hypertexte" xfId="770" builtinId="8" hidden="1"/>
    <cellStyle name="Lien hypertexte" xfId="15834" builtinId="8" hidden="1"/>
    <cellStyle name="Lien hypertexte" xfId="15570" builtinId="8" hidden="1"/>
    <cellStyle name="Lien hypertexte" xfId="15306" builtinId="8" hidden="1"/>
    <cellStyle name="Lien hypertexte" xfId="15042" builtinId="8" hidden="1"/>
    <cellStyle name="Lien hypertexte" xfId="14778" builtinId="8" hidden="1"/>
    <cellStyle name="Lien hypertexte" xfId="17712" builtinId="8" hidden="1"/>
    <cellStyle name="Lien hypertexte" xfId="18647" builtinId="8" hidden="1"/>
    <cellStyle name="Lien hypertexte" xfId="18375" builtinId="8" hidden="1"/>
    <cellStyle name="Lien hypertexte" xfId="18084" builtinId="8" hidden="1"/>
    <cellStyle name="Lien hypertexte" xfId="17812" builtinId="8" hidden="1"/>
    <cellStyle name="Lien hypertexte" xfId="17538" builtinId="8" hidden="1"/>
    <cellStyle name="Lien hypertexte" xfId="17266" builtinId="8" hidden="1"/>
    <cellStyle name="Lien hypertexte" xfId="16992" builtinId="8" hidden="1"/>
    <cellStyle name="Lien hypertexte" xfId="16718" builtinId="8" hidden="1"/>
    <cellStyle name="Lien hypertexte" xfId="16446" builtinId="8" hidden="1"/>
    <cellStyle name="Lien hypertexte" xfId="16172" builtinId="8" hidden="1"/>
    <cellStyle name="Lien hypertexte" xfId="19105" builtinId="8" hidden="1"/>
    <cellStyle name="Lien hypertexte" xfId="21153" builtinId="8" hidden="1"/>
    <cellStyle name="Lien hypertexte" xfId="21771" builtinId="8" hidden="1"/>
    <cellStyle name="Lien hypertexte" xfId="21811" builtinId="8" hidden="1"/>
    <cellStyle name="Lien hypertexte" xfId="21849" builtinId="8" hidden="1"/>
    <cellStyle name="Lien hypertexte" xfId="21887" builtinId="8" hidden="1"/>
    <cellStyle name="Lien hypertexte" xfId="21927" builtinId="8" hidden="1"/>
    <cellStyle name="Lien hypertexte" xfId="21965" builtinId="8" hidden="1"/>
    <cellStyle name="Lien hypertexte" xfId="22005" builtinId="8" hidden="1"/>
    <cellStyle name="Lien hypertexte" xfId="22043" builtinId="8" hidden="1"/>
    <cellStyle name="Lien hypertexte" xfId="22083" builtinId="8" hidden="1"/>
    <cellStyle name="Lien hypertexte" xfId="22121" builtinId="8" hidden="1"/>
    <cellStyle name="Lien hypertexte" xfId="22159" builtinId="8" hidden="1"/>
    <cellStyle name="Lien hypertexte" xfId="22201" builtinId="8" hidden="1"/>
    <cellStyle name="Lien hypertexte" xfId="22239" builtinId="8" hidden="1"/>
    <cellStyle name="Lien hypertexte" xfId="22279" builtinId="8" hidden="1"/>
    <cellStyle name="Lien hypertexte" xfId="22317" builtinId="8" hidden="1"/>
    <cellStyle name="Lien hypertexte" xfId="22357" builtinId="8" hidden="1"/>
    <cellStyle name="Lien hypertexte" xfId="22395" builtinId="8" hidden="1"/>
    <cellStyle name="Lien hypertexte" xfId="22435" builtinId="8" hidden="1"/>
    <cellStyle name="Lien hypertexte" xfId="22473" builtinId="8" hidden="1"/>
    <cellStyle name="Lien hypertexte" xfId="22511" builtinId="8" hidden="1"/>
    <cellStyle name="Lien hypertexte" xfId="22551" builtinId="8" hidden="1"/>
    <cellStyle name="Lien hypertexte" xfId="22589" builtinId="8" hidden="1"/>
    <cellStyle name="Lien hypertexte" xfId="22629" builtinId="8" hidden="1"/>
    <cellStyle name="Lien hypertexte" xfId="22667" builtinId="8" hidden="1"/>
    <cellStyle name="Lien hypertexte" xfId="22707" builtinId="8" hidden="1"/>
    <cellStyle name="Lien hypertexte" xfId="22745" builtinId="8" hidden="1"/>
    <cellStyle name="Lien hypertexte" xfId="22787" builtinId="8" hidden="1"/>
    <cellStyle name="Lien hypertexte" xfId="22825" builtinId="8" hidden="1"/>
    <cellStyle name="Lien hypertexte" xfId="22863" builtinId="8" hidden="1"/>
    <cellStyle name="Lien hypertexte" xfId="22903" builtinId="8" hidden="1"/>
    <cellStyle name="Lien hypertexte" xfId="22941" builtinId="8" hidden="1"/>
    <cellStyle name="Lien hypertexte" xfId="22981" builtinId="8" hidden="1"/>
    <cellStyle name="Lien hypertexte" xfId="23019" builtinId="8" hidden="1"/>
    <cellStyle name="Lien hypertexte" xfId="23059" builtinId="8" hidden="1"/>
    <cellStyle name="Lien hypertexte" xfId="23097" builtinId="8" hidden="1"/>
    <cellStyle name="Lien hypertexte" xfId="23135" builtinId="8" hidden="1"/>
    <cellStyle name="Lien hypertexte" xfId="23175" builtinId="8" hidden="1"/>
    <cellStyle name="Lien hypertexte" xfId="23213" builtinId="8" hidden="1"/>
    <cellStyle name="Lien hypertexte" xfId="23253" builtinId="8" hidden="1"/>
    <cellStyle name="Lien hypertexte" xfId="23291" builtinId="8" hidden="1"/>
    <cellStyle name="Lien hypertexte" xfId="23331" builtinId="8" hidden="1"/>
    <cellStyle name="Lien hypertexte" xfId="23371" builtinId="8" hidden="1"/>
    <cellStyle name="Lien hypertexte" xfId="23411" builtinId="8" hidden="1"/>
    <cellStyle name="Lien hypertexte" xfId="23449" builtinId="8" hidden="1"/>
    <cellStyle name="Lien hypertexte" xfId="23487" builtinId="8" hidden="1"/>
    <cellStyle name="Lien hypertexte" xfId="23527" builtinId="8" hidden="1"/>
    <cellStyle name="Lien hypertexte" xfId="23565" builtinId="8" hidden="1"/>
    <cellStyle name="Lien hypertexte" xfId="23605" builtinId="8" hidden="1"/>
    <cellStyle name="Lien hypertexte" xfId="23643" builtinId="8" hidden="1"/>
    <cellStyle name="Lien hypertexte" xfId="23683" builtinId="8" hidden="1"/>
    <cellStyle name="Lien hypertexte" xfId="23721" builtinId="8" hidden="1"/>
    <cellStyle name="Lien hypertexte" xfId="23759" builtinId="8" hidden="1"/>
    <cellStyle name="Lien hypertexte" xfId="23799" builtinId="8" hidden="1"/>
    <cellStyle name="Lien hypertexte" xfId="23837" builtinId="8" hidden="1"/>
    <cellStyle name="Lien hypertexte" xfId="23877" builtinId="8" hidden="1"/>
    <cellStyle name="Lien hypertexte" xfId="23915" builtinId="8" hidden="1"/>
    <cellStyle name="Lien hypertexte" xfId="23957" builtinId="8" hidden="1"/>
    <cellStyle name="Lien hypertexte" xfId="23995" builtinId="8" hidden="1"/>
    <cellStyle name="Lien hypertexte" xfId="24035" builtinId="8" hidden="1"/>
    <cellStyle name="Lien hypertexte" xfId="24073" builtinId="8" hidden="1"/>
    <cellStyle name="Lien hypertexte" xfId="24111" builtinId="8" hidden="1"/>
    <cellStyle name="Lien hypertexte" xfId="24151" builtinId="8" hidden="1"/>
    <cellStyle name="Lien hypertexte" xfId="24189" builtinId="8" hidden="1"/>
    <cellStyle name="Lien hypertexte" xfId="24229" builtinId="8" hidden="1"/>
    <cellStyle name="Lien hypertexte" xfId="24267" builtinId="8" hidden="1"/>
    <cellStyle name="Lien hypertexte" xfId="24307" builtinId="8" hidden="1"/>
    <cellStyle name="Lien hypertexte" xfId="24345" builtinId="8" hidden="1"/>
    <cellStyle name="Lien hypertexte" xfId="24383" builtinId="8" hidden="1"/>
    <cellStyle name="Lien hypertexte" xfId="24423" builtinId="8" hidden="1"/>
    <cellStyle name="Lien hypertexte" xfId="24461" builtinId="8" hidden="1"/>
    <cellStyle name="Lien hypertexte" xfId="24501" builtinId="8" hidden="1"/>
    <cellStyle name="Lien hypertexte" xfId="24541" builtinId="8" hidden="1"/>
    <cellStyle name="Lien hypertexte" xfId="24581" builtinId="8" hidden="1"/>
    <cellStyle name="Lien hypertexte" xfId="24561" builtinId="8" hidden="1"/>
    <cellStyle name="Lien hypertexte" xfId="24289" builtinId="8" hidden="1"/>
    <cellStyle name="Lien hypertexte" xfId="24017" builtinId="8" hidden="1"/>
    <cellStyle name="Lien hypertexte" xfId="23745" builtinId="8" hidden="1"/>
    <cellStyle name="Lien hypertexte" xfId="23473" builtinId="8" hidden="1"/>
    <cellStyle name="Lien hypertexte" xfId="23201" builtinId="8" hidden="1"/>
    <cellStyle name="Lien hypertexte" xfId="22929" builtinId="8" hidden="1"/>
    <cellStyle name="Lien hypertexte" xfId="22657" builtinId="8" hidden="1"/>
    <cellStyle name="Lien hypertexte" xfId="22385" builtinId="8" hidden="1"/>
    <cellStyle name="Lien hypertexte" xfId="22113" builtinId="8" hidden="1"/>
    <cellStyle name="Lien hypertexte" xfId="21841" builtinId="8" hidden="1"/>
    <cellStyle name="Lien hypertexte" xfId="21569" builtinId="8" hidden="1"/>
    <cellStyle name="Lien hypertexte" xfId="24467" builtinId="8" hidden="1"/>
    <cellStyle name="Lien hypertexte" xfId="23881" builtinId="8" hidden="1"/>
    <cellStyle name="Lien hypertexte" xfId="23295" builtinId="8" hidden="1"/>
    <cellStyle name="Lien hypertexte" xfId="22711" builtinId="8" hidden="1"/>
    <cellStyle name="Lien hypertexte" xfId="22125" builtinId="8" hidden="1"/>
    <cellStyle name="Lien hypertexte" xfId="20259" builtinId="8" hidden="1"/>
    <cellStyle name="Lien hypertexte" xfId="20297" builtinId="8" hidden="1"/>
    <cellStyle name="Lien hypertexte" xfId="20335" builtinId="8" hidden="1"/>
    <cellStyle name="Lien hypertexte" xfId="20373" builtinId="8" hidden="1"/>
    <cellStyle name="Lien hypertexte" xfId="20411" builtinId="8" hidden="1"/>
    <cellStyle name="Lien hypertexte" xfId="20447" builtinId="8" hidden="1"/>
    <cellStyle name="Lien hypertexte" xfId="20487" builtinId="8" hidden="1"/>
    <cellStyle name="Lien hypertexte" xfId="20523" builtinId="8" hidden="1"/>
    <cellStyle name="Lien hypertexte" xfId="20563" builtinId="8" hidden="1"/>
    <cellStyle name="Lien hypertexte" xfId="20599" builtinId="8" hidden="1"/>
    <cellStyle name="Lien hypertexte" xfId="20637" builtinId="8" hidden="1"/>
    <cellStyle name="Lien hypertexte" xfId="20675" builtinId="8" hidden="1"/>
    <cellStyle name="Lien hypertexte" xfId="20713" builtinId="8" hidden="1"/>
    <cellStyle name="Lien hypertexte" xfId="20749" builtinId="8" hidden="1"/>
    <cellStyle name="Lien hypertexte" xfId="20789" builtinId="8" hidden="1"/>
    <cellStyle name="Lien hypertexte" xfId="20825" builtinId="8" hidden="1"/>
    <cellStyle name="Lien hypertexte" xfId="20863" builtinId="8" hidden="1"/>
    <cellStyle name="Lien hypertexte" xfId="20901" builtinId="8" hidden="1"/>
    <cellStyle name="Lien hypertexte" xfId="20939" builtinId="8" hidden="1"/>
    <cellStyle name="Lien hypertexte" xfId="20975" builtinId="8" hidden="1"/>
    <cellStyle name="Lien hypertexte" xfId="21015" builtinId="8" hidden="1"/>
    <cellStyle name="Lien hypertexte" xfId="21051" builtinId="8" hidden="1"/>
    <cellStyle name="Lien hypertexte" xfId="21091" builtinId="8" hidden="1"/>
    <cellStyle name="Lien hypertexte" xfId="21127" builtinId="8" hidden="1"/>
    <cellStyle name="Lien hypertexte" xfId="21165" builtinId="8" hidden="1"/>
    <cellStyle name="Lien hypertexte" xfId="21203" builtinId="8" hidden="1"/>
    <cellStyle name="Lien hypertexte" xfId="21241" builtinId="8" hidden="1"/>
    <cellStyle name="Lien hypertexte" xfId="21277" builtinId="8" hidden="1"/>
    <cellStyle name="Lien hypertexte" xfId="21317" builtinId="8" hidden="1"/>
    <cellStyle name="Lien hypertexte" xfId="21353" builtinId="8" hidden="1"/>
    <cellStyle name="Lien hypertexte" xfId="21391" builtinId="8" hidden="1"/>
    <cellStyle name="Lien hypertexte" xfId="21429" builtinId="8" hidden="1"/>
    <cellStyle name="Lien hypertexte" xfId="21467" builtinId="8" hidden="1"/>
    <cellStyle name="Lien hypertexte" xfId="21507" builtinId="8" hidden="1"/>
    <cellStyle name="Lien hypertexte" xfId="21543" builtinId="8" hidden="1"/>
    <cellStyle name="Lien hypertexte" xfId="21581" builtinId="8" hidden="1"/>
    <cellStyle name="Lien hypertexte" xfId="21619" builtinId="8" hidden="1"/>
    <cellStyle name="Lien hypertexte" xfId="21657" builtinId="8" hidden="1"/>
    <cellStyle name="Lien hypertexte" xfId="21693" builtinId="8" hidden="1"/>
    <cellStyle name="Lien hypertexte" xfId="21733" builtinId="8" hidden="1"/>
    <cellStyle name="Lien hypertexte" xfId="20845" builtinId="8" hidden="1"/>
    <cellStyle name="Lien hypertexte" xfId="19551" builtinId="8" hidden="1"/>
    <cellStyle name="Lien hypertexte" xfId="19589" builtinId="8" hidden="1"/>
    <cellStyle name="Lien hypertexte" xfId="19627" builtinId="8" hidden="1"/>
    <cellStyle name="Lien hypertexte" xfId="19663" builtinId="8" hidden="1"/>
    <cellStyle name="Lien hypertexte" xfId="19701" builtinId="8" hidden="1"/>
    <cellStyle name="Lien hypertexte" xfId="19737" builtinId="8" hidden="1"/>
    <cellStyle name="Lien hypertexte" xfId="19775" builtinId="8" hidden="1"/>
    <cellStyle name="Lien hypertexte" xfId="19813" builtinId="8" hidden="1"/>
    <cellStyle name="Lien hypertexte" xfId="19849" builtinId="8" hidden="1"/>
    <cellStyle name="Lien hypertexte" xfId="19885" builtinId="8" hidden="1"/>
    <cellStyle name="Lien hypertexte" xfId="19925" builtinId="8" hidden="1"/>
    <cellStyle name="Lien hypertexte" xfId="19961" builtinId="8" hidden="1"/>
    <cellStyle name="Lien hypertexte" xfId="19997" builtinId="8" hidden="1"/>
    <cellStyle name="Lien hypertexte" xfId="20035" builtinId="8" hidden="1"/>
    <cellStyle name="Lien hypertexte" xfId="20073" builtinId="8" hidden="1"/>
    <cellStyle name="Lien hypertexte" xfId="20109" builtinId="8" hidden="1"/>
    <cellStyle name="Lien hypertexte" xfId="20147" builtinId="8" hidden="1"/>
    <cellStyle name="Lien hypertexte" xfId="20183" builtinId="8" hidden="1"/>
    <cellStyle name="Lien hypertexte" xfId="20221" builtinId="8" hidden="1"/>
    <cellStyle name="Lien hypertexte" xfId="19189" builtinId="8" hidden="1"/>
    <cellStyle name="Lien hypertexte" xfId="19225" builtinId="8" hidden="1"/>
    <cellStyle name="Lien hypertexte" xfId="19261" builtinId="8" hidden="1"/>
    <cellStyle name="Lien hypertexte" xfId="19299" builtinId="8" hidden="1"/>
    <cellStyle name="Lien hypertexte" xfId="19337" builtinId="8" hidden="1"/>
    <cellStyle name="Lien hypertexte" xfId="19373" builtinId="8" hidden="1"/>
    <cellStyle name="Lien hypertexte" xfId="19411" builtinId="8" hidden="1"/>
    <cellStyle name="Lien hypertexte" xfId="19447" builtinId="8" hidden="1"/>
    <cellStyle name="Lien hypertexte" xfId="19483" builtinId="8" hidden="1"/>
    <cellStyle name="Lien hypertexte" xfId="19519" builtinId="8" hidden="1"/>
    <cellStyle name="Lien hypertexte" xfId="19035" builtinId="8" hidden="1"/>
    <cellStyle name="Lien hypertexte" xfId="19071" builtinId="8" hidden="1"/>
    <cellStyle name="Lien hypertexte" xfId="19109" builtinId="8" hidden="1"/>
    <cellStyle name="Lien hypertexte" xfId="19145" builtinId="8" hidden="1"/>
    <cellStyle name="Lien hypertexte" xfId="19181" builtinId="8" hidden="1"/>
    <cellStyle name="Lien hypertexte" xfId="18963" builtinId="8" hidden="1"/>
    <cellStyle name="Lien hypertexte" xfId="18999" builtinId="8" hidden="1"/>
    <cellStyle name="Lien hypertexte" xfId="18907" builtinId="8" hidden="1"/>
    <cellStyle name="Lien hypertexte" xfId="18879" builtinId="8" hidden="1"/>
    <cellStyle name="Lien hypertexte" xfId="18853" builtinId="8" hidden="1"/>
    <cellStyle name="Lien hypertexte" xfId="18927" builtinId="8" hidden="1"/>
    <cellStyle name="Lien hypertexte" xfId="18891" builtinId="8" hidden="1"/>
    <cellStyle name="Lien hypertexte" xfId="18983" builtinId="8" hidden="1"/>
    <cellStyle name="Lien hypertexte" xfId="18947" builtinId="8" hidden="1"/>
    <cellStyle name="Lien hypertexte" xfId="19165" builtinId="8" hidden="1"/>
    <cellStyle name="Lien hypertexte" xfId="19129" builtinId="8" hidden="1"/>
    <cellStyle name="Lien hypertexte" xfId="19093" builtinId="8" hidden="1"/>
    <cellStyle name="Lien hypertexte" xfId="19055" builtinId="8" hidden="1"/>
    <cellStyle name="Lien hypertexte" xfId="19019" builtinId="8" hidden="1"/>
    <cellStyle name="Lien hypertexte" xfId="19503" builtinId="8" hidden="1"/>
    <cellStyle name="Lien hypertexte" xfId="19467" builtinId="8" hidden="1"/>
    <cellStyle name="Lien hypertexte" xfId="19431" builtinId="8" hidden="1"/>
    <cellStyle name="Lien hypertexte" xfId="19395" builtinId="8" hidden="1"/>
    <cellStyle name="Lien hypertexte" xfId="19357" builtinId="8" hidden="1"/>
    <cellStyle name="Lien hypertexte" xfId="19321" builtinId="8" hidden="1"/>
    <cellStyle name="Lien hypertexte" xfId="19283" builtinId="8" hidden="1"/>
    <cellStyle name="Lien hypertexte" xfId="19245" builtinId="8" hidden="1"/>
    <cellStyle name="Lien hypertexte" xfId="19209" builtinId="8" hidden="1"/>
    <cellStyle name="Lien hypertexte" xfId="20243" builtinId="8" hidden="1"/>
    <cellStyle name="Lien hypertexte" xfId="20205" builtinId="8" hidden="1"/>
    <cellStyle name="Lien hypertexte" xfId="20167" builtinId="8" hidden="1"/>
    <cellStyle name="Lien hypertexte" xfId="20131" builtinId="8" hidden="1"/>
    <cellStyle name="Lien hypertexte" xfId="20093" builtinId="8" hidden="1"/>
    <cellStyle name="Lien hypertexte" xfId="20057" builtinId="8" hidden="1"/>
    <cellStyle name="Lien hypertexte" xfId="20019" builtinId="8" hidden="1"/>
    <cellStyle name="Lien hypertexte" xfId="19981" builtinId="8" hidden="1"/>
    <cellStyle name="Lien hypertexte" xfId="19945" builtinId="8" hidden="1"/>
    <cellStyle name="Lien hypertexte" xfId="19909" builtinId="8" hidden="1"/>
    <cellStyle name="Lien hypertexte" xfId="19869" builtinId="8" hidden="1"/>
    <cellStyle name="Lien hypertexte" xfId="19833" builtinId="8" hidden="1"/>
    <cellStyle name="Lien hypertexte" xfId="19797" builtinId="8" hidden="1"/>
    <cellStyle name="Lien hypertexte" xfId="19759" builtinId="8" hidden="1"/>
    <cellStyle name="Lien hypertexte" xfId="19721" builtinId="8" hidden="1"/>
    <cellStyle name="Lien hypertexte" xfId="19685" builtinId="8" hidden="1"/>
    <cellStyle name="Lien hypertexte" xfId="19647" builtinId="8" hidden="1"/>
    <cellStyle name="Lien hypertexte" xfId="19611" builtinId="8" hidden="1"/>
    <cellStyle name="Lien hypertexte" xfId="19573" builtinId="8" hidden="1"/>
    <cellStyle name="Lien hypertexte" xfId="19535" builtinId="8" hidden="1"/>
    <cellStyle name="Lien hypertexte" xfId="21357" builtinId="8" hidden="1"/>
    <cellStyle name="Lien hypertexte" xfId="21715" builtinId="8" hidden="1"/>
    <cellStyle name="Lien hypertexte" xfId="21677" builtinId="8" hidden="1"/>
    <cellStyle name="Lien hypertexte" xfId="21639" builtinId="8" hidden="1"/>
    <cellStyle name="Lien hypertexte" xfId="21603" builtinId="8" hidden="1"/>
    <cellStyle name="Lien hypertexte" xfId="21563" builtinId="8" hidden="1"/>
    <cellStyle name="Lien hypertexte" xfId="21527" builtinId="8" hidden="1"/>
    <cellStyle name="Lien hypertexte" xfId="21487" builtinId="8" hidden="1"/>
    <cellStyle name="Lien hypertexte" xfId="21451" builtinId="8" hidden="1"/>
    <cellStyle name="Lien hypertexte" xfId="21413" builtinId="8" hidden="1"/>
    <cellStyle name="Lien hypertexte" xfId="21375" builtinId="8" hidden="1"/>
    <cellStyle name="Lien hypertexte" xfId="21337" builtinId="8" hidden="1"/>
    <cellStyle name="Lien hypertexte" xfId="21301" builtinId="8" hidden="1"/>
    <cellStyle name="Lien hypertexte" xfId="21261" builtinId="8" hidden="1"/>
    <cellStyle name="Lien hypertexte" xfId="21225" builtinId="8" hidden="1"/>
    <cellStyle name="Lien hypertexte" xfId="21187" builtinId="8" hidden="1"/>
    <cellStyle name="Lien hypertexte" xfId="21149" builtinId="8" hidden="1"/>
    <cellStyle name="Lien hypertexte" xfId="21111" builtinId="8" hidden="1"/>
    <cellStyle name="Lien hypertexte" xfId="21075" builtinId="8" hidden="1"/>
    <cellStyle name="Lien hypertexte" xfId="21035" builtinId="8" hidden="1"/>
    <cellStyle name="Lien hypertexte" xfId="20999" builtinId="8" hidden="1"/>
    <cellStyle name="Lien hypertexte" xfId="20959" builtinId="8" hidden="1"/>
    <cellStyle name="Lien hypertexte" xfId="20923" builtinId="8" hidden="1"/>
    <cellStyle name="Lien hypertexte" xfId="20885" builtinId="8" hidden="1"/>
    <cellStyle name="Lien hypertexte" xfId="20847" builtinId="8" hidden="1"/>
    <cellStyle name="Lien hypertexte" xfId="20809" builtinId="8" hidden="1"/>
    <cellStyle name="Lien hypertexte" xfId="20771" builtinId="8" hidden="1"/>
    <cellStyle name="Lien hypertexte" xfId="20733" builtinId="8" hidden="1"/>
    <cellStyle name="Lien hypertexte" xfId="20695" builtinId="8" hidden="1"/>
    <cellStyle name="Lien hypertexte" xfId="20659" builtinId="8" hidden="1"/>
    <cellStyle name="Lien hypertexte" xfId="20619" builtinId="8" hidden="1"/>
    <cellStyle name="Lien hypertexte" xfId="20583" builtinId="8" hidden="1"/>
    <cellStyle name="Lien hypertexte" xfId="20543" builtinId="8" hidden="1"/>
    <cellStyle name="Lien hypertexte" xfId="20507" builtinId="8" hidden="1"/>
    <cellStyle name="Lien hypertexte" xfId="20469" builtinId="8" hidden="1"/>
    <cellStyle name="Lien hypertexte" xfId="20431" builtinId="8" hidden="1"/>
    <cellStyle name="Lien hypertexte" xfId="20393" builtinId="8" hidden="1"/>
    <cellStyle name="Lien hypertexte" xfId="20357" builtinId="8" hidden="1"/>
    <cellStyle name="Lien hypertexte" xfId="20317" builtinId="8" hidden="1"/>
    <cellStyle name="Lien hypertexte" xfId="20281" builtinId="8" hidden="1"/>
    <cellStyle name="Lien hypertexte" xfId="21797" builtinId="8" hidden="1"/>
    <cellStyle name="Lien hypertexte" xfId="22381" builtinId="8" hidden="1"/>
    <cellStyle name="Lien hypertexte" xfId="22967" builtinId="8" hidden="1"/>
    <cellStyle name="Lien hypertexte" xfId="23551" builtinId="8" hidden="1"/>
    <cellStyle name="Lien hypertexte" xfId="24137" builtinId="8" hidden="1"/>
    <cellStyle name="Lien hypertexte" xfId="23841" builtinId="8" hidden="1"/>
    <cellStyle name="Lien hypertexte" xfId="21681" builtinId="8" hidden="1"/>
    <cellStyle name="Lien hypertexte" xfId="21953" builtinId="8" hidden="1"/>
    <cellStyle name="Lien hypertexte" xfId="22225" builtinId="8" hidden="1"/>
    <cellStyle name="Lien hypertexte" xfId="22497" builtinId="8" hidden="1"/>
    <cellStyle name="Lien hypertexte" xfId="22769" builtinId="8" hidden="1"/>
    <cellStyle name="Lien hypertexte" xfId="23041" builtinId="8" hidden="1"/>
    <cellStyle name="Lien hypertexte" xfId="23313" builtinId="8" hidden="1"/>
    <cellStyle name="Lien hypertexte" xfId="23601" builtinId="8" hidden="1"/>
    <cellStyle name="Lien hypertexte" xfId="23873" builtinId="8" hidden="1"/>
    <cellStyle name="Lien hypertexte" xfId="24145" builtinId="8" hidden="1"/>
    <cellStyle name="Lien hypertexte" xfId="24417" builtinId="8" hidden="1"/>
    <cellStyle name="Lien hypertexte" xfId="24601" builtinId="8" hidden="1"/>
    <cellStyle name="Lien hypertexte" xfId="24563" builtinId="8" hidden="1"/>
    <cellStyle name="Lien hypertexte" xfId="24523" builtinId="8" hidden="1"/>
    <cellStyle name="Lien hypertexte" xfId="24485" builtinId="8" hidden="1"/>
    <cellStyle name="Lien hypertexte" xfId="24445" builtinId="8" hidden="1"/>
    <cellStyle name="Lien hypertexte" xfId="24407" builtinId="8" hidden="1"/>
    <cellStyle name="Lien hypertexte" xfId="24367" builtinId="8" hidden="1"/>
    <cellStyle name="Lien hypertexte" xfId="24329" builtinId="8" hidden="1"/>
    <cellStyle name="Lien hypertexte" xfId="24291" builtinId="8" hidden="1"/>
    <cellStyle name="Lien hypertexte" xfId="24251" builtinId="8" hidden="1"/>
    <cellStyle name="Lien hypertexte" xfId="24213" builtinId="8" hidden="1"/>
    <cellStyle name="Lien hypertexte" xfId="24171" builtinId="8" hidden="1"/>
    <cellStyle name="Lien hypertexte" xfId="24133" builtinId="8" hidden="1"/>
    <cellStyle name="Lien hypertexte" xfId="24093" builtinId="8" hidden="1"/>
    <cellStyle name="Lien hypertexte" xfId="24055" builtinId="8" hidden="1"/>
    <cellStyle name="Lien hypertexte" xfId="24015" builtinId="8" hidden="1"/>
    <cellStyle name="Lien hypertexte" xfId="23977" builtinId="8" hidden="1"/>
    <cellStyle name="Lien hypertexte" xfId="23939" builtinId="8" hidden="1"/>
    <cellStyle name="Lien hypertexte" xfId="23899" builtinId="8" hidden="1"/>
    <cellStyle name="Lien hypertexte" xfId="23861" builtinId="8" hidden="1"/>
    <cellStyle name="Lien hypertexte" xfId="23821" builtinId="8" hidden="1"/>
    <cellStyle name="Lien hypertexte" xfId="23783" builtinId="8" hidden="1"/>
    <cellStyle name="Lien hypertexte" xfId="23743" builtinId="8" hidden="1"/>
    <cellStyle name="Lien hypertexte" xfId="23705" builtinId="8" hidden="1"/>
    <cellStyle name="Lien hypertexte" xfId="23667" builtinId="8" hidden="1"/>
    <cellStyle name="Lien hypertexte" xfId="23627" builtinId="8" hidden="1"/>
    <cellStyle name="Lien hypertexte" xfId="23587" builtinId="8" hidden="1"/>
    <cellStyle name="Lien hypertexte" xfId="23547" builtinId="8" hidden="1"/>
    <cellStyle name="Lien hypertexte" xfId="23509" builtinId="8" hidden="1"/>
    <cellStyle name="Lien hypertexte" xfId="23469" builtinId="8" hidden="1"/>
    <cellStyle name="Lien hypertexte" xfId="23431" builtinId="8" hidden="1"/>
    <cellStyle name="Lien hypertexte" xfId="23391" builtinId="8" hidden="1"/>
    <cellStyle name="Lien hypertexte" xfId="23353" builtinId="8" hidden="1"/>
    <cellStyle name="Lien hypertexte" xfId="23315" builtinId="8" hidden="1"/>
    <cellStyle name="Lien hypertexte" xfId="23275" builtinId="8" hidden="1"/>
    <cellStyle name="Lien hypertexte" xfId="23237" builtinId="8" hidden="1"/>
    <cellStyle name="Lien hypertexte" xfId="23197" builtinId="8" hidden="1"/>
    <cellStyle name="Lien hypertexte" xfId="23159" builtinId="8" hidden="1"/>
    <cellStyle name="Lien hypertexte" xfId="23119" builtinId="8" hidden="1"/>
    <cellStyle name="Lien hypertexte" xfId="23081" builtinId="8" hidden="1"/>
    <cellStyle name="Lien hypertexte" xfId="23043" builtinId="8" hidden="1"/>
    <cellStyle name="Lien hypertexte" xfId="23001" builtinId="8" hidden="1"/>
    <cellStyle name="Lien hypertexte" xfId="22963" builtinId="8" hidden="1"/>
    <cellStyle name="Lien hypertexte" xfId="22923" builtinId="8" hidden="1"/>
    <cellStyle name="Lien hypertexte" xfId="22885" builtinId="8" hidden="1"/>
    <cellStyle name="Lien hypertexte" xfId="22845" builtinId="8" hidden="1"/>
    <cellStyle name="Lien hypertexte" xfId="22807" builtinId="8" hidden="1"/>
    <cellStyle name="Lien hypertexte" xfId="22767" builtinId="8" hidden="1"/>
    <cellStyle name="Lien hypertexte" xfId="22729" builtinId="8" hidden="1"/>
    <cellStyle name="Lien hypertexte" xfId="22691" builtinId="8" hidden="1"/>
    <cellStyle name="Lien hypertexte" xfId="22651" builtinId="8" hidden="1"/>
    <cellStyle name="Lien hypertexte" xfId="22613" builtinId="8" hidden="1"/>
    <cellStyle name="Lien hypertexte" xfId="22573" builtinId="8" hidden="1"/>
    <cellStyle name="Lien hypertexte" xfId="22535" builtinId="8" hidden="1"/>
    <cellStyle name="Lien hypertexte" xfId="22495" builtinId="8" hidden="1"/>
    <cellStyle name="Lien hypertexte" xfId="22457" builtinId="8" hidden="1"/>
    <cellStyle name="Lien hypertexte" xfId="22415" builtinId="8" hidden="1"/>
    <cellStyle name="Lien hypertexte" xfId="22377" builtinId="8" hidden="1"/>
    <cellStyle name="Lien hypertexte" xfId="22339" builtinId="8" hidden="1"/>
    <cellStyle name="Lien hypertexte" xfId="22299" builtinId="8" hidden="1"/>
    <cellStyle name="Lien hypertexte" xfId="22261" builtinId="8" hidden="1"/>
    <cellStyle name="Lien hypertexte" xfId="22221" builtinId="8" hidden="1"/>
    <cellStyle name="Lien hypertexte" xfId="22183" builtinId="8" hidden="1"/>
    <cellStyle name="Lien hypertexte" xfId="22143" builtinId="8" hidden="1"/>
    <cellStyle name="Lien hypertexte" xfId="22105" builtinId="8" hidden="1"/>
    <cellStyle name="Lien hypertexte" xfId="22067" builtinId="8" hidden="1"/>
    <cellStyle name="Lien hypertexte" xfId="22027" builtinId="8" hidden="1"/>
    <cellStyle name="Lien hypertexte" xfId="21989" builtinId="8" hidden="1"/>
    <cellStyle name="Lien hypertexte" xfId="21949" builtinId="8" hidden="1"/>
    <cellStyle name="Lien hypertexte" xfId="21911" builtinId="8" hidden="1"/>
    <cellStyle name="Lien hypertexte" xfId="21871" builtinId="8" hidden="1"/>
    <cellStyle name="Lien hypertexte" xfId="21831" builtinId="8" hidden="1"/>
    <cellStyle name="Lien hypertexte" xfId="21791" builtinId="8" hidden="1"/>
    <cellStyle name="Lien hypertexte" xfId="21753" builtinId="8" hidden="1"/>
    <cellStyle name="Lien hypertexte" xfId="20257" builtinId="8" hidden="1"/>
    <cellStyle name="Lien hypertexte" xfId="16020" builtinId="8" hidden="1"/>
    <cellStyle name="Lien hypertexte" xfId="16292" builtinId="8" hidden="1"/>
    <cellStyle name="Lien hypertexte" xfId="16566" builtinId="8" hidden="1"/>
    <cellStyle name="Lien hypertexte" xfId="16838" builtinId="8" hidden="1"/>
    <cellStyle name="Lien hypertexte" xfId="17112" builtinId="8" hidden="1"/>
    <cellStyle name="Lien hypertexte" xfId="17384" builtinId="8" hidden="1"/>
    <cellStyle name="Lien hypertexte" xfId="17658" builtinId="8" hidden="1"/>
    <cellStyle name="Lien hypertexte" xfId="17930" builtinId="8" hidden="1"/>
    <cellStyle name="Lien hypertexte" xfId="18204" builtinId="8" hidden="1"/>
    <cellStyle name="Lien hypertexte" xfId="18493" builtinId="8" hidden="1"/>
    <cellStyle name="Lien hypertexte" xfId="18767" builtinId="8" hidden="1"/>
    <cellStyle name="Lien hypertexte" xfId="14628" builtinId="8" hidden="1"/>
    <cellStyle name="Lien hypertexte" xfId="14892" builtinId="8" hidden="1"/>
    <cellStyle name="Lien hypertexte" xfId="15158" builtinId="8" hidden="1"/>
    <cellStyle name="Lien hypertexte" xfId="15422" builtinId="8" hidden="1"/>
    <cellStyle name="Lien hypertexte" xfId="15686" builtinId="8" hidden="1"/>
    <cellStyle name="Lien hypertexte" xfId="15472" builtinId="8" hidden="1"/>
    <cellStyle name="Lien hypertexte" xfId="884" builtinId="8" hidden="1"/>
    <cellStyle name="Lien hypertexte" xfId="1144" builtinId="8" hidden="1"/>
    <cellStyle name="Lien hypertexte" xfId="468" builtinId="8" hidden="1"/>
    <cellStyle name="Lien hypertexte" xfId="268" builtinId="8" hidden="1"/>
    <cellStyle name="Lien hypertexte" xfId="56" builtinId="8" hidden="1"/>
    <cellStyle name="Lien hypertexte" xfId="118" builtinId="8" hidden="1"/>
    <cellStyle name="Lien hypertexte" xfId="194" builtinId="8" hidden="1"/>
    <cellStyle name="Lien hypertexte" xfId="158" builtinId="8" hidden="1"/>
    <cellStyle name="Lien hypertexte" xfId="344" builtinId="8" hidden="1"/>
    <cellStyle name="Lien hypertexte" xfId="308" builtinId="8" hidden="1"/>
    <cellStyle name="Lien hypertexte" xfId="272" builtinId="8" hidden="1"/>
    <cellStyle name="Lien hypertexte" xfId="234" builtinId="8" hidden="1"/>
    <cellStyle name="Lien hypertexte" xfId="198" builtinId="8" hidden="1"/>
    <cellStyle name="Lien hypertexte" xfId="618" builtinId="8" hidden="1"/>
    <cellStyle name="Lien hypertexte" xfId="582" builtinId="8" hidden="1"/>
    <cellStyle name="Lien hypertexte" xfId="544" builtinId="8" hidden="1"/>
    <cellStyle name="Lien hypertexte" xfId="508" builtinId="8" hidden="1"/>
    <cellStyle name="Lien hypertexte" xfId="472" builtinId="8" hidden="1"/>
    <cellStyle name="Lien hypertexte" xfId="432" builtinId="8" hidden="1"/>
    <cellStyle name="Lien hypertexte" xfId="396" builtinId="8" hidden="1"/>
    <cellStyle name="Lien hypertexte" xfId="360" builtinId="8" hidden="1"/>
    <cellStyle name="Lien hypertexte" xfId="14614" builtinId="8" hidden="1"/>
    <cellStyle name="Lien hypertexte" xfId="14574" builtinId="8" hidden="1"/>
    <cellStyle name="Lien hypertexte" xfId="14538" builtinId="8" hidden="1"/>
    <cellStyle name="Lien hypertexte" xfId="1148" builtinId="8" hidden="1"/>
    <cellStyle name="Lien hypertexte" xfId="1110" builtinId="8" hidden="1"/>
    <cellStyle name="Lien hypertexte" xfId="1072" builtinId="8" hidden="1"/>
    <cellStyle name="Lien hypertexte" xfId="1036" builtinId="8" hidden="1"/>
    <cellStyle name="Lien hypertexte" xfId="1000" builtinId="8" hidden="1"/>
    <cellStyle name="Lien hypertexte" xfId="960" builtinId="8" hidden="1"/>
    <cellStyle name="Lien hypertexte" xfId="924" builtinId="8" hidden="1"/>
    <cellStyle name="Lien hypertexte" xfId="888" builtinId="8" hidden="1"/>
    <cellStyle name="Lien hypertexte" xfId="850" builtinId="8" hidden="1"/>
    <cellStyle name="Lien hypertexte" xfId="812" builtinId="8" hidden="1"/>
    <cellStyle name="Lien hypertexte" xfId="776" builtinId="8" hidden="1"/>
    <cellStyle name="Lien hypertexte" xfId="740" builtinId="8" hidden="1"/>
    <cellStyle name="Lien hypertexte" xfId="700" builtinId="8" hidden="1"/>
    <cellStyle name="Lien hypertexte" xfId="664" builtinId="8" hidden="1"/>
    <cellStyle name="Lien hypertexte" xfId="15344" builtinId="8" hidden="1"/>
    <cellStyle name="Lien hypertexte" xfId="15914" builtinId="8" hidden="1"/>
    <cellStyle name="Lien hypertexte" xfId="15878" builtinId="8" hidden="1"/>
    <cellStyle name="Lien hypertexte" xfId="15840" builtinId="8" hidden="1"/>
    <cellStyle name="Lien hypertexte" xfId="15804" builtinId="8" hidden="1"/>
    <cellStyle name="Lien hypertexte" xfId="15764" builtinId="8" hidden="1"/>
    <cellStyle name="Lien hypertexte" xfId="15726" builtinId="8" hidden="1"/>
    <cellStyle name="Lien hypertexte" xfId="15690" builtinId="8" hidden="1"/>
    <cellStyle name="Lien hypertexte" xfId="15650" builtinId="8" hidden="1"/>
    <cellStyle name="Lien hypertexte" xfId="15614" builtinId="8" hidden="1"/>
    <cellStyle name="Lien hypertexte" xfId="15576" builtinId="8" hidden="1"/>
    <cellStyle name="Lien hypertexte" xfId="15540" builtinId="8" hidden="1"/>
    <cellStyle name="Lien hypertexte" xfId="15500" builtinId="8" hidden="1"/>
    <cellStyle name="Lien hypertexte" xfId="15462" builtinId="8" hidden="1"/>
    <cellStyle name="Lien hypertexte" xfId="15426" builtinId="8" hidden="1"/>
    <cellStyle name="Lien hypertexte" xfId="15386" builtinId="8" hidden="1"/>
    <cellStyle name="Lien hypertexte" xfId="15350" builtinId="8" hidden="1"/>
    <cellStyle name="Lien hypertexte" xfId="15312" builtinId="8" hidden="1"/>
    <cellStyle name="Lien hypertexte" xfId="15274" builtinId="8" hidden="1"/>
    <cellStyle name="Lien hypertexte" xfId="15236" builtinId="8" hidden="1"/>
    <cellStyle name="Lien hypertexte" xfId="15198" builtinId="8" hidden="1"/>
    <cellStyle name="Lien hypertexte" xfId="15162" builtinId="8" hidden="1"/>
    <cellStyle name="Lien hypertexte" xfId="15122" builtinId="8" hidden="1"/>
    <cellStyle name="Lien hypertexte" xfId="15084" builtinId="8" hidden="1"/>
    <cellStyle name="Lien hypertexte" xfId="15048" builtinId="8" hidden="1"/>
    <cellStyle name="Lien hypertexte" xfId="15010" builtinId="8" hidden="1"/>
    <cellStyle name="Lien hypertexte" xfId="14972" builtinId="8" hidden="1"/>
    <cellStyle name="Lien hypertexte" xfId="14934" builtinId="8" hidden="1"/>
    <cellStyle name="Lien hypertexte" xfId="14898" builtinId="8" hidden="1"/>
    <cellStyle name="Lien hypertexte" xfId="14858" builtinId="8" hidden="1"/>
    <cellStyle name="Lien hypertexte" xfId="14820" builtinId="8" hidden="1"/>
    <cellStyle name="Lien hypertexte" xfId="14784" builtinId="8" hidden="1"/>
    <cellStyle name="Lien hypertexte" xfId="14746" builtinId="8" hidden="1"/>
    <cellStyle name="Lien hypertexte" xfId="14708" builtinId="8" hidden="1"/>
    <cellStyle name="Lien hypertexte" xfId="14670" builtinId="8" hidden="1"/>
    <cellStyle name="Lien hypertexte" xfId="14632" builtinId="8" hidden="1"/>
    <cellStyle name="Lien hypertexte" xfId="16464" builtinId="8" hidden="1"/>
    <cellStyle name="Lien hypertexte" xfId="17040" builtinId="8" hidden="1"/>
    <cellStyle name="Lien hypertexte" xfId="17616" builtinId="8" hidden="1"/>
    <cellStyle name="Lien hypertexte" xfId="18192" builtinId="8" hidden="1"/>
    <cellStyle name="Lien hypertexte" xfId="18817" builtinId="8" hidden="1"/>
    <cellStyle name="Lien hypertexte" xfId="18809" builtinId="8" hidden="1"/>
    <cellStyle name="Lien hypertexte" xfId="18771" builtinId="8" hidden="1"/>
    <cellStyle name="Lien hypertexte" xfId="18731" builtinId="8" hidden="1"/>
    <cellStyle name="Lien hypertexte" xfId="18693" builtinId="8" hidden="1"/>
    <cellStyle name="Lien hypertexte" xfId="18653" builtinId="8" hidden="1"/>
    <cellStyle name="Lien hypertexte" xfId="18615" builtinId="8" hidden="1"/>
    <cellStyle name="Lien hypertexte" xfId="18575" builtinId="8" hidden="1"/>
    <cellStyle name="Lien hypertexte" xfId="18537" builtinId="8" hidden="1"/>
    <cellStyle name="Lien hypertexte" xfId="18499" builtinId="8" hidden="1"/>
    <cellStyle name="Lien hypertexte" xfId="18457" builtinId="8" hidden="1"/>
    <cellStyle name="Lien hypertexte" xfId="18419" builtinId="8" hidden="1"/>
    <cellStyle name="Lien hypertexte" xfId="18381" builtinId="8" hidden="1"/>
    <cellStyle name="Lien hypertexte" xfId="18343" builtinId="8" hidden="1"/>
    <cellStyle name="Lien hypertexte" xfId="18284" builtinId="8" hidden="1"/>
    <cellStyle name="Lien hypertexte" xfId="18246" builtinId="8" hidden="1"/>
    <cellStyle name="Lien hypertexte" xfId="18208" builtinId="8" hidden="1"/>
    <cellStyle name="Lien hypertexte" xfId="18168" builtinId="8" hidden="1"/>
    <cellStyle name="Lien hypertexte" xfId="18130" builtinId="8" hidden="1"/>
    <cellStyle name="Lien hypertexte" xfId="18090" builtinId="8" hidden="1"/>
    <cellStyle name="Lien hypertexte" xfId="18052" builtinId="8" hidden="1"/>
    <cellStyle name="Lien hypertexte" xfId="18012" builtinId="8" hidden="1"/>
    <cellStyle name="Lien hypertexte" xfId="17974" builtinId="8" hidden="1"/>
    <cellStyle name="Lien hypertexte" xfId="17934" builtinId="8" hidden="1"/>
    <cellStyle name="Lien hypertexte" xfId="17894" builtinId="8" hidden="1"/>
    <cellStyle name="Lien hypertexte" xfId="17856" builtinId="8" hidden="1"/>
    <cellStyle name="Lien hypertexte" xfId="17818" builtinId="8" hidden="1"/>
    <cellStyle name="Lien hypertexte" xfId="17780" builtinId="8" hidden="1"/>
    <cellStyle name="Lien hypertexte" xfId="17738" builtinId="8" hidden="1"/>
    <cellStyle name="Lien hypertexte" xfId="17700" builtinId="8" hidden="1"/>
    <cellStyle name="Lien hypertexte" xfId="17662" builtinId="8" hidden="1"/>
    <cellStyle name="Lien hypertexte" xfId="17622" builtinId="8" hidden="1"/>
    <cellStyle name="Lien hypertexte" xfId="17582" builtinId="8" hidden="1"/>
    <cellStyle name="Lien hypertexte" xfId="17544" builtinId="8" hidden="1"/>
    <cellStyle name="Lien hypertexte" xfId="17506" builtinId="8" hidden="1"/>
    <cellStyle name="Lien hypertexte" xfId="17466" builtinId="8" hidden="1"/>
    <cellStyle name="Lien hypertexte" xfId="17428" builtinId="8" hidden="1"/>
    <cellStyle name="Lien hypertexte" xfId="17388" builtinId="8" hidden="1"/>
    <cellStyle name="Lien hypertexte" xfId="17348" builtinId="8" hidden="1"/>
    <cellStyle name="Lien hypertexte" xfId="17310" builtinId="8" hidden="1"/>
    <cellStyle name="Lien hypertexte" xfId="17272" builtinId="8" hidden="1"/>
    <cellStyle name="Lien hypertexte" xfId="17234" builtinId="8" hidden="1"/>
    <cellStyle name="Lien hypertexte" xfId="17192" builtinId="8" hidden="1"/>
    <cellStyle name="Lien hypertexte" xfId="17154" builtinId="8" hidden="1"/>
    <cellStyle name="Lien hypertexte" xfId="17116" builtinId="8" hidden="1"/>
    <cellStyle name="Lien hypertexte" xfId="17076" builtinId="8" hidden="1"/>
    <cellStyle name="Lien hypertexte" xfId="17036" builtinId="8" hidden="1"/>
    <cellStyle name="Lien hypertexte" xfId="16998" builtinId="8" hidden="1"/>
    <cellStyle name="Lien hypertexte" xfId="16960" builtinId="8" hidden="1"/>
    <cellStyle name="Lien hypertexte" xfId="16920" builtinId="8" hidden="1"/>
    <cellStyle name="Lien hypertexte" xfId="16882" builtinId="8" hidden="1"/>
    <cellStyle name="Lien hypertexte" xfId="16842" builtinId="8" hidden="1"/>
    <cellStyle name="Lien hypertexte" xfId="16802" builtinId="8" hidden="1"/>
    <cellStyle name="Lien hypertexte" xfId="16764" builtinId="8" hidden="1"/>
    <cellStyle name="Lien hypertexte" xfId="16726" builtinId="8" hidden="1"/>
    <cellStyle name="Lien hypertexte" xfId="16686" builtinId="8" hidden="1"/>
    <cellStyle name="Lien hypertexte" xfId="16646" builtinId="8" hidden="1"/>
    <cellStyle name="Lien hypertexte" xfId="16608" builtinId="8" hidden="1"/>
    <cellStyle name="Lien hypertexte" xfId="16570" builtinId="8" hidden="1"/>
    <cellStyle name="Lien hypertexte" xfId="16530" builtinId="8" hidden="1"/>
    <cellStyle name="Lien hypertexte" xfId="16490" builtinId="8" hidden="1"/>
    <cellStyle name="Lien hypertexte" xfId="16452" builtinId="8" hidden="1"/>
    <cellStyle name="Lien hypertexte" xfId="16414" builtinId="8" hidden="1"/>
    <cellStyle name="Lien hypertexte" xfId="16374" builtinId="8" hidden="1"/>
    <cellStyle name="Lien hypertexte" xfId="16334" builtinId="8" hidden="1"/>
    <cellStyle name="Lien hypertexte" xfId="16296" builtinId="8" hidden="1"/>
    <cellStyle name="Lien hypertexte" xfId="16256" builtinId="8" hidden="1"/>
    <cellStyle name="Lien hypertexte" xfId="16218" builtinId="8" hidden="1"/>
    <cellStyle name="Lien hypertexte" xfId="16180" builtinId="8" hidden="1"/>
    <cellStyle name="Lien hypertexte" xfId="16140" builtinId="8" hidden="1"/>
    <cellStyle name="Lien hypertexte" xfId="16100" builtinId="8" hidden="1"/>
    <cellStyle name="Lien hypertexte" xfId="16062" builtinId="8" hidden="1"/>
    <cellStyle name="Lien hypertexte" xfId="16024" builtinId="8" hidden="1"/>
    <cellStyle name="Lien hypertexte" xfId="15982" builtinId="8" hidden="1"/>
    <cellStyle name="Lien hypertexte" xfId="15944" builtinId="8" hidden="1"/>
    <cellStyle name="Lien hypertexte" xfId="19057" builtinId="8" hidden="1"/>
    <cellStyle name="Lien hypertexte" xfId="19345" builtinId="8" hidden="1"/>
    <cellStyle name="Lien hypertexte" xfId="19649" builtinId="8" hidden="1"/>
    <cellStyle name="Lien hypertexte" xfId="19937" builtinId="8" hidden="1"/>
    <cellStyle name="Lien hypertexte" xfId="20225" builtinId="8" hidden="1"/>
    <cellStyle name="Lien hypertexte" xfId="20529" builtinId="8" hidden="1"/>
    <cellStyle name="Lien hypertexte" xfId="20817" builtinId="8" hidden="1"/>
    <cellStyle name="Lien hypertexte" xfId="21233" builtinId="8" hidden="1"/>
    <cellStyle name="Lien hypertexte" xfId="21057" builtinId="8" hidden="1"/>
    <cellStyle name="Lien hypertexte" xfId="21185" builtinId="8" hidden="1"/>
    <cellStyle name="Lien hypertexte" xfId="21361" builtinId="8" hidden="1"/>
    <cellStyle name="Lien hypertexte" xfId="21489" builtinId="8" hidden="1"/>
    <cellStyle name="Lien hypertexte" xfId="21457" builtinId="8" hidden="1"/>
    <cellStyle name="Lien hypertexte" xfId="20977" builtinId="8" hidden="1"/>
    <cellStyle name="Lien hypertexte" xfId="21169" builtinId="8" hidden="1"/>
    <cellStyle name="Lien hypertexte" xfId="20929" builtinId="8" hidden="1"/>
    <cellStyle name="Lien hypertexte" xfId="20625" builtinId="8" hidden="1"/>
    <cellStyle name="Lien hypertexte" xfId="20337" builtinId="8" hidden="1"/>
    <cellStyle name="Lien hypertexte" xfId="20049" builtinId="8" hidden="1"/>
    <cellStyle name="Lien hypertexte" xfId="19761" builtinId="8" hidden="1"/>
    <cellStyle name="Lien hypertexte" xfId="19457" builtinId="8" hidden="1"/>
    <cellStyle name="Lien hypertexte" xfId="19169" builtinId="8" hidden="1"/>
    <cellStyle name="Lien hypertexte" xfId="18881" builtinId="8" hidden="1"/>
    <cellStyle name="Lien hypertexte" xfId="15970" builtinId="8" hidden="1"/>
    <cellStyle name="Lien hypertexte" xfId="16008" builtinId="8" hidden="1"/>
    <cellStyle name="Lien hypertexte" xfId="16046" builtinId="8" hidden="1"/>
    <cellStyle name="Lien hypertexte" xfId="16086" builtinId="8" hidden="1"/>
    <cellStyle name="Lien hypertexte" xfId="16126" builtinId="8" hidden="1"/>
    <cellStyle name="Lien hypertexte" xfId="16164" builtinId="8" hidden="1"/>
    <cellStyle name="Lien hypertexte" xfId="16202" builtinId="8" hidden="1"/>
    <cellStyle name="Lien hypertexte" xfId="16244" builtinId="8" hidden="1"/>
    <cellStyle name="Lien hypertexte" xfId="16282" builtinId="8" hidden="1"/>
    <cellStyle name="Lien hypertexte" xfId="16320" builtinId="8" hidden="1"/>
    <cellStyle name="Lien hypertexte" xfId="16358" builtinId="8" hidden="1"/>
    <cellStyle name="Lien hypertexte" xfId="16398" builtinId="8" hidden="1"/>
    <cellStyle name="Lien hypertexte" xfId="16438" builtinId="8" hidden="1"/>
    <cellStyle name="Lien hypertexte" xfId="16476" builtinId="8" hidden="1"/>
    <cellStyle name="Lien hypertexte" xfId="16516" builtinId="8" hidden="1"/>
    <cellStyle name="Lien hypertexte" xfId="16554" builtinId="8" hidden="1"/>
    <cellStyle name="Lien hypertexte" xfId="16594" builtinId="8" hidden="1"/>
    <cellStyle name="Lien hypertexte" xfId="16632" builtinId="8" hidden="1"/>
    <cellStyle name="Lien hypertexte" xfId="16672" builtinId="8" hidden="1"/>
    <cellStyle name="Lien hypertexte" xfId="16710" builtinId="8" hidden="1"/>
    <cellStyle name="Lien hypertexte" xfId="16748" builtinId="8" hidden="1"/>
    <cellStyle name="Lien hypertexte" xfId="16790" builtinId="8" hidden="1"/>
    <cellStyle name="Lien hypertexte" xfId="16828" builtinId="8" hidden="1"/>
    <cellStyle name="Lien hypertexte" xfId="16866" builtinId="8" hidden="1"/>
    <cellStyle name="Lien hypertexte" xfId="16904" builtinId="8" hidden="1"/>
    <cellStyle name="Lien hypertexte" xfId="16946" builtinId="8" hidden="1"/>
    <cellStyle name="Lien hypertexte" xfId="16984" builtinId="8" hidden="1"/>
    <cellStyle name="Lien hypertexte" xfId="17022" builtinId="8" hidden="1"/>
    <cellStyle name="Lien hypertexte" xfId="17062" builtinId="8" hidden="1"/>
    <cellStyle name="Lien hypertexte" xfId="17100" builtinId="8" hidden="1"/>
    <cellStyle name="Lien hypertexte" xfId="17140" builtinId="8" hidden="1"/>
    <cellStyle name="Lien hypertexte" xfId="17178" builtinId="8" hidden="1"/>
    <cellStyle name="Lien hypertexte" xfId="17218" builtinId="8" hidden="1"/>
    <cellStyle name="Lien hypertexte" xfId="17256" builtinId="8" hidden="1"/>
    <cellStyle name="Lien hypertexte" xfId="17294" builtinId="8" hidden="1"/>
    <cellStyle name="Lien hypertexte" xfId="17336" builtinId="8" hidden="1"/>
    <cellStyle name="Lien hypertexte" xfId="17374" builtinId="8" hidden="1"/>
    <cellStyle name="Lien hypertexte" xfId="17412" builtinId="8" hidden="1"/>
    <cellStyle name="Lien hypertexte" xfId="17450" builtinId="8" hidden="1"/>
    <cellStyle name="Lien hypertexte" xfId="17492" builtinId="8" hidden="1"/>
    <cellStyle name="Lien hypertexte" xfId="17530" builtinId="8" hidden="1"/>
    <cellStyle name="Lien hypertexte" xfId="17568" builtinId="8" hidden="1"/>
    <cellStyle name="Lien hypertexte" xfId="17608" builtinId="8" hidden="1"/>
    <cellStyle name="Lien hypertexte" xfId="17646" builtinId="8" hidden="1"/>
    <cellStyle name="Lien hypertexte" xfId="17686" builtinId="8" hidden="1"/>
    <cellStyle name="Lien hypertexte" xfId="17724" builtinId="8" hidden="1"/>
    <cellStyle name="Lien hypertexte" xfId="17764" builtinId="8" hidden="1"/>
    <cellStyle name="Lien hypertexte" xfId="17802" builtinId="8" hidden="1"/>
    <cellStyle name="Lien hypertexte" xfId="17842" builtinId="8" hidden="1"/>
    <cellStyle name="Lien hypertexte" xfId="17882" builtinId="8" hidden="1"/>
    <cellStyle name="Lien hypertexte" xfId="17920" builtinId="8" hidden="1"/>
    <cellStyle name="Lien hypertexte" xfId="17958" builtinId="8" hidden="1"/>
    <cellStyle name="Lien hypertexte" xfId="17996" builtinId="8" hidden="1"/>
    <cellStyle name="Lien hypertexte" xfId="18038" builtinId="8" hidden="1"/>
    <cellStyle name="Lien hypertexte" xfId="18076" builtinId="8" hidden="1"/>
    <cellStyle name="Lien hypertexte" xfId="18114" builtinId="8" hidden="1"/>
    <cellStyle name="Lien hypertexte" xfId="18154" builtinId="8" hidden="1"/>
    <cellStyle name="Lien hypertexte" xfId="18194" builtinId="8" hidden="1"/>
    <cellStyle name="Lien hypertexte" xfId="18232" builtinId="8" hidden="1"/>
    <cellStyle name="Lien hypertexte" xfId="18270" builtinId="8" hidden="1"/>
    <cellStyle name="Lien hypertexte" xfId="18327" builtinId="8" hidden="1"/>
    <cellStyle name="Lien hypertexte" xfId="18365" builtinId="8" hidden="1"/>
    <cellStyle name="Lien hypertexte" xfId="18405" builtinId="8" hidden="1"/>
    <cellStyle name="Lien hypertexte" xfId="18445" builtinId="8" hidden="1"/>
    <cellStyle name="Lien hypertexte" xfId="18483" builtinId="8" hidden="1"/>
    <cellStyle name="Lien hypertexte" xfId="18521" builtinId="8" hidden="1"/>
    <cellStyle name="Lien hypertexte" xfId="18559" builtinId="8" hidden="1"/>
    <cellStyle name="Lien hypertexte" xfId="18601" builtinId="8" hidden="1"/>
    <cellStyle name="Lien hypertexte" xfId="18639" builtinId="8" hidden="1"/>
    <cellStyle name="Lien hypertexte" xfId="18677" builtinId="8" hidden="1"/>
    <cellStyle name="Lien hypertexte" xfId="18717" builtinId="8" hidden="1"/>
    <cellStyle name="Lien hypertexte" xfId="18757" builtinId="8" hidden="1"/>
    <cellStyle name="Lien hypertexte" xfId="18795" builtinId="8" hidden="1"/>
    <cellStyle name="Lien hypertexte" xfId="18833" builtinId="8" hidden="1"/>
    <cellStyle name="Lien hypertexte" xfId="18433" builtinId="8" hidden="1"/>
    <cellStyle name="Lien hypertexte" xfId="17840" builtinId="8" hidden="1"/>
    <cellStyle name="Lien hypertexte" xfId="17264" builtinId="8" hidden="1"/>
    <cellStyle name="Lien hypertexte" xfId="16656" builtinId="8" hidden="1"/>
    <cellStyle name="Lien hypertexte" xfId="16080" builtinId="8" hidden="1"/>
    <cellStyle name="Lien hypertexte" xfId="14656" builtinId="8" hidden="1"/>
    <cellStyle name="Lien hypertexte" xfId="14692" builtinId="8" hidden="1"/>
    <cellStyle name="Lien hypertexte" xfId="14732" builtinId="8" hidden="1"/>
    <cellStyle name="Lien hypertexte" xfId="14770" builtinId="8" hidden="1"/>
    <cellStyle name="Lien hypertexte" xfId="14806" builtinId="8" hidden="1"/>
    <cellStyle name="Lien hypertexte" xfId="14846" builtinId="8" hidden="1"/>
    <cellStyle name="Lien hypertexte" xfId="14882" builtinId="8" hidden="1"/>
    <cellStyle name="Lien hypertexte" xfId="14920" builtinId="8" hidden="1"/>
    <cellStyle name="Lien hypertexte" xfId="14956" builtinId="8" hidden="1"/>
    <cellStyle name="Lien hypertexte" xfId="14996" builtinId="8" hidden="1"/>
    <cellStyle name="Lien hypertexte" xfId="15034" builtinId="8" hidden="1"/>
    <cellStyle name="Lien hypertexte" xfId="15070" builtinId="8" hidden="1"/>
    <cellStyle name="Lien hypertexte" xfId="15110" builtinId="8" hidden="1"/>
    <cellStyle name="Lien hypertexte" xfId="15146" builtinId="8" hidden="1"/>
    <cellStyle name="Lien hypertexte" xfId="15184" builtinId="8" hidden="1"/>
    <cellStyle name="Lien hypertexte" xfId="15222" builtinId="8" hidden="1"/>
    <cellStyle name="Lien hypertexte" xfId="15260" builtinId="8" hidden="1"/>
    <cellStyle name="Lien hypertexte" xfId="15298" builtinId="8" hidden="1"/>
    <cellStyle name="Lien hypertexte" xfId="15334" builtinId="8" hidden="1"/>
    <cellStyle name="Lien hypertexte" xfId="15374" builtinId="8" hidden="1"/>
    <cellStyle name="Lien hypertexte" xfId="15412" builtinId="8" hidden="1"/>
    <cellStyle name="Lien hypertexte" xfId="15448" builtinId="8" hidden="1"/>
    <cellStyle name="Lien hypertexte" xfId="15486" builtinId="8" hidden="1"/>
    <cellStyle name="Lien hypertexte" xfId="15524" builtinId="8" hidden="1"/>
    <cellStyle name="Lien hypertexte" xfId="15562" builtinId="8" hidden="1"/>
    <cellStyle name="Lien hypertexte" xfId="15598" builtinId="8" hidden="1"/>
    <cellStyle name="Lien hypertexte" xfId="15638" builtinId="8" hidden="1"/>
    <cellStyle name="Lien hypertexte" xfId="15676" builtinId="8" hidden="1"/>
    <cellStyle name="Lien hypertexte" xfId="15712" builtinId="8" hidden="1"/>
    <cellStyle name="Lien hypertexte" xfId="15750" builtinId="8" hidden="1"/>
    <cellStyle name="Lien hypertexte" xfId="15788" builtinId="8" hidden="1"/>
    <cellStyle name="Lien hypertexte" xfId="15826" builtinId="8" hidden="1"/>
    <cellStyle name="Lien hypertexte" xfId="15864" builtinId="8" hidden="1"/>
    <cellStyle name="Lien hypertexte" xfId="15902" builtinId="8" hidden="1"/>
    <cellStyle name="Lien hypertexte" xfId="15792" builtinId="8" hidden="1"/>
    <cellStyle name="Lien hypertexte" xfId="14640" builtinId="8" hidden="1"/>
    <cellStyle name="Lien hypertexte" xfId="686" builtinId="8" hidden="1"/>
    <cellStyle name="Lien hypertexte" xfId="726" builtinId="8" hidden="1"/>
    <cellStyle name="Lien hypertexte" xfId="762" builtinId="8" hidden="1"/>
    <cellStyle name="Lien hypertexte" xfId="798" builtinId="8" hidden="1"/>
    <cellStyle name="Lien hypertexte" xfId="836" builtinId="8" hidden="1"/>
    <cellStyle name="Lien hypertexte" xfId="874" builtinId="8" hidden="1"/>
    <cellStyle name="Lien hypertexte" xfId="910" builtinId="8" hidden="1"/>
    <cellStyle name="Lien hypertexte" xfId="946" builtinId="8" hidden="1"/>
    <cellStyle name="Lien hypertexte" xfId="986" builtinId="8" hidden="1"/>
    <cellStyle name="Lien hypertexte" xfId="1022" builtinId="8" hidden="1"/>
    <cellStyle name="Lien hypertexte" xfId="1058" builtinId="8" hidden="1"/>
    <cellStyle name="Lien hypertexte" xfId="1098" builtinId="8" hidden="1"/>
    <cellStyle name="Lien hypertexte" xfId="1134" builtinId="8" hidden="1"/>
    <cellStyle name="Lien hypertexte" xfId="14524" builtinId="8" hidden="1"/>
    <cellStyle name="Lien hypertexte" xfId="14560" builtinId="8" hidden="1"/>
    <cellStyle name="Lien hypertexte" xfId="14600" builtinId="8" hidden="1"/>
    <cellStyle name="Lien hypertexte" xfId="710" builtinId="8" hidden="1"/>
    <cellStyle name="Lien hypertexte" xfId="382" builtinId="8" hidden="1"/>
    <cellStyle name="Lien hypertexte" xfId="420" builtinId="8" hidden="1"/>
    <cellStyle name="Lien hypertexte" xfId="458" builtinId="8" hidden="1"/>
    <cellStyle name="Lien hypertexte" xfId="494" builtinId="8" hidden="1"/>
    <cellStyle name="Lien hypertexte" xfId="530" builtinId="8" hidden="1"/>
    <cellStyle name="Lien hypertexte" xfId="568" builtinId="8" hidden="1"/>
    <cellStyle name="Lien hypertexte" xfId="604" builtinId="8" hidden="1"/>
    <cellStyle name="Lien hypertexte" xfId="640" builtinId="8" hidden="1"/>
    <cellStyle name="Lien hypertexte" xfId="222" builtinId="8" hidden="1"/>
    <cellStyle name="Lien hypertexte" xfId="258" builtinId="8" hidden="1"/>
    <cellStyle name="Lien hypertexte" xfId="294" builtinId="8" hidden="1"/>
    <cellStyle name="Lien hypertexte" xfId="330" builtinId="8" hidden="1"/>
    <cellStyle name="Lien hypertexte" xfId="144" builtinId="8" hidden="1"/>
    <cellStyle name="Lien hypertexte" xfId="180" builtinId="8" hidden="1"/>
    <cellStyle name="Lien hypertexte" xfId="104" builtinId="8" hidden="1"/>
    <cellStyle name="Lien hypertexte" xfId="58" builtinId="8" hidden="1"/>
    <cellStyle name="Lien hypertexte" xfId="140" builtinId="8" hidden="1"/>
    <cellStyle name="Lien hypertexte" xfId="564" builtinId="8" hidden="1"/>
    <cellStyle name="Lien hypertexte" xfId="14596" builtinId="8" hidden="1"/>
    <cellStyle name="Lien hypertexte" xfId="982" builtinId="8" hidden="1"/>
    <cellStyle name="Lien hypertexte" xfId="722" builtinId="8" hidden="1"/>
    <cellStyle name="Lien hypertexte" xfId="15784" builtinId="8" hidden="1"/>
    <cellStyle name="Lien hypertexte" xfId="15520" builtinId="8" hidden="1"/>
    <cellStyle name="Lien hypertexte" xfId="15256" builtinId="8" hidden="1"/>
    <cellStyle name="Lien hypertexte" xfId="14992" builtinId="8" hidden="1"/>
    <cellStyle name="Lien hypertexte" xfId="14728" builtinId="8" hidden="1"/>
    <cellStyle name="Lien hypertexte" xfId="18497" builtinId="8" hidden="1"/>
    <cellStyle name="Lien hypertexte" xfId="18597" builtinId="8" hidden="1"/>
    <cellStyle name="Lien hypertexte" xfId="18306" builtinId="8" hidden="1"/>
    <cellStyle name="Lien hypertexte" xfId="18034" builtinId="8" hidden="1"/>
    <cellStyle name="Lien hypertexte" xfId="17760" builtinId="8" hidden="1"/>
    <cellStyle name="Lien hypertexte" xfId="17486" builtinId="8" hidden="1"/>
    <cellStyle name="Lien hypertexte" xfId="17214" builtinId="8" hidden="1"/>
    <cellStyle name="Lien hypertexte" xfId="16940" builtinId="8" hidden="1"/>
    <cellStyle name="Lien hypertexte" xfId="16668" builtinId="8" hidden="1"/>
    <cellStyle name="Lien hypertexte" xfId="16394" builtinId="8" hidden="1"/>
    <cellStyle name="Lien hypertexte" xfId="16122" builtinId="8" hidden="1"/>
    <cellStyle name="Lien hypertexte" xfId="19489" builtinId="8" hidden="1"/>
    <cellStyle name="Lien hypertexte" xfId="21537" builtinId="8" hidden="1"/>
    <cellStyle name="Lien hypertexte" xfId="21779" builtinId="8" hidden="1"/>
    <cellStyle name="Lien hypertexte" xfId="21817" builtinId="8" hidden="1"/>
    <cellStyle name="Lien hypertexte" xfId="21855" builtinId="8" hidden="1"/>
    <cellStyle name="Lien hypertexte" xfId="21895" builtinId="8" hidden="1"/>
    <cellStyle name="Lien hypertexte" xfId="21933" builtinId="8" hidden="1"/>
    <cellStyle name="Lien hypertexte" xfId="21973" builtinId="8" hidden="1"/>
    <cellStyle name="Lien hypertexte" xfId="22011" builtinId="8" hidden="1"/>
    <cellStyle name="Lien hypertexte" xfId="22051" builtinId="8" hidden="1"/>
    <cellStyle name="Lien hypertexte" xfId="22091" builtinId="8" hidden="1"/>
    <cellStyle name="Lien hypertexte" xfId="22131" builtinId="8" hidden="1"/>
    <cellStyle name="Lien hypertexte" xfId="22169" builtinId="8" hidden="1"/>
    <cellStyle name="Lien hypertexte" xfId="22207" builtinId="8" hidden="1"/>
    <cellStyle name="Lien hypertexte" xfId="22247" builtinId="8" hidden="1"/>
    <cellStyle name="Lien hypertexte" xfId="22285" builtinId="8" hidden="1"/>
    <cellStyle name="Lien hypertexte" xfId="22325" builtinId="8" hidden="1"/>
    <cellStyle name="Lien hypertexte" xfId="22363" builtinId="8" hidden="1"/>
    <cellStyle name="Lien hypertexte" xfId="22403" builtinId="8" hidden="1"/>
    <cellStyle name="Lien hypertexte" xfId="22441" builtinId="8" hidden="1"/>
    <cellStyle name="Lien hypertexte" xfId="22479" builtinId="8" hidden="1"/>
    <cellStyle name="Lien hypertexte" xfId="22519" builtinId="8" hidden="1"/>
    <cellStyle name="Lien hypertexte" xfId="22557" builtinId="8" hidden="1"/>
    <cellStyle name="Lien hypertexte" xfId="22597" builtinId="8" hidden="1"/>
    <cellStyle name="Lien hypertexte" xfId="22635" builtinId="8" hidden="1"/>
    <cellStyle name="Lien hypertexte" xfId="22677" builtinId="8" hidden="1"/>
    <cellStyle name="Lien hypertexte" xfId="22715" builtinId="8" hidden="1"/>
    <cellStyle name="Lien hypertexte" xfId="22755" builtinId="8" hidden="1"/>
    <cellStyle name="Lien hypertexte" xfId="22793" builtinId="8" hidden="1"/>
    <cellStyle name="Lien hypertexte" xfId="22831" builtinId="8" hidden="1"/>
    <cellStyle name="Lien hypertexte" xfId="22871" builtinId="8" hidden="1"/>
    <cellStyle name="Lien hypertexte" xfId="22909" builtinId="8" hidden="1"/>
    <cellStyle name="Lien hypertexte" xfId="22949" builtinId="8" hidden="1"/>
    <cellStyle name="Lien hypertexte" xfId="22987" builtinId="8" hidden="1"/>
    <cellStyle name="Lien hypertexte" xfId="23027" builtinId="8" hidden="1"/>
    <cellStyle name="Lien hypertexte" xfId="23065" builtinId="8" hidden="1"/>
    <cellStyle name="Lien hypertexte" xfId="23103" builtinId="8" hidden="1"/>
    <cellStyle name="Lien hypertexte" xfId="23143" builtinId="8" hidden="1"/>
    <cellStyle name="Lien hypertexte" xfId="23181" builtinId="8" hidden="1"/>
    <cellStyle name="Lien hypertexte" xfId="23221" builtinId="8" hidden="1"/>
    <cellStyle name="Lien hypertexte" xfId="23261" builtinId="8" hidden="1"/>
    <cellStyle name="Lien hypertexte" xfId="23301" builtinId="8" hidden="1"/>
    <cellStyle name="Lien hypertexte" xfId="23339" builtinId="8" hidden="1"/>
    <cellStyle name="Lien hypertexte" xfId="23379" builtinId="8" hidden="1"/>
    <cellStyle name="Lien hypertexte" xfId="23417" builtinId="8" hidden="1"/>
    <cellStyle name="Lien hypertexte" xfId="23455" builtinId="8" hidden="1"/>
    <cellStyle name="Lien hypertexte" xfId="23495" builtinId="8" hidden="1"/>
    <cellStyle name="Lien hypertexte" xfId="23533" builtinId="8" hidden="1"/>
    <cellStyle name="Lien hypertexte" xfId="23573" builtinId="8" hidden="1"/>
    <cellStyle name="Lien hypertexte" xfId="23611" builtinId="8" hidden="1"/>
    <cellStyle name="Lien hypertexte" xfId="23651" builtinId="8" hidden="1"/>
    <cellStyle name="Lien hypertexte" xfId="23689" builtinId="8" hidden="1"/>
    <cellStyle name="Lien hypertexte" xfId="23727" builtinId="8" hidden="1"/>
    <cellStyle name="Lien hypertexte" xfId="23767" builtinId="8" hidden="1"/>
    <cellStyle name="Lien hypertexte" xfId="23805" builtinId="8" hidden="1"/>
    <cellStyle name="Lien hypertexte" xfId="23847" builtinId="8" hidden="1"/>
    <cellStyle name="Lien hypertexte" xfId="23885" builtinId="8" hidden="1"/>
    <cellStyle name="Lien hypertexte" xfId="23925" builtinId="8" hidden="1"/>
    <cellStyle name="Lien hypertexte" xfId="23963" builtinId="8" hidden="1"/>
    <cellStyle name="Lien hypertexte" xfId="24003" builtinId="8" hidden="1"/>
    <cellStyle name="Lien hypertexte" xfId="24041" builtinId="8" hidden="1"/>
    <cellStyle name="Lien hypertexte" xfId="24079" builtinId="8" hidden="1"/>
    <cellStyle name="Lien hypertexte" xfId="24119" builtinId="8" hidden="1"/>
    <cellStyle name="Lien hypertexte" xfId="24157" builtinId="8" hidden="1"/>
    <cellStyle name="Lien hypertexte" xfId="24197" builtinId="8" hidden="1"/>
    <cellStyle name="Lien hypertexte" xfId="24235" builtinId="8" hidden="1"/>
    <cellStyle name="Lien hypertexte" xfId="24275" builtinId="8" hidden="1"/>
    <cellStyle name="Lien hypertexte" xfId="24313" builtinId="8" hidden="1"/>
    <cellStyle name="Lien hypertexte" xfId="24351" builtinId="8" hidden="1"/>
    <cellStyle name="Lien hypertexte" xfId="24391" builtinId="8" hidden="1"/>
    <cellStyle name="Lien hypertexte" xfId="24431" builtinId="8" hidden="1"/>
    <cellStyle name="Lien hypertexte" xfId="24471" builtinId="8" hidden="1"/>
    <cellStyle name="Lien hypertexte" xfId="24509" builtinId="8" hidden="1"/>
    <cellStyle name="Lien hypertexte" xfId="24549" builtinId="8" hidden="1"/>
    <cellStyle name="Lien hypertexte" xfId="24587" builtinId="8" hidden="1"/>
    <cellStyle name="Lien hypertexte" xfId="24513" builtinId="8" hidden="1"/>
    <cellStyle name="Lien hypertexte" xfId="24241" builtinId="8" hidden="1"/>
    <cellStyle name="Lien hypertexte" xfId="23969" builtinId="8" hidden="1"/>
    <cellStyle name="Lien hypertexte" xfId="23697" builtinId="8" hidden="1"/>
    <cellStyle name="Lien hypertexte" xfId="23425" builtinId="8" hidden="1"/>
    <cellStyle name="Lien hypertexte" xfId="23153" builtinId="8" hidden="1"/>
    <cellStyle name="Lien hypertexte" xfId="22881" builtinId="8" hidden="1"/>
    <cellStyle name="Lien hypertexte" xfId="22609" builtinId="8" hidden="1"/>
    <cellStyle name="Lien hypertexte" xfId="22337" builtinId="8" hidden="1"/>
    <cellStyle name="Lien hypertexte" xfId="22065" builtinId="8" hidden="1"/>
    <cellStyle name="Lien hypertexte" xfId="21777" builtinId="8" hidden="1"/>
    <cellStyle name="Lien hypertexte" xfId="22305" builtinId="8" hidden="1"/>
    <cellStyle name="Lien hypertexte" xfId="24357" builtinId="8" hidden="1"/>
    <cellStyle name="Lien hypertexte" xfId="23771" builtinId="8" hidden="1"/>
    <cellStyle name="Lien hypertexte" xfId="23187" builtinId="8" hidden="1"/>
    <cellStyle name="Lien hypertexte" xfId="22601" builtinId="8" hidden="1"/>
    <cellStyle name="Lien hypertexte" xfId="22015" builtinId="8" hidden="1"/>
    <cellStyle name="Lien hypertexte" xfId="20267" builtinId="8" hidden="1"/>
    <cellStyle name="Lien hypertexte" xfId="20303" builtinId="8" hidden="1"/>
    <cellStyle name="Lien hypertexte" xfId="20343" builtinId="8" hidden="1"/>
    <cellStyle name="Lien hypertexte" xfId="20379" builtinId="8" hidden="1"/>
    <cellStyle name="Lien hypertexte" xfId="20419" builtinId="8" hidden="1"/>
    <cellStyle name="Lien hypertexte" xfId="20455" builtinId="8" hidden="1"/>
    <cellStyle name="Lien hypertexte" xfId="20493" builtinId="8" hidden="1"/>
    <cellStyle name="Lien hypertexte" xfId="20531" builtinId="8" hidden="1"/>
    <cellStyle name="Lien hypertexte" xfId="20569" builtinId="8" hidden="1"/>
    <cellStyle name="Lien hypertexte" xfId="20605" builtinId="8" hidden="1"/>
    <cellStyle name="Lien hypertexte" xfId="20645" builtinId="8" hidden="1"/>
    <cellStyle name="Lien hypertexte" xfId="20681" builtinId="8" hidden="1"/>
    <cellStyle name="Lien hypertexte" xfId="20719" builtinId="8" hidden="1"/>
    <cellStyle name="Lien hypertexte" xfId="20757" builtinId="8" hidden="1"/>
    <cellStyle name="Lien hypertexte" xfId="20795" builtinId="8" hidden="1"/>
    <cellStyle name="Lien hypertexte" xfId="20831" builtinId="8" hidden="1"/>
    <cellStyle name="Lien hypertexte" xfId="20871" builtinId="8" hidden="1"/>
    <cellStyle name="Lien hypertexte" xfId="20907" builtinId="8" hidden="1"/>
    <cellStyle name="Lien hypertexte" xfId="20947" builtinId="8" hidden="1"/>
    <cellStyle name="Lien hypertexte" xfId="20983" builtinId="8" hidden="1"/>
    <cellStyle name="Lien hypertexte" xfId="21021" builtinId="8" hidden="1"/>
    <cellStyle name="Lien hypertexte" xfId="21059" builtinId="8" hidden="1"/>
    <cellStyle name="Lien hypertexte" xfId="21097" builtinId="8" hidden="1"/>
    <cellStyle name="Lien hypertexte" xfId="21133" builtinId="8" hidden="1"/>
    <cellStyle name="Lien hypertexte" xfId="21173" builtinId="8" hidden="1"/>
    <cellStyle name="Lien hypertexte" xfId="21209" builtinId="8" hidden="1"/>
    <cellStyle name="Lien hypertexte" xfId="21247" builtinId="8" hidden="1"/>
    <cellStyle name="Lien hypertexte" xfId="21287" builtinId="8" hidden="1"/>
    <cellStyle name="Lien hypertexte" xfId="21323" builtinId="8" hidden="1"/>
    <cellStyle name="Lien hypertexte" xfId="21363" builtinId="8" hidden="1"/>
    <cellStyle name="Lien hypertexte" xfId="21399" builtinId="8" hidden="1"/>
    <cellStyle name="Lien hypertexte" xfId="21437" builtinId="8" hidden="1"/>
    <cellStyle name="Lien hypertexte" xfId="21475" builtinId="8" hidden="1"/>
    <cellStyle name="Lien hypertexte" xfId="21513" builtinId="8" hidden="1"/>
    <cellStyle name="Lien hypertexte" xfId="21549" builtinId="8" hidden="1"/>
    <cellStyle name="Lien hypertexte" xfId="21589" builtinId="8" hidden="1"/>
    <cellStyle name="Lien hypertexte" xfId="21625" builtinId="8" hidden="1"/>
    <cellStyle name="Lien hypertexte" xfId="21663" builtinId="8" hidden="1"/>
    <cellStyle name="Lien hypertexte" xfId="21701" builtinId="8" hidden="1"/>
    <cellStyle name="Lien hypertexte" xfId="21739" builtinId="8" hidden="1"/>
    <cellStyle name="Lien hypertexte" xfId="20627" builtinId="8" hidden="1"/>
    <cellStyle name="Lien hypertexte" xfId="19559" builtinId="8" hidden="1"/>
    <cellStyle name="Lien hypertexte" xfId="19595" builtinId="8" hidden="1"/>
    <cellStyle name="Lien hypertexte" xfId="19635" builtinId="8" hidden="1"/>
    <cellStyle name="Lien hypertexte" xfId="19671" builtinId="8" hidden="1"/>
    <cellStyle name="Lien hypertexte" xfId="19707" builtinId="8" hidden="1"/>
    <cellStyle name="Lien hypertexte" xfId="19743" builtinId="8" hidden="1"/>
    <cellStyle name="Lien hypertexte" xfId="19783" builtinId="8" hidden="1"/>
    <cellStyle name="Lien hypertexte" xfId="19819" builtinId="8" hidden="1"/>
    <cellStyle name="Lien hypertexte" xfId="19855" builtinId="8" hidden="1"/>
    <cellStyle name="Lien hypertexte" xfId="19893" builtinId="8" hidden="1"/>
    <cellStyle name="Lien hypertexte" xfId="19931" builtinId="8" hidden="1"/>
    <cellStyle name="Lien hypertexte" xfId="19967" builtinId="8" hidden="1"/>
    <cellStyle name="Lien hypertexte" xfId="20005" builtinId="8" hidden="1"/>
    <cellStyle name="Lien hypertexte" xfId="20043" builtinId="8" hidden="1"/>
    <cellStyle name="Lien hypertexte" xfId="20079" builtinId="8" hidden="1"/>
    <cellStyle name="Lien hypertexte" xfId="20117" builtinId="8" hidden="1"/>
    <cellStyle name="Lien hypertexte" xfId="20153" builtinId="8" hidden="1"/>
    <cellStyle name="Lien hypertexte" xfId="20191" builtinId="8" hidden="1"/>
    <cellStyle name="Lien hypertexte" xfId="20229" builtinId="8" hidden="1"/>
    <cellStyle name="Lien hypertexte" xfId="19195" builtinId="8" hidden="1"/>
    <cellStyle name="Lien hypertexte" xfId="19231" builtinId="8" hidden="1"/>
    <cellStyle name="Lien hypertexte" xfId="19269" builtinId="8" hidden="1"/>
    <cellStyle name="Lien hypertexte" xfId="19305" builtinId="8" hidden="1"/>
    <cellStyle name="Lien hypertexte" xfId="19343" builtinId="8" hidden="1"/>
    <cellStyle name="Lien hypertexte" xfId="19381" builtinId="8" hidden="1"/>
    <cellStyle name="Lien hypertexte" xfId="19417" builtinId="8" hidden="1"/>
    <cellStyle name="Lien hypertexte" xfId="19453" builtinId="8" hidden="1"/>
    <cellStyle name="Lien hypertexte" xfId="19491" builtinId="8" hidden="1"/>
    <cellStyle name="Lien hypertexte" xfId="19527" builtinId="8" hidden="1"/>
    <cellStyle name="Lien hypertexte" xfId="19043" builtinId="8" hidden="1"/>
    <cellStyle name="Lien hypertexte" xfId="19079" builtinId="8" hidden="1"/>
    <cellStyle name="Lien hypertexte" xfId="19115" builtinId="8" hidden="1"/>
    <cellStyle name="Lien hypertexte" xfId="19151" builtinId="8" hidden="1"/>
    <cellStyle name="Lien hypertexte" xfId="18933" builtinId="8" hidden="1"/>
    <cellStyle name="Lien hypertexte" xfId="18969" builtinId="8" hidden="1"/>
    <cellStyle name="Lien hypertexte" xfId="19005" builtinId="8" hidden="1"/>
    <cellStyle name="Lien hypertexte" xfId="18915" builtinId="8" hidden="1"/>
    <cellStyle name="Lien hypertexte" xfId="18887" builtinId="8" hidden="1"/>
    <cellStyle name="Lien hypertexte" xfId="18861" builtinId="8" hidden="1"/>
    <cellStyle name="Lien hypertexte" xfId="18921" builtinId="8" hidden="1"/>
    <cellStyle name="Lien hypertexte" xfId="19013" builtinId="8" hidden="1"/>
    <cellStyle name="Lien hypertexte" xfId="18975" builtinId="8" hidden="1"/>
    <cellStyle name="Lien hypertexte" xfId="18939" builtinId="8" hidden="1"/>
    <cellStyle name="Lien hypertexte" xfId="19159" builtinId="8" hidden="1"/>
    <cellStyle name="Lien hypertexte" xfId="19123" builtinId="8" hidden="1"/>
    <cellStyle name="Lien hypertexte" xfId="19085" builtinId="8" hidden="1"/>
    <cellStyle name="Lien hypertexte" xfId="19049" builtinId="8" hidden="1"/>
    <cellStyle name="Lien hypertexte" xfId="19533" builtinId="8" hidden="1"/>
    <cellStyle name="Lien hypertexte" xfId="19497" builtinId="8" hidden="1"/>
    <cellStyle name="Lien hypertexte" xfId="19461" builtinId="8" hidden="1"/>
    <cellStyle name="Lien hypertexte" xfId="19423" builtinId="8" hidden="1"/>
    <cellStyle name="Lien hypertexte" xfId="19387" builtinId="8" hidden="1"/>
    <cellStyle name="Lien hypertexte" xfId="19351" builtinId="8" hidden="1"/>
    <cellStyle name="Lien hypertexte" xfId="19315" builtinId="8" hidden="1"/>
    <cellStyle name="Lien hypertexte" xfId="19275" builtinId="8" hidden="1"/>
    <cellStyle name="Lien hypertexte" xfId="19239" builtinId="8" hidden="1"/>
    <cellStyle name="Lien hypertexte" xfId="19203" builtinId="8" hidden="1"/>
    <cellStyle name="Lien hypertexte" xfId="20235" builtinId="8" hidden="1"/>
    <cellStyle name="Lien hypertexte" xfId="20199" builtinId="8" hidden="1"/>
    <cellStyle name="Lien hypertexte" xfId="20159" builtinId="8" hidden="1"/>
    <cellStyle name="Lien hypertexte" xfId="20123" builtinId="8" hidden="1"/>
    <cellStyle name="Lien hypertexte" xfId="20087" builtinId="8" hidden="1"/>
    <cellStyle name="Lien hypertexte" xfId="20051" builtinId="8" hidden="1"/>
    <cellStyle name="Lien hypertexte" xfId="20011" builtinId="8" hidden="1"/>
    <cellStyle name="Lien hypertexte" xfId="19975" builtinId="8" hidden="1"/>
    <cellStyle name="Lien hypertexte" xfId="19939" builtinId="8" hidden="1"/>
    <cellStyle name="Lien hypertexte" xfId="19901" builtinId="8" hidden="1"/>
    <cellStyle name="Lien hypertexte" xfId="19863" builtinId="8" hidden="1"/>
    <cellStyle name="Lien hypertexte" xfId="19827" builtinId="8" hidden="1"/>
    <cellStyle name="Lien hypertexte" xfId="19789" builtinId="8" hidden="1"/>
    <cellStyle name="Lien hypertexte" xfId="19753" builtinId="8" hidden="1"/>
    <cellStyle name="Lien hypertexte" xfId="19715" builtinId="8" hidden="1"/>
    <cellStyle name="Lien hypertexte" xfId="19677" builtinId="8" hidden="1"/>
    <cellStyle name="Lien hypertexte" xfId="19641" builtinId="8" hidden="1"/>
    <cellStyle name="Lien hypertexte" xfId="19605" builtinId="8" hidden="1"/>
    <cellStyle name="Lien hypertexte" xfId="19565" builtinId="8" hidden="1"/>
    <cellStyle name="Lien hypertexte" xfId="20407" builtinId="8" hidden="1"/>
    <cellStyle name="Lien hypertexte" xfId="21577" builtinId="8" hidden="1"/>
    <cellStyle name="Lien hypertexte" xfId="21707" builtinId="8" hidden="1"/>
    <cellStyle name="Lien hypertexte" xfId="21671" builtinId="8" hidden="1"/>
    <cellStyle name="Lien hypertexte" xfId="21631" builtinId="8" hidden="1"/>
    <cellStyle name="Lien hypertexte" xfId="21595" builtinId="8" hidden="1"/>
    <cellStyle name="Lien hypertexte" xfId="21557" builtinId="8" hidden="1"/>
    <cellStyle name="Lien hypertexte" xfId="21519" builtinId="8" hidden="1"/>
    <cellStyle name="Lien hypertexte" xfId="21481" builtinId="8" hidden="1"/>
    <cellStyle name="Lien hypertexte" xfId="21445" builtinId="8" hidden="1"/>
    <cellStyle name="Lien hypertexte" xfId="21405" builtinId="8" hidden="1"/>
    <cellStyle name="Lien hypertexte" xfId="21369" builtinId="8" hidden="1"/>
    <cellStyle name="Lien hypertexte" xfId="21331" builtinId="8" hidden="1"/>
    <cellStyle name="Lien hypertexte" xfId="21293" builtinId="8" hidden="1"/>
    <cellStyle name="Lien hypertexte" xfId="21255" builtinId="8" hidden="1"/>
    <cellStyle name="Lien hypertexte" xfId="21219" builtinId="8" hidden="1"/>
    <cellStyle name="Lien hypertexte" xfId="21179" builtinId="8" hidden="1"/>
    <cellStyle name="Lien hypertexte" xfId="21143" builtinId="8" hidden="1"/>
    <cellStyle name="Lien hypertexte" xfId="21103" builtinId="8" hidden="1"/>
    <cellStyle name="Lien hypertexte" xfId="21067" builtinId="8" hidden="1"/>
    <cellStyle name="Lien hypertexte" xfId="21029" builtinId="8" hidden="1"/>
    <cellStyle name="Lien hypertexte" xfId="20989" builtinId="8" hidden="1"/>
    <cellStyle name="Lien hypertexte" xfId="20953" builtinId="8" hidden="1"/>
    <cellStyle name="Lien hypertexte" xfId="20915" builtinId="8" hidden="1"/>
    <cellStyle name="Lien hypertexte" xfId="20877" builtinId="8" hidden="1"/>
    <cellStyle name="Lien hypertexte" xfId="20839" builtinId="8" hidden="1"/>
    <cellStyle name="Lien hypertexte" xfId="20803" builtinId="8" hidden="1"/>
    <cellStyle name="Lien hypertexte" xfId="20763" builtinId="8" hidden="1"/>
    <cellStyle name="Lien hypertexte" xfId="20727" builtinId="8" hidden="1"/>
    <cellStyle name="Lien hypertexte" xfId="20687" builtinId="8" hidden="1"/>
    <cellStyle name="Lien hypertexte" xfId="20651" builtinId="8" hidden="1"/>
    <cellStyle name="Lien hypertexte" xfId="20613" builtinId="8" hidden="1"/>
    <cellStyle name="Lien hypertexte" xfId="20575" builtinId="8" hidden="1"/>
    <cellStyle name="Lien hypertexte" xfId="20537" builtinId="8" hidden="1"/>
    <cellStyle name="Lien hypertexte" xfId="20501" builtinId="8" hidden="1"/>
    <cellStyle name="Lien hypertexte" xfId="20461" builtinId="8" hidden="1"/>
    <cellStyle name="Lien hypertexte" xfId="20425" builtinId="8" hidden="1"/>
    <cellStyle name="Lien hypertexte" xfId="20387" builtinId="8" hidden="1"/>
    <cellStyle name="Lien hypertexte" xfId="20349" builtinId="8" hidden="1"/>
    <cellStyle name="Lien hypertexte" xfId="20311" builtinId="8" hidden="1"/>
    <cellStyle name="Lien hypertexte" xfId="20275" builtinId="8" hidden="1"/>
    <cellStyle name="Lien hypertexte" xfId="21907" builtinId="8" hidden="1"/>
    <cellStyle name="Lien hypertexte" xfId="22491" builtinId="8" hidden="1"/>
    <cellStyle name="Lien hypertexte" xfId="23077" builtinId="8" hidden="1"/>
    <cellStyle name="Lien hypertexte" xfId="23661" builtinId="8" hidden="1"/>
    <cellStyle name="Lien hypertexte" xfId="24247" builtinId="8" hidden="1"/>
    <cellStyle name="Lien hypertexte" xfId="23073" builtinId="8" hidden="1"/>
    <cellStyle name="Lien hypertexte" xfId="21729" builtinId="8" hidden="1"/>
    <cellStyle name="Lien hypertexte" xfId="22001" builtinId="8" hidden="1"/>
    <cellStyle name="Lien hypertexte" xfId="22273" builtinId="8" hidden="1"/>
    <cellStyle name="Lien hypertexte" xfId="22545" builtinId="8" hidden="1"/>
    <cellStyle name="Lien hypertexte" xfId="22833" builtinId="8" hidden="1"/>
    <cellStyle name="Lien hypertexte" xfId="23105" builtinId="8" hidden="1"/>
    <cellStyle name="Lien hypertexte" xfId="23377" builtinId="8" hidden="1"/>
    <cellStyle name="Lien hypertexte" xfId="23649" builtinId="8" hidden="1"/>
    <cellStyle name="Lien hypertexte" xfId="23921" builtinId="8" hidden="1"/>
    <cellStyle name="Lien hypertexte" xfId="24193" builtinId="8" hidden="1"/>
    <cellStyle name="Lien hypertexte" xfId="24465" builtinId="8" hidden="1"/>
    <cellStyle name="Lien hypertexte" xfId="24595" builtinId="8" hidden="1"/>
    <cellStyle name="Lien hypertexte" xfId="24555" builtinId="8" hidden="1"/>
    <cellStyle name="Lien hypertexte" xfId="24517" builtinId="8" hidden="1"/>
    <cellStyle name="Lien hypertexte" xfId="24477" builtinId="8" hidden="1"/>
    <cellStyle name="Lien hypertexte" xfId="24439" builtinId="8" hidden="1"/>
    <cellStyle name="Lien hypertexte" xfId="24399" builtinId="8" hidden="1"/>
    <cellStyle name="Lien hypertexte" xfId="24361" builtinId="8" hidden="1"/>
    <cellStyle name="Lien hypertexte" xfId="24323" builtinId="8" hidden="1"/>
    <cellStyle name="Lien hypertexte" xfId="24281" builtinId="8" hidden="1"/>
    <cellStyle name="Lien hypertexte" xfId="24243" builtinId="8" hidden="1"/>
    <cellStyle name="Lien hypertexte" xfId="24203" builtinId="8" hidden="1"/>
    <cellStyle name="Lien hypertexte" xfId="24165" builtinId="8" hidden="1"/>
    <cellStyle name="Lien hypertexte" xfId="24125" builtinId="8" hidden="1"/>
    <cellStyle name="Lien hypertexte" xfId="24087" builtinId="8" hidden="1"/>
    <cellStyle name="Lien hypertexte" xfId="24047" builtinId="8" hidden="1"/>
    <cellStyle name="Lien hypertexte" xfId="24009" builtinId="8" hidden="1"/>
    <cellStyle name="Lien hypertexte" xfId="23971" builtinId="8" hidden="1"/>
    <cellStyle name="Lien hypertexte" xfId="23931" builtinId="8" hidden="1"/>
    <cellStyle name="Lien hypertexte" xfId="23893" builtinId="8" hidden="1"/>
    <cellStyle name="Lien hypertexte" xfId="23853" builtinId="8" hidden="1"/>
    <cellStyle name="Lien hypertexte" xfId="23815" builtinId="8" hidden="1"/>
    <cellStyle name="Lien hypertexte" xfId="23775" builtinId="8" hidden="1"/>
    <cellStyle name="Lien hypertexte" xfId="23737" builtinId="8" hidden="1"/>
    <cellStyle name="Lien hypertexte" xfId="23695" builtinId="8" hidden="1"/>
    <cellStyle name="Lien hypertexte" xfId="23657" builtinId="8" hidden="1"/>
    <cellStyle name="Lien hypertexte" xfId="23619" builtinId="8" hidden="1"/>
    <cellStyle name="Lien hypertexte" xfId="23579" builtinId="8" hidden="1"/>
    <cellStyle name="Lien hypertexte" xfId="23541" builtinId="8" hidden="1"/>
    <cellStyle name="Lien hypertexte" xfId="23501" builtinId="8" hidden="1"/>
    <cellStyle name="Lien hypertexte" xfId="23463" builtinId="8" hidden="1"/>
    <cellStyle name="Lien hypertexte" xfId="23423" builtinId="8" hidden="1"/>
    <cellStyle name="Lien hypertexte" xfId="23385" builtinId="8" hidden="1"/>
    <cellStyle name="Lien hypertexte" xfId="23347" builtinId="8" hidden="1"/>
    <cellStyle name="Lien hypertexte" xfId="23307" builtinId="8" hidden="1"/>
    <cellStyle name="Lien hypertexte" xfId="23269" builtinId="8" hidden="1"/>
    <cellStyle name="Lien hypertexte" xfId="23229" builtinId="8" hidden="1"/>
    <cellStyle name="Lien hypertexte" xfId="23191" builtinId="8" hidden="1"/>
    <cellStyle name="Lien hypertexte" xfId="23151" builtinId="8" hidden="1"/>
    <cellStyle name="Lien hypertexte" xfId="23111" builtinId="8" hidden="1"/>
    <cellStyle name="Lien hypertexte" xfId="23071" builtinId="8" hidden="1"/>
    <cellStyle name="Lien hypertexte" xfId="23033" builtinId="8" hidden="1"/>
    <cellStyle name="Lien hypertexte" xfId="22995" builtinId="8" hidden="1"/>
    <cellStyle name="Lien hypertexte" xfId="22955" builtinId="8" hidden="1"/>
    <cellStyle name="Lien hypertexte" xfId="22917" builtinId="8" hidden="1"/>
    <cellStyle name="Lien hypertexte" xfId="22877" builtinId="8" hidden="1"/>
    <cellStyle name="Lien hypertexte" xfId="22839" builtinId="8" hidden="1"/>
    <cellStyle name="Lien hypertexte" xfId="22799" builtinId="8" hidden="1"/>
    <cellStyle name="Lien hypertexte" xfId="22761" builtinId="8" hidden="1"/>
    <cellStyle name="Lien hypertexte" xfId="22723" builtinId="8" hidden="1"/>
    <cellStyle name="Lien hypertexte" xfId="22683" builtinId="8" hidden="1"/>
    <cellStyle name="Lien hypertexte" xfId="22645" builtinId="8" hidden="1"/>
    <cellStyle name="Lien hypertexte" xfId="22605" builtinId="8" hidden="1"/>
    <cellStyle name="Lien hypertexte" xfId="22567" builtinId="8" hidden="1"/>
    <cellStyle name="Lien hypertexte" xfId="22525" builtinId="8" hidden="1"/>
    <cellStyle name="Lien hypertexte" xfId="22487" builtinId="8" hidden="1"/>
    <cellStyle name="Lien hypertexte" xfId="22447" builtinId="8" hidden="1"/>
    <cellStyle name="Lien hypertexte" xfId="22409" builtinId="8" hidden="1"/>
    <cellStyle name="Lien hypertexte" xfId="22371" builtinId="8" hidden="1"/>
    <cellStyle name="Lien hypertexte" xfId="22331" builtinId="8" hidden="1"/>
    <cellStyle name="Lien hypertexte" xfId="22293" builtinId="8" hidden="1"/>
    <cellStyle name="Lien hypertexte" xfId="22253" builtinId="8" hidden="1"/>
    <cellStyle name="Lien hypertexte" xfId="22215" builtinId="8" hidden="1"/>
    <cellStyle name="Lien hypertexte" xfId="22175" builtinId="8" hidden="1"/>
    <cellStyle name="Lien hypertexte" xfId="22137" builtinId="8" hidden="1"/>
    <cellStyle name="Lien hypertexte" xfId="22099" builtinId="8" hidden="1"/>
    <cellStyle name="Lien hypertexte" xfId="22059" builtinId="8" hidden="1"/>
    <cellStyle name="Lien hypertexte" xfId="22021" builtinId="8" hidden="1"/>
    <cellStyle name="Lien hypertexte" xfId="21981" builtinId="8" hidden="1"/>
    <cellStyle name="Lien hypertexte" xfId="21941" builtinId="8" hidden="1"/>
    <cellStyle name="Lien hypertexte" xfId="21901" builtinId="8" hidden="1"/>
    <cellStyle name="Lien hypertexte" xfId="21863" builtinId="8" hidden="1"/>
    <cellStyle name="Lien hypertexte" xfId="21823" builtinId="8" hidden="1"/>
    <cellStyle name="Lien hypertexte" xfId="21785" builtinId="8" hidden="1"/>
    <cellStyle name="Lien hypertexte" xfId="21747" builtinId="8" hidden="1"/>
    <cellStyle name="Lien hypertexte" xfId="19873" builtinId="8" hidden="1"/>
    <cellStyle name="Lien hypertexte" xfId="16070" builtinId="8" hidden="1"/>
    <cellStyle name="Lien hypertexte" xfId="16344" builtinId="8" hidden="1"/>
    <cellStyle name="Lien hypertexte" xfId="16616" builtinId="8" hidden="1"/>
    <cellStyle name="Lien hypertexte" xfId="16890" builtinId="8" hidden="1"/>
    <cellStyle name="Lien hypertexte" xfId="17162" builtinId="8" hidden="1"/>
    <cellStyle name="Lien hypertexte" xfId="17436" builtinId="8" hidden="1"/>
    <cellStyle name="Lien hypertexte" xfId="17708" builtinId="8" hidden="1"/>
    <cellStyle name="Lien hypertexte" xfId="17982" builtinId="8" hidden="1"/>
    <cellStyle name="Lien hypertexte" xfId="18254" builtinId="8" hidden="1"/>
    <cellStyle name="Lien hypertexte" xfId="18545" builtinId="8" hidden="1"/>
    <cellStyle name="Lien hypertexte" xfId="18819" builtinId="8" hidden="1"/>
    <cellStyle name="Lien hypertexte" xfId="14678" builtinId="8" hidden="1"/>
    <cellStyle name="Lien hypertexte" xfId="14942" builtinId="8" hidden="1"/>
    <cellStyle name="Lien hypertexte" xfId="15206" builtinId="8" hidden="1"/>
    <cellStyle name="Lien hypertexte" xfId="15470" builtinId="8" hidden="1"/>
    <cellStyle name="Lien hypertexte" xfId="15736" builtinId="8" hidden="1"/>
    <cellStyle name="Lien hypertexte" xfId="672" builtinId="8" hidden="1"/>
    <cellStyle name="Lien hypertexte" xfId="932" builtinId="8" hidden="1"/>
    <cellStyle name="Lien hypertexte" xfId="14546" builtinId="8" hidden="1"/>
    <cellStyle name="Lien hypertexte" xfId="516" builtinId="8" hidden="1"/>
    <cellStyle name="Lien hypertexte" xfId="316" builtinId="8" hidden="1"/>
    <cellStyle name="Lien hypertexte" xfId="64" builtinId="8" hidden="1"/>
    <cellStyle name="Lien hypertexte" xfId="112" builtinId="8" hidden="1"/>
    <cellStyle name="Lien hypertexte" xfId="186" builtinId="8" hidden="1"/>
    <cellStyle name="Lien hypertexte" xfId="150" builtinId="8" hidden="1"/>
    <cellStyle name="Lien hypertexte" xfId="338" builtinId="8" hidden="1"/>
    <cellStyle name="Lien hypertexte" xfId="302" builtinId="8" hidden="1"/>
    <cellStyle name="Lien hypertexte" xfId="264" builtinId="8" hidden="1"/>
    <cellStyle name="Lien hypertexte" xfId="228" builtinId="8" hidden="1"/>
    <cellStyle name="Lien hypertexte" xfId="648" builtinId="8" hidden="1"/>
    <cellStyle name="Lien hypertexte" xfId="610" builtinId="8" hidden="1"/>
    <cellStyle name="Lien hypertexte" xfId="574" builtinId="8" hidden="1"/>
    <cellStyle name="Lien hypertexte" xfId="538" builtinId="8" hidden="1"/>
    <cellStyle name="Lien hypertexte" xfId="502" builtinId="8" hidden="1"/>
    <cellStyle name="Lien hypertexte" xfId="464" builtinId="8" hidden="1"/>
    <cellStyle name="Lien hypertexte" xfId="426" builtinId="8" hidden="1"/>
    <cellStyle name="Lien hypertexte" xfId="390" builtinId="8" hidden="1"/>
    <cellStyle name="Lien hypertexte" xfId="352" builtinId="8" hidden="1"/>
    <cellStyle name="Lien hypertexte" xfId="14606" builtinId="8" hidden="1"/>
    <cellStyle name="Lien hypertexte" xfId="14568" builtinId="8" hidden="1"/>
    <cellStyle name="Lien hypertexte" xfId="14532" builtinId="8" hidden="1"/>
    <cellStyle name="Lien hypertexte" xfId="1140" builtinId="8" hidden="1"/>
    <cellStyle name="Lien hypertexte" xfId="1104" builtinId="8" hidden="1"/>
    <cellStyle name="Lien hypertexte" xfId="1066" builtinId="8" hidden="1"/>
    <cellStyle name="Lien hypertexte" xfId="1028" builtinId="8" hidden="1"/>
    <cellStyle name="Lien hypertexte" xfId="992" builtinId="8" hidden="1"/>
    <cellStyle name="Lien hypertexte" xfId="954" builtinId="8" hidden="1"/>
    <cellStyle name="Lien hypertexte" xfId="918" builtinId="8" hidden="1"/>
    <cellStyle name="Lien hypertexte" xfId="880" builtinId="8" hidden="1"/>
    <cellStyle name="Lien hypertexte" xfId="844" builtinId="8" hidden="1"/>
    <cellStyle name="Lien hypertexte" xfId="806" builtinId="8" hidden="1"/>
    <cellStyle name="Lien hypertexte" xfId="768" builtinId="8" hidden="1"/>
    <cellStyle name="Lien hypertexte" xfId="732" builtinId="8" hidden="1"/>
    <cellStyle name="Lien hypertexte" xfId="694" builtinId="8" hidden="1"/>
    <cellStyle name="Lien hypertexte" xfId="658" builtinId="8" hidden="1"/>
    <cellStyle name="Lien hypertexte" xfId="15600" builtinId="8" hidden="1"/>
    <cellStyle name="Lien hypertexte" xfId="15908" builtinId="8" hidden="1"/>
    <cellStyle name="Lien hypertexte" xfId="15872" builtinId="8" hidden="1"/>
    <cellStyle name="Lien hypertexte" xfId="15832" builtinId="8" hidden="1"/>
    <cellStyle name="Lien hypertexte" xfId="15796" builtinId="8" hidden="1"/>
    <cellStyle name="Lien hypertexte" xfId="15758" builtinId="8" hidden="1"/>
    <cellStyle name="Lien hypertexte" xfId="15720" builtinId="8" hidden="1"/>
    <cellStyle name="Lien hypertexte" xfId="15682" builtinId="8" hidden="1"/>
    <cellStyle name="Lien hypertexte" xfId="15644" builtinId="8" hidden="1"/>
    <cellStyle name="Lien hypertexte" xfId="15608" builtinId="8" hidden="1"/>
    <cellStyle name="Lien hypertexte" xfId="15568" builtinId="8" hidden="1"/>
    <cellStyle name="Lien hypertexte" xfId="15530" builtinId="8" hidden="1"/>
    <cellStyle name="Lien hypertexte" xfId="15494" builtinId="8" hidden="1"/>
    <cellStyle name="Lien hypertexte" xfId="15456" builtinId="8" hidden="1"/>
    <cellStyle name="Lien hypertexte" xfId="15418" builtinId="8" hidden="1"/>
    <cellStyle name="Lien hypertexte" xfId="15380" builtinId="8" hidden="1"/>
    <cellStyle name="Lien hypertexte" xfId="15342" builtinId="8" hidden="1"/>
    <cellStyle name="Lien hypertexte" xfId="15304" builtinId="8" hidden="1"/>
    <cellStyle name="Lien hypertexte" xfId="15266" builtinId="8" hidden="1"/>
    <cellStyle name="Lien hypertexte" xfId="15230" builtinId="8" hidden="1"/>
    <cellStyle name="Lien hypertexte" xfId="15192" builtinId="8" hidden="1"/>
    <cellStyle name="Lien hypertexte" xfId="15154" builtinId="8" hidden="1"/>
    <cellStyle name="Lien hypertexte" xfId="15116" builtinId="8" hidden="1"/>
    <cellStyle name="Lien hypertexte" xfId="15078" builtinId="8" hidden="1"/>
    <cellStyle name="Lien hypertexte" xfId="15040" builtinId="8" hidden="1"/>
    <cellStyle name="Lien hypertexte" xfId="15002" builtinId="8" hidden="1"/>
    <cellStyle name="Lien hypertexte" xfId="14966" builtinId="8" hidden="1"/>
    <cellStyle name="Lien hypertexte" xfId="14928" builtinId="8" hidden="1"/>
    <cellStyle name="Lien hypertexte" xfId="14888" builtinId="8" hidden="1"/>
    <cellStyle name="Lien hypertexte" xfId="14852" builtinId="8" hidden="1"/>
    <cellStyle name="Lien hypertexte" xfId="14814" builtinId="8" hidden="1"/>
    <cellStyle name="Lien hypertexte" xfId="14776" builtinId="8" hidden="1"/>
    <cellStyle name="Lien hypertexte" xfId="14738" builtinId="8" hidden="1"/>
    <cellStyle name="Lien hypertexte" xfId="14700" builtinId="8" hidden="1"/>
    <cellStyle name="Lien hypertexte" xfId="14664" builtinId="8" hidden="1"/>
    <cellStyle name="Lien hypertexte" xfId="15984" builtinId="8" hidden="1"/>
    <cellStyle name="Lien hypertexte" xfId="16560" builtinId="8" hidden="1"/>
    <cellStyle name="Lien hypertexte" xfId="17136" builtinId="8" hidden="1"/>
    <cellStyle name="Lien hypertexte" xfId="17744" builtinId="8" hidden="1"/>
    <cellStyle name="Lien hypertexte" xfId="18337" builtinId="8" hidden="1"/>
    <cellStyle name="Lien hypertexte" xfId="18841" builtinId="8" hidden="1"/>
    <cellStyle name="Lien hypertexte" xfId="18803" builtinId="8" hidden="1"/>
    <cellStyle name="Lien hypertexte" xfId="18763" builtinId="8" hidden="1"/>
    <cellStyle name="Lien hypertexte" xfId="18725" builtinId="8" hidden="1"/>
    <cellStyle name="Lien hypertexte" xfId="18685" builtinId="8" hidden="1"/>
    <cellStyle name="Lien hypertexte" xfId="18645" builtinId="8" hidden="1"/>
    <cellStyle name="Lien hypertexte" xfId="18607" builtinId="8" hidden="1"/>
    <cellStyle name="Lien hypertexte" xfId="18569" builtinId="8" hidden="1"/>
    <cellStyle name="Lien hypertexte" xfId="18531" builtinId="8" hidden="1"/>
    <cellStyle name="Lien hypertexte" xfId="18489" builtinId="8" hidden="1"/>
    <cellStyle name="Lien hypertexte" xfId="18451" builtinId="8" hidden="1"/>
    <cellStyle name="Lien hypertexte" xfId="18413" builtinId="8" hidden="1"/>
    <cellStyle name="Lien hypertexte" xfId="18373" builtinId="8" hidden="1"/>
    <cellStyle name="Lien hypertexte" xfId="18333" builtinId="8" hidden="1"/>
    <cellStyle name="Lien hypertexte" xfId="18278" builtinId="8" hidden="1"/>
    <cellStyle name="Lien hypertexte" xfId="18240" builtinId="8" hidden="1"/>
    <cellStyle name="Lien hypertexte" xfId="18200" builtinId="8" hidden="1"/>
    <cellStyle name="Lien hypertexte" xfId="18162" builtinId="8" hidden="1"/>
    <cellStyle name="Lien hypertexte" xfId="18122" builtinId="8" hidden="1"/>
    <cellStyle name="Lien hypertexte" xfId="18082" builtinId="8" hidden="1"/>
    <cellStyle name="Lien hypertexte" xfId="18044" builtinId="8" hidden="1"/>
    <cellStyle name="Lien hypertexte" xfId="18006" builtinId="8" hidden="1"/>
    <cellStyle name="Lien hypertexte" xfId="17966" builtinId="8" hidden="1"/>
    <cellStyle name="Lien hypertexte" xfId="17926" builtinId="8" hidden="1"/>
    <cellStyle name="Lien hypertexte" xfId="17888" builtinId="8" hidden="1"/>
    <cellStyle name="Lien hypertexte" xfId="17850" builtinId="8" hidden="1"/>
    <cellStyle name="Lien hypertexte" xfId="17810" builtinId="8" hidden="1"/>
    <cellStyle name="Lien hypertexte" xfId="17770" builtinId="8" hidden="1"/>
    <cellStyle name="Lien hypertexte" xfId="17732" builtinId="8" hidden="1"/>
    <cellStyle name="Lien hypertexte" xfId="17694" builtinId="8" hidden="1"/>
    <cellStyle name="Lien hypertexte" xfId="17654" builtinId="8" hidden="1"/>
    <cellStyle name="Lien hypertexte" xfId="17614" builtinId="8" hidden="1"/>
    <cellStyle name="Lien hypertexte" xfId="17576" builtinId="8" hidden="1"/>
    <cellStyle name="Lien hypertexte" xfId="17536" builtinId="8" hidden="1"/>
    <cellStyle name="Lien hypertexte" xfId="17498" builtinId="8" hidden="1"/>
    <cellStyle name="Lien hypertexte" xfId="17460" builtinId="8" hidden="1"/>
    <cellStyle name="Lien hypertexte" xfId="17420" builtinId="8" hidden="1"/>
    <cellStyle name="Lien hypertexte" xfId="17380" builtinId="8" hidden="1"/>
    <cellStyle name="Lien hypertexte" xfId="17342" builtinId="8" hidden="1"/>
    <cellStyle name="Lien hypertexte" xfId="17304" builtinId="8" hidden="1"/>
    <cellStyle name="Lien hypertexte" xfId="17262" builtinId="8" hidden="1"/>
    <cellStyle name="Lien hypertexte" xfId="17224" builtinId="8" hidden="1"/>
    <cellStyle name="Lien hypertexte" xfId="17186" builtinId="8" hidden="1"/>
    <cellStyle name="Lien hypertexte" xfId="17148" builtinId="8" hidden="1"/>
    <cellStyle name="Lien hypertexte" xfId="17108" builtinId="8" hidden="1"/>
    <cellStyle name="Lien hypertexte" xfId="17068" builtinId="8" hidden="1"/>
    <cellStyle name="Lien hypertexte" xfId="17030" builtinId="8" hidden="1"/>
    <cellStyle name="Lien hypertexte" xfId="16990" builtinId="8" hidden="1"/>
    <cellStyle name="Lien hypertexte" xfId="16952" builtinId="8" hidden="1"/>
    <cellStyle name="Lien hypertexte" xfId="16914" builtinId="8" hidden="1"/>
    <cellStyle name="Lien hypertexte" xfId="16874" builtinId="8" hidden="1"/>
    <cellStyle name="Lien hypertexte" xfId="16834" builtinId="8" hidden="1"/>
    <cellStyle name="Lien hypertexte" xfId="16386" builtinId="8" hidden="1"/>
    <cellStyle name="Lien hypertexte" xfId="16424" builtinId="8" hidden="1"/>
    <cellStyle name="Lien hypertexte" xfId="16444" builtinId="8" hidden="1"/>
    <cellStyle name="Lien hypertexte" xfId="16466" builtinId="8" hidden="1"/>
    <cellStyle name="Lien hypertexte" xfId="16504" builtinId="8" hidden="1"/>
    <cellStyle name="Lien hypertexte" xfId="16522" builtinId="8" hidden="1"/>
    <cellStyle name="Lien hypertexte" xfId="16542" builtinId="8" hidden="1"/>
    <cellStyle name="Lien hypertexte" xfId="16580" builtinId="8" hidden="1"/>
    <cellStyle name="Lien hypertexte" xfId="16602" builtinId="8" hidden="1"/>
    <cellStyle name="Lien hypertexte" xfId="16620" builtinId="8" hidden="1"/>
    <cellStyle name="Lien hypertexte" xfId="16660" builtinId="8" hidden="1"/>
    <cellStyle name="Lien hypertexte" xfId="16678" builtinId="8" hidden="1"/>
    <cellStyle name="Lien hypertexte" xfId="16698" builtinId="8" hidden="1"/>
    <cellStyle name="Lien hypertexte" xfId="16738" builtinId="8" hidden="1"/>
    <cellStyle name="Lien hypertexte" xfId="16758" builtinId="8" hidden="1"/>
    <cellStyle name="Lien hypertexte" xfId="16776" builtinId="8" hidden="1"/>
    <cellStyle name="Lien hypertexte" xfId="16814" builtinId="8" hidden="1"/>
    <cellStyle name="Lien hypertexte" xfId="16796" builtinId="8" hidden="1"/>
    <cellStyle name="Lien hypertexte" xfId="16716" builtinId="8" hidden="1"/>
    <cellStyle name="Lien hypertexte" xfId="16640" builtinId="8" hidden="1"/>
    <cellStyle name="Lien hypertexte" xfId="16562" builtinId="8" hidden="1"/>
    <cellStyle name="Lien hypertexte" xfId="16484" builtinId="8" hidden="1"/>
    <cellStyle name="Lien hypertexte" xfId="16406" builtinId="8" hidden="1"/>
    <cellStyle name="Lien hypertexte" xfId="16268" builtinId="8" hidden="1"/>
    <cellStyle name="Lien hypertexte" xfId="16288" builtinId="8" hidden="1"/>
    <cellStyle name="Lien hypertexte" xfId="16308" builtinId="8" hidden="1"/>
    <cellStyle name="Lien hypertexte" xfId="16328" builtinId="8" hidden="1"/>
    <cellStyle name="Lien hypertexte" xfId="16348" builtinId="8" hidden="1"/>
    <cellStyle name="Lien hypertexte" xfId="16366" builtinId="8" hidden="1"/>
    <cellStyle name="Lien hypertexte" xfId="16250" builtinId="8" hidden="1"/>
    <cellStyle name="Lien hypertexte" xfId="16212" builtinId="8" hidden="1"/>
    <cellStyle name="Lien hypertexte" xfId="16230" builtinId="8" hidden="1"/>
    <cellStyle name="Lien hypertexte" xfId="16192" builtinId="8" hidden="1"/>
    <cellStyle name="Lien hypertexte" xfId="16170" builtinId="8" hidden="1"/>
    <cellStyle name="Lien hypertexte visité" xfId="6280" builtinId="9" hidden="1"/>
    <cellStyle name="Lien hypertexte visité" xfId="6152" builtinId="9" hidden="1"/>
    <cellStyle name="Lien hypertexte visité" xfId="6024" builtinId="9" hidden="1"/>
    <cellStyle name="Lien hypertexte visité" xfId="5896" builtinId="9" hidden="1"/>
    <cellStyle name="Lien hypertexte visité" xfId="5768" builtinId="9" hidden="1"/>
    <cellStyle name="Lien hypertexte visité" xfId="5640" builtinId="9" hidden="1"/>
    <cellStyle name="Lien hypertexte visité" xfId="5512" builtinId="9" hidden="1"/>
    <cellStyle name="Lien hypertexte visité" xfId="5384" builtinId="9" hidden="1"/>
    <cellStyle name="Lien hypertexte visité" xfId="5256" builtinId="9" hidden="1"/>
    <cellStyle name="Lien hypertexte visité" xfId="5128" builtinId="9" hidden="1"/>
    <cellStyle name="Lien hypertexte visité" xfId="5000" builtinId="9" hidden="1"/>
    <cellStyle name="Lien hypertexte visité" xfId="4872" builtinId="9" hidden="1"/>
    <cellStyle name="Lien hypertexte visité" xfId="4744" builtinId="9" hidden="1"/>
    <cellStyle name="Lien hypertexte visité" xfId="4616" builtinId="9" hidden="1"/>
    <cellStyle name="Lien hypertexte visité" xfId="4488" builtinId="9" hidden="1"/>
    <cellStyle name="Lien hypertexte visité" xfId="4360" builtinId="9" hidden="1"/>
    <cellStyle name="Lien hypertexte visité" xfId="4232" builtinId="9" hidden="1"/>
    <cellStyle name="Lien hypertexte visité" xfId="4104" builtinId="9" hidden="1"/>
    <cellStyle name="Lien hypertexte visité" xfId="3976" builtinId="9" hidden="1"/>
    <cellStyle name="Lien hypertexte visité" xfId="3851" builtinId="9" hidden="1"/>
    <cellStyle name="Lien hypertexte visité" xfId="3723" builtinId="9" hidden="1"/>
    <cellStyle name="Lien hypertexte visité" xfId="3587" builtinId="9" hidden="1"/>
    <cellStyle name="Lien hypertexte visité" xfId="3458" builtinId="9" hidden="1"/>
    <cellStyle name="Lien hypertexte visité" xfId="3330" builtinId="9" hidden="1"/>
    <cellStyle name="Lien hypertexte visité" xfId="3202" builtinId="9" hidden="1"/>
    <cellStyle name="Lien hypertexte visité" xfId="3074" builtinId="9" hidden="1"/>
    <cellStyle name="Lien hypertexte visité" xfId="2946" builtinId="9" hidden="1"/>
    <cellStyle name="Lien hypertexte visité" xfId="2818" builtinId="9" hidden="1"/>
    <cellStyle name="Lien hypertexte visité" xfId="2690" builtinId="9" hidden="1"/>
    <cellStyle name="Lien hypertexte visité" xfId="2562" builtinId="9" hidden="1"/>
    <cellStyle name="Lien hypertexte visité" xfId="2434" builtinId="9" hidden="1"/>
    <cellStyle name="Lien hypertexte visité" xfId="2306" builtinId="9" hidden="1"/>
    <cellStyle name="Lien hypertexte visité" xfId="2178" builtinId="9" hidden="1"/>
    <cellStyle name="Lien hypertexte visité" xfId="2050" builtinId="9" hidden="1"/>
    <cellStyle name="Lien hypertexte visité" xfId="1922" builtinId="9" hidden="1"/>
    <cellStyle name="Lien hypertexte visité" xfId="1794" builtinId="9" hidden="1"/>
    <cellStyle name="Lien hypertexte visité" xfId="1666" builtinId="9" hidden="1"/>
    <cellStyle name="Lien hypertexte visité" xfId="1538" builtinId="9" hidden="1"/>
    <cellStyle name="Lien hypertexte visité" xfId="1409" builtinId="9" hidden="1"/>
    <cellStyle name="Lien hypertexte visité" xfId="1281" builtinId="9" hidden="1"/>
    <cellStyle name="Lien hypertexte visité" xfId="1143" builtinId="9" hidden="1"/>
    <cellStyle name="Lien hypertexte visité" xfId="887" builtinId="9" hidden="1"/>
    <cellStyle name="Lien hypertexte visité" xfId="631" builtinId="9" hidden="1"/>
    <cellStyle name="Lien hypertexte visité" xfId="375" builtinId="9" hidden="1"/>
    <cellStyle name="Lien hypertexte visité" xfId="119" builtinId="9" hidden="1"/>
    <cellStyle name="Lien hypertexte visité" xfId="75" builtinId="9" hidden="1"/>
    <cellStyle name="Lien hypertexte visité" xfId="363" builtinId="9" hidden="1"/>
    <cellStyle name="Lien hypertexte visité" xfId="619" builtinId="9" hidden="1"/>
    <cellStyle name="Lien hypertexte visité" xfId="9451" builtinId="9" hidden="1"/>
    <cellStyle name="Lien hypertexte visité" xfId="9411" builtinId="9" hidden="1"/>
    <cellStyle name="Lien hypertexte visité" xfId="9371" builtinId="9" hidden="1"/>
    <cellStyle name="Lien hypertexte visité" xfId="9339" builtinId="9" hidden="1"/>
    <cellStyle name="Lien hypertexte visité" xfId="9299" builtinId="9" hidden="1"/>
    <cellStyle name="Lien hypertexte visité" xfId="9267" builtinId="9" hidden="1"/>
    <cellStyle name="Lien hypertexte visité" xfId="9227" builtinId="9" hidden="1"/>
    <cellStyle name="Lien hypertexte visité" xfId="9195" builtinId="9" hidden="1"/>
    <cellStyle name="Lien hypertexte visité" xfId="9155" builtinId="9" hidden="1"/>
    <cellStyle name="Lien hypertexte visité" xfId="9115" builtinId="9" hidden="1"/>
    <cellStyle name="Lien hypertexte visité" xfId="9083" builtinId="9" hidden="1"/>
    <cellStyle name="Lien hypertexte visité" xfId="9043" builtinId="9" hidden="1"/>
    <cellStyle name="Lien hypertexte visité" xfId="9011" builtinId="9" hidden="1"/>
    <cellStyle name="Lien hypertexte visité" xfId="8971" builtinId="9" hidden="1"/>
    <cellStyle name="Lien hypertexte visité" xfId="8939" builtinId="9" hidden="1"/>
    <cellStyle name="Lien hypertexte visité" xfId="8899" builtinId="9" hidden="1"/>
    <cellStyle name="Lien hypertexte visité" xfId="8859" builtinId="9" hidden="1"/>
    <cellStyle name="Lien hypertexte visité" xfId="8827" builtinId="9" hidden="1"/>
    <cellStyle name="Lien hypertexte visité" xfId="8787" builtinId="9" hidden="1"/>
    <cellStyle name="Lien hypertexte visité" xfId="8755" builtinId="9" hidden="1"/>
    <cellStyle name="Lien hypertexte visité" xfId="8715" builtinId="9" hidden="1"/>
    <cellStyle name="Lien hypertexte visité" xfId="8683" builtinId="9" hidden="1"/>
    <cellStyle name="Lien hypertexte visité" xfId="8643" builtinId="9" hidden="1"/>
    <cellStyle name="Lien hypertexte visité" xfId="8603" builtinId="9" hidden="1"/>
    <cellStyle name="Lien hypertexte visité" xfId="8571" builtinId="9" hidden="1"/>
    <cellStyle name="Lien hypertexte visité" xfId="8531" builtinId="9" hidden="1"/>
    <cellStyle name="Lien hypertexte visité" xfId="8499" builtinId="9" hidden="1"/>
    <cellStyle name="Lien hypertexte visité" xfId="8459" builtinId="9" hidden="1"/>
    <cellStyle name="Lien hypertexte visité" xfId="8427" builtinId="9" hidden="1"/>
    <cellStyle name="Lien hypertexte visité" xfId="8387" builtinId="9" hidden="1"/>
    <cellStyle name="Lien hypertexte visité" xfId="8347" builtinId="9" hidden="1"/>
    <cellStyle name="Lien hypertexte visité" xfId="8315" builtinId="9" hidden="1"/>
    <cellStyle name="Lien hypertexte visité" xfId="8275" builtinId="9" hidden="1"/>
    <cellStyle name="Lien hypertexte visité" xfId="8243" builtinId="9" hidden="1"/>
    <cellStyle name="Lien hypertexte visité" xfId="8203" builtinId="9" hidden="1"/>
    <cellStyle name="Lien hypertexte visité" xfId="8171" builtinId="9" hidden="1"/>
    <cellStyle name="Lien hypertexte visité" xfId="8131" builtinId="9" hidden="1"/>
    <cellStyle name="Lien hypertexte visité" xfId="8091" builtinId="9" hidden="1"/>
    <cellStyle name="Lien hypertexte visité" xfId="8059" builtinId="9" hidden="1"/>
    <cellStyle name="Lien hypertexte visité" xfId="8019" builtinId="9" hidden="1"/>
    <cellStyle name="Lien hypertexte visité" xfId="7987" builtinId="9" hidden="1"/>
    <cellStyle name="Lien hypertexte visité" xfId="7947" builtinId="9" hidden="1"/>
    <cellStyle name="Lien hypertexte visité" xfId="7915" builtinId="9" hidden="1"/>
    <cellStyle name="Lien hypertexte visité" xfId="7875" builtinId="9" hidden="1"/>
    <cellStyle name="Lien hypertexte visité" xfId="7835" builtinId="9" hidden="1"/>
    <cellStyle name="Lien hypertexte visité" xfId="7802" builtinId="9" hidden="1"/>
    <cellStyle name="Lien hypertexte visité" xfId="7762" builtinId="9" hidden="1"/>
    <cellStyle name="Lien hypertexte visité" xfId="7730" builtinId="9" hidden="1"/>
    <cellStyle name="Lien hypertexte visité" xfId="7690" builtinId="9" hidden="1"/>
    <cellStyle name="Lien hypertexte visité" xfId="7658" builtinId="9" hidden="1"/>
    <cellStyle name="Lien hypertexte visité" xfId="7618" builtinId="9" hidden="1"/>
    <cellStyle name="Lien hypertexte visité" xfId="7578" builtinId="9" hidden="1"/>
    <cellStyle name="Lien hypertexte visité" xfId="7546" builtinId="9" hidden="1"/>
    <cellStyle name="Lien hypertexte visité" xfId="7506" builtinId="9" hidden="1"/>
    <cellStyle name="Lien hypertexte visité" xfId="7474" builtinId="9" hidden="1"/>
    <cellStyle name="Lien hypertexte visité" xfId="7434" builtinId="9" hidden="1"/>
    <cellStyle name="Lien hypertexte visité" xfId="7402" builtinId="9" hidden="1"/>
    <cellStyle name="Lien hypertexte visité" xfId="7362" builtinId="9" hidden="1"/>
    <cellStyle name="Lien hypertexte visité" xfId="7322" builtinId="9" hidden="1"/>
    <cellStyle name="Lien hypertexte visité" xfId="7290" builtinId="9" hidden="1"/>
    <cellStyle name="Lien hypertexte visité" xfId="7250" builtinId="9" hidden="1"/>
    <cellStyle name="Lien hypertexte visité" xfId="7218" builtinId="9" hidden="1"/>
    <cellStyle name="Lien hypertexte visité" xfId="7178" builtinId="9" hidden="1"/>
    <cellStyle name="Lien hypertexte visité" xfId="7146" builtinId="9" hidden="1"/>
    <cellStyle name="Lien hypertexte visité" xfId="7106" builtinId="9" hidden="1"/>
    <cellStyle name="Lien hypertexte visité" xfId="7066" builtinId="9" hidden="1"/>
    <cellStyle name="Lien hypertexte visité" xfId="7034" builtinId="9" hidden="1"/>
    <cellStyle name="Lien hypertexte visité" xfId="6994" builtinId="9" hidden="1"/>
    <cellStyle name="Lien hypertexte visité" xfId="6962" builtinId="9" hidden="1"/>
    <cellStyle name="Lien hypertexte visité" xfId="6922" builtinId="9" hidden="1"/>
    <cellStyle name="Lien hypertexte visité" xfId="6890" builtinId="9" hidden="1"/>
    <cellStyle name="Lien hypertexte visité" xfId="6850" builtinId="9" hidden="1"/>
    <cellStyle name="Lien hypertexte visité" xfId="6810" builtinId="9" hidden="1"/>
    <cellStyle name="Lien hypertexte visité" xfId="6778" builtinId="9" hidden="1"/>
    <cellStyle name="Lien hypertexte visité" xfId="6738" builtinId="9" hidden="1"/>
    <cellStyle name="Lien hypertexte visité" xfId="6706" builtinId="9" hidden="1"/>
    <cellStyle name="Lien hypertexte visité" xfId="6666" builtinId="9" hidden="1"/>
    <cellStyle name="Lien hypertexte visité" xfId="6634" builtinId="9" hidden="1"/>
    <cellStyle name="Lien hypertexte visité" xfId="6594" builtinId="9" hidden="1"/>
    <cellStyle name="Lien hypertexte visité" xfId="6554" builtinId="9" hidden="1"/>
    <cellStyle name="Lien hypertexte visité" xfId="6522" builtinId="9" hidden="1"/>
    <cellStyle name="Lien hypertexte visité" xfId="6482" builtinId="9" hidden="1"/>
    <cellStyle name="Lien hypertexte visité" xfId="6450" builtinId="9" hidden="1"/>
    <cellStyle name="Lien hypertexte visité" xfId="6410" builtinId="9" hidden="1"/>
    <cellStyle name="Lien hypertexte visité" xfId="6378" builtinId="9" hidden="1"/>
    <cellStyle name="Lien hypertexte visité" xfId="6338" builtinId="9" hidden="1"/>
    <cellStyle name="Lien hypertexte visité" xfId="6298" builtinId="9" hidden="1"/>
    <cellStyle name="Lien hypertexte visité" xfId="6266" builtinId="9" hidden="1"/>
    <cellStyle name="Lien hypertexte visité" xfId="6226" builtinId="9" hidden="1"/>
    <cellStyle name="Lien hypertexte visité" xfId="6194" builtinId="9" hidden="1"/>
    <cellStyle name="Lien hypertexte visité" xfId="6154" builtinId="9" hidden="1"/>
    <cellStyle name="Lien hypertexte visité" xfId="6122" builtinId="9" hidden="1"/>
    <cellStyle name="Lien hypertexte visité" xfId="6082" builtinId="9" hidden="1"/>
    <cellStyle name="Lien hypertexte visité" xfId="6042" builtinId="9" hidden="1"/>
    <cellStyle name="Lien hypertexte visité" xfId="6010" builtinId="9" hidden="1"/>
    <cellStyle name="Lien hypertexte visité" xfId="5970" builtinId="9" hidden="1"/>
    <cellStyle name="Lien hypertexte visité" xfId="5938" builtinId="9" hidden="1"/>
    <cellStyle name="Lien hypertexte visité" xfId="5898" builtinId="9" hidden="1"/>
    <cellStyle name="Lien hypertexte visité" xfId="5866" builtinId="9" hidden="1"/>
    <cellStyle name="Lien hypertexte visité" xfId="5826" builtinId="9" hidden="1"/>
    <cellStyle name="Lien hypertexte visité" xfId="5786" builtinId="9" hidden="1"/>
    <cellStyle name="Lien hypertexte visité" xfId="5754" builtinId="9" hidden="1"/>
    <cellStyle name="Lien hypertexte visité" xfId="5714" builtinId="9" hidden="1"/>
    <cellStyle name="Lien hypertexte visité" xfId="5682" builtinId="9" hidden="1"/>
    <cellStyle name="Lien hypertexte visité" xfId="5642" builtinId="9" hidden="1"/>
    <cellStyle name="Lien hypertexte visité" xfId="5610" builtinId="9" hidden="1"/>
    <cellStyle name="Lien hypertexte visité" xfId="5570" builtinId="9" hidden="1"/>
    <cellStyle name="Lien hypertexte visité" xfId="5530" builtinId="9" hidden="1"/>
    <cellStyle name="Lien hypertexte visité" xfId="5498" builtinId="9" hidden="1"/>
    <cellStyle name="Lien hypertexte visité" xfId="5458" builtinId="9" hidden="1"/>
    <cellStyle name="Lien hypertexte visité" xfId="5426" builtinId="9" hidden="1"/>
    <cellStyle name="Lien hypertexte visité" xfId="5386" builtinId="9" hidden="1"/>
    <cellStyle name="Lien hypertexte visité" xfId="5354" builtinId="9" hidden="1"/>
    <cellStyle name="Lien hypertexte visité" xfId="5314" builtinId="9" hidden="1"/>
    <cellStyle name="Lien hypertexte visité" xfId="5274" builtinId="9" hidden="1"/>
    <cellStyle name="Lien hypertexte visité" xfId="5242" builtinId="9" hidden="1"/>
    <cellStyle name="Lien hypertexte visité" xfId="5202" builtinId="9" hidden="1"/>
    <cellStyle name="Lien hypertexte visité" xfId="5170" builtinId="9" hidden="1"/>
    <cellStyle name="Lien hypertexte visité" xfId="5130" builtinId="9" hidden="1"/>
    <cellStyle name="Lien hypertexte visité" xfId="5098" builtinId="9" hidden="1"/>
    <cellStyle name="Lien hypertexte visité" xfId="5058" builtinId="9" hidden="1"/>
    <cellStyle name="Lien hypertexte visité" xfId="5018" builtinId="9" hidden="1"/>
    <cellStyle name="Lien hypertexte visité" xfId="4986" builtinId="9" hidden="1"/>
    <cellStyle name="Lien hypertexte visité" xfId="4946" builtinId="9" hidden="1"/>
    <cellStyle name="Lien hypertexte visité" xfId="4914" builtinId="9" hidden="1"/>
    <cellStyle name="Lien hypertexte visité" xfId="4874" builtinId="9" hidden="1"/>
    <cellStyle name="Lien hypertexte visité" xfId="4842" builtinId="9" hidden="1"/>
    <cellStyle name="Lien hypertexte visité" xfId="4802" builtinId="9" hidden="1"/>
    <cellStyle name="Lien hypertexte visité" xfId="4762" builtinId="9" hidden="1"/>
    <cellStyle name="Lien hypertexte visité" xfId="4730" builtinId="9" hidden="1"/>
    <cellStyle name="Lien hypertexte visité" xfId="4690" builtinId="9" hidden="1"/>
    <cellStyle name="Lien hypertexte visité" xfId="4658" builtinId="9" hidden="1"/>
    <cellStyle name="Lien hypertexte visité" xfId="4618" builtinId="9" hidden="1"/>
    <cellStyle name="Lien hypertexte visité" xfId="4586" builtinId="9" hidden="1"/>
    <cellStyle name="Lien hypertexte visité" xfId="4546" builtinId="9" hidden="1"/>
    <cellStyle name="Lien hypertexte visité" xfId="4506" builtinId="9" hidden="1"/>
    <cellStyle name="Lien hypertexte visité" xfId="4474" builtinId="9" hidden="1"/>
    <cellStyle name="Lien hypertexte visité" xfId="4434" builtinId="9" hidden="1"/>
    <cellStyle name="Lien hypertexte visité" xfId="4402" builtinId="9" hidden="1"/>
    <cellStyle name="Lien hypertexte visité" xfId="4362" builtinId="9" hidden="1"/>
    <cellStyle name="Lien hypertexte visité" xfId="4330" builtinId="9" hidden="1"/>
    <cellStyle name="Lien hypertexte visité" xfId="4290" builtinId="9" hidden="1"/>
    <cellStyle name="Lien hypertexte visité" xfId="4250" builtinId="9" hidden="1"/>
    <cellStyle name="Lien hypertexte visité" xfId="4218" builtinId="9" hidden="1"/>
    <cellStyle name="Lien hypertexte visité" xfId="4178" builtinId="9" hidden="1"/>
    <cellStyle name="Lien hypertexte visité" xfId="4146" builtinId="9" hidden="1"/>
    <cellStyle name="Lien hypertexte visité" xfId="4106" builtinId="9" hidden="1"/>
    <cellStyle name="Lien hypertexte visité" xfId="4074" builtinId="9" hidden="1"/>
    <cellStyle name="Lien hypertexte visité" xfId="4034" builtinId="9" hidden="1"/>
    <cellStyle name="Lien hypertexte visité" xfId="3994" builtinId="9" hidden="1"/>
    <cellStyle name="Lien hypertexte visité" xfId="3962" builtinId="9" hidden="1"/>
    <cellStyle name="Lien hypertexte visité" xfId="1157" builtinId="9" hidden="1"/>
    <cellStyle name="Lien hypertexte visité" xfId="3894" builtinId="9" hidden="1"/>
    <cellStyle name="Lien hypertexte visité" xfId="3853" builtinId="9" hidden="1"/>
    <cellStyle name="Lien hypertexte visité" xfId="3821" builtinId="9" hidden="1"/>
    <cellStyle name="Lien hypertexte visité" xfId="3781" builtinId="9" hidden="1"/>
    <cellStyle name="Lien hypertexte visité" xfId="3741" builtinId="9" hidden="1"/>
    <cellStyle name="Lien hypertexte visité" xfId="3709" builtinId="9" hidden="1"/>
    <cellStyle name="Lien hypertexte visité" xfId="3666" builtinId="9" hidden="1"/>
    <cellStyle name="Lien hypertexte visité" xfId="3629" builtinId="9" hidden="1"/>
    <cellStyle name="Lien hypertexte visité" xfId="3589" builtinId="9" hidden="1"/>
    <cellStyle name="Lien hypertexte visité" xfId="3556" builtinId="9" hidden="1"/>
    <cellStyle name="Lien hypertexte visité" xfId="3516" builtinId="9" hidden="1"/>
    <cellStyle name="Lien hypertexte visité" xfId="3476" builtinId="9" hidden="1"/>
    <cellStyle name="Lien hypertexte visité" xfId="3444" builtinId="9" hidden="1"/>
    <cellStyle name="Lien hypertexte visité" xfId="3404" builtinId="9" hidden="1"/>
    <cellStyle name="Lien hypertexte visité" xfId="3372" builtinId="9" hidden="1"/>
    <cellStyle name="Lien hypertexte visité" xfId="3332" builtinId="9" hidden="1"/>
    <cellStyle name="Lien hypertexte visité" xfId="3300" builtinId="9" hidden="1"/>
    <cellStyle name="Lien hypertexte visité" xfId="3260" builtinId="9" hidden="1"/>
    <cellStyle name="Lien hypertexte visité" xfId="3220" builtinId="9" hidden="1"/>
    <cellStyle name="Lien hypertexte visité" xfId="3188" builtinId="9" hidden="1"/>
    <cellStyle name="Lien hypertexte visité" xfId="3148" builtinId="9" hidden="1"/>
    <cellStyle name="Lien hypertexte visité" xfId="3116" builtinId="9" hidden="1"/>
    <cellStyle name="Lien hypertexte visité" xfId="3076" builtinId="9" hidden="1"/>
    <cellStyle name="Lien hypertexte visité" xfId="3044" builtinId="9" hidden="1"/>
    <cellStyle name="Lien hypertexte visité" xfId="3004" builtinId="9" hidden="1"/>
    <cellStyle name="Lien hypertexte visité" xfId="2964" builtinId="9" hidden="1"/>
    <cellStyle name="Lien hypertexte visité" xfId="2932" builtinId="9" hidden="1"/>
    <cellStyle name="Lien hypertexte visité" xfId="2892" builtinId="9" hidden="1"/>
    <cellStyle name="Lien hypertexte visité" xfId="2860" builtinId="9" hidden="1"/>
    <cellStyle name="Lien hypertexte visité" xfId="2820" builtinId="9" hidden="1"/>
    <cellStyle name="Lien hypertexte visité" xfId="2788" builtinId="9" hidden="1"/>
    <cellStyle name="Lien hypertexte visité" xfId="2748" builtinId="9" hidden="1"/>
    <cellStyle name="Lien hypertexte visité" xfId="2708" builtinId="9" hidden="1"/>
    <cellStyle name="Lien hypertexte visité" xfId="2676" builtinId="9" hidden="1"/>
    <cellStyle name="Lien hypertexte visité" xfId="2636" builtinId="9" hidden="1"/>
    <cellStyle name="Lien hypertexte visité" xfId="2604" builtinId="9" hidden="1"/>
    <cellStyle name="Lien hypertexte visité" xfId="2564" builtinId="9" hidden="1"/>
    <cellStyle name="Lien hypertexte visité" xfId="2532" builtinId="9" hidden="1"/>
    <cellStyle name="Lien hypertexte visité" xfId="2492" builtinId="9" hidden="1"/>
    <cellStyle name="Lien hypertexte visité" xfId="2452" builtinId="9" hidden="1"/>
    <cellStyle name="Lien hypertexte visité" xfId="2420" builtinId="9" hidden="1"/>
    <cellStyle name="Lien hypertexte visité" xfId="2380" builtinId="9" hidden="1"/>
    <cellStyle name="Lien hypertexte visité" xfId="2348" builtinId="9" hidden="1"/>
    <cellStyle name="Lien hypertexte visité" xfId="2308" builtinId="9" hidden="1"/>
    <cellStyle name="Lien hypertexte visité" xfId="2276" builtinId="9" hidden="1"/>
    <cellStyle name="Lien hypertexte visité" xfId="2236" builtinId="9" hidden="1"/>
    <cellStyle name="Lien hypertexte visité" xfId="2196" builtinId="9" hidden="1"/>
    <cellStyle name="Lien hypertexte visité" xfId="2164" builtinId="9" hidden="1"/>
    <cellStyle name="Lien hypertexte visité" xfId="2124" builtinId="9" hidden="1"/>
    <cellStyle name="Lien hypertexte visité" xfId="2092" builtinId="9" hidden="1"/>
    <cellStyle name="Lien hypertexte visité" xfId="2052" builtinId="9" hidden="1"/>
    <cellStyle name="Lien hypertexte visité" xfId="2020" builtinId="9" hidden="1"/>
    <cellStyle name="Lien hypertexte visité" xfId="1980" builtinId="9" hidden="1"/>
    <cellStyle name="Lien hypertexte visité" xfId="1940" builtinId="9" hidden="1"/>
    <cellStyle name="Lien hypertexte visité" xfId="1908" builtinId="9" hidden="1"/>
    <cellStyle name="Lien hypertexte visité" xfId="1868" builtinId="9" hidden="1"/>
    <cellStyle name="Lien hypertexte visité" xfId="1836" builtinId="9" hidden="1"/>
    <cellStyle name="Lien hypertexte visité" xfId="1796" builtinId="9" hidden="1"/>
    <cellStyle name="Lien hypertexte visité" xfId="1764" builtinId="9" hidden="1"/>
    <cellStyle name="Lien hypertexte visité" xfId="1724" builtinId="9" hidden="1"/>
    <cellStyle name="Lien hypertexte visité" xfId="1684" builtinId="9" hidden="1"/>
    <cellStyle name="Lien hypertexte visité" xfId="1652" builtinId="9" hidden="1"/>
    <cellStyle name="Lien hypertexte visité" xfId="1612" builtinId="9" hidden="1"/>
    <cellStyle name="Lien hypertexte visité" xfId="1580" builtinId="9" hidden="1"/>
    <cellStyle name="Lien hypertexte visité" xfId="1540" builtinId="9" hidden="1"/>
    <cellStyle name="Lien hypertexte visité" xfId="1508" builtinId="9" hidden="1"/>
    <cellStyle name="Lien hypertexte visité" xfId="1467" builtinId="9" hidden="1"/>
    <cellStyle name="Lien hypertexte visité" xfId="1427" builtinId="9" hidden="1"/>
    <cellStyle name="Lien hypertexte visité" xfId="1395" builtinId="9" hidden="1"/>
    <cellStyle name="Lien hypertexte visité" xfId="1355" builtinId="9" hidden="1"/>
    <cellStyle name="Lien hypertexte visité" xfId="1323" builtinId="9" hidden="1"/>
    <cellStyle name="Lien hypertexte visité" xfId="1283" builtinId="9" hidden="1"/>
    <cellStyle name="Lien hypertexte visité" xfId="1251" builtinId="9" hidden="1"/>
    <cellStyle name="Lien hypertexte visité" xfId="1211" builtinId="9" hidden="1"/>
    <cellStyle name="Lien hypertexte visité" xfId="1171" builtinId="9" hidden="1"/>
    <cellStyle name="Lien hypertexte visité" xfId="1115" builtinId="9" hidden="1"/>
    <cellStyle name="Lien hypertexte visité" xfId="1035" builtinId="9" hidden="1"/>
    <cellStyle name="Lien hypertexte visité" xfId="971" builtinId="9" hidden="1"/>
    <cellStyle name="Lien hypertexte visité" xfId="891" builtinId="9" hidden="1"/>
    <cellStyle name="Lien hypertexte visité" xfId="827" builtinId="9" hidden="1"/>
    <cellStyle name="Lien hypertexte visité" xfId="747" builtinId="9" hidden="1"/>
    <cellStyle name="Lien hypertexte visité" xfId="667" builtinId="9" hidden="1"/>
    <cellStyle name="Lien hypertexte visité" xfId="811" builtinId="9" hidden="1"/>
    <cellStyle name="Lien hypertexte visité" xfId="1243" builtinId="9" hidden="1"/>
    <cellStyle name="Lien hypertexte visité" xfId="1500" builtinId="9" hidden="1"/>
    <cellStyle name="Lien hypertexte visité" xfId="1756" builtinId="9" hidden="1"/>
    <cellStyle name="Lien hypertexte visité" xfId="2012" builtinId="9" hidden="1"/>
    <cellStyle name="Lien hypertexte visité" xfId="2268" builtinId="9" hidden="1"/>
    <cellStyle name="Lien hypertexte visité" xfId="2524" builtinId="9" hidden="1"/>
    <cellStyle name="Lien hypertexte visité" xfId="2780" builtinId="9" hidden="1"/>
    <cellStyle name="Lien hypertexte visité" xfId="3036" builtinId="9" hidden="1"/>
    <cellStyle name="Lien hypertexte visité" xfId="3292" builtinId="9" hidden="1"/>
    <cellStyle name="Lien hypertexte visité" xfId="3548" builtinId="9" hidden="1"/>
    <cellStyle name="Lien hypertexte visité" xfId="3813" builtinId="9" hidden="1"/>
    <cellStyle name="Lien hypertexte visité" xfId="4066" builtinId="9" hidden="1"/>
    <cellStyle name="Lien hypertexte visité" xfId="4322" builtinId="9" hidden="1"/>
    <cellStyle name="Lien hypertexte visité" xfId="4578" builtinId="9" hidden="1"/>
    <cellStyle name="Lien hypertexte visité" xfId="4834" builtinId="9" hidden="1"/>
    <cellStyle name="Lien hypertexte visité" xfId="5090" builtinId="9" hidden="1"/>
    <cellStyle name="Lien hypertexte visité" xfId="5346" builtinId="9" hidden="1"/>
    <cellStyle name="Lien hypertexte visité" xfId="5602" builtinId="9" hidden="1"/>
    <cellStyle name="Lien hypertexte visité" xfId="5858" builtinId="9" hidden="1"/>
    <cellStyle name="Lien hypertexte visité" xfId="6114" builtinId="9" hidden="1"/>
    <cellStyle name="Lien hypertexte visité" xfId="6370" builtinId="9" hidden="1"/>
    <cellStyle name="Lien hypertexte visité" xfId="6626" builtinId="9" hidden="1"/>
    <cellStyle name="Lien hypertexte visité" xfId="6882" builtinId="9" hidden="1"/>
    <cellStyle name="Lien hypertexte visité" xfId="7138" builtinId="9" hidden="1"/>
    <cellStyle name="Lien hypertexte visité" xfId="7394" builtinId="9" hidden="1"/>
    <cellStyle name="Lien hypertexte visité" xfId="7650" builtinId="9" hidden="1"/>
    <cellStyle name="Lien hypertexte visité" xfId="7907" builtinId="9" hidden="1"/>
    <cellStyle name="Lien hypertexte visité" xfId="8163" builtinId="9" hidden="1"/>
    <cellStyle name="Lien hypertexte visité" xfId="8419" builtinId="9" hidden="1"/>
    <cellStyle name="Lien hypertexte visité" xfId="8675" builtinId="9" hidden="1"/>
    <cellStyle name="Lien hypertexte visité" xfId="8931" builtinId="9" hidden="1"/>
    <cellStyle name="Lien hypertexte visité" xfId="9187" builtinId="9" hidden="1"/>
    <cellStyle name="Lien hypertexte visité" xfId="9443" builtinId="9" hidden="1"/>
    <cellStyle name="Lien hypertexte visité" xfId="12883" builtinId="9" hidden="1"/>
    <cellStyle name="Lien hypertexte visité" xfId="12851" builtinId="9" hidden="1"/>
    <cellStyle name="Lien hypertexte visité" xfId="12811" builtinId="9" hidden="1"/>
    <cellStyle name="Lien hypertexte visité" xfId="12779" builtinId="9" hidden="1"/>
    <cellStyle name="Lien hypertexte visité" xfId="12747" builtinId="9" hidden="1"/>
    <cellStyle name="Lien hypertexte visité" xfId="12715" builtinId="9" hidden="1"/>
    <cellStyle name="Lien hypertexte visité" xfId="12675" builtinId="9" hidden="1"/>
    <cellStyle name="Lien hypertexte visité" xfId="12643" builtinId="9" hidden="1"/>
    <cellStyle name="Lien hypertexte visité" xfId="12611" builtinId="9" hidden="1"/>
    <cellStyle name="Lien hypertexte visité" xfId="12571" builtinId="9" hidden="1"/>
    <cellStyle name="Lien hypertexte visité" xfId="12539" builtinId="9" hidden="1"/>
    <cellStyle name="Lien hypertexte visité" xfId="12507" builtinId="9" hidden="1"/>
    <cellStyle name="Lien hypertexte visité" xfId="12475" builtinId="9" hidden="1"/>
    <cellStyle name="Lien hypertexte visité" xfId="12435" builtinId="9" hidden="1"/>
    <cellStyle name="Lien hypertexte visité" xfId="12403" builtinId="9" hidden="1"/>
    <cellStyle name="Lien hypertexte visité" xfId="12371" builtinId="9" hidden="1"/>
    <cellStyle name="Lien hypertexte visité" xfId="12339" builtinId="9" hidden="1"/>
    <cellStyle name="Lien hypertexte visité" xfId="12299" builtinId="9" hidden="1"/>
    <cellStyle name="Lien hypertexte visité" xfId="12267" builtinId="9" hidden="1"/>
    <cellStyle name="Lien hypertexte visité" xfId="12235" builtinId="9" hidden="1"/>
    <cellStyle name="Lien hypertexte visité" xfId="12203" builtinId="9" hidden="1"/>
    <cellStyle name="Lien hypertexte visité" xfId="12163" builtinId="9" hidden="1"/>
    <cellStyle name="Lien hypertexte visité" xfId="12131" builtinId="9" hidden="1"/>
    <cellStyle name="Lien hypertexte visité" xfId="12099" builtinId="9" hidden="1"/>
    <cellStyle name="Lien hypertexte visité" xfId="12059" builtinId="9" hidden="1"/>
    <cellStyle name="Lien hypertexte visité" xfId="12027" builtinId="9" hidden="1"/>
    <cellStyle name="Lien hypertexte visité" xfId="11995" builtinId="9" hidden="1"/>
    <cellStyle name="Lien hypertexte visité" xfId="11963" builtinId="9" hidden="1"/>
    <cellStyle name="Lien hypertexte visité" xfId="11923" builtinId="9" hidden="1"/>
    <cellStyle name="Lien hypertexte visité" xfId="11891" builtinId="9" hidden="1"/>
    <cellStyle name="Lien hypertexte visité" xfId="11859" builtinId="9" hidden="1"/>
    <cellStyle name="Lien hypertexte visité" xfId="11827" builtinId="9" hidden="1"/>
    <cellStyle name="Lien hypertexte visité" xfId="11787" builtinId="9" hidden="1"/>
    <cellStyle name="Lien hypertexte visité" xfId="11755" builtinId="9" hidden="1"/>
    <cellStyle name="Lien hypertexte visité" xfId="11723" builtinId="9" hidden="1"/>
    <cellStyle name="Lien hypertexte visité" xfId="11691" builtinId="9" hidden="1"/>
    <cellStyle name="Lien hypertexte visité" xfId="11651" builtinId="9" hidden="1"/>
    <cellStyle name="Lien hypertexte visité" xfId="11619" builtinId="9" hidden="1"/>
    <cellStyle name="Lien hypertexte visité" xfId="11587" builtinId="9" hidden="1"/>
    <cellStyle name="Lien hypertexte visité" xfId="11547" builtinId="9" hidden="1"/>
    <cellStyle name="Lien hypertexte visité" xfId="11515" builtinId="9" hidden="1"/>
    <cellStyle name="Lien hypertexte visité" xfId="11483" builtinId="9" hidden="1"/>
    <cellStyle name="Lien hypertexte visité" xfId="11451" builtinId="9" hidden="1"/>
    <cellStyle name="Lien hypertexte visité" xfId="11411" builtinId="9" hidden="1"/>
    <cellStyle name="Lien hypertexte visité" xfId="11379" builtinId="9" hidden="1"/>
    <cellStyle name="Lien hypertexte visité" xfId="11347" builtinId="9" hidden="1"/>
    <cellStyle name="Lien hypertexte visité" xfId="11315" builtinId="9" hidden="1"/>
    <cellStyle name="Lien hypertexte visité" xfId="11275" builtinId="9" hidden="1"/>
    <cellStyle name="Lien hypertexte visité" xfId="11243" builtinId="9" hidden="1"/>
    <cellStyle name="Lien hypertexte visité" xfId="11211" builtinId="9" hidden="1"/>
    <cellStyle name="Lien hypertexte visité" xfId="11179" builtinId="9" hidden="1"/>
    <cellStyle name="Lien hypertexte visité" xfId="11139" builtinId="9" hidden="1"/>
    <cellStyle name="Lien hypertexte visité" xfId="11107" builtinId="9" hidden="1"/>
    <cellStyle name="Lien hypertexte visité" xfId="11075" builtinId="9" hidden="1"/>
    <cellStyle name="Lien hypertexte visité" xfId="11035" builtinId="9" hidden="1"/>
    <cellStyle name="Lien hypertexte visité" xfId="11003" builtinId="9" hidden="1"/>
    <cellStyle name="Lien hypertexte visité" xfId="10971" builtinId="9" hidden="1"/>
    <cellStyle name="Lien hypertexte visité" xfId="10939" builtinId="9" hidden="1"/>
    <cellStyle name="Lien hypertexte visité" xfId="10899" builtinId="9" hidden="1"/>
    <cellStyle name="Lien hypertexte visité" xfId="10867" builtinId="9" hidden="1"/>
    <cellStyle name="Lien hypertexte visité" xfId="10835" builtinId="9" hidden="1"/>
    <cellStyle name="Lien hypertexte visité" xfId="10803" builtinId="9" hidden="1"/>
    <cellStyle name="Lien hypertexte visité" xfId="10763" builtinId="9" hidden="1"/>
    <cellStyle name="Lien hypertexte visité" xfId="10731" builtinId="9" hidden="1"/>
    <cellStyle name="Lien hypertexte visité" xfId="10699" builtinId="9" hidden="1"/>
    <cellStyle name="Lien hypertexte visité" xfId="10667" builtinId="9" hidden="1"/>
    <cellStyle name="Lien hypertexte visité" xfId="10627" builtinId="9" hidden="1"/>
    <cellStyle name="Lien hypertexte visité" xfId="10595" builtinId="9" hidden="1"/>
    <cellStyle name="Lien hypertexte visité" xfId="10563" builtinId="9" hidden="1"/>
    <cellStyle name="Lien hypertexte visité" xfId="10523" builtinId="9" hidden="1"/>
    <cellStyle name="Lien hypertexte visité" xfId="10491" builtinId="9" hidden="1"/>
    <cellStyle name="Lien hypertexte visité" xfId="10459" builtinId="9" hidden="1"/>
    <cellStyle name="Lien hypertexte visité" xfId="10427" builtinId="9" hidden="1"/>
    <cellStyle name="Lien hypertexte visité" xfId="10387" builtinId="9" hidden="1"/>
    <cellStyle name="Lien hypertexte visité" xfId="10355" builtinId="9" hidden="1"/>
    <cellStyle name="Lien hypertexte visité" xfId="10323" builtinId="9" hidden="1"/>
    <cellStyle name="Lien hypertexte visité" xfId="10291" builtinId="9" hidden="1"/>
    <cellStyle name="Lien hypertexte visité" xfId="10251" builtinId="9" hidden="1"/>
    <cellStyle name="Lien hypertexte visité" xfId="10219" builtinId="9" hidden="1"/>
    <cellStyle name="Lien hypertexte visité" xfId="10187" builtinId="9" hidden="1"/>
    <cellStyle name="Lien hypertexte visité" xfId="10155" builtinId="9" hidden="1"/>
    <cellStyle name="Lien hypertexte visité" xfId="10115" builtinId="9" hidden="1"/>
    <cellStyle name="Lien hypertexte visité" xfId="10083" builtinId="9" hidden="1"/>
    <cellStyle name="Lien hypertexte visité" xfId="10051" builtinId="9" hidden="1"/>
    <cellStyle name="Lien hypertexte visité" xfId="10011" builtinId="9" hidden="1"/>
    <cellStyle name="Lien hypertexte visité" xfId="9979" builtinId="9" hidden="1"/>
    <cellStyle name="Lien hypertexte visité" xfId="9947" builtinId="9" hidden="1"/>
    <cellStyle name="Lien hypertexte visité" xfId="9915" builtinId="9" hidden="1"/>
    <cellStyle name="Lien hypertexte visité" xfId="9875" builtinId="9" hidden="1"/>
    <cellStyle name="Lien hypertexte visité" xfId="9843" builtinId="9" hidden="1"/>
    <cellStyle name="Lien hypertexte visité" xfId="9811" builtinId="9" hidden="1"/>
    <cellStyle name="Lien hypertexte visité" xfId="9779" builtinId="9" hidden="1"/>
    <cellStyle name="Lien hypertexte visité" xfId="9739" builtinId="9" hidden="1"/>
    <cellStyle name="Lien hypertexte visité" xfId="9707" builtinId="9" hidden="1"/>
    <cellStyle name="Lien hypertexte visité" xfId="9675" builtinId="9" hidden="1"/>
    <cellStyle name="Lien hypertexte visité" xfId="9643" builtinId="9" hidden="1"/>
    <cellStyle name="Lien hypertexte visité" xfId="9603" builtinId="9" hidden="1"/>
    <cellStyle name="Lien hypertexte visité" xfId="9571" builtinId="9" hidden="1"/>
    <cellStyle name="Lien hypertexte visité" xfId="9539" builtinId="9" hidden="1"/>
    <cellStyle name="Lien hypertexte visité" xfId="9499" builtinId="9" hidden="1"/>
    <cellStyle name="Lien hypertexte visité" xfId="9635" builtinId="9" hidden="1"/>
    <cellStyle name="Lien hypertexte visité" xfId="10147" builtinId="9" hidden="1"/>
    <cellStyle name="Lien hypertexte visité" xfId="10659" builtinId="9" hidden="1"/>
    <cellStyle name="Lien hypertexte visité" xfId="11171" builtinId="9" hidden="1"/>
    <cellStyle name="Lien hypertexte visité" xfId="11683" builtinId="9" hidden="1"/>
    <cellStyle name="Lien hypertexte visité" xfId="12195" builtinId="9" hidden="1"/>
    <cellStyle name="Lien hypertexte visité" xfId="12707" builtinId="9" hidden="1"/>
    <cellStyle name="Lien hypertexte visité" xfId="14443" builtinId="9" hidden="1"/>
    <cellStyle name="Lien hypertexte visité" xfId="14411" builtinId="9" hidden="1"/>
    <cellStyle name="Lien hypertexte visité" xfId="14379" builtinId="9" hidden="1"/>
    <cellStyle name="Lien hypertexte visité" xfId="14339" builtinId="9" hidden="1"/>
    <cellStyle name="Lien hypertexte visité" xfId="14307" builtinId="9" hidden="1"/>
    <cellStyle name="Lien hypertexte visité" xfId="14275" builtinId="9" hidden="1"/>
    <cellStyle name="Lien hypertexte visité" xfId="14243" builtinId="9" hidden="1"/>
    <cellStyle name="Lien hypertexte visité" xfId="14211" builtinId="9" hidden="1"/>
    <cellStyle name="Lien hypertexte visité" xfId="14179" builtinId="9" hidden="1"/>
    <cellStyle name="Lien hypertexte visité" xfId="14147" builtinId="9" hidden="1"/>
    <cellStyle name="Lien hypertexte visité" xfId="14107" builtinId="9" hidden="1"/>
    <cellStyle name="Lien hypertexte visité" xfId="14075" builtinId="9" hidden="1"/>
    <cellStyle name="Lien hypertexte visité" xfId="14043" builtinId="9" hidden="1"/>
    <cellStyle name="Lien hypertexte visité" xfId="14011" builtinId="9" hidden="1"/>
    <cellStyle name="Lien hypertexte visité" xfId="13979" builtinId="9" hidden="1"/>
    <cellStyle name="Lien hypertexte visité" xfId="13947" builtinId="9" hidden="1"/>
    <cellStyle name="Lien hypertexte visité" xfId="13915" builtinId="9" hidden="1"/>
    <cellStyle name="Lien hypertexte visité" xfId="13883" builtinId="9" hidden="1"/>
    <cellStyle name="Lien hypertexte visité" xfId="13843" builtinId="9" hidden="1"/>
    <cellStyle name="Lien hypertexte visité" xfId="13811" builtinId="9" hidden="1"/>
    <cellStyle name="Lien hypertexte visité" xfId="13779" builtinId="9" hidden="1"/>
    <cellStyle name="Lien hypertexte visité" xfId="13747" builtinId="9" hidden="1"/>
    <cellStyle name="Lien hypertexte visité" xfId="13715" builtinId="9" hidden="1"/>
    <cellStyle name="Lien hypertexte visité" xfId="13683" builtinId="9" hidden="1"/>
    <cellStyle name="Lien hypertexte visité" xfId="13651" builtinId="9" hidden="1"/>
    <cellStyle name="Lien hypertexte visité" xfId="13619" builtinId="9" hidden="1"/>
    <cellStyle name="Lien hypertexte visité" xfId="13579" builtinId="9" hidden="1"/>
    <cellStyle name="Lien hypertexte visité" xfId="13547" builtinId="9" hidden="1"/>
    <cellStyle name="Lien hypertexte visité" xfId="13515" builtinId="9" hidden="1"/>
    <cellStyle name="Lien hypertexte visité" xfId="13483" builtinId="9" hidden="1"/>
    <cellStyle name="Lien hypertexte visité" xfId="13451" builtinId="9" hidden="1"/>
    <cellStyle name="Lien hypertexte visité" xfId="13419" builtinId="9" hidden="1"/>
    <cellStyle name="Lien hypertexte visité" xfId="13387" builtinId="9" hidden="1"/>
    <cellStyle name="Lien hypertexte visité" xfId="13355" builtinId="9" hidden="1"/>
    <cellStyle name="Lien hypertexte visité" xfId="13315" builtinId="9" hidden="1"/>
    <cellStyle name="Lien hypertexte visité" xfId="13283" builtinId="9" hidden="1"/>
    <cellStyle name="Lien hypertexte visité" xfId="13251" builtinId="9" hidden="1"/>
    <cellStyle name="Lien hypertexte visité" xfId="13219" builtinId="9" hidden="1"/>
    <cellStyle name="Lien hypertexte visité" xfId="13187" builtinId="9" hidden="1"/>
    <cellStyle name="Lien hypertexte visité" xfId="13155" builtinId="9" hidden="1"/>
    <cellStyle name="Lien hypertexte visité" xfId="13123" builtinId="9" hidden="1"/>
    <cellStyle name="Lien hypertexte visité" xfId="13083" builtinId="9" hidden="1"/>
    <cellStyle name="Lien hypertexte visité" xfId="13051" builtinId="9" hidden="1"/>
    <cellStyle name="Lien hypertexte visité" xfId="13019" builtinId="9" hidden="1"/>
    <cellStyle name="Lien hypertexte visité" xfId="12987" builtinId="9" hidden="1"/>
    <cellStyle name="Lien hypertexte visité" xfId="12955" builtinId="9" hidden="1"/>
    <cellStyle name="Lien hypertexte visité" xfId="12923" builtinId="9" hidden="1"/>
    <cellStyle name="Lien hypertexte visité" xfId="13603" builtinId="9" hidden="1"/>
    <cellStyle name="Lien hypertexte visité" xfId="15875" builtinId="9" hidden="1"/>
    <cellStyle name="Lien hypertexte visité" xfId="15811" builtinId="9" hidden="1"/>
    <cellStyle name="Lien hypertexte visité" xfId="15747" builtinId="9" hidden="1"/>
    <cellStyle name="Lien hypertexte visité" xfId="15683" builtinId="9" hidden="1"/>
    <cellStyle name="Lien hypertexte visité" xfId="15619" builtinId="9" hidden="1"/>
    <cellStyle name="Lien hypertexte visité" xfId="15555" builtinId="9" hidden="1"/>
    <cellStyle name="Lien hypertexte visité" xfId="15491" builtinId="9" hidden="1"/>
    <cellStyle name="Lien hypertexte visité" xfId="15427" builtinId="9" hidden="1"/>
    <cellStyle name="Lien hypertexte visité" xfId="15363" builtinId="9" hidden="1"/>
    <cellStyle name="Lien hypertexte visité" xfId="15299" builtinId="9" hidden="1"/>
    <cellStyle name="Lien hypertexte visité" xfId="15219" builtinId="9" hidden="1"/>
    <cellStyle name="Lien hypertexte visité" xfId="15155" builtinId="9" hidden="1"/>
    <cellStyle name="Lien hypertexte visité" xfId="15091" builtinId="9" hidden="1"/>
    <cellStyle name="Lien hypertexte visité" xfId="15027" builtinId="9" hidden="1"/>
    <cellStyle name="Lien hypertexte visité" xfId="14963" builtinId="9" hidden="1"/>
    <cellStyle name="Lien hypertexte visité" xfId="14899" builtinId="9" hidden="1"/>
    <cellStyle name="Lien hypertexte visité" xfId="14835" builtinId="9" hidden="1"/>
    <cellStyle name="Lien hypertexte visité" xfId="14771" builtinId="9" hidden="1"/>
    <cellStyle name="Lien hypertexte visité" xfId="14707" builtinId="9" hidden="1"/>
    <cellStyle name="Lien hypertexte visité" xfId="14643" builtinId="9" hidden="1"/>
    <cellStyle name="Lien hypertexte visité" xfId="14579" builtinId="9" hidden="1"/>
    <cellStyle name="Lien hypertexte visité" xfId="14515" builtinId="9" hidden="1"/>
    <cellStyle name="Lien hypertexte visité" xfId="14483" builtinId="9" hidden="1"/>
    <cellStyle name="Lien hypertexte visité" xfId="16595" builtinId="9" hidden="1"/>
    <cellStyle name="Lien hypertexte visité" xfId="16531" builtinId="9" hidden="1"/>
    <cellStyle name="Lien hypertexte visité" xfId="16467" builtinId="9" hidden="1"/>
    <cellStyle name="Lien hypertexte visité" xfId="16403" builtinId="9" hidden="1"/>
    <cellStyle name="Lien hypertexte visité" xfId="16339" builtinId="9" hidden="1"/>
    <cellStyle name="Lien hypertexte visité" xfId="16275" builtinId="9" hidden="1"/>
    <cellStyle name="Lien hypertexte visité" xfId="16211" builtinId="9" hidden="1"/>
    <cellStyle name="Lien hypertexte visité" xfId="16147" builtinId="9" hidden="1"/>
    <cellStyle name="Lien hypertexte visité" xfId="16083" builtinId="9" hidden="1"/>
    <cellStyle name="Lien hypertexte visité" xfId="16019" builtinId="9" hidden="1"/>
    <cellStyle name="Lien hypertexte visité" xfId="15955" builtinId="9" hidden="1"/>
    <cellStyle name="Lien hypertexte visité" xfId="15891" builtinId="9" hidden="1"/>
    <cellStyle name="Lien hypertexte visité" xfId="16899" builtinId="9" hidden="1"/>
    <cellStyle name="Lien hypertexte visité" xfId="16835" builtinId="9" hidden="1"/>
    <cellStyle name="Lien hypertexte visité" xfId="16771" builtinId="9" hidden="1"/>
    <cellStyle name="Lien hypertexte visité" xfId="16707" builtinId="9" hidden="1"/>
    <cellStyle name="Lien hypertexte visité" xfId="16643" builtinId="9" hidden="1"/>
    <cellStyle name="Lien hypertexte visité" xfId="17107" builtinId="9" hidden="1"/>
    <cellStyle name="Lien hypertexte visité" xfId="17043" builtinId="9" hidden="1"/>
    <cellStyle name="Lien hypertexte visité" xfId="16979" builtinId="9" hidden="1"/>
    <cellStyle name="Lien hypertexte visité" xfId="17187" builtinId="9" hidden="1"/>
    <cellStyle name="Lien hypertexte visité" xfId="17267" builtinId="9" hidden="1"/>
    <cellStyle name="Lien hypertexte visité" xfId="17299" builtinId="9" hidden="1"/>
    <cellStyle name="Lien hypertexte visité" xfId="17251" builtinId="9" hidden="1"/>
    <cellStyle name="Lien hypertexte visité" xfId="17171" builtinId="9" hidden="1"/>
    <cellStyle name="Lien hypertexte visité" xfId="16963" builtinId="9" hidden="1"/>
    <cellStyle name="Lien hypertexte visité" xfId="17027" builtinId="9" hidden="1"/>
    <cellStyle name="Lien hypertexte visité" xfId="17091" builtinId="9" hidden="1"/>
    <cellStyle name="Lien hypertexte visité" xfId="16627" builtinId="9" hidden="1"/>
    <cellStyle name="Lien hypertexte visité" xfId="16691" builtinId="9" hidden="1"/>
    <cellStyle name="Lien hypertexte visité" xfId="16755" builtinId="9" hidden="1"/>
    <cellStyle name="Lien hypertexte visité" xfId="16819" builtinId="9" hidden="1"/>
    <cellStyle name="Lien hypertexte visité" xfId="16883" builtinId="9" hidden="1"/>
    <cellStyle name="Lien hypertexte visité" xfId="16947" builtinId="9" hidden="1"/>
    <cellStyle name="Lien hypertexte visité" xfId="15939" builtinId="9" hidden="1"/>
    <cellStyle name="Lien hypertexte visité" xfId="16003" builtinId="9" hidden="1"/>
    <cellStyle name="Lien hypertexte visité" xfId="16067" builtinId="9" hidden="1"/>
    <cellStyle name="Lien hypertexte visité" xfId="16131" builtinId="9" hidden="1"/>
    <cellStyle name="Lien hypertexte visité" xfId="16195" builtinId="9" hidden="1"/>
    <cellStyle name="Lien hypertexte visité" xfId="16259" builtinId="9" hidden="1"/>
    <cellStyle name="Lien hypertexte visité" xfId="16323" builtinId="9" hidden="1"/>
    <cellStyle name="Lien hypertexte visité" xfId="16387" builtinId="9" hidden="1"/>
    <cellStyle name="Lien hypertexte visité" xfId="16451" builtinId="9" hidden="1"/>
    <cellStyle name="Lien hypertexte visité" xfId="16515" builtinId="9" hidden="1"/>
    <cellStyle name="Lien hypertexte visité" xfId="16579" builtinId="9" hidden="1"/>
    <cellStyle name="Lien hypertexte visité" xfId="14475" builtinId="9" hidden="1"/>
    <cellStyle name="Lien hypertexte visité" xfId="14507" builtinId="9" hidden="1"/>
    <cellStyle name="Lien hypertexte visité" xfId="14563" builtinId="9" hidden="1"/>
    <cellStyle name="Lien hypertexte visité" xfId="14627" builtinId="9" hidden="1"/>
    <cellStyle name="Lien hypertexte visité" xfId="14691" builtinId="9" hidden="1"/>
    <cellStyle name="Lien hypertexte visité" xfId="14755" builtinId="9" hidden="1"/>
    <cellStyle name="Lien hypertexte visité" xfId="14819" builtinId="9" hidden="1"/>
    <cellStyle name="Lien hypertexte visité" xfId="14883" builtinId="9" hidden="1"/>
    <cellStyle name="Lien hypertexte visité" xfId="14947" builtinId="9" hidden="1"/>
    <cellStyle name="Lien hypertexte visité" xfId="15011" builtinId="9" hidden="1"/>
    <cellStyle name="Lien hypertexte visité" xfId="15075" builtinId="9" hidden="1"/>
    <cellStyle name="Lien hypertexte visité" xfId="15139" builtinId="9" hidden="1"/>
    <cellStyle name="Lien hypertexte visité" xfId="15203" builtinId="9" hidden="1"/>
    <cellStyle name="Lien hypertexte visité" xfId="15283" builtinId="9" hidden="1"/>
    <cellStyle name="Lien hypertexte visité" xfId="15347" builtinId="9" hidden="1"/>
    <cellStyle name="Lien hypertexte visité" xfId="15411" builtinId="9" hidden="1"/>
    <cellStyle name="Lien hypertexte visité" xfId="15475" builtinId="9" hidden="1"/>
    <cellStyle name="Lien hypertexte visité" xfId="15539" builtinId="9" hidden="1"/>
    <cellStyle name="Lien hypertexte visité" xfId="15603" builtinId="9" hidden="1"/>
    <cellStyle name="Lien hypertexte visité" xfId="15667" builtinId="9" hidden="1"/>
    <cellStyle name="Lien hypertexte visité" xfId="15731" builtinId="9" hidden="1"/>
    <cellStyle name="Lien hypertexte visité" xfId="15795" builtinId="9" hidden="1"/>
    <cellStyle name="Lien hypertexte visité" xfId="15859" builtinId="9" hidden="1"/>
    <cellStyle name="Lien hypertexte visité" xfId="13859" builtinId="9" hidden="1"/>
    <cellStyle name="Lien hypertexte visité" xfId="12915" builtinId="9" hidden="1"/>
    <cellStyle name="Lien hypertexte visité" xfId="12947" builtinId="9" hidden="1"/>
    <cellStyle name="Lien hypertexte visité" xfId="12979" builtinId="9" hidden="1"/>
    <cellStyle name="Lien hypertexte visité" xfId="13011" builtinId="9" hidden="1"/>
    <cellStyle name="Lien hypertexte visité" xfId="13043" builtinId="9" hidden="1"/>
    <cellStyle name="Lien hypertexte visité" xfId="13075" builtinId="9" hidden="1"/>
    <cellStyle name="Lien hypertexte visité" xfId="13115" builtinId="9" hidden="1"/>
    <cellStyle name="Lien hypertexte visité" xfId="13147" builtinId="9" hidden="1"/>
    <cellStyle name="Lien hypertexte visité" xfId="13179" builtinId="9" hidden="1"/>
    <cellStyle name="Lien hypertexte visité" xfId="13211" builtinId="9" hidden="1"/>
    <cellStyle name="Lien hypertexte visité" xfId="13243" builtinId="9" hidden="1"/>
    <cellStyle name="Lien hypertexte visité" xfId="13275" builtinId="9" hidden="1"/>
    <cellStyle name="Lien hypertexte visité" xfId="13307" builtinId="9" hidden="1"/>
    <cellStyle name="Lien hypertexte visité" xfId="13339" builtinId="9" hidden="1"/>
    <cellStyle name="Lien hypertexte visité" xfId="13379" builtinId="9" hidden="1"/>
    <cellStyle name="Lien hypertexte visité" xfId="13411" builtinId="9" hidden="1"/>
    <cellStyle name="Lien hypertexte visité" xfId="13443" builtinId="9" hidden="1"/>
    <cellStyle name="Lien hypertexte visité" xfId="13475" builtinId="9" hidden="1"/>
    <cellStyle name="Lien hypertexte visité" xfId="13507" builtinId="9" hidden="1"/>
    <cellStyle name="Lien hypertexte visité" xfId="13539" builtinId="9" hidden="1"/>
    <cellStyle name="Lien hypertexte visité" xfId="13571" builtinId="9" hidden="1"/>
    <cellStyle name="Lien hypertexte visité" xfId="13611" builtinId="9" hidden="1"/>
    <cellStyle name="Lien hypertexte visité" xfId="13643" builtinId="9" hidden="1"/>
    <cellStyle name="Lien hypertexte visité" xfId="13675" builtinId="9" hidden="1"/>
    <cellStyle name="Lien hypertexte visité" xfId="13707" builtinId="9" hidden="1"/>
    <cellStyle name="Lien hypertexte visité" xfId="13739" builtinId="9" hidden="1"/>
    <cellStyle name="Lien hypertexte visité" xfId="13771" builtinId="9" hidden="1"/>
    <cellStyle name="Lien hypertexte visité" xfId="13803" builtinId="9" hidden="1"/>
    <cellStyle name="Lien hypertexte visité" xfId="13835" builtinId="9" hidden="1"/>
    <cellStyle name="Lien hypertexte visité" xfId="13875" builtinId="9" hidden="1"/>
    <cellStyle name="Lien hypertexte visité" xfId="13907" builtinId="9" hidden="1"/>
    <cellStyle name="Lien hypertexte visité" xfId="13939" builtinId="9" hidden="1"/>
    <cellStyle name="Lien hypertexte visité" xfId="13971" builtinId="9" hidden="1"/>
    <cellStyle name="Lien hypertexte visité" xfId="14003" builtinId="9" hidden="1"/>
    <cellStyle name="Lien hypertexte visité" xfId="14035" builtinId="9" hidden="1"/>
    <cellStyle name="Lien hypertexte visité" xfId="14067" builtinId="9" hidden="1"/>
    <cellStyle name="Lien hypertexte visité" xfId="14099" builtinId="9" hidden="1"/>
    <cellStyle name="Lien hypertexte visité" xfId="14139" builtinId="9" hidden="1"/>
    <cellStyle name="Lien hypertexte visité" xfId="14171" builtinId="9" hidden="1"/>
    <cellStyle name="Lien hypertexte visité" xfId="14203" builtinId="9" hidden="1"/>
    <cellStyle name="Lien hypertexte visité" xfId="14235" builtinId="9" hidden="1"/>
    <cellStyle name="Lien hypertexte visité" xfId="14267" builtinId="9" hidden="1"/>
    <cellStyle name="Lien hypertexte visité" xfId="14299" builtinId="9" hidden="1"/>
    <cellStyle name="Lien hypertexte visité" xfId="14331" builtinId="9" hidden="1"/>
    <cellStyle name="Lien hypertexte visité" xfId="14363" builtinId="9" hidden="1"/>
    <cellStyle name="Lien hypertexte visité" xfId="14403" builtinId="9" hidden="1"/>
    <cellStyle name="Lien hypertexte visité" xfId="14435" builtinId="9" hidden="1"/>
    <cellStyle name="Lien hypertexte visité" xfId="12835" builtinId="9" hidden="1"/>
    <cellStyle name="Lien hypertexte visité" xfId="12323" builtinId="9" hidden="1"/>
    <cellStyle name="Lien hypertexte visité" xfId="11811" builtinId="9" hidden="1"/>
    <cellStyle name="Lien hypertexte visité" xfId="11299" builtinId="9" hidden="1"/>
    <cellStyle name="Lien hypertexte visité" xfId="10787" builtinId="9" hidden="1"/>
    <cellStyle name="Lien hypertexte visité" xfId="10275" builtinId="9" hidden="1"/>
    <cellStyle name="Lien hypertexte visité" xfId="9763" builtinId="9" hidden="1"/>
    <cellStyle name="Lien hypertexte visité" xfId="9491" builtinId="9" hidden="1"/>
    <cellStyle name="Lien hypertexte visité" xfId="9531" builtinId="9" hidden="1"/>
    <cellStyle name="Lien hypertexte visité" xfId="9563" builtinId="9" hidden="1"/>
    <cellStyle name="Lien hypertexte visité" xfId="9595" builtinId="9" hidden="1"/>
    <cellStyle name="Lien hypertexte visité" xfId="9627" builtinId="9" hidden="1"/>
    <cellStyle name="Lien hypertexte visité" xfId="9667" builtinId="9" hidden="1"/>
    <cellStyle name="Lien hypertexte visité" xfId="9699" builtinId="9" hidden="1"/>
    <cellStyle name="Lien hypertexte visité" xfId="9731" builtinId="9" hidden="1"/>
    <cellStyle name="Lien hypertexte visité" xfId="9771" builtinId="9" hidden="1"/>
    <cellStyle name="Lien hypertexte visité" xfId="9803" builtinId="9" hidden="1"/>
    <cellStyle name="Lien hypertexte visité" xfId="9835" builtinId="9" hidden="1"/>
    <cellStyle name="Lien hypertexte visité" xfId="9867" builtinId="9" hidden="1"/>
    <cellStyle name="Lien hypertexte visité" xfId="9907" builtinId="9" hidden="1"/>
    <cellStyle name="Lien hypertexte visité" xfId="9939" builtinId="9" hidden="1"/>
    <cellStyle name="Lien hypertexte visité" xfId="9971" builtinId="9" hidden="1"/>
    <cellStyle name="Lien hypertexte visité" xfId="10003" builtinId="9" hidden="1"/>
    <cellStyle name="Lien hypertexte visité" xfId="10043" builtinId="9" hidden="1"/>
    <cellStyle name="Lien hypertexte visité" xfId="10075" builtinId="9" hidden="1"/>
    <cellStyle name="Lien hypertexte visité" xfId="10107" builtinId="9" hidden="1"/>
    <cellStyle name="Lien hypertexte visité" xfId="10139" builtinId="9" hidden="1"/>
    <cellStyle name="Lien hypertexte visité" xfId="10179" builtinId="9" hidden="1"/>
    <cellStyle name="Lien hypertexte visité" xfId="10211" builtinId="9" hidden="1"/>
    <cellStyle name="Lien hypertexte visité" xfId="10243" builtinId="9" hidden="1"/>
    <cellStyle name="Lien hypertexte visité" xfId="10283" builtinId="9" hidden="1"/>
    <cellStyle name="Lien hypertexte visité" xfId="10315" builtinId="9" hidden="1"/>
    <cellStyle name="Lien hypertexte visité" xfId="10347" builtinId="9" hidden="1"/>
    <cellStyle name="Lien hypertexte visité" xfId="10379" builtinId="9" hidden="1"/>
    <cellStyle name="Lien hypertexte visité" xfId="10419" builtinId="9" hidden="1"/>
    <cellStyle name="Lien hypertexte visité" xfId="10451" builtinId="9" hidden="1"/>
    <cellStyle name="Lien hypertexte visité" xfId="10483" builtinId="9" hidden="1"/>
    <cellStyle name="Lien hypertexte visité" xfId="10515" builtinId="9" hidden="1"/>
    <cellStyle name="Lien hypertexte visité" xfId="10555" builtinId="9" hidden="1"/>
    <cellStyle name="Lien hypertexte visité" xfId="10587" builtinId="9" hidden="1"/>
    <cellStyle name="Lien hypertexte visité" xfId="10619" builtinId="9" hidden="1"/>
    <cellStyle name="Lien hypertexte visité" xfId="10651" builtinId="9" hidden="1"/>
    <cellStyle name="Lien hypertexte visité" xfId="10691" builtinId="9" hidden="1"/>
    <cellStyle name="Lien hypertexte visité" xfId="10723" builtinId="9" hidden="1"/>
    <cellStyle name="Lien hypertexte visité" xfId="10755" builtinId="9" hidden="1"/>
    <cellStyle name="Lien hypertexte visité" xfId="10795" builtinId="9" hidden="1"/>
    <cellStyle name="Lien hypertexte visité" xfId="10827" builtinId="9" hidden="1"/>
    <cellStyle name="Lien hypertexte visité" xfId="10859" builtinId="9" hidden="1"/>
    <cellStyle name="Lien hypertexte visité" xfId="10891" builtinId="9" hidden="1"/>
    <cellStyle name="Lien hypertexte visité" xfId="10931" builtinId="9" hidden="1"/>
    <cellStyle name="Lien hypertexte visité" xfId="10963" builtinId="9" hidden="1"/>
    <cellStyle name="Lien hypertexte visité" xfId="10995" builtinId="9" hidden="1"/>
    <cellStyle name="Lien hypertexte visité" xfId="11027" builtinId="9" hidden="1"/>
    <cellStyle name="Lien hypertexte visité" xfId="11067" builtinId="9" hidden="1"/>
    <cellStyle name="Lien hypertexte visité" xfId="11099" builtinId="9" hidden="1"/>
    <cellStyle name="Lien hypertexte visité" xfId="11131" builtinId="9" hidden="1"/>
    <cellStyle name="Lien hypertexte visité" xfId="11163" builtinId="9" hidden="1"/>
    <cellStyle name="Lien hypertexte visité" xfId="11203" builtinId="9" hidden="1"/>
    <cellStyle name="Lien hypertexte visité" xfId="11235" builtinId="9" hidden="1"/>
    <cellStyle name="Lien hypertexte visité" xfId="11267" builtinId="9" hidden="1"/>
    <cellStyle name="Lien hypertexte visité" xfId="11307" builtinId="9" hidden="1"/>
    <cellStyle name="Lien hypertexte visité" xfId="11339" builtinId="9" hidden="1"/>
    <cellStyle name="Lien hypertexte visité" xfId="11371" builtinId="9" hidden="1"/>
    <cellStyle name="Lien hypertexte visité" xfId="11403" builtinId="9" hidden="1"/>
    <cellStyle name="Lien hypertexte visité" xfId="11443" builtinId="9" hidden="1"/>
    <cellStyle name="Lien hypertexte visité" xfId="11475" builtinId="9" hidden="1"/>
    <cellStyle name="Lien hypertexte visité" xfId="11507" builtinId="9" hidden="1"/>
    <cellStyle name="Lien hypertexte visité" xfId="11539" builtinId="9" hidden="1"/>
    <cellStyle name="Lien hypertexte visité" xfId="11579" builtinId="9" hidden="1"/>
    <cellStyle name="Lien hypertexte visité" xfId="11611" builtinId="9" hidden="1"/>
    <cellStyle name="Lien hypertexte visité" xfId="11643" builtinId="9" hidden="1"/>
    <cellStyle name="Lien hypertexte visité" xfId="11675" builtinId="9" hidden="1"/>
    <cellStyle name="Lien hypertexte visité" xfId="11715" builtinId="9" hidden="1"/>
    <cellStyle name="Lien hypertexte visité" xfId="11747" builtinId="9" hidden="1"/>
    <cellStyle name="Lien hypertexte visité" xfId="11779" builtinId="9" hidden="1"/>
    <cellStyle name="Lien hypertexte visité" xfId="11819" builtinId="9" hidden="1"/>
    <cellStyle name="Lien hypertexte visité" xfId="11851" builtinId="9" hidden="1"/>
    <cellStyle name="Lien hypertexte visité" xfId="11883" builtinId="9" hidden="1"/>
    <cellStyle name="Lien hypertexte visité" xfId="11915" builtinId="9" hidden="1"/>
    <cellStyle name="Lien hypertexte visité" xfId="11955" builtinId="9" hidden="1"/>
    <cellStyle name="Lien hypertexte visité" xfId="11987" builtinId="9" hidden="1"/>
    <cellStyle name="Lien hypertexte visité" xfId="12019" builtinId="9" hidden="1"/>
    <cellStyle name="Lien hypertexte visité" xfId="12051" builtinId="9" hidden="1"/>
    <cellStyle name="Lien hypertexte visité" xfId="12091" builtinId="9" hidden="1"/>
    <cellStyle name="Lien hypertexte visité" xfId="12123" builtinId="9" hidden="1"/>
    <cellStyle name="Lien hypertexte visité" xfId="12155" builtinId="9" hidden="1"/>
    <cellStyle name="Lien hypertexte visité" xfId="12187" builtinId="9" hidden="1"/>
    <cellStyle name="Lien hypertexte visité" xfId="12227" builtinId="9" hidden="1"/>
    <cellStyle name="Lien hypertexte visité" xfId="12259" builtinId="9" hidden="1"/>
    <cellStyle name="Lien hypertexte visité" xfId="12291" builtinId="9" hidden="1"/>
    <cellStyle name="Lien hypertexte visité" xfId="12331" builtinId="9" hidden="1"/>
    <cellStyle name="Lien hypertexte visité" xfId="12363" builtinId="9" hidden="1"/>
    <cellStyle name="Lien hypertexte visité" xfId="12395" builtinId="9" hidden="1"/>
    <cellStyle name="Lien hypertexte visité" xfId="12427" builtinId="9" hidden="1"/>
    <cellStyle name="Lien hypertexte visité" xfId="12467" builtinId="9" hidden="1"/>
    <cellStyle name="Lien hypertexte visité" xfId="12499" builtinId="9" hidden="1"/>
    <cellStyle name="Lien hypertexte visité" xfId="12531" builtinId="9" hidden="1"/>
    <cellStyle name="Lien hypertexte visité" xfId="12563" builtinId="9" hidden="1"/>
    <cellStyle name="Lien hypertexte visité" xfId="12603" builtinId="9" hidden="1"/>
    <cellStyle name="Lien hypertexte visité" xfId="12635" builtinId="9" hidden="1"/>
    <cellStyle name="Lien hypertexte visité" xfId="12667" builtinId="9" hidden="1"/>
    <cellStyle name="Lien hypertexte visité" xfId="12699" builtinId="9" hidden="1"/>
    <cellStyle name="Lien hypertexte visité" xfId="12739" builtinId="9" hidden="1"/>
    <cellStyle name="Lien hypertexte visité" xfId="12771" builtinId="9" hidden="1"/>
    <cellStyle name="Lien hypertexte visité" xfId="12803" builtinId="9" hidden="1"/>
    <cellStyle name="Lien hypertexte visité" xfId="12843" builtinId="9" hidden="1"/>
    <cellStyle name="Lien hypertexte visité" xfId="12875" builtinId="9" hidden="1"/>
    <cellStyle name="Lien hypertexte visité" xfId="12907" builtinId="9" hidden="1"/>
    <cellStyle name="Lien hypertexte visité" xfId="9251" builtinId="9" hidden="1"/>
    <cellStyle name="Lien hypertexte visité" xfId="8995" builtinId="9" hidden="1"/>
    <cellStyle name="Lien hypertexte visité" xfId="8739" builtinId="9" hidden="1"/>
    <cellStyle name="Lien hypertexte visité" xfId="8483" builtinId="9" hidden="1"/>
    <cellStyle name="Lien hypertexte visité" xfId="8227" builtinId="9" hidden="1"/>
    <cellStyle name="Lien hypertexte visité" xfId="7971" builtinId="9" hidden="1"/>
    <cellStyle name="Lien hypertexte visité" xfId="7714" builtinId="9" hidden="1"/>
    <cellStyle name="Lien hypertexte visité" xfId="7458" builtinId="9" hidden="1"/>
    <cellStyle name="Lien hypertexte visité" xfId="7202" builtinId="9" hidden="1"/>
    <cellStyle name="Lien hypertexte visité" xfId="6946" builtinId="9" hidden="1"/>
    <cellStyle name="Lien hypertexte visité" xfId="6690" builtinId="9" hidden="1"/>
    <cellStyle name="Lien hypertexte visité" xfId="6434" builtinId="9" hidden="1"/>
    <cellStyle name="Lien hypertexte visité" xfId="6178" builtinId="9" hidden="1"/>
    <cellStyle name="Lien hypertexte visité" xfId="5922" builtinId="9" hidden="1"/>
    <cellStyle name="Lien hypertexte visité" xfId="5666" builtinId="9" hidden="1"/>
    <cellStyle name="Lien hypertexte visité" xfId="5410" builtinId="9" hidden="1"/>
    <cellStyle name="Lien hypertexte visité" xfId="5154" builtinId="9" hidden="1"/>
    <cellStyle name="Lien hypertexte visité" xfId="4898" builtinId="9" hidden="1"/>
    <cellStyle name="Lien hypertexte visité" xfId="4642" builtinId="9" hidden="1"/>
    <cellStyle name="Lien hypertexte visité" xfId="4386" builtinId="9" hidden="1"/>
    <cellStyle name="Lien hypertexte visité" xfId="4130" builtinId="9" hidden="1"/>
    <cellStyle name="Lien hypertexte visité" xfId="3877" builtinId="9" hidden="1"/>
    <cellStyle name="Lien hypertexte visité" xfId="3613" builtinId="9" hidden="1"/>
    <cellStyle name="Lien hypertexte visité" xfId="3356" builtinId="9" hidden="1"/>
    <cellStyle name="Lien hypertexte visité" xfId="3100" builtinId="9" hidden="1"/>
    <cellStyle name="Lien hypertexte visité" xfId="2844" builtinId="9" hidden="1"/>
    <cellStyle name="Lien hypertexte visité" xfId="2588" builtinId="9" hidden="1"/>
    <cellStyle name="Lien hypertexte visité" xfId="2332" builtinId="9" hidden="1"/>
    <cellStyle name="Lien hypertexte visité" xfId="2076" builtinId="9" hidden="1"/>
    <cellStyle name="Lien hypertexte visité" xfId="1820" builtinId="9" hidden="1"/>
    <cellStyle name="Lien hypertexte visité" xfId="1564" builtinId="9" hidden="1"/>
    <cellStyle name="Lien hypertexte visité" xfId="1307" builtinId="9" hidden="1"/>
    <cellStyle name="Lien hypertexte visité" xfId="939" builtinId="9" hidden="1"/>
    <cellStyle name="Lien hypertexte visité" xfId="651" builtinId="9" hidden="1"/>
    <cellStyle name="Lien hypertexte visité" xfId="731" builtinId="9" hidden="1"/>
    <cellStyle name="Lien hypertexte visité" xfId="795" builtinId="9" hidden="1"/>
    <cellStyle name="Lien hypertexte visité" xfId="875" builtinId="9" hidden="1"/>
    <cellStyle name="Lien hypertexte visité" xfId="955" builtinId="9" hidden="1"/>
    <cellStyle name="Lien hypertexte visité" xfId="1019" builtinId="9" hidden="1"/>
    <cellStyle name="Lien hypertexte visité" xfId="1099" builtinId="9" hidden="1"/>
    <cellStyle name="Lien hypertexte visité" xfId="1163" builtinId="9" hidden="1"/>
    <cellStyle name="Lien hypertexte visité" xfId="1203" builtinId="9" hidden="1"/>
    <cellStyle name="Lien hypertexte visité" xfId="1235" builtinId="9" hidden="1"/>
    <cellStyle name="Lien hypertexte visité" xfId="1275" builtinId="9" hidden="1"/>
    <cellStyle name="Lien hypertexte visité" xfId="1315" builtinId="9" hidden="1"/>
    <cellStyle name="Lien hypertexte visité" xfId="1347" builtinId="9" hidden="1"/>
    <cellStyle name="Lien hypertexte visité" xfId="1387" builtinId="9" hidden="1"/>
    <cellStyle name="Lien hypertexte visité" xfId="1419" builtinId="9" hidden="1"/>
    <cellStyle name="Lien hypertexte visité" xfId="1459" builtinId="9" hidden="1"/>
    <cellStyle name="Lien hypertexte visité" xfId="1491" builtinId="9" hidden="1"/>
    <cellStyle name="Lien hypertexte visité" xfId="1532" builtinId="9" hidden="1"/>
    <cellStyle name="Lien hypertexte visité" xfId="1572" builtinId="9" hidden="1"/>
    <cellStyle name="Lien hypertexte visité" xfId="1604" builtinId="9" hidden="1"/>
    <cellStyle name="Lien hypertexte visité" xfId="1644" builtinId="9" hidden="1"/>
    <cellStyle name="Lien hypertexte visité" xfId="1676" builtinId="9" hidden="1"/>
    <cellStyle name="Lien hypertexte visité" xfId="1716" builtinId="9" hidden="1"/>
    <cellStyle name="Lien hypertexte visité" xfId="1748" builtinId="9" hidden="1"/>
    <cellStyle name="Lien hypertexte visité" xfId="1788" builtinId="9" hidden="1"/>
    <cellStyle name="Lien hypertexte visité" xfId="1828" builtinId="9" hidden="1"/>
    <cellStyle name="Lien hypertexte visité" xfId="1860" builtinId="9" hidden="1"/>
    <cellStyle name="Lien hypertexte visité" xfId="1900" builtinId="9" hidden="1"/>
    <cellStyle name="Lien hypertexte visité" xfId="1932" builtinId="9" hidden="1"/>
    <cellStyle name="Lien hypertexte visité" xfId="1972" builtinId="9" hidden="1"/>
    <cellStyle name="Lien hypertexte visité" xfId="2004" builtinId="9" hidden="1"/>
    <cellStyle name="Lien hypertexte visité" xfId="2044" builtinId="9" hidden="1"/>
    <cellStyle name="Lien hypertexte visité" xfId="2084" builtinId="9" hidden="1"/>
    <cellStyle name="Lien hypertexte visité" xfId="2116" builtinId="9" hidden="1"/>
    <cellStyle name="Lien hypertexte visité" xfId="2156" builtinId="9" hidden="1"/>
    <cellStyle name="Lien hypertexte visité" xfId="2188" builtinId="9" hidden="1"/>
    <cellStyle name="Lien hypertexte visité" xfId="2228" builtinId="9" hidden="1"/>
    <cellStyle name="Lien hypertexte visité" xfId="2260" builtinId="9" hidden="1"/>
    <cellStyle name="Lien hypertexte visité" xfId="2300" builtinId="9" hidden="1"/>
    <cellStyle name="Lien hypertexte visité" xfId="2340" builtinId="9" hidden="1"/>
    <cellStyle name="Lien hypertexte visité" xfId="2372" builtinId="9" hidden="1"/>
    <cellStyle name="Lien hypertexte visité" xfId="2412" builtinId="9" hidden="1"/>
    <cellStyle name="Lien hypertexte visité" xfId="2444" builtinId="9" hidden="1"/>
    <cellStyle name="Lien hypertexte visité" xfId="2484" builtinId="9" hidden="1"/>
    <cellStyle name="Lien hypertexte visité" xfId="2516" builtinId="9" hidden="1"/>
    <cellStyle name="Lien hypertexte visité" xfId="2556" builtinId="9" hidden="1"/>
    <cellStyle name="Lien hypertexte visité" xfId="2596" builtinId="9" hidden="1"/>
    <cellStyle name="Lien hypertexte visité" xfId="2628" builtinId="9" hidden="1"/>
    <cellStyle name="Lien hypertexte visité" xfId="2668" builtinId="9" hidden="1"/>
    <cellStyle name="Lien hypertexte visité" xfId="2700" builtinId="9" hidden="1"/>
    <cellStyle name="Lien hypertexte visité" xfId="2740" builtinId="9" hidden="1"/>
    <cellStyle name="Lien hypertexte visité" xfId="2772" builtinId="9" hidden="1"/>
    <cellStyle name="Lien hypertexte visité" xfId="2812" builtinId="9" hidden="1"/>
    <cellStyle name="Lien hypertexte visité" xfId="2852" builtinId="9" hidden="1"/>
    <cellStyle name="Lien hypertexte visité" xfId="2884" builtinId="9" hidden="1"/>
    <cellStyle name="Lien hypertexte visité" xfId="2924" builtinId="9" hidden="1"/>
    <cellStyle name="Lien hypertexte visité" xfId="2956" builtinId="9" hidden="1"/>
    <cellStyle name="Lien hypertexte visité" xfId="2996" builtinId="9" hidden="1"/>
    <cellStyle name="Lien hypertexte visité" xfId="3028" builtinId="9" hidden="1"/>
    <cellStyle name="Lien hypertexte visité" xfId="3068" builtinId="9" hidden="1"/>
    <cellStyle name="Lien hypertexte visité" xfId="3108" builtinId="9" hidden="1"/>
    <cellStyle name="Lien hypertexte visité" xfId="3140" builtinId="9" hidden="1"/>
    <cellStyle name="Lien hypertexte visité" xfId="3180" builtinId="9" hidden="1"/>
    <cellStyle name="Lien hypertexte visité" xfId="3212" builtinId="9" hidden="1"/>
    <cellStyle name="Lien hypertexte visité" xfId="3252" builtinId="9" hidden="1"/>
    <cellStyle name="Lien hypertexte visité" xfId="3284" builtinId="9" hidden="1"/>
    <cellStyle name="Lien hypertexte visité" xfId="3324" builtinId="9" hidden="1"/>
    <cellStyle name="Lien hypertexte visité" xfId="3364" builtinId="9" hidden="1"/>
    <cellStyle name="Lien hypertexte visité" xfId="3396" builtinId="9" hidden="1"/>
    <cellStyle name="Lien hypertexte visité" xfId="3436" builtinId="9" hidden="1"/>
    <cellStyle name="Lien hypertexte visité" xfId="3468" builtinId="9" hidden="1"/>
    <cellStyle name="Lien hypertexte visité" xfId="3508" builtinId="9" hidden="1"/>
    <cellStyle name="Lien hypertexte visité" xfId="3540" builtinId="9" hidden="1"/>
    <cellStyle name="Lien hypertexte visité" xfId="3581" builtinId="9" hidden="1"/>
    <cellStyle name="Lien hypertexte visité" xfId="3621" builtinId="9" hidden="1"/>
    <cellStyle name="Lien hypertexte visité" xfId="3653" builtinId="9" hidden="1"/>
    <cellStyle name="Lien hypertexte visité" xfId="3701" builtinId="9" hidden="1"/>
    <cellStyle name="Lien hypertexte visité" xfId="3733" builtinId="9" hidden="1"/>
    <cellStyle name="Lien hypertexte visité" xfId="3773" builtinId="9" hidden="1"/>
    <cellStyle name="Lien hypertexte visité" xfId="3805" builtinId="9" hidden="1"/>
    <cellStyle name="Lien hypertexte visité" xfId="3845" builtinId="9" hidden="1"/>
    <cellStyle name="Lien hypertexte visité" xfId="3886" builtinId="9" hidden="1"/>
    <cellStyle name="Lien hypertexte visité" xfId="3918" builtinId="9" hidden="1"/>
    <cellStyle name="Lien hypertexte visité" xfId="3954" builtinId="9" hidden="1"/>
    <cellStyle name="Lien hypertexte visité" xfId="3986" builtinId="9" hidden="1"/>
    <cellStyle name="Lien hypertexte visité" xfId="4026" builtinId="9" hidden="1"/>
    <cellStyle name="Lien hypertexte visité" xfId="4058" builtinId="9" hidden="1"/>
    <cellStyle name="Lien hypertexte visité" xfId="4098" builtinId="9" hidden="1"/>
    <cellStyle name="Lien hypertexte visité" xfId="4138" builtinId="9" hidden="1"/>
    <cellStyle name="Lien hypertexte visité" xfId="4170" builtinId="9" hidden="1"/>
    <cellStyle name="Lien hypertexte visité" xfId="4210" builtinId="9" hidden="1"/>
    <cellStyle name="Lien hypertexte visité" xfId="4242" builtinId="9" hidden="1"/>
    <cellStyle name="Lien hypertexte visité" xfId="4282" builtinId="9" hidden="1"/>
    <cellStyle name="Lien hypertexte visité" xfId="4314" builtinId="9" hidden="1"/>
    <cellStyle name="Lien hypertexte visité" xfId="4354" builtinId="9" hidden="1"/>
    <cellStyle name="Lien hypertexte visité" xfId="4394" builtinId="9" hidden="1"/>
    <cellStyle name="Lien hypertexte visité" xfId="4426" builtinId="9" hidden="1"/>
    <cellStyle name="Lien hypertexte visité" xfId="4466" builtinId="9" hidden="1"/>
    <cellStyle name="Lien hypertexte visité" xfId="4498" builtinId="9" hidden="1"/>
    <cellStyle name="Lien hypertexte visité" xfId="4538" builtinId="9" hidden="1"/>
    <cellStyle name="Lien hypertexte visité" xfId="4570" builtinId="9" hidden="1"/>
    <cellStyle name="Lien hypertexte visité" xfId="4610" builtinId="9" hidden="1"/>
    <cellStyle name="Lien hypertexte visité" xfId="4650" builtinId="9" hidden="1"/>
    <cellStyle name="Lien hypertexte visité" xfId="4682" builtinId="9" hidden="1"/>
    <cellStyle name="Lien hypertexte visité" xfId="4722" builtinId="9" hidden="1"/>
    <cellStyle name="Lien hypertexte visité" xfId="4754" builtinId="9" hidden="1"/>
    <cellStyle name="Lien hypertexte visité" xfId="4794" builtinId="9" hidden="1"/>
    <cellStyle name="Lien hypertexte visité" xfId="4826" builtinId="9" hidden="1"/>
    <cellStyle name="Lien hypertexte visité" xfId="4866" builtinId="9" hidden="1"/>
    <cellStyle name="Lien hypertexte visité" xfId="4906" builtinId="9" hidden="1"/>
    <cellStyle name="Lien hypertexte visité" xfId="4938" builtinId="9" hidden="1"/>
    <cellStyle name="Lien hypertexte visité" xfId="4978" builtinId="9" hidden="1"/>
    <cellStyle name="Lien hypertexte visité" xfId="5010" builtinId="9" hidden="1"/>
    <cellStyle name="Lien hypertexte visité" xfId="5050" builtinId="9" hidden="1"/>
    <cellStyle name="Lien hypertexte visité" xfId="5082" builtinId="9" hidden="1"/>
    <cellStyle name="Lien hypertexte visité" xfId="5122" builtinId="9" hidden="1"/>
    <cellStyle name="Lien hypertexte visité" xfId="5162" builtinId="9" hidden="1"/>
    <cellStyle name="Lien hypertexte visité" xfId="5194" builtinId="9" hidden="1"/>
    <cellStyle name="Lien hypertexte visité" xfId="5234" builtinId="9" hidden="1"/>
    <cellStyle name="Lien hypertexte visité" xfId="5266" builtinId="9" hidden="1"/>
    <cellStyle name="Lien hypertexte visité" xfId="5306" builtinId="9" hidden="1"/>
    <cellStyle name="Lien hypertexte visité" xfId="5338" builtinId="9" hidden="1"/>
    <cellStyle name="Lien hypertexte visité" xfId="5378" builtinId="9" hidden="1"/>
    <cellStyle name="Lien hypertexte visité" xfId="5418" builtinId="9" hidden="1"/>
    <cellStyle name="Lien hypertexte visité" xfId="5450" builtinId="9" hidden="1"/>
    <cellStyle name="Lien hypertexte visité" xfId="5490" builtinId="9" hidden="1"/>
    <cellStyle name="Lien hypertexte visité" xfId="5522" builtinId="9" hidden="1"/>
    <cellStyle name="Lien hypertexte visité" xfId="5562" builtinId="9" hidden="1"/>
    <cellStyle name="Lien hypertexte visité" xfId="5594" builtinId="9" hidden="1"/>
    <cellStyle name="Lien hypertexte visité" xfId="5634" builtinId="9" hidden="1"/>
    <cellStyle name="Lien hypertexte visité" xfId="5674" builtinId="9" hidden="1"/>
    <cellStyle name="Lien hypertexte visité" xfId="5706" builtinId="9" hidden="1"/>
    <cellStyle name="Lien hypertexte visité" xfId="5746" builtinId="9" hidden="1"/>
    <cellStyle name="Lien hypertexte visité" xfId="5778" builtinId="9" hidden="1"/>
    <cellStyle name="Lien hypertexte visité" xfId="5818" builtinId="9" hidden="1"/>
    <cellStyle name="Lien hypertexte visité" xfId="5850" builtinId="9" hidden="1"/>
    <cellStyle name="Lien hypertexte visité" xfId="5890" builtinId="9" hidden="1"/>
    <cellStyle name="Lien hypertexte visité" xfId="5930" builtinId="9" hidden="1"/>
    <cellStyle name="Lien hypertexte visité" xfId="5962" builtinId="9" hidden="1"/>
    <cellStyle name="Lien hypertexte visité" xfId="6002" builtinId="9" hidden="1"/>
    <cellStyle name="Lien hypertexte visité" xfId="6034" builtinId="9" hidden="1"/>
    <cellStyle name="Lien hypertexte visité" xfId="6074" builtinId="9" hidden="1"/>
    <cellStyle name="Lien hypertexte visité" xfId="6106" builtinId="9" hidden="1"/>
    <cellStyle name="Lien hypertexte visité" xfId="6146" builtinId="9" hidden="1"/>
    <cellStyle name="Lien hypertexte visité" xfId="6186" builtinId="9" hidden="1"/>
    <cellStyle name="Lien hypertexte visité" xfId="6218" builtinId="9" hidden="1"/>
    <cellStyle name="Lien hypertexte visité" xfId="6258" builtinId="9" hidden="1"/>
    <cellStyle name="Lien hypertexte visité" xfId="6290" builtinId="9" hidden="1"/>
    <cellStyle name="Lien hypertexte visité" xfId="6330" builtinId="9" hidden="1"/>
    <cellStyle name="Lien hypertexte visité" xfId="6362" builtinId="9" hidden="1"/>
    <cellStyle name="Lien hypertexte visité" xfId="6402" builtinId="9" hidden="1"/>
    <cellStyle name="Lien hypertexte visité" xfId="6442" builtinId="9" hidden="1"/>
    <cellStyle name="Lien hypertexte visité" xfId="6474" builtinId="9" hidden="1"/>
    <cellStyle name="Lien hypertexte visité" xfId="6514" builtinId="9" hidden="1"/>
    <cellStyle name="Lien hypertexte visité" xfId="6546" builtinId="9" hidden="1"/>
    <cellStyle name="Lien hypertexte visité" xfId="6586" builtinId="9" hidden="1"/>
    <cellStyle name="Lien hypertexte visité" xfId="6618" builtinId="9" hidden="1"/>
    <cellStyle name="Lien hypertexte visité" xfId="6658" builtinId="9" hidden="1"/>
    <cellStyle name="Lien hypertexte visité" xfId="6698" builtinId="9" hidden="1"/>
    <cellStyle name="Lien hypertexte visité" xfId="6730" builtinId="9" hidden="1"/>
    <cellStyle name="Lien hypertexte visité" xfId="6770" builtinId="9" hidden="1"/>
    <cellStyle name="Lien hypertexte visité" xfId="6802" builtinId="9" hidden="1"/>
    <cellStyle name="Lien hypertexte visité" xfId="6842" builtinId="9" hidden="1"/>
    <cellStyle name="Lien hypertexte visité" xfId="6874" builtinId="9" hidden="1"/>
    <cellStyle name="Lien hypertexte visité" xfId="6914" builtinId="9" hidden="1"/>
    <cellStyle name="Lien hypertexte visité" xfId="6954" builtinId="9" hidden="1"/>
    <cellStyle name="Lien hypertexte visité" xfId="6986" builtinId="9" hidden="1"/>
    <cellStyle name="Lien hypertexte visité" xfId="7026" builtinId="9" hidden="1"/>
    <cellStyle name="Lien hypertexte visité" xfId="7058" builtinId="9" hidden="1"/>
    <cellStyle name="Lien hypertexte visité" xfId="7098" builtinId="9" hidden="1"/>
    <cellStyle name="Lien hypertexte visité" xfId="7130" builtinId="9" hidden="1"/>
    <cellStyle name="Lien hypertexte visité" xfId="7170" builtinId="9" hidden="1"/>
    <cellStyle name="Lien hypertexte visité" xfId="7210" builtinId="9" hidden="1"/>
    <cellStyle name="Lien hypertexte visité" xfId="7242" builtinId="9" hidden="1"/>
    <cellStyle name="Lien hypertexte visité" xfId="7282" builtinId="9" hidden="1"/>
    <cellStyle name="Lien hypertexte visité" xfId="7314" builtinId="9" hidden="1"/>
    <cellStyle name="Lien hypertexte visité" xfId="7354" builtinId="9" hidden="1"/>
    <cellStyle name="Lien hypertexte visité" xfId="7386" builtinId="9" hidden="1"/>
    <cellStyle name="Lien hypertexte visité" xfId="7426" builtinId="9" hidden="1"/>
    <cellStyle name="Lien hypertexte visité" xfId="7466" builtinId="9" hidden="1"/>
    <cellStyle name="Lien hypertexte visité" xfId="7498" builtinId="9" hidden="1"/>
    <cellStyle name="Lien hypertexte visité" xfId="7538" builtinId="9" hidden="1"/>
    <cellStyle name="Lien hypertexte visité" xfId="7570" builtinId="9" hidden="1"/>
    <cellStyle name="Lien hypertexte visité" xfId="7610" builtinId="9" hidden="1"/>
    <cellStyle name="Lien hypertexte visité" xfId="7642" builtinId="9" hidden="1"/>
    <cellStyle name="Lien hypertexte visité" xfId="7682" builtinId="9" hidden="1"/>
    <cellStyle name="Lien hypertexte visité" xfId="7722" builtinId="9" hidden="1"/>
    <cellStyle name="Lien hypertexte visité" xfId="7754" builtinId="9" hidden="1"/>
    <cellStyle name="Lien hypertexte visité" xfId="7794" builtinId="9" hidden="1"/>
    <cellStyle name="Lien hypertexte visité" xfId="7827" builtinId="9" hidden="1"/>
    <cellStyle name="Lien hypertexte visité" xfId="7867" builtinId="9" hidden="1"/>
    <cellStyle name="Lien hypertexte visité" xfId="7899" builtinId="9" hidden="1"/>
    <cellStyle name="Lien hypertexte visité" xfId="7939" builtinId="9" hidden="1"/>
    <cellStyle name="Lien hypertexte visité" xfId="7979" builtinId="9" hidden="1"/>
    <cellStyle name="Lien hypertexte visité" xfId="8011" builtinId="9" hidden="1"/>
    <cellStyle name="Lien hypertexte visité" xfId="8051" builtinId="9" hidden="1"/>
    <cellStyle name="Lien hypertexte visité" xfId="8083" builtinId="9" hidden="1"/>
    <cellStyle name="Lien hypertexte visité" xfId="8123" builtinId="9" hidden="1"/>
    <cellStyle name="Lien hypertexte visité" xfId="8155" builtinId="9" hidden="1"/>
    <cellStyle name="Lien hypertexte visité" xfId="8195" builtinId="9" hidden="1"/>
    <cellStyle name="Lien hypertexte visité" xfId="8235" builtinId="9" hidden="1"/>
    <cellStyle name="Lien hypertexte visité" xfId="8267" builtinId="9" hidden="1"/>
    <cellStyle name="Lien hypertexte visité" xfId="8307" builtinId="9" hidden="1"/>
    <cellStyle name="Lien hypertexte visité" xfId="8339" builtinId="9" hidden="1"/>
    <cellStyle name="Lien hypertexte visité" xfId="8379" builtinId="9" hidden="1"/>
    <cellStyle name="Lien hypertexte visité" xfId="8411" builtinId="9" hidden="1"/>
    <cellStyle name="Lien hypertexte visité" xfId="8451" builtinId="9" hidden="1"/>
    <cellStyle name="Lien hypertexte visité" xfId="8491" builtinId="9" hidden="1"/>
    <cellStyle name="Lien hypertexte visité" xfId="8523" builtinId="9" hidden="1"/>
    <cellStyle name="Lien hypertexte visité" xfId="8563" builtinId="9" hidden="1"/>
    <cellStyle name="Lien hypertexte visité" xfId="8595" builtinId="9" hidden="1"/>
    <cellStyle name="Lien hypertexte visité" xfId="8635" builtinId="9" hidden="1"/>
    <cellStyle name="Lien hypertexte visité" xfId="8667" builtinId="9" hidden="1"/>
    <cellStyle name="Lien hypertexte visité" xfId="8707" builtinId="9" hidden="1"/>
    <cellStyle name="Lien hypertexte visité" xfId="8747" builtinId="9" hidden="1"/>
    <cellStyle name="Lien hypertexte visité" xfId="8779" builtinId="9" hidden="1"/>
    <cellStyle name="Lien hypertexte visité" xfId="8819" builtinId="9" hidden="1"/>
    <cellStyle name="Lien hypertexte visité" xfId="8851" builtinId="9" hidden="1"/>
    <cellStyle name="Lien hypertexte visité" xfId="8891" builtinId="9" hidden="1"/>
    <cellStyle name="Lien hypertexte visité" xfId="8923" builtinId="9" hidden="1"/>
    <cellStyle name="Lien hypertexte visité" xfId="8963" builtinId="9" hidden="1"/>
    <cellStyle name="Lien hypertexte visité" xfId="9003" builtinId="9" hidden="1"/>
    <cellStyle name="Lien hypertexte visité" xfId="9035" builtinId="9" hidden="1"/>
    <cellStyle name="Lien hypertexte visité" xfId="9075" builtinId="9" hidden="1"/>
    <cellStyle name="Lien hypertexte visité" xfId="9107" builtinId="9" hidden="1"/>
    <cellStyle name="Lien hypertexte visité" xfId="9147" builtinId="9" hidden="1"/>
    <cellStyle name="Lien hypertexte visité" xfId="9179" builtinId="9" hidden="1"/>
    <cellStyle name="Lien hypertexte visité" xfId="9219" builtinId="9" hidden="1"/>
    <cellStyle name="Lien hypertexte visité" xfId="9259" builtinId="9" hidden="1"/>
    <cellStyle name="Lien hypertexte visité" xfId="9291" builtinId="9" hidden="1"/>
    <cellStyle name="Lien hypertexte visité" xfId="9331" builtinId="9" hidden="1"/>
    <cellStyle name="Lien hypertexte visité" xfId="9363" builtinId="9" hidden="1"/>
    <cellStyle name="Lien hypertexte visité" xfId="9403" builtinId="9" hidden="1"/>
    <cellStyle name="Lien hypertexte visité" xfId="9435" builtinId="9" hidden="1"/>
    <cellStyle name="Lien hypertexte visité" xfId="9475" builtinId="9" hidden="1"/>
    <cellStyle name="Lien hypertexte visité" xfId="427" builtinId="9" hidden="1"/>
    <cellStyle name="Lien hypertexte visité" xfId="171" builtinId="9" hidden="1"/>
    <cellStyle name="Lien hypertexte visité" xfId="109" builtinId="9" hidden="1"/>
    <cellStyle name="Lien hypertexte visité" xfId="311" builtinId="9" hidden="1"/>
    <cellStyle name="Lien hypertexte visité" xfId="567" builtinId="9" hidden="1"/>
    <cellStyle name="Lien hypertexte visité" xfId="823" builtinId="9" hidden="1"/>
    <cellStyle name="Lien hypertexte visité" xfId="1079" builtinId="9" hidden="1"/>
    <cellStyle name="Lien hypertexte visité" xfId="1249" builtinId="9" hidden="1"/>
    <cellStyle name="Lien hypertexte visité" xfId="1377" builtinId="9" hidden="1"/>
    <cellStyle name="Lien hypertexte visité" xfId="1506" builtinId="9" hidden="1"/>
    <cellStyle name="Lien hypertexte visité" xfId="1634" builtinId="9" hidden="1"/>
    <cellStyle name="Lien hypertexte visité" xfId="1762" builtinId="9" hidden="1"/>
    <cellStyle name="Lien hypertexte visité" xfId="1890" builtinId="9" hidden="1"/>
    <cellStyle name="Lien hypertexte visité" xfId="2018" builtinId="9" hidden="1"/>
    <cellStyle name="Lien hypertexte visité" xfId="2146" builtinId="9" hidden="1"/>
    <cellStyle name="Lien hypertexte visité" xfId="2274" builtinId="9" hidden="1"/>
    <cellStyle name="Lien hypertexte visité" xfId="2402" builtinId="9" hidden="1"/>
    <cellStyle name="Lien hypertexte visité" xfId="2530" builtinId="9" hidden="1"/>
    <cellStyle name="Lien hypertexte visité" xfId="2658" builtinId="9" hidden="1"/>
    <cellStyle name="Lien hypertexte visité" xfId="2786" builtinId="9" hidden="1"/>
    <cellStyle name="Lien hypertexte visité" xfId="2914" builtinId="9" hidden="1"/>
    <cellStyle name="Lien hypertexte visité" xfId="3042" builtinId="9" hidden="1"/>
    <cellStyle name="Lien hypertexte visité" xfId="3170" builtinId="9" hidden="1"/>
    <cellStyle name="Lien hypertexte visité" xfId="3298" builtinId="9" hidden="1"/>
    <cellStyle name="Lien hypertexte visité" xfId="3426" builtinId="9" hidden="1"/>
    <cellStyle name="Lien hypertexte visité" xfId="3554" builtinId="9" hidden="1"/>
    <cellStyle name="Lien hypertexte visité" xfId="3690" builtinId="9" hidden="1"/>
    <cellStyle name="Lien hypertexte visité" xfId="3819" builtinId="9" hidden="1"/>
    <cellStyle name="Lien hypertexte visité" xfId="3944" builtinId="9" hidden="1"/>
    <cellStyle name="Lien hypertexte visité" xfId="4072" builtinId="9" hidden="1"/>
    <cellStyle name="Lien hypertexte visité" xfId="4200" builtinId="9" hidden="1"/>
    <cellStyle name="Lien hypertexte visité" xfId="4328" builtinId="9" hidden="1"/>
    <cellStyle name="Lien hypertexte visité" xfId="4456" builtinId="9" hidden="1"/>
    <cellStyle name="Lien hypertexte visité" xfId="4584" builtinId="9" hidden="1"/>
    <cellStyle name="Lien hypertexte visité" xfId="4712" builtinId="9" hidden="1"/>
    <cellStyle name="Lien hypertexte visité" xfId="4840" builtinId="9" hidden="1"/>
    <cellStyle name="Lien hypertexte visité" xfId="4968" builtinId="9" hidden="1"/>
    <cellStyle name="Lien hypertexte visité" xfId="5096" builtinId="9" hidden="1"/>
    <cellStyle name="Lien hypertexte visité" xfId="5224" builtinId="9" hidden="1"/>
    <cellStyle name="Lien hypertexte visité" xfId="5352" builtinId="9" hidden="1"/>
    <cellStyle name="Lien hypertexte visité" xfId="5480" builtinId="9" hidden="1"/>
    <cellStyle name="Lien hypertexte visité" xfId="5608" builtinId="9" hidden="1"/>
    <cellStyle name="Lien hypertexte visité" xfId="5736" builtinId="9" hidden="1"/>
    <cellStyle name="Lien hypertexte visité" xfId="5864" builtinId="9" hidden="1"/>
    <cellStyle name="Lien hypertexte visité" xfId="5992" builtinId="9" hidden="1"/>
    <cellStyle name="Lien hypertexte visité" xfId="6120" builtinId="9" hidden="1"/>
    <cellStyle name="Lien hypertexte visité" xfId="6248" builtinId="9" hidden="1"/>
    <cellStyle name="Lien hypertexte visité" xfId="6376" builtinId="9" hidden="1"/>
    <cellStyle name="Lien hypertexte visité" xfId="6504" builtinId="9" hidden="1"/>
    <cellStyle name="Lien hypertexte visité" xfId="6632" builtinId="9" hidden="1"/>
    <cellStyle name="Lien hypertexte visité" xfId="6760" builtinId="9" hidden="1"/>
    <cellStyle name="Lien hypertexte visité" xfId="6888" builtinId="9" hidden="1"/>
    <cellStyle name="Lien hypertexte visité" xfId="7016" builtinId="9" hidden="1"/>
    <cellStyle name="Lien hypertexte visité" xfId="7144" builtinId="9" hidden="1"/>
    <cellStyle name="Lien hypertexte visité" xfId="7272" builtinId="9" hidden="1"/>
    <cellStyle name="Lien hypertexte visité" xfId="7400" builtinId="9" hidden="1"/>
    <cellStyle name="Lien hypertexte visité" xfId="7528" builtinId="9" hidden="1"/>
    <cellStyle name="Lien hypertexte visité" xfId="7656" builtinId="9" hidden="1"/>
    <cellStyle name="Lien hypertexte visité" xfId="7784" builtinId="9" hidden="1"/>
    <cellStyle name="Lien hypertexte visité" xfId="7913" builtinId="9" hidden="1"/>
    <cellStyle name="Lien hypertexte visité" xfId="8041" builtinId="9" hidden="1"/>
    <cellStyle name="Lien hypertexte visité" xfId="8169" builtinId="9" hidden="1"/>
    <cellStyle name="Lien hypertexte visité" xfId="8297" builtinId="9" hidden="1"/>
    <cellStyle name="Lien hypertexte visité" xfId="8425" builtinId="9" hidden="1"/>
    <cellStyle name="Lien hypertexte visité" xfId="8553" builtinId="9" hidden="1"/>
    <cellStyle name="Lien hypertexte visité" xfId="8681" builtinId="9" hidden="1"/>
    <cellStyle name="Lien hypertexte visité" xfId="8809" builtinId="9" hidden="1"/>
    <cellStyle name="Lien hypertexte visité" xfId="8937" builtinId="9" hidden="1"/>
    <cellStyle name="Lien hypertexte visité" xfId="9065" builtinId="9" hidden="1"/>
    <cellStyle name="Lien hypertexte visité" xfId="9193" builtinId="9" hidden="1"/>
    <cellStyle name="Lien hypertexte visité" xfId="9321" builtinId="9" hidden="1"/>
    <cellStyle name="Lien hypertexte visité" xfId="9449" builtinId="9" hidden="1"/>
    <cellStyle name="Lien hypertexte visité" xfId="9577" builtinId="9" hidden="1"/>
    <cellStyle name="Lien hypertexte visité" xfId="9705" builtinId="9" hidden="1"/>
    <cellStyle name="Lien hypertexte visité" xfId="9833" builtinId="9" hidden="1"/>
    <cellStyle name="Lien hypertexte visité" xfId="9961" builtinId="9" hidden="1"/>
    <cellStyle name="Lien hypertexte visité" xfId="10089" builtinId="9" hidden="1"/>
    <cellStyle name="Lien hypertexte visité" xfId="10217" builtinId="9" hidden="1"/>
    <cellStyle name="Lien hypertexte visité" xfId="10345" builtinId="9" hidden="1"/>
    <cellStyle name="Lien hypertexte visité" xfId="10473" builtinId="9" hidden="1"/>
    <cellStyle name="Lien hypertexte visité" xfId="10601" builtinId="9" hidden="1"/>
    <cellStyle name="Lien hypertexte visité" xfId="10729" builtinId="9" hidden="1"/>
    <cellStyle name="Lien hypertexte visité" xfId="10857" builtinId="9" hidden="1"/>
    <cellStyle name="Lien hypertexte visité" xfId="10985" builtinId="9" hidden="1"/>
    <cellStyle name="Lien hypertexte visité" xfId="11113" builtinId="9" hidden="1"/>
    <cellStyle name="Lien hypertexte visité" xfId="11241" builtinId="9" hidden="1"/>
    <cellStyle name="Lien hypertexte visité" xfId="11369" builtinId="9" hidden="1"/>
    <cellStyle name="Lien hypertexte visité" xfId="11497" builtinId="9" hidden="1"/>
    <cellStyle name="Lien hypertexte visité" xfId="11625" builtinId="9" hidden="1"/>
    <cellStyle name="Lien hypertexte visité" xfId="11753" builtinId="9" hidden="1"/>
    <cellStyle name="Lien hypertexte visité" xfId="11881" builtinId="9" hidden="1"/>
    <cellStyle name="Lien hypertexte visité" xfId="12009" builtinId="9" hidden="1"/>
    <cellStyle name="Lien hypertexte visité" xfId="12137" builtinId="9" hidden="1"/>
    <cellStyle name="Lien hypertexte visité" xfId="12265" builtinId="9" hidden="1"/>
    <cellStyle name="Lien hypertexte visité" xfId="12393" builtinId="9" hidden="1"/>
    <cellStyle name="Lien hypertexte visité" xfId="12521" builtinId="9" hidden="1"/>
    <cellStyle name="Lien hypertexte visité" xfId="12649" builtinId="9" hidden="1"/>
    <cellStyle name="Lien hypertexte visité" xfId="12777" builtinId="9" hidden="1"/>
    <cellStyle name="Lien hypertexte visité" xfId="12905" builtinId="9" hidden="1"/>
    <cellStyle name="Lien hypertexte visité" xfId="13033" builtinId="9" hidden="1"/>
    <cellStyle name="Lien hypertexte visité" xfId="13161" builtinId="9" hidden="1"/>
    <cellStyle name="Lien hypertexte visité" xfId="13289" builtinId="9" hidden="1"/>
    <cellStyle name="Lien hypertexte visité" xfId="13417" builtinId="9" hidden="1"/>
    <cellStyle name="Lien hypertexte visité" xfId="13545" builtinId="9" hidden="1"/>
    <cellStyle name="Lien hypertexte visité" xfId="13673" builtinId="9" hidden="1"/>
    <cellStyle name="Lien hypertexte visité" xfId="13801" builtinId="9" hidden="1"/>
    <cellStyle name="Lien hypertexte visité" xfId="13929" builtinId="9" hidden="1"/>
    <cellStyle name="Lien hypertexte visité" xfId="14057" builtinId="9" hidden="1"/>
    <cellStyle name="Lien hypertexte visité" xfId="14185" builtinId="9" hidden="1"/>
    <cellStyle name="Lien hypertexte visité" xfId="14313" builtinId="9" hidden="1"/>
    <cellStyle name="Lien hypertexte visité" xfId="14441" builtinId="9" hidden="1"/>
    <cellStyle name="Lien hypertexte visité" xfId="14623" builtinId="9" hidden="1"/>
    <cellStyle name="Lien hypertexte visité" xfId="14879" builtinId="9" hidden="1"/>
    <cellStyle name="Lien hypertexte visité" xfId="15135" builtinId="9" hidden="1"/>
    <cellStyle name="Lien hypertexte visité" xfId="15391" builtinId="9" hidden="1"/>
    <cellStyle name="Lien hypertexte visité" xfId="15647" builtinId="9" hidden="1"/>
    <cellStyle name="Lien hypertexte visité" xfId="15903" builtinId="9" hidden="1"/>
    <cellStyle name="Lien hypertexte visité" xfId="16159" builtinId="9" hidden="1"/>
    <cellStyle name="Lien hypertexte visité" xfId="16415" builtinId="9" hidden="1"/>
    <cellStyle name="Lien hypertexte visité" xfId="16671" builtinId="9" hidden="1"/>
    <cellStyle name="Lien hypertexte visité" xfId="16927" builtinId="9" hidden="1"/>
    <cellStyle name="Lien hypertexte visité" xfId="17183" builtinId="9" hidden="1"/>
    <cellStyle name="Lien hypertexte visité" xfId="17439" builtinId="9" hidden="1"/>
    <cellStyle name="Lien hypertexte visité" xfId="17695" builtinId="9" hidden="1"/>
    <cellStyle name="Lien hypertexte visité" xfId="17951" builtinId="9" hidden="1"/>
    <cellStyle name="Lien hypertexte visité" xfId="18207" builtinId="9" hidden="1"/>
    <cellStyle name="Lien hypertexte visité" xfId="18446" builtinId="9" hidden="1"/>
    <cellStyle name="Lien hypertexte visité" xfId="18702" builtinId="9" hidden="1"/>
    <cellStyle name="Lien hypertexte visité" xfId="18958" builtinId="9" hidden="1"/>
    <cellStyle name="Lien hypertexte visité" xfId="19214" builtinId="9" hidden="1"/>
    <cellStyle name="Lien hypertexte visité" xfId="19470" builtinId="9" hidden="1"/>
    <cellStyle name="Lien hypertexte visité" xfId="19726" builtinId="9" hidden="1"/>
    <cellStyle name="Lien hypertexte visité" xfId="19982" builtinId="9" hidden="1"/>
    <cellStyle name="Lien hypertexte visité" xfId="20238" builtinId="9" hidden="1"/>
    <cellStyle name="Lien hypertexte visité" xfId="20494" builtinId="9" hidden="1"/>
    <cellStyle name="Lien hypertexte visité" xfId="20750" builtinId="9" hidden="1"/>
    <cellStyle name="Lien hypertexte visité" xfId="21006" builtinId="9" hidden="1"/>
    <cellStyle name="Lien hypertexte visité" xfId="21262" builtinId="9" hidden="1"/>
    <cellStyle name="Lien hypertexte visité" xfId="21518" builtinId="9" hidden="1"/>
    <cellStyle name="Lien hypertexte visité" xfId="21774" builtinId="9" hidden="1"/>
    <cellStyle name="Lien hypertexte visité" xfId="22030" builtinId="9" hidden="1"/>
    <cellStyle name="Lien hypertexte visité" xfId="22286" builtinId="9" hidden="1"/>
    <cellStyle name="Lien hypertexte visité" xfId="22542" builtinId="9" hidden="1"/>
    <cellStyle name="Lien hypertexte visité" xfId="22798" builtinId="9" hidden="1"/>
    <cellStyle name="Lien hypertexte visité" xfId="23054" builtinId="9" hidden="1"/>
    <cellStyle name="Lien hypertexte visité" xfId="23310" builtinId="9" hidden="1"/>
    <cellStyle name="Lien hypertexte visité" xfId="23566" builtinId="9" hidden="1"/>
    <cellStyle name="Lien hypertexte visité" xfId="23822" builtinId="9" hidden="1"/>
    <cellStyle name="Lien hypertexte visité" xfId="24078" builtinId="9" hidden="1"/>
    <cellStyle name="Lien hypertexte visité" xfId="24334" builtinId="9" hidden="1"/>
    <cellStyle name="Lien hypertexte visité" xfId="24590" builtinId="9" hidden="1"/>
    <cellStyle name="Lien hypertexte visité" xfId="24380" builtinId="9" hidden="1"/>
    <cellStyle name="Lien hypertexte visité" xfId="24124" builtinId="9" hidden="1"/>
    <cellStyle name="Lien hypertexte visité" xfId="23868" builtinId="9" hidden="1"/>
    <cellStyle name="Lien hypertexte visité" xfId="23612" builtinId="9" hidden="1"/>
    <cellStyle name="Lien hypertexte visité" xfId="23356" builtinId="9" hidden="1"/>
    <cellStyle name="Lien hypertexte visité" xfId="23100" builtinId="9" hidden="1"/>
    <cellStyle name="Lien hypertexte visité" xfId="22844" builtinId="9" hidden="1"/>
    <cellStyle name="Lien hypertexte visité" xfId="22588" builtinId="9" hidden="1"/>
    <cellStyle name="Lien hypertexte visité" xfId="22332" builtinId="9" hidden="1"/>
    <cellStyle name="Lien hypertexte visité" xfId="22076" builtinId="9" hidden="1"/>
    <cellStyle name="Lien hypertexte visité" xfId="21820" builtinId="9" hidden="1"/>
    <cellStyle name="Lien hypertexte visité" xfId="21564" builtinId="9" hidden="1"/>
    <cellStyle name="Lien hypertexte visité" xfId="21308" builtinId="9" hidden="1"/>
    <cellStyle name="Lien hypertexte visité" xfId="21052" builtinId="9" hidden="1"/>
    <cellStyle name="Lien hypertexte visité" xfId="20796" builtinId="9" hidden="1"/>
    <cellStyle name="Lien hypertexte visité" xfId="20540" builtinId="9" hidden="1"/>
    <cellStyle name="Lien hypertexte visité" xfId="20284" builtinId="9" hidden="1"/>
    <cellStyle name="Lien hypertexte visité" xfId="20028" builtinId="9" hidden="1"/>
    <cellStyle name="Lien hypertexte visité" xfId="19772" builtinId="9" hidden="1"/>
    <cellStyle name="Lien hypertexte visité" xfId="19516" builtinId="9" hidden="1"/>
    <cellStyle name="Lien hypertexte visité" xfId="19260" builtinId="9" hidden="1"/>
    <cellStyle name="Lien hypertexte visité" xfId="19004" builtinId="9" hidden="1"/>
    <cellStyle name="Lien hypertexte visité" xfId="18748" builtinId="9" hidden="1"/>
    <cellStyle name="Lien hypertexte visité" xfId="18492" builtinId="9" hidden="1"/>
    <cellStyle name="Lien hypertexte visité" xfId="18253" builtinId="9" hidden="1"/>
    <cellStyle name="Lien hypertexte visité" xfId="17997" builtinId="9" hidden="1"/>
    <cellStyle name="Lien hypertexte visité" xfId="17741" builtinId="9" hidden="1"/>
    <cellStyle name="Lien hypertexte visité" xfId="17485" builtinId="9" hidden="1"/>
    <cellStyle name="Lien hypertexte visité" xfId="17229" builtinId="9" hidden="1"/>
    <cellStyle name="Lien hypertexte visité" xfId="16973" builtinId="9" hidden="1"/>
    <cellStyle name="Lien hypertexte visité" xfId="16717" builtinId="9" hidden="1"/>
    <cellStyle name="Lien hypertexte visité" xfId="16461" builtinId="9" hidden="1"/>
    <cellStyle name="Lien hypertexte visité" xfId="16205" builtinId="9" hidden="1"/>
    <cellStyle name="Lien hypertexte visité" xfId="15949" builtinId="9" hidden="1"/>
    <cellStyle name="Lien hypertexte visité" xfId="15693" builtinId="9" hidden="1"/>
    <cellStyle name="Lien hypertexte visité" xfId="15437" builtinId="9" hidden="1"/>
    <cellStyle name="Lien hypertexte visité" xfId="15181" builtinId="9" hidden="1"/>
    <cellStyle name="Lien hypertexte visité" xfId="14925" builtinId="9" hidden="1"/>
    <cellStyle name="Lien hypertexte visité" xfId="14669" builtinId="9" hidden="1"/>
    <cellStyle name="Lien hypertexte visité" xfId="14464" builtinId="9" hidden="1"/>
    <cellStyle name="Lien hypertexte visité" xfId="14336" builtinId="9" hidden="1"/>
    <cellStyle name="Lien hypertexte visité" xfId="14208" builtinId="9" hidden="1"/>
    <cellStyle name="Lien hypertexte visité" xfId="14080" builtinId="9" hidden="1"/>
    <cellStyle name="Lien hypertexte visité" xfId="13952" builtinId="9" hidden="1"/>
    <cellStyle name="Lien hypertexte visité" xfId="13824" builtinId="9" hidden="1"/>
    <cellStyle name="Lien hypertexte visité" xfId="13696" builtinId="9" hidden="1"/>
    <cellStyle name="Lien hypertexte visité" xfId="13568" builtinId="9" hidden="1"/>
    <cellStyle name="Lien hypertexte visité" xfId="13440" builtinId="9" hidden="1"/>
    <cellStyle name="Lien hypertexte visité" xfId="13312" builtinId="9" hidden="1"/>
    <cellStyle name="Lien hypertexte visité" xfId="13184" builtinId="9" hidden="1"/>
    <cellStyle name="Lien hypertexte visité" xfId="13056" builtinId="9" hidden="1"/>
    <cellStyle name="Lien hypertexte visité" xfId="12928" builtinId="9" hidden="1"/>
    <cellStyle name="Lien hypertexte visité" xfId="12800" builtinId="9" hidden="1"/>
    <cellStyle name="Lien hypertexte visité" xfId="12672" builtinId="9" hidden="1"/>
    <cellStyle name="Lien hypertexte visité" xfId="12544" builtinId="9" hidden="1"/>
    <cellStyle name="Lien hypertexte visité" xfId="12416" builtinId="9" hidden="1"/>
    <cellStyle name="Lien hypertexte visité" xfId="12288" builtinId="9" hidden="1"/>
    <cellStyle name="Lien hypertexte visité" xfId="12160" builtinId="9" hidden="1"/>
    <cellStyle name="Lien hypertexte visité" xfId="12032" builtinId="9" hidden="1"/>
    <cellStyle name="Lien hypertexte visité" xfId="11904" builtinId="9" hidden="1"/>
    <cellStyle name="Lien hypertexte visité" xfId="11776" builtinId="9" hidden="1"/>
    <cellStyle name="Lien hypertexte visité" xfId="11648" builtinId="9" hidden="1"/>
    <cellStyle name="Lien hypertexte visité" xfId="11520" builtinId="9" hidden="1"/>
    <cellStyle name="Lien hypertexte visité" xfId="11392" builtinId="9" hidden="1"/>
    <cellStyle name="Lien hypertexte visité" xfId="11264" builtinId="9" hidden="1"/>
    <cellStyle name="Lien hypertexte visité" xfId="11136" builtinId="9" hidden="1"/>
    <cellStyle name="Lien hypertexte visité" xfId="11008" builtinId="9" hidden="1"/>
    <cellStyle name="Lien hypertexte visité" xfId="10880" builtinId="9" hidden="1"/>
    <cellStyle name="Lien hypertexte visité" xfId="10752" builtinId="9" hidden="1"/>
    <cellStyle name="Lien hypertexte visité" xfId="10624" builtinId="9" hidden="1"/>
    <cellStyle name="Lien hypertexte visité" xfId="10496" builtinId="9" hidden="1"/>
    <cellStyle name="Lien hypertexte visité" xfId="10368" builtinId="9" hidden="1"/>
    <cellStyle name="Lien hypertexte visité" xfId="10240" builtinId="9" hidden="1"/>
    <cellStyle name="Lien hypertexte visité" xfId="10112" builtinId="9" hidden="1"/>
    <cellStyle name="Lien hypertexte visité" xfId="9984" builtinId="9" hidden="1"/>
    <cellStyle name="Lien hypertexte visité" xfId="9856" builtinId="9" hidden="1"/>
    <cellStyle name="Lien hypertexte visité" xfId="9728" builtinId="9" hidden="1"/>
    <cellStyle name="Lien hypertexte visité" xfId="9600" builtinId="9" hidden="1"/>
    <cellStyle name="Lien hypertexte visité" xfId="9472" builtinId="9" hidden="1"/>
    <cellStyle name="Lien hypertexte visité" xfId="9344" builtinId="9" hidden="1"/>
    <cellStyle name="Lien hypertexte visité" xfId="9216" builtinId="9" hidden="1"/>
    <cellStyle name="Lien hypertexte visité" xfId="9088" builtinId="9" hidden="1"/>
    <cellStyle name="Lien hypertexte visité" xfId="8960" builtinId="9" hidden="1"/>
    <cellStyle name="Lien hypertexte visité" xfId="8856" builtinId="9" hidden="1"/>
    <cellStyle name="Lien hypertexte visité" xfId="8904" builtinId="9" hidden="1"/>
    <cellStyle name="Lien hypertexte visité" xfId="8944" builtinId="9" hidden="1"/>
    <cellStyle name="Lien hypertexte visité" xfId="8984" builtinId="9" hidden="1"/>
    <cellStyle name="Lien hypertexte visité" xfId="9032" builtinId="9" hidden="1"/>
    <cellStyle name="Lien hypertexte visité" xfId="9072" builtinId="9" hidden="1"/>
    <cellStyle name="Lien hypertexte visité" xfId="9112" builtinId="9" hidden="1"/>
    <cellStyle name="Lien hypertexte visité" xfId="9160" builtinId="9" hidden="1"/>
    <cellStyle name="Lien hypertexte visité" xfId="9200" builtinId="9" hidden="1"/>
    <cellStyle name="Lien hypertexte visité" xfId="9240" builtinId="9" hidden="1"/>
    <cellStyle name="Lien hypertexte visité" xfId="9288" builtinId="9" hidden="1"/>
    <cellStyle name="Lien hypertexte visité" xfId="9328" builtinId="9" hidden="1"/>
    <cellStyle name="Lien hypertexte visité" xfId="9368" builtinId="9" hidden="1"/>
    <cellStyle name="Lien hypertexte visité" xfId="9416" builtinId="9" hidden="1"/>
    <cellStyle name="Lien hypertexte visité" xfId="9456" builtinId="9" hidden="1"/>
    <cellStyle name="Lien hypertexte visité" xfId="9496" builtinId="9" hidden="1"/>
    <cellStyle name="Lien hypertexte visité" xfId="9544" builtinId="9" hidden="1"/>
    <cellStyle name="Lien hypertexte visité" xfId="9584" builtinId="9" hidden="1"/>
    <cellStyle name="Lien hypertexte visité" xfId="9624" builtinId="9" hidden="1"/>
    <cellStyle name="Lien hypertexte visité" xfId="9672" builtinId="9" hidden="1"/>
    <cellStyle name="Lien hypertexte visité" xfId="9712" builtinId="9" hidden="1"/>
    <cellStyle name="Lien hypertexte visité" xfId="9752" builtinId="9" hidden="1"/>
    <cellStyle name="Lien hypertexte visité" xfId="9800" builtinId="9" hidden="1"/>
    <cellStyle name="Lien hypertexte visité" xfId="9840" builtinId="9" hidden="1"/>
    <cellStyle name="Lien hypertexte visité" xfId="9880" builtinId="9" hidden="1"/>
    <cellStyle name="Lien hypertexte visité" xfId="9928" builtinId="9" hidden="1"/>
    <cellStyle name="Lien hypertexte visité" xfId="9968" builtinId="9" hidden="1"/>
    <cellStyle name="Lien hypertexte visité" xfId="10008" builtinId="9" hidden="1"/>
    <cellStyle name="Lien hypertexte visité" xfId="10056" builtinId="9" hidden="1"/>
    <cellStyle name="Lien hypertexte visité" xfId="10096" builtinId="9" hidden="1"/>
    <cellStyle name="Lien hypertexte visité" xfId="10136" builtinId="9" hidden="1"/>
    <cellStyle name="Lien hypertexte visité" xfId="10184" builtinId="9" hidden="1"/>
    <cellStyle name="Lien hypertexte visité" xfId="10224" builtinId="9" hidden="1"/>
    <cellStyle name="Lien hypertexte visité" xfId="10264" builtinId="9" hidden="1"/>
    <cellStyle name="Lien hypertexte visité" xfId="10312" builtinId="9" hidden="1"/>
    <cellStyle name="Lien hypertexte visité" xfId="10352" builtinId="9" hidden="1"/>
    <cellStyle name="Lien hypertexte visité" xfId="10392" builtinId="9" hidden="1"/>
    <cellStyle name="Lien hypertexte visité" xfId="10440" builtinId="9" hidden="1"/>
    <cellStyle name="Lien hypertexte visité" xfId="10480" builtinId="9" hidden="1"/>
    <cellStyle name="Lien hypertexte visité" xfId="10520" builtinId="9" hidden="1"/>
    <cellStyle name="Lien hypertexte visité" xfId="10568" builtinId="9" hidden="1"/>
    <cellStyle name="Lien hypertexte visité" xfId="10608" builtinId="9" hidden="1"/>
    <cellStyle name="Lien hypertexte visité" xfId="10648" builtinId="9" hidden="1"/>
    <cellStyle name="Lien hypertexte visité" xfId="10696" builtinId="9" hidden="1"/>
    <cellStyle name="Lien hypertexte visité" xfId="10736" builtinId="9" hidden="1"/>
    <cellStyle name="Lien hypertexte visité" xfId="10776" builtinId="9" hidden="1"/>
    <cellStyle name="Lien hypertexte visité" xfId="10824" builtinId="9" hidden="1"/>
    <cellStyle name="Lien hypertexte visité" xfId="10864" builtinId="9" hidden="1"/>
    <cellStyle name="Lien hypertexte visité" xfId="10904" builtinId="9" hidden="1"/>
    <cellStyle name="Lien hypertexte visité" xfId="10952" builtinId="9" hidden="1"/>
    <cellStyle name="Lien hypertexte visité" xfId="10992" builtinId="9" hidden="1"/>
    <cellStyle name="Lien hypertexte visité" xfId="11032" builtinId="9" hidden="1"/>
    <cellStyle name="Lien hypertexte visité" xfId="11080" builtinId="9" hidden="1"/>
    <cellStyle name="Lien hypertexte visité" xfId="11120" builtinId="9" hidden="1"/>
    <cellStyle name="Lien hypertexte visité" xfId="11160" builtinId="9" hidden="1"/>
    <cellStyle name="Lien hypertexte visité" xfId="11208" builtinId="9" hidden="1"/>
    <cellStyle name="Lien hypertexte visité" xfId="11248" builtinId="9" hidden="1"/>
    <cellStyle name="Lien hypertexte visité" xfId="11288" builtinId="9" hidden="1"/>
    <cellStyle name="Lien hypertexte visité" xfId="11336" builtinId="9" hidden="1"/>
    <cellStyle name="Lien hypertexte visité" xfId="11376" builtinId="9" hidden="1"/>
    <cellStyle name="Lien hypertexte visité" xfId="11416" builtinId="9" hidden="1"/>
    <cellStyle name="Lien hypertexte visité" xfId="11464" builtinId="9" hidden="1"/>
    <cellStyle name="Lien hypertexte visité" xfId="11504" builtinId="9" hidden="1"/>
    <cellStyle name="Lien hypertexte visité" xfId="11544" builtinId="9" hidden="1"/>
    <cellStyle name="Lien hypertexte visité" xfId="11592" builtinId="9" hidden="1"/>
    <cellStyle name="Lien hypertexte visité" xfId="11632" builtinId="9" hidden="1"/>
    <cellStyle name="Lien hypertexte visité" xfId="11672" builtinId="9" hidden="1"/>
    <cellStyle name="Lien hypertexte visité" xfId="11720" builtinId="9" hidden="1"/>
    <cellStyle name="Lien hypertexte visité" xfId="11760" builtinId="9" hidden="1"/>
    <cellStyle name="Lien hypertexte visité" xfId="11800" builtinId="9" hidden="1"/>
    <cellStyle name="Lien hypertexte visité" xfId="11848" builtinId="9" hidden="1"/>
    <cellStyle name="Lien hypertexte visité" xfId="11888" builtinId="9" hidden="1"/>
    <cellStyle name="Lien hypertexte visité" xfId="11928" builtinId="9" hidden="1"/>
    <cellStyle name="Lien hypertexte visité" xfId="11976" builtinId="9" hidden="1"/>
    <cellStyle name="Lien hypertexte visité" xfId="12016" builtinId="9" hidden="1"/>
    <cellStyle name="Lien hypertexte visité" xfId="12056" builtinId="9" hidden="1"/>
    <cellStyle name="Lien hypertexte visité" xfId="12104" builtinId="9" hidden="1"/>
    <cellStyle name="Lien hypertexte visité" xfId="12144" builtinId="9" hidden="1"/>
    <cellStyle name="Lien hypertexte visité" xfId="12184" builtinId="9" hidden="1"/>
    <cellStyle name="Lien hypertexte visité" xfId="12232" builtinId="9" hidden="1"/>
    <cellStyle name="Lien hypertexte visité" xfId="12272" builtinId="9" hidden="1"/>
    <cellStyle name="Lien hypertexte visité" xfId="12312" builtinId="9" hidden="1"/>
    <cellStyle name="Lien hypertexte visité" xfId="12360" builtinId="9" hidden="1"/>
    <cellStyle name="Lien hypertexte visité" xfId="12400" builtinId="9" hidden="1"/>
    <cellStyle name="Lien hypertexte visité" xfId="12440" builtinId="9" hidden="1"/>
    <cellStyle name="Lien hypertexte visité" xfId="12488" builtinId="9" hidden="1"/>
    <cellStyle name="Lien hypertexte visité" xfId="12528" builtinId="9" hidden="1"/>
    <cellStyle name="Lien hypertexte visité" xfId="12568" builtinId="9" hidden="1"/>
    <cellStyle name="Lien hypertexte visité" xfId="12616" builtinId="9" hidden="1"/>
    <cellStyle name="Lien hypertexte visité" xfId="12656" builtinId="9" hidden="1"/>
    <cellStyle name="Lien hypertexte visité" xfId="12696" builtinId="9" hidden="1"/>
    <cellStyle name="Lien hypertexte visité" xfId="12744" builtinId="9" hidden="1"/>
    <cellStyle name="Lien hypertexte visité" xfId="12784" builtinId="9" hidden="1"/>
    <cellStyle name="Lien hypertexte visité" xfId="12824" builtinId="9" hidden="1"/>
    <cellStyle name="Lien hypertexte visité" xfId="12872" builtinId="9" hidden="1"/>
    <cellStyle name="Lien hypertexte visité" xfId="12912" builtinId="9" hidden="1"/>
    <cellStyle name="Lien hypertexte visité" xfId="12952" builtinId="9" hidden="1"/>
    <cellStyle name="Lien hypertexte visité" xfId="13000" builtinId="9" hidden="1"/>
    <cellStyle name="Lien hypertexte visité" xfId="13040" builtinId="9" hidden="1"/>
    <cellStyle name="Lien hypertexte visité" xfId="13080" builtinId="9" hidden="1"/>
    <cellStyle name="Lien hypertexte visité" xfId="13128" builtinId="9" hidden="1"/>
    <cellStyle name="Lien hypertexte visité" xfId="13168" builtinId="9" hidden="1"/>
    <cellStyle name="Lien hypertexte visité" xfId="13208" builtinId="9" hidden="1"/>
    <cellStyle name="Lien hypertexte visité" xfId="13256" builtinId="9" hidden="1"/>
    <cellStyle name="Lien hypertexte visité" xfId="13296" builtinId="9" hidden="1"/>
    <cellStyle name="Lien hypertexte visité" xfId="13336" builtinId="9" hidden="1"/>
    <cellStyle name="Lien hypertexte visité" xfId="13384" builtinId="9" hidden="1"/>
    <cellStyle name="Lien hypertexte visité" xfId="13424" builtinId="9" hidden="1"/>
    <cellStyle name="Lien hypertexte visité" xfId="13464" builtinId="9" hidden="1"/>
    <cellStyle name="Lien hypertexte visité" xfId="13512" builtinId="9" hidden="1"/>
    <cellStyle name="Lien hypertexte visité" xfId="13552" builtinId="9" hidden="1"/>
    <cellStyle name="Lien hypertexte visité" xfId="13592" builtinId="9" hidden="1"/>
    <cellStyle name="Lien hypertexte visité" xfId="13640" builtinId="9" hidden="1"/>
    <cellStyle name="Lien hypertexte visité" xfId="13680" builtinId="9" hidden="1"/>
    <cellStyle name="Lien hypertexte visité" xfId="13720" builtinId="9" hidden="1"/>
    <cellStyle name="Lien hypertexte visité" xfId="13768" builtinId="9" hidden="1"/>
    <cellStyle name="Lien hypertexte visité" xfId="13808" builtinId="9" hidden="1"/>
    <cellStyle name="Lien hypertexte visité" xfId="13848" builtinId="9" hidden="1"/>
    <cellStyle name="Lien hypertexte visité" xfId="13896" builtinId="9" hidden="1"/>
    <cellStyle name="Lien hypertexte visité" xfId="13936" builtinId="9" hidden="1"/>
    <cellStyle name="Lien hypertexte visité" xfId="13976" builtinId="9" hidden="1"/>
    <cellStyle name="Lien hypertexte visité" xfId="14024" builtinId="9" hidden="1"/>
    <cellStyle name="Lien hypertexte visité" xfId="14064" builtinId="9" hidden="1"/>
    <cellStyle name="Lien hypertexte visité" xfId="14104" builtinId="9" hidden="1"/>
    <cellStyle name="Lien hypertexte visité" xfId="14152" builtinId="9" hidden="1"/>
    <cellStyle name="Lien hypertexte visité" xfId="14192" builtinId="9" hidden="1"/>
    <cellStyle name="Lien hypertexte visité" xfId="14232" builtinId="9" hidden="1"/>
    <cellStyle name="Lien hypertexte visité" xfId="14280" builtinId="9" hidden="1"/>
    <cellStyle name="Lien hypertexte visité" xfId="14320" builtinId="9" hidden="1"/>
    <cellStyle name="Lien hypertexte visité" xfId="14360" builtinId="9" hidden="1"/>
    <cellStyle name="Lien hypertexte visité" xfId="14408" builtinId="9" hidden="1"/>
    <cellStyle name="Lien hypertexte visité" xfId="14448" builtinId="9" hidden="1"/>
    <cellStyle name="Lien hypertexte visité" xfId="14488" builtinId="9" hidden="1"/>
    <cellStyle name="Lien hypertexte visité" xfId="14557" builtinId="9" hidden="1"/>
    <cellStyle name="Lien hypertexte visité" xfId="14637" builtinId="9" hidden="1"/>
    <cellStyle name="Lien hypertexte visité" xfId="14717" builtinId="9" hidden="1"/>
    <cellStyle name="Lien hypertexte visité" xfId="14813" builtinId="9" hidden="1"/>
    <cellStyle name="Lien hypertexte visité" xfId="14893" builtinId="9" hidden="1"/>
    <cellStyle name="Lien hypertexte visité" xfId="14973" builtinId="9" hidden="1"/>
    <cellStyle name="Lien hypertexte visité" xfId="15069" builtinId="9" hidden="1"/>
    <cellStyle name="Lien hypertexte visité" xfId="15149" builtinId="9" hidden="1"/>
    <cellStyle name="Lien hypertexte visité" xfId="15229" builtinId="9" hidden="1"/>
    <cellStyle name="Lien hypertexte visité" xfId="15325" builtinId="9" hidden="1"/>
    <cellStyle name="Lien hypertexte visité" xfId="15405" builtinId="9" hidden="1"/>
    <cellStyle name="Lien hypertexte visité" xfId="15485" builtinId="9" hidden="1"/>
    <cellStyle name="Lien hypertexte visité" xfId="15581" builtinId="9" hidden="1"/>
    <cellStyle name="Lien hypertexte visité" xfId="15661" builtinId="9" hidden="1"/>
    <cellStyle name="Lien hypertexte visité" xfId="15741" builtinId="9" hidden="1"/>
    <cellStyle name="Lien hypertexte visité" xfId="15837" builtinId="9" hidden="1"/>
    <cellStyle name="Lien hypertexte visité" xfId="15917" builtinId="9" hidden="1"/>
    <cellStyle name="Lien hypertexte visité" xfId="15997" builtinId="9" hidden="1"/>
    <cellStyle name="Lien hypertexte visité" xfId="16093" builtinId="9" hidden="1"/>
    <cellStyle name="Lien hypertexte visité" xfId="16173" builtinId="9" hidden="1"/>
    <cellStyle name="Lien hypertexte visité" xfId="16253" builtinId="9" hidden="1"/>
    <cellStyle name="Lien hypertexte visité" xfId="16349" builtinId="9" hidden="1"/>
    <cellStyle name="Lien hypertexte visité" xfId="16429" builtinId="9" hidden="1"/>
    <cellStyle name="Lien hypertexte visité" xfId="16509" builtinId="9" hidden="1"/>
    <cellStyle name="Lien hypertexte visité" xfId="16605" builtinId="9" hidden="1"/>
    <cellStyle name="Lien hypertexte visité" xfId="16685" builtinId="9" hidden="1"/>
    <cellStyle name="Lien hypertexte visité" xfId="16765" builtinId="9" hidden="1"/>
    <cellStyle name="Lien hypertexte visité" xfId="16861" builtinId="9" hidden="1"/>
    <cellStyle name="Lien hypertexte visité" xfId="16941" builtinId="9" hidden="1"/>
    <cellStyle name="Lien hypertexte visité" xfId="17021" builtinId="9" hidden="1"/>
    <cellStyle name="Lien hypertexte visité" xfId="17117" builtinId="9" hidden="1"/>
    <cellStyle name="Lien hypertexte visité" xfId="17197" builtinId="9" hidden="1"/>
    <cellStyle name="Lien hypertexte visité" xfId="17277" builtinId="9" hidden="1"/>
    <cellStyle name="Lien hypertexte visité" xfId="17373" builtinId="9" hidden="1"/>
    <cellStyle name="Lien hypertexte visité" xfId="17453" builtinId="9" hidden="1"/>
    <cellStyle name="Lien hypertexte visité" xfId="17533" builtinId="9" hidden="1"/>
    <cellStyle name="Lien hypertexte visité" xfId="17629" builtinId="9" hidden="1"/>
    <cellStyle name="Lien hypertexte visité" xfId="17709" builtinId="9" hidden="1"/>
    <cellStyle name="Lien hypertexte visité" xfId="17789" builtinId="9" hidden="1"/>
    <cellStyle name="Lien hypertexte visité" xfId="17885" builtinId="9" hidden="1"/>
    <cellStyle name="Lien hypertexte visité" xfId="17965" builtinId="9" hidden="1"/>
    <cellStyle name="Lien hypertexte visité" xfId="18045" builtinId="9" hidden="1"/>
    <cellStyle name="Lien hypertexte visité" xfId="18141" builtinId="9" hidden="1"/>
    <cellStyle name="Lien hypertexte visité" xfId="18221" builtinId="9" hidden="1"/>
    <cellStyle name="Lien hypertexte visité" xfId="18301" builtinId="9" hidden="1"/>
    <cellStyle name="Lien hypertexte visité" xfId="18380" builtinId="9" hidden="1"/>
    <cellStyle name="Lien hypertexte visité" xfId="18460" builtinId="9" hidden="1"/>
    <cellStyle name="Lien hypertexte visité" xfId="18540" builtinId="9" hidden="1"/>
    <cellStyle name="Lien hypertexte visité" xfId="18636" builtinId="9" hidden="1"/>
    <cellStyle name="Lien hypertexte visité" xfId="18716" builtinId="9" hidden="1"/>
    <cellStyle name="Lien hypertexte visité" xfId="18796" builtinId="9" hidden="1"/>
    <cellStyle name="Lien hypertexte visité" xfId="18892" builtinId="9" hidden="1"/>
    <cellStyle name="Lien hypertexte visité" xfId="18972" builtinId="9" hidden="1"/>
    <cellStyle name="Lien hypertexte visité" xfId="19052" builtinId="9" hidden="1"/>
    <cellStyle name="Lien hypertexte visité" xfId="19148" builtinId="9" hidden="1"/>
    <cellStyle name="Lien hypertexte visité" xfId="19228" builtinId="9" hidden="1"/>
    <cellStyle name="Lien hypertexte visité" xfId="19308" builtinId="9" hidden="1"/>
    <cellStyle name="Lien hypertexte visité" xfId="19404" builtinId="9" hidden="1"/>
    <cellStyle name="Lien hypertexte visité" xfId="19484" builtinId="9" hidden="1"/>
    <cellStyle name="Lien hypertexte visité" xfId="19564" builtinId="9" hidden="1"/>
    <cellStyle name="Lien hypertexte visité" xfId="19660" builtinId="9" hidden="1"/>
    <cellStyle name="Lien hypertexte visité" xfId="19740" builtinId="9" hidden="1"/>
    <cellStyle name="Lien hypertexte visité" xfId="19820" builtinId="9" hidden="1"/>
    <cellStyle name="Lien hypertexte visité" xfId="19916" builtinId="9" hidden="1"/>
    <cellStyle name="Lien hypertexte visité" xfId="19996" builtinId="9" hidden="1"/>
    <cellStyle name="Lien hypertexte visité" xfId="20076" builtinId="9" hidden="1"/>
    <cellStyle name="Lien hypertexte visité" xfId="20172" builtinId="9" hidden="1"/>
    <cellStyle name="Lien hypertexte visité" xfId="20252" builtinId="9" hidden="1"/>
    <cellStyle name="Lien hypertexte visité" xfId="20332" builtinId="9" hidden="1"/>
    <cellStyle name="Lien hypertexte visité" xfId="20428" builtinId="9" hidden="1"/>
    <cellStyle name="Lien hypertexte visité" xfId="20508" builtinId="9" hidden="1"/>
    <cellStyle name="Lien hypertexte visité" xfId="20588" builtinId="9" hidden="1"/>
    <cellStyle name="Lien hypertexte visité" xfId="20684" builtinId="9" hidden="1"/>
    <cellStyle name="Lien hypertexte visité" xfId="20764" builtinId="9" hidden="1"/>
    <cellStyle name="Lien hypertexte visité" xfId="20844" builtinId="9" hidden="1"/>
    <cellStyle name="Lien hypertexte visité" xfId="20940" builtinId="9" hidden="1"/>
    <cellStyle name="Lien hypertexte visité" xfId="21020" builtinId="9" hidden="1"/>
    <cellStyle name="Lien hypertexte visité" xfId="21100" builtinId="9" hidden="1"/>
    <cellStyle name="Lien hypertexte visité" xfId="21196" builtinId="9" hidden="1"/>
    <cellStyle name="Lien hypertexte visité" xfId="21276" builtinId="9" hidden="1"/>
    <cellStyle name="Lien hypertexte visité" xfId="21356" builtinId="9" hidden="1"/>
    <cellStyle name="Lien hypertexte visité" xfId="21452" builtinId="9" hidden="1"/>
    <cellStyle name="Lien hypertexte visité" xfId="21532" builtinId="9" hidden="1"/>
    <cellStyle name="Lien hypertexte visité" xfId="21612" builtinId="9" hidden="1"/>
    <cellStyle name="Lien hypertexte visité" xfId="21708" builtinId="9" hidden="1"/>
    <cellStyle name="Lien hypertexte visité" xfId="21788" builtinId="9" hidden="1"/>
    <cellStyle name="Lien hypertexte visité" xfId="21868" builtinId="9" hidden="1"/>
    <cellStyle name="Lien hypertexte visité" xfId="21964" builtinId="9" hidden="1"/>
    <cellStyle name="Lien hypertexte visité" xfId="22044" builtinId="9" hidden="1"/>
    <cellStyle name="Lien hypertexte visité" xfId="22124" builtinId="9" hidden="1"/>
    <cellStyle name="Lien hypertexte visité" xfId="22220" builtinId="9" hidden="1"/>
    <cellStyle name="Lien hypertexte visité" xfId="22300" builtinId="9" hidden="1"/>
    <cellStyle name="Lien hypertexte visité" xfId="22380" builtinId="9" hidden="1"/>
    <cellStyle name="Lien hypertexte visité" xfId="22476" builtinId="9" hidden="1"/>
    <cellStyle name="Lien hypertexte visité" xfId="22556" builtinId="9" hidden="1"/>
    <cellStyle name="Lien hypertexte visité" xfId="22636" builtinId="9" hidden="1"/>
    <cellStyle name="Lien hypertexte visité" xfId="22732" builtinId="9" hidden="1"/>
    <cellStyle name="Lien hypertexte visité" xfId="22812" builtinId="9" hidden="1"/>
    <cellStyle name="Lien hypertexte visité" xfId="22892" builtinId="9" hidden="1"/>
    <cellStyle name="Lien hypertexte visité" xfId="22988" builtinId="9" hidden="1"/>
    <cellStyle name="Lien hypertexte visité" xfId="23068" builtinId="9" hidden="1"/>
    <cellStyle name="Lien hypertexte visité" xfId="23148" builtinId="9" hidden="1"/>
    <cellStyle name="Lien hypertexte visité" xfId="23244" builtinId="9" hidden="1"/>
    <cellStyle name="Lien hypertexte visité" xfId="23324" builtinId="9" hidden="1"/>
    <cellStyle name="Lien hypertexte visité" xfId="23404" builtinId="9" hidden="1"/>
    <cellStyle name="Lien hypertexte visité" xfId="23500" builtinId="9" hidden="1"/>
    <cellStyle name="Lien hypertexte visité" xfId="23580" builtinId="9" hidden="1"/>
    <cellStyle name="Lien hypertexte visité" xfId="23660" builtinId="9" hidden="1"/>
    <cellStyle name="Lien hypertexte visité" xfId="23756" builtinId="9" hidden="1"/>
    <cellStyle name="Lien hypertexte visité" xfId="23836" builtinId="9" hidden="1"/>
    <cellStyle name="Lien hypertexte visité" xfId="23916" builtinId="9" hidden="1"/>
    <cellStyle name="Lien hypertexte visité" xfId="24012" builtinId="9" hidden="1"/>
    <cellStyle name="Lien hypertexte visité" xfId="24092" builtinId="9" hidden="1"/>
    <cellStyle name="Lien hypertexte visité" xfId="24172" builtinId="9" hidden="1"/>
    <cellStyle name="Lien hypertexte visité" xfId="24268" builtinId="9" hidden="1"/>
    <cellStyle name="Lien hypertexte visité" xfId="24348" builtinId="9" hidden="1"/>
    <cellStyle name="Lien hypertexte visité" xfId="24428" builtinId="9" hidden="1"/>
    <cellStyle name="Lien hypertexte visité" xfId="24524" builtinId="9" hidden="1"/>
    <cellStyle name="Lien hypertexte visité" xfId="24604" builtinId="9" hidden="1"/>
    <cellStyle name="Lien hypertexte visité" xfId="24542" builtinId="9" hidden="1"/>
    <cellStyle name="Lien hypertexte visité" xfId="24446" builtinId="9" hidden="1"/>
    <cellStyle name="Lien hypertexte visité" xfId="24366" builtinId="9" hidden="1"/>
    <cellStyle name="Lien hypertexte visité" xfId="24286" builtinId="9" hidden="1"/>
    <cellStyle name="Lien hypertexte visité" xfId="24190" builtinId="9" hidden="1"/>
    <cellStyle name="Lien hypertexte visité" xfId="24110" builtinId="9" hidden="1"/>
    <cellStyle name="Lien hypertexte visité" xfId="24030" builtinId="9" hidden="1"/>
    <cellStyle name="Lien hypertexte visité" xfId="23934" builtinId="9" hidden="1"/>
    <cellStyle name="Lien hypertexte visité" xfId="23854" builtinId="9" hidden="1"/>
    <cellStyle name="Lien hypertexte visité" xfId="23774" builtinId="9" hidden="1"/>
    <cellStyle name="Lien hypertexte visité" xfId="23678" builtinId="9" hidden="1"/>
    <cellStyle name="Lien hypertexte visité" xfId="23598" builtinId="9" hidden="1"/>
    <cellStyle name="Lien hypertexte visité" xfId="23518" builtinId="9" hidden="1"/>
    <cellStyle name="Lien hypertexte visité" xfId="23422" builtinId="9" hidden="1"/>
    <cellStyle name="Lien hypertexte visité" xfId="23342" builtinId="9" hidden="1"/>
    <cellStyle name="Lien hypertexte visité" xfId="23262" builtinId="9" hidden="1"/>
    <cellStyle name="Lien hypertexte visité" xfId="23166" builtinId="9" hidden="1"/>
    <cellStyle name="Lien hypertexte visité" xfId="23086" builtinId="9" hidden="1"/>
    <cellStyle name="Lien hypertexte visité" xfId="23006" builtinId="9" hidden="1"/>
    <cellStyle name="Lien hypertexte visité" xfId="22910" builtinId="9" hidden="1"/>
    <cellStyle name="Lien hypertexte visité" xfId="22830" builtinId="9" hidden="1"/>
    <cellStyle name="Lien hypertexte visité" xfId="22750" builtinId="9" hidden="1"/>
    <cellStyle name="Lien hypertexte visité" xfId="22654" builtinId="9" hidden="1"/>
    <cellStyle name="Lien hypertexte visité" xfId="22574" builtinId="9" hidden="1"/>
    <cellStyle name="Lien hypertexte visité" xfId="22494" builtinId="9" hidden="1"/>
    <cellStyle name="Lien hypertexte visité" xfId="22398" builtinId="9" hidden="1"/>
    <cellStyle name="Lien hypertexte visité" xfId="22318" builtinId="9" hidden="1"/>
    <cellStyle name="Lien hypertexte visité" xfId="22238" builtinId="9" hidden="1"/>
    <cellStyle name="Lien hypertexte visité" xfId="22142" builtinId="9" hidden="1"/>
    <cellStyle name="Lien hypertexte visité" xfId="22062" builtinId="9" hidden="1"/>
    <cellStyle name="Lien hypertexte visité" xfId="21982" builtinId="9" hidden="1"/>
    <cellStyle name="Lien hypertexte visité" xfId="21886" builtinId="9" hidden="1"/>
    <cellStyle name="Lien hypertexte visité" xfId="21806" builtinId="9" hidden="1"/>
    <cellStyle name="Lien hypertexte visité" xfId="21726" builtinId="9" hidden="1"/>
    <cellStyle name="Lien hypertexte visité" xfId="21630" builtinId="9" hidden="1"/>
    <cellStyle name="Lien hypertexte visité" xfId="21550" builtinId="9" hidden="1"/>
    <cellStyle name="Lien hypertexte visité" xfId="21470" builtinId="9" hidden="1"/>
    <cellStyle name="Lien hypertexte visité" xfId="21374" builtinId="9" hidden="1"/>
    <cellStyle name="Lien hypertexte visité" xfId="21294" builtinId="9" hidden="1"/>
    <cellStyle name="Lien hypertexte visité" xfId="21214" builtinId="9" hidden="1"/>
    <cellStyle name="Lien hypertexte visité" xfId="21118" builtinId="9" hidden="1"/>
    <cellStyle name="Lien hypertexte visité" xfId="21038" builtinId="9" hidden="1"/>
    <cellStyle name="Lien hypertexte visité" xfId="20958" builtinId="9" hidden="1"/>
    <cellStyle name="Lien hypertexte visité" xfId="20862" builtinId="9" hidden="1"/>
    <cellStyle name="Lien hypertexte visité" xfId="20782" builtinId="9" hidden="1"/>
    <cellStyle name="Lien hypertexte visité" xfId="20702" builtinId="9" hidden="1"/>
    <cellStyle name="Lien hypertexte visité" xfId="20606" builtinId="9" hidden="1"/>
    <cellStyle name="Lien hypertexte visité" xfId="20526" builtinId="9" hidden="1"/>
    <cellStyle name="Lien hypertexte visité" xfId="20446" builtinId="9" hidden="1"/>
    <cellStyle name="Lien hypertexte visité" xfId="20350" builtinId="9" hidden="1"/>
    <cellStyle name="Lien hypertexte visité" xfId="20270" builtinId="9" hidden="1"/>
    <cellStyle name="Lien hypertexte visité" xfId="20190" builtinId="9" hidden="1"/>
    <cellStyle name="Lien hypertexte visité" xfId="20094" builtinId="9" hidden="1"/>
    <cellStyle name="Lien hypertexte visité" xfId="20014" builtinId="9" hidden="1"/>
    <cellStyle name="Lien hypertexte visité" xfId="19934" builtinId="9" hidden="1"/>
    <cellStyle name="Lien hypertexte visité" xfId="19838" builtinId="9" hidden="1"/>
    <cellStyle name="Lien hypertexte visité" xfId="19758" builtinId="9" hidden="1"/>
    <cellStyle name="Lien hypertexte visité" xfId="19678" builtinId="9" hidden="1"/>
    <cellStyle name="Lien hypertexte visité" xfId="19582" builtinId="9" hidden="1"/>
    <cellStyle name="Lien hypertexte visité" xfId="19502" builtinId="9" hidden="1"/>
    <cellStyle name="Lien hypertexte visité" xfId="19422" builtinId="9" hidden="1"/>
    <cellStyle name="Lien hypertexte visité" xfId="19326" builtinId="9" hidden="1"/>
    <cellStyle name="Lien hypertexte visité" xfId="19246" builtinId="9" hidden="1"/>
    <cellStyle name="Lien hypertexte visité" xfId="19166" builtinId="9" hidden="1"/>
    <cellStyle name="Lien hypertexte visité" xfId="19070" builtinId="9" hidden="1"/>
    <cellStyle name="Lien hypertexte visité" xfId="18990" builtinId="9" hidden="1"/>
    <cellStyle name="Lien hypertexte visité" xfId="18910" builtinId="9" hidden="1"/>
    <cellStyle name="Lien hypertexte visité" xfId="18814" builtinId="9" hidden="1"/>
    <cellStyle name="Lien hypertexte visité" xfId="18734" builtinId="9" hidden="1"/>
    <cellStyle name="Lien hypertexte visité" xfId="18654" builtinId="9" hidden="1"/>
    <cellStyle name="Lien hypertexte visité" xfId="18558" builtinId="9" hidden="1"/>
    <cellStyle name="Lien hypertexte visité" xfId="18478" builtinId="9" hidden="1"/>
    <cellStyle name="Lien hypertexte visité" xfId="18398" builtinId="9" hidden="1"/>
    <cellStyle name="Lien hypertexte visité" xfId="18314" builtinId="9" hidden="1"/>
    <cellStyle name="Lien hypertexte visité" xfId="18239" builtinId="9" hidden="1"/>
    <cellStyle name="Lien hypertexte visité" xfId="18159" builtinId="9" hidden="1"/>
    <cellStyle name="Lien hypertexte visité" xfId="18063" builtinId="9" hidden="1"/>
    <cellStyle name="Lien hypertexte visité" xfId="17983" builtinId="9" hidden="1"/>
    <cellStyle name="Lien hypertexte visité" xfId="17903" builtinId="9" hidden="1"/>
    <cellStyle name="Lien hypertexte visité" xfId="17807" builtinId="9" hidden="1"/>
    <cellStyle name="Lien hypertexte visité" xfId="17727" builtinId="9" hidden="1"/>
    <cellStyle name="Lien hypertexte visité" xfId="17647" builtinId="9" hidden="1"/>
    <cellStyle name="Lien hypertexte visité" xfId="17551" builtinId="9" hidden="1"/>
    <cellStyle name="Lien hypertexte visité" xfId="17471" builtinId="9" hidden="1"/>
    <cellStyle name="Lien hypertexte visité" xfId="17391" builtinId="9" hidden="1"/>
    <cellStyle name="Lien hypertexte visité" xfId="17295" builtinId="9" hidden="1"/>
    <cellStyle name="Lien hypertexte visité" xfId="17215" builtinId="9" hidden="1"/>
    <cellStyle name="Lien hypertexte visité" xfId="17135" builtinId="9" hidden="1"/>
    <cellStyle name="Lien hypertexte visité" xfId="17039" builtinId="9" hidden="1"/>
    <cellStyle name="Lien hypertexte visité" xfId="16959" builtinId="9" hidden="1"/>
    <cellStyle name="Lien hypertexte visité" xfId="16879" builtinId="9" hidden="1"/>
    <cellStyle name="Lien hypertexte visité" xfId="16783" builtinId="9" hidden="1"/>
    <cellStyle name="Lien hypertexte visité" xfId="16703" builtinId="9" hidden="1"/>
    <cellStyle name="Lien hypertexte visité" xfId="16623" builtinId="9" hidden="1"/>
    <cellStyle name="Lien hypertexte visité" xfId="16527" builtinId="9" hidden="1"/>
    <cellStyle name="Lien hypertexte visité" xfId="16447" builtinId="9" hidden="1"/>
    <cellStyle name="Lien hypertexte visité" xfId="16367" builtinId="9" hidden="1"/>
    <cellStyle name="Lien hypertexte visité" xfId="16271" builtinId="9" hidden="1"/>
    <cellStyle name="Lien hypertexte visité" xfId="16191" builtinId="9" hidden="1"/>
    <cellStyle name="Lien hypertexte visité" xfId="16111" builtinId="9" hidden="1"/>
    <cellStyle name="Lien hypertexte visité" xfId="16015" builtinId="9" hidden="1"/>
    <cellStyle name="Lien hypertexte visité" xfId="15935" builtinId="9" hidden="1"/>
    <cellStyle name="Lien hypertexte visité" xfId="15855" builtinId="9" hidden="1"/>
    <cellStyle name="Lien hypertexte visité" xfId="15759" builtinId="9" hidden="1"/>
    <cellStyle name="Lien hypertexte visité" xfId="15679" builtinId="9" hidden="1"/>
    <cellStyle name="Lien hypertexte visité" xfId="15599" builtinId="9" hidden="1"/>
    <cellStyle name="Lien hypertexte visité" xfId="15503" builtinId="9" hidden="1"/>
    <cellStyle name="Lien hypertexte visité" xfId="15423" builtinId="9" hidden="1"/>
    <cellStyle name="Lien hypertexte visité" xfId="15343" builtinId="9" hidden="1"/>
    <cellStyle name="Lien hypertexte visité" xfId="15247" builtinId="9" hidden="1"/>
    <cellStyle name="Lien hypertexte visité" xfId="15167" builtinId="9" hidden="1"/>
    <cellStyle name="Lien hypertexte visité" xfId="15087" builtinId="9" hidden="1"/>
    <cellStyle name="Lien hypertexte visité" xfId="14991" builtinId="9" hidden="1"/>
    <cellStyle name="Lien hypertexte visité" xfId="14911" builtinId="9" hidden="1"/>
    <cellStyle name="Lien hypertexte visité" xfId="14831" builtinId="9" hidden="1"/>
    <cellStyle name="Lien hypertexte visité" xfId="14735" builtinId="9" hidden="1"/>
    <cellStyle name="Lien hypertexte visité" xfId="14655" builtinId="9" hidden="1"/>
    <cellStyle name="Lien hypertexte visité" xfId="14575" builtinId="9" hidden="1"/>
    <cellStyle name="Lien hypertexte visité" xfId="14497" builtinId="9" hidden="1"/>
    <cellStyle name="Lien hypertexte visité" xfId="14457" builtinId="9" hidden="1"/>
    <cellStyle name="Lien hypertexte visité" xfId="14417" builtinId="9" hidden="1"/>
    <cellStyle name="Lien hypertexte visité" xfId="14369" builtinId="9" hidden="1"/>
    <cellStyle name="Lien hypertexte visité" xfId="14329" builtinId="9" hidden="1"/>
    <cellStyle name="Lien hypertexte visité" xfId="14289" builtinId="9" hidden="1"/>
    <cellStyle name="Lien hypertexte visité" xfId="14241" builtinId="9" hidden="1"/>
    <cellStyle name="Lien hypertexte visité" xfId="14201" builtinId="9" hidden="1"/>
    <cellStyle name="Lien hypertexte visité" xfId="14161" builtinId="9" hidden="1"/>
    <cellStyle name="Lien hypertexte visité" xfId="14113" builtinId="9" hidden="1"/>
    <cellStyle name="Lien hypertexte visité" xfId="14073" builtinId="9" hidden="1"/>
    <cellStyle name="Lien hypertexte visité" xfId="14033" builtinId="9" hidden="1"/>
    <cellStyle name="Lien hypertexte visité" xfId="13985" builtinId="9" hidden="1"/>
    <cellStyle name="Lien hypertexte visité" xfId="13945" builtinId="9" hidden="1"/>
    <cellStyle name="Lien hypertexte visité" xfId="13905" builtinId="9" hidden="1"/>
    <cellStyle name="Lien hypertexte visité" xfId="13857" builtinId="9" hidden="1"/>
    <cellStyle name="Lien hypertexte visité" xfId="13817" builtinId="9" hidden="1"/>
    <cellStyle name="Lien hypertexte visité" xfId="13777" builtinId="9" hidden="1"/>
    <cellStyle name="Lien hypertexte visité" xfId="13729" builtinId="9" hidden="1"/>
    <cellStyle name="Lien hypertexte visité" xfId="13689" builtinId="9" hidden="1"/>
    <cellStyle name="Lien hypertexte visité" xfId="13649" builtinId="9" hidden="1"/>
    <cellStyle name="Lien hypertexte visité" xfId="13601" builtinId="9" hidden="1"/>
    <cellStyle name="Lien hypertexte visité" xfId="13561" builtinId="9" hidden="1"/>
    <cellStyle name="Lien hypertexte visité" xfId="13521" builtinId="9" hidden="1"/>
    <cellStyle name="Lien hypertexte visité" xfId="13473" builtinId="9" hidden="1"/>
    <cellStyle name="Lien hypertexte visité" xfId="13433" builtinId="9" hidden="1"/>
    <cellStyle name="Lien hypertexte visité" xfId="13393" builtinId="9" hidden="1"/>
    <cellStyle name="Lien hypertexte visité" xfId="13345" builtinId="9" hidden="1"/>
    <cellStyle name="Lien hypertexte visité" xfId="13305" builtinId="9" hidden="1"/>
    <cellStyle name="Lien hypertexte visité" xfId="13265" builtinId="9" hidden="1"/>
    <cellStyle name="Lien hypertexte visité" xfId="13217" builtinId="9" hidden="1"/>
    <cellStyle name="Lien hypertexte visité" xfId="13177" builtinId="9" hidden="1"/>
    <cellStyle name="Lien hypertexte visité" xfId="13137" builtinId="9" hidden="1"/>
    <cellStyle name="Lien hypertexte visité" xfId="13089" builtinId="9" hidden="1"/>
    <cellStyle name="Lien hypertexte visité" xfId="13049" builtinId="9" hidden="1"/>
    <cellStyle name="Lien hypertexte visité" xfId="13009" builtinId="9" hidden="1"/>
    <cellStyle name="Lien hypertexte visité" xfId="12961" builtinId="9" hidden="1"/>
    <cellStyle name="Lien hypertexte visité" xfId="12921" builtinId="9" hidden="1"/>
    <cellStyle name="Lien hypertexte visité" xfId="12881" builtinId="9" hidden="1"/>
    <cellStyle name="Lien hypertexte visité" xfId="12833" builtinId="9" hidden="1"/>
    <cellStyle name="Lien hypertexte visité" xfId="12793" builtinId="9" hidden="1"/>
    <cellStyle name="Lien hypertexte visité" xfId="12753" builtinId="9" hidden="1"/>
    <cellStyle name="Lien hypertexte visité" xfId="12705" builtinId="9" hidden="1"/>
    <cellStyle name="Lien hypertexte visité" xfId="12665" builtinId="9" hidden="1"/>
    <cellStyle name="Lien hypertexte visité" xfId="12625" builtinId="9" hidden="1"/>
    <cellStyle name="Lien hypertexte visité" xfId="12577" builtinId="9" hidden="1"/>
    <cellStyle name="Lien hypertexte visité" xfId="12537" builtinId="9" hidden="1"/>
    <cellStyle name="Lien hypertexte visité" xfId="12497" builtinId="9" hidden="1"/>
    <cellStyle name="Lien hypertexte visité" xfId="12449" builtinId="9" hidden="1"/>
    <cellStyle name="Lien hypertexte visité" xfId="12409" builtinId="9" hidden="1"/>
    <cellStyle name="Lien hypertexte visité" xfId="12369" builtinId="9" hidden="1"/>
    <cellStyle name="Lien hypertexte visité" xfId="12321" builtinId="9" hidden="1"/>
    <cellStyle name="Lien hypertexte visité" xfId="12281" builtinId="9" hidden="1"/>
    <cellStyle name="Lien hypertexte visité" xfId="12241" builtinId="9" hidden="1"/>
    <cellStyle name="Lien hypertexte visité" xfId="12193" builtinId="9" hidden="1"/>
    <cellStyle name="Lien hypertexte visité" xfId="12153" builtinId="9" hidden="1"/>
    <cellStyle name="Lien hypertexte visité" xfId="12113" builtinId="9" hidden="1"/>
    <cellStyle name="Lien hypertexte visité" xfId="12065" builtinId="9" hidden="1"/>
    <cellStyle name="Lien hypertexte visité" xfId="12025" builtinId="9" hidden="1"/>
    <cellStyle name="Lien hypertexte visité" xfId="11985" builtinId="9" hidden="1"/>
    <cellStyle name="Lien hypertexte visité" xfId="11937" builtinId="9" hidden="1"/>
    <cellStyle name="Lien hypertexte visité" xfId="11897" builtinId="9" hidden="1"/>
    <cellStyle name="Lien hypertexte visité" xfId="11857" builtinId="9" hidden="1"/>
    <cellStyle name="Lien hypertexte visité" xfId="11809" builtinId="9" hidden="1"/>
    <cellStyle name="Lien hypertexte visité" xfId="11769" builtinId="9" hidden="1"/>
    <cellStyle name="Lien hypertexte visité" xfId="11729" builtinId="9" hidden="1"/>
    <cellStyle name="Lien hypertexte visité" xfId="11681" builtinId="9" hidden="1"/>
    <cellStyle name="Lien hypertexte visité" xfId="11641" builtinId="9" hidden="1"/>
    <cellStyle name="Lien hypertexte visité" xfId="11601" builtinId="9" hidden="1"/>
    <cellStyle name="Lien hypertexte visité" xfId="11553" builtinId="9" hidden="1"/>
    <cellStyle name="Lien hypertexte visité" xfId="11513" builtinId="9" hidden="1"/>
    <cellStyle name="Lien hypertexte visité" xfId="11473" builtinId="9" hidden="1"/>
    <cellStyle name="Lien hypertexte visité" xfId="11425" builtinId="9" hidden="1"/>
    <cellStyle name="Lien hypertexte visité" xfId="11385" builtinId="9" hidden="1"/>
    <cellStyle name="Lien hypertexte visité" xfId="11345" builtinId="9" hidden="1"/>
    <cellStyle name="Lien hypertexte visité" xfId="11297" builtinId="9" hidden="1"/>
    <cellStyle name="Lien hypertexte visité" xfId="11257" builtinId="9" hidden="1"/>
    <cellStyle name="Lien hypertexte visité" xfId="11217" builtinId="9" hidden="1"/>
    <cellStyle name="Lien hypertexte visité" xfId="11169" builtinId="9" hidden="1"/>
    <cellStyle name="Lien hypertexte visité" xfId="11129" builtinId="9" hidden="1"/>
    <cellStyle name="Lien hypertexte visité" xfId="11089" builtinId="9" hidden="1"/>
    <cellStyle name="Lien hypertexte visité" xfId="11041" builtinId="9" hidden="1"/>
    <cellStyle name="Lien hypertexte visité" xfId="11001" builtinId="9" hidden="1"/>
    <cellStyle name="Lien hypertexte visité" xfId="10961" builtinId="9" hidden="1"/>
    <cellStyle name="Lien hypertexte visité" xfId="10913" builtinId="9" hidden="1"/>
    <cellStyle name="Lien hypertexte visité" xfId="10873" builtinId="9" hidden="1"/>
    <cellStyle name="Lien hypertexte visité" xfId="10833" builtinId="9" hidden="1"/>
    <cellStyle name="Lien hypertexte visité" xfId="10785" builtinId="9" hidden="1"/>
    <cellStyle name="Lien hypertexte visité" xfId="10745" builtinId="9" hidden="1"/>
    <cellStyle name="Lien hypertexte visité" xfId="10705" builtinId="9" hidden="1"/>
    <cellStyle name="Lien hypertexte visité" xfId="10657" builtinId="9" hidden="1"/>
    <cellStyle name="Lien hypertexte visité" xfId="10617" builtinId="9" hidden="1"/>
    <cellStyle name="Lien hypertexte visité" xfId="10577" builtinId="9" hidden="1"/>
    <cellStyle name="Lien hypertexte visité" xfId="10529" builtinId="9" hidden="1"/>
    <cellStyle name="Lien hypertexte visité" xfId="10489" builtinId="9" hidden="1"/>
    <cellStyle name="Lien hypertexte visité" xfId="10449" builtinId="9" hidden="1"/>
    <cellStyle name="Lien hypertexte visité" xfId="10401" builtinId="9" hidden="1"/>
    <cellStyle name="Lien hypertexte visité" xfId="10361" builtinId="9" hidden="1"/>
    <cellStyle name="Lien hypertexte visité" xfId="10321" builtinId="9" hidden="1"/>
    <cellStyle name="Lien hypertexte visité" xfId="10273" builtinId="9" hidden="1"/>
    <cellStyle name="Lien hypertexte visité" xfId="10233" builtinId="9" hidden="1"/>
    <cellStyle name="Lien hypertexte visité" xfId="10193" builtinId="9" hidden="1"/>
    <cellStyle name="Lien hypertexte visité" xfId="10145" builtinId="9" hidden="1"/>
    <cellStyle name="Lien hypertexte visité" xfId="10105" builtinId="9" hidden="1"/>
    <cellStyle name="Lien hypertexte visité" xfId="10065" builtinId="9" hidden="1"/>
    <cellStyle name="Lien hypertexte visité" xfId="10017" builtinId="9" hidden="1"/>
    <cellStyle name="Lien hypertexte visité" xfId="9977" builtinId="9" hidden="1"/>
    <cellStyle name="Lien hypertexte visité" xfId="9937" builtinId="9" hidden="1"/>
    <cellStyle name="Lien hypertexte visité" xfId="9889" builtinId="9" hidden="1"/>
    <cellStyle name="Lien hypertexte visité" xfId="9849" builtinId="9" hidden="1"/>
    <cellStyle name="Lien hypertexte visité" xfId="9809" builtinId="9" hidden="1"/>
    <cellStyle name="Lien hypertexte visité" xfId="9761" builtinId="9" hidden="1"/>
    <cellStyle name="Lien hypertexte visité" xfId="9721" builtinId="9" hidden="1"/>
    <cellStyle name="Lien hypertexte visité" xfId="9681" builtinId="9" hidden="1"/>
    <cellStyle name="Lien hypertexte visité" xfId="9633" builtinId="9" hidden="1"/>
    <cellStyle name="Lien hypertexte visité" xfId="9593" builtinId="9" hidden="1"/>
    <cellStyle name="Lien hypertexte visité" xfId="9553" builtinId="9" hidden="1"/>
    <cellStyle name="Lien hypertexte visité" xfId="9505" builtinId="9" hidden="1"/>
    <cellStyle name="Lien hypertexte visité" xfId="9465" builtinId="9" hidden="1"/>
    <cellStyle name="Lien hypertexte visité" xfId="9425" builtinId="9" hidden="1"/>
    <cellStyle name="Lien hypertexte visité" xfId="9377" builtinId="9" hidden="1"/>
    <cellStyle name="Lien hypertexte visité" xfId="9337" builtinId="9" hidden="1"/>
    <cellStyle name="Lien hypertexte visité" xfId="9297" builtinId="9" hidden="1"/>
    <cellStyle name="Lien hypertexte visité" xfId="9249" builtinId="9" hidden="1"/>
    <cellStyle name="Lien hypertexte visité" xfId="9209" builtinId="9" hidden="1"/>
    <cellStyle name="Lien hypertexte visité" xfId="9169" builtinId="9" hidden="1"/>
    <cellStyle name="Lien hypertexte visité" xfId="9121" builtinId="9" hidden="1"/>
    <cellStyle name="Lien hypertexte visité" xfId="9081" builtinId="9" hidden="1"/>
    <cellStyle name="Lien hypertexte visité" xfId="9041" builtinId="9" hidden="1"/>
    <cellStyle name="Lien hypertexte visité" xfId="8993" builtinId="9" hidden="1"/>
    <cellStyle name="Lien hypertexte visité" xfId="8953" builtinId="9" hidden="1"/>
    <cellStyle name="Lien hypertexte visité" xfId="8913" builtinId="9" hidden="1"/>
    <cellStyle name="Lien hypertexte visité" xfId="8865" builtinId="9" hidden="1"/>
    <cellStyle name="Lien hypertexte visité" xfId="8825" builtinId="9" hidden="1"/>
    <cellStyle name="Lien hypertexte visité" xfId="8785" builtinId="9" hidden="1"/>
    <cellStyle name="Lien hypertexte visité" xfId="8737" builtinId="9" hidden="1"/>
    <cellStyle name="Lien hypertexte visité" xfId="8697" builtinId="9" hidden="1"/>
    <cellStyle name="Lien hypertexte visité" xfId="8657" builtinId="9" hidden="1"/>
    <cellStyle name="Lien hypertexte visité" xfId="8609" builtinId="9" hidden="1"/>
    <cellStyle name="Lien hypertexte visité" xfId="8569" builtinId="9" hidden="1"/>
    <cellStyle name="Lien hypertexte visité" xfId="8529" builtinId="9" hidden="1"/>
    <cellStyle name="Lien hypertexte visité" xfId="8481" builtinId="9" hidden="1"/>
    <cellStyle name="Lien hypertexte visité" xfId="8441" builtinId="9" hidden="1"/>
    <cellStyle name="Lien hypertexte visité" xfId="8401" builtinId="9" hidden="1"/>
    <cellStyle name="Lien hypertexte visité" xfId="8353" builtinId="9" hidden="1"/>
    <cellStyle name="Lien hypertexte visité" xfId="8313" builtinId="9" hidden="1"/>
    <cellStyle name="Lien hypertexte visité" xfId="8273" builtinId="9" hidden="1"/>
    <cellStyle name="Lien hypertexte visité" xfId="8225" builtinId="9" hidden="1"/>
    <cellStyle name="Lien hypertexte visité" xfId="8185" builtinId="9" hidden="1"/>
    <cellStyle name="Lien hypertexte visité" xfId="8145" builtinId="9" hidden="1"/>
    <cellStyle name="Lien hypertexte visité" xfId="8097" builtinId="9" hidden="1"/>
    <cellStyle name="Lien hypertexte visité" xfId="8057" builtinId="9" hidden="1"/>
    <cellStyle name="Lien hypertexte visité" xfId="8017" builtinId="9" hidden="1"/>
    <cellStyle name="Lien hypertexte visité" xfId="7969" builtinId="9" hidden="1"/>
    <cellStyle name="Lien hypertexte visité" xfId="7929" builtinId="9" hidden="1"/>
    <cellStyle name="Lien hypertexte visité" xfId="7889" builtinId="9" hidden="1"/>
    <cellStyle name="Lien hypertexte visité" xfId="7841" builtinId="9" hidden="1"/>
    <cellStyle name="Lien hypertexte visité" xfId="7800" builtinId="9" hidden="1"/>
    <cellStyle name="Lien hypertexte visité" xfId="7760" builtinId="9" hidden="1"/>
    <cellStyle name="Lien hypertexte visité" xfId="7712" builtinId="9" hidden="1"/>
    <cellStyle name="Lien hypertexte visité" xfId="7672" builtinId="9" hidden="1"/>
    <cellStyle name="Lien hypertexte visité" xfId="7632" builtinId="9" hidden="1"/>
    <cellStyle name="Lien hypertexte visité" xfId="7584" builtinId="9" hidden="1"/>
    <cellStyle name="Lien hypertexte visité" xfId="7544" builtinId="9" hidden="1"/>
    <cellStyle name="Lien hypertexte visité" xfId="7504" builtinId="9" hidden="1"/>
    <cellStyle name="Lien hypertexte visité" xfId="7456" builtinId="9" hidden="1"/>
    <cellStyle name="Lien hypertexte visité" xfId="7416" builtinId="9" hidden="1"/>
    <cellStyle name="Lien hypertexte visité" xfId="7376" builtinId="9" hidden="1"/>
    <cellStyle name="Lien hypertexte visité" xfId="7328" builtinId="9" hidden="1"/>
    <cellStyle name="Lien hypertexte visité" xfId="7288" builtinId="9" hidden="1"/>
    <cellStyle name="Lien hypertexte visité" xfId="7248" builtinId="9" hidden="1"/>
    <cellStyle name="Lien hypertexte visité" xfId="7200" builtinId="9" hidden="1"/>
    <cellStyle name="Lien hypertexte visité" xfId="7160" builtinId="9" hidden="1"/>
    <cellStyle name="Lien hypertexte visité" xfId="7120" builtinId="9" hidden="1"/>
    <cellStyle name="Lien hypertexte visité" xfId="7072" builtinId="9" hidden="1"/>
    <cellStyle name="Lien hypertexte visité" xfId="7032" builtinId="9" hidden="1"/>
    <cellStyle name="Lien hypertexte visité" xfId="6992" builtinId="9" hidden="1"/>
    <cellStyle name="Lien hypertexte visité" xfId="6944" builtinId="9" hidden="1"/>
    <cellStyle name="Lien hypertexte visité" xfId="6904" builtinId="9" hidden="1"/>
    <cellStyle name="Lien hypertexte visité" xfId="6864" builtinId="9" hidden="1"/>
    <cellStyle name="Lien hypertexte visité" xfId="6816" builtinId="9" hidden="1"/>
    <cellStyle name="Lien hypertexte visité" xfId="6776" builtinId="9" hidden="1"/>
    <cellStyle name="Lien hypertexte visité" xfId="6736" builtinId="9" hidden="1"/>
    <cellStyle name="Lien hypertexte visité" xfId="6688" builtinId="9" hidden="1"/>
    <cellStyle name="Lien hypertexte visité" xfId="6648" builtinId="9" hidden="1"/>
    <cellStyle name="Lien hypertexte visité" xfId="6608" builtinId="9" hidden="1"/>
    <cellStyle name="Lien hypertexte visité" xfId="6560" builtinId="9" hidden="1"/>
    <cellStyle name="Lien hypertexte visité" xfId="6520" builtinId="9" hidden="1"/>
    <cellStyle name="Lien hypertexte visité" xfId="6480" builtinId="9" hidden="1"/>
    <cellStyle name="Lien hypertexte visité" xfId="6432" builtinId="9" hidden="1"/>
    <cellStyle name="Lien hypertexte visité" xfId="6392" builtinId="9" hidden="1"/>
    <cellStyle name="Lien hypertexte visité" xfId="6352" builtinId="9" hidden="1"/>
    <cellStyle name="Lien hypertexte visité" xfId="6304" builtinId="9" hidden="1"/>
    <cellStyle name="Lien hypertexte visité" xfId="6264" builtinId="9" hidden="1"/>
    <cellStyle name="Lien hypertexte visité" xfId="6224" builtinId="9" hidden="1"/>
    <cellStyle name="Lien hypertexte visité" xfId="6176" builtinId="9" hidden="1"/>
    <cellStyle name="Lien hypertexte visité" xfId="6136" builtinId="9" hidden="1"/>
    <cellStyle name="Lien hypertexte visité" xfId="6096" builtinId="9" hidden="1"/>
    <cellStyle name="Lien hypertexte visité" xfId="6048" builtinId="9" hidden="1"/>
    <cellStyle name="Lien hypertexte visité" xfId="6008" builtinId="9" hidden="1"/>
    <cellStyle name="Lien hypertexte visité" xfId="5968" builtinId="9" hidden="1"/>
    <cellStyle name="Lien hypertexte visité" xfId="5920" builtinId="9" hidden="1"/>
    <cellStyle name="Lien hypertexte visité" xfId="5880" builtinId="9" hidden="1"/>
    <cellStyle name="Lien hypertexte visité" xfId="5840" builtinId="9" hidden="1"/>
    <cellStyle name="Lien hypertexte visité" xfId="5792" builtinId="9" hidden="1"/>
    <cellStyle name="Lien hypertexte visité" xfId="5752" builtinId="9" hidden="1"/>
    <cellStyle name="Lien hypertexte visité" xfId="5712" builtinId="9" hidden="1"/>
    <cellStyle name="Lien hypertexte visité" xfId="5664" builtinId="9" hidden="1"/>
    <cellStyle name="Lien hypertexte visité" xfId="5624" builtinId="9" hidden="1"/>
    <cellStyle name="Lien hypertexte visité" xfId="5584" builtinId="9" hidden="1"/>
    <cellStyle name="Lien hypertexte visité" xfId="5536" builtinId="9" hidden="1"/>
    <cellStyle name="Lien hypertexte visité" xfId="5496" builtinId="9" hidden="1"/>
    <cellStyle name="Lien hypertexte visité" xfId="5456" builtinId="9" hidden="1"/>
    <cellStyle name="Lien hypertexte visité" xfId="5408" builtinId="9" hidden="1"/>
    <cellStyle name="Lien hypertexte visité" xfId="5368" builtinId="9" hidden="1"/>
    <cellStyle name="Lien hypertexte visité" xfId="5328" builtinId="9" hidden="1"/>
    <cellStyle name="Lien hypertexte visité" xfId="5280" builtinId="9" hidden="1"/>
    <cellStyle name="Lien hypertexte visité" xfId="5240" builtinId="9" hidden="1"/>
    <cellStyle name="Lien hypertexte visité" xfId="5200" builtinId="9" hidden="1"/>
    <cellStyle name="Lien hypertexte visité" xfId="5152" builtinId="9" hidden="1"/>
    <cellStyle name="Lien hypertexte visité" xfId="5112" builtinId="9" hidden="1"/>
    <cellStyle name="Lien hypertexte visité" xfId="5072" builtinId="9" hidden="1"/>
    <cellStyle name="Lien hypertexte visité" xfId="5024" builtinId="9" hidden="1"/>
    <cellStyle name="Lien hypertexte visité" xfId="4984" builtinId="9" hidden="1"/>
    <cellStyle name="Lien hypertexte visité" xfId="4944" builtinId="9" hidden="1"/>
    <cellStyle name="Lien hypertexte visité" xfId="4896" builtinId="9" hidden="1"/>
    <cellStyle name="Lien hypertexte visité" xfId="4856" builtinId="9" hidden="1"/>
    <cellStyle name="Lien hypertexte visité" xfId="4816" builtinId="9" hidden="1"/>
    <cellStyle name="Lien hypertexte visité" xfId="4768" builtinId="9" hidden="1"/>
    <cellStyle name="Lien hypertexte visité" xfId="4728" builtinId="9" hidden="1"/>
    <cellStyle name="Lien hypertexte visité" xfId="4688" builtinId="9" hidden="1"/>
    <cellStyle name="Lien hypertexte visité" xfId="4640" builtinId="9" hidden="1"/>
    <cellStyle name="Lien hypertexte visité" xfId="4600" builtinId="9" hidden="1"/>
    <cellStyle name="Lien hypertexte visité" xfId="4560" builtinId="9" hidden="1"/>
    <cellStyle name="Lien hypertexte visité" xfId="4512" builtinId="9" hidden="1"/>
    <cellStyle name="Lien hypertexte visité" xfId="4472" builtinId="9" hidden="1"/>
    <cellStyle name="Lien hypertexte visité" xfId="4432" builtinId="9" hidden="1"/>
    <cellStyle name="Lien hypertexte visité" xfId="4384" builtinId="9" hidden="1"/>
    <cellStyle name="Lien hypertexte visité" xfId="4344" builtinId="9" hidden="1"/>
    <cellStyle name="Lien hypertexte visité" xfId="4304" builtinId="9" hidden="1"/>
    <cellStyle name="Lien hypertexte visité" xfId="4256" builtinId="9" hidden="1"/>
    <cellStyle name="Lien hypertexte visité" xfId="4216" builtinId="9" hidden="1"/>
    <cellStyle name="Lien hypertexte visité" xfId="4176" builtinId="9" hidden="1"/>
    <cellStyle name="Lien hypertexte visité" xfId="4128" builtinId="9" hidden="1"/>
    <cellStyle name="Lien hypertexte visité" xfId="4088" builtinId="9" hidden="1"/>
    <cellStyle name="Lien hypertexte visité" xfId="4048" builtinId="9" hidden="1"/>
    <cellStyle name="Lien hypertexte visité" xfId="4000" builtinId="9" hidden="1"/>
    <cellStyle name="Lien hypertexte visité" xfId="3960" builtinId="9" hidden="1"/>
    <cellStyle name="Lien hypertexte visité" xfId="3924" builtinId="9" hidden="1"/>
    <cellStyle name="Lien hypertexte visité" xfId="3875" builtinId="9" hidden="1"/>
    <cellStyle name="Lien hypertexte visité" xfId="3835" builtinId="9" hidden="1"/>
    <cellStyle name="Lien hypertexte visité" xfId="3795" builtinId="9" hidden="1"/>
    <cellStyle name="Lien hypertexte visité" xfId="3747" builtinId="9" hidden="1"/>
    <cellStyle name="Lien hypertexte visité" xfId="3707" builtinId="9" hidden="1"/>
    <cellStyle name="Lien hypertexte visité" xfId="3662" builtinId="9" hidden="1"/>
    <cellStyle name="Lien hypertexte visité" xfId="3611" builtinId="9" hidden="1"/>
    <cellStyle name="Lien hypertexte visité" xfId="3571" builtinId="9" hidden="1"/>
    <cellStyle name="Lien hypertexte visité" xfId="3530" builtinId="9" hidden="1"/>
    <cellStyle name="Lien hypertexte visité" xfId="3482" builtinId="9" hidden="1"/>
    <cellStyle name="Lien hypertexte visité" xfId="3442" builtinId="9" hidden="1"/>
    <cellStyle name="Lien hypertexte visité" xfId="3402" builtinId="9" hidden="1"/>
    <cellStyle name="Lien hypertexte visité" xfId="3354" builtinId="9" hidden="1"/>
    <cellStyle name="Lien hypertexte visité" xfId="3314" builtinId="9" hidden="1"/>
    <cellStyle name="Lien hypertexte visité" xfId="3274" builtinId="9" hidden="1"/>
    <cellStyle name="Lien hypertexte visité" xfId="3226" builtinId="9" hidden="1"/>
    <cellStyle name="Lien hypertexte visité" xfId="3186" builtinId="9" hidden="1"/>
    <cellStyle name="Lien hypertexte visité" xfId="3146" builtinId="9" hidden="1"/>
    <cellStyle name="Lien hypertexte visité" xfId="3098" builtinId="9" hidden="1"/>
    <cellStyle name="Lien hypertexte visité" xfId="3058" builtinId="9" hidden="1"/>
    <cellStyle name="Lien hypertexte visité" xfId="3018" builtinId="9" hidden="1"/>
    <cellStyle name="Lien hypertexte visité" xfId="2970" builtinId="9" hidden="1"/>
    <cellStyle name="Lien hypertexte visité" xfId="2930" builtinId="9" hidden="1"/>
    <cellStyle name="Lien hypertexte visité" xfId="2890" builtinId="9" hidden="1"/>
    <cellStyle name="Lien hypertexte visité" xfId="2842" builtinId="9" hidden="1"/>
    <cellStyle name="Lien hypertexte visité" xfId="2802" builtinId="9" hidden="1"/>
    <cellStyle name="Lien hypertexte visité" xfId="2762" builtinId="9" hidden="1"/>
    <cellStyle name="Lien hypertexte visité" xfId="2714" builtinId="9" hidden="1"/>
    <cellStyle name="Lien hypertexte visité" xfId="2674" builtinId="9" hidden="1"/>
    <cellStyle name="Lien hypertexte visité" xfId="2634" builtinId="9" hidden="1"/>
    <cellStyle name="Lien hypertexte visité" xfId="2586" builtinId="9" hidden="1"/>
    <cellStyle name="Lien hypertexte visité" xfId="2546" builtinId="9" hidden="1"/>
    <cellStyle name="Lien hypertexte visité" xfId="2506" builtinId="9" hidden="1"/>
    <cellStyle name="Lien hypertexte visité" xfId="2458" builtinId="9" hidden="1"/>
    <cellStyle name="Lien hypertexte visité" xfId="2418" builtinId="9" hidden="1"/>
    <cellStyle name="Lien hypertexte visité" xfId="2378" builtinId="9" hidden="1"/>
    <cellStyle name="Lien hypertexte visité" xfId="2330" builtinId="9" hidden="1"/>
    <cellStyle name="Lien hypertexte visité" xfId="2290" builtinId="9" hidden="1"/>
    <cellStyle name="Lien hypertexte visité" xfId="2250" builtinId="9" hidden="1"/>
    <cellStyle name="Lien hypertexte visité" xfId="2203" builtinId="9" hidden="1"/>
    <cellStyle name="Lien hypertexte visité" xfId="2162" builtinId="9" hidden="1"/>
    <cellStyle name="Lien hypertexte visité" xfId="2122" builtinId="9" hidden="1"/>
    <cellStyle name="Lien hypertexte visité" xfId="2074" builtinId="9" hidden="1"/>
    <cellStyle name="Lien hypertexte visité" xfId="2034" builtinId="9" hidden="1"/>
    <cellStyle name="Lien hypertexte visité" xfId="1994" builtinId="9" hidden="1"/>
    <cellStyle name="Lien hypertexte visité" xfId="1946" builtinId="9" hidden="1"/>
    <cellStyle name="Lien hypertexte visité" xfId="1906" builtinId="9" hidden="1"/>
    <cellStyle name="Lien hypertexte visité" xfId="1866" builtinId="9" hidden="1"/>
    <cellStyle name="Lien hypertexte visité" xfId="1818" builtinId="9" hidden="1"/>
    <cellStyle name="Lien hypertexte visité" xfId="1778" builtinId="9" hidden="1"/>
    <cellStyle name="Lien hypertexte visité" xfId="1738" builtinId="9" hidden="1"/>
    <cellStyle name="Lien hypertexte visité" xfId="1690" builtinId="9" hidden="1"/>
    <cellStyle name="Lien hypertexte visité" xfId="1650" builtinId="9" hidden="1"/>
    <cellStyle name="Lien hypertexte visité" xfId="1610" builtinId="9" hidden="1"/>
    <cellStyle name="Lien hypertexte visité" xfId="1562" builtinId="9" hidden="1"/>
    <cellStyle name="Lien hypertexte visité" xfId="1522" builtinId="9" hidden="1"/>
    <cellStyle name="Lien hypertexte visité" xfId="1481" builtinId="9" hidden="1"/>
    <cellStyle name="Lien hypertexte visité" xfId="1433" builtinId="9" hidden="1"/>
    <cellStyle name="Lien hypertexte visité" xfId="1393" builtinId="9" hidden="1"/>
    <cellStyle name="Lien hypertexte visité" xfId="1353" builtinId="9" hidden="1"/>
    <cellStyle name="Lien hypertexte visité" xfId="1305" builtinId="9" hidden="1"/>
    <cellStyle name="Lien hypertexte visité" xfId="1265" builtinId="9" hidden="1"/>
    <cellStyle name="Lien hypertexte visité" xfId="1225" builtinId="9" hidden="1"/>
    <cellStyle name="Lien hypertexte visité" xfId="1177" builtinId="9" hidden="1"/>
    <cellStyle name="Lien hypertexte visité" xfId="1111" builtinId="9" hidden="1"/>
    <cellStyle name="Lien hypertexte visité" xfId="1031" builtinId="9" hidden="1"/>
    <cellStyle name="Lien hypertexte visité" xfId="935" builtinId="9" hidden="1"/>
    <cellStyle name="Lien hypertexte visité" xfId="855" builtinId="9" hidden="1"/>
    <cellStyle name="Lien hypertexte visité" xfId="775" builtinId="9" hidden="1"/>
    <cellStyle name="Lien hypertexte visité" xfId="679" builtinId="9" hidden="1"/>
    <cellStyle name="Lien hypertexte visité" xfId="599" builtinId="9" hidden="1"/>
    <cellStyle name="Lien hypertexte visité" xfId="519" builtinId="9" hidden="1"/>
    <cellStyle name="Lien hypertexte visité" xfId="423" builtinId="9" hidden="1"/>
    <cellStyle name="Lien hypertexte visité" xfId="343" builtinId="9" hidden="1"/>
    <cellStyle name="Lien hypertexte visité" xfId="263" builtinId="9" hidden="1"/>
    <cellStyle name="Lien hypertexte visité" xfId="167" builtinId="9" hidden="1"/>
    <cellStyle name="Lien hypertexte visité" xfId="89" builtinId="9" hidden="1"/>
    <cellStyle name="Lien hypertexte visité" xfId="69" builtinId="9" hidden="1"/>
    <cellStyle name="Lien hypertexte visité" xfId="107" builtinId="9" hidden="1"/>
    <cellStyle name="Lien hypertexte visité" xfId="139" builtinId="9" hidden="1"/>
    <cellStyle name="Lien hypertexte visité" xfId="219" builtinId="9" hidden="1"/>
    <cellStyle name="Lien hypertexte visité" xfId="315" builtinId="9" hidden="1"/>
    <cellStyle name="Lien hypertexte visité" xfId="395" builtinId="9" hidden="1"/>
    <cellStyle name="Lien hypertexte visité" xfId="475" builtinId="9" hidden="1"/>
    <cellStyle name="Lien hypertexte visité" xfId="571" builtinId="9" hidden="1"/>
    <cellStyle name="Lien hypertexte visité" xfId="8832" builtinId="9" hidden="1"/>
    <cellStyle name="Lien hypertexte visité" xfId="8768" builtinId="9" hidden="1"/>
    <cellStyle name="Lien hypertexte visité" xfId="8704" builtinId="9" hidden="1"/>
    <cellStyle name="Lien hypertexte visité" xfId="8640" builtinId="9" hidden="1"/>
    <cellStyle name="Lien hypertexte visité" xfId="8576" builtinId="9" hidden="1"/>
    <cellStyle name="Lien hypertexte visité" xfId="8512" builtinId="9" hidden="1"/>
    <cellStyle name="Lien hypertexte visité" xfId="8448" builtinId="9" hidden="1"/>
    <cellStyle name="Lien hypertexte visité" xfId="8384" builtinId="9" hidden="1"/>
    <cellStyle name="Lien hypertexte visité" xfId="8320" builtinId="9" hidden="1"/>
    <cellStyle name="Lien hypertexte visité" xfId="8256" builtinId="9" hidden="1"/>
    <cellStyle name="Lien hypertexte visité" xfId="8192" builtinId="9" hidden="1"/>
    <cellStyle name="Lien hypertexte visité" xfId="8128" builtinId="9" hidden="1"/>
    <cellStyle name="Lien hypertexte visité" xfId="8064" builtinId="9" hidden="1"/>
    <cellStyle name="Lien hypertexte visité" xfId="8000" builtinId="9" hidden="1"/>
    <cellStyle name="Lien hypertexte visité" xfId="7936" builtinId="9" hidden="1"/>
    <cellStyle name="Lien hypertexte visité" xfId="7872" builtinId="9" hidden="1"/>
    <cellStyle name="Lien hypertexte visité" xfId="7807" builtinId="9" hidden="1"/>
    <cellStyle name="Lien hypertexte visité" xfId="7743" builtinId="9" hidden="1"/>
    <cellStyle name="Lien hypertexte visité" xfId="7679" builtinId="9" hidden="1"/>
    <cellStyle name="Lien hypertexte visité" xfId="7615" builtinId="9" hidden="1"/>
    <cellStyle name="Lien hypertexte visité" xfId="7551" builtinId="9" hidden="1"/>
    <cellStyle name="Lien hypertexte visité" xfId="7487" builtinId="9" hidden="1"/>
    <cellStyle name="Lien hypertexte visité" xfId="7423" builtinId="9" hidden="1"/>
    <cellStyle name="Lien hypertexte visité" xfId="7359" builtinId="9" hidden="1"/>
    <cellStyle name="Lien hypertexte visité" xfId="7295" builtinId="9" hidden="1"/>
    <cellStyle name="Lien hypertexte visité" xfId="7231" builtinId="9" hidden="1"/>
    <cellStyle name="Lien hypertexte visité" xfId="7167" builtinId="9" hidden="1"/>
    <cellStyle name="Lien hypertexte visité" xfId="7103" builtinId="9" hidden="1"/>
    <cellStyle name="Lien hypertexte visité" xfId="7039" builtinId="9" hidden="1"/>
    <cellStyle name="Lien hypertexte visité" xfId="6975" builtinId="9" hidden="1"/>
    <cellStyle name="Lien hypertexte visité" xfId="6911" builtinId="9" hidden="1"/>
    <cellStyle name="Lien hypertexte visité" xfId="6847" builtinId="9" hidden="1"/>
    <cellStyle name="Lien hypertexte visité" xfId="6783" builtinId="9" hidden="1"/>
    <cellStyle name="Lien hypertexte visité" xfId="6719" builtinId="9" hidden="1"/>
    <cellStyle name="Lien hypertexte visité" xfId="6655" builtinId="9" hidden="1"/>
    <cellStyle name="Lien hypertexte visité" xfId="6591" builtinId="9" hidden="1"/>
    <cellStyle name="Lien hypertexte visité" xfId="6527" builtinId="9" hidden="1"/>
    <cellStyle name="Lien hypertexte visité" xfId="6463" builtinId="9" hidden="1"/>
    <cellStyle name="Lien hypertexte visité" xfId="6399" builtinId="9" hidden="1"/>
    <cellStyle name="Lien hypertexte visité" xfId="6335" builtinId="9" hidden="1"/>
    <cellStyle name="Lien hypertexte visité" xfId="6271" builtinId="9" hidden="1"/>
    <cellStyle name="Lien hypertexte visité" xfId="6207" builtinId="9" hidden="1"/>
    <cellStyle name="Lien hypertexte visité" xfId="6143" builtinId="9" hidden="1"/>
    <cellStyle name="Lien hypertexte visité" xfId="6079" builtinId="9" hidden="1"/>
    <cellStyle name="Lien hypertexte visité" xfId="6015" builtinId="9" hidden="1"/>
    <cellStyle name="Lien hypertexte visité" xfId="5951" builtinId="9" hidden="1"/>
    <cellStyle name="Lien hypertexte visité" xfId="5887" builtinId="9" hidden="1"/>
    <cellStyle name="Lien hypertexte visité" xfId="5823" builtinId="9" hidden="1"/>
    <cellStyle name="Lien hypertexte visité" xfId="5759" builtinId="9" hidden="1"/>
    <cellStyle name="Lien hypertexte visité" xfId="5695" builtinId="9" hidden="1"/>
    <cellStyle name="Lien hypertexte visité" xfId="5631" builtinId="9" hidden="1"/>
    <cellStyle name="Lien hypertexte visité" xfId="5567" builtinId="9" hidden="1"/>
    <cellStyle name="Lien hypertexte visité" xfId="5503" builtinId="9" hidden="1"/>
    <cellStyle name="Lien hypertexte visité" xfId="5439" builtinId="9" hidden="1"/>
    <cellStyle name="Lien hypertexte visité" xfId="5375" builtinId="9" hidden="1"/>
    <cellStyle name="Lien hypertexte visité" xfId="5311" builtinId="9" hidden="1"/>
    <cellStyle name="Lien hypertexte visité" xfId="5247" builtinId="9" hidden="1"/>
    <cellStyle name="Lien hypertexte visité" xfId="5183" builtinId="9" hidden="1"/>
    <cellStyle name="Lien hypertexte visité" xfId="5119" builtinId="9" hidden="1"/>
    <cellStyle name="Lien hypertexte visité" xfId="5055" builtinId="9" hidden="1"/>
    <cellStyle name="Lien hypertexte visité" xfId="4991" builtinId="9" hidden="1"/>
    <cellStyle name="Lien hypertexte visité" xfId="4927" builtinId="9" hidden="1"/>
    <cellStyle name="Lien hypertexte visité" xfId="4863" builtinId="9" hidden="1"/>
    <cellStyle name="Lien hypertexte visité" xfId="4799" builtinId="9" hidden="1"/>
    <cellStyle name="Lien hypertexte visité" xfId="4735" builtinId="9" hidden="1"/>
    <cellStyle name="Lien hypertexte visité" xfId="4671" builtinId="9" hidden="1"/>
    <cellStyle name="Lien hypertexte visité" xfId="4607" builtinId="9" hidden="1"/>
    <cellStyle name="Lien hypertexte visité" xfId="4543" builtinId="9" hidden="1"/>
    <cellStyle name="Lien hypertexte visité" xfId="4479" builtinId="9" hidden="1"/>
    <cellStyle name="Lien hypertexte visité" xfId="4415" builtinId="9" hidden="1"/>
    <cellStyle name="Lien hypertexte visité" xfId="4351" builtinId="9" hidden="1"/>
    <cellStyle name="Lien hypertexte visité" xfId="4287" builtinId="9" hidden="1"/>
    <cellStyle name="Lien hypertexte visité" xfId="4223" builtinId="9" hidden="1"/>
    <cellStyle name="Lien hypertexte visité" xfId="4159" builtinId="9" hidden="1"/>
    <cellStyle name="Lien hypertexte visité" xfId="4095" builtinId="9" hidden="1"/>
    <cellStyle name="Lien hypertexte visité" xfId="4031" builtinId="9" hidden="1"/>
    <cellStyle name="Lien hypertexte visité" xfId="3967" builtinId="9" hidden="1"/>
    <cellStyle name="Lien hypertexte visité" xfId="3907" builtinId="9" hidden="1"/>
    <cellStyle name="Lien hypertexte visité" xfId="3842" builtinId="9" hidden="1"/>
    <cellStyle name="Lien hypertexte visité" xfId="3778" builtinId="9" hidden="1"/>
    <cellStyle name="Lien hypertexte visité" xfId="3714" builtinId="9" hidden="1"/>
    <cellStyle name="Lien hypertexte visité" xfId="3642" builtinId="9" hidden="1"/>
    <cellStyle name="Lien hypertexte visité" xfId="3578" builtinId="9" hidden="1"/>
    <cellStyle name="Lien hypertexte visité" xfId="3513" builtinId="9" hidden="1"/>
    <cellStyle name="Lien hypertexte visité" xfId="3449" builtinId="9" hidden="1"/>
    <cellStyle name="Lien hypertexte visité" xfId="3385" builtinId="9" hidden="1"/>
    <cellStyle name="Lien hypertexte visité" xfId="3321" builtinId="9" hidden="1"/>
    <cellStyle name="Lien hypertexte visité" xfId="3257" builtinId="9" hidden="1"/>
    <cellStyle name="Lien hypertexte visité" xfId="3193" builtinId="9" hidden="1"/>
    <cellStyle name="Lien hypertexte visité" xfId="3129" builtinId="9" hidden="1"/>
    <cellStyle name="Lien hypertexte visité" xfId="3065" builtinId="9" hidden="1"/>
    <cellStyle name="Lien hypertexte visité" xfId="3001" builtinId="9" hidden="1"/>
    <cellStyle name="Lien hypertexte visité" xfId="2937" builtinId="9" hidden="1"/>
    <cellStyle name="Lien hypertexte visité" xfId="2873" builtinId="9" hidden="1"/>
    <cellStyle name="Lien hypertexte visité" xfId="2809" builtinId="9" hidden="1"/>
    <cellStyle name="Lien hypertexte visité" xfId="2745" builtinId="9" hidden="1"/>
    <cellStyle name="Lien hypertexte visité" xfId="2681" builtinId="9" hidden="1"/>
    <cellStyle name="Lien hypertexte visité" xfId="2617" builtinId="9" hidden="1"/>
    <cellStyle name="Lien hypertexte visité" xfId="2553" builtinId="9" hidden="1"/>
    <cellStyle name="Lien hypertexte visité" xfId="2489" builtinId="9" hidden="1"/>
    <cellStyle name="Lien hypertexte visité" xfId="2425" builtinId="9" hidden="1"/>
    <cellStyle name="Lien hypertexte visité" xfId="2361" builtinId="9" hidden="1"/>
    <cellStyle name="Lien hypertexte visité" xfId="2297" builtinId="9" hidden="1"/>
    <cellStyle name="Lien hypertexte visité" xfId="2233" builtinId="9" hidden="1"/>
    <cellStyle name="Lien hypertexte visité" xfId="2169" builtinId="9" hidden="1"/>
    <cellStyle name="Lien hypertexte visité" xfId="2105" builtinId="9" hidden="1"/>
    <cellStyle name="Lien hypertexte visité" xfId="2041" builtinId="9" hidden="1"/>
    <cellStyle name="Lien hypertexte visité" xfId="1977" builtinId="9" hidden="1"/>
    <cellStyle name="Lien hypertexte visité" xfId="1913" builtinId="9" hidden="1"/>
    <cellStyle name="Lien hypertexte visité" xfId="1849" builtinId="9" hidden="1"/>
    <cellStyle name="Lien hypertexte visité" xfId="1785" builtinId="9" hidden="1"/>
    <cellStyle name="Lien hypertexte visité" xfId="1721" builtinId="9" hidden="1"/>
    <cellStyle name="Lien hypertexte visité" xfId="1657" builtinId="9" hidden="1"/>
    <cellStyle name="Lien hypertexte visité" xfId="1593" builtinId="9" hidden="1"/>
    <cellStyle name="Lien hypertexte visité" xfId="1529" builtinId="9" hidden="1"/>
    <cellStyle name="Lien hypertexte visité" xfId="1464" builtinId="9" hidden="1"/>
    <cellStyle name="Lien hypertexte visité" xfId="1400" builtinId="9" hidden="1"/>
    <cellStyle name="Lien hypertexte visité" xfId="1336" builtinId="9" hidden="1"/>
    <cellStyle name="Lien hypertexte visité" xfId="1272" builtinId="9" hidden="1"/>
    <cellStyle name="Lien hypertexte visité" xfId="1208" builtinId="9" hidden="1"/>
    <cellStyle name="Lien hypertexte visité" xfId="1125" builtinId="9" hidden="1"/>
    <cellStyle name="Lien hypertexte visité" xfId="997" builtinId="9" hidden="1"/>
    <cellStyle name="Lien hypertexte visité" xfId="869" builtinId="9" hidden="1"/>
    <cellStyle name="Lien hypertexte visité" xfId="741" builtinId="9" hidden="1"/>
    <cellStyle name="Lien hypertexte visité" xfId="613" builtinId="9" hidden="1"/>
    <cellStyle name="Lien hypertexte visité" xfId="485" builtinId="9" hidden="1"/>
    <cellStyle name="Lien hypertexte visité" xfId="357" builtinId="9" hidden="1"/>
    <cellStyle name="Lien hypertexte visité" xfId="165" builtinId="9" hidden="1"/>
    <cellStyle name="Lien hypertexte visité" xfId="221" builtinId="9" hidden="1"/>
    <cellStyle name="Lien hypertexte visité" xfId="121" builtinId="9" hidden="1"/>
    <cellStyle name="Lien hypertexte visité" xfId="233" builtinId="9" hidden="1"/>
    <cellStyle name="Lien hypertexte visité" xfId="253" builtinId="9" hidden="1"/>
    <cellStyle name="Lien hypertexte visité" xfId="381" builtinId="9" hidden="1"/>
    <cellStyle name="Lien hypertexte visité" xfId="509" builtinId="9" hidden="1"/>
    <cellStyle name="Lien hypertexte visité" xfId="637" builtinId="9" hidden="1"/>
    <cellStyle name="Lien hypertexte visité" xfId="765" builtinId="9" hidden="1"/>
    <cellStyle name="Lien hypertexte visité" xfId="893" builtinId="9" hidden="1"/>
    <cellStyle name="Lien hypertexte visité" xfId="1021" builtinId="9" hidden="1"/>
    <cellStyle name="Lien hypertexte visité" xfId="1149" builtinId="9" hidden="1"/>
    <cellStyle name="Lien hypertexte visité" xfId="1220" builtinId="9" hidden="1"/>
    <cellStyle name="Lien hypertexte visité" xfId="1284" builtinId="9" hidden="1"/>
    <cellStyle name="Lien hypertexte visité" xfId="1348" builtinId="9" hidden="1"/>
    <cellStyle name="Lien hypertexte visité" xfId="1412" builtinId="9" hidden="1"/>
    <cellStyle name="Lien hypertexte visité" xfId="1476" builtinId="9" hidden="1"/>
    <cellStyle name="Lien hypertexte visité" xfId="1541" builtinId="9" hidden="1"/>
    <cellStyle name="Lien hypertexte visité" xfId="1605" builtinId="9" hidden="1"/>
    <cellStyle name="Lien hypertexte visité" xfId="1669" builtinId="9" hidden="1"/>
    <cellStyle name="Lien hypertexte visité" xfId="1733" builtinId="9" hidden="1"/>
    <cellStyle name="Lien hypertexte visité" xfId="1797" builtinId="9" hidden="1"/>
    <cellStyle name="Lien hypertexte visité" xfId="1861" builtinId="9" hidden="1"/>
    <cellStyle name="Lien hypertexte visité" xfId="1925" builtinId="9" hidden="1"/>
    <cellStyle name="Lien hypertexte visité" xfId="1989" builtinId="9" hidden="1"/>
    <cellStyle name="Lien hypertexte visité" xfId="2053" builtinId="9" hidden="1"/>
    <cellStyle name="Lien hypertexte visité" xfId="2117" builtinId="9" hidden="1"/>
    <cellStyle name="Lien hypertexte visité" xfId="2181" builtinId="9" hidden="1"/>
    <cellStyle name="Lien hypertexte visité" xfId="2245" builtinId="9" hidden="1"/>
    <cellStyle name="Lien hypertexte visité" xfId="2309" builtinId="9" hidden="1"/>
    <cellStyle name="Lien hypertexte visité" xfId="2373" builtinId="9" hidden="1"/>
    <cellStyle name="Lien hypertexte visité" xfId="2437" builtinId="9" hidden="1"/>
    <cellStyle name="Lien hypertexte visité" xfId="2501" builtinId="9" hidden="1"/>
    <cellStyle name="Lien hypertexte visité" xfId="2565" builtinId="9" hidden="1"/>
    <cellStyle name="Lien hypertexte visité" xfId="2629" builtinId="9" hidden="1"/>
    <cellStyle name="Lien hypertexte visité" xfId="2693" builtinId="9" hidden="1"/>
    <cellStyle name="Lien hypertexte visité" xfId="2757" builtinId="9" hidden="1"/>
    <cellStyle name="Lien hypertexte visité" xfId="2821" builtinId="9" hidden="1"/>
    <cellStyle name="Lien hypertexte visité" xfId="2885" builtinId="9" hidden="1"/>
    <cellStyle name="Lien hypertexte visité" xfId="2949" builtinId="9" hidden="1"/>
    <cellStyle name="Lien hypertexte visité" xfId="3013" builtinId="9" hidden="1"/>
    <cellStyle name="Lien hypertexte visité" xfId="3077" builtinId="9" hidden="1"/>
    <cellStyle name="Lien hypertexte visité" xfId="3141" builtinId="9" hidden="1"/>
    <cellStyle name="Lien hypertexte visité" xfId="3205" builtinId="9" hidden="1"/>
    <cellStyle name="Lien hypertexte visité" xfId="3269" builtinId="9" hidden="1"/>
    <cellStyle name="Lien hypertexte visité" xfId="3333" builtinId="9" hidden="1"/>
    <cellStyle name="Lien hypertexte visité" xfId="3397" builtinId="9" hidden="1"/>
    <cellStyle name="Lien hypertexte visité" xfId="3461" builtinId="9" hidden="1"/>
    <cellStyle name="Lien hypertexte visité" xfId="3525" builtinId="9" hidden="1"/>
    <cellStyle name="Lien hypertexte visité" xfId="3590" builtinId="9" hidden="1"/>
    <cellStyle name="Lien hypertexte visité" xfId="3654" builtinId="9" hidden="1"/>
    <cellStyle name="Lien hypertexte visité" xfId="3726" builtinId="9" hidden="1"/>
    <cellStyle name="Lien hypertexte visité" xfId="3790" builtinId="9" hidden="1"/>
    <cellStyle name="Lien hypertexte visité" xfId="3854" builtinId="9" hidden="1"/>
    <cellStyle name="Lien hypertexte visité" xfId="3919" builtinId="9" hidden="1"/>
    <cellStyle name="Lien hypertexte visité" xfId="3979" builtinId="9" hidden="1"/>
    <cellStyle name="Lien hypertexte visité" xfId="4043" builtinId="9" hidden="1"/>
    <cellStyle name="Lien hypertexte visité" xfId="4107" builtinId="9" hidden="1"/>
    <cellStyle name="Lien hypertexte visité" xfId="4171" builtinId="9" hidden="1"/>
    <cellStyle name="Lien hypertexte visité" xfId="4235" builtinId="9" hidden="1"/>
    <cellStyle name="Lien hypertexte visité" xfId="4299" builtinId="9" hidden="1"/>
    <cellStyle name="Lien hypertexte visité" xfId="4363" builtinId="9" hidden="1"/>
    <cellStyle name="Lien hypertexte visité" xfId="4427" builtinId="9" hidden="1"/>
    <cellStyle name="Lien hypertexte visité" xfId="4491" builtinId="9" hidden="1"/>
    <cellStyle name="Lien hypertexte visité" xfId="4555" builtinId="9" hidden="1"/>
    <cellStyle name="Lien hypertexte visité" xfId="4619" builtinId="9" hidden="1"/>
    <cellStyle name="Lien hypertexte visité" xfId="4683" builtinId="9" hidden="1"/>
    <cellStyle name="Lien hypertexte visité" xfId="4747" builtinId="9" hidden="1"/>
    <cellStyle name="Lien hypertexte visité" xfId="4811" builtinId="9" hidden="1"/>
    <cellStyle name="Lien hypertexte visité" xfId="4875" builtinId="9" hidden="1"/>
    <cellStyle name="Lien hypertexte visité" xfId="4939" builtinId="9" hidden="1"/>
    <cellStyle name="Lien hypertexte visité" xfId="5003" builtinId="9" hidden="1"/>
    <cellStyle name="Lien hypertexte visité" xfId="5067" builtinId="9" hidden="1"/>
    <cellStyle name="Lien hypertexte visité" xfId="5131" builtinId="9" hidden="1"/>
    <cellStyle name="Lien hypertexte visité" xfId="5195" builtinId="9" hidden="1"/>
    <cellStyle name="Lien hypertexte visité" xfId="5259" builtinId="9" hidden="1"/>
    <cellStyle name="Lien hypertexte visité" xfId="5323" builtinId="9" hidden="1"/>
    <cellStyle name="Lien hypertexte visité" xfId="5387" builtinId="9" hidden="1"/>
    <cellStyle name="Lien hypertexte visité" xfId="5451" builtinId="9" hidden="1"/>
    <cellStyle name="Lien hypertexte visité" xfId="5515" builtinId="9" hidden="1"/>
    <cellStyle name="Lien hypertexte visité" xfId="5579" builtinId="9" hidden="1"/>
    <cellStyle name="Lien hypertexte visité" xfId="5643" builtinId="9" hidden="1"/>
    <cellStyle name="Lien hypertexte visité" xfId="5707" builtinId="9" hidden="1"/>
    <cellStyle name="Lien hypertexte visité" xfId="5771" builtinId="9" hidden="1"/>
    <cellStyle name="Lien hypertexte visité" xfId="5835" builtinId="9" hidden="1"/>
    <cellStyle name="Lien hypertexte visité" xfId="5899" builtinId="9" hidden="1"/>
    <cellStyle name="Lien hypertexte visité" xfId="5963" builtinId="9" hidden="1"/>
    <cellStyle name="Lien hypertexte visité" xfId="6027" builtinId="9" hidden="1"/>
    <cellStyle name="Lien hypertexte visité" xfId="6091" builtinId="9" hidden="1"/>
    <cellStyle name="Lien hypertexte visité" xfId="6155" builtinId="9" hidden="1"/>
    <cellStyle name="Lien hypertexte visité" xfId="6219" builtinId="9" hidden="1"/>
    <cellStyle name="Lien hypertexte visité" xfId="6283" builtinId="9" hidden="1"/>
    <cellStyle name="Lien hypertexte visité" xfId="6347" builtinId="9" hidden="1"/>
    <cellStyle name="Lien hypertexte visité" xfId="6411" builtinId="9" hidden="1"/>
    <cellStyle name="Lien hypertexte visité" xfId="6475" builtinId="9" hidden="1"/>
    <cellStyle name="Lien hypertexte visité" xfId="6539" builtinId="9" hidden="1"/>
    <cellStyle name="Lien hypertexte visité" xfId="6603" builtinId="9" hidden="1"/>
    <cellStyle name="Lien hypertexte visité" xfId="6667" builtinId="9" hidden="1"/>
    <cellStyle name="Lien hypertexte visité" xfId="6731" builtinId="9" hidden="1"/>
    <cellStyle name="Lien hypertexte visité" xfId="6795" builtinId="9" hidden="1"/>
    <cellStyle name="Lien hypertexte visité" xfId="6859" builtinId="9" hidden="1"/>
    <cellStyle name="Lien hypertexte visité" xfId="6923" builtinId="9" hidden="1"/>
    <cellStyle name="Lien hypertexte visité" xfId="6987" builtinId="9" hidden="1"/>
    <cellStyle name="Lien hypertexte visité" xfId="7051" builtinId="9" hidden="1"/>
    <cellStyle name="Lien hypertexte visité" xfId="7115" builtinId="9" hidden="1"/>
    <cellStyle name="Lien hypertexte visité" xfId="7179" builtinId="9" hidden="1"/>
    <cellStyle name="Lien hypertexte visité" xfId="7243" builtinId="9" hidden="1"/>
    <cellStyle name="Lien hypertexte visité" xfId="7307" builtinId="9" hidden="1"/>
    <cellStyle name="Lien hypertexte visité" xfId="7371" builtinId="9" hidden="1"/>
    <cellStyle name="Lien hypertexte visité" xfId="7435" builtinId="9" hidden="1"/>
    <cellStyle name="Lien hypertexte visité" xfId="7499" builtinId="9" hidden="1"/>
    <cellStyle name="Lien hypertexte visité" xfId="7563" builtinId="9" hidden="1"/>
    <cellStyle name="Lien hypertexte visité" xfId="7627" builtinId="9" hidden="1"/>
    <cellStyle name="Lien hypertexte visité" xfId="7691" builtinId="9" hidden="1"/>
    <cellStyle name="Lien hypertexte visité" xfId="7755" builtinId="9" hidden="1"/>
    <cellStyle name="Lien hypertexte visité" xfId="7820" builtinId="9" hidden="1"/>
    <cellStyle name="Lien hypertexte visité" xfId="7884" builtinId="9" hidden="1"/>
    <cellStyle name="Lien hypertexte visité" xfId="7948" builtinId="9" hidden="1"/>
    <cellStyle name="Lien hypertexte visité" xfId="8012" builtinId="9" hidden="1"/>
    <cellStyle name="Lien hypertexte visité" xfId="8076" builtinId="9" hidden="1"/>
    <cellStyle name="Lien hypertexte visité" xfId="8140" builtinId="9" hidden="1"/>
    <cellStyle name="Lien hypertexte visité" xfId="8204" builtinId="9" hidden="1"/>
    <cellStyle name="Lien hypertexte visité" xfId="8268" builtinId="9" hidden="1"/>
    <cellStyle name="Lien hypertexte visité" xfId="8332" builtinId="9" hidden="1"/>
    <cellStyle name="Lien hypertexte visité" xfId="8396" builtinId="9" hidden="1"/>
    <cellStyle name="Lien hypertexte visité" xfId="8460" builtinId="9" hidden="1"/>
    <cellStyle name="Lien hypertexte visité" xfId="8524" builtinId="9" hidden="1"/>
    <cellStyle name="Lien hypertexte visité" xfId="8588" builtinId="9" hidden="1"/>
    <cellStyle name="Lien hypertexte visité" xfId="8652" builtinId="9" hidden="1"/>
    <cellStyle name="Lien hypertexte visité" xfId="8716" builtinId="9" hidden="1"/>
    <cellStyle name="Lien hypertexte visité" xfId="8780" builtinId="9" hidden="1"/>
    <cellStyle name="Lien hypertexte visité" xfId="8844" builtinId="9" hidden="1"/>
    <cellStyle name="Lien hypertexte visité" xfId="8908" builtinId="9" hidden="1"/>
    <cellStyle name="Lien hypertexte visité" xfId="8972" builtinId="9" hidden="1"/>
    <cellStyle name="Lien hypertexte visité" xfId="9036" builtinId="9" hidden="1"/>
    <cellStyle name="Lien hypertexte visité" xfId="9100" builtinId="9" hidden="1"/>
    <cellStyle name="Lien hypertexte visité" xfId="9164" builtinId="9" hidden="1"/>
    <cellStyle name="Lien hypertexte visité" xfId="9228" builtinId="9" hidden="1"/>
    <cellStyle name="Lien hypertexte visité" xfId="9292" builtinId="9" hidden="1"/>
    <cellStyle name="Lien hypertexte visité" xfId="9356" builtinId="9" hidden="1"/>
    <cellStyle name="Lien hypertexte visité" xfId="9420" builtinId="9" hidden="1"/>
    <cellStyle name="Lien hypertexte visité" xfId="9484" builtinId="9" hidden="1"/>
    <cellStyle name="Lien hypertexte visité" xfId="9548" builtinId="9" hidden="1"/>
    <cellStyle name="Lien hypertexte visité" xfId="9612" builtinId="9" hidden="1"/>
    <cellStyle name="Lien hypertexte visité" xfId="9676" builtinId="9" hidden="1"/>
    <cellStyle name="Lien hypertexte visité" xfId="9740" builtinId="9" hidden="1"/>
    <cellStyle name="Lien hypertexte visité" xfId="9804" builtinId="9" hidden="1"/>
    <cellStyle name="Lien hypertexte visité" xfId="9868" builtinId="9" hidden="1"/>
    <cellStyle name="Lien hypertexte visité" xfId="9932" builtinId="9" hidden="1"/>
    <cellStyle name="Lien hypertexte visité" xfId="9996" builtinId="9" hidden="1"/>
    <cellStyle name="Lien hypertexte visité" xfId="10060" builtinId="9" hidden="1"/>
    <cellStyle name="Lien hypertexte visité" xfId="10124" builtinId="9" hidden="1"/>
    <cellStyle name="Lien hypertexte visité" xfId="10188" builtinId="9" hidden="1"/>
    <cellStyle name="Lien hypertexte visité" xfId="10252" builtinId="9" hidden="1"/>
    <cellStyle name="Lien hypertexte visité" xfId="10316" builtinId="9" hidden="1"/>
    <cellStyle name="Lien hypertexte visité" xfId="10380" builtinId="9" hidden="1"/>
    <cellStyle name="Lien hypertexte visité" xfId="10444" builtinId="9" hidden="1"/>
    <cellStyle name="Lien hypertexte visité" xfId="10508" builtinId="9" hidden="1"/>
    <cellStyle name="Lien hypertexte visité" xfId="10572" builtinId="9" hidden="1"/>
    <cellStyle name="Lien hypertexte visité" xfId="10636" builtinId="9" hidden="1"/>
    <cellStyle name="Lien hypertexte visité" xfId="10700" builtinId="9" hidden="1"/>
    <cellStyle name="Lien hypertexte visité" xfId="10764" builtinId="9" hidden="1"/>
    <cellStyle name="Lien hypertexte visité" xfId="10828" builtinId="9" hidden="1"/>
    <cellStyle name="Lien hypertexte visité" xfId="10892" builtinId="9" hidden="1"/>
    <cellStyle name="Lien hypertexte visité" xfId="10956" builtinId="9" hidden="1"/>
    <cellStyle name="Lien hypertexte visité" xfId="11020" builtinId="9" hidden="1"/>
    <cellStyle name="Lien hypertexte visité" xfId="11084" builtinId="9" hidden="1"/>
    <cellStyle name="Lien hypertexte visité" xfId="11148" builtinId="9" hidden="1"/>
    <cellStyle name="Lien hypertexte visité" xfId="11212" builtinId="9" hidden="1"/>
    <cellStyle name="Lien hypertexte visité" xfId="11276" builtinId="9" hidden="1"/>
    <cellStyle name="Lien hypertexte visité" xfId="11340" builtinId="9" hidden="1"/>
    <cellStyle name="Lien hypertexte visité" xfId="11404" builtinId="9" hidden="1"/>
    <cellStyle name="Lien hypertexte visité" xfId="11468" builtinId="9" hidden="1"/>
    <cellStyle name="Lien hypertexte visité" xfId="11532" builtinId="9" hidden="1"/>
    <cellStyle name="Lien hypertexte visité" xfId="11596" builtinId="9" hidden="1"/>
    <cellStyle name="Lien hypertexte visité" xfId="11660" builtinId="9" hidden="1"/>
    <cellStyle name="Lien hypertexte visité" xfId="11724" builtinId="9" hidden="1"/>
    <cellStyle name="Lien hypertexte visité" xfId="11788" builtinId="9" hidden="1"/>
    <cellStyle name="Lien hypertexte visité" xfId="11852" builtinId="9" hidden="1"/>
    <cellStyle name="Lien hypertexte visité" xfId="11916" builtinId="9" hidden="1"/>
    <cellStyle name="Lien hypertexte visité" xfId="11980" builtinId="9" hidden="1"/>
    <cellStyle name="Lien hypertexte visité" xfId="12044" builtinId="9" hidden="1"/>
    <cellStyle name="Lien hypertexte visité" xfId="12108" builtinId="9" hidden="1"/>
    <cellStyle name="Lien hypertexte visité" xfId="12172" builtinId="9" hidden="1"/>
    <cellStyle name="Lien hypertexte visité" xfId="12236" builtinId="9" hidden="1"/>
    <cellStyle name="Lien hypertexte visité" xfId="12300" builtinId="9" hidden="1"/>
    <cellStyle name="Lien hypertexte visité" xfId="12364" builtinId="9" hidden="1"/>
    <cellStyle name="Lien hypertexte visité" xfId="12428" builtinId="9" hidden="1"/>
    <cellStyle name="Lien hypertexte visité" xfId="12492" builtinId="9" hidden="1"/>
    <cellStyle name="Lien hypertexte visité" xfId="12556" builtinId="9" hidden="1"/>
    <cellStyle name="Lien hypertexte visité" xfId="12620" builtinId="9" hidden="1"/>
    <cellStyle name="Lien hypertexte visité" xfId="12684" builtinId="9" hidden="1"/>
    <cellStyle name="Lien hypertexte visité" xfId="12748" builtinId="9" hidden="1"/>
    <cellStyle name="Lien hypertexte visité" xfId="12812" builtinId="9" hidden="1"/>
    <cellStyle name="Lien hypertexte visité" xfId="12876" builtinId="9" hidden="1"/>
    <cellStyle name="Lien hypertexte visité" xfId="12940" builtinId="9" hidden="1"/>
    <cellStyle name="Lien hypertexte visité" xfId="13004" builtinId="9" hidden="1"/>
    <cellStyle name="Lien hypertexte visité" xfId="13068" builtinId="9" hidden="1"/>
    <cellStyle name="Lien hypertexte visité" xfId="13132" builtinId="9" hidden="1"/>
    <cellStyle name="Lien hypertexte visité" xfId="13196" builtinId="9" hidden="1"/>
    <cellStyle name="Lien hypertexte visité" xfId="13260" builtinId="9" hidden="1"/>
    <cellStyle name="Lien hypertexte visité" xfId="13324" builtinId="9" hidden="1"/>
    <cellStyle name="Lien hypertexte visité" xfId="13388" builtinId="9" hidden="1"/>
    <cellStyle name="Lien hypertexte visité" xfId="13452" builtinId="9" hidden="1"/>
    <cellStyle name="Lien hypertexte visité" xfId="13516" builtinId="9" hidden="1"/>
    <cellStyle name="Lien hypertexte visité" xfId="13580" builtinId="9" hidden="1"/>
    <cellStyle name="Lien hypertexte visité" xfId="13644" builtinId="9" hidden="1"/>
    <cellStyle name="Lien hypertexte visité" xfId="13708" builtinId="9" hidden="1"/>
    <cellStyle name="Lien hypertexte visité" xfId="13772" builtinId="9" hidden="1"/>
    <cellStyle name="Lien hypertexte visité" xfId="13836" builtinId="9" hidden="1"/>
    <cellStyle name="Lien hypertexte visité" xfId="13900" builtinId="9" hidden="1"/>
    <cellStyle name="Lien hypertexte visité" xfId="13964" builtinId="9" hidden="1"/>
    <cellStyle name="Lien hypertexte visité" xfId="14028" builtinId="9" hidden="1"/>
    <cellStyle name="Lien hypertexte visité" xfId="14092" builtinId="9" hidden="1"/>
    <cellStyle name="Lien hypertexte visité" xfId="14156" builtinId="9" hidden="1"/>
    <cellStyle name="Lien hypertexte visité" xfId="14220" builtinId="9" hidden="1"/>
    <cellStyle name="Lien hypertexte visité" xfId="14284" builtinId="9" hidden="1"/>
    <cellStyle name="Lien hypertexte visité" xfId="14348" builtinId="9" hidden="1"/>
    <cellStyle name="Lien hypertexte visité" xfId="14412" builtinId="9" hidden="1"/>
    <cellStyle name="Lien hypertexte visité" xfId="14476" builtinId="9" hidden="1"/>
    <cellStyle name="Lien hypertexte visité" xfId="14565" builtinId="9" hidden="1"/>
    <cellStyle name="Lien hypertexte visité" xfId="14693" builtinId="9" hidden="1"/>
    <cellStyle name="Lien hypertexte visité" xfId="14821" builtinId="9" hidden="1"/>
    <cellStyle name="Lien hypertexte visité" xfId="14949" builtinId="9" hidden="1"/>
    <cellStyle name="Lien hypertexte visité" xfId="15077" builtinId="9" hidden="1"/>
    <cellStyle name="Lien hypertexte visité" xfId="15205" builtinId="9" hidden="1"/>
    <cellStyle name="Lien hypertexte visité" xfId="15333" builtinId="9" hidden="1"/>
    <cellStyle name="Lien hypertexte visité" xfId="15461" builtinId="9" hidden="1"/>
    <cellStyle name="Lien hypertexte visité" xfId="15589" builtinId="9" hidden="1"/>
    <cellStyle name="Lien hypertexte visité" xfId="15717" builtinId="9" hidden="1"/>
    <cellStyle name="Lien hypertexte visité" xfId="15845" builtinId="9" hidden="1"/>
    <cellStyle name="Lien hypertexte visité" xfId="15973" builtinId="9" hidden="1"/>
    <cellStyle name="Lien hypertexte visité" xfId="16101" builtinId="9" hidden="1"/>
    <cellStyle name="Lien hypertexte visité" xfId="16229" builtinId="9" hidden="1"/>
    <cellStyle name="Lien hypertexte visité" xfId="16357" builtinId="9" hidden="1"/>
    <cellStyle name="Lien hypertexte visité" xfId="16485" builtinId="9" hidden="1"/>
    <cellStyle name="Lien hypertexte visité" xfId="16613" builtinId="9" hidden="1"/>
    <cellStyle name="Lien hypertexte visité" xfId="16741" builtinId="9" hidden="1"/>
    <cellStyle name="Lien hypertexte visité" xfId="16869" builtinId="9" hidden="1"/>
    <cellStyle name="Lien hypertexte visité" xfId="16997" builtinId="9" hidden="1"/>
    <cellStyle name="Lien hypertexte visité" xfId="17125" builtinId="9" hidden="1"/>
    <cellStyle name="Lien hypertexte visité" xfId="17253" builtinId="9" hidden="1"/>
    <cellStyle name="Lien hypertexte visité" xfId="17381" builtinId="9" hidden="1"/>
    <cellStyle name="Lien hypertexte visité" xfId="17509" builtinId="9" hidden="1"/>
    <cellStyle name="Lien hypertexte visité" xfId="17637" builtinId="9" hidden="1"/>
    <cellStyle name="Lien hypertexte visité" xfId="17765" builtinId="9" hidden="1"/>
    <cellStyle name="Lien hypertexte visité" xfId="17893" builtinId="9" hidden="1"/>
    <cellStyle name="Lien hypertexte visité" xfId="18021" builtinId="9" hidden="1"/>
    <cellStyle name="Lien hypertexte visité" xfId="18149" builtinId="9" hidden="1"/>
    <cellStyle name="Lien hypertexte visité" xfId="18277" builtinId="9" hidden="1"/>
    <cellStyle name="Lien hypertexte visité" xfId="18388" builtinId="9" hidden="1"/>
    <cellStyle name="Lien hypertexte visité" xfId="18516" builtinId="9" hidden="1"/>
    <cellStyle name="Lien hypertexte visité" xfId="18644" builtinId="9" hidden="1"/>
    <cellStyle name="Lien hypertexte visité" xfId="18772" builtinId="9" hidden="1"/>
    <cellStyle name="Lien hypertexte visité" xfId="18900" builtinId="9" hidden="1"/>
    <cellStyle name="Lien hypertexte visité" xfId="19028" builtinId="9" hidden="1"/>
    <cellStyle name="Lien hypertexte visité" xfId="19156" builtinId="9" hidden="1"/>
    <cellStyle name="Lien hypertexte visité" xfId="19284" builtinId="9" hidden="1"/>
    <cellStyle name="Lien hypertexte visité" xfId="19412" builtinId="9" hidden="1"/>
    <cellStyle name="Lien hypertexte visité" xfId="19540" builtinId="9" hidden="1"/>
    <cellStyle name="Lien hypertexte visité" xfId="19668" builtinId="9" hidden="1"/>
    <cellStyle name="Lien hypertexte visité" xfId="19796" builtinId="9" hidden="1"/>
    <cellStyle name="Lien hypertexte visité" xfId="19924" builtinId="9" hidden="1"/>
    <cellStyle name="Lien hypertexte visité" xfId="20052" builtinId="9" hidden="1"/>
    <cellStyle name="Lien hypertexte visité" xfId="20180" builtinId="9" hidden="1"/>
    <cellStyle name="Lien hypertexte visité" xfId="20308" builtinId="9" hidden="1"/>
    <cellStyle name="Lien hypertexte visité" xfId="20436" builtinId="9" hidden="1"/>
    <cellStyle name="Lien hypertexte visité" xfId="20564" builtinId="9" hidden="1"/>
    <cellStyle name="Lien hypertexte visité" xfId="20692" builtinId="9" hidden="1"/>
    <cellStyle name="Lien hypertexte visité" xfId="20820" builtinId="9" hidden="1"/>
    <cellStyle name="Lien hypertexte visité" xfId="20948" builtinId="9" hidden="1"/>
    <cellStyle name="Lien hypertexte visité" xfId="21076" builtinId="9" hidden="1"/>
    <cellStyle name="Lien hypertexte visité" xfId="21204" builtinId="9" hidden="1"/>
    <cellStyle name="Lien hypertexte visité" xfId="21332" builtinId="9" hidden="1"/>
    <cellStyle name="Lien hypertexte visité" xfId="21460" builtinId="9" hidden="1"/>
    <cellStyle name="Lien hypertexte visité" xfId="21588" builtinId="9" hidden="1"/>
    <cellStyle name="Lien hypertexte visité" xfId="21716" builtinId="9" hidden="1"/>
    <cellStyle name="Lien hypertexte visité" xfId="21844" builtinId="9" hidden="1"/>
    <cellStyle name="Lien hypertexte visité" xfId="21972" builtinId="9" hidden="1"/>
    <cellStyle name="Lien hypertexte visité" xfId="22100" builtinId="9" hidden="1"/>
    <cellStyle name="Lien hypertexte visité" xfId="22228" builtinId="9" hidden="1"/>
    <cellStyle name="Lien hypertexte visité" xfId="22356" builtinId="9" hidden="1"/>
    <cellStyle name="Lien hypertexte visité" xfId="22484" builtinId="9" hidden="1"/>
    <cellStyle name="Lien hypertexte visité" xfId="22612" builtinId="9" hidden="1"/>
    <cellStyle name="Lien hypertexte visité" xfId="22740" builtinId="9" hidden="1"/>
    <cellStyle name="Lien hypertexte visité" xfId="22868" builtinId="9" hidden="1"/>
    <cellStyle name="Lien hypertexte visité" xfId="22996" builtinId="9" hidden="1"/>
    <cellStyle name="Lien hypertexte visité" xfId="23124" builtinId="9" hidden="1"/>
    <cellStyle name="Lien hypertexte visité" xfId="23252" builtinId="9" hidden="1"/>
    <cellStyle name="Lien hypertexte visité" xfId="23380" builtinId="9" hidden="1"/>
    <cellStyle name="Lien hypertexte visité" xfId="23508" builtinId="9" hidden="1"/>
    <cellStyle name="Lien hypertexte visité" xfId="23636" builtinId="9" hidden="1"/>
    <cellStyle name="Lien hypertexte visité" xfId="23764" builtinId="9" hidden="1"/>
    <cellStyle name="Lien hypertexte visité" xfId="23892" builtinId="9" hidden="1"/>
    <cellStyle name="Lien hypertexte visité" xfId="24020" builtinId="9" hidden="1"/>
    <cellStyle name="Lien hypertexte visité" xfId="24148" builtinId="9" hidden="1"/>
    <cellStyle name="Lien hypertexte visité" xfId="24276" builtinId="9" hidden="1"/>
    <cellStyle name="Lien hypertexte visité" xfId="24404" builtinId="9" hidden="1"/>
    <cellStyle name="Lien hypertexte visité" xfId="24532" builtinId="9" hidden="1"/>
    <cellStyle name="Lien hypertexte visité" xfId="24566" builtinId="9" hidden="1"/>
    <cellStyle name="Lien hypertexte visité" xfId="24438" builtinId="9" hidden="1"/>
    <cellStyle name="Lien hypertexte visité" xfId="24310" builtinId="9" hidden="1"/>
    <cellStyle name="Lien hypertexte visité" xfId="24182" builtinId="9" hidden="1"/>
    <cellStyle name="Lien hypertexte visité" xfId="24054" builtinId="9" hidden="1"/>
    <cellStyle name="Lien hypertexte visité" xfId="23926" builtinId="9" hidden="1"/>
    <cellStyle name="Lien hypertexte visité" xfId="23798" builtinId="9" hidden="1"/>
    <cellStyle name="Lien hypertexte visité" xfId="23670" builtinId="9" hidden="1"/>
    <cellStyle name="Lien hypertexte visité" xfId="23542" builtinId="9" hidden="1"/>
    <cellStyle name="Lien hypertexte visité" xfId="23414" builtinId="9" hidden="1"/>
    <cellStyle name="Lien hypertexte visité" xfId="23286" builtinId="9" hidden="1"/>
    <cellStyle name="Lien hypertexte visité" xfId="23158" builtinId="9" hidden="1"/>
    <cellStyle name="Lien hypertexte visité" xfId="23030" builtinId="9" hidden="1"/>
    <cellStyle name="Lien hypertexte visité" xfId="22902" builtinId="9" hidden="1"/>
    <cellStyle name="Lien hypertexte visité" xfId="22774" builtinId="9" hidden="1"/>
    <cellStyle name="Lien hypertexte visité" xfId="22646" builtinId="9" hidden="1"/>
    <cellStyle name="Lien hypertexte visité" xfId="22518" builtinId="9" hidden="1"/>
    <cellStyle name="Lien hypertexte visité" xfId="22390" builtinId="9" hidden="1"/>
    <cellStyle name="Lien hypertexte visité" xfId="22262" builtinId="9" hidden="1"/>
    <cellStyle name="Lien hypertexte visité" xfId="22134" builtinId="9" hidden="1"/>
    <cellStyle name="Lien hypertexte visité" xfId="22006" builtinId="9" hidden="1"/>
    <cellStyle name="Lien hypertexte visité" xfId="21878" builtinId="9" hidden="1"/>
    <cellStyle name="Lien hypertexte visité" xfId="21750" builtinId="9" hidden="1"/>
    <cellStyle name="Lien hypertexte visité" xfId="21622" builtinId="9" hidden="1"/>
    <cellStyle name="Lien hypertexte visité" xfId="21494" builtinId="9" hidden="1"/>
    <cellStyle name="Lien hypertexte visité" xfId="21366" builtinId="9" hidden="1"/>
    <cellStyle name="Lien hypertexte visité" xfId="21238" builtinId="9" hidden="1"/>
    <cellStyle name="Lien hypertexte visité" xfId="21110" builtinId="9" hidden="1"/>
    <cellStyle name="Lien hypertexte visité" xfId="20982" builtinId="9" hidden="1"/>
    <cellStyle name="Lien hypertexte visité" xfId="20854" builtinId="9" hidden="1"/>
    <cellStyle name="Lien hypertexte visité" xfId="20726" builtinId="9" hidden="1"/>
    <cellStyle name="Lien hypertexte visité" xfId="20598" builtinId="9" hidden="1"/>
    <cellStyle name="Lien hypertexte visité" xfId="20470" builtinId="9" hidden="1"/>
    <cellStyle name="Lien hypertexte visité" xfId="20342" builtinId="9" hidden="1"/>
    <cellStyle name="Lien hypertexte visité" xfId="20214" builtinId="9" hidden="1"/>
    <cellStyle name="Lien hypertexte visité" xfId="20086" builtinId="9" hidden="1"/>
    <cellStyle name="Lien hypertexte visité" xfId="19958" builtinId="9" hidden="1"/>
    <cellStyle name="Lien hypertexte visité" xfId="19830" builtinId="9" hidden="1"/>
    <cellStyle name="Lien hypertexte visité" xfId="19702" builtinId="9" hidden="1"/>
    <cellStyle name="Lien hypertexte visité" xfId="19574" builtinId="9" hidden="1"/>
    <cellStyle name="Lien hypertexte visité" xfId="19446" builtinId="9" hidden="1"/>
    <cellStyle name="Lien hypertexte visité" xfId="19318" builtinId="9" hidden="1"/>
    <cellStyle name="Lien hypertexte visité" xfId="19190" builtinId="9" hidden="1"/>
    <cellStyle name="Lien hypertexte visité" xfId="19062" builtinId="9" hidden="1"/>
    <cellStyle name="Lien hypertexte visité" xfId="18934" builtinId="9" hidden="1"/>
    <cellStyle name="Lien hypertexte visité" xfId="18806" builtinId="9" hidden="1"/>
    <cellStyle name="Lien hypertexte visité" xfId="18678" builtinId="9" hidden="1"/>
    <cellStyle name="Lien hypertexte visité" xfId="18550" builtinId="9" hidden="1"/>
    <cellStyle name="Lien hypertexte visité" xfId="18422" builtinId="9" hidden="1"/>
    <cellStyle name="Lien hypertexte visité" xfId="18310" builtinId="9" hidden="1"/>
    <cellStyle name="Lien hypertexte visité" xfId="18183" builtinId="9" hidden="1"/>
    <cellStyle name="Lien hypertexte visité" xfId="18055" builtinId="9" hidden="1"/>
    <cellStyle name="Lien hypertexte visité" xfId="17927" builtinId="9" hidden="1"/>
    <cellStyle name="Lien hypertexte visité" xfId="17799" builtinId="9" hidden="1"/>
    <cellStyle name="Lien hypertexte visité" xfId="17671" builtinId="9" hidden="1"/>
    <cellStyle name="Lien hypertexte visité" xfId="17543" builtinId="9" hidden="1"/>
    <cellStyle name="Lien hypertexte visité" xfId="17415" builtinId="9" hidden="1"/>
    <cellStyle name="Lien hypertexte visité" xfId="17287" builtinId="9" hidden="1"/>
    <cellStyle name="Lien hypertexte visité" xfId="17159" builtinId="9" hidden="1"/>
    <cellStyle name="Lien hypertexte visité" xfId="17031" builtinId="9" hidden="1"/>
    <cellStyle name="Lien hypertexte visité" xfId="16903" builtinId="9" hidden="1"/>
    <cellStyle name="Lien hypertexte visité" xfId="16775" builtinId="9" hidden="1"/>
    <cellStyle name="Lien hypertexte visité" xfId="16647" builtinId="9" hidden="1"/>
    <cellStyle name="Lien hypertexte visité" xfId="16519" builtinId="9" hidden="1"/>
    <cellStyle name="Lien hypertexte visité" xfId="16391" builtinId="9" hidden="1"/>
    <cellStyle name="Lien hypertexte visité" xfId="16263" builtinId="9" hidden="1"/>
    <cellStyle name="Lien hypertexte visité" xfId="16135" builtinId="9" hidden="1"/>
    <cellStyle name="Lien hypertexte visité" xfId="16007" builtinId="9" hidden="1"/>
    <cellStyle name="Lien hypertexte visité" xfId="15879" builtinId="9" hidden="1"/>
    <cellStyle name="Lien hypertexte visité" xfId="15751" builtinId="9" hidden="1"/>
    <cellStyle name="Lien hypertexte visité" xfId="15623" builtinId="9" hidden="1"/>
    <cellStyle name="Lien hypertexte visité" xfId="15495" builtinId="9" hidden="1"/>
    <cellStyle name="Lien hypertexte visité" xfId="15367" builtinId="9" hidden="1"/>
    <cellStyle name="Lien hypertexte visité" xfId="15239" builtinId="9" hidden="1"/>
    <cellStyle name="Lien hypertexte visité" xfId="15111" builtinId="9" hidden="1"/>
    <cellStyle name="Lien hypertexte visité" xfId="14983" builtinId="9" hidden="1"/>
    <cellStyle name="Lien hypertexte visité" xfId="14855" builtinId="9" hidden="1"/>
    <cellStyle name="Lien hypertexte visité" xfId="14727" builtinId="9" hidden="1"/>
    <cellStyle name="Lien hypertexte visité" xfId="14599" builtinId="9" hidden="1"/>
    <cellStyle name="Lien hypertexte visité" xfId="14493" builtinId="9" hidden="1"/>
    <cellStyle name="Lien hypertexte visité" xfId="14429" builtinId="9" hidden="1"/>
    <cellStyle name="Lien hypertexte visité" xfId="14365" builtinId="9" hidden="1"/>
    <cellStyle name="Lien hypertexte visité" xfId="14301" builtinId="9" hidden="1"/>
    <cellStyle name="Lien hypertexte visité" xfId="14237" builtinId="9" hidden="1"/>
    <cellStyle name="Lien hypertexte visité" xfId="14173" builtinId="9" hidden="1"/>
    <cellStyle name="Lien hypertexte visité" xfId="14109" builtinId="9" hidden="1"/>
    <cellStyle name="Lien hypertexte visité" xfId="14045" builtinId="9" hidden="1"/>
    <cellStyle name="Lien hypertexte visité" xfId="13981" builtinId="9" hidden="1"/>
    <cellStyle name="Lien hypertexte visité" xfId="13917" builtinId="9" hidden="1"/>
    <cellStyle name="Lien hypertexte visité" xfId="13853" builtinId="9" hidden="1"/>
    <cellStyle name="Lien hypertexte visité" xfId="13789" builtinId="9" hidden="1"/>
    <cellStyle name="Lien hypertexte visité" xfId="13725" builtinId="9" hidden="1"/>
    <cellStyle name="Lien hypertexte visité" xfId="13661" builtinId="9" hidden="1"/>
    <cellStyle name="Lien hypertexte visité" xfId="13597" builtinId="9" hidden="1"/>
    <cellStyle name="Lien hypertexte visité" xfId="13533" builtinId="9" hidden="1"/>
    <cellStyle name="Lien hypertexte visité" xfId="13469" builtinId="9" hidden="1"/>
    <cellStyle name="Lien hypertexte visité" xfId="13405" builtinId="9" hidden="1"/>
    <cellStyle name="Lien hypertexte visité" xfId="13341" builtinId="9" hidden="1"/>
    <cellStyle name="Lien hypertexte visité" xfId="13277" builtinId="9" hidden="1"/>
    <cellStyle name="Lien hypertexte visité" xfId="13213" builtinId="9" hidden="1"/>
    <cellStyle name="Lien hypertexte visité" xfId="13149" builtinId="9" hidden="1"/>
    <cellStyle name="Lien hypertexte visité" xfId="13085" builtinId="9" hidden="1"/>
    <cellStyle name="Lien hypertexte visité" xfId="13021" builtinId="9" hidden="1"/>
    <cellStyle name="Lien hypertexte visité" xfId="12957" builtinId="9" hidden="1"/>
    <cellStyle name="Lien hypertexte visité" xfId="12893" builtinId="9" hidden="1"/>
    <cellStyle name="Lien hypertexte visité" xfId="12829" builtinId="9" hidden="1"/>
    <cellStyle name="Lien hypertexte visité" xfId="12765" builtinId="9" hidden="1"/>
    <cellStyle name="Lien hypertexte visité" xfId="12701" builtinId="9" hidden="1"/>
    <cellStyle name="Lien hypertexte visité" xfId="12637" builtinId="9" hidden="1"/>
    <cellStyle name="Lien hypertexte visité" xfId="12573" builtinId="9" hidden="1"/>
    <cellStyle name="Lien hypertexte visité" xfId="12509" builtinId="9" hidden="1"/>
    <cellStyle name="Lien hypertexte visité" xfId="12445" builtinId="9" hidden="1"/>
    <cellStyle name="Lien hypertexte visité" xfId="12381" builtinId="9" hidden="1"/>
    <cellStyle name="Lien hypertexte visité" xfId="12317" builtinId="9" hidden="1"/>
    <cellStyle name="Lien hypertexte visité" xfId="12253" builtinId="9" hidden="1"/>
    <cellStyle name="Lien hypertexte visité" xfId="12189" builtinId="9" hidden="1"/>
    <cellStyle name="Lien hypertexte visité" xfId="12125" builtinId="9" hidden="1"/>
    <cellStyle name="Lien hypertexte visité" xfId="12061" builtinId="9" hidden="1"/>
    <cellStyle name="Lien hypertexte visité" xfId="11997" builtinId="9" hidden="1"/>
    <cellStyle name="Lien hypertexte visité" xfId="11933" builtinId="9" hidden="1"/>
    <cellStyle name="Lien hypertexte visité" xfId="11869" builtinId="9" hidden="1"/>
    <cellStyle name="Lien hypertexte visité" xfId="11805" builtinId="9" hidden="1"/>
    <cellStyle name="Lien hypertexte visité" xfId="11741" builtinId="9" hidden="1"/>
    <cellStyle name="Lien hypertexte visité" xfId="11677" builtinId="9" hidden="1"/>
    <cellStyle name="Lien hypertexte visité" xfId="11613" builtinId="9" hidden="1"/>
    <cellStyle name="Lien hypertexte visité" xfId="11549" builtinId="9" hidden="1"/>
    <cellStyle name="Lien hypertexte visité" xfId="11485" builtinId="9" hidden="1"/>
    <cellStyle name="Lien hypertexte visité" xfId="11421" builtinId="9" hidden="1"/>
    <cellStyle name="Lien hypertexte visité" xfId="11357" builtinId="9" hidden="1"/>
    <cellStyle name="Lien hypertexte visité" xfId="11293" builtinId="9" hidden="1"/>
    <cellStyle name="Lien hypertexte visité" xfId="11229" builtinId="9" hidden="1"/>
    <cellStyle name="Lien hypertexte visité" xfId="11165" builtinId="9" hidden="1"/>
    <cellStyle name="Lien hypertexte visité" xfId="11101" builtinId="9" hidden="1"/>
    <cellStyle name="Lien hypertexte visité" xfId="11037" builtinId="9" hidden="1"/>
    <cellStyle name="Lien hypertexte visité" xfId="10973" builtinId="9" hidden="1"/>
    <cellStyle name="Lien hypertexte visité" xfId="10909" builtinId="9" hidden="1"/>
    <cellStyle name="Lien hypertexte visité" xfId="10845" builtinId="9" hidden="1"/>
    <cellStyle name="Lien hypertexte visité" xfId="10781" builtinId="9" hidden="1"/>
    <cellStyle name="Lien hypertexte visité" xfId="10717" builtinId="9" hidden="1"/>
    <cellStyle name="Lien hypertexte visité" xfId="10653" builtinId="9" hidden="1"/>
    <cellStyle name="Lien hypertexte visité" xfId="10589" builtinId="9" hidden="1"/>
    <cellStyle name="Lien hypertexte visité" xfId="10525" builtinId="9" hidden="1"/>
    <cellStyle name="Lien hypertexte visité" xfId="10461" builtinId="9" hidden="1"/>
    <cellStyle name="Lien hypertexte visité" xfId="10397" builtinId="9" hidden="1"/>
    <cellStyle name="Lien hypertexte visité" xfId="10333" builtinId="9" hidden="1"/>
    <cellStyle name="Lien hypertexte visité" xfId="10269" builtinId="9" hidden="1"/>
    <cellStyle name="Lien hypertexte visité" xfId="10205" builtinId="9" hidden="1"/>
    <cellStyle name="Lien hypertexte visité" xfId="10141" builtinId="9" hidden="1"/>
    <cellStyle name="Lien hypertexte visité" xfId="10077" builtinId="9" hidden="1"/>
    <cellStyle name="Lien hypertexte visité" xfId="10013" builtinId="9" hidden="1"/>
    <cellStyle name="Lien hypertexte visité" xfId="9949" builtinId="9" hidden="1"/>
    <cellStyle name="Lien hypertexte visité" xfId="9885" builtinId="9" hidden="1"/>
    <cellStyle name="Lien hypertexte visité" xfId="9821" builtinId="9" hidden="1"/>
    <cellStyle name="Lien hypertexte visité" xfId="9757" builtinId="9" hidden="1"/>
    <cellStyle name="Lien hypertexte visité" xfId="9693" builtinId="9" hidden="1"/>
    <cellStyle name="Lien hypertexte visité" xfId="9629" builtinId="9" hidden="1"/>
    <cellStyle name="Lien hypertexte visité" xfId="9565" builtinId="9" hidden="1"/>
    <cellStyle name="Lien hypertexte visité" xfId="9501" builtinId="9" hidden="1"/>
    <cellStyle name="Lien hypertexte visité" xfId="9437" builtinId="9" hidden="1"/>
    <cellStyle name="Lien hypertexte visité" xfId="9373" builtinId="9" hidden="1"/>
    <cellStyle name="Lien hypertexte visité" xfId="9309" builtinId="9" hidden="1"/>
    <cellStyle name="Lien hypertexte visité" xfId="9245" builtinId="9" hidden="1"/>
    <cellStyle name="Lien hypertexte visité" xfId="9181" builtinId="9" hidden="1"/>
    <cellStyle name="Lien hypertexte visité" xfId="9117" builtinId="9" hidden="1"/>
    <cellStyle name="Lien hypertexte visité" xfId="9053" builtinId="9" hidden="1"/>
    <cellStyle name="Lien hypertexte visité" xfId="8989" builtinId="9" hidden="1"/>
    <cellStyle name="Lien hypertexte visité" xfId="8925" builtinId="9" hidden="1"/>
    <cellStyle name="Lien hypertexte visité" xfId="8861" builtinId="9" hidden="1"/>
    <cellStyle name="Lien hypertexte visité" xfId="8797" builtinId="9" hidden="1"/>
    <cellStyle name="Lien hypertexte visité" xfId="8733" builtinId="9" hidden="1"/>
    <cellStyle name="Lien hypertexte visité" xfId="8669" builtinId="9" hidden="1"/>
    <cellStyle name="Lien hypertexte visité" xfId="8605" builtinId="9" hidden="1"/>
    <cellStyle name="Lien hypertexte visité" xfId="8541" builtinId="9" hidden="1"/>
    <cellStyle name="Lien hypertexte visité" xfId="8477" builtinId="9" hidden="1"/>
    <cellStyle name="Lien hypertexte visité" xfId="8413" builtinId="9" hidden="1"/>
    <cellStyle name="Lien hypertexte visité" xfId="8349" builtinId="9" hidden="1"/>
    <cellStyle name="Lien hypertexte visité" xfId="8285" builtinId="9" hidden="1"/>
    <cellStyle name="Lien hypertexte visité" xfId="8221" builtinId="9" hidden="1"/>
    <cellStyle name="Lien hypertexte visité" xfId="8157" builtinId="9" hidden="1"/>
    <cellStyle name="Lien hypertexte visité" xfId="8093" builtinId="9" hidden="1"/>
    <cellStyle name="Lien hypertexte visité" xfId="8029" builtinId="9" hidden="1"/>
    <cellStyle name="Lien hypertexte visité" xfId="7965" builtinId="9" hidden="1"/>
    <cellStyle name="Lien hypertexte visité" xfId="7901" builtinId="9" hidden="1"/>
    <cellStyle name="Lien hypertexte visité" xfId="7837" builtinId="9" hidden="1"/>
    <cellStyle name="Lien hypertexte visité" xfId="7772" builtinId="9" hidden="1"/>
    <cellStyle name="Lien hypertexte visité" xfId="7708" builtinId="9" hidden="1"/>
    <cellStyle name="Lien hypertexte visité" xfId="7644" builtinId="9" hidden="1"/>
    <cellStyle name="Lien hypertexte visité" xfId="7580" builtinId="9" hidden="1"/>
    <cellStyle name="Lien hypertexte visité" xfId="7516" builtinId="9" hidden="1"/>
    <cellStyle name="Lien hypertexte visité" xfId="7452" builtinId="9" hidden="1"/>
    <cellStyle name="Lien hypertexte visité" xfId="7388" builtinId="9" hidden="1"/>
    <cellStyle name="Lien hypertexte visité" xfId="7324" builtinId="9" hidden="1"/>
    <cellStyle name="Lien hypertexte visité" xfId="7260" builtinId="9" hidden="1"/>
    <cellStyle name="Lien hypertexte visité" xfId="7196" builtinId="9" hidden="1"/>
    <cellStyle name="Lien hypertexte visité" xfId="7132" builtinId="9" hidden="1"/>
    <cellStyle name="Lien hypertexte visité" xfId="7068" builtinId="9" hidden="1"/>
    <cellStyle name="Lien hypertexte visité" xfId="7004" builtinId="9" hidden="1"/>
    <cellStyle name="Lien hypertexte visité" xfId="6940" builtinId="9" hidden="1"/>
    <cellStyle name="Lien hypertexte visité" xfId="6876" builtinId="9" hidden="1"/>
    <cellStyle name="Lien hypertexte visité" xfId="6812" builtinId="9" hidden="1"/>
    <cellStyle name="Lien hypertexte visité" xfId="6748" builtinId="9" hidden="1"/>
    <cellStyle name="Lien hypertexte visité" xfId="6684" builtinId="9" hidden="1"/>
    <cellStyle name="Lien hypertexte visité" xfId="6620" builtinId="9" hidden="1"/>
    <cellStyle name="Lien hypertexte visité" xfId="6556" builtinId="9" hidden="1"/>
    <cellStyle name="Lien hypertexte visité" xfId="6492" builtinId="9" hidden="1"/>
    <cellStyle name="Lien hypertexte visité" xfId="6428" builtinId="9" hidden="1"/>
    <cellStyle name="Lien hypertexte visité" xfId="6364" builtinId="9" hidden="1"/>
    <cellStyle name="Lien hypertexte visité" xfId="6300" builtinId="9" hidden="1"/>
    <cellStyle name="Lien hypertexte visité" xfId="6236" builtinId="9" hidden="1"/>
    <cellStyle name="Lien hypertexte visité" xfId="6172" builtinId="9" hidden="1"/>
    <cellStyle name="Lien hypertexte visité" xfId="6108" builtinId="9" hidden="1"/>
    <cellStyle name="Lien hypertexte visité" xfId="6044" builtinId="9" hidden="1"/>
    <cellStyle name="Lien hypertexte visité" xfId="5980" builtinId="9" hidden="1"/>
    <cellStyle name="Lien hypertexte visité" xfId="5916" builtinId="9" hidden="1"/>
    <cellStyle name="Lien hypertexte visité" xfId="5852" builtinId="9" hidden="1"/>
    <cellStyle name="Lien hypertexte visité" xfId="5788" builtinId="9" hidden="1"/>
    <cellStyle name="Lien hypertexte visité" xfId="5724" builtinId="9" hidden="1"/>
    <cellStyle name="Lien hypertexte visité" xfId="5660" builtinId="9" hidden="1"/>
    <cellStyle name="Lien hypertexte visité" xfId="5596" builtinId="9" hidden="1"/>
    <cellStyle name="Lien hypertexte visité" xfId="5532" builtinId="9" hidden="1"/>
    <cellStyle name="Lien hypertexte visité" xfId="5468" builtinId="9" hidden="1"/>
    <cellStyle name="Lien hypertexte visité" xfId="5404" builtinId="9" hidden="1"/>
    <cellStyle name="Lien hypertexte visité" xfId="5340" builtinId="9" hidden="1"/>
    <cellStyle name="Lien hypertexte visité" xfId="5276" builtinId="9" hidden="1"/>
    <cellStyle name="Lien hypertexte visité" xfId="5212" builtinId="9" hidden="1"/>
    <cellStyle name="Lien hypertexte visité" xfId="5148" builtinId="9" hidden="1"/>
    <cellStyle name="Lien hypertexte visité" xfId="5084" builtinId="9" hidden="1"/>
    <cellStyle name="Lien hypertexte visité" xfId="5020" builtinId="9" hidden="1"/>
    <cellStyle name="Lien hypertexte visité" xfId="4956" builtinId="9" hidden="1"/>
    <cellStyle name="Lien hypertexte visité" xfId="4892" builtinId="9" hidden="1"/>
    <cellStyle name="Lien hypertexte visité" xfId="4828" builtinId="9" hidden="1"/>
    <cellStyle name="Lien hypertexte visité" xfId="4764" builtinId="9" hidden="1"/>
    <cellStyle name="Lien hypertexte visité" xfId="4700" builtinId="9" hidden="1"/>
    <cellStyle name="Lien hypertexte visité" xfId="4636" builtinId="9" hidden="1"/>
    <cellStyle name="Lien hypertexte visité" xfId="4572" builtinId="9" hidden="1"/>
    <cellStyle name="Lien hypertexte visité" xfId="4508" builtinId="9" hidden="1"/>
    <cellStyle name="Lien hypertexte visité" xfId="4444" builtinId="9" hidden="1"/>
    <cellStyle name="Lien hypertexte visité" xfId="4380" builtinId="9" hidden="1"/>
    <cellStyle name="Lien hypertexte visité" xfId="4316" builtinId="9" hidden="1"/>
    <cellStyle name="Lien hypertexte visité" xfId="4252" builtinId="9" hidden="1"/>
    <cellStyle name="Lien hypertexte visité" xfId="4188" builtinId="9" hidden="1"/>
    <cellStyle name="Lien hypertexte visité" xfId="4124" builtinId="9" hidden="1"/>
    <cellStyle name="Lien hypertexte visité" xfId="4060" builtinId="9" hidden="1"/>
    <cellStyle name="Lien hypertexte visité" xfId="3996" builtinId="9" hidden="1"/>
    <cellStyle name="Lien hypertexte visité" xfId="3932" builtinId="9" hidden="1"/>
    <cellStyle name="Lien hypertexte visité" xfId="3871" builtinId="9" hidden="1"/>
    <cellStyle name="Lien hypertexte visité" xfId="3807" builtinId="9" hidden="1"/>
    <cellStyle name="Lien hypertexte visité" xfId="3743" builtinId="9" hidden="1"/>
    <cellStyle name="Lien hypertexte visité" xfId="3678" builtinId="9" hidden="1"/>
    <cellStyle name="Lien hypertexte visité" xfId="3607" builtinId="9" hidden="1"/>
    <cellStyle name="Lien hypertexte visité" xfId="3542" builtinId="9" hidden="1"/>
    <cellStyle name="Lien hypertexte visité" xfId="3478" builtinId="9" hidden="1"/>
    <cellStyle name="Lien hypertexte visité" xfId="3414" builtinId="9" hidden="1"/>
    <cellStyle name="Lien hypertexte visité" xfId="3350" builtinId="9" hidden="1"/>
    <cellStyle name="Lien hypertexte visité" xfId="3286" builtinId="9" hidden="1"/>
    <cellStyle name="Lien hypertexte visité" xfId="3222" builtinId="9" hidden="1"/>
    <cellStyle name="Lien hypertexte visité" xfId="3158" builtinId="9" hidden="1"/>
    <cellStyle name="Lien hypertexte visité" xfId="3094" builtinId="9" hidden="1"/>
    <cellStyle name="Lien hypertexte visité" xfId="3030" builtinId="9" hidden="1"/>
    <cellStyle name="Lien hypertexte visité" xfId="2966" builtinId="9" hidden="1"/>
    <cellStyle name="Lien hypertexte visité" xfId="2902" builtinId="9" hidden="1"/>
    <cellStyle name="Lien hypertexte visité" xfId="2838" builtinId="9" hidden="1"/>
    <cellStyle name="Lien hypertexte visité" xfId="2774" builtinId="9" hidden="1"/>
    <cellStyle name="Lien hypertexte visité" xfId="2710" builtinId="9" hidden="1"/>
    <cellStyle name="Lien hypertexte visité" xfId="2646" builtinId="9" hidden="1"/>
    <cellStyle name="Lien hypertexte visité" xfId="2582" builtinId="9" hidden="1"/>
    <cellStyle name="Lien hypertexte visité" xfId="2518" builtinId="9" hidden="1"/>
    <cellStyle name="Lien hypertexte visité" xfId="2454" builtinId="9" hidden="1"/>
    <cellStyle name="Lien hypertexte visité" xfId="2390" builtinId="9" hidden="1"/>
    <cellStyle name="Lien hypertexte visité" xfId="2326" builtinId="9" hidden="1"/>
    <cellStyle name="Lien hypertexte visité" xfId="2262" builtinId="9" hidden="1"/>
    <cellStyle name="Lien hypertexte visité" xfId="2198" builtinId="9" hidden="1"/>
    <cellStyle name="Lien hypertexte visité" xfId="2134" builtinId="9" hidden="1"/>
    <cellStyle name="Lien hypertexte visité" xfId="2070" builtinId="9" hidden="1"/>
    <cellStyle name="Lien hypertexte visité" xfId="2006" builtinId="9" hidden="1"/>
    <cellStyle name="Lien hypertexte visité" xfId="1942" builtinId="9" hidden="1"/>
    <cellStyle name="Lien hypertexte visité" xfId="1878" builtinId="9" hidden="1"/>
    <cellStyle name="Lien hypertexte visité" xfId="1814" builtinId="9" hidden="1"/>
    <cellStyle name="Lien hypertexte visité" xfId="1750" builtinId="9" hidden="1"/>
    <cellStyle name="Lien hypertexte visité" xfId="1686" builtinId="9" hidden="1"/>
    <cellStyle name="Lien hypertexte visité" xfId="1622" builtinId="9" hidden="1"/>
    <cellStyle name="Lien hypertexte visité" xfId="1558" builtinId="9" hidden="1"/>
    <cellStyle name="Lien hypertexte visité" xfId="1493" builtinId="9" hidden="1"/>
    <cellStyle name="Lien hypertexte visité" xfId="1429" builtinId="9" hidden="1"/>
    <cellStyle name="Lien hypertexte visité" xfId="1365" builtinId="9" hidden="1"/>
    <cellStyle name="Lien hypertexte visité" xfId="1301" builtinId="9" hidden="1"/>
    <cellStyle name="Lien hypertexte visité" xfId="1237" builtinId="9" hidden="1"/>
    <cellStyle name="Lien hypertexte visité" xfId="1173" builtinId="9" hidden="1"/>
    <cellStyle name="Lien hypertexte visité" xfId="1055" builtinId="9" hidden="1"/>
    <cellStyle name="Lien hypertexte visité" xfId="927" builtinId="9" hidden="1"/>
    <cellStyle name="Lien hypertexte visité" xfId="799" builtinId="9" hidden="1"/>
    <cellStyle name="Lien hypertexte visité" xfId="671" builtinId="9" hidden="1"/>
    <cellStyle name="Lien hypertexte visité" xfId="543" builtinId="9" hidden="1"/>
    <cellStyle name="Lien hypertexte visité" xfId="415" builtinId="9" hidden="1"/>
    <cellStyle name="Lien hypertexte visité" xfId="287" builtinId="9" hidden="1"/>
    <cellStyle name="Lien hypertexte visité" xfId="159" builtinId="9" hidden="1"/>
    <cellStyle name="Lien hypertexte visité" xfId="79" builtinId="9" hidden="1"/>
    <cellStyle name="Lien hypertexte visité" xfId="101" builtinId="9" hidden="1"/>
    <cellStyle name="Lien hypertexte visité" xfId="195" builtinId="9" hidden="1"/>
    <cellStyle name="Lien hypertexte visité" xfId="323" builtinId="9" hidden="1"/>
    <cellStyle name="Lien hypertexte visité" xfId="451" builtinId="9" hidden="1"/>
    <cellStyle name="Lien hypertexte visité" xfId="579" builtinId="9" hidden="1"/>
    <cellStyle name="Lien hypertexte visité" xfId="707" builtinId="9" hidden="1"/>
    <cellStyle name="Lien hypertexte visité" xfId="835" builtinId="9" hidden="1"/>
    <cellStyle name="Lien hypertexte visité" xfId="963" builtinId="9" hidden="1"/>
    <cellStyle name="Lien hypertexte visité" xfId="1091" builtinId="9" hidden="1"/>
    <cellStyle name="Lien hypertexte visité" xfId="1191" builtinId="9" hidden="1"/>
    <cellStyle name="Lien hypertexte visité" xfId="1255" builtinId="9" hidden="1"/>
    <cellStyle name="Lien hypertexte visité" xfId="1319" builtinId="9" hidden="1"/>
    <cellStyle name="Lien hypertexte visité" xfId="1383" builtinId="9" hidden="1"/>
    <cellStyle name="Lien hypertexte visité" xfId="1447" builtinId="9" hidden="1"/>
    <cellStyle name="Lien hypertexte visité" xfId="1512" builtinId="9" hidden="1"/>
    <cellStyle name="Lien hypertexte visité" xfId="1576" builtinId="9" hidden="1"/>
    <cellStyle name="Lien hypertexte visité" xfId="1640" builtinId="9" hidden="1"/>
    <cellStyle name="Lien hypertexte visité" xfId="1704" builtinId="9" hidden="1"/>
    <cellStyle name="Lien hypertexte visité" xfId="1768" builtinId="9" hidden="1"/>
    <cellStyle name="Lien hypertexte visité" xfId="1832" builtinId="9" hidden="1"/>
    <cellStyle name="Lien hypertexte visité" xfId="1896" builtinId="9" hidden="1"/>
    <cellStyle name="Lien hypertexte visité" xfId="1960" builtinId="9" hidden="1"/>
    <cellStyle name="Lien hypertexte visité" xfId="2024" builtinId="9" hidden="1"/>
    <cellStyle name="Lien hypertexte visité" xfId="2088" builtinId="9" hidden="1"/>
    <cellStyle name="Lien hypertexte visité" xfId="2152" builtinId="9" hidden="1"/>
    <cellStyle name="Lien hypertexte visité" xfId="2216" builtinId="9" hidden="1"/>
    <cellStyle name="Lien hypertexte visité" xfId="2280" builtinId="9" hidden="1"/>
    <cellStyle name="Lien hypertexte visité" xfId="2344" builtinId="9" hidden="1"/>
    <cellStyle name="Lien hypertexte visité" xfId="2408" builtinId="9" hidden="1"/>
    <cellStyle name="Lien hypertexte visité" xfId="2472" builtinId="9" hidden="1"/>
    <cellStyle name="Lien hypertexte visité" xfId="2536" builtinId="9" hidden="1"/>
    <cellStyle name="Lien hypertexte visité" xfId="2600" builtinId="9" hidden="1"/>
    <cellStyle name="Lien hypertexte visité" xfId="2664" builtinId="9" hidden="1"/>
    <cellStyle name="Lien hypertexte visité" xfId="2728" builtinId="9" hidden="1"/>
    <cellStyle name="Lien hypertexte visité" xfId="2792" builtinId="9" hidden="1"/>
    <cellStyle name="Lien hypertexte visité" xfId="2856" builtinId="9" hidden="1"/>
    <cellStyle name="Lien hypertexte visité" xfId="2920" builtinId="9" hidden="1"/>
    <cellStyle name="Lien hypertexte visité" xfId="2984" builtinId="9" hidden="1"/>
    <cellStyle name="Lien hypertexte visité" xfId="3048" builtinId="9" hidden="1"/>
    <cellStyle name="Lien hypertexte visité" xfId="3112" builtinId="9" hidden="1"/>
    <cellStyle name="Lien hypertexte visité" xfId="3176" builtinId="9" hidden="1"/>
    <cellStyle name="Lien hypertexte visité" xfId="3240" builtinId="9" hidden="1"/>
    <cellStyle name="Lien hypertexte visité" xfId="3304" builtinId="9" hidden="1"/>
    <cellStyle name="Lien hypertexte visité" xfId="3368" builtinId="9" hidden="1"/>
    <cellStyle name="Lien hypertexte visité" xfId="3432" builtinId="9" hidden="1"/>
    <cellStyle name="Lien hypertexte visité" xfId="3496" builtinId="9" hidden="1"/>
    <cellStyle name="Lien hypertexte visité" xfId="3561" builtinId="9" hidden="1"/>
    <cellStyle name="Lien hypertexte visité" xfId="3625" builtinId="9" hidden="1"/>
    <cellStyle name="Lien hypertexte visité" xfId="3697" builtinId="9" hidden="1"/>
    <cellStyle name="Lien hypertexte visité" xfId="3761" builtinId="9" hidden="1"/>
    <cellStyle name="Lien hypertexte visité" xfId="3825" builtinId="9" hidden="1"/>
    <cellStyle name="Lien hypertexte visité" xfId="3890" builtinId="9" hidden="1"/>
    <cellStyle name="Lien hypertexte visité" xfId="3950" builtinId="9" hidden="1"/>
    <cellStyle name="Lien hypertexte visité" xfId="4014" builtinId="9" hidden="1"/>
    <cellStyle name="Lien hypertexte visité" xfId="4078" builtinId="9" hidden="1"/>
    <cellStyle name="Lien hypertexte visité" xfId="4142" builtinId="9" hidden="1"/>
    <cellStyle name="Lien hypertexte visité" xfId="4206" builtinId="9" hidden="1"/>
    <cellStyle name="Lien hypertexte visité" xfId="4270" builtinId="9" hidden="1"/>
    <cellStyle name="Lien hypertexte visité" xfId="4334" builtinId="9" hidden="1"/>
    <cellStyle name="Lien hypertexte visité" xfId="4398" builtinId="9" hidden="1"/>
    <cellStyle name="Lien hypertexte visité" xfId="4462" builtinId="9" hidden="1"/>
    <cellStyle name="Lien hypertexte visité" xfId="4526" builtinId="9" hidden="1"/>
    <cellStyle name="Lien hypertexte visité" xfId="4590" builtinId="9" hidden="1"/>
    <cellStyle name="Lien hypertexte visité" xfId="4654" builtinId="9" hidden="1"/>
    <cellStyle name="Lien hypertexte visité" xfId="4718" builtinId="9" hidden="1"/>
    <cellStyle name="Lien hypertexte visité" xfId="4782" builtinId="9" hidden="1"/>
    <cellStyle name="Lien hypertexte visité" xfId="4846" builtinId="9" hidden="1"/>
    <cellStyle name="Lien hypertexte visité" xfId="4910" builtinId="9" hidden="1"/>
    <cellStyle name="Lien hypertexte visité" xfId="4974" builtinId="9" hidden="1"/>
    <cellStyle name="Lien hypertexte visité" xfId="5038" builtinId="9" hidden="1"/>
    <cellStyle name="Lien hypertexte visité" xfId="5102" builtinId="9" hidden="1"/>
    <cellStyle name="Lien hypertexte visité" xfId="5166" builtinId="9" hidden="1"/>
    <cellStyle name="Lien hypertexte visité" xfId="5230" builtinId="9" hidden="1"/>
    <cellStyle name="Lien hypertexte visité" xfId="5294" builtinId="9" hidden="1"/>
    <cellStyle name="Lien hypertexte visité" xfId="5358" builtinId="9" hidden="1"/>
    <cellStyle name="Lien hypertexte visité" xfId="5422" builtinId="9" hidden="1"/>
    <cellStyle name="Lien hypertexte visité" xfId="5486" builtinId="9" hidden="1"/>
    <cellStyle name="Lien hypertexte visité" xfId="5550" builtinId="9" hidden="1"/>
    <cellStyle name="Lien hypertexte visité" xfId="5614" builtinId="9" hidden="1"/>
    <cellStyle name="Lien hypertexte visité" xfId="5678" builtinId="9" hidden="1"/>
    <cellStyle name="Lien hypertexte visité" xfId="5742" builtinId="9" hidden="1"/>
    <cellStyle name="Lien hypertexte visité" xfId="5806" builtinId="9" hidden="1"/>
    <cellStyle name="Lien hypertexte visité" xfId="5870" builtinId="9" hidden="1"/>
    <cellStyle name="Lien hypertexte visité" xfId="5934" builtinId="9" hidden="1"/>
    <cellStyle name="Lien hypertexte visité" xfId="5998" builtinId="9" hidden="1"/>
    <cellStyle name="Lien hypertexte visité" xfId="6062" builtinId="9" hidden="1"/>
    <cellStyle name="Lien hypertexte visité" xfId="6126" builtinId="9" hidden="1"/>
    <cellStyle name="Lien hypertexte visité" xfId="6190" builtinId="9" hidden="1"/>
    <cellStyle name="Lien hypertexte visité" xfId="6254" builtinId="9" hidden="1"/>
    <cellStyle name="Lien hypertexte visité" xfId="6318" builtinId="9" hidden="1"/>
    <cellStyle name="Lien hypertexte visité" xfId="6382" builtinId="9" hidden="1"/>
    <cellStyle name="Lien hypertexte visité" xfId="6446" builtinId="9" hidden="1"/>
    <cellStyle name="Lien hypertexte visité" xfId="6510" builtinId="9" hidden="1"/>
    <cellStyle name="Lien hypertexte visité" xfId="6574" builtinId="9" hidden="1"/>
    <cellStyle name="Lien hypertexte visité" xfId="6638" builtinId="9" hidden="1"/>
    <cellStyle name="Lien hypertexte visité" xfId="6702" builtinId="9" hidden="1"/>
    <cellStyle name="Lien hypertexte visité" xfId="6766" builtinId="9" hidden="1"/>
    <cellStyle name="Lien hypertexte visité" xfId="6830" builtinId="9" hidden="1"/>
    <cellStyle name="Lien hypertexte visité" xfId="6894" builtinId="9" hidden="1"/>
    <cellStyle name="Lien hypertexte visité" xfId="6958" builtinId="9" hidden="1"/>
    <cellStyle name="Lien hypertexte visité" xfId="7022" builtinId="9" hidden="1"/>
    <cellStyle name="Lien hypertexte visité" xfId="7086" builtinId="9" hidden="1"/>
    <cellStyle name="Lien hypertexte visité" xfId="7150" builtinId="9" hidden="1"/>
    <cellStyle name="Lien hypertexte visité" xfId="7214" builtinId="9" hidden="1"/>
    <cellStyle name="Lien hypertexte visité" xfId="7278" builtinId="9" hidden="1"/>
    <cellStyle name="Lien hypertexte visité" xfId="7342" builtinId="9" hidden="1"/>
    <cellStyle name="Lien hypertexte visité" xfId="7406" builtinId="9" hidden="1"/>
    <cellStyle name="Lien hypertexte visité" xfId="7470" builtinId="9" hidden="1"/>
    <cellStyle name="Lien hypertexte visité" xfId="7534" builtinId="9" hidden="1"/>
    <cellStyle name="Lien hypertexte visité" xfId="7598" builtinId="9" hidden="1"/>
    <cellStyle name="Lien hypertexte visité" xfId="7662" builtinId="9" hidden="1"/>
    <cellStyle name="Lien hypertexte visité" xfId="7726" builtinId="9" hidden="1"/>
    <cellStyle name="Lien hypertexte visité" xfId="7790" builtinId="9" hidden="1"/>
    <cellStyle name="Lien hypertexte visité" xfId="7855" builtinId="9" hidden="1"/>
    <cellStyle name="Lien hypertexte visité" xfId="7919" builtinId="9" hidden="1"/>
    <cellStyle name="Lien hypertexte visité" xfId="7983" builtinId="9" hidden="1"/>
    <cellStyle name="Lien hypertexte visité" xfId="8047" builtinId="9" hidden="1"/>
    <cellStyle name="Lien hypertexte visité" xfId="8111" builtinId="9" hidden="1"/>
    <cellStyle name="Lien hypertexte visité" xfId="8175" builtinId="9" hidden="1"/>
    <cellStyle name="Lien hypertexte visité" xfId="8239" builtinId="9" hidden="1"/>
    <cellStyle name="Lien hypertexte visité" xfId="8303" builtinId="9" hidden="1"/>
    <cellStyle name="Lien hypertexte visité" xfId="8367" builtinId="9" hidden="1"/>
    <cellStyle name="Lien hypertexte visité" xfId="8431" builtinId="9" hidden="1"/>
    <cellStyle name="Lien hypertexte visité" xfId="8495" builtinId="9" hidden="1"/>
    <cellStyle name="Lien hypertexte visité" xfId="8559" builtinId="9" hidden="1"/>
    <cellStyle name="Lien hypertexte visité" xfId="8623" builtinId="9" hidden="1"/>
    <cellStyle name="Lien hypertexte visité" xfId="8687" builtinId="9" hidden="1"/>
    <cellStyle name="Lien hypertexte visité" xfId="8751" builtinId="9" hidden="1"/>
    <cellStyle name="Lien hypertexte visité" xfId="8815" builtinId="9" hidden="1"/>
    <cellStyle name="Lien hypertexte visité" xfId="8879" builtinId="9" hidden="1"/>
    <cellStyle name="Lien hypertexte visité" xfId="8943" builtinId="9" hidden="1"/>
    <cellStyle name="Lien hypertexte visité" xfId="9007" builtinId="9" hidden="1"/>
    <cellStyle name="Lien hypertexte visité" xfId="9071" builtinId="9" hidden="1"/>
    <cellStyle name="Lien hypertexte visité" xfId="9135" builtinId="9" hidden="1"/>
    <cellStyle name="Lien hypertexte visité" xfId="9199" builtinId="9" hidden="1"/>
    <cellStyle name="Lien hypertexte visité" xfId="9263" builtinId="9" hidden="1"/>
    <cellStyle name="Lien hypertexte visité" xfId="9327" builtinId="9" hidden="1"/>
    <cellStyle name="Lien hypertexte visité" xfId="9391" builtinId="9" hidden="1"/>
    <cellStyle name="Lien hypertexte visité" xfId="9455" builtinId="9" hidden="1"/>
    <cellStyle name="Lien hypertexte visité" xfId="9519" builtinId="9" hidden="1"/>
    <cellStyle name="Lien hypertexte visité" xfId="9583" builtinId="9" hidden="1"/>
    <cellStyle name="Lien hypertexte visité" xfId="9647" builtinId="9" hidden="1"/>
    <cellStyle name="Lien hypertexte visité" xfId="9711" builtinId="9" hidden="1"/>
    <cellStyle name="Lien hypertexte visité" xfId="9775" builtinId="9" hidden="1"/>
    <cellStyle name="Lien hypertexte visité" xfId="9839" builtinId="9" hidden="1"/>
    <cellStyle name="Lien hypertexte visité" xfId="9903" builtinId="9" hidden="1"/>
    <cellStyle name="Lien hypertexte visité" xfId="9967" builtinId="9" hidden="1"/>
    <cellStyle name="Lien hypertexte visité" xfId="10031" builtinId="9" hidden="1"/>
    <cellStyle name="Lien hypertexte visité" xfId="10095" builtinId="9" hidden="1"/>
    <cellStyle name="Lien hypertexte visité" xfId="10159" builtinId="9" hidden="1"/>
    <cellStyle name="Lien hypertexte visité" xfId="10223" builtinId="9" hidden="1"/>
    <cellStyle name="Lien hypertexte visité" xfId="10287" builtinId="9" hidden="1"/>
    <cellStyle name="Lien hypertexte visité" xfId="10351" builtinId="9" hidden="1"/>
    <cellStyle name="Lien hypertexte visité" xfId="10415" builtinId="9" hidden="1"/>
    <cellStyle name="Lien hypertexte visité" xfId="10479" builtinId="9" hidden="1"/>
    <cellStyle name="Lien hypertexte visité" xfId="10543" builtinId="9" hidden="1"/>
    <cellStyle name="Lien hypertexte visité" xfId="10607" builtinId="9" hidden="1"/>
    <cellStyle name="Lien hypertexte visité" xfId="10671" builtinId="9" hidden="1"/>
    <cellStyle name="Lien hypertexte visité" xfId="10735" builtinId="9" hidden="1"/>
    <cellStyle name="Lien hypertexte visité" xfId="10799" builtinId="9" hidden="1"/>
    <cellStyle name="Lien hypertexte visité" xfId="10863" builtinId="9" hidden="1"/>
    <cellStyle name="Lien hypertexte visité" xfId="10927" builtinId="9" hidden="1"/>
    <cellStyle name="Lien hypertexte visité" xfId="10991" builtinId="9" hidden="1"/>
    <cellStyle name="Lien hypertexte visité" xfId="11055" builtinId="9" hidden="1"/>
    <cellStyle name="Lien hypertexte visité" xfId="11119" builtinId="9" hidden="1"/>
    <cellStyle name="Lien hypertexte visité" xfId="11183" builtinId="9" hidden="1"/>
    <cellStyle name="Lien hypertexte visité" xfId="11247" builtinId="9" hidden="1"/>
    <cellStyle name="Lien hypertexte visité" xfId="11311" builtinId="9" hidden="1"/>
    <cellStyle name="Lien hypertexte visité" xfId="11375" builtinId="9" hidden="1"/>
    <cellStyle name="Lien hypertexte visité" xfId="11439" builtinId="9" hidden="1"/>
    <cellStyle name="Lien hypertexte visité" xfId="11503" builtinId="9" hidden="1"/>
    <cellStyle name="Lien hypertexte visité" xfId="11567" builtinId="9" hidden="1"/>
    <cellStyle name="Lien hypertexte visité" xfId="11631" builtinId="9" hidden="1"/>
    <cellStyle name="Lien hypertexte visité" xfId="11695" builtinId="9" hidden="1"/>
    <cellStyle name="Lien hypertexte visité" xfId="11759" builtinId="9" hidden="1"/>
    <cellStyle name="Lien hypertexte visité" xfId="11823" builtinId="9" hidden="1"/>
    <cellStyle name="Lien hypertexte visité" xfId="11887" builtinId="9" hidden="1"/>
    <cellStyle name="Lien hypertexte visité" xfId="11951" builtinId="9" hidden="1"/>
    <cellStyle name="Lien hypertexte visité" xfId="12015" builtinId="9" hidden="1"/>
    <cellStyle name="Lien hypertexte visité" xfId="12079" builtinId="9" hidden="1"/>
    <cellStyle name="Lien hypertexte visité" xfId="12143" builtinId="9" hidden="1"/>
    <cellStyle name="Lien hypertexte visité" xfId="12207" builtinId="9" hidden="1"/>
    <cellStyle name="Lien hypertexte visité" xfId="12271" builtinId="9" hidden="1"/>
    <cellStyle name="Lien hypertexte visité" xfId="12335" builtinId="9" hidden="1"/>
    <cellStyle name="Lien hypertexte visité" xfId="12399" builtinId="9" hidden="1"/>
    <cellStyle name="Lien hypertexte visité" xfId="12463" builtinId="9" hidden="1"/>
    <cellStyle name="Lien hypertexte visité" xfId="12527" builtinId="9" hidden="1"/>
    <cellStyle name="Lien hypertexte visité" xfId="12591" builtinId="9" hidden="1"/>
    <cellStyle name="Lien hypertexte visité" xfId="12655" builtinId="9" hidden="1"/>
    <cellStyle name="Lien hypertexte visité" xfId="12719" builtinId="9" hidden="1"/>
    <cellStyle name="Lien hypertexte visité" xfId="12783" builtinId="9" hidden="1"/>
    <cellStyle name="Lien hypertexte visité" xfId="12847" builtinId="9" hidden="1"/>
    <cellStyle name="Lien hypertexte visité" xfId="12911" builtinId="9" hidden="1"/>
    <cellStyle name="Lien hypertexte visité" xfId="12975" builtinId="9" hidden="1"/>
    <cellStyle name="Lien hypertexte visité" xfId="13039" builtinId="9" hidden="1"/>
    <cellStyle name="Lien hypertexte visité" xfId="13103" builtinId="9" hidden="1"/>
    <cellStyle name="Lien hypertexte visité" xfId="13167" builtinId="9" hidden="1"/>
    <cellStyle name="Lien hypertexte visité" xfId="13231" builtinId="9" hidden="1"/>
    <cellStyle name="Lien hypertexte visité" xfId="13295" builtinId="9" hidden="1"/>
    <cellStyle name="Lien hypertexte visité" xfId="13359" builtinId="9" hidden="1"/>
    <cellStyle name="Lien hypertexte visité" xfId="13423" builtinId="9" hidden="1"/>
    <cellStyle name="Lien hypertexte visité" xfId="13487" builtinId="9" hidden="1"/>
    <cellStyle name="Lien hypertexte visité" xfId="13551" builtinId="9" hidden="1"/>
    <cellStyle name="Lien hypertexte visité" xfId="13615" builtinId="9" hidden="1"/>
    <cellStyle name="Lien hypertexte visité" xfId="13679" builtinId="9" hidden="1"/>
    <cellStyle name="Lien hypertexte visité" xfId="13743" builtinId="9" hidden="1"/>
    <cellStyle name="Lien hypertexte visité" xfId="13807" builtinId="9" hidden="1"/>
    <cellStyle name="Lien hypertexte visité" xfId="13871" builtinId="9" hidden="1"/>
    <cellStyle name="Lien hypertexte visité" xfId="13935" builtinId="9" hidden="1"/>
    <cellStyle name="Lien hypertexte visité" xfId="13999" builtinId="9" hidden="1"/>
    <cellStyle name="Lien hypertexte visité" xfId="14063" builtinId="9" hidden="1"/>
    <cellStyle name="Lien hypertexte visité" xfId="14127" builtinId="9" hidden="1"/>
    <cellStyle name="Lien hypertexte visité" xfId="14191" builtinId="9" hidden="1"/>
    <cellStyle name="Lien hypertexte visité" xfId="14255" builtinId="9" hidden="1"/>
    <cellStyle name="Lien hypertexte visité" xfId="14319" builtinId="9" hidden="1"/>
    <cellStyle name="Lien hypertexte visité" xfId="14383" builtinId="9" hidden="1"/>
    <cellStyle name="Lien hypertexte visité" xfId="14447" builtinId="9" hidden="1"/>
    <cellStyle name="Lien hypertexte visité" xfId="14511" builtinId="9" hidden="1"/>
    <cellStyle name="Lien hypertexte visité" xfId="14635" builtinId="9" hidden="1"/>
    <cellStyle name="Lien hypertexte visité" xfId="14763" builtinId="9" hidden="1"/>
    <cellStyle name="Lien hypertexte visité" xfId="14891" builtinId="9" hidden="1"/>
    <cellStyle name="Lien hypertexte visité" xfId="15019" builtinId="9" hidden="1"/>
    <cellStyle name="Lien hypertexte visité" xfId="15147" builtinId="9" hidden="1"/>
    <cellStyle name="Lien hypertexte visité" xfId="15275" builtinId="9" hidden="1"/>
    <cellStyle name="Lien hypertexte visité" xfId="15403" builtinId="9" hidden="1"/>
    <cellStyle name="Lien hypertexte visité" xfId="15531" builtinId="9" hidden="1"/>
    <cellStyle name="Lien hypertexte visité" xfId="15659" builtinId="9" hidden="1"/>
    <cellStyle name="Lien hypertexte visité" xfId="15787" builtinId="9" hidden="1"/>
    <cellStyle name="Lien hypertexte visité" xfId="15915" builtinId="9" hidden="1"/>
    <cellStyle name="Lien hypertexte visité" xfId="16043" builtinId="9" hidden="1"/>
    <cellStyle name="Lien hypertexte visité" xfId="16171" builtinId="9" hidden="1"/>
    <cellStyle name="Lien hypertexte visité" xfId="16299" builtinId="9" hidden="1"/>
    <cellStyle name="Lien hypertexte visité" xfId="16427" builtinId="9" hidden="1"/>
    <cellStyle name="Lien hypertexte visité" xfId="16555" builtinId="9" hidden="1"/>
    <cellStyle name="Lien hypertexte visité" xfId="16683" builtinId="9" hidden="1"/>
    <cellStyle name="Lien hypertexte visité" xfId="16811" builtinId="9" hidden="1"/>
    <cellStyle name="Lien hypertexte visité" xfId="16939" builtinId="9" hidden="1"/>
    <cellStyle name="Lien hypertexte visité" xfId="17067" builtinId="9" hidden="1"/>
    <cellStyle name="Lien hypertexte visité" xfId="17195" builtinId="9" hidden="1"/>
    <cellStyle name="Lien hypertexte visité" xfId="8222" builtinId="9" hidden="1"/>
    <cellStyle name="Lien hypertexte visité" xfId="8262" builtinId="9" hidden="1"/>
    <cellStyle name="Lien hypertexte visité" xfId="8306" builtinId="9" hidden="1"/>
    <cellStyle name="Lien hypertexte visité" xfId="8350" builtinId="9" hidden="1"/>
    <cellStyle name="Lien hypertexte visité" xfId="8390" builtinId="9" hidden="1"/>
    <cellStyle name="Lien hypertexte visité" xfId="8434" builtinId="9" hidden="1"/>
    <cellStyle name="Lien hypertexte visité" xfId="8478" builtinId="9" hidden="1"/>
    <cellStyle name="Lien hypertexte visité" xfId="8518" builtinId="9" hidden="1"/>
    <cellStyle name="Lien hypertexte visité" xfId="8562" builtinId="9" hidden="1"/>
    <cellStyle name="Lien hypertexte visité" xfId="8606" builtinId="9" hidden="1"/>
    <cellStyle name="Lien hypertexte visité" xfId="8646" builtinId="9" hidden="1"/>
    <cellStyle name="Lien hypertexte visité" xfId="8690" builtinId="9" hidden="1"/>
    <cellStyle name="Lien hypertexte visité" xfId="8734" builtinId="9" hidden="1"/>
    <cellStyle name="Lien hypertexte visité" xfId="8774" builtinId="9" hidden="1"/>
    <cellStyle name="Lien hypertexte visité" xfId="8818" builtinId="9" hidden="1"/>
    <cellStyle name="Lien hypertexte visité" xfId="8862" builtinId="9" hidden="1"/>
    <cellStyle name="Lien hypertexte visité" xfId="8902" builtinId="9" hidden="1"/>
    <cellStyle name="Lien hypertexte visité" xfId="8946" builtinId="9" hidden="1"/>
    <cellStyle name="Lien hypertexte visité" xfId="8990" builtinId="9" hidden="1"/>
    <cellStyle name="Lien hypertexte visité" xfId="9030" builtinId="9" hidden="1"/>
    <cellStyle name="Lien hypertexte visité" xfId="9074" builtinId="9" hidden="1"/>
    <cellStyle name="Lien hypertexte visité" xfId="9118" builtinId="9" hidden="1"/>
    <cellStyle name="Lien hypertexte visité" xfId="9158" builtinId="9" hidden="1"/>
    <cellStyle name="Lien hypertexte visité" xfId="9202" builtinId="9" hidden="1"/>
    <cellStyle name="Lien hypertexte visité" xfId="9246" builtinId="9" hidden="1"/>
    <cellStyle name="Lien hypertexte visité" xfId="9286" builtinId="9" hidden="1"/>
    <cellStyle name="Lien hypertexte visité" xfId="9330" builtinId="9" hidden="1"/>
    <cellStyle name="Lien hypertexte visité" xfId="9374" builtinId="9" hidden="1"/>
    <cellStyle name="Lien hypertexte visité" xfId="9414" builtinId="9" hidden="1"/>
    <cellStyle name="Lien hypertexte visité" xfId="9458" builtinId="9" hidden="1"/>
    <cellStyle name="Lien hypertexte visité" xfId="9502" builtinId="9" hidden="1"/>
    <cellStyle name="Lien hypertexte visité" xfId="9542" builtinId="9" hidden="1"/>
    <cellStyle name="Lien hypertexte visité" xfId="9586" builtinId="9" hidden="1"/>
    <cellStyle name="Lien hypertexte visité" xfId="9630" builtinId="9" hidden="1"/>
    <cellStyle name="Lien hypertexte visité" xfId="9670" builtinId="9" hidden="1"/>
    <cellStyle name="Lien hypertexte visité" xfId="9714" builtinId="9" hidden="1"/>
    <cellStyle name="Lien hypertexte visité" xfId="9758" builtinId="9" hidden="1"/>
    <cellStyle name="Lien hypertexte visité" xfId="9798" builtinId="9" hidden="1"/>
    <cellStyle name="Lien hypertexte visité" xfId="9842" builtinId="9" hidden="1"/>
    <cellStyle name="Lien hypertexte visité" xfId="9886" builtinId="9" hidden="1"/>
    <cellStyle name="Lien hypertexte visité" xfId="9926" builtinId="9" hidden="1"/>
    <cellStyle name="Lien hypertexte visité" xfId="9970" builtinId="9" hidden="1"/>
    <cellStyle name="Lien hypertexte visité" xfId="10014" builtinId="9" hidden="1"/>
    <cellStyle name="Lien hypertexte visité" xfId="10054" builtinId="9" hidden="1"/>
    <cellStyle name="Lien hypertexte visité" xfId="10098" builtinId="9" hidden="1"/>
    <cellStyle name="Lien hypertexte visité" xfId="10142" builtinId="9" hidden="1"/>
    <cellStyle name="Lien hypertexte visité" xfId="10182" builtinId="9" hidden="1"/>
    <cellStyle name="Lien hypertexte visité" xfId="10226" builtinId="9" hidden="1"/>
    <cellStyle name="Lien hypertexte visité" xfId="10270" builtinId="9" hidden="1"/>
    <cellStyle name="Lien hypertexte visité" xfId="10310" builtinId="9" hidden="1"/>
    <cellStyle name="Lien hypertexte visité" xfId="10354" builtinId="9" hidden="1"/>
    <cellStyle name="Lien hypertexte visité" xfId="10398" builtinId="9" hidden="1"/>
    <cellStyle name="Lien hypertexte visité" xfId="10438" builtinId="9" hidden="1"/>
    <cellStyle name="Lien hypertexte visité" xfId="10482" builtinId="9" hidden="1"/>
    <cellStyle name="Lien hypertexte visité" xfId="10526" builtinId="9" hidden="1"/>
    <cellStyle name="Lien hypertexte visité" xfId="10566" builtinId="9" hidden="1"/>
    <cellStyle name="Lien hypertexte visité" xfId="10610" builtinId="9" hidden="1"/>
    <cellStyle name="Lien hypertexte visité" xfId="10654" builtinId="9" hidden="1"/>
    <cellStyle name="Lien hypertexte visité" xfId="10694" builtinId="9" hidden="1"/>
    <cellStyle name="Lien hypertexte visité" xfId="10738" builtinId="9" hidden="1"/>
    <cellStyle name="Lien hypertexte visité" xfId="10782" builtinId="9" hidden="1"/>
    <cellStyle name="Lien hypertexte visité" xfId="10822" builtinId="9" hidden="1"/>
    <cellStyle name="Lien hypertexte visité" xfId="10866" builtinId="9" hidden="1"/>
    <cellStyle name="Lien hypertexte visité" xfId="10910" builtinId="9" hidden="1"/>
    <cellStyle name="Lien hypertexte visité" xfId="10950" builtinId="9" hidden="1"/>
    <cellStyle name="Lien hypertexte visité" xfId="10994" builtinId="9" hidden="1"/>
    <cellStyle name="Lien hypertexte visité" xfId="11038" builtinId="9" hidden="1"/>
    <cellStyle name="Lien hypertexte visité" xfId="11078" builtinId="9" hidden="1"/>
    <cellStyle name="Lien hypertexte visité" xfId="11122" builtinId="9" hidden="1"/>
    <cellStyle name="Lien hypertexte visité" xfId="11166" builtinId="9" hidden="1"/>
    <cellStyle name="Lien hypertexte visité" xfId="11206" builtinId="9" hidden="1"/>
    <cellStyle name="Lien hypertexte visité" xfId="11250" builtinId="9" hidden="1"/>
    <cellStyle name="Lien hypertexte visité" xfId="11294" builtinId="9" hidden="1"/>
    <cellStyle name="Lien hypertexte visité" xfId="11334" builtinId="9" hidden="1"/>
    <cellStyle name="Lien hypertexte visité" xfId="11378" builtinId="9" hidden="1"/>
    <cellStyle name="Lien hypertexte visité" xfId="11422" builtinId="9" hidden="1"/>
    <cellStyle name="Lien hypertexte visité" xfId="11462" builtinId="9" hidden="1"/>
    <cellStyle name="Lien hypertexte visité" xfId="11506" builtinId="9" hidden="1"/>
    <cellStyle name="Lien hypertexte visité" xfId="11550" builtinId="9" hidden="1"/>
    <cellStyle name="Lien hypertexte visité" xfId="11590" builtinId="9" hidden="1"/>
    <cellStyle name="Lien hypertexte visité" xfId="11634" builtinId="9" hidden="1"/>
    <cellStyle name="Lien hypertexte visité" xfId="11678" builtinId="9" hidden="1"/>
    <cellStyle name="Lien hypertexte visité" xfId="11718" builtinId="9" hidden="1"/>
    <cellStyle name="Lien hypertexte visité" xfId="11762" builtinId="9" hidden="1"/>
    <cellStyle name="Lien hypertexte visité" xfId="11806" builtinId="9" hidden="1"/>
    <cellStyle name="Lien hypertexte visité" xfId="11846" builtinId="9" hidden="1"/>
    <cellStyle name="Lien hypertexte visité" xfId="11890" builtinId="9" hidden="1"/>
    <cellStyle name="Lien hypertexte visité" xfId="11934" builtinId="9" hidden="1"/>
    <cellStyle name="Lien hypertexte visité" xfId="11974" builtinId="9" hidden="1"/>
    <cellStyle name="Lien hypertexte visité" xfId="12018" builtinId="9" hidden="1"/>
    <cellStyle name="Lien hypertexte visité" xfId="12062" builtinId="9" hidden="1"/>
    <cellStyle name="Lien hypertexte visité" xfId="12102" builtinId="9" hidden="1"/>
    <cellStyle name="Lien hypertexte visité" xfId="12146" builtinId="9" hidden="1"/>
    <cellStyle name="Lien hypertexte visité" xfId="12190" builtinId="9" hidden="1"/>
    <cellStyle name="Lien hypertexte visité" xfId="12230" builtinId="9" hidden="1"/>
    <cellStyle name="Lien hypertexte visité" xfId="12274" builtinId="9" hidden="1"/>
    <cellStyle name="Lien hypertexte visité" xfId="12318" builtinId="9" hidden="1"/>
    <cellStyle name="Lien hypertexte visité" xfId="12358" builtinId="9" hidden="1"/>
    <cellStyle name="Lien hypertexte visité" xfId="12402" builtinId="9" hidden="1"/>
    <cellStyle name="Lien hypertexte visité" xfId="12446" builtinId="9" hidden="1"/>
    <cellStyle name="Lien hypertexte visité" xfId="12486" builtinId="9" hidden="1"/>
    <cellStyle name="Lien hypertexte visité" xfId="12530" builtinId="9" hidden="1"/>
    <cellStyle name="Lien hypertexte visité" xfId="12574" builtinId="9" hidden="1"/>
    <cellStyle name="Lien hypertexte visité" xfId="12614" builtinId="9" hidden="1"/>
    <cellStyle name="Lien hypertexte visité" xfId="12658" builtinId="9" hidden="1"/>
    <cellStyle name="Lien hypertexte visité" xfId="12702" builtinId="9" hidden="1"/>
    <cellStyle name="Lien hypertexte visité" xfId="12742" builtinId="9" hidden="1"/>
    <cellStyle name="Lien hypertexte visité" xfId="12786" builtinId="9" hidden="1"/>
    <cellStyle name="Lien hypertexte visité" xfId="12830" builtinId="9" hidden="1"/>
    <cellStyle name="Lien hypertexte visité" xfId="12870" builtinId="9" hidden="1"/>
    <cellStyle name="Lien hypertexte visité" xfId="12914" builtinId="9" hidden="1"/>
    <cellStyle name="Lien hypertexte visité" xfId="12958" builtinId="9" hidden="1"/>
    <cellStyle name="Lien hypertexte visité" xfId="12998" builtinId="9" hidden="1"/>
    <cellStyle name="Lien hypertexte visité" xfId="13042" builtinId="9" hidden="1"/>
    <cellStyle name="Lien hypertexte visité" xfId="13086" builtinId="9" hidden="1"/>
    <cellStyle name="Lien hypertexte visité" xfId="13126" builtinId="9" hidden="1"/>
    <cellStyle name="Lien hypertexte visité" xfId="13170" builtinId="9" hidden="1"/>
    <cellStyle name="Lien hypertexte visité" xfId="13214" builtinId="9" hidden="1"/>
    <cellStyle name="Lien hypertexte visité" xfId="13254" builtinId="9" hidden="1"/>
    <cellStyle name="Lien hypertexte visité" xfId="13298" builtinId="9" hidden="1"/>
    <cellStyle name="Lien hypertexte visité" xfId="13342" builtinId="9" hidden="1"/>
    <cellStyle name="Lien hypertexte visité" xfId="13382" builtinId="9" hidden="1"/>
    <cellStyle name="Lien hypertexte visité" xfId="13426" builtinId="9" hidden="1"/>
    <cellStyle name="Lien hypertexte visité" xfId="13470" builtinId="9" hidden="1"/>
    <cellStyle name="Lien hypertexte visité" xfId="13510" builtinId="9" hidden="1"/>
    <cellStyle name="Lien hypertexte visité" xfId="13554" builtinId="9" hidden="1"/>
    <cellStyle name="Lien hypertexte visité" xfId="13598" builtinId="9" hidden="1"/>
    <cellStyle name="Lien hypertexte visité" xfId="13638" builtinId="9" hidden="1"/>
    <cellStyle name="Lien hypertexte visité" xfId="13682" builtinId="9" hidden="1"/>
    <cellStyle name="Lien hypertexte visité" xfId="13726" builtinId="9" hidden="1"/>
    <cellStyle name="Lien hypertexte visité" xfId="13766" builtinId="9" hidden="1"/>
    <cellStyle name="Lien hypertexte visité" xfId="13810" builtinId="9" hidden="1"/>
    <cellStyle name="Lien hypertexte visité" xfId="13854" builtinId="9" hidden="1"/>
    <cellStyle name="Lien hypertexte visité" xfId="13894" builtinId="9" hidden="1"/>
    <cellStyle name="Lien hypertexte visité" xfId="13938" builtinId="9" hidden="1"/>
    <cellStyle name="Lien hypertexte visité" xfId="13982" builtinId="9" hidden="1"/>
    <cellStyle name="Lien hypertexte visité" xfId="14022" builtinId="9" hidden="1"/>
    <cellStyle name="Lien hypertexte visité" xfId="14066" builtinId="9" hidden="1"/>
    <cellStyle name="Lien hypertexte visité" xfId="14110" builtinId="9" hidden="1"/>
    <cellStyle name="Lien hypertexte visité" xfId="14150" builtinId="9" hidden="1"/>
    <cellStyle name="Lien hypertexte visité" xfId="14194" builtinId="9" hidden="1"/>
    <cellStyle name="Lien hypertexte visité" xfId="14238" builtinId="9" hidden="1"/>
    <cellStyle name="Lien hypertexte visité" xfId="14278" builtinId="9" hidden="1"/>
    <cellStyle name="Lien hypertexte visité" xfId="14322" builtinId="9" hidden="1"/>
    <cellStyle name="Lien hypertexte visité" xfId="14366" builtinId="9" hidden="1"/>
    <cellStyle name="Lien hypertexte visité" xfId="14406" builtinId="9" hidden="1"/>
    <cellStyle name="Lien hypertexte visité" xfId="14450" builtinId="9" hidden="1"/>
    <cellStyle name="Lien hypertexte visité" xfId="14494" builtinId="9" hidden="1"/>
    <cellStyle name="Lien hypertexte visité" xfId="14553" builtinId="9" hidden="1"/>
    <cellStyle name="Lien hypertexte visité" xfId="14641" builtinId="9" hidden="1"/>
    <cellStyle name="Lien hypertexte visité" xfId="14729" builtinId="9" hidden="1"/>
    <cellStyle name="Lien hypertexte visité" xfId="14809" builtinId="9" hidden="1"/>
    <cellStyle name="Lien hypertexte visité" xfId="14897" builtinId="9" hidden="1"/>
    <cellStyle name="Lien hypertexte visité" xfId="14985" builtinId="9" hidden="1"/>
    <cellStyle name="Lien hypertexte visité" xfId="15065" builtinId="9" hidden="1"/>
    <cellStyle name="Lien hypertexte visité" xfId="15153" builtinId="9" hidden="1"/>
    <cellStyle name="Lien hypertexte visité" xfId="15241" builtinId="9" hidden="1"/>
    <cellStyle name="Lien hypertexte visité" xfId="15321" builtinId="9" hidden="1"/>
    <cellStyle name="Lien hypertexte visité" xfId="15409" builtinId="9" hidden="1"/>
    <cellStyle name="Lien hypertexte visité" xfId="15497" builtinId="9" hidden="1"/>
    <cellStyle name="Lien hypertexte visité" xfId="15577" builtinId="9" hidden="1"/>
    <cellStyle name="Lien hypertexte visité" xfId="15665" builtinId="9" hidden="1"/>
    <cellStyle name="Lien hypertexte visité" xfId="15753" builtinId="9" hidden="1"/>
    <cellStyle name="Lien hypertexte visité" xfId="15833" builtinId="9" hidden="1"/>
    <cellStyle name="Lien hypertexte visité" xfId="15921" builtinId="9" hidden="1"/>
    <cellStyle name="Lien hypertexte visité" xfId="16009" builtinId="9" hidden="1"/>
    <cellStyle name="Lien hypertexte visité" xfId="16089" builtinId="9" hidden="1"/>
    <cellStyle name="Lien hypertexte visité" xfId="16177" builtinId="9" hidden="1"/>
    <cellStyle name="Lien hypertexte visité" xfId="16265" builtinId="9" hidden="1"/>
    <cellStyle name="Lien hypertexte visité" xfId="16345" builtinId="9" hidden="1"/>
    <cellStyle name="Lien hypertexte visité" xfId="16433" builtinId="9" hidden="1"/>
    <cellStyle name="Lien hypertexte visité" xfId="16521" builtinId="9" hidden="1"/>
    <cellStyle name="Lien hypertexte visité" xfId="16601" builtinId="9" hidden="1"/>
    <cellStyle name="Lien hypertexte visité" xfId="16689" builtinId="9" hidden="1"/>
    <cellStyle name="Lien hypertexte visité" xfId="16777" builtinId="9" hidden="1"/>
    <cellStyle name="Lien hypertexte visité" xfId="16857" builtinId="9" hidden="1"/>
    <cellStyle name="Lien hypertexte visité" xfId="16945" builtinId="9" hidden="1"/>
    <cellStyle name="Lien hypertexte visité" xfId="17033" builtinId="9" hidden="1"/>
    <cellStyle name="Lien hypertexte visité" xfId="17113" builtinId="9" hidden="1"/>
    <cellStyle name="Lien hypertexte visité" xfId="17201" builtinId="9" hidden="1"/>
    <cellStyle name="Lien hypertexte visité" xfId="17289" builtinId="9" hidden="1"/>
    <cellStyle name="Lien hypertexte visité" xfId="17369" builtinId="9" hidden="1"/>
    <cellStyle name="Lien hypertexte visité" xfId="17457" builtinId="9" hidden="1"/>
    <cellStyle name="Lien hypertexte visité" xfId="17545" builtinId="9" hidden="1"/>
    <cellStyle name="Lien hypertexte visité" xfId="17625" builtinId="9" hidden="1"/>
    <cellStyle name="Lien hypertexte visité" xfId="17713" builtinId="9" hidden="1"/>
    <cellStyle name="Lien hypertexte visité" xfId="17801" builtinId="9" hidden="1"/>
    <cellStyle name="Lien hypertexte visité" xfId="17881" builtinId="9" hidden="1"/>
    <cellStyle name="Lien hypertexte visité" xfId="17969" builtinId="9" hidden="1"/>
    <cellStyle name="Lien hypertexte visité" xfId="18057" builtinId="9" hidden="1"/>
    <cellStyle name="Lien hypertexte visité" xfId="18137" builtinId="9" hidden="1"/>
    <cellStyle name="Lien hypertexte visité" xfId="18225" builtinId="9" hidden="1"/>
    <cellStyle name="Lien hypertexte visité" xfId="18311" builtinId="9" hidden="1"/>
    <cellStyle name="Lien hypertexte visité" xfId="18376" builtinId="9" hidden="1"/>
    <cellStyle name="Lien hypertexte visité" xfId="18464" builtinId="9" hidden="1"/>
    <cellStyle name="Lien hypertexte visité" xfId="18552" builtinId="9" hidden="1"/>
    <cellStyle name="Lien hypertexte visité" xfId="18632" builtinId="9" hidden="1"/>
    <cellStyle name="Lien hypertexte visité" xfId="18720" builtinId="9" hidden="1"/>
    <cellStyle name="Lien hypertexte visité" xfId="18808" builtinId="9" hidden="1"/>
    <cellStyle name="Lien hypertexte visité" xfId="18888" builtinId="9" hidden="1"/>
    <cellStyle name="Lien hypertexte visité" xfId="18976" builtinId="9" hidden="1"/>
    <cellStyle name="Lien hypertexte visité" xfId="19064" builtinId="9" hidden="1"/>
    <cellStyle name="Lien hypertexte visité" xfId="19144" builtinId="9" hidden="1"/>
    <cellStyle name="Lien hypertexte visité" xfId="19232" builtinId="9" hidden="1"/>
    <cellStyle name="Lien hypertexte visité" xfId="19320" builtinId="9" hidden="1"/>
    <cellStyle name="Lien hypertexte visité" xfId="19400" builtinId="9" hidden="1"/>
    <cellStyle name="Lien hypertexte visité" xfId="19488" builtinId="9" hidden="1"/>
    <cellStyle name="Lien hypertexte visité" xfId="19576" builtinId="9" hidden="1"/>
    <cellStyle name="Lien hypertexte visité" xfId="19656" builtinId="9" hidden="1"/>
    <cellStyle name="Lien hypertexte visité" xfId="19744" builtinId="9" hidden="1"/>
    <cellStyle name="Lien hypertexte visité" xfId="19832" builtinId="9" hidden="1"/>
    <cellStyle name="Lien hypertexte visité" xfId="19912" builtinId="9" hidden="1"/>
    <cellStyle name="Lien hypertexte visité" xfId="20000" builtinId="9" hidden="1"/>
    <cellStyle name="Lien hypertexte visité" xfId="20088" builtinId="9" hidden="1"/>
    <cellStyle name="Lien hypertexte visité" xfId="20168" builtinId="9" hidden="1"/>
    <cellStyle name="Lien hypertexte visité" xfId="20256" builtinId="9" hidden="1"/>
    <cellStyle name="Lien hypertexte visité" xfId="20344" builtinId="9" hidden="1"/>
    <cellStyle name="Lien hypertexte visité" xfId="20424" builtinId="9" hidden="1"/>
    <cellStyle name="Lien hypertexte visité" xfId="20512" builtinId="9" hidden="1"/>
    <cellStyle name="Lien hypertexte visité" xfId="20600" builtinId="9" hidden="1"/>
    <cellStyle name="Lien hypertexte visité" xfId="20680" builtinId="9" hidden="1"/>
    <cellStyle name="Lien hypertexte visité" xfId="20768" builtinId="9" hidden="1"/>
    <cellStyle name="Lien hypertexte visité" xfId="20856" builtinId="9" hidden="1"/>
    <cellStyle name="Lien hypertexte visité" xfId="20936" builtinId="9" hidden="1"/>
    <cellStyle name="Lien hypertexte visité" xfId="21024" builtinId="9" hidden="1"/>
    <cellStyle name="Lien hypertexte visité" xfId="21112" builtinId="9" hidden="1"/>
    <cellStyle name="Lien hypertexte visité" xfId="21192" builtinId="9" hidden="1"/>
    <cellStyle name="Lien hypertexte visité" xfId="21280" builtinId="9" hidden="1"/>
    <cellStyle name="Lien hypertexte visité" xfId="21368" builtinId="9" hidden="1"/>
    <cellStyle name="Lien hypertexte visité" xfId="21448" builtinId="9" hidden="1"/>
    <cellStyle name="Lien hypertexte visité" xfId="21536" builtinId="9" hidden="1"/>
    <cellStyle name="Lien hypertexte visité" xfId="21624" builtinId="9" hidden="1"/>
    <cellStyle name="Lien hypertexte visité" xfId="21704" builtinId="9" hidden="1"/>
    <cellStyle name="Lien hypertexte visité" xfId="21792" builtinId="9" hidden="1"/>
    <cellStyle name="Lien hypertexte visité" xfId="21880" builtinId="9" hidden="1"/>
    <cellStyle name="Lien hypertexte visité" xfId="21960" builtinId="9" hidden="1"/>
    <cellStyle name="Lien hypertexte visité" xfId="22048" builtinId="9" hidden="1"/>
    <cellStyle name="Lien hypertexte visité" xfId="22136" builtinId="9" hidden="1"/>
    <cellStyle name="Lien hypertexte visité" xfId="22216" builtinId="9" hidden="1"/>
    <cellStyle name="Lien hypertexte visité" xfId="22304" builtinId="9" hidden="1"/>
    <cellStyle name="Lien hypertexte visité" xfId="22392" builtinId="9" hidden="1"/>
    <cellStyle name="Lien hypertexte visité" xfId="22472" builtinId="9" hidden="1"/>
    <cellStyle name="Lien hypertexte visité" xfId="22560" builtinId="9" hidden="1"/>
    <cellStyle name="Lien hypertexte visité" xfId="22648" builtinId="9" hidden="1"/>
    <cellStyle name="Lien hypertexte visité" xfId="22728" builtinId="9" hidden="1"/>
    <cellStyle name="Lien hypertexte visité" xfId="22816" builtinId="9" hidden="1"/>
    <cellStyle name="Lien hypertexte visité" xfId="22904" builtinId="9" hidden="1"/>
    <cellStyle name="Lien hypertexte visité" xfId="22984" builtinId="9" hidden="1"/>
    <cellStyle name="Lien hypertexte visité" xfId="23072" builtinId="9" hidden="1"/>
    <cellStyle name="Lien hypertexte visité" xfId="23160" builtinId="9" hidden="1"/>
    <cellStyle name="Lien hypertexte visité" xfId="23240" builtinId="9" hidden="1"/>
    <cellStyle name="Lien hypertexte visité" xfId="23328" builtinId="9" hidden="1"/>
    <cellStyle name="Lien hypertexte visité" xfId="23416" builtinId="9" hidden="1"/>
    <cellStyle name="Lien hypertexte visité" xfId="23496" builtinId="9" hidden="1"/>
    <cellStyle name="Lien hypertexte visité" xfId="23584" builtinId="9" hidden="1"/>
    <cellStyle name="Lien hypertexte visité" xfId="23672" builtinId="9" hidden="1"/>
    <cellStyle name="Lien hypertexte visité" xfId="23752" builtinId="9" hidden="1"/>
    <cellStyle name="Lien hypertexte visité" xfId="23840" builtinId="9" hidden="1"/>
    <cellStyle name="Lien hypertexte visité" xfId="23928" builtinId="9" hidden="1"/>
    <cellStyle name="Lien hypertexte visité" xfId="24008" builtinId="9" hidden="1"/>
    <cellStyle name="Lien hypertexte visité" xfId="24096" builtinId="9" hidden="1"/>
    <cellStyle name="Lien hypertexte visité" xfId="24184" builtinId="9" hidden="1"/>
    <cellStyle name="Lien hypertexte visité" xfId="24264" builtinId="9" hidden="1"/>
    <cellStyle name="Lien hypertexte visité" xfId="24352" builtinId="9" hidden="1"/>
    <cellStyle name="Lien hypertexte visité" xfId="24440" builtinId="9" hidden="1"/>
    <cellStyle name="Lien hypertexte visité" xfId="24520" builtinId="9" hidden="1"/>
    <cellStyle name="Lien hypertexte visité" xfId="24608" builtinId="9" hidden="1"/>
    <cellStyle name="Lien hypertexte visité" xfId="24530" builtinId="9" hidden="1"/>
    <cellStyle name="Lien hypertexte visité" xfId="24450" builtinId="9" hidden="1"/>
    <cellStyle name="Lien hypertexte visité" xfId="24362" builtinId="9" hidden="1"/>
    <cellStyle name="Lien hypertexte visité" xfId="24274" builtinId="9" hidden="1"/>
    <cellStyle name="Lien hypertexte visité" xfId="24194" builtinId="9" hidden="1"/>
    <cellStyle name="Lien hypertexte visité" xfId="24106" builtinId="9" hidden="1"/>
    <cellStyle name="Lien hypertexte visité" xfId="24018" builtinId="9" hidden="1"/>
    <cellStyle name="Lien hypertexte visité" xfId="23938" builtinId="9" hidden="1"/>
    <cellStyle name="Lien hypertexte visité" xfId="23850" builtinId="9" hidden="1"/>
    <cellStyle name="Lien hypertexte visité" xfId="23762" builtinId="9" hidden="1"/>
    <cellStyle name="Lien hypertexte visité" xfId="23682" builtinId="9" hidden="1"/>
    <cellStyle name="Lien hypertexte visité" xfId="23594" builtinId="9" hidden="1"/>
    <cellStyle name="Lien hypertexte visité" xfId="23506" builtinId="9" hidden="1"/>
    <cellStyle name="Lien hypertexte visité" xfId="23426" builtinId="9" hidden="1"/>
    <cellStyle name="Lien hypertexte visité" xfId="23338" builtinId="9" hidden="1"/>
    <cellStyle name="Lien hypertexte visité" xfId="23250" builtinId="9" hidden="1"/>
    <cellStyle name="Lien hypertexte visité" xfId="23170" builtinId="9" hidden="1"/>
    <cellStyle name="Lien hypertexte visité" xfId="23082" builtinId="9" hidden="1"/>
    <cellStyle name="Lien hypertexte visité" xfId="22994" builtinId="9" hidden="1"/>
    <cellStyle name="Lien hypertexte visité" xfId="22914" builtinId="9" hidden="1"/>
    <cellStyle name="Lien hypertexte visité" xfId="22826" builtinId="9" hidden="1"/>
    <cellStyle name="Lien hypertexte visité" xfId="22738" builtinId="9" hidden="1"/>
    <cellStyle name="Lien hypertexte visité" xfId="22658" builtinId="9" hidden="1"/>
    <cellStyle name="Lien hypertexte visité" xfId="22570" builtinId="9" hidden="1"/>
    <cellStyle name="Lien hypertexte visité" xfId="22482" builtinId="9" hidden="1"/>
    <cellStyle name="Lien hypertexte visité" xfId="22402" builtinId="9" hidden="1"/>
    <cellStyle name="Lien hypertexte visité" xfId="22314" builtinId="9" hidden="1"/>
    <cellStyle name="Lien hypertexte visité" xfId="22226" builtinId="9" hidden="1"/>
    <cellStyle name="Lien hypertexte visité" xfId="22146" builtinId="9" hidden="1"/>
    <cellStyle name="Lien hypertexte visité" xfId="22058" builtinId="9" hidden="1"/>
    <cellStyle name="Lien hypertexte visité" xfId="21970" builtinId="9" hidden="1"/>
    <cellStyle name="Lien hypertexte visité" xfId="21890" builtinId="9" hidden="1"/>
    <cellStyle name="Lien hypertexte visité" xfId="21802" builtinId="9" hidden="1"/>
    <cellStyle name="Lien hypertexte visité" xfId="21714" builtinId="9" hidden="1"/>
    <cellStyle name="Lien hypertexte visité" xfId="21634" builtinId="9" hidden="1"/>
    <cellStyle name="Lien hypertexte visité" xfId="21546" builtinId="9" hidden="1"/>
    <cellStyle name="Lien hypertexte visité" xfId="21458" builtinId="9" hidden="1"/>
    <cellStyle name="Lien hypertexte visité" xfId="21378" builtinId="9" hidden="1"/>
    <cellStyle name="Lien hypertexte visité" xfId="21290" builtinId="9" hidden="1"/>
    <cellStyle name="Lien hypertexte visité" xfId="21202" builtinId="9" hidden="1"/>
    <cellStyle name="Lien hypertexte visité" xfId="21122" builtinId="9" hidden="1"/>
    <cellStyle name="Lien hypertexte visité" xfId="21034" builtinId="9" hidden="1"/>
    <cellStyle name="Lien hypertexte visité" xfId="20946" builtinId="9" hidden="1"/>
    <cellStyle name="Lien hypertexte visité" xfId="20866" builtinId="9" hidden="1"/>
    <cellStyle name="Lien hypertexte visité" xfId="20778" builtinId="9" hidden="1"/>
    <cellStyle name="Lien hypertexte visité" xfId="20690" builtinId="9" hidden="1"/>
    <cellStyle name="Lien hypertexte visité" xfId="20610" builtinId="9" hidden="1"/>
    <cellStyle name="Lien hypertexte visité" xfId="20522" builtinId="9" hidden="1"/>
    <cellStyle name="Lien hypertexte visité" xfId="20434" builtinId="9" hidden="1"/>
    <cellStyle name="Lien hypertexte visité" xfId="20354" builtinId="9" hidden="1"/>
    <cellStyle name="Lien hypertexte visité" xfId="20266" builtinId="9" hidden="1"/>
    <cellStyle name="Lien hypertexte visité" xfId="20178" builtinId="9" hidden="1"/>
    <cellStyle name="Lien hypertexte visité" xfId="20098" builtinId="9" hidden="1"/>
    <cellStyle name="Lien hypertexte visité" xfId="20010" builtinId="9" hidden="1"/>
    <cellStyle name="Lien hypertexte visité" xfId="19922" builtinId="9" hidden="1"/>
    <cellStyle name="Lien hypertexte visité" xfId="19842" builtinId="9" hidden="1"/>
    <cellStyle name="Lien hypertexte visité" xfId="19754" builtinId="9" hidden="1"/>
    <cellStyle name="Lien hypertexte visité" xfId="19666" builtinId="9" hidden="1"/>
    <cellStyle name="Lien hypertexte visité" xfId="19586" builtinId="9" hidden="1"/>
    <cellStyle name="Lien hypertexte visité" xfId="19498" builtinId="9" hidden="1"/>
    <cellStyle name="Lien hypertexte visité" xfId="19410" builtinId="9" hidden="1"/>
    <cellStyle name="Lien hypertexte visité" xfId="19330" builtinId="9" hidden="1"/>
    <cellStyle name="Lien hypertexte visité" xfId="19242" builtinId="9" hidden="1"/>
    <cellStyle name="Lien hypertexte visité" xfId="19154" builtinId="9" hidden="1"/>
    <cellStyle name="Lien hypertexte visité" xfId="19074" builtinId="9" hidden="1"/>
    <cellStyle name="Lien hypertexte visité" xfId="18986" builtinId="9" hidden="1"/>
    <cellStyle name="Lien hypertexte visité" xfId="18898" builtinId="9" hidden="1"/>
    <cellStyle name="Lien hypertexte visité" xfId="18818" builtinId="9" hidden="1"/>
    <cellStyle name="Lien hypertexte visité" xfId="18730" builtinId="9" hidden="1"/>
    <cellStyle name="Lien hypertexte visité" xfId="18642" builtinId="9" hidden="1"/>
    <cellStyle name="Lien hypertexte visité" xfId="18562" builtinId="9" hidden="1"/>
    <cellStyle name="Lien hypertexte visité" xfId="18474" builtinId="9" hidden="1"/>
    <cellStyle name="Lien hypertexte visité" xfId="18386" builtinId="9" hidden="1"/>
    <cellStyle name="Lien hypertexte visité" xfId="18316" builtinId="9" hidden="1"/>
    <cellStyle name="Lien hypertexte visité" xfId="18235" builtinId="9" hidden="1"/>
    <cellStyle name="Lien hypertexte visité" xfId="18147" builtinId="9" hidden="1"/>
    <cellStyle name="Lien hypertexte visité" xfId="18067" builtinId="9" hidden="1"/>
    <cellStyle name="Lien hypertexte visité" xfId="17979" builtinId="9" hidden="1"/>
    <cellStyle name="Lien hypertexte visité" xfId="17891" builtinId="9" hidden="1"/>
    <cellStyle name="Lien hypertexte visité" xfId="17811" builtinId="9" hidden="1"/>
    <cellStyle name="Lien hypertexte visité" xfId="17723" builtinId="9" hidden="1"/>
    <cellStyle name="Lien hypertexte visité" xfId="17635" builtinId="9" hidden="1"/>
    <cellStyle name="Lien hypertexte visité" xfId="17555" builtinId="9" hidden="1"/>
    <cellStyle name="Lien hypertexte visité" xfId="17467" builtinId="9" hidden="1"/>
    <cellStyle name="Lien hypertexte visité" xfId="17379" builtinId="9" hidden="1"/>
    <cellStyle name="Lien hypertexte visité" xfId="17355" builtinId="9" hidden="1"/>
    <cellStyle name="Lien hypertexte visité" xfId="17611" builtinId="9" hidden="1"/>
    <cellStyle name="Lien hypertexte visité" xfId="17867" builtinId="9" hidden="1"/>
    <cellStyle name="Lien hypertexte visité" xfId="18123" builtinId="9" hidden="1"/>
    <cellStyle name="Lien hypertexte visité" xfId="18362" builtinId="9" hidden="1"/>
    <cellStyle name="Lien hypertexte visité" xfId="18618" builtinId="9" hidden="1"/>
    <cellStyle name="Lien hypertexte visité" xfId="18874" builtinId="9" hidden="1"/>
    <cellStyle name="Lien hypertexte visité" xfId="19130" builtinId="9" hidden="1"/>
    <cellStyle name="Lien hypertexte visité" xfId="19386" builtinId="9" hidden="1"/>
    <cellStyle name="Lien hypertexte visité" xfId="19642" builtinId="9" hidden="1"/>
    <cellStyle name="Lien hypertexte visité" xfId="19898" builtinId="9" hidden="1"/>
    <cellStyle name="Lien hypertexte visité" xfId="20154" builtinId="9" hidden="1"/>
    <cellStyle name="Lien hypertexte visité" xfId="20410" builtinId="9" hidden="1"/>
    <cellStyle name="Lien hypertexte visité" xfId="20666" builtinId="9" hidden="1"/>
    <cellStyle name="Lien hypertexte visité" xfId="20922" builtinId="9" hidden="1"/>
    <cellStyle name="Lien hypertexte visité" xfId="21178" builtinId="9" hidden="1"/>
    <cellStyle name="Lien hypertexte visité" xfId="21434" builtinId="9" hidden="1"/>
    <cellStyle name="Lien hypertexte visité" xfId="21690" builtinId="9" hidden="1"/>
    <cellStyle name="Lien hypertexte visité" xfId="21946" builtinId="9" hidden="1"/>
    <cellStyle name="Lien hypertexte visité" xfId="22202" builtinId="9" hidden="1"/>
    <cellStyle name="Lien hypertexte visité" xfId="22458" builtinId="9" hidden="1"/>
    <cellStyle name="Lien hypertexte visité" xfId="22714" builtinId="9" hidden="1"/>
    <cellStyle name="Lien hypertexte visité" xfId="22970" builtinId="9" hidden="1"/>
    <cellStyle name="Lien hypertexte visité" xfId="23226" builtinId="9" hidden="1"/>
    <cellStyle name="Lien hypertexte visité" xfId="23482" builtinId="9" hidden="1"/>
    <cellStyle name="Lien hypertexte visité" xfId="23738" builtinId="9" hidden="1"/>
    <cellStyle name="Lien hypertexte visité" xfId="23994" builtinId="9" hidden="1"/>
    <cellStyle name="Lien hypertexte visité" xfId="24250" builtinId="9" hidden="1"/>
    <cellStyle name="Lien hypertexte visité" xfId="24506" builtinId="9" hidden="1"/>
    <cellStyle name="Lien hypertexte visité" xfId="24464" builtinId="9" hidden="1"/>
    <cellStyle name="Lien hypertexte visité" xfId="24208" builtinId="9" hidden="1"/>
    <cellStyle name="Lien hypertexte visité" xfId="23952" builtinId="9" hidden="1"/>
    <cellStyle name="Lien hypertexte visité" xfId="23696" builtinId="9" hidden="1"/>
    <cellStyle name="Lien hypertexte visité" xfId="23440" builtinId="9" hidden="1"/>
    <cellStyle name="Lien hypertexte visité" xfId="23184" builtinId="9" hidden="1"/>
    <cellStyle name="Lien hypertexte visité" xfId="22928" builtinId="9" hidden="1"/>
    <cellStyle name="Lien hypertexte visité" xfId="22672" builtinId="9" hidden="1"/>
    <cellStyle name="Lien hypertexte visité" xfId="22416" builtinId="9" hidden="1"/>
    <cellStyle name="Lien hypertexte visité" xfId="22160" builtinId="9" hidden="1"/>
    <cellStyle name="Lien hypertexte visité" xfId="21904" builtinId="9" hidden="1"/>
    <cellStyle name="Lien hypertexte visité" xfId="21648" builtinId="9" hidden="1"/>
    <cellStyle name="Lien hypertexte visité" xfId="21392" builtinId="9" hidden="1"/>
    <cellStyle name="Lien hypertexte visité" xfId="21136" builtinId="9" hidden="1"/>
    <cellStyle name="Lien hypertexte visité" xfId="20880" builtinId="9" hidden="1"/>
    <cellStyle name="Lien hypertexte visité" xfId="20624" builtinId="9" hidden="1"/>
    <cellStyle name="Lien hypertexte visité" xfId="20368" builtinId="9" hidden="1"/>
    <cellStyle name="Lien hypertexte visité" xfId="20112" builtinId="9" hidden="1"/>
    <cellStyle name="Lien hypertexte visité" xfId="19856" builtinId="9" hidden="1"/>
    <cellStyle name="Lien hypertexte visité" xfId="19600" builtinId="9" hidden="1"/>
    <cellStyle name="Lien hypertexte visité" xfId="19344" builtinId="9" hidden="1"/>
    <cellStyle name="Lien hypertexte visité" xfId="19088" builtinId="9" hidden="1"/>
    <cellStyle name="Lien hypertexte visité" xfId="18832" builtinId="9" hidden="1"/>
    <cellStyle name="Lien hypertexte visité" xfId="18576" builtinId="9" hidden="1"/>
    <cellStyle name="Lien hypertexte visité" xfId="18323" builtinId="9" hidden="1"/>
    <cellStyle name="Lien hypertexte visité" xfId="18081" builtinId="9" hidden="1"/>
    <cellStyle name="Lien hypertexte visité" xfId="17825" builtinId="9" hidden="1"/>
    <cellStyle name="Lien hypertexte visité" xfId="17569" builtinId="9" hidden="1"/>
    <cellStyle name="Lien hypertexte visité" xfId="17313" builtinId="9" hidden="1"/>
    <cellStyle name="Lien hypertexte visité" xfId="17057" builtinId="9" hidden="1"/>
    <cellStyle name="Lien hypertexte visité" xfId="16801" builtinId="9" hidden="1"/>
    <cellStyle name="Lien hypertexte visité" xfId="16545" builtinId="9" hidden="1"/>
    <cellStyle name="Lien hypertexte visité" xfId="16289" builtinId="9" hidden="1"/>
    <cellStyle name="Lien hypertexte visité" xfId="16033" builtinId="9" hidden="1"/>
    <cellStyle name="Lien hypertexte visité" xfId="15777" builtinId="9" hidden="1"/>
    <cellStyle name="Lien hypertexte visité" xfId="15521" builtinId="9" hidden="1"/>
    <cellStyle name="Lien hypertexte visité" xfId="15265" builtinId="9" hidden="1"/>
    <cellStyle name="Lien hypertexte visité" xfId="15009" builtinId="9" hidden="1"/>
    <cellStyle name="Lien hypertexte visité" xfId="14753" builtinId="9" hidden="1"/>
    <cellStyle name="Lien hypertexte visité" xfId="14506" builtinId="9" hidden="1"/>
    <cellStyle name="Lien hypertexte visité" xfId="14378" builtinId="9" hidden="1"/>
    <cellStyle name="Lien hypertexte visité" xfId="14250" builtinId="9" hidden="1"/>
    <cellStyle name="Lien hypertexte visité" xfId="14122" builtinId="9" hidden="1"/>
    <cellStyle name="Lien hypertexte visité" xfId="13994" builtinId="9" hidden="1"/>
    <cellStyle name="Lien hypertexte visité" xfId="13866" builtinId="9" hidden="1"/>
    <cellStyle name="Lien hypertexte visité" xfId="13738" builtinId="9" hidden="1"/>
    <cellStyle name="Lien hypertexte visité" xfId="13610" builtinId="9" hidden="1"/>
    <cellStyle name="Lien hypertexte visité" xfId="13482" builtinId="9" hidden="1"/>
    <cellStyle name="Lien hypertexte visité" xfId="13354" builtinId="9" hidden="1"/>
    <cellStyle name="Lien hypertexte visité" xfId="13226" builtinId="9" hidden="1"/>
    <cellStyle name="Lien hypertexte visité" xfId="13098" builtinId="9" hidden="1"/>
    <cellStyle name="Lien hypertexte visité" xfId="12970" builtinId="9" hidden="1"/>
    <cellStyle name="Lien hypertexte visité" xfId="12842" builtinId="9" hidden="1"/>
    <cellStyle name="Lien hypertexte visité" xfId="12714" builtinId="9" hidden="1"/>
    <cellStyle name="Lien hypertexte visité" xfId="12586" builtinId="9" hidden="1"/>
    <cellStyle name="Lien hypertexte visité" xfId="12458" builtinId="9" hidden="1"/>
    <cellStyle name="Lien hypertexte visité" xfId="12330" builtinId="9" hidden="1"/>
    <cellStyle name="Lien hypertexte visité" xfId="12202" builtinId="9" hidden="1"/>
    <cellStyle name="Lien hypertexte visité" xfId="12074" builtinId="9" hidden="1"/>
    <cellStyle name="Lien hypertexte visité" xfId="11946" builtinId="9" hidden="1"/>
    <cellStyle name="Lien hypertexte visité" xfId="11818" builtinId="9" hidden="1"/>
    <cellStyle name="Lien hypertexte visité" xfId="11690" builtinId="9" hidden="1"/>
    <cellStyle name="Lien hypertexte visité" xfId="11562" builtinId="9" hidden="1"/>
    <cellStyle name="Lien hypertexte visité" xfId="11434" builtinId="9" hidden="1"/>
    <cellStyle name="Lien hypertexte visité" xfId="11306" builtinId="9" hidden="1"/>
    <cellStyle name="Lien hypertexte visité" xfId="11178" builtinId="9" hidden="1"/>
    <cellStyle name="Lien hypertexte visité" xfId="11050" builtinId="9" hidden="1"/>
    <cellStyle name="Lien hypertexte visité" xfId="10922" builtinId="9" hidden="1"/>
    <cellStyle name="Lien hypertexte visité" xfId="10794" builtinId="9" hidden="1"/>
    <cellStyle name="Lien hypertexte visité" xfId="10666" builtinId="9" hidden="1"/>
    <cellStyle name="Lien hypertexte visité" xfId="10538" builtinId="9" hidden="1"/>
    <cellStyle name="Lien hypertexte visité" xfId="10410" builtinId="9" hidden="1"/>
    <cellStyle name="Lien hypertexte visité" xfId="10282" builtinId="9" hidden="1"/>
    <cellStyle name="Lien hypertexte visité" xfId="10154" builtinId="9" hidden="1"/>
    <cellStyle name="Lien hypertexte visité" xfId="10026" builtinId="9" hidden="1"/>
    <cellStyle name="Lien hypertexte visité" xfId="9898" builtinId="9" hidden="1"/>
    <cellStyle name="Lien hypertexte visité" xfId="9770" builtinId="9" hidden="1"/>
    <cellStyle name="Lien hypertexte visité" xfId="9642" builtinId="9" hidden="1"/>
    <cellStyle name="Lien hypertexte visité" xfId="9514" builtinId="9" hidden="1"/>
    <cellStyle name="Lien hypertexte visité" xfId="9386" builtinId="9" hidden="1"/>
    <cellStyle name="Lien hypertexte visité" xfId="9258" builtinId="9" hidden="1"/>
    <cellStyle name="Lien hypertexte visité" xfId="9130" builtinId="9" hidden="1"/>
    <cellStyle name="Lien hypertexte visité" xfId="9002" builtinId="9" hidden="1"/>
    <cellStyle name="Lien hypertexte visité" xfId="8874" builtinId="9" hidden="1"/>
    <cellStyle name="Lien hypertexte visité" xfId="8746" builtinId="9" hidden="1"/>
    <cellStyle name="Lien hypertexte visité" xfId="8618" builtinId="9" hidden="1"/>
    <cellStyle name="Lien hypertexte visité" xfId="8490" builtinId="9" hidden="1"/>
    <cellStyle name="Lien hypertexte visité" xfId="8362" builtinId="9" hidden="1"/>
    <cellStyle name="Lien hypertexte visité" xfId="8234" builtinId="9" hidden="1"/>
    <cellStyle name="Lien hypertexte visité" xfId="3957" builtinId="9" hidden="1"/>
    <cellStyle name="Lien hypertexte visité" xfId="3993" builtinId="9" hidden="1"/>
    <cellStyle name="Lien hypertexte visité" xfId="4029" builtinId="9" hidden="1"/>
    <cellStyle name="Lien hypertexte visité" xfId="4065" builtinId="9" hidden="1"/>
    <cellStyle name="Lien hypertexte visité" xfId="4101" builtinId="9" hidden="1"/>
    <cellStyle name="Lien hypertexte visité" xfId="4141" builtinId="9" hidden="1"/>
    <cellStyle name="Lien hypertexte visité" xfId="4177" builtinId="9" hidden="1"/>
    <cellStyle name="Lien hypertexte visité" xfId="4213" builtinId="9" hidden="1"/>
    <cellStyle name="Lien hypertexte visité" xfId="4249" builtinId="9" hidden="1"/>
    <cellStyle name="Lien hypertexte visité" xfId="4285" builtinId="9" hidden="1"/>
    <cellStyle name="Lien hypertexte visité" xfId="4321" builtinId="9" hidden="1"/>
    <cellStyle name="Lien hypertexte visité" xfId="4357" builtinId="9" hidden="1"/>
    <cellStyle name="Lien hypertexte visité" xfId="4397" builtinId="9" hidden="1"/>
    <cellStyle name="Lien hypertexte visité" xfId="4433" builtinId="9" hidden="1"/>
    <cellStyle name="Lien hypertexte visité" xfId="4469" builtinId="9" hidden="1"/>
    <cellStyle name="Lien hypertexte visité" xfId="4505" builtinId="9" hidden="1"/>
    <cellStyle name="Lien hypertexte visité" xfId="4541" builtinId="9" hidden="1"/>
    <cellStyle name="Lien hypertexte visité" xfId="4577" builtinId="9" hidden="1"/>
    <cellStyle name="Lien hypertexte visité" xfId="4613" builtinId="9" hidden="1"/>
    <cellStyle name="Lien hypertexte visité" xfId="4653" builtinId="9" hidden="1"/>
    <cellStyle name="Lien hypertexte visité" xfId="4689" builtinId="9" hidden="1"/>
    <cellStyle name="Lien hypertexte visité" xfId="4725" builtinId="9" hidden="1"/>
    <cellStyle name="Lien hypertexte visité" xfId="4761" builtinId="9" hidden="1"/>
    <cellStyle name="Lien hypertexte visité" xfId="4797" builtinId="9" hidden="1"/>
    <cellStyle name="Lien hypertexte visité" xfId="4833" builtinId="9" hidden="1"/>
    <cellStyle name="Lien hypertexte visité" xfId="4869" builtinId="9" hidden="1"/>
    <cellStyle name="Lien hypertexte visité" xfId="4909" builtinId="9" hidden="1"/>
    <cellStyle name="Lien hypertexte visité" xfId="4945" builtinId="9" hidden="1"/>
    <cellStyle name="Lien hypertexte visité" xfId="4981" builtinId="9" hidden="1"/>
    <cellStyle name="Lien hypertexte visité" xfId="5017" builtinId="9" hidden="1"/>
    <cellStyle name="Lien hypertexte visité" xfId="5053" builtinId="9" hidden="1"/>
    <cellStyle name="Lien hypertexte visité" xfId="5089" builtinId="9" hidden="1"/>
    <cellStyle name="Lien hypertexte visité" xfId="5125" builtinId="9" hidden="1"/>
    <cellStyle name="Lien hypertexte visité" xfId="5165" builtinId="9" hidden="1"/>
    <cellStyle name="Lien hypertexte visité" xfId="5201" builtinId="9" hidden="1"/>
    <cellStyle name="Lien hypertexte visité" xfId="5237" builtinId="9" hidden="1"/>
    <cellStyle name="Lien hypertexte visité" xfId="5273" builtinId="9" hidden="1"/>
    <cellStyle name="Lien hypertexte visité" xfId="5309" builtinId="9" hidden="1"/>
    <cellStyle name="Lien hypertexte visité" xfId="5345" builtinId="9" hidden="1"/>
    <cellStyle name="Lien hypertexte visité" xfId="5381" builtinId="9" hidden="1"/>
    <cellStyle name="Lien hypertexte visité" xfId="5421" builtinId="9" hidden="1"/>
    <cellStyle name="Lien hypertexte visité" xfId="5457" builtinId="9" hidden="1"/>
    <cellStyle name="Lien hypertexte visité" xfId="5493" builtinId="9" hidden="1"/>
    <cellStyle name="Lien hypertexte visité" xfId="5529" builtinId="9" hidden="1"/>
    <cellStyle name="Lien hypertexte visité" xfId="5565" builtinId="9" hidden="1"/>
    <cellStyle name="Lien hypertexte visité" xfId="5601" builtinId="9" hidden="1"/>
    <cellStyle name="Lien hypertexte visité" xfId="5637" builtinId="9" hidden="1"/>
    <cellStyle name="Lien hypertexte visité" xfId="5677" builtinId="9" hidden="1"/>
    <cellStyle name="Lien hypertexte visité" xfId="5713" builtinId="9" hidden="1"/>
    <cellStyle name="Lien hypertexte visité" xfId="5749" builtinId="9" hidden="1"/>
    <cellStyle name="Lien hypertexte visité" xfId="5785" builtinId="9" hidden="1"/>
    <cellStyle name="Lien hypertexte visité" xfId="5821" builtinId="9" hidden="1"/>
    <cellStyle name="Lien hypertexte visité" xfId="5857" builtinId="9" hidden="1"/>
    <cellStyle name="Lien hypertexte visité" xfId="5893" builtinId="9" hidden="1"/>
    <cellStyle name="Lien hypertexte visité" xfId="5933" builtinId="9" hidden="1"/>
    <cellStyle name="Lien hypertexte visité" xfId="5969" builtinId="9" hidden="1"/>
    <cellStyle name="Lien hypertexte visité" xfId="6005" builtinId="9" hidden="1"/>
    <cellStyle name="Lien hypertexte visité" xfId="6041" builtinId="9" hidden="1"/>
    <cellStyle name="Lien hypertexte visité" xfId="6077" builtinId="9" hidden="1"/>
    <cellStyle name="Lien hypertexte visité" xfId="6113" builtinId="9" hidden="1"/>
    <cellStyle name="Lien hypertexte visité" xfId="6149" builtinId="9" hidden="1"/>
    <cellStyle name="Lien hypertexte visité" xfId="6189" builtinId="9" hidden="1"/>
    <cellStyle name="Lien hypertexte visité" xfId="6225" builtinId="9" hidden="1"/>
    <cellStyle name="Lien hypertexte visité" xfId="6261" builtinId="9" hidden="1"/>
    <cellStyle name="Lien hypertexte visité" xfId="6297" builtinId="9" hidden="1"/>
    <cellStyle name="Lien hypertexte visité" xfId="6333" builtinId="9" hidden="1"/>
    <cellStyle name="Lien hypertexte visité" xfId="6369" builtinId="9" hidden="1"/>
    <cellStyle name="Lien hypertexte visité" xfId="6405" builtinId="9" hidden="1"/>
    <cellStyle name="Lien hypertexte visité" xfId="6445" builtinId="9" hidden="1"/>
    <cellStyle name="Lien hypertexte visité" xfId="6481" builtinId="9" hidden="1"/>
    <cellStyle name="Lien hypertexte visité" xfId="6517" builtinId="9" hidden="1"/>
    <cellStyle name="Lien hypertexte visité" xfId="6553" builtinId="9" hidden="1"/>
    <cellStyle name="Lien hypertexte visité" xfId="6589" builtinId="9" hidden="1"/>
    <cellStyle name="Lien hypertexte visité" xfId="6625" builtinId="9" hidden="1"/>
    <cellStyle name="Lien hypertexte visité" xfId="6661" builtinId="9" hidden="1"/>
    <cellStyle name="Lien hypertexte visité" xfId="6701" builtinId="9" hidden="1"/>
    <cellStyle name="Lien hypertexte visité" xfId="6737" builtinId="9" hidden="1"/>
    <cellStyle name="Lien hypertexte visité" xfId="6773" builtinId="9" hidden="1"/>
    <cellStyle name="Lien hypertexte visité" xfId="6809" builtinId="9" hidden="1"/>
    <cellStyle name="Lien hypertexte visité" xfId="6845" builtinId="9" hidden="1"/>
    <cellStyle name="Lien hypertexte visité" xfId="6881" builtinId="9" hidden="1"/>
    <cellStyle name="Lien hypertexte visité" xfId="6917" builtinId="9" hidden="1"/>
    <cellStyle name="Lien hypertexte visité" xfId="6957" builtinId="9" hidden="1"/>
    <cellStyle name="Lien hypertexte visité" xfId="6993" builtinId="9" hidden="1"/>
    <cellStyle name="Lien hypertexte visité" xfId="7029" builtinId="9" hidden="1"/>
    <cellStyle name="Lien hypertexte visité" xfId="7065" builtinId="9" hidden="1"/>
    <cellStyle name="Lien hypertexte visité" xfId="7101" builtinId="9" hidden="1"/>
    <cellStyle name="Lien hypertexte visité" xfId="7137" builtinId="9" hidden="1"/>
    <cellStyle name="Lien hypertexte visité" xfId="7173" builtinId="9" hidden="1"/>
    <cellStyle name="Lien hypertexte visité" xfId="7213" builtinId="9" hidden="1"/>
    <cellStyle name="Lien hypertexte visité" xfId="7249" builtinId="9" hidden="1"/>
    <cellStyle name="Lien hypertexte visité" xfId="7285" builtinId="9" hidden="1"/>
    <cellStyle name="Lien hypertexte visité" xfId="7321" builtinId="9" hidden="1"/>
    <cellStyle name="Lien hypertexte visité" xfId="7357" builtinId="9" hidden="1"/>
    <cellStyle name="Lien hypertexte visité" xfId="7393" builtinId="9" hidden="1"/>
    <cellStyle name="Lien hypertexte visité" xfId="7429" builtinId="9" hidden="1"/>
    <cellStyle name="Lien hypertexte visité" xfId="7469" builtinId="9" hidden="1"/>
    <cellStyle name="Lien hypertexte visité" xfId="7505" builtinId="9" hidden="1"/>
    <cellStyle name="Lien hypertexte visité" xfId="7541" builtinId="9" hidden="1"/>
    <cellStyle name="Lien hypertexte visité" xfId="7577" builtinId="9" hidden="1"/>
    <cellStyle name="Lien hypertexte visité" xfId="7613" builtinId="9" hidden="1"/>
    <cellStyle name="Lien hypertexte visité" xfId="7649" builtinId="9" hidden="1"/>
    <cellStyle name="Lien hypertexte visité" xfId="7685" builtinId="9" hidden="1"/>
    <cellStyle name="Lien hypertexte visité" xfId="7725" builtinId="9" hidden="1"/>
    <cellStyle name="Lien hypertexte visité" xfId="7761" builtinId="9" hidden="1"/>
    <cellStyle name="Lien hypertexte visité" xfId="7797" builtinId="9" hidden="1"/>
    <cellStyle name="Lien hypertexte visité" xfId="7834" builtinId="9" hidden="1"/>
    <cellStyle name="Lien hypertexte visité" xfId="7870" builtinId="9" hidden="1"/>
    <cellStyle name="Lien hypertexte visité" xfId="7906" builtinId="9" hidden="1"/>
    <cellStyle name="Lien hypertexte visité" xfId="7942" builtinId="9" hidden="1"/>
    <cellStyle name="Lien hypertexte visité" xfId="7982" builtinId="9" hidden="1"/>
    <cellStyle name="Lien hypertexte visité" xfId="8018" builtinId="9" hidden="1"/>
    <cellStyle name="Lien hypertexte visité" xfId="8054" builtinId="9" hidden="1"/>
    <cellStyle name="Lien hypertexte visité" xfId="8090" builtinId="9" hidden="1"/>
    <cellStyle name="Lien hypertexte visité" xfId="8126" builtinId="9" hidden="1"/>
    <cellStyle name="Lien hypertexte visité" xfId="8162" builtinId="9" hidden="1"/>
    <cellStyle name="Lien hypertexte visité" xfId="8198" builtinId="9" hidden="1"/>
    <cellStyle name="Lien hypertexte visité" xfId="8074" builtinId="9" hidden="1"/>
    <cellStyle name="Lien hypertexte visité" xfId="7818" builtinId="9" hidden="1"/>
    <cellStyle name="Lien hypertexte visité" xfId="7561" builtinId="9" hidden="1"/>
    <cellStyle name="Lien hypertexte visité" xfId="7305" builtinId="9" hidden="1"/>
    <cellStyle name="Lien hypertexte visité" xfId="7049" builtinId="9" hidden="1"/>
    <cellStyle name="Lien hypertexte visité" xfId="6793" builtinId="9" hidden="1"/>
    <cellStyle name="Lien hypertexte visité" xfId="6537" builtinId="9" hidden="1"/>
    <cellStyle name="Lien hypertexte visité" xfId="6281" builtinId="9" hidden="1"/>
    <cellStyle name="Lien hypertexte visité" xfId="6025" builtinId="9" hidden="1"/>
    <cellStyle name="Lien hypertexte visité" xfId="5769" builtinId="9" hidden="1"/>
    <cellStyle name="Lien hypertexte visité" xfId="5513" builtinId="9" hidden="1"/>
    <cellStyle name="Lien hypertexte visité" xfId="5257" builtinId="9" hidden="1"/>
    <cellStyle name="Lien hypertexte visité" xfId="5001" builtinId="9" hidden="1"/>
    <cellStyle name="Lien hypertexte visité" xfId="4745" builtinId="9" hidden="1"/>
    <cellStyle name="Lien hypertexte visité" xfId="4489" builtinId="9" hidden="1"/>
    <cellStyle name="Lien hypertexte visité" xfId="4233" builtinId="9" hidden="1"/>
    <cellStyle name="Lien hypertexte visité" xfId="3977" builtinId="9" hidden="1"/>
    <cellStyle name="Lien hypertexte visité" xfId="2231" builtinId="9" hidden="1"/>
    <cellStyle name="Lien hypertexte visité" xfId="2267" builtinId="9" hidden="1"/>
    <cellStyle name="Lien hypertexte visité" xfId="2299" builtinId="9" hidden="1"/>
    <cellStyle name="Lien hypertexte visité" xfId="2335" builtinId="9" hidden="1"/>
    <cellStyle name="Lien hypertexte visité" xfId="2367" builtinId="9" hidden="1"/>
    <cellStyle name="Lien hypertexte visité" xfId="2403" builtinId="9" hidden="1"/>
    <cellStyle name="Lien hypertexte visité" xfId="2439" builtinId="9" hidden="1"/>
    <cellStyle name="Lien hypertexte visité" xfId="2471" builtinId="9" hidden="1"/>
    <cellStyle name="Lien hypertexte visité" xfId="2507" builtinId="9" hidden="1"/>
    <cellStyle name="Lien hypertexte visité" xfId="2539" builtinId="9" hidden="1"/>
    <cellStyle name="Lien hypertexte visité" xfId="2575" builtinId="9" hidden="1"/>
    <cellStyle name="Lien hypertexte visité" xfId="2607" builtinId="9" hidden="1"/>
    <cellStyle name="Lien hypertexte visité" xfId="2643" builtinId="9" hidden="1"/>
    <cellStyle name="Lien hypertexte visité" xfId="2675" builtinId="9" hidden="1"/>
    <cellStyle name="Lien hypertexte visité" xfId="2711" builtinId="9" hidden="1"/>
    <cellStyle name="Lien hypertexte visité" xfId="2743" builtinId="9" hidden="1"/>
    <cellStyle name="Lien hypertexte visité" xfId="2779" builtinId="9" hidden="1"/>
    <cellStyle name="Lien hypertexte visité" xfId="2811" builtinId="9" hidden="1"/>
    <cellStyle name="Lien hypertexte visité" xfId="2847" builtinId="9" hidden="1"/>
    <cellStyle name="Lien hypertexte visité" xfId="2879" builtinId="9" hidden="1"/>
    <cellStyle name="Lien hypertexte visité" xfId="2915" builtinId="9" hidden="1"/>
    <cellStyle name="Lien hypertexte visité" xfId="2951" builtinId="9" hidden="1"/>
    <cellStyle name="Lien hypertexte visité" xfId="2983" builtinId="9" hidden="1"/>
    <cellStyle name="Lien hypertexte visité" xfId="3019" builtinId="9" hidden="1"/>
    <cellStyle name="Lien hypertexte visité" xfId="3051" builtinId="9" hidden="1"/>
    <cellStyle name="Lien hypertexte visité" xfId="3087" builtinId="9" hidden="1"/>
    <cellStyle name="Lien hypertexte visité" xfId="3119" builtinId="9" hidden="1"/>
    <cellStyle name="Lien hypertexte visité" xfId="3155" builtinId="9" hidden="1"/>
    <cellStyle name="Lien hypertexte visité" xfId="3187" builtinId="9" hidden="1"/>
    <cellStyle name="Lien hypertexte visité" xfId="3223" builtinId="9" hidden="1"/>
    <cellStyle name="Lien hypertexte visité" xfId="3255" builtinId="9" hidden="1"/>
    <cellStyle name="Lien hypertexte visité" xfId="3291" builtinId="9" hidden="1"/>
    <cellStyle name="Lien hypertexte visité" xfId="3323" builtinId="9" hidden="1"/>
    <cellStyle name="Lien hypertexte visité" xfId="3359" builtinId="9" hidden="1"/>
    <cellStyle name="Lien hypertexte visité" xfId="3391" builtinId="9" hidden="1"/>
    <cellStyle name="Lien hypertexte visité" xfId="3427" builtinId="9" hidden="1"/>
    <cellStyle name="Lien hypertexte visité" xfId="3463" builtinId="9" hidden="1"/>
    <cellStyle name="Lien hypertexte visité" xfId="3495" builtinId="9" hidden="1"/>
    <cellStyle name="Lien hypertexte visité" xfId="3531" builtinId="9" hidden="1"/>
    <cellStyle name="Lien hypertexte visité" xfId="3564" builtinId="9" hidden="1"/>
    <cellStyle name="Lien hypertexte visité" xfId="3600" builtinId="9" hidden="1"/>
    <cellStyle name="Lien hypertexte visité" xfId="3632" builtinId="9" hidden="1"/>
    <cellStyle name="Lien hypertexte visité" xfId="3673" builtinId="9" hidden="1"/>
    <cellStyle name="Lien hypertexte visité" xfId="3708" builtinId="9" hidden="1"/>
    <cellStyle name="Lien hypertexte visité" xfId="3744" builtinId="9" hidden="1"/>
    <cellStyle name="Lien hypertexte visité" xfId="3776" builtinId="9" hidden="1"/>
    <cellStyle name="Lien hypertexte visité" xfId="3812" builtinId="9" hidden="1"/>
    <cellStyle name="Lien hypertexte visité" xfId="3844" builtinId="9" hidden="1"/>
    <cellStyle name="Lien hypertexte visité" xfId="3880" builtinId="9" hidden="1"/>
    <cellStyle name="Lien hypertexte visité" xfId="3913" builtinId="9" hidden="1"/>
    <cellStyle name="Lien hypertexte visité" xfId="3652" builtinId="9" hidden="1"/>
    <cellStyle name="Lien hypertexte visité" xfId="3139" builtinId="9" hidden="1"/>
    <cellStyle name="Lien hypertexte visité" xfId="2627" builtinId="9" hidden="1"/>
    <cellStyle name="Lien hypertexte visité" xfId="1434" builtinId="9" hidden="1"/>
    <cellStyle name="Lien hypertexte visité" xfId="1466" builtinId="9" hidden="1"/>
    <cellStyle name="Lien hypertexte visité" xfId="1503" builtinId="9" hidden="1"/>
    <cellStyle name="Lien hypertexte visité" xfId="1535" builtinId="9" hidden="1"/>
    <cellStyle name="Lien hypertexte visité" xfId="1567" builtinId="9" hidden="1"/>
    <cellStyle name="Lien hypertexte visité" xfId="1599" builtinId="9" hidden="1"/>
    <cellStyle name="Lien hypertexte visité" xfId="1635" builtinId="9" hidden="1"/>
    <cellStyle name="Lien hypertexte visité" xfId="1667" builtinId="9" hidden="1"/>
    <cellStyle name="Lien hypertexte visité" xfId="1699" builtinId="9" hidden="1"/>
    <cellStyle name="Lien hypertexte visité" xfId="1735" builtinId="9" hidden="1"/>
    <cellStyle name="Lien hypertexte visité" xfId="1767" builtinId="9" hidden="1"/>
    <cellStyle name="Lien hypertexte visité" xfId="1799" builtinId="9" hidden="1"/>
    <cellStyle name="Lien hypertexte visité" xfId="1831" builtinId="9" hidden="1"/>
    <cellStyle name="Lien hypertexte visité" xfId="1867" builtinId="9" hidden="1"/>
    <cellStyle name="Lien hypertexte visité" xfId="1899" builtinId="9" hidden="1"/>
    <cellStyle name="Lien hypertexte visité" xfId="1931" builtinId="9" hidden="1"/>
    <cellStyle name="Lien hypertexte visité" xfId="1963" builtinId="9" hidden="1"/>
    <cellStyle name="Lien hypertexte visité" xfId="1999" builtinId="9" hidden="1"/>
    <cellStyle name="Lien hypertexte visité" xfId="2031" builtinId="9" hidden="1"/>
    <cellStyle name="Lien hypertexte visité" xfId="2063" builtinId="9" hidden="1"/>
    <cellStyle name="Lien hypertexte visité" xfId="2095" builtinId="9" hidden="1"/>
    <cellStyle name="Lien hypertexte visité" xfId="2131" builtinId="9" hidden="1"/>
    <cellStyle name="Lien hypertexte visité" xfId="2163" builtinId="9" hidden="1"/>
    <cellStyle name="Lien hypertexte visité" xfId="2195" builtinId="9" hidden="1"/>
    <cellStyle name="Lien hypertexte visité" xfId="1474" builtinId="9" hidden="1"/>
    <cellStyle name="Lien hypertexte visité" xfId="1017" builtinId="9" hidden="1"/>
    <cellStyle name="Lien hypertexte visité" xfId="1081" builtinId="9" hidden="1"/>
    <cellStyle name="Lien hypertexte visité" xfId="1145" builtinId="9" hidden="1"/>
    <cellStyle name="Lien hypertexte visité" xfId="1186" builtinId="9" hidden="1"/>
    <cellStyle name="Lien hypertexte visité" xfId="1222" builtinId="9" hidden="1"/>
    <cellStyle name="Lien hypertexte visité" xfId="1254" builtinId="9" hidden="1"/>
    <cellStyle name="Lien hypertexte visité" xfId="1286" builtinId="9" hidden="1"/>
    <cellStyle name="Lien hypertexte visité" xfId="1318" builtinId="9" hidden="1"/>
    <cellStyle name="Lien hypertexte visité" xfId="1350" builtinId="9" hidden="1"/>
    <cellStyle name="Lien hypertexte visité" xfId="1382" builtinId="9" hidden="1"/>
    <cellStyle name="Lien hypertexte visité" xfId="1414" builtinId="9" hidden="1"/>
    <cellStyle name="Lien hypertexte visité" xfId="625" builtinId="9" hidden="1"/>
    <cellStyle name="Lien hypertexte visité" xfId="689" builtinId="9" hidden="1"/>
    <cellStyle name="Lien hypertexte visité" xfId="753" builtinId="9" hidden="1"/>
    <cellStyle name="Lien hypertexte visité" xfId="817" builtinId="9" hidden="1"/>
    <cellStyle name="Lien hypertexte visité" xfId="881" builtinId="9" hidden="1"/>
    <cellStyle name="Lien hypertexte visité" xfId="945" builtinId="9" hidden="1"/>
    <cellStyle name="Lien hypertexte visité" xfId="473" builtinId="9" hidden="1"/>
    <cellStyle name="Lien hypertexte visité" xfId="537" builtinId="9" hidden="1"/>
    <cellStyle name="Lien hypertexte visité" xfId="337" builtinId="9" hidden="1"/>
    <cellStyle name="Lien hypertexte visité" xfId="401" builtinId="9" hidden="1"/>
    <cellStyle name="Lien hypertexte visité" xfId="329" builtinId="9" hidden="1"/>
    <cellStyle name="Lien hypertexte visité" xfId="281" builtinId="9" hidden="1"/>
    <cellStyle name="Lien hypertexte visité" xfId="289" builtinId="9" hidden="1"/>
    <cellStyle name="Lien hypertexte visité" xfId="361" builtinId="9" hidden="1"/>
    <cellStyle name="Lien hypertexte visité" xfId="561" builtinId="9" hidden="1"/>
    <cellStyle name="Lien hypertexte visité" xfId="497" builtinId="9" hidden="1"/>
    <cellStyle name="Lien hypertexte visité" xfId="433" builtinId="9" hidden="1"/>
    <cellStyle name="Lien hypertexte visité" xfId="905" builtinId="9" hidden="1"/>
    <cellStyle name="Lien hypertexte visité" xfId="841" builtinId="9" hidden="1"/>
    <cellStyle name="Lien hypertexte visité" xfId="777" builtinId="9" hidden="1"/>
    <cellStyle name="Lien hypertexte visité" xfId="713" builtinId="9" hidden="1"/>
    <cellStyle name="Lien hypertexte visité" xfId="649" builtinId="9" hidden="1"/>
    <cellStyle name="Lien hypertexte visité" xfId="1426" builtinId="9" hidden="1"/>
    <cellStyle name="Lien hypertexte visité" xfId="1394" builtinId="9" hidden="1"/>
    <cellStyle name="Lien hypertexte visité" xfId="1362" builtinId="9" hidden="1"/>
    <cellStyle name="Lien hypertexte visité" xfId="1330" builtinId="9" hidden="1"/>
    <cellStyle name="Lien hypertexte visité" xfId="1298" builtinId="9" hidden="1"/>
    <cellStyle name="Lien hypertexte visité" xfId="1266" builtinId="9" hidden="1"/>
    <cellStyle name="Lien hypertexte visité" xfId="1234" builtinId="9" hidden="1"/>
    <cellStyle name="Lien hypertexte visité" xfId="1198" builtinId="9" hidden="1"/>
    <cellStyle name="Lien hypertexte visité" xfId="1166" builtinId="9" hidden="1"/>
    <cellStyle name="Lien hypertexte visité" xfId="1105" builtinId="9" hidden="1"/>
    <cellStyle name="Lien hypertexte visité" xfId="1041" builtinId="9" hidden="1"/>
    <cellStyle name="Lien hypertexte visité" xfId="977" builtinId="9" hidden="1"/>
    <cellStyle name="Lien hypertexte visité" xfId="2115" builtinId="9" hidden="1"/>
    <cellStyle name="Lien hypertexte visité" xfId="2175" builtinId="9" hidden="1"/>
    <cellStyle name="Lien hypertexte visité" xfId="2143" builtinId="9" hidden="1"/>
    <cellStyle name="Lien hypertexte visité" xfId="2107" builtinId="9" hidden="1"/>
    <cellStyle name="Lien hypertexte visité" xfId="2075" builtinId="9" hidden="1"/>
    <cellStyle name="Lien hypertexte visité" xfId="2043" builtinId="9" hidden="1"/>
    <cellStyle name="Lien hypertexte visité" xfId="2011" builtinId="9" hidden="1"/>
    <cellStyle name="Lien hypertexte visité" xfId="1975" builtinId="9" hidden="1"/>
    <cellStyle name="Lien hypertexte visité" xfId="1943" builtinId="9" hidden="1"/>
    <cellStyle name="Lien hypertexte visité" xfId="1911" builtinId="9" hidden="1"/>
    <cellStyle name="Lien hypertexte visité" xfId="1879" builtinId="9" hidden="1"/>
    <cellStyle name="Lien hypertexte visité" xfId="1843" builtinId="9" hidden="1"/>
    <cellStyle name="Lien hypertexte visité" xfId="1811" builtinId="9" hidden="1"/>
    <cellStyle name="Lien hypertexte visité" xfId="1779" builtinId="9" hidden="1"/>
    <cellStyle name="Lien hypertexte visité" xfId="1747" builtinId="9" hidden="1"/>
    <cellStyle name="Lien hypertexte visité" xfId="1711" builtinId="9" hidden="1"/>
    <cellStyle name="Lien hypertexte visité" xfId="1679" builtinId="9" hidden="1"/>
    <cellStyle name="Lien hypertexte visité" xfId="1647" builtinId="9" hidden="1"/>
    <cellStyle name="Lien hypertexte visité" xfId="1615" builtinId="9" hidden="1"/>
    <cellStyle name="Lien hypertexte visité" xfId="1579" builtinId="9" hidden="1"/>
    <cellStyle name="Lien hypertexte visité" xfId="1547" builtinId="9" hidden="1"/>
    <cellStyle name="Lien hypertexte visité" xfId="1515" builtinId="9" hidden="1"/>
    <cellStyle name="Lien hypertexte visité" xfId="1482" builtinId="9" hidden="1"/>
    <cellStyle name="Lien hypertexte visité" xfId="1446" builtinId="9" hidden="1"/>
    <cellStyle name="Lien hypertexte visité" xfId="2435" builtinId="9" hidden="1"/>
    <cellStyle name="Lien hypertexte visité" xfId="2947" builtinId="9" hidden="1"/>
    <cellStyle name="Lien hypertexte visité" xfId="3459" builtinId="9" hidden="1"/>
    <cellStyle name="Lien hypertexte visité" xfId="3925" builtinId="9" hidden="1"/>
    <cellStyle name="Lien hypertexte visité" xfId="3893" builtinId="9" hidden="1"/>
    <cellStyle name="Lien hypertexte visité" xfId="3860" builtinId="9" hidden="1"/>
    <cellStyle name="Lien hypertexte visité" xfId="3824" builtinId="9" hidden="1"/>
    <cellStyle name="Lien hypertexte visité" xfId="3792" builtinId="9" hidden="1"/>
    <cellStyle name="Lien hypertexte visité" xfId="3756" builtinId="9" hidden="1"/>
    <cellStyle name="Lien hypertexte visité" xfId="3720" builtinId="9" hidden="1"/>
    <cellStyle name="Lien hypertexte visité" xfId="3687" builtinId="9" hidden="1"/>
    <cellStyle name="Lien hypertexte visité" xfId="3644" builtinId="9" hidden="1"/>
    <cellStyle name="Lien hypertexte visité" xfId="3612" builtinId="9" hidden="1"/>
    <cellStyle name="Lien hypertexte visité" xfId="3576" builtinId="9" hidden="1"/>
    <cellStyle name="Lien hypertexte visité" xfId="3543" builtinId="9" hidden="1"/>
    <cellStyle name="Lien hypertexte visité" xfId="3507" builtinId="9" hidden="1"/>
    <cellStyle name="Lien hypertexte visité" xfId="3475" builtinId="9" hidden="1"/>
    <cellStyle name="Lien hypertexte visité" xfId="3439" builtinId="9" hidden="1"/>
    <cellStyle name="Lien hypertexte visité" xfId="3407" builtinId="9" hidden="1"/>
    <cellStyle name="Lien hypertexte visité" xfId="3371" builtinId="9" hidden="1"/>
    <cellStyle name="Lien hypertexte visité" xfId="3339" builtinId="9" hidden="1"/>
    <cellStyle name="Lien hypertexte visité" xfId="3303" builtinId="9" hidden="1"/>
    <cellStyle name="Lien hypertexte visité" xfId="3271" builtinId="9" hidden="1"/>
    <cellStyle name="Lien hypertexte visité" xfId="3235" builtinId="9" hidden="1"/>
    <cellStyle name="Lien hypertexte visité" xfId="3199" builtinId="9" hidden="1"/>
    <cellStyle name="Lien hypertexte visité" xfId="3167" builtinId="9" hidden="1"/>
    <cellStyle name="Lien hypertexte visité" xfId="3131" builtinId="9" hidden="1"/>
    <cellStyle name="Lien hypertexte visité" xfId="3099" builtinId="9" hidden="1"/>
    <cellStyle name="Lien hypertexte visité" xfId="3063" builtinId="9" hidden="1"/>
    <cellStyle name="Lien hypertexte visité" xfId="3031" builtinId="9" hidden="1"/>
    <cellStyle name="Lien hypertexte visité" xfId="2995" builtinId="9" hidden="1"/>
    <cellStyle name="Lien hypertexte visité" xfId="2963" builtinId="9" hidden="1"/>
    <cellStyle name="Lien hypertexte visité" xfId="2927" builtinId="9" hidden="1"/>
    <cellStyle name="Lien hypertexte visité" xfId="2895" builtinId="9" hidden="1"/>
    <cellStyle name="Lien hypertexte visité" xfId="2859" builtinId="9" hidden="1"/>
    <cellStyle name="Lien hypertexte visité" xfId="2827" builtinId="9" hidden="1"/>
    <cellStyle name="Lien hypertexte visité" xfId="2791" builtinId="9" hidden="1"/>
    <cellStyle name="Lien hypertexte visité" xfId="2759" builtinId="9" hidden="1"/>
    <cellStyle name="Lien hypertexte visité" xfId="2723" builtinId="9" hidden="1"/>
    <cellStyle name="Lien hypertexte visité" xfId="2687" builtinId="9" hidden="1"/>
    <cellStyle name="Lien hypertexte visité" xfId="2655" builtinId="9" hidden="1"/>
    <cellStyle name="Lien hypertexte visité" xfId="2619" builtinId="9" hidden="1"/>
    <cellStyle name="Lien hypertexte visité" xfId="2587" builtinId="9" hidden="1"/>
    <cellStyle name="Lien hypertexte visité" xfId="2551" builtinId="9" hidden="1"/>
    <cellStyle name="Lien hypertexte visité" xfId="2519" builtinId="9" hidden="1"/>
    <cellStyle name="Lien hypertexte visité" xfId="2483" builtinId="9" hidden="1"/>
    <cellStyle name="Lien hypertexte visité" xfId="2451" builtinId="9" hidden="1"/>
    <cellStyle name="Lien hypertexte visité" xfId="2415" builtinId="9" hidden="1"/>
    <cellStyle name="Lien hypertexte visité" xfId="2383" builtinId="9" hidden="1"/>
    <cellStyle name="Lien hypertexte visité" xfId="2347" builtinId="9" hidden="1"/>
    <cellStyle name="Lien hypertexte visité" xfId="2315" builtinId="9" hidden="1"/>
    <cellStyle name="Lien hypertexte visité" xfId="2279" builtinId="9" hidden="1"/>
    <cellStyle name="Lien hypertexte visité" xfId="2247" builtinId="9" hidden="1"/>
    <cellStyle name="Lien hypertexte visité" xfId="2211" builtinId="9" hidden="1"/>
    <cellStyle name="Lien hypertexte visité" xfId="4137" builtinId="9" hidden="1"/>
    <cellStyle name="Lien hypertexte visité" xfId="4393" builtinId="9" hidden="1"/>
    <cellStyle name="Lien hypertexte visité" xfId="4649" builtinId="9" hidden="1"/>
    <cellStyle name="Lien hypertexte visité" xfId="4905" builtinId="9" hidden="1"/>
    <cellStyle name="Lien hypertexte visité" xfId="5161" builtinId="9" hidden="1"/>
    <cellStyle name="Lien hypertexte visité" xfId="5417" builtinId="9" hidden="1"/>
    <cellStyle name="Lien hypertexte visité" xfId="5673" builtinId="9" hidden="1"/>
    <cellStyle name="Lien hypertexte visité" xfId="5929" builtinId="9" hidden="1"/>
    <cellStyle name="Lien hypertexte visité" xfId="6185" builtinId="9" hidden="1"/>
    <cellStyle name="Lien hypertexte visité" xfId="6441" builtinId="9" hidden="1"/>
    <cellStyle name="Lien hypertexte visité" xfId="6697" builtinId="9" hidden="1"/>
    <cellStyle name="Lien hypertexte visité" xfId="6953" builtinId="9" hidden="1"/>
    <cellStyle name="Lien hypertexte visité" xfId="7209" builtinId="9" hidden="1"/>
    <cellStyle name="Lien hypertexte visité" xfId="7465" builtinId="9" hidden="1"/>
    <cellStyle name="Lien hypertexte visité" xfId="7721" builtinId="9" hidden="1"/>
    <cellStyle name="Lien hypertexte visité" xfId="7978" builtinId="9" hidden="1"/>
    <cellStyle name="Lien hypertexte visité" xfId="8214" builtinId="9" hidden="1"/>
    <cellStyle name="Lien hypertexte visité" xfId="8178" builtinId="9" hidden="1"/>
    <cellStyle name="Lien hypertexte visité" xfId="8142" builtinId="9" hidden="1"/>
    <cellStyle name="Lien hypertexte visité" xfId="8102" builtinId="9" hidden="1"/>
    <cellStyle name="Lien hypertexte visité" xfId="8066" builtinId="9" hidden="1"/>
    <cellStyle name="Lien hypertexte visité" xfId="8030" builtinId="9" hidden="1"/>
    <cellStyle name="Lien hypertexte visité" xfId="7994" builtinId="9" hidden="1"/>
    <cellStyle name="Lien hypertexte visité" xfId="7958" builtinId="9" hidden="1"/>
    <cellStyle name="Lien hypertexte visité" xfId="7922" builtinId="9" hidden="1"/>
    <cellStyle name="Lien hypertexte visité" xfId="7886" builtinId="9" hidden="1"/>
    <cellStyle name="Lien hypertexte visité" xfId="7846" builtinId="9" hidden="1"/>
    <cellStyle name="Lien hypertexte visité" xfId="7810" builtinId="9" hidden="1"/>
    <cellStyle name="Lien hypertexte visité" xfId="7773" builtinId="9" hidden="1"/>
    <cellStyle name="Lien hypertexte visité" xfId="7737" builtinId="9" hidden="1"/>
    <cellStyle name="Lien hypertexte visité" xfId="7701" builtinId="9" hidden="1"/>
    <cellStyle name="Lien hypertexte visité" xfId="7665" builtinId="9" hidden="1"/>
    <cellStyle name="Lien hypertexte visité" xfId="7629" builtinId="9" hidden="1"/>
    <cellStyle name="Lien hypertexte visité" xfId="7589" builtinId="9" hidden="1"/>
    <cellStyle name="Lien hypertexte visité" xfId="7553" builtinId="9" hidden="1"/>
    <cellStyle name="Lien hypertexte visité" xfId="7517" builtinId="9" hidden="1"/>
    <cellStyle name="Lien hypertexte visité" xfId="7481" builtinId="9" hidden="1"/>
    <cellStyle name="Lien hypertexte visité" xfId="7445" builtinId="9" hidden="1"/>
    <cellStyle name="Lien hypertexte visité" xfId="7409" builtinId="9" hidden="1"/>
    <cellStyle name="Lien hypertexte visité" xfId="7373" builtinId="9" hidden="1"/>
    <cellStyle name="Lien hypertexte visité" xfId="7333" builtinId="9" hidden="1"/>
    <cellStyle name="Lien hypertexte visité" xfId="7297" builtinId="9" hidden="1"/>
    <cellStyle name="Lien hypertexte visité" xfId="7261" builtinId="9" hidden="1"/>
    <cellStyle name="Lien hypertexte visité" xfId="7225" builtinId="9" hidden="1"/>
    <cellStyle name="Lien hypertexte visité" xfId="7189" builtinId="9" hidden="1"/>
    <cellStyle name="Lien hypertexte visité" xfId="7153" builtinId="9" hidden="1"/>
    <cellStyle name="Lien hypertexte visité" xfId="7117" builtinId="9" hidden="1"/>
    <cellStyle name="Lien hypertexte visité" xfId="7077" builtinId="9" hidden="1"/>
    <cellStyle name="Lien hypertexte visité" xfId="7041" builtinId="9" hidden="1"/>
    <cellStyle name="Lien hypertexte visité" xfId="7005" builtinId="9" hidden="1"/>
    <cellStyle name="Lien hypertexte visité" xfId="6969" builtinId="9" hidden="1"/>
    <cellStyle name="Lien hypertexte visité" xfId="6933" builtinId="9" hidden="1"/>
    <cellStyle name="Lien hypertexte visité" xfId="6897" builtinId="9" hidden="1"/>
    <cellStyle name="Lien hypertexte visité" xfId="6861" builtinId="9" hidden="1"/>
    <cellStyle name="Lien hypertexte visité" xfId="6821" builtinId="9" hidden="1"/>
    <cellStyle name="Lien hypertexte visité" xfId="6785" builtinId="9" hidden="1"/>
    <cellStyle name="Lien hypertexte visité" xfId="6749" builtinId="9" hidden="1"/>
    <cellStyle name="Lien hypertexte visité" xfId="6713" builtinId="9" hidden="1"/>
    <cellStyle name="Lien hypertexte visité" xfId="6677" builtinId="9" hidden="1"/>
    <cellStyle name="Lien hypertexte visité" xfId="6641" builtinId="9" hidden="1"/>
    <cellStyle name="Lien hypertexte visité" xfId="6605" builtinId="9" hidden="1"/>
    <cellStyle name="Lien hypertexte visité" xfId="6565" builtinId="9" hidden="1"/>
    <cellStyle name="Lien hypertexte visité" xfId="6529" builtinId="9" hidden="1"/>
    <cellStyle name="Lien hypertexte visité" xfId="6493" builtinId="9" hidden="1"/>
    <cellStyle name="Lien hypertexte visité" xfId="6457" builtinId="9" hidden="1"/>
    <cellStyle name="Lien hypertexte visité" xfId="6421" builtinId="9" hidden="1"/>
    <cellStyle name="Lien hypertexte visité" xfId="6385" builtinId="9" hidden="1"/>
    <cellStyle name="Lien hypertexte visité" xfId="6349" builtinId="9" hidden="1"/>
    <cellStyle name="Lien hypertexte visité" xfId="6309" builtinId="9" hidden="1"/>
    <cellStyle name="Lien hypertexte visité" xfId="6273" builtinId="9" hidden="1"/>
    <cellStyle name="Lien hypertexte visité" xfId="6237" builtinId="9" hidden="1"/>
    <cellStyle name="Lien hypertexte visité" xfId="6201" builtinId="9" hidden="1"/>
    <cellStyle name="Lien hypertexte visité" xfId="6165" builtinId="9" hidden="1"/>
    <cellStyle name="Lien hypertexte visité" xfId="6129" builtinId="9" hidden="1"/>
    <cellStyle name="Lien hypertexte visité" xfId="6093" builtinId="9" hidden="1"/>
    <cellStyle name="Lien hypertexte visité" xfId="6053" builtinId="9" hidden="1"/>
    <cellStyle name="Lien hypertexte visité" xfId="6017" builtinId="9" hidden="1"/>
    <cellStyle name="Lien hypertexte visité" xfId="5981" builtinId="9" hidden="1"/>
    <cellStyle name="Lien hypertexte visité" xfId="5945" builtinId="9" hidden="1"/>
    <cellStyle name="Lien hypertexte visité" xfId="5909" builtinId="9" hidden="1"/>
    <cellStyle name="Lien hypertexte visité" xfId="5873" builtinId="9" hidden="1"/>
    <cellStyle name="Lien hypertexte visité" xfId="5837" builtinId="9" hidden="1"/>
    <cellStyle name="Lien hypertexte visité" xfId="5797" builtinId="9" hidden="1"/>
    <cellStyle name="Lien hypertexte visité" xfId="5761" builtinId="9" hidden="1"/>
    <cellStyle name="Lien hypertexte visité" xfId="5725" builtinId="9" hidden="1"/>
    <cellStyle name="Lien hypertexte visité" xfId="5689" builtinId="9" hidden="1"/>
    <cellStyle name="Lien hypertexte visité" xfId="5653" builtinId="9" hidden="1"/>
    <cellStyle name="Lien hypertexte visité" xfId="5617" builtinId="9" hidden="1"/>
    <cellStyle name="Lien hypertexte visité" xfId="5581" builtinId="9" hidden="1"/>
    <cellStyle name="Lien hypertexte visité" xfId="5541" builtinId="9" hidden="1"/>
    <cellStyle name="Lien hypertexte visité" xfId="5505" builtinId="9" hidden="1"/>
    <cellStyle name="Lien hypertexte visité" xfId="5469" builtinId="9" hidden="1"/>
    <cellStyle name="Lien hypertexte visité" xfId="5433" builtinId="9" hidden="1"/>
    <cellStyle name="Lien hypertexte visité" xfId="5397" builtinId="9" hidden="1"/>
    <cellStyle name="Lien hypertexte visité" xfId="5361" builtinId="9" hidden="1"/>
    <cellStyle name="Lien hypertexte visité" xfId="5325" builtinId="9" hidden="1"/>
    <cellStyle name="Lien hypertexte visité" xfId="5285" builtinId="9" hidden="1"/>
    <cellStyle name="Lien hypertexte visité" xfId="5249" builtinId="9" hidden="1"/>
    <cellStyle name="Lien hypertexte visité" xfId="5213" builtinId="9" hidden="1"/>
    <cellStyle name="Lien hypertexte visité" xfId="5177" builtinId="9" hidden="1"/>
    <cellStyle name="Lien hypertexte visité" xfId="5141" builtinId="9" hidden="1"/>
    <cellStyle name="Lien hypertexte visité" xfId="5105" builtinId="9" hidden="1"/>
    <cellStyle name="Lien hypertexte visité" xfId="5069" builtinId="9" hidden="1"/>
    <cellStyle name="Lien hypertexte visité" xfId="5029" builtinId="9" hidden="1"/>
    <cellStyle name="Lien hypertexte visité" xfId="4993" builtinId="9" hidden="1"/>
    <cellStyle name="Lien hypertexte visité" xfId="4957" builtinId="9" hidden="1"/>
    <cellStyle name="Lien hypertexte visité" xfId="4921" builtinId="9" hidden="1"/>
    <cellStyle name="Lien hypertexte visité" xfId="4885" builtinId="9" hidden="1"/>
    <cellStyle name="Lien hypertexte visité" xfId="4849" builtinId="9" hidden="1"/>
    <cellStyle name="Lien hypertexte visité" xfId="4813" builtinId="9" hidden="1"/>
    <cellStyle name="Lien hypertexte visité" xfId="4773" builtinId="9" hidden="1"/>
    <cellStyle name="Lien hypertexte visité" xfId="4737" builtinId="9" hidden="1"/>
    <cellStyle name="Lien hypertexte visité" xfId="4701" builtinId="9" hidden="1"/>
    <cellStyle name="Lien hypertexte visité" xfId="4665" builtinId="9" hidden="1"/>
    <cellStyle name="Lien hypertexte visité" xfId="4629" builtinId="9" hidden="1"/>
    <cellStyle name="Lien hypertexte visité" xfId="4593" builtinId="9" hidden="1"/>
    <cellStyle name="Lien hypertexte visité" xfId="4557" builtinId="9" hidden="1"/>
    <cellStyle name="Lien hypertexte visité" xfId="4517" builtinId="9" hidden="1"/>
    <cellStyle name="Lien hypertexte visité" xfId="4481" builtinId="9" hidden="1"/>
    <cellStyle name="Lien hypertexte visité" xfId="4445" builtinId="9" hidden="1"/>
    <cellStyle name="Lien hypertexte visité" xfId="4409" builtinId="9" hidden="1"/>
    <cellStyle name="Lien hypertexte visité" xfId="4373" builtinId="9" hidden="1"/>
    <cellStyle name="Lien hypertexte visité" xfId="4337" builtinId="9" hidden="1"/>
    <cellStyle name="Lien hypertexte visité" xfId="4301" builtinId="9" hidden="1"/>
    <cellStyle name="Lien hypertexte visité" xfId="4261" builtinId="9" hidden="1"/>
    <cellStyle name="Lien hypertexte visité" xfId="4225" builtinId="9" hidden="1"/>
    <cellStyle name="Lien hypertexte visité" xfId="4189" builtinId="9" hidden="1"/>
    <cellStyle name="Lien hypertexte visité" xfId="4153" builtinId="9" hidden="1"/>
    <cellStyle name="Lien hypertexte visité" xfId="4117" builtinId="9" hidden="1"/>
    <cellStyle name="Lien hypertexte visité" xfId="4081" builtinId="9" hidden="1"/>
    <cellStyle name="Lien hypertexte visité" xfId="4045" builtinId="9" hidden="1"/>
    <cellStyle name="Lien hypertexte visité" xfId="4005" builtinId="9" hidden="1"/>
    <cellStyle name="Lien hypertexte visité" xfId="3969" builtinId="9" hidden="1"/>
    <cellStyle name="Lien hypertexte visité" xfId="3933" builtinId="9" hidden="1"/>
    <cellStyle name="Lien hypertexte visité" xfId="8314" builtinId="9" hidden="1"/>
    <cellStyle name="Lien hypertexte visité" xfId="8442" builtinId="9" hidden="1"/>
    <cellStyle name="Lien hypertexte visité" xfId="8570" builtinId="9" hidden="1"/>
    <cellStyle name="Lien hypertexte visité" xfId="8698" builtinId="9" hidden="1"/>
    <cellStyle name="Lien hypertexte visité" xfId="8826" builtinId="9" hidden="1"/>
    <cellStyle name="Lien hypertexte visité" xfId="8954" builtinId="9" hidden="1"/>
    <cellStyle name="Lien hypertexte visité" xfId="9082" builtinId="9" hidden="1"/>
    <cellStyle name="Lien hypertexte visité" xfId="9210" builtinId="9" hidden="1"/>
    <cellStyle name="Lien hypertexte visité" xfId="9338" builtinId="9" hidden="1"/>
    <cellStyle name="Lien hypertexte visité" xfId="9466" builtinId="9" hidden="1"/>
    <cellStyle name="Lien hypertexte visité" xfId="9594" builtinId="9" hidden="1"/>
    <cellStyle name="Lien hypertexte visité" xfId="9722" builtinId="9" hidden="1"/>
    <cellStyle name="Lien hypertexte visité" xfId="9850" builtinId="9" hidden="1"/>
    <cellStyle name="Lien hypertexte visité" xfId="9978" builtinId="9" hidden="1"/>
    <cellStyle name="Lien hypertexte visité" xfId="10106" builtinId="9" hidden="1"/>
    <cellStyle name="Lien hypertexte visité" xfId="10234" builtinId="9" hidden="1"/>
    <cellStyle name="Lien hypertexte visité" xfId="10362" builtinId="9" hidden="1"/>
    <cellStyle name="Lien hypertexte visité" xfId="10490" builtinId="9" hidden="1"/>
    <cellStyle name="Lien hypertexte visité" xfId="10618" builtinId="9" hidden="1"/>
    <cellStyle name="Lien hypertexte visité" xfId="10746" builtinId="9" hidden="1"/>
    <cellStyle name="Lien hypertexte visité" xfId="10874" builtinId="9" hidden="1"/>
    <cellStyle name="Lien hypertexte visité" xfId="11002" builtinId="9" hidden="1"/>
    <cellStyle name="Lien hypertexte visité" xfId="11130" builtinId="9" hidden="1"/>
    <cellStyle name="Lien hypertexte visité" xfId="11258" builtinId="9" hidden="1"/>
    <cellStyle name="Lien hypertexte visité" xfId="19014" builtinId="9" hidden="1"/>
    <cellStyle name="Lien hypertexte visité" xfId="18918" builtinId="9" hidden="1"/>
    <cellStyle name="Lien hypertexte visité" xfId="18854" builtinId="9" hidden="1"/>
    <cellStyle name="Lien hypertexte visité" xfId="18758" builtinId="9" hidden="1"/>
    <cellStyle name="Lien hypertexte visité" xfId="18662" builtinId="9" hidden="1"/>
    <cellStyle name="Lien hypertexte visité" xfId="18598" builtinId="9" hidden="1"/>
    <cellStyle name="Lien hypertexte visité" xfId="18502" builtinId="9" hidden="1"/>
    <cellStyle name="Lien hypertexte visité" xfId="18406" builtinId="9" hidden="1"/>
    <cellStyle name="Lien hypertexte visité" xfId="18342" builtinId="9" hidden="1"/>
    <cellStyle name="Lien hypertexte visité" xfId="18263" builtinId="9" hidden="1"/>
    <cellStyle name="Lien hypertexte visité" xfId="18167" builtinId="9" hidden="1"/>
    <cellStyle name="Lien hypertexte visité" xfId="18103" builtinId="9" hidden="1"/>
    <cellStyle name="Lien hypertexte visité" xfId="18007" builtinId="9" hidden="1"/>
    <cellStyle name="Lien hypertexte visité" xfId="17911" builtinId="9" hidden="1"/>
    <cellStyle name="Lien hypertexte visité" xfId="17847" builtinId="9" hidden="1"/>
    <cellStyle name="Lien hypertexte visité" xfId="17751" builtinId="9" hidden="1"/>
    <cellStyle name="Lien hypertexte visité" xfId="17655" builtinId="9" hidden="1"/>
    <cellStyle name="Lien hypertexte visité" xfId="17591" builtinId="9" hidden="1"/>
    <cellStyle name="Lien hypertexte visité" xfId="17495" builtinId="9" hidden="1"/>
    <cellStyle name="Lien hypertexte visité" xfId="17399" builtinId="9" hidden="1"/>
    <cellStyle name="Lien hypertexte visité" xfId="17335" builtinId="9" hidden="1"/>
    <cellStyle name="Lien hypertexte visité" xfId="17239" builtinId="9" hidden="1"/>
    <cellStyle name="Lien hypertexte visité" xfId="17143" builtinId="9" hidden="1"/>
    <cellStyle name="Lien hypertexte visité" xfId="17079" builtinId="9" hidden="1"/>
    <cellStyle name="Lien hypertexte visité" xfId="16983" builtinId="9" hidden="1"/>
    <cellStyle name="Lien hypertexte visité" xfId="16887" builtinId="9" hidden="1"/>
    <cellStyle name="Lien hypertexte visité" xfId="16823" builtinId="9" hidden="1"/>
    <cellStyle name="Lien hypertexte visité" xfId="16727" builtinId="9" hidden="1"/>
    <cellStyle name="Lien hypertexte visité" xfId="16631" builtinId="9" hidden="1"/>
    <cellStyle name="Lien hypertexte visité" xfId="16567" builtinId="9" hidden="1"/>
    <cellStyle name="Lien hypertexte visité" xfId="16471" builtinId="9" hidden="1"/>
    <cellStyle name="Lien hypertexte visité" xfId="16375" builtinId="9" hidden="1"/>
    <cellStyle name="Lien hypertexte visité" xfId="16311" builtinId="9" hidden="1"/>
    <cellStyle name="Lien hypertexte visité" xfId="16215" builtinId="9" hidden="1"/>
    <cellStyle name="Lien hypertexte visité" xfId="16119" builtinId="9" hidden="1"/>
    <cellStyle name="Lien hypertexte visité" xfId="16055" builtinId="9" hidden="1"/>
    <cellStyle name="Lien hypertexte visité" xfId="15959" builtinId="9" hidden="1"/>
    <cellStyle name="Lien hypertexte visité" xfId="15863" builtinId="9" hidden="1"/>
    <cellStyle name="Lien hypertexte visité" xfId="15799" builtinId="9" hidden="1"/>
    <cellStyle name="Lien hypertexte visité" xfId="15703" builtinId="9" hidden="1"/>
    <cellStyle name="Lien hypertexte visité" xfId="15607" builtinId="9" hidden="1"/>
    <cellStyle name="Lien hypertexte visité" xfId="15543" builtinId="9" hidden="1"/>
    <cellStyle name="Lien hypertexte visité" xfId="15447" builtinId="9" hidden="1"/>
    <cellStyle name="Lien hypertexte visité" xfId="15351" builtinId="9" hidden="1"/>
    <cellStyle name="Lien hypertexte visité" xfId="15287" builtinId="9" hidden="1"/>
    <cellStyle name="Lien hypertexte visité" xfId="15191" builtinId="9" hidden="1"/>
    <cellStyle name="Lien hypertexte visité" xfId="15095" builtinId="9" hidden="1"/>
    <cellStyle name="Lien hypertexte visité" xfId="15031" builtinId="9" hidden="1"/>
    <cellStyle name="Lien hypertexte visité" xfId="14935" builtinId="9" hidden="1"/>
    <cellStyle name="Lien hypertexte visité" xfId="14839" builtinId="9" hidden="1"/>
    <cellStyle name="Lien hypertexte visité" xfId="14775" builtinId="9" hidden="1"/>
    <cellStyle name="Lien hypertexte visité" xfId="14679" builtinId="9" hidden="1"/>
    <cellStyle name="Lien hypertexte visité" xfId="14583" builtinId="9" hidden="1"/>
    <cellStyle name="Lien hypertexte visité" xfId="14519" builtinId="9" hidden="1"/>
    <cellStyle name="Lien hypertexte visité" xfId="14469" builtinId="9" hidden="1"/>
    <cellStyle name="Lien hypertexte visité" xfId="14421" builtinId="9" hidden="1"/>
    <cellStyle name="Lien hypertexte visité" xfId="14389" builtinId="9" hidden="1"/>
    <cellStyle name="Lien hypertexte visité" xfId="14341" builtinId="9" hidden="1"/>
    <cellStyle name="Lien hypertexte visité" xfId="14293" builtinId="9" hidden="1"/>
    <cellStyle name="Lien hypertexte visité" xfId="14261" builtinId="9" hidden="1"/>
    <cellStyle name="Lien hypertexte visité" xfId="14213" builtinId="9" hidden="1"/>
    <cellStyle name="Lien hypertexte visité" xfId="14165" builtinId="9" hidden="1"/>
    <cellStyle name="Lien hypertexte visité" xfId="14133" builtinId="9" hidden="1"/>
    <cellStyle name="Lien hypertexte visité" xfId="14085" builtinId="9" hidden="1"/>
    <cellStyle name="Lien hypertexte visité" xfId="14037" builtinId="9" hidden="1"/>
    <cellStyle name="Lien hypertexte visité" xfId="14005" builtinId="9" hidden="1"/>
    <cellStyle name="Lien hypertexte visité" xfId="13957" builtinId="9" hidden="1"/>
    <cellStyle name="Lien hypertexte visité" xfId="13909" builtinId="9" hidden="1"/>
    <cellStyle name="Lien hypertexte visité" xfId="13877" builtinId="9" hidden="1"/>
    <cellStyle name="Lien hypertexte visité" xfId="13829" builtinId="9" hidden="1"/>
    <cellStyle name="Lien hypertexte visité" xfId="13781" builtinId="9" hidden="1"/>
    <cellStyle name="Lien hypertexte visité" xfId="13749" builtinId="9" hidden="1"/>
    <cellStyle name="Lien hypertexte visité" xfId="13701" builtinId="9" hidden="1"/>
    <cellStyle name="Lien hypertexte visité" xfId="13653" builtinId="9" hidden="1"/>
    <cellStyle name="Lien hypertexte visité" xfId="13621" builtinId="9" hidden="1"/>
    <cellStyle name="Lien hypertexte visité" xfId="13573" builtinId="9" hidden="1"/>
    <cellStyle name="Lien hypertexte visité" xfId="13525" builtinId="9" hidden="1"/>
    <cellStyle name="Lien hypertexte visité" xfId="13493" builtinId="9" hidden="1"/>
    <cellStyle name="Lien hypertexte visité" xfId="13445" builtinId="9" hidden="1"/>
    <cellStyle name="Lien hypertexte visité" xfId="13397" builtinId="9" hidden="1"/>
    <cellStyle name="Lien hypertexte visité" xfId="13365" builtinId="9" hidden="1"/>
    <cellStyle name="Lien hypertexte visité" xfId="13317" builtinId="9" hidden="1"/>
    <cellStyle name="Lien hypertexte visité" xfId="13269" builtinId="9" hidden="1"/>
    <cellStyle name="Lien hypertexte visité" xfId="13237" builtinId="9" hidden="1"/>
    <cellStyle name="Lien hypertexte visité" xfId="13189" builtinId="9" hidden="1"/>
    <cellStyle name="Lien hypertexte visité" xfId="13141" builtinId="9" hidden="1"/>
    <cellStyle name="Lien hypertexte visité" xfId="13109" builtinId="9" hidden="1"/>
    <cellStyle name="Lien hypertexte visité" xfId="13061" builtinId="9" hidden="1"/>
    <cellStyle name="Lien hypertexte visité" xfId="13013" builtinId="9" hidden="1"/>
    <cellStyle name="Lien hypertexte visité" xfId="12981" builtinId="9" hidden="1"/>
    <cellStyle name="Lien hypertexte visité" xfId="12933" builtinId="9" hidden="1"/>
    <cellStyle name="Lien hypertexte visité" xfId="12885" builtinId="9" hidden="1"/>
    <cellStyle name="Lien hypertexte visité" xfId="12853" builtinId="9" hidden="1"/>
    <cellStyle name="Lien hypertexte visité" xfId="12805" builtinId="9" hidden="1"/>
    <cellStyle name="Lien hypertexte visité" xfId="12757" builtinId="9" hidden="1"/>
    <cellStyle name="Lien hypertexte visité" xfId="12725" builtinId="9" hidden="1"/>
    <cellStyle name="Lien hypertexte visité" xfId="12677" builtinId="9" hidden="1"/>
    <cellStyle name="Lien hypertexte visité" xfId="12629" builtinId="9" hidden="1"/>
    <cellStyle name="Lien hypertexte visité" xfId="12597" builtinId="9" hidden="1"/>
    <cellStyle name="Lien hypertexte visité" xfId="12549" builtinId="9" hidden="1"/>
    <cellStyle name="Lien hypertexte visité" xfId="12501" builtinId="9" hidden="1"/>
    <cellStyle name="Lien hypertexte visité" xfId="12469" builtinId="9" hidden="1"/>
    <cellStyle name="Lien hypertexte visité" xfId="12421" builtinId="9" hidden="1"/>
    <cellStyle name="Lien hypertexte visité" xfId="12373" builtinId="9" hidden="1"/>
    <cellStyle name="Lien hypertexte visité" xfId="12341" builtinId="9" hidden="1"/>
    <cellStyle name="Lien hypertexte visité" xfId="12293" builtinId="9" hidden="1"/>
    <cellStyle name="Lien hypertexte visité" xfId="12245" builtinId="9" hidden="1"/>
    <cellStyle name="Lien hypertexte visité" xfId="12213" builtinId="9" hidden="1"/>
    <cellStyle name="Lien hypertexte visité" xfId="12165" builtinId="9" hidden="1"/>
    <cellStyle name="Lien hypertexte visité" xfId="12117" builtinId="9" hidden="1"/>
    <cellStyle name="Lien hypertexte visité" xfId="12085" builtinId="9" hidden="1"/>
    <cellStyle name="Lien hypertexte visité" xfId="12037" builtinId="9" hidden="1"/>
    <cellStyle name="Lien hypertexte visité" xfId="11989" builtinId="9" hidden="1"/>
    <cellStyle name="Lien hypertexte visité" xfId="11957" builtinId="9" hidden="1"/>
    <cellStyle name="Lien hypertexte visité" xfId="11909" builtinId="9" hidden="1"/>
    <cellStyle name="Lien hypertexte visité" xfId="11861" builtinId="9" hidden="1"/>
    <cellStyle name="Lien hypertexte visité" xfId="11829" builtinId="9" hidden="1"/>
    <cellStyle name="Lien hypertexte visité" xfId="11781" builtinId="9" hidden="1"/>
    <cellStyle name="Lien hypertexte visité" xfId="11733" builtinId="9" hidden="1"/>
    <cellStyle name="Lien hypertexte visité" xfId="11701" builtinId="9" hidden="1"/>
    <cellStyle name="Lien hypertexte visité" xfId="11653" builtinId="9" hidden="1"/>
    <cellStyle name="Lien hypertexte visité" xfId="11605" builtinId="9" hidden="1"/>
    <cellStyle name="Lien hypertexte visité" xfId="11573" builtinId="9" hidden="1"/>
    <cellStyle name="Lien hypertexte visité" xfId="11525" builtinId="9" hidden="1"/>
    <cellStyle name="Lien hypertexte visité" xfId="11477" builtinId="9" hidden="1"/>
    <cellStyle name="Lien hypertexte visité" xfId="11445" builtinId="9" hidden="1"/>
    <cellStyle name="Lien hypertexte visité" xfId="11397" builtinId="9" hidden="1"/>
    <cellStyle name="Lien hypertexte visité" xfId="11349" builtinId="9" hidden="1"/>
    <cellStyle name="Lien hypertexte visité" xfId="11317" builtinId="9" hidden="1"/>
    <cellStyle name="Lien hypertexte visité" xfId="11269" builtinId="9" hidden="1"/>
    <cellStyle name="Lien hypertexte visité" xfId="11221" builtinId="9" hidden="1"/>
    <cellStyle name="Lien hypertexte visité" xfId="11189" builtinId="9" hidden="1"/>
    <cellStyle name="Lien hypertexte visité" xfId="11141" builtinId="9" hidden="1"/>
    <cellStyle name="Lien hypertexte visité" xfId="11093" builtinId="9" hidden="1"/>
    <cellStyle name="Lien hypertexte visité" xfId="11061" builtinId="9" hidden="1"/>
    <cellStyle name="Lien hypertexte visité" xfId="11013" builtinId="9" hidden="1"/>
    <cellStyle name="Lien hypertexte visité" xfId="10965" builtinId="9" hidden="1"/>
    <cellStyle name="Lien hypertexte visité" xfId="10933" builtinId="9" hidden="1"/>
    <cellStyle name="Lien hypertexte visité" xfId="10885" builtinId="9" hidden="1"/>
    <cellStyle name="Lien hypertexte visité" xfId="10837" builtinId="9" hidden="1"/>
    <cellStyle name="Lien hypertexte visité" xfId="10805" builtinId="9" hidden="1"/>
    <cellStyle name="Lien hypertexte visité" xfId="10757" builtinId="9" hidden="1"/>
    <cellStyle name="Lien hypertexte visité" xfId="10709" builtinId="9" hidden="1"/>
    <cellStyle name="Lien hypertexte visité" xfId="10677" builtinId="9" hidden="1"/>
    <cellStyle name="Lien hypertexte visité" xfId="10629" builtinId="9" hidden="1"/>
    <cellStyle name="Lien hypertexte visité" xfId="10581" builtinId="9" hidden="1"/>
    <cellStyle name="Lien hypertexte visité" xfId="10549" builtinId="9" hidden="1"/>
    <cellStyle name="Lien hypertexte visité" xfId="10501" builtinId="9" hidden="1"/>
    <cellStyle name="Lien hypertexte visité" xfId="10453" builtinId="9" hidden="1"/>
    <cellStyle name="Lien hypertexte visité" xfId="10421" builtinId="9" hidden="1"/>
    <cellStyle name="Lien hypertexte visité" xfId="10373" builtinId="9" hidden="1"/>
    <cellStyle name="Lien hypertexte visité" xfId="10325" builtinId="9" hidden="1"/>
    <cellStyle name="Lien hypertexte visité" xfId="10293" builtinId="9" hidden="1"/>
    <cellStyle name="Lien hypertexte visité" xfId="10245" builtinId="9" hidden="1"/>
    <cellStyle name="Lien hypertexte visité" xfId="10197" builtinId="9" hidden="1"/>
    <cellStyle name="Lien hypertexte visité" xfId="10165" builtinId="9" hidden="1"/>
    <cellStyle name="Lien hypertexte visité" xfId="10117" builtinId="9" hidden="1"/>
    <cellStyle name="Lien hypertexte visité" xfId="10069" builtinId="9" hidden="1"/>
    <cellStyle name="Lien hypertexte visité" xfId="10037" builtinId="9" hidden="1"/>
    <cellStyle name="Lien hypertexte visité" xfId="9989" builtinId="9" hidden="1"/>
    <cellStyle name="Lien hypertexte visité" xfId="9941" builtinId="9" hidden="1"/>
    <cellStyle name="Lien hypertexte visité" xfId="9909" builtinId="9" hidden="1"/>
    <cellStyle name="Lien hypertexte visité" xfId="9861" builtinId="9" hidden="1"/>
    <cellStyle name="Lien hypertexte visité" xfId="9813" builtinId="9" hidden="1"/>
    <cellStyle name="Lien hypertexte visité" xfId="9781" builtinId="9" hidden="1"/>
    <cellStyle name="Lien hypertexte visité" xfId="9733" builtinId="9" hidden="1"/>
    <cellStyle name="Lien hypertexte visité" xfId="9685" builtinId="9" hidden="1"/>
    <cellStyle name="Lien hypertexte visité" xfId="9653" builtinId="9" hidden="1"/>
    <cellStyle name="Lien hypertexte visité" xfId="9605" builtinId="9" hidden="1"/>
    <cellStyle name="Lien hypertexte visité" xfId="9557" builtinId="9" hidden="1"/>
    <cellStyle name="Lien hypertexte visité" xfId="9525" builtinId="9" hidden="1"/>
    <cellStyle name="Lien hypertexte visité" xfId="9477" builtinId="9" hidden="1"/>
    <cellStyle name="Lien hypertexte visité" xfId="9429" builtinId="9" hidden="1"/>
    <cellStyle name="Lien hypertexte visité" xfId="9397" builtinId="9" hidden="1"/>
    <cellStyle name="Lien hypertexte visité" xfId="9349" builtinId="9" hidden="1"/>
    <cellStyle name="Lien hypertexte visité" xfId="9301" builtinId="9" hidden="1"/>
    <cellStyle name="Lien hypertexte visité" xfId="9269" builtinId="9" hidden="1"/>
    <cellStyle name="Lien hypertexte visité" xfId="9221" builtinId="9" hidden="1"/>
    <cellStyle name="Lien hypertexte visité" xfId="9173" builtinId="9" hidden="1"/>
    <cellStyle name="Lien hypertexte visité" xfId="9141" builtinId="9" hidden="1"/>
    <cellStyle name="Lien hypertexte visité" xfId="9093" builtinId="9" hidden="1"/>
    <cellStyle name="Lien hypertexte visité" xfId="9045" builtinId="9" hidden="1"/>
    <cellStyle name="Lien hypertexte visité" xfId="9013" builtinId="9" hidden="1"/>
    <cellStyle name="Lien hypertexte visité" xfId="8965" builtinId="9" hidden="1"/>
    <cellStyle name="Lien hypertexte visité" xfId="8917" builtinId="9" hidden="1"/>
    <cellStyle name="Lien hypertexte visité" xfId="8885" builtinId="9" hidden="1"/>
    <cellStyle name="Lien hypertexte visité" xfId="8837" builtinId="9" hidden="1"/>
    <cellStyle name="Lien hypertexte visité" xfId="8789" builtinId="9" hidden="1"/>
    <cellStyle name="Lien hypertexte visité" xfId="8757" builtinId="9" hidden="1"/>
    <cellStyle name="Lien hypertexte visité" xfId="8709" builtinId="9" hidden="1"/>
    <cellStyle name="Lien hypertexte visité" xfId="8661" builtinId="9" hidden="1"/>
    <cellStyle name="Lien hypertexte visité" xfId="8629" builtinId="9" hidden="1"/>
    <cellStyle name="Lien hypertexte visité" xfId="8581" builtinId="9" hidden="1"/>
    <cellStyle name="Lien hypertexte visité" xfId="8533" builtinId="9" hidden="1"/>
    <cellStyle name="Lien hypertexte visité" xfId="8501" builtinId="9" hidden="1"/>
    <cellStyle name="Lien hypertexte visité" xfId="8453" builtinId="9" hidden="1"/>
    <cellStyle name="Lien hypertexte visité" xfId="8405" builtinId="9" hidden="1"/>
    <cellStyle name="Lien hypertexte visité" xfId="8373" builtinId="9" hidden="1"/>
    <cellStyle name="Lien hypertexte visité" xfId="8325" builtinId="9" hidden="1"/>
    <cellStyle name="Lien hypertexte visité" xfId="8277" builtinId="9" hidden="1"/>
    <cellStyle name="Lien hypertexte visité" xfId="8245" builtinId="9" hidden="1"/>
    <cellStyle name="Lien hypertexte visité" xfId="8197" builtinId="9" hidden="1"/>
    <cellStyle name="Lien hypertexte visité" xfId="8149" builtinId="9" hidden="1"/>
    <cellStyle name="Lien hypertexte visité" xfId="8117" builtinId="9" hidden="1"/>
    <cellStyle name="Lien hypertexte visité" xfId="8069" builtinId="9" hidden="1"/>
    <cellStyle name="Lien hypertexte visité" xfId="8021" builtinId="9" hidden="1"/>
    <cellStyle name="Lien hypertexte visité" xfId="7989" builtinId="9" hidden="1"/>
    <cellStyle name="Lien hypertexte visité" xfId="7941" builtinId="9" hidden="1"/>
    <cellStyle name="Lien hypertexte visité" xfId="7893" builtinId="9" hidden="1"/>
    <cellStyle name="Lien hypertexte visité" xfId="7861" builtinId="9" hidden="1"/>
    <cellStyle name="Lien hypertexte visité" xfId="7813" builtinId="9" hidden="1"/>
    <cellStyle name="Lien hypertexte visité" xfId="7764" builtinId="9" hidden="1"/>
    <cellStyle name="Lien hypertexte visité" xfId="7732" builtinId="9" hidden="1"/>
    <cellStyle name="Lien hypertexte visité" xfId="7684" builtinId="9" hidden="1"/>
    <cellStyle name="Lien hypertexte visité" xfId="7636" builtinId="9" hidden="1"/>
    <cellStyle name="Lien hypertexte visité" xfId="7604" builtinId="9" hidden="1"/>
    <cellStyle name="Lien hypertexte visité" xfId="7556" builtinId="9" hidden="1"/>
    <cellStyle name="Lien hypertexte visité" xfId="7508" builtinId="9" hidden="1"/>
    <cellStyle name="Lien hypertexte visité" xfId="7476" builtinId="9" hidden="1"/>
    <cellStyle name="Lien hypertexte visité" xfId="7428" builtinId="9" hidden="1"/>
    <cellStyle name="Lien hypertexte visité" xfId="7380" builtinId="9" hidden="1"/>
    <cellStyle name="Lien hypertexte visité" xfId="7348" builtinId="9" hidden="1"/>
    <cellStyle name="Lien hypertexte visité" xfId="7300" builtinId="9" hidden="1"/>
    <cellStyle name="Lien hypertexte visité" xfId="7252" builtinId="9" hidden="1"/>
    <cellStyle name="Lien hypertexte visité" xfId="7220" builtinId="9" hidden="1"/>
    <cellStyle name="Lien hypertexte visité" xfId="7172" builtinId="9" hidden="1"/>
    <cellStyle name="Lien hypertexte visité" xfId="7124" builtinId="9" hidden="1"/>
    <cellStyle name="Lien hypertexte visité" xfId="7092" builtinId="9" hidden="1"/>
    <cellStyle name="Lien hypertexte visité" xfId="7044" builtinId="9" hidden="1"/>
    <cellStyle name="Lien hypertexte visité" xfId="6996" builtinId="9" hidden="1"/>
    <cellStyle name="Lien hypertexte visité" xfId="6964" builtinId="9" hidden="1"/>
    <cellStyle name="Lien hypertexte visité" xfId="6916" builtinId="9" hidden="1"/>
    <cellStyle name="Lien hypertexte visité" xfId="6868" builtinId="9" hidden="1"/>
    <cellStyle name="Lien hypertexte visité" xfId="6836" builtinId="9" hidden="1"/>
    <cellStyle name="Lien hypertexte visité" xfId="6788" builtinId="9" hidden="1"/>
    <cellStyle name="Lien hypertexte visité" xfId="6740" builtinId="9" hidden="1"/>
    <cellStyle name="Lien hypertexte visité" xfId="6708" builtinId="9" hidden="1"/>
    <cellStyle name="Lien hypertexte visité" xfId="6660" builtinId="9" hidden="1"/>
    <cellStyle name="Lien hypertexte visité" xfId="6612" builtinId="9" hidden="1"/>
    <cellStyle name="Lien hypertexte visité" xfId="6580" builtinId="9" hidden="1"/>
    <cellStyle name="Lien hypertexte visité" xfId="6532" builtinId="9" hidden="1"/>
    <cellStyle name="Lien hypertexte visité" xfId="6484" builtinId="9" hidden="1"/>
    <cellStyle name="Lien hypertexte visité" xfId="6452" builtinId="9" hidden="1"/>
    <cellStyle name="Lien hypertexte visité" xfId="6404" builtinId="9" hidden="1"/>
    <cellStyle name="Lien hypertexte visité" xfId="6356" builtinId="9" hidden="1"/>
    <cellStyle name="Lien hypertexte visité" xfId="6324" builtinId="9" hidden="1"/>
    <cellStyle name="Lien hypertexte visité" xfId="6276" builtinId="9" hidden="1"/>
    <cellStyle name="Lien hypertexte visité" xfId="6228" builtinId="9" hidden="1"/>
    <cellStyle name="Lien hypertexte visité" xfId="6196" builtinId="9" hidden="1"/>
    <cellStyle name="Lien hypertexte visité" xfId="6148" builtinId="9" hidden="1"/>
    <cellStyle name="Lien hypertexte visité" xfId="6100" builtinId="9" hidden="1"/>
    <cellStyle name="Lien hypertexte visité" xfId="6068" builtinId="9" hidden="1"/>
    <cellStyle name="Lien hypertexte visité" xfId="6020" builtinId="9" hidden="1"/>
    <cellStyle name="Lien hypertexte visité" xfId="5972" builtinId="9" hidden="1"/>
    <cellStyle name="Lien hypertexte visité" xfId="5940" builtinId="9" hidden="1"/>
    <cellStyle name="Lien hypertexte visité" xfId="5892" builtinId="9" hidden="1"/>
    <cellStyle name="Lien hypertexte visité" xfId="5844" builtinId="9" hidden="1"/>
    <cellStyle name="Lien hypertexte visité" xfId="5812" builtinId="9" hidden="1"/>
    <cellStyle name="Lien hypertexte visité" xfId="5764" builtinId="9" hidden="1"/>
    <cellStyle name="Lien hypertexte visité" xfId="5716" builtinId="9" hidden="1"/>
    <cellStyle name="Lien hypertexte visité" xfId="5684" builtinId="9" hidden="1"/>
    <cellStyle name="Lien hypertexte visité" xfId="5636" builtinId="9" hidden="1"/>
    <cellStyle name="Lien hypertexte visité" xfId="5588" builtinId="9" hidden="1"/>
    <cellStyle name="Lien hypertexte visité" xfId="5556" builtinId="9" hidden="1"/>
    <cellStyle name="Lien hypertexte visité" xfId="5508" builtinId="9" hidden="1"/>
    <cellStyle name="Lien hypertexte visité" xfId="5460" builtinId="9" hidden="1"/>
    <cellStyle name="Lien hypertexte visité" xfId="5428" builtinId="9" hidden="1"/>
    <cellStyle name="Lien hypertexte visité" xfId="5380" builtinId="9" hidden="1"/>
    <cellStyle name="Lien hypertexte visité" xfId="5332" builtinId="9" hidden="1"/>
    <cellStyle name="Lien hypertexte visité" xfId="5300" builtinId="9" hidden="1"/>
    <cellStyle name="Lien hypertexte visité" xfId="5252" builtinId="9" hidden="1"/>
    <cellStyle name="Lien hypertexte visité" xfId="5204" builtinId="9" hidden="1"/>
    <cellStyle name="Lien hypertexte visité" xfId="5172" builtinId="9" hidden="1"/>
    <cellStyle name="Lien hypertexte visité" xfId="5124" builtinId="9" hidden="1"/>
    <cellStyle name="Lien hypertexte visité" xfId="5076" builtinId="9" hidden="1"/>
    <cellStyle name="Lien hypertexte visité" xfId="5044" builtinId="9" hidden="1"/>
    <cellStyle name="Lien hypertexte visité" xfId="4996" builtinId="9" hidden="1"/>
    <cellStyle name="Lien hypertexte visité" xfId="4948" builtinId="9" hidden="1"/>
    <cellStyle name="Lien hypertexte visité" xfId="4916" builtinId="9" hidden="1"/>
    <cellStyle name="Lien hypertexte visité" xfId="4868" builtinId="9" hidden="1"/>
    <cellStyle name="Lien hypertexte visité" xfId="4820" builtinId="9" hidden="1"/>
    <cellStyle name="Lien hypertexte visité" xfId="4788" builtinId="9" hidden="1"/>
    <cellStyle name="Lien hypertexte visité" xfId="4740" builtinId="9" hidden="1"/>
    <cellStyle name="Lien hypertexte visité" xfId="4692" builtinId="9" hidden="1"/>
    <cellStyle name="Lien hypertexte visité" xfId="4660" builtinId="9" hidden="1"/>
    <cellStyle name="Lien hypertexte visité" xfId="4612" builtinId="9" hidden="1"/>
    <cellStyle name="Lien hypertexte visité" xfId="4564" builtinId="9" hidden="1"/>
    <cellStyle name="Lien hypertexte visité" xfId="4532" builtinId="9" hidden="1"/>
    <cellStyle name="Lien hypertexte visité" xfId="4484" builtinId="9" hidden="1"/>
    <cellStyle name="Lien hypertexte visité" xfId="4436" builtinId="9" hidden="1"/>
    <cellStyle name="Lien hypertexte visité" xfId="4404" builtinId="9" hidden="1"/>
    <cellStyle name="Lien hypertexte visité" xfId="4356" builtinId="9" hidden="1"/>
    <cellStyle name="Lien hypertexte visité" xfId="4308" builtinId="9" hidden="1"/>
    <cellStyle name="Lien hypertexte visité" xfId="4276" builtinId="9" hidden="1"/>
    <cellStyle name="Lien hypertexte visité" xfId="4228" builtinId="9" hidden="1"/>
    <cellStyle name="Lien hypertexte visité" xfId="4180" builtinId="9" hidden="1"/>
    <cellStyle name="Lien hypertexte visité" xfId="4148" builtinId="9" hidden="1"/>
    <cellStyle name="Lien hypertexte visité" xfId="4100" builtinId="9" hidden="1"/>
    <cellStyle name="Lien hypertexte visité" xfId="4052" builtinId="9" hidden="1"/>
    <cellStyle name="Lien hypertexte visité" xfId="4020" builtinId="9" hidden="1"/>
    <cellStyle name="Lien hypertexte visité" xfId="3972" builtinId="9" hidden="1"/>
    <cellStyle name="Lien hypertexte visité" xfId="1155" builtinId="9" hidden="1"/>
    <cellStyle name="Lien hypertexte visité" xfId="3896" builtinId="9" hidden="1"/>
    <cellStyle name="Lien hypertexte visité" xfId="3847" builtinId="9" hidden="1"/>
    <cellStyle name="Lien hypertexte visité" xfId="3799" builtinId="9" hidden="1"/>
    <cellStyle name="Lien hypertexte visité" xfId="3767" builtinId="9" hidden="1"/>
    <cellStyle name="Lien hypertexte visité" xfId="3719" builtinId="9" hidden="1"/>
    <cellStyle name="Lien hypertexte visité" xfId="3668" builtinId="9" hidden="1"/>
    <cellStyle name="Lien hypertexte visité" xfId="3631" builtinId="9" hidden="1"/>
    <cellStyle name="Lien hypertexte visité" xfId="3583" builtinId="9" hidden="1"/>
    <cellStyle name="Lien hypertexte visité" xfId="3534" builtinId="9" hidden="1"/>
    <cellStyle name="Lien hypertexte visité" xfId="3502" builtinId="9" hidden="1"/>
    <cellStyle name="Lien hypertexte visité" xfId="3454" builtinId="9" hidden="1"/>
    <cellStyle name="Lien hypertexte visité" xfId="3406" builtinId="9" hidden="1"/>
    <cellStyle name="Lien hypertexte visité" xfId="3374" builtinId="9" hidden="1"/>
    <cellStyle name="Lien hypertexte visité" xfId="3326" builtinId="9" hidden="1"/>
    <cellStyle name="Lien hypertexte visité" xfId="3278" builtinId="9" hidden="1"/>
    <cellStyle name="Lien hypertexte visité" xfId="3246" builtinId="9" hidden="1"/>
    <cellStyle name="Lien hypertexte visité" xfId="3198" builtinId="9" hidden="1"/>
    <cellStyle name="Lien hypertexte visité" xfId="3150" builtinId="9" hidden="1"/>
    <cellStyle name="Lien hypertexte visité" xfId="3118" builtinId="9" hidden="1"/>
    <cellStyle name="Lien hypertexte visité" xfId="3070" builtinId="9" hidden="1"/>
    <cellStyle name="Lien hypertexte visité" xfId="3022" builtinId="9" hidden="1"/>
    <cellStyle name="Lien hypertexte visité" xfId="2990" builtinId="9" hidden="1"/>
    <cellStyle name="Lien hypertexte visité" xfId="2942" builtinId="9" hidden="1"/>
    <cellStyle name="Lien hypertexte visité" xfId="2894" builtinId="9" hidden="1"/>
    <cellStyle name="Lien hypertexte visité" xfId="2862" builtinId="9" hidden="1"/>
    <cellStyle name="Lien hypertexte visité" xfId="2814" builtinId="9" hidden="1"/>
    <cellStyle name="Lien hypertexte visité" xfId="2766" builtinId="9" hidden="1"/>
    <cellStyle name="Lien hypertexte visité" xfId="2734" builtinId="9" hidden="1"/>
    <cellStyle name="Lien hypertexte visité" xfId="2686" builtinId="9" hidden="1"/>
    <cellStyle name="Lien hypertexte visité" xfId="2638" builtinId="9" hidden="1"/>
    <cellStyle name="Lien hypertexte visité" xfId="2606" builtinId="9" hidden="1"/>
    <cellStyle name="Lien hypertexte visité" xfId="2558" builtinId="9" hidden="1"/>
    <cellStyle name="Lien hypertexte visité" xfId="2510" builtinId="9" hidden="1"/>
    <cellStyle name="Lien hypertexte visité" xfId="2478" builtinId="9" hidden="1"/>
    <cellStyle name="Lien hypertexte visité" xfId="2430" builtinId="9" hidden="1"/>
    <cellStyle name="Lien hypertexte visité" xfId="2382" builtinId="9" hidden="1"/>
    <cellStyle name="Lien hypertexte visité" xfId="2350" builtinId="9" hidden="1"/>
    <cellStyle name="Lien hypertexte visité" xfId="2302" builtinId="9" hidden="1"/>
    <cellStyle name="Lien hypertexte visité" xfId="2254" builtinId="9" hidden="1"/>
    <cellStyle name="Lien hypertexte visité" xfId="2222" builtinId="9" hidden="1"/>
    <cellStyle name="Lien hypertexte visité" xfId="2174" builtinId="9" hidden="1"/>
    <cellStyle name="Lien hypertexte visité" xfId="2126" builtinId="9" hidden="1"/>
    <cellStyle name="Lien hypertexte visité" xfId="2094" builtinId="9" hidden="1"/>
    <cellStyle name="Lien hypertexte visité" xfId="2046" builtinId="9" hidden="1"/>
    <cellStyle name="Lien hypertexte visité" xfId="1998" builtinId="9" hidden="1"/>
    <cellStyle name="Lien hypertexte visité" xfId="1966" builtinId="9" hidden="1"/>
    <cellStyle name="Lien hypertexte visité" xfId="1918" builtinId="9" hidden="1"/>
    <cellStyle name="Lien hypertexte visité" xfId="1870" builtinId="9" hidden="1"/>
    <cellStyle name="Lien hypertexte visité" xfId="1838" builtinId="9" hidden="1"/>
    <cellStyle name="Lien hypertexte visité" xfId="1790" builtinId="9" hidden="1"/>
    <cellStyle name="Lien hypertexte visité" xfId="1742" builtinId="9" hidden="1"/>
    <cellStyle name="Lien hypertexte visité" xfId="1710" builtinId="9" hidden="1"/>
    <cellStyle name="Lien hypertexte visité" xfId="1662" builtinId="9" hidden="1"/>
    <cellStyle name="Lien hypertexte visité" xfId="1614" builtinId="9" hidden="1"/>
    <cellStyle name="Lien hypertexte visité" xfId="1582" builtinId="9" hidden="1"/>
    <cellStyle name="Lien hypertexte visité" xfId="1534" builtinId="9" hidden="1"/>
    <cellStyle name="Lien hypertexte visité" xfId="1485" builtinId="9" hidden="1"/>
    <cellStyle name="Lien hypertexte visité" xfId="1453" builtinId="9" hidden="1"/>
    <cellStyle name="Lien hypertexte visité" xfId="1405" builtinId="9" hidden="1"/>
    <cellStyle name="Lien hypertexte visité" xfId="1357" builtinId="9" hidden="1"/>
    <cellStyle name="Lien hypertexte visité" xfId="1325" builtinId="9" hidden="1"/>
    <cellStyle name="Lien hypertexte visité" xfId="1277" builtinId="9" hidden="1"/>
    <cellStyle name="Lien hypertexte visité" xfId="1229" builtinId="9" hidden="1"/>
    <cellStyle name="Lien hypertexte visité" xfId="1197" builtinId="9" hidden="1"/>
    <cellStyle name="Lien hypertexte visité" xfId="1135" builtinId="9" hidden="1"/>
    <cellStyle name="Lien hypertexte visité" xfId="1039" builtinId="9" hidden="1"/>
    <cellStyle name="Lien hypertexte visité" xfId="975" builtinId="9" hidden="1"/>
    <cellStyle name="Lien hypertexte visité" xfId="879" builtinId="9" hidden="1"/>
    <cellStyle name="Lien hypertexte visité" xfId="783" builtinId="9" hidden="1"/>
    <cellStyle name="Lien hypertexte visité" xfId="719" builtinId="9" hidden="1"/>
    <cellStyle name="Lien hypertexte visité" xfId="623" builtinId="9" hidden="1"/>
    <cellStyle name="Lien hypertexte visité" xfId="527" builtinId="9" hidden="1"/>
    <cellStyle name="Lien hypertexte visité" xfId="463" builtinId="9" hidden="1"/>
    <cellStyle name="Lien hypertexte visité" xfId="367" builtinId="9" hidden="1"/>
    <cellStyle name="Lien hypertexte visité" xfId="271" builtinId="9" hidden="1"/>
    <cellStyle name="Lien hypertexte visité" xfId="207" builtinId="9" hidden="1"/>
    <cellStyle name="Lien hypertexte visité" xfId="73" builtinId="9" hidden="1"/>
    <cellStyle name="Lien hypertexte visité" xfId="65" builtinId="9" hidden="1"/>
    <cellStyle name="Lien hypertexte visité" xfId="61" builtinId="9" hidden="1"/>
    <cellStyle name="Lien hypertexte visité" xfId="115" builtinId="9" hidden="1"/>
    <cellStyle name="Lien hypertexte visité" xfId="211" builtinId="9" hidden="1"/>
    <cellStyle name="Lien hypertexte visité" xfId="275" builtinId="9" hidden="1"/>
    <cellStyle name="Lien hypertexte visité" xfId="371" builtinId="9" hidden="1"/>
    <cellStyle name="Lien hypertexte visité" xfId="467" builtinId="9" hidden="1"/>
    <cellStyle name="Lien hypertexte visité" xfId="531" builtinId="9" hidden="1"/>
    <cellStyle name="Lien hypertexte visité" xfId="627" builtinId="9" hidden="1"/>
    <cellStyle name="Lien hypertexte visité" xfId="723" builtinId="9" hidden="1"/>
    <cellStyle name="Lien hypertexte visité" xfId="787" builtinId="9" hidden="1"/>
    <cellStyle name="Lien hypertexte visité" xfId="883" builtinId="9" hidden="1"/>
    <cellStyle name="Lien hypertexte visité" xfId="979" builtinId="9" hidden="1"/>
    <cellStyle name="Lien hypertexte visité" xfId="1043" builtinId="9" hidden="1"/>
    <cellStyle name="Lien hypertexte visité" xfId="1139" builtinId="9" hidden="1"/>
    <cellStyle name="Lien hypertexte visité" xfId="1199" builtinId="9" hidden="1"/>
    <cellStyle name="Lien hypertexte visité" xfId="1231" builtinId="9" hidden="1"/>
    <cellStyle name="Lien hypertexte visité" xfId="1279" builtinId="9" hidden="1"/>
    <cellStyle name="Lien hypertexte visité" xfId="1327" builtinId="9" hidden="1"/>
    <cellStyle name="Lien hypertexte visité" xfId="1359" builtinId="9" hidden="1"/>
    <cellStyle name="Lien hypertexte visité" xfId="1407" builtinId="9" hidden="1"/>
    <cellStyle name="Lien hypertexte visité" xfId="1455" builtinId="9" hidden="1"/>
    <cellStyle name="Lien hypertexte visité" xfId="1487" builtinId="9" hidden="1"/>
    <cellStyle name="Lien hypertexte visité" xfId="1536" builtinId="9" hidden="1"/>
    <cellStyle name="Lien hypertexte visité" xfId="1584" builtinId="9" hidden="1"/>
    <cellStyle name="Lien hypertexte visité" xfId="1616" builtinId="9" hidden="1"/>
    <cellStyle name="Lien hypertexte visité" xfId="1664" builtinId="9" hidden="1"/>
    <cellStyle name="Lien hypertexte visité" xfId="1712" builtinId="9" hidden="1"/>
    <cellStyle name="Lien hypertexte visité" xfId="1744" builtinId="9" hidden="1"/>
    <cellStyle name="Lien hypertexte visité" xfId="1792" builtinId="9" hidden="1"/>
    <cellStyle name="Lien hypertexte visité" xfId="1840" builtinId="9" hidden="1"/>
    <cellStyle name="Lien hypertexte visité" xfId="1872" builtinId="9" hidden="1"/>
    <cellStyle name="Lien hypertexte visité" xfId="1920" builtinId="9" hidden="1"/>
    <cellStyle name="Lien hypertexte visité" xfId="1968" builtinId="9" hidden="1"/>
    <cellStyle name="Lien hypertexte visité" xfId="2000" builtinId="9" hidden="1"/>
    <cellStyle name="Lien hypertexte visité" xfId="2048" builtinId="9" hidden="1"/>
    <cellStyle name="Lien hypertexte visité" xfId="2096" builtinId="9" hidden="1"/>
    <cellStyle name="Lien hypertexte visité" xfId="2128" builtinId="9" hidden="1"/>
    <cellStyle name="Lien hypertexte visité" xfId="2176" builtinId="9" hidden="1"/>
    <cellStyle name="Lien hypertexte visité" xfId="2224" builtinId="9" hidden="1"/>
    <cellStyle name="Lien hypertexte visité" xfId="2256" builtinId="9" hidden="1"/>
    <cellStyle name="Lien hypertexte visité" xfId="2304" builtinId="9" hidden="1"/>
    <cellStyle name="Lien hypertexte visité" xfId="2352" builtinId="9" hidden="1"/>
    <cellStyle name="Lien hypertexte visité" xfId="2384" builtinId="9" hidden="1"/>
    <cellStyle name="Lien hypertexte visité" xfId="2432" builtinId="9" hidden="1"/>
    <cellStyle name="Lien hypertexte visité" xfId="2480" builtinId="9" hidden="1"/>
    <cellStyle name="Lien hypertexte visité" xfId="2512" builtinId="9" hidden="1"/>
    <cellStyle name="Lien hypertexte visité" xfId="2560" builtinId="9" hidden="1"/>
    <cellStyle name="Lien hypertexte visité" xfId="2608" builtinId="9" hidden="1"/>
    <cellStyle name="Lien hypertexte visité" xfId="2640" builtinId="9" hidden="1"/>
    <cellStyle name="Lien hypertexte visité" xfId="2688" builtinId="9" hidden="1"/>
    <cellStyle name="Lien hypertexte visité" xfId="2736" builtinId="9" hidden="1"/>
    <cellStyle name="Lien hypertexte visité" xfId="2768" builtinId="9" hidden="1"/>
    <cellStyle name="Lien hypertexte visité" xfId="2816" builtinId="9" hidden="1"/>
    <cellStyle name="Lien hypertexte visité" xfId="2864" builtinId="9" hidden="1"/>
    <cellStyle name="Lien hypertexte visité" xfId="2896" builtinId="9" hidden="1"/>
    <cellStyle name="Lien hypertexte visité" xfId="2944" builtinId="9" hidden="1"/>
    <cellStyle name="Lien hypertexte visité" xfId="2992" builtinId="9" hidden="1"/>
    <cellStyle name="Lien hypertexte visité" xfId="3024" builtinId="9" hidden="1"/>
    <cellStyle name="Lien hypertexte visité" xfId="3072" builtinId="9" hidden="1"/>
    <cellStyle name="Lien hypertexte visité" xfId="3120" builtinId="9" hidden="1"/>
    <cellStyle name="Lien hypertexte visité" xfId="3152" builtinId="9" hidden="1"/>
    <cellStyle name="Lien hypertexte visité" xfId="3200" builtinId="9" hidden="1"/>
    <cellStyle name="Lien hypertexte visité" xfId="3248" builtinId="9" hidden="1"/>
    <cellStyle name="Lien hypertexte visité" xfId="3280" builtinId="9" hidden="1"/>
    <cellStyle name="Lien hypertexte visité" xfId="3328" builtinId="9" hidden="1"/>
    <cellStyle name="Lien hypertexte visité" xfId="3376" builtinId="9" hidden="1"/>
    <cellStyle name="Lien hypertexte visité" xfId="3408" builtinId="9" hidden="1"/>
    <cellStyle name="Lien hypertexte visité" xfId="3456" builtinId="9" hidden="1"/>
    <cellStyle name="Lien hypertexte visité" xfId="3504" builtinId="9" hidden="1"/>
    <cellStyle name="Lien hypertexte visité" xfId="3536" builtinId="9" hidden="1"/>
    <cellStyle name="Lien hypertexte visité" xfId="3585" builtinId="9" hidden="1"/>
    <cellStyle name="Lien hypertexte visité" xfId="3633" builtinId="9" hidden="1"/>
    <cellStyle name="Lien hypertexte visité" xfId="3670" builtinId="9" hidden="1"/>
    <cellStyle name="Lien hypertexte visité" xfId="3721" builtinId="9" hidden="1"/>
    <cellStyle name="Lien hypertexte visité" xfId="3769" builtinId="9" hidden="1"/>
    <cellStyle name="Lien hypertexte visité" xfId="3801" builtinId="9" hidden="1"/>
    <cellStyle name="Lien hypertexte visité" xfId="3849" builtinId="9" hidden="1"/>
    <cellStyle name="Lien hypertexte visité" xfId="3898" builtinId="9" hidden="1"/>
    <cellStyle name="Lien hypertexte visité" xfId="3926" builtinId="9" hidden="1"/>
    <cellStyle name="Lien hypertexte visité" xfId="3974" builtinId="9" hidden="1"/>
    <cellStyle name="Lien hypertexte visité" xfId="4022" builtinId="9" hidden="1"/>
    <cellStyle name="Lien hypertexte visité" xfId="4054" builtinId="9" hidden="1"/>
    <cellStyle name="Lien hypertexte visité" xfId="4102" builtinId="9" hidden="1"/>
    <cellStyle name="Lien hypertexte visité" xfId="4150" builtinId="9" hidden="1"/>
    <cellStyle name="Lien hypertexte visité" xfId="4182" builtinId="9" hidden="1"/>
    <cellStyle name="Lien hypertexte visité" xfId="4230" builtinId="9" hidden="1"/>
    <cellStyle name="Lien hypertexte visité" xfId="4278" builtinId="9" hidden="1"/>
    <cellStyle name="Lien hypertexte visité" xfId="4310" builtinId="9" hidden="1"/>
    <cellStyle name="Lien hypertexte visité" xfId="4358" builtinId="9" hidden="1"/>
    <cellStyle name="Lien hypertexte visité" xfId="4406" builtinId="9" hidden="1"/>
    <cellStyle name="Lien hypertexte visité" xfId="4438" builtinId="9" hidden="1"/>
    <cellStyle name="Lien hypertexte visité" xfId="4486" builtinId="9" hidden="1"/>
    <cellStyle name="Lien hypertexte visité" xfId="4534" builtinId="9" hidden="1"/>
    <cellStyle name="Lien hypertexte visité" xfId="4566" builtinId="9" hidden="1"/>
    <cellStyle name="Lien hypertexte visité" xfId="4614" builtinId="9" hidden="1"/>
    <cellStyle name="Lien hypertexte visité" xfId="4662" builtinId="9" hidden="1"/>
    <cellStyle name="Lien hypertexte visité" xfId="4694" builtinId="9" hidden="1"/>
    <cellStyle name="Lien hypertexte visité" xfId="4742" builtinId="9" hidden="1"/>
    <cellStyle name="Lien hypertexte visité" xfId="4790" builtinId="9" hidden="1"/>
    <cellStyle name="Lien hypertexte visité" xfId="4822" builtinId="9" hidden="1"/>
    <cellStyle name="Lien hypertexte visité" xfId="4870" builtinId="9" hidden="1"/>
    <cellStyle name="Lien hypertexte visité" xfId="4918" builtinId="9" hidden="1"/>
    <cellStyle name="Lien hypertexte visité" xfId="4950" builtinId="9" hidden="1"/>
    <cellStyle name="Lien hypertexte visité" xfId="4998" builtinId="9" hidden="1"/>
    <cellStyle name="Lien hypertexte visité" xfId="5046" builtinId="9" hidden="1"/>
    <cellStyle name="Lien hypertexte visité" xfId="5078" builtinId="9" hidden="1"/>
    <cellStyle name="Lien hypertexte visité" xfId="5126" builtinId="9" hidden="1"/>
    <cellStyle name="Lien hypertexte visité" xfId="5174" builtinId="9" hidden="1"/>
    <cellStyle name="Lien hypertexte visité" xfId="5206" builtinId="9" hidden="1"/>
    <cellStyle name="Lien hypertexte visité" xfId="5254" builtinId="9" hidden="1"/>
    <cellStyle name="Lien hypertexte visité" xfId="5302" builtinId="9" hidden="1"/>
    <cellStyle name="Lien hypertexte visité" xfId="5334" builtinId="9" hidden="1"/>
    <cellStyle name="Lien hypertexte visité" xfId="5382" builtinId="9" hidden="1"/>
    <cellStyle name="Lien hypertexte visité" xfId="5430" builtinId="9" hidden="1"/>
    <cellStyle name="Lien hypertexte visité" xfId="5462" builtinId="9" hidden="1"/>
    <cellStyle name="Lien hypertexte visité" xfId="5510" builtinId="9" hidden="1"/>
    <cellStyle name="Lien hypertexte visité" xfId="5558" builtinId="9" hidden="1"/>
    <cellStyle name="Lien hypertexte visité" xfId="5590" builtinId="9" hidden="1"/>
    <cellStyle name="Lien hypertexte visité" xfId="5638" builtinId="9" hidden="1"/>
    <cellStyle name="Lien hypertexte visité" xfId="5686" builtinId="9" hidden="1"/>
    <cellStyle name="Lien hypertexte visité" xfId="5718" builtinId="9" hidden="1"/>
    <cellStyle name="Lien hypertexte visité" xfId="5766" builtinId="9" hidden="1"/>
    <cellStyle name="Lien hypertexte visité" xfId="5814" builtinId="9" hidden="1"/>
    <cellStyle name="Lien hypertexte visité" xfId="5846" builtinId="9" hidden="1"/>
    <cellStyle name="Lien hypertexte visité" xfId="5894" builtinId="9" hidden="1"/>
    <cellStyle name="Lien hypertexte visité" xfId="5942" builtinId="9" hidden="1"/>
    <cellStyle name="Lien hypertexte visité" xfId="5974" builtinId="9" hidden="1"/>
    <cellStyle name="Lien hypertexte visité" xfId="6022" builtinId="9" hidden="1"/>
    <cellStyle name="Lien hypertexte visité" xfId="6070" builtinId="9" hidden="1"/>
    <cellStyle name="Lien hypertexte visité" xfId="6102" builtinId="9" hidden="1"/>
    <cellStyle name="Lien hypertexte visité" xfId="6150" builtinId="9" hidden="1"/>
    <cellStyle name="Lien hypertexte visité" xfId="6198" builtinId="9" hidden="1"/>
    <cellStyle name="Lien hypertexte visité" xfId="6230" builtinId="9" hidden="1"/>
    <cellStyle name="Lien hypertexte visité" xfId="6278" builtinId="9" hidden="1"/>
    <cellStyle name="Lien hypertexte visité" xfId="6326" builtinId="9" hidden="1"/>
    <cellStyle name="Lien hypertexte visité" xfId="6358" builtinId="9" hidden="1"/>
    <cellStyle name="Lien hypertexte visité" xfId="6406" builtinId="9" hidden="1"/>
    <cellStyle name="Lien hypertexte visité" xfId="6454" builtinId="9" hidden="1"/>
    <cellStyle name="Lien hypertexte visité" xfId="6486" builtinId="9" hidden="1"/>
    <cellStyle name="Lien hypertexte visité" xfId="6534" builtinId="9" hidden="1"/>
    <cellStyle name="Lien hypertexte visité" xfId="6582" builtinId="9" hidden="1"/>
    <cellStyle name="Lien hypertexte visité" xfId="6614" builtinId="9" hidden="1"/>
    <cellStyle name="Lien hypertexte visité" xfId="6662" builtinId="9" hidden="1"/>
    <cellStyle name="Lien hypertexte visité" xfId="6710" builtinId="9" hidden="1"/>
    <cellStyle name="Lien hypertexte visité" xfId="6742" builtinId="9" hidden="1"/>
    <cellStyle name="Lien hypertexte visité" xfId="6790" builtinId="9" hidden="1"/>
    <cellStyle name="Lien hypertexte visité" xfId="6838" builtinId="9" hidden="1"/>
    <cellStyle name="Lien hypertexte visité" xfId="6870" builtinId="9" hidden="1"/>
    <cellStyle name="Lien hypertexte visité" xfId="6918" builtinId="9" hidden="1"/>
    <cellStyle name="Lien hypertexte visité" xfId="6966" builtinId="9" hidden="1"/>
    <cellStyle name="Lien hypertexte visité" xfId="6998" builtinId="9" hidden="1"/>
    <cellStyle name="Lien hypertexte visité" xfId="7046" builtinId="9" hidden="1"/>
    <cellStyle name="Lien hypertexte visité" xfId="7094" builtinId="9" hidden="1"/>
    <cellStyle name="Lien hypertexte visité" xfId="7126" builtinId="9" hidden="1"/>
    <cellStyle name="Lien hypertexte visité" xfId="7174" builtinId="9" hidden="1"/>
    <cellStyle name="Lien hypertexte visité" xfId="7222" builtinId="9" hidden="1"/>
    <cellStyle name="Lien hypertexte visité" xfId="7254" builtinId="9" hidden="1"/>
    <cellStyle name="Lien hypertexte visité" xfId="7302" builtinId="9" hidden="1"/>
    <cellStyle name="Lien hypertexte visité" xfId="7350" builtinId="9" hidden="1"/>
    <cellStyle name="Lien hypertexte visité" xfId="7382" builtinId="9" hidden="1"/>
    <cellStyle name="Lien hypertexte visité" xfId="7430" builtinId="9" hidden="1"/>
    <cellStyle name="Lien hypertexte visité" xfId="7478" builtinId="9" hidden="1"/>
    <cellStyle name="Lien hypertexte visité" xfId="7510" builtinId="9" hidden="1"/>
    <cellStyle name="Lien hypertexte visité" xfId="7558" builtinId="9" hidden="1"/>
    <cellStyle name="Lien hypertexte visité" xfId="7606" builtinId="9" hidden="1"/>
    <cellStyle name="Lien hypertexte visité" xfId="7638" builtinId="9" hidden="1"/>
    <cellStyle name="Lien hypertexte visité" xfId="7686" builtinId="9" hidden="1"/>
    <cellStyle name="Lien hypertexte visité" xfId="7734" builtinId="9" hidden="1"/>
    <cellStyle name="Lien hypertexte visité" xfId="7766" builtinId="9" hidden="1"/>
    <cellStyle name="Lien hypertexte visité" xfId="7815" builtinId="9" hidden="1"/>
    <cellStyle name="Lien hypertexte visité" xfId="7863" builtinId="9" hidden="1"/>
    <cellStyle name="Lien hypertexte visité" xfId="7895" builtinId="9" hidden="1"/>
    <cellStyle name="Lien hypertexte visité" xfId="7943" builtinId="9" hidden="1"/>
    <cellStyle name="Lien hypertexte visité" xfId="7991" builtinId="9" hidden="1"/>
    <cellStyle name="Lien hypertexte visité" xfId="8023" builtinId="9" hidden="1"/>
    <cellStyle name="Lien hypertexte visité" xfId="8071" builtinId="9" hidden="1"/>
    <cellStyle name="Lien hypertexte visité" xfId="8119" builtinId="9" hidden="1"/>
    <cellStyle name="Lien hypertexte visité" xfId="8151" builtinId="9" hidden="1"/>
    <cellStyle name="Lien hypertexte visité" xfId="8199" builtinId="9" hidden="1"/>
    <cellStyle name="Lien hypertexte visité" xfId="8247" builtinId="9" hidden="1"/>
    <cellStyle name="Lien hypertexte visité" xfId="8279" builtinId="9" hidden="1"/>
    <cellStyle name="Lien hypertexte visité" xfId="8327" builtinId="9" hidden="1"/>
    <cellStyle name="Lien hypertexte visité" xfId="8375" builtinId="9" hidden="1"/>
    <cellStyle name="Lien hypertexte visité" xfId="8407" builtinId="9" hidden="1"/>
    <cellStyle name="Lien hypertexte visité" xfId="8455" builtinId="9" hidden="1"/>
    <cellStyle name="Lien hypertexte visité" xfId="8503" builtinId="9" hidden="1"/>
    <cellStyle name="Lien hypertexte visité" xfId="8535" builtinId="9" hidden="1"/>
    <cellStyle name="Lien hypertexte visité" xfId="8583" builtinId="9" hidden="1"/>
    <cellStyle name="Lien hypertexte visité" xfId="8631" builtinId="9" hidden="1"/>
    <cellStyle name="Lien hypertexte visité" xfId="8663" builtinId="9" hidden="1"/>
    <cellStyle name="Lien hypertexte visité" xfId="8711" builtinId="9" hidden="1"/>
    <cellStyle name="Lien hypertexte visité" xfId="8759" builtinId="9" hidden="1"/>
    <cellStyle name="Lien hypertexte visité" xfId="8791" builtinId="9" hidden="1"/>
    <cellStyle name="Lien hypertexte visité" xfId="8839" builtinId="9" hidden="1"/>
    <cellStyle name="Lien hypertexte visité" xfId="8887" builtinId="9" hidden="1"/>
    <cellStyle name="Lien hypertexte visité" xfId="8919" builtinId="9" hidden="1"/>
    <cellStyle name="Lien hypertexte visité" xfId="8967" builtinId="9" hidden="1"/>
    <cellStyle name="Lien hypertexte visité" xfId="9015" builtinId="9" hidden="1"/>
    <cellStyle name="Lien hypertexte visité" xfId="9047" builtinId="9" hidden="1"/>
    <cellStyle name="Lien hypertexte visité" xfId="9095" builtinId="9" hidden="1"/>
    <cellStyle name="Lien hypertexte visité" xfId="9143" builtinId="9" hidden="1"/>
    <cellStyle name="Lien hypertexte visité" xfId="9175" builtinId="9" hidden="1"/>
    <cellStyle name="Lien hypertexte visité" xfId="9223" builtinId="9" hidden="1"/>
    <cellStyle name="Lien hypertexte visité" xfId="9271" builtinId="9" hidden="1"/>
    <cellStyle name="Lien hypertexte visité" xfId="9303" builtinId="9" hidden="1"/>
    <cellStyle name="Lien hypertexte visité" xfId="9351" builtinId="9" hidden="1"/>
    <cellStyle name="Lien hypertexte visité" xfId="9399" builtinId="9" hidden="1"/>
    <cellStyle name="Lien hypertexte visité" xfId="9431" builtinId="9" hidden="1"/>
    <cellStyle name="Lien hypertexte visité" xfId="9479" builtinId="9" hidden="1"/>
    <cellStyle name="Lien hypertexte visité" xfId="9527" builtinId="9" hidden="1"/>
    <cellStyle name="Lien hypertexte visité" xfId="9559" builtinId="9" hidden="1"/>
    <cellStyle name="Lien hypertexte visité" xfId="9607" builtinId="9" hidden="1"/>
    <cellStyle name="Lien hypertexte visité" xfId="9655" builtinId="9" hidden="1"/>
    <cellStyle name="Lien hypertexte visité" xfId="9687" builtinId="9" hidden="1"/>
    <cellStyle name="Lien hypertexte visité" xfId="9735" builtinId="9" hidden="1"/>
    <cellStyle name="Lien hypertexte visité" xfId="9783" builtinId="9" hidden="1"/>
    <cellStyle name="Lien hypertexte visité" xfId="9815" builtinId="9" hidden="1"/>
    <cellStyle name="Lien hypertexte visité" xfId="9863" builtinId="9" hidden="1"/>
    <cellStyle name="Lien hypertexte visité" xfId="9911" builtinId="9" hidden="1"/>
    <cellStyle name="Lien hypertexte visité" xfId="9943" builtinId="9" hidden="1"/>
    <cellStyle name="Lien hypertexte visité" xfId="9991" builtinId="9" hidden="1"/>
    <cellStyle name="Lien hypertexte visité" xfId="10039" builtinId="9" hidden="1"/>
    <cellStyle name="Lien hypertexte visité" xfId="10071" builtinId="9" hidden="1"/>
    <cellStyle name="Lien hypertexte visité" xfId="10119" builtinId="9" hidden="1"/>
    <cellStyle name="Lien hypertexte visité" xfId="10167" builtinId="9" hidden="1"/>
    <cellStyle name="Lien hypertexte visité" xfId="10199" builtinId="9" hidden="1"/>
    <cellStyle name="Lien hypertexte visité" xfId="10247" builtinId="9" hidden="1"/>
    <cellStyle name="Lien hypertexte visité" xfId="10295" builtinId="9" hidden="1"/>
    <cellStyle name="Lien hypertexte visité" xfId="10327" builtinId="9" hidden="1"/>
    <cellStyle name="Lien hypertexte visité" xfId="10375" builtinId="9" hidden="1"/>
    <cellStyle name="Lien hypertexte visité" xfId="10423" builtinId="9" hidden="1"/>
    <cellStyle name="Lien hypertexte visité" xfId="10455" builtinId="9" hidden="1"/>
    <cellStyle name="Lien hypertexte visité" xfId="10503" builtinId="9" hidden="1"/>
    <cellStyle name="Lien hypertexte visité" xfId="10551" builtinId="9" hidden="1"/>
    <cellStyle name="Lien hypertexte visité" xfId="10583" builtinId="9" hidden="1"/>
    <cellStyle name="Lien hypertexte visité" xfId="10631" builtinId="9" hidden="1"/>
    <cellStyle name="Lien hypertexte visité" xfId="10679" builtinId="9" hidden="1"/>
    <cellStyle name="Lien hypertexte visité" xfId="10711" builtinId="9" hidden="1"/>
    <cellStyle name="Lien hypertexte visité" xfId="10759" builtinId="9" hidden="1"/>
    <cellStyle name="Lien hypertexte visité" xfId="10807" builtinId="9" hidden="1"/>
    <cellStyle name="Lien hypertexte visité" xfId="10839" builtinId="9" hidden="1"/>
    <cellStyle name="Lien hypertexte visité" xfId="10887" builtinId="9" hidden="1"/>
    <cellStyle name="Lien hypertexte visité" xfId="10935" builtinId="9" hidden="1"/>
    <cellStyle name="Lien hypertexte visité" xfId="10967" builtinId="9" hidden="1"/>
    <cellStyle name="Lien hypertexte visité" xfId="11015" builtinId="9" hidden="1"/>
    <cellStyle name="Lien hypertexte visité" xfId="11063" builtinId="9" hidden="1"/>
    <cellStyle name="Lien hypertexte visité" xfId="11095" builtinId="9" hidden="1"/>
    <cellStyle name="Lien hypertexte visité" xfId="11143" builtinId="9" hidden="1"/>
    <cellStyle name="Lien hypertexte visité" xfId="11191" builtinId="9" hidden="1"/>
    <cellStyle name="Lien hypertexte visité" xfId="11223" builtinId="9" hidden="1"/>
    <cellStyle name="Lien hypertexte visité" xfId="11271" builtinId="9" hidden="1"/>
    <cellStyle name="Lien hypertexte visité" xfId="11319" builtinId="9" hidden="1"/>
    <cellStyle name="Lien hypertexte visité" xfId="11351" builtinId="9" hidden="1"/>
    <cellStyle name="Lien hypertexte visité" xfId="11399" builtinId="9" hidden="1"/>
    <cellStyle name="Lien hypertexte visité" xfId="11447" builtinId="9" hidden="1"/>
    <cellStyle name="Lien hypertexte visité" xfId="11479" builtinId="9" hidden="1"/>
    <cellStyle name="Lien hypertexte visité" xfId="11527" builtinId="9" hidden="1"/>
    <cellStyle name="Lien hypertexte visité" xfId="11575" builtinId="9" hidden="1"/>
    <cellStyle name="Lien hypertexte visité" xfId="11607" builtinId="9" hidden="1"/>
    <cellStyle name="Lien hypertexte visité" xfId="11655" builtinId="9" hidden="1"/>
    <cellStyle name="Lien hypertexte visité" xfId="11703" builtinId="9" hidden="1"/>
    <cellStyle name="Lien hypertexte visité" xfId="11735" builtinId="9" hidden="1"/>
    <cellStyle name="Lien hypertexte visité" xfId="11783" builtinId="9" hidden="1"/>
    <cellStyle name="Lien hypertexte visité" xfId="11831" builtinId="9" hidden="1"/>
    <cellStyle name="Lien hypertexte visité" xfId="11863" builtinId="9" hidden="1"/>
    <cellStyle name="Lien hypertexte visité" xfId="11911" builtinId="9" hidden="1"/>
    <cellStyle name="Lien hypertexte visité" xfId="11959" builtinId="9" hidden="1"/>
    <cellStyle name="Lien hypertexte visité" xfId="11991" builtinId="9" hidden="1"/>
    <cellStyle name="Lien hypertexte visité" xfId="12039" builtinId="9" hidden="1"/>
    <cellStyle name="Lien hypertexte visité" xfId="12087" builtinId="9" hidden="1"/>
    <cellStyle name="Lien hypertexte visité" xfId="12119" builtinId="9" hidden="1"/>
    <cellStyle name="Lien hypertexte visité" xfId="12167" builtinId="9" hidden="1"/>
    <cellStyle name="Lien hypertexte visité" xfId="12215" builtinId="9" hidden="1"/>
    <cellStyle name="Lien hypertexte visité" xfId="12247" builtinId="9" hidden="1"/>
    <cellStyle name="Lien hypertexte visité" xfId="12295" builtinId="9" hidden="1"/>
    <cellStyle name="Lien hypertexte visité" xfId="12343" builtinId="9" hidden="1"/>
    <cellStyle name="Lien hypertexte visité" xfId="12375" builtinId="9" hidden="1"/>
    <cellStyle name="Lien hypertexte visité" xfId="12423" builtinId="9" hidden="1"/>
    <cellStyle name="Lien hypertexte visité" xfId="12471" builtinId="9" hidden="1"/>
    <cellStyle name="Lien hypertexte visité" xfId="12503" builtinId="9" hidden="1"/>
    <cellStyle name="Lien hypertexte visité" xfId="12551" builtinId="9" hidden="1"/>
    <cellStyle name="Lien hypertexte visité" xfId="12599" builtinId="9" hidden="1"/>
    <cellStyle name="Lien hypertexte visité" xfId="12631" builtinId="9" hidden="1"/>
    <cellStyle name="Lien hypertexte visité" xfId="12679" builtinId="9" hidden="1"/>
    <cellStyle name="Lien hypertexte visité" xfId="12727" builtinId="9" hidden="1"/>
    <cellStyle name="Lien hypertexte visité" xfId="12759" builtinId="9" hidden="1"/>
    <cellStyle name="Lien hypertexte visité" xfId="12807" builtinId="9" hidden="1"/>
    <cellStyle name="Lien hypertexte visité" xfId="12855" builtinId="9" hidden="1"/>
    <cellStyle name="Lien hypertexte visité" xfId="12887" builtinId="9" hidden="1"/>
    <cellStyle name="Lien hypertexte visité" xfId="12935" builtinId="9" hidden="1"/>
    <cellStyle name="Lien hypertexte visité" xfId="12983" builtinId="9" hidden="1"/>
    <cellStyle name="Lien hypertexte visité" xfId="13015" builtinId="9" hidden="1"/>
    <cellStyle name="Lien hypertexte visité" xfId="13063" builtinId="9" hidden="1"/>
    <cellStyle name="Lien hypertexte visité" xfId="13111" builtinId="9" hidden="1"/>
    <cellStyle name="Lien hypertexte visité" xfId="13143" builtinId="9" hidden="1"/>
    <cellStyle name="Lien hypertexte visité" xfId="13191" builtinId="9" hidden="1"/>
    <cellStyle name="Lien hypertexte visité" xfId="13239" builtinId="9" hidden="1"/>
    <cellStyle name="Lien hypertexte visité" xfId="13271" builtinId="9" hidden="1"/>
    <cellStyle name="Lien hypertexte visité" xfId="13319" builtinId="9" hidden="1"/>
    <cellStyle name="Lien hypertexte visité" xfId="13367" builtinId="9" hidden="1"/>
    <cellStyle name="Lien hypertexte visité" xfId="13399" builtinId="9" hidden="1"/>
    <cellStyle name="Lien hypertexte visité" xfId="13447" builtinId="9" hidden="1"/>
    <cellStyle name="Lien hypertexte visité" xfId="13495" builtinId="9" hidden="1"/>
    <cellStyle name="Lien hypertexte visité" xfId="13527" builtinId="9" hidden="1"/>
    <cellStyle name="Lien hypertexte visité" xfId="13575" builtinId="9" hidden="1"/>
    <cellStyle name="Lien hypertexte visité" xfId="13623" builtinId="9" hidden="1"/>
    <cellStyle name="Lien hypertexte visité" xfId="13655" builtinId="9" hidden="1"/>
    <cellStyle name="Lien hypertexte visité" xfId="13703" builtinId="9" hidden="1"/>
    <cellStyle name="Lien hypertexte visité" xfId="13751" builtinId="9" hidden="1"/>
    <cellStyle name="Lien hypertexte visité" xfId="13783" builtinId="9" hidden="1"/>
    <cellStyle name="Lien hypertexte visité" xfId="13831" builtinId="9" hidden="1"/>
    <cellStyle name="Lien hypertexte visité" xfId="13879" builtinId="9" hidden="1"/>
    <cellStyle name="Lien hypertexte visité" xfId="13911" builtinId="9" hidden="1"/>
    <cellStyle name="Lien hypertexte visité" xfId="13959" builtinId="9" hidden="1"/>
    <cellStyle name="Lien hypertexte visité" xfId="14007" builtinId="9" hidden="1"/>
    <cellStyle name="Lien hypertexte visité" xfId="14039" builtinId="9" hidden="1"/>
    <cellStyle name="Lien hypertexte visité" xfId="14087" builtinId="9" hidden="1"/>
    <cellStyle name="Lien hypertexte visité" xfId="14135" builtinId="9" hidden="1"/>
    <cellStyle name="Lien hypertexte visité" xfId="14167" builtinId="9" hidden="1"/>
    <cellStyle name="Lien hypertexte visité" xfId="14215" builtinId="9" hidden="1"/>
    <cellStyle name="Lien hypertexte visité" xfId="14263" builtinId="9" hidden="1"/>
    <cellStyle name="Lien hypertexte visité" xfId="14295" builtinId="9" hidden="1"/>
    <cellStyle name="Lien hypertexte visité" xfId="14343" builtinId="9" hidden="1"/>
    <cellStyle name="Lien hypertexte visité" xfId="14391" builtinId="9" hidden="1"/>
    <cellStyle name="Lien hypertexte visité" xfId="14423" builtinId="9" hidden="1"/>
    <cellStyle name="Lien hypertexte visité" xfId="14471" builtinId="9" hidden="1"/>
    <cellStyle name="Lien hypertexte visité" xfId="14523" builtinId="9" hidden="1"/>
    <cellStyle name="Lien hypertexte visité" xfId="14587" builtinId="9" hidden="1"/>
    <cellStyle name="Lien hypertexte visité" xfId="14683" builtinId="9" hidden="1"/>
    <cellStyle name="Lien hypertexte visité" xfId="14779" builtinId="9" hidden="1"/>
    <cellStyle name="Lien hypertexte visité" xfId="14843" builtinId="9" hidden="1"/>
    <cellStyle name="Lien hypertexte visité" xfId="14939" builtinId="9" hidden="1"/>
    <cellStyle name="Lien hypertexte visité" xfId="15035" builtinId="9" hidden="1"/>
    <cellStyle name="Lien hypertexte visité" xfId="15099" builtinId="9" hidden="1"/>
    <cellStyle name="Lien hypertexte visité" xfId="15195" builtinId="9" hidden="1"/>
    <cellStyle name="Lien hypertexte visité" xfId="15291" builtinId="9" hidden="1"/>
    <cellStyle name="Lien hypertexte visité" xfId="15355" builtinId="9" hidden="1"/>
    <cellStyle name="Lien hypertexte visité" xfId="15451" builtinId="9" hidden="1"/>
    <cellStyle name="Lien hypertexte visité" xfId="15547" builtinId="9" hidden="1"/>
    <cellStyle name="Lien hypertexte visité" xfId="15611" builtinId="9" hidden="1"/>
    <cellStyle name="Lien hypertexte visité" xfId="15707" builtinId="9" hidden="1"/>
    <cellStyle name="Lien hypertexte visité" xfId="15803" builtinId="9" hidden="1"/>
    <cellStyle name="Lien hypertexte visité" xfId="15867" builtinId="9" hidden="1"/>
    <cellStyle name="Lien hypertexte visité" xfId="15963" builtinId="9" hidden="1"/>
    <cellStyle name="Lien hypertexte visité" xfId="16059" builtinId="9" hidden="1"/>
    <cellStyle name="Lien hypertexte visité" xfId="16123" builtinId="9" hidden="1"/>
    <cellStyle name="Lien hypertexte visité" xfId="16219" builtinId="9" hidden="1"/>
    <cellStyle name="Lien hypertexte visité" xfId="16315" builtinId="9" hidden="1"/>
    <cellStyle name="Lien hypertexte visité" xfId="16379" builtinId="9" hidden="1"/>
    <cellStyle name="Lien hypertexte visité" xfId="16475" builtinId="9" hidden="1"/>
    <cellStyle name="Lien hypertexte visité" xfId="16571" builtinId="9" hidden="1"/>
    <cellStyle name="Lien hypertexte visité" xfId="16635" builtinId="9" hidden="1"/>
    <cellStyle name="Lien hypertexte visité" xfId="16731" builtinId="9" hidden="1"/>
    <cellStyle name="Lien hypertexte visité" xfId="16827" builtinId="9" hidden="1"/>
    <cellStyle name="Lien hypertexte visité" xfId="16891" builtinId="9" hidden="1"/>
    <cellStyle name="Lien hypertexte visité" xfId="16987" builtinId="9" hidden="1"/>
    <cellStyle name="Lien hypertexte visité" xfId="17083" builtinId="9" hidden="1"/>
    <cellStyle name="Lien hypertexte visité" xfId="17147" builtinId="9" hidden="1"/>
    <cellStyle name="Lien hypertexte visité" xfId="17243" builtinId="9" hidden="1"/>
    <cellStyle name="Lien hypertexte visité" xfId="8226" builtinId="9" hidden="1"/>
    <cellStyle name="Lien hypertexte visité" xfId="8246" builtinId="9" hidden="1"/>
    <cellStyle name="Lien hypertexte visité" xfId="8278" builtinId="9" hidden="1"/>
    <cellStyle name="Lien hypertexte visité" xfId="8310" builtinId="9" hidden="1"/>
    <cellStyle name="Lien hypertexte visité" xfId="8334" builtinId="9" hidden="1"/>
    <cellStyle name="Lien hypertexte visité" xfId="8366" builtinId="9" hidden="1"/>
    <cellStyle name="Lien hypertexte visité" xfId="8398" builtinId="9" hidden="1"/>
    <cellStyle name="Lien hypertexte visité" xfId="8418" builtinId="9" hidden="1"/>
    <cellStyle name="Lien hypertexte visité" xfId="8450" builtinId="9" hidden="1"/>
    <cellStyle name="Lien hypertexte visité" xfId="8482" builtinId="9" hidden="1"/>
    <cellStyle name="Lien hypertexte visité" xfId="8502" builtinId="9" hidden="1"/>
    <cellStyle name="Lien hypertexte visité" xfId="8534" builtinId="9" hidden="1"/>
    <cellStyle name="Lien hypertexte visité" xfId="8566" builtinId="9" hidden="1"/>
    <cellStyle name="Lien hypertexte visité" xfId="8590" builtinId="9" hidden="1"/>
    <cellStyle name="Lien hypertexte visité" xfId="8622" builtinId="9" hidden="1"/>
    <cellStyle name="Lien hypertexte visité" xfId="8654" builtinId="9" hidden="1"/>
    <cellStyle name="Lien hypertexte visité" xfId="8674" builtinId="9" hidden="1"/>
    <cellStyle name="Lien hypertexte visité" xfId="8706" builtinId="9" hidden="1"/>
    <cellStyle name="Lien hypertexte visité" xfId="8738" builtinId="9" hidden="1"/>
    <cellStyle name="Lien hypertexte visité" xfId="8758" builtinId="9" hidden="1"/>
    <cellStyle name="Lien hypertexte visité" xfId="8790" builtinId="9" hidden="1"/>
    <cellStyle name="Lien hypertexte visité" xfId="8822" builtinId="9" hidden="1"/>
    <cellStyle name="Lien hypertexte visité" xfId="8846" builtinId="9" hidden="1"/>
    <cellStyle name="Lien hypertexte visité" xfId="8878" builtinId="9" hidden="1"/>
    <cellStyle name="Lien hypertexte visité" xfId="8910" builtinId="9" hidden="1"/>
    <cellStyle name="Lien hypertexte visité" xfId="8930" builtinId="9" hidden="1"/>
    <cellStyle name="Lien hypertexte visité" xfId="8962" builtinId="9" hidden="1"/>
    <cellStyle name="Lien hypertexte visité" xfId="8994" builtinId="9" hidden="1"/>
    <cellStyle name="Lien hypertexte visité" xfId="9014" builtinId="9" hidden="1"/>
    <cellStyle name="Lien hypertexte visité" xfId="9046" builtinId="9" hidden="1"/>
    <cellStyle name="Lien hypertexte visité" xfId="9078" builtinId="9" hidden="1"/>
    <cellStyle name="Lien hypertexte visité" xfId="9102" builtinId="9" hidden="1"/>
    <cellStyle name="Lien hypertexte visité" xfId="9134" builtinId="9" hidden="1"/>
    <cellStyle name="Lien hypertexte visité" xfId="9166" builtinId="9" hidden="1"/>
    <cellStyle name="Lien hypertexte visité" xfId="9186" builtinId="9" hidden="1"/>
    <cellStyle name="Lien hypertexte visité" xfId="9218" builtinId="9" hidden="1"/>
    <cellStyle name="Lien hypertexte visité" xfId="9250" builtinId="9" hidden="1"/>
    <cellStyle name="Lien hypertexte visité" xfId="9270" builtinId="9" hidden="1"/>
    <cellStyle name="Lien hypertexte visité" xfId="9302" builtinId="9" hidden="1"/>
    <cellStyle name="Lien hypertexte visité" xfId="9334" builtinId="9" hidden="1"/>
    <cellStyle name="Lien hypertexte visité" xfId="9358" builtinId="9" hidden="1"/>
    <cellStyle name="Lien hypertexte visité" xfId="9390" builtinId="9" hidden="1"/>
    <cellStyle name="Lien hypertexte visité" xfId="9422" builtinId="9" hidden="1"/>
    <cellStyle name="Lien hypertexte visité" xfId="9442" builtinId="9" hidden="1"/>
    <cellStyle name="Lien hypertexte visité" xfId="9474" builtinId="9" hidden="1"/>
    <cellStyle name="Lien hypertexte visité" xfId="9506" builtinId="9" hidden="1"/>
    <cellStyle name="Lien hypertexte visité" xfId="9526" builtinId="9" hidden="1"/>
    <cellStyle name="Lien hypertexte visité" xfId="9558" builtinId="9" hidden="1"/>
    <cellStyle name="Lien hypertexte visité" xfId="9590" builtinId="9" hidden="1"/>
    <cellStyle name="Lien hypertexte visité" xfId="9614" builtinId="9" hidden="1"/>
    <cellStyle name="Lien hypertexte visité" xfId="9646" builtinId="9" hidden="1"/>
    <cellStyle name="Lien hypertexte visité" xfId="9678" builtinId="9" hidden="1"/>
    <cellStyle name="Lien hypertexte visité" xfId="9698" builtinId="9" hidden="1"/>
    <cellStyle name="Lien hypertexte visité" xfId="9730" builtinId="9" hidden="1"/>
    <cellStyle name="Lien hypertexte visité" xfId="9762" builtinId="9" hidden="1"/>
    <cellStyle name="Lien hypertexte visité" xfId="9782" builtinId="9" hidden="1"/>
    <cellStyle name="Lien hypertexte visité" xfId="9814" builtinId="9" hidden="1"/>
    <cellStyle name="Lien hypertexte visité" xfId="9846" builtinId="9" hidden="1"/>
    <cellStyle name="Lien hypertexte visité" xfId="9870" builtinId="9" hidden="1"/>
    <cellStyle name="Lien hypertexte visité" xfId="9902" builtinId="9" hidden="1"/>
    <cellStyle name="Lien hypertexte visité" xfId="9934" builtinId="9" hidden="1"/>
    <cellStyle name="Lien hypertexte visité" xfId="9954" builtinId="9" hidden="1"/>
    <cellStyle name="Lien hypertexte visité" xfId="9986" builtinId="9" hidden="1"/>
    <cellStyle name="Lien hypertexte visité" xfId="10018" builtinId="9" hidden="1"/>
    <cellStyle name="Lien hypertexte visité" xfId="10038" builtinId="9" hidden="1"/>
    <cellStyle name="Lien hypertexte visité" xfId="10070" builtinId="9" hidden="1"/>
    <cellStyle name="Lien hypertexte visité" xfId="10102" builtinId="9" hidden="1"/>
    <cellStyle name="Lien hypertexte visité" xfId="10126" builtinId="9" hidden="1"/>
    <cellStyle name="Lien hypertexte visité" xfId="10158" builtinId="9" hidden="1"/>
    <cellStyle name="Lien hypertexte visité" xfId="10190" builtinId="9" hidden="1"/>
    <cellStyle name="Lien hypertexte visité" xfId="10210" builtinId="9" hidden="1"/>
    <cellStyle name="Lien hypertexte visité" xfId="10242" builtinId="9" hidden="1"/>
    <cellStyle name="Lien hypertexte visité" xfId="10274" builtinId="9" hidden="1"/>
    <cellStyle name="Lien hypertexte visité" xfId="10294" builtinId="9" hidden="1"/>
    <cellStyle name="Lien hypertexte visité" xfId="10326" builtinId="9" hidden="1"/>
    <cellStyle name="Lien hypertexte visité" xfId="10358" builtinId="9" hidden="1"/>
    <cellStyle name="Lien hypertexte visité" xfId="10382" builtinId="9" hidden="1"/>
    <cellStyle name="Lien hypertexte visité" xfId="10414" builtinId="9" hidden="1"/>
    <cellStyle name="Lien hypertexte visité" xfId="10446" builtinId="9" hidden="1"/>
    <cellStyle name="Lien hypertexte visité" xfId="10466" builtinId="9" hidden="1"/>
    <cellStyle name="Lien hypertexte visité" xfId="10498" builtinId="9" hidden="1"/>
    <cellStyle name="Lien hypertexte visité" xfId="10530" builtinId="9" hidden="1"/>
    <cellStyle name="Lien hypertexte visité" xfId="10550" builtinId="9" hidden="1"/>
    <cellStyle name="Lien hypertexte visité" xfId="10582" builtinId="9" hidden="1"/>
    <cellStyle name="Lien hypertexte visité" xfId="10614" builtinId="9" hidden="1"/>
    <cellStyle name="Lien hypertexte visité" xfId="10638" builtinId="9" hidden="1"/>
    <cellStyle name="Lien hypertexte visité" xfId="10670" builtinId="9" hidden="1"/>
    <cellStyle name="Lien hypertexte visité" xfId="10702" builtinId="9" hidden="1"/>
    <cellStyle name="Lien hypertexte visité" xfId="10722" builtinId="9" hidden="1"/>
    <cellStyle name="Lien hypertexte visité" xfId="10754" builtinId="9" hidden="1"/>
    <cellStyle name="Lien hypertexte visité" xfId="10786" builtinId="9" hidden="1"/>
    <cellStyle name="Lien hypertexte visité" xfId="10806" builtinId="9" hidden="1"/>
    <cellStyle name="Lien hypertexte visité" xfId="10838" builtinId="9" hidden="1"/>
    <cellStyle name="Lien hypertexte visité" xfId="10870" builtinId="9" hidden="1"/>
    <cellStyle name="Lien hypertexte visité" xfId="10894" builtinId="9" hidden="1"/>
    <cellStyle name="Lien hypertexte visité" xfId="10926" builtinId="9" hidden="1"/>
    <cellStyle name="Lien hypertexte visité" xfId="10958" builtinId="9" hidden="1"/>
    <cellStyle name="Lien hypertexte visité" xfId="10978" builtinId="9" hidden="1"/>
    <cellStyle name="Lien hypertexte visité" xfId="11010" builtinId="9" hidden="1"/>
    <cellStyle name="Lien hypertexte visité" xfId="11042" builtinId="9" hidden="1"/>
    <cellStyle name="Lien hypertexte visité" xfId="11062" builtinId="9" hidden="1"/>
    <cellStyle name="Lien hypertexte visité" xfId="11094" builtinId="9" hidden="1"/>
    <cellStyle name="Lien hypertexte visité" xfId="11126" builtinId="9" hidden="1"/>
    <cellStyle name="Lien hypertexte visité" xfId="11150" builtinId="9" hidden="1"/>
    <cellStyle name="Lien hypertexte visité" xfId="11182" builtinId="9" hidden="1"/>
    <cellStyle name="Lien hypertexte visité" xfId="11214" builtinId="9" hidden="1"/>
    <cellStyle name="Lien hypertexte visité" xfId="11234" builtinId="9" hidden="1"/>
    <cellStyle name="Lien hypertexte visité" xfId="11266" builtinId="9" hidden="1"/>
    <cellStyle name="Lien hypertexte visité" xfId="11298" builtinId="9" hidden="1"/>
    <cellStyle name="Lien hypertexte visité" xfId="11318" builtinId="9" hidden="1"/>
    <cellStyle name="Lien hypertexte visité" xfId="11350" builtinId="9" hidden="1"/>
    <cellStyle name="Lien hypertexte visité" xfId="11382" builtinId="9" hidden="1"/>
    <cellStyle name="Lien hypertexte visité" xfId="11406" builtinId="9" hidden="1"/>
    <cellStyle name="Lien hypertexte visité" xfId="11438" builtinId="9" hidden="1"/>
    <cellStyle name="Lien hypertexte visité" xfId="11470" builtinId="9" hidden="1"/>
    <cellStyle name="Lien hypertexte visité" xfId="11490" builtinId="9" hidden="1"/>
    <cellStyle name="Lien hypertexte visité" xfId="11522" builtinId="9" hidden="1"/>
    <cellStyle name="Lien hypertexte visité" xfId="11554" builtinId="9" hidden="1"/>
    <cellStyle name="Lien hypertexte visité" xfId="11574" builtinId="9" hidden="1"/>
    <cellStyle name="Lien hypertexte visité" xfId="11606" builtinId="9" hidden="1"/>
    <cellStyle name="Lien hypertexte visité" xfId="11638" builtinId="9" hidden="1"/>
    <cellStyle name="Lien hypertexte visité" xfId="11662" builtinId="9" hidden="1"/>
    <cellStyle name="Lien hypertexte visité" xfId="11694" builtinId="9" hidden="1"/>
    <cellStyle name="Lien hypertexte visité" xfId="11726" builtinId="9" hidden="1"/>
    <cellStyle name="Lien hypertexte visité" xfId="11746" builtinId="9" hidden="1"/>
    <cellStyle name="Lien hypertexte visité" xfId="11778" builtinId="9" hidden="1"/>
    <cellStyle name="Lien hypertexte visité" xfId="11810" builtinId="9" hidden="1"/>
    <cellStyle name="Lien hypertexte visité" xfId="11830" builtinId="9" hidden="1"/>
    <cellStyle name="Lien hypertexte visité" xfId="11862" builtinId="9" hidden="1"/>
    <cellStyle name="Lien hypertexte visité" xfId="11894" builtinId="9" hidden="1"/>
    <cellStyle name="Lien hypertexte visité" xfId="11918" builtinId="9" hidden="1"/>
    <cellStyle name="Lien hypertexte visité" xfId="11950" builtinId="9" hidden="1"/>
    <cellStyle name="Lien hypertexte visité" xfId="11982" builtinId="9" hidden="1"/>
    <cellStyle name="Lien hypertexte visité" xfId="12002" builtinId="9" hidden="1"/>
    <cellStyle name="Lien hypertexte visité" xfId="12034" builtinId="9" hidden="1"/>
    <cellStyle name="Lien hypertexte visité" xfId="12066" builtinId="9" hidden="1"/>
    <cellStyle name="Lien hypertexte visité" xfId="12086" builtinId="9" hidden="1"/>
    <cellStyle name="Lien hypertexte visité" xfId="12118" builtinId="9" hidden="1"/>
    <cellStyle name="Lien hypertexte visité" xfId="12150" builtinId="9" hidden="1"/>
    <cellStyle name="Lien hypertexte visité" xfId="12174" builtinId="9" hidden="1"/>
    <cellStyle name="Lien hypertexte visité" xfId="12206" builtinId="9" hidden="1"/>
    <cellStyle name="Lien hypertexte visité" xfId="12238" builtinId="9" hidden="1"/>
    <cellStyle name="Lien hypertexte visité" xfId="12258" builtinId="9" hidden="1"/>
    <cellStyle name="Lien hypertexte visité" xfId="12290" builtinId="9" hidden="1"/>
    <cellStyle name="Lien hypertexte visité" xfId="12322" builtinId="9" hidden="1"/>
    <cellStyle name="Lien hypertexte visité" xfId="12342" builtinId="9" hidden="1"/>
    <cellStyle name="Lien hypertexte visité" xfId="12374" builtinId="9" hidden="1"/>
    <cellStyle name="Lien hypertexte visité" xfId="12406" builtinId="9" hidden="1"/>
    <cellStyle name="Lien hypertexte visité" xfId="12430" builtinId="9" hidden="1"/>
    <cellStyle name="Lien hypertexte visité" xfId="12462" builtinId="9" hidden="1"/>
    <cellStyle name="Lien hypertexte visité" xfId="12494" builtinId="9" hidden="1"/>
    <cellStyle name="Lien hypertexte visité" xfId="12514" builtinId="9" hidden="1"/>
    <cellStyle name="Lien hypertexte visité" xfId="12546" builtinId="9" hidden="1"/>
    <cellStyle name="Lien hypertexte visité" xfId="12578" builtinId="9" hidden="1"/>
    <cellStyle name="Lien hypertexte visité" xfId="12598" builtinId="9" hidden="1"/>
    <cellStyle name="Lien hypertexte visité" xfId="12630" builtinId="9" hidden="1"/>
    <cellStyle name="Lien hypertexte visité" xfId="12662" builtinId="9" hidden="1"/>
    <cellStyle name="Lien hypertexte visité" xfId="12686" builtinId="9" hidden="1"/>
    <cellStyle name="Lien hypertexte visité" xfId="12718" builtinId="9" hidden="1"/>
    <cellStyle name="Lien hypertexte visité" xfId="12750" builtinId="9" hidden="1"/>
    <cellStyle name="Lien hypertexte visité" xfId="12770" builtinId="9" hidden="1"/>
    <cellStyle name="Lien hypertexte visité" xfId="12802" builtinId="9" hidden="1"/>
    <cellStyle name="Lien hypertexte visité" xfId="12834" builtinId="9" hidden="1"/>
    <cellStyle name="Lien hypertexte visité" xfId="12854" builtinId="9" hidden="1"/>
    <cellStyle name="Lien hypertexte visité" xfId="12886" builtinId="9" hidden="1"/>
    <cellStyle name="Lien hypertexte visité" xfId="12918" builtinId="9" hidden="1"/>
    <cellStyle name="Lien hypertexte visité" xfId="12942" builtinId="9" hidden="1"/>
    <cellStyle name="Lien hypertexte visité" xfId="12974" builtinId="9" hidden="1"/>
    <cellStyle name="Lien hypertexte visité" xfId="13006" builtinId="9" hidden="1"/>
    <cellStyle name="Lien hypertexte visité" xfId="13026" builtinId="9" hidden="1"/>
    <cellStyle name="Lien hypertexte visité" xfId="13058" builtinId="9" hidden="1"/>
    <cellStyle name="Lien hypertexte visité" xfId="13090" builtinId="9" hidden="1"/>
    <cellStyle name="Lien hypertexte visité" xfId="13110" builtinId="9" hidden="1"/>
    <cellStyle name="Lien hypertexte visité" xfId="13142" builtinId="9" hidden="1"/>
    <cellStyle name="Lien hypertexte visité" xfId="13174" builtinId="9" hidden="1"/>
    <cellStyle name="Lien hypertexte visité" xfId="13198" builtinId="9" hidden="1"/>
    <cellStyle name="Lien hypertexte visité" xfId="13230" builtinId="9" hidden="1"/>
    <cellStyle name="Lien hypertexte visité" xfId="13262" builtinId="9" hidden="1"/>
    <cellStyle name="Lien hypertexte visité" xfId="13282" builtinId="9" hidden="1"/>
    <cellStyle name="Lien hypertexte visité" xfId="13314" builtinId="9" hidden="1"/>
    <cellStyle name="Lien hypertexte visité" xfId="13346" builtinId="9" hidden="1"/>
    <cellStyle name="Lien hypertexte visité" xfId="13366" builtinId="9" hidden="1"/>
    <cellStyle name="Lien hypertexte visité" xfId="13398" builtinId="9" hidden="1"/>
    <cellStyle name="Lien hypertexte visité" xfId="13430" builtinId="9" hidden="1"/>
    <cellStyle name="Lien hypertexte visité" xfId="13454" builtinId="9" hidden="1"/>
    <cellStyle name="Lien hypertexte visité" xfId="13486" builtinId="9" hidden="1"/>
    <cellStyle name="Lien hypertexte visité" xfId="13518" builtinId="9" hidden="1"/>
    <cellStyle name="Lien hypertexte visité" xfId="13538" builtinId="9" hidden="1"/>
    <cellStyle name="Lien hypertexte visité" xfId="13570" builtinId="9" hidden="1"/>
    <cellStyle name="Lien hypertexte visité" xfId="13602" builtinId="9" hidden="1"/>
    <cellStyle name="Lien hypertexte visité" xfId="13622" builtinId="9" hidden="1"/>
    <cellStyle name="Lien hypertexte visité" xfId="13654" builtinId="9" hidden="1"/>
    <cellStyle name="Lien hypertexte visité" xfId="13686" builtinId="9" hidden="1"/>
    <cellStyle name="Lien hypertexte visité" xfId="13710" builtinId="9" hidden="1"/>
    <cellStyle name="Lien hypertexte visité" xfId="13742" builtinId="9" hidden="1"/>
    <cellStyle name="Lien hypertexte visité" xfId="13774" builtinId="9" hidden="1"/>
    <cellStyle name="Lien hypertexte visité" xfId="13794" builtinId="9" hidden="1"/>
    <cellStyle name="Lien hypertexte visité" xfId="13826" builtinId="9" hidden="1"/>
    <cellStyle name="Lien hypertexte visité" xfId="13858" builtinId="9" hidden="1"/>
    <cellStyle name="Lien hypertexte visité" xfId="13878" builtinId="9" hidden="1"/>
    <cellStyle name="Lien hypertexte visité" xfId="13910" builtinId="9" hidden="1"/>
    <cellStyle name="Lien hypertexte visité" xfId="13942" builtinId="9" hidden="1"/>
    <cellStyle name="Lien hypertexte visité" xfId="13966" builtinId="9" hidden="1"/>
    <cellStyle name="Lien hypertexte visité" xfId="13998" builtinId="9" hidden="1"/>
    <cellStyle name="Lien hypertexte visité" xfId="14030" builtinId="9" hidden="1"/>
    <cellStyle name="Lien hypertexte visité" xfId="14050" builtinId="9" hidden="1"/>
    <cellStyle name="Lien hypertexte visité" xfId="14082" builtinId="9" hidden="1"/>
    <cellStyle name="Lien hypertexte visité" xfId="14114" builtinId="9" hidden="1"/>
    <cellStyle name="Lien hypertexte visité" xfId="14134" builtinId="9" hidden="1"/>
    <cellStyle name="Lien hypertexte visité" xfId="14166" builtinId="9" hidden="1"/>
    <cellStyle name="Lien hypertexte visité" xfId="14198" builtinId="9" hidden="1"/>
    <cellStyle name="Lien hypertexte visité" xfId="14222" builtinId="9" hidden="1"/>
    <cellStyle name="Lien hypertexte visité" xfId="14254" builtinId="9" hidden="1"/>
    <cellStyle name="Lien hypertexte visité" xfId="14286" builtinId="9" hidden="1"/>
    <cellStyle name="Lien hypertexte visité" xfId="14306" builtinId="9" hidden="1"/>
    <cellStyle name="Lien hypertexte visité" xfId="14338" builtinId="9" hidden="1"/>
    <cellStyle name="Lien hypertexte visité" xfId="14370" builtinId="9" hidden="1"/>
    <cellStyle name="Lien hypertexte visité" xfId="14390" builtinId="9" hidden="1"/>
    <cellStyle name="Lien hypertexte visité" xfId="14422" builtinId="9" hidden="1"/>
    <cellStyle name="Lien hypertexte visité" xfId="14454" builtinId="9" hidden="1"/>
    <cellStyle name="Lien hypertexte visité" xfId="14478" builtinId="9" hidden="1"/>
    <cellStyle name="Lien hypertexte visité" xfId="14510" builtinId="9" hidden="1"/>
    <cellStyle name="Lien hypertexte visité" xfId="14569" builtinId="9" hidden="1"/>
    <cellStyle name="Lien hypertexte visité" xfId="14609" builtinId="9" hidden="1"/>
    <cellStyle name="Lien hypertexte visité" xfId="14673" builtinId="9" hidden="1"/>
    <cellStyle name="Lien hypertexte visité" xfId="14737" builtinId="9" hidden="1"/>
    <cellStyle name="Lien hypertexte visité" xfId="14777" builtinId="9" hidden="1"/>
    <cellStyle name="Lien hypertexte visité" xfId="14841" builtinId="9" hidden="1"/>
    <cellStyle name="Lien hypertexte visité" xfId="14905" builtinId="9" hidden="1"/>
    <cellStyle name="Lien hypertexte visité" xfId="14953" builtinId="9" hidden="1"/>
    <cellStyle name="Lien hypertexte visité" xfId="15017" builtinId="9" hidden="1"/>
    <cellStyle name="Lien hypertexte visité" xfId="15081" builtinId="9" hidden="1"/>
    <cellStyle name="Lien hypertexte visité" xfId="15121" builtinId="9" hidden="1"/>
    <cellStyle name="Lien hypertexte visité" xfId="15185" builtinId="9" hidden="1"/>
    <cellStyle name="Lien hypertexte visité" xfId="15249" builtinId="9" hidden="1"/>
    <cellStyle name="Lien hypertexte visité" xfId="15289" builtinId="9" hidden="1"/>
    <cellStyle name="Lien hypertexte visité" xfId="15353" builtinId="9" hidden="1"/>
    <cellStyle name="Lien hypertexte visité" xfId="15417" builtinId="9" hidden="1"/>
    <cellStyle name="Lien hypertexte visité" xfId="15465" builtinId="9" hidden="1"/>
    <cellStyle name="Lien hypertexte visité" xfId="15529" builtinId="9" hidden="1"/>
    <cellStyle name="Lien hypertexte visité" xfId="15593" builtinId="9" hidden="1"/>
    <cellStyle name="Lien hypertexte visité" xfId="15633" builtinId="9" hidden="1"/>
    <cellStyle name="Lien hypertexte visité" xfId="15697" builtinId="9" hidden="1"/>
    <cellStyle name="Lien hypertexte visité" xfId="15761" builtinId="9" hidden="1"/>
    <cellStyle name="Lien hypertexte visité" xfId="15801" builtinId="9" hidden="1"/>
    <cellStyle name="Lien hypertexte visité" xfId="15865" builtinId="9" hidden="1"/>
    <cellStyle name="Lien hypertexte visité" xfId="15929" builtinId="9" hidden="1"/>
    <cellStyle name="Lien hypertexte visité" xfId="15977" builtinId="9" hidden="1"/>
    <cellStyle name="Lien hypertexte visité" xfId="16041" builtinId="9" hidden="1"/>
    <cellStyle name="Lien hypertexte visité" xfId="16105" builtinId="9" hidden="1"/>
    <cellStyle name="Lien hypertexte visité" xfId="16145" builtinId="9" hidden="1"/>
    <cellStyle name="Lien hypertexte visité" xfId="16209" builtinId="9" hidden="1"/>
    <cellStyle name="Lien hypertexte visité" xfId="16273" builtinId="9" hidden="1"/>
    <cellStyle name="Lien hypertexte visité" xfId="16313" builtinId="9" hidden="1"/>
    <cellStyle name="Lien hypertexte visité" xfId="16377" builtinId="9" hidden="1"/>
    <cellStyle name="Lien hypertexte visité" xfId="16441" builtinId="9" hidden="1"/>
    <cellStyle name="Lien hypertexte visité" xfId="16489" builtinId="9" hidden="1"/>
    <cellStyle name="Lien hypertexte visité" xfId="16553" builtinId="9" hidden="1"/>
    <cellStyle name="Lien hypertexte visité" xfId="16617" builtinId="9" hidden="1"/>
    <cellStyle name="Lien hypertexte visité" xfId="16657" builtinId="9" hidden="1"/>
    <cellStyle name="Lien hypertexte visité" xfId="16721" builtinId="9" hidden="1"/>
    <cellStyle name="Lien hypertexte visité" xfId="16785" builtinId="9" hidden="1"/>
    <cellStyle name="Lien hypertexte visité" xfId="16825" builtinId="9" hidden="1"/>
    <cellStyle name="Lien hypertexte visité" xfId="16889" builtinId="9" hidden="1"/>
    <cellStyle name="Lien hypertexte visité" xfId="16953" builtinId="9" hidden="1"/>
    <cellStyle name="Lien hypertexte visité" xfId="17001" builtinId="9" hidden="1"/>
    <cellStyle name="Lien hypertexte visité" xfId="17065" builtinId="9" hidden="1"/>
    <cellStyle name="Lien hypertexte visité" xfId="17129" builtinId="9" hidden="1"/>
    <cellStyle name="Lien hypertexte visité" xfId="17169" builtinId="9" hidden="1"/>
    <cellStyle name="Lien hypertexte visité" xfId="17233" builtinId="9" hidden="1"/>
    <cellStyle name="Lien hypertexte visité" xfId="17297" builtinId="9" hidden="1"/>
    <cellStyle name="Lien hypertexte visité" xfId="17337" builtinId="9" hidden="1"/>
    <cellStyle name="Lien hypertexte visité" xfId="17401" builtinId="9" hidden="1"/>
    <cellStyle name="Lien hypertexte visité" xfId="17465" builtinId="9" hidden="1"/>
    <cellStyle name="Lien hypertexte visité" xfId="17513" builtinId="9" hidden="1"/>
    <cellStyle name="Lien hypertexte visité" xfId="17577" builtinId="9" hidden="1"/>
    <cellStyle name="Lien hypertexte visité" xfId="17641" builtinId="9" hidden="1"/>
    <cellStyle name="Lien hypertexte visité" xfId="17681" builtinId="9" hidden="1"/>
    <cellStyle name="Lien hypertexte visité" xfId="17745" builtinId="9" hidden="1"/>
    <cellStyle name="Lien hypertexte visité" xfId="17809" builtinId="9" hidden="1"/>
    <cellStyle name="Lien hypertexte visité" xfId="17849" builtinId="9" hidden="1"/>
    <cellStyle name="Lien hypertexte visité" xfId="17913" builtinId="9" hidden="1"/>
    <cellStyle name="Lien hypertexte visité" xfId="17977" builtinId="9" hidden="1"/>
    <cellStyle name="Lien hypertexte visité" xfId="18025" builtinId="9" hidden="1"/>
    <cellStyle name="Lien hypertexte visité" xfId="18089" builtinId="9" hidden="1"/>
    <cellStyle name="Lien hypertexte visité" xfId="18153" builtinId="9" hidden="1"/>
    <cellStyle name="Lien hypertexte visité" xfId="18193" builtinId="9" hidden="1"/>
    <cellStyle name="Lien hypertexte visité" xfId="18257" builtinId="9" hidden="1"/>
    <cellStyle name="Lien hypertexte visité" xfId="18315" builtinId="9" hidden="1"/>
    <cellStyle name="Lien hypertexte visité" xfId="18344" builtinId="9" hidden="1"/>
    <cellStyle name="Lien hypertexte visité" xfId="18408" builtinId="9" hidden="1"/>
    <cellStyle name="Lien hypertexte visité" xfId="18472" builtinId="9" hidden="1"/>
    <cellStyle name="Lien hypertexte visité" xfId="18520" builtinId="9" hidden="1"/>
    <cellStyle name="Lien hypertexte visité" xfId="18584" builtinId="9" hidden="1"/>
    <cellStyle name="Lien hypertexte visité" xfId="18648" builtinId="9" hidden="1"/>
    <cellStyle name="Lien hypertexte visité" xfId="18688" builtinId="9" hidden="1"/>
    <cellStyle name="Lien hypertexte visité" xfId="18752" builtinId="9" hidden="1"/>
    <cellStyle name="Lien hypertexte visité" xfId="18816" builtinId="9" hidden="1"/>
    <cellStyle name="Lien hypertexte visité" xfId="18856" builtinId="9" hidden="1"/>
    <cellStyle name="Lien hypertexte visité" xfId="18920" builtinId="9" hidden="1"/>
    <cellStyle name="Lien hypertexte visité" xfId="18984" builtinId="9" hidden="1"/>
    <cellStyle name="Lien hypertexte visité" xfId="19032" builtinId="9" hidden="1"/>
    <cellStyle name="Lien hypertexte visité" xfId="19096" builtinId="9" hidden="1"/>
    <cellStyle name="Lien hypertexte visité" xfId="19160" builtinId="9" hidden="1"/>
    <cellStyle name="Lien hypertexte visité" xfId="19200" builtinId="9" hidden="1"/>
    <cellStyle name="Lien hypertexte visité" xfId="19264" builtinId="9" hidden="1"/>
    <cellStyle name="Lien hypertexte visité" xfId="19328" builtinId="9" hidden="1"/>
    <cellStyle name="Lien hypertexte visité" xfId="19368" builtinId="9" hidden="1"/>
    <cellStyle name="Lien hypertexte visité" xfId="19432" builtinId="9" hidden="1"/>
    <cellStyle name="Lien hypertexte visité" xfId="19496" builtinId="9" hidden="1"/>
    <cellStyle name="Lien hypertexte visité" xfId="19544" builtinId="9" hidden="1"/>
    <cellStyle name="Lien hypertexte visité" xfId="19608" builtinId="9" hidden="1"/>
    <cellStyle name="Lien hypertexte visité" xfId="19672" builtinId="9" hidden="1"/>
    <cellStyle name="Lien hypertexte visité" xfId="19712" builtinId="9" hidden="1"/>
    <cellStyle name="Lien hypertexte visité" xfId="19776" builtinId="9" hidden="1"/>
    <cellStyle name="Lien hypertexte visité" xfId="19840" builtinId="9" hidden="1"/>
    <cellStyle name="Lien hypertexte visité" xfId="19880" builtinId="9" hidden="1"/>
    <cellStyle name="Lien hypertexte visité" xfId="19944" builtinId="9" hidden="1"/>
    <cellStyle name="Lien hypertexte visité" xfId="20008" builtinId="9" hidden="1"/>
    <cellStyle name="Lien hypertexte visité" xfId="20056" builtinId="9" hidden="1"/>
    <cellStyle name="Lien hypertexte visité" xfId="20120" builtinId="9" hidden="1"/>
    <cellStyle name="Lien hypertexte visité" xfId="20184" builtinId="9" hidden="1"/>
    <cellStyle name="Lien hypertexte visité" xfId="20224" builtinId="9" hidden="1"/>
    <cellStyle name="Lien hypertexte visité" xfId="20288" builtinId="9" hidden="1"/>
    <cellStyle name="Lien hypertexte visité" xfId="20352" builtinId="9" hidden="1"/>
    <cellStyle name="Lien hypertexte visité" xfId="20392" builtinId="9" hidden="1"/>
    <cellStyle name="Lien hypertexte visité" xfId="20456" builtinId="9" hidden="1"/>
    <cellStyle name="Lien hypertexte visité" xfId="20520" builtinId="9" hidden="1"/>
    <cellStyle name="Lien hypertexte visité" xfId="20568" builtinId="9" hidden="1"/>
    <cellStyle name="Lien hypertexte visité" xfId="20632" builtinId="9" hidden="1"/>
    <cellStyle name="Lien hypertexte visité" xfId="20696" builtinId="9" hidden="1"/>
    <cellStyle name="Lien hypertexte visité" xfId="20736" builtinId="9" hidden="1"/>
    <cellStyle name="Lien hypertexte visité" xfId="20800" builtinId="9" hidden="1"/>
    <cellStyle name="Lien hypertexte visité" xfId="20864" builtinId="9" hidden="1"/>
    <cellStyle name="Lien hypertexte visité" xfId="20904" builtinId="9" hidden="1"/>
    <cellStyle name="Lien hypertexte visité" xfId="20968" builtinId="9" hidden="1"/>
    <cellStyle name="Lien hypertexte visité" xfId="21032" builtinId="9" hidden="1"/>
    <cellStyle name="Lien hypertexte visité" xfId="21080" builtinId="9" hidden="1"/>
    <cellStyle name="Lien hypertexte visité" xfId="21144" builtinId="9" hidden="1"/>
    <cellStyle name="Lien hypertexte visité" xfId="21208" builtinId="9" hidden="1"/>
    <cellStyle name="Lien hypertexte visité" xfId="21248" builtinId="9" hidden="1"/>
    <cellStyle name="Lien hypertexte visité" xfId="21312" builtinId="9" hidden="1"/>
    <cellStyle name="Lien hypertexte visité" xfId="21376" builtinId="9" hidden="1"/>
    <cellStyle name="Lien hypertexte visité" xfId="21416" builtinId="9" hidden="1"/>
    <cellStyle name="Lien hypertexte visité" xfId="21480" builtinId="9" hidden="1"/>
    <cellStyle name="Lien hypertexte visité" xfId="21544" builtinId="9" hidden="1"/>
    <cellStyle name="Lien hypertexte visité" xfId="21592" builtinId="9" hidden="1"/>
    <cellStyle name="Lien hypertexte visité" xfId="21656" builtinId="9" hidden="1"/>
    <cellStyle name="Lien hypertexte visité" xfId="21720" builtinId="9" hidden="1"/>
    <cellStyle name="Lien hypertexte visité" xfId="21760" builtinId="9" hidden="1"/>
    <cellStyle name="Lien hypertexte visité" xfId="21824" builtinId="9" hidden="1"/>
    <cellStyle name="Lien hypertexte visité" xfId="21888" builtinId="9" hidden="1"/>
    <cellStyle name="Lien hypertexte visité" xfId="21928" builtinId="9" hidden="1"/>
    <cellStyle name="Lien hypertexte visité" xfId="21992" builtinId="9" hidden="1"/>
    <cellStyle name="Lien hypertexte visité" xfId="22056" builtinId="9" hidden="1"/>
    <cellStyle name="Lien hypertexte visité" xfId="22104" builtinId="9" hidden="1"/>
    <cellStyle name="Lien hypertexte visité" xfId="22168" builtinId="9" hidden="1"/>
    <cellStyle name="Lien hypertexte visité" xfId="22232" builtinId="9" hidden="1"/>
    <cellStyle name="Lien hypertexte visité" xfId="22272" builtinId="9" hidden="1"/>
    <cellStyle name="Lien hypertexte visité" xfId="22336" builtinId="9" hidden="1"/>
    <cellStyle name="Lien hypertexte visité" xfId="22400" builtinId="9" hidden="1"/>
    <cellStyle name="Lien hypertexte visité" xfId="22440" builtinId="9" hidden="1"/>
    <cellStyle name="Lien hypertexte visité" xfId="22504" builtinId="9" hidden="1"/>
    <cellStyle name="Lien hypertexte visité" xfId="22568" builtinId="9" hidden="1"/>
    <cellStyle name="Lien hypertexte visité" xfId="22616" builtinId="9" hidden="1"/>
    <cellStyle name="Lien hypertexte visité" xfId="22680" builtinId="9" hidden="1"/>
    <cellStyle name="Lien hypertexte visité" xfId="22744" builtinId="9" hidden="1"/>
    <cellStyle name="Lien hypertexte visité" xfId="22784" builtinId="9" hidden="1"/>
    <cellStyle name="Lien hypertexte visité" xfId="22848" builtinId="9" hidden="1"/>
    <cellStyle name="Lien hypertexte visité" xfId="22912" builtinId="9" hidden="1"/>
    <cellStyle name="Lien hypertexte visité" xfId="22952" builtinId="9" hidden="1"/>
    <cellStyle name="Lien hypertexte visité" xfId="23016" builtinId="9" hidden="1"/>
    <cellStyle name="Lien hypertexte visité" xfId="23080" builtinId="9" hidden="1"/>
    <cellStyle name="Lien hypertexte visité" xfId="23128" builtinId="9" hidden="1"/>
    <cellStyle name="Lien hypertexte visité" xfId="23192" builtinId="9" hidden="1"/>
    <cellStyle name="Lien hypertexte visité" xfId="23256" builtinId="9" hidden="1"/>
    <cellStyle name="Lien hypertexte visité" xfId="23296" builtinId="9" hidden="1"/>
    <cellStyle name="Lien hypertexte visité" xfId="23360" builtinId="9" hidden="1"/>
    <cellStyle name="Lien hypertexte visité" xfId="23424" builtinId="9" hidden="1"/>
    <cellStyle name="Lien hypertexte visité" xfId="23464" builtinId="9" hidden="1"/>
    <cellStyle name="Lien hypertexte visité" xfId="23528" builtinId="9" hidden="1"/>
    <cellStyle name="Lien hypertexte visité" xfId="23592" builtinId="9" hidden="1"/>
    <cellStyle name="Lien hypertexte visité" xfId="23640" builtinId="9" hidden="1"/>
    <cellStyle name="Lien hypertexte visité" xfId="23704" builtinId="9" hidden="1"/>
    <cellStyle name="Lien hypertexte visité" xfId="23768" builtinId="9" hidden="1"/>
    <cellStyle name="Lien hypertexte visité" xfId="23808" builtinId="9" hidden="1"/>
    <cellStyle name="Lien hypertexte visité" xfId="23872" builtinId="9" hidden="1"/>
    <cellStyle name="Lien hypertexte visité" xfId="23936" builtinId="9" hidden="1"/>
    <cellStyle name="Lien hypertexte visité" xfId="23976" builtinId="9" hidden="1"/>
    <cellStyle name="Lien hypertexte visité" xfId="24040" builtinId="9" hidden="1"/>
    <cellStyle name="Lien hypertexte visité" xfId="24104" builtinId="9" hidden="1"/>
    <cellStyle name="Lien hypertexte visité" xfId="24152" builtinId="9" hidden="1"/>
    <cellStyle name="Lien hypertexte visité" xfId="24216" builtinId="9" hidden="1"/>
    <cellStyle name="Lien hypertexte visité" xfId="24280" builtinId="9" hidden="1"/>
    <cellStyle name="Lien hypertexte visité" xfId="24320" builtinId="9" hidden="1"/>
    <cellStyle name="Lien hypertexte visité" xfId="24384" builtinId="9" hidden="1"/>
    <cellStyle name="Lien hypertexte visité" xfId="24448" builtinId="9" hidden="1"/>
    <cellStyle name="Lien hypertexte visité" xfId="24488" builtinId="9" hidden="1"/>
    <cellStyle name="Lien hypertexte visité" xfId="24552" builtinId="9" hidden="1"/>
    <cellStyle name="Lien hypertexte visité" xfId="24610" builtinId="9" hidden="1"/>
    <cellStyle name="Lien hypertexte visité" xfId="24562" builtinId="9" hidden="1"/>
    <cellStyle name="Lien hypertexte visité" xfId="24498" builtinId="9" hidden="1"/>
    <cellStyle name="Lien hypertexte visité" xfId="24434" builtinId="9" hidden="1"/>
    <cellStyle name="Lien hypertexte visité" xfId="24394" builtinId="9" hidden="1"/>
    <cellStyle name="Lien hypertexte visité" xfId="24330" builtinId="9" hidden="1"/>
    <cellStyle name="Lien hypertexte visité" xfId="24266" builtinId="9" hidden="1"/>
    <cellStyle name="Lien hypertexte visité" xfId="24226" builtinId="9" hidden="1"/>
    <cellStyle name="Lien hypertexte visité" xfId="24162" builtinId="9" hidden="1"/>
    <cellStyle name="Lien hypertexte visité" xfId="24098" builtinId="9" hidden="1"/>
    <cellStyle name="Lien hypertexte visité" xfId="24050" builtinId="9" hidden="1"/>
    <cellStyle name="Lien hypertexte visité" xfId="23986" builtinId="9" hidden="1"/>
    <cellStyle name="Lien hypertexte visité" xfId="23922" builtinId="9" hidden="1"/>
    <cellStyle name="Lien hypertexte visité" xfId="23882" builtinId="9" hidden="1"/>
    <cellStyle name="Lien hypertexte visité" xfId="23818" builtinId="9" hidden="1"/>
    <cellStyle name="Lien hypertexte visité" xfId="23754" builtinId="9" hidden="1"/>
    <cellStyle name="Lien hypertexte visité" xfId="23714" builtinId="9" hidden="1"/>
    <cellStyle name="Lien hypertexte visité" xfId="23650" builtinId="9" hidden="1"/>
    <cellStyle name="Lien hypertexte visité" xfId="23586" builtinId="9" hidden="1"/>
    <cellStyle name="Lien hypertexte visité" xfId="23538" builtinId="9" hidden="1"/>
    <cellStyle name="Lien hypertexte visité" xfId="23474" builtinId="9" hidden="1"/>
    <cellStyle name="Lien hypertexte visité" xfId="23410" builtinId="9" hidden="1"/>
    <cellStyle name="Lien hypertexte visité" xfId="23370" builtinId="9" hidden="1"/>
    <cellStyle name="Lien hypertexte visité" xfId="23306" builtinId="9" hidden="1"/>
    <cellStyle name="Lien hypertexte visité" xfId="23242" builtinId="9" hidden="1"/>
    <cellStyle name="Lien hypertexte visité" xfId="23202" builtinId="9" hidden="1"/>
    <cellStyle name="Lien hypertexte visité" xfId="23138" builtinId="9" hidden="1"/>
    <cellStyle name="Lien hypertexte visité" xfId="23074" builtinId="9" hidden="1"/>
    <cellStyle name="Lien hypertexte visité" xfId="23026" builtinId="9" hidden="1"/>
    <cellStyle name="Lien hypertexte visité" xfId="22962" builtinId="9" hidden="1"/>
    <cellStyle name="Lien hypertexte visité" xfId="22898" builtinId="9" hidden="1"/>
    <cellStyle name="Lien hypertexte visité" xfId="22858" builtinId="9" hidden="1"/>
    <cellStyle name="Lien hypertexte visité" xfId="22794" builtinId="9" hidden="1"/>
    <cellStyle name="Lien hypertexte visité" xfId="22730" builtinId="9" hidden="1"/>
    <cellStyle name="Lien hypertexte visité" xfId="22690" builtinId="9" hidden="1"/>
    <cellStyle name="Lien hypertexte visité" xfId="22626" builtinId="9" hidden="1"/>
    <cellStyle name="Lien hypertexte visité" xfId="22562" builtinId="9" hidden="1"/>
    <cellStyle name="Lien hypertexte visité" xfId="22514" builtinId="9" hidden="1"/>
    <cellStyle name="Lien hypertexte visité" xfId="22450" builtinId="9" hidden="1"/>
    <cellStyle name="Lien hypertexte visité" xfId="22386" builtinId="9" hidden="1"/>
    <cellStyle name="Lien hypertexte visité" xfId="22346" builtinId="9" hidden="1"/>
    <cellStyle name="Lien hypertexte visité" xfId="22282" builtinId="9" hidden="1"/>
    <cellStyle name="Lien hypertexte visité" xfId="22218" builtinId="9" hidden="1"/>
    <cellStyle name="Lien hypertexte visité" xfId="22178" builtinId="9" hidden="1"/>
    <cellStyle name="Lien hypertexte visité" xfId="22114" builtinId="9" hidden="1"/>
    <cellStyle name="Lien hypertexte visité" xfId="22050" builtinId="9" hidden="1"/>
    <cellStyle name="Lien hypertexte visité" xfId="22002" builtinId="9" hidden="1"/>
    <cellStyle name="Lien hypertexte visité" xfId="21938" builtinId="9" hidden="1"/>
    <cellStyle name="Lien hypertexte visité" xfId="21874" builtinId="9" hidden="1"/>
    <cellStyle name="Lien hypertexte visité" xfId="21834" builtinId="9" hidden="1"/>
    <cellStyle name="Lien hypertexte visité" xfId="21770" builtinId="9" hidden="1"/>
    <cellStyle name="Lien hypertexte visité" xfId="21706" builtinId="9" hidden="1"/>
    <cellStyle name="Lien hypertexte visité" xfId="21666" builtinId="9" hidden="1"/>
    <cellStyle name="Lien hypertexte visité" xfId="21602" builtinId="9" hidden="1"/>
    <cellStyle name="Lien hypertexte visité" xfId="21538" builtinId="9" hidden="1"/>
    <cellStyle name="Lien hypertexte visité" xfId="21490" builtinId="9" hidden="1"/>
    <cellStyle name="Lien hypertexte visité" xfId="21426" builtinId="9" hidden="1"/>
    <cellStyle name="Lien hypertexte visité" xfId="21362" builtinId="9" hidden="1"/>
    <cellStyle name="Lien hypertexte visité" xfId="21322" builtinId="9" hidden="1"/>
    <cellStyle name="Lien hypertexte visité" xfId="21258" builtinId="9" hidden="1"/>
    <cellStyle name="Lien hypertexte visité" xfId="21194" builtinId="9" hidden="1"/>
    <cellStyle name="Lien hypertexte visité" xfId="21154" builtinId="9" hidden="1"/>
    <cellStyle name="Lien hypertexte visité" xfId="21090" builtinId="9" hidden="1"/>
    <cellStyle name="Lien hypertexte visité" xfId="21026" builtinId="9" hidden="1"/>
    <cellStyle name="Lien hypertexte visité" xfId="20978" builtinId="9" hidden="1"/>
    <cellStyle name="Lien hypertexte visité" xfId="20914" builtinId="9" hidden="1"/>
    <cellStyle name="Lien hypertexte visité" xfId="20850" builtinId="9" hidden="1"/>
    <cellStyle name="Lien hypertexte visité" xfId="20810" builtinId="9" hidden="1"/>
    <cellStyle name="Lien hypertexte visité" xfId="20746" builtinId="9" hidden="1"/>
    <cellStyle name="Lien hypertexte visité" xfId="20682" builtinId="9" hidden="1"/>
    <cellStyle name="Lien hypertexte visité" xfId="20642" builtinId="9" hidden="1"/>
    <cellStyle name="Lien hypertexte visité" xfId="20578" builtinId="9" hidden="1"/>
    <cellStyle name="Lien hypertexte visité" xfId="20514" builtinId="9" hidden="1"/>
    <cellStyle name="Lien hypertexte visité" xfId="20466" builtinId="9" hidden="1"/>
    <cellStyle name="Lien hypertexte visité" xfId="20402" builtinId="9" hidden="1"/>
    <cellStyle name="Lien hypertexte visité" xfId="20338" builtinId="9" hidden="1"/>
    <cellStyle name="Lien hypertexte visité" xfId="20298" builtinId="9" hidden="1"/>
    <cellStyle name="Lien hypertexte visité" xfId="20234" builtinId="9" hidden="1"/>
    <cellStyle name="Lien hypertexte visité" xfId="20170" builtinId="9" hidden="1"/>
    <cellStyle name="Lien hypertexte visité" xfId="20130" builtinId="9" hidden="1"/>
    <cellStyle name="Lien hypertexte visité" xfId="20066" builtinId="9" hidden="1"/>
    <cellStyle name="Lien hypertexte visité" xfId="20002" builtinId="9" hidden="1"/>
    <cellStyle name="Lien hypertexte visité" xfId="19954" builtinId="9" hidden="1"/>
    <cellStyle name="Lien hypertexte visité" xfId="19890" builtinId="9" hidden="1"/>
    <cellStyle name="Lien hypertexte visité" xfId="19826" builtinId="9" hidden="1"/>
    <cellStyle name="Lien hypertexte visité" xfId="19786" builtinId="9" hidden="1"/>
    <cellStyle name="Lien hypertexte visité" xfId="19722" builtinId="9" hidden="1"/>
    <cellStyle name="Lien hypertexte visité" xfId="19658" builtinId="9" hidden="1"/>
    <cellStyle name="Lien hypertexte visité" xfId="19618" builtinId="9" hidden="1"/>
    <cellStyle name="Lien hypertexte visité" xfId="19554" builtinId="9" hidden="1"/>
    <cellStyle name="Lien hypertexte visité" xfId="19490" builtinId="9" hidden="1"/>
    <cellStyle name="Lien hypertexte visité" xfId="19442" builtinId="9" hidden="1"/>
    <cellStyle name="Lien hypertexte visité" xfId="19378" builtinId="9" hidden="1"/>
    <cellStyle name="Lien hypertexte visité" xfId="19314" builtinId="9" hidden="1"/>
    <cellStyle name="Lien hypertexte visité" xfId="19274" builtinId="9" hidden="1"/>
    <cellStyle name="Lien hypertexte visité" xfId="19210" builtinId="9" hidden="1"/>
    <cellStyle name="Lien hypertexte visité" xfId="19146" builtinId="9" hidden="1"/>
    <cellStyle name="Lien hypertexte visité" xfId="19106" builtinId="9" hidden="1"/>
    <cellStyle name="Lien hypertexte visité" xfId="19042" builtinId="9" hidden="1"/>
    <cellStyle name="Lien hypertexte visité" xfId="18978" builtinId="9" hidden="1"/>
    <cellStyle name="Lien hypertexte visité" xfId="18930" builtinId="9" hidden="1"/>
    <cellStyle name="Lien hypertexte visité" xfId="18866" builtinId="9" hidden="1"/>
    <cellStyle name="Lien hypertexte visité" xfId="18802" builtinId="9" hidden="1"/>
    <cellStyle name="Lien hypertexte visité" xfId="18762" builtinId="9" hidden="1"/>
    <cellStyle name="Lien hypertexte visité" xfId="18698" builtinId="9" hidden="1"/>
    <cellStyle name="Lien hypertexte visité" xfId="18634" builtinId="9" hidden="1"/>
    <cellStyle name="Lien hypertexte visité" xfId="18594" builtinId="9" hidden="1"/>
    <cellStyle name="Lien hypertexte visité" xfId="18530" builtinId="9" hidden="1"/>
    <cellStyle name="Lien hypertexte visité" xfId="18466" builtinId="9" hidden="1"/>
    <cellStyle name="Lien hypertexte visité" xfId="18418" builtinId="9" hidden="1"/>
    <cellStyle name="Lien hypertexte visité" xfId="18354" builtinId="9" hidden="1"/>
    <cellStyle name="Lien hypertexte visité" xfId="18307" builtinId="9" hidden="1"/>
    <cellStyle name="Lien hypertexte visité" xfId="18267" builtinId="9" hidden="1"/>
    <cellStyle name="Lien hypertexte visité" xfId="18203" builtinId="9" hidden="1"/>
    <cellStyle name="Lien hypertexte visité" xfId="18139" builtinId="9" hidden="1"/>
    <cellStyle name="Lien hypertexte visité" xfId="18099" builtinId="9" hidden="1"/>
    <cellStyle name="Lien hypertexte visité" xfId="18035" builtinId="9" hidden="1"/>
    <cellStyle name="Lien hypertexte visité" xfId="17971" builtinId="9" hidden="1"/>
    <cellStyle name="Lien hypertexte visité" xfId="17923" builtinId="9" hidden="1"/>
    <cellStyle name="Lien hypertexte visité" xfId="17859" builtinId="9" hidden="1"/>
    <cellStyle name="Lien hypertexte visité" xfId="17795" builtinId="9" hidden="1"/>
    <cellStyle name="Lien hypertexte visité" xfId="17755" builtinId="9" hidden="1"/>
    <cellStyle name="Lien hypertexte visité" xfId="17691" builtinId="9" hidden="1"/>
    <cellStyle name="Lien hypertexte visité" xfId="17627" builtinId="9" hidden="1"/>
    <cellStyle name="Lien hypertexte visité" xfId="17587" builtinId="9" hidden="1"/>
    <cellStyle name="Lien hypertexte visité" xfId="17523" builtinId="9" hidden="1"/>
    <cellStyle name="Lien hypertexte visité" xfId="17459" builtinId="9" hidden="1"/>
    <cellStyle name="Lien hypertexte visité" xfId="17411" builtinId="9" hidden="1"/>
    <cellStyle name="Lien hypertexte visité" xfId="17347" builtinId="9" hidden="1"/>
    <cellStyle name="Lien hypertexte visité" xfId="17387" builtinId="9" hidden="1"/>
    <cellStyle name="Lien hypertexte visité" xfId="17515" builtinId="9" hidden="1"/>
    <cellStyle name="Lien hypertexte visité" xfId="17707" builtinId="9" hidden="1"/>
    <cellStyle name="Lien hypertexte visité" xfId="17899" builtinId="9" hidden="1"/>
    <cellStyle name="Lien hypertexte visité" xfId="18027" builtinId="9" hidden="1"/>
    <cellStyle name="Lien hypertexte visité" xfId="18219" builtinId="9" hidden="1"/>
    <cellStyle name="Lien hypertexte visité" xfId="18394" builtinId="9" hidden="1"/>
    <cellStyle name="Lien hypertexte visité" xfId="18522" builtinId="9" hidden="1"/>
    <cellStyle name="Lien hypertexte visité" xfId="18714" builtinId="9" hidden="1"/>
    <cellStyle name="Lien hypertexte visité" xfId="18906" builtinId="9" hidden="1"/>
    <cellStyle name="Lien hypertexte visité" xfId="19034" builtinId="9" hidden="1"/>
    <cellStyle name="Lien hypertexte visité" xfId="19226" builtinId="9" hidden="1"/>
    <cellStyle name="Lien hypertexte visité" xfId="19418" builtinId="9" hidden="1"/>
    <cellStyle name="Lien hypertexte visité" xfId="19546" builtinId="9" hidden="1"/>
    <cellStyle name="Lien hypertexte visité" xfId="19738" builtinId="9" hidden="1"/>
    <cellStyle name="Lien hypertexte visité" xfId="19930" builtinId="9" hidden="1"/>
    <cellStyle name="Lien hypertexte visité" xfId="20058" builtinId="9" hidden="1"/>
    <cellStyle name="Lien hypertexte visité" xfId="20250" builtinId="9" hidden="1"/>
    <cellStyle name="Lien hypertexte visité" xfId="20442" builtinId="9" hidden="1"/>
    <cellStyle name="Lien hypertexte visité" xfId="20570" builtinId="9" hidden="1"/>
    <cellStyle name="Lien hypertexte visité" xfId="20762" builtinId="9" hidden="1"/>
    <cellStyle name="Lien hypertexte visité" xfId="20954" builtinId="9" hidden="1"/>
    <cellStyle name="Lien hypertexte visité" xfId="21082" builtinId="9" hidden="1"/>
    <cellStyle name="Lien hypertexte visité" xfId="21274" builtinId="9" hidden="1"/>
    <cellStyle name="Lien hypertexte visité" xfId="21466" builtinId="9" hidden="1"/>
    <cellStyle name="Lien hypertexte visité" xfId="21594" builtinId="9" hidden="1"/>
    <cellStyle name="Lien hypertexte visité" xfId="21786" builtinId="9" hidden="1"/>
    <cellStyle name="Lien hypertexte visité" xfId="21978" builtinId="9" hidden="1"/>
    <cellStyle name="Lien hypertexte visité" xfId="22106" builtinId="9" hidden="1"/>
    <cellStyle name="Lien hypertexte visité" xfId="22298" builtinId="9" hidden="1"/>
    <cellStyle name="Lien hypertexte visité" xfId="22490" builtinId="9" hidden="1"/>
    <cellStyle name="Lien hypertexte visité" xfId="22618" builtinId="9" hidden="1"/>
    <cellStyle name="Lien hypertexte visité" xfId="22810" builtinId="9" hidden="1"/>
    <cellStyle name="Lien hypertexte visité" xfId="23002" builtinId="9" hidden="1"/>
    <cellStyle name="Lien hypertexte visité" xfId="23130" builtinId="9" hidden="1"/>
    <cellStyle name="Lien hypertexte visité" xfId="23322" builtinId="9" hidden="1"/>
    <cellStyle name="Lien hypertexte visité" xfId="23514" builtinId="9" hidden="1"/>
    <cellStyle name="Lien hypertexte visité" xfId="23642" builtinId="9" hidden="1"/>
    <cellStyle name="Lien hypertexte visité" xfId="23834" builtinId="9" hidden="1"/>
    <cellStyle name="Lien hypertexte visité" xfId="24026" builtinId="9" hidden="1"/>
    <cellStyle name="Lien hypertexte visité" xfId="24154" builtinId="9" hidden="1"/>
    <cellStyle name="Lien hypertexte visité" xfId="24346" builtinId="9" hidden="1"/>
    <cellStyle name="Lien hypertexte visité" xfId="24538" builtinId="9" hidden="1"/>
    <cellStyle name="Lien hypertexte visité" xfId="24560" builtinId="9" hidden="1"/>
    <cellStyle name="Lien hypertexte visité" xfId="24368" builtinId="9" hidden="1"/>
    <cellStyle name="Lien hypertexte visité" xfId="24176" builtinId="9" hidden="1"/>
    <cellStyle name="Lien hypertexte visité" xfId="24048" builtinId="9" hidden="1"/>
    <cellStyle name="Lien hypertexte visité" xfId="23856" builtinId="9" hidden="1"/>
    <cellStyle name="Lien hypertexte visité" xfId="23664" builtinId="9" hidden="1"/>
    <cellStyle name="Lien hypertexte visité" xfId="23536" builtinId="9" hidden="1"/>
    <cellStyle name="Lien hypertexte visité" xfId="23344" builtinId="9" hidden="1"/>
    <cellStyle name="Lien hypertexte visité" xfId="23152" builtinId="9" hidden="1"/>
    <cellStyle name="Lien hypertexte visité" xfId="23024" builtinId="9" hidden="1"/>
    <cellStyle name="Lien hypertexte visité" xfId="22832" builtinId="9" hidden="1"/>
    <cellStyle name="Lien hypertexte visité" xfId="22640" builtinId="9" hidden="1"/>
    <cellStyle name="Lien hypertexte visité" xfId="22512" builtinId="9" hidden="1"/>
    <cellStyle name="Lien hypertexte visité" xfId="22320" builtinId="9" hidden="1"/>
    <cellStyle name="Lien hypertexte visité" xfId="22128" builtinId="9" hidden="1"/>
    <cellStyle name="Lien hypertexte visité" xfId="22000" builtinId="9" hidden="1"/>
    <cellStyle name="Lien hypertexte visité" xfId="21808" builtinId="9" hidden="1"/>
    <cellStyle name="Lien hypertexte visité" xfId="21616" builtinId="9" hidden="1"/>
    <cellStyle name="Lien hypertexte visité" xfId="21488" builtinId="9" hidden="1"/>
    <cellStyle name="Lien hypertexte visité" xfId="21296" builtinId="9" hidden="1"/>
    <cellStyle name="Lien hypertexte visité" xfId="21104" builtinId="9" hidden="1"/>
    <cellStyle name="Lien hypertexte visité" xfId="20976" builtinId="9" hidden="1"/>
    <cellStyle name="Lien hypertexte visité" xfId="20784" builtinId="9" hidden="1"/>
    <cellStyle name="Lien hypertexte visité" xfId="20592" builtinId="9" hidden="1"/>
    <cellStyle name="Lien hypertexte visité" xfId="20464" builtinId="9" hidden="1"/>
    <cellStyle name="Lien hypertexte visité" xfId="20272" builtinId="9" hidden="1"/>
    <cellStyle name="Lien hypertexte visité" xfId="20080" builtinId="9" hidden="1"/>
    <cellStyle name="Lien hypertexte visité" xfId="19952" builtinId="9" hidden="1"/>
    <cellStyle name="Lien hypertexte visité" xfId="19760" builtinId="9" hidden="1"/>
    <cellStyle name="Lien hypertexte visité" xfId="19568" builtinId="9" hidden="1"/>
    <cellStyle name="Lien hypertexte visité" xfId="19440" builtinId="9" hidden="1"/>
    <cellStyle name="Lien hypertexte visité" xfId="19248" builtinId="9" hidden="1"/>
    <cellStyle name="Lien hypertexte visité" xfId="19056" builtinId="9" hidden="1"/>
    <cellStyle name="Lien hypertexte visité" xfId="18928" builtinId="9" hidden="1"/>
    <cellStyle name="Lien hypertexte visité" xfId="18736" builtinId="9" hidden="1"/>
    <cellStyle name="Lien hypertexte visité" xfId="18544" builtinId="9" hidden="1"/>
    <cellStyle name="Lien hypertexte visité" xfId="18416" builtinId="9" hidden="1"/>
    <cellStyle name="Lien hypertexte visité" xfId="18241" builtinId="9" hidden="1"/>
    <cellStyle name="Lien hypertexte visité" xfId="18049" builtinId="9" hidden="1"/>
    <cellStyle name="Lien hypertexte visité" xfId="17921" builtinId="9" hidden="1"/>
    <cellStyle name="Lien hypertexte visité" xfId="17729" builtinId="9" hidden="1"/>
    <cellStyle name="Lien hypertexte visité" xfId="17537" builtinId="9" hidden="1"/>
    <cellStyle name="Lien hypertexte visité" xfId="17409" builtinId="9" hidden="1"/>
    <cellStyle name="Lien hypertexte visité" xfId="17217" builtinId="9" hidden="1"/>
    <cellStyle name="Lien hypertexte visité" xfId="17025" builtinId="9" hidden="1"/>
    <cellStyle name="Lien hypertexte visité" xfId="16897" builtinId="9" hidden="1"/>
    <cellStyle name="Lien hypertexte visité" xfId="16705" builtinId="9" hidden="1"/>
    <cellStyle name="Lien hypertexte visité" xfId="16513" builtinId="9" hidden="1"/>
    <cellStyle name="Lien hypertexte visité" xfId="16385" builtinId="9" hidden="1"/>
    <cellStyle name="Lien hypertexte visité" xfId="16193" builtinId="9" hidden="1"/>
    <cellStyle name="Lien hypertexte visité" xfId="16001" builtinId="9" hidden="1"/>
    <cellStyle name="Lien hypertexte visité" xfId="15873" builtinId="9" hidden="1"/>
    <cellStyle name="Lien hypertexte visité" xfId="15681" builtinId="9" hidden="1"/>
    <cellStyle name="Lien hypertexte visité" xfId="15489" builtinId="9" hidden="1"/>
    <cellStyle name="Lien hypertexte visité" xfId="15361" builtinId="9" hidden="1"/>
    <cellStyle name="Lien hypertexte visité" xfId="15169" builtinId="9" hidden="1"/>
    <cellStyle name="Lien hypertexte visité" xfId="14977" builtinId="9" hidden="1"/>
    <cellStyle name="Lien hypertexte visité" xfId="14849" builtinId="9" hidden="1"/>
    <cellStyle name="Lien hypertexte visité" xfId="14657" builtinId="9" hidden="1"/>
    <cellStyle name="Lien hypertexte visité" xfId="14490" builtinId="9" hidden="1"/>
    <cellStyle name="Lien hypertexte visité" xfId="14426" builtinId="9" hidden="1"/>
    <cellStyle name="Lien hypertexte visité" xfId="14330" builtinId="9" hidden="1"/>
    <cellStyle name="Lien hypertexte visité" xfId="14234" builtinId="9" hidden="1"/>
    <cellStyle name="Lien hypertexte visité" xfId="14170" builtinId="9" hidden="1"/>
    <cellStyle name="Lien hypertexte visité" xfId="14074" builtinId="9" hidden="1"/>
    <cellStyle name="Lien hypertexte visité" xfId="13978" builtinId="9" hidden="1"/>
    <cellStyle name="Lien hypertexte visité" xfId="13914" builtinId="9" hidden="1"/>
    <cellStyle name="Lien hypertexte visité" xfId="13818" builtinId="9" hidden="1"/>
    <cellStyle name="Lien hypertexte visité" xfId="13722" builtinId="9" hidden="1"/>
    <cellStyle name="Lien hypertexte visité" xfId="13658" builtinId="9" hidden="1"/>
    <cellStyle name="Lien hypertexte visité" xfId="13562" builtinId="9" hidden="1"/>
    <cellStyle name="Lien hypertexte visité" xfId="13466" builtinId="9" hidden="1"/>
    <cellStyle name="Lien hypertexte visité" xfId="13402" builtinId="9" hidden="1"/>
    <cellStyle name="Lien hypertexte visité" xfId="13306" builtinId="9" hidden="1"/>
    <cellStyle name="Lien hypertexte visité" xfId="13210" builtinId="9" hidden="1"/>
    <cellStyle name="Lien hypertexte visité" xfId="13146" builtinId="9" hidden="1"/>
    <cellStyle name="Lien hypertexte visité" xfId="13050" builtinId="9" hidden="1"/>
    <cellStyle name="Lien hypertexte visité" xfId="12954" builtinId="9" hidden="1"/>
    <cellStyle name="Lien hypertexte visité" xfId="12890" builtinId="9" hidden="1"/>
    <cellStyle name="Lien hypertexte visité" xfId="12794" builtinId="9" hidden="1"/>
    <cellStyle name="Lien hypertexte visité" xfId="12698" builtinId="9" hidden="1"/>
    <cellStyle name="Lien hypertexte visité" xfId="12634" builtinId="9" hidden="1"/>
    <cellStyle name="Lien hypertexte visité" xfId="12538" builtinId="9" hidden="1"/>
    <cellStyle name="Lien hypertexte visité" xfId="12442" builtinId="9" hidden="1"/>
    <cellStyle name="Lien hypertexte visité" xfId="12378" builtinId="9" hidden="1"/>
    <cellStyle name="Lien hypertexte visité" xfId="12282" builtinId="9" hidden="1"/>
    <cellStyle name="Lien hypertexte visité" xfId="12186" builtinId="9" hidden="1"/>
    <cellStyle name="Lien hypertexte visité" xfId="12122" builtinId="9" hidden="1"/>
    <cellStyle name="Lien hypertexte visité" xfId="12026" builtinId="9" hidden="1"/>
    <cellStyle name="Lien hypertexte visité" xfId="11930" builtinId="9" hidden="1"/>
    <cellStyle name="Lien hypertexte visité" xfId="11866" builtinId="9" hidden="1"/>
    <cellStyle name="Lien hypertexte visité" xfId="11770" builtinId="9" hidden="1"/>
    <cellStyle name="Lien hypertexte visité" xfId="11674" builtinId="9" hidden="1"/>
    <cellStyle name="Lien hypertexte visité" xfId="11610" builtinId="9" hidden="1"/>
    <cellStyle name="Lien hypertexte visité" xfId="11514" builtinId="9" hidden="1"/>
    <cellStyle name="Lien hypertexte visité" xfId="11418" builtinId="9" hidden="1"/>
    <cellStyle name="Lien hypertexte visité" xfId="11354" builtinId="9" hidden="1"/>
    <cellStyle name="Lien hypertexte visité" xfId="11322" builtinId="9" hidden="1"/>
    <cellStyle name="Lien hypertexte visité" xfId="11578" builtinId="9" hidden="1"/>
    <cellStyle name="Lien hypertexte visité" xfId="11834" builtinId="9" hidden="1"/>
    <cellStyle name="Lien hypertexte visité" xfId="12090" builtinId="9" hidden="1"/>
    <cellStyle name="Lien hypertexte visité" xfId="12346" builtinId="9" hidden="1"/>
    <cellStyle name="Lien hypertexte visité" xfId="12602" builtinId="9" hidden="1"/>
    <cellStyle name="Lien hypertexte visité" xfId="12858" builtinId="9" hidden="1"/>
    <cellStyle name="Lien hypertexte visité" xfId="13114" builtinId="9" hidden="1"/>
    <cellStyle name="Lien hypertexte visité" xfId="13370" builtinId="9" hidden="1"/>
    <cellStyle name="Lien hypertexte visité" xfId="13626" builtinId="9" hidden="1"/>
    <cellStyle name="Lien hypertexte visité" xfId="13882" builtinId="9" hidden="1"/>
    <cellStyle name="Lien hypertexte visité" xfId="14138" builtinId="9" hidden="1"/>
    <cellStyle name="Lien hypertexte visité" xfId="14394" builtinId="9" hidden="1"/>
    <cellStyle name="Lien hypertexte visité" xfId="14785" builtinId="9" hidden="1"/>
    <cellStyle name="Lien hypertexte visité" xfId="15297" builtinId="9" hidden="1"/>
    <cellStyle name="Lien hypertexte visité" xfId="15809" builtinId="9" hidden="1"/>
    <cellStyle name="Lien hypertexte visité" xfId="16321" builtinId="9" hidden="1"/>
    <cellStyle name="Lien hypertexte visité" xfId="16833" builtinId="9" hidden="1"/>
    <cellStyle name="Lien hypertexte visité" xfId="17345" builtinId="9" hidden="1"/>
    <cellStyle name="Lien hypertexte visité" xfId="17857" builtinId="9" hidden="1"/>
    <cellStyle name="Lien hypertexte visité" xfId="18352" builtinId="9" hidden="1"/>
    <cellStyle name="Lien hypertexte visité" xfId="18864" builtinId="9" hidden="1"/>
    <cellStyle name="Lien hypertexte visité" xfId="19376" builtinId="9" hidden="1"/>
    <cellStyle name="Lien hypertexte visité" xfId="19888" builtinId="9" hidden="1"/>
    <cellStyle name="Lien hypertexte visité" xfId="20400" builtinId="9" hidden="1"/>
    <cellStyle name="Lien hypertexte visité" xfId="20912" builtinId="9" hidden="1"/>
    <cellStyle name="Lien hypertexte visité" xfId="21424" builtinId="9" hidden="1"/>
    <cellStyle name="Lien hypertexte visité" xfId="21936" builtinId="9" hidden="1"/>
    <cellStyle name="Lien hypertexte visité" xfId="22448" builtinId="9" hidden="1"/>
    <cellStyle name="Lien hypertexte visité" xfId="22960" builtinId="9" hidden="1"/>
    <cellStyle name="Lien hypertexte visité" xfId="23472" builtinId="9" hidden="1"/>
    <cellStyle name="Lien hypertexte visité" xfId="23984" builtinId="9" hidden="1"/>
    <cellStyle name="Lien hypertexte visité" xfId="24496" builtinId="9" hidden="1"/>
    <cellStyle name="Lien hypertexte visité" xfId="24218" builtinId="9" hidden="1"/>
    <cellStyle name="Lien hypertexte visité" xfId="23706" builtinId="9" hidden="1"/>
    <cellStyle name="Lien hypertexte visité" xfId="23194" builtinId="9" hidden="1"/>
    <cellStyle name="Lien hypertexte visité" xfId="22682" builtinId="9" hidden="1"/>
    <cellStyle name="Lien hypertexte visité" xfId="22170" builtinId="9" hidden="1"/>
    <cellStyle name="Lien hypertexte visité" xfId="21658" builtinId="9" hidden="1"/>
    <cellStyle name="Lien hypertexte visité" xfId="21146" builtinId="9" hidden="1"/>
    <cellStyle name="Lien hypertexte visité" xfId="20634" builtinId="9" hidden="1"/>
    <cellStyle name="Lien hypertexte visité" xfId="20122" builtinId="9" hidden="1"/>
    <cellStyle name="Lien hypertexte visité" xfId="19610" builtinId="9" hidden="1"/>
    <cellStyle name="Lien hypertexte visité" xfId="19098" builtinId="9" hidden="1"/>
    <cellStyle name="Lien hypertexte visité" xfId="18586" builtinId="9" hidden="1"/>
    <cellStyle name="Lien hypertexte visité" xfId="18091" builtinId="9" hidden="1"/>
    <cellStyle name="Lien hypertexte visité" xfId="17579" builtinId="9" hidden="1"/>
    <cellStyle name="Lien hypertexte visité" xfId="17395" builtinId="9" hidden="1"/>
    <cellStyle name="Lien hypertexte visité" xfId="17563" builtinId="9" hidden="1"/>
    <cellStyle name="Lien hypertexte visité" xfId="17731" builtinId="9" hidden="1"/>
    <cellStyle name="Lien hypertexte visité" xfId="17907" builtinId="9" hidden="1"/>
    <cellStyle name="Lien hypertexte visité" xfId="18075" builtinId="9" hidden="1"/>
    <cellStyle name="Lien hypertexte visité" xfId="18243" builtinId="9" hidden="1"/>
    <cellStyle name="Lien hypertexte visité" xfId="18402" builtinId="9" hidden="1"/>
    <cellStyle name="Lien hypertexte visité" xfId="18570" builtinId="9" hidden="1"/>
    <cellStyle name="Lien hypertexte visité" xfId="18738" builtinId="9" hidden="1"/>
    <cellStyle name="Lien hypertexte visité" xfId="18914" builtinId="9" hidden="1"/>
    <cellStyle name="Lien hypertexte visité" xfId="19082" builtinId="9" hidden="1"/>
    <cellStyle name="Lien hypertexte visité" xfId="19250" builtinId="9" hidden="1"/>
    <cellStyle name="Lien hypertexte visité" xfId="19426" builtinId="9" hidden="1"/>
    <cellStyle name="Lien hypertexte visité" xfId="19594" builtinId="9" hidden="1"/>
    <cellStyle name="Lien hypertexte visité" xfId="19762" builtinId="9" hidden="1"/>
    <cellStyle name="Lien hypertexte visité" xfId="19938" builtinId="9" hidden="1"/>
    <cellStyle name="Lien hypertexte visité" xfId="20106" builtinId="9" hidden="1"/>
    <cellStyle name="Lien hypertexte visité" xfId="20274" builtinId="9" hidden="1"/>
    <cellStyle name="Lien hypertexte visité" xfId="20450" builtinId="9" hidden="1"/>
    <cellStyle name="Lien hypertexte visité" xfId="20618" builtinId="9" hidden="1"/>
    <cellStyle name="Lien hypertexte visité" xfId="20786" builtinId="9" hidden="1"/>
    <cellStyle name="Lien hypertexte visité" xfId="20962" builtinId="9" hidden="1"/>
    <cellStyle name="Lien hypertexte visité" xfId="21130" builtinId="9" hidden="1"/>
    <cellStyle name="Lien hypertexte visité" xfId="21298" builtinId="9" hidden="1"/>
    <cellStyle name="Lien hypertexte visité" xfId="21474" builtinId="9" hidden="1"/>
    <cellStyle name="Lien hypertexte visité" xfId="21642" builtinId="9" hidden="1"/>
    <cellStyle name="Lien hypertexte visité" xfId="21810" builtinId="9" hidden="1"/>
    <cellStyle name="Lien hypertexte visité" xfId="21986" builtinId="9" hidden="1"/>
    <cellStyle name="Lien hypertexte visité" xfId="22154" builtinId="9" hidden="1"/>
    <cellStyle name="Lien hypertexte visité" xfId="22322" builtinId="9" hidden="1"/>
    <cellStyle name="Lien hypertexte visité" xfId="22498" builtinId="9" hidden="1"/>
    <cellStyle name="Lien hypertexte visité" xfId="22666" builtinId="9" hidden="1"/>
    <cellStyle name="Lien hypertexte visité" xfId="22834" builtinId="9" hidden="1"/>
    <cellStyle name="Lien hypertexte visité" xfId="23010" builtinId="9" hidden="1"/>
    <cellStyle name="Lien hypertexte visité" xfId="23178" builtinId="9" hidden="1"/>
    <cellStyle name="Lien hypertexte visité" xfId="23346" builtinId="9" hidden="1"/>
    <cellStyle name="Lien hypertexte visité" xfId="23522" builtinId="9" hidden="1"/>
    <cellStyle name="Lien hypertexte visité" xfId="23690" builtinId="9" hidden="1"/>
    <cellStyle name="Lien hypertexte visité" xfId="23858" builtinId="9" hidden="1"/>
    <cellStyle name="Lien hypertexte visité" xfId="24034" builtinId="9" hidden="1"/>
    <cellStyle name="Lien hypertexte visité" xfId="24202" builtinId="9" hidden="1"/>
    <cellStyle name="Lien hypertexte visité" xfId="24370" builtinId="9" hidden="1"/>
    <cellStyle name="Lien hypertexte visité" xfId="24546" builtinId="9" hidden="1"/>
    <cellStyle name="Lien hypertexte visité" xfId="24512" builtinId="9" hidden="1"/>
    <cellStyle name="Lien hypertexte visité" xfId="24344" builtinId="9" hidden="1"/>
    <cellStyle name="Lien hypertexte visité" xfId="24168" builtinId="9" hidden="1"/>
    <cellStyle name="Lien hypertexte visité" xfId="24000" builtinId="9" hidden="1"/>
    <cellStyle name="Lien hypertexte visité" xfId="23832" builtinId="9" hidden="1"/>
    <cellStyle name="Lien hypertexte visité" xfId="23656" builtinId="9" hidden="1"/>
    <cellStyle name="Lien hypertexte visité" xfId="23488" builtinId="9" hidden="1"/>
    <cellStyle name="Lien hypertexte visité" xfId="23320" builtinId="9" hidden="1"/>
    <cellStyle name="Lien hypertexte visité" xfId="23144" builtinId="9" hidden="1"/>
    <cellStyle name="Lien hypertexte visité" xfId="22976" builtinId="9" hidden="1"/>
    <cellStyle name="Lien hypertexte visité" xfId="22808" builtinId="9" hidden="1"/>
    <cellStyle name="Lien hypertexte visité" xfId="22632" builtinId="9" hidden="1"/>
    <cellStyle name="Lien hypertexte visité" xfId="22464" builtinId="9" hidden="1"/>
    <cellStyle name="Lien hypertexte visité" xfId="22296" builtinId="9" hidden="1"/>
    <cellStyle name="Lien hypertexte visité" xfId="22120" builtinId="9" hidden="1"/>
    <cellStyle name="Lien hypertexte visité" xfId="21952" builtinId="9" hidden="1"/>
    <cellStyle name="Lien hypertexte visité" xfId="21784" builtinId="9" hidden="1"/>
    <cellStyle name="Lien hypertexte visité" xfId="21608" builtinId="9" hidden="1"/>
    <cellStyle name="Lien hypertexte visité" xfId="21440" builtinId="9" hidden="1"/>
    <cellStyle name="Lien hypertexte visité" xfId="21272" builtinId="9" hidden="1"/>
    <cellStyle name="Lien hypertexte visité" xfId="21096" builtinId="9" hidden="1"/>
    <cellStyle name="Lien hypertexte visité" xfId="20928" builtinId="9" hidden="1"/>
    <cellStyle name="Lien hypertexte visité" xfId="20760" builtinId="9" hidden="1"/>
    <cellStyle name="Lien hypertexte visité" xfId="20584" builtinId="9" hidden="1"/>
    <cellStyle name="Lien hypertexte visité" xfId="20416" builtinId="9" hidden="1"/>
    <cellStyle name="Lien hypertexte visité" xfId="20248" builtinId="9" hidden="1"/>
    <cellStyle name="Lien hypertexte visité" xfId="20072" builtinId="9" hidden="1"/>
    <cellStyle name="Lien hypertexte visité" xfId="19904" builtinId="9" hidden="1"/>
    <cellStyle name="Lien hypertexte visité" xfId="19736" builtinId="9" hidden="1"/>
    <cellStyle name="Lien hypertexte visité" xfId="19560" builtinId="9" hidden="1"/>
    <cellStyle name="Lien hypertexte visité" xfId="19392" builtinId="9" hidden="1"/>
    <cellStyle name="Lien hypertexte visité" xfId="19224" builtinId="9" hidden="1"/>
    <cellStyle name="Lien hypertexte visité" xfId="19048" builtinId="9" hidden="1"/>
    <cellStyle name="Lien hypertexte visité" xfId="18880" builtinId="9" hidden="1"/>
    <cellStyle name="Lien hypertexte visité" xfId="18712" builtinId="9" hidden="1"/>
    <cellStyle name="Lien hypertexte visité" xfId="18536" builtinId="9" hidden="1"/>
    <cellStyle name="Lien hypertexte visité" xfId="18368" builtinId="9" hidden="1"/>
    <cellStyle name="Lien hypertexte visité" xfId="18217" builtinId="9" hidden="1"/>
    <cellStyle name="Lien hypertexte visité" xfId="18041" builtinId="9" hidden="1"/>
    <cellStyle name="Lien hypertexte visité" xfId="17873" builtinId="9" hidden="1"/>
    <cellStyle name="Lien hypertexte visité" xfId="17705" builtinId="9" hidden="1"/>
    <cellStyle name="Lien hypertexte visité" xfId="17529" builtinId="9" hidden="1"/>
    <cellStyle name="Lien hypertexte visité" xfId="17361" builtinId="9" hidden="1"/>
    <cellStyle name="Lien hypertexte visité" xfId="17193" builtinId="9" hidden="1"/>
    <cellStyle name="Lien hypertexte visité" xfId="17017" builtinId="9" hidden="1"/>
    <cellStyle name="Lien hypertexte visité" xfId="16849" builtinId="9" hidden="1"/>
    <cellStyle name="Lien hypertexte visité" xfId="16681" builtinId="9" hidden="1"/>
    <cellStyle name="Lien hypertexte visité" xfId="16505" builtinId="9" hidden="1"/>
    <cellStyle name="Lien hypertexte visité" xfId="16337" builtinId="9" hidden="1"/>
    <cellStyle name="Lien hypertexte visité" xfId="16169" builtinId="9" hidden="1"/>
    <cellStyle name="Lien hypertexte visité" xfId="15993" builtinId="9" hidden="1"/>
    <cellStyle name="Lien hypertexte visité" xfId="15825" builtinId="9" hidden="1"/>
    <cellStyle name="Lien hypertexte visité" xfId="15657" builtinId="9" hidden="1"/>
    <cellStyle name="Lien hypertexte visité" xfId="15481" builtinId="9" hidden="1"/>
    <cellStyle name="Lien hypertexte visité" xfId="15313" builtinId="9" hidden="1"/>
    <cellStyle name="Lien hypertexte visité" xfId="15145" builtinId="9" hidden="1"/>
    <cellStyle name="Lien hypertexte visité" xfId="14969" builtinId="9" hidden="1"/>
    <cellStyle name="Lien hypertexte visité" xfId="14801" builtinId="9" hidden="1"/>
    <cellStyle name="Lien hypertexte visité" xfId="14633" builtinId="9" hidden="1"/>
    <cellStyle name="Lien hypertexte visité" xfId="14486" builtinId="9" hidden="1"/>
    <cellStyle name="Lien hypertexte visité" xfId="14402" builtinId="9" hidden="1"/>
    <cellStyle name="Lien hypertexte visité" xfId="14318" builtinId="9" hidden="1"/>
    <cellStyle name="Lien hypertexte visité" xfId="14230" builtinId="9" hidden="1"/>
    <cellStyle name="Lien hypertexte visité" xfId="14146" builtinId="9" hidden="1"/>
    <cellStyle name="Lien hypertexte visité" xfId="14062" builtinId="9" hidden="1"/>
    <cellStyle name="Lien hypertexte visité" xfId="13974" builtinId="9" hidden="1"/>
    <cellStyle name="Lien hypertexte visité" xfId="13890" builtinId="9" hidden="1"/>
    <cellStyle name="Lien hypertexte visité" xfId="13806" builtinId="9" hidden="1"/>
    <cellStyle name="Lien hypertexte visité" xfId="13718" builtinId="9" hidden="1"/>
    <cellStyle name="Lien hypertexte visité" xfId="13634" builtinId="9" hidden="1"/>
    <cellStyle name="Lien hypertexte visité" xfId="13550" builtinId="9" hidden="1"/>
    <cellStyle name="Lien hypertexte visité" xfId="13462" builtinId="9" hidden="1"/>
    <cellStyle name="Lien hypertexte visité" xfId="13378" builtinId="9" hidden="1"/>
    <cellStyle name="Lien hypertexte visité" xfId="13294" builtinId="9" hidden="1"/>
    <cellStyle name="Lien hypertexte visité" xfId="13206" builtinId="9" hidden="1"/>
    <cellStyle name="Lien hypertexte visité" xfId="13122" builtinId="9" hidden="1"/>
    <cellStyle name="Lien hypertexte visité" xfId="13038" builtinId="9" hidden="1"/>
    <cellStyle name="Lien hypertexte visité" xfId="12950" builtinId="9" hidden="1"/>
    <cellStyle name="Lien hypertexte visité" xfId="12866" builtinId="9" hidden="1"/>
    <cellStyle name="Lien hypertexte visité" xfId="12782" builtinId="9" hidden="1"/>
    <cellStyle name="Lien hypertexte visité" xfId="12694" builtinId="9" hidden="1"/>
    <cellStyle name="Lien hypertexte visité" xfId="12610" builtinId="9" hidden="1"/>
    <cellStyle name="Lien hypertexte visité" xfId="12526" builtinId="9" hidden="1"/>
    <cellStyle name="Lien hypertexte visité" xfId="12438" builtinId="9" hidden="1"/>
    <cellStyle name="Lien hypertexte visité" xfId="12354" builtinId="9" hidden="1"/>
    <cellStyle name="Lien hypertexte visité" xfId="12270" builtinId="9" hidden="1"/>
    <cellStyle name="Lien hypertexte visité" xfId="12182" builtinId="9" hidden="1"/>
    <cellStyle name="Lien hypertexte visité" xfId="12098" builtinId="9" hidden="1"/>
    <cellStyle name="Lien hypertexte visité" xfId="12014" builtinId="9" hidden="1"/>
    <cellStyle name="Lien hypertexte visité" xfId="11926" builtinId="9" hidden="1"/>
    <cellStyle name="Lien hypertexte visité" xfId="11842" builtinId="9" hidden="1"/>
    <cellStyle name="Lien hypertexte visité" xfId="11758" builtinId="9" hidden="1"/>
    <cellStyle name="Lien hypertexte visité" xfId="11670" builtinId="9" hidden="1"/>
    <cellStyle name="Lien hypertexte visité" xfId="11586" builtinId="9" hidden="1"/>
    <cellStyle name="Lien hypertexte visité" xfId="11502" builtinId="9" hidden="1"/>
    <cellStyle name="Lien hypertexte visité" xfId="11414" builtinId="9" hidden="1"/>
    <cellStyle name="Lien hypertexte visité" xfId="11330" builtinId="9" hidden="1"/>
    <cellStyle name="Lien hypertexte visité" xfId="11246" builtinId="9" hidden="1"/>
    <cellStyle name="Lien hypertexte visité" xfId="11158" builtinId="9" hidden="1"/>
    <cellStyle name="Lien hypertexte visité" xfId="11074" builtinId="9" hidden="1"/>
    <cellStyle name="Lien hypertexte visité" xfId="10990" builtinId="9" hidden="1"/>
    <cellStyle name="Lien hypertexte visité" xfId="10902" builtinId="9" hidden="1"/>
    <cellStyle name="Lien hypertexte visité" xfId="10818" builtinId="9" hidden="1"/>
    <cellStyle name="Lien hypertexte visité" xfId="10734" builtinId="9" hidden="1"/>
    <cellStyle name="Lien hypertexte visité" xfId="10646" builtinId="9" hidden="1"/>
    <cellStyle name="Lien hypertexte visité" xfId="10562" builtinId="9" hidden="1"/>
    <cellStyle name="Lien hypertexte visité" xfId="10478" builtinId="9" hidden="1"/>
    <cellStyle name="Lien hypertexte visité" xfId="10390" builtinId="9" hidden="1"/>
    <cellStyle name="Lien hypertexte visité" xfId="10306" builtinId="9" hidden="1"/>
    <cellStyle name="Lien hypertexte visité" xfId="10222" builtinId="9" hidden="1"/>
    <cellStyle name="Lien hypertexte visité" xfId="10134" builtinId="9" hidden="1"/>
    <cellStyle name="Lien hypertexte visité" xfId="10050" builtinId="9" hidden="1"/>
    <cellStyle name="Lien hypertexte visité" xfId="9966" builtinId="9" hidden="1"/>
    <cellStyle name="Lien hypertexte visité" xfId="9878" builtinId="9" hidden="1"/>
    <cellStyle name="Lien hypertexte visité" xfId="9794" builtinId="9" hidden="1"/>
    <cellStyle name="Lien hypertexte visité" xfId="9710" builtinId="9" hidden="1"/>
    <cellStyle name="Lien hypertexte visité" xfId="9622" builtinId="9" hidden="1"/>
    <cellStyle name="Lien hypertexte visité" xfId="9538" builtinId="9" hidden="1"/>
    <cellStyle name="Lien hypertexte visité" xfId="9454" builtinId="9" hidden="1"/>
    <cellStyle name="Lien hypertexte visité" xfId="9366" builtinId="9" hidden="1"/>
    <cellStyle name="Lien hypertexte visité" xfId="9282" builtinId="9" hidden="1"/>
    <cellStyle name="Lien hypertexte visité" xfId="9198" builtinId="9" hidden="1"/>
    <cellStyle name="Lien hypertexte visité" xfId="9110" builtinId="9" hidden="1"/>
    <cellStyle name="Lien hypertexte visité" xfId="9026" builtinId="9" hidden="1"/>
    <cellStyle name="Lien hypertexte visité" xfId="8942" builtinId="9" hidden="1"/>
    <cellStyle name="Lien hypertexte visité" xfId="8854" builtinId="9" hidden="1"/>
    <cellStyle name="Lien hypertexte visité" xfId="8770" builtinId="9" hidden="1"/>
    <cellStyle name="Lien hypertexte visité" xfId="8686" builtinId="9" hidden="1"/>
    <cellStyle name="Lien hypertexte visité" xfId="8598" builtinId="9" hidden="1"/>
    <cellStyle name="Lien hypertexte visité" xfId="8514" builtinId="9" hidden="1"/>
    <cellStyle name="Lien hypertexte visité" xfId="8430" builtinId="9" hidden="1"/>
    <cellStyle name="Lien hypertexte visité" xfId="8342" builtinId="9" hidden="1"/>
    <cellStyle name="Lien hypertexte visité" xfId="8258" builtinId="9" hidden="1"/>
    <cellStyle name="Lien hypertexte visité" xfId="17179" builtinId="9" hidden="1"/>
    <cellStyle name="Lien hypertexte visité" xfId="16923" builtinId="9" hidden="1"/>
    <cellStyle name="Lien hypertexte visité" xfId="16667" builtinId="9" hidden="1"/>
    <cellStyle name="Lien hypertexte visité" xfId="16411" builtinId="9" hidden="1"/>
    <cellStyle name="Lien hypertexte visité" xfId="16155" builtinId="9" hidden="1"/>
    <cellStyle name="Lien hypertexte visité" xfId="15899" builtinId="9" hidden="1"/>
    <cellStyle name="Lien hypertexte visité" xfId="15643" builtinId="9" hidden="1"/>
    <cellStyle name="Lien hypertexte visité" xfId="15387" builtinId="9" hidden="1"/>
    <cellStyle name="Lien hypertexte visité" xfId="15131" builtinId="9" hidden="1"/>
    <cellStyle name="Lien hypertexte visité" xfId="14875" builtinId="9" hidden="1"/>
    <cellStyle name="Lien hypertexte visité" xfId="14619" builtinId="9" hidden="1"/>
    <cellStyle name="Lien hypertexte visité" xfId="14439" builtinId="9" hidden="1"/>
    <cellStyle name="Lien hypertexte visité" xfId="14311" builtinId="9" hidden="1"/>
    <cellStyle name="Lien hypertexte visité" xfId="14183" builtinId="9" hidden="1"/>
    <cellStyle name="Lien hypertexte visité" xfId="14055" builtinId="9" hidden="1"/>
    <cellStyle name="Lien hypertexte visité" xfId="13927" builtinId="9" hidden="1"/>
    <cellStyle name="Lien hypertexte visité" xfId="13799" builtinId="9" hidden="1"/>
    <cellStyle name="Lien hypertexte visité" xfId="13671" builtinId="9" hidden="1"/>
    <cellStyle name="Lien hypertexte visité" xfId="13543" builtinId="9" hidden="1"/>
    <cellStyle name="Lien hypertexte visité" xfId="13415" builtinId="9" hidden="1"/>
    <cellStyle name="Lien hypertexte visité" xfId="13287" builtinId="9" hidden="1"/>
    <cellStyle name="Lien hypertexte visité" xfId="13159" builtinId="9" hidden="1"/>
    <cellStyle name="Lien hypertexte visité" xfId="13031" builtinId="9" hidden="1"/>
    <cellStyle name="Lien hypertexte visité" xfId="12903" builtinId="9" hidden="1"/>
    <cellStyle name="Lien hypertexte visité" xfId="12775" builtinId="9" hidden="1"/>
    <cellStyle name="Lien hypertexte visité" xfId="12647" builtinId="9" hidden="1"/>
    <cellStyle name="Lien hypertexte visité" xfId="12519" builtinId="9" hidden="1"/>
    <cellStyle name="Lien hypertexte visité" xfId="12391" builtinId="9" hidden="1"/>
    <cellStyle name="Lien hypertexte visité" xfId="12263" builtinId="9" hidden="1"/>
    <cellStyle name="Lien hypertexte visité" xfId="12135" builtinId="9" hidden="1"/>
    <cellStyle name="Lien hypertexte visité" xfId="12007" builtinId="9" hidden="1"/>
    <cellStyle name="Lien hypertexte visité" xfId="11879" builtinId="9" hidden="1"/>
    <cellStyle name="Lien hypertexte visité" xfId="11751" builtinId="9" hidden="1"/>
    <cellStyle name="Lien hypertexte visité" xfId="11623" builtinId="9" hidden="1"/>
    <cellStyle name="Lien hypertexte visité" xfId="11495" builtinId="9" hidden="1"/>
    <cellStyle name="Lien hypertexte visité" xfId="11367" builtinId="9" hidden="1"/>
    <cellStyle name="Lien hypertexte visité" xfId="11239" builtinId="9" hidden="1"/>
    <cellStyle name="Lien hypertexte visité" xfId="11111" builtinId="9" hidden="1"/>
    <cellStyle name="Lien hypertexte visité" xfId="10983" builtinId="9" hidden="1"/>
    <cellStyle name="Lien hypertexte visité" xfId="10855" builtinId="9" hidden="1"/>
    <cellStyle name="Lien hypertexte visité" xfId="10727" builtinId="9" hidden="1"/>
    <cellStyle name="Lien hypertexte visité" xfId="10599" builtinId="9" hidden="1"/>
    <cellStyle name="Lien hypertexte visité" xfId="10471" builtinId="9" hidden="1"/>
    <cellStyle name="Lien hypertexte visité" xfId="10343" builtinId="9" hidden="1"/>
    <cellStyle name="Lien hypertexte visité" xfId="10215" builtinId="9" hidden="1"/>
    <cellStyle name="Lien hypertexte visité" xfId="10087" builtinId="9" hidden="1"/>
    <cellStyle name="Lien hypertexte visité" xfId="9959" builtinId="9" hidden="1"/>
    <cellStyle name="Lien hypertexte visité" xfId="9831" builtinId="9" hidden="1"/>
    <cellStyle name="Lien hypertexte visité" xfId="9703" builtinId="9" hidden="1"/>
    <cellStyle name="Lien hypertexte visité" xfId="9575" builtinId="9" hidden="1"/>
    <cellStyle name="Lien hypertexte visité" xfId="9447" builtinId="9" hidden="1"/>
    <cellStyle name="Lien hypertexte visité" xfId="9319" builtinId="9" hidden="1"/>
    <cellStyle name="Lien hypertexte visité" xfId="9191" builtinId="9" hidden="1"/>
    <cellStyle name="Lien hypertexte visité" xfId="9063" builtinId="9" hidden="1"/>
    <cellStyle name="Lien hypertexte visité" xfId="8935" builtinId="9" hidden="1"/>
    <cellStyle name="Lien hypertexte visité" xfId="8807" builtinId="9" hidden="1"/>
    <cellStyle name="Lien hypertexte visité" xfId="8679" builtinId="9" hidden="1"/>
    <cellStyle name="Lien hypertexte visité" xfId="8551" builtinId="9" hidden="1"/>
    <cellStyle name="Lien hypertexte visité" xfId="8423" builtinId="9" hidden="1"/>
    <cellStyle name="Lien hypertexte visité" xfId="8295" builtinId="9" hidden="1"/>
    <cellStyle name="Lien hypertexte visité" xfId="8167" builtinId="9" hidden="1"/>
    <cellStyle name="Lien hypertexte visité" xfId="8039" builtinId="9" hidden="1"/>
    <cellStyle name="Lien hypertexte visité" xfId="7911" builtinId="9" hidden="1"/>
    <cellStyle name="Lien hypertexte visité" xfId="7782" builtinId="9" hidden="1"/>
    <cellStyle name="Lien hypertexte visité" xfId="7654" builtinId="9" hidden="1"/>
    <cellStyle name="Lien hypertexte visité" xfId="7526" builtinId="9" hidden="1"/>
    <cellStyle name="Lien hypertexte visité" xfId="7398" builtinId="9" hidden="1"/>
    <cellStyle name="Lien hypertexte visité" xfId="7270" builtinId="9" hidden="1"/>
    <cellStyle name="Lien hypertexte visité" xfId="7142" builtinId="9" hidden="1"/>
    <cellStyle name="Lien hypertexte visité" xfId="7014" builtinId="9" hidden="1"/>
    <cellStyle name="Lien hypertexte visité" xfId="6886" builtinId="9" hidden="1"/>
    <cellStyle name="Lien hypertexte visité" xfId="6758" builtinId="9" hidden="1"/>
    <cellStyle name="Lien hypertexte visité" xfId="6630" builtinId="9" hidden="1"/>
    <cellStyle name="Lien hypertexte visité" xfId="6502" builtinId="9" hidden="1"/>
    <cellStyle name="Lien hypertexte visité" xfId="6374" builtinId="9" hidden="1"/>
    <cellStyle name="Lien hypertexte visité" xfId="6246" builtinId="9" hidden="1"/>
    <cellStyle name="Lien hypertexte visité" xfId="6118" builtinId="9" hidden="1"/>
    <cellStyle name="Lien hypertexte visité" xfId="5990" builtinId="9" hidden="1"/>
    <cellStyle name="Lien hypertexte visité" xfId="5862" builtinId="9" hidden="1"/>
    <cellStyle name="Lien hypertexte visité" xfId="5734" builtinId="9" hidden="1"/>
    <cellStyle name="Lien hypertexte visité" xfId="5606" builtinId="9" hidden="1"/>
    <cellStyle name="Lien hypertexte visité" xfId="5478" builtinId="9" hidden="1"/>
    <cellStyle name="Lien hypertexte visité" xfId="5350" builtinId="9" hidden="1"/>
    <cellStyle name="Lien hypertexte visité" xfId="5222" builtinId="9" hidden="1"/>
    <cellStyle name="Lien hypertexte visité" xfId="5094" builtinId="9" hidden="1"/>
    <cellStyle name="Lien hypertexte visité" xfId="4966" builtinId="9" hidden="1"/>
    <cellStyle name="Lien hypertexte visité" xfId="4838" builtinId="9" hidden="1"/>
    <cellStyle name="Lien hypertexte visité" xfId="4710" builtinId="9" hidden="1"/>
    <cellStyle name="Lien hypertexte visité" xfId="4582" builtinId="9" hidden="1"/>
    <cellStyle name="Lien hypertexte visité" xfId="4454" builtinId="9" hidden="1"/>
    <cellStyle name="Lien hypertexte visité" xfId="4326" builtinId="9" hidden="1"/>
    <cellStyle name="Lien hypertexte visité" xfId="4198" builtinId="9" hidden="1"/>
    <cellStyle name="Lien hypertexte visité" xfId="4070" builtinId="9" hidden="1"/>
    <cellStyle name="Lien hypertexte visité" xfId="3942" builtinId="9" hidden="1"/>
    <cellStyle name="Lien hypertexte visité" xfId="3817" builtinId="9" hidden="1"/>
    <cellStyle name="Lien hypertexte visité" xfId="3688" builtinId="9" hidden="1"/>
    <cellStyle name="Lien hypertexte visité" xfId="3552" builtinId="9" hidden="1"/>
    <cellStyle name="Lien hypertexte visité" xfId="3424" builtinId="9" hidden="1"/>
    <cellStyle name="Lien hypertexte visité" xfId="3296" builtinId="9" hidden="1"/>
    <cellStyle name="Lien hypertexte visité" xfId="3168" builtinId="9" hidden="1"/>
    <cellStyle name="Lien hypertexte visité" xfId="3040" builtinId="9" hidden="1"/>
    <cellStyle name="Lien hypertexte visité" xfId="2912" builtinId="9" hidden="1"/>
    <cellStyle name="Lien hypertexte visité" xfId="2784" builtinId="9" hidden="1"/>
    <cellStyle name="Lien hypertexte visité" xfId="2656" builtinId="9" hidden="1"/>
    <cellStyle name="Lien hypertexte visité" xfId="2528" builtinId="9" hidden="1"/>
    <cellStyle name="Lien hypertexte visité" xfId="2400" builtinId="9" hidden="1"/>
    <cellStyle name="Lien hypertexte visité" xfId="2272" builtinId="9" hidden="1"/>
    <cellStyle name="Lien hypertexte visité" xfId="2144" builtinId="9" hidden="1"/>
    <cellStyle name="Lien hypertexte visité" xfId="2016" builtinId="9" hidden="1"/>
    <cellStyle name="Lien hypertexte visité" xfId="1888" builtinId="9" hidden="1"/>
    <cellStyle name="Lien hypertexte visité" xfId="1760" builtinId="9" hidden="1"/>
    <cellStyle name="Lien hypertexte visité" xfId="1632" builtinId="9" hidden="1"/>
    <cellStyle name="Lien hypertexte visité" xfId="1504" builtinId="9" hidden="1"/>
    <cellStyle name="Lien hypertexte visité" xfId="1375" builtinId="9" hidden="1"/>
    <cellStyle name="Lien hypertexte visité" xfId="1247" builtinId="9" hidden="1"/>
    <cellStyle name="Lien hypertexte visité" xfId="1075" builtinId="9" hidden="1"/>
    <cellStyle name="Lien hypertexte visité" xfId="819" builtinId="9" hidden="1"/>
    <cellStyle name="Lien hypertexte visité" xfId="563" builtinId="9" hidden="1"/>
    <cellStyle name="Lien hypertexte visité" xfId="307" builtinId="9" hidden="1"/>
    <cellStyle name="Lien hypertexte visité" xfId="113" builtinId="9" hidden="1"/>
    <cellStyle name="Lien hypertexte visité" xfId="175" builtinId="9" hidden="1"/>
    <cellStyle name="Lien hypertexte visité" xfId="431" builtinId="9" hidden="1"/>
    <cellStyle name="Lien hypertexte visité" xfId="687" builtinId="9" hidden="1"/>
    <cellStyle name="Lien hypertexte visité" xfId="943" builtinId="9" hidden="1"/>
    <cellStyle name="Lien hypertexte visité" xfId="1181" builtinId="9" hidden="1"/>
    <cellStyle name="Lien hypertexte visité" xfId="1309" builtinId="9" hidden="1"/>
    <cellStyle name="Lien hypertexte visité" xfId="1437" builtinId="9" hidden="1"/>
    <cellStyle name="Lien hypertexte visité" xfId="1566" builtinId="9" hidden="1"/>
    <cellStyle name="Lien hypertexte visité" xfId="1694" builtinId="9" hidden="1"/>
    <cellStyle name="Lien hypertexte visité" xfId="1822" builtinId="9" hidden="1"/>
    <cellStyle name="Lien hypertexte visité" xfId="1950" builtinId="9" hidden="1"/>
    <cellStyle name="Lien hypertexte visité" xfId="2078" builtinId="9" hidden="1"/>
    <cellStyle name="Lien hypertexte visité" xfId="2207" builtinId="9" hidden="1"/>
    <cellStyle name="Lien hypertexte visité" xfId="2334" builtinId="9" hidden="1"/>
    <cellStyle name="Lien hypertexte visité" xfId="2462" builtinId="9" hidden="1"/>
    <cellStyle name="Lien hypertexte visité" xfId="2590" builtinId="9" hidden="1"/>
    <cellStyle name="Lien hypertexte visité" xfId="2718" builtinId="9" hidden="1"/>
    <cellStyle name="Lien hypertexte visité" xfId="2846" builtinId="9" hidden="1"/>
    <cellStyle name="Lien hypertexte visité" xfId="2974" builtinId="9" hidden="1"/>
    <cellStyle name="Lien hypertexte visité" xfId="3102" builtinId="9" hidden="1"/>
    <cellStyle name="Lien hypertexte visité" xfId="3230" builtinId="9" hidden="1"/>
    <cellStyle name="Lien hypertexte visité" xfId="3358" builtinId="9" hidden="1"/>
    <cellStyle name="Lien hypertexte visité" xfId="3486" builtinId="9" hidden="1"/>
    <cellStyle name="Lien hypertexte visité" xfId="3615" builtinId="9" hidden="1"/>
    <cellStyle name="Lien hypertexte visité" xfId="3751" builtinId="9" hidden="1"/>
    <cellStyle name="Lien hypertexte visité" xfId="3879" builtinId="9" hidden="1"/>
    <cellStyle name="Lien hypertexte visité" xfId="4004" builtinId="9" hidden="1"/>
    <cellStyle name="Lien hypertexte visité" xfId="4132" builtinId="9" hidden="1"/>
    <cellStyle name="Lien hypertexte visité" xfId="4260" builtinId="9" hidden="1"/>
    <cellStyle name="Lien hypertexte visité" xfId="4388" builtinId="9" hidden="1"/>
    <cellStyle name="Lien hypertexte visité" xfId="4516" builtinId="9" hidden="1"/>
    <cellStyle name="Lien hypertexte visité" xfId="4644" builtinId="9" hidden="1"/>
    <cellStyle name="Lien hypertexte visité" xfId="4772" builtinId="9" hidden="1"/>
    <cellStyle name="Lien hypertexte visité" xfId="4900" builtinId="9" hidden="1"/>
    <cellStyle name="Lien hypertexte visité" xfId="5028" builtinId="9" hidden="1"/>
    <cellStyle name="Lien hypertexte visité" xfId="5156" builtinId="9" hidden="1"/>
    <cellStyle name="Lien hypertexte visité" xfId="5284" builtinId="9" hidden="1"/>
    <cellStyle name="Lien hypertexte visité" xfId="5412" builtinId="9" hidden="1"/>
    <cellStyle name="Lien hypertexte visité" xfId="5540" builtinId="9" hidden="1"/>
    <cellStyle name="Lien hypertexte visité" xfId="5668" builtinId="9" hidden="1"/>
    <cellStyle name="Lien hypertexte visité" xfId="5796" builtinId="9" hidden="1"/>
    <cellStyle name="Lien hypertexte visité" xfId="5924" builtinId="9" hidden="1"/>
    <cellStyle name="Lien hypertexte visité" xfId="6052" builtinId="9" hidden="1"/>
    <cellStyle name="Lien hypertexte visité" xfId="6180" builtinId="9" hidden="1"/>
    <cellStyle name="Lien hypertexte visité" xfId="6308" builtinId="9" hidden="1"/>
    <cellStyle name="Lien hypertexte visité" xfId="6436" builtinId="9" hidden="1"/>
    <cellStyle name="Lien hypertexte visité" xfId="6564" builtinId="9" hidden="1"/>
    <cellStyle name="Lien hypertexte visité" xfId="6692" builtinId="9" hidden="1"/>
    <cellStyle name="Lien hypertexte visité" xfId="6820" builtinId="9" hidden="1"/>
    <cellStyle name="Lien hypertexte visité" xfId="6948" builtinId="9" hidden="1"/>
    <cellStyle name="Lien hypertexte visité" xfId="7076" builtinId="9" hidden="1"/>
    <cellStyle name="Lien hypertexte visité" xfId="7204" builtinId="9" hidden="1"/>
    <cellStyle name="Lien hypertexte visité" xfId="7332" builtinId="9" hidden="1"/>
    <cellStyle name="Lien hypertexte visité" xfId="7460" builtinId="9" hidden="1"/>
    <cellStyle name="Lien hypertexte visité" xfId="7588" builtinId="9" hidden="1"/>
    <cellStyle name="Lien hypertexte visité" xfId="7716" builtinId="9" hidden="1"/>
    <cellStyle name="Lien hypertexte visité" xfId="7845" builtinId="9" hidden="1"/>
    <cellStyle name="Lien hypertexte visité" xfId="7973" builtinId="9" hidden="1"/>
    <cellStyle name="Lien hypertexte visité" xfId="8101" builtinId="9" hidden="1"/>
    <cellStyle name="Lien hypertexte visité" xfId="8229" builtinId="9" hidden="1"/>
    <cellStyle name="Lien hypertexte visité" xfId="8357" builtinId="9" hidden="1"/>
    <cellStyle name="Lien hypertexte visité" xfId="8485" builtinId="9" hidden="1"/>
    <cellStyle name="Lien hypertexte visité" xfId="8613" builtinId="9" hidden="1"/>
    <cellStyle name="Lien hypertexte visité" xfId="8741" builtinId="9" hidden="1"/>
    <cellStyle name="Lien hypertexte visité" xfId="8869" builtinId="9" hidden="1"/>
    <cellStyle name="Lien hypertexte visité" xfId="8997" builtinId="9" hidden="1"/>
    <cellStyle name="Lien hypertexte visité" xfId="9125" builtinId="9" hidden="1"/>
    <cellStyle name="Lien hypertexte visité" xfId="9253" builtinId="9" hidden="1"/>
    <cellStyle name="Lien hypertexte visité" xfId="9381" builtinId="9" hidden="1"/>
    <cellStyle name="Lien hypertexte visité" xfId="9509" builtinId="9" hidden="1"/>
    <cellStyle name="Lien hypertexte visité" xfId="9637" builtinId="9" hidden="1"/>
    <cellStyle name="Lien hypertexte visité" xfId="9765" builtinId="9" hidden="1"/>
    <cellStyle name="Lien hypertexte visité" xfId="9893" builtinId="9" hidden="1"/>
    <cellStyle name="Lien hypertexte visité" xfId="10021" builtinId="9" hidden="1"/>
    <cellStyle name="Lien hypertexte visité" xfId="10149" builtinId="9" hidden="1"/>
    <cellStyle name="Lien hypertexte visité" xfId="10277" builtinId="9" hidden="1"/>
    <cellStyle name="Lien hypertexte visité" xfId="10405" builtinId="9" hidden="1"/>
    <cellStyle name="Lien hypertexte visité" xfId="10533" builtinId="9" hidden="1"/>
    <cellStyle name="Lien hypertexte visité" xfId="10661" builtinId="9" hidden="1"/>
    <cellStyle name="Lien hypertexte visité" xfId="10789" builtinId="9" hidden="1"/>
    <cellStyle name="Lien hypertexte visité" xfId="10917" builtinId="9" hidden="1"/>
    <cellStyle name="Lien hypertexte visité" xfId="11045" builtinId="9" hidden="1"/>
    <cellStyle name="Lien hypertexte visité" xfId="11173" builtinId="9" hidden="1"/>
    <cellStyle name="Lien hypertexte visité" xfId="11301" builtinId="9" hidden="1"/>
    <cellStyle name="Lien hypertexte visité" xfId="11429" builtinId="9" hidden="1"/>
    <cellStyle name="Lien hypertexte visité" xfId="11557" builtinId="9" hidden="1"/>
    <cellStyle name="Lien hypertexte visité" xfId="11685" builtinId="9" hidden="1"/>
    <cellStyle name="Lien hypertexte visité" xfId="11813" builtinId="9" hidden="1"/>
    <cellStyle name="Lien hypertexte visité" xfId="11941" builtinId="9" hidden="1"/>
    <cellStyle name="Lien hypertexte visité" xfId="12069" builtinId="9" hidden="1"/>
    <cellStyle name="Lien hypertexte visité" xfId="12197" builtinId="9" hidden="1"/>
    <cellStyle name="Lien hypertexte visité" xfId="12325" builtinId="9" hidden="1"/>
    <cellStyle name="Lien hypertexte visité" xfId="12453" builtinId="9" hidden="1"/>
    <cellStyle name="Lien hypertexte visité" xfId="12581" builtinId="9" hidden="1"/>
    <cellStyle name="Lien hypertexte visité" xfId="12709" builtinId="9" hidden="1"/>
    <cellStyle name="Lien hypertexte visité" xfId="12837" builtinId="9" hidden="1"/>
    <cellStyle name="Lien hypertexte visité" xfId="12965" builtinId="9" hidden="1"/>
    <cellStyle name="Lien hypertexte visité" xfId="13093" builtinId="9" hidden="1"/>
    <cellStyle name="Lien hypertexte visité" xfId="13221" builtinId="9" hidden="1"/>
    <cellStyle name="Lien hypertexte visité" xfId="13349" builtinId="9" hidden="1"/>
    <cellStyle name="Lien hypertexte visité" xfId="13477" builtinId="9" hidden="1"/>
    <cellStyle name="Lien hypertexte visité" xfId="13605" builtinId="9" hidden="1"/>
    <cellStyle name="Lien hypertexte visité" xfId="13733" builtinId="9" hidden="1"/>
    <cellStyle name="Lien hypertexte visité" xfId="13861" builtinId="9" hidden="1"/>
    <cellStyle name="Lien hypertexte visité" xfId="13989" builtinId="9" hidden="1"/>
    <cellStyle name="Lien hypertexte visité" xfId="14117" builtinId="9" hidden="1"/>
    <cellStyle name="Lien hypertexte visité" xfId="14245" builtinId="9" hidden="1"/>
    <cellStyle name="Lien hypertexte visité" xfId="14373" builtinId="9" hidden="1"/>
    <cellStyle name="Lien hypertexte visité" xfId="14501" builtinId="9" hidden="1"/>
    <cellStyle name="Lien hypertexte visité" xfId="14743" builtinId="9" hidden="1"/>
    <cellStyle name="Lien hypertexte visité" xfId="14999" builtinId="9" hidden="1"/>
    <cellStyle name="Lien hypertexte visité" xfId="15255" builtinId="9" hidden="1"/>
    <cellStyle name="Lien hypertexte visité" xfId="15511" builtinId="9" hidden="1"/>
    <cellStyle name="Lien hypertexte visité" xfId="15767" builtinId="9" hidden="1"/>
    <cellStyle name="Lien hypertexte visité" xfId="16023" builtinId="9" hidden="1"/>
    <cellStyle name="Lien hypertexte visité" xfId="16279" builtinId="9" hidden="1"/>
    <cellStyle name="Lien hypertexte visité" xfId="16535" builtinId="9" hidden="1"/>
    <cellStyle name="Lien hypertexte visité" xfId="16791" builtinId="9" hidden="1"/>
    <cellStyle name="Lien hypertexte visité" xfId="17047" builtinId="9" hidden="1"/>
    <cellStyle name="Lien hypertexte visité" xfId="17303" builtinId="9" hidden="1"/>
    <cellStyle name="Lien hypertexte visité" xfId="17559" builtinId="9" hidden="1"/>
    <cellStyle name="Lien hypertexte visité" xfId="17815" builtinId="9" hidden="1"/>
    <cellStyle name="Lien hypertexte visité" xfId="18071" builtinId="9" hidden="1"/>
    <cellStyle name="Lien hypertexte visité" xfId="18318" builtinId="9" hidden="1"/>
    <cellStyle name="Lien hypertexte visité" xfId="18566" builtinId="9" hidden="1"/>
    <cellStyle name="Lien hypertexte visité" xfId="18822" builtinId="9" hidden="1"/>
    <cellStyle name="Lien hypertexte visité" xfId="19078" builtinId="9" hidden="1"/>
    <cellStyle name="Lien hypertexte visité" xfId="5203" builtinId="9" hidden="1"/>
    <cellStyle name="Lien hypertexte visité" xfId="5235" builtinId="9" hidden="1"/>
    <cellStyle name="Lien hypertexte visité" xfId="5283" builtinId="9" hidden="1"/>
    <cellStyle name="Lien hypertexte visité" xfId="5315" builtinId="9" hidden="1"/>
    <cellStyle name="Lien hypertexte visité" xfId="5347" builtinId="9" hidden="1"/>
    <cellStyle name="Lien hypertexte visité" xfId="5395" builtinId="9" hidden="1"/>
    <cellStyle name="Lien hypertexte visité" xfId="5427" builtinId="9" hidden="1"/>
    <cellStyle name="Lien hypertexte visité" xfId="5459" builtinId="9" hidden="1"/>
    <cellStyle name="Lien hypertexte visité" xfId="5491" builtinId="9" hidden="1"/>
    <cellStyle name="Lien hypertexte visité" xfId="5539" builtinId="9" hidden="1"/>
    <cellStyle name="Lien hypertexte visité" xfId="5571" builtinId="9" hidden="1"/>
    <cellStyle name="Lien hypertexte visité" xfId="5603" builtinId="9" hidden="1"/>
    <cellStyle name="Lien hypertexte visité" xfId="5651" builtinId="9" hidden="1"/>
    <cellStyle name="Lien hypertexte visité" xfId="5683" builtinId="9" hidden="1"/>
    <cellStyle name="Lien hypertexte visité" xfId="5715" builtinId="9" hidden="1"/>
    <cellStyle name="Lien hypertexte visité" xfId="5747" builtinId="9" hidden="1"/>
    <cellStyle name="Lien hypertexte visité" xfId="5795" builtinId="9" hidden="1"/>
    <cellStyle name="Lien hypertexte visité" xfId="5827" builtinId="9" hidden="1"/>
    <cellStyle name="Lien hypertexte visité" xfId="5859" builtinId="9" hidden="1"/>
    <cellStyle name="Lien hypertexte visité" xfId="5907" builtinId="9" hidden="1"/>
    <cellStyle name="Lien hypertexte visité" xfId="5939" builtinId="9" hidden="1"/>
    <cellStyle name="Lien hypertexte visité" xfId="5971" builtinId="9" hidden="1"/>
    <cellStyle name="Lien hypertexte visité" xfId="6003" builtinId="9" hidden="1"/>
    <cellStyle name="Lien hypertexte visité" xfId="6051" builtinId="9" hidden="1"/>
    <cellStyle name="Lien hypertexte visité" xfId="6083" builtinId="9" hidden="1"/>
    <cellStyle name="Lien hypertexte visité" xfId="6115" builtinId="9" hidden="1"/>
    <cellStyle name="Lien hypertexte visité" xfId="6163" builtinId="9" hidden="1"/>
    <cellStyle name="Lien hypertexte visité" xfId="6195" builtinId="9" hidden="1"/>
    <cellStyle name="Lien hypertexte visité" xfId="6227" builtinId="9" hidden="1"/>
    <cellStyle name="Lien hypertexte visité" xfId="6259" builtinId="9" hidden="1"/>
    <cellStyle name="Lien hypertexte visité" xfId="6307" builtinId="9" hidden="1"/>
    <cellStyle name="Lien hypertexte visité" xfId="6339" builtinId="9" hidden="1"/>
    <cellStyle name="Lien hypertexte visité" xfId="6371" builtinId="9" hidden="1"/>
    <cellStyle name="Lien hypertexte visité" xfId="6419" builtinId="9" hidden="1"/>
    <cellStyle name="Lien hypertexte visité" xfId="6451" builtinId="9" hidden="1"/>
    <cellStyle name="Lien hypertexte visité" xfId="6483" builtinId="9" hidden="1"/>
    <cellStyle name="Lien hypertexte visité" xfId="6515" builtinId="9" hidden="1"/>
    <cellStyle name="Lien hypertexte visité" xfId="6563" builtinId="9" hidden="1"/>
    <cellStyle name="Lien hypertexte visité" xfId="6595" builtinId="9" hidden="1"/>
    <cellStyle name="Lien hypertexte visité" xfId="6627" builtinId="9" hidden="1"/>
    <cellStyle name="Lien hypertexte visité" xfId="6675" builtinId="9" hidden="1"/>
    <cellStyle name="Lien hypertexte visité" xfId="6707" builtinId="9" hidden="1"/>
    <cellStyle name="Lien hypertexte visité" xfId="6739" builtinId="9" hidden="1"/>
    <cellStyle name="Lien hypertexte visité" xfId="6771" builtinId="9" hidden="1"/>
    <cellStyle name="Lien hypertexte visité" xfId="6819" builtinId="9" hidden="1"/>
    <cellStyle name="Lien hypertexte visité" xfId="6851" builtinId="9" hidden="1"/>
    <cellStyle name="Lien hypertexte visité" xfId="6883" builtinId="9" hidden="1"/>
    <cellStyle name="Lien hypertexte visité" xfId="6931" builtinId="9" hidden="1"/>
    <cellStyle name="Lien hypertexte visité" xfId="6963" builtinId="9" hidden="1"/>
    <cellStyle name="Lien hypertexte visité" xfId="6995" builtinId="9" hidden="1"/>
    <cellStyle name="Lien hypertexte visité" xfId="7027" builtinId="9" hidden="1"/>
    <cellStyle name="Lien hypertexte visité" xfId="7075" builtinId="9" hidden="1"/>
    <cellStyle name="Lien hypertexte visité" xfId="7107" builtinId="9" hidden="1"/>
    <cellStyle name="Lien hypertexte visité" xfId="7139" builtinId="9" hidden="1"/>
    <cellStyle name="Lien hypertexte visité" xfId="7187" builtinId="9" hidden="1"/>
    <cellStyle name="Lien hypertexte visité" xfId="7219" builtinId="9" hidden="1"/>
    <cellStyle name="Lien hypertexte visité" xfId="7251" builtinId="9" hidden="1"/>
    <cellStyle name="Lien hypertexte visité" xfId="7283" builtinId="9" hidden="1"/>
    <cellStyle name="Lien hypertexte visité" xfId="7331" builtinId="9" hidden="1"/>
    <cellStyle name="Lien hypertexte visité" xfId="7363" builtinId="9" hidden="1"/>
    <cellStyle name="Lien hypertexte visité" xfId="7395" builtinId="9" hidden="1"/>
    <cellStyle name="Lien hypertexte visité" xfId="7443" builtinId="9" hidden="1"/>
    <cellStyle name="Lien hypertexte visité" xfId="7475" builtinId="9" hidden="1"/>
    <cellStyle name="Lien hypertexte visité" xfId="7507" builtinId="9" hidden="1"/>
    <cellStyle name="Lien hypertexte visité" xfId="7539" builtinId="9" hidden="1"/>
    <cellStyle name="Lien hypertexte visité" xfId="7587" builtinId="9" hidden="1"/>
    <cellStyle name="Lien hypertexte visité" xfId="7619" builtinId="9" hidden="1"/>
    <cellStyle name="Lien hypertexte visité" xfId="7651" builtinId="9" hidden="1"/>
    <cellStyle name="Lien hypertexte visité" xfId="7699" builtinId="9" hidden="1"/>
    <cellStyle name="Lien hypertexte visité" xfId="7731" builtinId="9" hidden="1"/>
    <cellStyle name="Lien hypertexte visité" xfId="7763" builtinId="9" hidden="1"/>
    <cellStyle name="Lien hypertexte visité" xfId="7795" builtinId="9" hidden="1"/>
    <cellStyle name="Lien hypertexte visité" xfId="7844" builtinId="9" hidden="1"/>
    <cellStyle name="Lien hypertexte visité" xfId="7876" builtinId="9" hidden="1"/>
    <cellStyle name="Lien hypertexte visité" xfId="7908" builtinId="9" hidden="1"/>
    <cellStyle name="Lien hypertexte visité" xfId="7956" builtinId="9" hidden="1"/>
    <cellStyle name="Lien hypertexte visité" xfId="7988" builtinId="9" hidden="1"/>
    <cellStyle name="Lien hypertexte visité" xfId="8020" builtinId="9" hidden="1"/>
    <cellStyle name="Lien hypertexte visité" xfId="8052" builtinId="9" hidden="1"/>
    <cellStyle name="Lien hypertexte visité" xfId="8100" builtinId="9" hidden="1"/>
    <cellStyle name="Lien hypertexte visité" xfId="8132" builtinId="9" hidden="1"/>
    <cellStyle name="Lien hypertexte visité" xfId="8164" builtinId="9" hidden="1"/>
    <cellStyle name="Lien hypertexte visité" xfId="8212" builtinId="9" hidden="1"/>
    <cellStyle name="Lien hypertexte visité" xfId="8244" builtinId="9" hidden="1"/>
    <cellStyle name="Lien hypertexte visité" xfId="8276" builtinId="9" hidden="1"/>
    <cellStyle name="Lien hypertexte visité" xfId="8308" builtinId="9" hidden="1"/>
    <cellStyle name="Lien hypertexte visité" xfId="8356" builtinId="9" hidden="1"/>
    <cellStyle name="Lien hypertexte visité" xfId="8388" builtinId="9" hidden="1"/>
    <cellStyle name="Lien hypertexte visité" xfId="8420" builtinId="9" hidden="1"/>
    <cellStyle name="Lien hypertexte visité" xfId="8468" builtinId="9" hidden="1"/>
    <cellStyle name="Lien hypertexte visité" xfId="8500" builtinId="9" hidden="1"/>
    <cellStyle name="Lien hypertexte visité" xfId="8532" builtinId="9" hidden="1"/>
    <cellStyle name="Lien hypertexte visité" xfId="8564" builtinId="9" hidden="1"/>
    <cellStyle name="Lien hypertexte visité" xfId="8612" builtinId="9" hidden="1"/>
    <cellStyle name="Lien hypertexte visité" xfId="8644" builtinId="9" hidden="1"/>
    <cellStyle name="Lien hypertexte visité" xfId="8676" builtinId="9" hidden="1"/>
    <cellStyle name="Lien hypertexte visité" xfId="8724" builtinId="9" hidden="1"/>
    <cellStyle name="Lien hypertexte visité" xfId="8756" builtinId="9" hidden="1"/>
    <cellStyle name="Lien hypertexte visité" xfId="8788" builtinId="9" hidden="1"/>
    <cellStyle name="Lien hypertexte visité" xfId="8820" builtinId="9" hidden="1"/>
    <cellStyle name="Lien hypertexte visité" xfId="8868" builtinId="9" hidden="1"/>
    <cellStyle name="Lien hypertexte visité" xfId="8900" builtinId="9" hidden="1"/>
    <cellStyle name="Lien hypertexte visité" xfId="8932" builtinId="9" hidden="1"/>
    <cellStyle name="Lien hypertexte visité" xfId="8980" builtinId="9" hidden="1"/>
    <cellStyle name="Lien hypertexte visité" xfId="9012" builtinId="9" hidden="1"/>
    <cellStyle name="Lien hypertexte visité" xfId="9044" builtinId="9" hidden="1"/>
    <cellStyle name="Lien hypertexte visité" xfId="9076" builtinId="9" hidden="1"/>
    <cellStyle name="Lien hypertexte visité" xfId="9124" builtinId="9" hidden="1"/>
    <cellStyle name="Lien hypertexte visité" xfId="9156" builtinId="9" hidden="1"/>
    <cellStyle name="Lien hypertexte visité" xfId="9188" builtinId="9" hidden="1"/>
    <cellStyle name="Lien hypertexte visité" xfId="9236" builtinId="9" hidden="1"/>
    <cellStyle name="Lien hypertexte visité" xfId="9268" builtinId="9" hidden="1"/>
    <cellStyle name="Lien hypertexte visité" xfId="9300" builtinId="9" hidden="1"/>
    <cellStyle name="Lien hypertexte visité" xfId="9332" builtinId="9" hidden="1"/>
    <cellStyle name="Lien hypertexte visité" xfId="9380" builtinId="9" hidden="1"/>
    <cellStyle name="Lien hypertexte visité" xfId="9412" builtinId="9" hidden="1"/>
    <cellStyle name="Lien hypertexte visité" xfId="9444" builtinId="9" hidden="1"/>
    <cellStyle name="Lien hypertexte visité" xfId="9492" builtinId="9" hidden="1"/>
    <cellStyle name="Lien hypertexte visité" xfId="9524" builtinId="9" hidden="1"/>
    <cellStyle name="Lien hypertexte visité" xfId="9556" builtinId="9" hidden="1"/>
    <cellStyle name="Lien hypertexte visité" xfId="9588" builtinId="9" hidden="1"/>
    <cellStyle name="Lien hypertexte visité" xfId="9636" builtinId="9" hidden="1"/>
    <cellStyle name="Lien hypertexte visité" xfId="9668" builtinId="9" hidden="1"/>
    <cellStyle name="Lien hypertexte visité" xfId="9700" builtinId="9" hidden="1"/>
    <cellStyle name="Lien hypertexte visité" xfId="9748" builtinId="9" hidden="1"/>
    <cellStyle name="Lien hypertexte visité" xfId="9780" builtinId="9" hidden="1"/>
    <cellStyle name="Lien hypertexte visité" xfId="9812" builtinId="9" hidden="1"/>
    <cellStyle name="Lien hypertexte visité" xfId="9844" builtinId="9" hidden="1"/>
    <cellStyle name="Lien hypertexte visité" xfId="9892" builtinId="9" hidden="1"/>
    <cellStyle name="Lien hypertexte visité" xfId="9924" builtinId="9" hidden="1"/>
    <cellStyle name="Lien hypertexte visité" xfId="9956" builtinId="9" hidden="1"/>
    <cellStyle name="Lien hypertexte visité" xfId="10004" builtinId="9" hidden="1"/>
    <cellStyle name="Lien hypertexte visité" xfId="10036" builtinId="9" hidden="1"/>
    <cellStyle name="Lien hypertexte visité" xfId="10068" builtinId="9" hidden="1"/>
    <cellStyle name="Lien hypertexte visité" xfId="10100" builtinId="9" hidden="1"/>
    <cellStyle name="Lien hypertexte visité" xfId="10148" builtinId="9" hidden="1"/>
    <cellStyle name="Lien hypertexte visité" xfId="10180" builtinId="9" hidden="1"/>
    <cellStyle name="Lien hypertexte visité" xfId="10212" builtinId="9" hidden="1"/>
    <cellStyle name="Lien hypertexte visité" xfId="10260" builtinId="9" hidden="1"/>
    <cellStyle name="Lien hypertexte visité" xfId="10292" builtinId="9" hidden="1"/>
    <cellStyle name="Lien hypertexte visité" xfId="10324" builtinId="9" hidden="1"/>
    <cellStyle name="Lien hypertexte visité" xfId="10356" builtinId="9" hidden="1"/>
    <cellStyle name="Lien hypertexte visité" xfId="10404" builtinId="9" hidden="1"/>
    <cellStyle name="Lien hypertexte visité" xfId="10436" builtinId="9" hidden="1"/>
    <cellStyle name="Lien hypertexte visité" xfId="10468" builtinId="9" hidden="1"/>
    <cellStyle name="Lien hypertexte visité" xfId="10516" builtinId="9" hidden="1"/>
    <cellStyle name="Lien hypertexte visité" xfId="10548" builtinId="9" hidden="1"/>
    <cellStyle name="Lien hypertexte visité" xfId="10580" builtinId="9" hidden="1"/>
    <cellStyle name="Lien hypertexte visité" xfId="10612" builtinId="9" hidden="1"/>
    <cellStyle name="Lien hypertexte visité" xfId="10660" builtinId="9" hidden="1"/>
    <cellStyle name="Lien hypertexte visité" xfId="10692" builtinId="9" hidden="1"/>
    <cellStyle name="Lien hypertexte visité" xfId="10724" builtinId="9" hidden="1"/>
    <cellStyle name="Lien hypertexte visité" xfId="10772" builtinId="9" hidden="1"/>
    <cellStyle name="Lien hypertexte visité" xfId="10804" builtinId="9" hidden="1"/>
    <cellStyle name="Lien hypertexte visité" xfId="10836" builtinId="9" hidden="1"/>
    <cellStyle name="Lien hypertexte visité" xfId="10868" builtinId="9" hidden="1"/>
    <cellStyle name="Lien hypertexte visité" xfId="10916" builtinId="9" hidden="1"/>
    <cellStyle name="Lien hypertexte visité" xfId="10948" builtinId="9" hidden="1"/>
    <cellStyle name="Lien hypertexte visité" xfId="10980" builtinId="9" hidden="1"/>
    <cellStyle name="Lien hypertexte visité" xfId="11028" builtinId="9" hidden="1"/>
    <cellStyle name="Lien hypertexte visité" xfId="11060" builtinId="9" hidden="1"/>
    <cellStyle name="Lien hypertexte visité" xfId="11092" builtinId="9" hidden="1"/>
    <cellStyle name="Lien hypertexte visité" xfId="11124" builtinId="9" hidden="1"/>
    <cellStyle name="Lien hypertexte visité" xfId="11172" builtinId="9" hidden="1"/>
    <cellStyle name="Lien hypertexte visité" xfId="11204" builtinId="9" hidden="1"/>
    <cellStyle name="Lien hypertexte visité" xfId="11236" builtinId="9" hidden="1"/>
    <cellStyle name="Lien hypertexte visité" xfId="11284" builtinId="9" hidden="1"/>
    <cellStyle name="Lien hypertexte visité" xfId="11316" builtinId="9" hidden="1"/>
    <cellStyle name="Lien hypertexte visité" xfId="11348" builtinId="9" hidden="1"/>
    <cellStyle name="Lien hypertexte visité" xfId="11380" builtinId="9" hidden="1"/>
    <cellStyle name="Lien hypertexte visité" xfId="11428" builtinId="9" hidden="1"/>
    <cellStyle name="Lien hypertexte visité" xfId="11460" builtinId="9" hidden="1"/>
    <cellStyle name="Lien hypertexte visité" xfId="11492" builtinId="9" hidden="1"/>
    <cellStyle name="Lien hypertexte visité" xfId="11540" builtinId="9" hidden="1"/>
    <cellStyle name="Lien hypertexte visité" xfId="11572" builtinId="9" hidden="1"/>
    <cellStyle name="Lien hypertexte visité" xfId="11604" builtinId="9" hidden="1"/>
    <cellStyle name="Lien hypertexte visité" xfId="11636" builtinId="9" hidden="1"/>
    <cellStyle name="Lien hypertexte visité" xfId="11684" builtinId="9" hidden="1"/>
    <cellStyle name="Lien hypertexte visité" xfId="11716" builtinId="9" hidden="1"/>
    <cellStyle name="Lien hypertexte visité" xfId="11748" builtinId="9" hidden="1"/>
    <cellStyle name="Lien hypertexte visité" xfId="11796" builtinId="9" hidden="1"/>
    <cellStyle name="Lien hypertexte visité" xfId="11828" builtinId="9" hidden="1"/>
    <cellStyle name="Lien hypertexte visité" xfId="11860" builtinId="9" hidden="1"/>
    <cellStyle name="Lien hypertexte visité" xfId="11892" builtinId="9" hidden="1"/>
    <cellStyle name="Lien hypertexte visité" xfId="11940" builtinId="9" hidden="1"/>
    <cellStyle name="Lien hypertexte visité" xfId="11972" builtinId="9" hidden="1"/>
    <cellStyle name="Lien hypertexte visité" xfId="12004" builtinId="9" hidden="1"/>
    <cellStyle name="Lien hypertexte visité" xfId="12052" builtinId="9" hidden="1"/>
    <cellStyle name="Lien hypertexte visité" xfId="12084" builtinId="9" hidden="1"/>
    <cellStyle name="Lien hypertexte visité" xfId="12116" builtinId="9" hidden="1"/>
    <cellStyle name="Lien hypertexte visité" xfId="12148" builtinId="9" hidden="1"/>
    <cellStyle name="Lien hypertexte visité" xfId="12196" builtinId="9" hidden="1"/>
    <cellStyle name="Lien hypertexte visité" xfId="12228" builtinId="9" hidden="1"/>
    <cellStyle name="Lien hypertexte visité" xfId="12260" builtinId="9" hidden="1"/>
    <cellStyle name="Lien hypertexte visité" xfId="12308" builtinId="9" hidden="1"/>
    <cellStyle name="Lien hypertexte visité" xfId="12340" builtinId="9" hidden="1"/>
    <cellStyle name="Lien hypertexte visité" xfId="12372" builtinId="9" hidden="1"/>
    <cellStyle name="Lien hypertexte visité" xfId="12404" builtinId="9" hidden="1"/>
    <cellStyle name="Lien hypertexte visité" xfId="12452" builtinId="9" hidden="1"/>
    <cellStyle name="Lien hypertexte visité" xfId="12484" builtinId="9" hidden="1"/>
    <cellStyle name="Lien hypertexte visité" xfId="12516" builtinId="9" hidden="1"/>
    <cellStyle name="Lien hypertexte visité" xfId="12564" builtinId="9" hidden="1"/>
    <cellStyle name="Lien hypertexte visité" xfId="12596" builtinId="9" hidden="1"/>
    <cellStyle name="Lien hypertexte visité" xfId="12628" builtinId="9" hidden="1"/>
    <cellStyle name="Lien hypertexte visité" xfId="12660" builtinId="9" hidden="1"/>
    <cellStyle name="Lien hypertexte visité" xfId="12708" builtinId="9" hidden="1"/>
    <cellStyle name="Lien hypertexte visité" xfId="12740" builtinId="9" hidden="1"/>
    <cellStyle name="Lien hypertexte visité" xfId="12772" builtinId="9" hidden="1"/>
    <cellStyle name="Lien hypertexte visité" xfId="12820" builtinId="9" hidden="1"/>
    <cellStyle name="Lien hypertexte visité" xfId="12852" builtinId="9" hidden="1"/>
    <cellStyle name="Lien hypertexte visité" xfId="12884" builtinId="9" hidden="1"/>
    <cellStyle name="Lien hypertexte visité" xfId="12916" builtinId="9" hidden="1"/>
    <cellStyle name="Lien hypertexte visité" xfId="12964" builtinId="9" hidden="1"/>
    <cellStyle name="Lien hypertexte visité" xfId="12996" builtinId="9" hidden="1"/>
    <cellStyle name="Lien hypertexte visité" xfId="13028" builtinId="9" hidden="1"/>
    <cellStyle name="Lien hypertexte visité" xfId="13076" builtinId="9" hidden="1"/>
    <cellStyle name="Lien hypertexte visité" xfId="13108" builtinId="9" hidden="1"/>
    <cellStyle name="Lien hypertexte visité" xfId="13140" builtinId="9" hidden="1"/>
    <cellStyle name="Lien hypertexte visité" xfId="13172" builtinId="9" hidden="1"/>
    <cellStyle name="Lien hypertexte visité" xfId="13220" builtinId="9" hidden="1"/>
    <cellStyle name="Lien hypertexte visité" xfId="13252" builtinId="9" hidden="1"/>
    <cellStyle name="Lien hypertexte visité" xfId="13284" builtinId="9" hidden="1"/>
    <cellStyle name="Lien hypertexte visité" xfId="13332" builtinId="9" hidden="1"/>
    <cellStyle name="Lien hypertexte visité" xfId="13364" builtinId="9" hidden="1"/>
    <cellStyle name="Lien hypertexte visité" xfId="13396" builtinId="9" hidden="1"/>
    <cellStyle name="Lien hypertexte visité" xfId="13428" builtinId="9" hidden="1"/>
    <cellStyle name="Lien hypertexte visité" xfId="13476" builtinId="9" hidden="1"/>
    <cellStyle name="Lien hypertexte visité" xfId="13508" builtinId="9" hidden="1"/>
    <cellStyle name="Lien hypertexte visité" xfId="13540" builtinId="9" hidden="1"/>
    <cellStyle name="Lien hypertexte visité" xfId="13588" builtinId="9" hidden="1"/>
    <cellStyle name="Lien hypertexte visité" xfId="13620" builtinId="9" hidden="1"/>
    <cellStyle name="Lien hypertexte visité" xfId="13652" builtinId="9" hidden="1"/>
    <cellStyle name="Lien hypertexte visité" xfId="13684" builtinId="9" hidden="1"/>
    <cellStyle name="Lien hypertexte visité" xfId="13732" builtinId="9" hidden="1"/>
    <cellStyle name="Lien hypertexte visité" xfId="13764" builtinId="9" hidden="1"/>
    <cellStyle name="Lien hypertexte visité" xfId="13796" builtinId="9" hidden="1"/>
    <cellStyle name="Lien hypertexte visité" xfId="13844" builtinId="9" hidden="1"/>
    <cellStyle name="Lien hypertexte visité" xfId="13876" builtinId="9" hidden="1"/>
    <cellStyle name="Lien hypertexte visité" xfId="13908" builtinId="9" hidden="1"/>
    <cellStyle name="Lien hypertexte visité" xfId="13940" builtinId="9" hidden="1"/>
    <cellStyle name="Lien hypertexte visité" xfId="13988" builtinId="9" hidden="1"/>
    <cellStyle name="Lien hypertexte visité" xfId="14020" builtinId="9" hidden="1"/>
    <cellStyle name="Lien hypertexte visité" xfId="14052" builtinId="9" hidden="1"/>
    <cellStyle name="Lien hypertexte visité" xfId="14100" builtinId="9" hidden="1"/>
    <cellStyle name="Lien hypertexte visité" xfId="14132" builtinId="9" hidden="1"/>
    <cellStyle name="Lien hypertexte visité" xfId="14164" builtinId="9" hidden="1"/>
    <cellStyle name="Lien hypertexte visité" xfId="14196" builtinId="9" hidden="1"/>
    <cellStyle name="Lien hypertexte visité" xfId="14244" builtinId="9" hidden="1"/>
    <cellStyle name="Lien hypertexte visité" xfId="14276" builtinId="9" hidden="1"/>
    <cellStyle name="Lien hypertexte visité" xfId="14308" builtinId="9" hidden="1"/>
    <cellStyle name="Lien hypertexte visité" xfId="14356" builtinId="9" hidden="1"/>
    <cellStyle name="Lien hypertexte visité" xfId="14388" builtinId="9" hidden="1"/>
    <cellStyle name="Lien hypertexte visité" xfId="14420" builtinId="9" hidden="1"/>
    <cellStyle name="Lien hypertexte visité" xfId="14452" builtinId="9" hidden="1"/>
    <cellStyle name="Lien hypertexte visité" xfId="14500" builtinId="9" hidden="1"/>
    <cellStyle name="Lien hypertexte visité" xfId="14549" builtinId="9" hidden="1"/>
    <cellStyle name="Lien hypertexte visité" xfId="14613" builtinId="9" hidden="1"/>
    <cellStyle name="Lien hypertexte visité" xfId="14709" builtinId="9" hidden="1"/>
    <cellStyle name="Lien hypertexte visité" xfId="14773" builtinId="9" hidden="1"/>
    <cellStyle name="Lien hypertexte visité" xfId="14837" builtinId="9" hidden="1"/>
    <cellStyle name="Lien hypertexte visité" xfId="14901" builtinId="9" hidden="1"/>
    <cellStyle name="Lien hypertexte visité" xfId="14997" builtinId="9" hidden="1"/>
    <cellStyle name="Lien hypertexte visité" xfId="15061" builtinId="9" hidden="1"/>
    <cellStyle name="Lien hypertexte visité" xfId="15125" builtinId="9" hidden="1"/>
    <cellStyle name="Lien hypertexte visité" xfId="15221" builtinId="9" hidden="1"/>
    <cellStyle name="Lien hypertexte visité" xfId="15285" builtinId="9" hidden="1"/>
    <cellStyle name="Lien hypertexte visité" xfId="15349" builtinId="9" hidden="1"/>
    <cellStyle name="Lien hypertexte visité" xfId="15413" builtinId="9" hidden="1"/>
    <cellStyle name="Lien hypertexte visité" xfId="15509" builtinId="9" hidden="1"/>
    <cellStyle name="Lien hypertexte visité" xfId="15573" builtinId="9" hidden="1"/>
    <cellStyle name="Lien hypertexte visité" xfId="15637" builtinId="9" hidden="1"/>
    <cellStyle name="Lien hypertexte visité" xfId="15733" builtinId="9" hidden="1"/>
    <cellStyle name="Lien hypertexte visité" xfId="15797" builtinId="9" hidden="1"/>
    <cellStyle name="Lien hypertexte visité" xfId="15861" builtinId="9" hidden="1"/>
    <cellStyle name="Lien hypertexte visité" xfId="15925" builtinId="9" hidden="1"/>
    <cellStyle name="Lien hypertexte visité" xfId="16021" builtinId="9" hidden="1"/>
    <cellStyle name="Lien hypertexte visité" xfId="16085" builtinId="9" hidden="1"/>
    <cellStyle name="Lien hypertexte visité" xfId="16149" builtinId="9" hidden="1"/>
    <cellStyle name="Lien hypertexte visité" xfId="16245" builtinId="9" hidden="1"/>
    <cellStyle name="Lien hypertexte visité" xfId="16309" builtinId="9" hidden="1"/>
    <cellStyle name="Lien hypertexte visité" xfId="16373" builtinId="9" hidden="1"/>
    <cellStyle name="Lien hypertexte visité" xfId="16437" builtinId="9" hidden="1"/>
    <cellStyle name="Lien hypertexte visité" xfId="16533" builtinId="9" hidden="1"/>
    <cellStyle name="Lien hypertexte visité" xfId="16597" builtinId="9" hidden="1"/>
    <cellStyle name="Lien hypertexte visité" xfId="16661" builtinId="9" hidden="1"/>
    <cellStyle name="Lien hypertexte visité" xfId="16757" builtinId="9" hidden="1"/>
    <cellStyle name="Lien hypertexte visité" xfId="16821" builtinId="9" hidden="1"/>
    <cellStyle name="Lien hypertexte visité" xfId="16885" builtinId="9" hidden="1"/>
    <cellStyle name="Lien hypertexte visité" xfId="16949" builtinId="9" hidden="1"/>
    <cellStyle name="Lien hypertexte visité" xfId="17045" builtinId="9" hidden="1"/>
    <cellStyle name="Lien hypertexte visité" xfId="17109" builtinId="9" hidden="1"/>
    <cellStyle name="Lien hypertexte visité" xfId="17173" builtinId="9" hidden="1"/>
    <cellStyle name="Lien hypertexte visité" xfId="17269" builtinId="9" hidden="1"/>
    <cellStyle name="Lien hypertexte visité" xfId="17333" builtinId="9" hidden="1"/>
    <cellStyle name="Lien hypertexte visité" xfId="17397" builtinId="9" hidden="1"/>
    <cellStyle name="Lien hypertexte visité" xfId="17461" builtinId="9" hidden="1"/>
    <cellStyle name="Lien hypertexte visité" xfId="17557" builtinId="9" hidden="1"/>
    <cellStyle name="Lien hypertexte visité" xfId="17621" builtinId="9" hidden="1"/>
    <cellStyle name="Lien hypertexte visité" xfId="17685" builtinId="9" hidden="1"/>
    <cellStyle name="Lien hypertexte visité" xfId="17781" builtinId="9" hidden="1"/>
    <cellStyle name="Lien hypertexte visité" xfId="17845" builtinId="9" hidden="1"/>
    <cellStyle name="Lien hypertexte visité" xfId="17909" builtinId="9" hidden="1"/>
    <cellStyle name="Lien hypertexte visité" xfId="17973" builtinId="9" hidden="1"/>
    <cellStyle name="Lien hypertexte visité" xfId="18069" builtinId="9" hidden="1"/>
    <cellStyle name="Lien hypertexte visité" xfId="18133" builtinId="9" hidden="1"/>
    <cellStyle name="Lien hypertexte visité" xfId="18197" builtinId="9" hidden="1"/>
    <cellStyle name="Lien hypertexte visité" xfId="18293" builtinId="9" hidden="1"/>
    <cellStyle name="Lien hypertexte visité" xfId="18340" builtinId="9" hidden="1"/>
    <cellStyle name="Lien hypertexte visité" xfId="18404" builtinId="9" hidden="1"/>
    <cellStyle name="Lien hypertexte visité" xfId="18468" builtinId="9" hidden="1"/>
    <cellStyle name="Lien hypertexte visité" xfId="18564" builtinId="9" hidden="1"/>
    <cellStyle name="Lien hypertexte visité" xfId="18628" builtinId="9" hidden="1"/>
    <cellStyle name="Lien hypertexte visité" xfId="18692" builtinId="9" hidden="1"/>
    <cellStyle name="Lien hypertexte visité" xfId="18788" builtinId="9" hidden="1"/>
    <cellStyle name="Lien hypertexte visité" xfId="18852" builtinId="9" hidden="1"/>
    <cellStyle name="Lien hypertexte visité" xfId="18916" builtinId="9" hidden="1"/>
    <cellStyle name="Lien hypertexte visité" xfId="18980" builtinId="9" hidden="1"/>
    <cellStyle name="Lien hypertexte visité" xfId="19076" builtinId="9" hidden="1"/>
    <cellStyle name="Lien hypertexte visité" xfId="19140" builtinId="9" hidden="1"/>
    <cellStyle name="Lien hypertexte visité" xfId="19204" builtinId="9" hidden="1"/>
    <cellStyle name="Lien hypertexte visité" xfId="19300" builtinId="9" hidden="1"/>
    <cellStyle name="Lien hypertexte visité" xfId="19364" builtinId="9" hidden="1"/>
    <cellStyle name="Lien hypertexte visité" xfId="19428" builtinId="9" hidden="1"/>
    <cellStyle name="Lien hypertexte visité" xfId="19492" builtinId="9" hidden="1"/>
    <cellStyle name="Lien hypertexte visité" xfId="19588" builtinId="9" hidden="1"/>
    <cellStyle name="Lien hypertexte visité" xfId="19652" builtinId="9" hidden="1"/>
    <cellStyle name="Lien hypertexte visité" xfId="19716" builtinId="9" hidden="1"/>
    <cellStyle name="Lien hypertexte visité" xfId="19812" builtinId="9" hidden="1"/>
    <cellStyle name="Lien hypertexte visité" xfId="19876" builtinId="9" hidden="1"/>
    <cellStyle name="Lien hypertexte visité" xfId="19940" builtinId="9" hidden="1"/>
    <cellStyle name="Lien hypertexte visité" xfId="20004" builtinId="9" hidden="1"/>
    <cellStyle name="Lien hypertexte visité" xfId="20100" builtinId="9" hidden="1"/>
    <cellStyle name="Lien hypertexte visité" xfId="20164" builtinId="9" hidden="1"/>
    <cellStyle name="Lien hypertexte visité" xfId="20228" builtinId="9" hidden="1"/>
    <cellStyle name="Lien hypertexte visité" xfId="20324" builtinId="9" hidden="1"/>
    <cellStyle name="Lien hypertexte visité" xfId="20388" builtinId="9" hidden="1"/>
    <cellStyle name="Lien hypertexte visité" xfId="20452" builtinId="9" hidden="1"/>
    <cellStyle name="Lien hypertexte visité" xfId="20516" builtinId="9" hidden="1"/>
    <cellStyle name="Lien hypertexte visité" xfId="20612" builtinId="9" hidden="1"/>
    <cellStyle name="Lien hypertexte visité" xfId="20676" builtinId="9" hidden="1"/>
    <cellStyle name="Lien hypertexte visité" xfId="20740" builtinId="9" hidden="1"/>
    <cellStyle name="Lien hypertexte visité" xfId="20836" builtinId="9" hidden="1"/>
    <cellStyle name="Lien hypertexte visité" xfId="20900" builtinId="9" hidden="1"/>
    <cellStyle name="Lien hypertexte visité" xfId="20964" builtinId="9" hidden="1"/>
    <cellStyle name="Lien hypertexte visité" xfId="21028" builtinId="9" hidden="1"/>
    <cellStyle name="Lien hypertexte visité" xfId="21124" builtinId="9" hidden="1"/>
    <cellStyle name="Lien hypertexte visité" xfId="21188" builtinId="9" hidden="1"/>
    <cellStyle name="Lien hypertexte visité" xfId="21252" builtinId="9" hidden="1"/>
    <cellStyle name="Lien hypertexte visité" xfId="21348" builtinId="9" hidden="1"/>
    <cellStyle name="Lien hypertexte visité" xfId="21412" builtinId="9" hidden="1"/>
    <cellStyle name="Lien hypertexte visité" xfId="21476" builtinId="9" hidden="1"/>
    <cellStyle name="Lien hypertexte visité" xfId="21540" builtinId="9" hidden="1"/>
    <cellStyle name="Lien hypertexte visité" xfId="21636" builtinId="9" hidden="1"/>
    <cellStyle name="Lien hypertexte visité" xfId="21700" builtinId="9" hidden="1"/>
    <cellStyle name="Lien hypertexte visité" xfId="21764" builtinId="9" hidden="1"/>
    <cellStyle name="Lien hypertexte visité" xfId="21860" builtinId="9" hidden="1"/>
    <cellStyle name="Lien hypertexte visité" xfId="21924" builtinId="9" hidden="1"/>
    <cellStyle name="Lien hypertexte visité" xfId="21988" builtinId="9" hidden="1"/>
    <cellStyle name="Lien hypertexte visité" xfId="22052" builtinId="9" hidden="1"/>
    <cellStyle name="Lien hypertexte visité" xfId="22148" builtinId="9" hidden="1"/>
    <cellStyle name="Lien hypertexte visité" xfId="22212" builtinId="9" hidden="1"/>
    <cellStyle name="Lien hypertexte visité" xfId="22276" builtinId="9" hidden="1"/>
    <cellStyle name="Lien hypertexte visité" xfId="22372" builtinId="9" hidden="1"/>
    <cellStyle name="Lien hypertexte visité" xfId="22436" builtinId="9" hidden="1"/>
    <cellStyle name="Lien hypertexte visité" xfId="22500" builtinId="9" hidden="1"/>
    <cellStyle name="Lien hypertexte visité" xfId="22564" builtinId="9" hidden="1"/>
    <cellStyle name="Lien hypertexte visité" xfId="22660" builtinId="9" hidden="1"/>
    <cellStyle name="Lien hypertexte visité" xfId="22724" builtinId="9" hidden="1"/>
    <cellStyle name="Lien hypertexte visité" xfId="22788" builtinId="9" hidden="1"/>
    <cellStyle name="Lien hypertexte visité" xfId="22884" builtinId="9" hidden="1"/>
    <cellStyle name="Lien hypertexte visité" xfId="22948" builtinId="9" hidden="1"/>
    <cellStyle name="Lien hypertexte visité" xfId="23012" builtinId="9" hidden="1"/>
    <cellStyle name="Lien hypertexte visité" xfId="23076" builtinId="9" hidden="1"/>
    <cellStyle name="Lien hypertexte visité" xfId="23172" builtinId="9" hidden="1"/>
    <cellStyle name="Lien hypertexte visité" xfId="23236" builtinId="9" hidden="1"/>
    <cellStyle name="Lien hypertexte visité" xfId="23300" builtinId="9" hidden="1"/>
    <cellStyle name="Lien hypertexte visité" xfId="23396" builtinId="9" hidden="1"/>
    <cellStyle name="Lien hypertexte visité" xfId="23460" builtinId="9" hidden="1"/>
    <cellStyle name="Lien hypertexte visité" xfId="23524" builtinId="9" hidden="1"/>
    <cellStyle name="Lien hypertexte visité" xfId="23588" builtinId="9" hidden="1"/>
    <cellStyle name="Lien hypertexte visité" xfId="23684" builtinId="9" hidden="1"/>
    <cellStyle name="Lien hypertexte visité" xfId="23748" builtinId="9" hidden="1"/>
    <cellStyle name="Lien hypertexte visité" xfId="23812" builtinId="9" hidden="1"/>
    <cellStyle name="Lien hypertexte visité" xfId="23908" builtinId="9" hidden="1"/>
    <cellStyle name="Lien hypertexte visité" xfId="23972" builtinId="9" hidden="1"/>
    <cellStyle name="Lien hypertexte visité" xfId="24036" builtinId="9" hidden="1"/>
    <cellStyle name="Lien hypertexte visité" xfId="24100" builtinId="9" hidden="1"/>
    <cellStyle name="Lien hypertexte visité" xfId="24196" builtinId="9" hidden="1"/>
    <cellStyle name="Lien hypertexte visité" xfId="24260" builtinId="9" hidden="1"/>
    <cellStyle name="Lien hypertexte visité" xfId="24324" builtinId="9" hidden="1"/>
    <cellStyle name="Lien hypertexte visité" xfId="24420" builtinId="9" hidden="1"/>
    <cellStyle name="Lien hypertexte visité" xfId="24484" builtinId="9" hidden="1"/>
    <cellStyle name="Lien hypertexte visité" xfId="24548" builtinId="9" hidden="1"/>
    <cellStyle name="Lien hypertexte visité" xfId="24612" builtinId="9" hidden="1"/>
    <cellStyle name="Lien hypertexte visité" xfId="24518" builtinId="9" hidden="1"/>
    <cellStyle name="Lien hypertexte visité" xfId="24454" builtinId="9" hidden="1"/>
    <cellStyle name="Lien hypertexte visité" xfId="24390" builtinId="9" hidden="1"/>
    <cellStyle name="Lien hypertexte visité" xfId="24294" builtinId="9" hidden="1"/>
    <cellStyle name="Lien hypertexte visité" xfId="24230" builtinId="9" hidden="1"/>
    <cellStyle name="Lien hypertexte visité" xfId="24166" builtinId="9" hidden="1"/>
    <cellStyle name="Lien hypertexte visité" xfId="24102" builtinId="9" hidden="1"/>
    <cellStyle name="Lien hypertexte visité" xfId="24006" builtinId="9" hidden="1"/>
    <cellStyle name="Lien hypertexte visité" xfId="23942" builtinId="9" hidden="1"/>
    <cellStyle name="Lien hypertexte visité" xfId="23878" builtinId="9" hidden="1"/>
    <cellStyle name="Lien hypertexte visité" xfId="23782" builtinId="9" hidden="1"/>
    <cellStyle name="Lien hypertexte visité" xfId="23718" builtinId="9" hidden="1"/>
    <cellStyle name="Lien hypertexte visité" xfId="23654" builtinId="9" hidden="1"/>
    <cellStyle name="Lien hypertexte visité" xfId="23590" builtinId="9" hidden="1"/>
    <cellStyle name="Lien hypertexte visité" xfId="23494" builtinId="9" hidden="1"/>
    <cellStyle name="Lien hypertexte visité" xfId="23430" builtinId="9" hidden="1"/>
    <cellStyle name="Lien hypertexte visité" xfId="23366" builtinId="9" hidden="1"/>
    <cellStyle name="Lien hypertexte visité" xfId="23270" builtinId="9" hidden="1"/>
    <cellStyle name="Lien hypertexte visité" xfId="23206" builtinId="9" hidden="1"/>
    <cellStyle name="Lien hypertexte visité" xfId="23142" builtinId="9" hidden="1"/>
    <cellStyle name="Lien hypertexte visité" xfId="23078" builtinId="9" hidden="1"/>
    <cellStyle name="Lien hypertexte visité" xfId="22982" builtinId="9" hidden="1"/>
    <cellStyle name="Lien hypertexte visité" xfId="22918" builtinId="9" hidden="1"/>
    <cellStyle name="Lien hypertexte visité" xfId="22854" builtinId="9" hidden="1"/>
    <cellStyle name="Lien hypertexte visité" xfId="22758" builtinId="9" hidden="1"/>
    <cellStyle name="Lien hypertexte visité" xfId="22694" builtinId="9" hidden="1"/>
    <cellStyle name="Lien hypertexte visité" xfId="22630" builtinId="9" hidden="1"/>
    <cellStyle name="Lien hypertexte visité" xfId="22566" builtinId="9" hidden="1"/>
    <cellStyle name="Lien hypertexte visité" xfId="22470" builtinId="9" hidden="1"/>
    <cellStyle name="Lien hypertexte visité" xfId="22406" builtinId="9" hidden="1"/>
    <cellStyle name="Lien hypertexte visité" xfId="22342" builtinId="9" hidden="1"/>
    <cellStyle name="Lien hypertexte visité" xfId="22246" builtinId="9" hidden="1"/>
    <cellStyle name="Lien hypertexte visité" xfId="22182" builtinId="9" hidden="1"/>
    <cellStyle name="Lien hypertexte visité" xfId="22118" builtinId="9" hidden="1"/>
    <cellStyle name="Lien hypertexte visité" xfId="22054" builtinId="9" hidden="1"/>
    <cellStyle name="Lien hypertexte visité" xfId="21958" builtinId="9" hidden="1"/>
    <cellStyle name="Lien hypertexte visité" xfId="21894" builtinId="9" hidden="1"/>
    <cellStyle name="Lien hypertexte visité" xfId="21830" builtinId="9" hidden="1"/>
    <cellStyle name="Lien hypertexte visité" xfId="21734" builtinId="9" hidden="1"/>
    <cellStyle name="Lien hypertexte visité" xfId="21670" builtinId="9" hidden="1"/>
    <cellStyle name="Lien hypertexte visité" xfId="21606" builtinId="9" hidden="1"/>
    <cellStyle name="Lien hypertexte visité" xfId="21542" builtinId="9" hidden="1"/>
    <cellStyle name="Lien hypertexte visité" xfId="21446" builtinId="9" hidden="1"/>
    <cellStyle name="Lien hypertexte visité" xfId="21382" builtinId="9" hidden="1"/>
    <cellStyle name="Lien hypertexte visité" xfId="21318" builtinId="9" hidden="1"/>
    <cellStyle name="Lien hypertexte visité" xfId="21222" builtinId="9" hidden="1"/>
    <cellStyle name="Lien hypertexte visité" xfId="21158" builtinId="9" hidden="1"/>
    <cellStyle name="Lien hypertexte visité" xfId="21094" builtinId="9" hidden="1"/>
    <cellStyle name="Lien hypertexte visité" xfId="21030" builtinId="9" hidden="1"/>
    <cellStyle name="Lien hypertexte visité" xfId="20934" builtinId="9" hidden="1"/>
    <cellStyle name="Lien hypertexte visité" xfId="20870" builtinId="9" hidden="1"/>
    <cellStyle name="Lien hypertexte visité" xfId="20806" builtinId="9" hidden="1"/>
    <cellStyle name="Lien hypertexte visité" xfId="20710" builtinId="9" hidden="1"/>
    <cellStyle name="Lien hypertexte visité" xfId="20646" builtinId="9" hidden="1"/>
    <cellStyle name="Lien hypertexte visité" xfId="20582" builtinId="9" hidden="1"/>
    <cellStyle name="Lien hypertexte visité" xfId="20518" builtinId="9" hidden="1"/>
    <cellStyle name="Lien hypertexte visité" xfId="20422" builtinId="9" hidden="1"/>
    <cellStyle name="Lien hypertexte visité" xfId="20358" builtinId="9" hidden="1"/>
    <cellStyle name="Lien hypertexte visité" xfId="20294" builtinId="9" hidden="1"/>
    <cellStyle name="Lien hypertexte visité" xfId="20198" builtinId="9" hidden="1"/>
    <cellStyle name="Lien hypertexte visité" xfId="20134" builtinId="9" hidden="1"/>
    <cellStyle name="Lien hypertexte visité" xfId="20070" builtinId="9" hidden="1"/>
    <cellStyle name="Lien hypertexte visité" xfId="20006" builtinId="9" hidden="1"/>
    <cellStyle name="Lien hypertexte visité" xfId="19910" builtinId="9" hidden="1"/>
    <cellStyle name="Lien hypertexte visité" xfId="19846" builtinId="9" hidden="1"/>
    <cellStyle name="Lien hypertexte visité" xfId="19782" builtinId="9" hidden="1"/>
    <cellStyle name="Lien hypertexte visité" xfId="19686" builtinId="9" hidden="1"/>
    <cellStyle name="Lien hypertexte visité" xfId="19622" builtinId="9" hidden="1"/>
    <cellStyle name="Lien hypertexte visité" xfId="19558" builtinId="9" hidden="1"/>
    <cellStyle name="Lien hypertexte visité" xfId="19494" builtinId="9" hidden="1"/>
    <cellStyle name="Lien hypertexte visité" xfId="19398" builtinId="9" hidden="1"/>
    <cellStyle name="Lien hypertexte visité" xfId="19334" builtinId="9" hidden="1"/>
    <cellStyle name="Lien hypertexte visité" xfId="19270" builtinId="9" hidden="1"/>
    <cellStyle name="Lien hypertexte visité" xfId="19174" builtinId="9" hidden="1"/>
    <cellStyle name="Lien hypertexte visité" xfId="19110" builtinId="9" hidden="1"/>
    <cellStyle name="Lien hypertexte visité" xfId="19462" builtinId="9" hidden="1"/>
    <cellStyle name="Lien hypertexte visité" xfId="19974" builtinId="9" hidden="1"/>
    <cellStyle name="Lien hypertexte visité" xfId="20486" builtinId="9" hidden="1"/>
    <cellStyle name="Lien hypertexte visité" xfId="20998" builtinId="9" hidden="1"/>
    <cellStyle name="Lien hypertexte visité" xfId="21510" builtinId="9" hidden="1"/>
    <cellStyle name="Lien hypertexte visité" xfId="22022" builtinId="9" hidden="1"/>
    <cellStyle name="Lien hypertexte visité" xfId="22534" builtinId="9" hidden="1"/>
    <cellStyle name="Lien hypertexte visité" xfId="23046" builtinId="9" hidden="1"/>
    <cellStyle name="Lien hypertexte visité" xfId="23558" builtinId="9" hidden="1"/>
    <cellStyle name="Lien hypertexte visité" xfId="24070" builtinId="9" hidden="1"/>
    <cellStyle name="Lien hypertexte visité" xfId="24582" builtinId="9" hidden="1"/>
    <cellStyle name="Lien hypertexte visité" xfId="24132" builtinId="9" hidden="1"/>
    <cellStyle name="Lien hypertexte visité" xfId="23620" builtinId="9" hidden="1"/>
    <cellStyle name="Lien hypertexte visité" xfId="23108" builtinId="9" hidden="1"/>
    <cellStyle name="Lien hypertexte visité" xfId="22596" builtinId="9" hidden="1"/>
    <cellStyle name="Lien hypertexte visité" xfId="22084" builtinId="9" hidden="1"/>
    <cellStyle name="Lien hypertexte visité" xfId="21572" builtinId="9" hidden="1"/>
    <cellStyle name="Lien hypertexte visité" xfId="21060" builtinId="9" hidden="1"/>
    <cellStyle name="Lien hypertexte visité" xfId="20548" builtinId="9" hidden="1"/>
    <cellStyle name="Lien hypertexte visité" xfId="20036" builtinId="9" hidden="1"/>
    <cellStyle name="Lien hypertexte visité" xfId="19524" builtinId="9" hidden="1"/>
    <cellStyle name="Lien hypertexte visité" xfId="19012" builtinId="9" hidden="1"/>
    <cellStyle name="Lien hypertexte visité" xfId="18500" builtinId="9" hidden="1"/>
    <cellStyle name="Lien hypertexte visité" xfId="18005" builtinId="9" hidden="1"/>
    <cellStyle name="Lien hypertexte visité" xfId="17493" builtinId="9" hidden="1"/>
    <cellStyle name="Lien hypertexte visité" xfId="16981" builtinId="9" hidden="1"/>
    <cellStyle name="Lien hypertexte visité" xfId="16469" builtinId="9" hidden="1"/>
    <cellStyle name="Lien hypertexte visité" xfId="15957" builtinId="9" hidden="1"/>
    <cellStyle name="Lien hypertexte visité" xfId="15445" builtinId="9" hidden="1"/>
    <cellStyle name="Lien hypertexte visité" xfId="14933" builtinId="9" hidden="1"/>
    <cellStyle name="Lien hypertexte visité" xfId="14468" builtinId="9" hidden="1"/>
    <cellStyle name="Lien hypertexte visité" xfId="14212" builtinId="9" hidden="1"/>
    <cellStyle name="Lien hypertexte visité" xfId="13956" builtinId="9" hidden="1"/>
    <cellStyle name="Lien hypertexte visité" xfId="13700" builtinId="9" hidden="1"/>
    <cellStyle name="Lien hypertexte visité" xfId="13444" builtinId="9" hidden="1"/>
    <cellStyle name="Lien hypertexte visité" xfId="13188" builtinId="9" hidden="1"/>
    <cellStyle name="Lien hypertexte visité" xfId="12932" builtinId="9" hidden="1"/>
    <cellStyle name="Lien hypertexte visité" xfId="12676" builtinId="9" hidden="1"/>
    <cellStyle name="Lien hypertexte visité" xfId="12420" builtinId="9" hidden="1"/>
    <cellStyle name="Lien hypertexte visité" xfId="12164" builtinId="9" hidden="1"/>
    <cellStyle name="Lien hypertexte visité" xfId="11908" builtinId="9" hidden="1"/>
    <cellStyle name="Lien hypertexte visité" xfId="11652" builtinId="9" hidden="1"/>
    <cellStyle name="Lien hypertexte visité" xfId="11396" builtinId="9" hidden="1"/>
    <cellStyle name="Lien hypertexte visité" xfId="11140" builtinId="9" hidden="1"/>
    <cellStyle name="Lien hypertexte visité" xfId="10884" builtinId="9" hidden="1"/>
    <cellStyle name="Lien hypertexte visité" xfId="10628" builtinId="9" hidden="1"/>
    <cellStyle name="Lien hypertexte visité" xfId="10372" builtinId="9" hidden="1"/>
    <cellStyle name="Lien hypertexte visité" xfId="10116" builtinId="9" hidden="1"/>
    <cellStyle name="Lien hypertexte visité" xfId="9860" builtinId="9" hidden="1"/>
    <cellStyle name="Lien hypertexte visité" xfId="9604" builtinId="9" hidden="1"/>
    <cellStyle name="Lien hypertexte visité" xfId="9348" builtinId="9" hidden="1"/>
    <cellStyle name="Lien hypertexte visité" xfId="9092" builtinId="9" hidden="1"/>
    <cellStyle name="Lien hypertexte visité" xfId="8836" builtinId="9" hidden="1"/>
    <cellStyle name="Lien hypertexte visité" xfId="8580" builtinId="9" hidden="1"/>
    <cellStyle name="Lien hypertexte visité" xfId="8324" builtinId="9" hidden="1"/>
    <cellStyle name="Lien hypertexte visité" xfId="8068" builtinId="9" hidden="1"/>
    <cellStyle name="Lien hypertexte visité" xfId="7812" builtinId="9" hidden="1"/>
    <cellStyle name="Lien hypertexte visité" xfId="7555" builtinId="9" hidden="1"/>
    <cellStyle name="Lien hypertexte visité" xfId="7299" builtinId="9" hidden="1"/>
    <cellStyle name="Lien hypertexte visité" xfId="7043" builtinId="9" hidden="1"/>
    <cellStyle name="Lien hypertexte visité" xfId="6787" builtinId="9" hidden="1"/>
    <cellStyle name="Lien hypertexte visité" xfId="6531" builtinId="9" hidden="1"/>
    <cellStyle name="Lien hypertexte visité" xfId="6275" builtinId="9" hidden="1"/>
    <cellStyle name="Lien hypertexte visité" xfId="6019" builtinId="9" hidden="1"/>
    <cellStyle name="Lien hypertexte visité" xfId="5763" builtinId="9" hidden="1"/>
    <cellStyle name="Lien hypertexte visité" xfId="5507" builtinId="9" hidden="1"/>
    <cellStyle name="Lien hypertexte visité" xfId="5251" builtinId="9" hidden="1"/>
    <cellStyle name="Lien hypertexte visité" xfId="2817" builtinId="9" hidden="1"/>
    <cellStyle name="Lien hypertexte visité" xfId="2785" builtinId="9" hidden="1"/>
    <cellStyle name="Lien hypertexte visité" xfId="2753" builtinId="9" hidden="1"/>
    <cellStyle name="Lien hypertexte visité" xfId="2721" builtinId="9" hidden="1"/>
    <cellStyle name="Lien hypertexte visité" xfId="2673" builtinId="9" hidden="1"/>
    <cellStyle name="Lien hypertexte visité" xfId="2641" builtinId="9" hidden="1"/>
    <cellStyle name="Lien hypertexte visité" xfId="2609" builtinId="9" hidden="1"/>
    <cellStyle name="Lien hypertexte visité" xfId="2577" builtinId="9" hidden="1"/>
    <cellStyle name="Lien hypertexte visité" xfId="2545" builtinId="9" hidden="1"/>
    <cellStyle name="Lien hypertexte visité" xfId="2513" builtinId="9" hidden="1"/>
    <cellStyle name="Lien hypertexte visité" xfId="2481" builtinId="9" hidden="1"/>
    <cellStyle name="Lien hypertexte visité" xfId="2449" builtinId="9" hidden="1"/>
    <cellStyle name="Lien hypertexte visité" xfId="2401" builtinId="9" hidden="1"/>
    <cellStyle name="Lien hypertexte visité" xfId="2369" builtinId="9" hidden="1"/>
    <cellStyle name="Lien hypertexte visité" xfId="2337" builtinId="9" hidden="1"/>
    <cellStyle name="Lien hypertexte visité" xfId="2305" builtinId="9" hidden="1"/>
    <cellStyle name="Lien hypertexte visité" xfId="2273" builtinId="9" hidden="1"/>
    <cellStyle name="Lien hypertexte visité" xfId="2241" builtinId="9" hidden="1"/>
    <cellStyle name="Lien hypertexte visité" xfId="2149" builtinId="9" hidden="1"/>
    <cellStyle name="Lien hypertexte visité" xfId="2161" builtinId="9" hidden="1"/>
    <cellStyle name="Lien hypertexte visité" xfId="2129" builtinId="9" hidden="1"/>
    <cellStyle name="Lien hypertexte visité" xfId="2097" builtinId="9" hidden="1"/>
    <cellStyle name="Lien hypertexte visité" xfId="2065" builtinId="9" hidden="1"/>
    <cellStyle name="Lien hypertexte visité" xfId="2033" builtinId="9" hidden="1"/>
    <cellStyle name="Lien hypertexte visité" xfId="2001" builtinId="9" hidden="1"/>
    <cellStyle name="Lien hypertexte visité" xfId="1969" builtinId="9" hidden="1"/>
    <cellStyle name="Lien hypertexte visité" xfId="1937" builtinId="9" hidden="1"/>
    <cellStyle name="Lien hypertexte visité" xfId="1889" builtinId="9" hidden="1"/>
    <cellStyle name="Lien hypertexte visité" xfId="1857" builtinId="9" hidden="1"/>
    <cellStyle name="Lien hypertexte visité" xfId="1825" builtinId="9" hidden="1"/>
    <cellStyle name="Lien hypertexte visité" xfId="1793" builtinId="9" hidden="1"/>
    <cellStyle name="Lien hypertexte visité" xfId="1761" builtinId="9" hidden="1"/>
    <cellStyle name="Lien hypertexte visité" xfId="1729" builtinId="9" hidden="1"/>
    <cellStyle name="Lien hypertexte visité" xfId="1697" builtinId="9" hidden="1"/>
    <cellStyle name="Lien hypertexte visité" xfId="1649" builtinId="9" hidden="1"/>
    <cellStyle name="Lien hypertexte visité" xfId="1617" builtinId="9" hidden="1"/>
    <cellStyle name="Lien hypertexte visité" xfId="1585" builtinId="9" hidden="1"/>
    <cellStyle name="Lien hypertexte visité" xfId="1553" builtinId="9" hidden="1"/>
    <cellStyle name="Lien hypertexte visité" xfId="1521" builtinId="9" hidden="1"/>
    <cellStyle name="Lien hypertexte visité" xfId="1488" builtinId="9" hidden="1"/>
    <cellStyle name="Lien hypertexte visité" xfId="1456" builtinId="9" hidden="1"/>
    <cellStyle name="Lien hypertexte visité" xfId="1424" builtinId="9" hidden="1"/>
    <cellStyle name="Lien hypertexte visité" xfId="1376" builtinId="9" hidden="1"/>
    <cellStyle name="Lien hypertexte visité" xfId="1344" builtinId="9" hidden="1"/>
    <cellStyle name="Lien hypertexte visité" xfId="1312" builtinId="9" hidden="1"/>
    <cellStyle name="Lien hypertexte visité" xfId="1280" builtinId="9" hidden="1"/>
    <cellStyle name="Lien hypertexte visité" xfId="1248" builtinId="9" hidden="1"/>
    <cellStyle name="Lien hypertexte visité" xfId="1216" builtinId="9" hidden="1"/>
    <cellStyle name="Lien hypertexte visité" xfId="1184" builtinId="9" hidden="1"/>
    <cellStyle name="Lien hypertexte visité" xfId="1109" builtinId="9" hidden="1"/>
    <cellStyle name="Lien hypertexte visité" xfId="1045" builtinId="9" hidden="1"/>
    <cellStyle name="Lien hypertexte visité" xfId="981" builtinId="9" hidden="1"/>
    <cellStyle name="Lien hypertexte visité" xfId="917" builtinId="9" hidden="1"/>
    <cellStyle name="Lien hypertexte visité" xfId="853" builtinId="9" hidden="1"/>
    <cellStyle name="Lien hypertexte visité" xfId="789" builtinId="9" hidden="1"/>
    <cellStyle name="Lien hypertexte visité" xfId="725" builtinId="9" hidden="1"/>
    <cellStyle name="Lien hypertexte visité" xfId="661" builtinId="9" hidden="1"/>
    <cellStyle name="Lien hypertexte visité" xfId="565" builtinId="9" hidden="1"/>
    <cellStyle name="Lien hypertexte visité" xfId="501" builtinId="9" hidden="1"/>
    <cellStyle name="Lien hypertexte visité" xfId="437" builtinId="9" hidden="1"/>
    <cellStyle name="Lien hypertexte visité" xfId="373" builtinId="9" hidden="1"/>
    <cellStyle name="Lien hypertexte visité" xfId="309" builtinId="9" hidden="1"/>
    <cellStyle name="Lien hypertexte visité" xfId="245" builtinId="9" hidden="1"/>
    <cellStyle name="Lien hypertexte visité" xfId="197" builtinId="9" hidden="1"/>
    <cellStyle name="Lien hypertexte visité" xfId="189" builtinId="9" hidden="1"/>
    <cellStyle name="Lien hypertexte visité" xfId="141" builtinId="9" hidden="1"/>
    <cellStyle name="Lien hypertexte visité" xfId="125" builtinId="9" hidden="1"/>
    <cellStyle name="Lien hypertexte visité" xfId="173" builtinId="9" hidden="1"/>
    <cellStyle name="Lien hypertexte visité" xfId="225" builtinId="9" hidden="1"/>
    <cellStyle name="Lien hypertexte visité" xfId="181" builtinId="9" hidden="1"/>
    <cellStyle name="Lien hypertexte visité" xfId="269" builtinId="9" hidden="1"/>
    <cellStyle name="Lien hypertexte visité" xfId="333" builtinId="9" hidden="1"/>
    <cellStyle name="Lien hypertexte visité" xfId="429" builtinId="9" hidden="1"/>
    <cellStyle name="Lien hypertexte visité" xfId="493" builtinId="9" hidden="1"/>
    <cellStyle name="Lien hypertexte visité" xfId="557" builtinId="9" hidden="1"/>
    <cellStyle name="Lien hypertexte visité" xfId="621" builtinId="9" hidden="1"/>
    <cellStyle name="Lien hypertexte visité" xfId="685" builtinId="9" hidden="1"/>
    <cellStyle name="Lien hypertexte visité" xfId="749" builtinId="9" hidden="1"/>
    <cellStyle name="Lien hypertexte visité" xfId="813" builtinId="9" hidden="1"/>
    <cellStyle name="Lien hypertexte visité" xfId="909" builtinId="9" hidden="1"/>
    <cellStyle name="Lien hypertexte visité" xfId="973" builtinId="9" hidden="1"/>
    <cellStyle name="Lien hypertexte visité" xfId="1037" builtinId="9" hidden="1"/>
    <cellStyle name="Lien hypertexte visité" xfId="1101" builtinId="9" hidden="1"/>
    <cellStyle name="Lien hypertexte visité" xfId="1164" builtinId="9" hidden="1"/>
    <cellStyle name="Lien hypertexte visité" xfId="1196" builtinId="9" hidden="1"/>
    <cellStyle name="Lien hypertexte visité" xfId="1228" builtinId="9" hidden="1"/>
    <cellStyle name="Lien hypertexte visité" xfId="1260" builtinId="9" hidden="1"/>
    <cellStyle name="Lien hypertexte visité" xfId="1308" builtinId="9" hidden="1"/>
    <cellStyle name="Lien hypertexte visité" xfId="1340" builtinId="9" hidden="1"/>
    <cellStyle name="Lien hypertexte visité" xfId="1372" builtinId="9" hidden="1"/>
    <cellStyle name="Lien hypertexte visité" xfId="1404" builtinId="9" hidden="1"/>
    <cellStyle name="Lien hypertexte visité" xfId="1436" builtinId="9" hidden="1"/>
    <cellStyle name="Lien hypertexte visité" xfId="1468" builtinId="9" hidden="1"/>
    <cellStyle name="Lien hypertexte visité" xfId="1501" builtinId="9" hidden="1"/>
    <cellStyle name="Lien hypertexte visité" xfId="1549" builtinId="9" hidden="1"/>
    <cellStyle name="Lien hypertexte visité" xfId="1581" builtinId="9" hidden="1"/>
    <cellStyle name="Lien hypertexte visité" xfId="1613" builtinId="9" hidden="1"/>
    <cellStyle name="Lien hypertexte visité" xfId="1645" builtinId="9" hidden="1"/>
    <cellStyle name="Lien hypertexte visité" xfId="1677" builtinId="9" hidden="1"/>
    <cellStyle name="Lien hypertexte visité" xfId="1709" builtinId="9" hidden="1"/>
    <cellStyle name="Lien hypertexte visité" xfId="1741" builtinId="9" hidden="1"/>
    <cellStyle name="Lien hypertexte visité" xfId="1773" builtinId="9" hidden="1"/>
    <cellStyle name="Lien hypertexte visité" xfId="1821" builtinId="9" hidden="1"/>
    <cellStyle name="Lien hypertexte visité" xfId="1853" builtinId="9" hidden="1"/>
    <cellStyle name="Lien hypertexte visité" xfId="1885" builtinId="9" hidden="1"/>
    <cellStyle name="Lien hypertexte visité" xfId="1917" builtinId="9" hidden="1"/>
    <cellStyle name="Lien hypertexte visité" xfId="1949" builtinId="9" hidden="1"/>
    <cellStyle name="Lien hypertexte visité" xfId="1981" builtinId="9" hidden="1"/>
    <cellStyle name="Lien hypertexte visité" xfId="2013" builtinId="9" hidden="1"/>
    <cellStyle name="Lien hypertexte visité" xfId="2061" builtinId="9" hidden="1"/>
    <cellStyle name="Lien hypertexte visité" xfId="2093" builtinId="9" hidden="1"/>
    <cellStyle name="Lien hypertexte visité" xfId="2125" builtinId="9" hidden="1"/>
    <cellStyle name="Lien hypertexte visité" xfId="2157" builtinId="9" hidden="1"/>
    <cellStyle name="Lien hypertexte visité" xfId="2189" builtinId="9" hidden="1"/>
    <cellStyle name="Lien hypertexte visité" xfId="2221" builtinId="9" hidden="1"/>
    <cellStyle name="Lien hypertexte visité" xfId="2253" builtinId="9" hidden="1"/>
    <cellStyle name="Lien hypertexte visité" xfId="2285" builtinId="9" hidden="1"/>
    <cellStyle name="Lien hypertexte visité" xfId="2333" builtinId="9" hidden="1"/>
    <cellStyle name="Lien hypertexte visité" xfId="2365" builtinId="9" hidden="1"/>
    <cellStyle name="Lien hypertexte visité" xfId="2397" builtinId="9" hidden="1"/>
    <cellStyle name="Lien hypertexte visité" xfId="2429" builtinId="9" hidden="1"/>
    <cellStyle name="Lien hypertexte visité" xfId="2461" builtinId="9" hidden="1"/>
    <cellStyle name="Lien hypertexte visité" xfId="2493" builtinId="9" hidden="1"/>
    <cellStyle name="Lien hypertexte visité" xfId="2525" builtinId="9" hidden="1"/>
    <cellStyle name="Lien hypertexte visité" xfId="2573" builtinId="9" hidden="1"/>
    <cellStyle name="Lien hypertexte visité" xfId="2605" builtinId="9" hidden="1"/>
    <cellStyle name="Lien hypertexte visité" xfId="2637" builtinId="9" hidden="1"/>
    <cellStyle name="Lien hypertexte visité" xfId="2669" builtinId="9" hidden="1"/>
    <cellStyle name="Lien hypertexte visité" xfId="2701" builtinId="9" hidden="1"/>
    <cellStyle name="Lien hypertexte visité" xfId="2733" builtinId="9" hidden="1"/>
    <cellStyle name="Lien hypertexte visité" xfId="2765" builtinId="9" hidden="1"/>
    <cellStyle name="Lien hypertexte visité" xfId="2797" builtinId="9" hidden="1"/>
    <cellStyle name="Lien hypertexte visité" xfId="2845" builtinId="9" hidden="1"/>
    <cellStyle name="Lien hypertexte visité" xfId="2877" builtinId="9" hidden="1"/>
    <cellStyle name="Lien hypertexte visité" xfId="2909" builtinId="9" hidden="1"/>
    <cellStyle name="Lien hypertexte visité" xfId="2941" builtinId="9" hidden="1"/>
    <cellStyle name="Lien hypertexte visité" xfId="2973" builtinId="9" hidden="1"/>
    <cellStyle name="Lien hypertexte visité" xfId="3005" builtinId="9" hidden="1"/>
    <cellStyle name="Lien hypertexte visité" xfId="3037" builtinId="9" hidden="1"/>
    <cellStyle name="Lien hypertexte visité" xfId="3085" builtinId="9" hidden="1"/>
    <cellStyle name="Lien hypertexte visité" xfId="3117" builtinId="9" hidden="1"/>
    <cellStyle name="Lien hypertexte visité" xfId="3149" builtinId="9" hidden="1"/>
    <cellStyle name="Lien hypertexte visité" xfId="3181" builtinId="9" hidden="1"/>
    <cellStyle name="Lien hypertexte visité" xfId="3213" builtinId="9" hidden="1"/>
    <cellStyle name="Lien hypertexte visité" xfId="3245" builtinId="9" hidden="1"/>
    <cellStyle name="Lien hypertexte visité" xfId="3277" builtinId="9" hidden="1"/>
    <cellStyle name="Lien hypertexte visité" xfId="3309" builtinId="9" hidden="1"/>
    <cellStyle name="Lien hypertexte visité" xfId="3357" builtinId="9" hidden="1"/>
    <cellStyle name="Lien hypertexte visité" xfId="3389" builtinId="9" hidden="1"/>
    <cellStyle name="Lien hypertexte visité" xfId="3421" builtinId="9" hidden="1"/>
    <cellStyle name="Lien hypertexte visité" xfId="3453" builtinId="9" hidden="1"/>
    <cellStyle name="Lien hypertexte visité" xfId="3485" builtinId="9" hidden="1"/>
    <cellStyle name="Lien hypertexte visité" xfId="3517" builtinId="9" hidden="1"/>
    <cellStyle name="Lien hypertexte visité" xfId="3549" builtinId="9" hidden="1"/>
    <cellStyle name="Lien hypertexte visité" xfId="3598" builtinId="9" hidden="1"/>
    <cellStyle name="Lien hypertexte visité" xfId="3630" builtinId="9" hidden="1"/>
    <cellStyle name="Lien hypertexte visité" xfId="3667" builtinId="9" hidden="1"/>
    <cellStyle name="Lien hypertexte visité" xfId="3702" builtinId="9" hidden="1"/>
    <cellStyle name="Lien hypertexte visité" xfId="3734" builtinId="9" hidden="1"/>
    <cellStyle name="Lien hypertexte visité" xfId="3766" builtinId="9" hidden="1"/>
    <cellStyle name="Lien hypertexte visité" xfId="3798" builtinId="9" hidden="1"/>
    <cellStyle name="Lien hypertexte visité" xfId="3830" builtinId="9" hidden="1"/>
    <cellStyle name="Lien hypertexte visité" xfId="3878" builtinId="9" hidden="1"/>
    <cellStyle name="Lien hypertexte visité" xfId="3911" builtinId="9" hidden="1"/>
    <cellStyle name="Lien hypertexte visité" xfId="3939" builtinId="9" hidden="1"/>
    <cellStyle name="Lien hypertexte visité" xfId="3971" builtinId="9" hidden="1"/>
    <cellStyle name="Lien hypertexte visité" xfId="4003" builtinId="9" hidden="1"/>
    <cellStyle name="Lien hypertexte visité" xfId="4035" builtinId="9" hidden="1"/>
    <cellStyle name="Lien hypertexte visité" xfId="4067" builtinId="9" hidden="1"/>
    <cellStyle name="Lien hypertexte visité" xfId="4115" builtinId="9" hidden="1"/>
    <cellStyle name="Lien hypertexte visité" xfId="4147" builtinId="9" hidden="1"/>
    <cellStyle name="Lien hypertexte visité" xfId="4179" builtinId="9" hidden="1"/>
    <cellStyle name="Lien hypertexte visité" xfId="4211" builtinId="9" hidden="1"/>
    <cellStyle name="Lien hypertexte visité" xfId="4243" builtinId="9" hidden="1"/>
    <cellStyle name="Lien hypertexte visité" xfId="4275" builtinId="9" hidden="1"/>
    <cellStyle name="Lien hypertexte visité" xfId="4307" builtinId="9" hidden="1"/>
    <cellStyle name="Lien hypertexte visité" xfId="4339" builtinId="9" hidden="1"/>
    <cellStyle name="Lien hypertexte visité" xfId="4387" builtinId="9" hidden="1"/>
    <cellStyle name="Lien hypertexte visité" xfId="4419" builtinId="9" hidden="1"/>
    <cellStyle name="Lien hypertexte visité" xfId="4451" builtinId="9" hidden="1"/>
    <cellStyle name="Lien hypertexte visité" xfId="4483" builtinId="9" hidden="1"/>
    <cellStyle name="Lien hypertexte visité" xfId="4515" builtinId="9" hidden="1"/>
    <cellStyle name="Lien hypertexte visité" xfId="4547" builtinId="9" hidden="1"/>
    <cellStyle name="Lien hypertexte visité" xfId="4579" builtinId="9" hidden="1"/>
    <cellStyle name="Lien hypertexte visité" xfId="4627" builtinId="9" hidden="1"/>
    <cellStyle name="Lien hypertexte visité" xfId="4659" builtinId="9" hidden="1"/>
    <cellStyle name="Lien hypertexte visité" xfId="4691" builtinId="9" hidden="1"/>
    <cellStyle name="Lien hypertexte visité" xfId="4723" builtinId="9" hidden="1"/>
    <cellStyle name="Lien hypertexte visité" xfId="4755" builtinId="9" hidden="1"/>
    <cellStyle name="Lien hypertexte visité" xfId="4787" builtinId="9" hidden="1"/>
    <cellStyle name="Lien hypertexte visité" xfId="4819" builtinId="9" hidden="1"/>
    <cellStyle name="Lien hypertexte visité" xfId="4851" builtinId="9" hidden="1"/>
    <cellStyle name="Lien hypertexte visité" xfId="4899" builtinId="9" hidden="1"/>
    <cellStyle name="Lien hypertexte visité" xfId="4931" builtinId="9" hidden="1"/>
    <cellStyle name="Lien hypertexte visité" xfId="4963" builtinId="9" hidden="1"/>
    <cellStyle name="Lien hypertexte visité" xfId="4995" builtinId="9" hidden="1"/>
    <cellStyle name="Lien hypertexte visité" xfId="5027" builtinId="9" hidden="1"/>
    <cellStyle name="Lien hypertexte visité" xfId="5059" builtinId="9" hidden="1"/>
    <cellStyle name="Lien hypertexte visité" xfId="5091" builtinId="9" hidden="1"/>
    <cellStyle name="Lien hypertexte visité" xfId="5139" builtinId="9" hidden="1"/>
    <cellStyle name="Lien hypertexte visité" xfId="5171" builtinId="9" hidden="1"/>
    <cellStyle name="Lien hypertexte visité" xfId="4867" builtinId="9" hidden="1"/>
    <cellStyle name="Lien hypertexte visité" xfId="4355" builtinId="9" hidden="1"/>
    <cellStyle name="Lien hypertexte visité" xfId="3846" builtinId="9" hidden="1"/>
    <cellStyle name="Lien hypertexte visité" xfId="3325" builtinId="9" hidden="1"/>
    <cellStyle name="Lien hypertexte visité" xfId="2813" builtinId="9" hidden="1"/>
    <cellStyle name="Lien hypertexte visité" xfId="2301" builtinId="9" hidden="1"/>
    <cellStyle name="Lien hypertexte visité" xfId="1789" builtinId="9" hidden="1"/>
    <cellStyle name="Lien hypertexte visité" xfId="1276" builtinId="9" hidden="1"/>
    <cellStyle name="Lien hypertexte visité" xfId="365" builtinId="9" hidden="1"/>
    <cellStyle name="Lien hypertexte visité" xfId="629" builtinId="9" hidden="1"/>
    <cellStyle name="Lien hypertexte visité" xfId="1408" builtinId="9" hidden="1"/>
    <cellStyle name="Lien hypertexte visité" xfId="1921" builtinId="9" hidden="1"/>
    <cellStyle name="Lien hypertexte visité" xfId="2433" builtinId="9" hidden="1"/>
    <cellStyle name="Lien hypertexte visité" xfId="5943" builtinId="9" hidden="1"/>
    <cellStyle name="Lien hypertexte visité" xfId="5911" builtinId="9" hidden="1"/>
    <cellStyle name="Lien hypertexte visité" xfId="5879" builtinId="9" hidden="1"/>
    <cellStyle name="Lien hypertexte visité" xfId="5847" builtinId="9" hidden="1"/>
    <cellStyle name="Lien hypertexte visité" xfId="5815" builtinId="9" hidden="1"/>
    <cellStyle name="Lien hypertexte visité" xfId="5783" builtinId="9" hidden="1"/>
    <cellStyle name="Lien hypertexte visité" xfId="5735" builtinId="9" hidden="1"/>
    <cellStyle name="Lien hypertexte visité" xfId="5703" builtinId="9" hidden="1"/>
    <cellStyle name="Lien hypertexte visité" xfId="5671" builtinId="9" hidden="1"/>
    <cellStyle name="Lien hypertexte visité" xfId="5639" builtinId="9" hidden="1"/>
    <cellStyle name="Lien hypertexte visité" xfId="5607" builtinId="9" hidden="1"/>
    <cellStyle name="Lien hypertexte visité" xfId="5575" builtinId="9" hidden="1"/>
    <cellStyle name="Lien hypertexte visité" xfId="5543" builtinId="9" hidden="1"/>
    <cellStyle name="Lien hypertexte visité" xfId="5511" builtinId="9" hidden="1"/>
    <cellStyle name="Lien hypertexte visité" xfId="5479" builtinId="9" hidden="1"/>
    <cellStyle name="Lien hypertexte visité" xfId="5447" builtinId="9" hidden="1"/>
    <cellStyle name="Lien hypertexte visité" xfId="5415" builtinId="9" hidden="1"/>
    <cellStyle name="Lien hypertexte visité" xfId="5383" builtinId="9" hidden="1"/>
    <cellStyle name="Lien hypertexte visité" xfId="5351" builtinId="9" hidden="1"/>
    <cellStyle name="Lien hypertexte visité" xfId="5319" builtinId="9" hidden="1"/>
    <cellStyle name="Lien hypertexte visité" xfId="5287" builtinId="9" hidden="1"/>
    <cellStyle name="Lien hypertexte visité" xfId="5239" builtinId="9" hidden="1"/>
    <cellStyle name="Lien hypertexte visité" xfId="5207" builtinId="9" hidden="1"/>
    <cellStyle name="Lien hypertexte visité" xfId="5175" builtinId="9" hidden="1"/>
    <cellStyle name="Lien hypertexte visité" xfId="5143" builtinId="9" hidden="1"/>
    <cellStyle name="Lien hypertexte visité" xfId="5111" builtinId="9" hidden="1"/>
    <cellStyle name="Lien hypertexte visité" xfId="5079" builtinId="9" hidden="1"/>
    <cellStyle name="Lien hypertexte visité" xfId="5047" builtinId="9" hidden="1"/>
    <cellStyle name="Lien hypertexte visité" xfId="5015" builtinId="9" hidden="1"/>
    <cellStyle name="Lien hypertexte visité" xfId="4983" builtinId="9" hidden="1"/>
    <cellStyle name="Lien hypertexte visité" xfId="4951" builtinId="9" hidden="1"/>
    <cellStyle name="Lien hypertexte visité" xfId="4919" builtinId="9" hidden="1"/>
    <cellStyle name="Lien hypertexte visité" xfId="4887" builtinId="9" hidden="1"/>
    <cellStyle name="Lien hypertexte visité" xfId="4855" builtinId="9" hidden="1"/>
    <cellStyle name="Lien hypertexte visité" xfId="4823" builtinId="9" hidden="1"/>
    <cellStyle name="Lien hypertexte visité" xfId="4791" builtinId="9" hidden="1"/>
    <cellStyle name="Lien hypertexte visité" xfId="4759" builtinId="9" hidden="1"/>
    <cellStyle name="Lien hypertexte visité" xfId="4711" builtinId="9" hidden="1"/>
    <cellStyle name="Lien hypertexte visité" xfId="4679" builtinId="9" hidden="1"/>
    <cellStyle name="Lien hypertexte visité" xfId="4647" builtinId="9" hidden="1"/>
    <cellStyle name="Lien hypertexte visité" xfId="4615" builtinId="9" hidden="1"/>
    <cellStyle name="Lien hypertexte visité" xfId="4583" builtinId="9" hidden="1"/>
    <cellStyle name="Lien hypertexte visité" xfId="4551" builtinId="9" hidden="1"/>
    <cellStyle name="Lien hypertexte visité" xfId="4519" builtinId="9" hidden="1"/>
    <cellStyle name="Lien hypertexte visité" xfId="4487" builtinId="9" hidden="1"/>
    <cellStyle name="Lien hypertexte visité" xfId="4455" builtinId="9" hidden="1"/>
    <cellStyle name="Lien hypertexte visité" xfId="4423" builtinId="9" hidden="1"/>
    <cellStyle name="Lien hypertexte visité" xfId="4391" builtinId="9" hidden="1"/>
    <cellStyle name="Lien hypertexte visité" xfId="4359" builtinId="9" hidden="1"/>
    <cellStyle name="Lien hypertexte visité" xfId="4327" builtinId="9" hidden="1"/>
    <cellStyle name="Lien hypertexte visité" xfId="4295" builtinId="9" hidden="1"/>
    <cellStyle name="Lien hypertexte visité" xfId="4263" builtinId="9" hidden="1"/>
    <cellStyle name="Lien hypertexte visité" xfId="4215" builtinId="9" hidden="1"/>
    <cellStyle name="Lien hypertexte visité" xfId="4183" builtinId="9" hidden="1"/>
    <cellStyle name="Lien hypertexte visité" xfId="4151" builtinId="9" hidden="1"/>
    <cellStyle name="Lien hypertexte visité" xfId="4119" builtinId="9" hidden="1"/>
    <cellStyle name="Lien hypertexte visité" xfId="4087" builtinId="9" hidden="1"/>
    <cellStyle name="Lien hypertexte visité" xfId="4055" builtinId="9" hidden="1"/>
    <cellStyle name="Lien hypertexte visité" xfId="4023" builtinId="9" hidden="1"/>
    <cellStyle name="Lien hypertexte visité" xfId="3991" builtinId="9" hidden="1"/>
    <cellStyle name="Lien hypertexte visité" xfId="3959" builtinId="9" hidden="1"/>
    <cellStyle name="Lien hypertexte visité" xfId="3927" builtinId="9" hidden="1"/>
    <cellStyle name="Lien hypertexte visité" xfId="3899" builtinId="9" hidden="1"/>
    <cellStyle name="Lien hypertexte visité" xfId="3866" builtinId="9" hidden="1"/>
    <cellStyle name="Lien hypertexte visité" xfId="3834" builtinId="9" hidden="1"/>
    <cellStyle name="Lien hypertexte visité" xfId="3802" builtinId="9" hidden="1"/>
    <cellStyle name="Lien hypertexte visité" xfId="3770" builtinId="9" hidden="1"/>
    <cellStyle name="Lien hypertexte visité" xfId="3738" builtinId="9" hidden="1"/>
    <cellStyle name="Lien hypertexte visité" xfId="3689" builtinId="9" hidden="1"/>
    <cellStyle name="Lien hypertexte visité" xfId="3650" builtinId="9" hidden="1"/>
    <cellStyle name="Lien hypertexte visité" xfId="3618" builtinId="9" hidden="1"/>
    <cellStyle name="Lien hypertexte visité" xfId="3586" builtinId="9" hidden="1"/>
    <cellStyle name="Lien hypertexte visité" xfId="3553" builtinId="9" hidden="1"/>
    <cellStyle name="Lien hypertexte visité" xfId="3521" builtinId="9" hidden="1"/>
    <cellStyle name="Lien hypertexte visité" xfId="3489" builtinId="9" hidden="1"/>
    <cellStyle name="Lien hypertexte visité" xfId="3457" builtinId="9" hidden="1"/>
    <cellStyle name="Lien hypertexte visité" xfId="3425" builtinId="9" hidden="1"/>
    <cellStyle name="Lien hypertexte visité" xfId="3393" builtinId="9" hidden="1"/>
    <cellStyle name="Lien hypertexte visité" xfId="3361" builtinId="9" hidden="1"/>
    <cellStyle name="Lien hypertexte visité" xfId="3329" builtinId="9" hidden="1"/>
    <cellStyle name="Lien hypertexte visité" xfId="3297" builtinId="9" hidden="1"/>
    <cellStyle name="Lien hypertexte visité" xfId="3265" builtinId="9" hidden="1"/>
    <cellStyle name="Lien hypertexte visité" xfId="3233" builtinId="9" hidden="1"/>
    <cellStyle name="Lien hypertexte visité" xfId="3185" builtinId="9" hidden="1"/>
    <cellStyle name="Lien hypertexte visité" xfId="3153" builtinId="9" hidden="1"/>
    <cellStyle name="Lien hypertexte visité" xfId="3121" builtinId="9" hidden="1"/>
    <cellStyle name="Lien hypertexte visité" xfId="3089" builtinId="9" hidden="1"/>
    <cellStyle name="Lien hypertexte visité" xfId="3057" builtinId="9" hidden="1"/>
    <cellStyle name="Lien hypertexte visité" xfId="3025" builtinId="9" hidden="1"/>
    <cellStyle name="Lien hypertexte visité" xfId="2993" builtinId="9" hidden="1"/>
    <cellStyle name="Lien hypertexte visité" xfId="2961" builtinId="9" hidden="1"/>
    <cellStyle name="Lien hypertexte visité" xfId="2929" builtinId="9" hidden="1"/>
    <cellStyle name="Lien hypertexte visité" xfId="2897" builtinId="9" hidden="1"/>
    <cellStyle name="Lien hypertexte visité" xfId="2865" builtinId="9" hidden="1"/>
    <cellStyle name="Lien hypertexte visité" xfId="3201" builtinId="9" hidden="1"/>
    <cellStyle name="Lien hypertexte visité" xfId="4231" builtinId="9" hidden="1"/>
    <cellStyle name="Lien hypertexte visité" xfId="5255" builtinId="9" hidden="1"/>
    <cellStyle name="Lien hypertexte visité" xfId="7415" builtinId="9" hidden="1"/>
    <cellStyle name="Lien hypertexte visité" xfId="7383" builtinId="9" hidden="1"/>
    <cellStyle name="Lien hypertexte visité" xfId="7351" builtinId="9" hidden="1"/>
    <cellStyle name="Lien hypertexte visité" xfId="7319" builtinId="9" hidden="1"/>
    <cellStyle name="Lien hypertexte visité" xfId="7287" builtinId="9" hidden="1"/>
    <cellStyle name="Lien hypertexte visité" xfId="7255" builtinId="9" hidden="1"/>
    <cellStyle name="Lien hypertexte visité" xfId="7223" builtinId="9" hidden="1"/>
    <cellStyle name="Lien hypertexte visité" xfId="7191" builtinId="9" hidden="1"/>
    <cellStyle name="Lien hypertexte visité" xfId="7159" builtinId="9" hidden="1"/>
    <cellStyle name="Lien hypertexte visité" xfId="7127" builtinId="9" hidden="1"/>
    <cellStyle name="Lien hypertexte visité" xfId="7095" builtinId="9" hidden="1"/>
    <cellStyle name="Lien hypertexte visité" xfId="7063" builtinId="9" hidden="1"/>
    <cellStyle name="Lien hypertexte visité" xfId="7031" builtinId="9" hidden="1"/>
    <cellStyle name="Lien hypertexte visité" xfId="6999" builtinId="9" hidden="1"/>
    <cellStyle name="Lien hypertexte visité" xfId="6967" builtinId="9" hidden="1"/>
    <cellStyle name="Lien hypertexte visité" xfId="6935" builtinId="9" hidden="1"/>
    <cellStyle name="Lien hypertexte visité" xfId="6903" builtinId="9" hidden="1"/>
    <cellStyle name="Lien hypertexte visité" xfId="6871" builtinId="9" hidden="1"/>
    <cellStyle name="Lien hypertexte visité" xfId="6839" builtinId="9" hidden="1"/>
    <cellStyle name="Lien hypertexte visité" xfId="6807" builtinId="9" hidden="1"/>
    <cellStyle name="Lien hypertexte visité" xfId="6759" builtinId="9" hidden="1"/>
    <cellStyle name="Lien hypertexte visité" xfId="6727" builtinId="9" hidden="1"/>
    <cellStyle name="Lien hypertexte visité" xfId="6695" builtinId="9" hidden="1"/>
    <cellStyle name="Lien hypertexte visité" xfId="6663" builtinId="9" hidden="1"/>
    <cellStyle name="Lien hypertexte visité" xfId="6631" builtinId="9" hidden="1"/>
    <cellStyle name="Lien hypertexte visité" xfId="6599" builtinId="9" hidden="1"/>
    <cellStyle name="Lien hypertexte visité" xfId="6567" builtinId="9" hidden="1"/>
    <cellStyle name="Lien hypertexte visité" xfId="6535" builtinId="9" hidden="1"/>
    <cellStyle name="Lien hypertexte visité" xfId="6503" builtinId="9" hidden="1"/>
    <cellStyle name="Lien hypertexte visité" xfId="6471" builtinId="9" hidden="1"/>
    <cellStyle name="Lien hypertexte visité" xfId="6439" builtinId="9" hidden="1"/>
    <cellStyle name="Lien hypertexte visité" xfId="6407" builtinId="9" hidden="1"/>
    <cellStyle name="Lien hypertexte visité" xfId="6375" builtinId="9" hidden="1"/>
    <cellStyle name="Lien hypertexte visité" xfId="6343" builtinId="9" hidden="1"/>
    <cellStyle name="Lien hypertexte visité" xfId="6311" builtinId="9" hidden="1"/>
    <cellStyle name="Lien hypertexte visité" xfId="6279" builtinId="9" hidden="1"/>
    <cellStyle name="Lien hypertexte visité" xfId="6247" builtinId="9" hidden="1"/>
    <cellStyle name="Lien hypertexte visité" xfId="6215" builtinId="9" hidden="1"/>
    <cellStyle name="Lien hypertexte visité" xfId="6183" builtinId="9" hidden="1"/>
    <cellStyle name="Lien hypertexte visité" xfId="6151" builtinId="9" hidden="1"/>
    <cellStyle name="Lien hypertexte visité" xfId="6119" builtinId="9" hidden="1"/>
    <cellStyle name="Lien hypertexte visité" xfId="6087" builtinId="9" hidden="1"/>
    <cellStyle name="Lien hypertexte visité" xfId="6055" builtinId="9" hidden="1"/>
    <cellStyle name="Lien hypertexte visité" xfId="6023" builtinId="9" hidden="1"/>
    <cellStyle name="Lien hypertexte visité" xfId="5991" builtinId="9" hidden="1"/>
    <cellStyle name="Lien hypertexte visité" xfId="5959" builtinId="9" hidden="1"/>
    <cellStyle name="Lien hypertexte visité" xfId="8136" builtinId="9" hidden="1"/>
    <cellStyle name="Lien hypertexte visité" xfId="8104" builtinId="9" hidden="1"/>
    <cellStyle name="Lien hypertexte visité" xfId="8072" builtinId="9" hidden="1"/>
    <cellStyle name="Lien hypertexte visité" xfId="8040" builtinId="9" hidden="1"/>
    <cellStyle name="Lien hypertexte visité" xfId="8008" builtinId="9" hidden="1"/>
    <cellStyle name="Lien hypertexte visité" xfId="7976" builtinId="9" hidden="1"/>
    <cellStyle name="Lien hypertexte visité" xfId="7944" builtinId="9" hidden="1"/>
    <cellStyle name="Lien hypertexte visité" xfId="7912" builtinId="9" hidden="1"/>
    <cellStyle name="Lien hypertexte visité" xfId="7880" builtinId="9" hidden="1"/>
    <cellStyle name="Lien hypertexte visité" xfId="7848" builtinId="9" hidden="1"/>
    <cellStyle name="Lien hypertexte visité" xfId="7816" builtinId="9" hidden="1"/>
    <cellStyle name="Lien hypertexte visité" xfId="7783" builtinId="9" hidden="1"/>
    <cellStyle name="Lien hypertexte visité" xfId="7751" builtinId="9" hidden="1"/>
    <cellStyle name="Lien hypertexte visité" xfId="7719" builtinId="9" hidden="1"/>
    <cellStyle name="Lien hypertexte visité" xfId="7687" builtinId="9" hidden="1"/>
    <cellStyle name="Lien hypertexte visité" xfId="7655" builtinId="9" hidden="1"/>
    <cellStyle name="Lien hypertexte visité" xfId="7623" builtinId="9" hidden="1"/>
    <cellStyle name="Lien hypertexte visité" xfId="7591" builtinId="9" hidden="1"/>
    <cellStyle name="Lien hypertexte visité" xfId="7559" builtinId="9" hidden="1"/>
    <cellStyle name="Lien hypertexte visité" xfId="7527" builtinId="9" hidden="1"/>
    <cellStyle name="Lien hypertexte visité" xfId="7495" builtinId="9" hidden="1"/>
    <cellStyle name="Lien hypertexte visité" xfId="7463" builtinId="9" hidden="1"/>
    <cellStyle name="Lien hypertexte visité" xfId="7431" builtinId="9" hidden="1"/>
    <cellStyle name="Lien hypertexte visité" xfId="8472" builtinId="9" hidden="1"/>
    <cellStyle name="Lien hypertexte visité" xfId="8440" builtinId="9" hidden="1"/>
    <cellStyle name="Lien hypertexte visité" xfId="8408" builtinId="9" hidden="1"/>
    <cellStyle name="Lien hypertexte visité" xfId="8376" builtinId="9" hidden="1"/>
    <cellStyle name="Lien hypertexte visité" xfId="8344" builtinId="9" hidden="1"/>
    <cellStyle name="Lien hypertexte visité" xfId="8312" builtinId="9" hidden="1"/>
    <cellStyle name="Lien hypertexte visité" xfId="8280" builtinId="9" hidden="1"/>
    <cellStyle name="Lien hypertexte visité" xfId="8248" builtinId="9" hidden="1"/>
    <cellStyle name="Lien hypertexte visité" xfId="8216" builtinId="9" hidden="1"/>
    <cellStyle name="Lien hypertexte visité" xfId="8184" builtinId="9" hidden="1"/>
    <cellStyle name="Lien hypertexte visité" xfId="8152" builtinId="9" hidden="1"/>
    <cellStyle name="Lien hypertexte visité" xfId="8648" builtinId="9" hidden="1"/>
    <cellStyle name="Lien hypertexte visité" xfId="8616" builtinId="9" hidden="1"/>
    <cellStyle name="Lien hypertexte visité" xfId="8584" builtinId="9" hidden="1"/>
    <cellStyle name="Lien hypertexte visité" xfId="8552" builtinId="9" hidden="1"/>
    <cellStyle name="Lien hypertexte visité" xfId="8520" builtinId="9" hidden="1"/>
    <cellStyle name="Lien hypertexte visité" xfId="8760" builtinId="9" hidden="1"/>
    <cellStyle name="Lien hypertexte visité" xfId="8728" builtinId="9" hidden="1"/>
    <cellStyle name="Lien hypertexte visité" xfId="8696" builtinId="9" hidden="1"/>
    <cellStyle name="Lien hypertexte visité" xfId="8808" builtinId="9" hidden="1"/>
    <cellStyle name="Lien hypertexte visité" xfId="8776" builtinId="9" hidden="1"/>
    <cellStyle name="Lien hypertexte visité" xfId="8840" builtinId="9" hidden="1"/>
    <cellStyle name="Lien hypertexte visité" xfId="8824" builtinId="9" hidden="1"/>
    <cellStyle name="Lien hypertexte visité" xfId="8792" builtinId="9" hidden="1"/>
    <cellStyle name="Lien hypertexte visité" xfId="8680" builtinId="9" hidden="1"/>
    <cellStyle name="Lien hypertexte visité" xfId="8712" builtinId="9" hidden="1"/>
    <cellStyle name="Lien hypertexte visité" xfId="8744" builtinId="9" hidden="1"/>
    <cellStyle name="Lien hypertexte visité" xfId="8504" builtinId="9" hidden="1"/>
    <cellStyle name="Lien hypertexte visité" xfId="8536" builtinId="9" hidden="1"/>
    <cellStyle name="Lien hypertexte visité" xfId="8568" builtinId="9" hidden="1"/>
    <cellStyle name="Lien hypertexte visité" xfId="8600" builtinId="9" hidden="1"/>
    <cellStyle name="Lien hypertexte visité" xfId="8632" builtinId="9" hidden="1"/>
    <cellStyle name="Lien hypertexte visité" xfId="8664" builtinId="9" hidden="1"/>
    <cellStyle name="Lien hypertexte visité" xfId="8168" builtinId="9" hidden="1"/>
    <cellStyle name="Lien hypertexte visité" xfId="8200" builtinId="9" hidden="1"/>
    <cellStyle name="Lien hypertexte visité" xfId="8232" builtinId="9" hidden="1"/>
    <cellStyle name="Lien hypertexte visité" xfId="8264" builtinId="9" hidden="1"/>
    <cellStyle name="Lien hypertexte visité" xfId="8296" builtinId="9" hidden="1"/>
    <cellStyle name="Lien hypertexte visité" xfId="8328" builtinId="9" hidden="1"/>
    <cellStyle name="Lien hypertexte visité" xfId="8360" builtinId="9" hidden="1"/>
    <cellStyle name="Lien hypertexte visité" xfId="8392" builtinId="9" hidden="1"/>
    <cellStyle name="Lien hypertexte visité" xfId="8424" builtinId="9" hidden="1"/>
    <cellStyle name="Lien hypertexte visité" xfId="8456" builtinId="9" hidden="1"/>
    <cellStyle name="Lien hypertexte visité" xfId="8488" builtinId="9" hidden="1"/>
    <cellStyle name="Lien hypertexte visité" xfId="7447" builtinId="9" hidden="1"/>
    <cellStyle name="Lien hypertexte visité" xfId="7479" builtinId="9" hidden="1"/>
    <cellStyle name="Lien hypertexte visité" xfId="7511" builtinId="9" hidden="1"/>
    <cellStyle name="Lien hypertexte visité" xfId="7543" builtinId="9" hidden="1"/>
    <cellStyle name="Lien hypertexte visité" xfId="7575" builtinId="9" hidden="1"/>
    <cellStyle name="Lien hypertexte visité" xfId="7607" builtinId="9" hidden="1"/>
    <cellStyle name="Lien hypertexte visité" xfId="7639" builtinId="9" hidden="1"/>
    <cellStyle name="Lien hypertexte visité" xfId="7671" builtinId="9" hidden="1"/>
    <cellStyle name="Lien hypertexte visité" xfId="7703" builtinId="9" hidden="1"/>
    <cellStyle name="Lien hypertexte visité" xfId="7735" builtinId="9" hidden="1"/>
    <cellStyle name="Lien hypertexte visité" xfId="7767" builtinId="9" hidden="1"/>
    <cellStyle name="Lien hypertexte visité" xfId="7799" builtinId="9" hidden="1"/>
    <cellStyle name="Lien hypertexte visité" xfId="7832" builtinId="9" hidden="1"/>
    <cellStyle name="Lien hypertexte visité" xfId="7864" builtinId="9" hidden="1"/>
    <cellStyle name="Lien hypertexte visité" xfId="7896" builtinId="9" hidden="1"/>
    <cellStyle name="Lien hypertexte visité" xfId="7928" builtinId="9" hidden="1"/>
    <cellStyle name="Lien hypertexte visité" xfId="7960" builtinId="9" hidden="1"/>
    <cellStyle name="Lien hypertexte visité" xfId="7992" builtinId="9" hidden="1"/>
    <cellStyle name="Lien hypertexte visité" xfId="8024" builtinId="9" hidden="1"/>
    <cellStyle name="Lien hypertexte visité" xfId="8056" builtinId="9" hidden="1"/>
    <cellStyle name="Lien hypertexte visité" xfId="8088" builtinId="9" hidden="1"/>
    <cellStyle name="Lien hypertexte visité" xfId="8120" builtinId="9" hidden="1"/>
    <cellStyle name="Lien hypertexte visité" xfId="6791" builtinId="9" hidden="1"/>
    <cellStyle name="Lien hypertexte visité" xfId="5975" builtinId="9" hidden="1"/>
    <cellStyle name="Lien hypertexte visité" xfId="6007" builtinId="9" hidden="1"/>
    <cellStyle name="Lien hypertexte visité" xfId="6039" builtinId="9" hidden="1"/>
    <cellStyle name="Lien hypertexte visité" xfId="6071" builtinId="9" hidden="1"/>
    <cellStyle name="Lien hypertexte visité" xfId="6103" builtinId="9" hidden="1"/>
    <cellStyle name="Lien hypertexte visité" xfId="6135" builtinId="9" hidden="1"/>
    <cellStyle name="Lien hypertexte visité" xfId="6167" builtinId="9" hidden="1"/>
    <cellStyle name="Lien hypertexte visité" xfId="6199" builtinId="9" hidden="1"/>
    <cellStyle name="Lien hypertexte visité" xfId="6231" builtinId="9" hidden="1"/>
    <cellStyle name="Lien hypertexte visité" xfId="6263" builtinId="9" hidden="1"/>
    <cellStyle name="Lien hypertexte visité" xfId="6295" builtinId="9" hidden="1"/>
    <cellStyle name="Lien hypertexte visité" xfId="6327" builtinId="9" hidden="1"/>
    <cellStyle name="Lien hypertexte visité" xfId="6359" builtinId="9" hidden="1"/>
    <cellStyle name="Lien hypertexte visité" xfId="6391" builtinId="9" hidden="1"/>
    <cellStyle name="Lien hypertexte visité" xfId="6423" builtinId="9" hidden="1"/>
    <cellStyle name="Lien hypertexte visité" xfId="6455" builtinId="9" hidden="1"/>
    <cellStyle name="Lien hypertexte visité" xfId="6487" builtinId="9" hidden="1"/>
    <cellStyle name="Lien hypertexte visité" xfId="6519" builtinId="9" hidden="1"/>
    <cellStyle name="Lien hypertexte visité" xfId="6551" builtinId="9" hidden="1"/>
    <cellStyle name="Lien hypertexte visité" xfId="6583" builtinId="9" hidden="1"/>
    <cellStyle name="Lien hypertexte visité" xfId="6615" builtinId="9" hidden="1"/>
    <cellStyle name="Lien hypertexte visité" xfId="6647" builtinId="9" hidden="1"/>
    <cellStyle name="Lien hypertexte visité" xfId="6679" builtinId="9" hidden="1"/>
    <cellStyle name="Lien hypertexte visité" xfId="6711" builtinId="9" hidden="1"/>
    <cellStyle name="Lien hypertexte visité" xfId="6743" builtinId="9" hidden="1"/>
    <cellStyle name="Lien hypertexte visité" xfId="6775" builtinId="9" hidden="1"/>
    <cellStyle name="Lien hypertexte visité" xfId="6823" builtinId="9" hidden="1"/>
    <cellStyle name="Lien hypertexte visité" xfId="6855" builtinId="9" hidden="1"/>
    <cellStyle name="Lien hypertexte visité" xfId="6887" builtinId="9" hidden="1"/>
    <cellStyle name="Lien hypertexte visité" xfId="6919" builtinId="9" hidden="1"/>
    <cellStyle name="Lien hypertexte visité" xfId="6951" builtinId="9" hidden="1"/>
    <cellStyle name="Lien hypertexte visité" xfId="6983" builtinId="9" hidden="1"/>
    <cellStyle name="Lien hypertexte visité" xfId="7015" builtinId="9" hidden="1"/>
    <cellStyle name="Lien hypertexte visité" xfId="7047" builtinId="9" hidden="1"/>
    <cellStyle name="Lien hypertexte visité" xfId="7079" builtinId="9" hidden="1"/>
    <cellStyle name="Lien hypertexte visité" xfId="7111" builtinId="9" hidden="1"/>
    <cellStyle name="Lien hypertexte visité" xfId="7143" builtinId="9" hidden="1"/>
    <cellStyle name="Lien hypertexte visité" xfId="7175" builtinId="9" hidden="1"/>
    <cellStyle name="Lien hypertexte visité" xfId="7207" builtinId="9" hidden="1"/>
    <cellStyle name="Lien hypertexte visité" xfId="7239" builtinId="9" hidden="1"/>
    <cellStyle name="Lien hypertexte visité" xfId="7271" builtinId="9" hidden="1"/>
    <cellStyle name="Lien hypertexte visité" xfId="7303" builtinId="9" hidden="1"/>
    <cellStyle name="Lien hypertexte visité" xfId="7335" builtinId="9" hidden="1"/>
    <cellStyle name="Lien hypertexte visité" xfId="7367" builtinId="9" hidden="1"/>
    <cellStyle name="Lien hypertexte visité" xfId="7399" builtinId="9" hidden="1"/>
    <cellStyle name="Lien hypertexte visité" xfId="5767" builtinId="9" hidden="1"/>
    <cellStyle name="Lien hypertexte visité" xfId="4743" builtinId="9" hidden="1"/>
    <cellStyle name="Lien hypertexte visité" xfId="3722" builtinId="9" hidden="1"/>
    <cellStyle name="Lien hypertexte visité" xfId="2849" builtinId="9" hidden="1"/>
    <cellStyle name="Lien hypertexte visité" xfId="2881" builtinId="9" hidden="1"/>
    <cellStyle name="Lien hypertexte visité" xfId="2913" builtinId="9" hidden="1"/>
    <cellStyle name="Lien hypertexte visité" xfId="2945" builtinId="9" hidden="1"/>
    <cellStyle name="Lien hypertexte visité" xfId="2977" builtinId="9" hidden="1"/>
    <cellStyle name="Lien hypertexte visité" xfId="3009" builtinId="9" hidden="1"/>
    <cellStyle name="Lien hypertexte visité" xfId="3041" builtinId="9" hidden="1"/>
    <cellStyle name="Lien hypertexte visité" xfId="3073" builtinId="9" hidden="1"/>
    <cellStyle name="Lien hypertexte visité" xfId="3105" builtinId="9" hidden="1"/>
    <cellStyle name="Lien hypertexte visité" xfId="3137" builtinId="9" hidden="1"/>
    <cellStyle name="Lien hypertexte visité" xfId="3169" builtinId="9" hidden="1"/>
    <cellStyle name="Lien hypertexte visité" xfId="3217" builtinId="9" hidden="1"/>
    <cellStyle name="Lien hypertexte visité" xfId="3249" builtinId="9" hidden="1"/>
    <cellStyle name="Lien hypertexte visité" xfId="3281" builtinId="9" hidden="1"/>
    <cellStyle name="Lien hypertexte visité" xfId="3313" builtinId="9" hidden="1"/>
    <cellStyle name="Lien hypertexte visité" xfId="3345" builtinId="9" hidden="1"/>
    <cellStyle name="Lien hypertexte visité" xfId="3377" builtinId="9" hidden="1"/>
    <cellStyle name="Lien hypertexte visité" xfId="3409" builtinId="9" hidden="1"/>
    <cellStyle name="Lien hypertexte visité" xfId="3441" builtinId="9" hidden="1"/>
    <cellStyle name="Lien hypertexte visité" xfId="3473" builtinId="9" hidden="1"/>
    <cellStyle name="Lien hypertexte visité" xfId="3505" builtinId="9" hidden="1"/>
    <cellStyle name="Lien hypertexte visité" xfId="3537" builtinId="9" hidden="1"/>
    <cellStyle name="Lien hypertexte visité" xfId="3570" builtinId="9" hidden="1"/>
    <cellStyle name="Lien hypertexte visité" xfId="3602" builtinId="9" hidden="1"/>
    <cellStyle name="Lien hypertexte visité" xfId="3634" builtinId="9" hidden="1"/>
    <cellStyle name="Lien hypertexte visité" xfId="3671" builtinId="9" hidden="1"/>
    <cellStyle name="Lien hypertexte visité" xfId="3706" builtinId="9" hidden="1"/>
    <cellStyle name="Lien hypertexte visité" xfId="3754" builtinId="9" hidden="1"/>
    <cellStyle name="Lien hypertexte visité" xfId="3786" builtinId="9" hidden="1"/>
    <cellStyle name="Lien hypertexte visité" xfId="3818" builtinId="9" hidden="1"/>
    <cellStyle name="Lien hypertexte visité" xfId="3850" builtinId="9" hidden="1"/>
    <cellStyle name="Lien hypertexte visité" xfId="3882" builtinId="9" hidden="1"/>
    <cellStyle name="Lien hypertexte visité" xfId="3915" builtinId="9" hidden="1"/>
    <cellStyle name="Lien hypertexte visité" xfId="3943" builtinId="9" hidden="1"/>
    <cellStyle name="Lien hypertexte visité" xfId="3975" builtinId="9" hidden="1"/>
    <cellStyle name="Lien hypertexte visité" xfId="4007" builtinId="9" hidden="1"/>
    <cellStyle name="Lien hypertexte visité" xfId="4039" builtinId="9" hidden="1"/>
    <cellStyle name="Lien hypertexte visité" xfId="4071" builtinId="9" hidden="1"/>
    <cellStyle name="Lien hypertexte visité" xfId="4103" builtinId="9" hidden="1"/>
    <cellStyle name="Lien hypertexte visité" xfId="4135" builtinId="9" hidden="1"/>
    <cellStyle name="Lien hypertexte visité" xfId="4167" builtinId="9" hidden="1"/>
    <cellStyle name="Lien hypertexte visité" xfId="4199" builtinId="9" hidden="1"/>
    <cellStyle name="Lien hypertexte visité" xfId="4247" builtinId="9" hidden="1"/>
    <cellStyle name="Lien hypertexte visité" xfId="4279" builtinId="9" hidden="1"/>
    <cellStyle name="Lien hypertexte visité" xfId="4311" builtinId="9" hidden="1"/>
    <cellStyle name="Lien hypertexte visité" xfId="4343" builtinId="9" hidden="1"/>
    <cellStyle name="Lien hypertexte visité" xfId="4375" builtinId="9" hidden="1"/>
    <cellStyle name="Lien hypertexte visité" xfId="4407" builtinId="9" hidden="1"/>
    <cellStyle name="Lien hypertexte visité" xfId="4439" builtinId="9" hidden="1"/>
    <cellStyle name="Lien hypertexte visité" xfId="4471" builtinId="9" hidden="1"/>
    <cellStyle name="Lien hypertexte visité" xfId="4503" builtinId="9" hidden="1"/>
    <cellStyle name="Lien hypertexte visité" xfId="4535" builtinId="9" hidden="1"/>
    <cellStyle name="Lien hypertexte visité" xfId="4567" builtinId="9" hidden="1"/>
    <cellStyle name="Lien hypertexte visité" xfId="4599" builtinId="9" hidden="1"/>
    <cellStyle name="Lien hypertexte visité" xfId="4631" builtinId="9" hidden="1"/>
    <cellStyle name="Lien hypertexte visité" xfId="4663" builtinId="9" hidden="1"/>
    <cellStyle name="Lien hypertexte visité" xfId="4695" builtinId="9" hidden="1"/>
    <cellStyle name="Lien hypertexte visité" xfId="4727" builtinId="9" hidden="1"/>
    <cellStyle name="Lien hypertexte visité" xfId="4775" builtinId="9" hidden="1"/>
    <cellStyle name="Lien hypertexte visité" xfId="4807" builtinId="9" hidden="1"/>
    <cellStyle name="Lien hypertexte visité" xfId="4839" builtinId="9" hidden="1"/>
    <cellStyle name="Lien hypertexte visité" xfId="4871" builtinId="9" hidden="1"/>
    <cellStyle name="Lien hypertexte visité" xfId="4903" builtinId="9" hidden="1"/>
    <cellStyle name="Lien hypertexte visité" xfId="4935" builtinId="9" hidden="1"/>
    <cellStyle name="Lien hypertexte visité" xfId="4967" builtinId="9" hidden="1"/>
    <cellStyle name="Lien hypertexte visité" xfId="4999" builtinId="9" hidden="1"/>
    <cellStyle name="Lien hypertexte visité" xfId="5031" builtinId="9" hidden="1"/>
    <cellStyle name="Lien hypertexte visité" xfId="5063" builtinId="9" hidden="1"/>
    <cellStyle name="Lien hypertexte visité" xfId="5095" builtinId="9" hidden="1"/>
    <cellStyle name="Lien hypertexte visité" xfId="5127" builtinId="9" hidden="1"/>
    <cellStyle name="Lien hypertexte visité" xfId="5159" builtinId="9" hidden="1"/>
    <cellStyle name="Lien hypertexte visité" xfId="5191" builtinId="9" hidden="1"/>
    <cellStyle name="Lien hypertexte visité" xfId="5223" builtinId="9" hidden="1"/>
    <cellStyle name="Lien hypertexte visité" xfId="5271" builtinId="9" hidden="1"/>
    <cellStyle name="Lien hypertexte visité" xfId="5303" builtinId="9" hidden="1"/>
    <cellStyle name="Lien hypertexte visité" xfId="5335" builtinId="9" hidden="1"/>
    <cellStyle name="Lien hypertexte visité" xfId="5367" builtinId="9" hidden="1"/>
    <cellStyle name="Lien hypertexte visité" xfId="5399" builtinId="9" hidden="1"/>
    <cellStyle name="Lien hypertexte visité" xfId="5431" builtinId="9" hidden="1"/>
    <cellStyle name="Lien hypertexte visité" xfId="5463" builtinId="9" hidden="1"/>
    <cellStyle name="Lien hypertexte visité" xfId="5495" builtinId="9" hidden="1"/>
    <cellStyle name="Lien hypertexte visité" xfId="5527" builtinId="9" hidden="1"/>
    <cellStyle name="Lien hypertexte visité" xfId="5559" builtinId="9" hidden="1"/>
    <cellStyle name="Lien hypertexte visité" xfId="5591" builtinId="9" hidden="1"/>
    <cellStyle name="Lien hypertexte visité" xfId="5623" builtinId="9" hidden="1"/>
    <cellStyle name="Lien hypertexte visité" xfId="5655" builtinId="9" hidden="1"/>
    <cellStyle name="Lien hypertexte visité" xfId="5687" builtinId="9" hidden="1"/>
    <cellStyle name="Lien hypertexte visité" xfId="5719" builtinId="9" hidden="1"/>
    <cellStyle name="Lien hypertexte visité" xfId="5751" builtinId="9" hidden="1"/>
    <cellStyle name="Lien hypertexte visité" xfId="5799" builtinId="9" hidden="1"/>
    <cellStyle name="Lien hypertexte visité" xfId="5831" builtinId="9" hidden="1"/>
    <cellStyle name="Lien hypertexte visité" xfId="5863" builtinId="9" hidden="1"/>
    <cellStyle name="Lien hypertexte visité" xfId="5895" builtinId="9" hidden="1"/>
    <cellStyle name="Lien hypertexte visité" xfId="5927" builtinId="9" hidden="1"/>
    <cellStyle name="Lien hypertexte visité" xfId="2689" builtinId="9" hidden="1"/>
    <cellStyle name="Lien hypertexte visité" xfId="2177" builtinId="9" hidden="1"/>
    <cellStyle name="Lien hypertexte visité" xfId="1665" builtinId="9" hidden="1"/>
    <cellStyle name="Lien hypertexte visité" xfId="1141" builtinId="9" hidden="1"/>
    <cellStyle name="Lien hypertexte visité" xfId="241" builtinId="9" hidden="1"/>
    <cellStyle name="Lien hypertexte visité" xfId="877" builtinId="9" hidden="1"/>
    <cellStyle name="Lien hypertexte visité" xfId="1533" builtinId="9" hidden="1"/>
    <cellStyle name="Lien hypertexte visité" xfId="2045" builtinId="9" hidden="1"/>
    <cellStyle name="Lien hypertexte visité" xfId="2557" builtinId="9" hidden="1"/>
    <cellStyle name="Lien hypertexte visité" xfId="3069" builtinId="9" hidden="1"/>
    <cellStyle name="Lien hypertexte visité" xfId="3582" builtinId="9" hidden="1"/>
    <cellStyle name="Lien hypertexte visité" xfId="4099" builtinId="9" hidden="1"/>
    <cellStyle name="Lien hypertexte visité" xfId="4611" builtinId="9" hidden="1"/>
    <cellStyle name="Lien hypertexte visité" xfId="5123" builtinId="9" hidden="1"/>
    <cellStyle name="Lien hypertexte visité" xfId="5155" builtinId="9" hidden="1"/>
    <cellStyle name="Lien hypertexte visité" xfId="5107" builtinId="9" hidden="1"/>
    <cellStyle name="Lien hypertexte visité" xfId="5075" builtinId="9" hidden="1"/>
    <cellStyle name="Lien hypertexte visité" xfId="5043" builtinId="9" hidden="1"/>
    <cellStyle name="Lien hypertexte visité" xfId="5011" builtinId="9" hidden="1"/>
    <cellStyle name="Lien hypertexte visité" xfId="4979" builtinId="9" hidden="1"/>
    <cellStyle name="Lien hypertexte visité" xfId="4947" builtinId="9" hidden="1"/>
    <cellStyle name="Lien hypertexte visité" xfId="4915" builtinId="9" hidden="1"/>
    <cellStyle name="Lien hypertexte visité" xfId="4883" builtinId="9" hidden="1"/>
    <cellStyle name="Lien hypertexte visité" xfId="4835" builtinId="9" hidden="1"/>
    <cellStyle name="Lien hypertexte visité" xfId="4803" builtinId="9" hidden="1"/>
    <cellStyle name="Lien hypertexte visité" xfId="4771" builtinId="9" hidden="1"/>
    <cellStyle name="Lien hypertexte visité" xfId="4739" builtinId="9" hidden="1"/>
    <cellStyle name="Lien hypertexte visité" xfId="4707" builtinId="9" hidden="1"/>
    <cellStyle name="Lien hypertexte visité" xfId="4675" builtinId="9" hidden="1"/>
    <cellStyle name="Lien hypertexte visité" xfId="4643" builtinId="9" hidden="1"/>
    <cellStyle name="Lien hypertexte visité" xfId="4595" builtinId="9" hidden="1"/>
    <cellStyle name="Lien hypertexte visité" xfId="4563" builtinId="9" hidden="1"/>
    <cellStyle name="Lien hypertexte visité" xfId="4531" builtinId="9" hidden="1"/>
    <cellStyle name="Lien hypertexte visité" xfId="4499" builtinId="9" hidden="1"/>
    <cellStyle name="Lien hypertexte visité" xfId="4467" builtinId="9" hidden="1"/>
    <cellStyle name="Lien hypertexte visité" xfId="4435" builtinId="9" hidden="1"/>
    <cellStyle name="Lien hypertexte visité" xfId="4403" builtinId="9" hidden="1"/>
    <cellStyle name="Lien hypertexte visité" xfId="4371" builtinId="9" hidden="1"/>
    <cellStyle name="Lien hypertexte visité" xfId="4323" builtinId="9" hidden="1"/>
    <cellStyle name="Lien hypertexte visité" xfId="4291" builtinId="9" hidden="1"/>
    <cellStyle name="Lien hypertexte visité" xfId="4259" builtinId="9" hidden="1"/>
    <cellStyle name="Lien hypertexte visité" xfId="4227" builtinId="9" hidden="1"/>
    <cellStyle name="Lien hypertexte visité" xfId="4195" builtinId="9" hidden="1"/>
    <cellStyle name="Lien hypertexte visité" xfId="4163" builtinId="9" hidden="1"/>
    <cellStyle name="Lien hypertexte visité" xfId="4131" builtinId="9" hidden="1"/>
    <cellStyle name="Lien hypertexte visité" xfId="4083" builtinId="9" hidden="1"/>
    <cellStyle name="Lien hypertexte visité" xfId="4051" builtinId="9" hidden="1"/>
    <cellStyle name="Lien hypertexte visité" xfId="4019" builtinId="9" hidden="1"/>
    <cellStyle name="Lien hypertexte visité" xfId="3987" builtinId="9" hidden="1"/>
    <cellStyle name="Lien hypertexte visité" xfId="3955" builtinId="9" hidden="1"/>
    <cellStyle name="Lien hypertexte visité" xfId="1158" builtinId="9" hidden="1"/>
    <cellStyle name="Lien hypertexte visité" xfId="3895" builtinId="9" hidden="1"/>
    <cellStyle name="Lien hypertexte visité" xfId="3862" builtinId="9" hidden="1"/>
    <cellStyle name="Lien hypertexte visité" xfId="3814" builtinId="9" hidden="1"/>
    <cellStyle name="Lien hypertexte visité" xfId="3782" builtinId="9" hidden="1"/>
    <cellStyle name="Lien hypertexte visité" xfId="3750" builtinId="9" hidden="1"/>
    <cellStyle name="Lien hypertexte visité" xfId="3718" builtinId="9" hidden="1"/>
    <cellStyle name="Lien hypertexte visité" xfId="3685" builtinId="9" hidden="1"/>
    <cellStyle name="Lien hypertexte visité" xfId="3646" builtinId="9" hidden="1"/>
    <cellStyle name="Lien hypertexte visité" xfId="3614" builtinId="9" hidden="1"/>
    <cellStyle name="Lien hypertexte visité" xfId="3566" builtinId="9" hidden="1"/>
    <cellStyle name="Lien hypertexte visité" xfId="3533" builtinId="9" hidden="1"/>
    <cellStyle name="Lien hypertexte visité" xfId="3501" builtinId="9" hidden="1"/>
    <cellStyle name="Lien hypertexte visité" xfId="3469" builtinId="9" hidden="1"/>
    <cellStyle name="Lien hypertexte visité" xfId="3437" builtinId="9" hidden="1"/>
    <cellStyle name="Lien hypertexte visité" xfId="3405" builtinId="9" hidden="1"/>
    <cellStyle name="Lien hypertexte visité" xfId="3373" builtinId="9" hidden="1"/>
    <cellStyle name="Lien hypertexte visité" xfId="3341" builtinId="9" hidden="1"/>
    <cellStyle name="Lien hypertexte visité" xfId="3293" builtinId="9" hidden="1"/>
    <cellStyle name="Lien hypertexte visité" xfId="3261" builtinId="9" hidden="1"/>
    <cellStyle name="Lien hypertexte visité" xfId="3229" builtinId="9" hidden="1"/>
    <cellStyle name="Lien hypertexte visité" xfId="3197" builtinId="9" hidden="1"/>
    <cellStyle name="Lien hypertexte visité" xfId="3165" builtinId="9" hidden="1"/>
    <cellStyle name="Lien hypertexte visité" xfId="3133" builtinId="9" hidden="1"/>
    <cellStyle name="Lien hypertexte visité" xfId="3101" builtinId="9" hidden="1"/>
    <cellStyle name="Lien hypertexte visité" xfId="3053" builtinId="9" hidden="1"/>
    <cellStyle name="Lien hypertexte visité" xfId="3021" builtinId="9" hidden="1"/>
    <cellStyle name="Lien hypertexte visité" xfId="2989" builtinId="9" hidden="1"/>
    <cellStyle name="Lien hypertexte visité" xfId="2957" builtinId="9" hidden="1"/>
    <cellStyle name="Lien hypertexte visité" xfId="2925" builtinId="9" hidden="1"/>
    <cellStyle name="Lien hypertexte visité" xfId="2893" builtinId="9" hidden="1"/>
    <cellStyle name="Lien hypertexte visité" xfId="2861" builtinId="9" hidden="1"/>
    <cellStyle name="Lien hypertexte visité" xfId="2829" builtinId="9" hidden="1"/>
    <cellStyle name="Lien hypertexte visité" xfId="2781" builtinId="9" hidden="1"/>
    <cellStyle name="Lien hypertexte visité" xfId="2749" builtinId="9" hidden="1"/>
    <cellStyle name="Lien hypertexte visité" xfId="2717" builtinId="9" hidden="1"/>
    <cellStyle name="Lien hypertexte visité" xfId="2685" builtinId="9" hidden="1"/>
    <cellStyle name="Lien hypertexte visité" xfId="2653" builtinId="9" hidden="1"/>
    <cellStyle name="Lien hypertexte visité" xfId="2621" builtinId="9" hidden="1"/>
    <cellStyle name="Lien hypertexte visité" xfId="2589" builtinId="9" hidden="1"/>
    <cellStyle name="Lien hypertexte visité" xfId="2541" builtinId="9" hidden="1"/>
    <cellStyle name="Lien hypertexte visité" xfId="2509" builtinId="9" hidden="1"/>
    <cellStyle name="Lien hypertexte visité" xfId="2477" builtinId="9" hidden="1"/>
    <cellStyle name="Lien hypertexte visité" xfId="2445" builtinId="9" hidden="1"/>
    <cellStyle name="Lien hypertexte visité" xfId="2413" builtinId="9" hidden="1"/>
    <cellStyle name="Lien hypertexte visité" xfId="2381" builtinId="9" hidden="1"/>
    <cellStyle name="Lien hypertexte visité" xfId="2349" builtinId="9" hidden="1"/>
    <cellStyle name="Lien hypertexte visité" xfId="2317" builtinId="9" hidden="1"/>
    <cellStyle name="Lien hypertexte visité" xfId="2269" builtinId="9" hidden="1"/>
    <cellStyle name="Lien hypertexte visité" xfId="2237" builtinId="9" hidden="1"/>
    <cellStyle name="Lien hypertexte visité" xfId="2206" builtinId="9" hidden="1"/>
    <cellStyle name="Lien hypertexte visité" xfId="2173" builtinId="9" hidden="1"/>
    <cellStyle name="Lien hypertexte visité" xfId="2141" builtinId="9" hidden="1"/>
    <cellStyle name="Lien hypertexte visité" xfId="2109" builtinId="9" hidden="1"/>
    <cellStyle name="Lien hypertexte visité" xfId="2077" builtinId="9" hidden="1"/>
    <cellStyle name="Lien hypertexte visité" xfId="2029" builtinId="9" hidden="1"/>
    <cellStyle name="Lien hypertexte visité" xfId="1997" builtinId="9" hidden="1"/>
    <cellStyle name="Lien hypertexte visité" xfId="1965" builtinId="9" hidden="1"/>
    <cellStyle name="Lien hypertexte visité" xfId="1933" builtinId="9" hidden="1"/>
    <cellStyle name="Lien hypertexte visité" xfId="1901" builtinId="9" hidden="1"/>
    <cellStyle name="Lien hypertexte visité" xfId="1869" builtinId="9" hidden="1"/>
    <cellStyle name="Lien hypertexte visité" xfId="1837" builtinId="9" hidden="1"/>
    <cellStyle name="Lien hypertexte visité" xfId="1805" builtinId="9" hidden="1"/>
    <cellStyle name="Lien hypertexte visité" xfId="1757" builtinId="9" hidden="1"/>
    <cellStyle name="Lien hypertexte visité" xfId="1725" builtinId="9" hidden="1"/>
    <cellStyle name="Lien hypertexte visité" xfId="1693" builtinId="9" hidden="1"/>
    <cellStyle name="Lien hypertexte visité" xfId="1661" builtinId="9" hidden="1"/>
    <cellStyle name="Lien hypertexte visité" xfId="1629" builtinId="9" hidden="1"/>
    <cellStyle name="Lien hypertexte visité" xfId="1597" builtinId="9" hidden="1"/>
    <cellStyle name="Lien hypertexte visité" xfId="1565" builtinId="9" hidden="1"/>
    <cellStyle name="Lien hypertexte visité" xfId="1517" builtinId="9" hidden="1"/>
    <cellStyle name="Lien hypertexte visité" xfId="1484" builtinId="9" hidden="1"/>
    <cellStyle name="Lien hypertexte visité" xfId="1452" builtinId="9" hidden="1"/>
    <cellStyle name="Lien hypertexte visité" xfId="1420" builtinId="9" hidden="1"/>
    <cellStyle name="Lien hypertexte visité" xfId="1388" builtinId="9" hidden="1"/>
    <cellStyle name="Lien hypertexte visité" xfId="1356" builtinId="9" hidden="1"/>
    <cellStyle name="Lien hypertexte visité" xfId="1324" builtinId="9" hidden="1"/>
    <cellStyle name="Lien hypertexte visité" xfId="1292" builtinId="9" hidden="1"/>
    <cellStyle name="Lien hypertexte visité" xfId="1244" builtinId="9" hidden="1"/>
    <cellStyle name="Lien hypertexte visité" xfId="1212" builtinId="9" hidden="1"/>
    <cellStyle name="Lien hypertexte visité" xfId="1180" builtinId="9" hidden="1"/>
    <cellStyle name="Lien hypertexte visité" xfId="1133" builtinId="9" hidden="1"/>
    <cellStyle name="Lien hypertexte visité" xfId="1069" builtinId="9" hidden="1"/>
    <cellStyle name="Lien hypertexte visité" xfId="1005" builtinId="9" hidden="1"/>
    <cellStyle name="Lien hypertexte visité" xfId="941" builtinId="9" hidden="1"/>
    <cellStyle name="Lien hypertexte visité" xfId="845" builtinId="9" hidden="1"/>
    <cellStyle name="Lien hypertexte visité" xfId="781" builtinId="9" hidden="1"/>
    <cellStyle name="Lien hypertexte visité" xfId="717" builtinId="9" hidden="1"/>
    <cellStyle name="Lien hypertexte visité" xfId="653" builtinId="9" hidden="1"/>
    <cellStyle name="Lien hypertexte visité" xfId="589" builtinId="9" hidden="1"/>
    <cellStyle name="Lien hypertexte visité" xfId="525" builtinId="9" hidden="1"/>
    <cellStyle name="Lien hypertexte visité" xfId="461" builtinId="9" hidden="1"/>
    <cellStyle name="Lien hypertexte visité" xfId="397" builtinId="9" hidden="1"/>
    <cellStyle name="Lien hypertexte visité" xfId="301" builtinId="9" hidden="1"/>
    <cellStyle name="Lien hypertexte visité" xfId="161" builtinId="9" hidden="1"/>
    <cellStyle name="Lien hypertexte visité" xfId="201" builtinId="9" hidden="1"/>
    <cellStyle name="Lien hypertexte visité" xfId="237" builtinId="9" hidden="1"/>
    <cellStyle name="Lien hypertexte visité" xfId="145" builtinId="9" hidden="1"/>
    <cellStyle name="Lien hypertexte visité" xfId="117" builtinId="9" hidden="1"/>
    <cellStyle name="Lien hypertexte visité" xfId="137" builtinId="9" hidden="1"/>
    <cellStyle name="Lien hypertexte visité" xfId="217" builtinId="9" hidden="1"/>
    <cellStyle name="Lien hypertexte visité" xfId="177" builtinId="9" hidden="1"/>
    <cellStyle name="Lien hypertexte visité" xfId="277" builtinId="9" hidden="1"/>
    <cellStyle name="Lien hypertexte visité" xfId="341" builtinId="9" hidden="1"/>
    <cellStyle name="Lien hypertexte visité" xfId="405" builtinId="9" hidden="1"/>
    <cellStyle name="Lien hypertexte visité" xfId="469" builtinId="9" hidden="1"/>
    <cellStyle name="Lien hypertexte visité" xfId="533" builtinId="9" hidden="1"/>
    <cellStyle name="Lien hypertexte visité" xfId="597" builtinId="9" hidden="1"/>
    <cellStyle name="Lien hypertexte visité" xfId="693" builtinId="9" hidden="1"/>
    <cellStyle name="Lien hypertexte visité" xfId="757" builtinId="9" hidden="1"/>
    <cellStyle name="Lien hypertexte visité" xfId="821" builtinId="9" hidden="1"/>
    <cellStyle name="Lien hypertexte visité" xfId="885" builtinId="9" hidden="1"/>
    <cellStyle name="Lien hypertexte visité" xfId="949" builtinId="9" hidden="1"/>
    <cellStyle name="Lien hypertexte visité" xfId="1013" builtinId="9" hidden="1"/>
    <cellStyle name="Lien hypertexte visité" xfId="1077" builtinId="9" hidden="1"/>
    <cellStyle name="Lien hypertexte visité" xfId="1168" builtinId="9" hidden="1"/>
    <cellStyle name="Lien hypertexte visité" xfId="1200" builtinId="9" hidden="1"/>
    <cellStyle name="Lien hypertexte visité" xfId="1232" builtinId="9" hidden="1"/>
    <cellStyle name="Lien hypertexte visité" xfId="1264" builtinId="9" hidden="1"/>
    <cellStyle name="Lien hypertexte visité" xfId="1296" builtinId="9" hidden="1"/>
    <cellStyle name="Lien hypertexte visité" xfId="1328" builtinId="9" hidden="1"/>
    <cellStyle name="Lien hypertexte visité" xfId="1360" builtinId="9" hidden="1"/>
    <cellStyle name="Lien hypertexte visité" xfId="1392" builtinId="9" hidden="1"/>
    <cellStyle name="Lien hypertexte visité" xfId="1440" builtinId="9" hidden="1"/>
    <cellStyle name="Lien hypertexte visité" xfId="1472" builtinId="9" hidden="1"/>
    <cellStyle name="Lien hypertexte visité" xfId="1505" builtinId="9" hidden="1"/>
    <cellStyle name="Lien hypertexte visité" xfId="1537" builtinId="9" hidden="1"/>
    <cellStyle name="Lien hypertexte visité" xfId="1569" builtinId="9" hidden="1"/>
    <cellStyle name="Lien hypertexte visité" xfId="1601" builtinId="9" hidden="1"/>
    <cellStyle name="Lien hypertexte visité" xfId="1633" builtinId="9" hidden="1"/>
    <cellStyle name="Lien hypertexte visité" xfId="1681" builtinId="9" hidden="1"/>
    <cellStyle name="Lien hypertexte visité" xfId="1713" builtinId="9" hidden="1"/>
    <cellStyle name="Lien hypertexte visité" xfId="1745" builtinId="9" hidden="1"/>
    <cellStyle name="Lien hypertexte visité" xfId="1777" builtinId="9" hidden="1"/>
    <cellStyle name="Lien hypertexte visité" xfId="1809" builtinId="9" hidden="1"/>
    <cellStyle name="Lien hypertexte visité" xfId="1841" builtinId="9" hidden="1"/>
    <cellStyle name="Lien hypertexte visité" xfId="1873" builtinId="9" hidden="1"/>
    <cellStyle name="Lien hypertexte visité" xfId="1905" builtinId="9" hidden="1"/>
    <cellStyle name="Lien hypertexte visité" xfId="1953" builtinId="9" hidden="1"/>
    <cellStyle name="Lien hypertexte visité" xfId="1985" builtinId="9" hidden="1"/>
    <cellStyle name="Lien hypertexte visité" xfId="2017" builtinId="9" hidden="1"/>
    <cellStyle name="Lien hypertexte visité" xfId="2049" builtinId="9" hidden="1"/>
    <cellStyle name="Lien hypertexte visité" xfId="2081" builtinId="9" hidden="1"/>
    <cellStyle name="Lien hypertexte visité" xfId="2113" builtinId="9" hidden="1"/>
    <cellStyle name="Lien hypertexte visité" xfId="2145" builtinId="9" hidden="1"/>
    <cellStyle name="Lien hypertexte visité" xfId="2193" builtinId="9" hidden="1"/>
    <cellStyle name="Lien hypertexte visité" xfId="2225" builtinId="9" hidden="1"/>
    <cellStyle name="Lien hypertexte visité" xfId="2257" builtinId="9" hidden="1"/>
    <cellStyle name="Lien hypertexte visité" xfId="2289" builtinId="9" hidden="1"/>
    <cellStyle name="Lien hypertexte visité" xfId="2321" builtinId="9" hidden="1"/>
    <cellStyle name="Lien hypertexte visité" xfId="2353" builtinId="9" hidden="1"/>
    <cellStyle name="Lien hypertexte visité" xfId="2385" builtinId="9" hidden="1"/>
    <cellStyle name="Lien hypertexte visité" xfId="2417" builtinId="9" hidden="1"/>
    <cellStyle name="Lien hypertexte visité" xfId="2465" builtinId="9" hidden="1"/>
    <cellStyle name="Lien hypertexte visité" xfId="2497" builtinId="9" hidden="1"/>
    <cellStyle name="Lien hypertexte visité" xfId="2529" builtinId="9" hidden="1"/>
    <cellStyle name="Lien hypertexte visité" xfId="2561" builtinId="9" hidden="1"/>
    <cellStyle name="Lien hypertexte visité" xfId="2593" builtinId="9" hidden="1"/>
    <cellStyle name="Lien hypertexte visité" xfId="2625" builtinId="9" hidden="1"/>
    <cellStyle name="Lien hypertexte visité" xfId="2657" builtinId="9" hidden="1"/>
    <cellStyle name="Lien hypertexte visité" xfId="2705" builtinId="9" hidden="1"/>
    <cellStyle name="Lien hypertexte visité" xfId="2737" builtinId="9" hidden="1"/>
    <cellStyle name="Lien hypertexte visité" xfId="2769" builtinId="9" hidden="1"/>
    <cellStyle name="Lien hypertexte visité" xfId="2801" builtinId="9" hidden="1"/>
    <cellStyle name="Lien hypertexte visité" xfId="2833" builtinId="9" hidden="1"/>
    <cellStyle name="Lien hypertexte visité" xfId="5379" builtinId="9" hidden="1"/>
    <cellStyle name="Lien hypertexte visité" xfId="5635" builtinId="9" hidden="1"/>
    <cellStyle name="Lien hypertexte visité" xfId="5891" builtinId="9" hidden="1"/>
    <cellStyle name="Lien hypertexte visité" xfId="6147" builtinId="9" hidden="1"/>
    <cellStyle name="Lien hypertexte visité" xfId="6403" builtinId="9" hidden="1"/>
    <cellStyle name="Lien hypertexte visité" xfId="6659" builtinId="9" hidden="1"/>
    <cellStyle name="Lien hypertexte visité" xfId="6915" builtinId="9" hidden="1"/>
    <cellStyle name="Lien hypertexte visité" xfId="7171" builtinId="9" hidden="1"/>
    <cellStyle name="Lien hypertexte visité" xfId="7427" builtinId="9" hidden="1"/>
    <cellStyle name="Lien hypertexte visité" xfId="7683" builtinId="9" hidden="1"/>
    <cellStyle name="Lien hypertexte visité" xfId="7940" builtinId="9" hidden="1"/>
    <cellStyle name="Lien hypertexte visité" xfId="8196" builtinId="9" hidden="1"/>
    <cellStyle name="Lien hypertexte visité" xfId="8452" builtinId="9" hidden="1"/>
    <cellStyle name="Lien hypertexte visité" xfId="8708" builtinId="9" hidden="1"/>
    <cellStyle name="Lien hypertexte visité" xfId="8964" builtinId="9" hidden="1"/>
    <cellStyle name="Lien hypertexte visité" xfId="9220" builtinId="9" hidden="1"/>
    <cellStyle name="Lien hypertexte visité" xfId="9476" builtinId="9" hidden="1"/>
    <cellStyle name="Lien hypertexte visité" xfId="9732" builtinId="9" hidden="1"/>
    <cellStyle name="Lien hypertexte visité" xfId="9988" builtinId="9" hidden="1"/>
    <cellStyle name="Lien hypertexte visité" xfId="10244" builtinId="9" hidden="1"/>
    <cellStyle name="Lien hypertexte visité" xfId="10500" builtinId="9" hidden="1"/>
    <cellStyle name="Lien hypertexte visité" xfId="10756" builtinId="9" hidden="1"/>
    <cellStyle name="Lien hypertexte visité" xfId="11012" builtinId="9" hidden="1"/>
    <cellStyle name="Lien hypertexte visité" xfId="11268" builtinId="9" hidden="1"/>
    <cellStyle name="Lien hypertexte visité" xfId="11524" builtinId="9" hidden="1"/>
    <cellStyle name="Lien hypertexte visité" xfId="11780" builtinId="9" hidden="1"/>
    <cellStyle name="Lien hypertexte visité" xfId="12036" builtinId="9" hidden="1"/>
    <cellStyle name="Lien hypertexte visité" xfId="12292" builtinId="9" hidden="1"/>
    <cellStyle name="Lien hypertexte visité" xfId="12548" builtinId="9" hidden="1"/>
    <cellStyle name="Lien hypertexte visité" xfId="12804" builtinId="9" hidden="1"/>
    <cellStyle name="Lien hypertexte visité" xfId="13060" builtinId="9" hidden="1"/>
    <cellStyle name="Lien hypertexte visité" xfId="13316" builtinId="9" hidden="1"/>
    <cellStyle name="Lien hypertexte visité" xfId="13572" builtinId="9" hidden="1"/>
    <cellStyle name="Lien hypertexte visité" xfId="13828" builtinId="9" hidden="1"/>
    <cellStyle name="Lien hypertexte visité" xfId="14084" builtinId="9" hidden="1"/>
    <cellStyle name="Lien hypertexte visité" xfId="14340" builtinId="9" hidden="1"/>
    <cellStyle name="Lien hypertexte visité" xfId="14677" builtinId="9" hidden="1"/>
    <cellStyle name="Lien hypertexte visité" xfId="15189" builtinId="9" hidden="1"/>
    <cellStyle name="Lien hypertexte visité" xfId="15701" builtinId="9" hidden="1"/>
    <cellStyle name="Lien hypertexte visité" xfId="16213" builtinId="9" hidden="1"/>
    <cellStyle name="Lien hypertexte visité" xfId="16725" builtinId="9" hidden="1"/>
    <cellStyle name="Lien hypertexte visité" xfId="17237" builtinId="9" hidden="1"/>
    <cellStyle name="Lien hypertexte visité" xfId="17749" builtinId="9" hidden="1"/>
    <cellStyle name="Lien hypertexte visité" xfId="18261" builtinId="9" hidden="1"/>
    <cellStyle name="Lien hypertexte visité" xfId="18756" builtinId="9" hidden="1"/>
    <cellStyle name="Lien hypertexte visité" xfId="19268" builtinId="9" hidden="1"/>
    <cellStyle name="Lien hypertexte visité" xfId="19780" builtinId="9" hidden="1"/>
    <cellStyle name="Lien hypertexte visité" xfId="20292" builtinId="9" hidden="1"/>
    <cellStyle name="Lien hypertexte visité" xfId="20804" builtinId="9" hidden="1"/>
    <cellStyle name="Lien hypertexte visité" xfId="21316" builtinId="9" hidden="1"/>
    <cellStyle name="Lien hypertexte visité" xfId="21828" builtinId="9" hidden="1"/>
    <cellStyle name="Lien hypertexte visité" xfId="22340" builtinId="9" hidden="1"/>
    <cellStyle name="Lien hypertexte visité" xfId="22852" builtinId="9" hidden="1"/>
    <cellStyle name="Lien hypertexte visité" xfId="23364" builtinId="9" hidden="1"/>
    <cellStyle name="Lien hypertexte visité" xfId="23876" builtinId="9" hidden="1"/>
    <cellStyle name="Lien hypertexte visité" xfId="24388" builtinId="9" hidden="1"/>
    <cellStyle name="Lien hypertexte visité" xfId="24326" builtinId="9" hidden="1"/>
    <cellStyle name="Lien hypertexte visité" xfId="23814" builtinId="9" hidden="1"/>
    <cellStyle name="Lien hypertexte visité" xfId="23302" builtinId="9" hidden="1"/>
    <cellStyle name="Lien hypertexte visité" xfId="22790" builtinId="9" hidden="1"/>
    <cellStyle name="Lien hypertexte visité" xfId="22278" builtinId="9" hidden="1"/>
    <cellStyle name="Lien hypertexte visité" xfId="21766" builtinId="9" hidden="1"/>
    <cellStyle name="Lien hypertexte visité" xfId="21254" builtinId="9" hidden="1"/>
    <cellStyle name="Lien hypertexte visité" xfId="20742" builtinId="9" hidden="1"/>
    <cellStyle name="Lien hypertexte visité" xfId="20230" builtinId="9" hidden="1"/>
    <cellStyle name="Lien hypertexte visité" xfId="19718" builtinId="9" hidden="1"/>
    <cellStyle name="Lien hypertexte visité" xfId="19206" builtinId="9" hidden="1"/>
    <cellStyle name="Lien hypertexte visité" xfId="19142" builtinId="9" hidden="1"/>
    <cellStyle name="Lien hypertexte visité" xfId="19238" builtinId="9" hidden="1"/>
    <cellStyle name="Lien hypertexte visité" xfId="19302" builtinId="9" hidden="1"/>
    <cellStyle name="Lien hypertexte visité" xfId="19366" builtinId="9" hidden="1"/>
    <cellStyle name="Lien hypertexte visité" xfId="19430" builtinId="9" hidden="1"/>
    <cellStyle name="Lien hypertexte visité" xfId="19526" builtinId="9" hidden="1"/>
    <cellStyle name="Lien hypertexte visité" xfId="19590" builtinId="9" hidden="1"/>
    <cellStyle name="Lien hypertexte visité" xfId="19654" builtinId="9" hidden="1"/>
    <cellStyle name="Lien hypertexte visité" xfId="19750" builtinId="9" hidden="1"/>
    <cellStyle name="Lien hypertexte visité" xfId="19814" builtinId="9" hidden="1"/>
    <cellStyle name="Lien hypertexte visité" xfId="19878" builtinId="9" hidden="1"/>
    <cellStyle name="Lien hypertexte visité" xfId="19942" builtinId="9" hidden="1"/>
    <cellStyle name="Lien hypertexte visité" xfId="20038" builtinId="9" hidden="1"/>
    <cellStyle name="Lien hypertexte visité" xfId="20102" builtinId="9" hidden="1"/>
    <cellStyle name="Lien hypertexte visité" xfId="20166" builtinId="9" hidden="1"/>
    <cellStyle name="Lien hypertexte visité" xfId="20262" builtinId="9" hidden="1"/>
    <cellStyle name="Lien hypertexte visité" xfId="20326" builtinId="9" hidden="1"/>
    <cellStyle name="Lien hypertexte visité" xfId="20390" builtinId="9" hidden="1"/>
    <cellStyle name="Lien hypertexte visité" xfId="20454" builtinId="9" hidden="1"/>
    <cellStyle name="Lien hypertexte visité" xfId="20550" builtinId="9" hidden="1"/>
    <cellStyle name="Lien hypertexte visité" xfId="20614" builtinId="9" hidden="1"/>
    <cellStyle name="Lien hypertexte visité" xfId="20678" builtinId="9" hidden="1"/>
    <cellStyle name="Lien hypertexte visité" xfId="20774" builtinId="9" hidden="1"/>
    <cellStyle name="Lien hypertexte visité" xfId="20838" builtinId="9" hidden="1"/>
    <cellStyle name="Lien hypertexte visité" xfId="20902" builtinId="9" hidden="1"/>
    <cellStyle name="Lien hypertexte visité" xfId="20966" builtinId="9" hidden="1"/>
    <cellStyle name="Lien hypertexte visité" xfId="21062" builtinId="9" hidden="1"/>
    <cellStyle name="Lien hypertexte visité" xfId="21126" builtinId="9" hidden="1"/>
    <cellStyle name="Lien hypertexte visité" xfId="21190" builtinId="9" hidden="1"/>
    <cellStyle name="Lien hypertexte visité" xfId="21286" builtinId="9" hidden="1"/>
    <cellStyle name="Lien hypertexte visité" xfId="21350" builtinId="9" hidden="1"/>
    <cellStyle name="Lien hypertexte visité" xfId="21414" builtinId="9" hidden="1"/>
    <cellStyle name="Lien hypertexte visité" xfId="21478" builtinId="9" hidden="1"/>
    <cellStyle name="Lien hypertexte visité" xfId="21574" builtinId="9" hidden="1"/>
    <cellStyle name="Lien hypertexte visité" xfId="21638" builtinId="9" hidden="1"/>
    <cellStyle name="Lien hypertexte visité" xfId="21702" builtinId="9" hidden="1"/>
    <cellStyle name="Lien hypertexte visité" xfId="21798" builtinId="9" hidden="1"/>
    <cellStyle name="Lien hypertexte visité" xfId="21862" builtinId="9" hidden="1"/>
    <cellStyle name="Lien hypertexte visité" xfId="21926" builtinId="9" hidden="1"/>
    <cellStyle name="Lien hypertexte visité" xfId="21990" builtinId="9" hidden="1"/>
    <cellStyle name="Lien hypertexte visité" xfId="22086" builtinId="9" hidden="1"/>
    <cellStyle name="Lien hypertexte visité" xfId="22150" builtinId="9" hidden="1"/>
    <cellStyle name="Lien hypertexte visité" xfId="22214" builtinId="9" hidden="1"/>
    <cellStyle name="Lien hypertexte visité" xfId="22310" builtinId="9" hidden="1"/>
    <cellStyle name="Lien hypertexte visité" xfId="22374" builtinId="9" hidden="1"/>
    <cellStyle name="Lien hypertexte visité" xfId="22438" builtinId="9" hidden="1"/>
    <cellStyle name="Lien hypertexte visité" xfId="22502" builtinId="9" hidden="1"/>
    <cellStyle name="Lien hypertexte visité" xfId="22598" builtinId="9" hidden="1"/>
    <cellStyle name="Lien hypertexte visité" xfId="22662" builtinId="9" hidden="1"/>
    <cellStyle name="Lien hypertexte visité" xfId="22726" builtinId="9" hidden="1"/>
    <cellStyle name="Lien hypertexte visité" xfId="22822" builtinId="9" hidden="1"/>
    <cellStyle name="Lien hypertexte visité" xfId="22886" builtinId="9" hidden="1"/>
    <cellStyle name="Lien hypertexte visité" xfId="22950" builtinId="9" hidden="1"/>
    <cellStyle name="Lien hypertexte visité" xfId="23014" builtinId="9" hidden="1"/>
    <cellStyle name="Lien hypertexte visité" xfId="23110" builtinId="9" hidden="1"/>
    <cellStyle name="Lien hypertexte visité" xfId="23174" builtinId="9" hidden="1"/>
    <cellStyle name="Lien hypertexte visité" xfId="23238" builtinId="9" hidden="1"/>
    <cellStyle name="Lien hypertexte visité" xfId="23334" builtinId="9" hidden="1"/>
    <cellStyle name="Lien hypertexte visité" xfId="23398" builtinId="9" hidden="1"/>
    <cellStyle name="Lien hypertexte visité" xfId="23462" builtinId="9" hidden="1"/>
    <cellStyle name="Lien hypertexte visité" xfId="23526" builtinId="9" hidden="1"/>
    <cellStyle name="Lien hypertexte visité" xfId="23622" builtinId="9" hidden="1"/>
    <cellStyle name="Lien hypertexte visité" xfId="23686" builtinId="9" hidden="1"/>
    <cellStyle name="Lien hypertexte visité" xfId="23750" builtinId="9" hidden="1"/>
    <cellStyle name="Lien hypertexte visité" xfId="23846" builtinId="9" hidden="1"/>
    <cellStyle name="Lien hypertexte visité" xfId="23910" builtinId="9" hidden="1"/>
    <cellStyle name="Lien hypertexte visité" xfId="23974" builtinId="9" hidden="1"/>
    <cellStyle name="Lien hypertexte visité" xfId="24038" builtinId="9" hidden="1"/>
    <cellStyle name="Lien hypertexte visité" xfId="24134" builtinId="9" hidden="1"/>
    <cellStyle name="Lien hypertexte visité" xfId="24198" builtinId="9" hidden="1"/>
    <cellStyle name="Lien hypertexte visité" xfId="24262" builtinId="9" hidden="1"/>
    <cellStyle name="Lien hypertexte visité" xfId="24358" builtinId="9" hidden="1"/>
    <cellStyle name="Lien hypertexte visité" xfId="24422" builtinId="9" hidden="1"/>
    <cellStyle name="Lien hypertexte visité" xfId="24486" builtinId="9" hidden="1"/>
    <cellStyle name="Lien hypertexte visité" xfId="24550" builtinId="9" hidden="1"/>
    <cellStyle name="Lien hypertexte visité" xfId="24580" builtinId="9" hidden="1"/>
    <cellStyle name="Lien hypertexte visité" xfId="24516" builtinId="9" hidden="1"/>
    <cellStyle name="Lien hypertexte visité" xfId="24452" builtinId="9" hidden="1"/>
    <cellStyle name="Lien hypertexte visité" xfId="24356" builtinId="9" hidden="1"/>
    <cellStyle name="Lien hypertexte visité" xfId="24292" builtinId="9" hidden="1"/>
    <cellStyle name="Lien hypertexte visité" xfId="24228" builtinId="9" hidden="1"/>
    <cellStyle name="Lien hypertexte visité" xfId="24164" builtinId="9" hidden="1"/>
    <cellStyle name="Lien hypertexte visité" xfId="24068" builtinId="9" hidden="1"/>
    <cellStyle name="Lien hypertexte visité" xfId="24004" builtinId="9" hidden="1"/>
    <cellStyle name="Lien hypertexte visité" xfId="23940" builtinId="9" hidden="1"/>
    <cellStyle name="Lien hypertexte visité" xfId="23844" builtinId="9" hidden="1"/>
    <cellStyle name="Lien hypertexte visité" xfId="23780" builtinId="9" hidden="1"/>
    <cellStyle name="Lien hypertexte visité" xfId="23716" builtinId="9" hidden="1"/>
    <cellStyle name="Lien hypertexte visité" xfId="23652" builtinId="9" hidden="1"/>
    <cellStyle name="Lien hypertexte visité" xfId="23556" builtinId="9" hidden="1"/>
    <cellStyle name="Lien hypertexte visité" xfId="23492" builtinId="9" hidden="1"/>
    <cellStyle name="Lien hypertexte visité" xfId="23428" builtinId="9" hidden="1"/>
    <cellStyle name="Lien hypertexte visité" xfId="23332" builtinId="9" hidden="1"/>
    <cellStyle name="Lien hypertexte visité" xfId="23268" builtinId="9" hidden="1"/>
    <cellStyle name="Lien hypertexte visité" xfId="23204" builtinId="9" hidden="1"/>
    <cellStyle name="Lien hypertexte visité" xfId="23140" builtinId="9" hidden="1"/>
    <cellStyle name="Lien hypertexte visité" xfId="23044" builtinId="9" hidden="1"/>
    <cellStyle name="Lien hypertexte visité" xfId="22980" builtinId="9" hidden="1"/>
    <cellStyle name="Lien hypertexte visité" xfId="22916" builtinId="9" hidden="1"/>
    <cellStyle name="Lien hypertexte visité" xfId="22820" builtinId="9" hidden="1"/>
    <cellStyle name="Lien hypertexte visité" xfId="22756" builtinId="9" hidden="1"/>
    <cellStyle name="Lien hypertexte visité" xfId="22692" builtinId="9" hidden="1"/>
    <cellStyle name="Lien hypertexte visité" xfId="22628" builtinId="9" hidden="1"/>
    <cellStyle name="Lien hypertexte visité" xfId="22532" builtinId="9" hidden="1"/>
    <cellStyle name="Lien hypertexte visité" xfId="22468" builtinId="9" hidden="1"/>
    <cellStyle name="Lien hypertexte visité" xfId="22404" builtinId="9" hidden="1"/>
    <cellStyle name="Lien hypertexte visité" xfId="22308" builtinId="9" hidden="1"/>
    <cellStyle name="Lien hypertexte visité" xfId="22244" builtinId="9" hidden="1"/>
    <cellStyle name="Lien hypertexte visité" xfId="22180" builtinId="9" hidden="1"/>
    <cellStyle name="Lien hypertexte visité" xfId="22116" builtinId="9" hidden="1"/>
    <cellStyle name="Lien hypertexte visité" xfId="22020" builtinId="9" hidden="1"/>
    <cellStyle name="Lien hypertexte visité" xfId="21956" builtinId="9" hidden="1"/>
    <cellStyle name="Lien hypertexte visité" xfId="21892" builtinId="9" hidden="1"/>
    <cellStyle name="Lien hypertexte visité" xfId="21796" builtinId="9" hidden="1"/>
    <cellStyle name="Lien hypertexte visité" xfId="21732" builtinId="9" hidden="1"/>
    <cellStyle name="Lien hypertexte visité" xfId="21668" builtinId="9" hidden="1"/>
    <cellStyle name="Lien hypertexte visité" xfId="21604" builtinId="9" hidden="1"/>
    <cellStyle name="Lien hypertexte visité" xfId="21508" builtinId="9" hidden="1"/>
    <cellStyle name="Lien hypertexte visité" xfId="21444" builtinId="9" hidden="1"/>
    <cellStyle name="Lien hypertexte visité" xfId="21380" builtinId="9" hidden="1"/>
    <cellStyle name="Lien hypertexte visité" xfId="21284" builtinId="9" hidden="1"/>
    <cellStyle name="Lien hypertexte visité" xfId="21220" builtinId="9" hidden="1"/>
    <cellStyle name="Lien hypertexte visité" xfId="21156" builtinId="9" hidden="1"/>
    <cellStyle name="Lien hypertexte visité" xfId="21092" builtinId="9" hidden="1"/>
    <cellStyle name="Lien hypertexte visité" xfId="20996" builtinId="9" hidden="1"/>
    <cellStyle name="Lien hypertexte visité" xfId="20932" builtinId="9" hidden="1"/>
    <cellStyle name="Lien hypertexte visité" xfId="20868" builtinId="9" hidden="1"/>
    <cellStyle name="Lien hypertexte visité" xfId="20772" builtinId="9" hidden="1"/>
    <cellStyle name="Lien hypertexte visité" xfId="20708" builtinId="9" hidden="1"/>
    <cellStyle name="Lien hypertexte visité" xfId="20644" builtinId="9" hidden="1"/>
    <cellStyle name="Lien hypertexte visité" xfId="20580" builtinId="9" hidden="1"/>
    <cellStyle name="Lien hypertexte visité" xfId="20484" builtinId="9" hidden="1"/>
    <cellStyle name="Lien hypertexte visité" xfId="20420" builtinId="9" hidden="1"/>
    <cellStyle name="Lien hypertexte visité" xfId="20356" builtinId="9" hidden="1"/>
    <cellStyle name="Lien hypertexte visité" xfId="20260" builtinId="9" hidden="1"/>
    <cellStyle name="Lien hypertexte visité" xfId="20196" builtinId="9" hidden="1"/>
    <cellStyle name="Lien hypertexte visité" xfId="20132" builtinId="9" hidden="1"/>
    <cellStyle name="Lien hypertexte visité" xfId="20068" builtinId="9" hidden="1"/>
    <cellStyle name="Lien hypertexte visité" xfId="19972" builtinId="9" hidden="1"/>
    <cellStyle name="Lien hypertexte visité" xfId="19908" builtinId="9" hidden="1"/>
    <cellStyle name="Lien hypertexte visité" xfId="19844" builtinId="9" hidden="1"/>
    <cellStyle name="Lien hypertexte visité" xfId="19748" builtinId="9" hidden="1"/>
    <cellStyle name="Lien hypertexte visité" xfId="19684" builtinId="9" hidden="1"/>
    <cellStyle name="Lien hypertexte visité" xfId="19620" builtinId="9" hidden="1"/>
    <cellStyle name="Lien hypertexte visité" xfId="19556" builtinId="9" hidden="1"/>
    <cellStyle name="Lien hypertexte visité" xfId="19460" builtinId="9" hidden="1"/>
    <cellStyle name="Lien hypertexte visité" xfId="19396" builtinId="9" hidden="1"/>
    <cellStyle name="Lien hypertexte visité" xfId="19332" builtinId="9" hidden="1"/>
    <cellStyle name="Lien hypertexte visité" xfId="19236" builtinId="9" hidden="1"/>
    <cellStyle name="Lien hypertexte visité" xfId="19172" builtinId="9" hidden="1"/>
    <cellStyle name="Lien hypertexte visité" xfId="19108" builtinId="9" hidden="1"/>
    <cellStyle name="Lien hypertexte visité" xfId="19044" builtinId="9" hidden="1"/>
    <cellStyle name="Lien hypertexte visité" xfId="18948" builtinId="9" hidden="1"/>
    <cellStyle name="Lien hypertexte visité" xfId="18884" builtinId="9" hidden="1"/>
    <cellStyle name="Lien hypertexte visité" xfId="18820" builtinId="9" hidden="1"/>
    <cellStyle name="Lien hypertexte visité" xfId="18724" builtinId="9" hidden="1"/>
    <cellStyle name="Lien hypertexte visité" xfId="18660" builtinId="9" hidden="1"/>
    <cellStyle name="Lien hypertexte visité" xfId="18596" builtinId="9" hidden="1"/>
    <cellStyle name="Lien hypertexte visité" xfId="18532" builtinId="9" hidden="1"/>
    <cellStyle name="Lien hypertexte visité" xfId="18436" builtinId="9" hidden="1"/>
    <cellStyle name="Lien hypertexte visité" xfId="18372" builtinId="9" hidden="1"/>
    <cellStyle name="Lien hypertexte visité" xfId="18317" builtinId="9" hidden="1"/>
    <cellStyle name="Lien hypertexte visité" xfId="18229" builtinId="9" hidden="1"/>
    <cellStyle name="Lien hypertexte visité" xfId="18165" builtinId="9" hidden="1"/>
    <cellStyle name="Lien hypertexte visité" xfId="18101" builtinId="9" hidden="1"/>
    <cellStyle name="Lien hypertexte visité" xfId="18037" builtinId="9" hidden="1"/>
    <cellStyle name="Lien hypertexte visité" xfId="17941" builtinId="9" hidden="1"/>
    <cellStyle name="Lien hypertexte visité" xfId="17877" builtinId="9" hidden="1"/>
    <cellStyle name="Lien hypertexte visité" xfId="17813" builtinId="9" hidden="1"/>
    <cellStyle name="Lien hypertexte visité" xfId="17717" builtinId="9" hidden="1"/>
    <cellStyle name="Lien hypertexte visité" xfId="17653" builtinId="9" hidden="1"/>
    <cellStyle name="Lien hypertexte visité" xfId="17589" builtinId="9" hidden="1"/>
    <cellStyle name="Lien hypertexte visité" xfId="17525" builtinId="9" hidden="1"/>
    <cellStyle name="Lien hypertexte visité" xfId="17429" builtinId="9" hidden="1"/>
    <cellStyle name="Lien hypertexte visité" xfId="17365" builtinId="9" hidden="1"/>
    <cellStyle name="Lien hypertexte visité" xfId="17301" builtinId="9" hidden="1"/>
    <cellStyle name="Lien hypertexte visité" xfId="17205" builtinId="9" hidden="1"/>
    <cellStyle name="Lien hypertexte visité" xfId="17141" builtinId="9" hidden="1"/>
    <cellStyle name="Lien hypertexte visité" xfId="17077" builtinId="9" hidden="1"/>
    <cellStyle name="Lien hypertexte visité" xfId="17013" builtinId="9" hidden="1"/>
    <cellStyle name="Lien hypertexte visité" xfId="16917" builtinId="9" hidden="1"/>
    <cellStyle name="Lien hypertexte visité" xfId="16853" builtinId="9" hidden="1"/>
    <cellStyle name="Lien hypertexte visité" xfId="16789" builtinId="9" hidden="1"/>
    <cellStyle name="Lien hypertexte visité" xfId="16693" builtinId="9" hidden="1"/>
    <cellStyle name="Lien hypertexte visité" xfId="16629" builtinId="9" hidden="1"/>
    <cellStyle name="Lien hypertexte visité" xfId="16565" builtinId="9" hidden="1"/>
    <cellStyle name="Lien hypertexte visité" xfId="16501" builtinId="9" hidden="1"/>
    <cellStyle name="Lien hypertexte visité" xfId="16405" builtinId="9" hidden="1"/>
    <cellStyle name="Lien hypertexte visité" xfId="16341" builtinId="9" hidden="1"/>
    <cellStyle name="Lien hypertexte visité" xfId="16277" builtinId="9" hidden="1"/>
    <cellStyle name="Lien hypertexte visité" xfId="16181" builtinId="9" hidden="1"/>
    <cellStyle name="Lien hypertexte visité" xfId="16117" builtinId="9" hidden="1"/>
    <cellStyle name="Lien hypertexte visité" xfId="16053" builtinId="9" hidden="1"/>
    <cellStyle name="Lien hypertexte visité" xfId="15989" builtinId="9" hidden="1"/>
    <cellStyle name="Lien hypertexte visité" xfId="15893" builtinId="9" hidden="1"/>
    <cellStyle name="Lien hypertexte visité" xfId="15829" builtinId="9" hidden="1"/>
    <cellStyle name="Lien hypertexte visité" xfId="15765" builtinId="9" hidden="1"/>
    <cellStyle name="Lien hypertexte visité" xfId="15669" builtinId="9" hidden="1"/>
    <cellStyle name="Lien hypertexte visité" xfId="15605" builtinId="9" hidden="1"/>
    <cellStyle name="Lien hypertexte visité" xfId="15541" builtinId="9" hidden="1"/>
    <cellStyle name="Lien hypertexte visité" xfId="15477" builtinId="9" hidden="1"/>
    <cellStyle name="Lien hypertexte visité" xfId="15381" builtinId="9" hidden="1"/>
    <cellStyle name="Lien hypertexte visité" xfId="15317" builtinId="9" hidden="1"/>
    <cellStyle name="Lien hypertexte visité" xfId="15253" builtinId="9" hidden="1"/>
    <cellStyle name="Lien hypertexte visité" xfId="15157" builtinId="9" hidden="1"/>
    <cellStyle name="Lien hypertexte visité" xfId="15093" builtinId="9" hidden="1"/>
    <cellStyle name="Lien hypertexte visité" xfId="15029" builtinId="9" hidden="1"/>
    <cellStyle name="Lien hypertexte visité" xfId="14965" builtinId="9" hidden="1"/>
    <cellStyle name="Lien hypertexte visité" xfId="14869" builtinId="9" hidden="1"/>
    <cellStyle name="Lien hypertexte visité" xfId="14805" builtinId="9" hidden="1"/>
    <cellStyle name="Lien hypertexte visité" xfId="14741" builtinId="9" hidden="1"/>
    <cellStyle name="Lien hypertexte visité" xfId="14645" builtinId="9" hidden="1"/>
    <cellStyle name="Lien hypertexte visité" xfId="14581" builtinId="9" hidden="1"/>
    <cellStyle name="Lien hypertexte visité" xfId="14517" builtinId="9" hidden="1"/>
    <cellStyle name="Lien hypertexte visité" xfId="14484" builtinId="9" hidden="1"/>
    <cellStyle name="Lien hypertexte visité" xfId="14436" builtinId="9" hidden="1"/>
    <cellStyle name="Lien hypertexte visité" xfId="14404" builtinId="9" hidden="1"/>
    <cellStyle name="Lien hypertexte visité" xfId="14372" builtinId="9" hidden="1"/>
    <cellStyle name="Lien hypertexte visité" xfId="14324" builtinId="9" hidden="1"/>
    <cellStyle name="Lien hypertexte visité" xfId="14292" builtinId="9" hidden="1"/>
    <cellStyle name="Lien hypertexte visité" xfId="14260" builtinId="9" hidden="1"/>
    <cellStyle name="Lien hypertexte visité" xfId="14228" builtinId="9" hidden="1"/>
    <cellStyle name="Lien hypertexte visité" xfId="14180" builtinId="9" hidden="1"/>
    <cellStyle name="Lien hypertexte visité" xfId="14148" builtinId="9" hidden="1"/>
    <cellStyle name="Lien hypertexte visité" xfId="14116" builtinId="9" hidden="1"/>
    <cellStyle name="Lien hypertexte visité" xfId="14068" builtinId="9" hidden="1"/>
    <cellStyle name="Lien hypertexte visité" xfId="14036" builtinId="9" hidden="1"/>
    <cellStyle name="Lien hypertexte visité" xfId="14004" builtinId="9" hidden="1"/>
    <cellStyle name="Lien hypertexte visité" xfId="13972" builtinId="9" hidden="1"/>
    <cellStyle name="Lien hypertexte visité" xfId="13924" builtinId="9" hidden="1"/>
    <cellStyle name="Lien hypertexte visité" xfId="13892" builtinId="9" hidden="1"/>
    <cellStyle name="Lien hypertexte visité" xfId="13860" builtinId="9" hidden="1"/>
    <cellStyle name="Lien hypertexte visité" xfId="13812" builtinId="9" hidden="1"/>
    <cellStyle name="Lien hypertexte visité" xfId="13780" builtinId="9" hidden="1"/>
    <cellStyle name="Lien hypertexte visité" xfId="13748" builtinId="9" hidden="1"/>
    <cellStyle name="Lien hypertexte visité" xfId="13716" builtinId="9" hidden="1"/>
    <cellStyle name="Lien hypertexte visité" xfId="13668" builtinId="9" hidden="1"/>
    <cellStyle name="Lien hypertexte visité" xfId="13636" builtinId="9" hidden="1"/>
    <cellStyle name="Lien hypertexte visité" xfId="13604" builtinId="9" hidden="1"/>
    <cellStyle name="Lien hypertexte visité" xfId="13556" builtinId="9" hidden="1"/>
    <cellStyle name="Lien hypertexte visité" xfId="13524" builtinId="9" hidden="1"/>
    <cellStyle name="Lien hypertexte visité" xfId="13492" builtinId="9" hidden="1"/>
    <cellStyle name="Lien hypertexte visité" xfId="13460" builtinId="9" hidden="1"/>
    <cellStyle name="Lien hypertexte visité" xfId="13412" builtinId="9" hidden="1"/>
    <cellStyle name="Lien hypertexte visité" xfId="13380" builtinId="9" hidden="1"/>
    <cellStyle name="Lien hypertexte visité" xfId="13348" builtinId="9" hidden="1"/>
    <cellStyle name="Lien hypertexte visité" xfId="13300" builtinId="9" hidden="1"/>
    <cellStyle name="Lien hypertexte visité" xfId="13268" builtinId="9" hidden="1"/>
    <cellStyle name="Lien hypertexte visité" xfId="13236" builtinId="9" hidden="1"/>
    <cellStyle name="Lien hypertexte visité" xfId="13204" builtinId="9" hidden="1"/>
    <cellStyle name="Lien hypertexte visité" xfId="13156" builtinId="9" hidden="1"/>
    <cellStyle name="Lien hypertexte visité" xfId="13124" builtinId="9" hidden="1"/>
    <cellStyle name="Lien hypertexte visité" xfId="13092" builtinId="9" hidden="1"/>
    <cellStyle name="Lien hypertexte visité" xfId="13044" builtinId="9" hidden="1"/>
    <cellStyle name="Lien hypertexte visité" xfId="13012" builtinId="9" hidden="1"/>
    <cellStyle name="Lien hypertexte visité" xfId="12980" builtinId="9" hidden="1"/>
    <cellStyle name="Lien hypertexte visité" xfId="12948" builtinId="9" hidden="1"/>
    <cellStyle name="Lien hypertexte visité" xfId="12900" builtinId="9" hidden="1"/>
    <cellStyle name="Lien hypertexte visité" xfId="12868" builtinId="9" hidden="1"/>
    <cellStyle name="Lien hypertexte visité" xfId="12836" builtinId="9" hidden="1"/>
    <cellStyle name="Lien hypertexte visité" xfId="12788" builtinId="9" hidden="1"/>
    <cellStyle name="Lien hypertexte visité" xfId="12756" builtinId="9" hidden="1"/>
    <cellStyle name="Lien hypertexte visité" xfId="12724" builtinId="9" hidden="1"/>
    <cellStyle name="Lien hypertexte visité" xfId="12692" builtinId="9" hidden="1"/>
    <cellStyle name="Lien hypertexte visité" xfId="12644" builtinId="9" hidden="1"/>
    <cellStyle name="Lien hypertexte visité" xfId="12612" builtinId="9" hidden="1"/>
    <cellStyle name="Lien hypertexte visité" xfId="12580" builtinId="9" hidden="1"/>
    <cellStyle name="Lien hypertexte visité" xfId="12532" builtinId="9" hidden="1"/>
    <cellStyle name="Lien hypertexte visité" xfId="12500" builtinId="9" hidden="1"/>
    <cellStyle name="Lien hypertexte visité" xfId="12468" builtinId="9" hidden="1"/>
    <cellStyle name="Lien hypertexte visité" xfId="12436" builtinId="9" hidden="1"/>
    <cellStyle name="Lien hypertexte visité" xfId="12388" builtinId="9" hidden="1"/>
    <cellStyle name="Lien hypertexte visité" xfId="12356" builtinId="9" hidden="1"/>
    <cellStyle name="Lien hypertexte visité" xfId="12324" builtinId="9" hidden="1"/>
    <cellStyle name="Lien hypertexte visité" xfId="12276" builtinId="9" hidden="1"/>
    <cellStyle name="Lien hypertexte visité" xfId="12244" builtinId="9" hidden="1"/>
    <cellStyle name="Lien hypertexte visité" xfId="12212" builtinId="9" hidden="1"/>
    <cellStyle name="Lien hypertexte visité" xfId="12180" builtinId="9" hidden="1"/>
    <cellStyle name="Lien hypertexte visité" xfId="12132" builtinId="9" hidden="1"/>
    <cellStyle name="Lien hypertexte visité" xfId="12100" builtinId="9" hidden="1"/>
    <cellStyle name="Lien hypertexte visité" xfId="12068" builtinId="9" hidden="1"/>
    <cellStyle name="Lien hypertexte visité" xfId="12020" builtinId="9" hidden="1"/>
    <cellStyle name="Lien hypertexte visité" xfId="11988" builtinId="9" hidden="1"/>
    <cellStyle name="Lien hypertexte visité" xfId="11956" builtinId="9" hidden="1"/>
    <cellStyle name="Lien hypertexte visité" xfId="11924" builtinId="9" hidden="1"/>
    <cellStyle name="Lien hypertexte visité" xfId="11876" builtinId="9" hidden="1"/>
    <cellStyle name="Lien hypertexte visité" xfId="11844" builtinId="9" hidden="1"/>
    <cellStyle name="Lien hypertexte visité" xfId="11812" builtinId="9" hidden="1"/>
    <cellStyle name="Lien hypertexte visité" xfId="11764" builtinId="9" hidden="1"/>
    <cellStyle name="Lien hypertexte visité" xfId="11732" builtinId="9" hidden="1"/>
    <cellStyle name="Lien hypertexte visité" xfId="11700" builtinId="9" hidden="1"/>
    <cellStyle name="Lien hypertexte visité" xfId="11668" builtinId="9" hidden="1"/>
    <cellStyle name="Lien hypertexte visité" xfId="11620" builtinId="9" hidden="1"/>
    <cellStyle name="Lien hypertexte visité" xfId="11588" builtinId="9" hidden="1"/>
    <cellStyle name="Lien hypertexte visité" xfId="11556" builtinId="9" hidden="1"/>
    <cellStyle name="Lien hypertexte visité" xfId="11508" builtinId="9" hidden="1"/>
    <cellStyle name="Lien hypertexte visité" xfId="11476" builtinId="9" hidden="1"/>
    <cellStyle name="Lien hypertexte visité" xfId="11444" builtinId="9" hidden="1"/>
    <cellStyle name="Lien hypertexte visité" xfId="11412" builtinId="9" hidden="1"/>
    <cellStyle name="Lien hypertexte visité" xfId="11364" builtinId="9" hidden="1"/>
    <cellStyle name="Lien hypertexte visité" xfId="11332" builtinId="9" hidden="1"/>
    <cellStyle name="Lien hypertexte visité" xfId="11300" builtinId="9" hidden="1"/>
    <cellStyle name="Lien hypertexte visité" xfId="11252" builtinId="9" hidden="1"/>
    <cellStyle name="Lien hypertexte visité" xfId="11220" builtinId="9" hidden="1"/>
    <cellStyle name="Lien hypertexte visité" xfId="11188" builtinId="9" hidden="1"/>
    <cellStyle name="Lien hypertexte visité" xfId="11156" builtinId="9" hidden="1"/>
    <cellStyle name="Lien hypertexte visité" xfId="11108" builtinId="9" hidden="1"/>
    <cellStyle name="Lien hypertexte visité" xfId="11076" builtinId="9" hidden="1"/>
    <cellStyle name="Lien hypertexte visité" xfId="11044" builtinId="9" hidden="1"/>
    <cellStyle name="Lien hypertexte visité" xfId="10996" builtinId="9" hidden="1"/>
    <cellStyle name="Lien hypertexte visité" xfId="10964" builtinId="9" hidden="1"/>
    <cellStyle name="Lien hypertexte visité" xfId="10932" builtinId="9" hidden="1"/>
    <cellStyle name="Lien hypertexte visité" xfId="10900" builtinId="9" hidden="1"/>
    <cellStyle name="Lien hypertexte visité" xfId="10852" builtinId="9" hidden="1"/>
    <cellStyle name="Lien hypertexte visité" xfId="10820" builtinId="9" hidden="1"/>
    <cellStyle name="Lien hypertexte visité" xfId="10788" builtinId="9" hidden="1"/>
    <cellStyle name="Lien hypertexte visité" xfId="10740" builtinId="9" hidden="1"/>
    <cellStyle name="Lien hypertexte visité" xfId="10708" builtinId="9" hidden="1"/>
    <cellStyle name="Lien hypertexte visité" xfId="10676" builtinId="9" hidden="1"/>
    <cellStyle name="Lien hypertexte visité" xfId="10644" builtinId="9" hidden="1"/>
    <cellStyle name="Lien hypertexte visité" xfId="10596" builtinId="9" hidden="1"/>
    <cellStyle name="Lien hypertexte visité" xfId="10564" builtinId="9" hidden="1"/>
    <cellStyle name="Lien hypertexte visité" xfId="10532" builtinId="9" hidden="1"/>
    <cellStyle name="Lien hypertexte visité" xfId="10484" builtinId="9" hidden="1"/>
    <cellStyle name="Lien hypertexte visité" xfId="10452" builtinId="9" hidden="1"/>
    <cellStyle name="Lien hypertexte visité" xfId="10420" builtinId="9" hidden="1"/>
    <cellStyle name="Lien hypertexte visité" xfId="10388" builtinId="9" hidden="1"/>
    <cellStyle name="Lien hypertexte visité" xfId="10340" builtinId="9" hidden="1"/>
    <cellStyle name="Lien hypertexte visité" xfId="10308" builtinId="9" hidden="1"/>
    <cellStyle name="Lien hypertexte visité" xfId="10276" builtinId="9" hidden="1"/>
    <cellStyle name="Lien hypertexte visité" xfId="10228" builtinId="9" hidden="1"/>
    <cellStyle name="Lien hypertexte visité" xfId="10196" builtinId="9" hidden="1"/>
    <cellStyle name="Lien hypertexte visité" xfId="10164" builtinId="9" hidden="1"/>
    <cellStyle name="Lien hypertexte visité" xfId="10132" builtinId="9" hidden="1"/>
    <cellStyle name="Lien hypertexte visité" xfId="10084" builtinId="9" hidden="1"/>
    <cellStyle name="Lien hypertexte visité" xfId="10052" builtinId="9" hidden="1"/>
    <cellStyle name="Lien hypertexte visité" xfId="10020" builtinId="9" hidden="1"/>
    <cellStyle name="Lien hypertexte visité" xfId="9972" builtinId="9" hidden="1"/>
    <cellStyle name="Lien hypertexte visité" xfId="9940" builtinId="9" hidden="1"/>
    <cellStyle name="Lien hypertexte visité" xfId="9908" builtinId="9" hidden="1"/>
    <cellStyle name="Lien hypertexte visité" xfId="9876" builtinId="9" hidden="1"/>
    <cellStyle name="Lien hypertexte visité" xfId="9828" builtinId="9" hidden="1"/>
    <cellStyle name="Lien hypertexte visité" xfId="9796" builtinId="9" hidden="1"/>
    <cellStyle name="Lien hypertexte visité" xfId="9764" builtinId="9" hidden="1"/>
    <cellStyle name="Lien hypertexte visité" xfId="9716" builtinId="9" hidden="1"/>
    <cellStyle name="Lien hypertexte visité" xfId="9684" builtinId="9" hidden="1"/>
    <cellStyle name="Lien hypertexte visité" xfId="9652" builtinId="9" hidden="1"/>
    <cellStyle name="Lien hypertexte visité" xfId="9620" builtinId="9" hidden="1"/>
    <cellStyle name="Lien hypertexte visité" xfId="9572" builtinId="9" hidden="1"/>
    <cellStyle name="Lien hypertexte visité" xfId="9540" builtinId="9" hidden="1"/>
    <cellStyle name="Lien hypertexte visité" xfId="9508" builtinId="9" hidden="1"/>
    <cellStyle name="Lien hypertexte visité" xfId="9460" builtinId="9" hidden="1"/>
    <cellStyle name="Lien hypertexte visité" xfId="9428" builtinId="9" hidden="1"/>
    <cellStyle name="Lien hypertexte visité" xfId="9396" builtinId="9" hidden="1"/>
    <cellStyle name="Lien hypertexte visité" xfId="9364" builtinId="9" hidden="1"/>
    <cellStyle name="Lien hypertexte visité" xfId="9316" builtinId="9" hidden="1"/>
    <cellStyle name="Lien hypertexte visité" xfId="9284" builtinId="9" hidden="1"/>
    <cellStyle name="Lien hypertexte visité" xfId="9252" builtinId="9" hidden="1"/>
    <cellStyle name="Lien hypertexte visité" xfId="9204" builtinId="9" hidden="1"/>
    <cellStyle name="Lien hypertexte visité" xfId="9172" builtinId="9" hidden="1"/>
    <cellStyle name="Lien hypertexte visité" xfId="9140" builtinId="9" hidden="1"/>
    <cellStyle name="Lien hypertexte visité" xfId="9108" builtinId="9" hidden="1"/>
    <cellStyle name="Lien hypertexte visité" xfId="9060" builtinId="9" hidden="1"/>
    <cellStyle name="Lien hypertexte visité" xfId="9028" builtinId="9" hidden="1"/>
    <cellStyle name="Lien hypertexte visité" xfId="8996" builtinId="9" hidden="1"/>
    <cellStyle name="Lien hypertexte visité" xfId="8948" builtinId="9" hidden="1"/>
    <cellStyle name="Lien hypertexte visité" xfId="8916" builtinId="9" hidden="1"/>
    <cellStyle name="Lien hypertexte visité" xfId="8884" builtinId="9" hidden="1"/>
    <cellStyle name="Lien hypertexte visité" xfId="8852" builtinId="9" hidden="1"/>
    <cellStyle name="Lien hypertexte visité" xfId="8804" builtinId="9" hidden="1"/>
    <cellStyle name="Lien hypertexte visité" xfId="8772" builtinId="9" hidden="1"/>
    <cellStyle name="Lien hypertexte visité" xfId="8740" builtinId="9" hidden="1"/>
    <cellStyle name="Lien hypertexte visité" xfId="8692" builtinId="9" hidden="1"/>
    <cellStyle name="Lien hypertexte visité" xfId="8660" builtinId="9" hidden="1"/>
    <cellStyle name="Lien hypertexte visité" xfId="8628" builtinId="9" hidden="1"/>
    <cellStyle name="Lien hypertexte visité" xfId="8596" builtinId="9" hidden="1"/>
    <cellStyle name="Lien hypertexte visité" xfId="8548" builtinId="9" hidden="1"/>
    <cellStyle name="Lien hypertexte visité" xfId="8516" builtinId="9" hidden="1"/>
    <cellStyle name="Lien hypertexte visité" xfId="8484" builtinId="9" hidden="1"/>
    <cellStyle name="Lien hypertexte visité" xfId="8436" builtinId="9" hidden="1"/>
    <cellStyle name="Lien hypertexte visité" xfId="8404" builtinId="9" hidden="1"/>
    <cellStyle name="Lien hypertexte visité" xfId="8372" builtinId="9" hidden="1"/>
    <cellStyle name="Lien hypertexte visité" xfId="8340" builtinId="9" hidden="1"/>
    <cellStyle name="Lien hypertexte visité" xfId="8292" builtinId="9" hidden="1"/>
    <cellStyle name="Lien hypertexte visité" xfId="8260" builtinId="9" hidden="1"/>
    <cellStyle name="Lien hypertexte visité" xfId="8228" builtinId="9" hidden="1"/>
    <cellStyle name="Lien hypertexte visité" xfId="8180" builtinId="9" hidden="1"/>
    <cellStyle name="Lien hypertexte visité" xfId="8148" builtinId="9" hidden="1"/>
    <cellStyle name="Lien hypertexte visité" xfId="8116" builtinId="9" hidden="1"/>
    <cellStyle name="Lien hypertexte visité" xfId="8084" builtinId="9" hidden="1"/>
    <cellStyle name="Lien hypertexte visité" xfId="8036" builtinId="9" hidden="1"/>
    <cellStyle name="Lien hypertexte visité" xfId="8004" builtinId="9" hidden="1"/>
    <cellStyle name="Lien hypertexte visité" xfId="7972" builtinId="9" hidden="1"/>
    <cellStyle name="Lien hypertexte visité" xfId="7924" builtinId="9" hidden="1"/>
    <cellStyle name="Lien hypertexte visité" xfId="7892" builtinId="9" hidden="1"/>
    <cellStyle name="Lien hypertexte visité" xfId="7860" builtinId="9" hidden="1"/>
    <cellStyle name="Lien hypertexte visité" xfId="7828" builtinId="9" hidden="1"/>
    <cellStyle name="Lien hypertexte visité" xfId="7779" builtinId="9" hidden="1"/>
    <cellStyle name="Lien hypertexte visité" xfId="7747" builtinId="9" hidden="1"/>
    <cellStyle name="Lien hypertexte visité" xfId="7715" builtinId="9" hidden="1"/>
    <cellStyle name="Lien hypertexte visité" xfId="7667" builtinId="9" hidden="1"/>
    <cellStyle name="Lien hypertexte visité" xfId="7635" builtinId="9" hidden="1"/>
    <cellStyle name="Lien hypertexte visité" xfId="7603" builtinId="9" hidden="1"/>
    <cellStyle name="Lien hypertexte visité" xfId="7571" builtinId="9" hidden="1"/>
    <cellStyle name="Lien hypertexte visité" xfId="7523" builtinId="9" hidden="1"/>
    <cellStyle name="Lien hypertexte visité" xfId="7491" builtinId="9" hidden="1"/>
    <cellStyle name="Lien hypertexte visité" xfId="7459" builtinId="9" hidden="1"/>
    <cellStyle name="Lien hypertexte visité" xfId="7411" builtinId="9" hidden="1"/>
    <cellStyle name="Lien hypertexte visité" xfId="7379" builtinId="9" hidden="1"/>
    <cellStyle name="Lien hypertexte visité" xfId="7347" builtinId="9" hidden="1"/>
    <cellStyle name="Lien hypertexte visité" xfId="7315" builtinId="9" hidden="1"/>
    <cellStyle name="Lien hypertexte visité" xfId="7267" builtinId="9" hidden="1"/>
    <cellStyle name="Lien hypertexte visité" xfId="7235" builtinId="9" hidden="1"/>
    <cellStyle name="Lien hypertexte visité" xfId="7203" builtinId="9" hidden="1"/>
    <cellStyle name="Lien hypertexte visité" xfId="7155" builtinId="9" hidden="1"/>
    <cellStyle name="Lien hypertexte visité" xfId="7123" builtinId="9" hidden="1"/>
    <cellStyle name="Lien hypertexte visité" xfId="7091" builtinId="9" hidden="1"/>
    <cellStyle name="Lien hypertexte visité" xfId="7059" builtinId="9" hidden="1"/>
    <cellStyle name="Lien hypertexte visité" xfId="7011" builtinId="9" hidden="1"/>
    <cellStyle name="Lien hypertexte visité" xfId="6979" builtinId="9" hidden="1"/>
    <cellStyle name="Lien hypertexte visité" xfId="6947" builtinId="9" hidden="1"/>
    <cellStyle name="Lien hypertexte visité" xfId="6899" builtinId="9" hidden="1"/>
    <cellStyle name="Lien hypertexte visité" xfId="6867" builtinId="9" hidden="1"/>
    <cellStyle name="Lien hypertexte visité" xfId="6835" builtinId="9" hidden="1"/>
    <cellStyle name="Lien hypertexte visité" xfId="6803" builtinId="9" hidden="1"/>
    <cellStyle name="Lien hypertexte visité" xfId="6755" builtinId="9" hidden="1"/>
    <cellStyle name="Lien hypertexte visité" xfId="6723" builtinId="9" hidden="1"/>
    <cellStyle name="Lien hypertexte visité" xfId="6691" builtinId="9" hidden="1"/>
    <cellStyle name="Lien hypertexte visité" xfId="6643" builtinId="9" hidden="1"/>
    <cellStyle name="Lien hypertexte visité" xfId="6611" builtinId="9" hidden="1"/>
    <cellStyle name="Lien hypertexte visité" xfId="6579" builtinId="9" hidden="1"/>
    <cellStyle name="Lien hypertexte visité" xfId="6547" builtinId="9" hidden="1"/>
    <cellStyle name="Lien hypertexte visité" xfId="6499" builtinId="9" hidden="1"/>
    <cellStyle name="Lien hypertexte visité" xfId="6467" builtinId="9" hidden="1"/>
    <cellStyle name="Lien hypertexte visité" xfId="6435" builtinId="9" hidden="1"/>
    <cellStyle name="Lien hypertexte visité" xfId="6387" builtinId="9" hidden="1"/>
    <cellStyle name="Lien hypertexte visité" xfId="6355" builtinId="9" hidden="1"/>
    <cellStyle name="Lien hypertexte visité" xfId="6323" builtinId="9" hidden="1"/>
    <cellStyle name="Lien hypertexte visité" xfId="6291" builtinId="9" hidden="1"/>
    <cellStyle name="Lien hypertexte visité" xfId="6243" builtinId="9" hidden="1"/>
    <cellStyle name="Lien hypertexte visité" xfId="6211" builtinId="9" hidden="1"/>
    <cellStyle name="Lien hypertexte visité" xfId="6179" builtinId="9" hidden="1"/>
    <cellStyle name="Lien hypertexte visité" xfId="6131" builtinId="9" hidden="1"/>
    <cellStyle name="Lien hypertexte visité" xfId="6099" builtinId="9" hidden="1"/>
    <cellStyle name="Lien hypertexte visité" xfId="6067" builtinId="9" hidden="1"/>
    <cellStyle name="Lien hypertexte visité" xfId="6035" builtinId="9" hidden="1"/>
    <cellStyle name="Lien hypertexte visité" xfId="5987" builtinId="9" hidden="1"/>
    <cellStyle name="Lien hypertexte visité" xfId="5955" builtinId="9" hidden="1"/>
    <cellStyle name="Lien hypertexte visité" xfId="5923" builtinId="9" hidden="1"/>
    <cellStyle name="Lien hypertexte visité" xfId="5875" builtinId="9" hidden="1"/>
    <cellStyle name="Lien hypertexte visité" xfId="5843" builtinId="9" hidden="1"/>
    <cellStyle name="Lien hypertexte visité" xfId="5811" builtinId="9" hidden="1"/>
    <cellStyle name="Lien hypertexte visité" xfId="5779" builtinId="9" hidden="1"/>
    <cellStyle name="Lien hypertexte visité" xfId="5731" builtinId="9" hidden="1"/>
    <cellStyle name="Lien hypertexte visité" xfId="5699" builtinId="9" hidden="1"/>
    <cellStyle name="Lien hypertexte visité" xfId="5667" builtinId="9" hidden="1"/>
    <cellStyle name="Lien hypertexte visité" xfId="5619" builtinId="9" hidden="1"/>
    <cellStyle name="Lien hypertexte visité" xfId="5587" builtinId="9" hidden="1"/>
    <cellStyle name="Lien hypertexte visité" xfId="5555" builtinId="9" hidden="1"/>
    <cellStyle name="Lien hypertexte visité" xfId="5523" builtinId="9" hidden="1"/>
    <cellStyle name="Lien hypertexte visité" xfId="5475" builtinId="9" hidden="1"/>
    <cellStyle name="Lien hypertexte visité" xfId="5443" builtinId="9" hidden="1"/>
    <cellStyle name="Lien hypertexte visité" xfId="5411" builtinId="9" hidden="1"/>
    <cellStyle name="Lien hypertexte visité" xfId="5363" builtinId="9" hidden="1"/>
    <cellStyle name="Lien hypertexte visité" xfId="5331" builtinId="9" hidden="1"/>
    <cellStyle name="Lien hypertexte visité" xfId="5299" builtinId="9" hidden="1"/>
    <cellStyle name="Lien hypertexte visité" xfId="5267" builtinId="9" hidden="1"/>
    <cellStyle name="Lien hypertexte visité" xfId="5219" builtinId="9" hidden="1"/>
    <cellStyle name="Lien hypertexte visité" xfId="5187" builtinId="9" hidden="1"/>
    <cellStyle name="Lien hypertexte visité" xfId="18950" builtinId="9" hidden="1"/>
    <cellStyle name="Lien hypertexte visité" xfId="18694" builtinId="9" hidden="1"/>
    <cellStyle name="Lien hypertexte visité" xfId="18438" builtinId="9" hidden="1"/>
    <cellStyle name="Lien hypertexte visité" xfId="18199" builtinId="9" hidden="1"/>
    <cellStyle name="Lien hypertexte visité" xfId="17943" builtinId="9" hidden="1"/>
    <cellStyle name="Lien hypertexte visité" xfId="17687" builtinId="9" hidden="1"/>
    <cellStyle name="Lien hypertexte visité" xfId="17431" builtinId="9" hidden="1"/>
    <cellStyle name="Lien hypertexte visité" xfId="17175" builtinId="9" hidden="1"/>
    <cellStyle name="Lien hypertexte visité" xfId="16919" builtinId="9" hidden="1"/>
    <cellStyle name="Lien hypertexte visité" xfId="16663" builtinId="9" hidden="1"/>
    <cellStyle name="Lien hypertexte visité" xfId="16407" builtinId="9" hidden="1"/>
    <cellStyle name="Lien hypertexte visité" xfId="16151" builtinId="9" hidden="1"/>
    <cellStyle name="Lien hypertexte visité" xfId="15895" builtinId="9" hidden="1"/>
    <cellStyle name="Lien hypertexte visité" xfId="15639" builtinId="9" hidden="1"/>
    <cellStyle name="Lien hypertexte visité" xfId="15383" builtinId="9" hidden="1"/>
    <cellStyle name="Lien hypertexte visité" xfId="15127" builtinId="9" hidden="1"/>
    <cellStyle name="Lien hypertexte visité" xfId="14871" builtinId="9" hidden="1"/>
    <cellStyle name="Lien hypertexte visité" xfId="14615" builtinId="9" hidden="1"/>
    <cellStyle name="Lien hypertexte visité" xfId="14437" builtinId="9" hidden="1"/>
    <cellStyle name="Lien hypertexte visité" xfId="14309" builtinId="9" hidden="1"/>
    <cellStyle name="Lien hypertexte visité" xfId="14181" builtinId="9" hidden="1"/>
    <cellStyle name="Lien hypertexte visité" xfId="14053" builtinId="9" hidden="1"/>
    <cellStyle name="Lien hypertexte visité" xfId="13925" builtinId="9" hidden="1"/>
    <cellStyle name="Lien hypertexte visité" xfId="13797" builtinId="9" hidden="1"/>
    <cellStyle name="Lien hypertexte visité" xfId="13669" builtinId="9" hidden="1"/>
    <cellStyle name="Lien hypertexte visité" xfId="13541" builtinId="9" hidden="1"/>
    <cellStyle name="Lien hypertexte visité" xfId="13413" builtinId="9" hidden="1"/>
    <cellStyle name="Lien hypertexte visité" xfId="13285" builtinId="9" hidden="1"/>
    <cellStyle name="Lien hypertexte visité" xfId="13157" builtinId="9" hidden="1"/>
    <cellStyle name="Lien hypertexte visité" xfId="13029" builtinId="9" hidden="1"/>
    <cellStyle name="Lien hypertexte visité" xfId="12901" builtinId="9" hidden="1"/>
    <cellStyle name="Lien hypertexte visité" xfId="12773" builtinId="9" hidden="1"/>
    <cellStyle name="Lien hypertexte visité" xfId="12645" builtinId="9" hidden="1"/>
    <cellStyle name="Lien hypertexte visité" xfId="12517" builtinId="9" hidden="1"/>
    <cellStyle name="Lien hypertexte visité" xfId="12389" builtinId="9" hidden="1"/>
    <cellStyle name="Lien hypertexte visité" xfId="12261" builtinId="9" hidden="1"/>
    <cellStyle name="Lien hypertexte visité" xfId="12133" builtinId="9" hidden="1"/>
    <cellStyle name="Lien hypertexte visité" xfId="12005" builtinId="9" hidden="1"/>
    <cellStyle name="Lien hypertexte visité" xfId="11877" builtinId="9" hidden="1"/>
    <cellStyle name="Lien hypertexte visité" xfId="11749" builtinId="9" hidden="1"/>
    <cellStyle name="Lien hypertexte visité" xfId="11621" builtinId="9" hidden="1"/>
    <cellStyle name="Lien hypertexte visité" xfId="11493" builtinId="9" hidden="1"/>
    <cellStyle name="Lien hypertexte visité" xfId="11365" builtinId="9" hidden="1"/>
    <cellStyle name="Lien hypertexte visité" xfId="11237" builtinId="9" hidden="1"/>
    <cellStyle name="Lien hypertexte visité" xfId="11109" builtinId="9" hidden="1"/>
    <cellStyle name="Lien hypertexte visité" xfId="10981" builtinId="9" hidden="1"/>
    <cellStyle name="Lien hypertexte visité" xfId="10853" builtinId="9" hidden="1"/>
    <cellStyle name="Lien hypertexte visité" xfId="10725" builtinId="9" hidden="1"/>
    <cellStyle name="Lien hypertexte visité" xfId="10597" builtinId="9" hidden="1"/>
    <cellStyle name="Lien hypertexte visité" xfId="10469" builtinId="9" hidden="1"/>
    <cellStyle name="Lien hypertexte visité" xfId="10341" builtinId="9" hidden="1"/>
    <cellStyle name="Lien hypertexte visité" xfId="10213" builtinId="9" hidden="1"/>
    <cellStyle name="Lien hypertexte visité" xfId="10085" builtinId="9" hidden="1"/>
    <cellStyle name="Lien hypertexte visité" xfId="9957" builtinId="9" hidden="1"/>
    <cellStyle name="Lien hypertexte visité" xfId="9829" builtinId="9" hidden="1"/>
    <cellStyle name="Lien hypertexte visité" xfId="9701" builtinId="9" hidden="1"/>
    <cellStyle name="Lien hypertexte visité" xfId="9573" builtinId="9" hidden="1"/>
    <cellStyle name="Lien hypertexte visité" xfId="9445" builtinId="9" hidden="1"/>
    <cellStyle name="Lien hypertexte visité" xfId="9317" builtinId="9" hidden="1"/>
    <cellStyle name="Lien hypertexte visité" xfId="9189" builtinId="9" hidden="1"/>
    <cellStyle name="Lien hypertexte visité" xfId="9061" builtinId="9" hidden="1"/>
    <cellStyle name="Lien hypertexte visité" xfId="8933" builtinId="9" hidden="1"/>
    <cellStyle name="Lien hypertexte visité" xfId="8805" builtinId="9" hidden="1"/>
    <cellStyle name="Lien hypertexte visité" xfId="8677" builtinId="9" hidden="1"/>
    <cellStyle name="Lien hypertexte visité" xfId="8549" builtinId="9" hidden="1"/>
    <cellStyle name="Lien hypertexte visité" xfId="8421" builtinId="9" hidden="1"/>
    <cellStyle name="Lien hypertexte visité" xfId="8293" builtinId="9" hidden="1"/>
    <cellStyle name="Lien hypertexte visité" xfId="8165" builtinId="9" hidden="1"/>
    <cellStyle name="Lien hypertexte visité" xfId="8037" builtinId="9" hidden="1"/>
    <cellStyle name="Lien hypertexte visité" xfId="7909" builtinId="9" hidden="1"/>
    <cellStyle name="Lien hypertexte visité" xfId="7780" builtinId="9" hidden="1"/>
    <cellStyle name="Lien hypertexte visité" xfId="7652" builtinId="9" hidden="1"/>
    <cellStyle name="Lien hypertexte visité" xfId="7524" builtinId="9" hidden="1"/>
    <cellStyle name="Lien hypertexte visité" xfId="7396" builtinId="9" hidden="1"/>
    <cellStyle name="Lien hypertexte visité" xfId="7268" builtinId="9" hidden="1"/>
    <cellStyle name="Lien hypertexte visité" xfId="7140" builtinId="9" hidden="1"/>
    <cellStyle name="Lien hypertexte visité" xfId="7012" builtinId="9" hidden="1"/>
    <cellStyle name="Lien hypertexte visité" xfId="6884" builtinId="9" hidden="1"/>
    <cellStyle name="Lien hypertexte visité" xfId="6756" builtinId="9" hidden="1"/>
    <cellStyle name="Lien hypertexte visité" xfId="6628" builtinId="9" hidden="1"/>
    <cellStyle name="Lien hypertexte visité" xfId="6500" builtinId="9" hidden="1"/>
    <cellStyle name="Lien hypertexte visité" xfId="6372" builtinId="9" hidden="1"/>
    <cellStyle name="Lien hypertexte visité" xfId="6244" builtinId="9" hidden="1"/>
    <cellStyle name="Lien hypertexte visité" xfId="6116" builtinId="9" hidden="1"/>
    <cellStyle name="Lien hypertexte visité" xfId="5988" builtinId="9" hidden="1"/>
    <cellStyle name="Lien hypertexte visité" xfId="5860" builtinId="9" hidden="1"/>
    <cellStyle name="Lien hypertexte visité" xfId="5732" builtinId="9" hidden="1"/>
    <cellStyle name="Lien hypertexte visité" xfId="5604" builtinId="9" hidden="1"/>
    <cellStyle name="Lien hypertexte visité" xfId="5476" builtinId="9" hidden="1"/>
    <cellStyle name="Lien hypertexte visité" xfId="5348" builtinId="9" hidden="1"/>
    <cellStyle name="Lien hypertexte visité" xfId="5220" builtinId="9" hidden="1"/>
    <cellStyle name="Lien hypertexte visité" xfId="5092" builtinId="9" hidden="1"/>
    <cellStyle name="Lien hypertexte visité" xfId="4964" builtinId="9" hidden="1"/>
    <cellStyle name="Lien hypertexte visité" xfId="4836" builtinId="9" hidden="1"/>
    <cellStyle name="Lien hypertexte visité" xfId="4708" builtinId="9" hidden="1"/>
    <cellStyle name="Lien hypertexte visité" xfId="4580" builtinId="9" hidden="1"/>
    <cellStyle name="Lien hypertexte visité" xfId="4452" builtinId="9" hidden="1"/>
    <cellStyle name="Lien hypertexte visité" xfId="4324" builtinId="9" hidden="1"/>
    <cellStyle name="Lien hypertexte visité" xfId="4196" builtinId="9" hidden="1"/>
    <cellStyle name="Lien hypertexte visité" xfId="4068" builtinId="9" hidden="1"/>
    <cellStyle name="Lien hypertexte visité" xfId="3940" builtinId="9" hidden="1"/>
    <cellStyle name="Lien hypertexte visité" xfId="3815" builtinId="9" hidden="1"/>
    <cellStyle name="Lien hypertexte visité" xfId="3686" builtinId="9" hidden="1"/>
    <cellStyle name="Lien hypertexte visité" xfId="3550" builtinId="9" hidden="1"/>
    <cellStyle name="Lien hypertexte visité" xfId="3422" builtinId="9" hidden="1"/>
    <cellStyle name="Lien hypertexte visité" xfId="3294" builtinId="9" hidden="1"/>
    <cellStyle name="Lien hypertexte visité" xfId="3166" builtinId="9" hidden="1"/>
    <cellStyle name="Lien hypertexte visité" xfId="3038" builtinId="9" hidden="1"/>
    <cellStyle name="Lien hypertexte visité" xfId="2910" builtinId="9" hidden="1"/>
    <cellStyle name="Lien hypertexte visité" xfId="2782" builtinId="9" hidden="1"/>
    <cellStyle name="Lien hypertexte visité" xfId="2654" builtinId="9" hidden="1"/>
    <cellStyle name="Lien hypertexte visité" xfId="2526" builtinId="9" hidden="1"/>
    <cellStyle name="Lien hypertexte visité" xfId="2398" builtinId="9" hidden="1"/>
    <cellStyle name="Lien hypertexte visité" xfId="2270" builtinId="9" hidden="1"/>
    <cellStyle name="Lien hypertexte visité" xfId="2142" builtinId="9" hidden="1"/>
    <cellStyle name="Lien hypertexte visité" xfId="2014" builtinId="9" hidden="1"/>
    <cellStyle name="Lien hypertexte visité" xfId="1886" builtinId="9" hidden="1"/>
    <cellStyle name="Lien hypertexte visité" xfId="1758" builtinId="9" hidden="1"/>
    <cellStyle name="Lien hypertexte visité" xfId="1630" builtinId="9" hidden="1"/>
    <cellStyle name="Lien hypertexte visité" xfId="1502" builtinId="9" hidden="1"/>
    <cellStyle name="Lien hypertexte visité" xfId="1373" builtinId="9" hidden="1"/>
    <cellStyle name="Lien hypertexte visité" xfId="1245" builtinId="9" hidden="1"/>
    <cellStyle name="Lien hypertexte visité" xfId="1071" builtinId="9" hidden="1"/>
    <cellStyle name="Lien hypertexte visité" xfId="815" builtinId="9" hidden="1"/>
    <cellStyle name="Lien hypertexte visité" xfId="559" builtinId="9" hidden="1"/>
    <cellStyle name="Lien hypertexte visité" xfId="303" builtinId="9" hidden="1"/>
    <cellStyle name="Lien hypertexte visité" xfId="111" builtinId="9" hidden="1"/>
    <cellStyle name="Lien hypertexte visité" xfId="179" builtinId="9" hidden="1"/>
    <cellStyle name="Lien hypertexte visité" xfId="435" builtinId="9" hidden="1"/>
    <cellStyle name="Lien hypertexte visité" xfId="691" builtinId="9" hidden="1"/>
    <cellStyle name="Lien hypertexte visité" xfId="947" builtinId="9" hidden="1"/>
    <cellStyle name="Lien hypertexte visité" xfId="1183" builtinId="9" hidden="1"/>
    <cellStyle name="Lien hypertexte visité" xfId="1311" builtinId="9" hidden="1"/>
    <cellStyle name="Lien hypertexte visité" xfId="1439" builtinId="9" hidden="1"/>
    <cellStyle name="Lien hypertexte visité" xfId="1568" builtinId="9" hidden="1"/>
    <cellStyle name="Lien hypertexte visité" xfId="1696" builtinId="9" hidden="1"/>
    <cellStyle name="Lien hypertexte visité" xfId="1824" builtinId="9" hidden="1"/>
    <cellStyle name="Lien hypertexte visité" xfId="1952" builtinId="9" hidden="1"/>
    <cellStyle name="Lien hypertexte visité" xfId="2080" builtinId="9" hidden="1"/>
    <cellStyle name="Lien hypertexte visité" xfId="2209" builtinId="9" hidden="1"/>
    <cellStyle name="Lien hypertexte visité" xfId="2336" builtinId="9" hidden="1"/>
    <cellStyle name="Lien hypertexte visité" xfId="2464" builtinId="9" hidden="1"/>
    <cellStyle name="Lien hypertexte visité" xfId="2592" builtinId="9" hidden="1"/>
    <cellStyle name="Lien hypertexte visité" xfId="2720" builtinId="9" hidden="1"/>
    <cellStyle name="Lien hypertexte visité" xfId="2848" builtinId="9" hidden="1"/>
    <cellStyle name="Lien hypertexte visité" xfId="2976" builtinId="9" hidden="1"/>
    <cellStyle name="Lien hypertexte visité" xfId="3104" builtinId="9" hidden="1"/>
    <cellStyle name="Lien hypertexte visité" xfId="3232" builtinId="9" hidden="1"/>
    <cellStyle name="Lien hypertexte visité" xfId="3360" builtinId="9" hidden="1"/>
    <cellStyle name="Lien hypertexte visité" xfId="3488" builtinId="9" hidden="1"/>
    <cellStyle name="Lien hypertexte visité" xfId="3617" builtinId="9" hidden="1"/>
    <cellStyle name="Lien hypertexte visité" xfId="3753" builtinId="9" hidden="1"/>
    <cellStyle name="Lien hypertexte visité" xfId="3881" builtinId="9" hidden="1"/>
    <cellStyle name="Lien hypertexte visité" xfId="4006" builtinId="9" hidden="1"/>
    <cellStyle name="Lien hypertexte visité" xfId="4134" builtinId="9" hidden="1"/>
    <cellStyle name="Lien hypertexte visité" xfId="4262" builtinId="9" hidden="1"/>
    <cellStyle name="Lien hypertexte visité" xfId="4390" builtinId="9" hidden="1"/>
    <cellStyle name="Lien hypertexte visité" xfId="4518" builtinId="9" hidden="1"/>
    <cellStyle name="Lien hypertexte visité" xfId="4646" builtinId="9" hidden="1"/>
    <cellStyle name="Lien hypertexte visité" xfId="4774" builtinId="9" hidden="1"/>
    <cellStyle name="Lien hypertexte visité" xfId="4902" builtinId="9" hidden="1"/>
    <cellStyle name="Lien hypertexte visité" xfId="5030" builtinId="9" hidden="1"/>
    <cellStyle name="Lien hypertexte visité" xfId="5158" builtinId="9" hidden="1"/>
    <cellStyle name="Lien hypertexte visité" xfId="5286" builtinId="9" hidden="1"/>
    <cellStyle name="Lien hypertexte visité" xfId="5414" builtinId="9" hidden="1"/>
    <cellStyle name="Lien hypertexte visité" xfId="5542" builtinId="9" hidden="1"/>
    <cellStyle name="Lien hypertexte visité" xfId="5670" builtinId="9" hidden="1"/>
    <cellStyle name="Lien hypertexte visité" xfId="5798" builtinId="9" hidden="1"/>
    <cellStyle name="Lien hypertexte visité" xfId="5926" builtinId="9" hidden="1"/>
    <cellStyle name="Lien hypertexte visité" xfId="6054" builtinId="9" hidden="1"/>
    <cellStyle name="Lien hypertexte visité" xfId="6182" builtinId="9" hidden="1"/>
    <cellStyle name="Lien hypertexte visité" xfId="6310" builtinId="9" hidden="1"/>
    <cellStyle name="Lien hypertexte visité" xfId="6438" builtinId="9" hidden="1"/>
    <cellStyle name="Lien hypertexte visité" xfId="6566" builtinId="9" hidden="1"/>
    <cellStyle name="Lien hypertexte visité" xfId="6694" builtinId="9" hidden="1"/>
    <cellStyle name="Lien hypertexte visité" xfId="6822" builtinId="9" hidden="1"/>
    <cellStyle name="Lien hypertexte visité" xfId="6950" builtinId="9" hidden="1"/>
    <cellStyle name="Lien hypertexte visité" xfId="7078" builtinId="9" hidden="1"/>
    <cellStyle name="Lien hypertexte visité" xfId="7206" builtinId="9" hidden="1"/>
    <cellStyle name="Lien hypertexte visité" xfId="7334" builtinId="9" hidden="1"/>
    <cellStyle name="Lien hypertexte visité" xfId="7462" builtinId="9" hidden="1"/>
    <cellStyle name="Lien hypertexte visité" xfId="7590" builtinId="9" hidden="1"/>
    <cellStyle name="Lien hypertexte visité" xfId="7718" builtinId="9" hidden="1"/>
    <cellStyle name="Lien hypertexte visité" xfId="7847" builtinId="9" hidden="1"/>
    <cellStyle name="Lien hypertexte visité" xfId="7975" builtinId="9" hidden="1"/>
    <cellStyle name="Lien hypertexte visité" xfId="8103" builtinId="9" hidden="1"/>
    <cellStyle name="Lien hypertexte visité" xfId="8231" builtinId="9" hidden="1"/>
    <cellStyle name="Lien hypertexte visité" xfId="8359" builtinId="9" hidden="1"/>
    <cellStyle name="Lien hypertexte visité" xfId="8487" builtinId="9" hidden="1"/>
    <cellStyle name="Lien hypertexte visité" xfId="8615" builtinId="9" hidden="1"/>
    <cellStyle name="Lien hypertexte visité" xfId="8743" builtinId="9" hidden="1"/>
    <cellStyle name="Lien hypertexte visité" xfId="8871" builtinId="9" hidden="1"/>
    <cellStyle name="Lien hypertexte visité" xfId="8999" builtinId="9" hidden="1"/>
    <cellStyle name="Lien hypertexte visité" xfId="9127" builtinId="9" hidden="1"/>
    <cellStyle name="Lien hypertexte visité" xfId="9255" builtinId="9" hidden="1"/>
    <cellStyle name="Lien hypertexte visité" xfId="9383" builtinId="9" hidden="1"/>
    <cellStyle name="Lien hypertexte visité" xfId="9511" builtinId="9" hidden="1"/>
    <cellStyle name="Lien hypertexte visité" xfId="9639" builtinId="9" hidden="1"/>
    <cellStyle name="Lien hypertexte visité" xfId="9767" builtinId="9" hidden="1"/>
    <cellStyle name="Lien hypertexte visité" xfId="9895" builtinId="9" hidden="1"/>
    <cellStyle name="Lien hypertexte visité" xfId="10023" builtinId="9" hidden="1"/>
    <cellStyle name="Lien hypertexte visité" xfId="10151" builtinId="9" hidden="1"/>
    <cellStyle name="Lien hypertexte visité" xfId="10279" builtinId="9" hidden="1"/>
    <cellStyle name="Lien hypertexte visité" xfId="10407" builtinId="9" hidden="1"/>
    <cellStyle name="Lien hypertexte visité" xfId="10535" builtinId="9" hidden="1"/>
    <cellStyle name="Lien hypertexte visité" xfId="10663" builtinId="9" hidden="1"/>
    <cellStyle name="Lien hypertexte visité" xfId="10791" builtinId="9" hidden="1"/>
    <cellStyle name="Lien hypertexte visité" xfId="10919" builtinId="9" hidden="1"/>
    <cellStyle name="Lien hypertexte visité" xfId="11047" builtinId="9" hidden="1"/>
    <cellStyle name="Lien hypertexte visité" xfId="11175" builtinId="9" hidden="1"/>
    <cellStyle name="Lien hypertexte visité" xfId="11303" builtinId="9" hidden="1"/>
    <cellStyle name="Lien hypertexte visité" xfId="11431" builtinId="9" hidden="1"/>
    <cellStyle name="Lien hypertexte visité" xfId="11559" builtinId="9" hidden="1"/>
    <cellStyle name="Lien hypertexte visité" xfId="11687" builtinId="9" hidden="1"/>
    <cellStyle name="Lien hypertexte visité" xfId="11815" builtinId="9" hidden="1"/>
    <cellStyle name="Lien hypertexte visité" xfId="11943" builtinId="9" hidden="1"/>
    <cellStyle name="Lien hypertexte visité" xfId="12071" builtinId="9" hidden="1"/>
    <cellStyle name="Lien hypertexte visité" xfId="12199" builtinId="9" hidden="1"/>
    <cellStyle name="Lien hypertexte visité" xfId="12327" builtinId="9" hidden="1"/>
    <cellStyle name="Lien hypertexte visité" xfId="12455" builtinId="9" hidden="1"/>
    <cellStyle name="Lien hypertexte visité" xfId="12583" builtinId="9" hidden="1"/>
    <cellStyle name="Lien hypertexte visité" xfId="12711" builtinId="9" hidden="1"/>
    <cellStyle name="Lien hypertexte visité" xfId="12839" builtinId="9" hidden="1"/>
    <cellStyle name="Lien hypertexte visité" xfId="12967" builtinId="9" hidden="1"/>
    <cellStyle name="Lien hypertexte visité" xfId="13095" builtinId="9" hidden="1"/>
    <cellStyle name="Lien hypertexte visité" xfId="13223" builtinId="9" hidden="1"/>
    <cellStyle name="Lien hypertexte visité" xfId="13351" builtinId="9" hidden="1"/>
    <cellStyle name="Lien hypertexte visité" xfId="13479" builtinId="9" hidden="1"/>
    <cellStyle name="Lien hypertexte visité" xfId="13607" builtinId="9" hidden="1"/>
    <cellStyle name="Lien hypertexte visité" xfId="13735" builtinId="9" hidden="1"/>
    <cellStyle name="Lien hypertexte visité" xfId="13863" builtinId="9" hidden="1"/>
    <cellStyle name="Lien hypertexte visité" xfId="13991" builtinId="9" hidden="1"/>
    <cellStyle name="Lien hypertexte visité" xfId="14119" builtinId="9" hidden="1"/>
    <cellStyle name="Lien hypertexte visité" xfId="14247" builtinId="9" hidden="1"/>
    <cellStyle name="Lien hypertexte visité" xfId="14375" builtinId="9" hidden="1"/>
    <cellStyle name="Lien hypertexte visité" xfId="14503" builtinId="9" hidden="1"/>
    <cellStyle name="Lien hypertexte visité" xfId="14747" builtinId="9" hidden="1"/>
    <cellStyle name="Lien hypertexte visité" xfId="15003" builtinId="9" hidden="1"/>
    <cellStyle name="Lien hypertexte visité" xfId="15259" builtinId="9" hidden="1"/>
    <cellStyle name="Lien hypertexte visité" xfId="15515" builtinId="9" hidden="1"/>
    <cellStyle name="Lien hypertexte visité" xfId="15771" builtinId="9" hidden="1"/>
    <cellStyle name="Lien hypertexte visité" xfId="16027" builtinId="9" hidden="1"/>
    <cellStyle name="Lien hypertexte visité" xfId="16283" builtinId="9" hidden="1"/>
    <cellStyle name="Lien hypertexte visité" xfId="16539" builtinId="9" hidden="1"/>
    <cellStyle name="Lien hypertexte visité" xfId="16795" builtinId="9" hidden="1"/>
    <cellStyle name="Lien hypertexte visité" xfId="17051" builtinId="9" hidden="1"/>
    <cellStyle name="Lien hypertexte visité" xfId="17307" builtinId="9" hidden="1"/>
    <cellStyle name="Lien hypertexte visité" xfId="8302" builtinId="9" hidden="1"/>
    <cellStyle name="Lien hypertexte visité" xfId="8386" builtinId="9" hidden="1"/>
    <cellStyle name="Lien hypertexte visité" xfId="8470" builtinId="9" hidden="1"/>
    <cellStyle name="Lien hypertexte visité" xfId="8558" builtinId="9" hidden="1"/>
    <cellStyle name="Lien hypertexte visité" xfId="8642" builtinId="9" hidden="1"/>
    <cellStyle name="Lien hypertexte visité" xfId="8726" builtinId="9" hidden="1"/>
    <cellStyle name="Lien hypertexte visité" xfId="8814" builtinId="9" hidden="1"/>
    <cellStyle name="Lien hypertexte visité" xfId="8898" builtinId="9" hidden="1"/>
    <cellStyle name="Lien hypertexte visité" xfId="8982" builtinId="9" hidden="1"/>
    <cellStyle name="Lien hypertexte visité" xfId="9070" builtinId="9" hidden="1"/>
    <cellStyle name="Lien hypertexte visité" xfId="9154" builtinId="9" hidden="1"/>
    <cellStyle name="Lien hypertexte visité" xfId="9238" builtinId="9" hidden="1"/>
    <cellStyle name="Lien hypertexte visité" xfId="9326" builtinId="9" hidden="1"/>
    <cellStyle name="Lien hypertexte visité" xfId="9410" builtinId="9" hidden="1"/>
    <cellStyle name="Lien hypertexte visité" xfId="9494" builtinId="9" hidden="1"/>
    <cellStyle name="Lien hypertexte visité" xfId="9582" builtinId="9" hidden="1"/>
    <cellStyle name="Lien hypertexte visité" xfId="9666" builtinId="9" hidden="1"/>
    <cellStyle name="Lien hypertexte visité" xfId="9750" builtinId="9" hidden="1"/>
    <cellStyle name="Lien hypertexte visité" xfId="9838" builtinId="9" hidden="1"/>
    <cellStyle name="Lien hypertexte visité" xfId="9922" builtinId="9" hidden="1"/>
    <cellStyle name="Lien hypertexte visité" xfId="10006" builtinId="9" hidden="1"/>
    <cellStyle name="Lien hypertexte visité" xfId="10094" builtinId="9" hidden="1"/>
    <cellStyle name="Lien hypertexte visité" xfId="10178" builtinId="9" hidden="1"/>
    <cellStyle name="Lien hypertexte visité" xfId="10262" builtinId="9" hidden="1"/>
    <cellStyle name="Lien hypertexte visité" xfId="10350" builtinId="9" hidden="1"/>
    <cellStyle name="Lien hypertexte visité" xfId="10434" builtinId="9" hidden="1"/>
    <cellStyle name="Lien hypertexte visité" xfId="10518" builtinId="9" hidden="1"/>
    <cellStyle name="Lien hypertexte visité" xfId="10606" builtinId="9" hidden="1"/>
    <cellStyle name="Lien hypertexte visité" xfId="10690" builtinId="9" hidden="1"/>
    <cellStyle name="Lien hypertexte visité" xfId="10774" builtinId="9" hidden="1"/>
    <cellStyle name="Lien hypertexte visité" xfId="10862" builtinId="9" hidden="1"/>
    <cellStyle name="Lien hypertexte visité" xfId="10946" builtinId="9" hidden="1"/>
    <cellStyle name="Lien hypertexte visité" xfId="11030" builtinId="9" hidden="1"/>
    <cellStyle name="Lien hypertexte visité" xfId="11118" builtinId="9" hidden="1"/>
    <cellStyle name="Lien hypertexte visité" xfId="11202" builtinId="9" hidden="1"/>
    <cellStyle name="Lien hypertexte visité" xfId="11286" builtinId="9" hidden="1"/>
    <cellStyle name="Lien hypertexte visité" xfId="11374" builtinId="9" hidden="1"/>
    <cellStyle name="Lien hypertexte visité" xfId="11458" builtinId="9" hidden="1"/>
    <cellStyle name="Lien hypertexte visité" xfId="11542" builtinId="9" hidden="1"/>
    <cellStyle name="Lien hypertexte visité" xfId="11630" builtinId="9" hidden="1"/>
    <cellStyle name="Lien hypertexte visité" xfId="11714" builtinId="9" hidden="1"/>
    <cellStyle name="Lien hypertexte visité" xfId="11798" builtinId="9" hidden="1"/>
    <cellStyle name="Lien hypertexte visité" xfId="11886" builtinId="9" hidden="1"/>
    <cellStyle name="Lien hypertexte visité" xfId="11970" builtinId="9" hidden="1"/>
    <cellStyle name="Lien hypertexte visité" xfId="12054" builtinId="9" hidden="1"/>
    <cellStyle name="Lien hypertexte visité" xfId="12142" builtinId="9" hidden="1"/>
    <cellStyle name="Lien hypertexte visité" xfId="12226" builtinId="9" hidden="1"/>
    <cellStyle name="Lien hypertexte visité" xfId="12310" builtinId="9" hidden="1"/>
    <cellStyle name="Lien hypertexte visité" xfId="12398" builtinId="9" hidden="1"/>
    <cellStyle name="Lien hypertexte visité" xfId="12482" builtinId="9" hidden="1"/>
    <cellStyle name="Lien hypertexte visité" xfId="12566" builtinId="9" hidden="1"/>
    <cellStyle name="Lien hypertexte visité" xfId="12654" builtinId="9" hidden="1"/>
    <cellStyle name="Lien hypertexte visité" xfId="12738" builtinId="9" hidden="1"/>
    <cellStyle name="Lien hypertexte visité" xfId="12822" builtinId="9" hidden="1"/>
    <cellStyle name="Lien hypertexte visité" xfId="12910" builtinId="9" hidden="1"/>
    <cellStyle name="Lien hypertexte visité" xfId="12994" builtinId="9" hidden="1"/>
    <cellStyle name="Lien hypertexte visité" xfId="13078" builtinId="9" hidden="1"/>
    <cellStyle name="Lien hypertexte visité" xfId="13166" builtinId="9" hidden="1"/>
    <cellStyle name="Lien hypertexte visité" xfId="13250" builtinId="9" hidden="1"/>
    <cellStyle name="Lien hypertexte visité" xfId="13334" builtinId="9" hidden="1"/>
    <cellStyle name="Lien hypertexte visité" xfId="13422" builtinId="9" hidden="1"/>
    <cellStyle name="Lien hypertexte visité" xfId="13506" builtinId="9" hidden="1"/>
    <cellStyle name="Lien hypertexte visité" xfId="13590" builtinId="9" hidden="1"/>
    <cellStyle name="Lien hypertexte visité" xfId="13678" builtinId="9" hidden="1"/>
    <cellStyle name="Lien hypertexte visité" xfId="13762" builtinId="9" hidden="1"/>
    <cellStyle name="Lien hypertexte visité" xfId="13846" builtinId="9" hidden="1"/>
    <cellStyle name="Lien hypertexte visité" xfId="13934" builtinId="9" hidden="1"/>
    <cellStyle name="Lien hypertexte visité" xfId="14018" builtinId="9" hidden="1"/>
    <cellStyle name="Lien hypertexte visité" xfId="14102" builtinId="9" hidden="1"/>
    <cellStyle name="Lien hypertexte visité" xfId="14190" builtinId="9" hidden="1"/>
    <cellStyle name="Lien hypertexte visité" xfId="14274" builtinId="9" hidden="1"/>
    <cellStyle name="Lien hypertexte visité" xfId="14358" builtinId="9" hidden="1"/>
    <cellStyle name="Lien hypertexte visité" xfId="14446" builtinId="9" hidden="1"/>
    <cellStyle name="Lien hypertexte visité" xfId="14545" builtinId="9" hidden="1"/>
    <cellStyle name="Lien hypertexte visité" xfId="14713" builtinId="9" hidden="1"/>
    <cellStyle name="Lien hypertexte visité" xfId="14889" builtinId="9" hidden="1"/>
    <cellStyle name="Lien hypertexte visité" xfId="15057" builtinId="9" hidden="1"/>
    <cellStyle name="Lien hypertexte visité" xfId="15225" builtinId="9" hidden="1"/>
    <cellStyle name="Lien hypertexte visité" xfId="15401" builtinId="9" hidden="1"/>
    <cellStyle name="Lien hypertexte visité" xfId="15569" builtinId="9" hidden="1"/>
    <cellStyle name="Lien hypertexte visité" xfId="15737" builtinId="9" hidden="1"/>
    <cellStyle name="Lien hypertexte visité" xfId="15913" builtinId="9" hidden="1"/>
    <cellStyle name="Lien hypertexte visité" xfId="16081" builtinId="9" hidden="1"/>
    <cellStyle name="Lien hypertexte visité" xfId="16249" builtinId="9" hidden="1"/>
    <cellStyle name="Lien hypertexte visité" xfId="16425" builtinId="9" hidden="1"/>
    <cellStyle name="Lien hypertexte visité" xfId="16593" builtinId="9" hidden="1"/>
    <cellStyle name="Lien hypertexte visité" xfId="16761" builtinId="9" hidden="1"/>
    <cellStyle name="Lien hypertexte visité" xfId="16937" builtinId="9" hidden="1"/>
    <cellStyle name="Lien hypertexte visité" xfId="17105" builtinId="9" hidden="1"/>
    <cellStyle name="Lien hypertexte visité" xfId="17273" builtinId="9" hidden="1"/>
    <cellStyle name="Lien hypertexte visité" xfId="17449" builtinId="9" hidden="1"/>
    <cellStyle name="Lien hypertexte visité" xfId="17617" builtinId="9" hidden="1"/>
    <cellStyle name="Lien hypertexte visité" xfId="17785" builtinId="9" hidden="1"/>
    <cellStyle name="Lien hypertexte visité" xfId="17961" builtinId="9" hidden="1"/>
    <cellStyle name="Lien hypertexte visité" xfId="18129" builtinId="9" hidden="1"/>
    <cellStyle name="Lien hypertexte visité" xfId="18297" builtinId="9" hidden="1"/>
    <cellStyle name="Lien hypertexte visité" xfId="18456" builtinId="9" hidden="1"/>
    <cellStyle name="Lien hypertexte visité" xfId="18624" builtinId="9" hidden="1"/>
    <cellStyle name="Lien hypertexte visité" xfId="18792" builtinId="9" hidden="1"/>
    <cellStyle name="Lien hypertexte visité" xfId="18968" builtinId="9" hidden="1"/>
    <cellStyle name="Lien hypertexte visité" xfId="19136" builtinId="9" hidden="1"/>
    <cellStyle name="Lien hypertexte visité" xfId="19304" builtinId="9" hidden="1"/>
    <cellStyle name="Lien hypertexte visité" xfId="19480" builtinId="9" hidden="1"/>
    <cellStyle name="Lien hypertexte visité" xfId="19648" builtinId="9" hidden="1"/>
    <cellStyle name="Lien hypertexte visité" xfId="19816" builtinId="9" hidden="1"/>
    <cellStyle name="Lien hypertexte visité" xfId="19992" builtinId="9" hidden="1"/>
    <cellStyle name="Lien hypertexte visité" xfId="20160" builtinId="9" hidden="1"/>
    <cellStyle name="Lien hypertexte visité" xfId="20328" builtinId="9" hidden="1"/>
    <cellStyle name="Lien hypertexte visité" xfId="20504" builtinId="9" hidden="1"/>
    <cellStyle name="Lien hypertexte visité" xfId="20672" builtinId="9" hidden="1"/>
    <cellStyle name="Lien hypertexte visité" xfId="20840" builtinId="9" hidden="1"/>
    <cellStyle name="Lien hypertexte visité" xfId="21016" builtinId="9" hidden="1"/>
    <cellStyle name="Lien hypertexte visité" xfId="21184" builtinId="9" hidden="1"/>
    <cellStyle name="Lien hypertexte visité" xfId="21352" builtinId="9" hidden="1"/>
    <cellStyle name="Lien hypertexte visité" xfId="21528" builtinId="9" hidden="1"/>
    <cellStyle name="Lien hypertexte visité" xfId="21696" builtinId="9" hidden="1"/>
    <cellStyle name="Lien hypertexte visité" xfId="21864" builtinId="9" hidden="1"/>
    <cellStyle name="Lien hypertexte visité" xfId="22040" builtinId="9" hidden="1"/>
    <cellStyle name="Lien hypertexte visité" xfId="22208" builtinId="9" hidden="1"/>
    <cellStyle name="Lien hypertexte visité" xfId="22376" builtinId="9" hidden="1"/>
    <cellStyle name="Lien hypertexte visité" xfId="22552" builtinId="9" hidden="1"/>
    <cellStyle name="Lien hypertexte visité" xfId="22720" builtinId="9" hidden="1"/>
    <cellStyle name="Lien hypertexte visité" xfId="22888" builtinId="9" hidden="1"/>
    <cellStyle name="Lien hypertexte visité" xfId="23064" builtinId="9" hidden="1"/>
    <cellStyle name="Lien hypertexte visité" xfId="23232" builtinId="9" hidden="1"/>
    <cellStyle name="Lien hypertexte visité" xfId="23400" builtinId="9" hidden="1"/>
    <cellStyle name="Lien hypertexte visité" xfId="23576" builtinId="9" hidden="1"/>
    <cellStyle name="Lien hypertexte visité" xfId="23744" builtinId="9" hidden="1"/>
    <cellStyle name="Lien hypertexte visité" xfId="23912" builtinId="9" hidden="1"/>
    <cellStyle name="Lien hypertexte visité" xfId="24088" builtinId="9" hidden="1"/>
    <cellStyle name="Lien hypertexte visité" xfId="24256" builtinId="9" hidden="1"/>
    <cellStyle name="Lien hypertexte visité" xfId="24424" builtinId="9" hidden="1"/>
    <cellStyle name="Lien hypertexte visité" xfId="24600" builtinId="9" hidden="1"/>
    <cellStyle name="Lien hypertexte visité" xfId="24458" builtinId="9" hidden="1"/>
    <cellStyle name="Lien hypertexte visité" xfId="24290" builtinId="9" hidden="1"/>
    <cellStyle name="Lien hypertexte visité" xfId="24114" builtinId="9" hidden="1"/>
    <cellStyle name="Lien hypertexte visité" xfId="23946" builtinId="9" hidden="1"/>
    <cellStyle name="Lien hypertexte visité" xfId="23778" builtinId="9" hidden="1"/>
    <cellStyle name="Lien hypertexte visité" xfId="23602" builtinId="9" hidden="1"/>
    <cellStyle name="Lien hypertexte visité" xfId="23434" builtinId="9" hidden="1"/>
    <cellStyle name="Lien hypertexte visité" xfId="23266" builtinId="9" hidden="1"/>
    <cellStyle name="Lien hypertexte visité" xfId="23090" builtinId="9" hidden="1"/>
    <cellStyle name="Lien hypertexte visité" xfId="22922" builtinId="9" hidden="1"/>
    <cellStyle name="Lien hypertexte visité" xfId="22754" builtinId="9" hidden="1"/>
    <cellStyle name="Lien hypertexte visité" xfId="22578" builtinId="9" hidden="1"/>
    <cellStyle name="Lien hypertexte visité" xfId="22410" builtinId="9" hidden="1"/>
    <cellStyle name="Lien hypertexte visité" xfId="22242" builtinId="9" hidden="1"/>
    <cellStyle name="Lien hypertexte visité" xfId="22066" builtinId="9" hidden="1"/>
    <cellStyle name="Lien hypertexte visité" xfId="21898" builtinId="9" hidden="1"/>
    <cellStyle name="Lien hypertexte visité" xfId="21730" builtinId="9" hidden="1"/>
    <cellStyle name="Lien hypertexte visité" xfId="21554" builtinId="9" hidden="1"/>
    <cellStyle name="Lien hypertexte visité" xfId="21386" builtinId="9" hidden="1"/>
    <cellStyle name="Lien hypertexte visité" xfId="21218" builtinId="9" hidden="1"/>
    <cellStyle name="Lien hypertexte visité" xfId="21042" builtinId="9" hidden="1"/>
    <cellStyle name="Lien hypertexte visité" xfId="20874" builtinId="9" hidden="1"/>
    <cellStyle name="Lien hypertexte visité" xfId="20706" builtinId="9" hidden="1"/>
    <cellStyle name="Lien hypertexte visité" xfId="20530" builtinId="9" hidden="1"/>
    <cellStyle name="Lien hypertexte visité" xfId="20362" builtinId="9" hidden="1"/>
    <cellStyle name="Lien hypertexte visité" xfId="20194" builtinId="9" hidden="1"/>
    <cellStyle name="Lien hypertexte visité" xfId="20018" builtinId="9" hidden="1"/>
    <cellStyle name="Lien hypertexte visité" xfId="19850" builtinId="9" hidden="1"/>
    <cellStyle name="Lien hypertexte visité" xfId="19682" builtinId="9" hidden="1"/>
    <cellStyle name="Lien hypertexte visité" xfId="19506" builtinId="9" hidden="1"/>
    <cellStyle name="Lien hypertexte visité" xfId="19338" builtinId="9" hidden="1"/>
    <cellStyle name="Lien hypertexte visité" xfId="19170" builtinId="9" hidden="1"/>
    <cellStyle name="Lien hypertexte visité" xfId="18994" builtinId="9" hidden="1"/>
    <cellStyle name="Lien hypertexte visité" xfId="18826" builtinId="9" hidden="1"/>
    <cellStyle name="Lien hypertexte visité" xfId="18658" builtinId="9" hidden="1"/>
    <cellStyle name="Lien hypertexte visité" xfId="18482" builtinId="9" hidden="1"/>
    <cellStyle name="Lien hypertexte visité" xfId="18320" builtinId="9" hidden="1"/>
    <cellStyle name="Lien hypertexte visité" xfId="18163" builtinId="9" hidden="1"/>
    <cellStyle name="Lien hypertexte visité" xfId="17987" builtinId="9" hidden="1"/>
    <cellStyle name="Lien hypertexte visité" xfId="17819" builtinId="9" hidden="1"/>
    <cellStyle name="Lien hypertexte visité" xfId="17651" builtinId="9" hidden="1"/>
    <cellStyle name="Lien hypertexte visité" xfId="17475" builtinId="9" hidden="1"/>
    <cellStyle name="Lien hypertexte visité" xfId="17323" builtinId="9" hidden="1"/>
    <cellStyle name="Lien hypertexte visité" xfId="17835" builtinId="9" hidden="1"/>
    <cellStyle name="Lien hypertexte visité" xfId="18330" builtinId="9" hidden="1"/>
    <cellStyle name="Lien hypertexte visité" xfId="18842" builtinId="9" hidden="1"/>
    <cellStyle name="Lien hypertexte visité" xfId="19354" builtinId="9" hidden="1"/>
    <cellStyle name="Lien hypertexte visité" xfId="19866" builtinId="9" hidden="1"/>
    <cellStyle name="Lien hypertexte visité" xfId="20378" builtinId="9" hidden="1"/>
    <cellStyle name="Lien hypertexte visité" xfId="20890" builtinId="9" hidden="1"/>
    <cellStyle name="Lien hypertexte visité" xfId="21402" builtinId="9" hidden="1"/>
    <cellStyle name="Lien hypertexte visité" xfId="21914" builtinId="9" hidden="1"/>
    <cellStyle name="Lien hypertexte visité" xfId="22426" builtinId="9" hidden="1"/>
    <cellStyle name="Lien hypertexte visité" xfId="22938" builtinId="9" hidden="1"/>
    <cellStyle name="Lien hypertexte visité" xfId="23450" builtinId="9" hidden="1"/>
    <cellStyle name="Lien hypertexte visité" xfId="23962" builtinId="9" hidden="1"/>
    <cellStyle name="Lien hypertexte visité" xfId="24474" builtinId="9" hidden="1"/>
    <cellStyle name="Lien hypertexte visité" xfId="24240" builtinId="9" hidden="1"/>
    <cellStyle name="Lien hypertexte visité" xfId="23728" builtinId="9" hidden="1"/>
    <cellStyle name="Lien hypertexte visité" xfId="23216" builtinId="9" hidden="1"/>
    <cellStyle name="Lien hypertexte visité" xfId="22704" builtinId="9" hidden="1"/>
    <cellStyle name="Lien hypertexte visité" xfId="22192" builtinId="9" hidden="1"/>
    <cellStyle name="Lien hypertexte visité" xfId="21680" builtinId="9" hidden="1"/>
    <cellStyle name="Lien hypertexte visité" xfId="21168" builtinId="9" hidden="1"/>
    <cellStyle name="Lien hypertexte visité" xfId="20656" builtinId="9" hidden="1"/>
    <cellStyle name="Lien hypertexte visité" xfId="20144" builtinId="9" hidden="1"/>
    <cellStyle name="Lien hypertexte visité" xfId="19632" builtinId="9" hidden="1"/>
    <cellStyle name="Lien hypertexte visité" xfId="19120" builtinId="9" hidden="1"/>
    <cellStyle name="Lien hypertexte visité" xfId="18608" builtinId="9" hidden="1"/>
    <cellStyle name="Lien hypertexte visité" xfId="18113" builtinId="9" hidden="1"/>
    <cellStyle name="Lien hypertexte visité" xfId="17601" builtinId="9" hidden="1"/>
    <cellStyle name="Lien hypertexte visité" xfId="17089" builtinId="9" hidden="1"/>
    <cellStyle name="Lien hypertexte visité" xfId="16577" builtinId="9" hidden="1"/>
    <cellStyle name="Lien hypertexte visité" xfId="16065" builtinId="9" hidden="1"/>
    <cellStyle name="Lien hypertexte visité" xfId="15553" builtinId="9" hidden="1"/>
    <cellStyle name="Lien hypertexte visité" xfId="15041" builtinId="9" hidden="1"/>
    <cellStyle name="Lien hypertexte visité" xfId="14529" builtinId="9" hidden="1"/>
    <cellStyle name="Lien hypertexte visité" xfId="14266" builtinId="9" hidden="1"/>
    <cellStyle name="Lien hypertexte visité" xfId="14010" builtinId="9" hidden="1"/>
    <cellStyle name="Lien hypertexte visité" xfId="13754" builtinId="9" hidden="1"/>
    <cellStyle name="Lien hypertexte visité" xfId="13498" builtinId="9" hidden="1"/>
    <cellStyle name="Lien hypertexte visité" xfId="13242" builtinId="9" hidden="1"/>
    <cellStyle name="Lien hypertexte visité" xfId="12986" builtinId="9" hidden="1"/>
    <cellStyle name="Lien hypertexte visité" xfId="12730" builtinId="9" hidden="1"/>
    <cellStyle name="Lien hypertexte visité" xfId="12474" builtinId="9" hidden="1"/>
    <cellStyle name="Lien hypertexte visité" xfId="12218" builtinId="9" hidden="1"/>
    <cellStyle name="Lien hypertexte visité" xfId="11962" builtinId="9" hidden="1"/>
    <cellStyle name="Lien hypertexte visité" xfId="11706" builtinId="9" hidden="1"/>
    <cellStyle name="Lien hypertexte visité" xfId="11450" builtinId="9" hidden="1"/>
    <cellStyle name="Lien hypertexte visité" xfId="11290" builtinId="9" hidden="1"/>
    <cellStyle name="Lien hypertexte visité" xfId="11386" builtinId="9" hidden="1"/>
    <cellStyle name="Lien hypertexte visité" xfId="11482" builtinId="9" hidden="1"/>
    <cellStyle name="Lien hypertexte visité" xfId="11546" builtinId="9" hidden="1"/>
    <cellStyle name="Lien hypertexte visité" xfId="11642" builtinId="9" hidden="1"/>
    <cellStyle name="Lien hypertexte visité" xfId="11738" builtinId="9" hidden="1"/>
    <cellStyle name="Lien hypertexte visité" xfId="11802" builtinId="9" hidden="1"/>
    <cellStyle name="Lien hypertexte visité" xfId="11898" builtinId="9" hidden="1"/>
    <cellStyle name="Lien hypertexte visité" xfId="11994" builtinId="9" hidden="1"/>
    <cellStyle name="Lien hypertexte visité" xfId="12058" builtinId="9" hidden="1"/>
    <cellStyle name="Lien hypertexte visité" xfId="12154" builtinId="9" hidden="1"/>
    <cellStyle name="Lien hypertexte visité" xfId="12250" builtinId="9" hidden="1"/>
    <cellStyle name="Lien hypertexte visité" xfId="12314" builtinId="9" hidden="1"/>
    <cellStyle name="Lien hypertexte visité" xfId="12410" builtinId="9" hidden="1"/>
    <cellStyle name="Lien hypertexte visité" xfId="12506" builtinId="9" hidden="1"/>
    <cellStyle name="Lien hypertexte visité" xfId="12570" builtinId="9" hidden="1"/>
    <cellStyle name="Lien hypertexte visité" xfId="12666" builtinId="9" hidden="1"/>
    <cellStyle name="Lien hypertexte visité" xfId="12762" builtinId="9" hidden="1"/>
    <cellStyle name="Lien hypertexte visité" xfId="12826" builtinId="9" hidden="1"/>
    <cellStyle name="Lien hypertexte visité" xfId="12922" builtinId="9" hidden="1"/>
    <cellStyle name="Lien hypertexte visité" xfId="13018" builtinId="9" hidden="1"/>
    <cellStyle name="Lien hypertexte visité" xfId="13082" builtinId="9" hidden="1"/>
    <cellStyle name="Lien hypertexte visité" xfId="13178" builtinId="9" hidden="1"/>
    <cellStyle name="Lien hypertexte visité" xfId="13274" builtinId="9" hidden="1"/>
    <cellStyle name="Lien hypertexte visité" xfId="13338" builtinId="9" hidden="1"/>
    <cellStyle name="Lien hypertexte visité" xfId="13434" builtinId="9" hidden="1"/>
    <cellStyle name="Lien hypertexte visité" xfId="13530" builtinId="9" hidden="1"/>
    <cellStyle name="Lien hypertexte visité" xfId="13594" builtinId="9" hidden="1"/>
    <cellStyle name="Lien hypertexte visité" xfId="13690" builtinId="9" hidden="1"/>
    <cellStyle name="Lien hypertexte visité" xfId="13786" builtinId="9" hidden="1"/>
    <cellStyle name="Lien hypertexte visité" xfId="13850" builtinId="9" hidden="1"/>
    <cellStyle name="Lien hypertexte visité" xfId="13946" builtinId="9" hidden="1"/>
    <cellStyle name="Lien hypertexte visité" xfId="14042" builtinId="9" hidden="1"/>
    <cellStyle name="Lien hypertexte visité" xfId="14106" builtinId="9" hidden="1"/>
    <cellStyle name="Lien hypertexte visité" xfId="14202" builtinId="9" hidden="1"/>
    <cellStyle name="Lien hypertexte visité" xfId="14298" builtinId="9" hidden="1"/>
    <cellStyle name="Lien hypertexte visité" xfId="14362" builtinId="9" hidden="1"/>
    <cellStyle name="Lien hypertexte visité" xfId="14458" builtinId="9" hidden="1"/>
    <cellStyle name="Lien hypertexte visité" xfId="14593" builtinId="9" hidden="1"/>
    <cellStyle name="Lien hypertexte visité" xfId="14721" builtinId="9" hidden="1"/>
    <cellStyle name="Lien hypertexte visité" xfId="14913" builtinId="9" hidden="1"/>
    <cellStyle name="Lien hypertexte visité" xfId="15105" builtinId="9" hidden="1"/>
    <cellStyle name="Lien hypertexte visité" xfId="15233" builtinId="9" hidden="1"/>
    <cellStyle name="Lien hypertexte visité" xfId="15425" builtinId="9" hidden="1"/>
    <cellStyle name="Lien hypertexte visité" xfId="15617" builtinId="9" hidden="1"/>
    <cellStyle name="Lien hypertexte visité" xfId="15745" builtinId="9" hidden="1"/>
    <cellStyle name="Lien hypertexte visité" xfId="15937" builtinId="9" hidden="1"/>
    <cellStyle name="Lien hypertexte visité" xfId="16129" builtinId="9" hidden="1"/>
    <cellStyle name="Lien hypertexte visité" xfId="16257" builtinId="9" hidden="1"/>
    <cellStyle name="Lien hypertexte visité" xfId="16449" builtinId="9" hidden="1"/>
    <cellStyle name="Lien hypertexte visité" xfId="16641" builtinId="9" hidden="1"/>
    <cellStyle name="Lien hypertexte visité" xfId="16769" builtinId="9" hidden="1"/>
    <cellStyle name="Lien hypertexte visité" xfId="16961" builtinId="9" hidden="1"/>
    <cellStyle name="Lien hypertexte visité" xfId="17153" builtinId="9" hidden="1"/>
    <cellStyle name="Lien hypertexte visité" xfId="17281" builtinId="9" hidden="1"/>
    <cellStyle name="Lien hypertexte visité" xfId="17473" builtinId="9" hidden="1"/>
    <cellStyle name="Lien hypertexte visité" xfId="17665" builtinId="9" hidden="1"/>
    <cellStyle name="Lien hypertexte visité" xfId="17793" builtinId="9" hidden="1"/>
    <cellStyle name="Lien hypertexte visité" xfId="17985" builtinId="9" hidden="1"/>
    <cellStyle name="Lien hypertexte visité" xfId="18177" builtinId="9" hidden="1"/>
    <cellStyle name="Lien hypertexte visité" xfId="18305" builtinId="9" hidden="1"/>
    <cellStyle name="Lien hypertexte visité" xfId="18480" builtinId="9" hidden="1"/>
    <cellStyle name="Lien hypertexte visité" xfId="18672" builtinId="9" hidden="1"/>
    <cellStyle name="Lien hypertexte visité" xfId="18800" builtinId="9" hidden="1"/>
    <cellStyle name="Lien hypertexte visité" xfId="18992" builtinId="9" hidden="1"/>
    <cellStyle name="Lien hypertexte visité" xfId="19184" builtinId="9" hidden="1"/>
    <cellStyle name="Lien hypertexte visité" xfId="19312" builtinId="9" hidden="1"/>
    <cellStyle name="Lien hypertexte visité" xfId="19504" builtinId="9" hidden="1"/>
    <cellStyle name="Lien hypertexte visité" xfId="19696" builtinId="9" hidden="1"/>
    <cellStyle name="Lien hypertexte visité" xfId="19824" builtinId="9" hidden="1"/>
    <cellStyle name="Lien hypertexte visité" xfId="20016" builtinId="9" hidden="1"/>
    <cellStyle name="Lien hypertexte visité" xfId="20208" builtinId="9" hidden="1"/>
    <cellStyle name="Lien hypertexte visité" xfId="20336" builtinId="9" hidden="1"/>
    <cellStyle name="Lien hypertexte visité" xfId="20528" builtinId="9" hidden="1"/>
    <cellStyle name="Lien hypertexte visité" xfId="20720" builtinId="9" hidden="1"/>
    <cellStyle name="Lien hypertexte visité" xfId="20848" builtinId="9" hidden="1"/>
    <cellStyle name="Lien hypertexte visité" xfId="21040" builtinId="9" hidden="1"/>
    <cellStyle name="Lien hypertexte visité" xfId="21232" builtinId="9" hidden="1"/>
    <cellStyle name="Lien hypertexte visité" xfId="21360" builtinId="9" hidden="1"/>
    <cellStyle name="Lien hypertexte visité" xfId="21552" builtinId="9" hidden="1"/>
    <cellStyle name="Lien hypertexte visité" xfId="21744" builtinId="9" hidden="1"/>
    <cellStyle name="Lien hypertexte visité" xfId="21872" builtinId="9" hidden="1"/>
    <cellStyle name="Lien hypertexte visité" xfId="22064" builtinId="9" hidden="1"/>
    <cellStyle name="Lien hypertexte visité" xfId="22256" builtinId="9" hidden="1"/>
    <cellStyle name="Lien hypertexte visité" xfId="22384" builtinId="9" hidden="1"/>
    <cellStyle name="Lien hypertexte visité" xfId="22576" builtinId="9" hidden="1"/>
    <cellStyle name="Lien hypertexte visité" xfId="22768" builtinId="9" hidden="1"/>
    <cellStyle name="Lien hypertexte visité" xfId="22896" builtinId="9" hidden="1"/>
    <cellStyle name="Lien hypertexte visité" xfId="23088" builtinId="9" hidden="1"/>
    <cellStyle name="Lien hypertexte visité" xfId="23280" builtinId="9" hidden="1"/>
    <cellStyle name="Lien hypertexte visité" xfId="23408" builtinId="9" hidden="1"/>
    <cellStyle name="Lien hypertexte visité" xfId="23600" builtinId="9" hidden="1"/>
    <cellStyle name="Lien hypertexte visité" xfId="23792" builtinId="9" hidden="1"/>
    <cellStyle name="Lien hypertexte visité" xfId="23920" builtinId="9" hidden="1"/>
    <cellStyle name="Lien hypertexte visité" xfId="24112" builtinId="9" hidden="1"/>
    <cellStyle name="Lien hypertexte visité" xfId="24304" builtinId="9" hidden="1"/>
    <cellStyle name="Lien hypertexte visité" xfId="24432" builtinId="9" hidden="1"/>
    <cellStyle name="Lien hypertexte visité" xfId="24602" builtinId="9" hidden="1"/>
    <cellStyle name="Lien hypertexte visité" xfId="24410" builtinId="9" hidden="1"/>
    <cellStyle name="Lien hypertexte visité" xfId="24282" builtinId="9" hidden="1"/>
    <cellStyle name="Lien hypertexte visité" xfId="24090" builtinId="9" hidden="1"/>
    <cellStyle name="Lien hypertexte visité" xfId="23898" builtinId="9" hidden="1"/>
    <cellStyle name="Lien hypertexte visité" xfId="23770" builtinId="9" hidden="1"/>
    <cellStyle name="Lien hypertexte visité" xfId="23578" builtinId="9" hidden="1"/>
    <cellStyle name="Lien hypertexte visité" xfId="23386" builtinId="9" hidden="1"/>
    <cellStyle name="Lien hypertexte visité" xfId="23258" builtinId="9" hidden="1"/>
    <cellStyle name="Lien hypertexte visité" xfId="23066" builtinId="9" hidden="1"/>
    <cellStyle name="Lien hypertexte visité" xfId="22874" builtinId="9" hidden="1"/>
    <cellStyle name="Lien hypertexte visité" xfId="22746" builtinId="9" hidden="1"/>
    <cellStyle name="Lien hypertexte visité" xfId="22554" builtinId="9" hidden="1"/>
    <cellStyle name="Lien hypertexte visité" xfId="22362" builtinId="9" hidden="1"/>
    <cellStyle name="Lien hypertexte visité" xfId="22234" builtinId="9" hidden="1"/>
    <cellStyle name="Lien hypertexte visité" xfId="22042" builtinId="9" hidden="1"/>
    <cellStyle name="Lien hypertexte visité" xfId="21850" builtinId="9" hidden="1"/>
    <cellStyle name="Lien hypertexte visité" xfId="21722" builtinId="9" hidden="1"/>
    <cellStyle name="Lien hypertexte visité" xfId="21530" builtinId="9" hidden="1"/>
    <cellStyle name="Lien hypertexte visité" xfId="21338" builtinId="9" hidden="1"/>
    <cellStyle name="Lien hypertexte visité" xfId="21210" builtinId="9" hidden="1"/>
    <cellStyle name="Lien hypertexte visité" xfId="21018" builtinId="9" hidden="1"/>
    <cellStyle name="Lien hypertexte visité" xfId="20826" builtinId="9" hidden="1"/>
    <cellStyle name="Lien hypertexte visité" xfId="20698" builtinId="9" hidden="1"/>
    <cellStyle name="Lien hypertexte visité" xfId="20506" builtinId="9" hidden="1"/>
    <cellStyle name="Lien hypertexte visité" xfId="20314" builtinId="9" hidden="1"/>
    <cellStyle name="Lien hypertexte visité" xfId="20186" builtinId="9" hidden="1"/>
    <cellStyle name="Lien hypertexte visité" xfId="19994" builtinId="9" hidden="1"/>
    <cellStyle name="Lien hypertexte visité" xfId="19802" builtinId="9" hidden="1"/>
    <cellStyle name="Lien hypertexte visité" xfId="19674" builtinId="9" hidden="1"/>
    <cellStyle name="Lien hypertexte visité" xfId="19482" builtinId="9" hidden="1"/>
    <cellStyle name="Lien hypertexte visité" xfId="19290" builtinId="9" hidden="1"/>
    <cellStyle name="Lien hypertexte visité" xfId="19162" builtinId="9" hidden="1"/>
    <cellStyle name="Lien hypertexte visité" xfId="18970" builtinId="9" hidden="1"/>
    <cellStyle name="Lien hypertexte visité" xfId="18778" builtinId="9" hidden="1"/>
    <cellStyle name="Lien hypertexte visité" xfId="18650" builtinId="9" hidden="1"/>
    <cellStyle name="Lien hypertexte visité" xfId="18458" builtinId="9" hidden="1"/>
    <cellStyle name="Lien hypertexte visité" xfId="18283" builtinId="9" hidden="1"/>
    <cellStyle name="Lien hypertexte visité" xfId="18155" builtinId="9" hidden="1"/>
    <cellStyle name="Lien hypertexte visité" xfId="17963" builtinId="9" hidden="1"/>
    <cellStyle name="Lien hypertexte visité" xfId="17771" builtinId="9" hidden="1"/>
    <cellStyle name="Lien hypertexte visité" xfId="17643" builtinId="9" hidden="1"/>
    <cellStyle name="Lien hypertexte visité" xfId="17451" builtinId="9" hidden="1"/>
    <cellStyle name="Lien hypertexte visité" xfId="17331" builtinId="9" hidden="1"/>
    <cellStyle name="Lien hypertexte visité" xfId="17371" builtinId="9" hidden="1"/>
    <cellStyle name="Lien hypertexte visité" xfId="17435" builtinId="9" hidden="1"/>
    <cellStyle name="Lien hypertexte visité" xfId="17499" builtinId="9" hidden="1"/>
    <cellStyle name="Lien hypertexte visité" xfId="17539" builtinId="9" hidden="1"/>
    <cellStyle name="Lien hypertexte visité" xfId="17603" builtinId="9" hidden="1"/>
    <cellStyle name="Lien hypertexte visité" xfId="17667" builtinId="9" hidden="1"/>
    <cellStyle name="Lien hypertexte visité" xfId="17715" builtinId="9" hidden="1"/>
    <cellStyle name="Lien hypertexte visité" xfId="17779" builtinId="9" hidden="1"/>
    <cellStyle name="Lien hypertexte visité" xfId="17843" builtinId="9" hidden="1"/>
    <cellStyle name="Lien hypertexte visité" xfId="17883" builtinId="9" hidden="1"/>
    <cellStyle name="Lien hypertexte visité" xfId="17947" builtinId="9" hidden="1"/>
    <cellStyle name="Lien hypertexte visité" xfId="18011" builtinId="9" hidden="1"/>
    <cellStyle name="Lien hypertexte visité" xfId="18051" builtinId="9" hidden="1"/>
    <cellStyle name="Lien hypertexte visité" xfId="18115" builtinId="9" hidden="1"/>
    <cellStyle name="Lien hypertexte visité" xfId="18179" builtinId="9" hidden="1"/>
    <cellStyle name="Lien hypertexte visité" xfId="18227" builtinId="9" hidden="1"/>
    <cellStyle name="Lien hypertexte visité" xfId="18291" builtinId="9" hidden="1"/>
    <cellStyle name="Lien hypertexte visité" xfId="18338" builtinId="9" hidden="1"/>
    <cellStyle name="Lien hypertexte visité" xfId="18378" builtinId="9" hidden="1"/>
    <cellStyle name="Lien hypertexte visité" xfId="18442" builtinId="9" hidden="1"/>
    <cellStyle name="Lien hypertexte visité" xfId="18506" builtinId="9" hidden="1"/>
    <cellStyle name="Lien hypertexte visité" xfId="18546" builtinId="9" hidden="1"/>
    <cellStyle name="Lien hypertexte visité" xfId="18610" builtinId="9" hidden="1"/>
    <cellStyle name="Lien hypertexte visité" xfId="18674" builtinId="9" hidden="1"/>
    <cellStyle name="Lien hypertexte visité" xfId="18722" builtinId="9" hidden="1"/>
    <cellStyle name="Lien hypertexte visité" xfId="18786" builtinId="9" hidden="1"/>
    <cellStyle name="Lien hypertexte visité" xfId="18850" builtinId="9" hidden="1"/>
    <cellStyle name="Lien hypertexte visité" xfId="18890" builtinId="9" hidden="1"/>
    <cellStyle name="Lien hypertexte visité" xfId="18954" builtinId="9" hidden="1"/>
    <cellStyle name="Lien hypertexte visité" xfId="19018" builtinId="9" hidden="1"/>
    <cellStyle name="Lien hypertexte visité" xfId="19058" builtinId="9" hidden="1"/>
    <cellStyle name="Lien hypertexte visité" xfId="19122" builtinId="9" hidden="1"/>
    <cellStyle name="Lien hypertexte visité" xfId="19186" builtinId="9" hidden="1"/>
    <cellStyle name="Lien hypertexte visité" xfId="19234" builtinId="9" hidden="1"/>
    <cellStyle name="Lien hypertexte visité" xfId="19298" builtinId="9" hidden="1"/>
    <cellStyle name="Lien hypertexte visité" xfId="19362" builtinId="9" hidden="1"/>
    <cellStyle name="Lien hypertexte visité" xfId="19402" builtinId="9" hidden="1"/>
    <cellStyle name="Lien hypertexte visité" xfId="19466" builtinId="9" hidden="1"/>
    <cellStyle name="Lien hypertexte visité" xfId="19530" builtinId="9" hidden="1"/>
    <cellStyle name="Lien hypertexte visité" xfId="19570" builtinId="9" hidden="1"/>
    <cellStyle name="Lien hypertexte visité" xfId="19634" builtinId="9" hidden="1"/>
    <cellStyle name="Lien hypertexte visité" xfId="19698" builtinId="9" hidden="1"/>
    <cellStyle name="Lien hypertexte visité" xfId="19746" builtinId="9" hidden="1"/>
    <cellStyle name="Lien hypertexte visité" xfId="19810" builtinId="9" hidden="1"/>
    <cellStyle name="Lien hypertexte visité" xfId="19874" builtinId="9" hidden="1"/>
    <cellStyle name="Lien hypertexte visité" xfId="19914" builtinId="9" hidden="1"/>
    <cellStyle name="Lien hypertexte visité" xfId="19978" builtinId="9" hidden="1"/>
    <cellStyle name="Lien hypertexte visité" xfId="20042" builtinId="9" hidden="1"/>
    <cellStyle name="Lien hypertexte visité" xfId="20082" builtinId="9" hidden="1"/>
    <cellStyle name="Lien hypertexte visité" xfId="20146" builtinId="9" hidden="1"/>
    <cellStyle name="Lien hypertexte visité" xfId="20210" builtinId="9" hidden="1"/>
    <cellStyle name="Lien hypertexte visité" xfId="20258" builtinId="9" hidden="1"/>
    <cellStyle name="Lien hypertexte visité" xfId="20322" builtinId="9" hidden="1"/>
    <cellStyle name="Lien hypertexte visité" xfId="20386" builtinId="9" hidden="1"/>
    <cellStyle name="Lien hypertexte visité" xfId="20426" builtinId="9" hidden="1"/>
    <cellStyle name="Lien hypertexte visité" xfId="20490" builtinId="9" hidden="1"/>
    <cellStyle name="Lien hypertexte visité" xfId="20554" builtinId="9" hidden="1"/>
    <cellStyle name="Lien hypertexte visité" xfId="20594" builtinId="9" hidden="1"/>
    <cellStyle name="Lien hypertexte visité" xfId="20658" builtinId="9" hidden="1"/>
    <cellStyle name="Lien hypertexte visité" xfId="20722" builtinId="9" hidden="1"/>
    <cellStyle name="Lien hypertexte visité" xfId="20770" builtinId="9" hidden="1"/>
    <cellStyle name="Lien hypertexte visité" xfId="20834" builtinId="9" hidden="1"/>
    <cellStyle name="Lien hypertexte visité" xfId="20898" builtinId="9" hidden="1"/>
    <cellStyle name="Lien hypertexte visité" xfId="20938" builtinId="9" hidden="1"/>
    <cellStyle name="Lien hypertexte visité" xfId="21002" builtinId="9" hidden="1"/>
    <cellStyle name="Lien hypertexte visité" xfId="21066" builtinId="9" hidden="1"/>
    <cellStyle name="Lien hypertexte visité" xfId="21106" builtinId="9" hidden="1"/>
    <cellStyle name="Lien hypertexte visité" xfId="21170" builtinId="9" hidden="1"/>
    <cellStyle name="Lien hypertexte visité" xfId="21234" builtinId="9" hidden="1"/>
    <cellStyle name="Lien hypertexte visité" xfId="21282" builtinId="9" hidden="1"/>
    <cellStyle name="Lien hypertexte visité" xfId="21346" builtinId="9" hidden="1"/>
    <cellStyle name="Lien hypertexte visité" xfId="21410" builtinId="9" hidden="1"/>
    <cellStyle name="Lien hypertexte visité" xfId="21450" builtinId="9" hidden="1"/>
    <cellStyle name="Lien hypertexte visité" xfId="21514" builtinId="9" hidden="1"/>
    <cellStyle name="Lien hypertexte visité" xfId="21578" builtinId="9" hidden="1"/>
    <cellStyle name="Lien hypertexte visité" xfId="21618" builtinId="9" hidden="1"/>
    <cellStyle name="Lien hypertexte visité" xfId="21682" builtinId="9" hidden="1"/>
    <cellStyle name="Lien hypertexte visité" xfId="21746" builtinId="9" hidden="1"/>
    <cellStyle name="Lien hypertexte visité" xfId="21794" builtinId="9" hidden="1"/>
    <cellStyle name="Lien hypertexte visité" xfId="21858" builtinId="9" hidden="1"/>
    <cellStyle name="Lien hypertexte visité" xfId="21922" builtinId="9" hidden="1"/>
    <cellStyle name="Lien hypertexte visité" xfId="21962" builtinId="9" hidden="1"/>
    <cellStyle name="Lien hypertexte visité" xfId="22026" builtinId="9" hidden="1"/>
    <cellStyle name="Lien hypertexte visité" xfId="22090" builtinId="9" hidden="1"/>
    <cellStyle name="Lien hypertexte visité" xfId="22130" builtinId="9" hidden="1"/>
    <cellStyle name="Lien hypertexte visité" xfId="22194" builtinId="9" hidden="1"/>
    <cellStyle name="Lien hypertexte visité" xfId="22258" builtinId="9" hidden="1"/>
    <cellStyle name="Lien hypertexte visité" xfId="22306" builtinId="9" hidden="1"/>
    <cellStyle name="Lien hypertexte visité" xfId="22370" builtinId="9" hidden="1"/>
    <cellStyle name="Lien hypertexte visité" xfId="22434" builtinId="9" hidden="1"/>
    <cellStyle name="Lien hypertexte visité" xfId="22474" builtinId="9" hidden="1"/>
    <cellStyle name="Lien hypertexte visité" xfId="22538" builtinId="9" hidden="1"/>
    <cellStyle name="Lien hypertexte visité" xfId="22602" builtinId="9" hidden="1"/>
    <cellStyle name="Lien hypertexte visité" xfId="22642" builtinId="9" hidden="1"/>
    <cellStyle name="Lien hypertexte visité" xfId="22706" builtinId="9" hidden="1"/>
    <cellStyle name="Lien hypertexte visité" xfId="22770" builtinId="9" hidden="1"/>
    <cellStyle name="Lien hypertexte visité" xfId="22818" builtinId="9" hidden="1"/>
    <cellStyle name="Lien hypertexte visité" xfId="22882" builtinId="9" hidden="1"/>
    <cellStyle name="Lien hypertexte visité" xfId="22946" builtinId="9" hidden="1"/>
    <cellStyle name="Lien hypertexte visité" xfId="22986" builtinId="9" hidden="1"/>
    <cellStyle name="Lien hypertexte visité" xfId="23050" builtinId="9" hidden="1"/>
    <cellStyle name="Lien hypertexte visité" xfId="23114" builtinId="9" hidden="1"/>
    <cellStyle name="Lien hypertexte visité" xfId="23154" builtinId="9" hidden="1"/>
    <cellStyle name="Lien hypertexte visité" xfId="23218" builtinId="9" hidden="1"/>
    <cellStyle name="Lien hypertexte visité" xfId="23282" builtinId="9" hidden="1"/>
    <cellStyle name="Lien hypertexte visité" xfId="23330" builtinId="9" hidden="1"/>
    <cellStyle name="Lien hypertexte visité" xfId="23394" builtinId="9" hidden="1"/>
    <cellStyle name="Lien hypertexte visité" xfId="23458" builtinId="9" hidden="1"/>
    <cellStyle name="Lien hypertexte visité" xfId="23498" builtinId="9" hidden="1"/>
    <cellStyle name="Lien hypertexte visité" xfId="23562" builtinId="9" hidden="1"/>
    <cellStyle name="Lien hypertexte visité" xfId="23626" builtinId="9" hidden="1"/>
    <cellStyle name="Lien hypertexte visité" xfId="23666" builtinId="9" hidden="1"/>
    <cellStyle name="Lien hypertexte visité" xfId="23730" builtinId="9" hidden="1"/>
    <cellStyle name="Lien hypertexte visité" xfId="23794" builtinId="9" hidden="1"/>
    <cellStyle name="Lien hypertexte visité" xfId="23842" builtinId="9" hidden="1"/>
    <cellStyle name="Lien hypertexte visité" xfId="23906" builtinId="9" hidden="1"/>
    <cellStyle name="Lien hypertexte visité" xfId="23970" builtinId="9" hidden="1"/>
    <cellStyle name="Lien hypertexte visité" xfId="24010" builtinId="9" hidden="1"/>
    <cellStyle name="Lien hypertexte visité" xfId="24074" builtinId="9" hidden="1"/>
    <cellStyle name="Lien hypertexte visité" xfId="24138" builtinId="9" hidden="1"/>
    <cellStyle name="Lien hypertexte visité" xfId="24178" builtinId="9" hidden="1"/>
    <cellStyle name="Lien hypertexte visité" xfId="24242" builtinId="9" hidden="1"/>
    <cellStyle name="Lien hypertexte visité" xfId="24306" builtinId="9" hidden="1"/>
    <cellStyle name="Lien hypertexte visité" xfId="24354" builtinId="9" hidden="1"/>
    <cellStyle name="Lien hypertexte visité" xfId="24418" builtinId="9" hidden="1"/>
    <cellStyle name="Lien hypertexte visité" xfId="24482" builtinId="9" hidden="1"/>
    <cellStyle name="Lien hypertexte visité" xfId="24522" builtinId="9" hidden="1"/>
    <cellStyle name="Lien hypertexte visité" xfId="24586" builtinId="9" hidden="1"/>
    <cellStyle name="Lien hypertexte visité" xfId="24576" builtinId="9" hidden="1"/>
    <cellStyle name="Lien hypertexte visité" xfId="24536" builtinId="9" hidden="1"/>
    <cellStyle name="Lien hypertexte visité" xfId="24472" builtinId="9" hidden="1"/>
    <cellStyle name="Lien hypertexte visité" xfId="24408" builtinId="9" hidden="1"/>
    <cellStyle name="Lien hypertexte visité" xfId="24360" builtinId="9" hidden="1"/>
    <cellStyle name="Lien hypertexte visité" xfId="24296" builtinId="9" hidden="1"/>
    <cellStyle name="Lien hypertexte visité" xfId="24232" builtinId="9" hidden="1"/>
    <cellStyle name="Lien hypertexte visité" xfId="24192" builtinId="9" hidden="1"/>
    <cellStyle name="Lien hypertexte visité" xfId="24128" builtinId="9" hidden="1"/>
    <cellStyle name="Lien hypertexte visité" xfId="24064" builtinId="9" hidden="1"/>
    <cellStyle name="Lien hypertexte visité" xfId="24024" builtinId="9" hidden="1"/>
    <cellStyle name="Lien hypertexte visité" xfId="23960" builtinId="9" hidden="1"/>
    <cellStyle name="Lien hypertexte visité" xfId="23896" builtinId="9" hidden="1"/>
    <cellStyle name="Lien hypertexte visité" xfId="23848" builtinId="9" hidden="1"/>
    <cellStyle name="Lien hypertexte visité" xfId="23784" builtinId="9" hidden="1"/>
    <cellStyle name="Lien hypertexte visité" xfId="23720" builtinId="9" hidden="1"/>
    <cellStyle name="Lien hypertexte visité" xfId="23680" builtinId="9" hidden="1"/>
    <cellStyle name="Lien hypertexte visité" xfId="23616" builtinId="9" hidden="1"/>
    <cellStyle name="Lien hypertexte visité" xfId="23552" builtinId="9" hidden="1"/>
    <cellStyle name="Lien hypertexte visité" xfId="23512" builtinId="9" hidden="1"/>
    <cellStyle name="Lien hypertexte visité" xfId="23448" builtinId="9" hidden="1"/>
    <cellStyle name="Lien hypertexte visité" xfId="23384" builtinId="9" hidden="1"/>
    <cellStyle name="Lien hypertexte visité" xfId="23336" builtinId="9" hidden="1"/>
    <cellStyle name="Lien hypertexte visité" xfId="23272" builtinId="9" hidden="1"/>
    <cellStyle name="Lien hypertexte visité" xfId="23208" builtinId="9" hidden="1"/>
    <cellStyle name="Lien hypertexte visité" xfId="23168" builtinId="9" hidden="1"/>
    <cellStyle name="Lien hypertexte visité" xfId="23104" builtinId="9" hidden="1"/>
    <cellStyle name="Lien hypertexte visité" xfId="23040" builtinId="9" hidden="1"/>
    <cellStyle name="Lien hypertexte visité" xfId="23000" builtinId="9" hidden="1"/>
    <cellStyle name="Lien hypertexte visité" xfId="22936" builtinId="9" hidden="1"/>
    <cellStyle name="Lien hypertexte visité" xfId="22872" builtinId="9" hidden="1"/>
    <cellStyle name="Lien hypertexte visité" xfId="22824" builtinId="9" hidden="1"/>
    <cellStyle name="Lien hypertexte visité" xfId="22760" builtinId="9" hidden="1"/>
    <cellStyle name="Lien hypertexte visité" xfId="22696" builtinId="9" hidden="1"/>
    <cellStyle name="Lien hypertexte visité" xfId="22656" builtinId="9" hidden="1"/>
    <cellStyle name="Lien hypertexte visité" xfId="22592" builtinId="9" hidden="1"/>
    <cellStyle name="Lien hypertexte visité" xfId="22528" builtinId="9" hidden="1"/>
    <cellStyle name="Lien hypertexte visité" xfId="22488" builtinId="9" hidden="1"/>
    <cellStyle name="Lien hypertexte visité" xfId="22424" builtinId="9" hidden="1"/>
    <cellStyle name="Lien hypertexte visité" xfId="22360" builtinId="9" hidden="1"/>
    <cellStyle name="Lien hypertexte visité" xfId="22312" builtinId="9" hidden="1"/>
    <cellStyle name="Lien hypertexte visité" xfId="22248" builtinId="9" hidden="1"/>
    <cellStyle name="Lien hypertexte visité" xfId="22184" builtinId="9" hidden="1"/>
    <cellStyle name="Lien hypertexte visité" xfId="22144" builtinId="9" hidden="1"/>
    <cellStyle name="Lien hypertexte visité" xfId="22080" builtinId="9" hidden="1"/>
    <cellStyle name="Lien hypertexte visité" xfId="22016" builtinId="9" hidden="1"/>
    <cellStyle name="Lien hypertexte visité" xfId="21976" builtinId="9" hidden="1"/>
    <cellStyle name="Lien hypertexte visité" xfId="21912" builtinId="9" hidden="1"/>
    <cellStyle name="Lien hypertexte visité" xfId="21848" builtinId="9" hidden="1"/>
    <cellStyle name="Lien hypertexte visité" xfId="21800" builtinId="9" hidden="1"/>
    <cellStyle name="Lien hypertexte visité" xfId="21736" builtinId="9" hidden="1"/>
    <cellStyle name="Lien hypertexte visité" xfId="21672" builtinId="9" hidden="1"/>
    <cellStyle name="Lien hypertexte visité" xfId="21632" builtinId="9" hidden="1"/>
    <cellStyle name="Lien hypertexte visité" xfId="21568" builtinId="9" hidden="1"/>
    <cellStyle name="Lien hypertexte visité" xfId="21504" builtinId="9" hidden="1"/>
    <cellStyle name="Lien hypertexte visité" xfId="21464" builtinId="9" hidden="1"/>
    <cellStyle name="Lien hypertexte visité" xfId="21400" builtinId="9" hidden="1"/>
    <cellStyle name="Lien hypertexte visité" xfId="21336" builtinId="9" hidden="1"/>
    <cellStyle name="Lien hypertexte visité" xfId="21288" builtinId="9" hidden="1"/>
    <cellStyle name="Lien hypertexte visité" xfId="21224" builtinId="9" hidden="1"/>
    <cellStyle name="Lien hypertexte visité" xfId="21160" builtinId="9" hidden="1"/>
    <cellStyle name="Lien hypertexte visité" xfId="21120" builtinId="9" hidden="1"/>
    <cellStyle name="Lien hypertexte visité" xfId="21056" builtinId="9" hidden="1"/>
    <cellStyle name="Lien hypertexte visité" xfId="20992" builtinId="9" hidden="1"/>
    <cellStyle name="Lien hypertexte visité" xfId="20952" builtinId="9" hidden="1"/>
    <cellStyle name="Lien hypertexte visité" xfId="20888" builtinId="9" hidden="1"/>
    <cellStyle name="Lien hypertexte visité" xfId="20824" builtinId="9" hidden="1"/>
    <cellStyle name="Lien hypertexte visité" xfId="20776" builtinId="9" hidden="1"/>
    <cellStyle name="Lien hypertexte visité" xfId="20712" builtinId="9" hidden="1"/>
    <cellStyle name="Lien hypertexte visité" xfId="20648" builtinId="9" hidden="1"/>
    <cellStyle name="Lien hypertexte visité" xfId="20608" builtinId="9" hidden="1"/>
    <cellStyle name="Lien hypertexte visité" xfId="20544" builtinId="9" hidden="1"/>
    <cellStyle name="Lien hypertexte visité" xfId="20480" builtinId="9" hidden="1"/>
    <cellStyle name="Lien hypertexte visité" xfId="20440" builtinId="9" hidden="1"/>
    <cellStyle name="Lien hypertexte visité" xfId="20376" builtinId="9" hidden="1"/>
    <cellStyle name="Lien hypertexte visité" xfId="20312" builtinId="9" hidden="1"/>
    <cellStyle name="Lien hypertexte visité" xfId="20264" builtinId="9" hidden="1"/>
    <cellStyle name="Lien hypertexte visité" xfId="20200" builtinId="9" hidden="1"/>
    <cellStyle name="Lien hypertexte visité" xfId="20136" builtinId="9" hidden="1"/>
    <cellStyle name="Lien hypertexte visité" xfId="20096" builtinId="9" hidden="1"/>
    <cellStyle name="Lien hypertexte visité" xfId="20032" builtinId="9" hidden="1"/>
    <cellStyle name="Lien hypertexte visité" xfId="19968" builtinId="9" hidden="1"/>
    <cellStyle name="Lien hypertexte visité" xfId="19928" builtinId="9" hidden="1"/>
    <cellStyle name="Lien hypertexte visité" xfId="19864" builtinId="9" hidden="1"/>
    <cellStyle name="Lien hypertexte visité" xfId="19800" builtinId="9" hidden="1"/>
    <cellStyle name="Lien hypertexte visité" xfId="19752" builtinId="9" hidden="1"/>
    <cellStyle name="Lien hypertexte visité" xfId="19688" builtinId="9" hidden="1"/>
    <cellStyle name="Lien hypertexte visité" xfId="19624" builtinId="9" hidden="1"/>
    <cellStyle name="Lien hypertexte visité" xfId="19584" builtinId="9" hidden="1"/>
    <cellStyle name="Lien hypertexte visité" xfId="19520" builtinId="9" hidden="1"/>
    <cellStyle name="Lien hypertexte visité" xfId="19456" builtinId="9" hidden="1"/>
    <cellStyle name="Lien hypertexte visité" xfId="19416" builtinId="9" hidden="1"/>
    <cellStyle name="Lien hypertexte visité" xfId="19352" builtinId="9" hidden="1"/>
    <cellStyle name="Lien hypertexte visité" xfId="19288" builtinId="9" hidden="1"/>
    <cellStyle name="Lien hypertexte visité" xfId="19240" builtinId="9" hidden="1"/>
    <cellStyle name="Lien hypertexte visité" xfId="19176" builtinId="9" hidden="1"/>
    <cellStyle name="Lien hypertexte visité" xfId="19112" builtinId="9" hidden="1"/>
    <cellStyle name="Lien hypertexte visité" xfId="19072" builtinId="9" hidden="1"/>
    <cellStyle name="Lien hypertexte visité" xfId="19008" builtinId="9" hidden="1"/>
    <cellStyle name="Lien hypertexte visité" xfId="18944" builtinId="9" hidden="1"/>
    <cellStyle name="Lien hypertexte visité" xfId="18904" builtinId="9" hidden="1"/>
    <cellStyle name="Lien hypertexte visité" xfId="18840" builtinId="9" hidden="1"/>
    <cellStyle name="Lien hypertexte visité" xfId="18776" builtinId="9" hidden="1"/>
    <cellStyle name="Lien hypertexte visité" xfId="18728" builtinId="9" hidden="1"/>
    <cellStyle name="Lien hypertexte visité" xfId="18664" builtinId="9" hidden="1"/>
    <cellStyle name="Lien hypertexte visité" xfId="18600" builtinId="9" hidden="1"/>
    <cellStyle name="Lien hypertexte visité" xfId="18560" builtinId="9" hidden="1"/>
    <cellStyle name="Lien hypertexte visité" xfId="18496" builtinId="9" hidden="1"/>
    <cellStyle name="Lien hypertexte visité" xfId="18432" builtinId="9" hidden="1"/>
    <cellStyle name="Lien hypertexte visité" xfId="18392" builtinId="9" hidden="1"/>
    <cellStyle name="Lien hypertexte visité" xfId="18328" builtinId="9" hidden="1"/>
    <cellStyle name="Lien hypertexte visité" xfId="18281" builtinId="9" hidden="1"/>
    <cellStyle name="Lien hypertexte visité" xfId="18233" builtinId="9" hidden="1"/>
    <cellStyle name="Lien hypertexte visité" xfId="18169" builtinId="9" hidden="1"/>
    <cellStyle name="Lien hypertexte visité" xfId="18105" builtinId="9" hidden="1"/>
    <cellStyle name="Lien hypertexte visité" xfId="18065" builtinId="9" hidden="1"/>
    <cellStyle name="Lien hypertexte visité" xfId="18001" builtinId="9" hidden="1"/>
    <cellStyle name="Lien hypertexte visité" xfId="17937" builtinId="9" hidden="1"/>
    <cellStyle name="Lien hypertexte visité" xfId="17897" builtinId="9" hidden="1"/>
    <cellStyle name="Lien hypertexte visité" xfId="17833" builtinId="9" hidden="1"/>
    <cellStyle name="Lien hypertexte visité" xfId="17769" builtinId="9" hidden="1"/>
    <cellStyle name="Lien hypertexte visité" xfId="17721" builtinId="9" hidden="1"/>
    <cellStyle name="Lien hypertexte visité" xfId="17657" builtinId="9" hidden="1"/>
    <cellStyle name="Lien hypertexte visité" xfId="17593" builtinId="9" hidden="1"/>
    <cellStyle name="Lien hypertexte visité" xfId="17553" builtinId="9" hidden="1"/>
    <cellStyle name="Lien hypertexte visité" xfId="17489" builtinId="9" hidden="1"/>
    <cellStyle name="Lien hypertexte visité" xfId="17425" builtinId="9" hidden="1"/>
    <cellStyle name="Lien hypertexte visité" xfId="17385" builtinId="9" hidden="1"/>
    <cellStyle name="Lien hypertexte visité" xfId="17321" builtinId="9" hidden="1"/>
    <cellStyle name="Lien hypertexte visité" xfId="17257" builtinId="9" hidden="1"/>
    <cellStyle name="Lien hypertexte visité" xfId="17209" builtinId="9" hidden="1"/>
    <cellStyle name="Lien hypertexte visité" xfId="17145" builtinId="9" hidden="1"/>
    <cellStyle name="Lien hypertexte visité" xfId="17081" builtinId="9" hidden="1"/>
    <cellStyle name="Lien hypertexte visité" xfId="17041" builtinId="9" hidden="1"/>
    <cellStyle name="Lien hypertexte visité" xfId="16977" builtinId="9" hidden="1"/>
    <cellStyle name="Lien hypertexte visité" xfId="16913" builtinId="9" hidden="1"/>
    <cellStyle name="Lien hypertexte visité" xfId="16873" builtinId="9" hidden="1"/>
    <cellStyle name="Lien hypertexte visité" xfId="16809" builtinId="9" hidden="1"/>
    <cellStyle name="Lien hypertexte visité" xfId="16745" builtinId="9" hidden="1"/>
    <cellStyle name="Lien hypertexte visité" xfId="16697" builtinId="9" hidden="1"/>
    <cellStyle name="Lien hypertexte visité" xfId="16633" builtinId="9" hidden="1"/>
    <cellStyle name="Lien hypertexte visité" xfId="16569" builtinId="9" hidden="1"/>
    <cellStyle name="Lien hypertexte visité" xfId="16529" builtinId="9" hidden="1"/>
    <cellStyle name="Lien hypertexte visité" xfId="16465" builtinId="9" hidden="1"/>
    <cellStyle name="Lien hypertexte visité" xfId="16401" builtinId="9" hidden="1"/>
    <cellStyle name="Lien hypertexte visité" xfId="16361" builtinId="9" hidden="1"/>
    <cellStyle name="Lien hypertexte visité" xfId="16297" builtinId="9" hidden="1"/>
    <cellStyle name="Lien hypertexte visité" xfId="16233" builtinId="9" hidden="1"/>
    <cellStyle name="Lien hypertexte visité" xfId="16185" builtinId="9" hidden="1"/>
    <cellStyle name="Lien hypertexte visité" xfId="16121" builtinId="9" hidden="1"/>
    <cellStyle name="Lien hypertexte visité" xfId="16057" builtinId="9" hidden="1"/>
    <cellStyle name="Lien hypertexte visité" xfId="16017" builtinId="9" hidden="1"/>
    <cellStyle name="Lien hypertexte visité" xfId="15953" builtinId="9" hidden="1"/>
    <cellStyle name="Lien hypertexte visité" xfId="15889" builtinId="9" hidden="1"/>
    <cellStyle name="Lien hypertexte visité" xfId="15849" builtinId="9" hidden="1"/>
    <cellStyle name="Lien hypertexte visité" xfId="15785" builtinId="9" hidden="1"/>
    <cellStyle name="Lien hypertexte visité" xfId="15721" builtinId="9" hidden="1"/>
    <cellStyle name="Lien hypertexte visité" xfId="15673" builtinId="9" hidden="1"/>
    <cellStyle name="Lien hypertexte visité" xfId="15609" builtinId="9" hidden="1"/>
    <cellStyle name="Lien hypertexte visité" xfId="15545" builtinId="9" hidden="1"/>
    <cellStyle name="Lien hypertexte visité" xfId="15505" builtinId="9" hidden="1"/>
    <cellStyle name="Lien hypertexte visité" xfId="15441" builtinId="9" hidden="1"/>
    <cellStyle name="Lien hypertexte visité" xfId="15377" builtinId="9" hidden="1"/>
    <cellStyle name="Lien hypertexte visité" xfId="15337" builtinId="9" hidden="1"/>
    <cellStyle name="Lien hypertexte visité" xfId="15273" builtinId="9" hidden="1"/>
    <cellStyle name="Lien hypertexte visité" xfId="15209" builtinId="9" hidden="1"/>
    <cellStyle name="Lien hypertexte visité" xfId="15161" builtinId="9" hidden="1"/>
    <cellStyle name="Lien hypertexte visité" xfId="15097" builtinId="9" hidden="1"/>
    <cellStyle name="Lien hypertexte visité" xfId="15033" builtinId="9" hidden="1"/>
    <cellStyle name="Lien hypertexte visité" xfId="14993" builtinId="9" hidden="1"/>
    <cellStyle name="Lien hypertexte visité" xfId="14929" builtinId="9" hidden="1"/>
    <cellStyle name="Lien hypertexte visité" xfId="14865" builtinId="9" hidden="1"/>
    <cellStyle name="Lien hypertexte visité" xfId="14825" builtinId="9" hidden="1"/>
    <cellStyle name="Lien hypertexte visité" xfId="14761" builtinId="9" hidden="1"/>
    <cellStyle name="Lien hypertexte visité" xfId="14697" builtinId="9" hidden="1"/>
    <cellStyle name="Lien hypertexte visité" xfId="14649" builtinId="9" hidden="1"/>
    <cellStyle name="Lien hypertexte visité" xfId="14585" builtinId="9" hidden="1"/>
    <cellStyle name="Lien hypertexte visité" xfId="14521" builtinId="9" hidden="1"/>
    <cellStyle name="Lien hypertexte visité" xfId="14498" builtinId="9" hidden="1"/>
    <cellStyle name="Lien hypertexte visité" xfId="14466" builtinId="9" hidden="1"/>
    <cellStyle name="Lien hypertexte visité" xfId="14434" builtinId="9" hidden="1"/>
    <cellStyle name="Lien hypertexte visité" xfId="14414" builtinId="9" hidden="1"/>
    <cellStyle name="Lien hypertexte visité" xfId="14382" builtinId="9" hidden="1"/>
    <cellStyle name="Lien hypertexte visité" xfId="14350" builtinId="9" hidden="1"/>
    <cellStyle name="Lien hypertexte visité" xfId="14326" builtinId="9" hidden="1"/>
    <cellStyle name="Lien hypertexte visité" xfId="14294" builtinId="9" hidden="1"/>
    <cellStyle name="Lien hypertexte visité" xfId="14262" builtinId="9" hidden="1"/>
    <cellStyle name="Lien hypertexte visité" xfId="14242" builtinId="9" hidden="1"/>
    <cellStyle name="Lien hypertexte visité" xfId="14210" builtinId="9" hidden="1"/>
    <cellStyle name="Lien hypertexte visité" xfId="14178" builtinId="9" hidden="1"/>
    <cellStyle name="Lien hypertexte visité" xfId="14158" builtinId="9" hidden="1"/>
    <cellStyle name="Lien hypertexte visité" xfId="14126" builtinId="9" hidden="1"/>
    <cellStyle name="Lien hypertexte visité" xfId="14094" builtinId="9" hidden="1"/>
    <cellStyle name="Lien hypertexte visité" xfId="14070" builtinId="9" hidden="1"/>
    <cellStyle name="Lien hypertexte visité" xfId="14038" builtinId="9" hidden="1"/>
    <cellStyle name="Lien hypertexte visité" xfId="14006" builtinId="9" hidden="1"/>
    <cellStyle name="Lien hypertexte visité" xfId="13986" builtinId="9" hidden="1"/>
    <cellStyle name="Lien hypertexte visité" xfId="13954" builtinId="9" hidden="1"/>
    <cellStyle name="Lien hypertexte visité" xfId="13922" builtinId="9" hidden="1"/>
    <cellStyle name="Lien hypertexte visité" xfId="13902" builtinId="9" hidden="1"/>
    <cellStyle name="Lien hypertexte visité" xfId="13870" builtinId="9" hidden="1"/>
    <cellStyle name="Lien hypertexte visité" xfId="13838" builtinId="9" hidden="1"/>
    <cellStyle name="Lien hypertexte visité" xfId="13814" builtinId="9" hidden="1"/>
    <cellStyle name="Lien hypertexte visité" xfId="13782" builtinId="9" hidden="1"/>
    <cellStyle name="Lien hypertexte visité" xfId="13750" builtinId="9" hidden="1"/>
    <cellStyle name="Lien hypertexte visité" xfId="13730" builtinId="9" hidden="1"/>
    <cellStyle name="Lien hypertexte visité" xfId="13698" builtinId="9" hidden="1"/>
    <cellStyle name="Lien hypertexte visité" xfId="13666" builtinId="9" hidden="1"/>
    <cellStyle name="Lien hypertexte visité" xfId="13646" builtinId="9" hidden="1"/>
    <cellStyle name="Lien hypertexte visité" xfId="13614" builtinId="9" hidden="1"/>
    <cellStyle name="Lien hypertexte visité" xfId="13582" builtinId="9" hidden="1"/>
    <cellStyle name="Lien hypertexte visité" xfId="13558" builtinId="9" hidden="1"/>
    <cellStyle name="Lien hypertexte visité" xfId="13526" builtinId="9" hidden="1"/>
    <cellStyle name="Lien hypertexte visité" xfId="13494" builtinId="9" hidden="1"/>
    <cellStyle name="Lien hypertexte visité" xfId="13474" builtinId="9" hidden="1"/>
    <cellStyle name="Lien hypertexte visité" xfId="13442" builtinId="9" hidden="1"/>
    <cellStyle name="Lien hypertexte visité" xfId="13410" builtinId="9" hidden="1"/>
    <cellStyle name="Lien hypertexte visité" xfId="13390" builtinId="9" hidden="1"/>
    <cellStyle name="Lien hypertexte visité" xfId="13358" builtinId="9" hidden="1"/>
    <cellStyle name="Lien hypertexte visité" xfId="13326" builtinId="9" hidden="1"/>
    <cellStyle name="Lien hypertexte visité" xfId="13302" builtinId="9" hidden="1"/>
    <cellStyle name="Lien hypertexte visité" xfId="13270" builtinId="9" hidden="1"/>
    <cellStyle name="Lien hypertexte visité" xfId="13238" builtinId="9" hidden="1"/>
    <cellStyle name="Lien hypertexte visité" xfId="13218" builtinId="9" hidden="1"/>
    <cellStyle name="Lien hypertexte visité" xfId="13186" builtinId="9" hidden="1"/>
    <cellStyle name="Lien hypertexte visité" xfId="13154" builtinId="9" hidden="1"/>
    <cellStyle name="Lien hypertexte visité" xfId="13134" builtinId="9" hidden="1"/>
    <cellStyle name="Lien hypertexte visité" xfId="13102" builtinId="9" hidden="1"/>
    <cellStyle name="Lien hypertexte visité" xfId="13070" builtinId="9" hidden="1"/>
    <cellStyle name="Lien hypertexte visité" xfId="13046" builtinId="9" hidden="1"/>
    <cellStyle name="Lien hypertexte visité" xfId="13014" builtinId="9" hidden="1"/>
    <cellStyle name="Lien hypertexte visité" xfId="12982" builtinId="9" hidden="1"/>
    <cellStyle name="Lien hypertexte visité" xfId="12962" builtinId="9" hidden="1"/>
    <cellStyle name="Lien hypertexte visité" xfId="12930" builtinId="9" hidden="1"/>
    <cellStyle name="Lien hypertexte visité" xfId="12898" builtinId="9" hidden="1"/>
    <cellStyle name="Lien hypertexte visité" xfId="12878" builtinId="9" hidden="1"/>
    <cellStyle name="Lien hypertexte visité" xfId="12846" builtinId="9" hidden="1"/>
    <cellStyle name="Lien hypertexte visité" xfId="12814" builtinId="9" hidden="1"/>
    <cellStyle name="Lien hypertexte visité" xfId="12790" builtinId="9" hidden="1"/>
    <cellStyle name="Lien hypertexte visité" xfId="12758" builtinId="9" hidden="1"/>
    <cellStyle name="Lien hypertexte visité" xfId="12726" builtinId="9" hidden="1"/>
    <cellStyle name="Lien hypertexte visité" xfId="12706" builtinId="9" hidden="1"/>
    <cellStyle name="Lien hypertexte visité" xfId="12674" builtinId="9" hidden="1"/>
    <cellStyle name="Lien hypertexte visité" xfId="12642" builtinId="9" hidden="1"/>
    <cellStyle name="Lien hypertexte visité" xfId="12622" builtinId="9" hidden="1"/>
    <cellStyle name="Lien hypertexte visité" xfId="12590" builtinId="9" hidden="1"/>
    <cellStyle name="Lien hypertexte visité" xfId="12558" builtinId="9" hidden="1"/>
    <cellStyle name="Lien hypertexte visité" xfId="12534" builtinId="9" hidden="1"/>
    <cellStyle name="Lien hypertexte visité" xfId="12502" builtinId="9" hidden="1"/>
    <cellStyle name="Lien hypertexte visité" xfId="12470" builtinId="9" hidden="1"/>
    <cellStyle name="Lien hypertexte visité" xfId="12450" builtinId="9" hidden="1"/>
    <cellStyle name="Lien hypertexte visité" xfId="12418" builtinId="9" hidden="1"/>
    <cellStyle name="Lien hypertexte visité" xfId="12386" builtinId="9" hidden="1"/>
    <cellStyle name="Lien hypertexte visité" xfId="12366" builtinId="9" hidden="1"/>
    <cellStyle name="Lien hypertexte visité" xfId="12334" builtinId="9" hidden="1"/>
    <cellStyle name="Lien hypertexte visité" xfId="12302" builtinId="9" hidden="1"/>
    <cellStyle name="Lien hypertexte visité" xfId="12278" builtinId="9" hidden="1"/>
    <cellStyle name="Lien hypertexte visité" xfId="12246" builtinId="9" hidden="1"/>
    <cellStyle name="Lien hypertexte visité" xfId="12214" builtinId="9" hidden="1"/>
    <cellStyle name="Lien hypertexte visité" xfId="12194" builtinId="9" hidden="1"/>
    <cellStyle name="Lien hypertexte visité" xfId="12162" builtinId="9" hidden="1"/>
    <cellStyle name="Lien hypertexte visité" xfId="12130" builtinId="9" hidden="1"/>
    <cellStyle name="Lien hypertexte visité" xfId="12110" builtinId="9" hidden="1"/>
    <cellStyle name="Lien hypertexte visité" xfId="12078" builtinId="9" hidden="1"/>
    <cellStyle name="Lien hypertexte visité" xfId="12046" builtinId="9" hidden="1"/>
    <cellStyle name="Lien hypertexte visité" xfId="12022" builtinId="9" hidden="1"/>
    <cellStyle name="Lien hypertexte visité" xfId="11990" builtinId="9" hidden="1"/>
    <cellStyle name="Lien hypertexte visité" xfId="11958" builtinId="9" hidden="1"/>
    <cellStyle name="Lien hypertexte visité" xfId="11938" builtinId="9" hidden="1"/>
    <cellStyle name="Lien hypertexte visité" xfId="11906" builtinId="9" hidden="1"/>
    <cellStyle name="Lien hypertexte visité" xfId="11874" builtinId="9" hidden="1"/>
    <cellStyle name="Lien hypertexte visité" xfId="11854" builtinId="9" hidden="1"/>
    <cellStyle name="Lien hypertexte visité" xfId="11822" builtinId="9" hidden="1"/>
    <cellStyle name="Lien hypertexte visité" xfId="11790" builtinId="9" hidden="1"/>
    <cellStyle name="Lien hypertexte visité" xfId="11766" builtinId="9" hidden="1"/>
    <cellStyle name="Lien hypertexte visité" xfId="11734" builtinId="9" hidden="1"/>
    <cellStyle name="Lien hypertexte visité" xfId="11702" builtinId="9" hidden="1"/>
    <cellStyle name="Lien hypertexte visité" xfId="11682" builtinId="9" hidden="1"/>
    <cellStyle name="Lien hypertexte visité" xfId="11650" builtinId="9" hidden="1"/>
    <cellStyle name="Lien hypertexte visité" xfId="11618" builtinId="9" hidden="1"/>
    <cellStyle name="Lien hypertexte visité" xfId="11598" builtinId="9" hidden="1"/>
    <cellStyle name="Lien hypertexte visité" xfId="11566" builtinId="9" hidden="1"/>
    <cellStyle name="Lien hypertexte visité" xfId="11534" builtinId="9" hidden="1"/>
    <cellStyle name="Lien hypertexte visité" xfId="11510" builtinId="9" hidden="1"/>
    <cellStyle name="Lien hypertexte visité" xfId="11478" builtinId="9" hidden="1"/>
    <cellStyle name="Lien hypertexte visité" xfId="11446" builtinId="9" hidden="1"/>
    <cellStyle name="Lien hypertexte visité" xfId="11426" builtinId="9" hidden="1"/>
    <cellStyle name="Lien hypertexte visité" xfId="11394" builtinId="9" hidden="1"/>
    <cellStyle name="Lien hypertexte visité" xfId="11362" builtinId="9" hidden="1"/>
    <cellStyle name="Lien hypertexte visité" xfId="11342" builtinId="9" hidden="1"/>
    <cellStyle name="Lien hypertexte visité" xfId="11310" builtinId="9" hidden="1"/>
    <cellStyle name="Lien hypertexte visité" xfId="11278" builtinId="9" hidden="1"/>
    <cellStyle name="Lien hypertexte visité" xfId="11254" builtinId="9" hidden="1"/>
    <cellStyle name="Lien hypertexte visité" xfId="11222" builtinId="9" hidden="1"/>
    <cellStyle name="Lien hypertexte visité" xfId="11190" builtinId="9" hidden="1"/>
    <cellStyle name="Lien hypertexte visité" xfId="11170" builtinId="9" hidden="1"/>
    <cellStyle name="Lien hypertexte visité" xfId="11138" builtinId="9" hidden="1"/>
    <cellStyle name="Lien hypertexte visité" xfId="11106" builtinId="9" hidden="1"/>
    <cellStyle name="Lien hypertexte visité" xfId="11086" builtinId="9" hidden="1"/>
    <cellStyle name="Lien hypertexte visité" xfId="11054" builtinId="9" hidden="1"/>
    <cellStyle name="Lien hypertexte visité" xfId="11022" builtinId="9" hidden="1"/>
    <cellStyle name="Lien hypertexte visité" xfId="10998" builtinId="9" hidden="1"/>
    <cellStyle name="Lien hypertexte visité" xfId="10966" builtinId="9" hidden="1"/>
    <cellStyle name="Lien hypertexte visité" xfId="10934" builtinId="9" hidden="1"/>
    <cellStyle name="Lien hypertexte visité" xfId="10914" builtinId="9" hidden="1"/>
    <cellStyle name="Lien hypertexte visité" xfId="10882" builtinId="9" hidden="1"/>
    <cellStyle name="Lien hypertexte visité" xfId="10850" builtinId="9" hidden="1"/>
    <cellStyle name="Lien hypertexte visité" xfId="10830" builtinId="9" hidden="1"/>
    <cellStyle name="Lien hypertexte visité" xfId="10798" builtinId="9" hidden="1"/>
    <cellStyle name="Lien hypertexte visité" xfId="10766" builtinId="9" hidden="1"/>
    <cellStyle name="Lien hypertexte visité" xfId="10742" builtinId="9" hidden="1"/>
    <cellStyle name="Lien hypertexte visité" xfId="10710" builtinId="9" hidden="1"/>
    <cellStyle name="Lien hypertexte visité" xfId="10678" builtinId="9" hidden="1"/>
    <cellStyle name="Lien hypertexte visité" xfId="10658" builtinId="9" hidden="1"/>
    <cellStyle name="Lien hypertexte visité" xfId="10626" builtinId="9" hidden="1"/>
    <cellStyle name="Lien hypertexte visité" xfId="10594" builtinId="9" hidden="1"/>
    <cellStyle name="Lien hypertexte visité" xfId="10574" builtinId="9" hidden="1"/>
    <cellStyle name="Lien hypertexte visité" xfId="10542" builtinId="9" hidden="1"/>
    <cellStyle name="Lien hypertexte visité" xfId="10510" builtinId="9" hidden="1"/>
    <cellStyle name="Lien hypertexte visité" xfId="10486" builtinId="9" hidden="1"/>
    <cellStyle name="Lien hypertexte visité" xfId="10454" builtinId="9" hidden="1"/>
    <cellStyle name="Lien hypertexte visité" xfId="10422" builtinId="9" hidden="1"/>
    <cellStyle name="Lien hypertexte visité" xfId="10402" builtinId="9" hidden="1"/>
    <cellStyle name="Lien hypertexte visité" xfId="10370" builtinId="9" hidden="1"/>
    <cellStyle name="Lien hypertexte visité" xfId="10338" builtinId="9" hidden="1"/>
    <cellStyle name="Lien hypertexte visité" xfId="10318" builtinId="9" hidden="1"/>
    <cellStyle name="Lien hypertexte visité" xfId="10286" builtinId="9" hidden="1"/>
    <cellStyle name="Lien hypertexte visité" xfId="10254" builtinId="9" hidden="1"/>
    <cellStyle name="Lien hypertexte visité" xfId="10230" builtinId="9" hidden="1"/>
    <cellStyle name="Lien hypertexte visité" xfId="10198" builtinId="9" hidden="1"/>
    <cellStyle name="Lien hypertexte visité" xfId="10166" builtinId="9" hidden="1"/>
    <cellStyle name="Lien hypertexte visité" xfId="10146" builtinId="9" hidden="1"/>
    <cellStyle name="Lien hypertexte visité" xfId="10114" builtinId="9" hidden="1"/>
    <cellStyle name="Lien hypertexte visité" xfId="10082" builtinId="9" hidden="1"/>
    <cellStyle name="Lien hypertexte visité" xfId="10062" builtinId="9" hidden="1"/>
    <cellStyle name="Lien hypertexte visité" xfId="10030" builtinId="9" hidden="1"/>
    <cellStyle name="Lien hypertexte visité" xfId="9998" builtinId="9" hidden="1"/>
    <cellStyle name="Lien hypertexte visité" xfId="9974" builtinId="9" hidden="1"/>
    <cellStyle name="Lien hypertexte visité" xfId="9942" builtinId="9" hidden="1"/>
    <cellStyle name="Lien hypertexte visité" xfId="9910" builtinId="9" hidden="1"/>
    <cellStyle name="Lien hypertexte visité" xfId="9890" builtinId="9" hidden="1"/>
    <cellStyle name="Lien hypertexte visité" xfId="9858" builtinId="9" hidden="1"/>
    <cellStyle name="Lien hypertexte visité" xfId="9826" builtinId="9" hidden="1"/>
    <cellStyle name="Lien hypertexte visité" xfId="9806" builtinId="9" hidden="1"/>
    <cellStyle name="Lien hypertexte visité" xfId="9774" builtinId="9" hidden="1"/>
    <cellStyle name="Lien hypertexte visité" xfId="9742" builtinId="9" hidden="1"/>
    <cellStyle name="Lien hypertexte visité" xfId="9718" builtinId="9" hidden="1"/>
    <cellStyle name="Lien hypertexte visité" xfId="9686" builtinId="9" hidden="1"/>
    <cellStyle name="Lien hypertexte visité" xfId="9654" builtinId="9" hidden="1"/>
    <cellStyle name="Lien hypertexte visité" xfId="9634" builtinId="9" hidden="1"/>
    <cellStyle name="Lien hypertexte visité" xfId="9602" builtinId="9" hidden="1"/>
    <cellStyle name="Lien hypertexte visité" xfId="9570" builtinId="9" hidden="1"/>
    <cellStyle name="Lien hypertexte visité" xfId="9550" builtinId="9" hidden="1"/>
    <cellStyle name="Lien hypertexte visité" xfId="9518" builtinId="9" hidden="1"/>
    <cellStyle name="Lien hypertexte visité" xfId="9486" builtinId="9" hidden="1"/>
    <cellStyle name="Lien hypertexte visité" xfId="9462" builtinId="9" hidden="1"/>
    <cellStyle name="Lien hypertexte visité" xfId="9430" builtinId="9" hidden="1"/>
    <cellStyle name="Lien hypertexte visité" xfId="9398" builtinId="9" hidden="1"/>
    <cellStyle name="Lien hypertexte visité" xfId="9378" builtinId="9" hidden="1"/>
    <cellStyle name="Lien hypertexte visité" xfId="9346" builtinId="9" hidden="1"/>
    <cellStyle name="Lien hypertexte visité" xfId="9314" builtinId="9" hidden="1"/>
    <cellStyle name="Lien hypertexte visité" xfId="9294" builtinId="9" hidden="1"/>
    <cellStyle name="Lien hypertexte visité" xfId="9262" builtinId="9" hidden="1"/>
    <cellStyle name="Lien hypertexte visité" xfId="9230" builtinId="9" hidden="1"/>
    <cellStyle name="Lien hypertexte visité" xfId="9206" builtinId="9" hidden="1"/>
    <cellStyle name="Lien hypertexte visité" xfId="9174" builtinId="9" hidden="1"/>
    <cellStyle name="Lien hypertexte visité" xfId="9142" builtinId="9" hidden="1"/>
    <cellStyle name="Lien hypertexte visité" xfId="9122" builtinId="9" hidden="1"/>
    <cellStyle name="Lien hypertexte visité" xfId="9090" builtinId="9" hidden="1"/>
    <cellStyle name="Lien hypertexte visité" xfId="9058" builtinId="9" hidden="1"/>
    <cellStyle name="Lien hypertexte visité" xfId="9038" builtinId="9" hidden="1"/>
    <cellStyle name="Lien hypertexte visité" xfId="9006" builtinId="9" hidden="1"/>
    <cellStyle name="Lien hypertexte visité" xfId="8974" builtinId="9" hidden="1"/>
    <cellStyle name="Lien hypertexte visité" xfId="8950" builtinId="9" hidden="1"/>
    <cellStyle name="Lien hypertexte visité" xfId="8918" builtinId="9" hidden="1"/>
    <cellStyle name="Lien hypertexte visité" xfId="8886" builtinId="9" hidden="1"/>
    <cellStyle name="Lien hypertexte visité" xfId="8866" builtinId="9" hidden="1"/>
    <cellStyle name="Lien hypertexte visité" xfId="8834" builtinId="9" hidden="1"/>
    <cellStyle name="Lien hypertexte visité" xfId="8802" builtinId="9" hidden="1"/>
    <cellStyle name="Lien hypertexte visité" xfId="8782" builtinId="9" hidden="1"/>
    <cellStyle name="Lien hypertexte visité" xfId="8750" builtinId="9" hidden="1"/>
    <cellStyle name="Lien hypertexte visité" xfId="8718" builtinId="9" hidden="1"/>
    <cellStyle name="Lien hypertexte visité" xfId="8694" builtinId="9" hidden="1"/>
    <cellStyle name="Lien hypertexte visité" xfId="8662" builtinId="9" hidden="1"/>
    <cellStyle name="Lien hypertexte visité" xfId="8630" builtinId="9" hidden="1"/>
    <cellStyle name="Lien hypertexte visité" xfId="8610" builtinId="9" hidden="1"/>
    <cellStyle name="Lien hypertexte visité" xfId="8578" builtinId="9" hidden="1"/>
    <cellStyle name="Lien hypertexte visité" xfId="8546" builtinId="9" hidden="1"/>
    <cellStyle name="Lien hypertexte visité" xfId="8526" builtinId="9" hidden="1"/>
    <cellStyle name="Lien hypertexte visité" xfId="8494" builtinId="9" hidden="1"/>
    <cellStyle name="Lien hypertexte visité" xfId="8462" builtinId="9" hidden="1"/>
    <cellStyle name="Lien hypertexte visité" xfId="8438" builtinId="9" hidden="1"/>
    <cellStyle name="Lien hypertexte visité" xfId="8406" builtinId="9" hidden="1"/>
    <cellStyle name="Lien hypertexte visité" xfId="8374" builtinId="9" hidden="1"/>
    <cellStyle name="Lien hypertexte visité" xfId="8354" builtinId="9" hidden="1"/>
    <cellStyle name="Lien hypertexte visité" xfId="8322" builtinId="9" hidden="1"/>
    <cellStyle name="Lien hypertexte visité" xfId="8290" builtinId="9" hidden="1"/>
    <cellStyle name="Lien hypertexte visité" xfId="8270" builtinId="9" hidden="1"/>
    <cellStyle name="Lien hypertexte visité" xfId="8238" builtinId="9" hidden="1"/>
    <cellStyle name="Lien hypertexte visité" xfId="17275" builtinId="9" hidden="1"/>
    <cellStyle name="Lien hypertexte visité" xfId="17211" builtinId="9" hidden="1"/>
    <cellStyle name="Lien hypertexte visité" xfId="17115" builtinId="9" hidden="1"/>
    <cellStyle name="Lien hypertexte visité" xfId="17019" builtinId="9" hidden="1"/>
    <cellStyle name="Lien hypertexte visité" xfId="16955" builtinId="9" hidden="1"/>
    <cellStyle name="Lien hypertexte visité" xfId="16859" builtinId="9" hidden="1"/>
    <cellStyle name="Lien hypertexte visité" xfId="16763" builtinId="9" hidden="1"/>
    <cellStyle name="Lien hypertexte visité" xfId="16699" builtinId="9" hidden="1"/>
    <cellStyle name="Lien hypertexte visité" xfId="16603" builtinId="9" hidden="1"/>
    <cellStyle name="Lien hypertexte visité" xfId="16507" builtinId="9" hidden="1"/>
    <cellStyle name="Lien hypertexte visité" xfId="16443" builtinId="9" hidden="1"/>
    <cellStyle name="Lien hypertexte visité" xfId="16347" builtinId="9" hidden="1"/>
    <cellStyle name="Lien hypertexte visité" xfId="16251" builtinId="9" hidden="1"/>
    <cellStyle name="Lien hypertexte visité" xfId="16187" builtinId="9" hidden="1"/>
    <cellStyle name="Lien hypertexte visité" xfId="16091" builtinId="9" hidden="1"/>
    <cellStyle name="Lien hypertexte visité" xfId="15995" builtinId="9" hidden="1"/>
    <cellStyle name="Lien hypertexte visité" xfId="15931" builtinId="9" hidden="1"/>
    <cellStyle name="Lien hypertexte visité" xfId="15835" builtinId="9" hidden="1"/>
    <cellStyle name="Lien hypertexte visité" xfId="15739" builtinId="9" hidden="1"/>
    <cellStyle name="Lien hypertexte visité" xfId="15675" builtinId="9" hidden="1"/>
    <cellStyle name="Lien hypertexte visité" xfId="15579" builtinId="9" hidden="1"/>
    <cellStyle name="Lien hypertexte visité" xfId="15483" builtinId="9" hidden="1"/>
    <cellStyle name="Lien hypertexte visité" xfId="15419" builtinId="9" hidden="1"/>
    <cellStyle name="Lien hypertexte visité" xfId="15323" builtinId="9" hidden="1"/>
    <cellStyle name="Lien hypertexte visité" xfId="15227" builtinId="9" hidden="1"/>
    <cellStyle name="Lien hypertexte visité" xfId="15163" builtinId="9" hidden="1"/>
    <cellStyle name="Lien hypertexte visité" xfId="15067" builtinId="9" hidden="1"/>
    <cellStyle name="Lien hypertexte visité" xfId="14971" builtinId="9" hidden="1"/>
    <cellStyle name="Lien hypertexte visité" xfId="14907" builtinId="9" hidden="1"/>
    <cellStyle name="Lien hypertexte visité" xfId="14811" builtinId="9" hidden="1"/>
    <cellStyle name="Lien hypertexte visité" xfId="14715" builtinId="9" hidden="1"/>
    <cellStyle name="Lien hypertexte visité" xfId="14651" builtinId="9" hidden="1"/>
    <cellStyle name="Lien hypertexte visité" xfId="14555" builtinId="9" hidden="1"/>
    <cellStyle name="Lien hypertexte visité" xfId="14487" builtinId="9" hidden="1"/>
    <cellStyle name="Lien hypertexte visité" xfId="14455" builtinId="9" hidden="1"/>
    <cellStyle name="Lien hypertexte visité" xfId="14407" builtinId="9" hidden="1"/>
    <cellStyle name="Lien hypertexte visité" xfId="14359" builtinId="9" hidden="1"/>
    <cellStyle name="Lien hypertexte visité" xfId="14327" builtinId="9" hidden="1"/>
    <cellStyle name="Lien hypertexte visité" xfId="14279" builtinId="9" hidden="1"/>
    <cellStyle name="Lien hypertexte visité" xfId="14231" builtinId="9" hidden="1"/>
    <cellStyle name="Lien hypertexte visité" xfId="14199" builtinId="9" hidden="1"/>
    <cellStyle name="Lien hypertexte visité" xfId="14151" builtinId="9" hidden="1"/>
    <cellStyle name="Lien hypertexte visité" xfId="14103" builtinId="9" hidden="1"/>
    <cellStyle name="Lien hypertexte visité" xfId="14071" builtinId="9" hidden="1"/>
    <cellStyle name="Lien hypertexte visité" xfId="14023" builtinId="9" hidden="1"/>
    <cellStyle name="Lien hypertexte visité" xfId="13975" builtinId="9" hidden="1"/>
    <cellStyle name="Lien hypertexte visité" xfId="13943" builtinId="9" hidden="1"/>
    <cellStyle name="Lien hypertexte visité" xfId="13895" builtinId="9" hidden="1"/>
    <cellStyle name="Lien hypertexte visité" xfId="13847" builtinId="9" hidden="1"/>
    <cellStyle name="Lien hypertexte visité" xfId="13815" builtinId="9" hidden="1"/>
    <cellStyle name="Lien hypertexte visité" xfId="13767" builtinId="9" hidden="1"/>
    <cellStyle name="Lien hypertexte visité" xfId="13719" builtinId="9" hidden="1"/>
    <cellStyle name="Lien hypertexte visité" xfId="13687" builtinId="9" hidden="1"/>
    <cellStyle name="Lien hypertexte visité" xfId="13639" builtinId="9" hidden="1"/>
    <cellStyle name="Lien hypertexte visité" xfId="13591" builtinId="9" hidden="1"/>
    <cellStyle name="Lien hypertexte visité" xfId="13559" builtinId="9" hidden="1"/>
    <cellStyle name="Lien hypertexte visité" xfId="13511" builtinId="9" hidden="1"/>
    <cellStyle name="Lien hypertexte visité" xfId="13463" builtinId="9" hidden="1"/>
    <cellStyle name="Lien hypertexte visité" xfId="13431" builtinId="9" hidden="1"/>
    <cellStyle name="Lien hypertexte visité" xfId="13383" builtinId="9" hidden="1"/>
    <cellStyle name="Lien hypertexte visité" xfId="13335" builtinId="9" hidden="1"/>
    <cellStyle name="Lien hypertexte visité" xfId="13303" builtinId="9" hidden="1"/>
    <cellStyle name="Lien hypertexte visité" xfId="13255" builtinId="9" hidden="1"/>
    <cellStyle name="Lien hypertexte visité" xfId="13207" builtinId="9" hidden="1"/>
    <cellStyle name="Lien hypertexte visité" xfId="13175" builtinId="9" hidden="1"/>
    <cellStyle name="Lien hypertexte visité" xfId="13127" builtinId="9" hidden="1"/>
    <cellStyle name="Lien hypertexte visité" xfId="13079" builtinId="9" hidden="1"/>
    <cellStyle name="Lien hypertexte visité" xfId="13047" builtinId="9" hidden="1"/>
    <cellStyle name="Lien hypertexte visité" xfId="12999" builtinId="9" hidden="1"/>
    <cellStyle name="Lien hypertexte visité" xfId="12951" builtinId="9" hidden="1"/>
    <cellStyle name="Lien hypertexte visité" xfId="12919" builtinId="9" hidden="1"/>
    <cellStyle name="Lien hypertexte visité" xfId="12871" builtinId="9" hidden="1"/>
    <cellStyle name="Lien hypertexte visité" xfId="12823" builtinId="9" hidden="1"/>
    <cellStyle name="Lien hypertexte visité" xfId="12791" builtinId="9" hidden="1"/>
    <cellStyle name="Lien hypertexte visité" xfId="12743" builtinId="9" hidden="1"/>
    <cellStyle name="Lien hypertexte visité" xfId="12695" builtinId="9" hidden="1"/>
    <cellStyle name="Lien hypertexte visité" xfId="12663" builtinId="9" hidden="1"/>
    <cellStyle name="Lien hypertexte visité" xfId="12615" builtinId="9" hidden="1"/>
    <cellStyle name="Lien hypertexte visité" xfId="12567" builtinId="9" hidden="1"/>
    <cellStyle name="Lien hypertexte visité" xfId="12535" builtinId="9" hidden="1"/>
    <cellStyle name="Lien hypertexte visité" xfId="12487" builtinId="9" hidden="1"/>
    <cellStyle name="Lien hypertexte visité" xfId="12439" builtinId="9" hidden="1"/>
    <cellStyle name="Lien hypertexte visité" xfId="12407" builtinId="9" hidden="1"/>
    <cellStyle name="Lien hypertexte visité" xfId="12359" builtinId="9" hidden="1"/>
    <cellStyle name="Lien hypertexte visité" xfId="12311" builtinId="9" hidden="1"/>
    <cellStyle name="Lien hypertexte visité" xfId="12279" builtinId="9" hidden="1"/>
    <cellStyle name="Lien hypertexte visité" xfId="12231" builtinId="9" hidden="1"/>
    <cellStyle name="Lien hypertexte visité" xfId="12183" builtinId="9" hidden="1"/>
    <cellStyle name="Lien hypertexte visité" xfId="12151" builtinId="9" hidden="1"/>
    <cellStyle name="Lien hypertexte visité" xfId="12103" builtinId="9" hidden="1"/>
    <cellStyle name="Lien hypertexte visité" xfId="12055" builtinId="9" hidden="1"/>
    <cellStyle name="Lien hypertexte visité" xfId="12023" builtinId="9" hidden="1"/>
    <cellStyle name="Lien hypertexte visité" xfId="11975" builtinId="9" hidden="1"/>
    <cellStyle name="Lien hypertexte visité" xfId="11927" builtinId="9" hidden="1"/>
    <cellStyle name="Lien hypertexte visité" xfId="11895" builtinId="9" hidden="1"/>
    <cellStyle name="Lien hypertexte visité" xfId="11847" builtinId="9" hidden="1"/>
    <cellStyle name="Lien hypertexte visité" xfId="11799" builtinId="9" hidden="1"/>
    <cellStyle name="Lien hypertexte visité" xfId="11767" builtinId="9" hidden="1"/>
    <cellStyle name="Lien hypertexte visité" xfId="11719" builtinId="9" hidden="1"/>
    <cellStyle name="Lien hypertexte visité" xfId="11671" builtinId="9" hidden="1"/>
    <cellStyle name="Lien hypertexte visité" xfId="11639" builtinId="9" hidden="1"/>
    <cellStyle name="Lien hypertexte visité" xfId="11591" builtinId="9" hidden="1"/>
    <cellStyle name="Lien hypertexte visité" xfId="11543" builtinId="9" hidden="1"/>
    <cellStyle name="Lien hypertexte visité" xfId="11511" builtinId="9" hidden="1"/>
    <cellStyle name="Lien hypertexte visité" xfId="11463" builtinId="9" hidden="1"/>
    <cellStyle name="Lien hypertexte visité" xfId="11415" builtinId="9" hidden="1"/>
    <cellStyle name="Lien hypertexte visité" xfId="11383" builtinId="9" hidden="1"/>
    <cellStyle name="Lien hypertexte visité" xfId="11335" builtinId="9" hidden="1"/>
    <cellStyle name="Lien hypertexte visité" xfId="11287" builtinId="9" hidden="1"/>
    <cellStyle name="Lien hypertexte visité" xfId="11255" builtinId="9" hidden="1"/>
    <cellStyle name="Lien hypertexte visité" xfId="11207" builtinId="9" hidden="1"/>
    <cellStyle name="Lien hypertexte visité" xfId="11159" builtinId="9" hidden="1"/>
    <cellStyle name="Lien hypertexte visité" xfId="11127" builtinId="9" hidden="1"/>
    <cellStyle name="Lien hypertexte visité" xfId="11079" builtinId="9" hidden="1"/>
    <cellStyle name="Lien hypertexte visité" xfId="11031" builtinId="9" hidden="1"/>
    <cellStyle name="Lien hypertexte visité" xfId="10999" builtinId="9" hidden="1"/>
    <cellStyle name="Lien hypertexte visité" xfId="10951" builtinId="9" hidden="1"/>
    <cellStyle name="Lien hypertexte visité" xfId="10903" builtinId="9" hidden="1"/>
    <cellStyle name="Lien hypertexte visité" xfId="10871" builtinId="9" hidden="1"/>
    <cellStyle name="Lien hypertexte visité" xfId="10823" builtinId="9" hidden="1"/>
    <cellStyle name="Lien hypertexte visité" xfId="10775" builtinId="9" hidden="1"/>
    <cellStyle name="Lien hypertexte visité" xfId="10743" builtinId="9" hidden="1"/>
    <cellStyle name="Lien hypertexte visité" xfId="10695" builtinId="9" hidden="1"/>
    <cellStyle name="Lien hypertexte visité" xfId="10647" builtinId="9" hidden="1"/>
    <cellStyle name="Lien hypertexte visité" xfId="10615" builtinId="9" hidden="1"/>
    <cellStyle name="Lien hypertexte visité" xfId="10567" builtinId="9" hidden="1"/>
    <cellStyle name="Lien hypertexte visité" xfId="10519" builtinId="9" hidden="1"/>
    <cellStyle name="Lien hypertexte visité" xfId="10487" builtinId="9" hidden="1"/>
    <cellStyle name="Lien hypertexte visité" xfId="10439" builtinId="9" hidden="1"/>
    <cellStyle name="Lien hypertexte visité" xfId="10391" builtinId="9" hidden="1"/>
    <cellStyle name="Lien hypertexte visité" xfId="10359" builtinId="9" hidden="1"/>
    <cellStyle name="Lien hypertexte visité" xfId="10311" builtinId="9" hidden="1"/>
    <cellStyle name="Lien hypertexte visité" xfId="10263" builtinId="9" hidden="1"/>
    <cellStyle name="Lien hypertexte visité" xfId="10231" builtinId="9" hidden="1"/>
    <cellStyle name="Lien hypertexte visité" xfId="10183" builtinId="9" hidden="1"/>
    <cellStyle name="Lien hypertexte visité" xfId="10135" builtinId="9" hidden="1"/>
    <cellStyle name="Lien hypertexte visité" xfId="10103" builtinId="9" hidden="1"/>
    <cellStyle name="Lien hypertexte visité" xfId="10055" builtinId="9" hidden="1"/>
    <cellStyle name="Lien hypertexte visité" xfId="10007" builtinId="9" hidden="1"/>
    <cellStyle name="Lien hypertexte visité" xfId="9975" builtinId="9" hidden="1"/>
    <cellStyle name="Lien hypertexte visité" xfId="9927" builtinId="9" hidden="1"/>
    <cellStyle name="Lien hypertexte visité" xfId="9879" builtinId="9" hidden="1"/>
    <cellStyle name="Lien hypertexte visité" xfId="9847" builtinId="9" hidden="1"/>
    <cellStyle name="Lien hypertexte visité" xfId="9799" builtinId="9" hidden="1"/>
    <cellStyle name="Lien hypertexte visité" xfId="9751" builtinId="9" hidden="1"/>
    <cellStyle name="Lien hypertexte visité" xfId="9719" builtinId="9" hidden="1"/>
    <cellStyle name="Lien hypertexte visité" xfId="9671" builtinId="9" hidden="1"/>
    <cellStyle name="Lien hypertexte visité" xfId="9623" builtinId="9" hidden="1"/>
    <cellStyle name="Lien hypertexte visité" xfId="9591" builtinId="9" hidden="1"/>
    <cellStyle name="Lien hypertexte visité" xfId="9543" builtinId="9" hidden="1"/>
    <cellStyle name="Lien hypertexte visité" xfId="9495" builtinId="9" hidden="1"/>
    <cellStyle name="Lien hypertexte visité" xfId="9463" builtinId="9" hidden="1"/>
    <cellStyle name="Lien hypertexte visité" xfId="9415" builtinId="9" hidden="1"/>
    <cellStyle name="Lien hypertexte visité" xfId="9367" builtinId="9" hidden="1"/>
    <cellStyle name="Lien hypertexte visité" xfId="9335" builtinId="9" hidden="1"/>
    <cellStyle name="Lien hypertexte visité" xfId="9287" builtinId="9" hidden="1"/>
    <cellStyle name="Lien hypertexte visité" xfId="9239" builtinId="9" hidden="1"/>
    <cellStyle name="Lien hypertexte visité" xfId="9207" builtinId="9" hidden="1"/>
    <cellStyle name="Lien hypertexte visité" xfId="9159" builtinId="9" hidden="1"/>
    <cellStyle name="Lien hypertexte visité" xfId="9111" builtinId="9" hidden="1"/>
    <cellStyle name="Lien hypertexte visité" xfId="9079" builtinId="9" hidden="1"/>
    <cellStyle name="Lien hypertexte visité" xfId="9031" builtinId="9" hidden="1"/>
    <cellStyle name="Lien hypertexte visité" xfId="8983" builtinId="9" hidden="1"/>
    <cellStyle name="Lien hypertexte visité" xfId="8951" builtinId="9" hidden="1"/>
    <cellStyle name="Lien hypertexte visité" xfId="8903" builtinId="9" hidden="1"/>
    <cellStyle name="Lien hypertexte visité" xfId="8855" builtinId="9" hidden="1"/>
    <cellStyle name="Lien hypertexte visité" xfId="8823" builtinId="9" hidden="1"/>
    <cellStyle name="Lien hypertexte visité" xfId="8775" builtinId="9" hidden="1"/>
    <cellStyle name="Lien hypertexte visité" xfId="8727" builtinId="9" hidden="1"/>
    <cellStyle name="Lien hypertexte visité" xfId="8695" builtinId="9" hidden="1"/>
    <cellStyle name="Lien hypertexte visité" xfId="8647" builtinId="9" hidden="1"/>
    <cellStyle name="Lien hypertexte visité" xfId="8599" builtinId="9" hidden="1"/>
    <cellStyle name="Lien hypertexte visité" xfId="8567" builtinId="9" hidden="1"/>
    <cellStyle name="Lien hypertexte visité" xfId="8519" builtinId="9" hidden="1"/>
    <cellStyle name="Lien hypertexte visité" xfId="8471" builtinId="9" hidden="1"/>
    <cellStyle name="Lien hypertexte visité" xfId="8439" builtinId="9" hidden="1"/>
    <cellStyle name="Lien hypertexte visité" xfId="8391" builtinId="9" hidden="1"/>
    <cellStyle name="Lien hypertexte visité" xfId="8343" builtinId="9" hidden="1"/>
    <cellStyle name="Lien hypertexte visité" xfId="8311" builtinId="9" hidden="1"/>
    <cellStyle name="Lien hypertexte visité" xfId="8263" builtinId="9" hidden="1"/>
    <cellStyle name="Lien hypertexte visité" xfId="8215" builtinId="9" hidden="1"/>
    <cellStyle name="Lien hypertexte visité" xfId="8183" builtinId="9" hidden="1"/>
    <cellStyle name="Lien hypertexte visité" xfId="8135" builtinId="9" hidden="1"/>
    <cellStyle name="Lien hypertexte visité" xfId="8087" builtinId="9" hidden="1"/>
    <cellStyle name="Lien hypertexte visité" xfId="8055" builtinId="9" hidden="1"/>
    <cellStyle name="Lien hypertexte visité" xfId="8007" builtinId="9" hidden="1"/>
    <cellStyle name="Lien hypertexte visité" xfId="7959" builtinId="9" hidden="1"/>
    <cellStyle name="Lien hypertexte visité" xfId="7927" builtinId="9" hidden="1"/>
    <cellStyle name="Lien hypertexte visité" xfId="7879" builtinId="9" hidden="1"/>
    <cellStyle name="Lien hypertexte visité" xfId="7831" builtinId="9" hidden="1"/>
    <cellStyle name="Lien hypertexte visité" xfId="7798" builtinId="9" hidden="1"/>
    <cellStyle name="Lien hypertexte visité" xfId="7750" builtinId="9" hidden="1"/>
    <cellStyle name="Lien hypertexte visité" xfId="7702" builtinId="9" hidden="1"/>
    <cellStyle name="Lien hypertexte visité" xfId="7670" builtinId="9" hidden="1"/>
    <cellStyle name="Lien hypertexte visité" xfId="7622" builtinId="9" hidden="1"/>
    <cellStyle name="Lien hypertexte visité" xfId="7574" builtinId="9" hidden="1"/>
    <cellStyle name="Lien hypertexte visité" xfId="7542" builtinId="9" hidden="1"/>
    <cellStyle name="Lien hypertexte visité" xfId="7494" builtinId="9" hidden="1"/>
    <cellStyle name="Lien hypertexte visité" xfId="7446" builtinId="9" hidden="1"/>
    <cellStyle name="Lien hypertexte visité" xfId="7414" builtinId="9" hidden="1"/>
    <cellStyle name="Lien hypertexte visité" xfId="7366" builtinId="9" hidden="1"/>
    <cellStyle name="Lien hypertexte visité" xfId="7318" builtinId="9" hidden="1"/>
    <cellStyle name="Lien hypertexte visité" xfId="7286" builtinId="9" hidden="1"/>
    <cellStyle name="Lien hypertexte visité" xfId="7238" builtinId="9" hidden="1"/>
    <cellStyle name="Lien hypertexte visité" xfId="7190" builtinId="9" hidden="1"/>
    <cellStyle name="Lien hypertexte visité" xfId="7158" builtinId="9" hidden="1"/>
    <cellStyle name="Lien hypertexte visité" xfId="7110" builtinId="9" hidden="1"/>
    <cellStyle name="Lien hypertexte visité" xfId="7062" builtinId="9" hidden="1"/>
    <cellStyle name="Lien hypertexte visité" xfId="7030" builtinId="9" hidden="1"/>
    <cellStyle name="Lien hypertexte visité" xfId="6982" builtinId="9" hidden="1"/>
    <cellStyle name="Lien hypertexte visité" xfId="6934" builtinId="9" hidden="1"/>
    <cellStyle name="Lien hypertexte visité" xfId="6902" builtinId="9" hidden="1"/>
    <cellStyle name="Lien hypertexte visité" xfId="6854" builtinId="9" hidden="1"/>
    <cellStyle name="Lien hypertexte visité" xfId="6806" builtinId="9" hidden="1"/>
    <cellStyle name="Lien hypertexte visité" xfId="6774" builtinId="9" hidden="1"/>
    <cellStyle name="Lien hypertexte visité" xfId="6726" builtinId="9" hidden="1"/>
    <cellStyle name="Lien hypertexte visité" xfId="6678" builtinId="9" hidden="1"/>
    <cellStyle name="Lien hypertexte visité" xfId="6646" builtinId="9" hidden="1"/>
    <cellStyle name="Lien hypertexte visité" xfId="6598" builtinId="9" hidden="1"/>
    <cellStyle name="Lien hypertexte visité" xfId="6550" builtinId="9" hidden="1"/>
    <cellStyle name="Lien hypertexte visité" xfId="6518" builtinId="9" hidden="1"/>
    <cellStyle name="Lien hypertexte visité" xfId="6470" builtinId="9" hidden="1"/>
    <cellStyle name="Lien hypertexte visité" xfId="6422" builtinId="9" hidden="1"/>
    <cellStyle name="Lien hypertexte visité" xfId="6390" builtinId="9" hidden="1"/>
    <cellStyle name="Lien hypertexte visité" xfId="6342" builtinId="9" hidden="1"/>
    <cellStyle name="Lien hypertexte visité" xfId="6294" builtinId="9" hidden="1"/>
    <cellStyle name="Lien hypertexte visité" xfId="6262" builtinId="9" hidden="1"/>
    <cellStyle name="Lien hypertexte visité" xfId="6214" builtinId="9" hidden="1"/>
    <cellStyle name="Lien hypertexte visité" xfId="6166" builtinId="9" hidden="1"/>
    <cellStyle name="Lien hypertexte visité" xfId="6134" builtinId="9" hidden="1"/>
    <cellStyle name="Lien hypertexte visité" xfId="6086" builtinId="9" hidden="1"/>
    <cellStyle name="Lien hypertexte visité" xfId="6038" builtinId="9" hidden="1"/>
    <cellStyle name="Lien hypertexte visité" xfId="6006" builtinId="9" hidden="1"/>
    <cellStyle name="Lien hypertexte visité" xfId="5958" builtinId="9" hidden="1"/>
    <cellStyle name="Lien hypertexte visité" xfId="5910" builtinId="9" hidden="1"/>
    <cellStyle name="Lien hypertexte visité" xfId="5878" builtinId="9" hidden="1"/>
    <cellStyle name="Lien hypertexte visité" xfId="5830" builtinId="9" hidden="1"/>
    <cellStyle name="Lien hypertexte visité" xfId="5782" builtinId="9" hidden="1"/>
    <cellStyle name="Lien hypertexte visité" xfId="5750" builtinId="9" hidden="1"/>
    <cellStyle name="Lien hypertexte visité" xfId="5702" builtinId="9" hidden="1"/>
    <cellStyle name="Lien hypertexte visité" xfId="5654" builtinId="9" hidden="1"/>
    <cellStyle name="Lien hypertexte visité" xfId="5622" builtinId="9" hidden="1"/>
    <cellStyle name="Lien hypertexte visité" xfId="5574" builtinId="9" hidden="1"/>
    <cellStyle name="Lien hypertexte visité" xfId="5526" builtinId="9" hidden="1"/>
    <cellStyle name="Lien hypertexte visité" xfId="5494" builtinId="9" hidden="1"/>
    <cellStyle name="Lien hypertexte visité" xfId="5446" builtinId="9" hidden="1"/>
    <cellStyle name="Lien hypertexte visité" xfId="5398" builtinId="9" hidden="1"/>
    <cellStyle name="Lien hypertexte visité" xfId="5366" builtinId="9" hidden="1"/>
    <cellStyle name="Lien hypertexte visité" xfId="5318" builtinId="9" hidden="1"/>
    <cellStyle name="Lien hypertexte visité" xfId="5270" builtinId="9" hidden="1"/>
    <cellStyle name="Lien hypertexte visité" xfId="5238" builtinId="9" hidden="1"/>
    <cellStyle name="Lien hypertexte visité" xfId="5190" builtinId="9" hidden="1"/>
    <cellStyle name="Lien hypertexte visité" xfId="5142" builtinId="9" hidden="1"/>
    <cellStyle name="Lien hypertexte visité" xfId="5110" builtinId="9" hidden="1"/>
    <cellStyle name="Lien hypertexte visité" xfId="5062" builtinId="9" hidden="1"/>
    <cellStyle name="Lien hypertexte visité" xfId="5014" builtinId="9" hidden="1"/>
    <cellStyle name="Lien hypertexte visité" xfId="4982" builtinId="9" hidden="1"/>
    <cellStyle name="Lien hypertexte visité" xfId="4934" builtinId="9" hidden="1"/>
    <cellStyle name="Lien hypertexte visité" xfId="4886" builtinId="9" hidden="1"/>
    <cellStyle name="Lien hypertexte visité" xfId="4854" builtinId="9" hidden="1"/>
    <cellStyle name="Lien hypertexte visité" xfId="4806" builtinId="9" hidden="1"/>
    <cellStyle name="Lien hypertexte visité" xfId="4758" builtinId="9" hidden="1"/>
    <cellStyle name="Lien hypertexte visité" xfId="4726" builtinId="9" hidden="1"/>
    <cellStyle name="Lien hypertexte visité" xfId="4678" builtinId="9" hidden="1"/>
    <cellStyle name="Lien hypertexte visité" xfId="4630" builtinId="9" hidden="1"/>
    <cellStyle name="Lien hypertexte visité" xfId="4598" builtinId="9" hidden="1"/>
    <cellStyle name="Lien hypertexte visité" xfId="4550" builtinId="9" hidden="1"/>
    <cellStyle name="Lien hypertexte visité" xfId="4502" builtinId="9" hidden="1"/>
    <cellStyle name="Lien hypertexte visité" xfId="4470" builtinId="9" hidden="1"/>
    <cellStyle name="Lien hypertexte visité" xfId="4422" builtinId="9" hidden="1"/>
    <cellStyle name="Lien hypertexte visité" xfId="4374" builtinId="9" hidden="1"/>
    <cellStyle name="Lien hypertexte visité" xfId="4342" builtinId="9" hidden="1"/>
    <cellStyle name="Lien hypertexte visité" xfId="4294" builtinId="9" hidden="1"/>
    <cellStyle name="Lien hypertexte visité" xfId="4246" builtinId="9" hidden="1"/>
    <cellStyle name="Lien hypertexte visité" xfId="4214" builtinId="9" hidden="1"/>
    <cellStyle name="Lien hypertexte visité" xfId="4166" builtinId="9" hidden="1"/>
    <cellStyle name="Lien hypertexte visité" xfId="4118" builtinId="9" hidden="1"/>
    <cellStyle name="Lien hypertexte visité" xfId="4086" builtinId="9" hidden="1"/>
    <cellStyle name="Lien hypertexte visité" xfId="4038" builtinId="9" hidden="1"/>
    <cellStyle name="Lien hypertexte visité" xfId="3990" builtinId="9" hidden="1"/>
    <cellStyle name="Lien hypertexte visité" xfId="3958" builtinId="9" hidden="1"/>
    <cellStyle name="Lien hypertexte visité" xfId="3914" builtinId="9" hidden="1"/>
    <cellStyle name="Lien hypertexte visité" xfId="3865" builtinId="9" hidden="1"/>
    <cellStyle name="Lien hypertexte visité" xfId="3833" builtinId="9" hidden="1"/>
    <cellStyle name="Lien hypertexte visité" xfId="3785" builtinId="9" hidden="1"/>
    <cellStyle name="Lien hypertexte visité" xfId="3737" builtinId="9" hidden="1"/>
    <cellStyle name="Lien hypertexte visité" xfId="3705" builtinId="9" hidden="1"/>
    <cellStyle name="Lien hypertexte visité" xfId="3649" builtinId="9" hidden="1"/>
    <cellStyle name="Lien hypertexte visité" xfId="3601" builtinId="9" hidden="1"/>
    <cellStyle name="Lien hypertexte visité" xfId="3569" builtinId="9" hidden="1"/>
    <cellStyle name="Lien hypertexte visité" xfId="3520" builtinId="9" hidden="1"/>
    <cellStyle name="Lien hypertexte visité" xfId="3472" builtinId="9" hidden="1"/>
    <cellStyle name="Lien hypertexte visité" xfId="3440" builtinId="9" hidden="1"/>
    <cellStyle name="Lien hypertexte visité" xfId="3392" builtinId="9" hidden="1"/>
    <cellStyle name="Lien hypertexte visité" xfId="3344" builtinId="9" hidden="1"/>
    <cellStyle name="Lien hypertexte visité" xfId="3312" builtinId="9" hidden="1"/>
    <cellStyle name="Lien hypertexte visité" xfId="3264" builtinId="9" hidden="1"/>
    <cellStyle name="Lien hypertexte visité" xfId="3216" builtinId="9" hidden="1"/>
    <cellStyle name="Lien hypertexte visité" xfId="3184" builtinId="9" hidden="1"/>
    <cellStyle name="Lien hypertexte visité" xfId="3136" builtinId="9" hidden="1"/>
    <cellStyle name="Lien hypertexte visité" xfId="3088" builtinId="9" hidden="1"/>
    <cellStyle name="Lien hypertexte visité" xfId="3056" builtinId="9" hidden="1"/>
    <cellStyle name="Lien hypertexte visité" xfId="3008" builtinId="9" hidden="1"/>
    <cellStyle name="Lien hypertexte visité" xfId="2960" builtinId="9" hidden="1"/>
    <cellStyle name="Lien hypertexte visité" xfId="2928" builtinId="9" hidden="1"/>
    <cellStyle name="Lien hypertexte visité" xfId="2880" builtinId="9" hidden="1"/>
    <cellStyle name="Lien hypertexte visité" xfId="2832" builtinId="9" hidden="1"/>
    <cellStyle name="Lien hypertexte visité" xfId="2800" builtinId="9" hidden="1"/>
    <cellStyle name="Lien hypertexte visité" xfId="2752" builtinId="9" hidden="1"/>
    <cellStyle name="Lien hypertexte visité" xfId="2704" builtinId="9" hidden="1"/>
    <cellStyle name="Lien hypertexte visité" xfId="2672" builtinId="9" hidden="1"/>
    <cellStyle name="Lien hypertexte visité" xfId="2624" builtinId="9" hidden="1"/>
    <cellStyle name="Lien hypertexte visité" xfId="2576" builtinId="9" hidden="1"/>
    <cellStyle name="Lien hypertexte visité" xfId="2544" builtinId="9" hidden="1"/>
    <cellStyle name="Lien hypertexte visité" xfId="2496" builtinId="9" hidden="1"/>
    <cellStyle name="Lien hypertexte visité" xfId="2448" builtinId="9" hidden="1"/>
    <cellStyle name="Lien hypertexte visité" xfId="2416" builtinId="9" hidden="1"/>
    <cellStyle name="Lien hypertexte visité" xfId="2368" builtinId="9" hidden="1"/>
    <cellStyle name="Lien hypertexte visité" xfId="2320" builtinId="9" hidden="1"/>
    <cellStyle name="Lien hypertexte visité" xfId="2288" builtinId="9" hidden="1"/>
    <cellStyle name="Lien hypertexte visité" xfId="2240" builtinId="9" hidden="1"/>
    <cellStyle name="Lien hypertexte visité" xfId="2192" builtinId="9" hidden="1"/>
    <cellStyle name="Lien hypertexte visité" xfId="2160" builtinId="9" hidden="1"/>
    <cellStyle name="Lien hypertexte visité" xfId="2112" builtinId="9" hidden="1"/>
    <cellStyle name="Lien hypertexte visité" xfId="2064" builtinId="9" hidden="1"/>
    <cellStyle name="Lien hypertexte visité" xfId="2032" builtinId="9" hidden="1"/>
    <cellStyle name="Lien hypertexte visité" xfId="1984" builtinId="9" hidden="1"/>
    <cellStyle name="Lien hypertexte visité" xfId="1936" builtinId="9" hidden="1"/>
    <cellStyle name="Lien hypertexte visité" xfId="1904" builtinId="9" hidden="1"/>
    <cellStyle name="Lien hypertexte visité" xfId="1856" builtinId="9" hidden="1"/>
    <cellStyle name="Lien hypertexte visité" xfId="1808" builtinId="9" hidden="1"/>
    <cellStyle name="Lien hypertexte visité" xfId="1776" builtinId="9" hidden="1"/>
    <cellStyle name="Lien hypertexte visité" xfId="1728" builtinId="9" hidden="1"/>
    <cellStyle name="Lien hypertexte visité" xfId="1680" builtinId="9" hidden="1"/>
    <cellStyle name="Lien hypertexte visité" xfId="1648" builtinId="9" hidden="1"/>
    <cellStyle name="Lien hypertexte visité" xfId="1600" builtinId="9" hidden="1"/>
    <cellStyle name="Lien hypertexte visité" xfId="1552" builtinId="9" hidden="1"/>
    <cellStyle name="Lien hypertexte visité" xfId="1520" builtinId="9" hidden="1"/>
    <cellStyle name="Lien hypertexte visité" xfId="1471" builtinId="9" hidden="1"/>
    <cellStyle name="Lien hypertexte visité" xfId="1423" builtinId="9" hidden="1"/>
    <cellStyle name="Lien hypertexte visité" xfId="1391" builtinId="9" hidden="1"/>
    <cellStyle name="Lien hypertexte visité" xfId="1343" builtinId="9" hidden="1"/>
    <cellStyle name="Lien hypertexte visité" xfId="1295" builtinId="9" hidden="1"/>
    <cellStyle name="Lien hypertexte visité" xfId="1263" builtinId="9" hidden="1"/>
    <cellStyle name="Lien hypertexte visité" xfId="1215" builtinId="9" hidden="1"/>
    <cellStyle name="Lien hypertexte visité" xfId="1167" builtinId="9" hidden="1"/>
    <cellStyle name="Lien hypertexte visité" xfId="1107" builtinId="9" hidden="1"/>
    <cellStyle name="Lien hypertexte visité" xfId="1011" builtinId="9" hidden="1"/>
    <cellStyle name="Lien hypertexte visité" xfId="915" builtinId="9" hidden="1"/>
    <cellStyle name="Lien hypertexte visité" xfId="851" builtinId="9" hidden="1"/>
    <cellStyle name="Lien hypertexte visité" xfId="755" builtinId="9" hidden="1"/>
    <cellStyle name="Lien hypertexte visité" xfId="659" builtinId="9" hidden="1"/>
    <cellStyle name="Lien hypertexte visité" xfId="595" builtinId="9" hidden="1"/>
    <cellStyle name="Lien hypertexte visité" xfId="499" builtinId="9" hidden="1"/>
    <cellStyle name="Lien hypertexte visité" xfId="403" builtinId="9" hidden="1"/>
    <cellStyle name="Lien hypertexte visité" xfId="339" builtinId="9" hidden="1"/>
    <cellStyle name="Lien hypertexte visité" xfId="243" builtinId="9" hidden="1"/>
    <cellStyle name="Lien hypertexte visité" xfId="147" builtinId="9" hidden="1"/>
    <cellStyle name="Lien hypertexte visité" xfId="91" builtinId="9" hidden="1"/>
    <cellStyle name="Lien hypertexte visité" xfId="4" builtinId="9" hidden="1"/>
    <cellStyle name="Lien hypertexte visité" xfId="93" builtinId="9" hidden="1"/>
    <cellStyle name="Lien hypertexte visité" xfId="143" builtinId="9" hidden="1"/>
    <cellStyle name="Lien hypertexte visité" xfId="239" builtinId="9" hidden="1"/>
    <cellStyle name="Lien hypertexte visité" xfId="335" builtinId="9" hidden="1"/>
    <cellStyle name="Lien hypertexte visité" xfId="399" builtinId="9" hidden="1"/>
    <cellStyle name="Lien hypertexte visité" xfId="495" builtinId="9" hidden="1"/>
    <cellStyle name="Lien hypertexte visité" xfId="591" builtinId="9" hidden="1"/>
    <cellStyle name="Lien hypertexte visité" xfId="655" builtinId="9" hidden="1"/>
    <cellStyle name="Lien hypertexte visité" xfId="751" builtinId="9" hidden="1"/>
    <cellStyle name="Lien hypertexte visité" xfId="847" builtinId="9" hidden="1"/>
    <cellStyle name="Lien hypertexte visité" xfId="911" builtinId="9" hidden="1"/>
    <cellStyle name="Lien hypertexte visité" xfId="1007" builtinId="9" hidden="1"/>
    <cellStyle name="Lien hypertexte visité" xfId="1103" builtinId="9" hidden="1"/>
    <cellStyle name="Lien hypertexte visité" xfId="1165" builtinId="9" hidden="1"/>
    <cellStyle name="Lien hypertexte visité" xfId="1213" builtinId="9" hidden="1"/>
    <cellStyle name="Lien hypertexte visité" xfId="1261" builtinId="9" hidden="1"/>
    <cellStyle name="Lien hypertexte visité" xfId="1293" builtinId="9" hidden="1"/>
    <cellStyle name="Lien hypertexte visité" xfId="1341" builtinId="9" hidden="1"/>
    <cellStyle name="Lien hypertexte visité" xfId="1389" builtinId="9" hidden="1"/>
    <cellStyle name="Lien hypertexte visité" xfId="1421" builtinId="9" hidden="1"/>
    <cellStyle name="Lien hypertexte visité" xfId="1469" builtinId="9" hidden="1"/>
    <cellStyle name="Lien hypertexte visité" xfId="1518" builtinId="9" hidden="1"/>
    <cellStyle name="Lien hypertexte visité" xfId="1550" builtinId="9" hidden="1"/>
    <cellStyle name="Lien hypertexte visité" xfId="1598" builtinId="9" hidden="1"/>
    <cellStyle name="Lien hypertexte visité" xfId="1646" builtinId="9" hidden="1"/>
    <cellStyle name="Lien hypertexte visité" xfId="1678" builtinId="9" hidden="1"/>
    <cellStyle name="Lien hypertexte visité" xfId="1726" builtinId="9" hidden="1"/>
    <cellStyle name="Lien hypertexte visité" xfId="1774" builtinId="9" hidden="1"/>
    <cellStyle name="Lien hypertexte visité" xfId="1806" builtinId="9" hidden="1"/>
    <cellStyle name="Lien hypertexte visité" xfId="1854" builtinId="9" hidden="1"/>
    <cellStyle name="Lien hypertexte visité" xfId="1902" builtinId="9" hidden="1"/>
    <cellStyle name="Lien hypertexte visité" xfId="1934" builtinId="9" hidden="1"/>
    <cellStyle name="Lien hypertexte visité" xfId="1982" builtinId="9" hidden="1"/>
    <cellStyle name="Lien hypertexte visité" xfId="2030" builtinId="9" hidden="1"/>
    <cellStyle name="Lien hypertexte visité" xfId="2062" builtinId="9" hidden="1"/>
    <cellStyle name="Lien hypertexte visité" xfId="2110" builtinId="9" hidden="1"/>
    <cellStyle name="Lien hypertexte visité" xfId="2158" builtinId="9" hidden="1"/>
    <cellStyle name="Lien hypertexte visité" xfId="2190" builtinId="9" hidden="1"/>
    <cellStyle name="Lien hypertexte visité" xfId="2238" builtinId="9" hidden="1"/>
    <cellStyle name="Lien hypertexte visité" xfId="2286" builtinId="9" hidden="1"/>
    <cellStyle name="Lien hypertexte visité" xfId="2318" builtinId="9" hidden="1"/>
    <cellStyle name="Lien hypertexte visité" xfId="2366" builtinId="9" hidden="1"/>
    <cellStyle name="Lien hypertexte visité" xfId="2414" builtinId="9" hidden="1"/>
    <cellStyle name="Lien hypertexte visité" xfId="2446" builtinId="9" hidden="1"/>
    <cellStyle name="Lien hypertexte visité" xfId="2494" builtinId="9" hidden="1"/>
    <cellStyle name="Lien hypertexte visité" xfId="2542" builtinId="9" hidden="1"/>
    <cellStyle name="Lien hypertexte visité" xfId="2574" builtinId="9" hidden="1"/>
    <cellStyle name="Lien hypertexte visité" xfId="2622" builtinId="9" hidden="1"/>
    <cellStyle name="Lien hypertexte visité" xfId="2670" builtinId="9" hidden="1"/>
    <cellStyle name="Lien hypertexte visité" xfId="2702" builtinId="9" hidden="1"/>
    <cellStyle name="Lien hypertexte visité" xfId="2750" builtinId="9" hidden="1"/>
    <cellStyle name="Lien hypertexte visité" xfId="2798" builtinId="9" hidden="1"/>
    <cellStyle name="Lien hypertexte visité" xfId="2830" builtinId="9" hidden="1"/>
    <cellStyle name="Lien hypertexte visité" xfId="2878" builtinId="9" hidden="1"/>
    <cellStyle name="Lien hypertexte visité" xfId="2926" builtinId="9" hidden="1"/>
    <cellStyle name="Lien hypertexte visité" xfId="2958" builtinId="9" hidden="1"/>
    <cellStyle name="Lien hypertexte visité" xfId="3006" builtinId="9" hidden="1"/>
    <cellStyle name="Lien hypertexte visité" xfId="3054" builtinId="9" hidden="1"/>
    <cellStyle name="Lien hypertexte visité" xfId="3086" builtinId="9" hidden="1"/>
    <cellStyle name="Lien hypertexte visité" xfId="3134" builtinId="9" hidden="1"/>
    <cellStyle name="Lien hypertexte visité" xfId="3182" builtinId="9" hidden="1"/>
    <cellStyle name="Lien hypertexte visité" xfId="3214" builtinId="9" hidden="1"/>
    <cellStyle name="Lien hypertexte visité" xfId="3262" builtinId="9" hidden="1"/>
    <cellStyle name="Lien hypertexte visité" xfId="3310" builtinId="9" hidden="1"/>
    <cellStyle name="Lien hypertexte visité" xfId="3342" builtinId="9" hidden="1"/>
    <cellStyle name="Lien hypertexte visité" xfId="3390" builtinId="9" hidden="1"/>
    <cellStyle name="Lien hypertexte visité" xfId="3438" builtinId="9" hidden="1"/>
    <cellStyle name="Lien hypertexte visité" xfId="3470" builtinId="9" hidden="1"/>
    <cellStyle name="Lien hypertexte visité" xfId="3518" builtinId="9" hidden="1"/>
    <cellStyle name="Lien hypertexte visité" xfId="3567" builtinId="9" hidden="1"/>
    <cellStyle name="Lien hypertexte visité" xfId="3599" builtinId="9" hidden="1"/>
    <cellStyle name="Lien hypertexte visité" xfId="3647" builtinId="9" hidden="1"/>
    <cellStyle name="Lien hypertexte visité" xfId="3703" builtinId="9" hidden="1"/>
    <cellStyle name="Lien hypertexte visité" xfId="3735" builtinId="9" hidden="1"/>
    <cellStyle name="Lien hypertexte visité" xfId="3783" builtinId="9" hidden="1"/>
    <cellStyle name="Lien hypertexte visité" xfId="3831" builtinId="9" hidden="1"/>
    <cellStyle name="Lien hypertexte visité" xfId="3863" builtinId="9" hidden="1"/>
    <cellStyle name="Lien hypertexte visité" xfId="3912" builtinId="9" hidden="1"/>
    <cellStyle name="Lien hypertexte visité" xfId="3956" builtinId="9" hidden="1"/>
    <cellStyle name="Lien hypertexte visité" xfId="3988" builtinId="9" hidden="1"/>
    <cellStyle name="Lien hypertexte visité" xfId="4036" builtinId="9" hidden="1"/>
    <cellStyle name="Lien hypertexte visité" xfId="4084" builtinId="9" hidden="1"/>
    <cellStyle name="Lien hypertexte visité" xfId="4116" builtinId="9" hidden="1"/>
    <cellStyle name="Lien hypertexte visité" xfId="4164" builtinId="9" hidden="1"/>
    <cellStyle name="Lien hypertexte visité" xfId="4212" builtinId="9" hidden="1"/>
    <cellStyle name="Lien hypertexte visité" xfId="4244" builtinId="9" hidden="1"/>
    <cellStyle name="Lien hypertexte visité" xfId="4292" builtinId="9" hidden="1"/>
    <cellStyle name="Lien hypertexte visité" xfId="4340" builtinId="9" hidden="1"/>
    <cellStyle name="Lien hypertexte visité" xfId="4372" builtinId="9" hidden="1"/>
    <cellStyle name="Lien hypertexte visité" xfId="4420" builtinId="9" hidden="1"/>
    <cellStyle name="Lien hypertexte visité" xfId="4468" builtinId="9" hidden="1"/>
    <cellStyle name="Lien hypertexte visité" xfId="4500" builtinId="9" hidden="1"/>
    <cellStyle name="Lien hypertexte visité" xfId="4548" builtinId="9" hidden="1"/>
    <cellStyle name="Lien hypertexte visité" xfId="4596" builtinId="9" hidden="1"/>
    <cellStyle name="Lien hypertexte visité" xfId="4628" builtinId="9" hidden="1"/>
    <cellStyle name="Lien hypertexte visité" xfId="4676" builtinId="9" hidden="1"/>
    <cellStyle name="Lien hypertexte visité" xfId="4724" builtinId="9" hidden="1"/>
    <cellStyle name="Lien hypertexte visité" xfId="4756" builtinId="9" hidden="1"/>
    <cellStyle name="Lien hypertexte visité" xfId="4804" builtinId="9" hidden="1"/>
    <cellStyle name="Lien hypertexte visité" xfId="4852" builtinId="9" hidden="1"/>
    <cellStyle name="Lien hypertexte visité" xfId="4884" builtinId="9" hidden="1"/>
    <cellStyle name="Lien hypertexte visité" xfId="4932" builtinId="9" hidden="1"/>
    <cellStyle name="Lien hypertexte visité" xfId="4980" builtinId="9" hidden="1"/>
    <cellStyle name="Lien hypertexte visité" xfId="5012" builtinId="9" hidden="1"/>
    <cellStyle name="Lien hypertexte visité" xfId="5060" builtinId="9" hidden="1"/>
    <cellStyle name="Lien hypertexte visité" xfId="5108" builtinId="9" hidden="1"/>
    <cellStyle name="Lien hypertexte visité" xfId="5140" builtinId="9" hidden="1"/>
    <cellStyle name="Lien hypertexte visité" xfId="5188" builtinId="9" hidden="1"/>
    <cellStyle name="Lien hypertexte visité" xfId="5236" builtinId="9" hidden="1"/>
    <cellStyle name="Lien hypertexte visité" xfId="5268" builtinId="9" hidden="1"/>
    <cellStyle name="Lien hypertexte visité" xfId="5316" builtinId="9" hidden="1"/>
    <cellStyle name="Lien hypertexte visité" xfId="5364" builtinId="9" hidden="1"/>
    <cellStyle name="Lien hypertexte visité" xfId="5396" builtinId="9" hidden="1"/>
    <cellStyle name="Lien hypertexte visité" xfId="5444" builtinId="9" hidden="1"/>
    <cellStyle name="Lien hypertexte visité" xfId="5492" builtinId="9" hidden="1"/>
    <cellStyle name="Lien hypertexte visité" xfId="5524" builtinId="9" hidden="1"/>
    <cellStyle name="Lien hypertexte visité" xfId="5572" builtinId="9" hidden="1"/>
    <cellStyle name="Lien hypertexte visité" xfId="5620" builtinId="9" hidden="1"/>
    <cellStyle name="Lien hypertexte visité" xfId="5652" builtinId="9" hidden="1"/>
    <cellStyle name="Lien hypertexte visité" xfId="5700" builtinId="9" hidden="1"/>
    <cellStyle name="Lien hypertexte visité" xfId="5748" builtinId="9" hidden="1"/>
    <cellStyle name="Lien hypertexte visité" xfId="5780" builtinId="9" hidden="1"/>
    <cellStyle name="Lien hypertexte visité" xfId="5828" builtinId="9" hidden="1"/>
    <cellStyle name="Lien hypertexte visité" xfId="5876" builtinId="9" hidden="1"/>
    <cellStyle name="Lien hypertexte visité" xfId="5908" builtinId="9" hidden="1"/>
    <cellStyle name="Lien hypertexte visité" xfId="5956" builtinId="9" hidden="1"/>
    <cellStyle name="Lien hypertexte visité" xfId="6004" builtinId="9" hidden="1"/>
    <cellStyle name="Lien hypertexte visité" xfId="6036" builtinId="9" hidden="1"/>
    <cellStyle name="Lien hypertexte visité" xfId="6084" builtinId="9" hidden="1"/>
    <cellStyle name="Lien hypertexte visité" xfId="6132" builtinId="9" hidden="1"/>
    <cellStyle name="Lien hypertexte visité" xfId="6164" builtinId="9" hidden="1"/>
    <cellStyle name="Lien hypertexte visité" xfId="6212" builtinId="9" hidden="1"/>
    <cellStyle name="Lien hypertexte visité" xfId="6260" builtinId="9" hidden="1"/>
    <cellStyle name="Lien hypertexte visité" xfId="6292" builtinId="9" hidden="1"/>
    <cellStyle name="Lien hypertexte visité" xfId="6340" builtinId="9" hidden="1"/>
    <cellStyle name="Lien hypertexte visité" xfId="6388" builtinId="9" hidden="1"/>
    <cellStyle name="Lien hypertexte visité" xfId="6420" builtinId="9" hidden="1"/>
    <cellStyle name="Lien hypertexte visité" xfId="6468" builtinId="9" hidden="1"/>
    <cellStyle name="Lien hypertexte visité" xfId="6516" builtinId="9" hidden="1"/>
    <cellStyle name="Lien hypertexte visité" xfId="6548" builtinId="9" hidden="1"/>
    <cellStyle name="Lien hypertexte visité" xfId="6596" builtinId="9" hidden="1"/>
    <cellStyle name="Lien hypertexte visité" xfId="6644" builtinId="9" hidden="1"/>
    <cellStyle name="Lien hypertexte visité" xfId="6676" builtinId="9" hidden="1"/>
    <cellStyle name="Lien hypertexte visité" xfId="6724" builtinId="9" hidden="1"/>
    <cellStyle name="Lien hypertexte visité" xfId="6772" builtinId="9" hidden="1"/>
    <cellStyle name="Lien hypertexte visité" xfId="6804" builtinId="9" hidden="1"/>
    <cellStyle name="Lien hypertexte visité" xfId="6852" builtinId="9" hidden="1"/>
    <cellStyle name="Lien hypertexte visité" xfId="6900" builtinId="9" hidden="1"/>
    <cellStyle name="Lien hypertexte visité" xfId="6932" builtinId="9" hidden="1"/>
    <cellStyle name="Lien hypertexte visité" xfId="6980" builtinId="9" hidden="1"/>
    <cellStyle name="Lien hypertexte visité" xfId="7028" builtinId="9" hidden="1"/>
    <cellStyle name="Lien hypertexte visité" xfId="7060" builtinId="9" hidden="1"/>
    <cellStyle name="Lien hypertexte visité" xfId="7108" builtinId="9" hidden="1"/>
    <cellStyle name="Lien hypertexte visité" xfId="7156" builtinId="9" hidden="1"/>
    <cellStyle name="Lien hypertexte visité" xfId="7188" builtinId="9" hidden="1"/>
    <cellStyle name="Lien hypertexte visité" xfId="7236" builtinId="9" hidden="1"/>
    <cellStyle name="Lien hypertexte visité" xfId="7284" builtinId="9" hidden="1"/>
    <cellStyle name="Lien hypertexte visité" xfId="7316" builtinId="9" hidden="1"/>
    <cellStyle name="Lien hypertexte visité" xfId="7364" builtinId="9" hidden="1"/>
    <cellStyle name="Lien hypertexte visité" xfId="7412" builtinId="9" hidden="1"/>
    <cellStyle name="Lien hypertexte visité" xfId="7444" builtinId="9" hidden="1"/>
    <cellStyle name="Lien hypertexte visité" xfId="7492" builtinId="9" hidden="1"/>
    <cellStyle name="Lien hypertexte visité" xfId="7540" builtinId="9" hidden="1"/>
    <cellStyle name="Lien hypertexte visité" xfId="7572" builtinId="9" hidden="1"/>
    <cellStyle name="Lien hypertexte visité" xfId="7620" builtinId="9" hidden="1"/>
    <cellStyle name="Lien hypertexte visité" xfId="7668" builtinId="9" hidden="1"/>
    <cellStyle name="Lien hypertexte visité" xfId="7700" builtinId="9" hidden="1"/>
    <cellStyle name="Lien hypertexte visité" xfId="7748" builtinId="9" hidden="1"/>
    <cellStyle name="Lien hypertexte visité" xfId="7796" builtinId="9" hidden="1"/>
    <cellStyle name="Lien hypertexte visité" xfId="7829" builtinId="9" hidden="1"/>
    <cellStyle name="Lien hypertexte visité" xfId="7877" builtinId="9" hidden="1"/>
    <cellStyle name="Lien hypertexte visité" xfId="7925" builtinId="9" hidden="1"/>
    <cellStyle name="Lien hypertexte visité" xfId="7957" builtinId="9" hidden="1"/>
    <cellStyle name="Lien hypertexte visité" xfId="8005" builtinId="9" hidden="1"/>
    <cellStyle name="Lien hypertexte visité" xfId="8053" builtinId="9" hidden="1"/>
    <cellStyle name="Lien hypertexte visité" xfId="8085" builtinId="9" hidden="1"/>
    <cellStyle name="Lien hypertexte visité" xfId="8133" builtinId="9" hidden="1"/>
    <cellStyle name="Lien hypertexte visité" xfId="8181" builtinId="9" hidden="1"/>
    <cellStyle name="Lien hypertexte visité" xfId="8213" builtinId="9" hidden="1"/>
    <cellStyle name="Lien hypertexte visité" xfId="8261" builtinId="9" hidden="1"/>
    <cellStyle name="Lien hypertexte visité" xfId="8309" builtinId="9" hidden="1"/>
    <cellStyle name="Lien hypertexte visité" xfId="8341" builtinId="9" hidden="1"/>
    <cellStyle name="Lien hypertexte visité" xfId="8389" builtinId="9" hidden="1"/>
    <cellStyle name="Lien hypertexte visité" xfId="8437" builtinId="9" hidden="1"/>
    <cellStyle name="Lien hypertexte visité" xfId="8469" builtinId="9" hidden="1"/>
    <cellStyle name="Lien hypertexte visité" xfId="8517" builtinId="9" hidden="1"/>
    <cellStyle name="Lien hypertexte visité" xfId="8565" builtinId="9" hidden="1"/>
    <cellStyle name="Lien hypertexte visité" xfId="8597" builtinId="9" hidden="1"/>
    <cellStyle name="Lien hypertexte visité" xfId="8645" builtinId="9" hidden="1"/>
    <cellStyle name="Lien hypertexte visité" xfId="8693" builtinId="9" hidden="1"/>
    <cellStyle name="Lien hypertexte visité" xfId="8725" builtinId="9" hidden="1"/>
    <cellStyle name="Lien hypertexte visité" xfId="8773" builtinId="9" hidden="1"/>
    <cellStyle name="Lien hypertexte visité" xfId="8821" builtinId="9" hidden="1"/>
    <cellStyle name="Lien hypertexte visité" xfId="8853" builtinId="9" hidden="1"/>
    <cellStyle name="Lien hypertexte visité" xfId="8901" builtinId="9" hidden="1"/>
    <cellStyle name="Lien hypertexte visité" xfId="8949" builtinId="9" hidden="1"/>
    <cellStyle name="Lien hypertexte visité" xfId="8981" builtinId="9" hidden="1"/>
    <cellStyle name="Lien hypertexte visité" xfId="9029" builtinId="9" hidden="1"/>
    <cellStyle name="Lien hypertexte visité" xfId="9077" builtinId="9" hidden="1"/>
    <cellStyle name="Lien hypertexte visité" xfId="9109" builtinId="9" hidden="1"/>
    <cellStyle name="Lien hypertexte visité" xfId="9157" builtinId="9" hidden="1"/>
    <cellStyle name="Lien hypertexte visité" xfId="9205" builtinId="9" hidden="1"/>
    <cellStyle name="Lien hypertexte visité" xfId="9237" builtinId="9" hidden="1"/>
    <cellStyle name="Lien hypertexte visité" xfId="9285" builtinId="9" hidden="1"/>
    <cellStyle name="Lien hypertexte visité" xfId="9333" builtinId="9" hidden="1"/>
    <cellStyle name="Lien hypertexte visité" xfId="9365" builtinId="9" hidden="1"/>
    <cellStyle name="Lien hypertexte visité" xfId="9413" builtinId="9" hidden="1"/>
    <cellStyle name="Lien hypertexte visité" xfId="9461" builtinId="9" hidden="1"/>
    <cellStyle name="Lien hypertexte visité" xfId="9493" builtinId="9" hidden="1"/>
    <cellStyle name="Lien hypertexte visité" xfId="9541" builtinId="9" hidden="1"/>
    <cellStyle name="Lien hypertexte visité" xfId="9589" builtinId="9" hidden="1"/>
    <cellStyle name="Lien hypertexte visité" xfId="9621" builtinId="9" hidden="1"/>
    <cellStyle name="Lien hypertexte visité" xfId="9669" builtinId="9" hidden="1"/>
    <cellStyle name="Lien hypertexte visité" xfId="9717" builtinId="9" hidden="1"/>
    <cellStyle name="Lien hypertexte visité" xfId="9749" builtinId="9" hidden="1"/>
    <cellStyle name="Lien hypertexte visité" xfId="9797" builtinId="9" hidden="1"/>
    <cellStyle name="Lien hypertexte visité" xfId="9845" builtinId="9" hidden="1"/>
    <cellStyle name="Lien hypertexte visité" xfId="9877" builtinId="9" hidden="1"/>
    <cellStyle name="Lien hypertexte visité" xfId="9925" builtinId="9" hidden="1"/>
    <cellStyle name="Lien hypertexte visité" xfId="9973" builtinId="9" hidden="1"/>
    <cellStyle name="Lien hypertexte visité" xfId="10005" builtinId="9" hidden="1"/>
    <cellStyle name="Lien hypertexte visité" xfId="10053" builtinId="9" hidden="1"/>
    <cellStyle name="Lien hypertexte visité" xfId="10101" builtinId="9" hidden="1"/>
    <cellStyle name="Lien hypertexte visité" xfId="10133" builtinId="9" hidden="1"/>
    <cellStyle name="Lien hypertexte visité" xfId="10181" builtinId="9" hidden="1"/>
    <cellStyle name="Lien hypertexte visité" xfId="10229" builtinId="9" hidden="1"/>
    <cellStyle name="Lien hypertexte visité" xfId="10261" builtinId="9" hidden="1"/>
    <cellStyle name="Lien hypertexte visité" xfId="10309" builtinId="9" hidden="1"/>
    <cellStyle name="Lien hypertexte visité" xfId="10357" builtinId="9" hidden="1"/>
    <cellStyle name="Lien hypertexte visité" xfId="10389" builtinId="9" hidden="1"/>
    <cellStyle name="Lien hypertexte visité" xfId="10437" builtinId="9" hidden="1"/>
    <cellStyle name="Lien hypertexte visité" xfId="10485" builtinId="9" hidden="1"/>
    <cellStyle name="Lien hypertexte visité" xfId="10517" builtinId="9" hidden="1"/>
    <cellStyle name="Lien hypertexte visité" xfId="10565" builtinId="9" hidden="1"/>
    <cellStyle name="Lien hypertexte visité" xfId="10613" builtinId="9" hidden="1"/>
    <cellStyle name="Lien hypertexte visité" xfId="10645" builtinId="9" hidden="1"/>
    <cellStyle name="Lien hypertexte visité" xfId="10693" builtinId="9" hidden="1"/>
    <cellStyle name="Lien hypertexte visité" xfId="10741" builtinId="9" hidden="1"/>
    <cellStyle name="Lien hypertexte visité" xfId="10773" builtinId="9" hidden="1"/>
    <cellStyle name="Lien hypertexte visité" xfId="10821" builtinId="9" hidden="1"/>
    <cellStyle name="Lien hypertexte visité" xfId="10869" builtinId="9" hidden="1"/>
    <cellStyle name="Lien hypertexte visité" xfId="10901" builtinId="9" hidden="1"/>
    <cellStyle name="Lien hypertexte visité" xfId="10949" builtinId="9" hidden="1"/>
    <cellStyle name="Lien hypertexte visité" xfId="10997" builtinId="9" hidden="1"/>
    <cellStyle name="Lien hypertexte visité" xfId="11029" builtinId="9" hidden="1"/>
    <cellStyle name="Lien hypertexte visité" xfId="11077" builtinId="9" hidden="1"/>
    <cellStyle name="Lien hypertexte visité" xfId="11125" builtinId="9" hidden="1"/>
    <cellStyle name="Lien hypertexte visité" xfId="11157" builtinId="9" hidden="1"/>
    <cellStyle name="Lien hypertexte visité" xfId="11205" builtinId="9" hidden="1"/>
    <cellStyle name="Lien hypertexte visité" xfId="11253" builtinId="9" hidden="1"/>
    <cellStyle name="Lien hypertexte visité" xfId="11285" builtinId="9" hidden="1"/>
    <cellStyle name="Lien hypertexte visité" xfId="11333" builtinId="9" hidden="1"/>
    <cellStyle name="Lien hypertexte visité" xfId="11381" builtinId="9" hidden="1"/>
    <cellStyle name="Lien hypertexte visité" xfId="11413" builtinId="9" hidden="1"/>
    <cellStyle name="Lien hypertexte visité" xfId="11461" builtinId="9" hidden="1"/>
    <cellStyle name="Lien hypertexte visité" xfId="11509" builtinId="9" hidden="1"/>
    <cellStyle name="Lien hypertexte visité" xfId="11541" builtinId="9" hidden="1"/>
    <cellStyle name="Lien hypertexte visité" xfId="11589" builtinId="9" hidden="1"/>
    <cellStyle name="Lien hypertexte visité" xfId="11637" builtinId="9" hidden="1"/>
    <cellStyle name="Lien hypertexte visité" xfId="11669" builtinId="9" hidden="1"/>
    <cellStyle name="Lien hypertexte visité" xfId="11717" builtinId="9" hidden="1"/>
    <cellStyle name="Lien hypertexte visité" xfId="11765" builtinId="9" hidden="1"/>
    <cellStyle name="Lien hypertexte visité" xfId="11797" builtinId="9" hidden="1"/>
    <cellStyle name="Lien hypertexte visité" xfId="11845" builtinId="9" hidden="1"/>
    <cellStyle name="Lien hypertexte visité" xfId="11893" builtinId="9" hidden="1"/>
    <cellStyle name="Lien hypertexte visité" xfId="11925" builtinId="9" hidden="1"/>
    <cellStyle name="Lien hypertexte visité" xfId="11973" builtinId="9" hidden="1"/>
    <cellStyle name="Lien hypertexte visité" xfId="12021" builtinId="9" hidden="1"/>
    <cellStyle name="Lien hypertexte visité" xfId="12053" builtinId="9" hidden="1"/>
    <cellStyle name="Lien hypertexte visité" xfId="12101" builtinId="9" hidden="1"/>
    <cellStyle name="Lien hypertexte visité" xfId="12149" builtinId="9" hidden="1"/>
    <cellStyle name="Lien hypertexte visité" xfId="12181" builtinId="9" hidden="1"/>
    <cellStyle name="Lien hypertexte visité" xfId="12229" builtinId="9" hidden="1"/>
    <cellStyle name="Lien hypertexte visité" xfId="12277" builtinId="9" hidden="1"/>
    <cellStyle name="Lien hypertexte visité" xfId="12309" builtinId="9" hidden="1"/>
    <cellStyle name="Lien hypertexte visité" xfId="12357" builtinId="9" hidden="1"/>
    <cellStyle name="Lien hypertexte visité" xfId="12405" builtinId="9" hidden="1"/>
    <cellStyle name="Lien hypertexte visité" xfId="12437" builtinId="9" hidden="1"/>
    <cellStyle name="Lien hypertexte visité" xfId="12485" builtinId="9" hidden="1"/>
    <cellStyle name="Lien hypertexte visité" xfId="12533" builtinId="9" hidden="1"/>
    <cellStyle name="Lien hypertexte visité" xfId="12565" builtinId="9" hidden="1"/>
    <cellStyle name="Lien hypertexte visité" xfId="12613" builtinId="9" hidden="1"/>
    <cellStyle name="Lien hypertexte visité" xfId="12661" builtinId="9" hidden="1"/>
    <cellStyle name="Lien hypertexte visité" xfId="12693" builtinId="9" hidden="1"/>
    <cellStyle name="Lien hypertexte visité" xfId="12741" builtinId="9" hidden="1"/>
    <cellStyle name="Lien hypertexte visité" xfId="12789" builtinId="9" hidden="1"/>
    <cellStyle name="Lien hypertexte visité" xfId="12821" builtinId="9" hidden="1"/>
    <cellStyle name="Lien hypertexte visité" xfId="12869" builtinId="9" hidden="1"/>
    <cellStyle name="Lien hypertexte visité" xfId="12917" builtinId="9" hidden="1"/>
    <cellStyle name="Lien hypertexte visité" xfId="12949" builtinId="9" hidden="1"/>
    <cellStyle name="Lien hypertexte visité" xfId="12997" builtinId="9" hidden="1"/>
    <cellStyle name="Lien hypertexte visité" xfId="13045" builtinId="9" hidden="1"/>
    <cellStyle name="Lien hypertexte visité" xfId="13077" builtinId="9" hidden="1"/>
    <cellStyle name="Lien hypertexte visité" xfId="13125" builtinId="9" hidden="1"/>
    <cellStyle name="Lien hypertexte visité" xfId="13173" builtinId="9" hidden="1"/>
    <cellStyle name="Lien hypertexte visité" xfId="13205" builtinId="9" hidden="1"/>
    <cellStyle name="Lien hypertexte visité" xfId="13253" builtinId="9" hidden="1"/>
    <cellStyle name="Lien hypertexte visité" xfId="13301" builtinId="9" hidden="1"/>
    <cellStyle name="Lien hypertexte visité" xfId="13333" builtinId="9" hidden="1"/>
    <cellStyle name="Lien hypertexte visité" xfId="13381" builtinId="9" hidden="1"/>
    <cellStyle name="Lien hypertexte visité" xfId="13429" builtinId="9" hidden="1"/>
    <cellStyle name="Lien hypertexte visité" xfId="13461" builtinId="9" hidden="1"/>
    <cellStyle name="Lien hypertexte visité" xfId="13509" builtinId="9" hidden="1"/>
    <cellStyle name="Lien hypertexte visité" xfId="13557" builtinId="9" hidden="1"/>
    <cellStyle name="Lien hypertexte visité" xfId="13589" builtinId="9" hidden="1"/>
    <cellStyle name="Lien hypertexte visité" xfId="13637" builtinId="9" hidden="1"/>
    <cellStyle name="Lien hypertexte visité" xfId="13685" builtinId="9" hidden="1"/>
    <cellStyle name="Lien hypertexte visité" xfId="13717" builtinId="9" hidden="1"/>
    <cellStyle name="Lien hypertexte visité" xfId="13765" builtinId="9" hidden="1"/>
    <cellStyle name="Lien hypertexte visité" xfId="13813" builtinId="9" hidden="1"/>
    <cellStyle name="Lien hypertexte visité" xfId="13845" builtinId="9" hidden="1"/>
    <cellStyle name="Lien hypertexte visité" xfId="13893" builtinId="9" hidden="1"/>
    <cellStyle name="Lien hypertexte visité" xfId="13941" builtinId="9" hidden="1"/>
    <cellStyle name="Lien hypertexte visité" xfId="13973" builtinId="9" hidden="1"/>
    <cellStyle name="Lien hypertexte visité" xfId="14021" builtinId="9" hidden="1"/>
    <cellStyle name="Lien hypertexte visité" xfId="14069" builtinId="9" hidden="1"/>
    <cellStyle name="Lien hypertexte visité" xfId="14101" builtinId="9" hidden="1"/>
    <cellStyle name="Lien hypertexte visité" xfId="14149" builtinId="9" hidden="1"/>
    <cellStyle name="Lien hypertexte visité" xfId="14197" builtinId="9" hidden="1"/>
    <cellStyle name="Lien hypertexte visité" xfId="14229" builtinId="9" hidden="1"/>
    <cellStyle name="Lien hypertexte visité" xfId="14277" builtinId="9" hidden="1"/>
    <cellStyle name="Lien hypertexte visité" xfId="14325" builtinId="9" hidden="1"/>
    <cellStyle name="Lien hypertexte visité" xfId="14357" builtinId="9" hidden="1"/>
    <cellStyle name="Lien hypertexte visité" xfId="14405" builtinId="9" hidden="1"/>
    <cellStyle name="Lien hypertexte visité" xfId="14453" builtinId="9" hidden="1"/>
    <cellStyle name="Lien hypertexte visité" xfId="14485" builtinId="9" hidden="1"/>
    <cellStyle name="Lien hypertexte visité" xfId="14551" builtinId="9" hidden="1"/>
    <cellStyle name="Lien hypertexte visité" xfId="14647" builtinId="9" hidden="1"/>
    <cellStyle name="Lien hypertexte visité" xfId="14711" builtinId="9" hidden="1"/>
    <cellStyle name="Lien hypertexte visité" xfId="14807" builtinId="9" hidden="1"/>
    <cellStyle name="Lien hypertexte visité" xfId="14903" builtinId="9" hidden="1"/>
    <cellStyle name="Lien hypertexte visité" xfId="14967" builtinId="9" hidden="1"/>
    <cellStyle name="Lien hypertexte visité" xfId="15063" builtinId="9" hidden="1"/>
    <cellStyle name="Lien hypertexte visité" xfId="15159" builtinId="9" hidden="1"/>
    <cellStyle name="Lien hypertexte visité" xfId="15223" builtinId="9" hidden="1"/>
    <cellStyle name="Lien hypertexte visité" xfId="15319" builtinId="9" hidden="1"/>
    <cellStyle name="Lien hypertexte visité" xfId="15415" builtinId="9" hidden="1"/>
    <cellStyle name="Lien hypertexte visité" xfId="15479" builtinId="9" hidden="1"/>
    <cellStyle name="Lien hypertexte visité" xfId="15575" builtinId="9" hidden="1"/>
    <cellStyle name="Lien hypertexte visité" xfId="15671" builtinId="9" hidden="1"/>
    <cellStyle name="Lien hypertexte visité" xfId="15735" builtinId="9" hidden="1"/>
    <cellStyle name="Lien hypertexte visité" xfId="15831" builtinId="9" hidden="1"/>
    <cellStyle name="Lien hypertexte visité" xfId="15927" builtinId="9" hidden="1"/>
    <cellStyle name="Lien hypertexte visité" xfId="15991" builtinId="9" hidden="1"/>
    <cellStyle name="Lien hypertexte visité" xfId="16087" builtinId="9" hidden="1"/>
    <cellStyle name="Lien hypertexte visité" xfId="16183" builtinId="9" hidden="1"/>
    <cellStyle name="Lien hypertexte visité" xfId="16247" builtinId="9" hidden="1"/>
    <cellStyle name="Lien hypertexte visité" xfId="16343" builtinId="9" hidden="1"/>
    <cellStyle name="Lien hypertexte visité" xfId="16439" builtinId="9" hidden="1"/>
    <cellStyle name="Lien hypertexte visité" xfId="16503" builtinId="9" hidden="1"/>
    <cellStyle name="Lien hypertexte visité" xfId="16599" builtinId="9" hidden="1"/>
    <cellStyle name="Lien hypertexte visité" xfId="16695" builtinId="9" hidden="1"/>
    <cellStyle name="Lien hypertexte visité" xfId="16759" builtinId="9" hidden="1"/>
    <cellStyle name="Lien hypertexte visité" xfId="16855" builtinId="9" hidden="1"/>
    <cellStyle name="Lien hypertexte visité" xfId="16951" builtinId="9" hidden="1"/>
    <cellStyle name="Lien hypertexte visité" xfId="17015" builtinId="9" hidden="1"/>
    <cellStyle name="Lien hypertexte visité" xfId="17111" builtinId="9" hidden="1"/>
    <cellStyle name="Lien hypertexte visité" xfId="17207" builtinId="9" hidden="1"/>
    <cellStyle name="Lien hypertexte visité" xfId="17271" builtinId="9" hidden="1"/>
    <cellStyle name="Lien hypertexte visité" xfId="17367" builtinId="9" hidden="1"/>
    <cellStyle name="Lien hypertexte visité" xfId="17463" builtinId="9" hidden="1"/>
    <cellStyle name="Lien hypertexte visité" xfId="17527" builtinId="9" hidden="1"/>
    <cellStyle name="Lien hypertexte visité" xfId="17623" builtinId="9" hidden="1"/>
    <cellStyle name="Lien hypertexte visité" xfId="17719" builtinId="9" hidden="1"/>
    <cellStyle name="Lien hypertexte visité" xfId="17783" builtinId="9" hidden="1"/>
    <cellStyle name="Lien hypertexte visité" xfId="17879" builtinId="9" hidden="1"/>
    <cellStyle name="Lien hypertexte visité" xfId="17975" builtinId="9" hidden="1"/>
    <cellStyle name="Lien hypertexte visité" xfId="18039" builtinId="9" hidden="1"/>
    <cellStyle name="Lien hypertexte visité" xfId="18135" builtinId="9" hidden="1"/>
    <cellStyle name="Lien hypertexte visité" xfId="18231" builtinId="9" hidden="1"/>
    <cellStyle name="Lien hypertexte visité" xfId="18295" builtinId="9" hidden="1"/>
    <cellStyle name="Lien hypertexte visité" xfId="18374" builtinId="9" hidden="1"/>
    <cellStyle name="Lien hypertexte visité" xfId="18470" builtinId="9" hidden="1"/>
    <cellStyle name="Lien hypertexte visité" xfId="18534" builtinId="9" hidden="1"/>
    <cellStyle name="Lien hypertexte visité" xfId="18630" builtinId="9" hidden="1"/>
    <cellStyle name="Lien hypertexte visité" xfId="18726" builtinId="9" hidden="1"/>
    <cellStyle name="Lien hypertexte visité" xfId="18790" builtinId="9" hidden="1"/>
    <cellStyle name="Lien hypertexte visité" xfId="18886" builtinId="9" hidden="1"/>
    <cellStyle name="Lien hypertexte visité" xfId="18982" builtinId="9" hidden="1"/>
    <cellStyle name="Lien hypertexte visité" xfId="19046" builtinId="9" hidden="1"/>
    <cellStyle name="Lien hypertexte visité" xfId="11194" builtinId="9" hidden="1"/>
    <cellStyle name="Lien hypertexte visité" xfId="11066" builtinId="9" hidden="1"/>
    <cellStyle name="Lien hypertexte visité" xfId="10938" builtinId="9" hidden="1"/>
    <cellStyle name="Lien hypertexte visité" xfId="10810" builtinId="9" hidden="1"/>
    <cellStyle name="Lien hypertexte visité" xfId="10682" builtinId="9" hidden="1"/>
    <cellStyle name="Lien hypertexte visité" xfId="10554" builtinId="9" hidden="1"/>
    <cellStyle name="Lien hypertexte visité" xfId="10426" builtinId="9" hidden="1"/>
    <cellStyle name="Lien hypertexte visité" xfId="10298" builtinId="9" hidden="1"/>
    <cellStyle name="Lien hypertexte visité" xfId="10170" builtinId="9" hidden="1"/>
    <cellStyle name="Lien hypertexte visité" xfId="10042" builtinId="9" hidden="1"/>
    <cellStyle name="Lien hypertexte visité" xfId="9914" builtinId="9" hidden="1"/>
    <cellStyle name="Lien hypertexte visité" xfId="9786" builtinId="9" hidden="1"/>
    <cellStyle name="Lien hypertexte visité" xfId="9658" builtinId="9" hidden="1"/>
    <cellStyle name="Lien hypertexte visité" xfId="9530" builtinId="9" hidden="1"/>
    <cellStyle name="Lien hypertexte visité" xfId="9402" builtinId="9" hidden="1"/>
    <cellStyle name="Lien hypertexte visité" xfId="9274" builtinId="9" hidden="1"/>
    <cellStyle name="Lien hypertexte visité" xfId="9146" builtinId="9" hidden="1"/>
    <cellStyle name="Lien hypertexte visité" xfId="9018" builtinId="9" hidden="1"/>
    <cellStyle name="Lien hypertexte visité" xfId="8890" builtinId="9" hidden="1"/>
    <cellStyle name="Lien hypertexte visité" xfId="8762" builtinId="9" hidden="1"/>
    <cellStyle name="Lien hypertexte visité" xfId="8634" builtinId="9" hidden="1"/>
    <cellStyle name="Lien hypertexte visité" xfId="8506" builtinId="9" hidden="1"/>
    <cellStyle name="Lien hypertexte visité" xfId="8378" builtinId="9" hidden="1"/>
    <cellStyle name="Lien hypertexte visité" xfId="8250" builtinId="9" hidden="1"/>
    <cellStyle name="Lien hypertexte visité" xfId="3953" builtinId="9" hidden="1"/>
    <cellStyle name="Lien hypertexte visité" xfId="3989" builtinId="9" hidden="1"/>
    <cellStyle name="Lien hypertexte visité" xfId="4025" builtinId="9" hidden="1"/>
    <cellStyle name="Lien hypertexte visité" xfId="4061" builtinId="9" hidden="1"/>
    <cellStyle name="Lien hypertexte visité" xfId="4097" builtinId="9" hidden="1"/>
    <cellStyle name="Lien hypertexte visité" xfId="4133" builtinId="9" hidden="1"/>
    <cellStyle name="Lien hypertexte visité" xfId="4173" builtinId="9" hidden="1"/>
    <cellStyle name="Lien hypertexte visité" xfId="4209" builtinId="9" hidden="1"/>
    <cellStyle name="Lien hypertexte visité" xfId="4245" builtinId="9" hidden="1"/>
    <cellStyle name="Lien hypertexte visité" xfId="4281" builtinId="9" hidden="1"/>
    <cellStyle name="Lien hypertexte visité" xfId="4317" builtinId="9" hidden="1"/>
    <cellStyle name="Lien hypertexte visité" xfId="4353" builtinId="9" hidden="1"/>
    <cellStyle name="Lien hypertexte visité" xfId="4389" builtinId="9" hidden="1"/>
    <cellStyle name="Lien hypertexte visité" xfId="4429" builtinId="9" hidden="1"/>
    <cellStyle name="Lien hypertexte visité" xfId="4465" builtinId="9" hidden="1"/>
    <cellStyle name="Lien hypertexte visité" xfId="4501" builtinId="9" hidden="1"/>
    <cellStyle name="Lien hypertexte visité" xfId="4537" builtinId="9" hidden="1"/>
    <cellStyle name="Lien hypertexte visité" xfId="4573" builtinId="9" hidden="1"/>
    <cellStyle name="Lien hypertexte visité" xfId="4609" builtinId="9" hidden="1"/>
    <cellStyle name="Lien hypertexte visité" xfId="4645" builtinId="9" hidden="1"/>
    <cellStyle name="Lien hypertexte visité" xfId="4685" builtinId="9" hidden="1"/>
    <cellStyle name="Lien hypertexte visité" xfId="4721" builtinId="9" hidden="1"/>
    <cellStyle name="Lien hypertexte visité" xfId="4757" builtinId="9" hidden="1"/>
    <cellStyle name="Lien hypertexte visité" xfId="4793" builtinId="9" hidden="1"/>
    <cellStyle name="Lien hypertexte visité" xfId="4829" builtinId="9" hidden="1"/>
    <cellStyle name="Lien hypertexte visité" xfId="4865" builtinId="9" hidden="1"/>
    <cellStyle name="Lien hypertexte visité" xfId="4901" builtinId="9" hidden="1"/>
    <cellStyle name="Lien hypertexte visité" xfId="4941" builtinId="9" hidden="1"/>
    <cellStyle name="Lien hypertexte visité" xfId="4977" builtinId="9" hidden="1"/>
    <cellStyle name="Lien hypertexte visité" xfId="5013" builtinId="9" hidden="1"/>
    <cellStyle name="Lien hypertexte visité" xfId="5049" builtinId="9" hidden="1"/>
    <cellStyle name="Lien hypertexte visité" xfId="5085" builtinId="9" hidden="1"/>
    <cellStyle name="Lien hypertexte visité" xfId="5121" builtinId="9" hidden="1"/>
    <cellStyle name="Lien hypertexte visité" xfId="5157" builtinId="9" hidden="1"/>
    <cellStyle name="Lien hypertexte visité" xfId="5197" builtinId="9" hidden="1"/>
    <cellStyle name="Lien hypertexte visité" xfId="5233" builtinId="9" hidden="1"/>
    <cellStyle name="Lien hypertexte visité" xfId="5269" builtinId="9" hidden="1"/>
    <cellStyle name="Lien hypertexte visité" xfId="5305" builtinId="9" hidden="1"/>
    <cellStyle name="Lien hypertexte visité" xfId="5341" builtinId="9" hidden="1"/>
    <cellStyle name="Lien hypertexte visité" xfId="5377" builtinId="9" hidden="1"/>
    <cellStyle name="Lien hypertexte visité" xfId="5413" builtinId="9" hidden="1"/>
    <cellStyle name="Lien hypertexte visité" xfId="5453" builtinId="9" hidden="1"/>
    <cellStyle name="Lien hypertexte visité" xfId="5489" builtinId="9" hidden="1"/>
    <cellStyle name="Lien hypertexte visité" xfId="5525" builtinId="9" hidden="1"/>
    <cellStyle name="Lien hypertexte visité" xfId="5561" builtinId="9" hidden="1"/>
    <cellStyle name="Lien hypertexte visité" xfId="5597" builtinId="9" hidden="1"/>
    <cellStyle name="Lien hypertexte visité" xfId="5633" builtinId="9" hidden="1"/>
    <cellStyle name="Lien hypertexte visité" xfId="5669" builtinId="9" hidden="1"/>
    <cellStyle name="Lien hypertexte visité" xfId="5709" builtinId="9" hidden="1"/>
    <cellStyle name="Lien hypertexte visité" xfId="5745" builtinId="9" hidden="1"/>
    <cellStyle name="Lien hypertexte visité" xfId="5781" builtinId="9" hidden="1"/>
    <cellStyle name="Lien hypertexte visité" xfId="5817" builtinId="9" hidden="1"/>
    <cellStyle name="Lien hypertexte visité" xfId="5853" builtinId="9" hidden="1"/>
    <cellStyle name="Lien hypertexte visité" xfId="5889" builtinId="9" hidden="1"/>
    <cellStyle name="Lien hypertexte visité" xfId="5925" builtinId="9" hidden="1"/>
    <cellStyle name="Lien hypertexte visité" xfId="5965" builtinId="9" hidden="1"/>
    <cellStyle name="Lien hypertexte visité" xfId="6001" builtinId="9" hidden="1"/>
    <cellStyle name="Lien hypertexte visité" xfId="6037" builtinId="9" hidden="1"/>
    <cellStyle name="Lien hypertexte visité" xfId="6073" builtinId="9" hidden="1"/>
    <cellStyle name="Lien hypertexte visité" xfId="6109" builtinId="9" hidden="1"/>
    <cellStyle name="Lien hypertexte visité" xfId="6145" builtinId="9" hidden="1"/>
    <cellStyle name="Lien hypertexte visité" xfId="6181" builtinId="9" hidden="1"/>
    <cellStyle name="Lien hypertexte visité" xfId="6221" builtinId="9" hidden="1"/>
    <cellStyle name="Lien hypertexte visité" xfId="6257" builtinId="9" hidden="1"/>
    <cellStyle name="Lien hypertexte visité" xfId="6293" builtinId="9" hidden="1"/>
    <cellStyle name="Lien hypertexte visité" xfId="6329" builtinId="9" hidden="1"/>
    <cellStyle name="Lien hypertexte visité" xfId="6365" builtinId="9" hidden="1"/>
    <cellStyle name="Lien hypertexte visité" xfId="6401" builtinId="9" hidden="1"/>
    <cellStyle name="Lien hypertexte visité" xfId="6437" builtinId="9" hidden="1"/>
    <cellStyle name="Lien hypertexte visité" xfId="6477" builtinId="9" hidden="1"/>
    <cellStyle name="Lien hypertexte visité" xfId="6513" builtinId="9" hidden="1"/>
    <cellStyle name="Lien hypertexte visité" xfId="6549" builtinId="9" hidden="1"/>
    <cellStyle name="Lien hypertexte visité" xfId="6585" builtinId="9" hidden="1"/>
    <cellStyle name="Lien hypertexte visité" xfId="6621" builtinId="9" hidden="1"/>
    <cellStyle name="Lien hypertexte visité" xfId="6657" builtinId="9" hidden="1"/>
    <cellStyle name="Lien hypertexte visité" xfId="6693" builtinId="9" hidden="1"/>
    <cellStyle name="Lien hypertexte visité" xfId="6733" builtinId="9" hidden="1"/>
    <cellStyle name="Lien hypertexte visité" xfId="6769" builtinId="9" hidden="1"/>
    <cellStyle name="Lien hypertexte visité" xfId="6805" builtinId="9" hidden="1"/>
    <cellStyle name="Lien hypertexte visité" xfId="6841" builtinId="9" hidden="1"/>
    <cellStyle name="Lien hypertexte visité" xfId="6877" builtinId="9" hidden="1"/>
    <cellStyle name="Lien hypertexte visité" xfId="6913" builtinId="9" hidden="1"/>
    <cellStyle name="Lien hypertexte visité" xfId="6949" builtinId="9" hidden="1"/>
    <cellStyle name="Lien hypertexte visité" xfId="6989" builtinId="9" hidden="1"/>
    <cellStyle name="Lien hypertexte visité" xfId="7025" builtinId="9" hidden="1"/>
    <cellStyle name="Lien hypertexte visité" xfId="7061" builtinId="9" hidden="1"/>
    <cellStyle name="Lien hypertexte visité" xfId="7097" builtinId="9" hidden="1"/>
    <cellStyle name="Lien hypertexte visité" xfId="7133" builtinId="9" hidden="1"/>
    <cellStyle name="Lien hypertexte visité" xfId="7169" builtinId="9" hidden="1"/>
    <cellStyle name="Lien hypertexte visité" xfId="7205" builtinId="9" hidden="1"/>
    <cellStyle name="Lien hypertexte visité" xfId="7245" builtinId="9" hidden="1"/>
    <cellStyle name="Lien hypertexte visité" xfId="7281" builtinId="9" hidden="1"/>
    <cellStyle name="Lien hypertexte visité" xfId="7317" builtinId="9" hidden="1"/>
    <cellStyle name="Lien hypertexte visité" xfId="7353" builtinId="9" hidden="1"/>
    <cellStyle name="Lien hypertexte visité" xfId="7389" builtinId="9" hidden="1"/>
    <cellStyle name="Lien hypertexte visité" xfId="7425" builtinId="9" hidden="1"/>
    <cellStyle name="Lien hypertexte visité" xfId="7461" builtinId="9" hidden="1"/>
    <cellStyle name="Lien hypertexte visité" xfId="7501" builtinId="9" hidden="1"/>
    <cellStyle name="Lien hypertexte visité" xfId="7537" builtinId="9" hidden="1"/>
    <cellStyle name="Lien hypertexte visité" xfId="7573" builtinId="9" hidden="1"/>
    <cellStyle name="Lien hypertexte visité" xfId="7609" builtinId="9" hidden="1"/>
    <cellStyle name="Lien hypertexte visité" xfId="7645" builtinId="9" hidden="1"/>
    <cellStyle name="Lien hypertexte visité" xfId="7681" builtinId="9" hidden="1"/>
    <cellStyle name="Lien hypertexte visité" xfId="7717" builtinId="9" hidden="1"/>
    <cellStyle name="Lien hypertexte visité" xfId="7757" builtinId="9" hidden="1"/>
    <cellStyle name="Lien hypertexte visité" xfId="7793" builtinId="9" hidden="1"/>
    <cellStyle name="Lien hypertexte visité" xfId="7830" builtinId="9" hidden="1"/>
    <cellStyle name="Lien hypertexte visité" xfId="7866" builtinId="9" hidden="1"/>
    <cellStyle name="Lien hypertexte visité" xfId="7902" builtinId="9" hidden="1"/>
    <cellStyle name="Lien hypertexte visité" xfId="7938" builtinId="9" hidden="1"/>
    <cellStyle name="Lien hypertexte visité" xfId="7974" builtinId="9" hidden="1"/>
    <cellStyle name="Lien hypertexte visité" xfId="8014" builtinId="9" hidden="1"/>
    <cellStyle name="Lien hypertexte visité" xfId="8050" builtinId="9" hidden="1"/>
    <cellStyle name="Lien hypertexte visité" xfId="8086" builtinId="9" hidden="1"/>
    <cellStyle name="Lien hypertexte visité" xfId="8122" builtinId="9" hidden="1"/>
    <cellStyle name="Lien hypertexte visité" xfId="8158" builtinId="9" hidden="1"/>
    <cellStyle name="Lien hypertexte visité" xfId="8194" builtinId="9" hidden="1"/>
    <cellStyle name="Lien hypertexte visité" xfId="8106" builtinId="9" hidden="1"/>
    <cellStyle name="Lien hypertexte visité" xfId="7850" builtinId="9" hidden="1"/>
    <cellStyle name="Lien hypertexte visité" xfId="7593" builtinId="9" hidden="1"/>
    <cellStyle name="Lien hypertexte visité" xfId="7337" builtinId="9" hidden="1"/>
    <cellStyle name="Lien hypertexte visité" xfId="7081" builtinId="9" hidden="1"/>
    <cellStyle name="Lien hypertexte visité" xfId="6825" builtinId="9" hidden="1"/>
    <cellStyle name="Lien hypertexte visité" xfId="6569" builtinId="9" hidden="1"/>
    <cellStyle name="Lien hypertexte visité" xfId="6313" builtinId="9" hidden="1"/>
    <cellStyle name="Lien hypertexte visité" xfId="6057" builtinId="9" hidden="1"/>
    <cellStyle name="Lien hypertexte visité" xfId="5801" builtinId="9" hidden="1"/>
    <cellStyle name="Lien hypertexte visité" xfId="5545" builtinId="9" hidden="1"/>
    <cellStyle name="Lien hypertexte visité" xfId="5289" builtinId="9" hidden="1"/>
    <cellStyle name="Lien hypertexte visité" xfId="5033" builtinId="9" hidden="1"/>
    <cellStyle name="Lien hypertexte visité" xfId="4777" builtinId="9" hidden="1"/>
    <cellStyle name="Lien hypertexte visité" xfId="4521" builtinId="9" hidden="1"/>
    <cellStyle name="Lien hypertexte visité" xfId="4265" builtinId="9" hidden="1"/>
    <cellStyle name="Lien hypertexte visité" xfId="4009" builtinId="9" hidden="1"/>
    <cellStyle name="Lien hypertexte visité" xfId="2227" builtinId="9" hidden="1"/>
    <cellStyle name="Lien hypertexte visité" xfId="2263" builtinId="9" hidden="1"/>
    <cellStyle name="Lien hypertexte visité" xfId="2295" builtinId="9" hidden="1"/>
    <cellStyle name="Lien hypertexte visité" xfId="2331" builtinId="9" hidden="1"/>
    <cellStyle name="Lien hypertexte visité" xfId="2363" builtinId="9" hidden="1"/>
    <cellStyle name="Lien hypertexte visité" xfId="2399" builtinId="9" hidden="1"/>
    <cellStyle name="Lien hypertexte visité" xfId="2431" builtinId="9" hidden="1"/>
    <cellStyle name="Lien hypertexte visité" xfId="2467" builtinId="9" hidden="1"/>
    <cellStyle name="Lien hypertexte visité" xfId="2503" builtinId="9" hidden="1"/>
    <cellStyle name="Lien hypertexte visité" xfId="2535" builtinId="9" hidden="1"/>
    <cellStyle name="Lien hypertexte visité" xfId="2571" builtinId="9" hidden="1"/>
    <cellStyle name="Lien hypertexte visité" xfId="2603" builtinId="9" hidden="1"/>
    <cellStyle name="Lien hypertexte visité" xfId="2639" builtinId="9" hidden="1"/>
    <cellStyle name="Lien hypertexte visité" xfId="2671" builtinId="9" hidden="1"/>
    <cellStyle name="Lien hypertexte visité" xfId="2707" builtinId="9" hidden="1"/>
    <cellStyle name="Lien hypertexte visité" xfId="2739" builtinId="9" hidden="1"/>
    <cellStyle name="Lien hypertexte visité" xfId="2775" builtinId="9" hidden="1"/>
    <cellStyle name="Lien hypertexte visité" xfId="2807" builtinId="9" hidden="1"/>
    <cellStyle name="Lien hypertexte visité" xfId="2843" builtinId="9" hidden="1"/>
    <cellStyle name="Lien hypertexte visité" xfId="2875" builtinId="9" hidden="1"/>
    <cellStyle name="Lien hypertexte visité" xfId="2911" builtinId="9" hidden="1"/>
    <cellStyle name="Lien hypertexte visité" xfId="2943" builtinId="9" hidden="1"/>
    <cellStyle name="Lien hypertexte visité" xfId="2979" builtinId="9" hidden="1"/>
    <cellStyle name="Lien hypertexte visité" xfId="3015" builtinId="9" hidden="1"/>
    <cellStyle name="Lien hypertexte visité" xfId="3047" builtinId="9" hidden="1"/>
    <cellStyle name="Lien hypertexte visité" xfId="3083" builtinId="9" hidden="1"/>
    <cellStyle name="Lien hypertexte visité" xfId="3115" builtinId="9" hidden="1"/>
    <cellStyle name="Lien hypertexte visité" xfId="3151" builtinId="9" hidden="1"/>
    <cellStyle name="Lien hypertexte visité" xfId="3183" builtinId="9" hidden="1"/>
    <cellStyle name="Lien hypertexte visité" xfId="3219" builtinId="9" hidden="1"/>
    <cellStyle name="Lien hypertexte visité" xfId="3251" builtinId="9" hidden="1"/>
    <cellStyle name="Lien hypertexte visité" xfId="3287" builtinId="9" hidden="1"/>
    <cellStyle name="Lien hypertexte visité" xfId="3319" builtinId="9" hidden="1"/>
    <cellStyle name="Lien hypertexte visité" xfId="3355" builtinId="9" hidden="1"/>
    <cellStyle name="Lien hypertexte visité" xfId="3387" builtinId="9" hidden="1"/>
    <cellStyle name="Lien hypertexte visité" xfId="3423" builtinId="9" hidden="1"/>
    <cellStyle name="Lien hypertexte visité" xfId="3455" builtinId="9" hidden="1"/>
    <cellStyle name="Lien hypertexte visité" xfId="3491" builtinId="9" hidden="1"/>
    <cellStyle name="Lien hypertexte visité" xfId="3527" builtinId="9" hidden="1"/>
    <cellStyle name="Lien hypertexte visité" xfId="3560" builtinId="9" hidden="1"/>
    <cellStyle name="Lien hypertexte visité" xfId="3596" builtinId="9" hidden="1"/>
    <cellStyle name="Lien hypertexte visité" xfId="3628" builtinId="9" hidden="1"/>
    <cellStyle name="Lien hypertexte visité" xfId="3669" builtinId="9" hidden="1"/>
    <cellStyle name="Lien hypertexte visité" xfId="3704" builtinId="9" hidden="1"/>
    <cellStyle name="Lien hypertexte visité" xfId="3740" builtinId="9" hidden="1"/>
    <cellStyle name="Lien hypertexte visité" xfId="3772" builtinId="9" hidden="1"/>
    <cellStyle name="Lien hypertexte visité" xfId="3808" builtinId="9" hidden="1"/>
    <cellStyle name="Lien hypertexte visité" xfId="3840" builtinId="9" hidden="1"/>
    <cellStyle name="Lien hypertexte visité" xfId="3876" builtinId="9" hidden="1"/>
    <cellStyle name="Lien hypertexte visité" xfId="3909" builtinId="9" hidden="1"/>
    <cellStyle name="Lien hypertexte visité" xfId="3724" builtinId="9" hidden="1"/>
    <cellStyle name="Lien hypertexte visité" xfId="3203" builtinId="9" hidden="1"/>
    <cellStyle name="Lien hypertexte visité" xfId="2691" builtinId="9" hidden="1"/>
    <cellStyle name="Lien hypertexte visité" xfId="1430" builtinId="9" hidden="1"/>
    <cellStyle name="Lien hypertexte visité" xfId="1462" builtinId="9" hidden="1"/>
    <cellStyle name="Lien hypertexte visité" xfId="1499" builtinId="9" hidden="1"/>
    <cellStyle name="Lien hypertexte visité" xfId="1531" builtinId="9" hidden="1"/>
    <cellStyle name="Lien hypertexte visité" xfId="1563" builtinId="9" hidden="1"/>
    <cellStyle name="Lien hypertexte visité" xfId="1595" builtinId="9" hidden="1"/>
    <cellStyle name="Lien hypertexte visité" xfId="1631" builtinId="9" hidden="1"/>
    <cellStyle name="Lien hypertexte visité" xfId="1663" builtinId="9" hidden="1"/>
    <cellStyle name="Lien hypertexte visité" xfId="1695" builtinId="9" hidden="1"/>
    <cellStyle name="Lien hypertexte visité" xfId="1727" builtinId="9" hidden="1"/>
    <cellStyle name="Lien hypertexte visité" xfId="1763" builtinId="9" hidden="1"/>
    <cellStyle name="Lien hypertexte visité" xfId="1795" builtinId="9" hidden="1"/>
    <cellStyle name="Lien hypertexte visité" xfId="1827" builtinId="9" hidden="1"/>
    <cellStyle name="Lien hypertexte visité" xfId="1863" builtinId="9" hidden="1"/>
    <cellStyle name="Lien hypertexte visité" xfId="1895" builtinId="9" hidden="1"/>
    <cellStyle name="Lien hypertexte visité" xfId="1927" builtinId="9" hidden="1"/>
    <cellStyle name="Lien hypertexte visité" xfId="1959" builtinId="9" hidden="1"/>
    <cellStyle name="Lien hypertexte visité" xfId="1995" builtinId="9" hidden="1"/>
    <cellStyle name="Lien hypertexte visité" xfId="2027" builtinId="9" hidden="1"/>
    <cellStyle name="Lien hypertexte visité" xfId="2059" builtinId="9" hidden="1"/>
    <cellStyle name="Lien hypertexte visité" xfId="2091" builtinId="9" hidden="1"/>
    <cellStyle name="Lien hypertexte visité" xfId="2127" builtinId="9" hidden="1"/>
    <cellStyle name="Lien hypertexte visité" xfId="2159" builtinId="9" hidden="1"/>
    <cellStyle name="Lien hypertexte visité" xfId="2191" builtinId="9" hidden="1"/>
    <cellStyle name="Lien hypertexte visité" xfId="1603" builtinId="9" hidden="1"/>
    <cellStyle name="Lien hypertexte visité" xfId="1009" builtinId="9" hidden="1"/>
    <cellStyle name="Lien hypertexte visité" xfId="1073" builtinId="9" hidden="1"/>
    <cellStyle name="Lien hypertexte visité" xfId="1137" builtinId="9" hidden="1"/>
    <cellStyle name="Lien hypertexte visité" xfId="1182" builtinId="9" hidden="1"/>
    <cellStyle name="Lien hypertexte visité" xfId="1214" builtinId="9" hidden="1"/>
    <cellStyle name="Lien hypertexte visité" xfId="1250" builtinId="9" hidden="1"/>
    <cellStyle name="Lien hypertexte visité" xfId="1282" builtinId="9" hidden="1"/>
    <cellStyle name="Lien hypertexte visité" xfId="1314" builtinId="9" hidden="1"/>
    <cellStyle name="Lien hypertexte visité" xfId="1346" builtinId="9" hidden="1"/>
    <cellStyle name="Lien hypertexte visité" xfId="1378" builtinId="9" hidden="1"/>
    <cellStyle name="Lien hypertexte visité" xfId="1410" builtinId="9" hidden="1"/>
    <cellStyle name="Lien hypertexte visité" xfId="617" builtinId="9" hidden="1"/>
    <cellStyle name="Lien hypertexte visité" xfId="681" builtinId="9" hidden="1"/>
    <cellStyle name="Lien hypertexte visité" xfId="745" builtinId="9" hidden="1"/>
    <cellStyle name="Lien hypertexte visité" xfId="809" builtinId="9" hidden="1"/>
    <cellStyle name="Lien hypertexte visité" xfId="873" builtinId="9" hidden="1"/>
    <cellStyle name="Lien hypertexte visité" xfId="937" builtinId="9" hidden="1"/>
    <cellStyle name="Lien hypertexte visité" xfId="465" builtinId="9" hidden="1"/>
    <cellStyle name="Lien hypertexte visité" xfId="529" builtinId="9" hidden="1"/>
    <cellStyle name="Lien hypertexte visité" xfId="593" builtinId="9" hidden="1"/>
    <cellStyle name="Lien hypertexte visité" xfId="393" builtinId="9" hidden="1"/>
    <cellStyle name="Lien hypertexte visité" xfId="321" builtinId="9" hidden="1"/>
    <cellStyle name="Lien hypertexte visité" xfId="257" builtinId="9" hidden="1"/>
    <cellStyle name="Lien hypertexte visité" xfId="297" builtinId="9" hidden="1"/>
    <cellStyle name="Lien hypertexte visité" xfId="369" builtinId="9" hidden="1"/>
    <cellStyle name="Lien hypertexte visité" xfId="569" builtinId="9" hidden="1"/>
    <cellStyle name="Lien hypertexte visité" xfId="505" builtinId="9" hidden="1"/>
    <cellStyle name="Lien hypertexte visité" xfId="441" builtinId="9" hidden="1"/>
    <cellStyle name="Lien hypertexte visité" xfId="913" builtinId="9" hidden="1"/>
    <cellStyle name="Lien hypertexte visité" xfId="849" builtinId="9" hidden="1"/>
    <cellStyle name="Lien hypertexte visité" xfId="785" builtinId="9" hidden="1"/>
    <cellStyle name="Lien hypertexte visité" xfId="721" builtinId="9" hidden="1"/>
    <cellStyle name="Lien hypertexte visité" xfId="657" builtinId="9" hidden="1"/>
    <cellStyle name="Lien hypertexte visité" xfId="1218" builtinId="9" hidden="1"/>
    <cellStyle name="Lien hypertexte visité" xfId="1398" builtinId="9" hidden="1"/>
    <cellStyle name="Lien hypertexte visité" xfId="1366" builtinId="9" hidden="1"/>
    <cellStyle name="Lien hypertexte visité" xfId="1334" builtinId="9" hidden="1"/>
    <cellStyle name="Lien hypertexte visité" xfId="1302" builtinId="9" hidden="1"/>
    <cellStyle name="Lien hypertexte visité" xfId="1270" builtinId="9" hidden="1"/>
    <cellStyle name="Lien hypertexte visité" xfId="1238" builtinId="9" hidden="1"/>
    <cellStyle name="Lien hypertexte visité" xfId="1202" builtinId="9" hidden="1"/>
    <cellStyle name="Lien hypertexte visité" xfId="1170" builtinId="9" hidden="1"/>
    <cellStyle name="Lien hypertexte visité" xfId="1113" builtinId="9" hidden="1"/>
    <cellStyle name="Lien hypertexte visité" xfId="1049" builtinId="9" hidden="1"/>
    <cellStyle name="Lien hypertexte visité" xfId="985" builtinId="9" hidden="1"/>
    <cellStyle name="Lien hypertexte visité" xfId="1987" builtinId="9" hidden="1"/>
    <cellStyle name="Lien hypertexte visité" xfId="2179" builtinId="9" hidden="1"/>
    <cellStyle name="Lien hypertexte visité" xfId="2147" builtinId="9" hidden="1"/>
    <cellStyle name="Lien hypertexte visité" xfId="2111" builtinId="9" hidden="1"/>
    <cellStyle name="Lien hypertexte visité" xfId="2079" builtinId="9" hidden="1"/>
    <cellStyle name="Lien hypertexte visité" xfId="2047" builtinId="9" hidden="1"/>
    <cellStyle name="Lien hypertexte visité" xfId="2015" builtinId="9" hidden="1"/>
    <cellStyle name="Lien hypertexte visité" xfId="1979" builtinId="9" hidden="1"/>
    <cellStyle name="Lien hypertexte visité" xfId="1947" builtinId="9" hidden="1"/>
    <cellStyle name="Lien hypertexte visité" xfId="1915" builtinId="9" hidden="1"/>
    <cellStyle name="Lien hypertexte visité" xfId="1883" builtinId="9" hidden="1"/>
    <cellStyle name="Lien hypertexte visité" xfId="1847" builtinId="9" hidden="1"/>
    <cellStyle name="Lien hypertexte visité" xfId="1815" builtinId="9" hidden="1"/>
    <cellStyle name="Lien hypertexte visité" xfId="1783" builtinId="9" hidden="1"/>
    <cellStyle name="Lien hypertexte visité" xfId="1751" builtinId="9" hidden="1"/>
    <cellStyle name="Lien hypertexte visité" xfId="1715" builtinId="9" hidden="1"/>
    <cellStyle name="Lien hypertexte visité" xfId="1683" builtinId="9" hidden="1"/>
    <cellStyle name="Lien hypertexte visité" xfId="1651" builtinId="9" hidden="1"/>
    <cellStyle name="Lien hypertexte visité" xfId="1619" builtinId="9" hidden="1"/>
    <cellStyle name="Lien hypertexte visité" xfId="1583" builtinId="9" hidden="1"/>
    <cellStyle name="Lien hypertexte visité" xfId="1551" builtinId="9" hidden="1"/>
    <cellStyle name="Lien hypertexte visité" xfId="1519" builtinId="9" hidden="1"/>
    <cellStyle name="Lien hypertexte visité" xfId="1486" builtinId="9" hidden="1"/>
    <cellStyle name="Lien hypertexte visité" xfId="1450" builtinId="9" hidden="1"/>
    <cellStyle name="Lien hypertexte visité" xfId="2371" builtinId="9" hidden="1"/>
    <cellStyle name="Lien hypertexte visité" xfId="2883" builtinId="9" hidden="1"/>
    <cellStyle name="Lien hypertexte visité" xfId="3395" builtinId="9" hidden="1"/>
    <cellStyle name="Lien hypertexte visité" xfId="3917" builtinId="9" hidden="1"/>
    <cellStyle name="Lien hypertexte visité" xfId="3897" builtinId="9" hidden="1"/>
    <cellStyle name="Lien hypertexte visité" xfId="3864" builtinId="9" hidden="1"/>
    <cellStyle name="Lien hypertexte visité" xfId="3828" builtinId="9" hidden="1"/>
    <cellStyle name="Lien hypertexte visité" xfId="3796" builtinId="9" hidden="1"/>
    <cellStyle name="Lien hypertexte visité" xfId="3760" builtinId="9" hidden="1"/>
    <cellStyle name="Lien hypertexte visité" xfId="3728" builtinId="9" hidden="1"/>
    <cellStyle name="Lien hypertexte visité" xfId="3691" builtinId="9" hidden="1"/>
    <cellStyle name="Lien hypertexte visité" xfId="3648" builtinId="9" hidden="1"/>
    <cellStyle name="Lien hypertexte visité" xfId="3616" builtinId="9" hidden="1"/>
    <cellStyle name="Lien hypertexte visité" xfId="3580" builtinId="9" hidden="1"/>
    <cellStyle name="Lien hypertexte visité" xfId="3547" builtinId="9" hidden="1"/>
    <cellStyle name="Lien hypertexte visité" xfId="3511" builtinId="9" hidden="1"/>
    <cellStyle name="Lien hypertexte visité" xfId="3479" builtinId="9" hidden="1"/>
    <cellStyle name="Lien hypertexte visité" xfId="3443" builtinId="9" hidden="1"/>
    <cellStyle name="Lien hypertexte visité" xfId="3411" builtinId="9" hidden="1"/>
    <cellStyle name="Lien hypertexte visité" xfId="3375" builtinId="9" hidden="1"/>
    <cellStyle name="Lien hypertexte visité" xfId="3343" builtinId="9" hidden="1"/>
    <cellStyle name="Lien hypertexte visité" xfId="3307" builtinId="9" hidden="1"/>
    <cellStyle name="Lien hypertexte visité" xfId="3275" builtinId="9" hidden="1"/>
    <cellStyle name="Lien hypertexte visité" xfId="3239" builtinId="9" hidden="1"/>
    <cellStyle name="Lien hypertexte visité" xfId="3207" builtinId="9" hidden="1"/>
    <cellStyle name="Lien hypertexte visité" xfId="3171" builtinId="9" hidden="1"/>
    <cellStyle name="Lien hypertexte visité" xfId="3135" builtinId="9" hidden="1"/>
    <cellStyle name="Lien hypertexte visité" xfId="3103" builtinId="9" hidden="1"/>
    <cellStyle name="Lien hypertexte visité" xfId="3067" builtinId="9" hidden="1"/>
    <cellStyle name="Lien hypertexte visité" xfId="3035" builtinId="9" hidden="1"/>
    <cellStyle name="Lien hypertexte visité" xfId="2999" builtinId="9" hidden="1"/>
    <cellStyle name="Lien hypertexte visité" xfId="2967" builtinId="9" hidden="1"/>
    <cellStyle name="Lien hypertexte visité" xfId="2931" builtinId="9" hidden="1"/>
    <cellStyle name="Lien hypertexte visité" xfId="2899" builtinId="9" hidden="1"/>
    <cellStyle name="Lien hypertexte visité" xfId="2863" builtinId="9" hidden="1"/>
    <cellStyle name="Lien hypertexte visité" xfId="2831" builtinId="9" hidden="1"/>
    <cellStyle name="Lien hypertexte visité" xfId="2795" builtinId="9" hidden="1"/>
    <cellStyle name="Lien hypertexte visité" xfId="2763" builtinId="9" hidden="1"/>
    <cellStyle name="Lien hypertexte visité" xfId="2727" builtinId="9" hidden="1"/>
    <cellStyle name="Lien hypertexte visité" xfId="2695" builtinId="9" hidden="1"/>
    <cellStyle name="Lien hypertexte visité" xfId="2659" builtinId="9" hidden="1"/>
    <cellStyle name="Lien hypertexte visité" xfId="2623" builtinId="9" hidden="1"/>
    <cellStyle name="Lien hypertexte visité" xfId="2591" builtinId="9" hidden="1"/>
    <cellStyle name="Lien hypertexte visité" xfId="2555" builtinId="9" hidden="1"/>
    <cellStyle name="Lien hypertexte visité" xfId="2523" builtinId="9" hidden="1"/>
    <cellStyle name="Lien hypertexte visité" xfId="2487" builtinId="9" hidden="1"/>
    <cellStyle name="Lien hypertexte visité" xfId="2455" builtinId="9" hidden="1"/>
    <cellStyle name="Lien hypertexte visité" xfId="2419" builtinId="9" hidden="1"/>
    <cellStyle name="Lien hypertexte visité" xfId="2387" builtinId="9" hidden="1"/>
    <cellStyle name="Lien hypertexte visité" xfId="2351" builtinId="9" hidden="1"/>
    <cellStyle name="Lien hypertexte visité" xfId="2319" builtinId="9" hidden="1"/>
    <cellStyle name="Lien hypertexte visité" xfId="2283" builtinId="9" hidden="1"/>
    <cellStyle name="Lien hypertexte visité" xfId="2251" builtinId="9" hidden="1"/>
    <cellStyle name="Lien hypertexte visité" xfId="2215" builtinId="9" hidden="1"/>
    <cellStyle name="Lien hypertexte visité" xfId="4105" builtinId="9" hidden="1"/>
    <cellStyle name="Lien hypertexte visité" xfId="4361" builtinId="9" hidden="1"/>
    <cellStyle name="Lien hypertexte visité" xfId="4617" builtinId="9" hidden="1"/>
    <cellStyle name="Lien hypertexte visité" xfId="4873" builtinId="9" hidden="1"/>
    <cellStyle name="Lien hypertexte visité" xfId="5129" builtinId="9" hidden="1"/>
    <cellStyle name="Lien hypertexte visité" xfId="5385" builtinId="9" hidden="1"/>
    <cellStyle name="Lien hypertexte visité" xfId="5641" builtinId="9" hidden="1"/>
    <cellStyle name="Lien hypertexte visité" xfId="5897" builtinId="9" hidden="1"/>
    <cellStyle name="Lien hypertexte visité" xfId="6153" builtinId="9" hidden="1"/>
    <cellStyle name="Lien hypertexte visité" xfId="6409" builtinId="9" hidden="1"/>
    <cellStyle name="Lien hypertexte visité" xfId="6665" builtinId="9" hidden="1"/>
    <cellStyle name="Lien hypertexte visité" xfId="6921" builtinId="9" hidden="1"/>
    <cellStyle name="Lien hypertexte visité" xfId="7177" builtinId="9" hidden="1"/>
    <cellStyle name="Lien hypertexte visité" xfId="7433" builtinId="9" hidden="1"/>
    <cellStyle name="Lien hypertexte visité" xfId="7689" builtinId="9" hidden="1"/>
    <cellStyle name="Lien hypertexte visité" xfId="7946" builtinId="9" hidden="1"/>
    <cellStyle name="Lien hypertexte visité" xfId="8202" builtinId="9" hidden="1"/>
    <cellStyle name="Lien hypertexte visité" xfId="8182" builtinId="9" hidden="1"/>
    <cellStyle name="Lien hypertexte visité" xfId="8146" builtinId="9" hidden="1"/>
    <cellStyle name="Lien hypertexte visité" xfId="8110" builtinId="9" hidden="1"/>
    <cellStyle name="Lien hypertexte visité" xfId="8070" builtinId="9" hidden="1"/>
    <cellStyle name="Lien hypertexte visité" xfId="8034" builtinId="9" hidden="1"/>
    <cellStyle name="Lien hypertexte visité" xfId="7998" builtinId="9" hidden="1"/>
    <cellStyle name="Lien hypertexte visité" xfId="7962" builtinId="9" hidden="1"/>
    <cellStyle name="Lien hypertexte visité" xfId="7926" builtinId="9" hidden="1"/>
    <cellStyle name="Lien hypertexte visité" xfId="7890" builtinId="9" hidden="1"/>
    <cellStyle name="Lien hypertexte visité" xfId="7854" builtinId="9" hidden="1"/>
    <cellStyle name="Lien hypertexte visité" xfId="7814" builtinId="9" hidden="1"/>
    <cellStyle name="Lien hypertexte visité" xfId="7777" builtinId="9" hidden="1"/>
    <cellStyle name="Lien hypertexte visité" xfId="7741" builtinId="9" hidden="1"/>
    <cellStyle name="Lien hypertexte visité" xfId="7705" builtinId="9" hidden="1"/>
    <cellStyle name="Lien hypertexte visité" xfId="7669" builtinId="9" hidden="1"/>
    <cellStyle name="Lien hypertexte visité" xfId="7633" builtinId="9" hidden="1"/>
    <cellStyle name="Lien hypertexte visité" xfId="7597" builtinId="9" hidden="1"/>
    <cellStyle name="Lien hypertexte visité" xfId="7557" builtinId="9" hidden="1"/>
    <cellStyle name="Lien hypertexte visité" xfId="7521" builtinId="9" hidden="1"/>
    <cellStyle name="Lien hypertexte visité" xfId="7485" builtinId="9" hidden="1"/>
    <cellStyle name="Lien hypertexte visité" xfId="7449" builtinId="9" hidden="1"/>
    <cellStyle name="Lien hypertexte visité" xfId="7413" builtinId="9" hidden="1"/>
    <cellStyle name="Lien hypertexte visité" xfId="7377" builtinId="9" hidden="1"/>
    <cellStyle name="Lien hypertexte visité" xfId="7341" builtinId="9" hidden="1"/>
    <cellStyle name="Lien hypertexte visité" xfId="7301" builtinId="9" hidden="1"/>
    <cellStyle name="Lien hypertexte visité" xfId="7265" builtinId="9" hidden="1"/>
    <cellStyle name="Lien hypertexte visité" xfId="7229" builtinId="9" hidden="1"/>
    <cellStyle name="Lien hypertexte visité" xfId="7193" builtinId="9" hidden="1"/>
    <cellStyle name="Lien hypertexte visité" xfId="7157" builtinId="9" hidden="1"/>
    <cellStyle name="Lien hypertexte visité" xfId="7121" builtinId="9" hidden="1"/>
    <cellStyle name="Lien hypertexte visité" xfId="7085" builtinId="9" hidden="1"/>
    <cellStyle name="Lien hypertexte visité" xfId="7045" builtinId="9" hidden="1"/>
    <cellStyle name="Lien hypertexte visité" xfId="7009" builtinId="9" hidden="1"/>
    <cellStyle name="Lien hypertexte visité" xfId="6973" builtinId="9" hidden="1"/>
    <cellStyle name="Lien hypertexte visité" xfId="6937" builtinId="9" hidden="1"/>
    <cellStyle name="Lien hypertexte visité" xfId="6901" builtinId="9" hidden="1"/>
    <cellStyle name="Lien hypertexte visité" xfId="6865" builtinId="9" hidden="1"/>
    <cellStyle name="Lien hypertexte visité" xfId="6829" builtinId="9" hidden="1"/>
    <cellStyle name="Lien hypertexte visité" xfId="6789" builtinId="9" hidden="1"/>
    <cellStyle name="Lien hypertexte visité" xfId="6753" builtinId="9" hidden="1"/>
    <cellStyle name="Lien hypertexte visité" xfId="6717" builtinId="9" hidden="1"/>
    <cellStyle name="Lien hypertexte visité" xfId="6681" builtinId="9" hidden="1"/>
    <cellStyle name="Lien hypertexte visité" xfId="6645" builtinId="9" hidden="1"/>
    <cellStyle name="Lien hypertexte visité" xfId="6609" builtinId="9" hidden="1"/>
    <cellStyle name="Lien hypertexte visité" xfId="6573" builtinId="9" hidden="1"/>
    <cellStyle name="Lien hypertexte visité" xfId="6533" builtinId="9" hidden="1"/>
    <cellStyle name="Lien hypertexte visité" xfId="6497" builtinId="9" hidden="1"/>
    <cellStyle name="Lien hypertexte visité" xfId="6461" builtinId="9" hidden="1"/>
    <cellStyle name="Lien hypertexte visité" xfId="6425" builtinId="9" hidden="1"/>
    <cellStyle name="Lien hypertexte visité" xfId="6389" builtinId="9" hidden="1"/>
    <cellStyle name="Lien hypertexte visité" xfId="6353" builtinId="9" hidden="1"/>
    <cellStyle name="Lien hypertexte visité" xfId="6317" builtinId="9" hidden="1"/>
    <cellStyle name="Lien hypertexte visité" xfId="6277" builtinId="9" hidden="1"/>
    <cellStyle name="Lien hypertexte visité" xfId="6241" builtinId="9" hidden="1"/>
    <cellStyle name="Lien hypertexte visité" xfId="6205" builtinId="9" hidden="1"/>
    <cellStyle name="Lien hypertexte visité" xfId="6169" builtinId="9" hidden="1"/>
    <cellStyle name="Lien hypertexte visité" xfId="6133" builtinId="9" hidden="1"/>
    <cellStyle name="Lien hypertexte visité" xfId="6097" builtinId="9" hidden="1"/>
    <cellStyle name="Lien hypertexte visité" xfId="6061" builtinId="9" hidden="1"/>
    <cellStyle name="Lien hypertexte visité" xfId="6021" builtinId="9" hidden="1"/>
    <cellStyle name="Lien hypertexte visité" xfId="5985" builtinId="9" hidden="1"/>
    <cellStyle name="Lien hypertexte visité" xfId="5949" builtinId="9" hidden="1"/>
    <cellStyle name="Lien hypertexte visité" xfId="5913" builtinId="9" hidden="1"/>
    <cellStyle name="Lien hypertexte visité" xfId="5877" builtinId="9" hidden="1"/>
    <cellStyle name="Lien hypertexte visité" xfId="5841" builtinId="9" hidden="1"/>
    <cellStyle name="Lien hypertexte visité" xfId="5805" builtinId="9" hidden="1"/>
    <cellStyle name="Lien hypertexte visité" xfId="5765" builtinId="9" hidden="1"/>
    <cellStyle name="Lien hypertexte visité" xfId="5729" builtinId="9" hidden="1"/>
    <cellStyle name="Lien hypertexte visité" xfId="5693" builtinId="9" hidden="1"/>
    <cellStyle name="Lien hypertexte visité" xfId="5657" builtinId="9" hidden="1"/>
    <cellStyle name="Lien hypertexte visité" xfId="5621" builtinId="9" hidden="1"/>
    <cellStyle name="Lien hypertexte visité" xfId="5585" builtinId="9" hidden="1"/>
    <cellStyle name="Lien hypertexte visité" xfId="5549" builtinId="9" hidden="1"/>
    <cellStyle name="Lien hypertexte visité" xfId="5509" builtinId="9" hidden="1"/>
    <cellStyle name="Lien hypertexte visité" xfId="5473" builtinId="9" hidden="1"/>
    <cellStyle name="Lien hypertexte visité" xfId="5437" builtinId="9" hidden="1"/>
    <cellStyle name="Lien hypertexte visité" xfId="5401" builtinId="9" hidden="1"/>
    <cellStyle name="Lien hypertexte visité" xfId="5365" builtinId="9" hidden="1"/>
    <cellStyle name="Lien hypertexte visité" xfId="5329" builtinId="9" hidden="1"/>
    <cellStyle name="Lien hypertexte visité" xfId="5293" builtinId="9" hidden="1"/>
    <cellStyle name="Lien hypertexte visité" xfId="5253" builtinId="9" hidden="1"/>
    <cellStyle name="Lien hypertexte visité" xfId="5217" builtinId="9" hidden="1"/>
    <cellStyle name="Lien hypertexte visité" xfId="5181" builtinId="9" hidden="1"/>
    <cellStyle name="Lien hypertexte visité" xfId="5145" builtinId="9" hidden="1"/>
    <cellStyle name="Lien hypertexte visité" xfId="5109" builtinId="9" hidden="1"/>
    <cellStyle name="Lien hypertexte visité" xfId="5073" builtinId="9" hidden="1"/>
    <cellStyle name="Lien hypertexte visité" xfId="5037" builtinId="9" hidden="1"/>
    <cellStyle name="Lien hypertexte visité" xfId="4997" builtinId="9" hidden="1"/>
    <cellStyle name="Lien hypertexte visité" xfId="4961" builtinId="9" hidden="1"/>
    <cellStyle name="Lien hypertexte visité" xfId="4925" builtinId="9" hidden="1"/>
    <cellStyle name="Lien hypertexte visité" xfId="4889" builtinId="9" hidden="1"/>
    <cellStyle name="Lien hypertexte visité" xfId="4853" builtinId="9" hidden="1"/>
    <cellStyle name="Lien hypertexte visité" xfId="4817" builtinId="9" hidden="1"/>
    <cellStyle name="Lien hypertexte visité" xfId="4781" builtinId="9" hidden="1"/>
    <cellStyle name="Lien hypertexte visité" xfId="4741" builtinId="9" hidden="1"/>
    <cellStyle name="Lien hypertexte visité" xfId="4705" builtinId="9" hidden="1"/>
    <cellStyle name="Lien hypertexte visité" xfId="4669" builtinId="9" hidden="1"/>
    <cellStyle name="Lien hypertexte visité" xfId="4633" builtinId="9" hidden="1"/>
    <cellStyle name="Lien hypertexte visité" xfId="4597" builtinId="9" hidden="1"/>
    <cellStyle name="Lien hypertexte visité" xfId="4561" builtinId="9" hidden="1"/>
    <cellStyle name="Lien hypertexte visité" xfId="4525" builtinId="9" hidden="1"/>
    <cellStyle name="Lien hypertexte visité" xfId="4485" builtinId="9" hidden="1"/>
    <cellStyle name="Lien hypertexte visité" xfId="4449" builtinId="9" hidden="1"/>
    <cellStyle name="Lien hypertexte visité" xfId="4413" builtinId="9" hidden="1"/>
    <cellStyle name="Lien hypertexte visité" xfId="4377" builtinId="9" hidden="1"/>
    <cellStyle name="Lien hypertexte visité" xfId="4341" builtinId="9" hidden="1"/>
    <cellStyle name="Lien hypertexte visité" xfId="4305" builtinId="9" hidden="1"/>
    <cellStyle name="Lien hypertexte visité" xfId="4269" builtinId="9" hidden="1"/>
    <cellStyle name="Lien hypertexte visité" xfId="4229" builtinId="9" hidden="1"/>
    <cellStyle name="Lien hypertexte visité" xfId="4193" builtinId="9" hidden="1"/>
    <cellStyle name="Lien hypertexte visité" xfId="4157" builtinId="9" hidden="1"/>
    <cellStyle name="Lien hypertexte visité" xfId="4121" builtinId="9" hidden="1"/>
    <cellStyle name="Lien hypertexte visité" xfId="4085" builtinId="9" hidden="1"/>
    <cellStyle name="Lien hypertexte visité" xfId="4049" builtinId="9" hidden="1"/>
    <cellStyle name="Lien hypertexte visité" xfId="4013" builtinId="9" hidden="1"/>
    <cellStyle name="Lien hypertexte visité" xfId="3973" builtinId="9" hidden="1"/>
    <cellStyle name="Lien hypertexte visité" xfId="3937" builtinId="9" hidden="1"/>
    <cellStyle name="Lien hypertexte visité" xfId="8298" builtinId="9" hidden="1"/>
    <cellStyle name="Lien hypertexte visité" xfId="8426" builtinId="9" hidden="1"/>
    <cellStyle name="Lien hypertexte visité" xfId="8554" builtinId="9" hidden="1"/>
    <cellStyle name="Lien hypertexte visité" xfId="8682" builtinId="9" hidden="1"/>
    <cellStyle name="Lien hypertexte visité" xfId="8810" builtinId="9" hidden="1"/>
    <cellStyle name="Lien hypertexte visité" xfId="8938" builtinId="9" hidden="1"/>
    <cellStyle name="Lien hypertexte visité" xfId="9066" builtinId="9" hidden="1"/>
    <cellStyle name="Lien hypertexte visité" xfId="9194" builtinId="9" hidden="1"/>
    <cellStyle name="Lien hypertexte visité" xfId="9322" builtinId="9" hidden="1"/>
    <cellStyle name="Lien hypertexte visité" xfId="9450" builtinId="9" hidden="1"/>
    <cellStyle name="Lien hypertexte visité" xfId="9578" builtinId="9" hidden="1"/>
    <cellStyle name="Lien hypertexte visité" xfId="9706" builtinId="9" hidden="1"/>
    <cellStyle name="Lien hypertexte visité" xfId="9834" builtinId="9" hidden="1"/>
    <cellStyle name="Lien hypertexte visité" xfId="9962" builtinId="9" hidden="1"/>
    <cellStyle name="Lien hypertexte visité" xfId="10090" builtinId="9" hidden="1"/>
    <cellStyle name="Lien hypertexte visité" xfId="10218" builtinId="9" hidden="1"/>
    <cellStyle name="Lien hypertexte visité" xfId="10346" builtinId="9" hidden="1"/>
    <cellStyle name="Lien hypertexte visité" xfId="10474" builtinId="9" hidden="1"/>
    <cellStyle name="Lien hypertexte visité" xfId="10602" builtinId="9" hidden="1"/>
    <cellStyle name="Lien hypertexte visité" xfId="10730" builtinId="9" hidden="1"/>
    <cellStyle name="Lien hypertexte visité" xfId="10858" builtinId="9" hidden="1"/>
    <cellStyle name="Lien hypertexte visité" xfId="10986" builtinId="9" hidden="1"/>
    <cellStyle name="Lien hypertexte visité" xfId="11114" builtinId="9" hidden="1"/>
    <cellStyle name="Lien hypertexte visité" xfId="11242" builtinId="9" hidden="1"/>
    <cellStyle name="Lien hypertexte visité" xfId="11370" builtinId="9" hidden="1"/>
    <cellStyle name="Lien hypertexte visité" xfId="11498" builtinId="9" hidden="1"/>
    <cellStyle name="Lien hypertexte visité" xfId="11626" builtinId="9" hidden="1"/>
    <cellStyle name="Lien hypertexte visité" xfId="11754" builtinId="9" hidden="1"/>
    <cellStyle name="Lien hypertexte visité" xfId="11882" builtinId="9" hidden="1"/>
    <cellStyle name="Lien hypertexte visité" xfId="12010" builtinId="9" hidden="1"/>
    <cellStyle name="Lien hypertexte visité" xfId="12138" builtinId="9" hidden="1"/>
    <cellStyle name="Lien hypertexte visité" xfId="12266" builtinId="9" hidden="1"/>
    <cellStyle name="Lien hypertexte visité" xfId="12394" builtinId="9" hidden="1"/>
    <cellStyle name="Lien hypertexte visité" xfId="12522" builtinId="9" hidden="1"/>
    <cellStyle name="Lien hypertexte visité" xfId="12650" builtinId="9" hidden="1"/>
    <cellStyle name="Lien hypertexte visité" xfId="12778" builtinId="9" hidden="1"/>
    <cellStyle name="Lien hypertexte visité" xfId="12906" builtinId="9" hidden="1"/>
    <cellStyle name="Lien hypertexte visité" xfId="13034" builtinId="9" hidden="1"/>
    <cellStyle name="Lien hypertexte visité" xfId="13162" builtinId="9" hidden="1"/>
    <cellStyle name="Lien hypertexte visité" xfId="13290" builtinId="9" hidden="1"/>
    <cellStyle name="Lien hypertexte visité" xfId="13418" builtinId="9" hidden="1"/>
    <cellStyle name="Lien hypertexte visité" xfId="13546" builtinId="9" hidden="1"/>
    <cellStyle name="Lien hypertexte visité" xfId="13674" builtinId="9" hidden="1"/>
    <cellStyle name="Lien hypertexte visité" xfId="13802" builtinId="9" hidden="1"/>
    <cellStyle name="Lien hypertexte visité" xfId="13930" builtinId="9" hidden="1"/>
    <cellStyle name="Lien hypertexte visité" xfId="14058" builtinId="9" hidden="1"/>
    <cellStyle name="Lien hypertexte visité" xfId="14186" builtinId="9" hidden="1"/>
    <cellStyle name="Lien hypertexte visité" xfId="14314" builtinId="9" hidden="1"/>
    <cellStyle name="Lien hypertexte visité" xfId="14442" builtinId="9" hidden="1"/>
    <cellStyle name="Lien hypertexte visité" xfId="14625" builtinId="9" hidden="1"/>
    <cellStyle name="Lien hypertexte visité" xfId="14881" builtinId="9" hidden="1"/>
    <cellStyle name="Lien hypertexte visité" xfId="15137" builtinId="9" hidden="1"/>
    <cellStyle name="Lien hypertexte visité" xfId="15393" builtinId="9" hidden="1"/>
    <cellStyle name="Lien hypertexte visité" xfId="15649" builtinId="9" hidden="1"/>
    <cellStyle name="Lien hypertexte visité" xfId="15905" builtinId="9" hidden="1"/>
    <cellStyle name="Lien hypertexte visité" xfId="16161" builtinId="9" hidden="1"/>
    <cellStyle name="Lien hypertexte visité" xfId="16417" builtinId="9" hidden="1"/>
    <cellStyle name="Lien hypertexte visité" xfId="16673" builtinId="9" hidden="1"/>
    <cellStyle name="Lien hypertexte visité" xfId="16929" builtinId="9" hidden="1"/>
    <cellStyle name="Lien hypertexte visité" xfId="17185" builtinId="9" hidden="1"/>
    <cellStyle name="Lien hypertexte visité" xfId="17441" builtinId="9" hidden="1"/>
    <cellStyle name="Lien hypertexte visité" xfId="17697" builtinId="9" hidden="1"/>
    <cellStyle name="Lien hypertexte visité" xfId="17953" builtinId="9" hidden="1"/>
    <cellStyle name="Lien hypertexte visité" xfId="18209" builtinId="9" hidden="1"/>
    <cellStyle name="Lien hypertexte visité" xfId="18448" builtinId="9" hidden="1"/>
    <cellStyle name="Lien hypertexte visité" xfId="18704" builtinId="9" hidden="1"/>
    <cellStyle name="Lien hypertexte visité" xfId="18960" builtinId="9" hidden="1"/>
    <cellStyle name="Lien hypertexte visité" xfId="19216" builtinId="9" hidden="1"/>
    <cellStyle name="Lien hypertexte visité" xfId="19472" builtinId="9" hidden="1"/>
    <cellStyle name="Lien hypertexte visité" xfId="19728" builtinId="9" hidden="1"/>
    <cellStyle name="Lien hypertexte visité" xfId="19984" builtinId="9" hidden="1"/>
    <cellStyle name="Lien hypertexte visité" xfId="20240" builtinId="9" hidden="1"/>
    <cellStyle name="Lien hypertexte visité" xfId="20496" builtinId="9" hidden="1"/>
    <cellStyle name="Lien hypertexte visité" xfId="20752" builtinId="9" hidden="1"/>
    <cellStyle name="Lien hypertexte visité" xfId="21008" builtinId="9" hidden="1"/>
    <cellStyle name="Lien hypertexte visité" xfId="21264" builtinId="9" hidden="1"/>
    <cellStyle name="Lien hypertexte visité" xfId="21520" builtinId="9" hidden="1"/>
    <cellStyle name="Lien hypertexte visité" xfId="21776" builtinId="9" hidden="1"/>
    <cellStyle name="Lien hypertexte visité" xfId="22032" builtinId="9" hidden="1"/>
    <cellStyle name="Lien hypertexte visité" xfId="22288" builtinId="9" hidden="1"/>
    <cellStyle name="Lien hypertexte visité" xfId="22544" builtinId="9" hidden="1"/>
    <cellStyle name="Lien hypertexte visité" xfId="22800" builtinId="9" hidden="1"/>
    <cellStyle name="Lien hypertexte visité" xfId="23056" builtinId="9" hidden="1"/>
    <cellStyle name="Lien hypertexte visité" xfId="23312" builtinId="9" hidden="1"/>
    <cellStyle name="Lien hypertexte visité" xfId="23568" builtinId="9" hidden="1"/>
    <cellStyle name="Lien hypertexte visité" xfId="23824" builtinId="9" hidden="1"/>
    <cellStyle name="Lien hypertexte visité" xfId="24080" builtinId="9" hidden="1"/>
    <cellStyle name="Lien hypertexte visité" xfId="24336" builtinId="9" hidden="1"/>
    <cellStyle name="Lien hypertexte visité" xfId="24592" builtinId="9" hidden="1"/>
    <cellStyle name="Lien hypertexte visité" xfId="24378" builtinId="9" hidden="1"/>
    <cellStyle name="Lien hypertexte visité" xfId="24122" builtinId="9" hidden="1"/>
    <cellStyle name="Lien hypertexte visité" xfId="23866" builtinId="9" hidden="1"/>
    <cellStyle name="Lien hypertexte visité" xfId="23610" builtinId="9" hidden="1"/>
    <cellStyle name="Lien hypertexte visité" xfId="23354" builtinId="9" hidden="1"/>
    <cellStyle name="Lien hypertexte visité" xfId="23098" builtinId="9" hidden="1"/>
    <cellStyle name="Lien hypertexte visité" xfId="22842" builtinId="9" hidden="1"/>
    <cellStyle name="Lien hypertexte visité" xfId="22586" builtinId="9" hidden="1"/>
    <cellStyle name="Lien hypertexte visité" xfId="22330" builtinId="9" hidden="1"/>
    <cellStyle name="Lien hypertexte visité" xfId="22074" builtinId="9" hidden="1"/>
    <cellStyle name="Lien hypertexte visité" xfId="21818" builtinId="9" hidden="1"/>
    <cellStyle name="Lien hypertexte visité" xfId="21562" builtinId="9" hidden="1"/>
    <cellStyle name="Lien hypertexte visité" xfId="21306" builtinId="9" hidden="1"/>
    <cellStyle name="Lien hypertexte visité" xfId="21050" builtinId="9" hidden="1"/>
    <cellStyle name="Lien hypertexte visité" xfId="20794" builtinId="9" hidden="1"/>
    <cellStyle name="Lien hypertexte visité" xfId="20538" builtinId="9" hidden="1"/>
    <cellStyle name="Lien hypertexte visité" xfId="20282" builtinId="9" hidden="1"/>
    <cellStyle name="Lien hypertexte visité" xfId="20026" builtinId="9" hidden="1"/>
    <cellStyle name="Lien hypertexte visité" xfId="19770" builtinId="9" hidden="1"/>
    <cellStyle name="Lien hypertexte visité" xfId="19514" builtinId="9" hidden="1"/>
    <cellStyle name="Lien hypertexte visité" xfId="19258" builtinId="9" hidden="1"/>
    <cellStyle name="Lien hypertexte visité" xfId="19002" builtinId="9" hidden="1"/>
    <cellStyle name="Lien hypertexte visité" xfId="18746" builtinId="9" hidden="1"/>
    <cellStyle name="Lien hypertexte visité" xfId="18490" builtinId="9" hidden="1"/>
    <cellStyle name="Lien hypertexte visité" xfId="18251" builtinId="9" hidden="1"/>
    <cellStyle name="Lien hypertexte visité" xfId="17995" builtinId="9" hidden="1"/>
    <cellStyle name="Lien hypertexte visité" xfId="17739" builtinId="9" hidden="1"/>
    <cellStyle name="Lien hypertexte visité" xfId="17483" builtinId="9" hidden="1"/>
    <cellStyle name="Lien hypertexte visité" xfId="17339" builtinId="9" hidden="1"/>
    <cellStyle name="Lien hypertexte visité" xfId="17427" builtinId="9" hidden="1"/>
    <cellStyle name="Lien hypertexte visité" xfId="17507" builtinId="9" hidden="1"/>
    <cellStyle name="Lien hypertexte visité" xfId="17595" builtinId="9" hidden="1"/>
    <cellStyle name="Lien hypertexte visité" xfId="17683" builtinId="9" hidden="1"/>
    <cellStyle name="Lien hypertexte visité" xfId="17763" builtinId="9" hidden="1"/>
    <cellStyle name="Lien hypertexte visité" xfId="17851" builtinId="9" hidden="1"/>
    <cellStyle name="Lien hypertexte visité" xfId="17939" builtinId="9" hidden="1"/>
    <cellStyle name="Lien hypertexte visité" xfId="18019" builtinId="9" hidden="1"/>
    <cellStyle name="Lien hypertexte visité" xfId="18107" builtinId="9" hidden="1"/>
    <cellStyle name="Lien hypertexte visité" xfId="18195" builtinId="9" hidden="1"/>
    <cellStyle name="Lien hypertexte visité" xfId="18275" builtinId="9" hidden="1"/>
    <cellStyle name="Lien hypertexte visité" xfId="18346" builtinId="9" hidden="1"/>
    <cellStyle name="Lien hypertexte visité" xfId="18434" builtinId="9" hidden="1"/>
    <cellStyle name="Lien hypertexte visité" xfId="18514" builtinId="9" hidden="1"/>
    <cellStyle name="Lien hypertexte visité" xfId="18602" builtinId="9" hidden="1"/>
    <cellStyle name="Lien hypertexte visité" xfId="18690" builtinId="9" hidden="1"/>
    <cellStyle name="Lien hypertexte visité" xfId="18770" builtinId="9" hidden="1"/>
    <cellStyle name="Lien hypertexte visité" xfId="18858" builtinId="9" hidden="1"/>
    <cellStyle name="Lien hypertexte visité" xfId="18946" builtinId="9" hidden="1"/>
    <cellStyle name="Lien hypertexte visité" xfId="19026" builtinId="9" hidden="1"/>
    <cellStyle name="Lien hypertexte visité" xfId="19114" builtinId="9" hidden="1"/>
    <cellStyle name="Lien hypertexte visité" xfId="19202" builtinId="9" hidden="1"/>
    <cellStyle name="Lien hypertexte visité" xfId="19282" builtinId="9" hidden="1"/>
    <cellStyle name="Lien hypertexte visité" xfId="19370" builtinId="9" hidden="1"/>
    <cellStyle name="Lien hypertexte visité" xfId="19458" builtinId="9" hidden="1"/>
    <cellStyle name="Lien hypertexte visité" xfId="19538" builtinId="9" hidden="1"/>
    <cellStyle name="Lien hypertexte visité" xfId="19626" builtinId="9" hidden="1"/>
    <cellStyle name="Lien hypertexte visité" xfId="19714" builtinId="9" hidden="1"/>
    <cellStyle name="Lien hypertexte visité" xfId="19794" builtinId="9" hidden="1"/>
    <cellStyle name="Lien hypertexte visité" xfId="19882" builtinId="9" hidden="1"/>
    <cellStyle name="Lien hypertexte visité" xfId="19970" builtinId="9" hidden="1"/>
    <cellStyle name="Lien hypertexte visité" xfId="20050" builtinId="9" hidden="1"/>
    <cellStyle name="Lien hypertexte visité" xfId="20138" builtinId="9" hidden="1"/>
    <cellStyle name="Lien hypertexte visité" xfId="20226" builtinId="9" hidden="1"/>
    <cellStyle name="Lien hypertexte visité" xfId="20306" builtinId="9" hidden="1"/>
    <cellStyle name="Lien hypertexte visité" xfId="20394" builtinId="9" hidden="1"/>
    <cellStyle name="Lien hypertexte visité" xfId="20482" builtinId="9" hidden="1"/>
    <cellStyle name="Lien hypertexte visité" xfId="20562" builtinId="9" hidden="1"/>
    <cellStyle name="Lien hypertexte visité" xfId="20650" builtinId="9" hidden="1"/>
    <cellStyle name="Lien hypertexte visité" xfId="20738" builtinId="9" hidden="1"/>
    <cellStyle name="Lien hypertexte visité" xfId="20818" builtinId="9" hidden="1"/>
    <cellStyle name="Lien hypertexte visité" xfId="20906" builtinId="9" hidden="1"/>
    <cellStyle name="Lien hypertexte visité" xfId="20994" builtinId="9" hidden="1"/>
    <cellStyle name="Lien hypertexte visité" xfId="21074" builtinId="9" hidden="1"/>
    <cellStyle name="Lien hypertexte visité" xfId="21162" builtinId="9" hidden="1"/>
    <cellStyle name="Lien hypertexte visité" xfId="21250" builtinId="9" hidden="1"/>
    <cellStyle name="Lien hypertexte visité" xfId="21330" builtinId="9" hidden="1"/>
    <cellStyle name="Lien hypertexte visité" xfId="21418" builtinId="9" hidden="1"/>
    <cellStyle name="Lien hypertexte visité" xfId="21506" builtinId="9" hidden="1"/>
    <cellStyle name="Lien hypertexte visité" xfId="21586" builtinId="9" hidden="1"/>
    <cellStyle name="Lien hypertexte visité" xfId="21674" builtinId="9" hidden="1"/>
    <cellStyle name="Lien hypertexte visité" xfId="21762" builtinId="9" hidden="1"/>
    <cellStyle name="Lien hypertexte visité" xfId="21842" builtinId="9" hidden="1"/>
    <cellStyle name="Lien hypertexte visité" xfId="21930" builtinId="9" hidden="1"/>
    <cellStyle name="Lien hypertexte visité" xfId="22018" builtinId="9" hidden="1"/>
    <cellStyle name="Lien hypertexte visité" xfId="22098" builtinId="9" hidden="1"/>
    <cellStyle name="Lien hypertexte visité" xfId="22186" builtinId="9" hidden="1"/>
    <cellStyle name="Lien hypertexte visité" xfId="22274" builtinId="9" hidden="1"/>
    <cellStyle name="Lien hypertexte visité" xfId="22354" builtinId="9" hidden="1"/>
    <cellStyle name="Lien hypertexte visité" xfId="22442" builtinId="9" hidden="1"/>
    <cellStyle name="Lien hypertexte visité" xfId="22530" builtinId="9" hidden="1"/>
    <cellStyle name="Lien hypertexte visité" xfId="22610" builtinId="9" hidden="1"/>
    <cellStyle name="Lien hypertexte visité" xfId="22698" builtinId="9" hidden="1"/>
    <cellStyle name="Lien hypertexte visité" xfId="22786" builtinId="9" hidden="1"/>
    <cellStyle name="Lien hypertexte visité" xfId="22866" builtinId="9" hidden="1"/>
    <cellStyle name="Lien hypertexte visité" xfId="22954" builtinId="9" hidden="1"/>
    <cellStyle name="Lien hypertexte visité" xfId="23042" builtinId="9" hidden="1"/>
    <cellStyle name="Lien hypertexte visité" xfId="23122" builtinId="9" hidden="1"/>
    <cellStyle name="Lien hypertexte visité" xfId="23210" builtinId="9" hidden="1"/>
    <cellStyle name="Lien hypertexte visité" xfId="23298" builtinId="9" hidden="1"/>
    <cellStyle name="Lien hypertexte visité" xfId="23378" builtinId="9" hidden="1"/>
    <cellStyle name="Lien hypertexte visité" xfId="23466" builtinId="9" hidden="1"/>
    <cellStyle name="Lien hypertexte visité" xfId="23554" builtinId="9" hidden="1"/>
    <cellStyle name="Lien hypertexte visité" xfId="23634" builtinId="9" hidden="1"/>
    <cellStyle name="Lien hypertexte visité" xfId="23722" builtinId="9" hidden="1"/>
    <cellStyle name="Lien hypertexte visité" xfId="23810" builtinId="9" hidden="1"/>
    <cellStyle name="Lien hypertexte visité" xfId="23890" builtinId="9" hidden="1"/>
    <cellStyle name="Lien hypertexte visité" xfId="23978" builtinId="9" hidden="1"/>
    <cellStyle name="Lien hypertexte visité" xfId="24066" builtinId="9" hidden="1"/>
    <cellStyle name="Lien hypertexte visité" xfId="24146" builtinId="9" hidden="1"/>
    <cellStyle name="Lien hypertexte visité" xfId="24234" builtinId="9" hidden="1"/>
    <cellStyle name="Lien hypertexte visité" xfId="24322" builtinId="9" hidden="1"/>
    <cellStyle name="Lien hypertexte visité" xfId="24402" builtinId="9" hidden="1"/>
    <cellStyle name="Lien hypertexte visité" xfId="24490" builtinId="9" hidden="1"/>
    <cellStyle name="Lien hypertexte visité" xfId="24578" builtinId="9" hidden="1"/>
    <cellStyle name="Lien hypertexte visité" xfId="24568" builtinId="9" hidden="1"/>
    <cellStyle name="Lien hypertexte visité" xfId="24480" builtinId="9" hidden="1"/>
    <cellStyle name="Lien hypertexte visité" xfId="24392" builtinId="9" hidden="1"/>
    <cellStyle name="Lien hypertexte visité" xfId="24312" builtinId="9" hidden="1"/>
    <cellStyle name="Lien hypertexte visité" xfId="24224" builtinId="9" hidden="1"/>
    <cellStyle name="Lien hypertexte visité" xfId="24136" builtinId="9" hidden="1"/>
    <cellStyle name="Lien hypertexte visité" xfId="24056" builtinId="9" hidden="1"/>
    <cellStyle name="Lien hypertexte visité" xfId="23968" builtinId="9" hidden="1"/>
    <cellStyle name="Lien hypertexte visité" xfId="23880" builtinId="9" hidden="1"/>
    <cellStyle name="Lien hypertexte visité" xfId="23800" builtinId="9" hidden="1"/>
    <cellStyle name="Lien hypertexte visité" xfId="23712" builtinId="9" hidden="1"/>
    <cellStyle name="Lien hypertexte visité" xfId="23624" builtinId="9" hidden="1"/>
    <cellStyle name="Lien hypertexte visité" xfId="23544" builtinId="9" hidden="1"/>
    <cellStyle name="Lien hypertexte visité" xfId="23456" builtinId="9" hidden="1"/>
    <cellStyle name="Lien hypertexte visité" xfId="23368" builtinId="9" hidden="1"/>
    <cellStyle name="Lien hypertexte visité" xfId="23288" builtinId="9" hidden="1"/>
    <cellStyle name="Lien hypertexte visité" xfId="23200" builtinId="9" hidden="1"/>
    <cellStyle name="Lien hypertexte visité" xfId="23112" builtinId="9" hidden="1"/>
    <cellStyle name="Lien hypertexte visité" xfId="23032" builtinId="9" hidden="1"/>
    <cellStyle name="Lien hypertexte visité" xfId="22944" builtinId="9" hidden="1"/>
    <cellStyle name="Lien hypertexte visité" xfId="22856" builtinId="9" hidden="1"/>
    <cellStyle name="Lien hypertexte visité" xfId="22776" builtinId="9" hidden="1"/>
    <cellStyle name="Lien hypertexte visité" xfId="22688" builtinId="9" hidden="1"/>
    <cellStyle name="Lien hypertexte visité" xfId="22600" builtinId="9" hidden="1"/>
    <cellStyle name="Lien hypertexte visité" xfId="22520" builtinId="9" hidden="1"/>
    <cellStyle name="Lien hypertexte visité" xfId="22432" builtinId="9" hidden="1"/>
    <cellStyle name="Lien hypertexte visité" xfId="22344" builtinId="9" hidden="1"/>
    <cellStyle name="Lien hypertexte visité" xfId="22264" builtinId="9" hidden="1"/>
    <cellStyle name="Lien hypertexte visité" xfId="22176" builtinId="9" hidden="1"/>
    <cellStyle name="Lien hypertexte visité" xfId="22088" builtinId="9" hidden="1"/>
    <cellStyle name="Lien hypertexte visité" xfId="22008" builtinId="9" hidden="1"/>
    <cellStyle name="Lien hypertexte visité" xfId="21920" builtinId="9" hidden="1"/>
    <cellStyle name="Lien hypertexte visité" xfId="21832" builtinId="9" hidden="1"/>
    <cellStyle name="Lien hypertexte visité" xfId="21752" builtinId="9" hidden="1"/>
    <cellStyle name="Lien hypertexte visité" xfId="21664" builtinId="9" hidden="1"/>
    <cellStyle name="Lien hypertexte visité" xfId="21576" builtinId="9" hidden="1"/>
    <cellStyle name="Lien hypertexte visité" xfId="21496" builtinId="9" hidden="1"/>
    <cellStyle name="Lien hypertexte visité" xfId="21408" builtinId="9" hidden="1"/>
    <cellStyle name="Lien hypertexte visité" xfId="21320" builtinId="9" hidden="1"/>
    <cellStyle name="Lien hypertexte visité" xfId="21240" builtinId="9" hidden="1"/>
    <cellStyle name="Lien hypertexte visité" xfId="21152" builtinId="9" hidden="1"/>
    <cellStyle name="Lien hypertexte visité" xfId="21064" builtinId="9" hidden="1"/>
    <cellStyle name="Lien hypertexte visité" xfId="20984" builtinId="9" hidden="1"/>
    <cellStyle name="Lien hypertexte visité" xfId="20896" builtinId="9" hidden="1"/>
    <cellStyle name="Lien hypertexte visité" xfId="20808" builtinId="9" hidden="1"/>
    <cellStyle name="Lien hypertexte visité" xfId="20728" builtinId="9" hidden="1"/>
    <cellStyle name="Lien hypertexte visité" xfId="20640" builtinId="9" hidden="1"/>
    <cellStyle name="Lien hypertexte visité" xfId="20552" builtinId="9" hidden="1"/>
    <cellStyle name="Lien hypertexte visité" xfId="20472" builtinId="9" hidden="1"/>
    <cellStyle name="Lien hypertexte visité" xfId="20384" builtinId="9" hidden="1"/>
    <cellStyle name="Lien hypertexte visité" xfId="20296" builtinId="9" hidden="1"/>
    <cellStyle name="Lien hypertexte visité" xfId="20216" builtinId="9" hidden="1"/>
    <cellStyle name="Lien hypertexte visité" xfId="20128" builtinId="9" hidden="1"/>
    <cellStyle name="Lien hypertexte visité" xfId="20040" builtinId="9" hidden="1"/>
    <cellStyle name="Lien hypertexte visité" xfId="19960" builtinId="9" hidden="1"/>
    <cellStyle name="Lien hypertexte visité" xfId="19872" builtinId="9" hidden="1"/>
    <cellStyle name="Lien hypertexte visité" xfId="19784" builtinId="9" hidden="1"/>
    <cellStyle name="Lien hypertexte visité" xfId="19704" builtinId="9" hidden="1"/>
    <cellStyle name="Lien hypertexte visité" xfId="19616" builtinId="9" hidden="1"/>
    <cellStyle name="Lien hypertexte visité" xfId="19528" builtinId="9" hidden="1"/>
    <cellStyle name="Lien hypertexte visité" xfId="19448" builtinId="9" hidden="1"/>
    <cellStyle name="Lien hypertexte visité" xfId="19360" builtinId="9" hidden="1"/>
    <cellStyle name="Lien hypertexte visité" xfId="19272" builtinId="9" hidden="1"/>
    <cellStyle name="Lien hypertexte visité" xfId="19192" builtinId="9" hidden="1"/>
    <cellStyle name="Lien hypertexte visité" xfId="19104" builtinId="9" hidden="1"/>
    <cellStyle name="Lien hypertexte visité" xfId="19016" builtinId="9" hidden="1"/>
    <cellStyle name="Lien hypertexte visité" xfId="18936" builtinId="9" hidden="1"/>
    <cellStyle name="Lien hypertexte visité" xfId="18848" builtinId="9" hidden="1"/>
    <cellStyle name="Lien hypertexte visité" xfId="18760" builtinId="9" hidden="1"/>
    <cellStyle name="Lien hypertexte visité" xfId="18680" builtinId="9" hidden="1"/>
    <cellStyle name="Lien hypertexte visité" xfId="18592" builtinId="9" hidden="1"/>
    <cellStyle name="Lien hypertexte visité" xfId="18504" builtinId="9" hidden="1"/>
    <cellStyle name="Lien hypertexte visité" xfId="18424" builtinId="9" hidden="1"/>
    <cellStyle name="Lien hypertexte visité" xfId="18336" builtinId="9" hidden="1"/>
    <cellStyle name="Lien hypertexte visité" xfId="18265" builtinId="9" hidden="1"/>
    <cellStyle name="Lien hypertexte visité" xfId="18185" builtinId="9" hidden="1"/>
    <cellStyle name="Lien hypertexte visité" xfId="18097" builtinId="9" hidden="1"/>
    <cellStyle name="Lien hypertexte visité" xfId="18009" builtinId="9" hidden="1"/>
    <cellStyle name="Lien hypertexte visité" xfId="17929" builtinId="9" hidden="1"/>
    <cellStyle name="Lien hypertexte visité" xfId="17841" builtinId="9" hidden="1"/>
    <cellStyle name="Lien hypertexte visité" xfId="17753" builtinId="9" hidden="1"/>
    <cellStyle name="Lien hypertexte visité" xfId="17673" builtinId="9" hidden="1"/>
    <cellStyle name="Lien hypertexte visité" xfId="17585" builtinId="9" hidden="1"/>
    <cellStyle name="Lien hypertexte visité" xfId="17497" builtinId="9" hidden="1"/>
    <cellStyle name="Lien hypertexte visité" xfId="17417" builtinId="9" hidden="1"/>
    <cellStyle name="Lien hypertexte visité" xfId="17329" builtinId="9" hidden="1"/>
    <cellStyle name="Lien hypertexte visité" xfId="17241" builtinId="9" hidden="1"/>
    <cellStyle name="Lien hypertexte visité" xfId="17161" builtinId="9" hidden="1"/>
    <cellStyle name="Lien hypertexte visité" xfId="17073" builtinId="9" hidden="1"/>
    <cellStyle name="Lien hypertexte visité" xfId="16985" builtinId="9" hidden="1"/>
    <cellStyle name="Lien hypertexte visité" xfId="16905" builtinId="9" hidden="1"/>
    <cellStyle name="Lien hypertexte visité" xfId="16817" builtinId="9" hidden="1"/>
    <cellStyle name="Lien hypertexte visité" xfId="16729" builtinId="9" hidden="1"/>
    <cellStyle name="Lien hypertexte visité" xfId="16649" builtinId="9" hidden="1"/>
    <cellStyle name="Lien hypertexte visité" xfId="16561" builtinId="9" hidden="1"/>
    <cellStyle name="Lien hypertexte visité" xfId="16473" builtinId="9" hidden="1"/>
    <cellStyle name="Lien hypertexte visité" xfId="16393" builtinId="9" hidden="1"/>
    <cellStyle name="Lien hypertexte visité" xfId="16305" builtinId="9" hidden="1"/>
    <cellStyle name="Lien hypertexte visité" xfId="16217" builtinId="9" hidden="1"/>
    <cellStyle name="Lien hypertexte visité" xfId="16137" builtinId="9" hidden="1"/>
    <cellStyle name="Lien hypertexte visité" xfId="16049" builtinId="9" hidden="1"/>
    <cellStyle name="Lien hypertexte visité" xfId="15961" builtinId="9" hidden="1"/>
    <cellStyle name="Lien hypertexte visité" xfId="15881" builtinId="9" hidden="1"/>
    <cellStyle name="Lien hypertexte visité" xfId="15793" builtinId="9" hidden="1"/>
    <cellStyle name="Lien hypertexte visité" xfId="15705" builtinId="9" hidden="1"/>
    <cellStyle name="Lien hypertexte visité" xfId="15625" builtinId="9" hidden="1"/>
    <cellStyle name="Lien hypertexte visité" xfId="15537" builtinId="9" hidden="1"/>
    <cellStyle name="Lien hypertexte visité" xfId="15449" builtinId="9" hidden="1"/>
    <cellStyle name="Lien hypertexte visité" xfId="15369" builtinId="9" hidden="1"/>
    <cellStyle name="Lien hypertexte visité" xfId="15281" builtinId="9" hidden="1"/>
    <cellStyle name="Lien hypertexte visité" xfId="15193" builtinId="9" hidden="1"/>
    <cellStyle name="Lien hypertexte visité" xfId="15113" builtinId="9" hidden="1"/>
    <cellStyle name="Lien hypertexte visité" xfId="15025" builtinId="9" hidden="1"/>
    <cellStyle name="Lien hypertexte visité" xfId="14937" builtinId="9" hidden="1"/>
    <cellStyle name="Lien hypertexte visité" xfId="14857" builtinId="9" hidden="1"/>
    <cellStyle name="Lien hypertexte visité" xfId="14769" builtinId="9" hidden="1"/>
    <cellStyle name="Lien hypertexte visité" xfId="14681" builtinId="9" hidden="1"/>
    <cellStyle name="Lien hypertexte visité" xfId="14601" builtinId="9" hidden="1"/>
    <cellStyle name="Lien hypertexte visité" xfId="14514" builtinId="9" hidden="1"/>
    <cellStyle name="Lien hypertexte visité" xfId="14470" builtinId="9" hidden="1"/>
    <cellStyle name="Lien hypertexte visité" xfId="14430" builtinId="9" hidden="1"/>
    <cellStyle name="Lien hypertexte visité" xfId="14386" builtinId="9" hidden="1"/>
    <cellStyle name="Lien hypertexte visité" xfId="14342" builtinId="9" hidden="1"/>
    <cellStyle name="Lien hypertexte visité" xfId="14302" builtinId="9" hidden="1"/>
    <cellStyle name="Lien hypertexte visité" xfId="14258" builtinId="9" hidden="1"/>
    <cellStyle name="Lien hypertexte visité" xfId="14214" builtinId="9" hidden="1"/>
    <cellStyle name="Lien hypertexte visité" xfId="14174" builtinId="9" hidden="1"/>
    <cellStyle name="Lien hypertexte visité" xfId="14130" builtinId="9" hidden="1"/>
    <cellStyle name="Lien hypertexte visité" xfId="14086" builtinId="9" hidden="1"/>
    <cellStyle name="Lien hypertexte visité" xfId="14046" builtinId="9" hidden="1"/>
    <cellStyle name="Lien hypertexte visité" xfId="14002" builtinId="9" hidden="1"/>
    <cellStyle name="Lien hypertexte visité" xfId="13958" builtinId="9" hidden="1"/>
    <cellStyle name="Lien hypertexte visité" xfId="13918" builtinId="9" hidden="1"/>
    <cellStyle name="Lien hypertexte visité" xfId="13874" builtinId="9" hidden="1"/>
    <cellStyle name="Lien hypertexte visité" xfId="13830" builtinId="9" hidden="1"/>
    <cellStyle name="Lien hypertexte visité" xfId="13790" builtinId="9" hidden="1"/>
    <cellStyle name="Lien hypertexte visité" xfId="13746" builtinId="9" hidden="1"/>
    <cellStyle name="Lien hypertexte visité" xfId="13702" builtinId="9" hidden="1"/>
    <cellStyle name="Lien hypertexte visité" xfId="13662" builtinId="9" hidden="1"/>
    <cellStyle name="Lien hypertexte visité" xfId="13618" builtinId="9" hidden="1"/>
    <cellStyle name="Lien hypertexte visité" xfId="13574" builtinId="9" hidden="1"/>
    <cellStyle name="Lien hypertexte visité" xfId="13534" builtinId="9" hidden="1"/>
    <cellStyle name="Lien hypertexte visité" xfId="13490" builtinId="9" hidden="1"/>
    <cellStyle name="Lien hypertexte visité" xfId="13446" builtinId="9" hidden="1"/>
    <cellStyle name="Lien hypertexte visité" xfId="13406" builtinId="9" hidden="1"/>
    <cellStyle name="Lien hypertexte visité" xfId="13362" builtinId="9" hidden="1"/>
    <cellStyle name="Lien hypertexte visité" xfId="13318" builtinId="9" hidden="1"/>
    <cellStyle name="Lien hypertexte visité" xfId="13278" builtinId="9" hidden="1"/>
    <cellStyle name="Lien hypertexte visité" xfId="13234" builtinId="9" hidden="1"/>
    <cellStyle name="Lien hypertexte visité" xfId="13190" builtinId="9" hidden="1"/>
    <cellStyle name="Lien hypertexte visité" xfId="13150" builtinId="9" hidden="1"/>
    <cellStyle name="Lien hypertexte visité" xfId="13106" builtinId="9" hidden="1"/>
    <cellStyle name="Lien hypertexte visité" xfId="13062" builtinId="9" hidden="1"/>
    <cellStyle name="Lien hypertexte visité" xfId="13022" builtinId="9" hidden="1"/>
    <cellStyle name="Lien hypertexte visité" xfId="12978" builtinId="9" hidden="1"/>
    <cellStyle name="Lien hypertexte visité" xfId="12934" builtinId="9" hidden="1"/>
    <cellStyle name="Lien hypertexte visité" xfId="12894" builtinId="9" hidden="1"/>
    <cellStyle name="Lien hypertexte visité" xfId="12850" builtinId="9" hidden="1"/>
    <cellStyle name="Lien hypertexte visité" xfId="12806" builtinId="9" hidden="1"/>
    <cellStyle name="Lien hypertexte visité" xfId="12766" builtinId="9" hidden="1"/>
    <cellStyle name="Lien hypertexte visité" xfId="12722" builtinId="9" hidden="1"/>
    <cellStyle name="Lien hypertexte visité" xfId="12678" builtinId="9" hidden="1"/>
    <cellStyle name="Lien hypertexte visité" xfId="12638" builtinId="9" hidden="1"/>
    <cellStyle name="Lien hypertexte visité" xfId="12594" builtinId="9" hidden="1"/>
    <cellStyle name="Lien hypertexte visité" xfId="12550" builtinId="9" hidden="1"/>
    <cellStyle name="Lien hypertexte visité" xfId="12510" builtinId="9" hidden="1"/>
    <cellStyle name="Lien hypertexte visité" xfId="12466" builtinId="9" hidden="1"/>
    <cellStyle name="Lien hypertexte visité" xfId="12422" builtinId="9" hidden="1"/>
    <cellStyle name="Lien hypertexte visité" xfId="12382" builtinId="9" hidden="1"/>
    <cellStyle name="Lien hypertexte visité" xfId="12338" builtinId="9" hidden="1"/>
    <cellStyle name="Lien hypertexte visité" xfId="12294" builtinId="9" hidden="1"/>
    <cellStyle name="Lien hypertexte visité" xfId="12254" builtinId="9" hidden="1"/>
    <cellStyle name="Lien hypertexte visité" xfId="12210" builtinId="9" hidden="1"/>
    <cellStyle name="Lien hypertexte visité" xfId="12166" builtinId="9" hidden="1"/>
    <cellStyle name="Lien hypertexte visité" xfId="12126" builtinId="9" hidden="1"/>
    <cellStyle name="Lien hypertexte visité" xfId="12082" builtinId="9" hidden="1"/>
    <cellStyle name="Lien hypertexte visité" xfId="12038" builtinId="9" hidden="1"/>
    <cellStyle name="Lien hypertexte visité" xfId="11998" builtinId="9" hidden="1"/>
    <cellStyle name="Lien hypertexte visité" xfId="11954" builtinId="9" hidden="1"/>
    <cellStyle name="Lien hypertexte visité" xfId="11910" builtinId="9" hidden="1"/>
    <cellStyle name="Lien hypertexte visité" xfId="11870" builtinId="9" hidden="1"/>
    <cellStyle name="Lien hypertexte visité" xfId="11826" builtinId="9" hidden="1"/>
    <cellStyle name="Lien hypertexte visité" xfId="11782" builtinId="9" hidden="1"/>
    <cellStyle name="Lien hypertexte visité" xfId="11742" builtinId="9" hidden="1"/>
    <cellStyle name="Lien hypertexte visité" xfId="11698" builtinId="9" hidden="1"/>
    <cellStyle name="Lien hypertexte visité" xfId="11654" builtinId="9" hidden="1"/>
    <cellStyle name="Lien hypertexte visité" xfId="11614" builtinId="9" hidden="1"/>
    <cellStyle name="Lien hypertexte visité" xfId="11570" builtinId="9" hidden="1"/>
    <cellStyle name="Lien hypertexte visité" xfId="11526" builtinId="9" hidden="1"/>
    <cellStyle name="Lien hypertexte visité" xfId="11486" builtinId="9" hidden="1"/>
    <cellStyle name="Lien hypertexte visité" xfId="11442" builtinId="9" hidden="1"/>
    <cellStyle name="Lien hypertexte visité" xfId="11398" builtinId="9" hidden="1"/>
    <cellStyle name="Lien hypertexte visité" xfId="11358" builtinId="9" hidden="1"/>
    <cellStyle name="Lien hypertexte visité" xfId="11314" builtinId="9" hidden="1"/>
    <cellStyle name="Lien hypertexte visité" xfId="11270" builtinId="9" hidden="1"/>
    <cellStyle name="Lien hypertexte visité" xfId="11230" builtinId="9" hidden="1"/>
    <cellStyle name="Lien hypertexte visité" xfId="11186" builtinId="9" hidden="1"/>
    <cellStyle name="Lien hypertexte visité" xfId="11142" builtinId="9" hidden="1"/>
    <cellStyle name="Lien hypertexte visité" xfId="11102" builtinId="9" hidden="1"/>
    <cellStyle name="Lien hypertexte visité" xfId="11058" builtinId="9" hidden="1"/>
    <cellStyle name="Lien hypertexte visité" xfId="11014" builtinId="9" hidden="1"/>
    <cellStyle name="Lien hypertexte visité" xfId="10974" builtinId="9" hidden="1"/>
    <cellStyle name="Lien hypertexte visité" xfId="10930" builtinId="9" hidden="1"/>
    <cellStyle name="Lien hypertexte visité" xfId="10886" builtinId="9" hidden="1"/>
    <cellStyle name="Lien hypertexte visité" xfId="10846" builtinId="9" hidden="1"/>
    <cellStyle name="Lien hypertexte visité" xfId="10802" builtinId="9" hidden="1"/>
    <cellStyle name="Lien hypertexte visité" xfId="10758" builtinId="9" hidden="1"/>
    <cellStyle name="Lien hypertexte visité" xfId="10718" builtinId="9" hidden="1"/>
    <cellStyle name="Lien hypertexte visité" xfId="10674" builtinId="9" hidden="1"/>
    <cellStyle name="Lien hypertexte visité" xfId="10630" builtinId="9" hidden="1"/>
    <cellStyle name="Lien hypertexte visité" xfId="10590" builtinId="9" hidden="1"/>
    <cellStyle name="Lien hypertexte visité" xfId="10546" builtinId="9" hidden="1"/>
    <cellStyle name="Lien hypertexte visité" xfId="10502" builtinId="9" hidden="1"/>
    <cellStyle name="Lien hypertexte visité" xfId="10462" builtinId="9" hidden="1"/>
    <cellStyle name="Lien hypertexte visité" xfId="10418" builtinId="9" hidden="1"/>
    <cellStyle name="Lien hypertexte visité" xfId="10374" builtinId="9" hidden="1"/>
    <cellStyle name="Lien hypertexte visité" xfId="10334" builtinId="9" hidden="1"/>
    <cellStyle name="Lien hypertexte visité" xfId="10290" builtinId="9" hidden="1"/>
    <cellStyle name="Lien hypertexte visité" xfId="10246" builtinId="9" hidden="1"/>
    <cellStyle name="Lien hypertexte visité" xfId="10206" builtinId="9" hidden="1"/>
    <cellStyle name="Lien hypertexte visité" xfId="10162" builtinId="9" hidden="1"/>
    <cellStyle name="Lien hypertexte visité" xfId="10118" builtinId="9" hidden="1"/>
    <cellStyle name="Lien hypertexte visité" xfId="10078" builtinId="9" hidden="1"/>
    <cellStyle name="Lien hypertexte visité" xfId="10034" builtinId="9" hidden="1"/>
    <cellStyle name="Lien hypertexte visité" xfId="9990" builtinId="9" hidden="1"/>
    <cellStyle name="Lien hypertexte visité" xfId="9950" builtinId="9" hidden="1"/>
    <cellStyle name="Lien hypertexte visité" xfId="9906" builtinId="9" hidden="1"/>
    <cellStyle name="Lien hypertexte visité" xfId="9862" builtinId="9" hidden="1"/>
    <cellStyle name="Lien hypertexte visité" xfId="9822" builtinId="9" hidden="1"/>
    <cellStyle name="Lien hypertexte visité" xfId="9778" builtinId="9" hidden="1"/>
    <cellStyle name="Lien hypertexte visité" xfId="9734" builtinId="9" hidden="1"/>
    <cellStyle name="Lien hypertexte visité" xfId="9694" builtinId="9" hidden="1"/>
    <cellStyle name="Lien hypertexte visité" xfId="9650" builtinId="9" hidden="1"/>
    <cellStyle name="Lien hypertexte visité" xfId="9606" builtinId="9" hidden="1"/>
    <cellStyle name="Lien hypertexte visité" xfId="9566" builtinId="9" hidden="1"/>
    <cellStyle name="Lien hypertexte visité" xfId="9522" builtinId="9" hidden="1"/>
    <cellStyle name="Lien hypertexte visité" xfId="9478" builtinId="9" hidden="1"/>
    <cellStyle name="Lien hypertexte visité" xfId="9438" builtinId="9" hidden="1"/>
    <cellStyle name="Lien hypertexte visité" xfId="9394" builtinId="9" hidden="1"/>
    <cellStyle name="Lien hypertexte visité" xfId="9350" builtinId="9" hidden="1"/>
    <cellStyle name="Lien hypertexte visité" xfId="9310" builtinId="9" hidden="1"/>
    <cellStyle name="Lien hypertexte visité" xfId="9266" builtinId="9" hidden="1"/>
    <cellStyle name="Lien hypertexte visité" xfId="9222" builtinId="9" hidden="1"/>
    <cellStyle name="Lien hypertexte visité" xfId="9182" builtinId="9" hidden="1"/>
    <cellStyle name="Lien hypertexte visité" xfId="9138" builtinId="9" hidden="1"/>
    <cellStyle name="Lien hypertexte visité" xfId="9094" builtinId="9" hidden="1"/>
    <cellStyle name="Lien hypertexte visité" xfId="9054" builtinId="9" hidden="1"/>
    <cellStyle name="Lien hypertexte visité" xfId="9010" builtinId="9" hidden="1"/>
    <cellStyle name="Lien hypertexte visité" xfId="8966" builtinId="9" hidden="1"/>
    <cellStyle name="Lien hypertexte visité" xfId="8926" builtinId="9" hidden="1"/>
    <cellStyle name="Lien hypertexte visité" xfId="8882" builtinId="9" hidden="1"/>
    <cellStyle name="Lien hypertexte visité" xfId="8838" builtinId="9" hidden="1"/>
    <cellStyle name="Lien hypertexte visité" xfId="8798" builtinId="9" hidden="1"/>
    <cellStyle name="Lien hypertexte visité" xfId="8754" builtinId="9" hidden="1"/>
    <cellStyle name="Lien hypertexte visité" xfId="8710" builtinId="9" hidden="1"/>
    <cellStyle name="Lien hypertexte visité" xfId="8670" builtinId="9" hidden="1"/>
    <cellStyle name="Lien hypertexte visité" xfId="8626" builtinId="9" hidden="1"/>
    <cellStyle name="Lien hypertexte visité" xfId="8582" builtinId="9" hidden="1"/>
    <cellStyle name="Lien hypertexte visité" xfId="8542" builtinId="9" hidden="1"/>
    <cellStyle name="Lien hypertexte visité" xfId="8498" builtinId="9" hidden="1"/>
    <cellStyle name="Lien hypertexte visité" xfId="8454" builtinId="9" hidden="1"/>
    <cellStyle name="Lien hypertexte visité" xfId="8414" builtinId="9" hidden="1"/>
    <cellStyle name="Lien hypertexte visité" xfId="8370" builtinId="9" hidden="1"/>
    <cellStyle name="Lien hypertexte visité" xfId="8326" builtinId="9" hidden="1"/>
    <cellStyle name="Lien hypertexte visité" xfId="8286" builtinId="9" hidden="1"/>
    <cellStyle name="Lien hypertexte visité" xfId="8242" builtinId="9" hidden="1"/>
    <cellStyle name="Lien hypertexte visité" xfId="17259" builtinId="9" hidden="1"/>
    <cellStyle name="Lien hypertexte visité" xfId="17131" builtinId="9" hidden="1"/>
    <cellStyle name="Lien hypertexte visité" xfId="17003" builtinId="9" hidden="1"/>
    <cellStyle name="Lien hypertexte visité" xfId="16875" builtinId="9" hidden="1"/>
    <cellStyle name="Lien hypertexte visité" xfId="16747" builtinId="9" hidden="1"/>
    <cellStyle name="Lien hypertexte visité" xfId="16619" builtinId="9" hidden="1"/>
    <cellStyle name="Lien hypertexte visité" xfId="16491" builtinId="9" hidden="1"/>
    <cellStyle name="Lien hypertexte visité" xfId="16363" builtinId="9" hidden="1"/>
    <cellStyle name="Lien hypertexte visité" xfId="16235" builtinId="9" hidden="1"/>
    <cellStyle name="Lien hypertexte visité" xfId="16107" builtinId="9" hidden="1"/>
    <cellStyle name="Lien hypertexte visité" xfId="15979" builtinId="9" hidden="1"/>
    <cellStyle name="Lien hypertexte visité" xfId="15851" builtinId="9" hidden="1"/>
    <cellStyle name="Lien hypertexte visité" xfId="15723" builtinId="9" hidden="1"/>
    <cellStyle name="Lien hypertexte visité" xfId="15595" builtinId="9" hidden="1"/>
    <cellStyle name="Lien hypertexte visité" xfId="15467" builtinId="9" hidden="1"/>
    <cellStyle name="Lien hypertexte visité" xfId="15339" builtinId="9" hidden="1"/>
    <cellStyle name="Lien hypertexte visité" xfId="15211" builtinId="9" hidden="1"/>
    <cellStyle name="Lien hypertexte visité" xfId="15083" builtinId="9" hidden="1"/>
    <cellStyle name="Lien hypertexte visité" xfId="14955" builtinId="9" hidden="1"/>
    <cellStyle name="Lien hypertexte visité" xfId="14827" builtinId="9" hidden="1"/>
    <cellStyle name="Lien hypertexte visité" xfId="14699" builtinId="9" hidden="1"/>
    <cellStyle name="Lien hypertexte visité" xfId="14571" builtinId="9" hidden="1"/>
    <cellStyle name="Lien hypertexte visité" xfId="14479" builtinId="9" hidden="1"/>
    <cellStyle name="Lien hypertexte visité" xfId="14415" builtinId="9" hidden="1"/>
    <cellStyle name="Lien hypertexte visité" xfId="14351" builtinId="9" hidden="1"/>
    <cellStyle name="Lien hypertexte visité" xfId="14287" builtinId="9" hidden="1"/>
    <cellStyle name="Lien hypertexte visité" xfId="14223" builtinId="9" hidden="1"/>
    <cellStyle name="Lien hypertexte visité" xfId="14159" builtinId="9" hidden="1"/>
    <cellStyle name="Lien hypertexte visité" xfId="14095" builtinId="9" hidden="1"/>
    <cellStyle name="Lien hypertexte visité" xfId="14031" builtinId="9" hidden="1"/>
    <cellStyle name="Lien hypertexte visité" xfId="13967" builtinId="9" hidden="1"/>
    <cellStyle name="Lien hypertexte visité" xfId="13903" builtinId="9" hidden="1"/>
    <cellStyle name="Lien hypertexte visité" xfId="13839" builtinId="9" hidden="1"/>
    <cellStyle name="Lien hypertexte visité" xfId="13775" builtinId="9" hidden="1"/>
    <cellStyle name="Lien hypertexte visité" xfId="13711" builtinId="9" hidden="1"/>
    <cellStyle name="Lien hypertexte visité" xfId="13647" builtinId="9" hidden="1"/>
    <cellStyle name="Lien hypertexte visité" xfId="13583" builtinId="9" hidden="1"/>
    <cellStyle name="Lien hypertexte visité" xfId="13519" builtinId="9" hidden="1"/>
    <cellStyle name="Lien hypertexte visité" xfId="13455" builtinId="9" hidden="1"/>
    <cellStyle name="Lien hypertexte visité" xfId="13391" builtinId="9" hidden="1"/>
    <cellStyle name="Lien hypertexte visité" xfId="13327" builtinId="9" hidden="1"/>
    <cellStyle name="Lien hypertexte visité" xfId="13263" builtinId="9" hidden="1"/>
    <cellStyle name="Lien hypertexte visité" xfId="13199" builtinId="9" hidden="1"/>
    <cellStyle name="Lien hypertexte visité" xfId="13135" builtinId="9" hidden="1"/>
    <cellStyle name="Lien hypertexte visité" xfId="13071" builtinId="9" hidden="1"/>
    <cellStyle name="Lien hypertexte visité" xfId="13007" builtinId="9" hidden="1"/>
    <cellStyle name="Lien hypertexte visité" xfId="12943" builtinId="9" hidden="1"/>
    <cellStyle name="Lien hypertexte visité" xfId="12879" builtinId="9" hidden="1"/>
    <cellStyle name="Lien hypertexte visité" xfId="12815" builtinId="9" hidden="1"/>
    <cellStyle name="Lien hypertexte visité" xfId="12751" builtinId="9" hidden="1"/>
    <cellStyle name="Lien hypertexte visité" xfId="12687" builtinId="9" hidden="1"/>
    <cellStyle name="Lien hypertexte visité" xfId="12623" builtinId="9" hidden="1"/>
    <cellStyle name="Lien hypertexte visité" xfId="12559" builtinId="9" hidden="1"/>
    <cellStyle name="Lien hypertexte visité" xfId="12495" builtinId="9" hidden="1"/>
    <cellStyle name="Lien hypertexte visité" xfId="12431" builtinId="9" hidden="1"/>
    <cellStyle name="Lien hypertexte visité" xfId="12367" builtinId="9" hidden="1"/>
    <cellStyle name="Lien hypertexte visité" xfId="12303" builtinId="9" hidden="1"/>
    <cellStyle name="Lien hypertexte visité" xfId="12239" builtinId="9" hidden="1"/>
    <cellStyle name="Lien hypertexte visité" xfId="12175" builtinId="9" hidden="1"/>
    <cellStyle name="Lien hypertexte visité" xfId="12111" builtinId="9" hidden="1"/>
    <cellStyle name="Lien hypertexte visité" xfId="12047" builtinId="9" hidden="1"/>
    <cellStyle name="Lien hypertexte visité" xfId="11983" builtinId="9" hidden="1"/>
    <cellStyle name="Lien hypertexte visité" xfId="11919" builtinId="9" hidden="1"/>
    <cellStyle name="Lien hypertexte visité" xfId="11855" builtinId="9" hidden="1"/>
    <cellStyle name="Lien hypertexte visité" xfId="11791" builtinId="9" hidden="1"/>
    <cellStyle name="Lien hypertexte visité" xfId="11727" builtinId="9" hidden="1"/>
    <cellStyle name="Lien hypertexte visité" xfId="11663" builtinId="9" hidden="1"/>
    <cellStyle name="Lien hypertexte visité" xfId="11599" builtinId="9" hidden="1"/>
    <cellStyle name="Lien hypertexte visité" xfId="11535" builtinId="9" hidden="1"/>
    <cellStyle name="Lien hypertexte visité" xfId="11471" builtinId="9" hidden="1"/>
    <cellStyle name="Lien hypertexte visité" xfId="11407" builtinId="9" hidden="1"/>
    <cellStyle name="Lien hypertexte visité" xfId="11343" builtinId="9" hidden="1"/>
    <cellStyle name="Lien hypertexte visité" xfId="11279" builtinId="9" hidden="1"/>
    <cellStyle name="Lien hypertexte visité" xfId="11215" builtinId="9" hidden="1"/>
    <cellStyle name="Lien hypertexte visité" xfId="11151" builtinId="9" hidden="1"/>
    <cellStyle name="Lien hypertexte visité" xfId="11087" builtinId="9" hidden="1"/>
    <cellStyle name="Lien hypertexte visité" xfId="11023" builtinId="9" hidden="1"/>
    <cellStyle name="Lien hypertexte visité" xfId="10959" builtinId="9" hidden="1"/>
    <cellStyle name="Lien hypertexte visité" xfId="10895" builtinId="9" hidden="1"/>
    <cellStyle name="Lien hypertexte visité" xfId="10831" builtinId="9" hidden="1"/>
    <cellStyle name="Lien hypertexte visité" xfId="10767" builtinId="9" hidden="1"/>
    <cellStyle name="Lien hypertexte visité" xfId="10703" builtinId="9" hidden="1"/>
    <cellStyle name="Lien hypertexte visité" xfId="10639" builtinId="9" hidden="1"/>
    <cellStyle name="Lien hypertexte visité" xfId="10575" builtinId="9" hidden="1"/>
    <cellStyle name="Lien hypertexte visité" xfId="10511" builtinId="9" hidden="1"/>
    <cellStyle name="Lien hypertexte visité" xfId="10447" builtinId="9" hidden="1"/>
    <cellStyle name="Lien hypertexte visité" xfId="10383" builtinId="9" hidden="1"/>
    <cellStyle name="Lien hypertexte visité" xfId="10319" builtinId="9" hidden="1"/>
    <cellStyle name="Lien hypertexte visité" xfId="10255" builtinId="9" hidden="1"/>
    <cellStyle name="Lien hypertexte visité" xfId="10191" builtinId="9" hidden="1"/>
    <cellStyle name="Lien hypertexte visité" xfId="10127" builtinId="9" hidden="1"/>
    <cellStyle name="Lien hypertexte visité" xfId="10063" builtinId="9" hidden="1"/>
    <cellStyle name="Lien hypertexte visité" xfId="9999" builtinId="9" hidden="1"/>
    <cellStyle name="Lien hypertexte visité" xfId="9935" builtinId="9" hidden="1"/>
    <cellStyle name="Lien hypertexte visité" xfId="9871" builtinId="9" hidden="1"/>
    <cellStyle name="Lien hypertexte visité" xfId="9807" builtinId="9" hidden="1"/>
    <cellStyle name="Lien hypertexte visité" xfId="9743" builtinId="9" hidden="1"/>
    <cellStyle name="Lien hypertexte visité" xfId="9679" builtinId="9" hidden="1"/>
    <cellStyle name="Lien hypertexte visité" xfId="9615" builtinId="9" hidden="1"/>
    <cellStyle name="Lien hypertexte visité" xfId="9551" builtinId="9" hidden="1"/>
    <cellStyle name="Lien hypertexte visité" xfId="9487" builtinId="9" hidden="1"/>
    <cellStyle name="Lien hypertexte visité" xfId="9423" builtinId="9" hidden="1"/>
    <cellStyle name="Lien hypertexte visité" xfId="9359" builtinId="9" hidden="1"/>
    <cellStyle name="Lien hypertexte visité" xfId="9295" builtinId="9" hidden="1"/>
    <cellStyle name="Lien hypertexte visité" xfId="9231" builtinId="9" hidden="1"/>
    <cellStyle name="Lien hypertexte visité" xfId="9167" builtinId="9" hidden="1"/>
    <cellStyle name="Lien hypertexte visité" xfId="9103" builtinId="9" hidden="1"/>
    <cellStyle name="Lien hypertexte visité" xfId="9039" builtinId="9" hidden="1"/>
    <cellStyle name="Lien hypertexte visité" xfId="8975" builtinId="9" hidden="1"/>
    <cellStyle name="Lien hypertexte visité" xfId="8911" builtinId="9" hidden="1"/>
    <cellStyle name="Lien hypertexte visité" xfId="8847" builtinId="9" hidden="1"/>
    <cellStyle name="Lien hypertexte visité" xfId="8783" builtinId="9" hidden="1"/>
    <cellStyle name="Lien hypertexte visité" xfId="8719" builtinId="9" hidden="1"/>
    <cellStyle name="Lien hypertexte visité" xfId="8655" builtinId="9" hidden="1"/>
    <cellStyle name="Lien hypertexte visité" xfId="8591" builtinId="9" hidden="1"/>
    <cellStyle name="Lien hypertexte visité" xfId="8527" builtinId="9" hidden="1"/>
    <cellStyle name="Lien hypertexte visité" xfId="8463" builtinId="9" hidden="1"/>
    <cellStyle name="Lien hypertexte visité" xfId="8399" builtinId="9" hidden="1"/>
    <cellStyle name="Lien hypertexte visité" xfId="8335" builtinId="9" hidden="1"/>
    <cellStyle name="Lien hypertexte visité" xfId="8271" builtinId="9" hidden="1"/>
    <cellStyle name="Lien hypertexte visité" xfId="8207" builtinId="9" hidden="1"/>
    <cellStyle name="Lien hypertexte visité" xfId="8143" builtinId="9" hidden="1"/>
    <cellStyle name="Lien hypertexte visité" xfId="8079" builtinId="9" hidden="1"/>
    <cellStyle name="Lien hypertexte visité" xfId="8015" builtinId="9" hidden="1"/>
    <cellStyle name="Lien hypertexte visité" xfId="7951" builtinId="9" hidden="1"/>
    <cellStyle name="Lien hypertexte visité" xfId="7887" builtinId="9" hidden="1"/>
    <cellStyle name="Lien hypertexte visité" xfId="7823" builtinId="9" hidden="1"/>
    <cellStyle name="Lien hypertexte visité" xfId="7758" builtinId="9" hidden="1"/>
    <cellStyle name="Lien hypertexte visité" xfId="7694" builtinId="9" hidden="1"/>
    <cellStyle name="Lien hypertexte visité" xfId="7630" builtinId="9" hidden="1"/>
    <cellStyle name="Lien hypertexte visité" xfId="7566" builtinId="9" hidden="1"/>
    <cellStyle name="Lien hypertexte visité" xfId="7502" builtinId="9" hidden="1"/>
    <cellStyle name="Lien hypertexte visité" xfId="7438" builtinId="9" hidden="1"/>
    <cellStyle name="Lien hypertexte visité" xfId="7374" builtinId="9" hidden="1"/>
    <cellStyle name="Lien hypertexte visité" xfId="7310" builtinId="9" hidden="1"/>
    <cellStyle name="Lien hypertexte visité" xfId="7246" builtinId="9" hidden="1"/>
    <cellStyle name="Lien hypertexte visité" xfId="7182" builtinId="9" hidden="1"/>
    <cellStyle name="Lien hypertexte visité" xfId="7118" builtinId="9" hidden="1"/>
    <cellStyle name="Lien hypertexte visité" xfId="7054" builtinId="9" hidden="1"/>
    <cellStyle name="Lien hypertexte visité" xfId="6990" builtinId="9" hidden="1"/>
    <cellStyle name="Lien hypertexte visité" xfId="6926" builtinId="9" hidden="1"/>
    <cellStyle name="Lien hypertexte visité" xfId="6862" builtinId="9" hidden="1"/>
    <cellStyle name="Lien hypertexte visité" xfId="6798" builtinId="9" hidden="1"/>
    <cellStyle name="Lien hypertexte visité" xfId="6734" builtinId="9" hidden="1"/>
    <cellStyle name="Lien hypertexte visité" xfId="6670" builtinId="9" hidden="1"/>
    <cellStyle name="Lien hypertexte visité" xfId="6606" builtinId="9" hidden="1"/>
    <cellStyle name="Lien hypertexte visité" xfId="6542" builtinId="9" hidden="1"/>
    <cellStyle name="Lien hypertexte visité" xfId="6478" builtinId="9" hidden="1"/>
    <cellStyle name="Lien hypertexte visité" xfId="6414" builtinId="9" hidden="1"/>
    <cellStyle name="Lien hypertexte visité" xfId="6350" builtinId="9" hidden="1"/>
    <cellStyle name="Lien hypertexte visité" xfId="6286" builtinId="9" hidden="1"/>
    <cellStyle name="Lien hypertexte visité" xfId="6222" builtinId="9" hidden="1"/>
    <cellStyle name="Lien hypertexte visité" xfId="6158" builtinId="9" hidden="1"/>
    <cellStyle name="Lien hypertexte visité" xfId="6094" builtinId="9" hidden="1"/>
    <cellStyle name="Lien hypertexte visité" xfId="6030" builtinId="9" hidden="1"/>
    <cellStyle name="Lien hypertexte visité" xfId="5966" builtinId="9" hidden="1"/>
    <cellStyle name="Lien hypertexte visité" xfId="5902" builtinId="9" hidden="1"/>
    <cellStyle name="Lien hypertexte visité" xfId="5838" builtinId="9" hidden="1"/>
    <cellStyle name="Lien hypertexte visité" xfId="5774" builtinId="9" hidden="1"/>
    <cellStyle name="Lien hypertexte visité" xfId="5710" builtinId="9" hidden="1"/>
    <cellStyle name="Lien hypertexte visité" xfId="5646" builtinId="9" hidden="1"/>
    <cellStyle name="Lien hypertexte visité" xfId="5582" builtinId="9" hidden="1"/>
    <cellStyle name="Lien hypertexte visité" xfId="5518" builtinId="9" hidden="1"/>
    <cellStyle name="Lien hypertexte visité" xfId="5454" builtinId="9" hidden="1"/>
    <cellStyle name="Lien hypertexte visité" xfId="5390" builtinId="9" hidden="1"/>
    <cellStyle name="Lien hypertexte visité" xfId="5326" builtinId="9" hidden="1"/>
    <cellStyle name="Lien hypertexte visité" xfId="5262" builtinId="9" hidden="1"/>
    <cellStyle name="Lien hypertexte visité" xfId="5198" builtinId="9" hidden="1"/>
    <cellStyle name="Lien hypertexte visité" xfId="5134" builtinId="9" hidden="1"/>
    <cellStyle name="Lien hypertexte visité" xfId="5070" builtinId="9" hidden="1"/>
    <cellStyle name="Lien hypertexte visité" xfId="5006" builtinId="9" hidden="1"/>
    <cellStyle name="Lien hypertexte visité" xfId="4942" builtinId="9" hidden="1"/>
    <cellStyle name="Lien hypertexte visité" xfId="4878" builtinId="9" hidden="1"/>
    <cellStyle name="Lien hypertexte visité" xfId="4814" builtinId="9" hidden="1"/>
    <cellStyle name="Lien hypertexte visité" xfId="4750" builtinId="9" hidden="1"/>
    <cellStyle name="Lien hypertexte visité" xfId="4686" builtinId="9" hidden="1"/>
    <cellStyle name="Lien hypertexte visité" xfId="4622" builtinId="9" hidden="1"/>
    <cellStyle name="Lien hypertexte visité" xfId="4558" builtinId="9" hidden="1"/>
    <cellStyle name="Lien hypertexte visité" xfId="4494" builtinId="9" hidden="1"/>
    <cellStyle name="Lien hypertexte visité" xfId="4430" builtinId="9" hidden="1"/>
    <cellStyle name="Lien hypertexte visité" xfId="4366" builtinId="9" hidden="1"/>
    <cellStyle name="Lien hypertexte visité" xfId="4302" builtinId="9" hidden="1"/>
    <cellStyle name="Lien hypertexte visité" xfId="4238" builtinId="9" hidden="1"/>
    <cellStyle name="Lien hypertexte visité" xfId="4174" builtinId="9" hidden="1"/>
    <cellStyle name="Lien hypertexte visité" xfId="4110" builtinId="9" hidden="1"/>
    <cellStyle name="Lien hypertexte visité" xfId="4046" builtinId="9" hidden="1"/>
    <cellStyle name="Lien hypertexte visité" xfId="3982" builtinId="9" hidden="1"/>
    <cellStyle name="Lien hypertexte visité" xfId="3922" builtinId="9" hidden="1"/>
    <cellStyle name="Lien hypertexte visité" xfId="3857" builtinId="9" hidden="1"/>
    <cellStyle name="Lien hypertexte visité" xfId="3793" builtinId="9" hidden="1"/>
    <cellStyle name="Lien hypertexte visité" xfId="3729" builtinId="9" hidden="1"/>
    <cellStyle name="Lien hypertexte visité" xfId="3659" builtinId="9" hidden="1"/>
    <cellStyle name="Lien hypertexte visité" xfId="3593" builtinId="9" hidden="1"/>
    <cellStyle name="Lien hypertexte visité" xfId="3528" builtinId="9" hidden="1"/>
    <cellStyle name="Lien hypertexte visité" xfId="3464" builtinId="9" hidden="1"/>
    <cellStyle name="Lien hypertexte visité" xfId="3400" builtinId="9" hidden="1"/>
    <cellStyle name="Lien hypertexte visité" xfId="3336" builtinId="9" hidden="1"/>
    <cellStyle name="Lien hypertexte visité" xfId="3272" builtinId="9" hidden="1"/>
    <cellStyle name="Lien hypertexte visité" xfId="3208" builtinId="9" hidden="1"/>
    <cellStyle name="Lien hypertexte visité" xfId="3144" builtinId="9" hidden="1"/>
    <cellStyle name="Lien hypertexte visité" xfId="3080" builtinId="9" hidden="1"/>
    <cellStyle name="Lien hypertexte visité" xfId="3016" builtinId="9" hidden="1"/>
    <cellStyle name="Lien hypertexte visité" xfId="2952" builtinId="9" hidden="1"/>
    <cellStyle name="Lien hypertexte visité" xfId="2888" builtinId="9" hidden="1"/>
    <cellStyle name="Lien hypertexte visité" xfId="2824" builtinId="9" hidden="1"/>
    <cellStyle name="Lien hypertexte visité" xfId="2760" builtinId="9" hidden="1"/>
    <cellStyle name="Lien hypertexte visité" xfId="2696" builtinId="9" hidden="1"/>
    <cellStyle name="Lien hypertexte visité" xfId="2632" builtinId="9" hidden="1"/>
    <cellStyle name="Lien hypertexte visité" xfId="2568" builtinId="9" hidden="1"/>
    <cellStyle name="Lien hypertexte visité" xfId="2504" builtinId="9" hidden="1"/>
    <cellStyle name="Lien hypertexte visité" xfId="2440" builtinId="9" hidden="1"/>
    <cellStyle name="Lien hypertexte visité" xfId="2376" builtinId="9" hidden="1"/>
    <cellStyle name="Lien hypertexte visité" xfId="2312" builtinId="9" hidden="1"/>
    <cellStyle name="Lien hypertexte visité" xfId="2248" builtinId="9" hidden="1"/>
    <cellStyle name="Lien hypertexte visité" xfId="2184" builtinId="9" hidden="1"/>
    <cellStyle name="Lien hypertexte visité" xfId="2120" builtinId="9" hidden="1"/>
    <cellStyle name="Lien hypertexte visité" xfId="2056" builtinId="9" hidden="1"/>
    <cellStyle name="Lien hypertexte visité" xfId="1992" builtinId="9" hidden="1"/>
    <cellStyle name="Lien hypertexte visité" xfId="1928" builtinId="9" hidden="1"/>
    <cellStyle name="Lien hypertexte visité" xfId="1864" builtinId="9" hidden="1"/>
    <cellStyle name="Lien hypertexte visité" xfId="1800" builtinId="9" hidden="1"/>
    <cellStyle name="Lien hypertexte visité" xfId="1736" builtinId="9" hidden="1"/>
    <cellStyle name="Lien hypertexte visité" xfId="1672" builtinId="9" hidden="1"/>
    <cellStyle name="Lien hypertexte visité" xfId="1608" builtinId="9" hidden="1"/>
    <cellStyle name="Lien hypertexte visité" xfId="1544" builtinId="9" hidden="1"/>
    <cellStyle name="Lien hypertexte visité" xfId="1479" builtinId="9" hidden="1"/>
    <cellStyle name="Lien hypertexte visité" xfId="1415" builtinId="9" hidden="1"/>
    <cellStyle name="Lien hypertexte visité" xfId="1351" builtinId="9" hidden="1"/>
    <cellStyle name="Lien hypertexte visité" xfId="1287" builtinId="9" hidden="1"/>
    <cellStyle name="Lien hypertexte visité" xfId="1223" builtinId="9" hidden="1"/>
    <cellStyle name="Lien hypertexte visité" xfId="1159" builtinId="9" hidden="1"/>
    <cellStyle name="Lien hypertexte visité" xfId="1027" builtinId="9" hidden="1"/>
    <cellStyle name="Lien hypertexte visité" xfId="899" builtinId="9" hidden="1"/>
    <cellStyle name="Lien hypertexte visité" xfId="771" builtinId="9" hidden="1"/>
    <cellStyle name="Lien hypertexte visité" xfId="643" builtinId="9" hidden="1"/>
    <cellStyle name="Lien hypertexte visité" xfId="515" builtinId="9" hidden="1"/>
    <cellStyle name="Lien hypertexte visité" xfId="387" builtinId="9" hidden="1"/>
    <cellStyle name="Lien hypertexte visité" xfId="259" builtinId="9" hidden="1"/>
    <cellStyle name="Lien hypertexte visité" xfId="131" builtinId="9" hidden="1"/>
    <cellStyle name="Lien hypertexte visité" xfId="63" builtinId="9" hidden="1"/>
    <cellStyle name="Lien hypertexte visité" xfId="83" builtinId="9" hidden="1"/>
    <cellStyle name="Lien hypertexte visité" xfId="223" builtinId="9" hidden="1"/>
    <cellStyle name="Lien hypertexte visité" xfId="351" builtinId="9" hidden="1"/>
    <cellStyle name="Lien hypertexte visité" xfId="479" builtinId="9" hidden="1"/>
    <cellStyle name="Lien hypertexte visité" xfId="607" builtinId="9" hidden="1"/>
    <cellStyle name="Lien hypertexte visité" xfId="735" builtinId="9" hidden="1"/>
    <cellStyle name="Lien hypertexte visité" xfId="863" builtinId="9" hidden="1"/>
    <cellStyle name="Lien hypertexte visité" xfId="991" builtinId="9" hidden="1"/>
    <cellStyle name="Lien hypertexte visité" xfId="1119" builtinId="9" hidden="1"/>
    <cellStyle name="Lien hypertexte visité" xfId="1205" builtinId="9" hidden="1"/>
    <cellStyle name="Lien hypertexte visité" xfId="1269" builtinId="9" hidden="1"/>
    <cellStyle name="Lien hypertexte visité" xfId="1333" builtinId="9" hidden="1"/>
    <cellStyle name="Lien hypertexte visité" xfId="1397" builtinId="9" hidden="1"/>
    <cellStyle name="Lien hypertexte visité" xfId="1461" builtinId="9" hidden="1"/>
    <cellStyle name="Lien hypertexte visité" xfId="1526" builtinId="9" hidden="1"/>
    <cellStyle name="Lien hypertexte visité" xfId="1590" builtinId="9" hidden="1"/>
    <cellStyle name="Lien hypertexte visité" xfId="1654" builtinId="9" hidden="1"/>
    <cellStyle name="Lien hypertexte visité" xfId="1718" builtinId="9" hidden="1"/>
    <cellStyle name="Lien hypertexte visité" xfId="1782" builtinId="9" hidden="1"/>
    <cellStyle name="Lien hypertexte visité" xfId="1846" builtinId="9" hidden="1"/>
    <cellStyle name="Lien hypertexte visité" xfId="1910" builtinId="9" hidden="1"/>
    <cellStyle name="Lien hypertexte visité" xfId="1974" builtinId="9" hidden="1"/>
    <cellStyle name="Lien hypertexte visité" xfId="2038" builtinId="9" hidden="1"/>
    <cellStyle name="Lien hypertexte visité" xfId="2102" builtinId="9" hidden="1"/>
    <cellStyle name="Lien hypertexte visité" xfId="2166" builtinId="9" hidden="1"/>
    <cellStyle name="Lien hypertexte visité" xfId="2230" builtinId="9" hidden="1"/>
    <cellStyle name="Lien hypertexte visité" xfId="2294" builtinId="9" hidden="1"/>
    <cellStyle name="Lien hypertexte visité" xfId="2358" builtinId="9" hidden="1"/>
    <cellStyle name="Lien hypertexte visité" xfId="2422" builtinId="9" hidden="1"/>
    <cellStyle name="Lien hypertexte visité" xfId="2486" builtinId="9" hidden="1"/>
    <cellStyle name="Lien hypertexte visité" xfId="2550" builtinId="9" hidden="1"/>
    <cellStyle name="Lien hypertexte visité" xfId="2614" builtinId="9" hidden="1"/>
    <cellStyle name="Lien hypertexte visité" xfId="2678" builtinId="9" hidden="1"/>
    <cellStyle name="Lien hypertexte visité" xfId="2742" builtinId="9" hidden="1"/>
    <cellStyle name="Lien hypertexte visité" xfId="2806" builtinId="9" hidden="1"/>
    <cellStyle name="Lien hypertexte visité" xfId="2870" builtinId="9" hidden="1"/>
    <cellStyle name="Lien hypertexte visité" xfId="2934" builtinId="9" hidden="1"/>
    <cellStyle name="Lien hypertexte visité" xfId="2998" builtinId="9" hidden="1"/>
    <cellStyle name="Lien hypertexte visité" xfId="3062" builtinId="9" hidden="1"/>
    <cellStyle name="Lien hypertexte visité" xfId="3126" builtinId="9" hidden="1"/>
    <cellStyle name="Lien hypertexte visité" xfId="3190" builtinId="9" hidden="1"/>
    <cellStyle name="Lien hypertexte visité" xfId="3254" builtinId="9" hidden="1"/>
    <cellStyle name="Lien hypertexte visité" xfId="3318" builtinId="9" hidden="1"/>
    <cellStyle name="Lien hypertexte visité" xfId="3382" builtinId="9" hidden="1"/>
    <cellStyle name="Lien hypertexte visité" xfId="3446" builtinId="9" hidden="1"/>
    <cellStyle name="Lien hypertexte visité" xfId="3510" builtinId="9" hidden="1"/>
    <cellStyle name="Lien hypertexte visité" xfId="3575" builtinId="9" hidden="1"/>
    <cellStyle name="Lien hypertexte visité" xfId="3639" builtinId="9" hidden="1"/>
    <cellStyle name="Lien hypertexte visité" xfId="3711" builtinId="9" hidden="1"/>
    <cellStyle name="Lien hypertexte visité" xfId="3775" builtinId="9" hidden="1"/>
    <cellStyle name="Lien hypertexte visité" xfId="3839" builtinId="9" hidden="1"/>
    <cellStyle name="Lien hypertexte visité" xfId="3904" builtinId="9" hidden="1"/>
    <cellStyle name="Lien hypertexte visité" xfId="3964" builtinId="9" hidden="1"/>
    <cellStyle name="Lien hypertexte visité" xfId="4028" builtinId="9" hidden="1"/>
    <cellStyle name="Lien hypertexte visité" xfId="4092" builtinId="9" hidden="1"/>
    <cellStyle name="Lien hypertexte visité" xfId="4156" builtinId="9" hidden="1"/>
    <cellStyle name="Lien hypertexte visité" xfId="4220" builtinId="9" hidden="1"/>
    <cellStyle name="Lien hypertexte visité" xfId="4284" builtinId="9" hidden="1"/>
    <cellStyle name="Lien hypertexte visité" xfId="4348" builtinId="9" hidden="1"/>
    <cellStyle name="Lien hypertexte visité" xfId="4412" builtinId="9" hidden="1"/>
    <cellStyle name="Lien hypertexte visité" xfId="4476" builtinId="9" hidden="1"/>
    <cellStyle name="Lien hypertexte visité" xfId="4540" builtinId="9" hidden="1"/>
    <cellStyle name="Lien hypertexte visité" xfId="4604" builtinId="9" hidden="1"/>
    <cellStyle name="Lien hypertexte visité" xfId="4668" builtinId="9" hidden="1"/>
    <cellStyle name="Lien hypertexte visité" xfId="4732" builtinId="9" hidden="1"/>
    <cellStyle name="Lien hypertexte visité" xfId="4796" builtinId="9" hidden="1"/>
    <cellStyle name="Lien hypertexte visité" xfId="4860" builtinId="9" hidden="1"/>
    <cellStyle name="Lien hypertexte visité" xfId="4924" builtinId="9" hidden="1"/>
    <cellStyle name="Lien hypertexte visité" xfId="4988" builtinId="9" hidden="1"/>
    <cellStyle name="Lien hypertexte visité" xfId="5052" builtinId="9" hidden="1"/>
    <cellStyle name="Lien hypertexte visité" xfId="5116" builtinId="9" hidden="1"/>
    <cellStyle name="Lien hypertexte visité" xfId="5180" builtinId="9" hidden="1"/>
    <cellStyle name="Lien hypertexte visité" xfId="5244" builtinId="9" hidden="1"/>
    <cellStyle name="Lien hypertexte visité" xfId="5308" builtinId="9" hidden="1"/>
    <cellStyle name="Lien hypertexte visité" xfId="5372" builtinId="9" hidden="1"/>
    <cellStyle name="Lien hypertexte visité" xfId="5436" builtinId="9" hidden="1"/>
    <cellStyle name="Lien hypertexte visité" xfId="5500" builtinId="9" hidden="1"/>
    <cellStyle name="Lien hypertexte visité" xfId="5564" builtinId="9" hidden="1"/>
    <cellStyle name="Lien hypertexte visité" xfId="5628" builtinId="9" hidden="1"/>
    <cellStyle name="Lien hypertexte visité" xfId="5692" builtinId="9" hidden="1"/>
    <cellStyle name="Lien hypertexte visité" xfId="5756" builtinId="9" hidden="1"/>
    <cellStyle name="Lien hypertexte visité" xfId="5820" builtinId="9" hidden="1"/>
    <cellStyle name="Lien hypertexte visité" xfId="5884" builtinId="9" hidden="1"/>
    <cellStyle name="Lien hypertexte visité" xfId="5948" builtinId="9" hidden="1"/>
    <cellStyle name="Lien hypertexte visité" xfId="6012" builtinId="9" hidden="1"/>
    <cellStyle name="Lien hypertexte visité" xfId="6076" builtinId="9" hidden="1"/>
    <cellStyle name="Lien hypertexte visité" xfId="6140" builtinId="9" hidden="1"/>
    <cellStyle name="Lien hypertexte visité" xfId="6204" builtinId="9" hidden="1"/>
    <cellStyle name="Lien hypertexte visité" xfId="6268" builtinId="9" hidden="1"/>
    <cellStyle name="Lien hypertexte visité" xfId="6332" builtinId="9" hidden="1"/>
    <cellStyle name="Lien hypertexte visité" xfId="6396" builtinId="9" hidden="1"/>
    <cellStyle name="Lien hypertexte visité" xfId="6460" builtinId="9" hidden="1"/>
    <cellStyle name="Lien hypertexte visité" xfId="6524" builtinId="9" hidden="1"/>
    <cellStyle name="Lien hypertexte visité" xfId="6588" builtinId="9" hidden="1"/>
    <cellStyle name="Lien hypertexte visité" xfId="6652" builtinId="9" hidden="1"/>
    <cellStyle name="Lien hypertexte visité" xfId="6716" builtinId="9" hidden="1"/>
    <cellStyle name="Lien hypertexte visité" xfId="6780" builtinId="9" hidden="1"/>
    <cellStyle name="Lien hypertexte visité" xfId="6844" builtinId="9" hidden="1"/>
    <cellStyle name="Lien hypertexte visité" xfId="6908" builtinId="9" hidden="1"/>
    <cellStyle name="Lien hypertexte visité" xfId="6972" builtinId="9" hidden="1"/>
    <cellStyle name="Lien hypertexte visité" xfId="7036" builtinId="9" hidden="1"/>
    <cellStyle name="Lien hypertexte visité" xfId="7100" builtinId="9" hidden="1"/>
    <cellStyle name="Lien hypertexte visité" xfId="7164" builtinId="9" hidden="1"/>
    <cellStyle name="Lien hypertexte visité" xfId="7228" builtinId="9" hidden="1"/>
    <cellStyle name="Lien hypertexte visité" xfId="7292" builtinId="9" hidden="1"/>
    <cellStyle name="Lien hypertexte visité" xfId="7356" builtinId="9" hidden="1"/>
    <cellStyle name="Lien hypertexte visité" xfId="7420" builtinId="9" hidden="1"/>
    <cellStyle name="Lien hypertexte visité" xfId="7484" builtinId="9" hidden="1"/>
    <cellStyle name="Lien hypertexte visité" xfId="7548" builtinId="9" hidden="1"/>
    <cellStyle name="Lien hypertexte visité" xfId="7612" builtinId="9" hidden="1"/>
    <cellStyle name="Lien hypertexte visité" xfId="7676" builtinId="9" hidden="1"/>
    <cellStyle name="Lien hypertexte visité" xfId="7740" builtinId="9" hidden="1"/>
    <cellStyle name="Lien hypertexte visité" xfId="7804" builtinId="9" hidden="1"/>
    <cellStyle name="Lien hypertexte visité" xfId="7869" builtinId="9" hidden="1"/>
    <cellStyle name="Lien hypertexte visité" xfId="7933" builtinId="9" hidden="1"/>
    <cellStyle name="Lien hypertexte visité" xfId="7997" builtinId="9" hidden="1"/>
    <cellStyle name="Lien hypertexte visité" xfId="8061" builtinId="9" hidden="1"/>
    <cellStyle name="Lien hypertexte visité" xfId="8125" builtinId="9" hidden="1"/>
    <cellStyle name="Lien hypertexte visité" xfId="8189" builtinId="9" hidden="1"/>
    <cellStyle name="Lien hypertexte visité" xfId="8253" builtinId="9" hidden="1"/>
    <cellStyle name="Lien hypertexte visité" xfId="8317" builtinId="9" hidden="1"/>
    <cellStyle name="Lien hypertexte visité" xfId="8381" builtinId="9" hidden="1"/>
    <cellStyle name="Lien hypertexte visité" xfId="8445" builtinId="9" hidden="1"/>
    <cellStyle name="Lien hypertexte visité" xfId="8509" builtinId="9" hidden="1"/>
    <cellStyle name="Lien hypertexte visité" xfId="8573" builtinId="9" hidden="1"/>
    <cellStyle name="Lien hypertexte visité" xfId="8637" builtinId="9" hidden="1"/>
    <cellStyle name="Lien hypertexte visité" xfId="8701" builtinId="9" hidden="1"/>
    <cellStyle name="Lien hypertexte visité" xfId="8765" builtinId="9" hidden="1"/>
    <cellStyle name="Lien hypertexte visité" xfId="8829" builtinId="9" hidden="1"/>
    <cellStyle name="Lien hypertexte visité" xfId="8893" builtinId="9" hidden="1"/>
    <cellStyle name="Lien hypertexte visité" xfId="8957" builtinId="9" hidden="1"/>
    <cellStyle name="Lien hypertexte visité" xfId="9021" builtinId="9" hidden="1"/>
    <cellStyle name="Lien hypertexte visité" xfId="9085" builtinId="9" hidden="1"/>
    <cellStyle name="Lien hypertexte visité" xfId="9149" builtinId="9" hidden="1"/>
    <cellStyle name="Lien hypertexte visité" xfId="9213" builtinId="9" hidden="1"/>
    <cellStyle name="Lien hypertexte visité" xfId="9277" builtinId="9" hidden="1"/>
    <cellStyle name="Lien hypertexte visité" xfId="9341" builtinId="9" hidden="1"/>
    <cellStyle name="Lien hypertexte visité" xfId="9405" builtinId="9" hidden="1"/>
    <cellStyle name="Lien hypertexte visité" xfId="9469" builtinId="9" hidden="1"/>
    <cellStyle name="Lien hypertexte visité" xfId="9533" builtinId="9" hidden="1"/>
    <cellStyle name="Lien hypertexte visité" xfId="9597" builtinId="9" hidden="1"/>
    <cellStyle name="Lien hypertexte visité" xfId="9661" builtinId="9" hidden="1"/>
    <cellStyle name="Lien hypertexte visité" xfId="9725" builtinId="9" hidden="1"/>
    <cellStyle name="Lien hypertexte visité" xfId="9789" builtinId="9" hidden="1"/>
    <cellStyle name="Lien hypertexte visité" xfId="9853" builtinId="9" hidden="1"/>
    <cellStyle name="Lien hypertexte visité" xfId="9917" builtinId="9" hidden="1"/>
    <cellStyle name="Lien hypertexte visité" xfId="9981" builtinId="9" hidden="1"/>
    <cellStyle name="Lien hypertexte visité" xfId="10045" builtinId="9" hidden="1"/>
    <cellStyle name="Lien hypertexte visité" xfId="10109" builtinId="9" hidden="1"/>
    <cellStyle name="Lien hypertexte visité" xfId="10173" builtinId="9" hidden="1"/>
    <cellStyle name="Lien hypertexte visité" xfId="10237" builtinId="9" hidden="1"/>
    <cellStyle name="Lien hypertexte visité" xfId="10301" builtinId="9" hidden="1"/>
    <cellStyle name="Lien hypertexte visité" xfId="10365" builtinId="9" hidden="1"/>
    <cellStyle name="Lien hypertexte visité" xfId="10429" builtinId="9" hidden="1"/>
    <cellStyle name="Lien hypertexte visité" xfId="10493" builtinId="9" hidden="1"/>
    <cellStyle name="Lien hypertexte visité" xfId="10557" builtinId="9" hidden="1"/>
    <cellStyle name="Lien hypertexte visité" xfId="10621" builtinId="9" hidden="1"/>
    <cellStyle name="Lien hypertexte visité" xfId="10685" builtinId="9" hidden="1"/>
    <cellStyle name="Lien hypertexte visité" xfId="10749" builtinId="9" hidden="1"/>
    <cellStyle name="Lien hypertexte visité" xfId="10813" builtinId="9" hidden="1"/>
    <cellStyle name="Lien hypertexte visité" xfId="10877" builtinId="9" hidden="1"/>
    <cellStyle name="Lien hypertexte visité" xfId="10941" builtinId="9" hidden="1"/>
    <cellStyle name="Lien hypertexte visité" xfId="11005" builtinId="9" hidden="1"/>
    <cellStyle name="Lien hypertexte visité" xfId="11069" builtinId="9" hidden="1"/>
    <cellStyle name="Lien hypertexte visité" xfId="11133" builtinId="9" hidden="1"/>
    <cellStyle name="Lien hypertexte visité" xfId="11197" builtinId="9" hidden="1"/>
    <cellStyle name="Lien hypertexte visité" xfId="11261" builtinId="9" hidden="1"/>
    <cellStyle name="Lien hypertexte visité" xfId="11325" builtinId="9" hidden="1"/>
    <cellStyle name="Lien hypertexte visité" xfId="11389" builtinId="9" hidden="1"/>
    <cellStyle name="Lien hypertexte visité" xfId="11453" builtinId="9" hidden="1"/>
    <cellStyle name="Lien hypertexte visité" xfId="11517" builtinId="9" hidden="1"/>
    <cellStyle name="Lien hypertexte visité" xfId="11581" builtinId="9" hidden="1"/>
    <cellStyle name="Lien hypertexte visité" xfId="11645" builtinId="9" hidden="1"/>
    <cellStyle name="Lien hypertexte visité" xfId="11709" builtinId="9" hidden="1"/>
    <cellStyle name="Lien hypertexte visité" xfId="11773" builtinId="9" hidden="1"/>
    <cellStyle name="Lien hypertexte visité" xfId="11837" builtinId="9" hidden="1"/>
    <cellStyle name="Lien hypertexte visité" xfId="11901" builtinId="9" hidden="1"/>
    <cellStyle name="Lien hypertexte visité" xfId="11965" builtinId="9" hidden="1"/>
    <cellStyle name="Lien hypertexte visité" xfId="12029" builtinId="9" hidden="1"/>
    <cellStyle name="Lien hypertexte visité" xfId="12093" builtinId="9" hidden="1"/>
    <cellStyle name="Lien hypertexte visité" xfId="12157" builtinId="9" hidden="1"/>
    <cellStyle name="Lien hypertexte visité" xfId="12221" builtinId="9" hidden="1"/>
    <cellStyle name="Lien hypertexte visité" xfId="12285" builtinId="9" hidden="1"/>
    <cellStyle name="Lien hypertexte visité" xfId="12349" builtinId="9" hidden="1"/>
    <cellStyle name="Lien hypertexte visité" xfId="12413" builtinId="9" hidden="1"/>
    <cellStyle name="Lien hypertexte visité" xfId="12477" builtinId="9" hidden="1"/>
    <cellStyle name="Lien hypertexte visité" xfId="12541" builtinId="9" hidden="1"/>
    <cellStyle name="Lien hypertexte visité" xfId="12605" builtinId="9" hidden="1"/>
    <cellStyle name="Lien hypertexte visité" xfId="12669" builtinId="9" hidden="1"/>
    <cellStyle name="Lien hypertexte visité" xfId="12733" builtinId="9" hidden="1"/>
    <cellStyle name="Lien hypertexte visité" xfId="12797" builtinId="9" hidden="1"/>
    <cellStyle name="Lien hypertexte visité" xfId="12861" builtinId="9" hidden="1"/>
    <cellStyle name="Lien hypertexte visité" xfId="12925" builtinId="9" hidden="1"/>
    <cellStyle name="Lien hypertexte visité" xfId="12989" builtinId="9" hidden="1"/>
    <cellStyle name="Lien hypertexte visité" xfId="13053" builtinId="9" hidden="1"/>
    <cellStyle name="Lien hypertexte visité" xfId="13117" builtinId="9" hidden="1"/>
    <cellStyle name="Lien hypertexte visité" xfId="13181" builtinId="9" hidden="1"/>
    <cellStyle name="Lien hypertexte visité" xfId="13245" builtinId="9" hidden="1"/>
    <cellStyle name="Lien hypertexte visité" xfId="13309" builtinId="9" hidden="1"/>
    <cellStyle name="Lien hypertexte visité" xfId="13373" builtinId="9" hidden="1"/>
    <cellStyle name="Lien hypertexte visité" xfId="13437" builtinId="9" hidden="1"/>
    <cellStyle name="Lien hypertexte visité" xfId="13501" builtinId="9" hidden="1"/>
    <cellStyle name="Lien hypertexte visité" xfId="13565" builtinId="9" hidden="1"/>
    <cellStyle name="Lien hypertexte visité" xfId="13629" builtinId="9" hidden="1"/>
    <cellStyle name="Lien hypertexte visité" xfId="13693" builtinId="9" hidden="1"/>
    <cellStyle name="Lien hypertexte visité" xfId="13757" builtinId="9" hidden="1"/>
    <cellStyle name="Lien hypertexte visité" xfId="13821" builtinId="9" hidden="1"/>
    <cellStyle name="Lien hypertexte visité" xfId="13885" builtinId="9" hidden="1"/>
    <cellStyle name="Lien hypertexte visité" xfId="13949" builtinId="9" hidden="1"/>
    <cellStyle name="Lien hypertexte visité" xfId="14013" builtinId="9" hidden="1"/>
    <cellStyle name="Lien hypertexte visité" xfId="14077" builtinId="9" hidden="1"/>
    <cellStyle name="Lien hypertexte visité" xfId="14141" builtinId="9" hidden="1"/>
    <cellStyle name="Lien hypertexte visité" xfId="14205" builtinId="9" hidden="1"/>
    <cellStyle name="Lien hypertexte visité" xfId="14269" builtinId="9" hidden="1"/>
    <cellStyle name="Lien hypertexte visité" xfId="14333" builtinId="9" hidden="1"/>
    <cellStyle name="Lien hypertexte visité" xfId="14397" builtinId="9" hidden="1"/>
    <cellStyle name="Lien hypertexte visité" xfId="14461" builtinId="9" hidden="1"/>
    <cellStyle name="Lien hypertexte visité" xfId="14535" builtinId="9" hidden="1"/>
    <cellStyle name="Lien hypertexte visité" xfId="14663" builtinId="9" hidden="1"/>
    <cellStyle name="Lien hypertexte visité" xfId="14791" builtinId="9" hidden="1"/>
    <cellStyle name="Lien hypertexte visité" xfId="14919" builtinId="9" hidden="1"/>
    <cellStyle name="Lien hypertexte visité" xfId="15047" builtinId="9" hidden="1"/>
    <cellStyle name="Lien hypertexte visité" xfId="15175" builtinId="9" hidden="1"/>
    <cellStyle name="Lien hypertexte visité" xfId="15303" builtinId="9" hidden="1"/>
    <cellStyle name="Lien hypertexte visité" xfId="15431" builtinId="9" hidden="1"/>
    <cellStyle name="Lien hypertexte visité" xfId="15559" builtinId="9" hidden="1"/>
    <cellStyle name="Lien hypertexte visité" xfId="15687" builtinId="9" hidden="1"/>
    <cellStyle name="Lien hypertexte visité" xfId="15815" builtinId="9" hidden="1"/>
    <cellStyle name="Lien hypertexte visité" xfId="15943" builtinId="9" hidden="1"/>
    <cellStyle name="Lien hypertexte visité" xfId="16071" builtinId="9" hidden="1"/>
    <cellStyle name="Lien hypertexte visité" xfId="16199" builtinId="9" hidden="1"/>
    <cellStyle name="Lien hypertexte visité" xfId="16327" builtinId="9" hidden="1"/>
    <cellStyle name="Lien hypertexte visité" xfId="16455" builtinId="9" hidden="1"/>
    <cellStyle name="Lien hypertexte visité" xfId="16583" builtinId="9" hidden="1"/>
    <cellStyle name="Lien hypertexte visité" xfId="16711" builtinId="9" hidden="1"/>
    <cellStyle name="Lien hypertexte visité" xfId="16839" builtinId="9" hidden="1"/>
    <cellStyle name="Lien hypertexte visité" xfId="16967" builtinId="9" hidden="1"/>
    <cellStyle name="Lien hypertexte visité" xfId="17095" builtinId="9" hidden="1"/>
    <cellStyle name="Lien hypertexte visité" xfId="17223" builtinId="9" hidden="1"/>
    <cellStyle name="Lien hypertexte visité" xfId="17351" builtinId="9" hidden="1"/>
    <cellStyle name="Lien hypertexte visité" xfId="17479" builtinId="9" hidden="1"/>
    <cellStyle name="Lien hypertexte visité" xfId="17607" builtinId="9" hidden="1"/>
    <cellStyle name="Lien hypertexte visité" xfId="17735" builtinId="9" hidden="1"/>
    <cellStyle name="Lien hypertexte visité" xfId="17863" builtinId="9" hidden="1"/>
    <cellStyle name="Lien hypertexte visité" xfId="17991" builtinId="9" hidden="1"/>
    <cellStyle name="Lien hypertexte visité" xfId="18119" builtinId="9" hidden="1"/>
    <cellStyle name="Lien hypertexte visité" xfId="18247" builtinId="9" hidden="1"/>
    <cellStyle name="Lien hypertexte visité" xfId="18358" builtinId="9" hidden="1"/>
    <cellStyle name="Lien hypertexte visité" xfId="18486" builtinId="9" hidden="1"/>
    <cellStyle name="Lien hypertexte visité" xfId="18614" builtinId="9" hidden="1"/>
    <cellStyle name="Lien hypertexte visité" xfId="18742" builtinId="9" hidden="1"/>
    <cellStyle name="Lien hypertexte visité" xfId="18870" builtinId="9" hidden="1"/>
    <cellStyle name="Lien hypertexte visité" xfId="18998" builtinId="9" hidden="1"/>
    <cellStyle name="Lien hypertexte visité" xfId="19126" builtinId="9" hidden="1"/>
    <cellStyle name="Lien hypertexte visité" xfId="19254" builtinId="9" hidden="1"/>
    <cellStyle name="Lien hypertexte visité" xfId="19382" builtinId="9" hidden="1"/>
    <cellStyle name="Lien hypertexte visité" xfId="19510" builtinId="9" hidden="1"/>
    <cellStyle name="Lien hypertexte visité" xfId="19638" builtinId="9" hidden="1"/>
    <cellStyle name="Lien hypertexte visité" xfId="19766" builtinId="9" hidden="1"/>
    <cellStyle name="Lien hypertexte visité" xfId="19894" builtinId="9" hidden="1"/>
    <cellStyle name="Lien hypertexte visité" xfId="20022" builtinId="9" hidden="1"/>
    <cellStyle name="Lien hypertexte visité" xfId="20150" builtinId="9" hidden="1"/>
    <cellStyle name="Lien hypertexte visité" xfId="20278" builtinId="9" hidden="1"/>
    <cellStyle name="Lien hypertexte visité" xfId="20406" builtinId="9" hidden="1"/>
    <cellStyle name="Lien hypertexte visité" xfId="20534" builtinId="9" hidden="1"/>
    <cellStyle name="Lien hypertexte visité" xfId="20662" builtinId="9" hidden="1"/>
    <cellStyle name="Lien hypertexte visité" xfId="20790" builtinId="9" hidden="1"/>
    <cellStyle name="Lien hypertexte visité" xfId="20918" builtinId="9" hidden="1"/>
    <cellStyle name="Lien hypertexte visité" xfId="21046" builtinId="9" hidden="1"/>
    <cellStyle name="Lien hypertexte visité" xfId="21174" builtinId="9" hidden="1"/>
    <cellStyle name="Lien hypertexte visité" xfId="21302" builtinId="9" hidden="1"/>
    <cellStyle name="Lien hypertexte visité" xfId="21430" builtinId="9" hidden="1"/>
    <cellStyle name="Lien hypertexte visité" xfId="21558" builtinId="9" hidden="1"/>
    <cellStyle name="Lien hypertexte visité" xfId="21686" builtinId="9" hidden="1"/>
    <cellStyle name="Lien hypertexte visité" xfId="21814" builtinId="9" hidden="1"/>
    <cellStyle name="Lien hypertexte visité" xfId="21942" builtinId="9" hidden="1"/>
    <cellStyle name="Lien hypertexte visité" xfId="22070" builtinId="9" hidden="1"/>
    <cellStyle name="Lien hypertexte visité" xfId="22198" builtinId="9" hidden="1"/>
    <cellStyle name="Lien hypertexte visité" xfId="22326" builtinId="9" hidden="1"/>
    <cellStyle name="Lien hypertexte visité" xfId="22454" builtinId="9" hidden="1"/>
    <cellStyle name="Lien hypertexte visité" xfId="22582" builtinId="9" hidden="1"/>
    <cellStyle name="Lien hypertexte visité" xfId="22710" builtinId="9" hidden="1"/>
    <cellStyle name="Lien hypertexte visité" xfId="22838" builtinId="9" hidden="1"/>
    <cellStyle name="Lien hypertexte visité" xfId="22966" builtinId="9" hidden="1"/>
    <cellStyle name="Lien hypertexte visité" xfId="23094" builtinId="9" hidden="1"/>
    <cellStyle name="Lien hypertexte visité" xfId="23222" builtinId="9" hidden="1"/>
    <cellStyle name="Lien hypertexte visité" xfId="23350" builtinId="9" hidden="1"/>
    <cellStyle name="Lien hypertexte visité" xfId="23478" builtinId="9" hidden="1"/>
    <cellStyle name="Lien hypertexte visité" xfId="23606" builtinId="9" hidden="1"/>
    <cellStyle name="Lien hypertexte visité" xfId="23734" builtinId="9" hidden="1"/>
    <cellStyle name="Lien hypertexte visité" xfId="23862" builtinId="9" hidden="1"/>
    <cellStyle name="Lien hypertexte visité" xfId="23990" builtinId="9" hidden="1"/>
    <cellStyle name="Lien hypertexte visité" xfId="24118" builtinId="9" hidden="1"/>
    <cellStyle name="Lien hypertexte visité" xfId="24246" builtinId="9" hidden="1"/>
    <cellStyle name="Lien hypertexte visité" xfId="24374" builtinId="9" hidden="1"/>
    <cellStyle name="Lien hypertexte visité" xfId="24502" builtinId="9" hidden="1"/>
    <cellStyle name="Lien hypertexte visité" xfId="24596" builtinId="9" hidden="1"/>
    <cellStyle name="Lien hypertexte visité" xfId="24468" builtinId="9" hidden="1"/>
    <cellStyle name="Lien hypertexte visité" xfId="24340" builtinId="9" hidden="1"/>
    <cellStyle name="Lien hypertexte visité" xfId="24212" builtinId="9" hidden="1"/>
    <cellStyle name="Lien hypertexte visité" xfId="24084" builtinId="9" hidden="1"/>
    <cellStyle name="Lien hypertexte visité" xfId="23956" builtinId="9" hidden="1"/>
    <cellStyle name="Lien hypertexte visité" xfId="23828" builtinId="9" hidden="1"/>
    <cellStyle name="Lien hypertexte visité" xfId="23700" builtinId="9" hidden="1"/>
    <cellStyle name="Lien hypertexte visité" xfId="23572" builtinId="9" hidden="1"/>
    <cellStyle name="Lien hypertexte visité" xfId="23444" builtinId="9" hidden="1"/>
    <cellStyle name="Lien hypertexte visité" xfId="23316" builtinId="9" hidden="1"/>
    <cellStyle name="Lien hypertexte visité" xfId="23188" builtinId="9" hidden="1"/>
    <cellStyle name="Lien hypertexte visité" xfId="23060" builtinId="9" hidden="1"/>
    <cellStyle name="Lien hypertexte visité" xfId="22932" builtinId="9" hidden="1"/>
    <cellStyle name="Lien hypertexte visité" xfId="22804" builtinId="9" hidden="1"/>
    <cellStyle name="Lien hypertexte visité" xfId="22676" builtinId="9" hidden="1"/>
    <cellStyle name="Lien hypertexte visité" xfId="22548" builtinId="9" hidden="1"/>
    <cellStyle name="Lien hypertexte visité" xfId="22420" builtinId="9" hidden="1"/>
    <cellStyle name="Lien hypertexte visité" xfId="22292" builtinId="9" hidden="1"/>
    <cellStyle name="Lien hypertexte visité" xfId="22164" builtinId="9" hidden="1"/>
    <cellStyle name="Lien hypertexte visité" xfId="22036" builtinId="9" hidden="1"/>
    <cellStyle name="Lien hypertexte visité" xfId="21908" builtinId="9" hidden="1"/>
    <cellStyle name="Lien hypertexte visité" xfId="21780" builtinId="9" hidden="1"/>
    <cellStyle name="Lien hypertexte visité" xfId="21652" builtinId="9" hidden="1"/>
    <cellStyle name="Lien hypertexte visité" xfId="21524" builtinId="9" hidden="1"/>
    <cellStyle name="Lien hypertexte visité" xfId="21396" builtinId="9" hidden="1"/>
    <cellStyle name="Lien hypertexte visité" xfId="21268" builtinId="9" hidden="1"/>
    <cellStyle name="Lien hypertexte visité" xfId="21140" builtinId="9" hidden="1"/>
    <cellStyle name="Lien hypertexte visité" xfId="21012" builtinId="9" hidden="1"/>
    <cellStyle name="Lien hypertexte visité" xfId="20884" builtinId="9" hidden="1"/>
    <cellStyle name="Lien hypertexte visité" xfId="20756" builtinId="9" hidden="1"/>
    <cellStyle name="Lien hypertexte visité" xfId="20628" builtinId="9" hidden="1"/>
    <cellStyle name="Lien hypertexte visité" xfId="20500" builtinId="9" hidden="1"/>
    <cellStyle name="Lien hypertexte visité" xfId="20372" builtinId="9" hidden="1"/>
    <cellStyle name="Lien hypertexte visité" xfId="20244" builtinId="9" hidden="1"/>
    <cellStyle name="Lien hypertexte visité" xfId="20116" builtinId="9" hidden="1"/>
    <cellStyle name="Lien hypertexte visité" xfId="19988" builtinId="9" hidden="1"/>
    <cellStyle name="Lien hypertexte visité" xfId="19860" builtinId="9" hidden="1"/>
    <cellStyle name="Lien hypertexte visité" xfId="19732" builtinId="9" hidden="1"/>
    <cellStyle name="Lien hypertexte visité" xfId="19604" builtinId="9" hidden="1"/>
    <cellStyle name="Lien hypertexte visité" xfId="19476" builtinId="9" hidden="1"/>
    <cellStyle name="Lien hypertexte visité" xfId="19348" builtinId="9" hidden="1"/>
    <cellStyle name="Lien hypertexte visité" xfId="19220" builtinId="9" hidden="1"/>
    <cellStyle name="Lien hypertexte visité" xfId="19092" builtinId="9" hidden="1"/>
    <cellStyle name="Lien hypertexte visité" xfId="18964" builtinId="9" hidden="1"/>
    <cellStyle name="Lien hypertexte visité" xfId="18836" builtinId="9" hidden="1"/>
    <cellStyle name="Lien hypertexte visité" xfId="18708" builtinId="9" hidden="1"/>
    <cellStyle name="Lien hypertexte visité" xfId="18580" builtinId="9" hidden="1"/>
    <cellStyle name="Lien hypertexte visité" xfId="18452" builtinId="9" hidden="1"/>
    <cellStyle name="Lien hypertexte visité" xfId="18325" builtinId="9" hidden="1"/>
    <cellStyle name="Lien hypertexte visité" xfId="18213" builtinId="9" hidden="1"/>
    <cellStyle name="Lien hypertexte visité" xfId="18085" builtinId="9" hidden="1"/>
    <cellStyle name="Lien hypertexte visité" xfId="17957" builtinId="9" hidden="1"/>
    <cellStyle name="Lien hypertexte visité" xfId="17829" builtinId="9" hidden="1"/>
    <cellStyle name="Lien hypertexte visité" xfId="17701" builtinId="9" hidden="1"/>
    <cellStyle name="Lien hypertexte visité" xfId="17573" builtinId="9" hidden="1"/>
    <cellStyle name="Lien hypertexte visité" xfId="17445" builtinId="9" hidden="1"/>
    <cellStyle name="Lien hypertexte visité" xfId="17317" builtinId="9" hidden="1"/>
    <cellStyle name="Lien hypertexte visité" xfId="17189" builtinId="9" hidden="1"/>
    <cellStyle name="Lien hypertexte visité" xfId="17061" builtinId="9" hidden="1"/>
    <cellStyle name="Lien hypertexte visité" xfId="16933" builtinId="9" hidden="1"/>
    <cellStyle name="Lien hypertexte visité" xfId="16805" builtinId="9" hidden="1"/>
    <cellStyle name="Lien hypertexte visité" xfId="16677" builtinId="9" hidden="1"/>
    <cellStyle name="Lien hypertexte visité" xfId="16549" builtinId="9" hidden="1"/>
    <cellStyle name="Lien hypertexte visité" xfId="16421" builtinId="9" hidden="1"/>
    <cellStyle name="Lien hypertexte visité" xfId="16293" builtinId="9" hidden="1"/>
    <cellStyle name="Lien hypertexte visité" xfId="16165" builtinId="9" hidden="1"/>
    <cellStyle name="Lien hypertexte visité" xfId="16037" builtinId="9" hidden="1"/>
    <cellStyle name="Lien hypertexte visité" xfId="15909" builtinId="9" hidden="1"/>
    <cellStyle name="Lien hypertexte visité" xfId="15781" builtinId="9" hidden="1"/>
    <cellStyle name="Lien hypertexte visité" xfId="15653" builtinId="9" hidden="1"/>
    <cellStyle name="Lien hypertexte visité" xfId="15525" builtinId="9" hidden="1"/>
    <cellStyle name="Lien hypertexte visité" xfId="15397" builtinId="9" hidden="1"/>
    <cellStyle name="Lien hypertexte visité" xfId="15269" builtinId="9" hidden="1"/>
    <cellStyle name="Lien hypertexte visité" xfId="15141" builtinId="9" hidden="1"/>
    <cellStyle name="Lien hypertexte visité" xfId="15013" builtinId="9" hidden="1"/>
    <cellStyle name="Lien hypertexte visité" xfId="14885" builtinId="9" hidden="1"/>
    <cellStyle name="Lien hypertexte visité" xfId="14757" builtinId="9" hidden="1"/>
    <cellStyle name="Lien hypertexte visité" xfId="14629" builtinId="9" hidden="1"/>
    <cellStyle name="Lien hypertexte visité" xfId="14508" builtinId="9" hidden="1"/>
    <cellStyle name="Lien hypertexte visité" xfId="14444" builtinId="9" hidden="1"/>
    <cellStyle name="Lien hypertexte visité" xfId="14380" builtinId="9" hidden="1"/>
    <cellStyle name="Lien hypertexte visité" xfId="14316" builtinId="9" hidden="1"/>
    <cellStyle name="Lien hypertexte visité" xfId="14252" builtinId="9" hidden="1"/>
    <cellStyle name="Lien hypertexte visité" xfId="14188" builtinId="9" hidden="1"/>
    <cellStyle name="Lien hypertexte visité" xfId="14124" builtinId="9" hidden="1"/>
    <cellStyle name="Lien hypertexte visité" xfId="14060" builtinId="9" hidden="1"/>
    <cellStyle name="Lien hypertexte visité" xfId="13996" builtinId="9" hidden="1"/>
    <cellStyle name="Lien hypertexte visité" xfId="13932" builtinId="9" hidden="1"/>
    <cellStyle name="Lien hypertexte visité" xfId="13868" builtinId="9" hidden="1"/>
    <cellStyle name="Lien hypertexte visité" xfId="13804" builtinId="9" hidden="1"/>
    <cellStyle name="Lien hypertexte visité" xfId="13740" builtinId="9" hidden="1"/>
    <cellStyle name="Lien hypertexte visité" xfId="13676" builtinId="9" hidden="1"/>
    <cellStyle name="Lien hypertexte visité" xfId="13612" builtinId="9" hidden="1"/>
    <cellStyle name="Lien hypertexte visité" xfId="13548" builtinId="9" hidden="1"/>
    <cellStyle name="Lien hypertexte visité" xfId="13484" builtinId="9" hidden="1"/>
    <cellStyle name="Lien hypertexte visité" xfId="13420" builtinId="9" hidden="1"/>
    <cellStyle name="Lien hypertexte visité" xfId="13356" builtinId="9" hidden="1"/>
    <cellStyle name="Lien hypertexte visité" xfId="13292" builtinId="9" hidden="1"/>
    <cellStyle name="Lien hypertexte visité" xfId="13228" builtinId="9" hidden="1"/>
    <cellStyle name="Lien hypertexte visité" xfId="13164" builtinId="9" hidden="1"/>
    <cellStyle name="Lien hypertexte visité" xfId="13100" builtinId="9" hidden="1"/>
    <cellStyle name="Lien hypertexte visité" xfId="13036" builtinId="9" hidden="1"/>
    <cellStyle name="Lien hypertexte visité" xfId="12972" builtinId="9" hidden="1"/>
    <cellStyle name="Lien hypertexte visité" xfId="12908" builtinId="9" hidden="1"/>
    <cellStyle name="Lien hypertexte visité" xfId="12844" builtinId="9" hidden="1"/>
    <cellStyle name="Lien hypertexte visité" xfId="12780" builtinId="9" hidden="1"/>
    <cellStyle name="Lien hypertexte visité" xfId="12716" builtinId="9" hidden="1"/>
    <cellStyle name="Lien hypertexte visité" xfId="12652" builtinId="9" hidden="1"/>
    <cellStyle name="Lien hypertexte visité" xfId="12588" builtinId="9" hidden="1"/>
    <cellStyle name="Lien hypertexte visité" xfId="12524" builtinId="9" hidden="1"/>
    <cellStyle name="Lien hypertexte visité" xfId="12460" builtinId="9" hidden="1"/>
    <cellStyle name="Lien hypertexte visité" xfId="12396" builtinId="9" hidden="1"/>
    <cellStyle name="Lien hypertexte visité" xfId="12332" builtinId="9" hidden="1"/>
    <cellStyle name="Lien hypertexte visité" xfId="12268" builtinId="9" hidden="1"/>
    <cellStyle name="Lien hypertexte visité" xfId="12204" builtinId="9" hidden="1"/>
    <cellStyle name="Lien hypertexte visité" xfId="12140" builtinId="9" hidden="1"/>
    <cellStyle name="Lien hypertexte visité" xfId="12076" builtinId="9" hidden="1"/>
    <cellStyle name="Lien hypertexte visité" xfId="12012" builtinId="9" hidden="1"/>
    <cellStyle name="Lien hypertexte visité" xfId="11948" builtinId="9" hidden="1"/>
    <cellStyle name="Lien hypertexte visité" xfId="11884" builtinId="9" hidden="1"/>
    <cellStyle name="Lien hypertexte visité" xfId="11820" builtinId="9" hidden="1"/>
    <cellStyle name="Lien hypertexte visité" xfId="11756" builtinId="9" hidden="1"/>
    <cellStyle name="Lien hypertexte visité" xfId="11692" builtinId="9" hidden="1"/>
    <cellStyle name="Lien hypertexte visité" xfId="11628" builtinId="9" hidden="1"/>
    <cellStyle name="Lien hypertexte visité" xfId="11564" builtinId="9" hidden="1"/>
    <cellStyle name="Lien hypertexte visité" xfId="11500" builtinId="9" hidden="1"/>
    <cellStyle name="Lien hypertexte visité" xfId="11436" builtinId="9" hidden="1"/>
    <cellStyle name="Lien hypertexte visité" xfId="11372" builtinId="9" hidden="1"/>
    <cellStyle name="Lien hypertexte visité" xfId="11308" builtinId="9" hidden="1"/>
    <cellStyle name="Lien hypertexte visité" xfId="11244" builtinId="9" hidden="1"/>
    <cellStyle name="Lien hypertexte visité" xfId="11180" builtinId="9" hidden="1"/>
    <cellStyle name="Lien hypertexte visité" xfId="11116" builtinId="9" hidden="1"/>
    <cellStyle name="Lien hypertexte visité" xfId="11052" builtinId="9" hidden="1"/>
    <cellStyle name="Lien hypertexte visité" xfId="10988" builtinId="9" hidden="1"/>
    <cellStyle name="Lien hypertexte visité" xfId="10924" builtinId="9" hidden="1"/>
    <cellStyle name="Lien hypertexte visité" xfId="10860" builtinId="9" hidden="1"/>
    <cellStyle name="Lien hypertexte visité" xfId="10796" builtinId="9" hidden="1"/>
    <cellStyle name="Lien hypertexte visité" xfId="10732" builtinId="9" hidden="1"/>
    <cellStyle name="Lien hypertexte visité" xfId="10668" builtinId="9" hidden="1"/>
    <cellStyle name="Lien hypertexte visité" xfId="10604" builtinId="9" hidden="1"/>
    <cellStyle name="Lien hypertexte visité" xfId="10540" builtinId="9" hidden="1"/>
    <cellStyle name="Lien hypertexte visité" xfId="10476" builtinId="9" hidden="1"/>
    <cellStyle name="Lien hypertexte visité" xfId="10412" builtinId="9" hidden="1"/>
    <cellStyle name="Lien hypertexte visité" xfId="10348" builtinId="9" hidden="1"/>
    <cellStyle name="Lien hypertexte visité" xfId="10284" builtinId="9" hidden="1"/>
    <cellStyle name="Lien hypertexte visité" xfId="10220" builtinId="9" hidden="1"/>
    <cellStyle name="Lien hypertexte visité" xfId="10156" builtinId="9" hidden="1"/>
    <cellStyle name="Lien hypertexte visité" xfId="10092" builtinId="9" hidden="1"/>
    <cellStyle name="Lien hypertexte visité" xfId="10028" builtinId="9" hidden="1"/>
    <cellStyle name="Lien hypertexte visité" xfId="9964" builtinId="9" hidden="1"/>
    <cellStyle name="Lien hypertexte visité" xfId="9900" builtinId="9" hidden="1"/>
    <cellStyle name="Lien hypertexte visité" xfId="9836" builtinId="9" hidden="1"/>
    <cellStyle name="Lien hypertexte visité" xfId="9772" builtinId="9" hidden="1"/>
    <cellStyle name="Lien hypertexte visité" xfId="9708" builtinId="9" hidden="1"/>
    <cellStyle name="Lien hypertexte visité" xfId="9644" builtinId="9" hidden="1"/>
    <cellStyle name="Lien hypertexte visité" xfId="9580" builtinId="9" hidden="1"/>
    <cellStyle name="Lien hypertexte visité" xfId="9516" builtinId="9" hidden="1"/>
    <cellStyle name="Lien hypertexte visité" xfId="9452" builtinId="9" hidden="1"/>
    <cellStyle name="Lien hypertexte visité" xfId="9388" builtinId="9" hidden="1"/>
    <cellStyle name="Lien hypertexte visité" xfId="9324" builtinId="9" hidden="1"/>
    <cellStyle name="Lien hypertexte visité" xfId="9260" builtinId="9" hidden="1"/>
    <cellStyle name="Lien hypertexte visité" xfId="9196" builtinId="9" hidden="1"/>
    <cellStyle name="Lien hypertexte visité" xfId="9132" builtinId="9" hidden="1"/>
    <cellStyle name="Lien hypertexte visité" xfId="9068" builtinId="9" hidden="1"/>
    <cellStyle name="Lien hypertexte visité" xfId="9004" builtinId="9" hidden="1"/>
    <cellStyle name="Lien hypertexte visité" xfId="8940" builtinId="9" hidden="1"/>
    <cellStyle name="Lien hypertexte visité" xfId="8876" builtinId="9" hidden="1"/>
    <cellStyle name="Lien hypertexte visité" xfId="8812" builtinId="9" hidden="1"/>
    <cellStyle name="Lien hypertexte visité" xfId="8748" builtinId="9" hidden="1"/>
    <cellStyle name="Lien hypertexte visité" xfId="8684" builtinId="9" hidden="1"/>
    <cellStyle name="Lien hypertexte visité" xfId="8620" builtinId="9" hidden="1"/>
    <cellStyle name="Lien hypertexte visité" xfId="8556" builtinId="9" hidden="1"/>
    <cellStyle name="Lien hypertexte visité" xfId="8492" builtinId="9" hidden="1"/>
    <cellStyle name="Lien hypertexte visité" xfId="8428" builtinId="9" hidden="1"/>
    <cellStyle name="Lien hypertexte visité" xfId="8364" builtinId="9" hidden="1"/>
    <cellStyle name="Lien hypertexte visité" xfId="8300" builtinId="9" hidden="1"/>
    <cellStyle name="Lien hypertexte visité" xfId="8236" builtinId="9" hidden="1"/>
    <cellStyle name="Lien hypertexte visité" xfId="8172" builtinId="9" hidden="1"/>
    <cellStyle name="Lien hypertexte visité" xfId="8108" builtinId="9" hidden="1"/>
    <cellStyle name="Lien hypertexte visité" xfId="8044" builtinId="9" hidden="1"/>
    <cellStyle name="Lien hypertexte visité" xfId="7980" builtinId="9" hidden="1"/>
    <cellStyle name="Lien hypertexte visité" xfId="7916" builtinId="9" hidden="1"/>
    <cellStyle name="Lien hypertexte visité" xfId="7852" builtinId="9" hidden="1"/>
    <cellStyle name="Lien hypertexte visité" xfId="7787" builtinId="9" hidden="1"/>
    <cellStyle name="Lien hypertexte visité" xfId="7723" builtinId="9" hidden="1"/>
    <cellStyle name="Lien hypertexte visité" xfId="7659" builtinId="9" hidden="1"/>
    <cellStyle name="Lien hypertexte visité" xfId="7595" builtinId="9" hidden="1"/>
    <cellStyle name="Lien hypertexte visité" xfId="7531" builtinId="9" hidden="1"/>
    <cellStyle name="Lien hypertexte visité" xfId="7467" builtinId="9" hidden="1"/>
    <cellStyle name="Lien hypertexte visité" xfId="7403" builtinId="9" hidden="1"/>
    <cellStyle name="Lien hypertexte visité" xfId="7339" builtinId="9" hidden="1"/>
    <cellStyle name="Lien hypertexte visité" xfId="7275" builtinId="9" hidden="1"/>
    <cellStyle name="Lien hypertexte visité" xfId="7211" builtinId="9" hidden="1"/>
    <cellStyle name="Lien hypertexte visité" xfId="7147" builtinId="9" hidden="1"/>
    <cellStyle name="Lien hypertexte visité" xfId="7083" builtinId="9" hidden="1"/>
    <cellStyle name="Lien hypertexte visité" xfId="7019" builtinId="9" hidden="1"/>
    <cellStyle name="Lien hypertexte visité" xfId="6955" builtinId="9" hidden="1"/>
    <cellStyle name="Lien hypertexte visité" xfId="6891" builtinId="9" hidden="1"/>
    <cellStyle name="Lien hypertexte visité" xfId="6827" builtinId="9" hidden="1"/>
    <cellStyle name="Lien hypertexte visité" xfId="6763" builtinId="9" hidden="1"/>
    <cellStyle name="Lien hypertexte visité" xfId="6699" builtinId="9" hidden="1"/>
    <cellStyle name="Lien hypertexte visité" xfId="6635" builtinId="9" hidden="1"/>
    <cellStyle name="Lien hypertexte visité" xfId="6571" builtinId="9" hidden="1"/>
    <cellStyle name="Lien hypertexte visité" xfId="6507" builtinId="9" hidden="1"/>
    <cellStyle name="Lien hypertexte visité" xfId="6443" builtinId="9" hidden="1"/>
    <cellStyle name="Lien hypertexte visité" xfId="6379" builtinId="9" hidden="1"/>
    <cellStyle name="Lien hypertexte visité" xfId="6315" builtinId="9" hidden="1"/>
    <cellStyle name="Lien hypertexte visité" xfId="6251" builtinId="9" hidden="1"/>
    <cellStyle name="Lien hypertexte visité" xfId="6187" builtinId="9" hidden="1"/>
    <cellStyle name="Lien hypertexte visité" xfId="6123" builtinId="9" hidden="1"/>
    <cellStyle name="Lien hypertexte visité" xfId="6059" builtinId="9" hidden="1"/>
    <cellStyle name="Lien hypertexte visité" xfId="5995" builtinId="9" hidden="1"/>
    <cellStyle name="Lien hypertexte visité" xfId="5931" builtinId="9" hidden="1"/>
    <cellStyle name="Lien hypertexte visité" xfId="5867" builtinId="9" hidden="1"/>
    <cellStyle name="Lien hypertexte visité" xfId="5803" builtinId="9" hidden="1"/>
    <cellStyle name="Lien hypertexte visité" xfId="5739" builtinId="9" hidden="1"/>
    <cellStyle name="Lien hypertexte visité" xfId="5675" builtinId="9" hidden="1"/>
    <cellStyle name="Lien hypertexte visité" xfId="5611" builtinId="9" hidden="1"/>
    <cellStyle name="Lien hypertexte visité" xfId="5547" builtinId="9" hidden="1"/>
    <cellStyle name="Lien hypertexte visité" xfId="5483" builtinId="9" hidden="1"/>
    <cellStyle name="Lien hypertexte visité" xfId="5419" builtinId="9" hidden="1"/>
    <cellStyle name="Lien hypertexte visité" xfId="5355" builtinId="9" hidden="1"/>
    <cellStyle name="Lien hypertexte visité" xfId="5291" builtinId="9" hidden="1"/>
    <cellStyle name="Lien hypertexte visité" xfId="5227" builtinId="9" hidden="1"/>
    <cellStyle name="Lien hypertexte visité" xfId="5163" builtinId="9" hidden="1"/>
    <cellStyle name="Lien hypertexte visité" xfId="5099" builtinId="9" hidden="1"/>
    <cellStyle name="Lien hypertexte visité" xfId="5035" builtinId="9" hidden="1"/>
    <cellStyle name="Lien hypertexte visité" xfId="4971" builtinId="9" hidden="1"/>
    <cellStyle name="Lien hypertexte visité" xfId="4907" builtinId="9" hidden="1"/>
    <cellStyle name="Lien hypertexte visité" xfId="4843" builtinId="9" hidden="1"/>
    <cellStyle name="Lien hypertexte visité" xfId="4779" builtinId="9" hidden="1"/>
    <cellStyle name="Lien hypertexte visité" xfId="4715" builtinId="9" hidden="1"/>
    <cellStyle name="Lien hypertexte visité" xfId="4651" builtinId="9" hidden="1"/>
    <cellStyle name="Lien hypertexte visité" xfId="4587" builtinId="9" hidden="1"/>
    <cellStyle name="Lien hypertexte visité" xfId="4523" builtinId="9" hidden="1"/>
    <cellStyle name="Lien hypertexte visité" xfId="4459" builtinId="9" hidden="1"/>
    <cellStyle name="Lien hypertexte visité" xfId="4395" builtinId="9" hidden="1"/>
    <cellStyle name="Lien hypertexte visité" xfId="4331" builtinId="9" hidden="1"/>
    <cellStyle name="Lien hypertexte visité" xfId="4267" builtinId="9" hidden="1"/>
    <cellStyle name="Lien hypertexte visité" xfId="4203" builtinId="9" hidden="1"/>
    <cellStyle name="Lien hypertexte visité" xfId="4139" builtinId="9" hidden="1"/>
    <cellStyle name="Lien hypertexte visité" xfId="4075" builtinId="9" hidden="1"/>
    <cellStyle name="Lien hypertexte visité" xfId="4011" builtinId="9" hidden="1"/>
    <cellStyle name="Lien hypertexte visité" xfId="3947" builtinId="9" hidden="1"/>
    <cellStyle name="Lien hypertexte visité" xfId="3887" builtinId="9" hidden="1"/>
    <cellStyle name="Lien hypertexte visité" xfId="3822" builtinId="9" hidden="1"/>
    <cellStyle name="Lien hypertexte visité" xfId="3758" builtinId="9" hidden="1"/>
    <cellStyle name="Lien hypertexte visité" xfId="3693" builtinId="9" hidden="1"/>
    <cellStyle name="Lien hypertexte visité" xfId="3622" builtinId="9" hidden="1"/>
    <cellStyle name="Lien hypertexte visité" xfId="3558" builtinId="9" hidden="1"/>
    <cellStyle name="Lien hypertexte visité" xfId="3493" builtinId="9" hidden="1"/>
    <cellStyle name="Lien hypertexte visité" xfId="3429" builtinId="9" hidden="1"/>
    <cellStyle name="Lien hypertexte visité" xfId="3365" builtinId="9" hidden="1"/>
    <cellStyle name="Lien hypertexte visité" xfId="3301" builtinId="9" hidden="1"/>
    <cellStyle name="Lien hypertexte visité" xfId="3237" builtinId="9" hidden="1"/>
    <cellStyle name="Lien hypertexte visité" xfId="3173" builtinId="9" hidden="1"/>
    <cellStyle name="Lien hypertexte visité" xfId="3109" builtinId="9" hidden="1"/>
    <cellStyle name="Lien hypertexte visité" xfId="3045" builtinId="9" hidden="1"/>
    <cellStyle name="Lien hypertexte visité" xfId="2981" builtinId="9" hidden="1"/>
    <cellStyle name="Lien hypertexte visité" xfId="2917" builtinId="9" hidden="1"/>
    <cellStyle name="Lien hypertexte visité" xfId="2853" builtinId="9" hidden="1"/>
    <cellStyle name="Lien hypertexte visité" xfId="2789" builtinId="9" hidden="1"/>
    <cellStyle name="Lien hypertexte visité" xfId="2725" builtinId="9" hidden="1"/>
    <cellStyle name="Lien hypertexte visité" xfId="2661" builtinId="9" hidden="1"/>
    <cellStyle name="Lien hypertexte visité" xfId="2597" builtinId="9" hidden="1"/>
    <cellStyle name="Lien hypertexte visité" xfId="2533" builtinId="9" hidden="1"/>
    <cellStyle name="Lien hypertexte visité" xfId="2469" builtinId="9" hidden="1"/>
    <cellStyle name="Lien hypertexte visité" xfId="2405" builtinId="9" hidden="1"/>
    <cellStyle name="Lien hypertexte visité" xfId="2341" builtinId="9" hidden="1"/>
    <cellStyle name="Lien hypertexte visité" xfId="2277" builtinId="9" hidden="1"/>
    <cellStyle name="Lien hypertexte visité" xfId="2213" builtinId="9" hidden="1"/>
    <cellStyle name="Lien hypertexte visité" xfId="2150" builtinId="9" hidden="1"/>
    <cellStyle name="Lien hypertexte visité" xfId="2085" builtinId="9" hidden="1"/>
    <cellStyle name="Lien hypertexte visité" xfId="2021" builtinId="9" hidden="1"/>
    <cellStyle name="Lien hypertexte visité" xfId="1957" builtinId="9" hidden="1"/>
    <cellStyle name="Lien hypertexte visité" xfId="1893" builtinId="9" hidden="1"/>
    <cellStyle name="Lien hypertexte visité" xfId="1829" builtinId="9" hidden="1"/>
    <cellStyle name="Lien hypertexte visité" xfId="1765" builtinId="9" hidden="1"/>
    <cellStyle name="Lien hypertexte visité" xfId="1701" builtinId="9" hidden="1"/>
    <cellStyle name="Lien hypertexte visité" xfId="1637" builtinId="9" hidden="1"/>
    <cellStyle name="Lien hypertexte visité" xfId="1573" builtinId="9" hidden="1"/>
    <cellStyle name="Lien hypertexte visité" xfId="1509" builtinId="9" hidden="1"/>
    <cellStyle name="Lien hypertexte visité" xfId="1444" builtinId="9" hidden="1"/>
    <cellStyle name="Lien hypertexte visité" xfId="1380" builtinId="9" hidden="1"/>
    <cellStyle name="Lien hypertexte visité" xfId="1316" builtinId="9" hidden="1"/>
    <cellStyle name="Lien hypertexte visité" xfId="1252" builtinId="9" hidden="1"/>
    <cellStyle name="Lien hypertexte visité" xfId="1188" builtinId="9" hidden="1"/>
    <cellStyle name="Lien hypertexte visité" xfId="1085" builtinId="9" hidden="1"/>
    <cellStyle name="Lien hypertexte visité" xfId="957" builtinId="9" hidden="1"/>
    <cellStyle name="Lien hypertexte visité" xfId="829" builtinId="9" hidden="1"/>
    <cellStyle name="Lien hypertexte visité" xfId="701" builtinId="9" hidden="1"/>
    <cellStyle name="Lien hypertexte visité" xfId="573" builtinId="9" hidden="1"/>
    <cellStyle name="Lien hypertexte visité" xfId="445" builtinId="9" hidden="1"/>
    <cellStyle name="Lien hypertexte visité" xfId="317" builtinId="9" hidden="1"/>
    <cellStyle name="Lien hypertexte visité" xfId="193" builtinId="9" hidden="1"/>
    <cellStyle name="Lien hypertexte visité" xfId="133" builtinId="9" hidden="1"/>
    <cellStyle name="Lien hypertexte visité" xfId="149" builtinId="9" hidden="1"/>
    <cellStyle name="Lien hypertexte visité" xfId="209" builtinId="9" hidden="1"/>
    <cellStyle name="Lien hypertexte visité" xfId="293" builtinId="9" hidden="1"/>
    <cellStyle name="Lien hypertexte visité" xfId="421" builtinId="9" hidden="1"/>
    <cellStyle name="Lien hypertexte visité" xfId="549" builtinId="9" hidden="1"/>
    <cellStyle name="Lien hypertexte visité" xfId="677" builtinId="9" hidden="1"/>
    <cellStyle name="Lien hypertexte visité" xfId="805" builtinId="9" hidden="1"/>
    <cellStyle name="Lien hypertexte visité" xfId="933" builtinId="9" hidden="1"/>
    <cellStyle name="Lien hypertexte visité" xfId="1061" builtinId="9" hidden="1"/>
    <cellStyle name="Lien hypertexte visité" xfId="1176" builtinId="9" hidden="1"/>
    <cellStyle name="Lien hypertexte visité" xfId="1240" builtinId="9" hidden="1"/>
    <cellStyle name="Lien hypertexte visité" xfId="1304" builtinId="9" hidden="1"/>
    <cellStyle name="Lien hypertexte visité" xfId="1368" builtinId="9" hidden="1"/>
    <cellStyle name="Lien hypertexte visité" xfId="1432" builtinId="9" hidden="1"/>
    <cellStyle name="Lien hypertexte visité" xfId="1497" builtinId="9" hidden="1"/>
    <cellStyle name="Lien hypertexte visité" xfId="1561" builtinId="9" hidden="1"/>
    <cellStyle name="Lien hypertexte visité" xfId="1625" builtinId="9" hidden="1"/>
    <cellStyle name="Lien hypertexte visité" xfId="1689" builtinId="9" hidden="1"/>
    <cellStyle name="Lien hypertexte visité" xfId="1753" builtinId="9" hidden="1"/>
    <cellStyle name="Lien hypertexte visité" xfId="1817" builtinId="9" hidden="1"/>
    <cellStyle name="Lien hypertexte visité" xfId="1881" builtinId="9" hidden="1"/>
    <cellStyle name="Lien hypertexte visité" xfId="1945" builtinId="9" hidden="1"/>
    <cellStyle name="Lien hypertexte visité" xfId="2009" builtinId="9" hidden="1"/>
    <cellStyle name="Lien hypertexte visité" xfId="2073" builtinId="9" hidden="1"/>
    <cellStyle name="Lien hypertexte visité" xfId="2137" builtinId="9" hidden="1"/>
    <cellStyle name="Lien hypertexte visité" xfId="2202" builtinId="9" hidden="1"/>
    <cellStyle name="Lien hypertexte visité" xfId="2265" builtinId="9" hidden="1"/>
    <cellStyle name="Lien hypertexte visité" xfId="2329" builtinId="9" hidden="1"/>
    <cellStyle name="Lien hypertexte visité" xfId="2393" builtinId="9" hidden="1"/>
    <cellStyle name="Lien hypertexte visité" xfId="2457" builtinId="9" hidden="1"/>
    <cellStyle name="Lien hypertexte visité" xfId="2521" builtinId="9" hidden="1"/>
    <cellStyle name="Lien hypertexte visité" xfId="2585" builtinId="9" hidden="1"/>
    <cellStyle name="Lien hypertexte visité" xfId="2649" builtinId="9" hidden="1"/>
    <cellStyle name="Lien hypertexte visité" xfId="2713" builtinId="9" hidden="1"/>
    <cellStyle name="Lien hypertexte visité" xfId="2777" builtinId="9" hidden="1"/>
    <cellStyle name="Lien hypertexte visité" xfId="2841" builtinId="9" hidden="1"/>
    <cellStyle name="Lien hypertexte visité" xfId="2905" builtinId="9" hidden="1"/>
    <cellStyle name="Lien hypertexte visité" xfId="2969" builtinId="9" hidden="1"/>
    <cellStyle name="Lien hypertexte visité" xfId="3033" builtinId="9" hidden="1"/>
    <cellStyle name="Lien hypertexte visité" xfId="3097" builtinId="9" hidden="1"/>
    <cellStyle name="Lien hypertexte visité" xfId="3161" builtinId="9" hidden="1"/>
    <cellStyle name="Lien hypertexte visité" xfId="3225" builtinId="9" hidden="1"/>
    <cellStyle name="Lien hypertexte visité" xfId="3289" builtinId="9" hidden="1"/>
    <cellStyle name="Lien hypertexte visité" xfId="3353" builtinId="9" hidden="1"/>
    <cellStyle name="Lien hypertexte visité" xfId="3417" builtinId="9" hidden="1"/>
    <cellStyle name="Lien hypertexte visité" xfId="3481" builtinId="9" hidden="1"/>
    <cellStyle name="Lien hypertexte visité" xfId="3545" builtinId="9" hidden="1"/>
    <cellStyle name="Lien hypertexte visité" xfId="3610" builtinId="9" hidden="1"/>
    <cellStyle name="Lien hypertexte visité" xfId="3681" builtinId="9" hidden="1"/>
    <cellStyle name="Lien hypertexte visité" xfId="3746" builtinId="9" hidden="1"/>
    <cellStyle name="Lien hypertexte visité" xfId="3810" builtinId="9" hidden="1"/>
    <cellStyle name="Lien hypertexte visité" xfId="3874" builtinId="9" hidden="1"/>
    <cellStyle name="Lien hypertexte visité" xfId="3935" builtinId="9" hidden="1"/>
    <cellStyle name="Lien hypertexte visité" xfId="3999" builtinId="9" hidden="1"/>
    <cellStyle name="Lien hypertexte visité" xfId="4063" builtinId="9" hidden="1"/>
    <cellStyle name="Lien hypertexte visité" xfId="4127" builtinId="9" hidden="1"/>
    <cellStyle name="Lien hypertexte visité" xfId="4191" builtinId="9" hidden="1"/>
    <cellStyle name="Lien hypertexte visité" xfId="4255" builtinId="9" hidden="1"/>
    <cellStyle name="Lien hypertexte visité" xfId="4319" builtinId="9" hidden="1"/>
    <cellStyle name="Lien hypertexte visité" xfId="4383" builtinId="9" hidden="1"/>
    <cellStyle name="Lien hypertexte visité" xfId="4447" builtinId="9" hidden="1"/>
    <cellStyle name="Lien hypertexte visité" xfId="4511" builtinId="9" hidden="1"/>
    <cellStyle name="Lien hypertexte visité" xfId="4575" builtinId="9" hidden="1"/>
    <cellStyle name="Lien hypertexte visité" xfId="4639" builtinId="9" hidden="1"/>
    <cellStyle name="Lien hypertexte visité" xfId="4703" builtinId="9" hidden="1"/>
    <cellStyle name="Lien hypertexte visité" xfId="4767" builtinId="9" hidden="1"/>
    <cellStyle name="Lien hypertexte visité" xfId="4831" builtinId="9" hidden="1"/>
    <cellStyle name="Lien hypertexte visité" xfId="4895" builtinId="9" hidden="1"/>
    <cellStyle name="Lien hypertexte visité" xfId="4959" builtinId="9" hidden="1"/>
    <cellStyle name="Lien hypertexte visité" xfId="5023" builtinId="9" hidden="1"/>
    <cellStyle name="Lien hypertexte visité" xfId="5087" builtinId="9" hidden="1"/>
    <cellStyle name="Lien hypertexte visité" xfId="5151" builtinId="9" hidden="1"/>
    <cellStyle name="Lien hypertexte visité" xfId="5215" builtinId="9" hidden="1"/>
    <cellStyle name="Lien hypertexte visité" xfId="5279" builtinId="9" hidden="1"/>
    <cellStyle name="Lien hypertexte visité" xfId="5343" builtinId="9" hidden="1"/>
    <cellStyle name="Lien hypertexte visité" xfId="5407" builtinId="9" hidden="1"/>
    <cellStyle name="Lien hypertexte visité" xfId="5471" builtinId="9" hidden="1"/>
    <cellStyle name="Lien hypertexte visité" xfId="5535" builtinId="9" hidden="1"/>
    <cellStyle name="Lien hypertexte visité" xfId="5599" builtinId="9" hidden="1"/>
    <cellStyle name="Lien hypertexte visité" xfId="5663" builtinId="9" hidden="1"/>
    <cellStyle name="Lien hypertexte visité" xfId="5727" builtinId="9" hidden="1"/>
    <cellStyle name="Lien hypertexte visité" xfId="5791" builtinId="9" hidden="1"/>
    <cellStyle name="Lien hypertexte visité" xfId="5855" builtinId="9" hidden="1"/>
    <cellStyle name="Lien hypertexte visité" xfId="5919" builtinId="9" hidden="1"/>
    <cellStyle name="Lien hypertexte visité" xfId="5983" builtinId="9" hidden="1"/>
    <cellStyle name="Lien hypertexte visité" xfId="6047" builtinId="9" hidden="1"/>
    <cellStyle name="Lien hypertexte visité" xfId="6111" builtinId="9" hidden="1"/>
    <cellStyle name="Lien hypertexte visité" xfId="6175" builtinId="9" hidden="1"/>
    <cellStyle name="Lien hypertexte visité" xfId="6239" builtinId="9" hidden="1"/>
    <cellStyle name="Lien hypertexte visité" xfId="6303" builtinId="9" hidden="1"/>
    <cellStyle name="Lien hypertexte visité" xfId="6367" builtinId="9" hidden="1"/>
    <cellStyle name="Lien hypertexte visité" xfId="6431" builtinId="9" hidden="1"/>
    <cellStyle name="Lien hypertexte visité" xfId="6495" builtinId="9" hidden="1"/>
    <cellStyle name="Lien hypertexte visité" xfId="6559" builtinId="9" hidden="1"/>
    <cellStyle name="Lien hypertexte visité" xfId="6623" builtinId="9" hidden="1"/>
    <cellStyle name="Lien hypertexte visité" xfId="6687" builtinId="9" hidden="1"/>
    <cellStyle name="Lien hypertexte visité" xfId="6751" builtinId="9" hidden="1"/>
    <cellStyle name="Lien hypertexte visité" xfId="6815" builtinId="9" hidden="1"/>
    <cellStyle name="Lien hypertexte visité" xfId="6879" builtinId="9" hidden="1"/>
    <cellStyle name="Lien hypertexte visité" xfId="6943" builtinId="9" hidden="1"/>
    <cellStyle name="Lien hypertexte visité" xfId="7007" builtinId="9" hidden="1"/>
    <cellStyle name="Lien hypertexte visité" xfId="7071" builtinId="9" hidden="1"/>
    <cellStyle name="Lien hypertexte visité" xfId="7135" builtinId="9" hidden="1"/>
    <cellStyle name="Lien hypertexte visité" xfId="7199" builtinId="9" hidden="1"/>
    <cellStyle name="Lien hypertexte visité" xfId="7263" builtinId="9" hidden="1"/>
    <cellStyle name="Lien hypertexte visité" xfId="7327" builtinId="9" hidden="1"/>
    <cellStyle name="Lien hypertexte visité" xfId="7391" builtinId="9" hidden="1"/>
    <cellStyle name="Lien hypertexte visité" xfId="7455" builtinId="9" hidden="1"/>
    <cellStyle name="Lien hypertexte visité" xfId="7519" builtinId="9" hidden="1"/>
    <cellStyle name="Lien hypertexte visité" xfId="7583" builtinId="9" hidden="1"/>
    <cellStyle name="Lien hypertexte visité" xfId="7647" builtinId="9" hidden="1"/>
    <cellStyle name="Lien hypertexte visité" xfId="7711" builtinId="9" hidden="1"/>
    <cellStyle name="Lien hypertexte visité" xfId="7775" builtinId="9" hidden="1"/>
    <cellStyle name="Lien hypertexte visité" xfId="7840" builtinId="9" hidden="1"/>
    <cellStyle name="Lien hypertexte visité" xfId="7904" builtinId="9" hidden="1"/>
    <cellStyle name="Lien hypertexte visité" xfId="7968" builtinId="9" hidden="1"/>
    <cellStyle name="Lien hypertexte visité" xfId="8032" builtinId="9" hidden="1"/>
    <cellStyle name="Lien hypertexte visité" xfId="8096" builtinId="9" hidden="1"/>
    <cellStyle name="Lien hypertexte visité" xfId="8160" builtinId="9" hidden="1"/>
    <cellStyle name="Lien hypertexte visité" xfId="8224" builtinId="9" hidden="1"/>
    <cellStyle name="Lien hypertexte visité" xfId="8288" builtinId="9" hidden="1"/>
    <cellStyle name="Lien hypertexte visité" xfId="8352" builtinId="9" hidden="1"/>
    <cellStyle name="Lien hypertexte visité" xfId="8416" builtinId="9" hidden="1"/>
    <cellStyle name="Lien hypertexte visité" xfId="8480" builtinId="9" hidden="1"/>
    <cellStyle name="Lien hypertexte visité" xfId="8544" builtinId="9" hidden="1"/>
    <cellStyle name="Lien hypertexte visité" xfId="8608" builtinId="9" hidden="1"/>
    <cellStyle name="Lien hypertexte visité" xfId="8672" builtinId="9" hidden="1"/>
    <cellStyle name="Lien hypertexte visité" xfId="8736" builtinId="9" hidden="1"/>
    <cellStyle name="Lien hypertexte visité" xfId="8800" builtinId="9" hidden="1"/>
    <cellStyle name="Lien hypertexte visité" xfId="603" builtinId="9" hidden="1"/>
    <cellStyle name="Lien hypertexte visité" xfId="523" builtinId="9" hidden="1"/>
    <cellStyle name="Lien hypertexte visité" xfId="443" builtinId="9" hidden="1"/>
    <cellStyle name="Lien hypertexte visité" xfId="347" builtinId="9" hidden="1"/>
    <cellStyle name="Lien hypertexte visité" xfId="267" builtinId="9" hidden="1"/>
    <cellStyle name="Lien hypertexte visité" xfId="187" builtinId="9" hidden="1"/>
    <cellStyle name="Lien hypertexte visité" xfId="85" builtinId="9" hidden="1"/>
    <cellStyle name="Lien hypertexte visité" xfId="67" builtinId="9" hidden="1"/>
    <cellStyle name="Lien hypertexte visité" xfId="95" builtinId="9" hidden="1"/>
    <cellStyle name="Lien hypertexte visité" xfId="135" builtinId="9" hidden="1"/>
    <cellStyle name="Lien hypertexte visité" xfId="215" builtinId="9" hidden="1"/>
    <cellStyle name="Lien hypertexte visité" xfId="295" builtinId="9" hidden="1"/>
    <cellStyle name="Lien hypertexte visité" xfId="391" builtinId="9" hidden="1"/>
    <cellStyle name="Lien hypertexte visité" xfId="471" builtinId="9" hidden="1"/>
    <cellStyle name="Lien hypertexte visité" xfId="551" builtinId="9" hidden="1"/>
    <cellStyle name="Lien hypertexte visité" xfId="647" builtinId="9" hidden="1"/>
    <cellStyle name="Lien hypertexte visité" xfId="727" builtinId="9" hidden="1"/>
    <cellStyle name="Lien hypertexte visité" xfId="807" builtinId="9" hidden="1"/>
    <cellStyle name="Lien hypertexte visité" xfId="903" builtinId="9" hidden="1"/>
    <cellStyle name="Lien hypertexte visité" xfId="983" builtinId="9" hidden="1"/>
    <cellStyle name="Lien hypertexte visité" xfId="1063" builtinId="9" hidden="1"/>
    <cellStyle name="Lien hypertexte visité" xfId="1161" builtinId="9" hidden="1"/>
    <cellStyle name="Lien hypertexte visité" xfId="1201" builtinId="9" hidden="1"/>
    <cellStyle name="Lien hypertexte visité" xfId="1241" builtinId="9" hidden="1"/>
    <cellStyle name="Lien hypertexte visité" xfId="1289" builtinId="9" hidden="1"/>
    <cellStyle name="Lien hypertexte visité" xfId="1329" builtinId="9" hidden="1"/>
    <cellStyle name="Lien hypertexte visité" xfId="1369" builtinId="9" hidden="1"/>
    <cellStyle name="Lien hypertexte visité" xfId="1417" builtinId="9" hidden="1"/>
    <cellStyle name="Lien hypertexte visité" xfId="1457" builtinId="9" hidden="1"/>
    <cellStyle name="Lien hypertexte visité" xfId="1498" builtinId="9" hidden="1"/>
    <cellStyle name="Lien hypertexte visité" xfId="1546" builtinId="9" hidden="1"/>
    <cellStyle name="Lien hypertexte visité" xfId="1586" builtinId="9" hidden="1"/>
    <cellStyle name="Lien hypertexte visité" xfId="1626" builtinId="9" hidden="1"/>
    <cellStyle name="Lien hypertexte visité" xfId="1674" builtinId="9" hidden="1"/>
    <cellStyle name="Lien hypertexte visité" xfId="1714" builtinId="9" hidden="1"/>
    <cellStyle name="Lien hypertexte visité" xfId="1754" builtinId="9" hidden="1"/>
    <cellStyle name="Lien hypertexte visité" xfId="1802" builtinId="9" hidden="1"/>
    <cellStyle name="Lien hypertexte visité" xfId="1842" builtinId="9" hidden="1"/>
    <cellStyle name="Lien hypertexte visité" xfId="1882" builtinId="9" hidden="1"/>
    <cellStyle name="Lien hypertexte visité" xfId="1930" builtinId="9" hidden="1"/>
    <cellStyle name="Lien hypertexte visité" xfId="1970" builtinId="9" hidden="1"/>
    <cellStyle name="Lien hypertexte visité" xfId="2010" builtinId="9" hidden="1"/>
    <cellStyle name="Lien hypertexte visité" xfId="2058" builtinId="9" hidden="1"/>
    <cellStyle name="Lien hypertexte visité" xfId="2098" builtinId="9" hidden="1"/>
    <cellStyle name="Lien hypertexte visité" xfId="2138" builtinId="9" hidden="1"/>
    <cellStyle name="Lien hypertexte visité" xfId="2186" builtinId="9" hidden="1"/>
    <cellStyle name="Lien hypertexte visité" xfId="2226" builtinId="9" hidden="1"/>
    <cellStyle name="Lien hypertexte visité" xfId="2266" builtinId="9" hidden="1"/>
    <cellStyle name="Lien hypertexte visité" xfId="2314" builtinId="9" hidden="1"/>
    <cellStyle name="Lien hypertexte visité" xfId="2354" builtinId="9" hidden="1"/>
    <cellStyle name="Lien hypertexte visité" xfId="2394" builtinId="9" hidden="1"/>
    <cellStyle name="Lien hypertexte visité" xfId="2442" builtinId="9" hidden="1"/>
    <cellStyle name="Lien hypertexte visité" xfId="2482" builtinId="9" hidden="1"/>
    <cellStyle name="Lien hypertexte visité" xfId="2522" builtinId="9" hidden="1"/>
    <cellStyle name="Lien hypertexte visité" xfId="2570" builtinId="9" hidden="1"/>
    <cellStyle name="Lien hypertexte visité" xfId="2610" builtinId="9" hidden="1"/>
    <cellStyle name="Lien hypertexte visité" xfId="2650" builtinId="9" hidden="1"/>
    <cellStyle name="Lien hypertexte visité" xfId="2698" builtinId="9" hidden="1"/>
    <cellStyle name="Lien hypertexte visité" xfId="2738" builtinId="9" hidden="1"/>
    <cellStyle name="Lien hypertexte visité" xfId="2778" builtinId="9" hidden="1"/>
    <cellStyle name="Lien hypertexte visité" xfId="2826" builtinId="9" hidden="1"/>
    <cellStyle name="Lien hypertexte visité" xfId="2866" builtinId="9" hidden="1"/>
    <cellStyle name="Lien hypertexte visité" xfId="2906" builtinId="9" hidden="1"/>
    <cellStyle name="Lien hypertexte visité" xfId="2954" builtinId="9" hidden="1"/>
    <cellStyle name="Lien hypertexte visité" xfId="2994" builtinId="9" hidden="1"/>
    <cellStyle name="Lien hypertexte visité" xfId="3034" builtinId="9" hidden="1"/>
    <cellStyle name="Lien hypertexte visité" xfId="3082" builtinId="9" hidden="1"/>
    <cellStyle name="Lien hypertexte visité" xfId="3122" builtinId="9" hidden="1"/>
    <cellStyle name="Lien hypertexte visité" xfId="3162" builtinId="9" hidden="1"/>
    <cellStyle name="Lien hypertexte visité" xfId="3210" builtinId="9" hidden="1"/>
    <cellStyle name="Lien hypertexte visité" xfId="3250" builtinId="9" hidden="1"/>
    <cellStyle name="Lien hypertexte visité" xfId="3290" builtinId="9" hidden="1"/>
    <cellStyle name="Lien hypertexte visité" xfId="3338" builtinId="9" hidden="1"/>
    <cellStyle name="Lien hypertexte visité" xfId="3378" builtinId="9" hidden="1"/>
    <cellStyle name="Lien hypertexte visité" xfId="3418" builtinId="9" hidden="1"/>
    <cellStyle name="Lien hypertexte visité" xfId="3466" builtinId="9" hidden="1"/>
    <cellStyle name="Lien hypertexte visité" xfId="3506" builtinId="9" hidden="1"/>
    <cellStyle name="Lien hypertexte visité" xfId="3546" builtinId="9" hidden="1"/>
    <cellStyle name="Lien hypertexte visité" xfId="3595" builtinId="9" hidden="1"/>
    <cellStyle name="Lien hypertexte visité" xfId="3635" builtinId="9" hidden="1"/>
    <cellStyle name="Lien hypertexte visité" xfId="3682" builtinId="9" hidden="1"/>
    <cellStyle name="Lien hypertexte visité" xfId="3731" builtinId="9" hidden="1"/>
    <cellStyle name="Lien hypertexte visité" xfId="3771" builtinId="9" hidden="1"/>
    <cellStyle name="Lien hypertexte visité" xfId="3811" builtinId="9" hidden="1"/>
    <cellStyle name="Lien hypertexte visité" xfId="3859" builtinId="9" hidden="1"/>
    <cellStyle name="Lien hypertexte visité" xfId="3900" builtinId="9" hidden="1"/>
    <cellStyle name="Lien hypertexte visité" xfId="3936" builtinId="9" hidden="1"/>
    <cellStyle name="Lien hypertexte visité" xfId="3984" builtinId="9" hidden="1"/>
    <cellStyle name="Lien hypertexte visité" xfId="4024" builtinId="9" hidden="1"/>
    <cellStyle name="Lien hypertexte visité" xfId="4064" builtinId="9" hidden="1"/>
    <cellStyle name="Lien hypertexte visité" xfId="4112" builtinId="9" hidden="1"/>
    <cellStyle name="Lien hypertexte visité" xfId="4152" builtinId="9" hidden="1"/>
    <cellStyle name="Lien hypertexte visité" xfId="4192" builtinId="9" hidden="1"/>
    <cellStyle name="Lien hypertexte visité" xfId="4240" builtinId="9" hidden="1"/>
    <cellStyle name="Lien hypertexte visité" xfId="4280" builtinId="9" hidden="1"/>
    <cellStyle name="Lien hypertexte visité" xfId="4320" builtinId="9" hidden="1"/>
    <cellStyle name="Lien hypertexte visité" xfId="4368" builtinId="9" hidden="1"/>
    <cellStyle name="Lien hypertexte visité" xfId="4408" builtinId="9" hidden="1"/>
    <cellStyle name="Lien hypertexte visité" xfId="4448" builtinId="9" hidden="1"/>
    <cellStyle name="Lien hypertexte visité" xfId="4496" builtinId="9" hidden="1"/>
    <cellStyle name="Lien hypertexte visité" xfId="4536" builtinId="9" hidden="1"/>
    <cellStyle name="Lien hypertexte visité" xfId="4576" builtinId="9" hidden="1"/>
    <cellStyle name="Lien hypertexte visité" xfId="4624" builtinId="9" hidden="1"/>
    <cellStyle name="Lien hypertexte visité" xfId="4664" builtinId="9" hidden="1"/>
    <cellStyle name="Lien hypertexte visité" xfId="4704" builtinId="9" hidden="1"/>
    <cellStyle name="Lien hypertexte visité" xfId="4752" builtinId="9" hidden="1"/>
    <cellStyle name="Lien hypertexte visité" xfId="4792" builtinId="9" hidden="1"/>
    <cellStyle name="Lien hypertexte visité" xfId="4832" builtinId="9" hidden="1"/>
    <cellStyle name="Lien hypertexte visité" xfId="4880" builtinId="9" hidden="1"/>
    <cellStyle name="Lien hypertexte visité" xfId="4920" builtinId="9" hidden="1"/>
    <cellStyle name="Lien hypertexte visité" xfId="4960" builtinId="9" hidden="1"/>
    <cellStyle name="Lien hypertexte visité" xfId="5008" builtinId="9" hidden="1"/>
    <cellStyle name="Lien hypertexte visité" xfId="5048" builtinId="9" hidden="1"/>
    <cellStyle name="Lien hypertexte visité" xfId="5088" builtinId="9" hidden="1"/>
    <cellStyle name="Lien hypertexte visité" xfId="5136" builtinId="9" hidden="1"/>
    <cellStyle name="Lien hypertexte visité" xfId="5176" builtinId="9" hidden="1"/>
    <cellStyle name="Lien hypertexte visité" xfId="5216" builtinId="9" hidden="1"/>
    <cellStyle name="Lien hypertexte visité" xfId="5264" builtinId="9" hidden="1"/>
    <cellStyle name="Lien hypertexte visité" xfId="5304" builtinId="9" hidden="1"/>
    <cellStyle name="Lien hypertexte visité" xfId="5344" builtinId="9" hidden="1"/>
    <cellStyle name="Lien hypertexte visité" xfId="5392" builtinId="9" hidden="1"/>
    <cellStyle name="Lien hypertexte visité" xfId="5432" builtinId="9" hidden="1"/>
    <cellStyle name="Lien hypertexte visité" xfId="5472" builtinId="9" hidden="1"/>
    <cellStyle name="Lien hypertexte visité" xfId="5520" builtinId="9" hidden="1"/>
    <cellStyle name="Lien hypertexte visité" xfId="5560" builtinId="9" hidden="1"/>
    <cellStyle name="Lien hypertexte visité" xfId="5600" builtinId="9" hidden="1"/>
    <cellStyle name="Lien hypertexte visité" xfId="5648" builtinId="9" hidden="1"/>
    <cellStyle name="Lien hypertexte visité" xfId="5688" builtinId="9" hidden="1"/>
    <cellStyle name="Lien hypertexte visité" xfId="5728" builtinId="9" hidden="1"/>
    <cellStyle name="Lien hypertexte visité" xfId="5776" builtinId="9" hidden="1"/>
    <cellStyle name="Lien hypertexte visité" xfId="5816" builtinId="9" hidden="1"/>
    <cellStyle name="Lien hypertexte visité" xfId="5856" builtinId="9" hidden="1"/>
    <cellStyle name="Lien hypertexte visité" xfId="5904" builtinId="9" hidden="1"/>
    <cellStyle name="Lien hypertexte visité" xfId="5944" builtinId="9" hidden="1"/>
    <cellStyle name="Lien hypertexte visité" xfId="5984" builtinId="9" hidden="1"/>
    <cellStyle name="Lien hypertexte visité" xfId="6032" builtinId="9" hidden="1"/>
    <cellStyle name="Lien hypertexte visité" xfId="6072" builtinId="9" hidden="1"/>
    <cellStyle name="Lien hypertexte visité" xfId="6112" builtinId="9" hidden="1"/>
    <cellStyle name="Lien hypertexte visité" xfId="6160" builtinId="9" hidden="1"/>
    <cellStyle name="Lien hypertexte visité" xfId="6200" builtinId="9" hidden="1"/>
    <cellStyle name="Lien hypertexte visité" xfId="6240" builtinId="9" hidden="1"/>
    <cellStyle name="Lien hypertexte visité" xfId="6288" builtinId="9" hidden="1"/>
    <cellStyle name="Lien hypertexte visité" xfId="6328" builtinId="9" hidden="1"/>
    <cellStyle name="Lien hypertexte visité" xfId="6368" builtinId="9" hidden="1"/>
    <cellStyle name="Lien hypertexte visité" xfId="6416" builtinId="9" hidden="1"/>
    <cellStyle name="Lien hypertexte visité" xfId="6456" builtinId="9" hidden="1"/>
    <cellStyle name="Lien hypertexte visité" xfId="6496" builtinId="9" hidden="1"/>
    <cellStyle name="Lien hypertexte visité" xfId="6544" builtinId="9" hidden="1"/>
    <cellStyle name="Lien hypertexte visité" xfId="6584" builtinId="9" hidden="1"/>
    <cellStyle name="Lien hypertexte visité" xfId="6624" builtinId="9" hidden="1"/>
    <cellStyle name="Lien hypertexte visité" xfId="6672" builtinId="9" hidden="1"/>
    <cellStyle name="Lien hypertexte visité" xfId="6712" builtinId="9" hidden="1"/>
    <cellStyle name="Lien hypertexte visité" xfId="6752" builtinId="9" hidden="1"/>
    <cellStyle name="Lien hypertexte visité" xfId="6800" builtinId="9" hidden="1"/>
    <cellStyle name="Lien hypertexte visité" xfId="6840" builtinId="9" hidden="1"/>
    <cellStyle name="Lien hypertexte visité" xfId="6880" builtinId="9" hidden="1"/>
    <cellStyle name="Lien hypertexte visité" xfId="6928" builtinId="9" hidden="1"/>
    <cellStyle name="Lien hypertexte visité" xfId="6968" builtinId="9" hidden="1"/>
    <cellStyle name="Lien hypertexte visité" xfId="7008" builtinId="9" hidden="1"/>
    <cellStyle name="Lien hypertexte visité" xfId="7056" builtinId="9" hidden="1"/>
    <cellStyle name="Lien hypertexte visité" xfId="7096" builtinId="9" hidden="1"/>
    <cellStyle name="Lien hypertexte visité" xfId="7136" builtinId="9" hidden="1"/>
    <cellStyle name="Lien hypertexte visité" xfId="7184" builtinId="9" hidden="1"/>
    <cellStyle name="Lien hypertexte visité" xfId="7224" builtinId="9" hidden="1"/>
    <cellStyle name="Lien hypertexte visité" xfId="7264" builtinId="9" hidden="1"/>
    <cellStyle name="Lien hypertexte visité" xfId="7312" builtinId="9" hidden="1"/>
    <cellStyle name="Lien hypertexte visité" xfId="7352" builtinId="9" hidden="1"/>
    <cellStyle name="Lien hypertexte visité" xfId="7392" builtinId="9" hidden="1"/>
    <cellStyle name="Lien hypertexte visité" xfId="7440" builtinId="9" hidden="1"/>
    <cellStyle name="Lien hypertexte visité" xfId="7480" builtinId="9" hidden="1"/>
    <cellStyle name="Lien hypertexte visité" xfId="7520" builtinId="9" hidden="1"/>
    <cellStyle name="Lien hypertexte visité" xfId="7568" builtinId="9" hidden="1"/>
    <cellStyle name="Lien hypertexte visité" xfId="7608" builtinId="9" hidden="1"/>
    <cellStyle name="Lien hypertexte visité" xfId="7648" builtinId="9" hidden="1"/>
    <cellStyle name="Lien hypertexte visité" xfId="7696" builtinId="9" hidden="1"/>
    <cellStyle name="Lien hypertexte visité" xfId="7736" builtinId="9" hidden="1"/>
    <cellStyle name="Lien hypertexte visité" xfId="7776" builtinId="9" hidden="1"/>
    <cellStyle name="Lien hypertexte visité" xfId="7825" builtinId="9" hidden="1"/>
    <cellStyle name="Lien hypertexte visité" xfId="7865" builtinId="9" hidden="1"/>
    <cellStyle name="Lien hypertexte visité" xfId="7905" builtinId="9" hidden="1"/>
    <cellStyle name="Lien hypertexte visité" xfId="7953" builtinId="9" hidden="1"/>
    <cellStyle name="Lien hypertexte visité" xfId="7993" builtinId="9" hidden="1"/>
    <cellStyle name="Lien hypertexte visité" xfId="8033" builtinId="9" hidden="1"/>
    <cellStyle name="Lien hypertexte visité" xfId="8081" builtinId="9" hidden="1"/>
    <cellStyle name="Lien hypertexte visité" xfId="8121" builtinId="9" hidden="1"/>
    <cellStyle name="Lien hypertexte visité" xfId="8161" builtinId="9" hidden="1"/>
    <cellStyle name="Lien hypertexte visité" xfId="8209" builtinId="9" hidden="1"/>
    <cellStyle name="Lien hypertexte visité" xfId="8249" builtinId="9" hidden="1"/>
    <cellStyle name="Lien hypertexte visité" xfId="8289" builtinId="9" hidden="1"/>
    <cellStyle name="Lien hypertexte visité" xfId="8337" builtinId="9" hidden="1"/>
    <cellStyle name="Lien hypertexte visité" xfId="8377" builtinId="9" hidden="1"/>
    <cellStyle name="Lien hypertexte visité" xfId="8417" builtinId="9" hidden="1"/>
    <cellStyle name="Lien hypertexte visité" xfId="8465" builtinId="9" hidden="1"/>
    <cellStyle name="Lien hypertexte visité" xfId="8505" builtinId="9" hidden="1"/>
    <cellStyle name="Lien hypertexte visité" xfId="8545" builtinId="9" hidden="1"/>
    <cellStyle name="Lien hypertexte visité" xfId="8593" builtinId="9" hidden="1"/>
    <cellStyle name="Lien hypertexte visité" xfId="8633" builtinId="9" hidden="1"/>
    <cellStyle name="Lien hypertexte visité" xfId="8673" builtinId="9" hidden="1"/>
    <cellStyle name="Lien hypertexte visité" xfId="8721" builtinId="9" hidden="1"/>
    <cellStyle name="Lien hypertexte visité" xfId="8761" builtinId="9" hidden="1"/>
    <cellStyle name="Lien hypertexte visité" xfId="8801" builtinId="9" hidden="1"/>
    <cellStyle name="Lien hypertexte visité" xfId="8849" builtinId="9" hidden="1"/>
    <cellStyle name="Lien hypertexte visité" xfId="8889" builtinId="9" hidden="1"/>
    <cellStyle name="Lien hypertexte visité" xfId="8929" builtinId="9" hidden="1"/>
    <cellStyle name="Lien hypertexte visité" xfId="8977" builtinId="9" hidden="1"/>
    <cellStyle name="Lien hypertexte visité" xfId="9017" builtinId="9" hidden="1"/>
    <cellStyle name="Lien hypertexte visité" xfId="9057" builtinId="9" hidden="1"/>
    <cellStyle name="Lien hypertexte visité" xfId="9105" builtinId="9" hidden="1"/>
    <cellStyle name="Lien hypertexte visité" xfId="9145" builtinId="9" hidden="1"/>
    <cellStyle name="Lien hypertexte visité" xfId="9185" builtinId="9" hidden="1"/>
    <cellStyle name="Lien hypertexte visité" xfId="9233" builtinId="9" hidden="1"/>
    <cellStyle name="Lien hypertexte visité" xfId="9273" builtinId="9" hidden="1"/>
    <cellStyle name="Lien hypertexte visité" xfId="9313" builtinId="9" hidden="1"/>
    <cellStyle name="Lien hypertexte visité" xfId="9361" builtinId="9" hidden="1"/>
    <cellStyle name="Lien hypertexte visité" xfId="9401" builtinId="9" hidden="1"/>
    <cellStyle name="Lien hypertexte visité" xfId="9441" builtinId="9" hidden="1"/>
    <cellStyle name="Lien hypertexte visité" xfId="9489" builtinId="9" hidden="1"/>
    <cellStyle name="Lien hypertexte visité" xfId="9529" builtinId="9" hidden="1"/>
    <cellStyle name="Lien hypertexte visité" xfId="9569" builtinId="9" hidden="1"/>
    <cellStyle name="Lien hypertexte visité" xfId="9617" builtinId="9" hidden="1"/>
    <cellStyle name="Lien hypertexte visité" xfId="9657" builtinId="9" hidden="1"/>
    <cellStyle name="Lien hypertexte visité" xfId="9697" builtinId="9" hidden="1"/>
    <cellStyle name="Lien hypertexte visité" xfId="9745" builtinId="9" hidden="1"/>
    <cellStyle name="Lien hypertexte visité" xfId="9785" builtinId="9" hidden="1"/>
    <cellStyle name="Lien hypertexte visité" xfId="9825" builtinId="9" hidden="1"/>
    <cellStyle name="Lien hypertexte visité" xfId="9873" builtinId="9" hidden="1"/>
    <cellStyle name="Lien hypertexte visité" xfId="9913" builtinId="9" hidden="1"/>
    <cellStyle name="Lien hypertexte visité" xfId="9953" builtinId="9" hidden="1"/>
    <cellStyle name="Lien hypertexte visité" xfId="10001" builtinId="9" hidden="1"/>
    <cellStyle name="Lien hypertexte visité" xfId="10041" builtinId="9" hidden="1"/>
    <cellStyle name="Lien hypertexte visité" xfId="10081" builtinId="9" hidden="1"/>
    <cellStyle name="Lien hypertexte visité" xfId="10129" builtinId="9" hidden="1"/>
    <cellStyle name="Lien hypertexte visité" xfId="10169" builtinId="9" hidden="1"/>
    <cellStyle name="Lien hypertexte visité" xfId="10209" builtinId="9" hidden="1"/>
    <cellStyle name="Lien hypertexte visité" xfId="10257" builtinId="9" hidden="1"/>
    <cellStyle name="Lien hypertexte visité" xfId="10297" builtinId="9" hidden="1"/>
    <cellStyle name="Lien hypertexte visité" xfId="10337" builtinId="9" hidden="1"/>
    <cellStyle name="Lien hypertexte visité" xfId="10385" builtinId="9" hidden="1"/>
    <cellStyle name="Lien hypertexte visité" xfId="10425" builtinId="9" hidden="1"/>
    <cellStyle name="Lien hypertexte visité" xfId="10465" builtinId="9" hidden="1"/>
    <cellStyle name="Lien hypertexte visité" xfId="10513" builtinId="9" hidden="1"/>
    <cellStyle name="Lien hypertexte visité" xfId="10553" builtinId="9" hidden="1"/>
    <cellStyle name="Lien hypertexte visité" xfId="10593" builtinId="9" hidden="1"/>
    <cellStyle name="Lien hypertexte visité" xfId="10641" builtinId="9" hidden="1"/>
    <cellStyle name="Lien hypertexte visité" xfId="10681" builtinId="9" hidden="1"/>
    <cellStyle name="Lien hypertexte visité" xfId="10721" builtinId="9" hidden="1"/>
    <cellStyle name="Lien hypertexte visité" xfId="10769" builtinId="9" hidden="1"/>
    <cellStyle name="Lien hypertexte visité" xfId="10809" builtinId="9" hidden="1"/>
    <cellStyle name="Lien hypertexte visité" xfId="10849" builtinId="9" hidden="1"/>
    <cellStyle name="Lien hypertexte visité" xfId="10897" builtinId="9" hidden="1"/>
    <cellStyle name="Lien hypertexte visité" xfId="10937" builtinId="9" hidden="1"/>
    <cellStyle name="Lien hypertexte visité" xfId="10977" builtinId="9" hidden="1"/>
    <cellStyle name="Lien hypertexte visité" xfId="11025" builtinId="9" hidden="1"/>
    <cellStyle name="Lien hypertexte visité" xfId="11065" builtinId="9" hidden="1"/>
    <cellStyle name="Lien hypertexte visité" xfId="11105" builtinId="9" hidden="1"/>
    <cellStyle name="Lien hypertexte visité" xfId="11153" builtinId="9" hidden="1"/>
    <cellStyle name="Lien hypertexte visité" xfId="11193" builtinId="9" hidden="1"/>
    <cellStyle name="Lien hypertexte visité" xfId="11233" builtinId="9" hidden="1"/>
    <cellStyle name="Lien hypertexte visité" xfId="11281" builtinId="9" hidden="1"/>
    <cellStyle name="Lien hypertexte visité" xfId="11321" builtinId="9" hidden="1"/>
    <cellStyle name="Lien hypertexte visité" xfId="11361" builtinId="9" hidden="1"/>
    <cellStyle name="Lien hypertexte visité" xfId="11409" builtinId="9" hidden="1"/>
    <cellStyle name="Lien hypertexte visité" xfId="11449" builtinId="9" hidden="1"/>
    <cellStyle name="Lien hypertexte visité" xfId="11489" builtinId="9" hidden="1"/>
    <cellStyle name="Lien hypertexte visité" xfId="11537" builtinId="9" hidden="1"/>
    <cellStyle name="Lien hypertexte visité" xfId="11577" builtinId="9" hidden="1"/>
    <cellStyle name="Lien hypertexte visité" xfId="11617" builtinId="9" hidden="1"/>
    <cellStyle name="Lien hypertexte visité" xfId="11665" builtinId="9" hidden="1"/>
    <cellStyle name="Lien hypertexte visité" xfId="11705" builtinId="9" hidden="1"/>
    <cellStyle name="Lien hypertexte visité" xfId="11745" builtinId="9" hidden="1"/>
    <cellStyle name="Lien hypertexte visité" xfId="11793" builtinId="9" hidden="1"/>
    <cellStyle name="Lien hypertexte visité" xfId="11833" builtinId="9" hidden="1"/>
    <cellStyle name="Lien hypertexte visité" xfId="11873" builtinId="9" hidden="1"/>
    <cellStyle name="Lien hypertexte visité" xfId="11921" builtinId="9" hidden="1"/>
    <cellStyle name="Lien hypertexte visité" xfId="11961" builtinId="9" hidden="1"/>
    <cellStyle name="Lien hypertexte visité" xfId="12001" builtinId="9" hidden="1"/>
    <cellStyle name="Lien hypertexte visité" xfId="12049" builtinId="9" hidden="1"/>
    <cellStyle name="Lien hypertexte visité" xfId="12089" builtinId="9" hidden="1"/>
    <cellStyle name="Lien hypertexte visité" xfId="12129" builtinId="9" hidden="1"/>
    <cellStyle name="Lien hypertexte visité" xfId="12177" builtinId="9" hidden="1"/>
    <cellStyle name="Lien hypertexte visité" xfId="12217" builtinId="9" hidden="1"/>
    <cellStyle name="Lien hypertexte visité" xfId="12257" builtinId="9" hidden="1"/>
    <cellStyle name="Lien hypertexte visité" xfId="12305" builtinId="9" hidden="1"/>
    <cellStyle name="Lien hypertexte visité" xfId="12345" builtinId="9" hidden="1"/>
    <cellStyle name="Lien hypertexte visité" xfId="12385" builtinId="9" hidden="1"/>
    <cellStyle name="Lien hypertexte visité" xfId="12433" builtinId="9" hidden="1"/>
    <cellStyle name="Lien hypertexte visité" xfId="12473" builtinId="9" hidden="1"/>
    <cellStyle name="Lien hypertexte visité" xfId="12513" builtinId="9" hidden="1"/>
    <cellStyle name="Lien hypertexte visité" xfId="12561" builtinId="9" hidden="1"/>
    <cellStyle name="Lien hypertexte visité" xfId="12601" builtinId="9" hidden="1"/>
    <cellStyle name="Lien hypertexte visité" xfId="12641" builtinId="9" hidden="1"/>
    <cellStyle name="Lien hypertexte visité" xfId="12689" builtinId="9" hidden="1"/>
    <cellStyle name="Lien hypertexte visité" xfId="12729" builtinId="9" hidden="1"/>
    <cellStyle name="Lien hypertexte visité" xfId="12769" builtinId="9" hidden="1"/>
    <cellStyle name="Lien hypertexte visité" xfId="12817" builtinId="9" hidden="1"/>
    <cellStyle name="Lien hypertexte visité" xfId="12857" builtinId="9" hidden="1"/>
    <cellStyle name="Lien hypertexte visité" xfId="12897" builtinId="9" hidden="1"/>
    <cellStyle name="Lien hypertexte visité" xfId="12945" builtinId="9" hidden="1"/>
    <cellStyle name="Lien hypertexte visité" xfId="12985" builtinId="9" hidden="1"/>
    <cellStyle name="Lien hypertexte visité" xfId="13025" builtinId="9" hidden="1"/>
    <cellStyle name="Lien hypertexte visité" xfId="13073" builtinId="9" hidden="1"/>
    <cellStyle name="Lien hypertexte visité" xfId="13113" builtinId="9" hidden="1"/>
    <cellStyle name="Lien hypertexte visité" xfId="13153" builtinId="9" hidden="1"/>
    <cellStyle name="Lien hypertexte visité" xfId="13201" builtinId="9" hidden="1"/>
    <cellStyle name="Lien hypertexte visité" xfId="13241" builtinId="9" hidden="1"/>
    <cellStyle name="Lien hypertexte visité" xfId="13281" builtinId="9" hidden="1"/>
    <cellStyle name="Lien hypertexte visité" xfId="13329" builtinId="9" hidden="1"/>
    <cellStyle name="Lien hypertexte visité" xfId="13369" builtinId="9" hidden="1"/>
    <cellStyle name="Lien hypertexte visité" xfId="13409" builtinId="9" hidden="1"/>
    <cellStyle name="Lien hypertexte visité" xfId="13457" builtinId="9" hidden="1"/>
    <cellStyle name="Lien hypertexte visité" xfId="13497" builtinId="9" hidden="1"/>
    <cellStyle name="Lien hypertexte visité" xfId="13537" builtinId="9" hidden="1"/>
    <cellStyle name="Lien hypertexte visité" xfId="13585" builtinId="9" hidden="1"/>
    <cellStyle name="Lien hypertexte visité" xfId="13625" builtinId="9" hidden="1"/>
    <cellStyle name="Lien hypertexte visité" xfId="13665" builtinId="9" hidden="1"/>
    <cellStyle name="Lien hypertexte visité" xfId="13713" builtinId="9" hidden="1"/>
    <cellStyle name="Lien hypertexte visité" xfId="13753" builtinId="9" hidden="1"/>
    <cellStyle name="Lien hypertexte visité" xfId="13793" builtinId="9" hidden="1"/>
    <cellStyle name="Lien hypertexte visité" xfId="13841" builtinId="9" hidden="1"/>
    <cellStyle name="Lien hypertexte visité" xfId="13881" builtinId="9" hidden="1"/>
    <cellStyle name="Lien hypertexte visité" xfId="13921" builtinId="9" hidden="1"/>
    <cellStyle name="Lien hypertexte visité" xfId="13969" builtinId="9" hidden="1"/>
    <cellStyle name="Lien hypertexte visité" xfId="14009" builtinId="9" hidden="1"/>
    <cellStyle name="Lien hypertexte visité" xfId="14049" builtinId="9" hidden="1"/>
    <cellStyle name="Lien hypertexte visité" xfId="14097" builtinId="9" hidden="1"/>
    <cellStyle name="Lien hypertexte visité" xfId="14137" builtinId="9" hidden="1"/>
    <cellStyle name="Lien hypertexte visité" xfId="14177" builtinId="9" hidden="1"/>
    <cellStyle name="Lien hypertexte visité" xfId="14225" builtinId="9" hidden="1"/>
    <cellStyle name="Lien hypertexte visité" xfId="14265" builtinId="9" hidden="1"/>
    <cellStyle name="Lien hypertexte visité" xfId="14305" builtinId="9" hidden="1"/>
    <cellStyle name="Lien hypertexte visité" xfId="14353" builtinId="9" hidden="1"/>
    <cellStyle name="Lien hypertexte visité" xfId="14393" builtinId="9" hidden="1"/>
    <cellStyle name="Lien hypertexte visité" xfId="14433" builtinId="9" hidden="1"/>
    <cellStyle name="Lien hypertexte visité" xfId="14481" builtinId="9" hidden="1"/>
    <cellStyle name="Lien hypertexte visité" xfId="14527" builtinId="9" hidden="1"/>
    <cellStyle name="Lien hypertexte visité" xfId="14607" builtinId="9" hidden="1"/>
    <cellStyle name="Lien hypertexte visité" xfId="14703" builtinId="9" hidden="1"/>
    <cellStyle name="Lien hypertexte visité" xfId="14783" builtinId="9" hidden="1"/>
    <cellStyle name="Lien hypertexte visité" xfId="14863" builtinId="9" hidden="1"/>
    <cellStyle name="Lien hypertexte visité" xfId="14959" builtinId="9" hidden="1"/>
    <cellStyle name="Lien hypertexte visité" xfId="15039" builtinId="9" hidden="1"/>
    <cellStyle name="Lien hypertexte visité" xfId="15119" builtinId="9" hidden="1"/>
    <cellStyle name="Lien hypertexte visité" xfId="15215" builtinId="9" hidden="1"/>
    <cellStyle name="Lien hypertexte visité" xfId="15295" builtinId="9" hidden="1"/>
    <cellStyle name="Lien hypertexte visité" xfId="15375" builtinId="9" hidden="1"/>
    <cellStyle name="Lien hypertexte visité" xfId="15471" builtinId="9" hidden="1"/>
    <cellStyle name="Lien hypertexte visité" xfId="15551" builtinId="9" hidden="1"/>
    <cellStyle name="Lien hypertexte visité" xfId="15631" builtinId="9" hidden="1"/>
    <cellStyle name="Lien hypertexte visité" xfId="15727" builtinId="9" hidden="1"/>
    <cellStyle name="Lien hypertexte visité" xfId="15807" builtinId="9" hidden="1"/>
    <cellStyle name="Lien hypertexte visité" xfId="15887" builtinId="9" hidden="1"/>
    <cellStyle name="Lien hypertexte visité" xfId="15983" builtinId="9" hidden="1"/>
    <cellStyle name="Lien hypertexte visité" xfId="16063" builtinId="9" hidden="1"/>
    <cellStyle name="Lien hypertexte visité" xfId="16143" builtinId="9" hidden="1"/>
    <cellStyle name="Lien hypertexte visité" xfId="16239" builtinId="9" hidden="1"/>
    <cellStyle name="Lien hypertexte visité" xfId="16319" builtinId="9" hidden="1"/>
    <cellStyle name="Lien hypertexte visité" xfId="16399" builtinId="9" hidden="1"/>
    <cellStyle name="Lien hypertexte visité" xfId="16495" builtinId="9" hidden="1"/>
    <cellStyle name="Lien hypertexte visité" xfId="16575" builtinId="9" hidden="1"/>
    <cellStyle name="Lien hypertexte visité" xfId="16655" builtinId="9" hidden="1"/>
    <cellStyle name="Lien hypertexte visité" xfId="16751" builtinId="9" hidden="1"/>
    <cellStyle name="Lien hypertexte visité" xfId="16831" builtinId="9" hidden="1"/>
    <cellStyle name="Lien hypertexte visité" xfId="16911" builtinId="9" hidden="1"/>
    <cellStyle name="Lien hypertexte visité" xfId="17007" builtinId="9" hidden="1"/>
    <cellStyle name="Lien hypertexte visité" xfId="17087" builtinId="9" hidden="1"/>
    <cellStyle name="Lien hypertexte visité" xfId="17167" builtinId="9" hidden="1"/>
    <cellStyle name="Lien hypertexte visité" xfId="17263" builtinId="9" hidden="1"/>
    <cellStyle name="Lien hypertexte visité" xfId="17343" builtinId="9" hidden="1"/>
    <cellStyle name="Lien hypertexte visité" xfId="17423" builtinId="9" hidden="1"/>
    <cellStyle name="Lien hypertexte visité" xfId="17519" builtinId="9" hidden="1"/>
    <cellStyle name="Lien hypertexte visité" xfId="17599" builtinId="9" hidden="1"/>
    <cellStyle name="Lien hypertexte visité" xfId="17679" builtinId="9" hidden="1"/>
    <cellStyle name="Lien hypertexte visité" xfId="17775" builtinId="9" hidden="1"/>
    <cellStyle name="Lien hypertexte visité" xfId="17855" builtinId="9" hidden="1"/>
    <cellStyle name="Lien hypertexte visité" xfId="17935" builtinId="9" hidden="1"/>
    <cellStyle name="Lien hypertexte visité" xfId="18031" builtinId="9" hidden="1"/>
    <cellStyle name="Lien hypertexte visité" xfId="18111" builtinId="9" hidden="1"/>
    <cellStyle name="Lien hypertexte visité" xfId="18191" builtinId="9" hidden="1"/>
    <cellStyle name="Lien hypertexte visité" xfId="18287" builtinId="9" hidden="1"/>
    <cellStyle name="Lien hypertexte visité" xfId="18350" builtinId="9" hidden="1"/>
    <cellStyle name="Lien hypertexte visité" xfId="18430" builtinId="9" hidden="1"/>
    <cellStyle name="Lien hypertexte visité" xfId="18526" builtinId="9" hidden="1"/>
    <cellStyle name="Lien hypertexte visité" xfId="18606" builtinId="9" hidden="1"/>
    <cellStyle name="Lien hypertexte visité" xfId="18686" builtinId="9" hidden="1"/>
    <cellStyle name="Lien hypertexte visité" xfId="18782" builtinId="9" hidden="1"/>
    <cellStyle name="Lien hypertexte visité" xfId="18862" builtinId="9" hidden="1"/>
    <cellStyle name="Lien hypertexte visité" xfId="18942" builtinId="9" hidden="1"/>
    <cellStyle name="Lien hypertexte visité" xfId="19038" builtinId="9" hidden="1"/>
    <cellStyle name="Lien hypertexte visité" xfId="19118" builtinId="9" hidden="1"/>
    <cellStyle name="Lien hypertexte visité" xfId="19198" builtinId="9" hidden="1"/>
    <cellStyle name="Lien hypertexte visité" xfId="19294" builtinId="9" hidden="1"/>
    <cellStyle name="Lien hypertexte visité" xfId="19374" builtinId="9" hidden="1"/>
    <cellStyle name="Lien hypertexte visité" xfId="19454" builtinId="9" hidden="1"/>
    <cellStyle name="Lien hypertexte visité" xfId="19550" builtinId="9" hidden="1"/>
    <cellStyle name="Lien hypertexte visité" xfId="19630" builtinId="9" hidden="1"/>
    <cellStyle name="Lien hypertexte visité" xfId="19710" builtinId="9" hidden="1"/>
    <cellStyle name="Lien hypertexte visité" xfId="19806" builtinId="9" hidden="1"/>
    <cellStyle name="Lien hypertexte visité" xfId="19886" builtinId="9" hidden="1"/>
    <cellStyle name="Lien hypertexte visité" xfId="19966" builtinId="9" hidden="1"/>
    <cellStyle name="Lien hypertexte visité" xfId="20062" builtinId="9" hidden="1"/>
    <cellStyle name="Lien hypertexte visité" xfId="20142" builtinId="9" hidden="1"/>
    <cellStyle name="Lien hypertexte visité" xfId="20222" builtinId="9" hidden="1"/>
    <cellStyle name="Lien hypertexte visité" xfId="20318" builtinId="9" hidden="1"/>
    <cellStyle name="Lien hypertexte visité" xfId="20398" builtinId="9" hidden="1"/>
    <cellStyle name="Lien hypertexte visité" xfId="20478" builtinId="9" hidden="1"/>
    <cellStyle name="Lien hypertexte visité" xfId="20574" builtinId="9" hidden="1"/>
    <cellStyle name="Lien hypertexte visité" xfId="20654" builtinId="9" hidden="1"/>
    <cellStyle name="Lien hypertexte visité" xfId="20734" builtinId="9" hidden="1"/>
    <cellStyle name="Lien hypertexte visité" xfId="20830" builtinId="9" hidden="1"/>
    <cellStyle name="Lien hypertexte visité" xfId="20910" builtinId="9" hidden="1"/>
    <cellStyle name="Lien hypertexte visité" xfId="20990" builtinId="9" hidden="1"/>
    <cellStyle name="Lien hypertexte visité" xfId="21086" builtinId="9" hidden="1"/>
    <cellStyle name="Lien hypertexte visité" xfId="21166" builtinId="9" hidden="1"/>
    <cellStyle name="Lien hypertexte visité" xfId="21246" builtinId="9" hidden="1"/>
    <cellStyle name="Lien hypertexte visité" xfId="21342" builtinId="9" hidden="1"/>
    <cellStyle name="Lien hypertexte visité" xfId="21422" builtinId="9" hidden="1"/>
    <cellStyle name="Lien hypertexte visité" xfId="21502" builtinId="9" hidden="1"/>
    <cellStyle name="Lien hypertexte visité" xfId="21598" builtinId="9" hidden="1"/>
    <cellStyle name="Lien hypertexte visité" xfId="21678" builtinId="9" hidden="1"/>
    <cellStyle name="Lien hypertexte visité" xfId="21758" builtinId="9" hidden="1"/>
    <cellStyle name="Lien hypertexte visité" xfId="21854" builtinId="9" hidden="1"/>
    <cellStyle name="Lien hypertexte visité" xfId="21934" builtinId="9" hidden="1"/>
    <cellStyle name="Lien hypertexte visité" xfId="22014" builtinId="9" hidden="1"/>
    <cellStyle name="Lien hypertexte visité" xfId="22110" builtinId="9" hidden="1"/>
    <cellStyle name="Lien hypertexte visité" xfId="22190" builtinId="9" hidden="1"/>
    <cellStyle name="Lien hypertexte visité" xfId="22270" builtinId="9" hidden="1"/>
    <cellStyle name="Lien hypertexte visité" xfId="22366" builtinId="9" hidden="1"/>
    <cellStyle name="Lien hypertexte visité" xfId="22446" builtinId="9" hidden="1"/>
    <cellStyle name="Lien hypertexte visité" xfId="22526" builtinId="9" hidden="1"/>
    <cellStyle name="Lien hypertexte visité" xfId="22622" builtinId="9" hidden="1"/>
    <cellStyle name="Lien hypertexte visité" xfId="22702" builtinId="9" hidden="1"/>
    <cellStyle name="Lien hypertexte visité" xfId="22782" builtinId="9" hidden="1"/>
    <cellStyle name="Lien hypertexte visité" xfId="22878" builtinId="9" hidden="1"/>
    <cellStyle name="Lien hypertexte visité" xfId="22958" builtinId="9" hidden="1"/>
    <cellStyle name="Lien hypertexte visité" xfId="23038" builtinId="9" hidden="1"/>
    <cellStyle name="Lien hypertexte visité" xfId="23134" builtinId="9" hidden="1"/>
    <cellStyle name="Lien hypertexte visité" xfId="23214" builtinId="9" hidden="1"/>
    <cellStyle name="Lien hypertexte visité" xfId="23294" builtinId="9" hidden="1"/>
    <cellStyle name="Lien hypertexte visité" xfId="23390" builtinId="9" hidden="1"/>
    <cellStyle name="Lien hypertexte visité" xfId="23470" builtinId="9" hidden="1"/>
    <cellStyle name="Lien hypertexte visité" xfId="23550" builtinId="9" hidden="1"/>
    <cellStyle name="Lien hypertexte visité" xfId="23646" builtinId="9" hidden="1"/>
    <cellStyle name="Lien hypertexte visité" xfId="23726" builtinId="9" hidden="1"/>
    <cellStyle name="Lien hypertexte visité" xfId="23806" builtinId="9" hidden="1"/>
    <cellStyle name="Lien hypertexte visité" xfId="23902" builtinId="9" hidden="1"/>
    <cellStyle name="Lien hypertexte visité" xfId="23982" builtinId="9" hidden="1"/>
    <cellStyle name="Lien hypertexte visité" xfId="24062" builtinId="9" hidden="1"/>
    <cellStyle name="Lien hypertexte visité" xfId="24158" builtinId="9" hidden="1"/>
    <cellStyle name="Lien hypertexte visité" xfId="24238" builtinId="9" hidden="1"/>
    <cellStyle name="Lien hypertexte visité" xfId="24318" builtinId="9" hidden="1"/>
    <cellStyle name="Lien hypertexte visité" xfId="24414" builtinId="9" hidden="1"/>
    <cellStyle name="Lien hypertexte visité" xfId="24494" builtinId="9" hidden="1"/>
    <cellStyle name="Lien hypertexte visité" xfId="24574" builtinId="9" hidden="1"/>
    <cellStyle name="Lien hypertexte visité" xfId="24556" builtinId="9" hidden="1"/>
    <cellStyle name="Lien hypertexte visité" xfId="24476" builtinId="9" hidden="1"/>
    <cellStyle name="Lien hypertexte visité" xfId="24396" builtinId="9" hidden="1"/>
    <cellStyle name="Lien hypertexte visité" xfId="24300" builtinId="9" hidden="1"/>
    <cellStyle name="Lien hypertexte visité" xfId="24220" builtinId="9" hidden="1"/>
    <cellStyle name="Lien hypertexte visité" xfId="24140" builtinId="9" hidden="1"/>
    <cellStyle name="Lien hypertexte visité" xfId="24044" builtinId="9" hidden="1"/>
    <cellStyle name="Lien hypertexte visité" xfId="23964" builtinId="9" hidden="1"/>
    <cellStyle name="Lien hypertexte visité" xfId="23884" builtinId="9" hidden="1"/>
    <cellStyle name="Lien hypertexte visité" xfId="23788" builtinId="9" hidden="1"/>
    <cellStyle name="Lien hypertexte visité" xfId="23708" builtinId="9" hidden="1"/>
    <cellStyle name="Lien hypertexte visité" xfId="23628" builtinId="9" hidden="1"/>
    <cellStyle name="Lien hypertexte visité" xfId="23532" builtinId="9" hidden="1"/>
    <cellStyle name="Lien hypertexte visité" xfId="23452" builtinId="9" hidden="1"/>
    <cellStyle name="Lien hypertexte visité" xfId="23372" builtinId="9" hidden="1"/>
    <cellStyle name="Lien hypertexte visité" xfId="23276" builtinId="9" hidden="1"/>
    <cellStyle name="Lien hypertexte visité" xfId="23196" builtinId="9" hidden="1"/>
    <cellStyle name="Lien hypertexte visité" xfId="23116" builtinId="9" hidden="1"/>
    <cellStyle name="Lien hypertexte visité" xfId="23020" builtinId="9" hidden="1"/>
    <cellStyle name="Lien hypertexte visité" xfId="22940" builtinId="9" hidden="1"/>
    <cellStyle name="Lien hypertexte visité" xfId="22860" builtinId="9" hidden="1"/>
    <cellStyle name="Lien hypertexte visité" xfId="22764" builtinId="9" hidden="1"/>
    <cellStyle name="Lien hypertexte visité" xfId="22684" builtinId="9" hidden="1"/>
    <cellStyle name="Lien hypertexte visité" xfId="22604" builtinId="9" hidden="1"/>
    <cellStyle name="Lien hypertexte visité" xfId="22508" builtinId="9" hidden="1"/>
    <cellStyle name="Lien hypertexte visité" xfId="22428" builtinId="9" hidden="1"/>
    <cellStyle name="Lien hypertexte visité" xfId="22348" builtinId="9" hidden="1"/>
    <cellStyle name="Lien hypertexte visité" xfId="22252" builtinId="9" hidden="1"/>
    <cellStyle name="Lien hypertexte visité" xfId="22172" builtinId="9" hidden="1"/>
    <cellStyle name="Lien hypertexte visité" xfId="22092" builtinId="9" hidden="1"/>
    <cellStyle name="Lien hypertexte visité" xfId="21996" builtinId="9" hidden="1"/>
    <cellStyle name="Lien hypertexte visité" xfId="21916" builtinId="9" hidden="1"/>
    <cellStyle name="Lien hypertexte visité" xfId="21836" builtinId="9" hidden="1"/>
    <cellStyle name="Lien hypertexte visité" xfId="21740" builtinId="9" hidden="1"/>
    <cellStyle name="Lien hypertexte visité" xfId="21660" builtinId="9" hidden="1"/>
    <cellStyle name="Lien hypertexte visité" xfId="21580" builtinId="9" hidden="1"/>
    <cellStyle name="Lien hypertexte visité" xfId="21484" builtinId="9" hidden="1"/>
    <cellStyle name="Lien hypertexte visité" xfId="21404" builtinId="9" hidden="1"/>
    <cellStyle name="Lien hypertexte visité" xfId="21324" builtinId="9" hidden="1"/>
    <cellStyle name="Lien hypertexte visité" xfId="21228" builtinId="9" hidden="1"/>
    <cellStyle name="Lien hypertexte visité" xfId="21148" builtinId="9" hidden="1"/>
    <cellStyle name="Lien hypertexte visité" xfId="21068" builtinId="9" hidden="1"/>
    <cellStyle name="Lien hypertexte visité" xfId="20972" builtinId="9" hidden="1"/>
    <cellStyle name="Lien hypertexte visité" xfId="20892" builtinId="9" hidden="1"/>
    <cellStyle name="Lien hypertexte visité" xfId="20812" builtinId="9" hidden="1"/>
    <cellStyle name="Lien hypertexte visité" xfId="20716" builtinId="9" hidden="1"/>
    <cellStyle name="Lien hypertexte visité" xfId="20636" builtinId="9" hidden="1"/>
    <cellStyle name="Lien hypertexte visité" xfId="20556" builtinId="9" hidden="1"/>
    <cellStyle name="Lien hypertexte visité" xfId="20460" builtinId="9" hidden="1"/>
    <cellStyle name="Lien hypertexte visité" xfId="20380" builtinId="9" hidden="1"/>
    <cellStyle name="Lien hypertexte visité" xfId="20300" builtinId="9" hidden="1"/>
    <cellStyle name="Lien hypertexte visité" xfId="20204" builtinId="9" hidden="1"/>
    <cellStyle name="Lien hypertexte visité" xfId="20124" builtinId="9" hidden="1"/>
    <cellStyle name="Lien hypertexte visité" xfId="20044" builtinId="9" hidden="1"/>
    <cellStyle name="Lien hypertexte visité" xfId="19948" builtinId="9" hidden="1"/>
    <cellStyle name="Lien hypertexte visité" xfId="19868" builtinId="9" hidden="1"/>
    <cellStyle name="Lien hypertexte visité" xfId="19788" builtinId="9" hidden="1"/>
    <cellStyle name="Lien hypertexte visité" xfId="19692" builtinId="9" hidden="1"/>
    <cellStyle name="Lien hypertexte visité" xfId="19612" builtinId="9" hidden="1"/>
    <cellStyle name="Lien hypertexte visité" xfId="19532" builtinId="9" hidden="1"/>
    <cellStyle name="Lien hypertexte visité" xfId="19436" builtinId="9" hidden="1"/>
    <cellStyle name="Lien hypertexte visité" xfId="19356" builtinId="9" hidden="1"/>
    <cellStyle name="Lien hypertexte visité" xfId="19276" builtinId="9" hidden="1"/>
    <cellStyle name="Lien hypertexte visité" xfId="19180" builtinId="9" hidden="1"/>
    <cellStyle name="Lien hypertexte visité" xfId="19100" builtinId="9" hidden="1"/>
    <cellStyle name="Lien hypertexte visité" xfId="19020" builtinId="9" hidden="1"/>
    <cellStyle name="Lien hypertexte visité" xfId="18924" builtinId="9" hidden="1"/>
    <cellStyle name="Lien hypertexte visité" xfId="18844" builtinId="9" hidden="1"/>
    <cellStyle name="Lien hypertexte visité" xfId="18764" builtinId="9" hidden="1"/>
    <cellStyle name="Lien hypertexte visité" xfId="18668" builtinId="9" hidden="1"/>
    <cellStyle name="Lien hypertexte visité" xfId="18588" builtinId="9" hidden="1"/>
    <cellStyle name="Lien hypertexte visité" xfId="18508" builtinId="9" hidden="1"/>
    <cellStyle name="Lien hypertexte visité" xfId="18412" builtinId="9" hidden="1"/>
    <cellStyle name="Lien hypertexte visité" xfId="18332" builtinId="9" hidden="1"/>
    <cellStyle name="Lien hypertexte visité" xfId="18269" builtinId="9" hidden="1"/>
    <cellStyle name="Lien hypertexte visité" xfId="18173" builtinId="9" hidden="1"/>
    <cellStyle name="Lien hypertexte visité" xfId="18093" builtinId="9" hidden="1"/>
    <cellStyle name="Lien hypertexte visité" xfId="18013" builtinId="9" hidden="1"/>
    <cellStyle name="Lien hypertexte visité" xfId="17917" builtinId="9" hidden="1"/>
    <cellStyle name="Lien hypertexte visité" xfId="17837" builtinId="9" hidden="1"/>
    <cellStyle name="Lien hypertexte visité" xfId="17757" builtinId="9" hidden="1"/>
    <cellStyle name="Lien hypertexte visité" xfId="17661" builtinId="9" hidden="1"/>
    <cellStyle name="Lien hypertexte visité" xfId="17581" builtinId="9" hidden="1"/>
    <cellStyle name="Lien hypertexte visité" xfId="17501" builtinId="9" hidden="1"/>
    <cellStyle name="Lien hypertexte visité" xfId="17405" builtinId="9" hidden="1"/>
    <cellStyle name="Lien hypertexte visité" xfId="17325" builtinId="9" hidden="1"/>
    <cellStyle name="Lien hypertexte visité" xfId="17245" builtinId="9" hidden="1"/>
    <cellStyle name="Lien hypertexte visité" xfId="17149" builtinId="9" hidden="1"/>
    <cellStyle name="Lien hypertexte visité" xfId="17069" builtinId="9" hidden="1"/>
    <cellStyle name="Lien hypertexte visité" xfId="16989" builtinId="9" hidden="1"/>
    <cellStyle name="Lien hypertexte visité" xfId="16893" builtinId="9" hidden="1"/>
    <cellStyle name="Lien hypertexte visité" xfId="16813" builtinId="9" hidden="1"/>
    <cellStyle name="Lien hypertexte visité" xfId="16733" builtinId="9" hidden="1"/>
    <cellStyle name="Lien hypertexte visité" xfId="16637" builtinId="9" hidden="1"/>
    <cellStyle name="Lien hypertexte visité" xfId="16557" builtinId="9" hidden="1"/>
    <cellStyle name="Lien hypertexte visité" xfId="16477" builtinId="9" hidden="1"/>
    <cellStyle name="Lien hypertexte visité" xfId="16381" builtinId="9" hidden="1"/>
    <cellStyle name="Lien hypertexte visité" xfId="16301" builtinId="9" hidden="1"/>
    <cellStyle name="Lien hypertexte visité" xfId="16221" builtinId="9" hidden="1"/>
    <cellStyle name="Lien hypertexte visité" xfId="16125" builtinId="9" hidden="1"/>
    <cellStyle name="Lien hypertexte visité" xfId="16045" builtinId="9" hidden="1"/>
    <cellStyle name="Lien hypertexte visité" xfId="15965" builtinId="9" hidden="1"/>
    <cellStyle name="Lien hypertexte visité" xfId="15869" builtinId="9" hidden="1"/>
    <cellStyle name="Lien hypertexte visité" xfId="15789" builtinId="9" hidden="1"/>
    <cellStyle name="Lien hypertexte visité" xfId="15709" builtinId="9" hidden="1"/>
    <cellStyle name="Lien hypertexte visité" xfId="15613" builtinId="9" hidden="1"/>
    <cellStyle name="Lien hypertexte visité" xfId="15533" builtinId="9" hidden="1"/>
    <cellStyle name="Lien hypertexte visité" xfId="15453" builtinId="9" hidden="1"/>
    <cellStyle name="Lien hypertexte visité" xfId="15357" builtinId="9" hidden="1"/>
    <cellStyle name="Lien hypertexte visité" xfId="15277" builtinId="9" hidden="1"/>
    <cellStyle name="Lien hypertexte visité" xfId="15197" builtinId="9" hidden="1"/>
    <cellStyle name="Lien hypertexte visité" xfId="15101" builtinId="9" hidden="1"/>
    <cellStyle name="Lien hypertexte visité" xfId="15021" builtinId="9" hidden="1"/>
    <cellStyle name="Lien hypertexte visité" xfId="14941" builtinId="9" hidden="1"/>
    <cellStyle name="Lien hypertexte visité" xfId="14845" builtinId="9" hidden="1"/>
    <cellStyle name="Lien hypertexte visité" xfId="14765" builtinId="9" hidden="1"/>
    <cellStyle name="Lien hypertexte visité" xfId="14685" builtinId="9" hidden="1"/>
    <cellStyle name="Lien hypertexte visité" xfId="14589" builtinId="9" hidden="1"/>
    <cellStyle name="Lien hypertexte visité" xfId="14512" builtinId="9" hidden="1"/>
    <cellStyle name="Lien hypertexte visité" xfId="14472" builtinId="9" hidden="1"/>
    <cellStyle name="Lien hypertexte visité" xfId="14424" builtinId="9" hidden="1"/>
    <cellStyle name="Lien hypertexte visité" xfId="14384" builtinId="9" hidden="1"/>
    <cellStyle name="Lien hypertexte visité" xfId="14344" builtinId="9" hidden="1"/>
    <cellStyle name="Lien hypertexte visité" xfId="14296" builtinId="9" hidden="1"/>
    <cellStyle name="Lien hypertexte visité" xfId="14256" builtinId="9" hidden="1"/>
    <cellStyle name="Lien hypertexte visité" xfId="14216" builtinId="9" hidden="1"/>
    <cellStyle name="Lien hypertexte visité" xfId="14168" builtinId="9" hidden="1"/>
    <cellStyle name="Lien hypertexte visité" xfId="14128" builtinId="9" hidden="1"/>
    <cellStyle name="Lien hypertexte visité" xfId="14088" builtinId="9" hidden="1"/>
    <cellStyle name="Lien hypertexte visité" xfId="14040" builtinId="9" hidden="1"/>
    <cellStyle name="Lien hypertexte visité" xfId="14000" builtinId="9" hidden="1"/>
    <cellStyle name="Lien hypertexte visité" xfId="13960" builtinId="9" hidden="1"/>
    <cellStyle name="Lien hypertexte visité" xfId="13912" builtinId="9" hidden="1"/>
    <cellStyle name="Lien hypertexte visité" xfId="13872" builtinId="9" hidden="1"/>
    <cellStyle name="Lien hypertexte visité" xfId="13832" builtinId="9" hidden="1"/>
    <cellStyle name="Lien hypertexte visité" xfId="13784" builtinId="9" hidden="1"/>
    <cellStyle name="Lien hypertexte visité" xfId="13744" builtinId="9" hidden="1"/>
    <cellStyle name="Lien hypertexte visité" xfId="13704" builtinId="9" hidden="1"/>
    <cellStyle name="Lien hypertexte visité" xfId="13656" builtinId="9" hidden="1"/>
    <cellStyle name="Lien hypertexte visité" xfId="13616" builtinId="9" hidden="1"/>
    <cellStyle name="Lien hypertexte visité" xfId="13576" builtinId="9" hidden="1"/>
    <cellStyle name="Lien hypertexte visité" xfId="13528" builtinId="9" hidden="1"/>
    <cellStyle name="Lien hypertexte visité" xfId="13488" builtinId="9" hidden="1"/>
    <cellStyle name="Lien hypertexte visité" xfId="13448" builtinId="9" hidden="1"/>
    <cellStyle name="Lien hypertexte visité" xfId="13400" builtinId="9" hidden="1"/>
    <cellStyle name="Lien hypertexte visité" xfId="13360" builtinId="9" hidden="1"/>
    <cellStyle name="Lien hypertexte visité" xfId="13320" builtinId="9" hidden="1"/>
    <cellStyle name="Lien hypertexte visité" xfId="13272" builtinId="9" hidden="1"/>
    <cellStyle name="Lien hypertexte visité" xfId="13232" builtinId="9" hidden="1"/>
    <cellStyle name="Lien hypertexte visité" xfId="13192" builtinId="9" hidden="1"/>
    <cellStyle name="Lien hypertexte visité" xfId="13144" builtinId="9" hidden="1"/>
    <cellStyle name="Lien hypertexte visité" xfId="13104" builtinId="9" hidden="1"/>
    <cellStyle name="Lien hypertexte visité" xfId="13064" builtinId="9" hidden="1"/>
    <cellStyle name="Lien hypertexte visité" xfId="13016" builtinId="9" hidden="1"/>
    <cellStyle name="Lien hypertexte visité" xfId="12976" builtinId="9" hidden="1"/>
    <cellStyle name="Lien hypertexte visité" xfId="12936" builtinId="9" hidden="1"/>
    <cellStyle name="Lien hypertexte visité" xfId="12888" builtinId="9" hidden="1"/>
    <cellStyle name="Lien hypertexte visité" xfId="12848" builtinId="9" hidden="1"/>
    <cellStyle name="Lien hypertexte visité" xfId="12808" builtinId="9" hidden="1"/>
    <cellStyle name="Lien hypertexte visité" xfId="12760" builtinId="9" hidden="1"/>
    <cellStyle name="Lien hypertexte visité" xfId="12720" builtinId="9" hidden="1"/>
    <cellStyle name="Lien hypertexte visité" xfId="12680" builtinId="9" hidden="1"/>
    <cellStyle name="Lien hypertexte visité" xfId="12632" builtinId="9" hidden="1"/>
    <cellStyle name="Lien hypertexte visité" xfId="12592" builtinId="9" hidden="1"/>
    <cellStyle name="Lien hypertexte visité" xfId="12552" builtinId="9" hidden="1"/>
    <cellStyle name="Lien hypertexte visité" xfId="12504" builtinId="9" hidden="1"/>
    <cellStyle name="Lien hypertexte visité" xfId="12464" builtinId="9" hidden="1"/>
    <cellStyle name="Lien hypertexte visité" xfId="12424" builtinId="9" hidden="1"/>
    <cellStyle name="Lien hypertexte visité" xfId="12376" builtinId="9" hidden="1"/>
    <cellStyle name="Lien hypertexte visité" xfId="12336" builtinId="9" hidden="1"/>
    <cellStyle name="Lien hypertexte visité" xfId="12296" builtinId="9" hidden="1"/>
    <cellStyle name="Lien hypertexte visité" xfId="12248" builtinId="9" hidden="1"/>
    <cellStyle name="Lien hypertexte visité" xfId="12208" builtinId="9" hidden="1"/>
    <cellStyle name="Lien hypertexte visité" xfId="12168" builtinId="9" hidden="1"/>
    <cellStyle name="Lien hypertexte visité" xfId="12120" builtinId="9" hidden="1"/>
    <cellStyle name="Lien hypertexte visité" xfId="12080" builtinId="9" hidden="1"/>
    <cellStyle name="Lien hypertexte visité" xfId="12040" builtinId="9" hidden="1"/>
    <cellStyle name="Lien hypertexte visité" xfId="11992" builtinId="9" hidden="1"/>
    <cellStyle name="Lien hypertexte visité" xfId="11952" builtinId="9" hidden="1"/>
    <cellStyle name="Lien hypertexte visité" xfId="11912" builtinId="9" hidden="1"/>
    <cellStyle name="Lien hypertexte visité" xfId="11864" builtinId="9" hidden="1"/>
    <cellStyle name="Lien hypertexte visité" xfId="11824" builtinId="9" hidden="1"/>
    <cellStyle name="Lien hypertexte visité" xfId="11784" builtinId="9" hidden="1"/>
    <cellStyle name="Lien hypertexte visité" xfId="11736" builtinId="9" hidden="1"/>
    <cellStyle name="Lien hypertexte visité" xfId="11696" builtinId="9" hidden="1"/>
    <cellStyle name="Lien hypertexte visité" xfId="11656" builtinId="9" hidden="1"/>
    <cellStyle name="Lien hypertexte visité" xfId="11608" builtinId="9" hidden="1"/>
    <cellStyle name="Lien hypertexte visité" xfId="11568" builtinId="9" hidden="1"/>
    <cellStyle name="Lien hypertexte visité" xfId="11528" builtinId="9" hidden="1"/>
    <cellStyle name="Lien hypertexte visité" xfId="11480" builtinId="9" hidden="1"/>
    <cellStyle name="Lien hypertexte visité" xfId="11440" builtinId="9" hidden="1"/>
    <cellStyle name="Lien hypertexte visité" xfId="11400" builtinId="9" hidden="1"/>
    <cellStyle name="Lien hypertexte visité" xfId="11352" builtinId="9" hidden="1"/>
    <cellStyle name="Lien hypertexte visité" xfId="11312" builtinId="9" hidden="1"/>
    <cellStyle name="Lien hypertexte visité" xfId="11272" builtinId="9" hidden="1"/>
    <cellStyle name="Lien hypertexte visité" xfId="11224" builtinId="9" hidden="1"/>
    <cellStyle name="Lien hypertexte visité" xfId="11184" builtinId="9" hidden="1"/>
    <cellStyle name="Lien hypertexte visité" xfId="11144" builtinId="9" hidden="1"/>
    <cellStyle name="Lien hypertexte visité" xfId="11096" builtinId="9" hidden="1"/>
    <cellStyle name="Lien hypertexte visité" xfId="11056" builtinId="9" hidden="1"/>
    <cellStyle name="Lien hypertexte visité" xfId="11016" builtinId="9" hidden="1"/>
    <cellStyle name="Lien hypertexte visité" xfId="10968" builtinId="9" hidden="1"/>
    <cellStyle name="Lien hypertexte visité" xfId="10928" builtinId="9" hidden="1"/>
    <cellStyle name="Lien hypertexte visité" xfId="10888" builtinId="9" hidden="1"/>
    <cellStyle name="Lien hypertexte visité" xfId="10840" builtinId="9" hidden="1"/>
    <cellStyle name="Lien hypertexte visité" xfId="10800" builtinId="9" hidden="1"/>
    <cellStyle name="Lien hypertexte visité" xfId="10760" builtinId="9" hidden="1"/>
    <cellStyle name="Lien hypertexte visité" xfId="10712" builtinId="9" hidden="1"/>
    <cellStyle name="Lien hypertexte visité" xfId="10672" builtinId="9" hidden="1"/>
    <cellStyle name="Lien hypertexte visité" xfId="10632" builtinId="9" hidden="1"/>
    <cellStyle name="Lien hypertexte visité" xfId="10584" builtinId="9" hidden="1"/>
    <cellStyle name="Lien hypertexte visité" xfId="10544" builtinId="9" hidden="1"/>
    <cellStyle name="Lien hypertexte visité" xfId="10504" builtinId="9" hidden="1"/>
    <cellStyle name="Lien hypertexte visité" xfId="10456" builtinId="9" hidden="1"/>
    <cellStyle name="Lien hypertexte visité" xfId="10416" builtinId="9" hidden="1"/>
    <cellStyle name="Lien hypertexte visité" xfId="10376" builtinId="9" hidden="1"/>
    <cellStyle name="Lien hypertexte visité" xfId="10328" builtinId="9" hidden="1"/>
    <cellStyle name="Lien hypertexte visité" xfId="10288" builtinId="9" hidden="1"/>
    <cellStyle name="Lien hypertexte visité" xfId="10248" builtinId="9" hidden="1"/>
    <cellStyle name="Lien hypertexte visité" xfId="10200" builtinId="9" hidden="1"/>
    <cellStyle name="Lien hypertexte visité" xfId="10160" builtinId="9" hidden="1"/>
    <cellStyle name="Lien hypertexte visité" xfId="10120" builtinId="9" hidden="1"/>
    <cellStyle name="Lien hypertexte visité" xfId="10072" builtinId="9" hidden="1"/>
    <cellStyle name="Lien hypertexte visité" xfId="10032" builtinId="9" hidden="1"/>
    <cellStyle name="Lien hypertexte visité" xfId="9992" builtinId="9" hidden="1"/>
    <cellStyle name="Lien hypertexte visité" xfId="9944" builtinId="9" hidden="1"/>
    <cellStyle name="Lien hypertexte visité" xfId="9904" builtinId="9" hidden="1"/>
    <cellStyle name="Lien hypertexte visité" xfId="9864" builtinId="9" hidden="1"/>
    <cellStyle name="Lien hypertexte visité" xfId="9816" builtinId="9" hidden="1"/>
    <cellStyle name="Lien hypertexte visité" xfId="9776" builtinId="9" hidden="1"/>
    <cellStyle name="Lien hypertexte visité" xfId="9736" builtinId="9" hidden="1"/>
    <cellStyle name="Lien hypertexte visité" xfId="9688" builtinId="9" hidden="1"/>
    <cellStyle name="Lien hypertexte visité" xfId="9648" builtinId="9" hidden="1"/>
    <cellStyle name="Lien hypertexte visité" xfId="9608" builtinId="9" hidden="1"/>
    <cellStyle name="Lien hypertexte visité" xfId="9560" builtinId="9" hidden="1"/>
    <cellStyle name="Lien hypertexte visité" xfId="9520" builtinId="9" hidden="1"/>
    <cellStyle name="Lien hypertexte visité" xfId="9480" builtinId="9" hidden="1"/>
    <cellStyle name="Lien hypertexte visité" xfId="9432" builtinId="9" hidden="1"/>
    <cellStyle name="Lien hypertexte visité" xfId="9392" builtinId="9" hidden="1"/>
    <cellStyle name="Lien hypertexte visité" xfId="9352" builtinId="9" hidden="1"/>
    <cellStyle name="Lien hypertexte visité" xfId="9304" builtinId="9" hidden="1"/>
    <cellStyle name="Lien hypertexte visité" xfId="9264" builtinId="9" hidden="1"/>
    <cellStyle name="Lien hypertexte visité" xfId="9224" builtinId="9" hidden="1"/>
    <cellStyle name="Lien hypertexte visité" xfId="9176" builtinId="9" hidden="1"/>
    <cellStyle name="Lien hypertexte visité" xfId="9136" builtinId="9" hidden="1"/>
    <cellStyle name="Lien hypertexte visité" xfId="9096" builtinId="9" hidden="1"/>
    <cellStyle name="Lien hypertexte visité" xfId="9048" builtinId="9" hidden="1"/>
    <cellStyle name="Lien hypertexte visité" xfId="9008" builtinId="9" hidden="1"/>
    <cellStyle name="Lien hypertexte visité" xfId="8968" builtinId="9" hidden="1"/>
    <cellStyle name="Lien hypertexte visité" xfId="8920" builtinId="9" hidden="1"/>
    <cellStyle name="Lien hypertexte visité" xfId="8880" builtinId="9" hidden="1"/>
    <cellStyle name="Lien hypertexte visité" xfId="8896" builtinId="9" hidden="1"/>
    <cellStyle name="Lien hypertexte visité" xfId="9024" builtinId="9" hidden="1"/>
    <cellStyle name="Lien hypertexte visité" xfId="9152" builtinId="9" hidden="1"/>
    <cellStyle name="Lien hypertexte visité" xfId="9280" builtinId="9" hidden="1"/>
    <cellStyle name="Lien hypertexte visité" xfId="9408" builtinId="9" hidden="1"/>
    <cellStyle name="Lien hypertexte visité" xfId="9536" builtinId="9" hidden="1"/>
    <cellStyle name="Lien hypertexte visité" xfId="9664" builtinId="9" hidden="1"/>
    <cellStyle name="Lien hypertexte visité" xfId="9792" builtinId="9" hidden="1"/>
    <cellStyle name="Lien hypertexte visité" xfId="9920" builtinId="9" hidden="1"/>
    <cellStyle name="Lien hypertexte visité" xfId="10048" builtinId="9" hidden="1"/>
    <cellStyle name="Lien hypertexte visité" xfId="10176" builtinId="9" hidden="1"/>
    <cellStyle name="Lien hypertexte visité" xfId="10304" builtinId="9" hidden="1"/>
    <cellStyle name="Lien hypertexte visité" xfId="10432" builtinId="9" hidden="1"/>
    <cellStyle name="Lien hypertexte visité" xfId="10560" builtinId="9" hidden="1"/>
    <cellStyle name="Lien hypertexte visité" xfId="10688" builtinId="9" hidden="1"/>
    <cellStyle name="Lien hypertexte visité" xfId="10816" builtinId="9" hidden="1"/>
    <cellStyle name="Lien hypertexte visité" xfId="10944" builtinId="9" hidden="1"/>
    <cellStyle name="Lien hypertexte visité" xfId="11072" builtinId="9" hidden="1"/>
    <cellStyle name="Lien hypertexte visité" xfId="11200" builtinId="9" hidden="1"/>
    <cellStyle name="Lien hypertexte visité" xfId="11328" builtinId="9" hidden="1"/>
    <cellStyle name="Lien hypertexte visité" xfId="11456" builtinId="9" hidden="1"/>
    <cellStyle name="Lien hypertexte visité" xfId="11584" builtinId="9" hidden="1"/>
    <cellStyle name="Lien hypertexte visité" xfId="11712" builtinId="9" hidden="1"/>
    <cellStyle name="Lien hypertexte visité" xfId="11840" builtinId="9" hidden="1"/>
    <cellStyle name="Lien hypertexte visité" xfId="11968" builtinId="9" hidden="1"/>
    <cellStyle name="Lien hypertexte visité" xfId="12096" builtinId="9" hidden="1"/>
    <cellStyle name="Lien hypertexte visité" xfId="12224" builtinId="9" hidden="1"/>
    <cellStyle name="Lien hypertexte visité" xfId="12352" builtinId="9" hidden="1"/>
    <cellStyle name="Lien hypertexte visité" xfId="12480" builtinId="9" hidden="1"/>
    <cellStyle name="Lien hypertexte visité" xfId="12608" builtinId="9" hidden="1"/>
    <cellStyle name="Lien hypertexte visité" xfId="12736" builtinId="9" hidden="1"/>
    <cellStyle name="Lien hypertexte visité" xfId="12864" builtinId="9" hidden="1"/>
    <cellStyle name="Lien hypertexte visité" xfId="12992" builtinId="9" hidden="1"/>
    <cellStyle name="Lien hypertexte visité" xfId="13120" builtinId="9" hidden="1"/>
    <cellStyle name="Lien hypertexte visité" xfId="13248" builtinId="9" hidden="1"/>
    <cellStyle name="Lien hypertexte visité" xfId="13376" builtinId="9" hidden="1"/>
    <cellStyle name="Lien hypertexte visité" xfId="13504" builtinId="9" hidden="1"/>
    <cellStyle name="Lien hypertexte visité" xfId="13632" builtinId="9" hidden="1"/>
    <cellStyle name="Lien hypertexte visité" xfId="13760" builtinId="9" hidden="1"/>
    <cellStyle name="Lien hypertexte visité" xfId="13888" builtinId="9" hidden="1"/>
    <cellStyle name="Lien hypertexte visité" xfId="14016" builtinId="9" hidden="1"/>
    <cellStyle name="Lien hypertexte visité" xfId="14144" builtinId="9" hidden="1"/>
    <cellStyle name="Lien hypertexte visité" xfId="14272" builtinId="9" hidden="1"/>
    <cellStyle name="Lien hypertexte visité" xfId="14400" builtinId="9" hidden="1"/>
    <cellStyle name="Lien hypertexte visité" xfId="14541" builtinId="9" hidden="1"/>
    <cellStyle name="Lien hypertexte visité" xfId="14797" builtinId="9" hidden="1"/>
    <cellStyle name="Lien hypertexte visité" xfId="15053" builtinId="9" hidden="1"/>
    <cellStyle name="Lien hypertexte visité" xfId="15309" builtinId="9" hidden="1"/>
    <cellStyle name="Lien hypertexte visité" xfId="15565" builtinId="9" hidden="1"/>
    <cellStyle name="Lien hypertexte visité" xfId="15821" builtinId="9" hidden="1"/>
    <cellStyle name="Lien hypertexte visité" xfId="16077" builtinId="9" hidden="1"/>
    <cellStyle name="Lien hypertexte visité" xfId="16333" builtinId="9" hidden="1"/>
    <cellStyle name="Lien hypertexte visité" xfId="16589" builtinId="9" hidden="1"/>
    <cellStyle name="Lien hypertexte visité" xfId="16845" builtinId="9" hidden="1"/>
    <cellStyle name="Lien hypertexte visité" xfId="17101" builtinId="9" hidden="1"/>
    <cellStyle name="Lien hypertexte visité" xfId="17357" builtinId="9" hidden="1"/>
    <cellStyle name="Lien hypertexte visité" xfId="17613" builtinId="9" hidden="1"/>
    <cellStyle name="Lien hypertexte visité" xfId="17869" builtinId="9" hidden="1"/>
    <cellStyle name="Lien hypertexte visité" xfId="18125" builtinId="9" hidden="1"/>
    <cellStyle name="Lien hypertexte visité" xfId="18364" builtinId="9" hidden="1"/>
    <cellStyle name="Lien hypertexte visité" xfId="18620" builtinId="9" hidden="1"/>
    <cellStyle name="Lien hypertexte visité" xfId="18876" builtinId="9" hidden="1"/>
    <cellStyle name="Lien hypertexte visité" xfId="19132" builtinId="9" hidden="1"/>
    <cellStyle name="Lien hypertexte visité" xfId="19388" builtinId="9" hidden="1"/>
    <cellStyle name="Lien hypertexte visité" xfId="19644" builtinId="9" hidden="1"/>
    <cellStyle name="Lien hypertexte visité" xfId="19900" builtinId="9" hidden="1"/>
    <cellStyle name="Lien hypertexte visité" xfId="20156" builtinId="9" hidden="1"/>
    <cellStyle name="Lien hypertexte visité" xfId="20412" builtinId="9" hidden="1"/>
    <cellStyle name="Lien hypertexte visité" xfId="20668" builtinId="9" hidden="1"/>
    <cellStyle name="Lien hypertexte visité" xfId="20924" builtinId="9" hidden="1"/>
    <cellStyle name="Lien hypertexte visité" xfId="21180" builtinId="9" hidden="1"/>
    <cellStyle name="Lien hypertexte visité" xfId="21436" builtinId="9" hidden="1"/>
    <cellStyle name="Lien hypertexte visité" xfId="21692" builtinId="9" hidden="1"/>
    <cellStyle name="Lien hypertexte visité" xfId="21948" builtinId="9" hidden="1"/>
    <cellStyle name="Lien hypertexte visité" xfId="22204" builtinId="9" hidden="1"/>
    <cellStyle name="Lien hypertexte visité" xfId="22460" builtinId="9" hidden="1"/>
    <cellStyle name="Lien hypertexte visité" xfId="22716" builtinId="9" hidden="1"/>
    <cellStyle name="Lien hypertexte visité" xfId="22972" builtinId="9" hidden="1"/>
    <cellStyle name="Lien hypertexte visité" xfId="23228" builtinId="9" hidden="1"/>
    <cellStyle name="Lien hypertexte visité" xfId="23484" builtinId="9" hidden="1"/>
    <cellStyle name="Lien hypertexte visité" xfId="23740" builtinId="9" hidden="1"/>
    <cellStyle name="Lien hypertexte visité" xfId="23996" builtinId="9" hidden="1"/>
    <cellStyle name="Lien hypertexte visité" xfId="24252" builtinId="9" hidden="1"/>
    <cellStyle name="Lien hypertexte visité" xfId="24508" builtinId="9" hidden="1"/>
    <cellStyle name="Lien hypertexte visité" xfId="24462" builtinId="9" hidden="1"/>
    <cellStyle name="Lien hypertexte visité" xfId="24206" builtinId="9" hidden="1"/>
    <cellStyle name="Lien hypertexte visité" xfId="23950" builtinId="9" hidden="1"/>
    <cellStyle name="Lien hypertexte visité" xfId="23694" builtinId="9" hidden="1"/>
    <cellStyle name="Lien hypertexte visité" xfId="23438" builtinId="9" hidden="1"/>
    <cellStyle name="Lien hypertexte visité" xfId="23182" builtinId="9" hidden="1"/>
    <cellStyle name="Lien hypertexte visité" xfId="22926" builtinId="9" hidden="1"/>
    <cellStyle name="Lien hypertexte visité" xfId="22670" builtinId="9" hidden="1"/>
    <cellStyle name="Lien hypertexte visité" xfId="22414" builtinId="9" hidden="1"/>
    <cellStyle name="Lien hypertexte visité" xfId="22158" builtinId="9" hidden="1"/>
    <cellStyle name="Lien hypertexte visité" xfId="21902" builtinId="9" hidden="1"/>
    <cellStyle name="Lien hypertexte visité" xfId="21646" builtinId="9" hidden="1"/>
    <cellStyle name="Lien hypertexte visité" xfId="21390" builtinId="9" hidden="1"/>
    <cellStyle name="Lien hypertexte visité" xfId="21134" builtinId="9" hidden="1"/>
    <cellStyle name="Lien hypertexte visité" xfId="20878" builtinId="9" hidden="1"/>
    <cellStyle name="Lien hypertexte visité" xfId="20622" builtinId="9" hidden="1"/>
    <cellStyle name="Lien hypertexte visité" xfId="20366" builtinId="9" hidden="1"/>
    <cellStyle name="Lien hypertexte visité" xfId="20110" builtinId="9" hidden="1"/>
    <cellStyle name="Lien hypertexte visité" xfId="19854" builtinId="9" hidden="1"/>
    <cellStyle name="Lien hypertexte visité" xfId="19598" builtinId="9" hidden="1"/>
    <cellStyle name="Lien hypertexte visité" xfId="19342" builtinId="9" hidden="1"/>
    <cellStyle name="Lien hypertexte visité" xfId="19086" builtinId="9" hidden="1"/>
    <cellStyle name="Lien hypertexte visité" xfId="18830" builtinId="9" hidden="1"/>
    <cellStyle name="Lien hypertexte visité" xfId="18574" builtinId="9" hidden="1"/>
    <cellStyle name="Lien hypertexte visité" xfId="18322" builtinId="9" hidden="1"/>
    <cellStyle name="Lien hypertexte visité" xfId="18079" builtinId="9" hidden="1"/>
    <cellStyle name="Lien hypertexte visité" xfId="17823" builtinId="9" hidden="1"/>
    <cellStyle name="Lien hypertexte visité" xfId="17567" builtinId="9" hidden="1"/>
    <cellStyle name="Lien hypertexte visité" xfId="17311" builtinId="9" hidden="1"/>
    <cellStyle name="Lien hypertexte visité" xfId="17055" builtinId="9" hidden="1"/>
    <cellStyle name="Lien hypertexte visité" xfId="16799" builtinId="9" hidden="1"/>
    <cellStyle name="Lien hypertexte visité" xfId="16543" builtinId="9" hidden="1"/>
    <cellStyle name="Lien hypertexte visité" xfId="16287" builtinId="9" hidden="1"/>
    <cellStyle name="Lien hypertexte visité" xfId="16031" builtinId="9" hidden="1"/>
    <cellStyle name="Lien hypertexte visité" xfId="15775" builtinId="9" hidden="1"/>
    <cellStyle name="Lien hypertexte visité" xfId="15519" builtinId="9" hidden="1"/>
    <cellStyle name="Lien hypertexte visité" xfId="15263" builtinId="9" hidden="1"/>
    <cellStyle name="Lien hypertexte visité" xfId="15007" builtinId="9" hidden="1"/>
    <cellStyle name="Lien hypertexte visité" xfId="14751" builtinId="9" hidden="1"/>
    <cellStyle name="Lien hypertexte visité" xfId="14505" builtinId="9" hidden="1"/>
    <cellStyle name="Lien hypertexte visité" xfId="14377" builtinId="9" hidden="1"/>
    <cellStyle name="Lien hypertexte visité" xfId="14249" builtinId="9" hidden="1"/>
    <cellStyle name="Lien hypertexte visité" xfId="14121" builtinId="9" hidden="1"/>
    <cellStyle name="Lien hypertexte visité" xfId="13993" builtinId="9" hidden="1"/>
    <cellStyle name="Lien hypertexte visité" xfId="13865" builtinId="9" hidden="1"/>
    <cellStyle name="Lien hypertexte visité" xfId="13737" builtinId="9" hidden="1"/>
    <cellStyle name="Lien hypertexte visité" xfId="13609" builtinId="9" hidden="1"/>
    <cellStyle name="Lien hypertexte visité" xfId="13481" builtinId="9" hidden="1"/>
    <cellStyle name="Lien hypertexte visité" xfId="13353" builtinId="9" hidden="1"/>
    <cellStyle name="Lien hypertexte visité" xfId="13225" builtinId="9" hidden="1"/>
    <cellStyle name="Lien hypertexte visité" xfId="13097" builtinId="9" hidden="1"/>
    <cellStyle name="Lien hypertexte visité" xfId="12969" builtinId="9" hidden="1"/>
    <cellStyle name="Lien hypertexte visité" xfId="12841" builtinId="9" hidden="1"/>
    <cellStyle name="Lien hypertexte visité" xfId="12713" builtinId="9" hidden="1"/>
    <cellStyle name="Lien hypertexte visité" xfId="12585" builtinId="9" hidden="1"/>
    <cellStyle name="Lien hypertexte visité" xfId="12457" builtinId="9" hidden="1"/>
    <cellStyle name="Lien hypertexte visité" xfId="12329" builtinId="9" hidden="1"/>
    <cellStyle name="Lien hypertexte visité" xfId="12201" builtinId="9" hidden="1"/>
    <cellStyle name="Lien hypertexte visité" xfId="12073" builtinId="9" hidden="1"/>
    <cellStyle name="Lien hypertexte visité" xfId="11945" builtinId="9" hidden="1"/>
    <cellStyle name="Lien hypertexte visité" xfId="11817" builtinId="9" hidden="1"/>
    <cellStyle name="Lien hypertexte visité" xfId="11689" builtinId="9" hidden="1"/>
    <cellStyle name="Lien hypertexte visité" xfId="11561" builtinId="9" hidden="1"/>
    <cellStyle name="Lien hypertexte visité" xfId="11433" builtinId="9" hidden="1"/>
    <cellStyle name="Lien hypertexte visité" xfId="11305" builtinId="9" hidden="1"/>
    <cellStyle name="Lien hypertexte visité" xfId="11177" builtinId="9" hidden="1"/>
    <cellStyle name="Lien hypertexte visité" xfId="11049" builtinId="9" hidden="1"/>
    <cellStyle name="Lien hypertexte visité" xfId="10921" builtinId="9" hidden="1"/>
    <cellStyle name="Lien hypertexte visité" xfId="10793" builtinId="9" hidden="1"/>
    <cellStyle name="Lien hypertexte visité" xfId="10665" builtinId="9" hidden="1"/>
    <cellStyle name="Lien hypertexte visité" xfId="10537" builtinId="9" hidden="1"/>
    <cellStyle name="Lien hypertexte visité" xfId="10409" builtinId="9" hidden="1"/>
    <cellStyle name="Lien hypertexte visité" xfId="10281" builtinId="9" hidden="1"/>
    <cellStyle name="Lien hypertexte visité" xfId="10153" builtinId="9" hidden="1"/>
    <cellStyle name="Lien hypertexte visité" xfId="10025" builtinId="9" hidden="1"/>
    <cellStyle name="Lien hypertexte visité" xfId="9897" builtinId="9" hidden="1"/>
    <cellStyle name="Lien hypertexte visité" xfId="9769" builtinId="9" hidden="1"/>
    <cellStyle name="Lien hypertexte visité" xfId="9641" builtinId="9" hidden="1"/>
    <cellStyle name="Lien hypertexte visité" xfId="9513" builtinId="9" hidden="1"/>
    <cellStyle name="Lien hypertexte visité" xfId="9385" builtinId="9" hidden="1"/>
    <cellStyle name="Lien hypertexte visité" xfId="9257" builtinId="9" hidden="1"/>
    <cellStyle name="Lien hypertexte visité" xfId="9129" builtinId="9" hidden="1"/>
    <cellStyle name="Lien hypertexte visité" xfId="9001" builtinId="9" hidden="1"/>
    <cellStyle name="Lien hypertexte visité" xfId="8873" builtinId="9" hidden="1"/>
    <cellStyle name="Lien hypertexte visité" xfId="8745" builtinId="9" hidden="1"/>
    <cellStyle name="Lien hypertexte visité" xfId="8617" builtinId="9" hidden="1"/>
    <cellStyle name="Lien hypertexte visité" xfId="8489" builtinId="9" hidden="1"/>
    <cellStyle name="Lien hypertexte visité" xfId="8361" builtinId="9" hidden="1"/>
    <cellStyle name="Lien hypertexte visité" xfId="8233" builtinId="9" hidden="1"/>
    <cellStyle name="Lien hypertexte visité" xfId="8105" builtinId="9" hidden="1"/>
    <cellStyle name="Lien hypertexte visité" xfId="7977" builtinId="9" hidden="1"/>
    <cellStyle name="Lien hypertexte visité" xfId="7849" builtinId="9" hidden="1"/>
    <cellStyle name="Lien hypertexte visité" xfId="7720" builtinId="9" hidden="1"/>
    <cellStyle name="Lien hypertexte visité" xfId="7592" builtinId="9" hidden="1"/>
    <cellStyle name="Lien hypertexte visité" xfId="7464" builtinId="9" hidden="1"/>
    <cellStyle name="Lien hypertexte visité" xfId="7336" builtinId="9" hidden="1"/>
    <cellStyle name="Lien hypertexte visité" xfId="7208" builtinId="9" hidden="1"/>
    <cellStyle name="Lien hypertexte visité" xfId="7080" builtinId="9" hidden="1"/>
    <cellStyle name="Lien hypertexte visité" xfId="6952" builtinId="9" hidden="1"/>
    <cellStyle name="Lien hypertexte visité" xfId="6824" builtinId="9" hidden="1"/>
    <cellStyle name="Lien hypertexte visité" xfId="6696" builtinId="9" hidden="1"/>
    <cellStyle name="Lien hypertexte visité" xfId="6568" builtinId="9" hidden="1"/>
    <cellStyle name="Lien hypertexte visité" xfId="6440" builtinId="9" hidden="1"/>
    <cellStyle name="Lien hypertexte visité" xfId="6312" builtinId="9" hidden="1"/>
    <cellStyle name="Lien hypertexte visité" xfId="6184" builtinId="9" hidden="1"/>
    <cellStyle name="Lien hypertexte visité" xfId="6056" builtinId="9" hidden="1"/>
    <cellStyle name="Lien hypertexte visité" xfId="5928" builtinId="9" hidden="1"/>
    <cellStyle name="Lien hypertexte visité" xfId="5800" builtinId="9" hidden="1"/>
    <cellStyle name="Lien hypertexte visité" xfId="5672" builtinId="9" hidden="1"/>
    <cellStyle name="Lien hypertexte visité" xfId="5544" builtinId="9" hidden="1"/>
    <cellStyle name="Lien hypertexte visité" xfId="5416" builtinId="9" hidden="1"/>
    <cellStyle name="Lien hypertexte visité" xfId="5288" builtinId="9" hidden="1"/>
    <cellStyle name="Lien hypertexte visité" xfId="5160" builtinId="9" hidden="1"/>
    <cellStyle name="Lien hypertexte visité" xfId="5032" builtinId="9" hidden="1"/>
    <cellStyle name="Lien hypertexte visité" xfId="4904" builtinId="9" hidden="1"/>
    <cellStyle name="Lien hypertexte visité" xfId="4776" builtinId="9" hidden="1"/>
    <cellStyle name="Lien hypertexte visité" xfId="4648" builtinId="9" hidden="1"/>
    <cellStyle name="Lien hypertexte visité" xfId="4520" builtinId="9" hidden="1"/>
    <cellStyle name="Lien hypertexte visité" xfId="4392" builtinId="9" hidden="1"/>
    <cellStyle name="Lien hypertexte visité" xfId="4264" builtinId="9" hidden="1"/>
    <cellStyle name="Lien hypertexte visité" xfId="4136" builtinId="9" hidden="1"/>
    <cellStyle name="Lien hypertexte visité" xfId="4008" builtinId="9" hidden="1"/>
    <cellStyle name="Lien hypertexte visité" xfId="3883" builtinId="9" hidden="1"/>
    <cellStyle name="Lien hypertexte visité" xfId="3755" builtinId="9" hidden="1"/>
    <cellStyle name="Lien hypertexte visité" xfId="3619" builtinId="9" hidden="1"/>
    <cellStyle name="Lien hypertexte visité" xfId="3490" builtinId="9" hidden="1"/>
    <cellStyle name="Lien hypertexte visité" xfId="3362" builtinId="9" hidden="1"/>
    <cellStyle name="Lien hypertexte visité" xfId="3234" builtinId="9" hidden="1"/>
    <cellStyle name="Lien hypertexte visité" xfId="3106" builtinId="9" hidden="1"/>
    <cellStyle name="Lien hypertexte visité" xfId="2978" builtinId="9" hidden="1"/>
    <cellStyle name="Lien hypertexte visité" xfId="2850" builtinId="9" hidden="1"/>
    <cellStyle name="Lien hypertexte visité" xfId="2722" builtinId="9" hidden="1"/>
    <cellStyle name="Lien hypertexte visité" xfId="2594" builtinId="9" hidden="1"/>
    <cellStyle name="Lien hypertexte visité" xfId="2466" builtinId="9" hidden="1"/>
    <cellStyle name="Lien hypertexte visité" xfId="2338" builtinId="9" hidden="1"/>
    <cellStyle name="Lien hypertexte visité" xfId="2210" builtinId="9" hidden="1"/>
    <cellStyle name="Lien hypertexte visité" xfId="2082" builtinId="9" hidden="1"/>
    <cellStyle name="Lien hypertexte visité" xfId="1954" builtinId="9" hidden="1"/>
    <cellStyle name="Lien hypertexte visité" xfId="1826" builtinId="9" hidden="1"/>
    <cellStyle name="Lien hypertexte visité" xfId="1698" builtinId="9" hidden="1"/>
    <cellStyle name="Lien hypertexte visité" xfId="1570" builtinId="9" hidden="1"/>
    <cellStyle name="Lien hypertexte visité" xfId="1441" builtinId="9" hidden="1"/>
    <cellStyle name="Lien hypertexte visité" xfId="1313" builtinId="9" hidden="1"/>
    <cellStyle name="Lien hypertexte visité" xfId="1185" builtinId="9" hidden="1"/>
    <cellStyle name="Lien hypertexte visité" xfId="951" builtinId="9" hidden="1"/>
    <cellStyle name="Lien hypertexte visité" xfId="695" builtinId="9" hidden="1"/>
    <cellStyle name="Lien hypertexte visité" xfId="439" builtinId="9" hidden="1"/>
    <cellStyle name="Lien hypertexte visité" xfId="183" builtinId="9" hidden="1"/>
    <cellStyle name="Lien hypertexte visité" xfId="103" builtinId="9" hidden="1"/>
    <cellStyle name="Lien hypertexte visité" xfId="299" builtinId="9" hidden="1"/>
    <cellStyle name="Lien hypertexte visité" xfId="555" builtinId="9" hidden="1"/>
    <cellStyle name="Lien hypertexte visité" xfId="9459" builtinId="9" hidden="1"/>
    <cellStyle name="Lien hypertexte visité" xfId="9419" builtinId="9" hidden="1"/>
    <cellStyle name="Lien hypertexte visité" xfId="9387" builtinId="9" hidden="1"/>
    <cellStyle name="Lien hypertexte visité" xfId="9347" builtinId="9" hidden="1"/>
    <cellStyle name="Lien hypertexte visité" xfId="9307" builtinId="9" hidden="1"/>
    <cellStyle name="Lien hypertexte visité" xfId="9275" builtinId="9" hidden="1"/>
    <cellStyle name="Lien hypertexte visité" xfId="9235" builtinId="9" hidden="1"/>
    <cellStyle name="Lien hypertexte visité" xfId="9203" builtinId="9" hidden="1"/>
    <cellStyle name="Lien hypertexte visité" xfId="9163" builtinId="9" hidden="1"/>
    <cellStyle name="Lien hypertexte visité" xfId="9131" builtinId="9" hidden="1"/>
    <cellStyle name="Lien hypertexte visité" xfId="9091" builtinId="9" hidden="1"/>
    <cellStyle name="Lien hypertexte visité" xfId="9051" builtinId="9" hidden="1"/>
    <cellStyle name="Lien hypertexte visité" xfId="9019" builtinId="9" hidden="1"/>
    <cellStyle name="Lien hypertexte visité" xfId="8979" builtinId="9" hidden="1"/>
    <cellStyle name="Lien hypertexte visité" xfId="8947" builtinId="9" hidden="1"/>
    <cellStyle name="Lien hypertexte visité" xfId="8907" builtinId="9" hidden="1"/>
    <cellStyle name="Lien hypertexte visité" xfId="8875" builtinId="9" hidden="1"/>
    <cellStyle name="Lien hypertexte visité" xfId="8835" builtinId="9" hidden="1"/>
    <cellStyle name="Lien hypertexte visité" xfId="8795" builtinId="9" hidden="1"/>
    <cellStyle name="Lien hypertexte visité" xfId="8763" builtinId="9" hidden="1"/>
    <cellStyle name="Lien hypertexte visité" xfId="8723" builtinId="9" hidden="1"/>
    <cellStyle name="Lien hypertexte visité" xfId="8691" builtinId="9" hidden="1"/>
    <cellStyle name="Lien hypertexte visité" xfId="8651" builtinId="9" hidden="1"/>
    <cellStyle name="Lien hypertexte visité" xfId="8619" builtinId="9" hidden="1"/>
    <cellStyle name="Lien hypertexte visité" xfId="8579" builtinId="9" hidden="1"/>
    <cellStyle name="Lien hypertexte visité" xfId="8539" builtinId="9" hidden="1"/>
    <cellStyle name="Lien hypertexte visité" xfId="8507" builtinId="9" hidden="1"/>
    <cellStyle name="Lien hypertexte visité" xfId="8467" builtinId="9" hidden="1"/>
    <cellStyle name="Lien hypertexte visité" xfId="8435" builtinId="9" hidden="1"/>
    <cellStyle name="Lien hypertexte visité" xfId="8395" builtinId="9" hidden="1"/>
    <cellStyle name="Lien hypertexte visité" xfId="8363" builtinId="9" hidden="1"/>
    <cellStyle name="Lien hypertexte visité" xfId="8323" builtinId="9" hidden="1"/>
    <cellStyle name="Lien hypertexte visité" xfId="8283" builtinId="9" hidden="1"/>
    <cellStyle name="Lien hypertexte visité" xfId="8251" builtinId="9" hidden="1"/>
    <cellStyle name="Lien hypertexte visité" xfId="8211" builtinId="9" hidden="1"/>
    <cellStyle name="Lien hypertexte visité" xfId="8179" builtinId="9" hidden="1"/>
    <cellStyle name="Lien hypertexte visité" xfId="8139" builtinId="9" hidden="1"/>
    <cellStyle name="Lien hypertexte visité" xfId="8107" builtinId="9" hidden="1"/>
    <cellStyle name="Lien hypertexte visité" xfId="8067" builtinId="9" hidden="1"/>
    <cellStyle name="Lien hypertexte visité" xfId="8027" builtinId="9" hidden="1"/>
    <cellStyle name="Lien hypertexte visité" xfId="7995" builtinId="9" hidden="1"/>
    <cellStyle name="Lien hypertexte visité" xfId="7955" builtinId="9" hidden="1"/>
    <cellStyle name="Lien hypertexte visité" xfId="7923" builtinId="9" hidden="1"/>
    <cellStyle name="Lien hypertexte visité" xfId="7883" builtinId="9" hidden="1"/>
    <cellStyle name="Lien hypertexte visité" xfId="7851" builtinId="9" hidden="1"/>
    <cellStyle name="Lien hypertexte visité" xfId="7811" builtinId="9" hidden="1"/>
    <cellStyle name="Lien hypertexte visité" xfId="7770" builtinId="9" hidden="1"/>
    <cellStyle name="Lien hypertexte visité" xfId="7738" builtinId="9" hidden="1"/>
    <cellStyle name="Lien hypertexte visité" xfId="7698" builtinId="9" hidden="1"/>
    <cellStyle name="Lien hypertexte visité" xfId="7666" builtinId="9" hidden="1"/>
    <cellStyle name="Lien hypertexte visité" xfId="7626" builtinId="9" hidden="1"/>
    <cellStyle name="Lien hypertexte visité" xfId="7594" builtinId="9" hidden="1"/>
    <cellStyle name="Lien hypertexte visité" xfId="7554" builtinId="9" hidden="1"/>
    <cellStyle name="Lien hypertexte visité" xfId="7514" builtinId="9" hidden="1"/>
    <cellStyle name="Lien hypertexte visité" xfId="7482" builtinId="9" hidden="1"/>
    <cellStyle name="Lien hypertexte visité" xfId="7442" builtinId="9" hidden="1"/>
    <cellStyle name="Lien hypertexte visité" xfId="7410" builtinId="9" hidden="1"/>
    <cellStyle name="Lien hypertexte visité" xfId="7370" builtinId="9" hidden="1"/>
    <cellStyle name="Lien hypertexte visité" xfId="7338" builtinId="9" hidden="1"/>
    <cellStyle name="Lien hypertexte visité" xfId="7298" builtinId="9" hidden="1"/>
    <cellStyle name="Lien hypertexte visité" xfId="7258" builtinId="9" hidden="1"/>
    <cellStyle name="Lien hypertexte visité" xfId="7226" builtinId="9" hidden="1"/>
    <cellStyle name="Lien hypertexte visité" xfId="7186" builtinId="9" hidden="1"/>
    <cellStyle name="Lien hypertexte visité" xfId="7154" builtinId="9" hidden="1"/>
    <cellStyle name="Lien hypertexte visité" xfId="7114" builtinId="9" hidden="1"/>
    <cellStyle name="Lien hypertexte visité" xfId="7082" builtinId="9" hidden="1"/>
    <cellStyle name="Lien hypertexte visité" xfId="7042" builtinId="9" hidden="1"/>
    <cellStyle name="Lien hypertexte visité" xfId="7002" builtinId="9" hidden="1"/>
    <cellStyle name="Lien hypertexte visité" xfId="6970" builtinId="9" hidden="1"/>
    <cellStyle name="Lien hypertexte visité" xfId="6930" builtinId="9" hidden="1"/>
    <cellStyle name="Lien hypertexte visité" xfId="6898" builtinId="9" hidden="1"/>
    <cellStyle name="Lien hypertexte visité" xfId="6858" builtinId="9" hidden="1"/>
    <cellStyle name="Lien hypertexte visité" xfId="6826" builtinId="9" hidden="1"/>
    <cellStyle name="Lien hypertexte visité" xfId="6786" builtinId="9" hidden="1"/>
    <cellStyle name="Lien hypertexte visité" xfId="6746" builtinId="9" hidden="1"/>
    <cellStyle name="Lien hypertexte visité" xfId="6714" builtinId="9" hidden="1"/>
    <cellStyle name="Lien hypertexte visité" xfId="6674" builtinId="9" hidden="1"/>
    <cellStyle name="Lien hypertexte visité" xfId="6642" builtinId="9" hidden="1"/>
    <cellStyle name="Lien hypertexte visité" xfId="6602" builtinId="9" hidden="1"/>
    <cellStyle name="Lien hypertexte visité" xfId="6570" builtinId="9" hidden="1"/>
    <cellStyle name="Lien hypertexte visité" xfId="6530" builtinId="9" hidden="1"/>
    <cellStyle name="Lien hypertexte visité" xfId="6490" builtinId="9" hidden="1"/>
    <cellStyle name="Lien hypertexte visité" xfId="6458" builtinId="9" hidden="1"/>
    <cellStyle name="Lien hypertexte visité" xfId="6418" builtinId="9" hidden="1"/>
    <cellStyle name="Lien hypertexte visité" xfId="6386" builtinId="9" hidden="1"/>
    <cellStyle name="Lien hypertexte visité" xfId="6346" builtinId="9" hidden="1"/>
    <cellStyle name="Lien hypertexte visité" xfId="6314" builtinId="9" hidden="1"/>
    <cellStyle name="Lien hypertexte visité" xfId="6274" builtinId="9" hidden="1"/>
    <cellStyle name="Lien hypertexte visité" xfId="6234" builtinId="9" hidden="1"/>
    <cellStyle name="Lien hypertexte visité" xfId="6202" builtinId="9" hidden="1"/>
    <cellStyle name="Lien hypertexte visité" xfId="6162" builtinId="9" hidden="1"/>
    <cellStyle name="Lien hypertexte visité" xfId="6130" builtinId="9" hidden="1"/>
    <cellStyle name="Lien hypertexte visité" xfId="6090" builtinId="9" hidden="1"/>
    <cellStyle name="Lien hypertexte visité" xfId="6058" builtinId="9" hidden="1"/>
    <cellStyle name="Lien hypertexte visité" xfId="6018" builtinId="9" hidden="1"/>
    <cellStyle name="Lien hypertexte visité" xfId="5978" builtinId="9" hidden="1"/>
    <cellStyle name="Lien hypertexte visité" xfId="5946" builtinId="9" hidden="1"/>
    <cellStyle name="Lien hypertexte visité" xfId="5906" builtinId="9" hidden="1"/>
    <cellStyle name="Lien hypertexte visité" xfId="5874" builtinId="9" hidden="1"/>
    <cellStyle name="Lien hypertexte visité" xfId="5834" builtinId="9" hidden="1"/>
    <cellStyle name="Lien hypertexte visité" xfId="5802" builtinId="9" hidden="1"/>
    <cellStyle name="Lien hypertexte visité" xfId="5762" builtinId="9" hidden="1"/>
    <cellStyle name="Lien hypertexte visité" xfId="5722" builtinId="9" hidden="1"/>
    <cellStyle name="Lien hypertexte visité" xfId="5690" builtinId="9" hidden="1"/>
    <cellStyle name="Lien hypertexte visité" xfId="5650" builtinId="9" hidden="1"/>
    <cellStyle name="Lien hypertexte visité" xfId="5618" builtinId="9" hidden="1"/>
    <cellStyle name="Lien hypertexte visité" xfId="5578" builtinId="9" hidden="1"/>
    <cellStyle name="Lien hypertexte visité" xfId="5546" builtinId="9" hidden="1"/>
    <cellStyle name="Lien hypertexte visité" xfId="5506" builtinId="9" hidden="1"/>
    <cellStyle name="Lien hypertexte visité" xfId="5466" builtinId="9" hidden="1"/>
    <cellStyle name="Lien hypertexte visité" xfId="5434" builtinId="9" hidden="1"/>
    <cellStyle name="Lien hypertexte visité" xfId="5394" builtinId="9" hidden="1"/>
    <cellStyle name="Lien hypertexte visité" xfId="5362" builtinId="9" hidden="1"/>
    <cellStyle name="Lien hypertexte visité" xfId="5322" builtinId="9" hidden="1"/>
    <cellStyle name="Lien hypertexte visité" xfId="5290" builtinId="9" hidden="1"/>
    <cellStyle name="Lien hypertexte visité" xfId="5250" builtinId="9" hidden="1"/>
    <cellStyle name="Lien hypertexte visité" xfId="5210" builtinId="9" hidden="1"/>
    <cellStyle name="Lien hypertexte visité" xfId="5178" builtinId="9" hidden="1"/>
    <cellStyle name="Lien hypertexte visité" xfId="5138" builtinId="9" hidden="1"/>
    <cellStyle name="Lien hypertexte visité" xfId="5106" builtinId="9" hidden="1"/>
    <cellStyle name="Lien hypertexte visité" xfId="5066" builtinId="9" hidden="1"/>
    <cellStyle name="Lien hypertexte visité" xfId="5034" builtinId="9" hidden="1"/>
    <cellStyle name="Lien hypertexte visité" xfId="4994" builtinId="9" hidden="1"/>
    <cellStyle name="Lien hypertexte visité" xfId="4954" builtinId="9" hidden="1"/>
    <cellStyle name="Lien hypertexte visité" xfId="4922" builtinId="9" hidden="1"/>
    <cellStyle name="Lien hypertexte visité" xfId="4882" builtinId="9" hidden="1"/>
    <cellStyle name="Lien hypertexte visité" xfId="4850" builtinId="9" hidden="1"/>
    <cellStyle name="Lien hypertexte visité" xfId="4810" builtinId="9" hidden="1"/>
    <cellStyle name="Lien hypertexte visité" xfId="4778" builtinId="9" hidden="1"/>
    <cellStyle name="Lien hypertexte visité" xfId="4738" builtinId="9" hidden="1"/>
    <cellStyle name="Lien hypertexte visité" xfId="4698" builtinId="9" hidden="1"/>
    <cellStyle name="Lien hypertexte visité" xfId="4666" builtinId="9" hidden="1"/>
    <cellStyle name="Lien hypertexte visité" xfId="4626" builtinId="9" hidden="1"/>
    <cellStyle name="Lien hypertexte visité" xfId="4594" builtinId="9" hidden="1"/>
    <cellStyle name="Lien hypertexte visité" xfId="4554" builtinId="9" hidden="1"/>
    <cellStyle name="Lien hypertexte visité" xfId="4522" builtinId="9" hidden="1"/>
    <cellStyle name="Lien hypertexte visité" xfId="4482" builtinId="9" hidden="1"/>
    <cellStyle name="Lien hypertexte visité" xfId="4442" builtinId="9" hidden="1"/>
    <cellStyle name="Lien hypertexte visité" xfId="4410" builtinId="9" hidden="1"/>
    <cellStyle name="Lien hypertexte visité" xfId="4370" builtinId="9" hidden="1"/>
    <cellStyle name="Lien hypertexte visité" xfId="4338" builtinId="9" hidden="1"/>
    <cellStyle name="Lien hypertexte visité" xfId="4298" builtinId="9" hidden="1"/>
    <cellStyle name="Lien hypertexte visité" xfId="4266" builtinId="9" hidden="1"/>
    <cellStyle name="Lien hypertexte visité" xfId="4226" builtinId="9" hidden="1"/>
    <cellStyle name="Lien hypertexte visité" xfId="4186" builtinId="9" hidden="1"/>
    <cellStyle name="Lien hypertexte visité" xfId="4154" builtinId="9" hidden="1"/>
    <cellStyle name="Lien hypertexte visité" xfId="4114" builtinId="9" hidden="1"/>
    <cellStyle name="Lien hypertexte visité" xfId="4082" builtinId="9" hidden="1"/>
    <cellStyle name="Lien hypertexte visité" xfId="4042" builtinId="9" hidden="1"/>
    <cellStyle name="Lien hypertexte visité" xfId="4010" builtinId="9" hidden="1"/>
    <cellStyle name="Lien hypertexte visité" xfId="3970" builtinId="9" hidden="1"/>
    <cellStyle name="Lien hypertexte visité" xfId="3930" builtinId="9" hidden="1"/>
    <cellStyle name="Lien hypertexte visité" xfId="3902" builtinId="9" hidden="1"/>
    <cellStyle name="Lien hypertexte visité" xfId="3861" builtinId="9" hidden="1"/>
    <cellStyle name="Lien hypertexte visité" xfId="3829" builtinId="9" hidden="1"/>
    <cellStyle name="Lien hypertexte visité" xfId="3789" builtinId="9" hidden="1"/>
    <cellStyle name="Lien hypertexte visité" xfId="3757" builtinId="9" hidden="1"/>
    <cellStyle name="Lien hypertexte visité" xfId="3717" builtinId="9" hidden="1"/>
    <cellStyle name="Lien hypertexte visité" xfId="3676" builtinId="9" hidden="1"/>
    <cellStyle name="Lien hypertexte visité" xfId="3637" builtinId="9" hidden="1"/>
    <cellStyle name="Lien hypertexte visité" xfId="3597" builtinId="9" hidden="1"/>
    <cellStyle name="Lien hypertexte visité" xfId="3565" builtinId="9" hidden="1"/>
    <cellStyle name="Lien hypertexte visité" xfId="3524" builtinId="9" hidden="1"/>
    <cellStyle name="Lien hypertexte visité" xfId="3492" builtinId="9" hidden="1"/>
    <cellStyle name="Lien hypertexte visité" xfId="3452" builtinId="9" hidden="1"/>
    <cellStyle name="Lien hypertexte visité" xfId="3412" builtinId="9" hidden="1"/>
    <cellStyle name="Lien hypertexte visité" xfId="3380" builtinId="9" hidden="1"/>
    <cellStyle name="Lien hypertexte visité" xfId="3340" builtinId="9" hidden="1"/>
    <cellStyle name="Lien hypertexte visité" xfId="3308" builtinId="9" hidden="1"/>
    <cellStyle name="Lien hypertexte visité" xfId="3268" builtinId="9" hidden="1"/>
    <cellStyle name="Lien hypertexte visité" xfId="3236" builtinId="9" hidden="1"/>
    <cellStyle name="Lien hypertexte visité" xfId="3196" builtinId="9" hidden="1"/>
    <cellStyle name="Lien hypertexte visité" xfId="3156" builtinId="9" hidden="1"/>
    <cellStyle name="Lien hypertexte visité" xfId="3124" builtinId="9" hidden="1"/>
    <cellStyle name="Lien hypertexte visité" xfId="3084" builtinId="9" hidden="1"/>
    <cellStyle name="Lien hypertexte visité" xfId="3052" builtinId="9" hidden="1"/>
    <cellStyle name="Lien hypertexte visité" xfId="3012" builtinId="9" hidden="1"/>
    <cellStyle name="Lien hypertexte visité" xfId="2980" builtinId="9" hidden="1"/>
    <cellStyle name="Lien hypertexte visité" xfId="2940" builtinId="9" hidden="1"/>
    <cellStyle name="Lien hypertexte visité" xfId="2900" builtinId="9" hidden="1"/>
    <cellStyle name="Lien hypertexte visité" xfId="2868" builtinId="9" hidden="1"/>
    <cellStyle name="Lien hypertexte visité" xfId="2828" builtinId="9" hidden="1"/>
    <cellStyle name="Lien hypertexte visité" xfId="2796" builtinId="9" hidden="1"/>
    <cellStyle name="Lien hypertexte visité" xfId="2756" builtinId="9" hidden="1"/>
    <cellStyle name="Lien hypertexte visité" xfId="2724" builtinId="9" hidden="1"/>
    <cellStyle name="Lien hypertexte visité" xfId="2684" builtinId="9" hidden="1"/>
    <cellStyle name="Lien hypertexte visité" xfId="2644" builtinId="9" hidden="1"/>
    <cellStyle name="Lien hypertexte visité" xfId="2612" builtinId="9" hidden="1"/>
    <cellStyle name="Lien hypertexte visité" xfId="2572" builtinId="9" hidden="1"/>
    <cellStyle name="Lien hypertexte visité" xfId="2540" builtinId="9" hidden="1"/>
    <cellStyle name="Lien hypertexte visité" xfId="2500" builtinId="9" hidden="1"/>
    <cellStyle name="Lien hypertexte visité" xfId="2468" builtinId="9" hidden="1"/>
    <cellStyle name="Lien hypertexte visité" xfId="2428" builtinId="9" hidden="1"/>
    <cellStyle name="Lien hypertexte visité" xfId="2388" builtinId="9" hidden="1"/>
    <cellStyle name="Lien hypertexte visité" xfId="2356" builtinId="9" hidden="1"/>
    <cellStyle name="Lien hypertexte visité" xfId="2316" builtinId="9" hidden="1"/>
    <cellStyle name="Lien hypertexte visité" xfId="2284" builtinId="9" hidden="1"/>
    <cellStyle name="Lien hypertexte visité" xfId="2244" builtinId="9" hidden="1"/>
    <cellStyle name="Lien hypertexte visité" xfId="2212" builtinId="9" hidden="1"/>
    <cellStyle name="Lien hypertexte visité" xfId="2172" builtinId="9" hidden="1"/>
    <cellStyle name="Lien hypertexte visité" xfId="2132" builtinId="9" hidden="1"/>
    <cellStyle name="Lien hypertexte visité" xfId="2100" builtinId="9" hidden="1"/>
    <cellStyle name="Lien hypertexte visité" xfId="2060" builtinId="9" hidden="1"/>
    <cellStyle name="Lien hypertexte visité" xfId="2028" builtinId="9" hidden="1"/>
    <cellStyle name="Lien hypertexte visité" xfId="1988" builtinId="9" hidden="1"/>
    <cellStyle name="Lien hypertexte visité" xfId="1956" builtinId="9" hidden="1"/>
    <cellStyle name="Lien hypertexte visité" xfId="1916" builtinId="9" hidden="1"/>
    <cellStyle name="Lien hypertexte visité" xfId="1876" builtinId="9" hidden="1"/>
    <cellStyle name="Lien hypertexte visité" xfId="1844" builtinId="9" hidden="1"/>
    <cellStyle name="Lien hypertexte visité" xfId="1804" builtinId="9" hidden="1"/>
    <cellStyle name="Lien hypertexte visité" xfId="1772" builtinId="9" hidden="1"/>
    <cellStyle name="Lien hypertexte visité" xfId="1732" builtinId="9" hidden="1"/>
    <cellStyle name="Lien hypertexte visité" xfId="1700" builtinId="9" hidden="1"/>
    <cellStyle name="Lien hypertexte visité" xfId="1660" builtinId="9" hidden="1"/>
    <cellStyle name="Lien hypertexte visité" xfId="1620" builtinId="9" hidden="1"/>
    <cellStyle name="Lien hypertexte visité" xfId="1588" builtinId="9" hidden="1"/>
    <cellStyle name="Lien hypertexte visité" xfId="1548" builtinId="9" hidden="1"/>
    <cellStyle name="Lien hypertexte visité" xfId="1516" builtinId="9" hidden="1"/>
    <cellStyle name="Lien hypertexte visité" xfId="1475" builtinId="9" hidden="1"/>
    <cellStyle name="Lien hypertexte visité" xfId="1443" builtinId="9" hidden="1"/>
    <cellStyle name="Lien hypertexte visité" xfId="1403" builtinId="9" hidden="1"/>
    <cellStyle name="Lien hypertexte visité" xfId="1363" builtinId="9" hidden="1"/>
    <cellStyle name="Lien hypertexte visité" xfId="1331" builtinId="9" hidden="1"/>
    <cellStyle name="Lien hypertexte visité" xfId="1291" builtinId="9" hidden="1"/>
    <cellStyle name="Lien hypertexte visité" xfId="1259" builtinId="9" hidden="1"/>
    <cellStyle name="Lien hypertexte visité" xfId="1219" builtinId="9" hidden="1"/>
    <cellStyle name="Lien hypertexte visité" xfId="1187" builtinId="9" hidden="1"/>
    <cellStyle name="Lien hypertexte visité" xfId="1131" builtinId="9" hidden="1"/>
    <cellStyle name="Lien hypertexte visité" xfId="1051" builtinId="9" hidden="1"/>
    <cellStyle name="Lien hypertexte visité" xfId="987" builtinId="9" hidden="1"/>
    <cellStyle name="Lien hypertexte visité" xfId="907" builtinId="9" hidden="1"/>
    <cellStyle name="Lien hypertexte visité" xfId="843" builtinId="9" hidden="1"/>
    <cellStyle name="Lien hypertexte visité" xfId="763" builtinId="9" hidden="1"/>
    <cellStyle name="Lien hypertexte visité" xfId="699" builtinId="9" hidden="1"/>
    <cellStyle name="Lien hypertexte visité" xfId="683" builtinId="9" hidden="1"/>
    <cellStyle name="Lien hypertexte visité" xfId="1179" builtinId="9" hidden="1"/>
    <cellStyle name="Lien hypertexte visité" xfId="1435" builtinId="9" hidden="1"/>
    <cellStyle name="Lien hypertexte visité" xfId="1692" builtinId="9" hidden="1"/>
    <cellStyle name="Lien hypertexte visité" xfId="1948" builtinId="9" hidden="1"/>
    <cellStyle name="Lien hypertexte visité" xfId="2205" builtinId="9" hidden="1"/>
    <cellStyle name="Lien hypertexte visité" xfId="2460" builtinId="9" hidden="1"/>
    <cellStyle name="Lien hypertexte visité" xfId="2716" builtinId="9" hidden="1"/>
    <cellStyle name="Lien hypertexte visité" xfId="2972" builtinId="9" hidden="1"/>
    <cellStyle name="Lien hypertexte visité" xfId="3228" builtinId="9" hidden="1"/>
    <cellStyle name="Lien hypertexte visité" xfId="3484" builtinId="9" hidden="1"/>
    <cellStyle name="Lien hypertexte visité" xfId="3749" builtinId="9" hidden="1"/>
    <cellStyle name="Lien hypertexte visité" xfId="4002" builtinId="9" hidden="1"/>
    <cellStyle name="Lien hypertexte visité" xfId="4258" builtinId="9" hidden="1"/>
    <cellStyle name="Lien hypertexte visité" xfId="4514" builtinId="9" hidden="1"/>
    <cellStyle name="Lien hypertexte visité" xfId="4770" builtinId="9" hidden="1"/>
    <cellStyle name="Lien hypertexte visité" xfId="5026" builtinId="9" hidden="1"/>
    <cellStyle name="Lien hypertexte visité" xfId="5282" builtinId="9" hidden="1"/>
    <cellStyle name="Lien hypertexte visité" xfId="5538" builtinId="9" hidden="1"/>
    <cellStyle name="Lien hypertexte visité" xfId="5794" builtinId="9" hidden="1"/>
    <cellStyle name="Lien hypertexte visité" xfId="6050" builtinId="9" hidden="1"/>
    <cellStyle name="Lien hypertexte visité" xfId="6306" builtinId="9" hidden="1"/>
    <cellStyle name="Lien hypertexte visité" xfId="6562" builtinId="9" hidden="1"/>
    <cellStyle name="Lien hypertexte visité" xfId="6818" builtinId="9" hidden="1"/>
    <cellStyle name="Lien hypertexte visité" xfId="7074" builtinId="9" hidden="1"/>
    <cellStyle name="Lien hypertexte visité" xfId="7330" builtinId="9" hidden="1"/>
    <cellStyle name="Lien hypertexte visité" xfId="7586" builtinId="9" hidden="1"/>
    <cellStyle name="Lien hypertexte visité" xfId="7843" builtinId="9" hidden="1"/>
    <cellStyle name="Lien hypertexte visité" xfId="8099" builtinId="9" hidden="1"/>
    <cellStyle name="Lien hypertexte visité" xfId="8355" builtinId="9" hidden="1"/>
    <cellStyle name="Lien hypertexte visité" xfId="8611" builtinId="9" hidden="1"/>
    <cellStyle name="Lien hypertexte visité" xfId="8867" builtinId="9" hidden="1"/>
    <cellStyle name="Lien hypertexte visité" xfId="9123" builtinId="9" hidden="1"/>
    <cellStyle name="Lien hypertexte visité" xfId="9379" builtinId="9" hidden="1"/>
    <cellStyle name="Lien hypertexte visité" xfId="12891" builtinId="9" hidden="1"/>
    <cellStyle name="Lien hypertexte visité" xfId="12859" builtinId="9" hidden="1"/>
    <cellStyle name="Lien hypertexte visité" xfId="12819" builtinId="9" hidden="1"/>
    <cellStyle name="Lien hypertexte visité" xfId="12787" builtinId="9" hidden="1"/>
    <cellStyle name="Lien hypertexte visité" xfId="12755" builtinId="9" hidden="1"/>
    <cellStyle name="Lien hypertexte visité" xfId="12723" builtinId="9" hidden="1"/>
    <cellStyle name="Lien hypertexte visité" xfId="12683" builtinId="9" hidden="1"/>
    <cellStyle name="Lien hypertexte visité" xfId="12651" builtinId="9" hidden="1"/>
    <cellStyle name="Lien hypertexte visité" xfId="12619" builtinId="9" hidden="1"/>
    <cellStyle name="Lien hypertexte visité" xfId="12587" builtinId="9" hidden="1"/>
    <cellStyle name="Lien hypertexte visité" xfId="12547" builtinId="9" hidden="1"/>
    <cellStyle name="Lien hypertexte visité" xfId="12515" builtinId="9" hidden="1"/>
    <cellStyle name="Lien hypertexte visité" xfId="12483" builtinId="9" hidden="1"/>
    <cellStyle name="Lien hypertexte visité" xfId="12443" builtinId="9" hidden="1"/>
    <cellStyle name="Lien hypertexte visité" xfId="12411" builtinId="9" hidden="1"/>
    <cellStyle name="Lien hypertexte visité" xfId="12379" builtinId="9" hidden="1"/>
    <cellStyle name="Lien hypertexte visité" xfId="12347" builtinId="9" hidden="1"/>
    <cellStyle name="Lien hypertexte visité" xfId="12307" builtinId="9" hidden="1"/>
    <cellStyle name="Lien hypertexte visité" xfId="12275" builtinId="9" hidden="1"/>
    <cellStyle name="Lien hypertexte visité" xfId="12243" builtinId="9" hidden="1"/>
    <cellStyle name="Lien hypertexte visité" xfId="12211" builtinId="9" hidden="1"/>
    <cellStyle name="Lien hypertexte visité" xfId="12171" builtinId="9" hidden="1"/>
    <cellStyle name="Lien hypertexte visité" xfId="12139" builtinId="9" hidden="1"/>
    <cellStyle name="Lien hypertexte visité" xfId="12107" builtinId="9" hidden="1"/>
    <cellStyle name="Lien hypertexte visité" xfId="12075" builtinId="9" hidden="1"/>
    <cellStyle name="Lien hypertexte visité" xfId="12035" builtinId="9" hidden="1"/>
    <cellStyle name="Lien hypertexte visité" xfId="12003" builtinId="9" hidden="1"/>
    <cellStyle name="Lien hypertexte visité" xfId="11971" builtinId="9" hidden="1"/>
    <cellStyle name="Lien hypertexte visité" xfId="11931" builtinId="9" hidden="1"/>
    <cellStyle name="Lien hypertexte visité" xfId="11899" builtinId="9" hidden="1"/>
    <cellStyle name="Lien hypertexte visité" xfId="11867" builtinId="9" hidden="1"/>
    <cellStyle name="Lien hypertexte visité" xfId="11835" builtinId="9" hidden="1"/>
    <cellStyle name="Lien hypertexte visité" xfId="11795" builtinId="9" hidden="1"/>
    <cellStyle name="Lien hypertexte visité" xfId="11763" builtinId="9" hidden="1"/>
    <cellStyle name="Lien hypertexte visité" xfId="11731" builtinId="9" hidden="1"/>
    <cellStyle name="Lien hypertexte visité" xfId="11699" builtinId="9" hidden="1"/>
    <cellStyle name="Lien hypertexte visité" xfId="11659" builtinId="9" hidden="1"/>
    <cellStyle name="Lien hypertexte visité" xfId="11627" builtinId="9" hidden="1"/>
    <cellStyle name="Lien hypertexte visité" xfId="11595" builtinId="9" hidden="1"/>
    <cellStyle name="Lien hypertexte visité" xfId="11563" builtinId="9" hidden="1"/>
    <cellStyle name="Lien hypertexte visité" xfId="11523" builtinId="9" hidden="1"/>
    <cellStyle name="Lien hypertexte visité" xfId="11491" builtinId="9" hidden="1"/>
    <cellStyle name="Lien hypertexte visité" xfId="11459" builtinId="9" hidden="1"/>
    <cellStyle name="Lien hypertexte visité" xfId="11419" builtinId="9" hidden="1"/>
    <cellStyle name="Lien hypertexte visité" xfId="11387" builtinId="9" hidden="1"/>
    <cellStyle name="Lien hypertexte visité" xfId="11355" builtinId="9" hidden="1"/>
    <cellStyle name="Lien hypertexte visité" xfId="11323" builtinId="9" hidden="1"/>
    <cellStyle name="Lien hypertexte visité" xfId="11283" builtinId="9" hidden="1"/>
    <cellStyle name="Lien hypertexte visité" xfId="11251" builtinId="9" hidden="1"/>
    <cellStyle name="Lien hypertexte visité" xfId="11219" builtinId="9" hidden="1"/>
    <cellStyle name="Lien hypertexte visité" xfId="11187" builtinId="9" hidden="1"/>
    <cellStyle name="Lien hypertexte visité" xfId="11147" builtinId="9" hidden="1"/>
    <cellStyle name="Lien hypertexte visité" xfId="11115" builtinId="9" hidden="1"/>
    <cellStyle name="Lien hypertexte visité" xfId="11083" builtinId="9" hidden="1"/>
    <cellStyle name="Lien hypertexte visité" xfId="11051" builtinId="9" hidden="1"/>
    <cellStyle name="Lien hypertexte visité" xfId="11011" builtinId="9" hidden="1"/>
    <cellStyle name="Lien hypertexte visité" xfId="10979" builtinId="9" hidden="1"/>
    <cellStyle name="Lien hypertexte visité" xfId="10947" builtinId="9" hidden="1"/>
    <cellStyle name="Lien hypertexte visité" xfId="10907" builtinId="9" hidden="1"/>
    <cellStyle name="Lien hypertexte visité" xfId="10875" builtinId="9" hidden="1"/>
    <cellStyle name="Lien hypertexte visité" xfId="10843" builtinId="9" hidden="1"/>
    <cellStyle name="Lien hypertexte visité" xfId="10811" builtinId="9" hidden="1"/>
    <cellStyle name="Lien hypertexte visité" xfId="10771" builtinId="9" hidden="1"/>
    <cellStyle name="Lien hypertexte visité" xfId="10739" builtinId="9" hidden="1"/>
    <cellStyle name="Lien hypertexte visité" xfId="10707" builtinId="9" hidden="1"/>
    <cellStyle name="Lien hypertexte visité" xfId="10675" builtinId="9" hidden="1"/>
    <cellStyle name="Lien hypertexte visité" xfId="10635" builtinId="9" hidden="1"/>
    <cellStyle name="Lien hypertexte visité" xfId="10603" builtinId="9" hidden="1"/>
    <cellStyle name="Lien hypertexte visité" xfId="10571" builtinId="9" hidden="1"/>
    <cellStyle name="Lien hypertexte visité" xfId="10539" builtinId="9" hidden="1"/>
    <cellStyle name="Lien hypertexte visité" xfId="10499" builtinId="9" hidden="1"/>
    <cellStyle name="Lien hypertexte visité" xfId="10467" builtinId="9" hidden="1"/>
    <cellStyle name="Lien hypertexte visité" xfId="10435" builtinId="9" hidden="1"/>
    <cellStyle name="Lien hypertexte visité" xfId="10395" builtinId="9" hidden="1"/>
    <cellStyle name="Lien hypertexte visité" xfId="10363" builtinId="9" hidden="1"/>
    <cellStyle name="Lien hypertexte visité" xfId="10331" builtinId="9" hidden="1"/>
    <cellStyle name="Lien hypertexte visité" xfId="10299" builtinId="9" hidden="1"/>
    <cellStyle name="Lien hypertexte visité" xfId="10259" builtinId="9" hidden="1"/>
    <cellStyle name="Lien hypertexte visité" xfId="10227" builtinId="9" hidden="1"/>
    <cellStyle name="Lien hypertexte visité" xfId="10195" builtinId="9" hidden="1"/>
    <cellStyle name="Lien hypertexte visité" xfId="10163" builtinId="9" hidden="1"/>
    <cellStyle name="Lien hypertexte visité" xfId="10123" builtinId="9" hidden="1"/>
    <cellStyle name="Lien hypertexte visité" xfId="10091" builtinId="9" hidden="1"/>
    <cellStyle name="Lien hypertexte visité" xfId="10059" builtinId="9" hidden="1"/>
    <cellStyle name="Lien hypertexte visité" xfId="10027" builtinId="9" hidden="1"/>
    <cellStyle name="Lien hypertexte visité" xfId="9987" builtinId="9" hidden="1"/>
    <cellStyle name="Lien hypertexte visité" xfId="9955" builtinId="9" hidden="1"/>
    <cellStyle name="Lien hypertexte visité" xfId="9923" builtinId="9" hidden="1"/>
    <cellStyle name="Lien hypertexte visité" xfId="9883" builtinId="9" hidden="1"/>
    <cellStyle name="Lien hypertexte visité" xfId="9851" builtinId="9" hidden="1"/>
    <cellStyle name="Lien hypertexte visité" xfId="9819" builtinId="9" hidden="1"/>
    <cellStyle name="Lien hypertexte visité" xfId="9787" builtinId="9" hidden="1"/>
    <cellStyle name="Lien hypertexte visité" xfId="9747" builtinId="9" hidden="1"/>
    <cellStyle name="Lien hypertexte visité" xfId="9715" builtinId="9" hidden="1"/>
    <cellStyle name="Lien hypertexte visité" xfId="9683" builtinId="9" hidden="1"/>
    <cellStyle name="Lien hypertexte visité" xfId="9651" builtinId="9" hidden="1"/>
    <cellStyle name="Lien hypertexte visité" xfId="9611" builtinId="9" hidden="1"/>
    <cellStyle name="Lien hypertexte visité" xfId="9579" builtinId="9" hidden="1"/>
    <cellStyle name="Lien hypertexte visité" xfId="9547" builtinId="9" hidden="1"/>
    <cellStyle name="Lien hypertexte visité" xfId="9515" builtinId="9" hidden="1"/>
    <cellStyle name="Lien hypertexte visité" xfId="9507" builtinId="9" hidden="1"/>
    <cellStyle name="Lien hypertexte visité" xfId="10019" builtinId="9" hidden="1"/>
    <cellStyle name="Lien hypertexte visité" xfId="10531" builtinId="9" hidden="1"/>
    <cellStyle name="Lien hypertexte visité" xfId="11043" builtinId="9" hidden="1"/>
    <cellStyle name="Lien hypertexte visité" xfId="11555" builtinId="9" hidden="1"/>
    <cellStyle name="Lien hypertexte visité" xfId="12067" builtinId="9" hidden="1"/>
    <cellStyle name="Lien hypertexte visité" xfId="12579" builtinId="9" hidden="1"/>
    <cellStyle name="Lien hypertexte visité" xfId="14451" builtinId="9" hidden="1"/>
    <cellStyle name="Lien hypertexte visité" xfId="14419" builtinId="9" hidden="1"/>
    <cellStyle name="Lien hypertexte visité" xfId="14387" builtinId="9" hidden="1"/>
    <cellStyle name="Lien hypertexte visité" xfId="14347" builtinId="9" hidden="1"/>
    <cellStyle name="Lien hypertexte visité" xfId="14315" builtinId="9" hidden="1"/>
    <cellStyle name="Lien hypertexte visité" xfId="14283" builtinId="9" hidden="1"/>
    <cellStyle name="Lien hypertexte visité" xfId="14251" builtinId="9" hidden="1"/>
    <cellStyle name="Lien hypertexte visité" xfId="14219" builtinId="9" hidden="1"/>
    <cellStyle name="Lien hypertexte visité" xfId="14187" builtinId="9" hidden="1"/>
    <cellStyle name="Lien hypertexte visité" xfId="14155" builtinId="9" hidden="1"/>
    <cellStyle name="Lien hypertexte visité" xfId="14123" builtinId="9" hidden="1"/>
    <cellStyle name="Lien hypertexte visité" xfId="14083" builtinId="9" hidden="1"/>
    <cellStyle name="Lien hypertexte visité" xfId="14051" builtinId="9" hidden="1"/>
    <cellStyle name="Lien hypertexte visité" xfId="14019" builtinId="9" hidden="1"/>
    <cellStyle name="Lien hypertexte visité" xfId="13987" builtinId="9" hidden="1"/>
    <cellStyle name="Lien hypertexte visité" xfId="13955" builtinId="9" hidden="1"/>
    <cellStyle name="Lien hypertexte visité" xfId="13923" builtinId="9" hidden="1"/>
    <cellStyle name="Lien hypertexte visité" xfId="13891" builtinId="9" hidden="1"/>
    <cellStyle name="Lien hypertexte visité" xfId="13851" builtinId="9" hidden="1"/>
    <cellStyle name="Lien hypertexte visité" xfId="13819" builtinId="9" hidden="1"/>
    <cellStyle name="Lien hypertexte visité" xfId="13787" builtinId="9" hidden="1"/>
    <cellStyle name="Lien hypertexte visité" xfId="13755" builtinId="9" hidden="1"/>
    <cellStyle name="Lien hypertexte visité" xfId="13723" builtinId="9" hidden="1"/>
    <cellStyle name="Lien hypertexte visité" xfId="13691" builtinId="9" hidden="1"/>
    <cellStyle name="Lien hypertexte visité" xfId="13659" builtinId="9" hidden="1"/>
    <cellStyle name="Lien hypertexte visité" xfId="13627" builtinId="9" hidden="1"/>
    <cellStyle name="Lien hypertexte visité" xfId="13587" builtinId="9" hidden="1"/>
    <cellStyle name="Lien hypertexte visité" xfId="13555" builtinId="9" hidden="1"/>
    <cellStyle name="Lien hypertexte visité" xfId="13523" builtinId="9" hidden="1"/>
    <cellStyle name="Lien hypertexte visité" xfId="13491" builtinId="9" hidden="1"/>
    <cellStyle name="Lien hypertexte visité" xfId="13459" builtinId="9" hidden="1"/>
    <cellStyle name="Lien hypertexte visité" xfId="13427" builtinId="9" hidden="1"/>
    <cellStyle name="Lien hypertexte visité" xfId="13395" builtinId="9" hidden="1"/>
    <cellStyle name="Lien hypertexte visité" xfId="13363" builtinId="9" hidden="1"/>
    <cellStyle name="Lien hypertexte visité" xfId="13323" builtinId="9" hidden="1"/>
    <cellStyle name="Lien hypertexte visité" xfId="13291" builtinId="9" hidden="1"/>
    <cellStyle name="Lien hypertexte visité" xfId="13259" builtinId="9" hidden="1"/>
    <cellStyle name="Lien hypertexte visité" xfId="13227" builtinId="9" hidden="1"/>
    <cellStyle name="Lien hypertexte visité" xfId="13195" builtinId="9" hidden="1"/>
    <cellStyle name="Lien hypertexte visité" xfId="13163" builtinId="9" hidden="1"/>
    <cellStyle name="Lien hypertexte visité" xfId="13131" builtinId="9" hidden="1"/>
    <cellStyle name="Lien hypertexte visité" xfId="13099" builtinId="9" hidden="1"/>
    <cellStyle name="Lien hypertexte visité" xfId="13059" builtinId="9" hidden="1"/>
    <cellStyle name="Lien hypertexte visité" xfId="13027" builtinId="9" hidden="1"/>
    <cellStyle name="Lien hypertexte visité" xfId="12995" builtinId="9" hidden="1"/>
    <cellStyle name="Lien hypertexte visité" xfId="12963" builtinId="9" hidden="1"/>
    <cellStyle name="Lien hypertexte visité" xfId="12931" builtinId="9" hidden="1"/>
    <cellStyle name="Lien hypertexte visité" xfId="13347" builtinId="9" hidden="1"/>
    <cellStyle name="Lien hypertexte visité" xfId="14371" builtinId="9" hidden="1"/>
    <cellStyle name="Lien hypertexte visité" xfId="15827" builtinId="9" hidden="1"/>
    <cellStyle name="Lien hypertexte visité" xfId="15763" builtinId="9" hidden="1"/>
    <cellStyle name="Lien hypertexte visité" xfId="15699" builtinId="9" hidden="1"/>
    <cellStyle name="Lien hypertexte visité" xfId="15635" builtinId="9" hidden="1"/>
    <cellStyle name="Lien hypertexte visité" xfId="15571" builtinId="9" hidden="1"/>
    <cellStyle name="Lien hypertexte visité" xfId="15507" builtinId="9" hidden="1"/>
    <cellStyle name="Lien hypertexte visité" xfId="15443" builtinId="9" hidden="1"/>
    <cellStyle name="Lien hypertexte visité" xfId="15379" builtinId="9" hidden="1"/>
    <cellStyle name="Lien hypertexte visité" xfId="15315" builtinId="9" hidden="1"/>
    <cellStyle name="Lien hypertexte visité" xfId="15235" builtinId="9" hidden="1"/>
    <cellStyle name="Lien hypertexte visité" xfId="15171" builtinId="9" hidden="1"/>
    <cellStyle name="Lien hypertexte visité" xfId="15107" builtinId="9" hidden="1"/>
    <cellStyle name="Lien hypertexte visité" xfId="15043" builtinId="9" hidden="1"/>
    <cellStyle name="Lien hypertexte visité" xfId="14979" builtinId="9" hidden="1"/>
    <cellStyle name="Lien hypertexte visité" xfId="14915" builtinId="9" hidden="1"/>
    <cellStyle name="Lien hypertexte visité" xfId="14851" builtinId="9" hidden="1"/>
    <cellStyle name="Lien hypertexte visité" xfId="14787" builtinId="9" hidden="1"/>
    <cellStyle name="Lien hypertexte visité" xfId="14723" builtinId="9" hidden="1"/>
    <cellStyle name="Lien hypertexte visité" xfId="14659" builtinId="9" hidden="1"/>
    <cellStyle name="Lien hypertexte visité" xfId="14595" builtinId="9" hidden="1"/>
    <cellStyle name="Lien hypertexte visité" xfId="14531" builtinId="9" hidden="1"/>
    <cellStyle name="Lien hypertexte visité" xfId="14491" builtinId="9" hidden="1"/>
    <cellStyle name="Lien hypertexte visité" xfId="15251" builtinId="9" hidden="1"/>
    <cellStyle name="Lien hypertexte visité" xfId="16547" builtinId="9" hidden="1"/>
    <cellStyle name="Lien hypertexte visité" xfId="16483" builtinId="9" hidden="1"/>
    <cellStyle name="Lien hypertexte visité" xfId="16419" builtinId="9" hidden="1"/>
    <cellStyle name="Lien hypertexte visité" xfId="16355" builtinId="9" hidden="1"/>
    <cellStyle name="Lien hypertexte visité" xfId="16291" builtinId="9" hidden="1"/>
    <cellStyle name="Lien hypertexte visité" xfId="16227" builtinId="9" hidden="1"/>
    <cellStyle name="Lien hypertexte visité" xfId="16163" builtinId="9" hidden="1"/>
    <cellStyle name="Lien hypertexte visité" xfId="16099" builtinId="9" hidden="1"/>
    <cellStyle name="Lien hypertexte visité" xfId="16035" builtinId="9" hidden="1"/>
    <cellStyle name="Lien hypertexte visité" xfId="15971" builtinId="9" hidden="1"/>
    <cellStyle name="Lien hypertexte visité" xfId="15907" builtinId="9" hidden="1"/>
    <cellStyle name="Lien hypertexte visité" xfId="16915" builtinId="9" hidden="1"/>
    <cellStyle name="Lien hypertexte visité" xfId="16851" builtinId="9" hidden="1"/>
    <cellStyle name="Lien hypertexte visité" xfId="16787" builtinId="9" hidden="1"/>
    <cellStyle name="Lien hypertexte visité" xfId="16723" builtinId="9" hidden="1"/>
    <cellStyle name="Lien hypertexte visité" xfId="16659" builtinId="9" hidden="1"/>
    <cellStyle name="Lien hypertexte visité" xfId="17123" builtinId="9" hidden="1"/>
    <cellStyle name="Lien hypertexte visité" xfId="17059" builtinId="9" hidden="1"/>
    <cellStyle name="Lien hypertexte visité" xfId="16995" builtinId="9" hidden="1"/>
    <cellStyle name="Lien hypertexte visité" xfId="17203" builtinId="9" hidden="1"/>
    <cellStyle name="Lien hypertexte visité" xfId="17139" builtinId="9" hidden="1"/>
    <cellStyle name="Lien hypertexte visité" xfId="17283" builtinId="9" hidden="1"/>
    <cellStyle name="Lien hypertexte visité" xfId="17235" builtinId="9" hidden="1"/>
    <cellStyle name="Lien hypertexte visité" xfId="17155" builtinId="9" hidden="1"/>
    <cellStyle name="Lien hypertexte visité" xfId="17219" builtinId="9" hidden="1"/>
    <cellStyle name="Lien hypertexte visité" xfId="17011" builtinId="9" hidden="1"/>
    <cellStyle name="Lien hypertexte visité" xfId="17075" builtinId="9" hidden="1"/>
    <cellStyle name="Lien hypertexte visité" xfId="16611" builtinId="9" hidden="1"/>
    <cellStyle name="Lien hypertexte visité" xfId="16675" builtinId="9" hidden="1"/>
    <cellStyle name="Lien hypertexte visité" xfId="16739" builtinId="9" hidden="1"/>
    <cellStyle name="Lien hypertexte visité" xfId="16803" builtinId="9" hidden="1"/>
    <cellStyle name="Lien hypertexte visité" xfId="16867" builtinId="9" hidden="1"/>
    <cellStyle name="Lien hypertexte visité" xfId="16931" builtinId="9" hidden="1"/>
    <cellStyle name="Lien hypertexte visité" xfId="15923" builtinId="9" hidden="1"/>
    <cellStyle name="Lien hypertexte visité" xfId="15987" builtinId="9" hidden="1"/>
    <cellStyle name="Lien hypertexte visité" xfId="16051" builtinId="9" hidden="1"/>
    <cellStyle name="Lien hypertexte visité" xfId="16115" builtinId="9" hidden="1"/>
    <cellStyle name="Lien hypertexte visité" xfId="16179" builtinId="9" hidden="1"/>
    <cellStyle name="Lien hypertexte visité" xfId="16243" builtinId="9" hidden="1"/>
    <cellStyle name="Lien hypertexte visité" xfId="16307" builtinId="9" hidden="1"/>
    <cellStyle name="Lien hypertexte visité" xfId="16371" builtinId="9" hidden="1"/>
    <cellStyle name="Lien hypertexte visité" xfId="16435" builtinId="9" hidden="1"/>
    <cellStyle name="Lien hypertexte visité" xfId="16499" builtinId="9" hidden="1"/>
    <cellStyle name="Lien hypertexte visité" xfId="16563" builtinId="9" hidden="1"/>
    <cellStyle name="Lien hypertexte visité" xfId="14467" builtinId="9" hidden="1"/>
    <cellStyle name="Lien hypertexte visité" xfId="14499" builtinId="9" hidden="1"/>
    <cellStyle name="Lien hypertexte visité" xfId="14547" builtinId="9" hidden="1"/>
    <cellStyle name="Lien hypertexte visité" xfId="14611" builtinId="9" hidden="1"/>
    <cellStyle name="Lien hypertexte visité" xfId="14675" builtinId="9" hidden="1"/>
    <cellStyle name="Lien hypertexte visité" xfId="14739" builtinId="9" hidden="1"/>
    <cellStyle name="Lien hypertexte visité" xfId="14803" builtinId="9" hidden="1"/>
    <cellStyle name="Lien hypertexte visité" xfId="14867" builtinId="9" hidden="1"/>
    <cellStyle name="Lien hypertexte visité" xfId="14931" builtinId="9" hidden="1"/>
    <cellStyle name="Lien hypertexte visité" xfId="14995" builtinId="9" hidden="1"/>
    <cellStyle name="Lien hypertexte visité" xfId="15059" builtinId="9" hidden="1"/>
    <cellStyle name="Lien hypertexte visité" xfId="15123" builtinId="9" hidden="1"/>
    <cellStyle name="Lien hypertexte visité" xfId="15187" builtinId="9" hidden="1"/>
    <cellStyle name="Lien hypertexte visité" xfId="15267" builtinId="9" hidden="1"/>
    <cellStyle name="Lien hypertexte visité" xfId="15331" builtinId="9" hidden="1"/>
    <cellStyle name="Lien hypertexte visité" xfId="15395" builtinId="9" hidden="1"/>
    <cellStyle name="Lien hypertexte visité" xfId="15459" builtinId="9" hidden="1"/>
    <cellStyle name="Lien hypertexte visité" xfId="15523" builtinId="9" hidden="1"/>
    <cellStyle name="Lien hypertexte visité" xfId="15587" builtinId="9" hidden="1"/>
    <cellStyle name="Lien hypertexte visité" xfId="15651" builtinId="9" hidden="1"/>
    <cellStyle name="Lien hypertexte visité" xfId="15715" builtinId="9" hidden="1"/>
    <cellStyle name="Lien hypertexte visité" xfId="15779" builtinId="9" hidden="1"/>
    <cellStyle name="Lien hypertexte visité" xfId="15843" builtinId="9" hidden="1"/>
    <cellStyle name="Lien hypertexte visité" xfId="14115" builtinId="9" hidden="1"/>
    <cellStyle name="Lien hypertexte visité" xfId="13091" builtinId="9" hidden="1"/>
    <cellStyle name="Lien hypertexte visité" xfId="12939" builtinId="9" hidden="1"/>
    <cellStyle name="Lien hypertexte visité" xfId="12971" builtinId="9" hidden="1"/>
    <cellStyle name="Lien hypertexte visité" xfId="13003" builtinId="9" hidden="1"/>
    <cellStyle name="Lien hypertexte visité" xfId="13035" builtinId="9" hidden="1"/>
    <cellStyle name="Lien hypertexte visité" xfId="13067" builtinId="9" hidden="1"/>
    <cellStyle name="Lien hypertexte visité" xfId="13107" builtinId="9" hidden="1"/>
    <cellStyle name="Lien hypertexte visité" xfId="13139" builtinId="9" hidden="1"/>
    <cellStyle name="Lien hypertexte visité" xfId="13171" builtinId="9" hidden="1"/>
    <cellStyle name="Lien hypertexte visité" xfId="13203" builtinId="9" hidden="1"/>
    <cellStyle name="Lien hypertexte visité" xfId="13235" builtinId="9" hidden="1"/>
    <cellStyle name="Lien hypertexte visité" xfId="13267" builtinId="9" hidden="1"/>
    <cellStyle name="Lien hypertexte visité" xfId="13299" builtinId="9" hidden="1"/>
    <cellStyle name="Lien hypertexte visité" xfId="13331" builtinId="9" hidden="1"/>
    <cellStyle name="Lien hypertexte visité" xfId="13371" builtinId="9" hidden="1"/>
    <cellStyle name="Lien hypertexte visité" xfId="13403" builtinId="9" hidden="1"/>
    <cellStyle name="Lien hypertexte visité" xfId="13435" builtinId="9" hidden="1"/>
    <cellStyle name="Lien hypertexte visité" xfId="13467" builtinId="9" hidden="1"/>
    <cellStyle name="Lien hypertexte visité" xfId="13499" builtinId="9" hidden="1"/>
    <cellStyle name="Lien hypertexte visité" xfId="13531" builtinId="9" hidden="1"/>
    <cellStyle name="Lien hypertexte visité" xfId="13563" builtinId="9" hidden="1"/>
    <cellStyle name="Lien hypertexte visité" xfId="13595" builtinId="9" hidden="1"/>
    <cellStyle name="Lien hypertexte visité" xfId="13635" builtinId="9" hidden="1"/>
    <cellStyle name="Lien hypertexte visité" xfId="13667" builtinId="9" hidden="1"/>
    <cellStyle name="Lien hypertexte visité" xfId="13699" builtinId="9" hidden="1"/>
    <cellStyle name="Lien hypertexte visité" xfId="13731" builtinId="9" hidden="1"/>
    <cellStyle name="Lien hypertexte visité" xfId="13763" builtinId="9" hidden="1"/>
    <cellStyle name="Lien hypertexte visité" xfId="13795" builtinId="9" hidden="1"/>
    <cellStyle name="Lien hypertexte visité" xfId="13827" builtinId="9" hidden="1"/>
    <cellStyle name="Lien hypertexte visité" xfId="13867" builtinId="9" hidden="1"/>
    <cellStyle name="Lien hypertexte visité" xfId="13899" builtinId="9" hidden="1"/>
    <cellStyle name="Lien hypertexte visité" xfId="13931" builtinId="9" hidden="1"/>
    <cellStyle name="Lien hypertexte visité" xfId="13963" builtinId="9" hidden="1"/>
    <cellStyle name="Lien hypertexte visité" xfId="13995" builtinId="9" hidden="1"/>
    <cellStyle name="Lien hypertexte visité" xfId="14027" builtinId="9" hidden="1"/>
    <cellStyle name="Lien hypertexte visité" xfId="14059" builtinId="9" hidden="1"/>
    <cellStyle name="Lien hypertexte visité" xfId="14091" builtinId="9" hidden="1"/>
    <cellStyle name="Lien hypertexte visité" xfId="14131" builtinId="9" hidden="1"/>
    <cellStyle name="Lien hypertexte visité" xfId="14163" builtinId="9" hidden="1"/>
    <cellStyle name="Lien hypertexte visité" xfId="14195" builtinId="9" hidden="1"/>
    <cellStyle name="Lien hypertexte visité" xfId="14227" builtinId="9" hidden="1"/>
    <cellStyle name="Lien hypertexte visité" xfId="14259" builtinId="9" hidden="1"/>
    <cellStyle name="Lien hypertexte visité" xfId="14291" builtinId="9" hidden="1"/>
    <cellStyle name="Lien hypertexte visité" xfId="14323" builtinId="9" hidden="1"/>
    <cellStyle name="Lien hypertexte visité" xfId="14355" builtinId="9" hidden="1"/>
    <cellStyle name="Lien hypertexte visité" xfId="14395" builtinId="9" hidden="1"/>
    <cellStyle name="Lien hypertexte visité" xfId="14427" builtinId="9" hidden="1"/>
    <cellStyle name="Lien hypertexte visité" xfId="14459" builtinId="9" hidden="1"/>
    <cellStyle name="Lien hypertexte visité" xfId="12451" builtinId="9" hidden="1"/>
    <cellStyle name="Lien hypertexte visité" xfId="11939" builtinId="9" hidden="1"/>
    <cellStyle name="Lien hypertexte visité" xfId="11427" builtinId="9" hidden="1"/>
    <cellStyle name="Lien hypertexte visité" xfId="10915" builtinId="9" hidden="1"/>
    <cellStyle name="Lien hypertexte visité" xfId="10403" builtinId="9" hidden="1"/>
    <cellStyle name="Lien hypertexte visité" xfId="9891" builtinId="9" hidden="1"/>
    <cellStyle name="Lien hypertexte visité" xfId="9483" builtinId="9" hidden="1"/>
    <cellStyle name="Lien hypertexte visité" xfId="9523" builtinId="9" hidden="1"/>
    <cellStyle name="Lien hypertexte visité" xfId="9555" builtinId="9" hidden="1"/>
    <cellStyle name="Lien hypertexte visité" xfId="9587" builtinId="9" hidden="1"/>
    <cellStyle name="Lien hypertexte visité" xfId="9619" builtinId="9" hidden="1"/>
    <cellStyle name="Lien hypertexte visité" xfId="9659" builtinId="9" hidden="1"/>
    <cellStyle name="Lien hypertexte visité" xfId="9691" builtinId="9" hidden="1"/>
    <cellStyle name="Lien hypertexte visité" xfId="9723" builtinId="9" hidden="1"/>
    <cellStyle name="Lien hypertexte visité" xfId="9755" builtinId="9" hidden="1"/>
    <cellStyle name="Lien hypertexte visité" xfId="9795" builtinId="9" hidden="1"/>
    <cellStyle name="Lien hypertexte visité" xfId="9827" builtinId="9" hidden="1"/>
    <cellStyle name="Lien hypertexte visité" xfId="9859" builtinId="9" hidden="1"/>
    <cellStyle name="Lien hypertexte visité" xfId="9899" builtinId="9" hidden="1"/>
    <cellStyle name="Lien hypertexte visité" xfId="9931" builtinId="9" hidden="1"/>
    <cellStyle name="Lien hypertexte visité" xfId="9963" builtinId="9" hidden="1"/>
    <cellStyle name="Lien hypertexte visité" xfId="9995" builtinId="9" hidden="1"/>
    <cellStyle name="Lien hypertexte visité" xfId="10035" builtinId="9" hidden="1"/>
    <cellStyle name="Lien hypertexte visité" xfId="10067" builtinId="9" hidden="1"/>
    <cellStyle name="Lien hypertexte visité" xfId="10099" builtinId="9" hidden="1"/>
    <cellStyle name="Lien hypertexte visité" xfId="10131" builtinId="9" hidden="1"/>
    <cellStyle name="Lien hypertexte visité" xfId="10171" builtinId="9" hidden="1"/>
    <cellStyle name="Lien hypertexte visité" xfId="10203" builtinId="9" hidden="1"/>
    <cellStyle name="Lien hypertexte visité" xfId="10235" builtinId="9" hidden="1"/>
    <cellStyle name="Lien hypertexte visité" xfId="10267" builtinId="9" hidden="1"/>
    <cellStyle name="Lien hypertexte visité" xfId="10307" builtinId="9" hidden="1"/>
    <cellStyle name="Lien hypertexte visité" xfId="10339" builtinId="9" hidden="1"/>
    <cellStyle name="Lien hypertexte visité" xfId="10371" builtinId="9" hidden="1"/>
    <cellStyle name="Lien hypertexte visité" xfId="10411" builtinId="9" hidden="1"/>
    <cellStyle name="Lien hypertexte visité" xfId="10443" builtinId="9" hidden="1"/>
    <cellStyle name="Lien hypertexte visité" xfId="10475" builtinId="9" hidden="1"/>
    <cellStyle name="Lien hypertexte visité" xfId="10507" builtinId="9" hidden="1"/>
    <cellStyle name="Lien hypertexte visité" xfId="10547" builtinId="9" hidden="1"/>
    <cellStyle name="Lien hypertexte visité" xfId="10579" builtinId="9" hidden="1"/>
    <cellStyle name="Lien hypertexte visité" xfId="10611" builtinId="9" hidden="1"/>
    <cellStyle name="Lien hypertexte visité" xfId="10643" builtinId="9" hidden="1"/>
    <cellStyle name="Lien hypertexte visité" xfId="10683" builtinId="9" hidden="1"/>
    <cellStyle name="Lien hypertexte visité" xfId="10715" builtinId="9" hidden="1"/>
    <cellStyle name="Lien hypertexte visité" xfId="10747" builtinId="9" hidden="1"/>
    <cellStyle name="Lien hypertexte visité" xfId="10779" builtinId="9" hidden="1"/>
    <cellStyle name="Lien hypertexte visité" xfId="10819" builtinId="9" hidden="1"/>
    <cellStyle name="Lien hypertexte visité" xfId="10851" builtinId="9" hidden="1"/>
    <cellStyle name="Lien hypertexte visité" xfId="10883" builtinId="9" hidden="1"/>
    <cellStyle name="Lien hypertexte visité" xfId="10923" builtinId="9" hidden="1"/>
    <cellStyle name="Lien hypertexte visité" xfId="10955" builtinId="9" hidden="1"/>
    <cellStyle name="Lien hypertexte visité" xfId="10987" builtinId="9" hidden="1"/>
    <cellStyle name="Lien hypertexte visité" xfId="11019" builtinId="9" hidden="1"/>
    <cellStyle name="Lien hypertexte visité" xfId="11059" builtinId="9" hidden="1"/>
    <cellStyle name="Lien hypertexte visité" xfId="11091" builtinId="9" hidden="1"/>
    <cellStyle name="Lien hypertexte visité" xfId="11123" builtinId="9" hidden="1"/>
    <cellStyle name="Lien hypertexte visité" xfId="11155" builtinId="9" hidden="1"/>
    <cellStyle name="Lien hypertexte visité" xfId="11195" builtinId="9" hidden="1"/>
    <cellStyle name="Lien hypertexte visité" xfId="11227" builtinId="9" hidden="1"/>
    <cellStyle name="Lien hypertexte visité" xfId="11259" builtinId="9" hidden="1"/>
    <cellStyle name="Lien hypertexte visité" xfId="11291" builtinId="9" hidden="1"/>
    <cellStyle name="Lien hypertexte visité" xfId="11331" builtinId="9" hidden="1"/>
    <cellStyle name="Lien hypertexte visité" xfId="11363" builtinId="9" hidden="1"/>
    <cellStyle name="Lien hypertexte visité" xfId="11395" builtinId="9" hidden="1"/>
    <cellStyle name="Lien hypertexte visité" xfId="11435" builtinId="9" hidden="1"/>
    <cellStyle name="Lien hypertexte visité" xfId="11467" builtinId="9" hidden="1"/>
    <cellStyle name="Lien hypertexte visité" xfId="11499" builtinId="9" hidden="1"/>
    <cellStyle name="Lien hypertexte visité" xfId="11531" builtinId="9" hidden="1"/>
    <cellStyle name="Lien hypertexte visité" xfId="11571" builtinId="9" hidden="1"/>
    <cellStyle name="Lien hypertexte visité" xfId="11603" builtinId="9" hidden="1"/>
    <cellStyle name="Lien hypertexte visité" xfId="11635" builtinId="9" hidden="1"/>
    <cellStyle name="Lien hypertexte visité" xfId="11667" builtinId="9" hidden="1"/>
    <cellStyle name="Lien hypertexte visité" xfId="11707" builtinId="9" hidden="1"/>
    <cellStyle name="Lien hypertexte visité" xfId="11739" builtinId="9" hidden="1"/>
    <cellStyle name="Lien hypertexte visité" xfId="11771" builtinId="9" hidden="1"/>
    <cellStyle name="Lien hypertexte visité" xfId="11803" builtinId="9" hidden="1"/>
    <cellStyle name="Lien hypertexte visité" xfId="11843" builtinId="9" hidden="1"/>
    <cellStyle name="Lien hypertexte visité" xfId="11875" builtinId="9" hidden="1"/>
    <cellStyle name="Lien hypertexte visité" xfId="11907" builtinId="9" hidden="1"/>
    <cellStyle name="Lien hypertexte visité" xfId="11947" builtinId="9" hidden="1"/>
    <cellStyle name="Lien hypertexte visité" xfId="11979" builtinId="9" hidden="1"/>
    <cellStyle name="Lien hypertexte visité" xfId="12011" builtinId="9" hidden="1"/>
    <cellStyle name="Lien hypertexte visité" xfId="12043" builtinId="9" hidden="1"/>
    <cellStyle name="Lien hypertexte visité" xfId="12083" builtinId="9" hidden="1"/>
    <cellStyle name="Lien hypertexte visité" xfId="12115" builtinId="9" hidden="1"/>
    <cellStyle name="Lien hypertexte visité" xfId="12147" builtinId="9" hidden="1"/>
    <cellStyle name="Lien hypertexte visité" xfId="12179" builtinId="9" hidden="1"/>
    <cellStyle name="Lien hypertexte visité" xfId="12219" builtinId="9" hidden="1"/>
    <cellStyle name="Lien hypertexte visité" xfId="12251" builtinId="9" hidden="1"/>
    <cellStyle name="Lien hypertexte visité" xfId="12283" builtinId="9" hidden="1"/>
    <cellStyle name="Lien hypertexte visité" xfId="12315" builtinId="9" hidden="1"/>
    <cellStyle name="Lien hypertexte visité" xfId="12355" builtinId="9" hidden="1"/>
    <cellStyle name="Lien hypertexte visité" xfId="12387" builtinId="9" hidden="1"/>
    <cellStyle name="Lien hypertexte visité" xfId="12419" builtinId="9" hidden="1"/>
    <cellStyle name="Lien hypertexte visité" xfId="12459" builtinId="9" hidden="1"/>
    <cellStyle name="Lien hypertexte visité" xfId="12491" builtinId="9" hidden="1"/>
    <cellStyle name="Lien hypertexte visité" xfId="12523" builtinId="9" hidden="1"/>
    <cellStyle name="Lien hypertexte visité" xfId="12555" builtinId="9" hidden="1"/>
    <cellStyle name="Lien hypertexte visité" xfId="12595" builtinId="9" hidden="1"/>
    <cellStyle name="Lien hypertexte visité" xfId="12627" builtinId="9" hidden="1"/>
    <cellStyle name="Lien hypertexte visité" xfId="12659" builtinId="9" hidden="1"/>
    <cellStyle name="Lien hypertexte visité" xfId="12691" builtinId="9" hidden="1"/>
    <cellStyle name="Lien hypertexte visité" xfId="12731" builtinId="9" hidden="1"/>
    <cellStyle name="Lien hypertexte visité" xfId="12763" builtinId="9" hidden="1"/>
    <cellStyle name="Lien hypertexte visité" xfId="12795" builtinId="9" hidden="1"/>
    <cellStyle name="Lien hypertexte visité" xfId="12827" builtinId="9" hidden="1"/>
    <cellStyle name="Lien hypertexte visité" xfId="12867" builtinId="9" hidden="1"/>
    <cellStyle name="Lien hypertexte visité" xfId="12899" builtinId="9" hidden="1"/>
    <cellStyle name="Lien hypertexte visité" xfId="9315" builtinId="9" hidden="1"/>
    <cellStyle name="Lien hypertexte visité" xfId="9059" builtinId="9" hidden="1"/>
    <cellStyle name="Lien hypertexte visité" xfId="8803" builtinId="9" hidden="1"/>
    <cellStyle name="Lien hypertexte visité" xfId="8547" builtinId="9" hidden="1"/>
    <cellStyle name="Lien hypertexte visité" xfId="8291" builtinId="9" hidden="1"/>
    <cellStyle name="Lien hypertexte visité" xfId="8035" builtinId="9" hidden="1"/>
    <cellStyle name="Lien hypertexte visité" xfId="7778" builtinId="9" hidden="1"/>
    <cellStyle name="Lien hypertexte visité" xfId="7522" builtinId="9" hidden="1"/>
    <cellStyle name="Lien hypertexte visité" xfId="7266" builtinId="9" hidden="1"/>
    <cellStyle name="Lien hypertexte visité" xfId="7010" builtinId="9" hidden="1"/>
    <cellStyle name="Lien hypertexte visité" xfId="6754" builtinId="9" hidden="1"/>
    <cellStyle name="Lien hypertexte visité" xfId="6498" builtinId="9" hidden="1"/>
    <cellStyle name="Lien hypertexte visité" xfId="6242" builtinId="9" hidden="1"/>
    <cellStyle name="Lien hypertexte visité" xfId="5986" builtinId="9" hidden="1"/>
    <cellStyle name="Lien hypertexte visité" xfId="5730" builtinId="9" hidden="1"/>
    <cellStyle name="Lien hypertexte visité" xfId="5474" builtinId="9" hidden="1"/>
    <cellStyle name="Lien hypertexte visité" xfId="5218" builtinId="9" hidden="1"/>
    <cellStyle name="Lien hypertexte visité" xfId="4962" builtinId="9" hidden="1"/>
    <cellStyle name="Lien hypertexte visité" xfId="4706" builtinId="9" hidden="1"/>
    <cellStyle name="Lien hypertexte visité" xfId="4450" builtinId="9" hidden="1"/>
    <cellStyle name="Lien hypertexte visité" xfId="4194" builtinId="9" hidden="1"/>
    <cellStyle name="Lien hypertexte visité" xfId="3938" builtinId="9" hidden="1"/>
    <cellStyle name="Lien hypertexte visité" xfId="3684" builtinId="9" hidden="1"/>
    <cellStyle name="Lien hypertexte visité" xfId="3420" builtinId="9" hidden="1"/>
    <cellStyle name="Lien hypertexte visité" xfId="3164" builtinId="9" hidden="1"/>
    <cellStyle name="Lien hypertexte visité" xfId="2908" builtinId="9" hidden="1"/>
    <cellStyle name="Lien hypertexte visité" xfId="2652" builtinId="9" hidden="1"/>
    <cellStyle name="Lien hypertexte visité" xfId="2396" builtinId="9" hidden="1"/>
    <cellStyle name="Lien hypertexte visité" xfId="2140" builtinId="9" hidden="1"/>
    <cellStyle name="Lien hypertexte visité" xfId="1884" builtinId="9" hidden="1"/>
    <cellStyle name="Lien hypertexte visité" xfId="1628" builtinId="9" hidden="1"/>
    <cellStyle name="Lien hypertexte visité" xfId="1371" builtinId="9" hidden="1"/>
    <cellStyle name="Lien hypertexte visité" xfId="1067" builtinId="9" hidden="1"/>
    <cellStyle name="Lien hypertexte visité" xfId="635" builtinId="9" hidden="1"/>
    <cellStyle name="Lien hypertexte visité" xfId="715" builtinId="9" hidden="1"/>
    <cellStyle name="Lien hypertexte visité" xfId="779" builtinId="9" hidden="1"/>
    <cellStyle name="Lien hypertexte visité" xfId="859" builtinId="9" hidden="1"/>
    <cellStyle name="Lien hypertexte visité" xfId="923" builtinId="9" hidden="1"/>
    <cellStyle name="Lien hypertexte visité" xfId="1003" builtinId="9" hidden="1"/>
    <cellStyle name="Lien hypertexte visité" xfId="1083" builtinId="9" hidden="1"/>
    <cellStyle name="Lien hypertexte visité" xfId="1147" builtinId="9" hidden="1"/>
    <cellStyle name="Lien hypertexte visité" xfId="1195" builtinId="9" hidden="1"/>
    <cellStyle name="Lien hypertexte visité" xfId="1227" builtinId="9" hidden="1"/>
    <cellStyle name="Lien hypertexte visité" xfId="1267" builtinId="9" hidden="1"/>
    <cellStyle name="Lien hypertexte visité" xfId="1299" builtinId="9" hidden="1"/>
    <cellStyle name="Lien hypertexte visité" xfId="1339" builtinId="9" hidden="1"/>
    <cellStyle name="Lien hypertexte visité" xfId="1379" builtinId="9" hidden="1"/>
    <cellStyle name="Lien hypertexte visité" xfId="1411" builtinId="9" hidden="1"/>
    <cellStyle name="Lien hypertexte visité" xfId="1451" builtinId="9" hidden="1"/>
    <cellStyle name="Lien hypertexte visité" xfId="1483" builtinId="9" hidden="1"/>
    <cellStyle name="Lien hypertexte visité" xfId="1524" builtinId="9" hidden="1"/>
    <cellStyle name="Lien hypertexte visité" xfId="1556" builtinId="9" hidden="1"/>
    <cellStyle name="Lien hypertexte visité" xfId="1596" builtinId="9" hidden="1"/>
    <cellStyle name="Lien hypertexte visité" xfId="1636" builtinId="9" hidden="1"/>
    <cellStyle name="Lien hypertexte visité" xfId="1668" builtinId="9" hidden="1"/>
    <cellStyle name="Lien hypertexte visité" xfId="1708" builtinId="9" hidden="1"/>
    <cellStyle name="Lien hypertexte visité" xfId="1740" builtinId="9" hidden="1"/>
    <cellStyle name="Lien hypertexte visité" xfId="1780" builtinId="9" hidden="1"/>
    <cellStyle name="Lien hypertexte visité" xfId="1812" builtinId="9" hidden="1"/>
    <cellStyle name="Lien hypertexte visité" xfId="1852" builtinId="9" hidden="1"/>
    <cellStyle name="Lien hypertexte visité" xfId="1892" builtinId="9" hidden="1"/>
    <cellStyle name="Lien hypertexte visité" xfId="1924" builtinId="9" hidden="1"/>
    <cellStyle name="Lien hypertexte visité" xfId="1964" builtinId="9" hidden="1"/>
    <cellStyle name="Lien hypertexte visité" xfId="1996" builtinId="9" hidden="1"/>
    <cellStyle name="Lien hypertexte visité" xfId="2036" builtinId="9" hidden="1"/>
    <cellStyle name="Lien hypertexte visité" xfId="2068" builtinId="9" hidden="1"/>
    <cellStyle name="Lien hypertexte visité" xfId="2108" builtinId="9" hidden="1"/>
    <cellStyle name="Lien hypertexte visité" xfId="2148" builtinId="9" hidden="1"/>
    <cellStyle name="Lien hypertexte visité" xfId="2180" builtinId="9" hidden="1"/>
    <cellStyle name="Lien hypertexte visité" xfId="2220" builtinId="9" hidden="1"/>
    <cellStyle name="Lien hypertexte visité" xfId="2252" builtinId="9" hidden="1"/>
    <cellStyle name="Lien hypertexte visité" xfId="2292" builtinId="9" hidden="1"/>
    <cellStyle name="Lien hypertexte visité" xfId="2324" builtinId="9" hidden="1"/>
    <cellStyle name="Lien hypertexte visité" xfId="2364" builtinId="9" hidden="1"/>
    <cellStyle name="Lien hypertexte visité" xfId="2404" builtinId="9" hidden="1"/>
    <cellStyle name="Lien hypertexte visité" xfId="2436" builtinId="9" hidden="1"/>
    <cellStyle name="Lien hypertexte visité" xfId="2476" builtinId="9" hidden="1"/>
    <cellStyle name="Lien hypertexte visité" xfId="2508" builtinId="9" hidden="1"/>
    <cellStyle name="Lien hypertexte visité" xfId="2548" builtinId="9" hidden="1"/>
    <cellStyle name="Lien hypertexte visité" xfId="2580" builtinId="9" hidden="1"/>
    <cellStyle name="Lien hypertexte visité" xfId="2620" builtinId="9" hidden="1"/>
    <cellStyle name="Lien hypertexte visité" xfId="2660" builtinId="9" hidden="1"/>
    <cellStyle name="Lien hypertexte visité" xfId="2692" builtinId="9" hidden="1"/>
    <cellStyle name="Lien hypertexte visité" xfId="2732" builtinId="9" hidden="1"/>
    <cellStyle name="Lien hypertexte visité" xfId="2764" builtinId="9" hidden="1"/>
    <cellStyle name="Lien hypertexte visité" xfId="2804" builtinId="9" hidden="1"/>
    <cellStyle name="Lien hypertexte visité" xfId="2836" builtinId="9" hidden="1"/>
    <cellStyle name="Lien hypertexte visité" xfId="2876" builtinId="9" hidden="1"/>
    <cellStyle name="Lien hypertexte visité" xfId="2916" builtinId="9" hidden="1"/>
    <cellStyle name="Lien hypertexte visité" xfId="2948" builtinId="9" hidden="1"/>
    <cellStyle name="Lien hypertexte visité" xfId="2988" builtinId="9" hidden="1"/>
    <cellStyle name="Lien hypertexte visité" xfId="3020" builtinId="9" hidden="1"/>
    <cellStyle name="Lien hypertexte visité" xfId="3060" builtinId="9" hidden="1"/>
    <cellStyle name="Lien hypertexte visité" xfId="3092" builtinId="9" hidden="1"/>
    <cellStyle name="Lien hypertexte visité" xfId="3132" builtinId="9" hidden="1"/>
    <cellStyle name="Lien hypertexte visité" xfId="3172" builtinId="9" hidden="1"/>
    <cellStyle name="Lien hypertexte visité" xfId="3204" builtinId="9" hidden="1"/>
    <cellStyle name="Lien hypertexte visité" xfId="3244" builtinId="9" hidden="1"/>
    <cellStyle name="Lien hypertexte visité" xfId="3276" builtinId="9" hidden="1"/>
    <cellStyle name="Lien hypertexte visité" xfId="3316" builtinId="9" hidden="1"/>
    <cellStyle name="Lien hypertexte visité" xfId="3348" builtinId="9" hidden="1"/>
    <cellStyle name="Lien hypertexte visité" xfId="3388" builtinId="9" hidden="1"/>
    <cellStyle name="Lien hypertexte visité" xfId="3428" builtinId="9" hidden="1"/>
    <cellStyle name="Lien hypertexte visité" xfId="3460" builtinId="9" hidden="1"/>
    <cellStyle name="Lien hypertexte visité" xfId="3500" builtinId="9" hidden="1"/>
    <cellStyle name="Lien hypertexte visité" xfId="3532" builtinId="9" hidden="1"/>
    <cellStyle name="Lien hypertexte visité" xfId="3573" builtinId="9" hidden="1"/>
    <cellStyle name="Lien hypertexte visité" xfId="3605" builtinId="9" hidden="1"/>
    <cellStyle name="Lien hypertexte visité" xfId="3645" builtinId="9" hidden="1"/>
    <cellStyle name="Lien hypertexte visité" xfId="3692" builtinId="9" hidden="1"/>
    <cellStyle name="Lien hypertexte visité" xfId="3725" builtinId="9" hidden="1"/>
    <cellStyle name="Lien hypertexte visité" xfId="3765" builtinId="9" hidden="1"/>
    <cellStyle name="Lien hypertexte visité" xfId="3797" builtinId="9" hidden="1"/>
    <cellStyle name="Lien hypertexte visité" xfId="3837" builtinId="9" hidden="1"/>
    <cellStyle name="Lien hypertexte visité" xfId="3869" builtinId="9" hidden="1"/>
    <cellStyle name="Lien hypertexte visité" xfId="3910" builtinId="9" hidden="1"/>
    <cellStyle name="Lien hypertexte visité" xfId="3946" builtinId="9" hidden="1"/>
    <cellStyle name="Lien hypertexte visité" xfId="3978" builtinId="9" hidden="1"/>
    <cellStyle name="Lien hypertexte visité" xfId="4018" builtinId="9" hidden="1"/>
    <cellStyle name="Lien hypertexte visité" xfId="4050" builtinId="9" hidden="1"/>
    <cellStyle name="Lien hypertexte visité" xfId="4090" builtinId="9" hidden="1"/>
    <cellStyle name="Lien hypertexte visité" xfId="4122" builtinId="9" hidden="1"/>
    <cellStyle name="Lien hypertexte visité" xfId="4162" builtinId="9" hidden="1"/>
    <cellStyle name="Lien hypertexte visité" xfId="4202" builtinId="9" hidden="1"/>
    <cellStyle name="Lien hypertexte visité" xfId="4234" builtinId="9" hidden="1"/>
    <cellStyle name="Lien hypertexte visité" xfId="4274" builtinId="9" hidden="1"/>
    <cellStyle name="Lien hypertexte visité" xfId="4306" builtinId="9" hidden="1"/>
    <cellStyle name="Lien hypertexte visité" xfId="4346" builtinId="9" hidden="1"/>
    <cellStyle name="Lien hypertexte visité" xfId="4378" builtinId="9" hidden="1"/>
    <cellStyle name="Lien hypertexte visité" xfId="4418" builtinId="9" hidden="1"/>
    <cellStyle name="Lien hypertexte visité" xfId="4458" builtinId="9" hidden="1"/>
    <cellStyle name="Lien hypertexte visité" xfId="4490" builtinId="9" hidden="1"/>
    <cellStyle name="Lien hypertexte visité" xfId="4530" builtinId="9" hidden="1"/>
    <cellStyle name="Lien hypertexte visité" xfId="4562" builtinId="9" hidden="1"/>
    <cellStyle name="Lien hypertexte visité" xfId="4602" builtinId="9" hidden="1"/>
    <cellStyle name="Lien hypertexte visité" xfId="4634" builtinId="9" hidden="1"/>
    <cellStyle name="Lien hypertexte visité" xfId="4674" builtinId="9" hidden="1"/>
    <cellStyle name="Lien hypertexte visité" xfId="4714" builtinId="9" hidden="1"/>
    <cellStyle name="Lien hypertexte visité" xfId="4746" builtinId="9" hidden="1"/>
    <cellStyle name="Lien hypertexte visité" xfId="4786" builtinId="9" hidden="1"/>
    <cellStyle name="Lien hypertexte visité" xfId="4818" builtinId="9" hidden="1"/>
    <cellStyle name="Lien hypertexte visité" xfId="4858" builtinId="9" hidden="1"/>
    <cellStyle name="Lien hypertexte visité" xfId="4890" builtinId="9" hidden="1"/>
    <cellStyle name="Lien hypertexte visité" xfId="4930" builtinId="9" hidden="1"/>
    <cellStyle name="Lien hypertexte visité" xfId="4970" builtinId="9" hidden="1"/>
    <cellStyle name="Lien hypertexte visité" xfId="5002" builtinId="9" hidden="1"/>
    <cellStyle name="Lien hypertexte visité" xfId="5042" builtinId="9" hidden="1"/>
    <cellStyle name="Lien hypertexte visité" xfId="5074" builtinId="9" hidden="1"/>
    <cellStyle name="Lien hypertexte visité" xfId="5114" builtinId="9" hidden="1"/>
    <cellStyle name="Lien hypertexte visité" xfId="5146" builtinId="9" hidden="1"/>
    <cellStyle name="Lien hypertexte visité" xfId="5186" builtinId="9" hidden="1"/>
    <cellStyle name="Lien hypertexte visité" xfId="5226" builtinId="9" hidden="1"/>
    <cellStyle name="Lien hypertexte visité" xfId="5258" builtinId="9" hidden="1"/>
    <cellStyle name="Lien hypertexte visité" xfId="5298" builtinId="9" hidden="1"/>
    <cellStyle name="Lien hypertexte visité" xfId="5330" builtinId="9" hidden="1"/>
    <cellStyle name="Lien hypertexte visité" xfId="5370" builtinId="9" hidden="1"/>
    <cellStyle name="Lien hypertexte visité" xfId="5402" builtinId="9" hidden="1"/>
    <cellStyle name="Lien hypertexte visité" xfId="5442" builtinId="9" hidden="1"/>
    <cellStyle name="Lien hypertexte visité" xfId="5482" builtinId="9" hidden="1"/>
    <cellStyle name="Lien hypertexte visité" xfId="5514" builtinId="9" hidden="1"/>
    <cellStyle name="Lien hypertexte visité" xfId="5554" builtinId="9" hidden="1"/>
    <cellStyle name="Lien hypertexte visité" xfId="5586" builtinId="9" hidden="1"/>
    <cellStyle name="Lien hypertexte visité" xfId="5626" builtinId="9" hidden="1"/>
    <cellStyle name="Lien hypertexte visité" xfId="5658" builtinId="9" hidden="1"/>
    <cellStyle name="Lien hypertexte visité" xfId="5698" builtinId="9" hidden="1"/>
    <cellStyle name="Lien hypertexte visité" xfId="5738" builtinId="9" hidden="1"/>
    <cellStyle name="Lien hypertexte visité" xfId="5770" builtinId="9" hidden="1"/>
    <cellStyle name="Lien hypertexte visité" xfId="5810" builtinId="9" hidden="1"/>
    <cellStyle name="Lien hypertexte visité" xfId="5842" builtinId="9" hidden="1"/>
    <cellStyle name="Lien hypertexte visité" xfId="5882" builtinId="9" hidden="1"/>
    <cellStyle name="Lien hypertexte visité" xfId="5914" builtinId="9" hidden="1"/>
    <cellStyle name="Lien hypertexte visité" xfId="5954" builtinId="9" hidden="1"/>
    <cellStyle name="Lien hypertexte visité" xfId="5994" builtinId="9" hidden="1"/>
    <cellStyle name="Lien hypertexte visité" xfId="6026" builtinId="9" hidden="1"/>
    <cellStyle name="Lien hypertexte visité" xfId="6066" builtinId="9" hidden="1"/>
    <cellStyle name="Lien hypertexte visité" xfId="6098" builtinId="9" hidden="1"/>
    <cellStyle name="Lien hypertexte visité" xfId="6138" builtinId="9" hidden="1"/>
    <cellStyle name="Lien hypertexte visité" xfId="6170" builtinId="9" hidden="1"/>
    <cellStyle name="Lien hypertexte visité" xfId="6210" builtinId="9" hidden="1"/>
    <cellStyle name="Lien hypertexte visité" xfId="6250" builtinId="9" hidden="1"/>
    <cellStyle name="Lien hypertexte visité" xfId="6282" builtinId="9" hidden="1"/>
    <cellStyle name="Lien hypertexte visité" xfId="6322" builtinId="9" hidden="1"/>
    <cellStyle name="Lien hypertexte visité" xfId="6354" builtinId="9" hidden="1"/>
    <cellStyle name="Lien hypertexte visité" xfId="6394" builtinId="9" hidden="1"/>
    <cellStyle name="Lien hypertexte visité" xfId="6426" builtinId="9" hidden="1"/>
    <cellStyle name="Lien hypertexte visité" xfId="6466" builtinId="9" hidden="1"/>
    <cellStyle name="Lien hypertexte visité" xfId="6506" builtinId="9" hidden="1"/>
    <cellStyle name="Lien hypertexte visité" xfId="6538" builtinId="9" hidden="1"/>
    <cellStyle name="Lien hypertexte visité" xfId="6578" builtinId="9" hidden="1"/>
    <cellStyle name="Lien hypertexte visité" xfId="6610" builtinId="9" hidden="1"/>
    <cellStyle name="Lien hypertexte visité" xfId="6650" builtinId="9" hidden="1"/>
    <cellStyle name="Lien hypertexte visité" xfId="6682" builtinId="9" hidden="1"/>
    <cellStyle name="Lien hypertexte visité" xfId="6722" builtinId="9" hidden="1"/>
    <cellStyle name="Lien hypertexte visité" xfId="6762" builtinId="9" hidden="1"/>
    <cellStyle name="Lien hypertexte visité" xfId="6794" builtinId="9" hidden="1"/>
    <cellStyle name="Lien hypertexte visité" xfId="6834" builtinId="9" hidden="1"/>
    <cellStyle name="Lien hypertexte visité" xfId="6866" builtinId="9" hidden="1"/>
    <cellStyle name="Lien hypertexte visité" xfId="6906" builtinId="9" hidden="1"/>
    <cellStyle name="Lien hypertexte visité" xfId="6938" builtinId="9" hidden="1"/>
    <cellStyle name="Lien hypertexte visité" xfId="6978" builtinId="9" hidden="1"/>
    <cellStyle name="Lien hypertexte visité" xfId="7018" builtinId="9" hidden="1"/>
    <cellStyle name="Lien hypertexte visité" xfId="7050" builtinId="9" hidden="1"/>
    <cellStyle name="Lien hypertexte visité" xfId="7090" builtinId="9" hidden="1"/>
    <cellStyle name="Lien hypertexte visité" xfId="7122" builtinId="9" hidden="1"/>
    <cellStyle name="Lien hypertexte visité" xfId="7162" builtinId="9" hidden="1"/>
    <cellStyle name="Lien hypertexte visité" xfId="7194" builtinId="9" hidden="1"/>
    <cellStyle name="Lien hypertexte visité" xfId="7234" builtinId="9" hidden="1"/>
    <cellStyle name="Lien hypertexte visité" xfId="7274" builtinId="9" hidden="1"/>
    <cellStyle name="Lien hypertexte visité" xfId="7306" builtinId="9" hidden="1"/>
    <cellStyle name="Lien hypertexte visité" xfId="7346" builtinId="9" hidden="1"/>
    <cellStyle name="Lien hypertexte visité" xfId="7378" builtinId="9" hidden="1"/>
    <cellStyle name="Lien hypertexte visité" xfId="7418" builtinId="9" hidden="1"/>
    <cellStyle name="Lien hypertexte visité" xfId="7450" builtinId="9" hidden="1"/>
    <cellStyle name="Lien hypertexte visité" xfId="7490" builtinId="9" hidden="1"/>
    <cellStyle name="Lien hypertexte visité" xfId="7530" builtinId="9" hidden="1"/>
    <cellStyle name="Lien hypertexte visité" xfId="7562" builtinId="9" hidden="1"/>
    <cellStyle name="Lien hypertexte visité" xfId="7602" builtinId="9" hidden="1"/>
    <cellStyle name="Lien hypertexte visité" xfId="7634" builtinId="9" hidden="1"/>
    <cellStyle name="Lien hypertexte visité" xfId="7674" builtinId="9" hidden="1"/>
    <cellStyle name="Lien hypertexte visité" xfId="7706" builtinId="9" hidden="1"/>
    <cellStyle name="Lien hypertexte visité" xfId="7746" builtinId="9" hidden="1"/>
    <cellStyle name="Lien hypertexte visité" xfId="7786" builtinId="9" hidden="1"/>
    <cellStyle name="Lien hypertexte visité" xfId="7819" builtinId="9" hidden="1"/>
    <cellStyle name="Lien hypertexte visité" xfId="7859" builtinId="9" hidden="1"/>
    <cellStyle name="Lien hypertexte visité" xfId="7891" builtinId="9" hidden="1"/>
    <cellStyle name="Lien hypertexte visité" xfId="7931" builtinId="9" hidden="1"/>
    <cellStyle name="Lien hypertexte visité" xfId="7963" builtinId="9" hidden="1"/>
    <cellStyle name="Lien hypertexte visité" xfId="8003" builtinId="9" hidden="1"/>
    <cellStyle name="Lien hypertexte visité" xfId="8043" builtinId="9" hidden="1"/>
    <cellStyle name="Lien hypertexte visité" xfId="8075" builtinId="9" hidden="1"/>
    <cellStyle name="Lien hypertexte visité" xfId="8115" builtinId="9" hidden="1"/>
    <cellStyle name="Lien hypertexte visité" xfId="8147" builtinId="9" hidden="1"/>
    <cellStyle name="Lien hypertexte visité" xfId="8187" builtinId="9" hidden="1"/>
    <cellStyle name="Lien hypertexte visité" xfId="8219" builtinId="9" hidden="1"/>
    <cellStyle name="Lien hypertexte visité" xfId="8259" builtinId="9" hidden="1"/>
    <cellStyle name="Lien hypertexte visité" xfId="8299" builtinId="9" hidden="1"/>
    <cellStyle name="Lien hypertexte visité" xfId="8331" builtinId="9" hidden="1"/>
    <cellStyle name="Lien hypertexte visité" xfId="8371" builtinId="9" hidden="1"/>
    <cellStyle name="Lien hypertexte visité" xfId="8403" builtinId="9" hidden="1"/>
    <cellStyle name="Lien hypertexte visité" xfId="8443" builtinId="9" hidden="1"/>
    <cellStyle name="Lien hypertexte visité" xfId="8475" builtinId="9" hidden="1"/>
    <cellStyle name="Lien hypertexte visité" xfId="8515" builtinId="9" hidden="1"/>
    <cellStyle name="Lien hypertexte visité" xfId="8555" builtinId="9" hidden="1"/>
    <cellStyle name="Lien hypertexte visité" xfId="8587" builtinId="9" hidden="1"/>
    <cellStyle name="Lien hypertexte visité" xfId="8627" builtinId="9" hidden="1"/>
    <cellStyle name="Lien hypertexte visité" xfId="8659" builtinId="9" hidden="1"/>
    <cellStyle name="Lien hypertexte visité" xfId="8699" builtinId="9" hidden="1"/>
    <cellStyle name="Lien hypertexte visité" xfId="8731" builtinId="9" hidden="1"/>
    <cellStyle name="Lien hypertexte visité" xfId="8771" builtinId="9" hidden="1"/>
    <cellStyle name="Lien hypertexte visité" xfId="8811" builtinId="9" hidden="1"/>
    <cellStyle name="Lien hypertexte visité" xfId="8843" builtinId="9" hidden="1"/>
    <cellStyle name="Lien hypertexte visité" xfId="8883" builtinId="9" hidden="1"/>
    <cellStyle name="Lien hypertexte visité" xfId="8915" builtinId="9" hidden="1"/>
    <cellStyle name="Lien hypertexte visité" xfId="8955" builtinId="9" hidden="1"/>
    <cellStyle name="Lien hypertexte visité" xfId="8987" builtinId="9" hidden="1"/>
    <cellStyle name="Lien hypertexte visité" xfId="9027" builtinId="9" hidden="1"/>
    <cellStyle name="Lien hypertexte visité" xfId="9067" builtinId="9" hidden="1"/>
    <cellStyle name="Lien hypertexte visité" xfId="9099" builtinId="9" hidden="1"/>
    <cellStyle name="Lien hypertexte visité" xfId="9139" builtinId="9" hidden="1"/>
    <cellStyle name="Lien hypertexte visité" xfId="9171" builtinId="9" hidden="1"/>
    <cellStyle name="Lien hypertexte visité" xfId="9211" builtinId="9" hidden="1"/>
    <cellStyle name="Lien hypertexte visité" xfId="9243" builtinId="9" hidden="1"/>
    <cellStyle name="Lien hypertexte visité" xfId="9283" builtinId="9" hidden="1"/>
    <cellStyle name="Lien hypertexte visité" xfId="9323" builtinId="9" hidden="1"/>
    <cellStyle name="Lien hypertexte visité" xfId="9355" builtinId="9" hidden="1"/>
    <cellStyle name="Lien hypertexte visité" xfId="9395" builtinId="9" hidden="1"/>
    <cellStyle name="Lien hypertexte visité" xfId="9427" builtinId="9" hidden="1"/>
    <cellStyle name="Lien hypertexte visité" xfId="9467" builtinId="9" hidden="1"/>
    <cellStyle name="Lien hypertexte visité" xfId="491" builtinId="9" hidden="1"/>
    <cellStyle name="Lien hypertexte visité" xfId="235" builtinId="9" hidden="1"/>
    <cellStyle name="Lien hypertexte visité" xfId="53" builtinId="9" hidden="1"/>
    <cellStyle name="Lien hypertexte visité" xfId="247" builtinId="9" hidden="1"/>
    <cellStyle name="Lien hypertexte visité" xfId="503" builtinId="9" hidden="1"/>
    <cellStyle name="Lien hypertexte visité" xfId="759" builtinId="9" hidden="1"/>
    <cellStyle name="Lien hypertexte visité" xfId="1015" builtinId="9" hidden="1"/>
    <cellStyle name="Lien hypertexte visité" xfId="1217" builtinId="9" hidden="1"/>
    <cellStyle name="Lien hypertexte visité" xfId="1345" builtinId="9" hidden="1"/>
    <cellStyle name="Lien hypertexte visité" xfId="1473" builtinId="9" hidden="1"/>
    <cellStyle name="Lien hypertexte visité" xfId="1602" builtinId="9" hidden="1"/>
    <cellStyle name="Lien hypertexte visité" xfId="1730" builtinId="9" hidden="1"/>
    <cellStyle name="Lien hypertexte visité" xfId="1858" builtinId="9" hidden="1"/>
    <cellStyle name="Lien hypertexte visité" xfId="1986" builtinId="9" hidden="1"/>
    <cellStyle name="Lien hypertexte visité" xfId="2114" builtinId="9" hidden="1"/>
    <cellStyle name="Lien hypertexte visité" xfId="2242" builtinId="9" hidden="1"/>
    <cellStyle name="Lien hypertexte visité" xfId="2370" builtinId="9" hidden="1"/>
    <cellStyle name="Lien hypertexte visité" xfId="2498" builtinId="9" hidden="1"/>
    <cellStyle name="Lien hypertexte visité" xfId="2626" builtinId="9" hidden="1"/>
    <cellStyle name="Lien hypertexte visité" xfId="2754" builtinId="9" hidden="1"/>
    <cellStyle name="Lien hypertexte visité" xfId="2882" builtinId="9" hidden="1"/>
    <cellStyle name="Lien hypertexte visité" xfId="3010" builtinId="9" hidden="1"/>
    <cellStyle name="Lien hypertexte visité" xfId="3138" builtinId="9" hidden="1"/>
    <cellStyle name="Lien hypertexte visité" xfId="3266" builtinId="9" hidden="1"/>
    <cellStyle name="Lien hypertexte visité" xfId="3394" builtinId="9" hidden="1"/>
    <cellStyle name="Lien hypertexte visité" xfId="3522" builtinId="9" hidden="1"/>
    <cellStyle name="Lien hypertexte visité" xfId="3651" builtinId="9" hidden="1"/>
    <cellStyle name="Lien hypertexte visité" xfId="3787" builtinId="9" hidden="1"/>
    <cellStyle name="Lien hypertexte visité" xfId="3916" builtinId="9" hidden="1"/>
    <cellStyle name="Lien hypertexte visité" xfId="4040" builtinId="9" hidden="1"/>
    <cellStyle name="Lien hypertexte visité" xfId="4168" builtinId="9" hidden="1"/>
    <cellStyle name="Lien hypertexte visité" xfId="4296" builtinId="9" hidden="1"/>
    <cellStyle name="Lien hypertexte visité" xfId="4424" builtinId="9" hidden="1"/>
    <cellStyle name="Lien hypertexte visité" xfId="4552" builtinId="9" hidden="1"/>
    <cellStyle name="Lien hypertexte visité" xfId="4680" builtinId="9" hidden="1"/>
    <cellStyle name="Lien hypertexte visité" xfId="4808" builtinId="9" hidden="1"/>
    <cellStyle name="Lien hypertexte visité" xfId="4936" builtinId="9" hidden="1"/>
    <cellStyle name="Lien hypertexte visité" xfId="5064" builtinId="9" hidden="1"/>
    <cellStyle name="Lien hypertexte visité" xfId="5192" builtinId="9" hidden="1"/>
    <cellStyle name="Lien hypertexte visité" xfId="5320" builtinId="9" hidden="1"/>
    <cellStyle name="Lien hypertexte visité" xfId="5448" builtinId="9" hidden="1"/>
    <cellStyle name="Lien hypertexte visité" xfId="5576" builtinId="9" hidden="1"/>
    <cellStyle name="Lien hypertexte visité" xfId="5704" builtinId="9" hidden="1"/>
    <cellStyle name="Lien hypertexte visité" xfId="5832" builtinId="9" hidden="1"/>
    <cellStyle name="Lien hypertexte visité" xfId="5960" builtinId="9" hidden="1"/>
    <cellStyle name="Lien hypertexte visité" xfId="6088" builtinId="9" hidden="1"/>
    <cellStyle name="Lien hypertexte visité" xfId="6216" builtinId="9" hidden="1"/>
    <cellStyle name="Lien hypertexte visité" xfId="6344" builtinId="9" hidden="1"/>
    <cellStyle name="Lien hypertexte visité" xfId="9214" builtinId="9" hidden="1"/>
    <cellStyle name="Lien hypertexte visité" xfId="9190" builtinId="9" hidden="1"/>
    <cellStyle name="Lien hypertexte visité" xfId="9170" builtinId="9" hidden="1"/>
    <cellStyle name="Lien hypertexte visité" xfId="9126" builtinId="9" hidden="1"/>
    <cellStyle name="Lien hypertexte visité" xfId="9106" builtinId="9" hidden="1"/>
    <cellStyle name="Lien hypertexte visité" xfId="9086" builtinId="9" hidden="1"/>
    <cellStyle name="Lien hypertexte visité" xfId="9042" builtinId="9" hidden="1"/>
    <cellStyle name="Lien hypertexte visité" xfId="9022" builtinId="9" hidden="1"/>
    <cellStyle name="Lien hypertexte visité" xfId="8998" builtinId="9" hidden="1"/>
    <cellStyle name="Lien hypertexte visité" xfId="8958" builtinId="9" hidden="1"/>
    <cellStyle name="Lien hypertexte visité" xfId="8934" builtinId="9" hidden="1"/>
    <cellStyle name="Lien hypertexte visité" xfId="8914" builtinId="9" hidden="1"/>
    <cellStyle name="Lien hypertexte visité" xfId="8870" builtinId="9" hidden="1"/>
    <cellStyle name="Lien hypertexte visité" xfId="8850" builtinId="9" hidden="1"/>
    <cellStyle name="Lien hypertexte visité" xfId="8830" builtinId="9" hidden="1"/>
    <cellStyle name="Lien hypertexte visité" xfId="8786" builtinId="9" hidden="1"/>
    <cellStyle name="Lien hypertexte visité" xfId="8766" builtinId="9" hidden="1"/>
    <cellStyle name="Lien hypertexte visité" xfId="8742" builtinId="9" hidden="1"/>
    <cellStyle name="Lien hypertexte visité" xfId="8702" builtinId="9" hidden="1"/>
    <cellStyle name="Lien hypertexte visité" xfId="8678" builtinId="9" hidden="1"/>
    <cellStyle name="Lien hypertexte visité" xfId="8658" builtinId="9" hidden="1"/>
    <cellStyle name="Lien hypertexte visité" xfId="8614" builtinId="9" hidden="1"/>
    <cellStyle name="Lien hypertexte visité" xfId="8594" builtinId="9" hidden="1"/>
    <cellStyle name="Lien hypertexte visité" xfId="8574" builtinId="9" hidden="1"/>
    <cellStyle name="Lien hypertexte visité" xfId="8530" builtinId="9" hidden="1"/>
    <cellStyle name="Lien hypertexte visité" xfId="8510" builtinId="9" hidden="1"/>
    <cellStyle name="Lien hypertexte visité" xfId="8486" builtinId="9" hidden="1"/>
    <cellStyle name="Lien hypertexte visité" xfId="8446" builtinId="9" hidden="1"/>
    <cellStyle name="Lien hypertexte visité" xfId="8422" builtinId="9" hidden="1"/>
    <cellStyle name="Lien hypertexte visité" xfId="8402" builtinId="9" hidden="1"/>
    <cellStyle name="Lien hypertexte visité" xfId="8358" builtinId="9" hidden="1"/>
    <cellStyle name="Lien hypertexte visité" xfId="8338" builtinId="9" hidden="1"/>
    <cellStyle name="Lien hypertexte visité" xfId="8318" builtinId="9" hidden="1"/>
    <cellStyle name="Lien hypertexte visité" xfId="8274" builtinId="9" hidden="1"/>
    <cellStyle name="Lien hypertexte visité" xfId="8254" builtinId="9" hidden="1"/>
    <cellStyle name="Lien hypertexte visité" xfId="8230" builtinId="9" hidden="1"/>
    <cellStyle name="Lien hypertexte visité" xfId="17227" builtinId="9" hidden="1"/>
    <cellStyle name="Lien hypertexte visité" xfId="17163" builtinId="9" hidden="1"/>
    <cellStyle name="Lien hypertexte visité" xfId="17099" builtinId="9" hidden="1"/>
    <cellStyle name="Lien hypertexte visité" xfId="16971" builtinId="9" hidden="1"/>
    <cellStyle name="Lien hypertexte visité" xfId="16907" builtinId="9" hidden="1"/>
    <cellStyle name="Lien hypertexte visité" xfId="16843" builtinId="9" hidden="1"/>
    <cellStyle name="Lien hypertexte visité" xfId="16715" builtinId="9" hidden="1"/>
    <cellStyle name="Lien hypertexte visité" xfId="16651" builtinId="9" hidden="1"/>
    <cellStyle name="Lien hypertexte visité" xfId="16587" builtinId="9" hidden="1"/>
    <cellStyle name="Lien hypertexte visité" xfId="16459" builtinId="9" hidden="1"/>
    <cellStyle name="Lien hypertexte visité" xfId="16395" builtinId="9" hidden="1"/>
    <cellStyle name="Lien hypertexte visité" xfId="16331" builtinId="9" hidden="1"/>
    <cellStyle name="Lien hypertexte visité" xfId="16203" builtinId="9" hidden="1"/>
    <cellStyle name="Lien hypertexte visité" xfId="16139" builtinId="9" hidden="1"/>
    <cellStyle name="Lien hypertexte visité" xfId="16075" builtinId="9" hidden="1"/>
    <cellStyle name="Lien hypertexte visité" xfId="15947" builtinId="9" hidden="1"/>
    <cellStyle name="Lien hypertexte visité" xfId="15883" builtinId="9" hidden="1"/>
    <cellStyle name="Lien hypertexte visité" xfId="15819" builtinId="9" hidden="1"/>
    <cellStyle name="Lien hypertexte visité" xfId="15691" builtinId="9" hidden="1"/>
    <cellStyle name="Lien hypertexte visité" xfId="15627" builtinId="9" hidden="1"/>
    <cellStyle name="Lien hypertexte visité" xfId="15563" builtinId="9" hidden="1"/>
    <cellStyle name="Lien hypertexte visité" xfId="15435" builtinId="9" hidden="1"/>
    <cellStyle name="Lien hypertexte visité" xfId="15371" builtinId="9" hidden="1"/>
    <cellStyle name="Lien hypertexte visité" xfId="15307" builtinId="9" hidden="1"/>
    <cellStyle name="Lien hypertexte visité" xfId="15179" builtinId="9" hidden="1"/>
    <cellStyle name="Lien hypertexte visité" xfId="15115" builtinId="9" hidden="1"/>
    <cellStyle name="Lien hypertexte visité" xfId="15051" builtinId="9" hidden="1"/>
    <cellStyle name="Lien hypertexte visité" xfId="14923" builtinId="9" hidden="1"/>
    <cellStyle name="Lien hypertexte visité" xfId="14859" builtinId="9" hidden="1"/>
    <cellStyle name="Lien hypertexte visité" xfId="14795" builtinId="9" hidden="1"/>
    <cellStyle name="Lien hypertexte visité" xfId="14667" builtinId="9" hidden="1"/>
    <cellStyle name="Lien hypertexte visité" xfId="14603" builtinId="9" hidden="1"/>
    <cellStyle name="Lien hypertexte visité" xfId="14539" builtinId="9" hidden="1"/>
    <cellStyle name="Lien hypertexte visité" xfId="14463" builtinId="9" hidden="1"/>
    <cellStyle name="Lien hypertexte visité" xfId="14431" builtinId="9" hidden="1"/>
    <cellStyle name="Lien hypertexte visité" xfId="14399" builtinId="9" hidden="1"/>
    <cellStyle name="Lien hypertexte visité" xfId="14335" builtinId="9" hidden="1"/>
    <cellStyle name="Lien hypertexte visité" xfId="14303" builtinId="9" hidden="1"/>
    <cellStyle name="Lien hypertexte visité" xfId="14271" builtinId="9" hidden="1"/>
    <cellStyle name="Lien hypertexte visité" xfId="14207" builtinId="9" hidden="1"/>
    <cellStyle name="Lien hypertexte visité" xfId="14175" builtinId="9" hidden="1"/>
    <cellStyle name="Lien hypertexte visité" xfId="14143" builtinId="9" hidden="1"/>
    <cellStyle name="Lien hypertexte visité" xfId="14079" builtinId="9" hidden="1"/>
    <cellStyle name="Lien hypertexte visité" xfId="14047" builtinId="9" hidden="1"/>
    <cellStyle name="Lien hypertexte visité" xfId="14015" builtinId="9" hidden="1"/>
    <cellStyle name="Lien hypertexte visité" xfId="13951" builtinId="9" hidden="1"/>
    <cellStyle name="Lien hypertexte visité" xfId="13919" builtinId="9" hidden="1"/>
    <cellStyle name="Lien hypertexte visité" xfId="13887" builtinId="9" hidden="1"/>
    <cellStyle name="Lien hypertexte visité" xfId="13823" builtinId="9" hidden="1"/>
    <cellStyle name="Lien hypertexte visité" xfId="13791" builtinId="9" hidden="1"/>
    <cellStyle name="Lien hypertexte visité" xfId="13759" builtinId="9" hidden="1"/>
    <cellStyle name="Lien hypertexte visité" xfId="13695" builtinId="9" hidden="1"/>
    <cellStyle name="Lien hypertexte visité" xfId="13663" builtinId="9" hidden="1"/>
    <cellStyle name="Lien hypertexte visité" xfId="13631" builtinId="9" hidden="1"/>
    <cellStyle name="Lien hypertexte visité" xfId="13567" builtinId="9" hidden="1"/>
    <cellStyle name="Lien hypertexte visité" xfId="13535" builtinId="9" hidden="1"/>
    <cellStyle name="Lien hypertexte visité" xfId="13503" builtinId="9" hidden="1"/>
    <cellStyle name="Lien hypertexte visité" xfId="13439" builtinId="9" hidden="1"/>
    <cellStyle name="Lien hypertexte visité" xfId="13407" builtinId="9" hidden="1"/>
    <cellStyle name="Lien hypertexte visité" xfId="13375" builtinId="9" hidden="1"/>
    <cellStyle name="Lien hypertexte visité" xfId="13311" builtinId="9" hidden="1"/>
    <cellStyle name="Lien hypertexte visité" xfId="13279" builtinId="9" hidden="1"/>
    <cellStyle name="Lien hypertexte visité" xfId="13247" builtinId="9" hidden="1"/>
    <cellStyle name="Lien hypertexte visité" xfId="13183" builtinId="9" hidden="1"/>
    <cellStyle name="Lien hypertexte visité" xfId="13151" builtinId="9" hidden="1"/>
    <cellStyle name="Lien hypertexte visité" xfId="13119" builtinId="9" hidden="1"/>
    <cellStyle name="Lien hypertexte visité" xfId="13055" builtinId="9" hidden="1"/>
    <cellStyle name="Lien hypertexte visité" xfId="13023" builtinId="9" hidden="1"/>
    <cellStyle name="Lien hypertexte visité" xfId="12991" builtinId="9" hidden="1"/>
    <cellStyle name="Lien hypertexte visité" xfId="12927" builtinId="9" hidden="1"/>
    <cellStyle name="Lien hypertexte visité" xfId="12895" builtinId="9" hidden="1"/>
    <cellStyle name="Lien hypertexte visité" xfId="12863" builtinId="9" hidden="1"/>
    <cellStyle name="Lien hypertexte visité" xfId="12799" builtinId="9" hidden="1"/>
    <cellStyle name="Lien hypertexte visité" xfId="12767" builtinId="9" hidden="1"/>
    <cellStyle name="Lien hypertexte visité" xfId="12735" builtinId="9" hidden="1"/>
    <cellStyle name="Lien hypertexte visité" xfId="12671" builtinId="9" hidden="1"/>
    <cellStyle name="Lien hypertexte visité" xfId="12639" builtinId="9" hidden="1"/>
    <cellStyle name="Lien hypertexte visité" xfId="12607" builtinId="9" hidden="1"/>
    <cellStyle name="Lien hypertexte visité" xfId="12543" builtinId="9" hidden="1"/>
    <cellStyle name="Lien hypertexte visité" xfId="12511" builtinId="9" hidden="1"/>
    <cellStyle name="Lien hypertexte visité" xfId="12479" builtinId="9" hidden="1"/>
    <cellStyle name="Lien hypertexte visité" xfId="12415" builtinId="9" hidden="1"/>
    <cellStyle name="Lien hypertexte visité" xfId="12383" builtinId="9" hidden="1"/>
    <cellStyle name="Lien hypertexte visité" xfId="12351" builtinId="9" hidden="1"/>
    <cellStyle name="Lien hypertexte visité" xfId="12287" builtinId="9" hidden="1"/>
    <cellStyle name="Lien hypertexte visité" xfId="12255" builtinId="9" hidden="1"/>
    <cellStyle name="Lien hypertexte visité" xfId="12223" builtinId="9" hidden="1"/>
    <cellStyle name="Lien hypertexte visité" xfId="12159" builtinId="9" hidden="1"/>
    <cellStyle name="Lien hypertexte visité" xfId="12127" builtinId="9" hidden="1"/>
    <cellStyle name="Lien hypertexte visité" xfId="12095" builtinId="9" hidden="1"/>
    <cellStyle name="Lien hypertexte visité" xfId="12031" builtinId="9" hidden="1"/>
    <cellStyle name="Lien hypertexte visité" xfId="11999" builtinId="9" hidden="1"/>
    <cellStyle name="Lien hypertexte visité" xfId="11967" builtinId="9" hidden="1"/>
    <cellStyle name="Lien hypertexte visité" xfId="11903" builtinId="9" hidden="1"/>
    <cellStyle name="Lien hypertexte visité" xfId="11871" builtinId="9" hidden="1"/>
    <cellStyle name="Lien hypertexte visité" xfId="11839" builtinId="9" hidden="1"/>
    <cellStyle name="Lien hypertexte visité" xfId="11775" builtinId="9" hidden="1"/>
    <cellStyle name="Lien hypertexte visité" xfId="11743" builtinId="9" hidden="1"/>
    <cellStyle name="Lien hypertexte visité" xfId="11711" builtinId="9" hidden="1"/>
    <cellStyle name="Lien hypertexte visité" xfId="11647" builtinId="9" hidden="1"/>
    <cellStyle name="Lien hypertexte visité" xfId="11615" builtinId="9" hidden="1"/>
    <cellStyle name="Lien hypertexte visité" xfId="11583" builtinId="9" hidden="1"/>
    <cellStyle name="Lien hypertexte visité" xfId="11519" builtinId="9" hidden="1"/>
    <cellStyle name="Lien hypertexte visité" xfId="11487" builtinId="9" hidden="1"/>
    <cellStyle name="Lien hypertexte visité" xfId="11455" builtinId="9" hidden="1"/>
    <cellStyle name="Lien hypertexte visité" xfId="11391" builtinId="9" hidden="1"/>
    <cellStyle name="Lien hypertexte visité" xfId="11359" builtinId="9" hidden="1"/>
    <cellStyle name="Lien hypertexte visité" xfId="11327" builtinId="9" hidden="1"/>
    <cellStyle name="Lien hypertexte visité" xfId="11263" builtinId="9" hidden="1"/>
    <cellStyle name="Lien hypertexte visité" xfId="11231" builtinId="9" hidden="1"/>
    <cellStyle name="Lien hypertexte visité" xfId="11199" builtinId="9" hidden="1"/>
    <cellStyle name="Lien hypertexte visité" xfId="11135" builtinId="9" hidden="1"/>
    <cellStyle name="Lien hypertexte visité" xfId="11103" builtinId="9" hidden="1"/>
    <cellStyle name="Lien hypertexte visité" xfId="11071" builtinId="9" hidden="1"/>
    <cellStyle name="Lien hypertexte visité" xfId="11007" builtinId="9" hidden="1"/>
    <cellStyle name="Lien hypertexte visité" xfId="10975" builtinId="9" hidden="1"/>
    <cellStyle name="Lien hypertexte visité" xfId="10943" builtinId="9" hidden="1"/>
    <cellStyle name="Lien hypertexte visité" xfId="10879" builtinId="9" hidden="1"/>
    <cellStyle name="Lien hypertexte visité" xfId="10847" builtinId="9" hidden="1"/>
    <cellStyle name="Lien hypertexte visité" xfId="10815" builtinId="9" hidden="1"/>
    <cellStyle name="Lien hypertexte visité" xfId="10751" builtinId="9" hidden="1"/>
    <cellStyle name="Lien hypertexte visité" xfId="10719" builtinId="9" hidden="1"/>
    <cellStyle name="Lien hypertexte visité" xfId="10687" builtinId="9" hidden="1"/>
    <cellStyle name="Lien hypertexte visité" xfId="10623" builtinId="9" hidden="1"/>
    <cellStyle name="Lien hypertexte visité" xfId="10591" builtinId="9" hidden="1"/>
    <cellStyle name="Lien hypertexte visité" xfId="10559" builtinId="9" hidden="1"/>
    <cellStyle name="Lien hypertexte visité" xfId="10495" builtinId="9" hidden="1"/>
    <cellStyle name="Lien hypertexte visité" xfId="10463" builtinId="9" hidden="1"/>
    <cellStyle name="Lien hypertexte visité" xfId="10431" builtinId="9" hidden="1"/>
    <cellStyle name="Lien hypertexte visité" xfId="10367" builtinId="9" hidden="1"/>
    <cellStyle name="Lien hypertexte visité" xfId="10335" builtinId="9" hidden="1"/>
    <cellStyle name="Lien hypertexte visité" xfId="10303" builtinId="9" hidden="1"/>
    <cellStyle name="Lien hypertexte visité" xfId="10239" builtinId="9" hidden="1"/>
    <cellStyle name="Lien hypertexte visité" xfId="10207" builtinId="9" hidden="1"/>
    <cellStyle name="Lien hypertexte visité" xfId="10175" builtinId="9" hidden="1"/>
    <cellStyle name="Lien hypertexte visité" xfId="10111" builtinId="9" hidden="1"/>
    <cellStyle name="Lien hypertexte visité" xfId="10079" builtinId="9" hidden="1"/>
    <cellStyle name="Lien hypertexte visité" xfId="10047" builtinId="9" hidden="1"/>
    <cellStyle name="Lien hypertexte visité" xfId="9983" builtinId="9" hidden="1"/>
    <cellStyle name="Lien hypertexte visité" xfId="9951" builtinId="9" hidden="1"/>
    <cellStyle name="Lien hypertexte visité" xfId="9919" builtinId="9" hidden="1"/>
    <cellStyle name="Lien hypertexte visité" xfId="9855" builtinId="9" hidden="1"/>
    <cellStyle name="Lien hypertexte visité" xfId="9823" builtinId="9" hidden="1"/>
    <cellStyle name="Lien hypertexte visité" xfId="9791" builtinId="9" hidden="1"/>
    <cellStyle name="Lien hypertexte visité" xfId="9727" builtinId="9" hidden="1"/>
    <cellStyle name="Lien hypertexte visité" xfId="9695" builtinId="9" hidden="1"/>
    <cellStyle name="Lien hypertexte visité" xfId="9663" builtinId="9" hidden="1"/>
    <cellStyle name="Lien hypertexte visité" xfId="9599" builtinId="9" hidden="1"/>
    <cellStyle name="Lien hypertexte visité" xfId="9567" builtinId="9" hidden="1"/>
    <cellStyle name="Lien hypertexte visité" xfId="9535" builtinId="9" hidden="1"/>
    <cellStyle name="Lien hypertexte visité" xfId="9471" builtinId="9" hidden="1"/>
    <cellStyle name="Lien hypertexte visité" xfId="9439" builtinId="9" hidden="1"/>
    <cellStyle name="Lien hypertexte visité" xfId="9407" builtinId="9" hidden="1"/>
    <cellStyle name="Lien hypertexte visité" xfId="9343" builtinId="9" hidden="1"/>
    <cellStyle name="Lien hypertexte visité" xfId="9311" builtinId="9" hidden="1"/>
    <cellStyle name="Lien hypertexte visité" xfId="9279" builtinId="9" hidden="1"/>
    <cellStyle name="Lien hypertexte visité" xfId="9215" builtinId="9" hidden="1"/>
    <cellStyle name="Lien hypertexte visité" xfId="9183" builtinId="9" hidden="1"/>
    <cellStyle name="Lien hypertexte visité" xfId="9151" builtinId="9" hidden="1"/>
    <cellStyle name="Lien hypertexte visité" xfId="9087" builtinId="9" hidden="1"/>
    <cellStyle name="Lien hypertexte visité" xfId="9055" builtinId="9" hidden="1"/>
    <cellStyle name="Lien hypertexte visité" xfId="9023" builtinId="9" hidden="1"/>
    <cellStyle name="Lien hypertexte visité" xfId="8959" builtinId="9" hidden="1"/>
    <cellStyle name="Lien hypertexte visité" xfId="8927" builtinId="9" hidden="1"/>
    <cellStyle name="Lien hypertexte visité" xfId="8895" builtinId="9" hidden="1"/>
    <cellStyle name="Lien hypertexte visité" xfId="8831" builtinId="9" hidden="1"/>
    <cellStyle name="Lien hypertexte visité" xfId="8799" builtinId="9" hidden="1"/>
    <cellStyle name="Lien hypertexte visité" xfId="8767" builtinId="9" hidden="1"/>
    <cellStyle name="Lien hypertexte visité" xfId="8703" builtinId="9" hidden="1"/>
    <cellStyle name="Lien hypertexte visité" xfId="8671" builtinId="9" hidden="1"/>
    <cellStyle name="Lien hypertexte visité" xfId="8639" builtinId="9" hidden="1"/>
    <cellStyle name="Lien hypertexte visité" xfId="8575" builtinId="9" hidden="1"/>
    <cellStyle name="Lien hypertexte visité" xfId="8543" builtinId="9" hidden="1"/>
    <cellStyle name="Lien hypertexte visité" xfId="8511" builtinId="9" hidden="1"/>
    <cellStyle name="Lien hypertexte visité" xfId="8447" builtinId="9" hidden="1"/>
    <cellStyle name="Lien hypertexte visité" xfId="8415" builtinId="9" hidden="1"/>
    <cellStyle name="Lien hypertexte visité" xfId="8383" builtinId="9" hidden="1"/>
    <cellStyle name="Lien hypertexte visité" xfId="8319" builtinId="9" hidden="1"/>
    <cellStyle name="Lien hypertexte visité" xfId="8287" builtinId="9" hidden="1"/>
    <cellStyle name="Lien hypertexte visité" xfId="8255" builtinId="9" hidden="1"/>
    <cellStyle name="Lien hypertexte visité" xfId="8191" builtinId="9" hidden="1"/>
    <cellStyle name="Lien hypertexte visité" xfId="8159" builtinId="9" hidden="1"/>
    <cellStyle name="Lien hypertexte visité" xfId="8127" builtinId="9" hidden="1"/>
    <cellStyle name="Lien hypertexte visité" xfId="8063" builtinId="9" hidden="1"/>
    <cellStyle name="Lien hypertexte visité" xfId="8031" builtinId="9" hidden="1"/>
    <cellStyle name="Lien hypertexte visité" xfId="7999" builtinId="9" hidden="1"/>
    <cellStyle name="Lien hypertexte visité" xfId="7935" builtinId="9" hidden="1"/>
    <cellStyle name="Lien hypertexte visité" xfId="7903" builtinId="9" hidden="1"/>
    <cellStyle name="Lien hypertexte visité" xfId="7871" builtinId="9" hidden="1"/>
    <cellStyle name="Lien hypertexte visité" xfId="7806" builtinId="9" hidden="1"/>
    <cellStyle name="Lien hypertexte visité" xfId="7774" builtinId="9" hidden="1"/>
    <cellStyle name="Lien hypertexte visité" xfId="7742" builtinId="9" hidden="1"/>
    <cellStyle name="Lien hypertexte visité" xfId="7678" builtinId="9" hidden="1"/>
    <cellStyle name="Lien hypertexte visité" xfId="7646" builtinId="9" hidden="1"/>
    <cellStyle name="Lien hypertexte visité" xfId="7614" builtinId="9" hidden="1"/>
    <cellStyle name="Lien hypertexte visité" xfId="7550" builtinId="9" hidden="1"/>
    <cellStyle name="Lien hypertexte visité" xfId="7518" builtinId="9" hidden="1"/>
    <cellStyle name="Lien hypertexte visité" xfId="7486" builtinId="9" hidden="1"/>
    <cellStyle name="Lien hypertexte visité" xfId="7422" builtinId="9" hidden="1"/>
    <cellStyle name="Lien hypertexte visité" xfId="7390" builtinId="9" hidden="1"/>
    <cellStyle name="Lien hypertexte visité" xfId="7358" builtinId="9" hidden="1"/>
    <cellStyle name="Lien hypertexte visité" xfId="7294" builtinId="9" hidden="1"/>
    <cellStyle name="Lien hypertexte visité" xfId="7262" builtinId="9" hidden="1"/>
    <cellStyle name="Lien hypertexte visité" xfId="7230" builtinId="9" hidden="1"/>
    <cellStyle name="Lien hypertexte visité" xfId="7166" builtinId="9" hidden="1"/>
    <cellStyle name="Lien hypertexte visité" xfId="7134" builtinId="9" hidden="1"/>
    <cellStyle name="Lien hypertexte visité" xfId="7102" builtinId="9" hidden="1"/>
    <cellStyle name="Lien hypertexte visité" xfId="7038" builtinId="9" hidden="1"/>
    <cellStyle name="Lien hypertexte visité" xfId="7006" builtinId="9" hidden="1"/>
    <cellStyle name="Lien hypertexte visité" xfId="6974" builtinId="9" hidden="1"/>
    <cellStyle name="Lien hypertexte visité" xfId="6910" builtinId="9" hidden="1"/>
    <cellStyle name="Lien hypertexte visité" xfId="6878" builtinId="9" hidden="1"/>
    <cellStyle name="Lien hypertexte visité" xfId="6846" builtinId="9" hidden="1"/>
    <cellStyle name="Lien hypertexte visité" xfId="6782" builtinId="9" hidden="1"/>
    <cellStyle name="Lien hypertexte visité" xfId="6750" builtinId="9" hidden="1"/>
    <cellStyle name="Lien hypertexte visité" xfId="6718" builtinId="9" hidden="1"/>
    <cellStyle name="Lien hypertexte visité" xfId="6654" builtinId="9" hidden="1"/>
    <cellStyle name="Lien hypertexte visité" xfId="6622" builtinId="9" hidden="1"/>
    <cellStyle name="Lien hypertexte visité" xfId="6590" builtinId="9" hidden="1"/>
    <cellStyle name="Lien hypertexte visité" xfId="6526" builtinId="9" hidden="1"/>
    <cellStyle name="Lien hypertexte visité" xfId="6494" builtinId="9" hidden="1"/>
    <cellStyle name="Lien hypertexte visité" xfId="6462" builtinId="9" hidden="1"/>
    <cellStyle name="Lien hypertexte visité" xfId="6398" builtinId="9" hidden="1"/>
    <cellStyle name="Lien hypertexte visité" xfId="6366" builtinId="9" hidden="1"/>
    <cellStyle name="Lien hypertexte visité" xfId="6334" builtinId="9" hidden="1"/>
    <cellStyle name="Lien hypertexte visité" xfId="6270" builtinId="9" hidden="1"/>
    <cellStyle name="Lien hypertexte visité" xfId="6238" builtinId="9" hidden="1"/>
    <cellStyle name="Lien hypertexte visité" xfId="6206" builtinId="9" hidden="1"/>
    <cellStyle name="Lien hypertexte visité" xfId="6142" builtinId="9" hidden="1"/>
    <cellStyle name="Lien hypertexte visité" xfId="6110" builtinId="9" hidden="1"/>
    <cellStyle name="Lien hypertexte visité" xfId="6078" builtinId="9" hidden="1"/>
    <cellStyle name="Lien hypertexte visité" xfId="6014" builtinId="9" hidden="1"/>
    <cellStyle name="Lien hypertexte visité" xfId="5982" builtinId="9" hidden="1"/>
    <cellStyle name="Lien hypertexte visité" xfId="5950" builtinId="9" hidden="1"/>
    <cellStyle name="Lien hypertexte visité" xfId="5886" builtinId="9" hidden="1"/>
    <cellStyle name="Lien hypertexte visité" xfId="5854" builtinId="9" hidden="1"/>
    <cellStyle name="Lien hypertexte visité" xfId="5822" builtinId="9" hidden="1"/>
    <cellStyle name="Lien hypertexte visité" xfId="5758" builtinId="9" hidden="1"/>
    <cellStyle name="Lien hypertexte visité" xfId="5726" builtinId="9" hidden="1"/>
    <cellStyle name="Lien hypertexte visité" xfId="5694" builtinId="9" hidden="1"/>
    <cellStyle name="Lien hypertexte visité" xfId="5630" builtinId="9" hidden="1"/>
    <cellStyle name="Lien hypertexte visité" xfId="5598" builtinId="9" hidden="1"/>
    <cellStyle name="Lien hypertexte visité" xfId="5566" builtinId="9" hidden="1"/>
    <cellStyle name="Lien hypertexte visité" xfId="5502" builtinId="9" hidden="1"/>
    <cellStyle name="Lien hypertexte visité" xfId="5470" builtinId="9" hidden="1"/>
    <cellStyle name="Lien hypertexte visité" xfId="5438" builtinId="9" hidden="1"/>
    <cellStyle name="Lien hypertexte visité" xfId="5374" builtinId="9" hidden="1"/>
    <cellStyle name="Lien hypertexte visité" xfId="5342" builtinId="9" hidden="1"/>
    <cellStyle name="Lien hypertexte visité" xfId="5310" builtinId="9" hidden="1"/>
    <cellStyle name="Lien hypertexte visité" xfId="5246" builtinId="9" hidden="1"/>
    <cellStyle name="Lien hypertexte visité" xfId="5214" builtinId="9" hidden="1"/>
    <cellStyle name="Lien hypertexte visité" xfId="5182" builtinId="9" hidden="1"/>
    <cellStyle name="Lien hypertexte visité" xfId="5118" builtinId="9" hidden="1"/>
    <cellStyle name="Lien hypertexte visité" xfId="5086" builtinId="9" hidden="1"/>
    <cellStyle name="Lien hypertexte visité" xfId="5054" builtinId="9" hidden="1"/>
    <cellStyle name="Lien hypertexte visité" xfId="4990" builtinId="9" hidden="1"/>
    <cellStyle name="Lien hypertexte visité" xfId="4958" builtinId="9" hidden="1"/>
    <cellStyle name="Lien hypertexte visité" xfId="4926" builtinId="9" hidden="1"/>
    <cellStyle name="Lien hypertexte visité" xfId="4862" builtinId="9" hidden="1"/>
    <cellStyle name="Lien hypertexte visité" xfId="4830" builtinId="9" hidden="1"/>
    <cellStyle name="Lien hypertexte visité" xfId="4798" builtinId="9" hidden="1"/>
    <cellStyle name="Lien hypertexte visité" xfId="4734" builtinId="9" hidden="1"/>
    <cellStyle name="Lien hypertexte visité" xfId="4702" builtinId="9" hidden="1"/>
    <cellStyle name="Lien hypertexte visité" xfId="4670" builtinId="9" hidden="1"/>
    <cellStyle name="Lien hypertexte visité" xfId="4606" builtinId="9" hidden="1"/>
    <cellStyle name="Lien hypertexte visité" xfId="4574" builtinId="9" hidden="1"/>
    <cellStyle name="Lien hypertexte visité" xfId="4542" builtinId="9" hidden="1"/>
    <cellStyle name="Lien hypertexte visité" xfId="4478" builtinId="9" hidden="1"/>
    <cellStyle name="Lien hypertexte visité" xfId="4446" builtinId="9" hidden="1"/>
    <cellStyle name="Lien hypertexte visité" xfId="4414" builtinId="9" hidden="1"/>
    <cellStyle name="Lien hypertexte visité" xfId="4350" builtinId="9" hidden="1"/>
    <cellStyle name="Lien hypertexte visité" xfId="4318" builtinId="9" hidden="1"/>
    <cellStyle name="Lien hypertexte visité" xfId="4286" builtinId="9" hidden="1"/>
    <cellStyle name="Lien hypertexte visité" xfId="4222" builtinId="9" hidden="1"/>
    <cellStyle name="Lien hypertexte visité" xfId="4190" builtinId="9" hidden="1"/>
    <cellStyle name="Lien hypertexte visité" xfId="4158" builtinId="9" hidden="1"/>
    <cellStyle name="Lien hypertexte visité" xfId="4094" builtinId="9" hidden="1"/>
    <cellStyle name="Lien hypertexte visité" xfId="4062" builtinId="9" hidden="1"/>
    <cellStyle name="Lien hypertexte visité" xfId="4030" builtinId="9" hidden="1"/>
    <cellStyle name="Lien hypertexte visité" xfId="3966" builtinId="9" hidden="1"/>
    <cellStyle name="Lien hypertexte visité" xfId="3934" builtinId="9" hidden="1"/>
    <cellStyle name="Lien hypertexte visité" xfId="3906" builtinId="9" hidden="1"/>
    <cellStyle name="Lien hypertexte visité" xfId="3841" builtinId="9" hidden="1"/>
    <cellStyle name="Lien hypertexte visité" xfId="3809" builtinId="9" hidden="1"/>
    <cellStyle name="Lien hypertexte visité" xfId="3777" builtinId="9" hidden="1"/>
    <cellStyle name="Lien hypertexte visité" xfId="3713" builtinId="9" hidden="1"/>
    <cellStyle name="Lien hypertexte visité" xfId="3680" builtinId="9" hidden="1"/>
    <cellStyle name="Lien hypertexte visité" xfId="3641" builtinId="9" hidden="1"/>
    <cellStyle name="Lien hypertexte visité" xfId="3577" builtinId="9" hidden="1"/>
    <cellStyle name="Lien hypertexte visité" xfId="3544" builtinId="9" hidden="1"/>
    <cellStyle name="Lien hypertexte visité" xfId="3512" builtinId="9" hidden="1"/>
    <cellStyle name="Lien hypertexte visité" xfId="3448" builtinId="9" hidden="1"/>
    <cellStyle name="Lien hypertexte visité" xfId="3416" builtinId="9" hidden="1"/>
    <cellStyle name="Lien hypertexte visité" xfId="3384" builtinId="9" hidden="1"/>
    <cellStyle name="Lien hypertexte visité" xfId="3320" builtinId="9" hidden="1"/>
    <cellStyle name="Lien hypertexte visité" xfId="3288" builtinId="9" hidden="1"/>
    <cellStyle name="Lien hypertexte visité" xfId="3256" builtinId="9" hidden="1"/>
    <cellStyle name="Lien hypertexte visité" xfId="3192" builtinId="9" hidden="1"/>
    <cellStyle name="Lien hypertexte visité" xfId="3160" builtinId="9" hidden="1"/>
    <cellStyle name="Lien hypertexte visité" xfId="3128" builtinId="9" hidden="1"/>
    <cellStyle name="Lien hypertexte visité" xfId="3064" builtinId="9" hidden="1"/>
    <cellStyle name="Lien hypertexte visité" xfId="3032" builtinId="9" hidden="1"/>
    <cellStyle name="Lien hypertexte visité" xfId="3000" builtinId="9" hidden="1"/>
    <cellStyle name="Lien hypertexte visité" xfId="2936" builtinId="9" hidden="1"/>
    <cellStyle name="Lien hypertexte visité" xfId="2904" builtinId="9" hidden="1"/>
    <cellStyle name="Lien hypertexte visité" xfId="2872" builtinId="9" hidden="1"/>
    <cellStyle name="Lien hypertexte visité" xfId="2808" builtinId="9" hidden="1"/>
    <cellStyle name="Lien hypertexte visité" xfId="2776" builtinId="9" hidden="1"/>
    <cellStyle name="Lien hypertexte visité" xfId="2744" builtinId="9" hidden="1"/>
    <cellStyle name="Lien hypertexte visité" xfId="2680" builtinId="9" hidden="1"/>
    <cellStyle name="Lien hypertexte visité" xfId="2648" builtinId="9" hidden="1"/>
    <cellStyle name="Lien hypertexte visité" xfId="2616" builtinId="9" hidden="1"/>
    <cellStyle name="Lien hypertexte visité" xfId="2552" builtinId="9" hidden="1"/>
    <cellStyle name="Lien hypertexte visité" xfId="2520" builtinId="9" hidden="1"/>
    <cellStyle name="Lien hypertexte visité" xfId="2488" builtinId="9" hidden="1"/>
    <cellStyle name="Lien hypertexte visité" xfId="2424" builtinId="9" hidden="1"/>
    <cellStyle name="Lien hypertexte visité" xfId="2392" builtinId="9" hidden="1"/>
    <cellStyle name="Lien hypertexte visité" xfId="2360" builtinId="9" hidden="1"/>
    <cellStyle name="Lien hypertexte visité" xfId="2296" builtinId="9" hidden="1"/>
    <cellStyle name="Lien hypertexte visité" xfId="2264" builtinId="9" hidden="1"/>
    <cellStyle name="Lien hypertexte visité" xfId="2232" builtinId="9" hidden="1"/>
    <cellStyle name="Lien hypertexte visité" xfId="2168" builtinId="9" hidden="1"/>
    <cellStyle name="Lien hypertexte visité" xfId="2136" builtinId="9" hidden="1"/>
    <cellStyle name="Lien hypertexte visité" xfId="2104" builtinId="9" hidden="1"/>
    <cellStyle name="Lien hypertexte visité" xfId="2040" builtinId="9" hidden="1"/>
    <cellStyle name="Lien hypertexte visité" xfId="2008" builtinId="9" hidden="1"/>
    <cellStyle name="Lien hypertexte visité" xfId="1976" builtinId="9" hidden="1"/>
    <cellStyle name="Lien hypertexte visité" xfId="1912" builtinId="9" hidden="1"/>
    <cellStyle name="Lien hypertexte visité" xfId="1880" builtinId="9" hidden="1"/>
    <cellStyle name="Lien hypertexte visité" xfId="1848" builtinId="9" hidden="1"/>
    <cellStyle name="Lien hypertexte visité" xfId="1784" builtinId="9" hidden="1"/>
    <cellStyle name="Lien hypertexte visité" xfId="1752" builtinId="9" hidden="1"/>
    <cellStyle name="Lien hypertexte visité" xfId="1720" builtinId="9" hidden="1"/>
    <cellStyle name="Lien hypertexte visité" xfId="1656" builtinId="9" hidden="1"/>
    <cellStyle name="Lien hypertexte visité" xfId="1624" builtinId="9" hidden="1"/>
    <cellStyle name="Lien hypertexte visité" xfId="1592" builtinId="9" hidden="1"/>
    <cellStyle name="Lien hypertexte visité" xfId="1528" builtinId="9" hidden="1"/>
    <cellStyle name="Lien hypertexte visité" xfId="1496" builtinId="9" hidden="1"/>
    <cellStyle name="Lien hypertexte visité" xfId="1463" builtinId="9" hidden="1"/>
    <cellStyle name="Lien hypertexte visité" xfId="1399" builtinId="9" hidden="1"/>
    <cellStyle name="Lien hypertexte visité" xfId="1367" builtinId="9" hidden="1"/>
    <cellStyle name="Lien hypertexte visité" xfId="1335" builtinId="9" hidden="1"/>
    <cellStyle name="Lien hypertexte visité" xfId="1271" builtinId="9" hidden="1"/>
    <cellStyle name="Lien hypertexte visité" xfId="1239" builtinId="9" hidden="1"/>
    <cellStyle name="Lien hypertexte visité" xfId="1207" builtinId="9" hidden="1"/>
    <cellStyle name="Lien hypertexte visité" xfId="1123" builtinId="9" hidden="1"/>
    <cellStyle name="Lien hypertexte visité" xfId="1059" builtinId="9" hidden="1"/>
    <cellStyle name="Lien hypertexte visité" xfId="995" builtinId="9" hidden="1"/>
    <cellStyle name="Lien hypertexte visité" xfId="867" builtinId="9" hidden="1"/>
    <cellStyle name="Lien hypertexte visité" xfId="803" builtinId="9" hidden="1"/>
    <cellStyle name="Lien hypertexte visité" xfId="739" builtinId="9" hidden="1"/>
    <cellStyle name="Lien hypertexte visité" xfId="611" builtinId="9" hidden="1"/>
    <cellStyle name="Lien hypertexte visité" xfId="547" builtinId="9" hidden="1"/>
    <cellStyle name="Lien hypertexte visité" xfId="483" builtinId="9" hidden="1"/>
    <cellStyle name="Lien hypertexte visité" xfId="355" builtinId="9" hidden="1"/>
    <cellStyle name="Lien hypertexte visité" xfId="291" builtinId="9" hidden="1"/>
    <cellStyle name="Lien hypertexte visité" xfId="227" builtinId="9" hidden="1"/>
    <cellStyle name="Lien hypertexte visité" xfId="81" builtinId="9" hidden="1"/>
    <cellStyle name="Lien hypertexte visité" xfId="87" builtinId="9" hidden="1"/>
    <cellStyle name="Lien hypertexte visité" xfId="55" builtinId="9" hidden="1"/>
    <cellStyle name="Lien hypertexte visité" xfId="127" builtinId="9" hidden="1"/>
    <cellStyle name="Lien hypertexte visité" xfId="191" builtinId="9" hidden="1"/>
    <cellStyle name="Lien hypertexte visité" xfId="255" builtinId="9" hidden="1"/>
    <cellStyle name="Lien hypertexte visité" xfId="383" builtinId="9" hidden="1"/>
    <cellStyle name="Lien hypertexte visité" xfId="447" builtinId="9" hidden="1"/>
    <cellStyle name="Lien hypertexte visité" xfId="511" builtinId="9" hidden="1"/>
    <cellStyle name="Lien hypertexte visité" xfId="639" builtinId="9" hidden="1"/>
    <cellStyle name="Lien hypertexte visité" xfId="703" builtinId="9" hidden="1"/>
    <cellStyle name="Lien hypertexte visité" xfId="767" builtinId="9" hidden="1"/>
    <cellStyle name="Lien hypertexte visité" xfId="895" builtinId="9" hidden="1"/>
    <cellStyle name="Lien hypertexte visité" xfId="959" builtinId="9" hidden="1"/>
    <cellStyle name="Lien hypertexte visité" xfId="1023" builtinId="9" hidden="1"/>
    <cellStyle name="Lien hypertexte visité" xfId="1151" builtinId="9" hidden="1" customBuiltin="1"/>
    <cellStyle name="Lien hypertexte visité" xfId="1189" builtinId="9" hidden="1"/>
    <cellStyle name="Lien hypertexte visité" xfId="1221" builtinId="9" hidden="1"/>
    <cellStyle name="Lien hypertexte visité" xfId="1285" builtinId="9" hidden="1"/>
    <cellStyle name="Lien hypertexte visité" xfId="1317" builtinId="9" hidden="1"/>
    <cellStyle name="Lien hypertexte visité" xfId="1349" builtinId="9" hidden="1"/>
    <cellStyle name="Lien hypertexte visité" xfId="1413" builtinId="9" hidden="1"/>
    <cellStyle name="Lien hypertexte visité" xfId="1445" builtinId="9" hidden="1"/>
    <cellStyle name="Lien hypertexte visité" xfId="1477" builtinId="9" hidden="1"/>
    <cellStyle name="Lien hypertexte visité" xfId="1542" builtinId="9" hidden="1"/>
    <cellStyle name="Lien hypertexte visité" xfId="1574" builtinId="9" hidden="1"/>
    <cellStyle name="Lien hypertexte visité" xfId="1606" builtinId="9" hidden="1"/>
    <cellStyle name="Lien hypertexte visité" xfId="1670" builtinId="9" hidden="1"/>
    <cellStyle name="Lien hypertexte visité" xfId="1702" builtinId="9" hidden="1"/>
    <cellStyle name="Lien hypertexte visité" xfId="1734" builtinId="9" hidden="1"/>
    <cellStyle name="Lien hypertexte visité" xfId="1798" builtinId="9" hidden="1"/>
    <cellStyle name="Lien hypertexte visité" xfId="1830" builtinId="9" hidden="1"/>
    <cellStyle name="Lien hypertexte visité" xfId="1862" builtinId="9" hidden="1"/>
    <cellStyle name="Lien hypertexte visité" xfId="1926" builtinId="9" hidden="1"/>
    <cellStyle name="Lien hypertexte visité" xfId="1958" builtinId="9" hidden="1"/>
    <cellStyle name="Lien hypertexte visité" xfId="1990" builtinId="9" hidden="1"/>
    <cellStyle name="Lien hypertexte visité" xfId="2054" builtinId="9" hidden="1"/>
    <cellStyle name="Lien hypertexte visité" xfId="2086" builtinId="9" hidden="1"/>
    <cellStyle name="Lien hypertexte visité" xfId="2118" builtinId="9" hidden="1"/>
    <cellStyle name="Lien hypertexte visité" xfId="2182" builtinId="9" hidden="1"/>
    <cellStyle name="Lien hypertexte visité" xfId="2214" builtinId="9" hidden="1"/>
    <cellStyle name="Lien hypertexte visité" xfId="2246" builtinId="9" hidden="1"/>
    <cellStyle name="Lien hypertexte visité" xfId="2310" builtinId="9" hidden="1"/>
    <cellStyle name="Lien hypertexte visité" xfId="2342" builtinId="9" hidden="1"/>
    <cellStyle name="Lien hypertexte visité" xfId="2374" builtinId="9" hidden="1"/>
    <cellStyle name="Lien hypertexte visité" xfId="2438" builtinId="9" hidden="1"/>
    <cellStyle name="Lien hypertexte visité" xfId="2470" builtinId="9" hidden="1"/>
    <cellStyle name="Lien hypertexte visité" xfId="2502" builtinId="9" hidden="1"/>
    <cellStyle name="Lien hypertexte visité" xfId="2566" builtinId="9" hidden="1"/>
    <cellStyle name="Lien hypertexte visité" xfId="2598" builtinId="9" hidden="1"/>
    <cellStyle name="Lien hypertexte visité" xfId="2630" builtinId="9" hidden="1"/>
    <cellStyle name="Lien hypertexte visité" xfId="2694" builtinId="9" hidden="1"/>
    <cellStyle name="Lien hypertexte visité" xfId="2726" builtinId="9" hidden="1"/>
    <cellStyle name="Lien hypertexte visité" xfId="2758" builtinId="9" hidden="1"/>
    <cellStyle name="Lien hypertexte visité" xfId="2822" builtinId="9" hidden="1"/>
    <cellStyle name="Lien hypertexte visité" xfId="2854" builtinId="9" hidden="1"/>
    <cellStyle name="Lien hypertexte visité" xfId="2886" builtinId="9" hidden="1"/>
    <cellStyle name="Lien hypertexte visité" xfId="2950" builtinId="9" hidden="1"/>
    <cellStyle name="Lien hypertexte visité" xfId="2982" builtinId="9" hidden="1"/>
    <cellStyle name="Lien hypertexte visité" xfId="3014" builtinId="9" hidden="1"/>
    <cellStyle name="Lien hypertexte visité" xfId="3078" builtinId="9" hidden="1"/>
    <cellStyle name="Lien hypertexte visité" xfId="3110" builtinId="9" hidden="1"/>
    <cellStyle name="Lien hypertexte visité" xfId="3142" builtinId="9" hidden="1"/>
    <cellStyle name="Lien hypertexte visité" xfId="3206" builtinId="9" hidden="1"/>
    <cellStyle name="Lien hypertexte visité" xfId="3238" builtinId="9" hidden="1"/>
    <cellStyle name="Lien hypertexte visité" xfId="3270" builtinId="9" hidden="1"/>
    <cellStyle name="Lien hypertexte visité" xfId="3334" builtinId="9" hidden="1"/>
    <cellStyle name="Lien hypertexte visité" xfId="3366" builtinId="9" hidden="1"/>
    <cellStyle name="Lien hypertexte visité" xfId="3398" builtinId="9" hidden="1"/>
    <cellStyle name="Lien hypertexte visité" xfId="3462" builtinId="9" hidden="1"/>
    <cellStyle name="Lien hypertexte visité" xfId="3494" builtinId="9" hidden="1"/>
    <cellStyle name="Lien hypertexte visité" xfId="3526" builtinId="9" hidden="1"/>
    <cellStyle name="Lien hypertexte visité" xfId="3591" builtinId="9" hidden="1"/>
    <cellStyle name="Lien hypertexte visité" xfId="3623" builtinId="9" hidden="1"/>
    <cellStyle name="Lien hypertexte visité" xfId="3657" builtinId="9" hidden="1"/>
    <cellStyle name="Lien hypertexte visité" xfId="3727" builtinId="9" hidden="1"/>
    <cellStyle name="Lien hypertexte visité" xfId="3759" builtinId="9" hidden="1"/>
    <cellStyle name="Lien hypertexte visité" xfId="3791" builtinId="9" hidden="1"/>
    <cellStyle name="Lien hypertexte visité" xfId="3855" builtinId="9" hidden="1"/>
    <cellStyle name="Lien hypertexte visité" xfId="3888" builtinId="9" hidden="1"/>
    <cellStyle name="Lien hypertexte visité" xfId="3920" builtinId="9" hidden="1"/>
    <cellStyle name="Lien hypertexte visité" xfId="3980" builtinId="9" hidden="1"/>
    <cellStyle name="Lien hypertexte visité" xfId="4012" builtinId="9" hidden="1"/>
    <cellStyle name="Lien hypertexte visité" xfId="4044" builtinId="9" hidden="1"/>
    <cellStyle name="Lien hypertexte visité" xfId="4108" builtinId="9" hidden="1"/>
    <cellStyle name="Lien hypertexte visité" xfId="4140" builtinId="9" hidden="1"/>
    <cellStyle name="Lien hypertexte visité" xfId="4172" builtinId="9" hidden="1"/>
    <cellStyle name="Lien hypertexte visité" xfId="4236" builtinId="9" hidden="1"/>
    <cellStyle name="Lien hypertexte visité" xfId="4268" builtinId="9" hidden="1"/>
    <cellStyle name="Lien hypertexte visité" xfId="4300" builtinId="9" hidden="1"/>
    <cellStyle name="Lien hypertexte visité" xfId="4364" builtinId="9" hidden="1"/>
    <cellStyle name="Lien hypertexte visité" xfId="4396" builtinId="9" hidden="1"/>
    <cellStyle name="Lien hypertexte visité" xfId="4428" builtinId="9" hidden="1"/>
    <cellStyle name="Lien hypertexte visité" xfId="4492" builtinId="9" hidden="1"/>
    <cellStyle name="Lien hypertexte visité" xfId="4524" builtinId="9" hidden="1"/>
    <cellStyle name="Lien hypertexte visité" xfId="4556" builtinId="9" hidden="1"/>
    <cellStyle name="Lien hypertexte visité" xfId="4620" builtinId="9" hidden="1"/>
    <cellStyle name="Lien hypertexte visité" xfId="4652" builtinId="9" hidden="1"/>
    <cellStyle name="Lien hypertexte visité" xfId="4684" builtinId="9" hidden="1"/>
    <cellStyle name="Lien hypertexte visité" xfId="4748" builtinId="9" hidden="1"/>
    <cellStyle name="Lien hypertexte visité" xfId="4780" builtinId="9" hidden="1"/>
    <cellStyle name="Lien hypertexte visité" xfId="4812" builtinId="9" hidden="1"/>
    <cellStyle name="Lien hypertexte visité" xfId="4876" builtinId="9" hidden="1"/>
    <cellStyle name="Lien hypertexte visité" xfId="4908" builtinId="9" hidden="1"/>
    <cellStyle name="Lien hypertexte visité" xfId="4940" builtinId="9" hidden="1"/>
    <cellStyle name="Lien hypertexte visité" xfId="5004" builtinId="9" hidden="1"/>
    <cellStyle name="Lien hypertexte visité" xfId="5036" builtinId="9" hidden="1"/>
    <cellStyle name="Lien hypertexte visité" xfId="5068" builtinId="9" hidden="1"/>
    <cellStyle name="Lien hypertexte visité" xfId="5132" builtinId="9" hidden="1"/>
    <cellStyle name="Lien hypertexte visité" xfId="5164" builtinId="9" hidden="1"/>
    <cellStyle name="Lien hypertexte visité" xfId="5196" builtinId="9" hidden="1"/>
    <cellStyle name="Lien hypertexte visité" xfId="5260" builtinId="9" hidden="1"/>
    <cellStyle name="Lien hypertexte visité" xfId="5292" builtinId="9" hidden="1"/>
    <cellStyle name="Lien hypertexte visité" xfId="5324" builtinId="9" hidden="1"/>
    <cellStyle name="Lien hypertexte visité" xfId="5388" builtinId="9" hidden="1"/>
    <cellStyle name="Lien hypertexte visité" xfId="5420" builtinId="9" hidden="1"/>
    <cellStyle name="Lien hypertexte visité" xfId="5452" builtinId="9" hidden="1"/>
    <cellStyle name="Lien hypertexte visité" xfId="5516" builtinId="9" hidden="1"/>
    <cellStyle name="Lien hypertexte visité" xfId="5548" builtinId="9" hidden="1"/>
    <cellStyle name="Lien hypertexte visité" xfId="5580" builtinId="9" hidden="1"/>
    <cellStyle name="Lien hypertexte visité" xfId="5644" builtinId="9" hidden="1"/>
    <cellStyle name="Lien hypertexte visité" xfId="5676" builtinId="9" hidden="1"/>
    <cellStyle name="Lien hypertexte visité" xfId="5708" builtinId="9" hidden="1"/>
    <cellStyle name="Lien hypertexte visité" xfId="5772" builtinId="9" hidden="1"/>
    <cellStyle name="Lien hypertexte visité" xfId="5804" builtinId="9" hidden="1"/>
    <cellStyle name="Lien hypertexte visité" xfId="5836" builtinId="9" hidden="1"/>
    <cellStyle name="Lien hypertexte visité" xfId="5900" builtinId="9" hidden="1"/>
    <cellStyle name="Lien hypertexte visité" xfId="5932" builtinId="9" hidden="1"/>
    <cellStyle name="Lien hypertexte visité" xfId="5964" builtinId="9" hidden="1"/>
    <cellStyle name="Lien hypertexte visité" xfId="6028" builtinId="9" hidden="1"/>
    <cellStyle name="Lien hypertexte visité" xfId="6060" builtinId="9" hidden="1"/>
    <cellStyle name="Lien hypertexte visité" xfId="6092" builtinId="9" hidden="1"/>
    <cellStyle name="Lien hypertexte visité" xfId="6156" builtinId="9" hidden="1"/>
    <cellStyle name="Lien hypertexte visité" xfId="6188" builtinId="9" hidden="1"/>
    <cellStyle name="Lien hypertexte visité" xfId="6220" builtinId="9" hidden="1"/>
    <cellStyle name="Lien hypertexte visité" xfId="6284" builtinId="9" hidden="1"/>
    <cellStyle name="Lien hypertexte visité" xfId="6316" builtinId="9" hidden="1"/>
    <cellStyle name="Lien hypertexte visité" xfId="6348" builtinId="9" hidden="1"/>
    <cellStyle name="Lien hypertexte visité" xfId="6412" builtinId="9" hidden="1"/>
    <cellStyle name="Lien hypertexte visité" xfId="6444" builtinId="9" hidden="1"/>
    <cellStyle name="Lien hypertexte visité" xfId="6476" builtinId="9" hidden="1"/>
    <cellStyle name="Lien hypertexte visité" xfId="6540" builtinId="9" hidden="1"/>
    <cellStyle name="Lien hypertexte visité" xfId="6572" builtinId="9" hidden="1"/>
    <cellStyle name="Lien hypertexte visité" xfId="6604" builtinId="9" hidden="1"/>
    <cellStyle name="Lien hypertexte visité" xfId="6668" builtinId="9" hidden="1"/>
    <cellStyle name="Lien hypertexte visité" xfId="6700" builtinId="9" hidden="1"/>
    <cellStyle name="Lien hypertexte visité" xfId="6732" builtinId="9" hidden="1"/>
    <cellStyle name="Lien hypertexte visité" xfId="6796" builtinId="9" hidden="1"/>
    <cellStyle name="Lien hypertexte visité" xfId="6828" builtinId="9" hidden="1"/>
    <cellStyle name="Lien hypertexte visité" xfId="6860" builtinId="9" hidden="1"/>
    <cellStyle name="Lien hypertexte visité" xfId="6924" builtinId="9" hidden="1"/>
    <cellStyle name="Lien hypertexte visité" xfId="6956" builtinId="9" hidden="1"/>
    <cellStyle name="Lien hypertexte visité" xfId="6988" builtinId="9" hidden="1"/>
    <cellStyle name="Lien hypertexte visité" xfId="7052" builtinId="9" hidden="1"/>
    <cellStyle name="Lien hypertexte visité" xfId="7084" builtinId="9" hidden="1"/>
    <cellStyle name="Lien hypertexte visité" xfId="7116" builtinId="9" hidden="1"/>
    <cellStyle name="Lien hypertexte visité" xfId="7180" builtinId="9" hidden="1"/>
    <cellStyle name="Lien hypertexte visité" xfId="7212" builtinId="9" hidden="1"/>
    <cellStyle name="Lien hypertexte visité" xfId="7244" builtinId="9" hidden="1"/>
    <cellStyle name="Lien hypertexte visité" xfId="7308" builtinId="9" hidden="1"/>
    <cellStyle name="Lien hypertexte visité" xfId="7340" builtinId="9" hidden="1"/>
    <cellStyle name="Lien hypertexte visité" xfId="7372" builtinId="9" hidden="1"/>
    <cellStyle name="Lien hypertexte visité" xfId="7436" builtinId="9" hidden="1"/>
    <cellStyle name="Lien hypertexte visité" xfId="7468" builtinId="9" hidden="1"/>
    <cellStyle name="Lien hypertexte visité" xfId="7500" builtinId="9" hidden="1"/>
    <cellStyle name="Lien hypertexte visité" xfId="7564" builtinId="9" hidden="1"/>
    <cellStyle name="Lien hypertexte visité" xfId="7596" builtinId="9" hidden="1"/>
    <cellStyle name="Lien hypertexte visité" xfId="7628" builtinId="9" hidden="1"/>
    <cellStyle name="Lien hypertexte visité" xfId="7692" builtinId="9" hidden="1"/>
    <cellStyle name="Lien hypertexte visité" xfId="7724" builtinId="9" hidden="1"/>
    <cellStyle name="Lien hypertexte visité" xfId="7756" builtinId="9" hidden="1"/>
    <cellStyle name="Lien hypertexte visité" xfId="7821" builtinId="9" hidden="1"/>
    <cellStyle name="Lien hypertexte visité" xfId="7853" builtinId="9" hidden="1"/>
    <cellStyle name="Lien hypertexte visité" xfId="7885" builtinId="9" hidden="1"/>
    <cellStyle name="Lien hypertexte visité" xfId="7949" builtinId="9" hidden="1"/>
    <cellStyle name="Lien hypertexte visité" xfId="7981" builtinId="9" hidden="1"/>
    <cellStyle name="Lien hypertexte visité" xfId="8013" builtinId="9" hidden="1"/>
    <cellStyle name="Lien hypertexte visité" xfId="8077" builtinId="9" hidden="1"/>
    <cellStyle name="Lien hypertexte visité" xfId="8109" builtinId="9" hidden="1"/>
    <cellStyle name="Lien hypertexte visité" xfId="8141" builtinId="9" hidden="1"/>
    <cellStyle name="Lien hypertexte visité" xfId="8205" builtinId="9" hidden="1"/>
    <cellStyle name="Lien hypertexte visité" xfId="8237" builtinId="9" hidden="1"/>
    <cellStyle name="Lien hypertexte visité" xfId="8269" builtinId="9" hidden="1"/>
    <cellStyle name="Lien hypertexte visité" xfId="8333" builtinId="9" hidden="1"/>
    <cellStyle name="Lien hypertexte visité" xfId="8365" builtinId="9" hidden="1"/>
    <cellStyle name="Lien hypertexte visité" xfId="8397" builtinId="9" hidden="1"/>
    <cellStyle name="Lien hypertexte visité" xfId="8461" builtinId="9" hidden="1"/>
    <cellStyle name="Lien hypertexte visité" xfId="8493" builtinId="9" hidden="1"/>
    <cellStyle name="Lien hypertexte visité" xfId="8525" builtinId="9" hidden="1"/>
    <cellStyle name="Lien hypertexte visité" xfId="8589" builtinId="9" hidden="1"/>
    <cellStyle name="Lien hypertexte visité" xfId="8621" builtinId="9" hidden="1"/>
    <cellStyle name="Lien hypertexte visité" xfId="8653" builtinId="9" hidden="1"/>
    <cellStyle name="Lien hypertexte visité" xfId="8717" builtinId="9" hidden="1"/>
    <cellStyle name="Lien hypertexte visité" xfId="8749" builtinId="9" hidden="1"/>
    <cellStyle name="Lien hypertexte visité" xfId="8781" builtinId="9" hidden="1"/>
    <cellStyle name="Lien hypertexte visité" xfId="8845" builtinId="9" hidden="1"/>
    <cellStyle name="Lien hypertexte visité" xfId="8877" builtinId="9" hidden="1"/>
    <cellStyle name="Lien hypertexte visité" xfId="8909" builtinId="9" hidden="1"/>
    <cellStyle name="Lien hypertexte visité" xfId="8973" builtinId="9" hidden="1"/>
    <cellStyle name="Lien hypertexte visité" xfId="9005" builtinId="9" hidden="1"/>
    <cellStyle name="Lien hypertexte visité" xfId="9037" builtinId="9" hidden="1"/>
    <cellStyle name="Lien hypertexte visité" xfId="9101" builtinId="9" hidden="1"/>
    <cellStyle name="Lien hypertexte visité" xfId="9133" builtinId="9" hidden="1"/>
    <cellStyle name="Lien hypertexte visité" xfId="9165" builtinId="9" hidden="1"/>
    <cellStyle name="Lien hypertexte visité" xfId="9229" builtinId="9" hidden="1"/>
    <cellStyle name="Lien hypertexte visité" xfId="9261" builtinId="9" hidden="1"/>
    <cellStyle name="Lien hypertexte visité" xfId="9293" builtinId="9" hidden="1"/>
    <cellStyle name="Lien hypertexte visité" xfId="9357" builtinId="9" hidden="1"/>
    <cellStyle name="Lien hypertexte visité" xfId="9389" builtinId="9" hidden="1"/>
    <cellStyle name="Lien hypertexte visité" xfId="9421" builtinId="9" hidden="1"/>
    <cellStyle name="Lien hypertexte visité" xfId="9485" builtinId="9" hidden="1"/>
    <cellStyle name="Lien hypertexte visité" xfId="9517" builtinId="9" hidden="1"/>
    <cellStyle name="Lien hypertexte visité" xfId="9549" builtinId="9" hidden="1"/>
    <cellStyle name="Lien hypertexte visité" xfId="9613" builtinId="9" hidden="1"/>
    <cellStyle name="Lien hypertexte visité" xfId="9645" builtinId="9" hidden="1"/>
    <cellStyle name="Lien hypertexte visité" xfId="9677" builtinId="9" hidden="1"/>
    <cellStyle name="Lien hypertexte visité" xfId="9741" builtinId="9" hidden="1"/>
    <cellStyle name="Lien hypertexte visité" xfId="9773" builtinId="9" hidden="1"/>
    <cellStyle name="Lien hypertexte visité" xfId="9805" builtinId="9" hidden="1"/>
    <cellStyle name="Lien hypertexte visité" xfId="9869" builtinId="9" hidden="1"/>
    <cellStyle name="Lien hypertexte visité" xfId="9901" builtinId="9" hidden="1"/>
    <cellStyle name="Lien hypertexte visité" xfId="9933" builtinId="9" hidden="1"/>
    <cellStyle name="Lien hypertexte visité" xfId="9997" builtinId="9" hidden="1"/>
    <cellStyle name="Lien hypertexte visité" xfId="10029" builtinId="9" hidden="1"/>
    <cellStyle name="Lien hypertexte visité" xfId="10061" builtinId="9" hidden="1"/>
    <cellStyle name="Lien hypertexte visité" xfId="10125" builtinId="9" hidden="1"/>
    <cellStyle name="Lien hypertexte visité" xfId="10157" builtinId="9" hidden="1"/>
    <cellStyle name="Lien hypertexte visité" xfId="10189" builtinId="9" hidden="1"/>
    <cellStyle name="Lien hypertexte visité" xfId="10253" builtinId="9" hidden="1"/>
    <cellStyle name="Lien hypertexte visité" xfId="10285" builtinId="9" hidden="1"/>
    <cellStyle name="Lien hypertexte visité" xfId="10317" builtinId="9" hidden="1"/>
    <cellStyle name="Lien hypertexte visité" xfId="10381" builtinId="9" hidden="1"/>
    <cellStyle name="Lien hypertexte visité" xfId="10413" builtinId="9" hidden="1"/>
    <cellStyle name="Lien hypertexte visité" xfId="10445" builtinId="9" hidden="1"/>
    <cellStyle name="Lien hypertexte visité" xfId="10509" builtinId="9" hidden="1"/>
    <cellStyle name="Lien hypertexte visité" xfId="10541" builtinId="9" hidden="1"/>
    <cellStyle name="Lien hypertexte visité" xfId="10573" builtinId="9" hidden="1"/>
    <cellStyle name="Lien hypertexte visité" xfId="10637" builtinId="9" hidden="1"/>
    <cellStyle name="Lien hypertexte visité" xfId="10669" builtinId="9" hidden="1"/>
    <cellStyle name="Lien hypertexte visité" xfId="10701" builtinId="9" hidden="1"/>
    <cellStyle name="Lien hypertexte visité" xfId="10765" builtinId="9" hidden="1"/>
    <cellStyle name="Lien hypertexte visité" xfId="10797" builtinId="9" hidden="1"/>
    <cellStyle name="Lien hypertexte visité" xfId="10829" builtinId="9" hidden="1"/>
    <cellStyle name="Lien hypertexte visité" xfId="10893" builtinId="9" hidden="1"/>
    <cellStyle name="Lien hypertexte visité" xfId="10925" builtinId="9" hidden="1"/>
    <cellStyle name="Lien hypertexte visité" xfId="10957" builtinId="9" hidden="1"/>
    <cellStyle name="Lien hypertexte visité" xfId="11021" builtinId="9" hidden="1"/>
    <cellStyle name="Lien hypertexte visité" xfId="11053" builtinId="9" hidden="1"/>
    <cellStyle name="Lien hypertexte visité" xfId="11085" builtinId="9" hidden="1"/>
    <cellStyle name="Lien hypertexte visité" xfId="11149" builtinId="9" hidden="1"/>
    <cellStyle name="Lien hypertexte visité" xfId="11181" builtinId="9" hidden="1"/>
    <cellStyle name="Lien hypertexte visité" xfId="11213" builtinId="9" hidden="1"/>
    <cellStyle name="Lien hypertexte visité" xfId="11277" builtinId="9" hidden="1"/>
    <cellStyle name="Lien hypertexte visité" xfId="11309" builtinId="9" hidden="1"/>
    <cellStyle name="Lien hypertexte visité" xfId="11341" builtinId="9" hidden="1"/>
    <cellStyle name="Lien hypertexte visité" xfId="11405" builtinId="9" hidden="1"/>
    <cellStyle name="Lien hypertexte visité" xfId="11437" builtinId="9" hidden="1"/>
    <cellStyle name="Lien hypertexte visité" xfId="11469" builtinId="9" hidden="1"/>
    <cellStyle name="Lien hypertexte visité" xfId="11533" builtinId="9" hidden="1"/>
    <cellStyle name="Lien hypertexte visité" xfId="11565" builtinId="9" hidden="1"/>
    <cellStyle name="Lien hypertexte visité" xfId="11597" builtinId="9" hidden="1"/>
    <cellStyle name="Lien hypertexte visité" xfId="11661" builtinId="9" hidden="1"/>
    <cellStyle name="Lien hypertexte visité" xfId="11693" builtinId="9" hidden="1"/>
    <cellStyle name="Lien hypertexte visité" xfId="11725" builtinId="9" hidden="1"/>
    <cellStyle name="Lien hypertexte visité" xfId="11789" builtinId="9" hidden="1"/>
    <cellStyle name="Lien hypertexte visité" xfId="11821" builtinId="9" hidden="1"/>
    <cellStyle name="Lien hypertexte visité" xfId="11853" builtinId="9" hidden="1"/>
    <cellStyle name="Lien hypertexte visité" xfId="11917" builtinId="9" hidden="1"/>
    <cellStyle name="Lien hypertexte visité" xfId="11949" builtinId="9" hidden="1"/>
    <cellStyle name="Lien hypertexte visité" xfId="11981" builtinId="9" hidden="1"/>
    <cellStyle name="Lien hypertexte visité" xfId="12045" builtinId="9" hidden="1"/>
    <cellStyle name="Lien hypertexte visité" xfId="12077" builtinId="9" hidden="1"/>
    <cellStyle name="Lien hypertexte visité" xfId="12109" builtinId="9" hidden="1"/>
    <cellStyle name="Lien hypertexte visité" xfId="12173" builtinId="9" hidden="1"/>
    <cellStyle name="Lien hypertexte visité" xfId="12205" builtinId="9" hidden="1"/>
    <cellStyle name="Lien hypertexte visité" xfId="12237" builtinId="9" hidden="1"/>
    <cellStyle name="Lien hypertexte visité" xfId="12301" builtinId="9" hidden="1"/>
    <cellStyle name="Lien hypertexte visité" xfId="12333" builtinId="9" hidden="1"/>
    <cellStyle name="Lien hypertexte visité" xfId="12365" builtinId="9" hidden="1"/>
    <cellStyle name="Lien hypertexte visité" xfId="12429" builtinId="9" hidden="1"/>
    <cellStyle name="Lien hypertexte visité" xfId="12461" builtinId="9" hidden="1"/>
    <cellStyle name="Lien hypertexte visité" xfId="12493" builtinId="9" hidden="1"/>
    <cellStyle name="Lien hypertexte visité" xfId="12557" builtinId="9" hidden="1"/>
    <cellStyle name="Lien hypertexte visité" xfId="12589" builtinId="9" hidden="1"/>
    <cellStyle name="Lien hypertexte visité" xfId="12621" builtinId="9" hidden="1"/>
    <cellStyle name="Lien hypertexte visité" xfId="12685" builtinId="9" hidden="1"/>
    <cellStyle name="Lien hypertexte visité" xfId="12717" builtinId="9" hidden="1"/>
    <cellStyle name="Lien hypertexte visité" xfId="12749" builtinId="9" hidden="1"/>
    <cellStyle name="Lien hypertexte visité" xfId="12813" builtinId="9" hidden="1"/>
    <cellStyle name="Lien hypertexte visité" xfId="12845" builtinId="9" hidden="1"/>
    <cellStyle name="Lien hypertexte visité" xfId="12877" builtinId="9" hidden="1"/>
    <cellStyle name="Lien hypertexte visité" xfId="12941" builtinId="9" hidden="1"/>
    <cellStyle name="Lien hypertexte visité" xfId="12973" builtinId="9" hidden="1"/>
    <cellStyle name="Lien hypertexte visité" xfId="13005" builtinId="9" hidden="1"/>
    <cellStyle name="Lien hypertexte visité" xfId="13069" builtinId="9" hidden="1"/>
    <cellStyle name="Lien hypertexte visité" xfId="13101" builtinId="9" hidden="1"/>
    <cellStyle name="Lien hypertexte visité" xfId="13133" builtinId="9" hidden="1"/>
    <cellStyle name="Lien hypertexte visité" xfId="13197" builtinId="9" hidden="1"/>
    <cellStyle name="Lien hypertexte visité" xfId="13229" builtinId="9" hidden="1"/>
    <cellStyle name="Lien hypertexte visité" xfId="13261" builtinId="9" hidden="1"/>
    <cellStyle name="Lien hypertexte visité" xfId="13325" builtinId="9" hidden="1"/>
    <cellStyle name="Lien hypertexte visité" xfId="13357" builtinId="9" hidden="1"/>
    <cellStyle name="Lien hypertexte visité" xfId="13389" builtinId="9" hidden="1"/>
    <cellStyle name="Lien hypertexte visité" xfId="13453" builtinId="9" hidden="1"/>
    <cellStyle name="Lien hypertexte visité" xfId="13485" builtinId="9" hidden="1"/>
    <cellStyle name="Lien hypertexte visité" xfId="13517" builtinId="9" hidden="1"/>
    <cellStyle name="Lien hypertexte visité" xfId="13581" builtinId="9" hidden="1"/>
    <cellStyle name="Lien hypertexte visité" xfId="13613" builtinId="9" hidden="1"/>
    <cellStyle name="Lien hypertexte visité" xfId="13645" builtinId="9" hidden="1"/>
    <cellStyle name="Lien hypertexte visité" xfId="13709" builtinId="9" hidden="1"/>
    <cellStyle name="Lien hypertexte visité" xfId="13741" builtinId="9" hidden="1"/>
    <cellStyle name="Lien hypertexte visité" xfId="13773" builtinId="9" hidden="1"/>
    <cellStyle name="Lien hypertexte visité" xfId="13837" builtinId="9" hidden="1"/>
    <cellStyle name="Lien hypertexte visité" xfId="13869" builtinId="9" hidden="1"/>
    <cellStyle name="Lien hypertexte visité" xfId="13901" builtinId="9" hidden="1"/>
    <cellStyle name="Lien hypertexte visité" xfId="13965" builtinId="9" hidden="1"/>
    <cellStyle name="Lien hypertexte visité" xfId="13997" builtinId="9" hidden="1"/>
    <cellStyle name="Lien hypertexte visité" xfId="14029" builtinId="9" hidden="1"/>
    <cellStyle name="Lien hypertexte visité" xfId="14093" builtinId="9" hidden="1"/>
    <cellStyle name="Lien hypertexte visité" xfId="14125" builtinId="9" hidden="1"/>
    <cellStyle name="Lien hypertexte visité" xfId="14157" builtinId="9" hidden="1"/>
    <cellStyle name="Lien hypertexte visité" xfId="14221" builtinId="9" hidden="1"/>
    <cellStyle name="Lien hypertexte visité" xfId="14253" builtinId="9" hidden="1"/>
    <cellStyle name="Lien hypertexte visité" xfId="14285" builtinId="9" hidden="1"/>
    <cellStyle name="Lien hypertexte visité" xfId="14349" builtinId="9" hidden="1"/>
    <cellStyle name="Lien hypertexte visité" xfId="14381" builtinId="9" hidden="1"/>
    <cellStyle name="Lien hypertexte visité" xfId="14413" builtinId="9" hidden="1"/>
    <cellStyle name="Lien hypertexte visité" xfId="14477" builtinId="9" hidden="1"/>
    <cellStyle name="Lien hypertexte visité" xfId="14509" builtinId="9" hidden="1"/>
    <cellStyle name="Lien hypertexte visité" xfId="14567" builtinId="9" hidden="1"/>
    <cellStyle name="Lien hypertexte visité" xfId="14695" builtinId="9" hidden="1"/>
    <cellStyle name="Lien hypertexte visité" xfId="14759" builtinId="9" hidden="1"/>
    <cellStyle name="Lien hypertexte visité" xfId="14823" builtinId="9" hidden="1"/>
    <cellStyle name="Lien hypertexte visité" xfId="14951" builtinId="9" hidden="1"/>
    <cellStyle name="Lien hypertexte visité" xfId="15015" builtinId="9" hidden="1"/>
    <cellStyle name="Lien hypertexte visité" xfId="15079" builtinId="9" hidden="1"/>
    <cellStyle name="Lien hypertexte visité" xfId="15207" builtinId="9" hidden="1"/>
    <cellStyle name="Lien hypertexte visité" xfId="15271" builtinId="9" hidden="1"/>
    <cellStyle name="Lien hypertexte visité" xfId="15335" builtinId="9" hidden="1"/>
    <cellStyle name="Lien hypertexte visité" xfId="15463" builtinId="9" hidden="1"/>
    <cellStyle name="Lien hypertexte visité" xfId="15527" builtinId="9" hidden="1"/>
    <cellStyle name="Lien hypertexte visité" xfId="15591" builtinId="9" hidden="1"/>
    <cellStyle name="Lien hypertexte visité" xfId="15719" builtinId="9" hidden="1"/>
    <cellStyle name="Lien hypertexte visité" xfId="15783" builtinId="9" hidden="1"/>
    <cellStyle name="Lien hypertexte visité" xfId="15847" builtinId="9" hidden="1"/>
    <cellStyle name="Lien hypertexte visité" xfId="15975" builtinId="9" hidden="1"/>
    <cellStyle name="Lien hypertexte visité" xfId="16039" builtinId="9" hidden="1"/>
    <cellStyle name="Lien hypertexte visité" xfId="16103" builtinId="9" hidden="1"/>
    <cellStyle name="Lien hypertexte visité" xfId="16231" builtinId="9" hidden="1"/>
    <cellStyle name="Lien hypertexte visité" xfId="16295" builtinId="9" hidden="1"/>
    <cellStyle name="Lien hypertexte visité" xfId="16359" builtinId="9" hidden="1"/>
    <cellStyle name="Lien hypertexte visité" xfId="16487" builtinId="9" hidden="1"/>
    <cellStyle name="Lien hypertexte visité" xfId="16551" builtinId="9" hidden="1"/>
    <cellStyle name="Lien hypertexte visité" xfId="16615" builtinId="9" hidden="1"/>
    <cellStyle name="Lien hypertexte visité" xfId="16743" builtinId="9" hidden="1"/>
    <cellStyle name="Lien hypertexte visité" xfId="16807" builtinId="9" hidden="1"/>
    <cellStyle name="Lien hypertexte visité" xfId="16871" builtinId="9" hidden="1"/>
    <cellStyle name="Lien hypertexte visité" xfId="16999" builtinId="9" hidden="1"/>
    <cellStyle name="Lien hypertexte visité" xfId="17063" builtinId="9" hidden="1"/>
    <cellStyle name="Lien hypertexte visité" xfId="17127" builtinId="9" hidden="1"/>
    <cellStyle name="Lien hypertexte visité" xfId="17255" builtinId="9" hidden="1"/>
    <cellStyle name="Lien hypertexte visité" xfId="17319" builtinId="9" hidden="1"/>
    <cellStyle name="Lien hypertexte visité" xfId="17383" builtinId="9" hidden="1"/>
    <cellStyle name="Lien hypertexte visité" xfId="17511" builtinId="9" hidden="1"/>
    <cellStyle name="Lien hypertexte visité" xfId="17575" builtinId="9" hidden="1"/>
    <cellStyle name="Lien hypertexte visité" xfId="17639" builtinId="9" hidden="1"/>
    <cellStyle name="Lien hypertexte visité" xfId="17767" builtinId="9" hidden="1"/>
    <cellStyle name="Lien hypertexte visité" xfId="17831" builtinId="9" hidden="1"/>
    <cellStyle name="Lien hypertexte visité" xfId="17895" builtinId="9" hidden="1"/>
    <cellStyle name="Lien hypertexte visité" xfId="18023" builtinId="9" hidden="1"/>
    <cellStyle name="Lien hypertexte visité" xfId="18087" builtinId="9" hidden="1"/>
    <cellStyle name="Lien hypertexte visité" xfId="18151" builtinId="9" hidden="1"/>
    <cellStyle name="Lien hypertexte visité" xfId="18279" builtinId="9" hidden="1"/>
    <cellStyle name="Lien hypertexte visité" xfId="18326" builtinId="9" hidden="1"/>
    <cellStyle name="Lien hypertexte visité" xfId="18390" builtinId="9" hidden="1"/>
    <cellStyle name="Lien hypertexte visité" xfId="18518" builtinId="9" hidden="1"/>
    <cellStyle name="Lien hypertexte visité" xfId="18582" builtinId="9" hidden="1"/>
    <cellStyle name="Lien hypertexte visité" xfId="18646" builtinId="9" hidden="1"/>
    <cellStyle name="Lien hypertexte visité" xfId="18774" builtinId="9" hidden="1"/>
    <cellStyle name="Lien hypertexte visité" xfId="18838" builtinId="9" hidden="1"/>
    <cellStyle name="Lien hypertexte visité" xfId="18902" builtinId="9" hidden="1"/>
    <cellStyle name="Lien hypertexte visité" xfId="19030" builtinId="9" hidden="1"/>
    <cellStyle name="Lien hypertexte visité" xfId="19094" builtinId="9" hidden="1"/>
    <cellStyle name="Lien hypertexte visité" xfId="19158" builtinId="9" hidden="1"/>
    <cellStyle name="Lien hypertexte visité" xfId="19286" builtinId="9" hidden="1"/>
    <cellStyle name="Lien hypertexte visité" xfId="19350" builtinId="9" hidden="1"/>
    <cellStyle name="Lien hypertexte visité" xfId="19414" builtinId="9" hidden="1"/>
    <cellStyle name="Lien hypertexte visité" xfId="19542" builtinId="9" hidden="1"/>
    <cellStyle name="Lien hypertexte visité" xfId="19606" builtinId="9" hidden="1"/>
    <cellStyle name="Lien hypertexte visité" xfId="19670" builtinId="9" hidden="1"/>
    <cellStyle name="Lien hypertexte visité" xfId="19798" builtinId="9" hidden="1"/>
    <cellStyle name="Lien hypertexte visité" xfId="19862" builtinId="9" hidden="1"/>
    <cellStyle name="Lien hypertexte visité" xfId="19926" builtinId="9" hidden="1"/>
    <cellStyle name="Lien hypertexte visité" xfId="20054" builtinId="9" hidden="1"/>
    <cellStyle name="Lien hypertexte visité" xfId="20118" builtinId="9" hidden="1"/>
    <cellStyle name="Lien hypertexte visité" xfId="20182" builtinId="9" hidden="1"/>
    <cellStyle name="Lien hypertexte visité" xfId="20310" builtinId="9" hidden="1"/>
    <cellStyle name="Lien hypertexte visité" xfId="20374" builtinId="9" hidden="1"/>
    <cellStyle name="Lien hypertexte visité" xfId="20438" builtinId="9" hidden="1"/>
    <cellStyle name="Lien hypertexte visité" xfId="20566" builtinId="9" hidden="1"/>
    <cellStyle name="Lien hypertexte visité" xfId="20630" builtinId="9" hidden="1"/>
    <cellStyle name="Lien hypertexte visité" xfId="20694" builtinId="9" hidden="1"/>
    <cellStyle name="Lien hypertexte visité" xfId="20822" builtinId="9" hidden="1"/>
    <cellStyle name="Lien hypertexte visité" xfId="20886" builtinId="9" hidden="1"/>
    <cellStyle name="Lien hypertexte visité" xfId="20950" builtinId="9" hidden="1"/>
    <cellStyle name="Lien hypertexte visité" xfId="21078" builtinId="9" hidden="1"/>
    <cellStyle name="Lien hypertexte visité" xfId="21142" builtinId="9" hidden="1"/>
    <cellStyle name="Lien hypertexte visité" xfId="21206" builtinId="9" hidden="1"/>
    <cellStyle name="Lien hypertexte visité" xfId="21334" builtinId="9" hidden="1"/>
    <cellStyle name="Lien hypertexte visité" xfId="21398" builtinId="9" hidden="1"/>
    <cellStyle name="Lien hypertexte visité" xfId="21462" builtinId="9" hidden="1"/>
    <cellStyle name="Lien hypertexte visité" xfId="21590" builtinId="9" hidden="1"/>
    <cellStyle name="Lien hypertexte visité" xfId="21654" builtinId="9" hidden="1"/>
    <cellStyle name="Lien hypertexte visité" xfId="21718" builtinId="9" hidden="1"/>
    <cellStyle name="Lien hypertexte visité" xfId="21846" builtinId="9" hidden="1"/>
    <cellStyle name="Lien hypertexte visité" xfId="21910" builtinId="9" hidden="1"/>
    <cellStyle name="Lien hypertexte visité" xfId="21974" builtinId="9" hidden="1"/>
    <cellStyle name="Lien hypertexte visité" xfId="22102" builtinId="9" hidden="1"/>
    <cellStyle name="Lien hypertexte visité" xfId="22166" builtinId="9" hidden="1"/>
    <cellStyle name="Lien hypertexte visité" xfId="22230" builtinId="9" hidden="1"/>
    <cellStyle name="Lien hypertexte visité" xfId="22358" builtinId="9" hidden="1"/>
    <cellStyle name="Lien hypertexte visité" xfId="22422" builtinId="9" hidden="1"/>
    <cellStyle name="Lien hypertexte visité" xfId="22486" builtinId="9" hidden="1"/>
    <cellStyle name="Lien hypertexte visité" xfId="22614" builtinId="9" hidden="1"/>
    <cellStyle name="Lien hypertexte visité" xfId="22678" builtinId="9" hidden="1"/>
    <cellStyle name="Lien hypertexte visité" xfId="22742" builtinId="9" hidden="1"/>
    <cellStyle name="Lien hypertexte visité" xfId="22870" builtinId="9" hidden="1"/>
    <cellStyle name="Lien hypertexte visité" xfId="22934" builtinId="9" hidden="1"/>
    <cellStyle name="Lien hypertexte visité" xfId="22998" builtinId="9" hidden="1"/>
    <cellStyle name="Lien hypertexte visité" xfId="23126" builtinId="9" hidden="1"/>
    <cellStyle name="Lien hypertexte visité" xfId="23190" builtinId="9" hidden="1"/>
    <cellStyle name="Lien hypertexte visité" xfId="23254" builtinId="9" hidden="1"/>
    <cellStyle name="Lien hypertexte visité" xfId="23382" builtinId="9" hidden="1"/>
    <cellStyle name="Lien hypertexte visité" xfId="23446" builtinId="9" hidden="1"/>
    <cellStyle name="Lien hypertexte visité" xfId="23510" builtinId="9" hidden="1"/>
    <cellStyle name="Lien hypertexte visité" xfId="23638" builtinId="9" hidden="1"/>
    <cellStyle name="Lien hypertexte visité" xfId="23702" builtinId="9" hidden="1"/>
    <cellStyle name="Lien hypertexte visité" xfId="23766" builtinId="9" hidden="1"/>
    <cellStyle name="Lien hypertexte visité" xfId="23894" builtinId="9" hidden="1"/>
    <cellStyle name="Lien hypertexte visité" xfId="23958" builtinId="9" hidden="1"/>
    <cellStyle name="Lien hypertexte visité" xfId="24022" builtinId="9" hidden="1"/>
    <cellStyle name="Lien hypertexte visité" xfId="24150" builtinId="9" hidden="1"/>
    <cellStyle name="Lien hypertexte visité" xfId="24214" builtinId="9" hidden="1"/>
    <cellStyle name="Lien hypertexte visité" xfId="24278" builtinId="9" hidden="1"/>
    <cellStyle name="Lien hypertexte visité" xfId="24406" builtinId="9" hidden="1"/>
    <cellStyle name="Lien hypertexte visité" xfId="24470" builtinId="9" hidden="1"/>
    <cellStyle name="Lien hypertexte visité" xfId="24534" builtinId="9" hidden="1"/>
    <cellStyle name="Lien hypertexte visité" xfId="24564" builtinId="9" hidden="1"/>
    <cellStyle name="Lien hypertexte visité" xfId="24500" builtinId="9" hidden="1"/>
    <cellStyle name="Lien hypertexte visité" xfId="24436" builtinId="9" hidden="1"/>
    <cellStyle name="Lien hypertexte visité" xfId="24308" builtinId="9" hidden="1"/>
    <cellStyle name="Lien hypertexte visité" xfId="24244" builtinId="9" hidden="1"/>
    <cellStyle name="Lien hypertexte visité" xfId="24180" builtinId="9" hidden="1"/>
    <cellStyle name="Lien hypertexte visité" xfId="24052" builtinId="9" hidden="1"/>
    <cellStyle name="Lien hypertexte visité" xfId="23988" builtinId="9" hidden="1"/>
    <cellStyle name="Lien hypertexte visité" xfId="23924" builtinId="9" hidden="1"/>
    <cellStyle name="Lien hypertexte visité" xfId="23796" builtinId="9" hidden="1"/>
    <cellStyle name="Lien hypertexte visité" xfId="23732" builtinId="9" hidden="1"/>
    <cellStyle name="Lien hypertexte visité" xfId="23668" builtinId="9" hidden="1"/>
    <cellStyle name="Lien hypertexte visité" xfId="23540" builtinId="9" hidden="1"/>
    <cellStyle name="Lien hypertexte visité" xfId="23476" builtinId="9" hidden="1"/>
    <cellStyle name="Lien hypertexte visité" xfId="23412" builtinId="9" hidden="1"/>
    <cellStyle name="Lien hypertexte visité" xfId="23284" builtinId="9" hidden="1"/>
    <cellStyle name="Lien hypertexte visité" xfId="23220" builtinId="9" hidden="1"/>
    <cellStyle name="Lien hypertexte visité" xfId="23156" builtinId="9" hidden="1"/>
    <cellStyle name="Lien hypertexte visité" xfId="23028" builtinId="9" hidden="1"/>
    <cellStyle name="Lien hypertexte visité" xfId="22964" builtinId="9" hidden="1"/>
    <cellStyle name="Lien hypertexte visité" xfId="22900" builtinId="9" hidden="1"/>
    <cellStyle name="Lien hypertexte visité" xfId="22772" builtinId="9" hidden="1"/>
    <cellStyle name="Lien hypertexte visité" xfId="22708" builtinId="9" hidden="1"/>
    <cellStyle name="Lien hypertexte visité" xfId="22644" builtinId="9" hidden="1"/>
    <cellStyle name="Lien hypertexte visité" xfId="22516" builtinId="9" hidden="1"/>
    <cellStyle name="Lien hypertexte visité" xfId="22452" builtinId="9" hidden="1"/>
    <cellStyle name="Lien hypertexte visité" xfId="22388" builtinId="9" hidden="1"/>
    <cellStyle name="Lien hypertexte visité" xfId="22260" builtinId="9" hidden="1"/>
    <cellStyle name="Lien hypertexte visité" xfId="22196" builtinId="9" hidden="1"/>
    <cellStyle name="Lien hypertexte visité" xfId="22132" builtinId="9" hidden="1"/>
    <cellStyle name="Lien hypertexte visité" xfId="22004" builtinId="9" hidden="1"/>
    <cellStyle name="Lien hypertexte visité" xfId="21940" builtinId="9" hidden="1"/>
    <cellStyle name="Lien hypertexte visité" xfId="21876" builtinId="9" hidden="1"/>
    <cellStyle name="Lien hypertexte visité" xfId="21748" builtinId="9" hidden="1"/>
    <cellStyle name="Lien hypertexte visité" xfId="21684" builtinId="9" hidden="1"/>
    <cellStyle name="Lien hypertexte visité" xfId="21620" builtinId="9" hidden="1"/>
    <cellStyle name="Lien hypertexte visité" xfId="21492" builtinId="9" hidden="1"/>
    <cellStyle name="Lien hypertexte visité" xfId="21428" builtinId="9" hidden="1"/>
    <cellStyle name="Lien hypertexte visité" xfId="21364" builtinId="9" hidden="1"/>
    <cellStyle name="Lien hypertexte visité" xfId="21236" builtinId="9" hidden="1"/>
    <cellStyle name="Lien hypertexte visité" xfId="21172" builtinId="9" hidden="1"/>
    <cellStyle name="Lien hypertexte visité" xfId="21108" builtinId="9" hidden="1"/>
    <cellStyle name="Lien hypertexte visité" xfId="20980" builtinId="9" hidden="1"/>
    <cellStyle name="Lien hypertexte visité" xfId="20916" builtinId="9" hidden="1"/>
    <cellStyle name="Lien hypertexte visité" xfId="20852" builtinId="9" hidden="1"/>
    <cellStyle name="Lien hypertexte visité" xfId="20724" builtinId="9" hidden="1"/>
    <cellStyle name="Lien hypertexte visité" xfId="20660" builtinId="9" hidden="1"/>
    <cellStyle name="Lien hypertexte visité" xfId="20596" builtinId="9" hidden="1"/>
    <cellStyle name="Lien hypertexte visité" xfId="20468" builtinId="9" hidden="1"/>
    <cellStyle name="Lien hypertexte visité" xfId="20404" builtinId="9" hidden="1"/>
    <cellStyle name="Lien hypertexte visité" xfId="20340" builtinId="9" hidden="1"/>
    <cellStyle name="Lien hypertexte visité" xfId="20212" builtinId="9" hidden="1"/>
    <cellStyle name="Lien hypertexte visité" xfId="20148" builtinId="9" hidden="1"/>
    <cellStyle name="Lien hypertexte visité" xfId="20084" builtinId="9" hidden="1"/>
    <cellStyle name="Lien hypertexte visité" xfId="19956" builtinId="9" hidden="1"/>
    <cellStyle name="Lien hypertexte visité" xfId="19892" builtinId="9" hidden="1"/>
    <cellStyle name="Lien hypertexte visité" xfId="19828" builtinId="9" hidden="1"/>
    <cellStyle name="Lien hypertexte visité" xfId="19700" builtinId="9" hidden="1"/>
    <cellStyle name="Lien hypertexte visité" xfId="19636" builtinId="9" hidden="1"/>
    <cellStyle name="Lien hypertexte visité" xfId="19572" builtinId="9" hidden="1"/>
    <cellStyle name="Lien hypertexte visité" xfId="19444" builtinId="9" hidden="1"/>
    <cellStyle name="Lien hypertexte visité" xfId="19380" builtinId="9" hidden="1"/>
    <cellStyle name="Lien hypertexte visité" xfId="19316" builtinId="9" hidden="1"/>
    <cellStyle name="Lien hypertexte visité" xfId="19188" builtinId="9" hidden="1"/>
    <cellStyle name="Lien hypertexte visité" xfId="19124" builtinId="9" hidden="1"/>
    <cellStyle name="Lien hypertexte visité" xfId="19060" builtinId="9" hidden="1"/>
    <cellStyle name="Lien hypertexte visité" xfId="18932" builtinId="9" hidden="1"/>
    <cellStyle name="Lien hypertexte visité" xfId="18868" builtinId="9" hidden="1"/>
    <cellStyle name="Lien hypertexte visité" xfId="18804" builtinId="9" hidden="1"/>
    <cellStyle name="Lien hypertexte visité" xfId="18676" builtinId="9" hidden="1"/>
    <cellStyle name="Lien hypertexte visité" xfId="18612" builtinId="9" hidden="1"/>
    <cellStyle name="Lien hypertexte visité" xfId="18548" builtinId="9" hidden="1"/>
    <cellStyle name="Lien hypertexte visité" xfId="18420" builtinId="9" hidden="1"/>
    <cellStyle name="Lien hypertexte visité" xfId="18356" builtinId="9" hidden="1"/>
    <cellStyle name="Lien hypertexte visité" xfId="18309" builtinId="9" hidden="1"/>
    <cellStyle name="Lien hypertexte visité" xfId="18181" builtinId="9" hidden="1"/>
    <cellStyle name="Lien hypertexte visité" xfId="18117" builtinId="9" hidden="1"/>
    <cellStyle name="Lien hypertexte visité" xfId="18053" builtinId="9" hidden="1"/>
    <cellStyle name="Lien hypertexte visité" xfId="17925" builtinId="9" hidden="1"/>
    <cellStyle name="Lien hypertexte visité" xfId="17861" builtinId="9" hidden="1"/>
    <cellStyle name="Lien hypertexte visité" xfId="17797" builtinId="9" hidden="1"/>
    <cellStyle name="Lien hypertexte visité" xfId="17669" builtinId="9" hidden="1"/>
    <cellStyle name="Lien hypertexte visité" xfId="17605" builtinId="9" hidden="1"/>
    <cellStyle name="Lien hypertexte visité" xfId="17541" builtinId="9" hidden="1"/>
    <cellStyle name="Lien hypertexte visité" xfId="17413" builtinId="9" hidden="1"/>
    <cellStyle name="Lien hypertexte visité" xfId="17349" builtinId="9" hidden="1"/>
    <cellStyle name="Lien hypertexte visité" xfId="17285" builtinId="9" hidden="1"/>
    <cellStyle name="Lien hypertexte visité" xfId="17157" builtinId="9" hidden="1"/>
    <cellStyle name="Lien hypertexte visité" xfId="17093" builtinId="9" hidden="1"/>
    <cellStyle name="Lien hypertexte visité" xfId="17029" builtinId="9" hidden="1"/>
    <cellStyle name="Lien hypertexte visité" xfId="16901" builtinId="9" hidden="1"/>
    <cellStyle name="Lien hypertexte visité" xfId="16837" builtinId="9" hidden="1"/>
    <cellStyle name="Lien hypertexte visité" xfId="16773" builtinId="9" hidden="1"/>
    <cellStyle name="Lien hypertexte visité" xfId="16645" builtinId="9" hidden="1"/>
    <cellStyle name="Lien hypertexte visité" xfId="16581" builtinId="9" hidden="1"/>
    <cellStyle name="Lien hypertexte visité" xfId="16517" builtinId="9" hidden="1"/>
    <cellStyle name="Lien hypertexte visité" xfId="16389" builtinId="9" hidden="1"/>
    <cellStyle name="Lien hypertexte visité" xfId="16325" builtinId="9" hidden="1"/>
    <cellStyle name="Lien hypertexte visité" xfId="16261" builtinId="9" hidden="1"/>
    <cellStyle name="Lien hypertexte visité" xfId="16133" builtinId="9" hidden="1"/>
    <cellStyle name="Lien hypertexte visité" xfId="16069" builtinId="9" hidden="1"/>
    <cellStyle name="Lien hypertexte visité" xfId="16005" builtinId="9" hidden="1"/>
    <cellStyle name="Lien hypertexte visité" xfId="15877" builtinId="9" hidden="1"/>
    <cellStyle name="Lien hypertexte visité" xfId="15813" builtinId="9" hidden="1"/>
    <cellStyle name="Lien hypertexte visité" xfId="15749" builtinId="9" hidden="1"/>
    <cellStyle name="Lien hypertexte visité" xfId="15621" builtinId="9" hidden="1"/>
    <cellStyle name="Lien hypertexte visité" xfId="15557" builtinId="9" hidden="1"/>
    <cellStyle name="Lien hypertexte visité" xfId="15493" builtinId="9" hidden="1"/>
    <cellStyle name="Lien hypertexte visité" xfId="15365" builtinId="9" hidden="1"/>
    <cellStyle name="Lien hypertexte visité" xfId="15301" builtinId="9" hidden="1"/>
    <cellStyle name="Lien hypertexte visité" xfId="15237" builtinId="9" hidden="1"/>
    <cellStyle name="Lien hypertexte visité" xfId="15109" builtinId="9" hidden="1"/>
    <cellStyle name="Lien hypertexte visité" xfId="15045" builtinId="9" hidden="1"/>
    <cellStyle name="Lien hypertexte visité" xfId="14981" builtinId="9" hidden="1"/>
    <cellStyle name="Lien hypertexte visité" xfId="14853" builtinId="9" hidden="1"/>
    <cellStyle name="Lien hypertexte visité" xfId="14789" builtinId="9" hidden="1"/>
    <cellStyle name="Lien hypertexte visité" xfId="14725" builtinId="9" hidden="1"/>
    <cellStyle name="Lien hypertexte visité" xfId="14597" builtinId="9" hidden="1"/>
    <cellStyle name="Lien hypertexte visité" xfId="14533" builtinId="9" hidden="1"/>
    <cellStyle name="Lien hypertexte visité" xfId="14492" builtinId="9" hidden="1"/>
    <cellStyle name="Lien hypertexte visité" xfId="14428" builtinId="9" hidden="1"/>
    <cellStyle name="Lien hypertexte visité" xfId="14396" builtinId="9" hidden="1"/>
    <cellStyle name="Lien hypertexte visité" xfId="14364" builtinId="9" hidden="1"/>
    <cellStyle name="Lien hypertexte visité" xfId="14300" builtinId="9" hidden="1"/>
    <cellStyle name="Lien hypertexte visité" xfId="14268" builtinId="9" hidden="1"/>
    <cellStyle name="Lien hypertexte visité" xfId="14236" builtinId="9" hidden="1"/>
    <cellStyle name="Lien hypertexte visité" xfId="14172" builtinId="9" hidden="1"/>
    <cellStyle name="Lien hypertexte visité" xfId="14140" builtinId="9" hidden="1"/>
    <cellStyle name="Lien hypertexte visité" xfId="14108" builtinId="9" hidden="1"/>
    <cellStyle name="Lien hypertexte visité" xfId="14044" builtinId="9" hidden="1"/>
    <cellStyle name="Lien hypertexte visité" xfId="14012" builtinId="9" hidden="1"/>
    <cellStyle name="Lien hypertexte visité" xfId="13980" builtinId="9" hidden="1"/>
    <cellStyle name="Lien hypertexte visité" xfId="13916" builtinId="9" hidden="1"/>
    <cellStyle name="Lien hypertexte visité" xfId="13884" builtinId="9" hidden="1"/>
    <cellStyle name="Lien hypertexte visité" xfId="13852" builtinId="9" hidden="1"/>
    <cellStyle name="Lien hypertexte visité" xfId="13788" builtinId="9" hidden="1"/>
    <cellStyle name="Lien hypertexte visité" xfId="13756" builtinId="9" hidden="1"/>
    <cellStyle name="Lien hypertexte visité" xfId="13724" builtinId="9" hidden="1"/>
    <cellStyle name="Lien hypertexte visité" xfId="13660" builtinId="9" hidden="1"/>
    <cellStyle name="Lien hypertexte visité" xfId="13628" builtinId="9" hidden="1"/>
    <cellStyle name="Lien hypertexte visité" xfId="13596" builtinId="9" hidden="1"/>
    <cellStyle name="Lien hypertexte visité" xfId="13532" builtinId="9" hidden="1"/>
    <cellStyle name="Lien hypertexte visité" xfId="13500" builtinId="9" hidden="1"/>
    <cellStyle name="Lien hypertexte visité" xfId="13468" builtinId="9" hidden="1"/>
    <cellStyle name="Lien hypertexte visité" xfId="13404" builtinId="9" hidden="1"/>
    <cellStyle name="Lien hypertexte visité" xfId="13372" builtinId="9" hidden="1"/>
    <cellStyle name="Lien hypertexte visité" xfId="13340" builtinId="9" hidden="1"/>
    <cellStyle name="Lien hypertexte visité" xfId="13276" builtinId="9" hidden="1"/>
    <cellStyle name="Lien hypertexte visité" xfId="13244" builtinId="9" hidden="1"/>
    <cellStyle name="Lien hypertexte visité" xfId="13212" builtinId="9" hidden="1"/>
    <cellStyle name="Lien hypertexte visité" xfId="13148" builtinId="9" hidden="1"/>
    <cellStyle name="Lien hypertexte visité" xfId="13116" builtinId="9" hidden="1"/>
    <cellStyle name="Lien hypertexte visité" xfId="13084" builtinId="9" hidden="1"/>
    <cellStyle name="Lien hypertexte visité" xfId="13020" builtinId="9" hidden="1"/>
    <cellStyle name="Lien hypertexte visité" xfId="12988" builtinId="9" hidden="1"/>
    <cellStyle name="Lien hypertexte visité" xfId="12956" builtinId="9" hidden="1"/>
    <cellStyle name="Lien hypertexte visité" xfId="12892" builtinId="9" hidden="1"/>
    <cellStyle name="Lien hypertexte visité" xfId="12860" builtinId="9" hidden="1"/>
    <cellStyle name="Lien hypertexte visité" xfId="12828" builtinId="9" hidden="1"/>
    <cellStyle name="Lien hypertexte visité" xfId="12764" builtinId="9" hidden="1"/>
    <cellStyle name="Lien hypertexte visité" xfId="12732" builtinId="9" hidden="1"/>
    <cellStyle name="Lien hypertexte visité" xfId="12700" builtinId="9" hidden="1"/>
    <cellStyle name="Lien hypertexte visité" xfId="12636" builtinId="9" hidden="1"/>
    <cellStyle name="Lien hypertexte visité" xfId="12604" builtinId="9" hidden="1"/>
    <cellStyle name="Lien hypertexte visité" xfId="12572" builtinId="9" hidden="1"/>
    <cellStyle name="Lien hypertexte visité" xfId="12508" builtinId="9" hidden="1"/>
    <cellStyle name="Lien hypertexte visité" xfId="12476" builtinId="9" hidden="1"/>
    <cellStyle name="Lien hypertexte visité" xfId="12444" builtinId="9" hidden="1"/>
    <cellStyle name="Lien hypertexte visité" xfId="12380" builtinId="9" hidden="1"/>
    <cellStyle name="Lien hypertexte visité" xfId="12348" builtinId="9" hidden="1"/>
    <cellStyle name="Lien hypertexte visité" xfId="12316" builtinId="9" hidden="1"/>
    <cellStyle name="Lien hypertexte visité" xfId="12252" builtinId="9" hidden="1"/>
    <cellStyle name="Lien hypertexte visité" xfId="12220" builtinId="9" hidden="1"/>
    <cellStyle name="Lien hypertexte visité" xfId="12188" builtinId="9" hidden="1"/>
    <cellStyle name="Lien hypertexte visité" xfId="12124" builtinId="9" hidden="1"/>
    <cellStyle name="Lien hypertexte visité" xfId="12092" builtinId="9" hidden="1"/>
    <cellStyle name="Lien hypertexte visité" xfId="12060" builtinId="9" hidden="1"/>
    <cellStyle name="Lien hypertexte visité" xfId="11996" builtinId="9" hidden="1"/>
    <cellStyle name="Lien hypertexte visité" xfId="11964" builtinId="9" hidden="1"/>
    <cellStyle name="Lien hypertexte visité" xfId="11932" builtinId="9" hidden="1"/>
    <cellStyle name="Lien hypertexte visité" xfId="11868" builtinId="9" hidden="1"/>
    <cellStyle name="Lien hypertexte visité" xfId="11836" builtinId="9" hidden="1"/>
    <cellStyle name="Lien hypertexte visité" xfId="11804" builtinId="9" hidden="1"/>
    <cellStyle name="Lien hypertexte visité" xfId="11740" builtinId="9" hidden="1"/>
    <cellStyle name="Lien hypertexte visité" xfId="11708" builtinId="9" hidden="1"/>
    <cellStyle name="Lien hypertexte visité" xfId="11676" builtinId="9" hidden="1"/>
    <cellStyle name="Lien hypertexte visité" xfId="11612" builtinId="9" hidden="1"/>
    <cellStyle name="Lien hypertexte visité" xfId="11580" builtinId="9" hidden="1"/>
    <cellStyle name="Lien hypertexte visité" xfId="11548" builtinId="9" hidden="1"/>
    <cellStyle name="Lien hypertexte visité" xfId="11484" builtinId="9" hidden="1"/>
    <cellStyle name="Lien hypertexte visité" xfId="11452" builtinId="9" hidden="1"/>
    <cellStyle name="Lien hypertexte visité" xfId="11420" builtinId="9" hidden="1"/>
    <cellStyle name="Lien hypertexte visité" xfId="11356" builtinId="9" hidden="1"/>
    <cellStyle name="Lien hypertexte visité" xfId="11324" builtinId="9" hidden="1"/>
    <cellStyle name="Lien hypertexte visité" xfId="11292" builtinId="9" hidden="1"/>
    <cellStyle name="Lien hypertexte visité" xfId="11228" builtinId="9" hidden="1"/>
    <cellStyle name="Lien hypertexte visité" xfId="11196" builtinId="9" hidden="1"/>
    <cellStyle name="Lien hypertexte visité" xfId="11164" builtinId="9" hidden="1"/>
    <cellStyle name="Lien hypertexte visité" xfId="11100" builtinId="9" hidden="1"/>
    <cellStyle name="Lien hypertexte visité" xfId="11068" builtinId="9" hidden="1"/>
    <cellStyle name="Lien hypertexte visité" xfId="11036" builtinId="9" hidden="1"/>
    <cellStyle name="Lien hypertexte visité" xfId="10972" builtinId="9" hidden="1"/>
    <cellStyle name="Lien hypertexte visité" xfId="10940" builtinId="9" hidden="1"/>
    <cellStyle name="Lien hypertexte visité" xfId="10908" builtinId="9" hidden="1"/>
    <cellStyle name="Lien hypertexte visité" xfId="10844" builtinId="9" hidden="1"/>
    <cellStyle name="Lien hypertexte visité" xfId="10812" builtinId="9" hidden="1"/>
    <cellStyle name="Lien hypertexte visité" xfId="10780" builtinId="9" hidden="1"/>
    <cellStyle name="Lien hypertexte visité" xfId="10716" builtinId="9" hidden="1"/>
    <cellStyle name="Lien hypertexte visité" xfId="10684" builtinId="9" hidden="1"/>
    <cellStyle name="Lien hypertexte visité" xfId="10652" builtinId="9" hidden="1"/>
    <cellStyle name="Lien hypertexte visité" xfId="10588" builtinId="9" hidden="1"/>
    <cellStyle name="Lien hypertexte visité" xfId="10556" builtinId="9" hidden="1"/>
    <cellStyle name="Lien hypertexte visité" xfId="10524" builtinId="9" hidden="1"/>
    <cellStyle name="Lien hypertexte visité" xfId="10460" builtinId="9" hidden="1"/>
    <cellStyle name="Lien hypertexte visité" xfId="10428" builtinId="9" hidden="1"/>
    <cellStyle name="Lien hypertexte visité" xfId="10396" builtinId="9" hidden="1"/>
    <cellStyle name="Lien hypertexte visité" xfId="10332" builtinId="9" hidden="1"/>
    <cellStyle name="Lien hypertexte visité" xfId="10300" builtinId="9" hidden="1"/>
    <cellStyle name="Lien hypertexte visité" xfId="10268" builtinId="9" hidden="1"/>
    <cellStyle name="Lien hypertexte visité" xfId="10204" builtinId="9" hidden="1"/>
    <cellStyle name="Lien hypertexte visité" xfId="10172" builtinId="9" hidden="1"/>
    <cellStyle name="Lien hypertexte visité" xfId="10140" builtinId="9" hidden="1"/>
    <cellStyle name="Lien hypertexte visité" xfId="10076" builtinId="9" hidden="1"/>
    <cellStyle name="Lien hypertexte visité" xfId="10044" builtinId="9" hidden="1"/>
    <cellStyle name="Lien hypertexte visité" xfId="10012" builtinId="9" hidden="1"/>
    <cellStyle name="Lien hypertexte visité" xfId="9948" builtinId="9" hidden="1"/>
    <cellStyle name="Lien hypertexte visité" xfId="9916" builtinId="9" hidden="1"/>
    <cellStyle name="Lien hypertexte visité" xfId="9884" builtinId="9" hidden="1"/>
    <cellStyle name="Lien hypertexte visité" xfId="9820" builtinId="9" hidden="1"/>
    <cellStyle name="Lien hypertexte visité" xfId="9788" builtinId="9" hidden="1"/>
    <cellStyle name="Lien hypertexte visité" xfId="9756" builtinId="9" hidden="1"/>
    <cellStyle name="Lien hypertexte visité" xfId="9692" builtinId="9" hidden="1"/>
    <cellStyle name="Lien hypertexte visité" xfId="9660" builtinId="9" hidden="1"/>
    <cellStyle name="Lien hypertexte visité" xfId="9628" builtinId="9" hidden="1"/>
    <cellStyle name="Lien hypertexte visité" xfId="9564" builtinId="9" hidden="1"/>
    <cellStyle name="Lien hypertexte visité" xfId="9532" builtinId="9" hidden="1"/>
    <cellStyle name="Lien hypertexte visité" xfId="9500" builtinId="9" hidden="1"/>
    <cellStyle name="Lien hypertexte visité" xfId="9436" builtinId="9" hidden="1"/>
    <cellStyle name="Lien hypertexte visité" xfId="9404" builtinId="9" hidden="1"/>
    <cellStyle name="Lien hypertexte visité" xfId="9372" builtinId="9" hidden="1"/>
    <cellStyle name="Lien hypertexte visité" xfId="9308" builtinId="9" hidden="1"/>
    <cellStyle name="Lien hypertexte visité" xfId="9276" builtinId="9" hidden="1"/>
    <cellStyle name="Lien hypertexte visité" xfId="9244" builtinId="9" hidden="1"/>
    <cellStyle name="Lien hypertexte visité" xfId="9180" builtinId="9" hidden="1"/>
    <cellStyle name="Lien hypertexte visité" xfId="9148" builtinId="9" hidden="1"/>
    <cellStyle name="Lien hypertexte visité" xfId="9116" builtinId="9" hidden="1"/>
    <cellStyle name="Lien hypertexte visité" xfId="9052" builtinId="9" hidden="1"/>
    <cellStyle name="Lien hypertexte visité" xfId="9020" builtinId="9" hidden="1"/>
    <cellStyle name="Lien hypertexte visité" xfId="8988" builtinId="9" hidden="1"/>
    <cellStyle name="Lien hypertexte visité" xfId="8924" builtinId="9" hidden="1"/>
    <cellStyle name="Lien hypertexte visité" xfId="8892" builtinId="9" hidden="1"/>
    <cellStyle name="Lien hypertexte visité" xfId="8860" builtinId="9" hidden="1"/>
    <cellStyle name="Lien hypertexte visité" xfId="8796" builtinId="9" hidden="1"/>
    <cellStyle name="Lien hypertexte visité" xfId="8764" builtinId="9" hidden="1"/>
    <cellStyle name="Lien hypertexte visité" xfId="8732" builtinId="9" hidden="1"/>
    <cellStyle name="Lien hypertexte visité" xfId="8668" builtinId="9" hidden="1"/>
    <cellStyle name="Lien hypertexte visité" xfId="8636" builtinId="9" hidden="1"/>
    <cellStyle name="Lien hypertexte visité" xfId="8604" builtinId="9" hidden="1"/>
    <cellStyle name="Lien hypertexte visité" xfId="8540" builtinId="9" hidden="1"/>
    <cellStyle name="Lien hypertexte visité" xfId="8508" builtinId="9" hidden="1"/>
    <cellStyle name="Lien hypertexte visité" xfId="8476" builtinId="9" hidden="1"/>
    <cellStyle name="Lien hypertexte visité" xfId="8412" builtinId="9" hidden="1"/>
    <cellStyle name="Lien hypertexte visité" xfId="8380" builtinId="9" hidden="1"/>
    <cellStyle name="Lien hypertexte visité" xfId="8348" builtinId="9" hidden="1"/>
    <cellStyle name="Lien hypertexte visité" xfId="8284" builtinId="9" hidden="1"/>
    <cellStyle name="Lien hypertexte visité" xfId="8252" builtinId="9" hidden="1"/>
    <cellStyle name="Lien hypertexte visité" xfId="8220" builtinId="9" hidden="1"/>
    <cellStyle name="Lien hypertexte visité" xfId="8156" builtinId="9" hidden="1"/>
    <cellStyle name="Lien hypertexte visité" xfId="8124" builtinId="9" hidden="1"/>
    <cellStyle name="Lien hypertexte visité" xfId="8092" builtinId="9" hidden="1"/>
    <cellStyle name="Lien hypertexte visité" xfId="8028" builtinId="9" hidden="1"/>
    <cellStyle name="Lien hypertexte visité" xfId="7996" builtinId="9" hidden="1"/>
    <cellStyle name="Lien hypertexte visité" xfId="7964" builtinId="9" hidden="1"/>
    <cellStyle name="Lien hypertexte visité" xfId="7900" builtinId="9" hidden="1"/>
    <cellStyle name="Lien hypertexte visité" xfId="7868" builtinId="9" hidden="1"/>
    <cellStyle name="Lien hypertexte visité" xfId="7836" builtinId="9" hidden="1"/>
    <cellStyle name="Lien hypertexte visité" xfId="7771" builtinId="9" hidden="1"/>
    <cellStyle name="Lien hypertexte visité" xfId="7739" builtinId="9" hidden="1"/>
    <cellStyle name="Lien hypertexte visité" xfId="7707" builtinId="9" hidden="1"/>
    <cellStyle name="Lien hypertexte visité" xfId="7643" builtinId="9" hidden="1"/>
    <cellStyle name="Lien hypertexte visité" xfId="7611" builtinId="9" hidden="1"/>
    <cellStyle name="Lien hypertexte visité" xfId="7579" builtinId="9" hidden="1"/>
    <cellStyle name="Lien hypertexte visité" xfId="7515" builtinId="9" hidden="1"/>
    <cellStyle name="Lien hypertexte visité" xfId="7483" builtinId="9" hidden="1"/>
    <cellStyle name="Lien hypertexte visité" xfId="7451" builtinId="9" hidden="1"/>
    <cellStyle name="Lien hypertexte visité" xfId="7387" builtinId="9" hidden="1"/>
    <cellStyle name="Lien hypertexte visité" xfId="7355" builtinId="9" hidden="1"/>
    <cellStyle name="Lien hypertexte visité" xfId="7323" builtinId="9" hidden="1"/>
    <cellStyle name="Lien hypertexte visité" xfId="7259" builtinId="9" hidden="1"/>
    <cellStyle name="Lien hypertexte visité" xfId="7227" builtinId="9" hidden="1"/>
    <cellStyle name="Lien hypertexte visité" xfId="7195" builtinId="9" hidden="1"/>
    <cellStyle name="Lien hypertexte visité" xfId="7131" builtinId="9" hidden="1"/>
    <cellStyle name="Lien hypertexte visité" xfId="7099" builtinId="9" hidden="1"/>
    <cellStyle name="Lien hypertexte visité" xfId="7067" builtinId="9" hidden="1"/>
    <cellStyle name="Lien hypertexte visité" xfId="7003" builtinId="9" hidden="1"/>
    <cellStyle name="Lien hypertexte visité" xfId="6971" builtinId="9" hidden="1"/>
    <cellStyle name="Lien hypertexte visité" xfId="6939" builtinId="9" hidden="1"/>
    <cellStyle name="Lien hypertexte visité" xfId="6875" builtinId="9" hidden="1"/>
    <cellStyle name="Lien hypertexte visité" xfId="6843" builtinId="9" hidden="1"/>
    <cellStyle name="Lien hypertexte visité" xfId="6811" builtinId="9" hidden="1"/>
    <cellStyle name="Lien hypertexte visité" xfId="6747" builtinId="9" hidden="1"/>
    <cellStyle name="Lien hypertexte visité" xfId="6715" builtinId="9" hidden="1"/>
    <cellStyle name="Lien hypertexte visité" xfId="6683" builtinId="9" hidden="1"/>
    <cellStyle name="Lien hypertexte visité" xfId="6619" builtinId="9" hidden="1"/>
    <cellStyle name="Lien hypertexte visité" xfId="6587" builtinId="9" hidden="1"/>
    <cellStyle name="Lien hypertexte visité" xfId="6555" builtinId="9" hidden="1"/>
    <cellStyle name="Lien hypertexte visité" xfId="6491" builtinId="9" hidden="1"/>
    <cellStyle name="Lien hypertexte visité" xfId="6459" builtinId="9" hidden="1"/>
    <cellStyle name="Lien hypertexte visité" xfId="6427" builtinId="9" hidden="1"/>
    <cellStyle name="Lien hypertexte visité" xfId="6363" builtinId="9" hidden="1"/>
    <cellStyle name="Lien hypertexte visité" xfId="6331" builtinId="9" hidden="1"/>
    <cellStyle name="Lien hypertexte visité" xfId="6299" builtinId="9" hidden="1"/>
    <cellStyle name="Lien hypertexte visité" xfId="6235" builtinId="9" hidden="1"/>
    <cellStyle name="Lien hypertexte visité" xfId="6203" builtinId="9" hidden="1"/>
    <cellStyle name="Lien hypertexte visité" xfId="6171" builtinId="9" hidden="1"/>
    <cellStyle name="Lien hypertexte visité" xfId="6107" builtinId="9" hidden="1"/>
    <cellStyle name="Lien hypertexte visité" xfId="6075" builtinId="9" hidden="1"/>
    <cellStyle name="Lien hypertexte visité" xfId="6043" builtinId="9" hidden="1"/>
    <cellStyle name="Lien hypertexte visité" xfId="5979" builtinId="9" hidden="1"/>
    <cellStyle name="Lien hypertexte visité" xfId="5947" builtinId="9" hidden="1"/>
    <cellStyle name="Lien hypertexte visité" xfId="5915" builtinId="9" hidden="1"/>
    <cellStyle name="Lien hypertexte visité" xfId="5851" builtinId="9" hidden="1"/>
    <cellStyle name="Lien hypertexte visité" xfId="5819" builtinId="9" hidden="1"/>
    <cellStyle name="Lien hypertexte visité" xfId="5787" builtinId="9" hidden="1"/>
    <cellStyle name="Lien hypertexte visité" xfId="5723" builtinId="9" hidden="1"/>
    <cellStyle name="Lien hypertexte visité" xfId="5691" builtinId="9" hidden="1"/>
    <cellStyle name="Lien hypertexte visité" xfId="5659" builtinId="9" hidden="1"/>
    <cellStyle name="Lien hypertexte visité" xfId="5595" builtinId="9" hidden="1"/>
    <cellStyle name="Lien hypertexte visité" xfId="5563" builtinId="9" hidden="1"/>
    <cellStyle name="Lien hypertexte visité" xfId="5531" builtinId="9" hidden="1"/>
    <cellStyle name="Lien hypertexte visité" xfId="5467" builtinId="9" hidden="1"/>
    <cellStyle name="Lien hypertexte visité" xfId="5435" builtinId="9" hidden="1"/>
    <cellStyle name="Lien hypertexte visité" xfId="5403" builtinId="9" hidden="1"/>
    <cellStyle name="Lien hypertexte visité" xfId="5339" builtinId="9" hidden="1"/>
    <cellStyle name="Lien hypertexte visité" xfId="5307" builtinId="9" hidden="1"/>
    <cellStyle name="Lien hypertexte visité" xfId="5275" builtinId="9" hidden="1"/>
    <cellStyle name="Lien hypertexte visité" xfId="5211" builtinId="9" hidden="1"/>
    <cellStyle name="Lien hypertexte visité" xfId="5179" builtinId="9" hidden="1"/>
    <cellStyle name="Lien hypertexte visité" xfId="5147" builtinId="9" hidden="1"/>
    <cellStyle name="Lien hypertexte visité" xfId="5083" builtinId="9" hidden="1"/>
    <cellStyle name="Lien hypertexte visité" xfId="5051" builtinId="9" hidden="1"/>
    <cellStyle name="Lien hypertexte visité" xfId="5019" builtinId="9" hidden="1"/>
    <cellStyle name="Lien hypertexte visité" xfId="4955" builtinId="9" hidden="1"/>
    <cellStyle name="Lien hypertexte visité" xfId="4923" builtinId="9" hidden="1"/>
    <cellStyle name="Lien hypertexte visité" xfId="4891" builtinId="9" hidden="1"/>
    <cellStyle name="Lien hypertexte visité" xfId="4827" builtinId="9" hidden="1"/>
    <cellStyle name="Lien hypertexte visité" xfId="4795" builtinId="9" hidden="1"/>
    <cellStyle name="Lien hypertexte visité" xfId="4763" builtinId="9" hidden="1"/>
    <cellStyle name="Lien hypertexte visité" xfId="4699" builtinId="9" hidden="1"/>
    <cellStyle name="Lien hypertexte visité" xfId="4667" builtinId="9" hidden="1"/>
    <cellStyle name="Lien hypertexte visité" xfId="4635" builtinId="9" hidden="1"/>
    <cellStyle name="Lien hypertexte visité" xfId="4571" builtinId="9" hidden="1"/>
    <cellStyle name="Lien hypertexte visité" xfId="4539" builtinId="9" hidden="1"/>
    <cellStyle name="Lien hypertexte visité" xfId="4507" builtinId="9" hidden="1"/>
    <cellStyle name="Lien hypertexte visité" xfId="4443" builtinId="9" hidden="1"/>
    <cellStyle name="Lien hypertexte visité" xfId="4411" builtinId="9" hidden="1"/>
    <cellStyle name="Lien hypertexte visité" xfId="4379" builtinId="9" hidden="1"/>
    <cellStyle name="Lien hypertexte visité" xfId="4315" builtinId="9" hidden="1"/>
    <cellStyle name="Lien hypertexte visité" xfId="4283" builtinId="9" hidden="1"/>
    <cellStyle name="Lien hypertexte visité" xfId="4251" builtinId="9" hidden="1"/>
    <cellStyle name="Lien hypertexte visité" xfId="4187" builtinId="9" hidden="1"/>
    <cellStyle name="Lien hypertexte visité" xfId="4155" builtinId="9" hidden="1"/>
    <cellStyle name="Lien hypertexte visité" xfId="4123" builtinId="9" hidden="1"/>
    <cellStyle name="Lien hypertexte visité" xfId="4059" builtinId="9" hidden="1"/>
    <cellStyle name="Lien hypertexte visité" xfId="4027" builtinId="9" hidden="1"/>
    <cellStyle name="Lien hypertexte visité" xfId="3995" builtinId="9" hidden="1"/>
    <cellStyle name="Lien hypertexte visité" xfId="3931" builtinId="9" hidden="1"/>
    <cellStyle name="Lien hypertexte visité" xfId="3903" builtinId="9" hidden="1"/>
    <cellStyle name="Lien hypertexte visité" xfId="3870" builtinId="9" hidden="1"/>
    <cellStyle name="Lien hypertexte visité" xfId="3806" builtinId="9" hidden="1"/>
    <cellStyle name="Lien hypertexte visité" xfId="3774" builtinId="9" hidden="1"/>
    <cellStyle name="Lien hypertexte visité" xfId="3742" builtinId="9" hidden="1"/>
    <cellStyle name="Lien hypertexte visité" xfId="3677" builtinId="9" hidden="1"/>
    <cellStyle name="Lien hypertexte visité" xfId="3638" builtinId="9" hidden="1"/>
    <cellStyle name="Lien hypertexte visité" xfId="3606" builtinId="9" hidden="1"/>
    <cellStyle name="Lien hypertexte visité" xfId="3541" builtinId="9" hidden="1"/>
    <cellStyle name="Lien hypertexte visité" xfId="3509" builtinId="9" hidden="1"/>
    <cellStyle name="Lien hypertexte visité" xfId="3477" builtinId="9" hidden="1"/>
    <cellStyle name="Lien hypertexte visité" xfId="3413" builtinId="9" hidden="1"/>
    <cellStyle name="Lien hypertexte visité" xfId="3381" builtinId="9" hidden="1"/>
    <cellStyle name="Lien hypertexte visité" xfId="3349" builtinId="9" hidden="1"/>
    <cellStyle name="Lien hypertexte visité" xfId="3285" builtinId="9" hidden="1"/>
    <cellStyle name="Lien hypertexte visité" xfId="3253" builtinId="9" hidden="1"/>
    <cellStyle name="Lien hypertexte visité" xfId="3221" builtinId="9" hidden="1"/>
    <cellStyle name="Lien hypertexte visité" xfId="3157" builtinId="9" hidden="1"/>
    <cellStyle name="Lien hypertexte visité" xfId="3125" builtinId="9" hidden="1"/>
    <cellStyle name="Lien hypertexte visité" xfId="3093" builtinId="9" hidden="1"/>
    <cellStyle name="Lien hypertexte visité" xfId="3029" builtinId="9" hidden="1"/>
    <cellStyle name="Lien hypertexte visité" xfId="2997" builtinId="9" hidden="1"/>
    <cellStyle name="Lien hypertexte visité" xfId="2965" builtinId="9" hidden="1"/>
    <cellStyle name="Lien hypertexte visité" xfId="2901" builtinId="9" hidden="1"/>
    <cellStyle name="Lien hypertexte visité" xfId="2869" builtinId="9" hidden="1"/>
    <cellStyle name="Lien hypertexte visité" xfId="2837" builtinId="9" hidden="1"/>
    <cellStyle name="Lien hypertexte visité" xfId="2773" builtinId="9" hidden="1"/>
    <cellStyle name="Lien hypertexte visité" xfId="2741" builtinId="9" hidden="1"/>
    <cellStyle name="Lien hypertexte visité" xfId="2709" builtinId="9" hidden="1"/>
    <cellStyle name="Lien hypertexte visité" xfId="2645" builtinId="9" hidden="1"/>
    <cellStyle name="Lien hypertexte visité" xfId="2613" builtinId="9" hidden="1"/>
    <cellStyle name="Lien hypertexte visité" xfId="2581" builtinId="9" hidden="1"/>
    <cellStyle name="Lien hypertexte visité" xfId="2517" builtinId="9" hidden="1"/>
    <cellStyle name="Lien hypertexte visité" xfId="2485" builtinId="9" hidden="1"/>
    <cellStyle name="Lien hypertexte visité" xfId="2453" builtinId="9" hidden="1"/>
    <cellStyle name="Lien hypertexte visité" xfId="2389" builtinId="9" hidden="1"/>
    <cellStyle name="Lien hypertexte visité" xfId="2357" builtinId="9" hidden="1"/>
    <cellStyle name="Lien hypertexte visité" xfId="2325" builtinId="9" hidden="1"/>
    <cellStyle name="Lien hypertexte visité" xfId="2261" builtinId="9" hidden="1"/>
    <cellStyle name="Lien hypertexte visité" xfId="2229" builtinId="9" hidden="1"/>
    <cellStyle name="Lien hypertexte visité" xfId="2197" builtinId="9" hidden="1"/>
    <cellStyle name="Lien hypertexte visité" xfId="2133" builtinId="9" hidden="1"/>
    <cellStyle name="Lien hypertexte visité" xfId="2101" builtinId="9" hidden="1"/>
    <cellStyle name="Lien hypertexte visité" xfId="2069" builtinId="9" hidden="1"/>
    <cellStyle name="Lien hypertexte visité" xfId="2005" builtinId="9" hidden="1"/>
    <cellStyle name="Lien hypertexte visité" xfId="1973" builtinId="9" hidden="1"/>
    <cellStyle name="Lien hypertexte visité" xfId="1941" builtinId="9" hidden="1"/>
    <cellStyle name="Lien hypertexte visité" xfId="1877" builtinId="9" hidden="1"/>
    <cellStyle name="Lien hypertexte visité" xfId="1845" builtinId="9" hidden="1"/>
    <cellStyle name="Lien hypertexte visité" xfId="1813" builtinId="9" hidden="1"/>
    <cellStyle name="Lien hypertexte visité" xfId="1749" builtinId="9" hidden="1"/>
    <cellStyle name="Lien hypertexte visité" xfId="1717" builtinId="9" hidden="1"/>
    <cellStyle name="Lien hypertexte visité" xfId="1685" builtinId="9" hidden="1"/>
    <cellStyle name="Lien hypertexte visité" xfId="1621" builtinId="9" hidden="1"/>
    <cellStyle name="Lien hypertexte visité" xfId="1589" builtinId="9" hidden="1"/>
    <cellStyle name="Lien hypertexte visité" xfId="1557" builtinId="9" hidden="1"/>
    <cellStyle name="Lien hypertexte visité" xfId="1492" builtinId="9" hidden="1"/>
    <cellStyle name="Lien hypertexte visité" xfId="1460" builtinId="9" hidden="1"/>
    <cellStyle name="Lien hypertexte visité" xfId="1428" builtinId="9" hidden="1"/>
    <cellStyle name="Lien hypertexte visité" xfId="1364" builtinId="9" hidden="1"/>
    <cellStyle name="Lien hypertexte visité" xfId="1332" builtinId="9" hidden="1"/>
    <cellStyle name="Lien hypertexte visité" xfId="1300" builtinId="9" hidden="1"/>
    <cellStyle name="Lien hypertexte visité" xfId="1236" builtinId="9" hidden="1"/>
    <cellStyle name="Lien hypertexte visité" xfId="1204" builtinId="9" hidden="1"/>
    <cellStyle name="Lien hypertexte visité" xfId="1172" builtinId="9" hidden="1"/>
    <cellStyle name="Lien hypertexte visité" xfId="1053" builtinId="9" hidden="1"/>
    <cellStyle name="Lien hypertexte visité" xfId="989" builtinId="9" hidden="1"/>
    <cellStyle name="Lien hypertexte visité" xfId="925" builtinId="9" hidden="1"/>
    <cellStyle name="Lien hypertexte visité" xfId="797" builtinId="9" hidden="1"/>
    <cellStyle name="Lien hypertexte visité" xfId="733" builtinId="9" hidden="1"/>
    <cellStyle name="Lien hypertexte visité" xfId="669" builtinId="9" hidden="1"/>
    <cellStyle name="Lien hypertexte visité" xfId="541" builtinId="9" hidden="1"/>
    <cellStyle name="Lien hypertexte visité" xfId="477" builtinId="9" hidden="1"/>
    <cellStyle name="Lien hypertexte visité" xfId="413" builtinId="9" hidden="1"/>
    <cellStyle name="Lien hypertexte visité" xfId="285" builtinId="9" hidden="1"/>
    <cellStyle name="Lien hypertexte visité" xfId="169" builtinId="9" hidden="1"/>
    <cellStyle name="Lien hypertexte visité" xfId="213" builtinId="9" hidden="1"/>
    <cellStyle name="Lien hypertexte visité" xfId="153" builtinId="9" hidden="1"/>
    <cellStyle name="Lien hypertexte visité" xfId="129" builtinId="9" hidden="1"/>
    <cellStyle name="Lien hypertexte visité" xfId="157" builtinId="9" hidden="1"/>
    <cellStyle name="Lien hypertexte visité" xfId="185" builtinId="9" hidden="1"/>
    <cellStyle name="Lien hypertexte visité" xfId="261" builtinId="9" hidden="1"/>
    <cellStyle name="Lien hypertexte visité" xfId="325" builtinId="9" hidden="1"/>
    <cellStyle name="Lien hypertexte visité" xfId="453" builtinId="9" hidden="1"/>
    <cellStyle name="Lien hypertexte visité" xfId="517" builtinId="9" hidden="1"/>
    <cellStyle name="Lien hypertexte visité" xfId="581" builtinId="9" hidden="1"/>
    <cellStyle name="Lien hypertexte visité" xfId="709" builtinId="9" hidden="1"/>
    <cellStyle name="Lien hypertexte visité" xfId="773" builtinId="9" hidden="1"/>
    <cellStyle name="Lien hypertexte visité" xfId="837" builtinId="9" hidden="1"/>
    <cellStyle name="Lien hypertexte visité" xfId="965" builtinId="9" hidden="1"/>
    <cellStyle name="Lien hypertexte visité" xfId="1029" builtinId="9" hidden="1"/>
    <cellStyle name="Lien hypertexte visité" xfId="1093" builtinId="9" hidden="1"/>
    <cellStyle name="Lien hypertexte visité" xfId="1192" builtinId="9" hidden="1"/>
    <cellStyle name="Lien hypertexte visité" xfId="1224" builtinId="9" hidden="1"/>
    <cellStyle name="Lien hypertexte visité" xfId="1256" builtinId="9" hidden="1"/>
    <cellStyle name="Lien hypertexte visité" xfId="1320" builtinId="9" hidden="1"/>
    <cellStyle name="Lien hypertexte visité" xfId="1352" builtinId="9" hidden="1"/>
    <cellStyle name="Lien hypertexte visité" xfId="1384" builtinId="9" hidden="1"/>
    <cellStyle name="Lien hypertexte visité" xfId="1448" builtinId="9" hidden="1"/>
    <cellStyle name="Lien hypertexte visité" xfId="1480" builtinId="9" hidden="1"/>
    <cellStyle name="Lien hypertexte visité" xfId="1513" builtinId="9" hidden="1"/>
    <cellStyle name="Lien hypertexte visité" xfId="1577" builtinId="9" hidden="1"/>
    <cellStyle name="Lien hypertexte visité" xfId="1609" builtinId="9" hidden="1"/>
    <cellStyle name="Lien hypertexte visité" xfId="1641" builtinId="9" hidden="1"/>
    <cellStyle name="Lien hypertexte visité" xfId="1705" builtinId="9" hidden="1"/>
    <cellStyle name="Lien hypertexte visité" xfId="1737" builtinId="9" hidden="1"/>
    <cellStyle name="Lien hypertexte visité" xfId="1769" builtinId="9" hidden="1"/>
    <cellStyle name="Lien hypertexte visité" xfId="1833" builtinId="9" hidden="1"/>
    <cellStyle name="Lien hypertexte visité" xfId="1865" builtinId="9" hidden="1"/>
    <cellStyle name="Lien hypertexte visité" xfId="1897" builtinId="9" hidden="1"/>
    <cellStyle name="Lien hypertexte visité" xfId="1961" builtinId="9" hidden="1"/>
    <cellStyle name="Lien hypertexte visité" xfId="1993" builtinId="9" hidden="1"/>
    <cellStyle name="Lien hypertexte visité" xfId="2025" builtinId="9" hidden="1"/>
    <cellStyle name="Lien hypertexte visité" xfId="2089" builtinId="9" hidden="1"/>
    <cellStyle name="Lien hypertexte visité" xfId="2121" builtinId="9" hidden="1"/>
    <cellStyle name="Lien hypertexte visité" xfId="2153" builtinId="9" hidden="1"/>
    <cellStyle name="Lien hypertexte visité" xfId="2217" builtinId="9" hidden="1"/>
    <cellStyle name="Lien hypertexte visité" xfId="2249" builtinId="9" hidden="1"/>
    <cellStyle name="Lien hypertexte visité" xfId="2281" builtinId="9" hidden="1"/>
    <cellStyle name="Lien hypertexte visité" xfId="2345" builtinId="9" hidden="1"/>
    <cellStyle name="Lien hypertexte visité" xfId="2377" builtinId="9" hidden="1"/>
    <cellStyle name="Lien hypertexte visité" xfId="2409" builtinId="9" hidden="1"/>
    <cellStyle name="Lien hypertexte visité" xfId="2473" builtinId="9" hidden="1"/>
    <cellStyle name="Lien hypertexte visité" xfId="2505" builtinId="9" hidden="1"/>
    <cellStyle name="Lien hypertexte visité" xfId="2537" builtinId="9" hidden="1"/>
    <cellStyle name="Lien hypertexte visité" xfId="2601" builtinId="9" hidden="1"/>
    <cellStyle name="Lien hypertexte visité" xfId="2633" builtinId="9" hidden="1"/>
    <cellStyle name="Lien hypertexte visité" xfId="2665" builtinId="9" hidden="1"/>
    <cellStyle name="Lien hypertexte visité" xfId="2729" builtinId="9" hidden="1"/>
    <cellStyle name="Lien hypertexte visité" xfId="2761" builtinId="9" hidden="1"/>
    <cellStyle name="Lien hypertexte visité" xfId="2793" builtinId="9" hidden="1"/>
    <cellStyle name="Lien hypertexte visité" xfId="2857" builtinId="9" hidden="1"/>
    <cellStyle name="Lien hypertexte visité" xfId="2889" builtinId="9" hidden="1"/>
    <cellStyle name="Lien hypertexte visité" xfId="2921" builtinId="9" hidden="1"/>
    <cellStyle name="Lien hypertexte visité" xfId="2985" builtinId="9" hidden="1"/>
    <cellStyle name="Lien hypertexte visité" xfId="3017" builtinId="9" hidden="1"/>
    <cellStyle name="Lien hypertexte visité" xfId="3049" builtinId="9" hidden="1"/>
    <cellStyle name="Lien hypertexte visité" xfId="3113" builtinId="9" hidden="1"/>
    <cellStyle name="Lien hypertexte visité" xfId="3145" builtinId="9" hidden="1"/>
    <cellStyle name="Lien hypertexte visité" xfId="3177" builtinId="9" hidden="1"/>
    <cellStyle name="Lien hypertexte visité" xfId="3241" builtinId="9" hidden="1"/>
    <cellStyle name="Lien hypertexte visité" xfId="3273" builtinId="9" hidden="1"/>
    <cellStyle name="Lien hypertexte visité" xfId="3305" builtinId="9" hidden="1"/>
    <cellStyle name="Lien hypertexte visité" xfId="3369" builtinId="9" hidden="1"/>
    <cellStyle name="Lien hypertexte visité" xfId="3401" builtinId="9" hidden="1"/>
    <cellStyle name="Lien hypertexte visité" xfId="3433" builtinId="9" hidden="1"/>
    <cellStyle name="Lien hypertexte visité" xfId="3497" builtinId="9" hidden="1"/>
    <cellStyle name="Lien hypertexte visité" xfId="3529" builtinId="9" hidden="1"/>
    <cellStyle name="Lien hypertexte visité" xfId="3562" builtinId="9" hidden="1"/>
    <cellStyle name="Lien hypertexte visité" xfId="3626" builtinId="9" hidden="1"/>
    <cellStyle name="Lien hypertexte visité" xfId="3660" builtinId="9" hidden="1"/>
    <cellStyle name="Lien hypertexte visité" xfId="3698" builtinId="9" hidden="1"/>
    <cellStyle name="Lien hypertexte visité" xfId="3762" builtinId="9" hidden="1"/>
    <cellStyle name="Lien hypertexte visité" xfId="3794" builtinId="9" hidden="1"/>
    <cellStyle name="Lien hypertexte visité" xfId="3826" builtinId="9" hidden="1"/>
    <cellStyle name="Lien hypertexte visité" xfId="3891" builtinId="9" hidden="1"/>
    <cellStyle name="Lien hypertexte visité" xfId="3923" builtinId="9" hidden="1"/>
    <cellStyle name="Lien hypertexte visité" xfId="3951" builtinId="9" hidden="1"/>
    <cellStyle name="Lien hypertexte visité" xfId="4015" builtinId="9" hidden="1"/>
    <cellStyle name="Lien hypertexte visité" xfId="4047" builtinId="9" hidden="1"/>
    <cellStyle name="Lien hypertexte visité" xfId="4079" builtinId="9" hidden="1"/>
    <cellStyle name="Lien hypertexte visité" xfId="4143" builtinId="9" hidden="1"/>
    <cellStyle name="Lien hypertexte visité" xfId="4175" builtinId="9" hidden="1"/>
    <cellStyle name="Lien hypertexte visité" xfId="4207" builtinId="9" hidden="1"/>
    <cellStyle name="Lien hypertexte visité" xfId="4271" builtinId="9" hidden="1"/>
    <cellStyle name="Lien hypertexte visité" xfId="4303" builtinId="9" hidden="1"/>
    <cellStyle name="Lien hypertexte visité" xfId="4335" builtinId="9" hidden="1"/>
    <cellStyle name="Lien hypertexte visité" xfId="4399" builtinId="9" hidden="1"/>
    <cellStyle name="Lien hypertexte visité" xfId="4431" builtinId="9" hidden="1"/>
    <cellStyle name="Lien hypertexte visité" xfId="4463" builtinId="9" hidden="1"/>
    <cellStyle name="Lien hypertexte visité" xfId="4527" builtinId="9" hidden="1"/>
    <cellStyle name="Lien hypertexte visité" xfId="4559" builtinId="9" hidden="1"/>
    <cellStyle name="Lien hypertexte visité" xfId="4591" builtinId="9" hidden="1"/>
    <cellStyle name="Lien hypertexte visité" xfId="4655" builtinId="9" hidden="1"/>
    <cellStyle name="Lien hypertexte visité" xfId="4687" builtinId="9" hidden="1"/>
    <cellStyle name="Lien hypertexte visité" xfId="4719" builtinId="9" hidden="1"/>
    <cellStyle name="Lien hypertexte visité" xfId="4783" builtinId="9" hidden="1"/>
    <cellStyle name="Lien hypertexte visité" xfId="4815" builtinId="9" hidden="1"/>
    <cellStyle name="Lien hypertexte visité" xfId="4847" builtinId="9" hidden="1"/>
    <cellStyle name="Lien hypertexte visité" xfId="4911" builtinId="9" hidden="1"/>
    <cellStyle name="Lien hypertexte visité" xfId="4943" builtinId="9" hidden="1"/>
    <cellStyle name="Lien hypertexte visité" xfId="4975" builtinId="9" hidden="1"/>
    <cellStyle name="Lien hypertexte visité" xfId="5039" builtinId="9" hidden="1"/>
    <cellStyle name="Lien hypertexte visité" xfId="5071" builtinId="9" hidden="1"/>
    <cellStyle name="Lien hypertexte visité" xfId="5103" builtinId="9" hidden="1"/>
    <cellStyle name="Lien hypertexte visité" xfId="5167" builtinId="9" hidden="1"/>
    <cellStyle name="Lien hypertexte visité" xfId="5199" builtinId="9" hidden="1"/>
    <cellStyle name="Lien hypertexte visité" xfId="5231" builtinId="9" hidden="1"/>
    <cellStyle name="Lien hypertexte visité" xfId="5295" builtinId="9" hidden="1"/>
    <cellStyle name="Lien hypertexte visité" xfId="5327" builtinId="9" hidden="1"/>
    <cellStyle name="Lien hypertexte visité" xfId="5359" builtinId="9" hidden="1"/>
    <cellStyle name="Lien hypertexte visité" xfId="5423" builtinId="9" hidden="1"/>
    <cellStyle name="Lien hypertexte visité" xfId="5455" builtinId="9" hidden="1"/>
    <cellStyle name="Lien hypertexte visité" xfId="5487" builtinId="9" hidden="1"/>
    <cellStyle name="Lien hypertexte visité" xfId="5551" builtinId="9" hidden="1"/>
    <cellStyle name="Lien hypertexte visité" xfId="5583" builtinId="9" hidden="1"/>
    <cellStyle name="Lien hypertexte visité" xfId="5615" builtinId="9" hidden="1"/>
    <cellStyle name="Lien hypertexte visité" xfId="5679" builtinId="9" hidden="1"/>
    <cellStyle name="Lien hypertexte visité" xfId="5711" builtinId="9" hidden="1"/>
    <cellStyle name="Lien hypertexte visité" xfId="5743" builtinId="9" hidden="1"/>
    <cellStyle name="Lien hypertexte visité" xfId="5807" builtinId="9" hidden="1"/>
    <cellStyle name="Lien hypertexte visité" xfId="5839" builtinId="9" hidden="1"/>
    <cellStyle name="Lien hypertexte visité" xfId="5871" builtinId="9" hidden="1"/>
    <cellStyle name="Lien hypertexte visité" xfId="5935" builtinId="9" hidden="1"/>
    <cellStyle name="Lien hypertexte visité" xfId="5967" builtinId="9" hidden="1"/>
    <cellStyle name="Lien hypertexte visité" xfId="5999" builtinId="9" hidden="1"/>
    <cellStyle name="Lien hypertexte visité" xfId="6063" builtinId="9" hidden="1"/>
    <cellStyle name="Lien hypertexte visité" xfId="6095" builtinId="9" hidden="1"/>
    <cellStyle name="Lien hypertexte visité" xfId="6127" builtinId="9" hidden="1"/>
    <cellStyle name="Lien hypertexte visité" xfId="6191" builtinId="9" hidden="1"/>
    <cellStyle name="Lien hypertexte visité" xfId="6223" builtinId="9" hidden="1"/>
    <cellStyle name="Lien hypertexte visité" xfId="6255" builtinId="9" hidden="1"/>
    <cellStyle name="Lien hypertexte visité" xfId="6319" builtinId="9" hidden="1"/>
    <cellStyle name="Lien hypertexte visité" xfId="6351" builtinId="9" hidden="1"/>
    <cellStyle name="Lien hypertexte visité" xfId="6383" builtinId="9" hidden="1"/>
    <cellStyle name="Lien hypertexte visité" xfId="6447" builtinId="9" hidden="1"/>
    <cellStyle name="Lien hypertexte visité" xfId="6479" builtinId="9" hidden="1"/>
    <cellStyle name="Lien hypertexte visité" xfId="6511" builtinId="9" hidden="1"/>
    <cellStyle name="Lien hypertexte visité" xfId="6575" builtinId="9" hidden="1"/>
    <cellStyle name="Lien hypertexte visité" xfId="6607" builtinId="9" hidden="1"/>
    <cellStyle name="Lien hypertexte visité" xfId="6639" builtinId="9" hidden="1"/>
    <cellStyle name="Lien hypertexte visité" xfId="6703" builtinId="9" hidden="1"/>
    <cellStyle name="Lien hypertexte visité" xfId="6735" builtinId="9" hidden="1"/>
    <cellStyle name="Lien hypertexte visité" xfId="6767" builtinId="9" hidden="1"/>
    <cellStyle name="Lien hypertexte visité" xfId="6831" builtinId="9" hidden="1"/>
    <cellStyle name="Lien hypertexte visité" xfId="6863" builtinId="9" hidden="1"/>
    <cellStyle name="Lien hypertexte visité" xfId="6895" builtinId="9" hidden="1"/>
    <cellStyle name="Lien hypertexte visité" xfId="6959" builtinId="9" hidden="1"/>
    <cellStyle name="Lien hypertexte visité" xfId="6991" builtinId="9" hidden="1"/>
    <cellStyle name="Lien hypertexte visité" xfId="7023" builtinId="9" hidden="1"/>
    <cellStyle name="Lien hypertexte visité" xfId="7087" builtinId="9" hidden="1"/>
    <cellStyle name="Lien hypertexte visité" xfId="7119" builtinId="9" hidden="1"/>
    <cellStyle name="Lien hypertexte visité" xfId="7151" builtinId="9" hidden="1"/>
    <cellStyle name="Lien hypertexte visité" xfId="7215" builtinId="9" hidden="1"/>
    <cellStyle name="Lien hypertexte visité" xfId="7247" builtinId="9" hidden="1"/>
    <cellStyle name="Lien hypertexte visité" xfId="7279" builtinId="9" hidden="1"/>
    <cellStyle name="Lien hypertexte visité" xfId="7343" builtinId="9" hidden="1"/>
    <cellStyle name="Lien hypertexte visité" xfId="7375" builtinId="9" hidden="1"/>
    <cellStyle name="Lien hypertexte visité" xfId="7407" builtinId="9" hidden="1"/>
    <cellStyle name="Lien hypertexte visité" xfId="7471" builtinId="9" hidden="1"/>
    <cellStyle name="Lien hypertexte visité" xfId="7503" builtinId="9" hidden="1"/>
    <cellStyle name="Lien hypertexte visité" xfId="7535" builtinId="9" hidden="1"/>
    <cellStyle name="Lien hypertexte visité" xfId="7599" builtinId="9" hidden="1"/>
    <cellStyle name="Lien hypertexte visité" xfId="7631" builtinId="9" hidden="1"/>
    <cellStyle name="Lien hypertexte visité" xfId="7663" builtinId="9" hidden="1"/>
    <cellStyle name="Lien hypertexte visité" xfId="7727" builtinId="9" hidden="1"/>
    <cellStyle name="Lien hypertexte visité" xfId="7759" builtinId="9" hidden="1"/>
    <cellStyle name="Lien hypertexte visité" xfId="7791" builtinId="9" hidden="1"/>
    <cellStyle name="Lien hypertexte visité" xfId="7856" builtinId="9" hidden="1"/>
    <cellStyle name="Lien hypertexte visité" xfId="7888" builtinId="9" hidden="1"/>
    <cellStyle name="Lien hypertexte visité" xfId="7920" builtinId="9" hidden="1"/>
    <cellStyle name="Lien hypertexte visité" xfId="7984" builtinId="9" hidden="1"/>
    <cellStyle name="Lien hypertexte visité" xfId="8016" builtinId="9" hidden="1"/>
    <cellStyle name="Lien hypertexte visité" xfId="8048" builtinId="9" hidden="1"/>
    <cellStyle name="Lien hypertexte visité" xfId="8112" builtinId="9" hidden="1"/>
    <cellStyle name="Lien hypertexte visité" xfId="8144" builtinId="9" hidden="1"/>
    <cellStyle name="Lien hypertexte visité" xfId="8176" builtinId="9" hidden="1"/>
    <cellStyle name="Lien hypertexte visité" xfId="8240" builtinId="9" hidden="1"/>
    <cellStyle name="Lien hypertexte visité" xfId="8272" builtinId="9" hidden="1"/>
    <cellStyle name="Lien hypertexte visité" xfId="8304" builtinId="9" hidden="1"/>
    <cellStyle name="Lien hypertexte visité" xfId="8368" builtinId="9" hidden="1"/>
    <cellStyle name="Lien hypertexte visité" xfId="8400" builtinId="9" hidden="1"/>
    <cellStyle name="Lien hypertexte visité" xfId="8432" builtinId="9" hidden="1"/>
    <cellStyle name="Lien hypertexte visité" xfId="8496" builtinId="9" hidden="1"/>
    <cellStyle name="Lien hypertexte visité" xfId="8528" builtinId="9" hidden="1"/>
    <cellStyle name="Lien hypertexte visité" xfId="8560" builtinId="9" hidden="1"/>
    <cellStyle name="Lien hypertexte visité" xfId="8624" builtinId="9" hidden="1"/>
    <cellStyle name="Lien hypertexte visité" xfId="8656" builtinId="9" hidden="1"/>
    <cellStyle name="Lien hypertexte visité" xfId="8688" builtinId="9" hidden="1"/>
    <cellStyle name="Lien hypertexte visité" xfId="8752" builtinId="9" hidden="1"/>
    <cellStyle name="Lien hypertexte visité" xfId="8784" builtinId="9" hidden="1"/>
    <cellStyle name="Lien hypertexte visité" xfId="8816" builtinId="9" hidden="1"/>
    <cellStyle name="Lien hypertexte visité" xfId="587" builtinId="9" hidden="1"/>
    <cellStyle name="Lien hypertexte visité" xfId="539" builtinId="9" hidden="1"/>
    <cellStyle name="Lien hypertexte visité" xfId="507" builtinId="9" hidden="1"/>
    <cellStyle name="Lien hypertexte visité" xfId="411" builtinId="9" hidden="1"/>
    <cellStyle name="Lien hypertexte visité" xfId="379" builtinId="9" hidden="1"/>
    <cellStyle name="Lien hypertexte visité" xfId="331" builtinId="9" hidden="1"/>
    <cellStyle name="Lien hypertexte visité" xfId="251" builtinId="9" hidden="1"/>
    <cellStyle name="Lien hypertexte visité" xfId="203" builtinId="9" hidden="1"/>
    <cellStyle name="Lien hypertexte visité" xfId="155" builtinId="9" hidden="1"/>
    <cellStyle name="Lien hypertexte visité" xfId="97" builtinId="9" hidden="1"/>
    <cellStyle name="Lien hypertexte visité" xfId="71" builtinId="9" hidden="1"/>
    <cellStyle name="Lien hypertexte visité" xfId="57" builtinId="9" hidden="1"/>
    <cellStyle name="Lien hypertexte visité" xfId="99" builtinId="9" hidden="1"/>
    <cellStyle name="Lien hypertexte visité" xfId="77" builtinId="9" hidden="1"/>
    <cellStyle name="Lien hypertexte visité" xfId="151" builtinId="9" hidden="1"/>
    <cellStyle name="Lien hypertexte visité" xfId="231" builtinId="9" hidden="1"/>
    <cellStyle name="Lien hypertexte visité" xfId="279" builtinId="9" hidden="1"/>
    <cellStyle name="Lien hypertexte visité" xfId="327" builtinId="9" hidden="1"/>
    <cellStyle name="Lien hypertexte visité" xfId="407" builtinId="9" hidden="1"/>
    <cellStyle name="Lien hypertexte visité" xfId="455" builtinId="9" hidden="1"/>
    <cellStyle name="Lien hypertexte visité" xfId="487" builtinId="9" hidden="1"/>
    <cellStyle name="Lien hypertexte visité" xfId="583" builtinId="9" hidden="1"/>
    <cellStyle name="Lien hypertexte visité" xfId="615" builtinId="9" hidden="1"/>
    <cellStyle name="Lien hypertexte visité" xfId="663" builtinId="9" hidden="1"/>
    <cellStyle name="Lien hypertexte visité" xfId="743" builtinId="9" hidden="1"/>
    <cellStyle name="Lien hypertexte visité" xfId="791" builtinId="9" hidden="1"/>
    <cellStyle name="Lien hypertexte visité" xfId="839" builtinId="9" hidden="1"/>
    <cellStyle name="Lien hypertexte visité" xfId="919" builtinId="9" hidden="1"/>
    <cellStyle name="Lien hypertexte visité" xfId="967" builtinId="9" hidden="1"/>
    <cellStyle name="Lien hypertexte visité" xfId="999" builtinId="9" hidden="1"/>
    <cellStyle name="Lien hypertexte visité" xfId="1095" builtinId="9" hidden="1"/>
    <cellStyle name="Lien hypertexte visité" xfId="1127" builtinId="9" hidden="1"/>
    <cellStyle name="Lien hypertexte visité" xfId="1169" builtinId="9" hidden="1"/>
    <cellStyle name="Lien hypertexte visité" xfId="1209" builtinId="9" hidden="1"/>
    <cellStyle name="Lien hypertexte visité" xfId="1233" builtinId="9" hidden="1"/>
    <cellStyle name="Lien hypertexte visité" xfId="1257" builtinId="9" hidden="1"/>
    <cellStyle name="Lien hypertexte visité" xfId="1297" builtinId="9" hidden="1"/>
    <cellStyle name="Lien hypertexte visité" xfId="1321" builtinId="9" hidden="1"/>
    <cellStyle name="Lien hypertexte visité" xfId="1337" builtinId="9" hidden="1"/>
    <cellStyle name="Lien hypertexte visité" xfId="1385" builtinId="9" hidden="1"/>
    <cellStyle name="Lien hypertexte visité" xfId="1401" builtinId="9" hidden="1"/>
    <cellStyle name="Lien hypertexte visité" xfId="1425" builtinId="9" hidden="1"/>
    <cellStyle name="Lien hypertexte visité" xfId="1465" builtinId="9" hidden="1"/>
    <cellStyle name="Lien hypertexte visité" xfId="1489" builtinId="9" hidden="1"/>
    <cellStyle name="Lien hypertexte visité" xfId="1514" builtinId="9" hidden="1"/>
    <cellStyle name="Lien hypertexte visité" xfId="1554" builtinId="9" hidden="1"/>
    <cellStyle name="Lien hypertexte visité" xfId="1578" builtinId="9" hidden="1"/>
    <cellStyle name="Lien hypertexte visité" xfId="1594" builtinId="9" hidden="1"/>
    <cellStyle name="Lien hypertexte visité" xfId="1642" builtinId="9" hidden="1"/>
    <cellStyle name="Lien hypertexte visité" xfId="1658" builtinId="9" hidden="1"/>
    <cellStyle name="Lien hypertexte visité" xfId="1682" builtinId="9" hidden="1"/>
    <cellStyle name="Lien hypertexte visité" xfId="1722" builtinId="9" hidden="1"/>
    <cellStyle name="Lien hypertexte visité" xfId="1746" builtinId="9" hidden="1"/>
    <cellStyle name="Lien hypertexte visité" xfId="1770" builtinId="9" hidden="1"/>
    <cellStyle name="Lien hypertexte visité" xfId="1810" builtinId="9" hidden="1"/>
    <cellStyle name="Lien hypertexte visité" xfId="1834" builtinId="9" hidden="1"/>
    <cellStyle name="Lien hypertexte visité" xfId="1850" builtinId="9" hidden="1"/>
    <cellStyle name="Lien hypertexte visité" xfId="1898" builtinId="9" hidden="1"/>
    <cellStyle name="Lien hypertexte visité" xfId="1914" builtinId="9" hidden="1"/>
    <cellStyle name="Lien hypertexte visité" xfId="1938" builtinId="9" hidden="1"/>
    <cellStyle name="Lien hypertexte visité" xfId="1978" builtinId="9" hidden="1"/>
    <cellStyle name="Lien hypertexte visité" xfId="2002" builtinId="9" hidden="1"/>
    <cellStyle name="Lien hypertexte visité" xfId="2026" builtinId="9" hidden="1"/>
    <cellStyle name="Lien hypertexte visité" xfId="2066" builtinId="9" hidden="1"/>
    <cellStyle name="Lien hypertexte visité" xfId="2090" builtinId="9" hidden="1"/>
    <cellStyle name="Lien hypertexte visité" xfId="2106" builtinId="9" hidden="1"/>
    <cellStyle name="Lien hypertexte visité" xfId="2154" builtinId="9" hidden="1"/>
    <cellStyle name="Lien hypertexte visité" xfId="2170" builtinId="9" hidden="1"/>
    <cellStyle name="Lien hypertexte visité" xfId="2194" builtinId="9" hidden="1"/>
    <cellStyle name="Lien hypertexte visité" xfId="2234" builtinId="9" hidden="1"/>
    <cellStyle name="Lien hypertexte visité" xfId="2258" builtinId="9" hidden="1"/>
    <cellStyle name="Lien hypertexte visité" xfId="2282" builtinId="9" hidden="1"/>
    <cellStyle name="Lien hypertexte visité" xfId="2322" builtinId="9" hidden="1"/>
    <cellStyle name="Lien hypertexte visité" xfId="2346" builtinId="9" hidden="1"/>
    <cellStyle name="Lien hypertexte visité" xfId="2362" builtinId="9" hidden="1"/>
    <cellStyle name="Lien hypertexte visité" xfId="2410" builtinId="9" hidden="1"/>
    <cellStyle name="Lien hypertexte visité" xfId="2426" builtinId="9" hidden="1"/>
    <cellStyle name="Lien hypertexte visité" xfId="2450" builtinId="9" hidden="1"/>
    <cellStyle name="Lien hypertexte visité" xfId="2490" builtinId="9" hidden="1"/>
    <cellStyle name="Lien hypertexte visité" xfId="2514" builtinId="9" hidden="1"/>
    <cellStyle name="Lien hypertexte visité" xfId="2538" builtinId="9" hidden="1"/>
    <cellStyle name="Lien hypertexte visité" xfId="2578" builtinId="9" hidden="1"/>
    <cellStyle name="Lien hypertexte visité" xfId="2602" builtinId="9" hidden="1"/>
    <cellStyle name="Lien hypertexte visité" xfId="2618" builtinId="9" hidden="1"/>
    <cellStyle name="Lien hypertexte visité" xfId="2666" builtinId="9" hidden="1"/>
    <cellStyle name="Lien hypertexte visité" xfId="2682" builtinId="9" hidden="1"/>
    <cellStyle name="Lien hypertexte visité" xfId="2706" builtinId="9" hidden="1"/>
    <cellStyle name="Lien hypertexte visité" xfId="2746" builtinId="9" hidden="1"/>
    <cellStyle name="Lien hypertexte visité" xfId="2770" builtinId="9" hidden="1"/>
    <cellStyle name="Lien hypertexte visité" xfId="2794" builtinId="9" hidden="1"/>
    <cellStyle name="Lien hypertexte visité" xfId="2834" builtinId="9" hidden="1"/>
    <cellStyle name="Lien hypertexte visité" xfId="2858" builtinId="9" hidden="1"/>
    <cellStyle name="Lien hypertexte visité" xfId="2874" builtinId="9" hidden="1"/>
    <cellStyle name="Lien hypertexte visité" xfId="2922" builtinId="9" hidden="1"/>
    <cellStyle name="Lien hypertexte visité" xfId="2938" builtinId="9" hidden="1"/>
    <cellStyle name="Lien hypertexte visité" xfId="2962" builtinId="9" hidden="1"/>
    <cellStyle name="Lien hypertexte visité" xfId="3002" builtinId="9" hidden="1"/>
    <cellStyle name="Lien hypertexte visité" xfId="3026" builtinId="9" hidden="1"/>
    <cellStyle name="Lien hypertexte visité" xfId="3050" builtinId="9" hidden="1"/>
    <cellStyle name="Lien hypertexte visité" xfId="3090" builtinId="9" hidden="1"/>
    <cellStyle name="Lien hypertexte visité" xfId="3114" builtinId="9" hidden="1"/>
    <cellStyle name="Lien hypertexte visité" xfId="3130" builtinId="9" hidden="1"/>
    <cellStyle name="Lien hypertexte visité" xfId="3178" builtinId="9" hidden="1"/>
    <cellStyle name="Lien hypertexte visité" xfId="3194" builtinId="9" hidden="1"/>
    <cellStyle name="Lien hypertexte visité" xfId="3218" builtinId="9" hidden="1"/>
    <cellStyle name="Lien hypertexte visité" xfId="3258" builtinId="9" hidden="1"/>
    <cellStyle name="Lien hypertexte visité" xfId="3282" builtinId="9" hidden="1"/>
    <cellStyle name="Lien hypertexte visité" xfId="3306" builtinId="9" hidden="1"/>
    <cellStyle name="Lien hypertexte visité" xfId="3346" builtinId="9" hidden="1"/>
    <cellStyle name="Lien hypertexte visité" xfId="3370" builtinId="9" hidden="1"/>
    <cellStyle name="Lien hypertexte visité" xfId="3386" builtinId="9" hidden="1"/>
    <cellStyle name="Lien hypertexte visité" xfId="3434" builtinId="9" hidden="1"/>
    <cellStyle name="Lien hypertexte visité" xfId="3450" builtinId="9" hidden="1"/>
    <cellStyle name="Lien hypertexte visité" xfId="3474" builtinId="9" hidden="1"/>
    <cellStyle name="Lien hypertexte visité" xfId="3514" builtinId="9" hidden="1"/>
    <cellStyle name="Lien hypertexte visité" xfId="3538" builtinId="9" hidden="1"/>
    <cellStyle name="Lien hypertexte visité" xfId="3563" builtinId="9" hidden="1"/>
    <cellStyle name="Lien hypertexte visité" xfId="3603" builtinId="9" hidden="1"/>
    <cellStyle name="Lien hypertexte visité" xfId="3627" builtinId="9" hidden="1"/>
    <cellStyle name="Lien hypertexte visité" xfId="3643" builtinId="9" hidden="1"/>
    <cellStyle name="Lien hypertexte visité" xfId="3699" builtinId="9" hidden="1"/>
    <cellStyle name="Lien hypertexte visité" xfId="3715" builtinId="9" hidden="1"/>
    <cellStyle name="Lien hypertexte visité" xfId="3739" builtinId="9" hidden="1"/>
    <cellStyle name="Lien hypertexte visité" xfId="3779" builtinId="9" hidden="1"/>
    <cellStyle name="Lien hypertexte visité" xfId="3803" builtinId="9" hidden="1"/>
    <cellStyle name="Lien hypertexte visité" xfId="3827" builtinId="9" hidden="1"/>
    <cellStyle name="Lien hypertexte visité" xfId="3867" builtinId="9" hidden="1"/>
    <cellStyle name="Lien hypertexte visité" xfId="3892" builtinId="9" hidden="1"/>
    <cellStyle name="Lien hypertexte visité" xfId="3908" builtinId="9" hidden="1"/>
    <cellStyle name="Lien hypertexte visité" xfId="3952" builtinId="9" hidden="1"/>
    <cellStyle name="Lien hypertexte visité" xfId="3968" builtinId="9" hidden="1"/>
    <cellStyle name="Lien hypertexte visité" xfId="3992" builtinId="9" hidden="1"/>
    <cellStyle name="Lien hypertexte visité" xfId="4032" builtinId="9" hidden="1"/>
    <cellStyle name="Lien hypertexte visité" xfId="4056" builtinId="9" hidden="1"/>
    <cellStyle name="Lien hypertexte visité" xfId="4080" builtinId="9" hidden="1"/>
    <cellStyle name="Lien hypertexte visité" xfId="4120" builtinId="9" hidden="1"/>
    <cellStyle name="Lien hypertexte visité" xfId="4144" builtinId="9" hidden="1"/>
    <cellStyle name="Lien hypertexte visité" xfId="4160" builtinId="9" hidden="1"/>
    <cellStyle name="Lien hypertexte visité" xfId="4208" builtinId="9" hidden="1"/>
    <cellStyle name="Lien hypertexte visité" xfId="4224" builtinId="9" hidden="1"/>
    <cellStyle name="Lien hypertexte visité" xfId="4248" builtinId="9" hidden="1"/>
    <cellStyle name="Lien hypertexte visité" xfId="4288" builtinId="9" hidden="1"/>
    <cellStyle name="Lien hypertexte visité" xfId="4312" builtinId="9" hidden="1"/>
    <cellStyle name="Lien hypertexte visité" xfId="4336" builtinId="9" hidden="1"/>
    <cellStyle name="Lien hypertexte visité" xfId="4376" builtinId="9" hidden="1"/>
    <cellStyle name="Lien hypertexte visité" xfId="4400" builtinId="9" hidden="1"/>
    <cellStyle name="Lien hypertexte visité" xfId="4416" builtinId="9" hidden="1"/>
    <cellStyle name="Lien hypertexte visité" xfId="4464" builtinId="9" hidden="1"/>
    <cellStyle name="Lien hypertexte visité" xfId="4480" builtinId="9" hidden="1"/>
    <cellStyle name="Lien hypertexte visité" xfId="4504" builtinId="9" hidden="1"/>
    <cellStyle name="Lien hypertexte visité" xfId="4544" builtinId="9" hidden="1"/>
    <cellStyle name="Lien hypertexte visité" xfId="4568" builtinId="9" hidden="1"/>
    <cellStyle name="Lien hypertexte visité" xfId="4592" builtinId="9" hidden="1"/>
    <cellStyle name="Lien hypertexte visité" xfId="4632" builtinId="9" hidden="1"/>
    <cellStyle name="Lien hypertexte visité" xfId="4656" builtinId="9" hidden="1"/>
    <cellStyle name="Lien hypertexte visité" xfId="4672" builtinId="9" hidden="1"/>
    <cellStyle name="Lien hypertexte visité" xfId="4720" builtinId="9" hidden="1"/>
    <cellStyle name="Lien hypertexte visité" xfId="4736" builtinId="9" hidden="1"/>
    <cellStyle name="Lien hypertexte visité" xfId="4760" builtinId="9" hidden="1"/>
    <cellStyle name="Lien hypertexte visité" xfId="4800" builtinId="9" hidden="1"/>
    <cellStyle name="Lien hypertexte visité" xfId="4824" builtinId="9" hidden="1"/>
    <cellStyle name="Lien hypertexte visité" xfId="4848" builtinId="9" hidden="1"/>
    <cellStyle name="Lien hypertexte visité" xfId="4888" builtinId="9" hidden="1"/>
    <cellStyle name="Lien hypertexte visité" xfId="4912" builtinId="9" hidden="1"/>
    <cellStyle name="Lien hypertexte visité" xfId="4928" builtinId="9" hidden="1"/>
    <cellStyle name="Lien hypertexte visité" xfId="4976" builtinId="9" hidden="1"/>
    <cellStyle name="Lien hypertexte visité" xfId="4992" builtinId="9" hidden="1"/>
    <cellStyle name="Lien hypertexte visité" xfId="5016" builtinId="9" hidden="1"/>
    <cellStyle name="Lien hypertexte visité" xfId="5056" builtinId="9" hidden="1"/>
    <cellStyle name="Lien hypertexte visité" xfId="5080" builtinId="9" hidden="1"/>
    <cellStyle name="Lien hypertexte visité" xfId="5104" builtinId="9" hidden="1"/>
    <cellStyle name="Lien hypertexte visité" xfId="5144" builtinId="9" hidden="1"/>
    <cellStyle name="Lien hypertexte visité" xfId="5168" builtinId="9" hidden="1"/>
    <cellStyle name="Lien hypertexte visité" xfId="5184" builtinId="9" hidden="1"/>
    <cellStyle name="Lien hypertexte visité" xfId="5232" builtinId="9" hidden="1"/>
    <cellStyle name="Lien hypertexte visité" xfId="5248" builtinId="9" hidden="1"/>
    <cellStyle name="Lien hypertexte visité" xfId="5272" builtinId="9" hidden="1"/>
    <cellStyle name="Lien hypertexte visité" xfId="5312" builtinId="9" hidden="1"/>
    <cellStyle name="Lien hypertexte visité" xfId="5336" builtinId="9" hidden="1"/>
    <cellStyle name="Lien hypertexte visité" xfId="5360" builtinId="9" hidden="1"/>
    <cellStyle name="Lien hypertexte visité" xfId="5400" builtinId="9" hidden="1"/>
    <cellStyle name="Lien hypertexte visité" xfId="5424" builtinId="9" hidden="1"/>
    <cellStyle name="Lien hypertexte visité" xfId="5440" builtinId="9" hidden="1"/>
    <cellStyle name="Lien hypertexte visité" xfId="5488" builtinId="9" hidden="1"/>
    <cellStyle name="Lien hypertexte visité" xfId="5504" builtinId="9" hidden="1"/>
    <cellStyle name="Lien hypertexte visité" xfId="5528" builtinId="9" hidden="1"/>
    <cellStyle name="Lien hypertexte visité" xfId="5568" builtinId="9" hidden="1"/>
    <cellStyle name="Lien hypertexte visité" xfId="5592" builtinId="9" hidden="1"/>
    <cellStyle name="Lien hypertexte visité" xfId="5616" builtinId="9" hidden="1"/>
    <cellStyle name="Lien hypertexte visité" xfId="5656" builtinId="9" hidden="1"/>
    <cellStyle name="Lien hypertexte visité" xfId="5680" builtinId="9" hidden="1"/>
    <cellStyle name="Lien hypertexte visité" xfId="5696" builtinId="9" hidden="1"/>
    <cellStyle name="Lien hypertexte visité" xfId="5744" builtinId="9" hidden="1"/>
    <cellStyle name="Lien hypertexte visité" xfId="5760" builtinId="9" hidden="1"/>
    <cellStyle name="Lien hypertexte visité" xfId="5784" builtinId="9" hidden="1"/>
    <cellStyle name="Lien hypertexte visité" xfId="5824" builtinId="9" hidden="1"/>
    <cellStyle name="Lien hypertexte visité" xfId="5848" builtinId="9" hidden="1"/>
    <cellStyle name="Lien hypertexte visité" xfId="5872" builtinId="9" hidden="1"/>
    <cellStyle name="Lien hypertexte visité" xfId="5912" builtinId="9" hidden="1"/>
    <cellStyle name="Lien hypertexte visité" xfId="5936" builtinId="9" hidden="1"/>
    <cellStyle name="Lien hypertexte visité" xfId="5952" builtinId="9" hidden="1"/>
    <cellStyle name="Lien hypertexte visité" xfId="6000" builtinId="9" hidden="1"/>
    <cellStyle name="Lien hypertexte visité" xfId="6016" builtinId="9" hidden="1"/>
    <cellStyle name="Lien hypertexte visité" xfId="6040" builtinId="9" hidden="1"/>
    <cellStyle name="Lien hypertexte visité" xfId="6080" builtinId="9" hidden="1"/>
    <cellStyle name="Lien hypertexte visité" xfId="6104" builtinId="9" hidden="1"/>
    <cellStyle name="Lien hypertexte visité" xfId="6128" builtinId="9" hidden="1"/>
    <cellStyle name="Lien hypertexte visité" xfId="6168" builtinId="9" hidden="1"/>
    <cellStyle name="Lien hypertexte visité" xfId="6192" builtinId="9" hidden="1"/>
    <cellStyle name="Lien hypertexte visité" xfId="6208" builtinId="9" hidden="1"/>
    <cellStyle name="Lien hypertexte visité" xfId="6256" builtinId="9" hidden="1"/>
    <cellStyle name="Lien hypertexte visité" xfId="6272" builtinId="9" hidden="1"/>
    <cellStyle name="Lien hypertexte visité" xfId="6296" builtinId="9" hidden="1"/>
    <cellStyle name="Lien hypertexte visité" xfId="6336" builtinId="9" hidden="1"/>
    <cellStyle name="Lien hypertexte visité" xfId="6360" builtinId="9" hidden="1"/>
    <cellStyle name="Lien hypertexte visité" xfId="6384" builtinId="9" hidden="1"/>
    <cellStyle name="Lien hypertexte visité" xfId="6424" builtinId="9" hidden="1"/>
    <cellStyle name="Lien hypertexte visité" xfId="6448" builtinId="9" hidden="1"/>
    <cellStyle name="Lien hypertexte visité" xfId="6464" builtinId="9" hidden="1"/>
    <cellStyle name="Lien hypertexte visité" xfId="6512" builtinId="9" hidden="1"/>
    <cellStyle name="Lien hypertexte visité" xfId="6528" builtinId="9" hidden="1"/>
    <cellStyle name="Lien hypertexte visité" xfId="6552" builtinId="9" hidden="1"/>
    <cellStyle name="Lien hypertexte visité" xfId="6592" builtinId="9" hidden="1"/>
    <cellStyle name="Lien hypertexte visité" xfId="6616" builtinId="9" hidden="1"/>
    <cellStyle name="Lien hypertexte visité" xfId="6640" builtinId="9" hidden="1"/>
    <cellStyle name="Lien hypertexte visité" xfId="6680" builtinId="9" hidden="1"/>
    <cellStyle name="Lien hypertexte visité" xfId="6704" builtinId="9" hidden="1"/>
    <cellStyle name="Lien hypertexte visité" xfId="6720" builtinId="9" hidden="1"/>
    <cellStyle name="Lien hypertexte visité" xfId="6768" builtinId="9" hidden="1"/>
    <cellStyle name="Lien hypertexte visité" xfId="6784" builtinId="9" hidden="1"/>
    <cellStyle name="Lien hypertexte visité" xfId="6808" builtinId="9" hidden="1"/>
    <cellStyle name="Lien hypertexte visité" xfId="6848" builtinId="9" hidden="1"/>
    <cellStyle name="Lien hypertexte visité" xfId="6872" builtinId="9" hidden="1"/>
    <cellStyle name="Lien hypertexte visité" xfId="6896" builtinId="9" hidden="1"/>
    <cellStyle name="Lien hypertexte visité" xfId="6936" builtinId="9" hidden="1"/>
    <cellStyle name="Lien hypertexte visité" xfId="6960" builtinId="9" hidden="1"/>
    <cellStyle name="Lien hypertexte visité" xfId="6976" builtinId="9" hidden="1"/>
    <cellStyle name="Lien hypertexte visité" xfId="7024" builtinId="9" hidden="1"/>
    <cellStyle name="Lien hypertexte visité" xfId="7040" builtinId="9" hidden="1"/>
    <cellStyle name="Lien hypertexte visité" xfId="7064" builtinId="9" hidden="1"/>
    <cellStyle name="Lien hypertexte visité" xfId="7104" builtinId="9" hidden="1"/>
    <cellStyle name="Lien hypertexte visité" xfId="7128" builtinId="9" hidden="1"/>
    <cellStyle name="Lien hypertexte visité" xfId="7152" builtinId="9" hidden="1"/>
    <cellStyle name="Lien hypertexte visité" xfId="7192" builtinId="9" hidden="1"/>
    <cellStyle name="Lien hypertexte visité" xfId="7216" builtinId="9" hidden="1"/>
    <cellStyle name="Lien hypertexte visité" xfId="7232" builtinId="9" hidden="1"/>
    <cellStyle name="Lien hypertexte visité" xfId="7280" builtinId="9" hidden="1"/>
    <cellStyle name="Lien hypertexte visité" xfId="7296" builtinId="9" hidden="1"/>
    <cellStyle name="Lien hypertexte visité" xfId="7320" builtinId="9" hidden="1"/>
    <cellStyle name="Lien hypertexte visité" xfId="7360" builtinId="9" hidden="1"/>
    <cellStyle name="Lien hypertexte visité" xfId="7384" builtinId="9" hidden="1"/>
    <cellStyle name="Lien hypertexte visité" xfId="7408" builtinId="9" hidden="1"/>
    <cellStyle name="Lien hypertexte visité" xfId="7448" builtinId="9" hidden="1"/>
    <cellStyle name="Lien hypertexte visité" xfId="7472" builtinId="9" hidden="1"/>
    <cellStyle name="Lien hypertexte visité" xfId="7488" builtinId="9" hidden="1"/>
    <cellStyle name="Lien hypertexte visité" xfId="7536" builtinId="9" hidden="1"/>
    <cellStyle name="Lien hypertexte visité" xfId="7552" builtinId="9" hidden="1"/>
    <cellStyle name="Lien hypertexte visité" xfId="7576" builtinId="9" hidden="1"/>
    <cellStyle name="Lien hypertexte visité" xfId="7616" builtinId="9" hidden="1"/>
    <cellStyle name="Lien hypertexte visité" xfId="7640" builtinId="9" hidden="1"/>
    <cellStyle name="Lien hypertexte visité" xfId="7664" builtinId="9" hidden="1"/>
    <cellStyle name="Lien hypertexte visité" xfId="7704" builtinId="9" hidden="1"/>
    <cellStyle name="Lien hypertexte visité" xfId="7728" builtinId="9" hidden="1"/>
    <cellStyle name="Lien hypertexte visité" xfId="7744" builtinId="9" hidden="1"/>
    <cellStyle name="Lien hypertexte visité" xfId="7792" builtinId="9" hidden="1"/>
    <cellStyle name="Lien hypertexte visité" xfId="7809" builtinId="9" hidden="1"/>
    <cellStyle name="Lien hypertexte visité" xfId="7833" builtinId="9" hidden="1"/>
    <cellStyle name="Lien hypertexte visité" xfId="7873" builtinId="9" hidden="1"/>
    <cellStyle name="Lien hypertexte visité" xfId="7897" builtinId="9" hidden="1"/>
    <cellStyle name="Lien hypertexte visité" xfId="7921" builtinId="9" hidden="1"/>
    <cellStyle name="Lien hypertexte visité" xfId="7961" builtinId="9" hidden="1"/>
    <cellStyle name="Lien hypertexte visité" xfId="7985" builtinId="9" hidden="1"/>
    <cellStyle name="Lien hypertexte visité" xfId="8001" builtinId="9" hidden="1"/>
    <cellStyle name="Lien hypertexte visité" xfId="8049" builtinId="9" hidden="1"/>
    <cellStyle name="Lien hypertexte visité" xfId="8065" builtinId="9" hidden="1"/>
    <cellStyle name="Lien hypertexte visité" xfId="8089" builtinId="9" hidden="1"/>
    <cellStyle name="Lien hypertexte visité" xfId="8129" builtinId="9" hidden="1"/>
    <cellStyle name="Lien hypertexte visité" xfId="8153" builtinId="9" hidden="1"/>
    <cellStyle name="Lien hypertexte visité" xfId="8177" builtinId="9" hidden="1"/>
    <cellStyle name="Lien hypertexte visité" xfId="8217" builtinId="9" hidden="1"/>
    <cellStyle name="Lien hypertexte visité" xfId="8241" builtinId="9" hidden="1"/>
    <cellStyle name="Lien hypertexte visité" xfId="8257" builtinId="9" hidden="1"/>
    <cellStyle name="Lien hypertexte visité" xfId="8305" builtinId="9" hidden="1"/>
    <cellStyle name="Lien hypertexte visité" xfId="8321" builtinId="9" hidden="1"/>
    <cellStyle name="Lien hypertexte visité" xfId="8345" builtinId="9" hidden="1"/>
    <cellStyle name="Lien hypertexte visité" xfId="8385" builtinId="9" hidden="1"/>
    <cellStyle name="Lien hypertexte visité" xfId="8409" builtinId="9" hidden="1"/>
    <cellStyle name="Lien hypertexte visité" xfId="8433" builtinId="9" hidden="1"/>
    <cellStyle name="Lien hypertexte visité" xfId="8473" builtinId="9" hidden="1"/>
    <cellStyle name="Lien hypertexte visité" xfId="8497" builtinId="9" hidden="1"/>
    <cellStyle name="Lien hypertexte visité" xfId="8513" builtinId="9" hidden="1"/>
    <cellStyle name="Lien hypertexte visité" xfId="8561" builtinId="9" hidden="1"/>
    <cellStyle name="Lien hypertexte visité" xfId="8577" builtinId="9" hidden="1"/>
    <cellStyle name="Lien hypertexte visité" xfId="8601" builtinId="9" hidden="1"/>
    <cellStyle name="Lien hypertexte visité" xfId="8641" builtinId="9" hidden="1"/>
    <cellStyle name="Lien hypertexte visité" xfId="8665" builtinId="9" hidden="1"/>
    <cellStyle name="Lien hypertexte visité" xfId="8689" builtinId="9" hidden="1"/>
    <cellStyle name="Lien hypertexte visité" xfId="8729" builtinId="9" hidden="1"/>
    <cellStyle name="Lien hypertexte visité" xfId="8753" builtinId="9" hidden="1"/>
    <cellStyle name="Lien hypertexte visité" xfId="8769" builtinId="9" hidden="1"/>
    <cellStyle name="Lien hypertexte visité" xfId="8817" builtinId="9" hidden="1"/>
    <cellStyle name="Lien hypertexte visité" xfId="8833" builtinId="9" hidden="1"/>
    <cellStyle name="Lien hypertexte visité" xfId="8857" builtinId="9" hidden="1"/>
    <cellStyle name="Lien hypertexte visité" xfId="8897" builtinId="9" hidden="1"/>
    <cellStyle name="Lien hypertexte visité" xfId="8921" builtinId="9" hidden="1"/>
    <cellStyle name="Lien hypertexte visité" xfId="8945" builtinId="9" hidden="1"/>
    <cellStyle name="Lien hypertexte visité" xfId="8985" builtinId="9" hidden="1"/>
    <cellStyle name="Lien hypertexte visité" xfId="9009" builtinId="9" hidden="1"/>
    <cellStyle name="Lien hypertexte visité" xfId="9025" builtinId="9" hidden="1"/>
    <cellStyle name="Lien hypertexte visité" xfId="9073" builtinId="9" hidden="1"/>
    <cellStyle name="Lien hypertexte visité" xfId="9089" builtinId="9" hidden="1"/>
    <cellStyle name="Lien hypertexte visité" xfId="9113" builtinId="9" hidden="1"/>
    <cellStyle name="Lien hypertexte visité" xfId="9153" builtinId="9" hidden="1"/>
    <cellStyle name="Lien hypertexte visité" xfId="9177" builtinId="9" hidden="1"/>
    <cellStyle name="Lien hypertexte visité" xfId="9201" builtinId="9" hidden="1"/>
    <cellStyle name="Lien hypertexte visité" xfId="9241" builtinId="9" hidden="1"/>
    <cellStyle name="Lien hypertexte visité" xfId="9265" builtinId="9" hidden="1"/>
    <cellStyle name="Lien hypertexte visité" xfId="9281" builtinId="9" hidden="1"/>
    <cellStyle name="Lien hypertexte visité" xfId="9329" builtinId="9" hidden="1"/>
    <cellStyle name="Lien hypertexte visité" xfId="9345" builtinId="9" hidden="1"/>
    <cellStyle name="Lien hypertexte visité" xfId="9369" builtinId="9" hidden="1"/>
    <cellStyle name="Lien hypertexte visité" xfId="9409" builtinId="9" hidden="1"/>
    <cellStyle name="Lien hypertexte visité" xfId="9433" builtinId="9" hidden="1"/>
    <cellStyle name="Lien hypertexte visité" xfId="9457" builtinId="9" hidden="1"/>
    <cellStyle name="Lien hypertexte visité" xfId="9497" builtinId="9" hidden="1"/>
    <cellStyle name="Lien hypertexte visité" xfId="9521" builtinId="9" hidden="1"/>
    <cellStyle name="Lien hypertexte visité" xfId="9537" builtinId="9" hidden="1"/>
    <cellStyle name="Lien hypertexte visité" xfId="9585" builtinId="9" hidden="1"/>
    <cellStyle name="Lien hypertexte visité" xfId="9601" builtinId="9" hidden="1"/>
    <cellStyle name="Lien hypertexte visité" xfId="9625" builtinId="9" hidden="1"/>
    <cellStyle name="Lien hypertexte visité" xfId="9665" builtinId="9" hidden="1"/>
    <cellStyle name="Lien hypertexte visité" xfId="9689" builtinId="9" hidden="1"/>
    <cellStyle name="Lien hypertexte visité" xfId="9713" builtinId="9" hidden="1"/>
    <cellStyle name="Lien hypertexte visité" xfId="9753" builtinId="9" hidden="1"/>
    <cellStyle name="Lien hypertexte visité" xfId="9777" builtinId="9" hidden="1"/>
    <cellStyle name="Lien hypertexte visité" xfId="9793" builtinId="9" hidden="1"/>
    <cellStyle name="Lien hypertexte visité" xfId="9841" builtinId="9" hidden="1"/>
    <cellStyle name="Lien hypertexte visité" xfId="9857" builtinId="9" hidden="1"/>
    <cellStyle name="Lien hypertexte visité" xfId="9881" builtinId="9" hidden="1"/>
    <cellStyle name="Lien hypertexte visité" xfId="9921" builtinId="9" hidden="1"/>
    <cellStyle name="Lien hypertexte visité" xfId="9945" builtinId="9" hidden="1"/>
    <cellStyle name="Lien hypertexte visité" xfId="9969" builtinId="9" hidden="1"/>
    <cellStyle name="Lien hypertexte visité" xfId="10009" builtinId="9" hidden="1"/>
    <cellStyle name="Lien hypertexte visité" xfId="10033" builtinId="9" hidden="1"/>
    <cellStyle name="Lien hypertexte visité" xfId="10049" builtinId="9" hidden="1"/>
    <cellStyle name="Lien hypertexte visité" xfId="10097" builtinId="9" hidden="1"/>
    <cellStyle name="Lien hypertexte visité" xfId="10113" builtinId="9" hidden="1"/>
    <cellStyle name="Lien hypertexte visité" xfId="10137" builtinId="9" hidden="1"/>
    <cellStyle name="Lien hypertexte visité" xfId="10177" builtinId="9" hidden="1"/>
    <cellStyle name="Lien hypertexte visité" xfId="10201" builtinId="9" hidden="1"/>
    <cellStyle name="Lien hypertexte visité" xfId="10225" builtinId="9" hidden="1"/>
    <cellStyle name="Lien hypertexte visité" xfId="10265" builtinId="9" hidden="1"/>
    <cellStyle name="Lien hypertexte visité" xfId="10289" builtinId="9" hidden="1"/>
    <cellStyle name="Lien hypertexte visité" xfId="10305" builtinId="9" hidden="1"/>
    <cellStyle name="Lien hypertexte visité" xfId="10353" builtinId="9" hidden="1"/>
    <cellStyle name="Lien hypertexte visité" xfId="10369" builtinId="9" hidden="1"/>
    <cellStyle name="Lien hypertexte visité" xfId="10393" builtinId="9" hidden="1"/>
    <cellStyle name="Lien hypertexte visité" xfId="10433" builtinId="9" hidden="1"/>
    <cellStyle name="Lien hypertexte visité" xfId="10457" builtinId="9" hidden="1"/>
    <cellStyle name="Lien hypertexte visité" xfId="10481" builtinId="9" hidden="1"/>
    <cellStyle name="Lien hypertexte visité" xfId="10521" builtinId="9" hidden="1"/>
    <cellStyle name="Lien hypertexte visité" xfId="10545" builtinId="9" hidden="1"/>
    <cellStyle name="Lien hypertexte visité" xfId="10561" builtinId="9" hidden="1"/>
    <cellStyle name="Lien hypertexte visité" xfId="10609" builtinId="9" hidden="1"/>
    <cellStyle name="Lien hypertexte visité" xfId="10625" builtinId="9" hidden="1"/>
    <cellStyle name="Lien hypertexte visité" xfId="10649" builtinId="9" hidden="1"/>
    <cellStyle name="Lien hypertexte visité" xfId="10689" builtinId="9" hidden="1"/>
    <cellStyle name="Lien hypertexte visité" xfId="10713" builtinId="9" hidden="1"/>
    <cellStyle name="Lien hypertexte visité" xfId="10737" builtinId="9" hidden="1"/>
    <cellStyle name="Lien hypertexte visité" xfId="10777" builtinId="9" hidden="1"/>
    <cellStyle name="Lien hypertexte visité" xfId="10801" builtinId="9" hidden="1"/>
    <cellStyle name="Lien hypertexte visité" xfId="10817" builtinId="9" hidden="1"/>
    <cellStyle name="Lien hypertexte visité" xfId="10865" builtinId="9" hidden="1"/>
    <cellStyle name="Lien hypertexte visité" xfId="10881" builtinId="9" hidden="1"/>
    <cellStyle name="Lien hypertexte visité" xfId="10905" builtinId="9" hidden="1"/>
    <cellStyle name="Lien hypertexte visité" xfId="10945" builtinId="9" hidden="1"/>
    <cellStyle name="Lien hypertexte visité" xfId="10969" builtinId="9" hidden="1"/>
    <cellStyle name="Lien hypertexte visité" xfId="10993" builtinId="9" hidden="1"/>
    <cellStyle name="Lien hypertexte visité" xfId="11033" builtinId="9" hidden="1"/>
    <cellStyle name="Lien hypertexte visité" xfId="11057" builtinId="9" hidden="1"/>
    <cellStyle name="Lien hypertexte visité" xfId="11073" builtinId="9" hidden="1"/>
    <cellStyle name="Lien hypertexte visité" xfId="11121" builtinId="9" hidden="1"/>
    <cellStyle name="Lien hypertexte visité" xfId="11137" builtinId="9" hidden="1"/>
    <cellStyle name="Lien hypertexte visité" xfId="11161" builtinId="9" hidden="1"/>
    <cellStyle name="Lien hypertexte visité" xfId="11201" builtinId="9" hidden="1"/>
    <cellStyle name="Lien hypertexte visité" xfId="11225" builtinId="9" hidden="1"/>
    <cellStyle name="Lien hypertexte visité" xfId="11249" builtinId="9" hidden="1"/>
    <cellStyle name="Lien hypertexte visité" xfId="11289" builtinId="9" hidden="1"/>
    <cellStyle name="Lien hypertexte visité" xfId="11313" builtinId="9" hidden="1"/>
    <cellStyle name="Lien hypertexte visité" xfId="11329" builtinId="9" hidden="1"/>
    <cellStyle name="Lien hypertexte visité" xfId="11377" builtinId="9" hidden="1"/>
    <cellStyle name="Lien hypertexte visité" xfId="11393" builtinId="9" hidden="1"/>
    <cellStyle name="Lien hypertexte visité" xfId="11417" builtinId="9" hidden="1"/>
    <cellStyle name="Lien hypertexte visité" xfId="11457" builtinId="9" hidden="1"/>
    <cellStyle name="Lien hypertexte visité" xfId="11481" builtinId="9" hidden="1"/>
    <cellStyle name="Lien hypertexte visité" xfId="11505" builtinId="9" hidden="1"/>
    <cellStyle name="Lien hypertexte visité" xfId="11545" builtinId="9" hidden="1"/>
    <cellStyle name="Lien hypertexte visité" xfId="11569" builtinId="9" hidden="1"/>
    <cellStyle name="Lien hypertexte visité" xfId="11585" builtinId="9" hidden="1"/>
    <cellStyle name="Lien hypertexte visité" xfId="11633" builtinId="9" hidden="1"/>
    <cellStyle name="Lien hypertexte visité" xfId="11649" builtinId="9" hidden="1"/>
    <cellStyle name="Lien hypertexte visité" xfId="11673" builtinId="9" hidden="1"/>
    <cellStyle name="Lien hypertexte visité" xfId="11713" builtinId="9" hidden="1"/>
    <cellStyle name="Lien hypertexte visité" xfId="11737" builtinId="9" hidden="1"/>
    <cellStyle name="Lien hypertexte visité" xfId="11761" builtinId="9" hidden="1"/>
    <cellStyle name="Lien hypertexte visité" xfId="11801" builtinId="9" hidden="1"/>
    <cellStyle name="Lien hypertexte visité" xfId="11825" builtinId="9" hidden="1"/>
    <cellStyle name="Lien hypertexte visité" xfId="11841" builtinId="9" hidden="1"/>
    <cellStyle name="Lien hypertexte visité" xfId="11889" builtinId="9" hidden="1"/>
    <cellStyle name="Lien hypertexte visité" xfId="11905" builtinId="9" hidden="1"/>
    <cellStyle name="Lien hypertexte visité" xfId="11929" builtinId="9" hidden="1"/>
    <cellStyle name="Lien hypertexte visité" xfId="11969" builtinId="9" hidden="1"/>
    <cellStyle name="Lien hypertexte visité" xfId="11993" builtinId="9" hidden="1"/>
    <cellStyle name="Lien hypertexte visité" xfId="12017" builtinId="9" hidden="1"/>
    <cellStyle name="Lien hypertexte visité" xfId="12057" builtinId="9" hidden="1"/>
    <cellStyle name="Lien hypertexte visité" xfId="12081" builtinId="9" hidden="1"/>
    <cellStyle name="Lien hypertexte visité" xfId="12097" builtinId="9" hidden="1"/>
    <cellStyle name="Lien hypertexte visité" xfId="12145" builtinId="9" hidden="1"/>
    <cellStyle name="Lien hypertexte visité" xfId="12161" builtinId="9" hidden="1"/>
    <cellStyle name="Lien hypertexte visité" xfId="12185" builtinId="9" hidden="1"/>
    <cellStyle name="Lien hypertexte visité" xfId="12225" builtinId="9" hidden="1"/>
    <cellStyle name="Lien hypertexte visité" xfId="12249" builtinId="9" hidden="1"/>
    <cellStyle name="Lien hypertexte visité" xfId="12273" builtinId="9" hidden="1"/>
    <cellStyle name="Lien hypertexte visité" xfId="12313" builtinId="9" hidden="1"/>
    <cellStyle name="Lien hypertexte visité" xfId="12337" builtinId="9" hidden="1"/>
    <cellStyle name="Lien hypertexte visité" xfId="12353" builtinId="9" hidden="1"/>
    <cellStyle name="Lien hypertexte visité" xfId="12401" builtinId="9" hidden="1"/>
    <cellStyle name="Lien hypertexte visité" xfId="12417" builtinId="9" hidden="1"/>
    <cellStyle name="Lien hypertexte visité" xfId="12441" builtinId="9" hidden="1"/>
    <cellStyle name="Lien hypertexte visité" xfId="12481" builtinId="9" hidden="1"/>
    <cellStyle name="Lien hypertexte visité" xfId="12505" builtinId="9" hidden="1"/>
    <cellStyle name="Lien hypertexte visité" xfId="12529" builtinId="9" hidden="1"/>
    <cellStyle name="Lien hypertexte visité" xfId="12569" builtinId="9" hidden="1"/>
    <cellStyle name="Lien hypertexte visité" xfId="12593" builtinId="9" hidden="1"/>
    <cellStyle name="Lien hypertexte visité" xfId="12609" builtinId="9" hidden="1"/>
    <cellStyle name="Lien hypertexte visité" xfId="12657" builtinId="9" hidden="1"/>
    <cellStyle name="Lien hypertexte visité" xfId="12673" builtinId="9" hidden="1"/>
    <cellStyle name="Lien hypertexte visité" xfId="12697" builtinId="9" hidden="1"/>
    <cellStyle name="Lien hypertexte visité" xfId="12737" builtinId="9" hidden="1"/>
    <cellStyle name="Lien hypertexte visité" xfId="12761" builtinId="9" hidden="1"/>
    <cellStyle name="Lien hypertexte visité" xfId="12785" builtinId="9" hidden="1"/>
    <cellStyle name="Lien hypertexte visité" xfId="12825" builtinId="9" hidden="1"/>
    <cellStyle name="Lien hypertexte visité" xfId="12849" builtinId="9" hidden="1"/>
    <cellStyle name="Lien hypertexte visité" xfId="12865" builtinId="9" hidden="1"/>
    <cellStyle name="Lien hypertexte visité" xfId="12913" builtinId="9" hidden="1"/>
    <cellStyle name="Lien hypertexte visité" xfId="12929" builtinId="9" hidden="1"/>
    <cellStyle name="Lien hypertexte visité" xfId="12953" builtinId="9" hidden="1"/>
    <cellStyle name="Lien hypertexte visité" xfId="12993" builtinId="9" hidden="1"/>
    <cellStyle name="Lien hypertexte visité" xfId="13017" builtinId="9" hidden="1"/>
    <cellStyle name="Lien hypertexte visité" xfId="13041" builtinId="9" hidden="1"/>
    <cellStyle name="Lien hypertexte visité" xfId="13081" builtinId="9" hidden="1"/>
    <cellStyle name="Lien hypertexte visité" xfId="13105" builtinId="9" hidden="1"/>
    <cellStyle name="Lien hypertexte visité" xfId="13121" builtinId="9" hidden="1"/>
    <cellStyle name="Lien hypertexte visité" xfId="13169" builtinId="9" hidden="1"/>
    <cellStyle name="Lien hypertexte visité" xfId="13185" builtinId="9" hidden="1"/>
    <cellStyle name="Lien hypertexte visité" xfId="13209" builtinId="9" hidden="1"/>
    <cellStyle name="Lien hypertexte visité" xfId="13249" builtinId="9" hidden="1"/>
    <cellStyle name="Lien hypertexte visité" xfId="13273" builtinId="9" hidden="1"/>
    <cellStyle name="Lien hypertexte visité" xfId="13297" builtinId="9" hidden="1"/>
    <cellStyle name="Lien hypertexte visité" xfId="13337" builtinId="9" hidden="1"/>
    <cellStyle name="Lien hypertexte visité" xfId="13361" builtinId="9" hidden="1"/>
    <cellStyle name="Lien hypertexte visité" xfId="13377" builtinId="9" hidden="1"/>
    <cellStyle name="Lien hypertexte visité" xfId="13425" builtinId="9" hidden="1"/>
    <cellStyle name="Lien hypertexte visité" xfId="13441" builtinId="9" hidden="1"/>
    <cellStyle name="Lien hypertexte visité" xfId="13465" builtinId="9" hidden="1"/>
    <cellStyle name="Lien hypertexte visité" xfId="13505" builtinId="9" hidden="1"/>
    <cellStyle name="Lien hypertexte visité" xfId="13529" builtinId="9" hidden="1"/>
    <cellStyle name="Lien hypertexte visité" xfId="13553" builtinId="9" hidden="1"/>
    <cellStyle name="Lien hypertexte visité" xfId="13593" builtinId="9" hidden="1"/>
    <cellStyle name="Lien hypertexte visité" xfId="13617" builtinId="9" hidden="1"/>
    <cellStyle name="Lien hypertexte visité" xfId="13633" builtinId="9" hidden="1"/>
    <cellStyle name="Lien hypertexte visité" xfId="13681" builtinId="9" hidden="1"/>
    <cellStyle name="Lien hypertexte visité" xfId="13697" builtinId="9" hidden="1"/>
    <cellStyle name="Lien hypertexte visité" xfId="13721" builtinId="9" hidden="1"/>
    <cellStyle name="Lien hypertexte visité" xfId="13761" builtinId="9" hidden="1"/>
    <cellStyle name="Lien hypertexte visité" xfId="13785" builtinId="9" hidden="1"/>
    <cellStyle name="Lien hypertexte visité" xfId="13809" builtinId="9" hidden="1"/>
    <cellStyle name="Lien hypertexte visité" xfId="13849" builtinId="9" hidden="1"/>
    <cellStyle name="Lien hypertexte visité" xfId="13873" builtinId="9" hidden="1"/>
    <cellStyle name="Lien hypertexte visité" xfId="13889" builtinId="9" hidden="1"/>
    <cellStyle name="Lien hypertexte visité" xfId="13937" builtinId="9" hidden="1"/>
    <cellStyle name="Lien hypertexte visité" xfId="13953" builtinId="9" hidden="1"/>
    <cellStyle name="Lien hypertexte visité" xfId="13977" builtinId="9" hidden="1"/>
    <cellStyle name="Lien hypertexte visité" xfId="14017" builtinId="9" hidden="1"/>
    <cellStyle name="Lien hypertexte visité" xfId="14041" builtinId="9" hidden="1"/>
    <cellStyle name="Lien hypertexte visité" xfId="14065" builtinId="9" hidden="1"/>
    <cellStyle name="Lien hypertexte visité" xfId="14105" builtinId="9" hidden="1"/>
    <cellStyle name="Lien hypertexte visité" xfId="14129" builtinId="9" hidden="1"/>
    <cellStyle name="Lien hypertexte visité" xfId="14145" builtinId="9" hidden="1"/>
    <cellStyle name="Lien hypertexte visité" xfId="14193" builtinId="9" hidden="1"/>
    <cellStyle name="Lien hypertexte visité" xfId="14209" builtinId="9" hidden="1"/>
    <cellStyle name="Lien hypertexte visité" xfId="14233" builtinId="9" hidden="1"/>
    <cellStyle name="Lien hypertexte visité" xfId="14273" builtinId="9" hidden="1"/>
    <cellStyle name="Lien hypertexte visité" xfId="14297" builtinId="9" hidden="1"/>
    <cellStyle name="Lien hypertexte visité" xfId="14321" builtinId="9" hidden="1"/>
    <cellStyle name="Lien hypertexte visité" xfId="14361" builtinId="9" hidden="1"/>
    <cellStyle name="Lien hypertexte visité" xfId="14385" builtinId="9" hidden="1"/>
    <cellStyle name="Lien hypertexte visité" xfId="14401" builtinId="9" hidden="1"/>
    <cellStyle name="Lien hypertexte visité" xfId="14449" builtinId="9" hidden="1"/>
    <cellStyle name="Lien hypertexte visité" xfId="14465" builtinId="9" hidden="1"/>
    <cellStyle name="Lien hypertexte visité" xfId="14489" builtinId="9" hidden="1"/>
    <cellStyle name="Lien hypertexte visité" xfId="14543" builtinId="9" hidden="1"/>
    <cellStyle name="Lien hypertexte visité" xfId="14591" builtinId="9" hidden="1"/>
    <cellStyle name="Lien hypertexte visité" xfId="14639" builtinId="9" hidden="1"/>
    <cellStyle name="Lien hypertexte visité" xfId="14719" builtinId="9" hidden="1"/>
    <cellStyle name="Lien hypertexte visité" xfId="14767" builtinId="9" hidden="1"/>
    <cellStyle name="Lien hypertexte visité" xfId="14799" builtinId="9" hidden="1"/>
    <cellStyle name="Lien hypertexte visité" xfId="14895" builtinId="9" hidden="1"/>
    <cellStyle name="Lien hypertexte visité" xfId="14927" builtinId="9" hidden="1"/>
    <cellStyle name="Lien hypertexte visité" xfId="14975" builtinId="9" hidden="1"/>
    <cellStyle name="Lien hypertexte visité" xfId="15055" builtinId="9" hidden="1"/>
    <cellStyle name="Lien hypertexte visité" xfId="15103" builtinId="9" hidden="1"/>
    <cellStyle name="Lien hypertexte visité" xfId="15151" builtinId="9" hidden="1"/>
    <cellStyle name="Lien hypertexte visité" xfId="15231" builtinId="9" hidden="1"/>
    <cellStyle name="Lien hypertexte visité" xfId="15279" builtinId="9" hidden="1"/>
    <cellStyle name="Lien hypertexte visité" xfId="15311" builtinId="9" hidden="1"/>
    <cellStyle name="Lien hypertexte visité" xfId="15407" builtinId="9" hidden="1"/>
    <cellStyle name="Lien hypertexte visité" xfId="15439" builtinId="9" hidden="1"/>
    <cellStyle name="Lien hypertexte visité" xfId="15487" builtinId="9" hidden="1"/>
    <cellStyle name="Lien hypertexte visité" xfId="15567" builtinId="9" hidden="1"/>
    <cellStyle name="Lien hypertexte visité" xfId="15615" builtinId="9" hidden="1"/>
    <cellStyle name="Lien hypertexte visité" xfId="15663" builtinId="9" hidden="1"/>
    <cellStyle name="Lien hypertexte visité" xfId="15743" builtinId="9" hidden="1"/>
    <cellStyle name="Lien hypertexte visité" xfId="15791" builtinId="9" hidden="1"/>
    <cellStyle name="Lien hypertexte visité" xfId="15823" builtinId="9" hidden="1"/>
    <cellStyle name="Lien hypertexte visité" xfId="15919" builtinId="9" hidden="1"/>
    <cellStyle name="Lien hypertexte visité" xfId="15951" builtinId="9" hidden="1"/>
    <cellStyle name="Lien hypertexte visité" xfId="15999" builtinId="9" hidden="1"/>
    <cellStyle name="Lien hypertexte visité" xfId="16079" builtinId="9" hidden="1"/>
    <cellStyle name="Lien hypertexte visité" xfId="16127" builtinId="9" hidden="1"/>
    <cellStyle name="Lien hypertexte visité" xfId="16175" builtinId="9" hidden="1"/>
    <cellStyle name="Lien hypertexte visité" xfId="16255" builtinId="9" hidden="1"/>
    <cellStyle name="Lien hypertexte visité" xfId="16303" builtinId="9" hidden="1"/>
    <cellStyle name="Lien hypertexte visité" xfId="16335" builtinId="9" hidden="1"/>
    <cellStyle name="Lien hypertexte visité" xfId="16431" builtinId="9" hidden="1"/>
    <cellStyle name="Lien hypertexte visité" xfId="16463" builtinId="9" hidden="1"/>
    <cellStyle name="Lien hypertexte visité" xfId="16511" builtinId="9" hidden="1"/>
    <cellStyle name="Lien hypertexte visité" xfId="16591" builtinId="9" hidden="1"/>
    <cellStyle name="Lien hypertexte visité" xfId="16639" builtinId="9" hidden="1"/>
    <cellStyle name="Lien hypertexte visité" xfId="16687" builtinId="9" hidden="1"/>
    <cellStyle name="Lien hypertexte visité" xfId="16767" builtinId="9" hidden="1"/>
    <cellStyle name="Lien hypertexte visité" xfId="16815" builtinId="9" hidden="1"/>
    <cellStyle name="Lien hypertexte visité" xfId="16847" builtinId="9" hidden="1"/>
    <cellStyle name="Lien hypertexte visité" xfId="16943" builtinId="9" hidden="1"/>
    <cellStyle name="Lien hypertexte visité" xfId="16975" builtinId="9" hidden="1"/>
    <cellStyle name="Lien hypertexte visité" xfId="17023" builtinId="9" hidden="1"/>
    <cellStyle name="Lien hypertexte visité" xfId="17103" builtinId="9" hidden="1"/>
    <cellStyle name="Lien hypertexte visité" xfId="17151" builtinId="9" hidden="1"/>
    <cellStyle name="Lien hypertexte visité" xfId="17199" builtinId="9" hidden="1"/>
    <cellStyle name="Lien hypertexte visité" xfId="17279" builtinId="9" hidden="1"/>
    <cellStyle name="Lien hypertexte visité" xfId="17327" builtinId="9" hidden="1"/>
    <cellStyle name="Lien hypertexte visité" xfId="17359" builtinId="9" hidden="1"/>
    <cellStyle name="Lien hypertexte visité" xfId="17455" builtinId="9" hidden="1"/>
    <cellStyle name="Lien hypertexte visité" xfId="17487" builtinId="9" hidden="1"/>
    <cellStyle name="Lien hypertexte visité" xfId="17535" builtinId="9" hidden="1"/>
    <cellStyle name="Lien hypertexte visité" xfId="17615" builtinId="9" hidden="1"/>
    <cellStyle name="Lien hypertexte visité" xfId="17663" builtinId="9" hidden="1"/>
    <cellStyle name="Lien hypertexte visité" xfId="17711" builtinId="9" hidden="1"/>
    <cellStyle name="Lien hypertexte visité" xfId="17791" builtinId="9" hidden="1"/>
    <cellStyle name="Lien hypertexte visité" xfId="17839" builtinId="9" hidden="1"/>
    <cellStyle name="Lien hypertexte visité" xfId="17871" builtinId="9" hidden="1"/>
    <cellStyle name="Lien hypertexte visité" xfId="17967" builtinId="9" hidden="1"/>
    <cellStyle name="Lien hypertexte visité" xfId="17999" builtinId="9" hidden="1"/>
    <cellStyle name="Lien hypertexte visité" xfId="18047" builtinId="9" hidden="1"/>
    <cellStyle name="Lien hypertexte visité" xfId="18127" builtinId="9" hidden="1"/>
    <cellStyle name="Lien hypertexte visité" xfId="18175" builtinId="9" hidden="1"/>
    <cellStyle name="Lien hypertexte visité" xfId="18223" builtinId="9" hidden="1"/>
    <cellStyle name="Lien hypertexte visité" xfId="18303" builtinId="9" hidden="1"/>
    <cellStyle name="Lien hypertexte visité" xfId="18334" builtinId="9" hidden="1"/>
    <cellStyle name="Lien hypertexte visité" xfId="18366" builtinId="9" hidden="1"/>
    <cellStyle name="Lien hypertexte visité" xfId="18462" builtinId="9" hidden="1"/>
    <cellStyle name="Lien hypertexte visité" xfId="18494" builtinId="9" hidden="1"/>
    <cellStyle name="Lien hypertexte visité" xfId="18542" builtinId="9" hidden="1"/>
    <cellStyle name="Lien hypertexte visité" xfId="18622" builtinId="9" hidden="1"/>
    <cellStyle name="Lien hypertexte visité" xfId="18670" builtinId="9" hidden="1"/>
    <cellStyle name="Lien hypertexte visité" xfId="18718" builtinId="9" hidden="1"/>
    <cellStyle name="Lien hypertexte visité" xfId="18798" builtinId="9" hidden="1"/>
    <cellStyle name="Lien hypertexte visité" xfId="18846" builtinId="9" hidden="1"/>
    <cellStyle name="Lien hypertexte visité" xfId="18878" builtinId="9" hidden="1"/>
    <cellStyle name="Lien hypertexte visité" xfId="18974" builtinId="9" hidden="1"/>
    <cellStyle name="Lien hypertexte visité" xfId="19006" builtinId="9" hidden="1"/>
    <cellStyle name="Lien hypertexte visité" xfId="19054" builtinId="9" hidden="1"/>
    <cellStyle name="Lien hypertexte visité" xfId="19134" builtinId="9" hidden="1"/>
    <cellStyle name="Lien hypertexte visité" xfId="19182" builtinId="9" hidden="1"/>
    <cellStyle name="Lien hypertexte visité" xfId="19230" builtinId="9" hidden="1"/>
    <cellStyle name="Lien hypertexte visité" xfId="19310" builtinId="9" hidden="1"/>
    <cellStyle name="Lien hypertexte visité" xfId="19358" builtinId="9" hidden="1"/>
    <cellStyle name="Lien hypertexte visité" xfId="19390" builtinId="9" hidden="1"/>
    <cellStyle name="Lien hypertexte visité" xfId="19486" builtinId="9" hidden="1"/>
    <cellStyle name="Lien hypertexte visité" xfId="19518" builtinId="9" hidden="1"/>
    <cellStyle name="Lien hypertexte visité" xfId="19566" builtinId="9" hidden="1"/>
    <cellStyle name="Lien hypertexte visité" xfId="19646" builtinId="9" hidden="1"/>
    <cellStyle name="Lien hypertexte visité" xfId="19694" builtinId="9" hidden="1"/>
    <cellStyle name="Lien hypertexte visité" xfId="19742" builtinId="9" hidden="1"/>
    <cellStyle name="Lien hypertexte visité" xfId="19822" builtinId="9" hidden="1"/>
    <cellStyle name="Lien hypertexte visité" xfId="19870" builtinId="9" hidden="1"/>
    <cellStyle name="Lien hypertexte visité" xfId="19902" builtinId="9" hidden="1"/>
    <cellStyle name="Lien hypertexte visité" xfId="19998" builtinId="9" hidden="1"/>
    <cellStyle name="Lien hypertexte visité" xfId="20030" builtinId="9" hidden="1"/>
    <cellStyle name="Lien hypertexte visité" xfId="20078" builtinId="9" hidden="1"/>
    <cellStyle name="Lien hypertexte visité" xfId="20158" builtinId="9" hidden="1"/>
    <cellStyle name="Lien hypertexte visité" xfId="20206" builtinId="9" hidden="1"/>
    <cellStyle name="Lien hypertexte visité" xfId="20254" builtinId="9" hidden="1"/>
    <cellStyle name="Lien hypertexte visité" xfId="20334" builtinId="9" hidden="1"/>
    <cellStyle name="Lien hypertexte visité" xfId="20382" builtinId="9" hidden="1"/>
    <cellStyle name="Lien hypertexte visité" xfId="20414" builtinId="9" hidden="1"/>
    <cellStyle name="Lien hypertexte visité" xfId="20510" builtinId="9" hidden="1"/>
    <cellStyle name="Lien hypertexte visité" xfId="20542" builtinId="9" hidden="1"/>
    <cellStyle name="Lien hypertexte visité" xfId="20590" builtinId="9" hidden="1"/>
    <cellStyle name="Lien hypertexte visité" xfId="20670" builtinId="9" hidden="1"/>
    <cellStyle name="Lien hypertexte visité" xfId="20718" builtinId="9" hidden="1"/>
    <cellStyle name="Lien hypertexte visité" xfId="20766" builtinId="9" hidden="1"/>
    <cellStyle name="Lien hypertexte visité" xfId="20846" builtinId="9" hidden="1"/>
    <cellStyle name="Lien hypertexte visité" xfId="20894" builtinId="9" hidden="1"/>
    <cellStyle name="Lien hypertexte visité" xfId="20926" builtinId="9" hidden="1"/>
    <cellStyle name="Lien hypertexte visité" xfId="21022" builtinId="9" hidden="1"/>
    <cellStyle name="Lien hypertexte visité" xfId="21054" builtinId="9" hidden="1"/>
    <cellStyle name="Lien hypertexte visité" xfId="21102" builtinId="9" hidden="1"/>
    <cellStyle name="Lien hypertexte visité" xfId="21182" builtinId="9" hidden="1"/>
    <cellStyle name="Lien hypertexte visité" xfId="21230" builtinId="9" hidden="1"/>
    <cellStyle name="Lien hypertexte visité" xfId="21278" builtinId="9" hidden="1"/>
    <cellStyle name="Lien hypertexte visité" xfId="21358" builtinId="9" hidden="1"/>
    <cellStyle name="Lien hypertexte visité" xfId="21406" builtinId="9" hidden="1"/>
    <cellStyle name="Lien hypertexte visité" xfId="21438" builtinId="9" hidden="1"/>
    <cellStyle name="Lien hypertexte visité" xfId="21534" builtinId="9" hidden="1"/>
    <cellStyle name="Lien hypertexte visité" xfId="21566" builtinId="9" hidden="1"/>
    <cellStyle name="Lien hypertexte visité" xfId="21614" builtinId="9" hidden="1"/>
    <cellStyle name="Lien hypertexte visité" xfId="21694" builtinId="9" hidden="1"/>
    <cellStyle name="Lien hypertexte visité" xfId="21742" builtinId="9" hidden="1"/>
    <cellStyle name="Lien hypertexte visité" xfId="21790" builtinId="9" hidden="1"/>
    <cellStyle name="Lien hypertexte visité" xfId="21870" builtinId="9" hidden="1"/>
    <cellStyle name="Lien hypertexte visité" xfId="21918" builtinId="9" hidden="1"/>
    <cellStyle name="Lien hypertexte visité" xfId="21950" builtinId="9" hidden="1"/>
    <cellStyle name="Lien hypertexte visité" xfId="22046" builtinId="9" hidden="1"/>
    <cellStyle name="Lien hypertexte visité" xfId="22078" builtinId="9" hidden="1"/>
    <cellStyle name="Lien hypertexte visité" xfId="22126" builtinId="9" hidden="1"/>
    <cellStyle name="Lien hypertexte visité" xfId="22206" builtinId="9" hidden="1"/>
    <cellStyle name="Lien hypertexte visité" xfId="22254" builtinId="9" hidden="1"/>
    <cellStyle name="Lien hypertexte visité" xfId="22302" builtinId="9" hidden="1"/>
    <cellStyle name="Lien hypertexte visité" xfId="22382" builtinId="9" hidden="1"/>
    <cellStyle name="Lien hypertexte visité" xfId="22430" builtinId="9" hidden="1"/>
    <cellStyle name="Lien hypertexte visité" xfId="22462" builtinId="9" hidden="1"/>
    <cellStyle name="Lien hypertexte visité" xfId="22558" builtinId="9" hidden="1"/>
    <cellStyle name="Lien hypertexte visité" xfId="22590" builtinId="9" hidden="1"/>
    <cellStyle name="Lien hypertexte visité" xfId="22638" builtinId="9" hidden="1"/>
    <cellStyle name="Lien hypertexte visité" xfId="22718" builtinId="9" hidden="1"/>
    <cellStyle name="Lien hypertexte visité" xfId="22766" builtinId="9" hidden="1"/>
    <cellStyle name="Lien hypertexte visité" xfId="22814" builtinId="9" hidden="1"/>
    <cellStyle name="Lien hypertexte visité" xfId="22894" builtinId="9" hidden="1"/>
    <cellStyle name="Lien hypertexte visité" xfId="22942" builtinId="9" hidden="1"/>
    <cellStyle name="Lien hypertexte visité" xfId="22974" builtinId="9" hidden="1"/>
    <cellStyle name="Lien hypertexte visité" xfId="23070" builtinId="9" hidden="1"/>
    <cellStyle name="Lien hypertexte visité" xfId="23102" builtinId="9" hidden="1"/>
    <cellStyle name="Lien hypertexte visité" xfId="23150" builtinId="9" hidden="1"/>
    <cellStyle name="Lien hypertexte visité" xfId="23230" builtinId="9" hidden="1"/>
    <cellStyle name="Lien hypertexte visité" xfId="23278" builtinId="9" hidden="1"/>
    <cellStyle name="Lien hypertexte visité" xfId="23326" builtinId="9" hidden="1"/>
    <cellStyle name="Lien hypertexte visité" xfId="23406" builtinId="9" hidden="1"/>
    <cellStyle name="Lien hypertexte visité" xfId="23454" builtinId="9" hidden="1"/>
    <cellStyle name="Lien hypertexte visité" xfId="23486" builtinId="9" hidden="1"/>
    <cellStyle name="Lien hypertexte visité" xfId="23582" builtinId="9" hidden="1"/>
    <cellStyle name="Lien hypertexte visité" xfId="23614" builtinId="9" hidden="1"/>
    <cellStyle name="Lien hypertexte visité" xfId="23662" builtinId="9" hidden="1"/>
    <cellStyle name="Lien hypertexte visité" xfId="23742" builtinId="9" hidden="1"/>
    <cellStyle name="Lien hypertexte visité" xfId="23790" builtinId="9" hidden="1"/>
    <cellStyle name="Lien hypertexte visité" xfId="23838" builtinId="9" hidden="1"/>
    <cellStyle name="Lien hypertexte visité" xfId="23918" builtinId="9" hidden="1"/>
    <cellStyle name="Lien hypertexte visité" xfId="23966" builtinId="9" hidden="1"/>
    <cellStyle name="Lien hypertexte visité" xfId="23998" builtinId="9" hidden="1"/>
    <cellStyle name="Lien hypertexte visité" xfId="24094" builtinId="9" hidden="1"/>
    <cellStyle name="Lien hypertexte visité" xfId="24126" builtinId="9" hidden="1"/>
    <cellStyle name="Lien hypertexte visité" xfId="24174" builtinId="9" hidden="1"/>
    <cellStyle name="Lien hypertexte visité" xfId="24254" builtinId="9" hidden="1"/>
    <cellStyle name="Lien hypertexte visité" xfId="24302" builtinId="9" hidden="1"/>
    <cellStyle name="Lien hypertexte visité" xfId="24350" builtinId="9" hidden="1"/>
    <cellStyle name="Lien hypertexte visité" xfId="24430" builtinId="9" hidden="1"/>
    <cellStyle name="Lien hypertexte visité" xfId="24478" builtinId="9" hidden="1"/>
    <cellStyle name="Lien hypertexte visité" xfId="24510" builtinId="9" hidden="1"/>
    <cellStyle name="Lien hypertexte visité" xfId="24606" builtinId="9" hidden="1"/>
    <cellStyle name="Lien hypertexte visité" xfId="24588" builtinId="9" hidden="1"/>
    <cellStyle name="Lien hypertexte visité" xfId="24540" builtinId="9" hidden="1"/>
    <cellStyle name="Lien hypertexte visité" xfId="24460" builtinId="9" hidden="1"/>
    <cellStyle name="Lien hypertexte visité" xfId="24412" builtinId="9" hidden="1"/>
    <cellStyle name="Lien hypertexte visité" xfId="24364" builtinId="9" hidden="1"/>
    <cellStyle name="Lien hypertexte visité" xfId="24284" builtinId="9" hidden="1"/>
    <cellStyle name="Lien hypertexte visité" xfId="24236" builtinId="9" hidden="1"/>
    <cellStyle name="Lien hypertexte visité" xfId="24204" builtinId="9" hidden="1"/>
    <cellStyle name="Lien hypertexte visité" xfId="24108" builtinId="9" hidden="1"/>
    <cellStyle name="Lien hypertexte visité" xfId="24076" builtinId="9" hidden="1"/>
    <cellStyle name="Lien hypertexte visité" xfId="24028" builtinId="9" hidden="1"/>
    <cellStyle name="Lien hypertexte visité" xfId="23948" builtinId="9" hidden="1"/>
    <cellStyle name="Lien hypertexte visité" xfId="23900" builtinId="9" hidden="1"/>
    <cellStyle name="Lien hypertexte visité" xfId="23852" builtinId="9" hidden="1"/>
    <cellStyle name="Lien hypertexte visité" xfId="23772" builtinId="9" hidden="1"/>
    <cellStyle name="Lien hypertexte visité" xfId="23724" builtinId="9" hidden="1"/>
    <cellStyle name="Lien hypertexte visité" xfId="23692" builtinId="9" hidden="1"/>
    <cellStyle name="Lien hypertexte visité" xfId="23596" builtinId="9" hidden="1"/>
    <cellStyle name="Lien hypertexte visité" xfId="23564" builtinId="9" hidden="1"/>
    <cellStyle name="Lien hypertexte visité" xfId="23516" builtinId="9" hidden="1"/>
    <cellStyle name="Lien hypertexte visité" xfId="23436" builtinId="9" hidden="1"/>
    <cellStyle name="Lien hypertexte visité" xfId="23388" builtinId="9" hidden="1"/>
    <cellStyle name="Lien hypertexte visité" xfId="23340" builtinId="9" hidden="1"/>
    <cellStyle name="Lien hypertexte visité" xfId="23260" builtinId="9" hidden="1"/>
    <cellStyle name="Lien hypertexte visité" xfId="23212" builtinId="9" hidden="1"/>
    <cellStyle name="Lien hypertexte visité" xfId="23180" builtinId="9" hidden="1"/>
    <cellStyle name="Lien hypertexte visité" xfId="23084" builtinId="9" hidden="1"/>
    <cellStyle name="Lien hypertexte visité" xfId="23052" builtinId="9" hidden="1"/>
    <cellStyle name="Lien hypertexte visité" xfId="23004" builtinId="9" hidden="1"/>
    <cellStyle name="Lien hypertexte visité" xfId="22924" builtinId="9" hidden="1"/>
    <cellStyle name="Lien hypertexte visité" xfId="22876" builtinId="9" hidden="1"/>
    <cellStyle name="Lien hypertexte visité" xfId="22828" builtinId="9" hidden="1"/>
    <cellStyle name="Lien hypertexte visité" xfId="22748" builtinId="9" hidden="1"/>
    <cellStyle name="Lien hypertexte visité" xfId="22700" builtinId="9" hidden="1"/>
    <cellStyle name="Lien hypertexte visité" xfId="22668" builtinId="9" hidden="1"/>
    <cellStyle name="Lien hypertexte visité" xfId="22572" builtinId="9" hidden="1"/>
    <cellStyle name="Lien hypertexte visité" xfId="22540" builtinId="9" hidden="1"/>
    <cellStyle name="Lien hypertexte visité" xfId="22492" builtinId="9" hidden="1"/>
    <cellStyle name="Lien hypertexte visité" xfId="22412" builtinId="9" hidden="1"/>
    <cellStyle name="Lien hypertexte visité" xfId="22364" builtinId="9" hidden="1"/>
    <cellStyle name="Lien hypertexte visité" xfId="22316" builtinId="9" hidden="1"/>
    <cellStyle name="Lien hypertexte visité" xfId="22236" builtinId="9" hidden="1"/>
    <cellStyle name="Lien hypertexte visité" xfId="22188" builtinId="9" hidden="1"/>
    <cellStyle name="Lien hypertexte visité" xfId="22156" builtinId="9" hidden="1"/>
    <cellStyle name="Lien hypertexte visité" xfId="22060" builtinId="9" hidden="1"/>
    <cellStyle name="Lien hypertexte visité" xfId="22028" builtinId="9" hidden="1"/>
    <cellStyle name="Lien hypertexte visité" xfId="21980" builtinId="9" hidden="1"/>
    <cellStyle name="Lien hypertexte visité" xfId="21900" builtinId="9" hidden="1"/>
    <cellStyle name="Lien hypertexte visité" xfId="21852" builtinId="9" hidden="1"/>
    <cellStyle name="Lien hypertexte visité" xfId="21804" builtinId="9" hidden="1"/>
    <cellStyle name="Lien hypertexte visité" xfId="21724" builtinId="9" hidden="1"/>
    <cellStyle name="Lien hypertexte visité" xfId="21676" builtinId="9" hidden="1"/>
    <cellStyle name="Lien hypertexte visité" xfId="21644" builtinId="9" hidden="1"/>
    <cellStyle name="Lien hypertexte visité" xfId="21548" builtinId="9" hidden="1"/>
    <cellStyle name="Lien hypertexte visité" xfId="21516" builtinId="9" hidden="1"/>
    <cellStyle name="Lien hypertexte visité" xfId="21468" builtinId="9" hidden="1"/>
    <cellStyle name="Lien hypertexte visité" xfId="21388" builtinId="9" hidden="1"/>
    <cellStyle name="Lien hypertexte visité" xfId="21340" builtinId="9" hidden="1"/>
    <cellStyle name="Lien hypertexte visité" xfId="21292" builtinId="9" hidden="1"/>
    <cellStyle name="Lien hypertexte visité" xfId="21212" builtinId="9" hidden="1"/>
    <cellStyle name="Lien hypertexte visité" xfId="21164" builtinId="9" hidden="1"/>
    <cellStyle name="Lien hypertexte visité" xfId="21132" builtinId="9" hidden="1"/>
    <cellStyle name="Lien hypertexte visité" xfId="21036" builtinId="9" hidden="1"/>
    <cellStyle name="Lien hypertexte visité" xfId="21004" builtinId="9" hidden="1"/>
    <cellStyle name="Lien hypertexte visité" xfId="20956" builtinId="9" hidden="1"/>
    <cellStyle name="Lien hypertexte visité" xfId="20876" builtinId="9" hidden="1"/>
    <cellStyle name="Lien hypertexte visité" xfId="20828" builtinId="9" hidden="1"/>
    <cellStyle name="Lien hypertexte visité" xfId="20780" builtinId="9" hidden="1"/>
    <cellStyle name="Lien hypertexte visité" xfId="20700" builtinId="9" hidden="1"/>
    <cellStyle name="Lien hypertexte visité" xfId="20652" builtinId="9" hidden="1"/>
    <cellStyle name="Lien hypertexte visité" xfId="20620" builtinId="9" hidden="1"/>
    <cellStyle name="Lien hypertexte visité" xfId="20524" builtinId="9" hidden="1"/>
    <cellStyle name="Lien hypertexte visité" xfId="20492" builtinId="9" hidden="1"/>
    <cellStyle name="Lien hypertexte visité" xfId="20444" builtinId="9" hidden="1"/>
    <cellStyle name="Lien hypertexte visité" xfId="20364" builtinId="9" hidden="1"/>
    <cellStyle name="Lien hypertexte visité" xfId="20316" builtinId="9" hidden="1"/>
    <cellStyle name="Lien hypertexte visité" xfId="20268" builtinId="9" hidden="1"/>
    <cellStyle name="Lien hypertexte visité" xfId="20188" builtinId="9" hidden="1"/>
    <cellStyle name="Lien hypertexte visité" xfId="20140" builtinId="9" hidden="1"/>
    <cellStyle name="Lien hypertexte visité" xfId="20108" builtinId="9" hidden="1"/>
    <cellStyle name="Lien hypertexte visité" xfId="20012" builtinId="9" hidden="1"/>
    <cellStyle name="Lien hypertexte visité" xfId="19980" builtinId="9" hidden="1"/>
    <cellStyle name="Lien hypertexte visité" xfId="19932" builtinId="9" hidden="1"/>
    <cellStyle name="Lien hypertexte visité" xfId="19852" builtinId="9" hidden="1"/>
    <cellStyle name="Lien hypertexte visité" xfId="19804" builtinId="9" hidden="1"/>
    <cellStyle name="Lien hypertexte visité" xfId="19756" builtinId="9" hidden="1"/>
    <cellStyle name="Lien hypertexte visité" xfId="19676" builtinId="9" hidden="1"/>
    <cellStyle name="Lien hypertexte visité" xfId="19628" builtinId="9" hidden="1"/>
    <cellStyle name="Lien hypertexte visité" xfId="19596" builtinId="9" hidden="1"/>
    <cellStyle name="Lien hypertexte visité" xfId="19500" builtinId="9" hidden="1"/>
    <cellStyle name="Lien hypertexte visité" xfId="19468" builtinId="9" hidden="1"/>
    <cellStyle name="Lien hypertexte visité" xfId="19420" builtinId="9" hidden="1"/>
    <cellStyle name="Lien hypertexte visité" xfId="19340" builtinId="9" hidden="1"/>
    <cellStyle name="Lien hypertexte visité" xfId="19292" builtinId="9" hidden="1"/>
    <cellStyle name="Lien hypertexte visité" xfId="19244" builtinId="9" hidden="1"/>
    <cellStyle name="Lien hypertexte visité" xfId="19164" builtinId="9" hidden="1"/>
    <cellStyle name="Lien hypertexte visité" xfId="19116" builtinId="9" hidden="1"/>
    <cellStyle name="Lien hypertexte visité" xfId="19084" builtinId="9" hidden="1"/>
    <cellStyle name="Lien hypertexte visité" xfId="18988" builtinId="9" hidden="1"/>
    <cellStyle name="Lien hypertexte visité" xfId="18956" builtinId="9" hidden="1"/>
    <cellStyle name="Lien hypertexte visité" xfId="18908" builtinId="9" hidden="1"/>
    <cellStyle name="Lien hypertexte visité" xfId="18828" builtinId="9" hidden="1"/>
    <cellStyle name="Lien hypertexte visité" xfId="18780" builtinId="9" hidden="1"/>
    <cellStyle name="Lien hypertexte visité" xfId="18732" builtinId="9" hidden="1"/>
    <cellStyle name="Lien hypertexte visité" xfId="18652" builtinId="9" hidden="1"/>
    <cellStyle name="Lien hypertexte visité" xfId="18604" builtinId="9" hidden="1"/>
    <cellStyle name="Lien hypertexte visité" xfId="18572" builtinId="9" hidden="1"/>
    <cellStyle name="Lien hypertexte visité" xfId="18476" builtinId="9" hidden="1"/>
    <cellStyle name="Lien hypertexte visité" xfId="18444" builtinId="9" hidden="1"/>
    <cellStyle name="Lien hypertexte visité" xfId="18396" builtinId="9" hidden="1"/>
    <cellStyle name="Lien hypertexte visité" xfId="18321" builtinId="9" hidden="1"/>
    <cellStyle name="Lien hypertexte visité" xfId="18285" builtinId="9" hidden="1"/>
    <cellStyle name="Lien hypertexte visité" xfId="18237" builtinId="9" hidden="1"/>
    <cellStyle name="Lien hypertexte visité" xfId="18157" builtinId="9" hidden="1"/>
    <cellStyle name="Lien hypertexte visité" xfId="18109" builtinId="9" hidden="1"/>
    <cellStyle name="Lien hypertexte visité" xfId="18077" builtinId="9" hidden="1"/>
    <cellStyle name="Lien hypertexte visité" xfId="17981" builtinId="9" hidden="1"/>
    <cellStyle name="Lien hypertexte visité" xfId="17949" builtinId="9" hidden="1"/>
    <cellStyle name="Lien hypertexte visité" xfId="17901" builtinId="9" hidden="1"/>
    <cellStyle name="Lien hypertexte visité" xfId="17821" builtinId="9" hidden="1"/>
    <cellStyle name="Lien hypertexte visité" xfId="17773" builtinId="9" hidden="1"/>
    <cellStyle name="Lien hypertexte visité" xfId="17725" builtinId="9" hidden="1"/>
    <cellStyle name="Lien hypertexte visité" xfId="17645" builtinId="9" hidden="1"/>
    <cellStyle name="Lien hypertexte visité" xfId="17597" builtinId="9" hidden="1"/>
    <cellStyle name="Lien hypertexte visité" xfId="17565" builtinId="9" hidden="1"/>
    <cellStyle name="Lien hypertexte visité" xfId="17469" builtinId="9" hidden="1"/>
    <cellStyle name="Lien hypertexte visité" xfId="17437" builtinId="9" hidden="1"/>
    <cellStyle name="Lien hypertexte visité" xfId="17389" builtinId="9" hidden="1"/>
    <cellStyle name="Lien hypertexte visité" xfId="17309" builtinId="9" hidden="1"/>
    <cellStyle name="Lien hypertexte visité" xfId="17261" builtinId="9" hidden="1"/>
    <cellStyle name="Lien hypertexte visité" xfId="17213" builtinId="9" hidden="1"/>
    <cellStyle name="Lien hypertexte visité" xfId="17133" builtinId="9" hidden="1"/>
    <cellStyle name="Lien hypertexte visité" xfId="17085" builtinId="9" hidden="1"/>
    <cellStyle name="Lien hypertexte visité" xfId="17053" builtinId="9" hidden="1"/>
    <cellStyle name="Lien hypertexte visité" xfId="16957" builtinId="9" hidden="1"/>
    <cellStyle name="Lien hypertexte visité" xfId="16925" builtinId="9" hidden="1"/>
    <cellStyle name="Lien hypertexte visité" xfId="16877" builtinId="9" hidden="1"/>
    <cellStyle name="Lien hypertexte visité" xfId="16797" builtinId="9" hidden="1"/>
    <cellStyle name="Lien hypertexte visité" xfId="16749" builtinId="9" hidden="1"/>
    <cellStyle name="Lien hypertexte visité" xfId="16701" builtinId="9" hidden="1"/>
    <cellStyle name="Lien hypertexte visité" xfId="16621" builtinId="9" hidden="1"/>
    <cellStyle name="Lien hypertexte visité" xfId="16573" builtinId="9" hidden="1"/>
    <cellStyle name="Lien hypertexte visité" xfId="16541" builtinId="9" hidden="1"/>
    <cellStyle name="Lien hypertexte visité" xfId="16445" builtinId="9" hidden="1"/>
    <cellStyle name="Lien hypertexte visité" xfId="16413" builtinId="9" hidden="1"/>
    <cellStyle name="Lien hypertexte visité" xfId="16365" builtinId="9" hidden="1"/>
    <cellStyle name="Lien hypertexte visité" xfId="16285" builtinId="9" hidden="1"/>
    <cellStyle name="Lien hypertexte visité" xfId="16237" builtinId="9" hidden="1"/>
    <cellStyle name="Lien hypertexte visité" xfId="16189" builtinId="9" hidden="1"/>
    <cellStyle name="Lien hypertexte visité" xfId="16109" builtinId="9" hidden="1"/>
    <cellStyle name="Lien hypertexte visité" xfId="16061" builtinId="9" hidden="1"/>
    <cellStyle name="Lien hypertexte visité" xfId="16029" builtinId="9" hidden="1"/>
    <cellStyle name="Lien hypertexte visité" xfId="15933" builtinId="9" hidden="1"/>
    <cellStyle name="Lien hypertexte visité" xfId="15901" builtinId="9" hidden="1"/>
    <cellStyle name="Lien hypertexte visité" xfId="15853" builtinId="9" hidden="1"/>
    <cellStyle name="Lien hypertexte visité" xfId="15773" builtinId="9" hidden="1"/>
    <cellStyle name="Lien hypertexte visité" xfId="15725" builtinId="9" hidden="1"/>
    <cellStyle name="Lien hypertexte visité" xfId="15677" builtinId="9" hidden="1"/>
    <cellStyle name="Lien hypertexte visité" xfId="15597" builtinId="9" hidden="1"/>
    <cellStyle name="Lien hypertexte visité" xfId="15549" builtinId="9" hidden="1"/>
    <cellStyle name="Lien hypertexte visité" xfId="15517" builtinId="9" hidden="1"/>
    <cellStyle name="Lien hypertexte visité" xfId="15421" builtinId="9" hidden="1"/>
    <cellStyle name="Lien hypertexte visité" xfId="15389" builtinId="9" hidden="1"/>
    <cellStyle name="Lien hypertexte visité" xfId="15341" builtinId="9" hidden="1"/>
    <cellStyle name="Lien hypertexte visité" xfId="15261" builtinId="9" hidden="1"/>
    <cellStyle name="Lien hypertexte visité" xfId="15213" builtinId="9" hidden="1"/>
    <cellStyle name="Lien hypertexte visité" xfId="15165" builtinId="9" hidden="1"/>
    <cellStyle name="Lien hypertexte visité" xfId="15085" builtinId="9" hidden="1"/>
    <cellStyle name="Lien hypertexte visité" xfId="15037" builtinId="9" hidden="1"/>
    <cellStyle name="Lien hypertexte visité" xfId="15005" builtinId="9" hidden="1"/>
    <cellStyle name="Lien hypertexte visité" xfId="14909" builtinId="9" hidden="1"/>
    <cellStyle name="Lien hypertexte visité" xfId="14877" builtinId="9" hidden="1"/>
    <cellStyle name="Lien hypertexte visité" xfId="14829" builtinId="9" hidden="1"/>
    <cellStyle name="Lien hypertexte visité" xfId="14749" builtinId="9" hidden="1"/>
    <cellStyle name="Lien hypertexte visité" xfId="14701" builtinId="9" hidden="1"/>
    <cellStyle name="Lien hypertexte visité" xfId="14653" builtinId="9" hidden="1"/>
    <cellStyle name="Lien hypertexte visité" xfId="14573" builtinId="9" hidden="1"/>
    <cellStyle name="Lien hypertexte visité" xfId="14525" builtinId="9" hidden="1"/>
    <cellStyle name="Lien hypertexte visité" xfId="14504" builtinId="9" hidden="1"/>
    <cellStyle name="Lien hypertexte visité" xfId="14456" builtinId="9" hidden="1"/>
    <cellStyle name="Lien hypertexte visité" xfId="14440" builtinId="9" hidden="1"/>
    <cellStyle name="Lien hypertexte visité" xfId="14416" builtinId="9" hidden="1"/>
    <cellStyle name="Lien hypertexte visité" xfId="14376" builtinId="9" hidden="1"/>
    <cellStyle name="Lien hypertexte visité" xfId="14352" builtinId="9" hidden="1"/>
    <cellStyle name="Lien hypertexte visité" xfId="14328" builtinId="9" hidden="1"/>
    <cellStyle name="Lien hypertexte visité" xfId="14288" builtinId="9" hidden="1"/>
    <cellStyle name="Lien hypertexte visité" xfId="14264" builtinId="9" hidden="1"/>
    <cellStyle name="Lien hypertexte visité" xfId="14248" builtinId="9" hidden="1"/>
    <cellStyle name="Lien hypertexte visité" xfId="14200" builtinId="9" hidden="1"/>
    <cellStyle name="Lien hypertexte visité" xfId="14184" builtinId="9" hidden="1"/>
    <cellStyle name="Lien hypertexte visité" xfId="14160" builtinId="9" hidden="1"/>
    <cellStyle name="Lien hypertexte visité" xfId="14120" builtinId="9" hidden="1"/>
    <cellStyle name="Lien hypertexte visité" xfId="14096" builtinId="9" hidden="1"/>
    <cellStyle name="Lien hypertexte visité" xfId="14072" builtinId="9" hidden="1"/>
    <cellStyle name="Lien hypertexte visité" xfId="14032" builtinId="9" hidden="1"/>
    <cellStyle name="Lien hypertexte visité" xfId="14008" builtinId="9" hidden="1"/>
    <cellStyle name="Lien hypertexte visité" xfId="13992" builtinId="9" hidden="1"/>
    <cellStyle name="Lien hypertexte visité" xfId="13944" builtinId="9" hidden="1"/>
    <cellStyle name="Lien hypertexte visité" xfId="13928" builtinId="9" hidden="1"/>
    <cellStyle name="Lien hypertexte visité" xfId="13904" builtinId="9" hidden="1"/>
    <cellStyle name="Lien hypertexte visité" xfId="13864" builtinId="9" hidden="1"/>
    <cellStyle name="Lien hypertexte visité" xfId="13840" builtinId="9" hidden="1"/>
    <cellStyle name="Lien hypertexte visité" xfId="13816" builtinId="9" hidden="1"/>
    <cellStyle name="Lien hypertexte visité" xfId="13776" builtinId="9" hidden="1"/>
    <cellStyle name="Lien hypertexte visité" xfId="13752" builtinId="9" hidden="1"/>
    <cellStyle name="Lien hypertexte visité" xfId="13736" builtinId="9" hidden="1"/>
    <cellStyle name="Lien hypertexte visité" xfId="13688" builtinId="9" hidden="1"/>
    <cellStyle name="Lien hypertexte visité" xfId="13672" builtinId="9" hidden="1"/>
    <cellStyle name="Lien hypertexte visité" xfId="13648" builtinId="9" hidden="1"/>
    <cellStyle name="Lien hypertexte visité" xfId="13608" builtinId="9" hidden="1"/>
    <cellStyle name="Lien hypertexte visité" xfId="13584" builtinId="9" hidden="1"/>
    <cellStyle name="Lien hypertexte visité" xfId="13560" builtinId="9" hidden="1"/>
    <cellStyle name="Lien hypertexte visité" xfId="13520" builtinId="9" hidden="1"/>
    <cellStyle name="Lien hypertexte visité" xfId="13496" builtinId="9" hidden="1"/>
    <cellStyle name="Lien hypertexte visité" xfId="13480" builtinId="9" hidden="1"/>
    <cellStyle name="Lien hypertexte visité" xfId="13432" builtinId="9" hidden="1"/>
    <cellStyle name="Lien hypertexte visité" xfId="13416" builtinId="9" hidden="1"/>
    <cellStyle name="Lien hypertexte visité" xfId="13392" builtinId="9" hidden="1"/>
    <cellStyle name="Lien hypertexte visité" xfId="13352" builtinId="9" hidden="1"/>
    <cellStyle name="Lien hypertexte visité" xfId="13328" builtinId="9" hidden="1"/>
    <cellStyle name="Lien hypertexte visité" xfId="13304" builtinId="9" hidden="1"/>
    <cellStyle name="Lien hypertexte visité" xfId="13264" builtinId="9" hidden="1"/>
    <cellStyle name="Lien hypertexte visité" xfId="13240" builtinId="9" hidden="1"/>
    <cellStyle name="Lien hypertexte visité" xfId="13224" builtinId="9" hidden="1"/>
    <cellStyle name="Lien hypertexte visité" xfId="13176" builtinId="9" hidden="1"/>
    <cellStyle name="Lien hypertexte visité" xfId="13160" builtinId="9" hidden="1"/>
    <cellStyle name="Lien hypertexte visité" xfId="13136" builtinId="9" hidden="1"/>
    <cellStyle name="Lien hypertexte visité" xfId="13096" builtinId="9" hidden="1"/>
    <cellStyle name="Lien hypertexte visité" xfId="13072" builtinId="9" hidden="1"/>
    <cellStyle name="Lien hypertexte visité" xfId="13048" builtinId="9" hidden="1"/>
    <cellStyle name="Lien hypertexte visité" xfId="13008" builtinId="9" hidden="1"/>
    <cellStyle name="Lien hypertexte visité" xfId="12984" builtinId="9" hidden="1"/>
    <cellStyle name="Lien hypertexte visité" xfId="12968" builtinId="9" hidden="1"/>
    <cellStyle name="Lien hypertexte visité" xfId="12920" builtinId="9" hidden="1"/>
    <cellStyle name="Lien hypertexte visité" xfId="12904" builtinId="9" hidden="1"/>
    <cellStyle name="Lien hypertexte visité" xfId="12880" builtinId="9" hidden="1"/>
    <cellStyle name="Lien hypertexte visité" xfId="12840" builtinId="9" hidden="1"/>
    <cellStyle name="Lien hypertexte visité" xfId="12816" builtinId="9" hidden="1"/>
    <cellStyle name="Lien hypertexte visité" xfId="12792" builtinId="9" hidden="1"/>
    <cellStyle name="Lien hypertexte visité" xfId="12752" builtinId="9" hidden="1"/>
    <cellStyle name="Lien hypertexte visité" xfId="12728" builtinId="9" hidden="1"/>
    <cellStyle name="Lien hypertexte visité" xfId="12712" builtinId="9" hidden="1"/>
    <cellStyle name="Lien hypertexte visité" xfId="12664" builtinId="9" hidden="1"/>
    <cellStyle name="Lien hypertexte visité" xfId="12648" builtinId="9" hidden="1"/>
    <cellStyle name="Lien hypertexte visité" xfId="12624" builtinId="9" hidden="1"/>
    <cellStyle name="Lien hypertexte visité" xfId="12584" builtinId="9" hidden="1"/>
    <cellStyle name="Lien hypertexte visité" xfId="12560" builtinId="9" hidden="1"/>
    <cellStyle name="Lien hypertexte visité" xfId="12536" builtinId="9" hidden="1"/>
    <cellStyle name="Lien hypertexte visité" xfId="12496" builtinId="9" hidden="1"/>
    <cellStyle name="Lien hypertexte visité" xfId="12472" builtinId="9" hidden="1"/>
    <cellStyle name="Lien hypertexte visité" xfId="12456" builtinId="9" hidden="1"/>
    <cellStyle name="Lien hypertexte visité" xfId="12408" builtinId="9" hidden="1"/>
    <cellStyle name="Lien hypertexte visité" xfId="12392" builtinId="9" hidden="1"/>
    <cellStyle name="Lien hypertexte visité" xfId="12368" builtinId="9" hidden="1"/>
    <cellStyle name="Lien hypertexte visité" xfId="12328" builtinId="9" hidden="1"/>
    <cellStyle name="Lien hypertexte visité" xfId="12304" builtinId="9" hidden="1"/>
    <cellStyle name="Lien hypertexte visité" xfId="12280" builtinId="9" hidden="1"/>
    <cellStyle name="Lien hypertexte visité" xfId="12240" builtinId="9" hidden="1"/>
    <cellStyle name="Lien hypertexte visité" xfId="12216" builtinId="9" hidden="1"/>
    <cellStyle name="Lien hypertexte visité" xfId="12200" builtinId="9" hidden="1"/>
    <cellStyle name="Lien hypertexte visité" xfId="12152" builtinId="9" hidden="1"/>
    <cellStyle name="Lien hypertexte visité" xfId="12136" builtinId="9" hidden="1"/>
    <cellStyle name="Lien hypertexte visité" xfId="12112" builtinId="9" hidden="1"/>
    <cellStyle name="Lien hypertexte visité" xfId="12072" builtinId="9" hidden="1"/>
    <cellStyle name="Lien hypertexte visité" xfId="12048" builtinId="9" hidden="1"/>
    <cellStyle name="Lien hypertexte visité" xfId="12024" builtinId="9" hidden="1"/>
    <cellStyle name="Lien hypertexte visité" xfId="11984" builtinId="9" hidden="1"/>
    <cellStyle name="Lien hypertexte visité" xfId="11960" builtinId="9" hidden="1"/>
    <cellStyle name="Lien hypertexte visité" xfId="11944" builtinId="9" hidden="1"/>
    <cellStyle name="Lien hypertexte visité" xfId="11896" builtinId="9" hidden="1"/>
    <cellStyle name="Lien hypertexte visité" xfId="11880" builtinId="9" hidden="1"/>
    <cellStyle name="Lien hypertexte visité" xfId="11856" builtinId="9" hidden="1"/>
    <cellStyle name="Lien hypertexte visité" xfId="11816" builtinId="9" hidden="1"/>
    <cellStyle name="Lien hypertexte visité" xfId="11792" builtinId="9" hidden="1"/>
    <cellStyle name="Lien hypertexte visité" xfId="11768" builtinId="9" hidden="1"/>
    <cellStyle name="Lien hypertexte visité" xfId="11728" builtinId="9" hidden="1"/>
    <cellStyle name="Lien hypertexte visité" xfId="11704" builtinId="9" hidden="1"/>
    <cellStyle name="Lien hypertexte visité" xfId="11688" builtinId="9" hidden="1"/>
    <cellStyle name="Lien hypertexte visité" xfId="11640" builtinId="9" hidden="1"/>
    <cellStyle name="Lien hypertexte visité" xfId="11624" builtinId="9" hidden="1"/>
    <cellStyle name="Lien hypertexte visité" xfId="11600" builtinId="9" hidden="1"/>
    <cellStyle name="Lien hypertexte visité" xfId="11560" builtinId="9" hidden="1"/>
    <cellStyle name="Lien hypertexte visité" xfId="11536" builtinId="9" hidden="1"/>
    <cellStyle name="Lien hypertexte visité" xfId="11512" builtinId="9" hidden="1"/>
    <cellStyle name="Lien hypertexte visité" xfId="11472" builtinId="9" hidden="1"/>
    <cellStyle name="Lien hypertexte visité" xfId="11448" builtinId="9" hidden="1"/>
    <cellStyle name="Lien hypertexte visité" xfId="11432" builtinId="9" hidden="1"/>
    <cellStyle name="Lien hypertexte visité" xfId="11384" builtinId="9" hidden="1"/>
    <cellStyle name="Lien hypertexte visité" xfId="11368" builtinId="9" hidden="1"/>
    <cellStyle name="Lien hypertexte visité" xfId="11344" builtinId="9" hidden="1"/>
    <cellStyle name="Lien hypertexte visité" xfId="11304" builtinId="9" hidden="1"/>
    <cellStyle name="Lien hypertexte visité" xfId="11280" builtinId="9" hidden="1"/>
    <cellStyle name="Lien hypertexte visité" xfId="11256" builtinId="9" hidden="1"/>
    <cellStyle name="Lien hypertexte visité" xfId="11216" builtinId="9" hidden="1"/>
    <cellStyle name="Lien hypertexte visité" xfId="11192" builtinId="9" hidden="1"/>
    <cellStyle name="Lien hypertexte visité" xfId="11176" builtinId="9" hidden="1"/>
    <cellStyle name="Lien hypertexte visité" xfId="11128" builtinId="9" hidden="1"/>
    <cellStyle name="Lien hypertexte visité" xfId="11112" builtinId="9" hidden="1"/>
    <cellStyle name="Lien hypertexte visité" xfId="11088" builtinId="9" hidden="1"/>
    <cellStyle name="Lien hypertexte visité" xfId="11048" builtinId="9" hidden="1"/>
    <cellStyle name="Lien hypertexte visité" xfId="11024" builtinId="9" hidden="1"/>
    <cellStyle name="Lien hypertexte visité" xfId="11000" builtinId="9" hidden="1"/>
    <cellStyle name="Lien hypertexte visité" xfId="10960" builtinId="9" hidden="1"/>
    <cellStyle name="Lien hypertexte visité" xfId="10936" builtinId="9" hidden="1"/>
    <cellStyle name="Lien hypertexte visité" xfId="10920" builtinId="9" hidden="1"/>
    <cellStyle name="Lien hypertexte visité" xfId="10872" builtinId="9" hidden="1"/>
    <cellStyle name="Lien hypertexte visité" xfId="10856" builtinId="9" hidden="1"/>
    <cellStyle name="Lien hypertexte visité" xfId="10832" builtinId="9" hidden="1"/>
    <cellStyle name="Lien hypertexte visité" xfId="10792" builtinId="9" hidden="1"/>
    <cellStyle name="Lien hypertexte visité" xfId="10768" builtinId="9" hidden="1"/>
    <cellStyle name="Lien hypertexte visité" xfId="10744" builtinId="9" hidden="1"/>
    <cellStyle name="Lien hypertexte visité" xfId="10704" builtinId="9" hidden="1"/>
    <cellStyle name="Lien hypertexte visité" xfId="10680" builtinId="9" hidden="1"/>
    <cellStyle name="Lien hypertexte visité" xfId="10664" builtinId="9" hidden="1"/>
    <cellStyle name="Lien hypertexte visité" xfId="10616" builtinId="9" hidden="1"/>
    <cellStyle name="Lien hypertexte visité" xfId="10600" builtinId="9" hidden="1"/>
    <cellStyle name="Lien hypertexte visité" xfId="10576" builtinId="9" hidden="1"/>
    <cellStyle name="Lien hypertexte visité" xfId="10536" builtinId="9" hidden="1"/>
    <cellStyle name="Lien hypertexte visité" xfId="10512" builtinId="9" hidden="1"/>
    <cellStyle name="Lien hypertexte visité" xfId="10488" builtinId="9" hidden="1"/>
    <cellStyle name="Lien hypertexte visité" xfId="10448" builtinId="9" hidden="1"/>
    <cellStyle name="Lien hypertexte visité" xfId="10424" builtinId="9" hidden="1"/>
    <cellStyle name="Lien hypertexte visité" xfId="10408" builtinId="9" hidden="1"/>
    <cellStyle name="Lien hypertexte visité" xfId="10360" builtinId="9" hidden="1"/>
    <cellStyle name="Lien hypertexte visité" xfId="10344" builtinId="9" hidden="1"/>
    <cellStyle name="Lien hypertexte visité" xfId="10320" builtinId="9" hidden="1"/>
    <cellStyle name="Lien hypertexte visité" xfId="10280" builtinId="9" hidden="1"/>
    <cellStyle name="Lien hypertexte visité" xfId="10256" builtinId="9" hidden="1"/>
    <cellStyle name="Lien hypertexte visité" xfId="10232" builtinId="9" hidden="1"/>
    <cellStyle name="Lien hypertexte visité" xfId="10192" builtinId="9" hidden="1"/>
    <cellStyle name="Lien hypertexte visité" xfId="10168" builtinId="9" hidden="1"/>
    <cellStyle name="Lien hypertexte visité" xfId="10152" builtinId="9" hidden="1"/>
    <cellStyle name="Lien hypertexte visité" xfId="10104" builtinId="9" hidden="1"/>
    <cellStyle name="Lien hypertexte visité" xfId="10088" builtinId="9" hidden="1"/>
    <cellStyle name="Lien hypertexte visité" xfId="10064" builtinId="9" hidden="1"/>
    <cellStyle name="Lien hypertexte visité" xfId="10024" builtinId="9" hidden="1"/>
    <cellStyle name="Lien hypertexte visité" xfId="10000" builtinId="9" hidden="1"/>
    <cellStyle name="Lien hypertexte visité" xfId="9976" builtinId="9" hidden="1"/>
    <cellStyle name="Lien hypertexte visité" xfId="9936" builtinId="9" hidden="1"/>
    <cellStyle name="Lien hypertexte visité" xfId="9912" builtinId="9" hidden="1"/>
    <cellStyle name="Lien hypertexte visité" xfId="9896" builtinId="9" hidden="1"/>
    <cellStyle name="Lien hypertexte visité" xfId="9848" builtinId="9" hidden="1"/>
    <cellStyle name="Lien hypertexte visité" xfId="9832" builtinId="9" hidden="1"/>
    <cellStyle name="Lien hypertexte visité" xfId="9808" builtinId="9" hidden="1"/>
    <cellStyle name="Lien hypertexte visité" xfId="9768" builtinId="9" hidden="1"/>
    <cellStyle name="Lien hypertexte visité" xfId="9744" builtinId="9" hidden="1"/>
    <cellStyle name="Lien hypertexte visité" xfId="9720" builtinId="9" hidden="1"/>
    <cellStyle name="Lien hypertexte visité" xfId="9680" builtinId="9" hidden="1"/>
    <cellStyle name="Lien hypertexte visité" xfId="9656" builtinId="9" hidden="1"/>
    <cellStyle name="Lien hypertexte visité" xfId="9640" builtinId="9" hidden="1"/>
    <cellStyle name="Lien hypertexte visité" xfId="9592" builtinId="9" hidden="1"/>
    <cellStyle name="Lien hypertexte visité" xfId="9576" builtinId="9" hidden="1"/>
    <cellStyle name="Lien hypertexte visité" xfId="9552" builtinId="9" hidden="1"/>
    <cellStyle name="Lien hypertexte visité" xfId="9512" builtinId="9" hidden="1"/>
    <cellStyle name="Lien hypertexte visité" xfId="9488" builtinId="9" hidden="1"/>
    <cellStyle name="Lien hypertexte visité" xfId="9464" builtinId="9" hidden="1"/>
    <cellStyle name="Lien hypertexte visité" xfId="9424" builtinId="9" hidden="1"/>
    <cellStyle name="Lien hypertexte visité" xfId="9400" builtinId="9" hidden="1"/>
    <cellStyle name="Lien hypertexte visité" xfId="9384" builtinId="9" hidden="1"/>
    <cellStyle name="Lien hypertexte visité" xfId="9336" builtinId="9" hidden="1"/>
    <cellStyle name="Lien hypertexte visité" xfId="9320" builtinId="9" hidden="1"/>
    <cellStyle name="Lien hypertexte visité" xfId="9296" builtinId="9" hidden="1"/>
    <cellStyle name="Lien hypertexte visité" xfId="9256" builtinId="9" hidden="1"/>
    <cellStyle name="Lien hypertexte visité" xfId="9232" builtinId="9" hidden="1"/>
    <cellStyle name="Lien hypertexte visité" xfId="9208" builtinId="9" hidden="1"/>
    <cellStyle name="Lien hypertexte visité" xfId="9168" builtinId="9" hidden="1"/>
    <cellStyle name="Lien hypertexte visité" xfId="9144" builtinId="9" hidden="1"/>
    <cellStyle name="Lien hypertexte visité" xfId="9128" builtinId="9" hidden="1"/>
    <cellStyle name="Lien hypertexte visité" xfId="9080" builtinId="9" hidden="1"/>
    <cellStyle name="Lien hypertexte visité" xfId="9064" builtinId="9" hidden="1"/>
    <cellStyle name="Lien hypertexte visité" xfId="9040" builtinId="9" hidden="1"/>
    <cellStyle name="Lien hypertexte visité" xfId="9000" builtinId="9" hidden="1"/>
    <cellStyle name="Lien hypertexte visité" xfId="8976" builtinId="9" hidden="1"/>
    <cellStyle name="Lien hypertexte visité" xfId="8952" builtinId="9" hidden="1"/>
    <cellStyle name="Lien hypertexte visité" xfId="8912" builtinId="9" hidden="1"/>
    <cellStyle name="Lien hypertexte visité" xfId="8888" builtinId="9" hidden="1"/>
    <cellStyle name="Lien hypertexte visité" xfId="8872" builtinId="9" hidden="1"/>
    <cellStyle name="Lien hypertexte visité" xfId="8928" builtinId="9" hidden="1"/>
    <cellStyle name="Lien hypertexte visité" xfId="8992" builtinId="9" hidden="1"/>
    <cellStyle name="Lien hypertexte visité" xfId="9056" builtinId="9" hidden="1"/>
    <cellStyle name="Lien hypertexte visité" xfId="9184" builtinId="9" hidden="1"/>
    <cellStyle name="Lien hypertexte visité" xfId="9248" builtinId="9" hidden="1"/>
    <cellStyle name="Lien hypertexte visité" xfId="9312" builtinId="9" hidden="1"/>
    <cellStyle name="Lien hypertexte visité" xfId="9440" builtinId="9" hidden="1"/>
    <cellStyle name="Lien hypertexte visité" xfId="9504" builtinId="9" hidden="1"/>
    <cellStyle name="Lien hypertexte visité" xfId="9568" builtinId="9" hidden="1"/>
    <cellStyle name="Lien hypertexte visité" xfId="9696" builtinId="9" hidden="1"/>
    <cellStyle name="Lien hypertexte visité" xfId="9760" builtinId="9" hidden="1"/>
    <cellStyle name="Lien hypertexte visité" xfId="9824" builtinId="9" hidden="1"/>
    <cellStyle name="Lien hypertexte visité" xfId="9952" builtinId="9" hidden="1"/>
    <cellStyle name="Lien hypertexte visité" xfId="10016" builtinId="9" hidden="1"/>
    <cellStyle name="Lien hypertexte visité" xfId="10080" builtinId="9" hidden="1"/>
    <cellStyle name="Lien hypertexte visité" xfId="10208" builtinId="9" hidden="1"/>
    <cellStyle name="Lien hypertexte visité" xfId="10272" builtinId="9" hidden="1"/>
    <cellStyle name="Lien hypertexte visité" xfId="10336" builtinId="9" hidden="1"/>
    <cellStyle name="Lien hypertexte visité" xfId="10464" builtinId="9" hidden="1"/>
    <cellStyle name="Lien hypertexte visité" xfId="10528" builtinId="9" hidden="1"/>
    <cellStyle name="Lien hypertexte visité" xfId="10592" builtinId="9" hidden="1"/>
    <cellStyle name="Lien hypertexte visité" xfId="10720" builtinId="9" hidden="1"/>
    <cellStyle name="Lien hypertexte visité" xfId="10784" builtinId="9" hidden="1"/>
    <cellStyle name="Lien hypertexte visité" xfId="10848" builtinId="9" hidden="1"/>
    <cellStyle name="Lien hypertexte visité" xfId="10976" builtinId="9" hidden="1"/>
    <cellStyle name="Lien hypertexte visité" xfId="11040" builtinId="9" hidden="1"/>
    <cellStyle name="Lien hypertexte visité" xfId="11104" builtinId="9" hidden="1"/>
    <cellStyle name="Lien hypertexte visité" xfId="11232" builtinId="9" hidden="1"/>
    <cellStyle name="Lien hypertexte visité" xfId="11296" builtinId="9" hidden="1"/>
    <cellStyle name="Lien hypertexte visité" xfId="11360" builtinId="9" hidden="1"/>
    <cellStyle name="Lien hypertexte visité" xfId="11488" builtinId="9" hidden="1"/>
    <cellStyle name="Lien hypertexte visité" xfId="11552" builtinId="9" hidden="1"/>
    <cellStyle name="Lien hypertexte visité" xfId="11616" builtinId="9" hidden="1"/>
    <cellStyle name="Lien hypertexte visité" xfId="11744" builtinId="9" hidden="1"/>
    <cellStyle name="Lien hypertexte visité" xfId="11808" builtinId="9" hidden="1"/>
    <cellStyle name="Lien hypertexte visité" xfId="11872" builtinId="9" hidden="1"/>
    <cellStyle name="Lien hypertexte visité" xfId="12000" builtinId="9" hidden="1"/>
    <cellStyle name="Lien hypertexte visité" xfId="12064" builtinId="9" hidden="1"/>
    <cellStyle name="Lien hypertexte visité" xfId="12128" builtinId="9" hidden="1"/>
    <cellStyle name="Lien hypertexte visité" xfId="12256" builtinId="9" hidden="1"/>
    <cellStyle name="Lien hypertexte visité" xfId="12320" builtinId="9" hidden="1"/>
    <cellStyle name="Lien hypertexte visité" xfId="12384" builtinId="9" hidden="1"/>
    <cellStyle name="Lien hypertexte visité" xfId="12512" builtinId="9" hidden="1"/>
    <cellStyle name="Lien hypertexte visité" xfId="12576" builtinId="9" hidden="1"/>
    <cellStyle name="Lien hypertexte visité" xfId="12640" builtinId="9" hidden="1"/>
    <cellStyle name="Lien hypertexte visité" xfId="12768" builtinId="9" hidden="1"/>
    <cellStyle name="Lien hypertexte visité" xfId="12832" builtinId="9" hidden="1"/>
    <cellStyle name="Lien hypertexte visité" xfId="12896" builtinId="9" hidden="1"/>
    <cellStyle name="Lien hypertexte visité" xfId="13024" builtinId="9" hidden="1"/>
    <cellStyle name="Lien hypertexte visité" xfId="13088" builtinId="9" hidden="1"/>
    <cellStyle name="Lien hypertexte visité" xfId="13152" builtinId="9" hidden="1"/>
    <cellStyle name="Lien hypertexte visité" xfId="13280" builtinId="9" hidden="1"/>
    <cellStyle name="Lien hypertexte visité" xfId="13344" builtinId="9" hidden="1"/>
    <cellStyle name="Lien hypertexte visité" xfId="13408" builtinId="9" hidden="1"/>
    <cellStyle name="Lien hypertexte visité" xfId="13536" builtinId="9" hidden="1"/>
    <cellStyle name="Lien hypertexte visité" xfId="13600" builtinId="9" hidden="1"/>
    <cellStyle name="Lien hypertexte visité" xfId="13664" builtinId="9" hidden="1"/>
    <cellStyle name="Lien hypertexte visité" xfId="13792" builtinId="9" hidden="1"/>
    <cellStyle name="Lien hypertexte visité" xfId="13856" builtinId="9" hidden="1"/>
    <cellStyle name="Lien hypertexte visité" xfId="13920" builtinId="9" hidden="1"/>
    <cellStyle name="Lien hypertexte visité" xfId="14048" builtinId="9" hidden="1"/>
    <cellStyle name="Lien hypertexte visité" xfId="14112" builtinId="9" hidden="1"/>
    <cellStyle name="Lien hypertexte visité" xfId="14176" builtinId="9" hidden="1"/>
    <cellStyle name="Lien hypertexte visité" xfId="14304" builtinId="9" hidden="1"/>
    <cellStyle name="Lien hypertexte visité" xfId="14368" builtinId="9" hidden="1"/>
    <cellStyle name="Lien hypertexte visité" xfId="14432" builtinId="9" hidden="1"/>
    <cellStyle name="Lien hypertexte visité" xfId="14605" builtinId="9" hidden="1"/>
    <cellStyle name="Lien hypertexte visité" xfId="14733" builtinId="9" hidden="1"/>
    <cellStyle name="Lien hypertexte visité" xfId="14861" builtinId="9" hidden="1"/>
    <cellStyle name="Lien hypertexte visité" xfId="15117" builtinId="9" hidden="1"/>
    <cellStyle name="Lien hypertexte visité" xfId="15245" builtinId="9" hidden="1"/>
    <cellStyle name="Lien hypertexte visité" xfId="15373" builtinId="9" hidden="1"/>
    <cellStyle name="Lien hypertexte visité" xfId="15629" builtinId="9" hidden="1"/>
    <cellStyle name="Lien hypertexte visité" xfId="15757" builtinId="9" hidden="1"/>
    <cellStyle name="Lien hypertexte visité" xfId="15885" builtinId="9" hidden="1"/>
    <cellStyle name="Lien hypertexte visité" xfId="16141" builtinId="9" hidden="1"/>
    <cellStyle name="Lien hypertexte visité" xfId="16269" builtinId="9" hidden="1"/>
    <cellStyle name="Lien hypertexte visité" xfId="16397" builtinId="9" hidden="1"/>
    <cellStyle name="Lien hypertexte visité" xfId="16653" builtinId="9" hidden="1"/>
    <cellStyle name="Lien hypertexte visité" xfId="16781" builtinId="9" hidden="1"/>
    <cellStyle name="Lien hypertexte visité" xfId="16909" builtinId="9" hidden="1"/>
    <cellStyle name="Lien hypertexte visité" xfId="17165" builtinId="9" hidden="1"/>
    <cellStyle name="Lien hypertexte visité" xfId="17293" builtinId="9" hidden="1"/>
    <cellStyle name="Lien hypertexte visité" xfId="17421" builtinId="9" hidden="1"/>
    <cellStyle name="Lien hypertexte visité" xfId="17677" builtinId="9" hidden="1"/>
    <cellStyle name="Lien hypertexte visité" xfId="17805" builtinId="9" hidden="1"/>
    <cellStyle name="Lien hypertexte visité" xfId="17933" builtinId="9" hidden="1"/>
    <cellStyle name="Lien hypertexte visité" xfId="18189" builtinId="9" hidden="1"/>
    <cellStyle name="Lien hypertexte visité" xfId="18313" builtinId="9" hidden="1"/>
    <cellStyle name="Lien hypertexte visité" xfId="18428" builtinId="9" hidden="1"/>
    <cellStyle name="Lien hypertexte visité" xfId="18684" builtinId="9" hidden="1"/>
    <cellStyle name="Lien hypertexte visité" xfId="18812" builtinId="9" hidden="1"/>
    <cellStyle name="Lien hypertexte visité" xfId="18940" builtinId="9" hidden="1"/>
    <cellStyle name="Lien hypertexte visité" xfId="19196" builtinId="9" hidden="1"/>
    <cellStyle name="Lien hypertexte visité" xfId="19324" builtinId="9" hidden="1"/>
    <cellStyle name="Lien hypertexte visité" xfId="19452" builtinId="9" hidden="1"/>
    <cellStyle name="Lien hypertexte visité" xfId="19708" builtinId="9" hidden="1"/>
    <cellStyle name="Lien hypertexte visité" xfId="19836" builtinId="9" hidden="1"/>
    <cellStyle name="Lien hypertexte visité" xfId="19964" builtinId="9" hidden="1"/>
    <cellStyle name="Lien hypertexte visité" xfId="20220" builtinId="9" hidden="1"/>
    <cellStyle name="Lien hypertexte visité" xfId="20348" builtinId="9" hidden="1"/>
    <cellStyle name="Lien hypertexte visité" xfId="20476" builtinId="9" hidden="1"/>
    <cellStyle name="Lien hypertexte visité" xfId="20732" builtinId="9" hidden="1"/>
    <cellStyle name="Lien hypertexte visité" xfId="20860" builtinId="9" hidden="1"/>
    <cellStyle name="Lien hypertexte visité" xfId="20988" builtinId="9" hidden="1"/>
    <cellStyle name="Lien hypertexte visité" xfId="21244" builtinId="9" hidden="1"/>
    <cellStyle name="Lien hypertexte visité" xfId="21372" builtinId="9" hidden="1"/>
    <cellStyle name="Lien hypertexte visité" xfId="21500" builtinId="9" hidden="1"/>
    <cellStyle name="Lien hypertexte visité" xfId="21756" builtinId="9" hidden="1"/>
    <cellStyle name="Lien hypertexte visité" xfId="21884" builtinId="9" hidden="1"/>
    <cellStyle name="Lien hypertexte visité" xfId="22012" builtinId="9" hidden="1"/>
    <cellStyle name="Lien hypertexte visité" xfId="22268" builtinId="9" hidden="1"/>
    <cellStyle name="Lien hypertexte visité" xfId="22396" builtinId="9" hidden="1"/>
    <cellStyle name="Lien hypertexte visité" xfId="22524" builtinId="9" hidden="1"/>
    <cellStyle name="Lien hypertexte visité" xfId="22780" builtinId="9" hidden="1"/>
    <cellStyle name="Lien hypertexte visité" xfId="22908" builtinId="9" hidden="1"/>
    <cellStyle name="Lien hypertexte visité" xfId="23036" builtinId="9" hidden="1"/>
    <cellStyle name="Lien hypertexte visité" xfId="23292" builtinId="9" hidden="1"/>
    <cellStyle name="Lien hypertexte visité" xfId="23420" builtinId="9" hidden="1"/>
    <cellStyle name="Lien hypertexte visité" xfId="23548" builtinId="9" hidden="1"/>
    <cellStyle name="Lien hypertexte visité" xfId="23804" builtinId="9" hidden="1"/>
    <cellStyle name="Lien hypertexte visité" xfId="23932" builtinId="9" hidden="1"/>
    <cellStyle name="Lien hypertexte visité" xfId="24060" builtinId="9" hidden="1"/>
    <cellStyle name="Lien hypertexte visité" xfId="24316" builtinId="9" hidden="1"/>
    <cellStyle name="Lien hypertexte visité" xfId="24444" builtinId="9" hidden="1"/>
    <cellStyle name="Lien hypertexte visité" xfId="24572" builtinId="9" hidden="1"/>
    <cellStyle name="Lien hypertexte visité" xfId="24398" builtinId="9" hidden="1"/>
    <cellStyle name="Lien hypertexte visité" xfId="24270" builtinId="9" hidden="1"/>
    <cellStyle name="Lien hypertexte visité" xfId="24142" builtinId="9" hidden="1"/>
    <cellStyle name="Lien hypertexte visité" xfId="23886" builtinId="9" hidden="1"/>
    <cellStyle name="Lien hypertexte visité" xfId="23758" builtinId="9" hidden="1"/>
    <cellStyle name="Lien hypertexte visité" xfId="23630" builtinId="9" hidden="1"/>
    <cellStyle name="Lien hypertexte visité" xfId="23374" builtinId="9" hidden="1"/>
    <cellStyle name="Lien hypertexte visité" xfId="23246" builtinId="9" hidden="1"/>
    <cellStyle name="Lien hypertexte visité" xfId="23118" builtinId="9" hidden="1"/>
    <cellStyle name="Lien hypertexte visité" xfId="22862" builtinId="9" hidden="1"/>
    <cellStyle name="Lien hypertexte visité" xfId="22734" builtinId="9" hidden="1"/>
    <cellStyle name="Lien hypertexte visité" xfId="22606" builtinId="9" hidden="1"/>
    <cellStyle name="Lien hypertexte visité" xfId="22350" builtinId="9" hidden="1"/>
    <cellStyle name="Lien hypertexte visité" xfId="22222" builtinId="9" hidden="1"/>
    <cellStyle name="Lien hypertexte visité" xfId="22094" builtinId="9" hidden="1"/>
    <cellStyle name="Lien hypertexte visité" xfId="21838" builtinId="9" hidden="1"/>
    <cellStyle name="Lien hypertexte visité" xfId="21710" builtinId="9" hidden="1"/>
    <cellStyle name="Lien hypertexte visité" xfId="21582" builtinId="9" hidden="1"/>
    <cellStyle name="Lien hypertexte visité" xfId="21326" builtinId="9" hidden="1"/>
    <cellStyle name="Lien hypertexte visité" xfId="21198" builtinId="9" hidden="1"/>
    <cellStyle name="Lien hypertexte visité" xfId="21070" builtinId="9" hidden="1"/>
    <cellStyle name="Lien hypertexte visité" xfId="20814" builtinId="9" hidden="1"/>
    <cellStyle name="Lien hypertexte visité" xfId="20686" builtinId="9" hidden="1"/>
    <cellStyle name="Lien hypertexte visité" xfId="20558" builtinId="9" hidden="1"/>
    <cellStyle name="Lien hypertexte visité" xfId="20302" builtinId="9" hidden="1"/>
    <cellStyle name="Lien hypertexte visité" xfId="20174" builtinId="9" hidden="1"/>
    <cellStyle name="Lien hypertexte visité" xfId="20046" builtinId="9" hidden="1"/>
    <cellStyle name="Lien hypertexte visité" xfId="19790" builtinId="9" hidden="1"/>
    <cellStyle name="Lien hypertexte visité" xfId="19662" builtinId="9" hidden="1"/>
    <cellStyle name="Lien hypertexte visité" xfId="19534" builtinId="9" hidden="1"/>
    <cellStyle name="Lien hypertexte visité" xfId="19278" builtinId="9" hidden="1"/>
    <cellStyle name="Lien hypertexte visité" xfId="19150" builtinId="9" hidden="1"/>
    <cellStyle name="Lien hypertexte visité" xfId="19022" builtinId="9" hidden="1"/>
    <cellStyle name="Lien hypertexte visité" xfId="18766" builtinId="9" hidden="1"/>
    <cellStyle name="Lien hypertexte visité" xfId="18638" builtinId="9" hidden="1"/>
    <cellStyle name="Lien hypertexte visité" xfId="18510" builtinId="9" hidden="1"/>
    <cellStyle name="Lien hypertexte visité" xfId="18271" builtinId="9" hidden="1"/>
    <cellStyle name="Lien hypertexte visité" xfId="18143" builtinId="9" hidden="1"/>
    <cellStyle name="Lien hypertexte visité" xfId="18015" builtinId="9" hidden="1"/>
    <cellStyle name="Lien hypertexte visité" xfId="17759" builtinId="9" hidden="1"/>
    <cellStyle name="Lien hypertexte visité" xfId="17631" builtinId="9" hidden="1"/>
    <cellStyle name="Lien hypertexte visité" xfId="17503" builtinId="9" hidden="1"/>
    <cellStyle name="Lien hypertexte visité" xfId="17247" builtinId="9" hidden="1"/>
    <cellStyle name="Lien hypertexte visité" xfId="17119" builtinId="9" hidden="1"/>
    <cellStyle name="Lien hypertexte visité" xfId="16991" builtinId="9" hidden="1"/>
    <cellStyle name="Lien hypertexte visité" xfId="16735" builtinId="9" hidden="1"/>
    <cellStyle name="Lien hypertexte visité" xfId="16607" builtinId="9" hidden="1"/>
    <cellStyle name="Lien hypertexte visité" xfId="16479" builtinId="9" hidden="1"/>
    <cellStyle name="Lien hypertexte visité" xfId="16223" builtinId="9" hidden="1"/>
    <cellStyle name="Lien hypertexte visité" xfId="16095" builtinId="9" hidden="1"/>
    <cellStyle name="Lien hypertexte visité" xfId="15967" builtinId="9" hidden="1"/>
    <cellStyle name="Lien hypertexte visité" xfId="15711" builtinId="9" hidden="1"/>
    <cellStyle name="Lien hypertexte visité" xfId="15583" builtinId="9" hidden="1"/>
    <cellStyle name="Lien hypertexte visité" xfId="15455" builtinId="9" hidden="1"/>
    <cellStyle name="Lien hypertexte visité" xfId="15199" builtinId="9" hidden="1"/>
    <cellStyle name="Lien hypertexte visité" xfId="15071" builtinId="9" hidden="1"/>
    <cellStyle name="Lien hypertexte visité" xfId="14943" builtinId="9" hidden="1"/>
    <cellStyle name="Lien hypertexte visité" xfId="14687" builtinId="9" hidden="1"/>
    <cellStyle name="Lien hypertexte visité" xfId="14559" builtinId="9" hidden="1"/>
    <cellStyle name="Lien hypertexte visité" xfId="14473" builtinId="9" hidden="1"/>
    <cellStyle name="Lien hypertexte visité" xfId="14345" builtinId="9" hidden="1"/>
    <cellStyle name="Lien hypertexte visité" xfId="14281" builtinId="9" hidden="1"/>
    <cellStyle name="Lien hypertexte visité" xfId="14217" builtinId="9" hidden="1"/>
    <cellStyle name="Lien hypertexte visité" xfId="14089" builtinId="9" hidden="1"/>
    <cellStyle name="Lien hypertexte visité" xfId="14025" builtinId="9" hidden="1"/>
    <cellStyle name="Lien hypertexte visité" xfId="13961" builtinId="9" hidden="1"/>
    <cellStyle name="Lien hypertexte visité" xfId="13833" builtinId="9" hidden="1"/>
    <cellStyle name="Lien hypertexte visité" xfId="13769" builtinId="9" hidden="1"/>
    <cellStyle name="Lien hypertexte visité" xfId="13705" builtinId="9" hidden="1"/>
    <cellStyle name="Lien hypertexte visité" xfId="13577" builtinId="9" hidden="1"/>
    <cellStyle name="Lien hypertexte visité" xfId="13513" builtinId="9" hidden="1"/>
    <cellStyle name="Lien hypertexte visité" xfId="13449" builtinId="9" hidden="1"/>
    <cellStyle name="Lien hypertexte visité" xfId="13321" builtinId="9" hidden="1"/>
    <cellStyle name="Lien hypertexte visité" xfId="13257" builtinId="9" hidden="1"/>
    <cellStyle name="Lien hypertexte visité" xfId="13193" builtinId="9" hidden="1"/>
    <cellStyle name="Lien hypertexte visité" xfId="13065" builtinId="9" hidden="1"/>
    <cellStyle name="Lien hypertexte visité" xfId="13001" builtinId="9" hidden="1"/>
    <cellStyle name="Lien hypertexte visité" xfId="12937" builtinId="9" hidden="1"/>
    <cellStyle name="Lien hypertexte visité" xfId="12809" builtinId="9" hidden="1"/>
    <cellStyle name="Lien hypertexte visité" xfId="12745" builtinId="9" hidden="1"/>
    <cellStyle name="Lien hypertexte visité" xfId="12681" builtinId="9" hidden="1"/>
    <cellStyle name="Lien hypertexte visité" xfId="12553" builtinId="9" hidden="1"/>
    <cellStyle name="Lien hypertexte visité" xfId="12489" builtinId="9" hidden="1"/>
    <cellStyle name="Lien hypertexte visité" xfId="12425" builtinId="9" hidden="1"/>
    <cellStyle name="Lien hypertexte visité" xfId="12297" builtinId="9" hidden="1"/>
    <cellStyle name="Lien hypertexte visité" xfId="12233" builtinId="9" hidden="1"/>
    <cellStyle name="Lien hypertexte visité" xfId="12169" builtinId="9" hidden="1"/>
    <cellStyle name="Lien hypertexte visité" xfId="12041" builtinId="9" hidden="1"/>
    <cellStyle name="Lien hypertexte visité" xfId="11977" builtinId="9" hidden="1"/>
    <cellStyle name="Lien hypertexte visité" xfId="11913" builtinId="9" hidden="1"/>
    <cellStyle name="Lien hypertexte visité" xfId="11785" builtinId="9" hidden="1"/>
    <cellStyle name="Lien hypertexte visité" xfId="11721" builtinId="9" hidden="1"/>
    <cellStyle name="Lien hypertexte visité" xfId="11657" builtinId="9" hidden="1"/>
    <cellStyle name="Lien hypertexte visité" xfId="11529" builtinId="9" hidden="1"/>
    <cellStyle name="Lien hypertexte visité" xfId="11465" builtinId="9" hidden="1"/>
    <cellStyle name="Lien hypertexte visité" xfId="11401" builtinId="9" hidden="1"/>
    <cellStyle name="Lien hypertexte visité" xfId="11273" builtinId="9" hidden="1"/>
    <cellStyle name="Lien hypertexte visité" xfId="11209" builtinId="9" hidden="1"/>
    <cellStyle name="Lien hypertexte visité" xfId="11145" builtinId="9" hidden="1"/>
    <cellStyle name="Lien hypertexte visité" xfId="11017" builtinId="9" hidden="1"/>
    <cellStyle name="Lien hypertexte visité" xfId="10953" builtinId="9" hidden="1"/>
    <cellStyle name="Lien hypertexte visité" xfId="10889" builtinId="9" hidden="1"/>
    <cellStyle name="Lien hypertexte visité" xfId="10761" builtinId="9" hidden="1"/>
    <cellStyle name="Lien hypertexte visité" xfId="10697" builtinId="9" hidden="1"/>
    <cellStyle name="Lien hypertexte visité" xfId="10633" builtinId="9" hidden="1"/>
    <cellStyle name="Lien hypertexte visité" xfId="10505" builtinId="9" hidden="1"/>
    <cellStyle name="Lien hypertexte visité" xfId="10441" builtinId="9" hidden="1"/>
    <cellStyle name="Lien hypertexte visité" xfId="10377" builtinId="9" hidden="1"/>
    <cellStyle name="Lien hypertexte visité" xfId="10249" builtinId="9" hidden="1"/>
    <cellStyle name="Lien hypertexte visité" xfId="10185" builtinId="9" hidden="1"/>
    <cellStyle name="Lien hypertexte visité" xfId="10121" builtinId="9" hidden="1"/>
    <cellStyle name="Lien hypertexte visité" xfId="9993" builtinId="9" hidden="1"/>
    <cellStyle name="Lien hypertexte visité" xfId="9929" builtinId="9" hidden="1"/>
    <cellStyle name="Lien hypertexte visité" xfId="9865" builtinId="9" hidden="1"/>
    <cellStyle name="Lien hypertexte visité" xfId="9737" builtinId="9" hidden="1"/>
    <cellStyle name="Lien hypertexte visité" xfId="9673" builtinId="9" hidden="1"/>
    <cellStyle name="Lien hypertexte visité" xfId="9609" builtinId="9" hidden="1"/>
    <cellStyle name="Lien hypertexte visité" xfId="9481" builtinId="9" hidden="1"/>
    <cellStyle name="Lien hypertexte visité" xfId="9417" builtinId="9" hidden="1"/>
    <cellStyle name="Lien hypertexte visité" xfId="9353" builtinId="9" hidden="1"/>
    <cellStyle name="Lien hypertexte visité" xfId="9225" builtinId="9" hidden="1"/>
    <cellStyle name="Lien hypertexte visité" xfId="9161" builtinId="9" hidden="1"/>
    <cellStyle name="Lien hypertexte visité" xfId="9097" builtinId="9" hidden="1"/>
    <cellStyle name="Lien hypertexte visité" xfId="8969" builtinId="9" hidden="1"/>
    <cellStyle name="Lien hypertexte visité" xfId="8905" builtinId="9" hidden="1"/>
    <cellStyle name="Lien hypertexte visité" xfId="8841" builtinId="9" hidden="1"/>
    <cellStyle name="Lien hypertexte visité" xfId="8713" builtinId="9" hidden="1"/>
    <cellStyle name="Lien hypertexte visité" xfId="8649" builtinId="9" hidden="1"/>
    <cellStyle name="Lien hypertexte visité" xfId="8585" builtinId="9" hidden="1"/>
    <cellStyle name="Lien hypertexte visité" xfId="8457" builtinId="9" hidden="1"/>
    <cellStyle name="Lien hypertexte visité" xfId="8393" builtinId="9" hidden="1"/>
    <cellStyle name="Lien hypertexte visité" xfId="8329" builtinId="9" hidden="1"/>
    <cellStyle name="Lien hypertexte visité" xfId="8201" builtinId="9" hidden="1"/>
    <cellStyle name="Lien hypertexte visité" xfId="8137" builtinId="9" hidden="1"/>
    <cellStyle name="Lien hypertexte visité" xfId="8073" builtinId="9" hidden="1"/>
    <cellStyle name="Lien hypertexte visité" xfId="7945" builtinId="9" hidden="1"/>
    <cellStyle name="Lien hypertexte visité" xfId="7881" builtinId="9" hidden="1"/>
    <cellStyle name="Lien hypertexte visité" xfId="7817" builtinId="9" hidden="1"/>
    <cellStyle name="Lien hypertexte visité" xfId="7688" builtinId="9" hidden="1"/>
    <cellStyle name="Lien hypertexte visité" xfId="7624" builtinId="9" hidden="1"/>
    <cellStyle name="Lien hypertexte visité" xfId="7560" builtinId="9" hidden="1"/>
    <cellStyle name="Lien hypertexte visité" xfId="7432" builtinId="9" hidden="1"/>
    <cellStyle name="Lien hypertexte visité" xfId="7368" builtinId="9" hidden="1"/>
    <cellStyle name="Lien hypertexte visité" xfId="7304" builtinId="9" hidden="1"/>
    <cellStyle name="Lien hypertexte visité" xfId="7176" builtinId="9" hidden="1"/>
    <cellStyle name="Lien hypertexte visité" xfId="7112" builtinId="9" hidden="1"/>
    <cellStyle name="Lien hypertexte visité" xfId="7048" builtinId="9" hidden="1"/>
    <cellStyle name="Lien hypertexte visité" xfId="6920" builtinId="9" hidden="1"/>
    <cellStyle name="Lien hypertexte visité" xfId="6856" builtinId="9" hidden="1"/>
    <cellStyle name="Lien hypertexte visité" xfId="6792" builtinId="9" hidden="1"/>
    <cellStyle name="Lien hypertexte visité" xfId="6664" builtinId="9" hidden="1"/>
    <cellStyle name="Lien hypertexte visité" xfId="6600" builtinId="9" hidden="1"/>
    <cellStyle name="Lien hypertexte visité" xfId="6536" builtinId="9" hidden="1"/>
    <cellStyle name="Lien hypertexte visité" xfId="6408" builtinId="9" hidden="1"/>
    <cellStyle name="Lien hypertexte visité" xfId="6472" builtinId="9" hidden="1"/>
    <cellStyle name="Lien hypertexte visité" xfId="6728" builtinId="9" hidden="1"/>
    <cellStyle name="Lien hypertexte visité" xfId="6984" builtinId="9" hidden="1"/>
    <cellStyle name="Lien hypertexte visité" xfId="7240" builtinId="9" hidden="1"/>
    <cellStyle name="Lien hypertexte visité" xfId="7496" builtinId="9" hidden="1"/>
    <cellStyle name="Lien hypertexte visité" xfId="7752" builtinId="9" hidden="1"/>
    <cellStyle name="Lien hypertexte visité" xfId="8009" builtinId="9" hidden="1"/>
    <cellStyle name="Lien hypertexte visité" xfId="8265" builtinId="9" hidden="1"/>
    <cellStyle name="Lien hypertexte visité" xfId="8521" builtinId="9" hidden="1"/>
    <cellStyle name="Lien hypertexte visité" xfId="8777" builtinId="9" hidden="1"/>
    <cellStyle name="Lien hypertexte visité" xfId="9033" builtinId="9" hidden="1"/>
    <cellStyle name="Lien hypertexte visité" xfId="9289" builtinId="9" hidden="1"/>
    <cellStyle name="Lien hypertexte visité" xfId="9545" builtinId="9" hidden="1"/>
    <cellStyle name="Lien hypertexte visité" xfId="9801" builtinId="9" hidden="1"/>
    <cellStyle name="Lien hypertexte visité" xfId="10057" builtinId="9" hidden="1"/>
    <cellStyle name="Lien hypertexte visité" xfId="10313" builtinId="9" hidden="1"/>
    <cellStyle name="Lien hypertexte visité" xfId="10569" builtinId="9" hidden="1"/>
    <cellStyle name="Lien hypertexte visité" xfId="10825" builtinId="9" hidden="1"/>
    <cellStyle name="Lien hypertexte visité" xfId="11081" builtinId="9" hidden="1"/>
    <cellStyle name="Lien hypertexte visité" xfId="11337" builtinId="9" hidden="1"/>
    <cellStyle name="Lien hypertexte visité" xfId="11593" builtinId="9" hidden="1"/>
    <cellStyle name="Lien hypertexte visité" xfId="11849" builtinId="9" hidden="1"/>
    <cellStyle name="Lien hypertexte visité" xfId="12105" builtinId="9" hidden="1"/>
    <cellStyle name="Lien hypertexte visité" xfId="12361" builtinId="9" hidden="1"/>
    <cellStyle name="Lien hypertexte visité" xfId="12617" builtinId="9" hidden="1"/>
    <cellStyle name="Lien hypertexte visité" xfId="12873" builtinId="9" hidden="1"/>
    <cellStyle name="Lien hypertexte visité" xfId="13129" builtinId="9" hidden="1"/>
    <cellStyle name="Lien hypertexte visité" xfId="13385" builtinId="9" hidden="1"/>
    <cellStyle name="Lien hypertexte visité" xfId="13641" builtinId="9" hidden="1"/>
    <cellStyle name="Lien hypertexte visité" xfId="13897" builtinId="9" hidden="1"/>
    <cellStyle name="Lien hypertexte visité" xfId="14153" builtinId="9" hidden="1"/>
    <cellStyle name="Lien hypertexte visité" xfId="14409" builtinId="9" hidden="1"/>
    <cellStyle name="Lien hypertexte visité" xfId="14815" builtinId="9" hidden="1"/>
    <cellStyle name="Lien hypertexte visité" xfId="15327" builtinId="9" hidden="1"/>
    <cellStyle name="Lien hypertexte visité" xfId="15839" builtinId="9" hidden="1"/>
    <cellStyle name="Lien hypertexte visité" xfId="16351" builtinId="9" hidden="1"/>
    <cellStyle name="Lien hypertexte visité" xfId="16863" builtinId="9" hidden="1"/>
    <cellStyle name="Lien hypertexte visité" xfId="17375" builtinId="9" hidden="1"/>
    <cellStyle name="Lien hypertexte visité" xfId="17887" builtinId="9" hidden="1"/>
    <cellStyle name="Lien hypertexte visité" xfId="18382" builtinId="9" hidden="1"/>
    <cellStyle name="Lien hypertexte visité" xfId="18894" builtinId="9" hidden="1"/>
    <cellStyle name="Lien hypertexte visité" xfId="19406" builtinId="9" hidden="1"/>
    <cellStyle name="Lien hypertexte visité" xfId="19918" builtinId="9" hidden="1"/>
    <cellStyle name="Lien hypertexte visité" xfId="20430" builtinId="9" hidden="1"/>
    <cellStyle name="Lien hypertexte visité" xfId="20942" builtinId="9" hidden="1"/>
    <cellStyle name="Lien hypertexte visité" xfId="21454" builtinId="9" hidden="1"/>
    <cellStyle name="Lien hypertexte visité" xfId="21966" builtinId="9" hidden="1"/>
    <cellStyle name="Lien hypertexte visité" xfId="22478" builtinId="9" hidden="1"/>
    <cellStyle name="Lien hypertexte visité" xfId="22990" builtinId="9" hidden="1"/>
    <cellStyle name="Lien hypertexte visité" xfId="23502" builtinId="9" hidden="1"/>
    <cellStyle name="Lien hypertexte visité" xfId="24014" builtinId="9" hidden="1"/>
    <cellStyle name="Lien hypertexte visité" xfId="24526" builtinId="9" hidden="1"/>
    <cellStyle name="Lien hypertexte visité" xfId="24188" builtinId="9" hidden="1"/>
    <cellStyle name="Lien hypertexte visité" xfId="23676" builtinId="9" hidden="1"/>
    <cellStyle name="Lien hypertexte visité" xfId="23164" builtinId="9" hidden="1"/>
    <cellStyle name="Lien hypertexte visité" xfId="22652" builtinId="9" hidden="1"/>
    <cellStyle name="Lien hypertexte visité" xfId="22140" builtinId="9" hidden="1"/>
    <cellStyle name="Lien hypertexte visité" xfId="21628" builtinId="9" hidden="1"/>
    <cellStyle name="Lien hypertexte visité" xfId="21116" builtinId="9" hidden="1"/>
    <cellStyle name="Lien hypertexte visité" xfId="20604" builtinId="9" hidden="1"/>
    <cellStyle name="Lien hypertexte visité" xfId="20092" builtinId="9" hidden="1"/>
    <cellStyle name="Lien hypertexte visité" xfId="19580" builtinId="9" hidden="1"/>
    <cellStyle name="Lien hypertexte visité" xfId="19068" builtinId="9" hidden="1"/>
    <cellStyle name="Lien hypertexte visité" xfId="18556" builtinId="9" hidden="1"/>
    <cellStyle name="Lien hypertexte visité" xfId="18061" builtinId="9" hidden="1"/>
    <cellStyle name="Lien hypertexte visité" xfId="17549" builtinId="9" hidden="1"/>
    <cellStyle name="Lien hypertexte visité" xfId="17037" builtinId="9" hidden="1"/>
    <cellStyle name="Lien hypertexte visité" xfId="16525" builtinId="9" hidden="1"/>
    <cellStyle name="Lien hypertexte visité" xfId="16013" builtinId="9" hidden="1"/>
    <cellStyle name="Lien hypertexte visité" xfId="15501" builtinId="9" hidden="1"/>
    <cellStyle name="Lien hypertexte visité" xfId="14989" builtinId="9" hidden="1"/>
    <cellStyle name="Lien hypertexte visité" xfId="14496" builtinId="9" hidden="1"/>
    <cellStyle name="Lien hypertexte visité" xfId="14240" builtinId="9" hidden="1"/>
    <cellStyle name="Lien hypertexte visité" xfId="13984" builtinId="9" hidden="1"/>
    <cellStyle name="Lien hypertexte visité" xfId="13728" builtinId="9" hidden="1"/>
    <cellStyle name="Lien hypertexte visité" xfId="13472" builtinId="9" hidden="1"/>
    <cellStyle name="Lien hypertexte visité" xfId="13216" builtinId="9" hidden="1"/>
    <cellStyle name="Lien hypertexte visité" xfId="12960" builtinId="9" hidden="1"/>
    <cellStyle name="Lien hypertexte visité" xfId="12704" builtinId="9" hidden="1"/>
    <cellStyle name="Lien hypertexte visité" xfId="12448" builtinId="9" hidden="1"/>
    <cellStyle name="Lien hypertexte visité" xfId="12192" builtinId="9" hidden="1"/>
    <cellStyle name="Lien hypertexte visité" xfId="11936" builtinId="9" hidden="1"/>
    <cellStyle name="Lien hypertexte visité" xfId="11680" builtinId="9" hidden="1"/>
    <cellStyle name="Lien hypertexte visité" xfId="11424" builtinId="9" hidden="1"/>
    <cellStyle name="Lien hypertexte visité" xfId="11168" builtinId="9" hidden="1"/>
    <cellStyle name="Lien hypertexte visité" xfId="10912" builtinId="9" hidden="1"/>
    <cellStyle name="Lien hypertexte visité" xfId="10656" builtinId="9" hidden="1"/>
    <cellStyle name="Lien hypertexte visité" xfId="10400" builtinId="9" hidden="1"/>
    <cellStyle name="Lien hypertexte visité" xfId="10144" builtinId="9" hidden="1"/>
    <cellStyle name="Lien hypertexte visité" xfId="9888" builtinId="9" hidden="1"/>
    <cellStyle name="Lien hypertexte visité" xfId="9632" builtinId="9" hidden="1"/>
    <cellStyle name="Lien hypertexte visité" xfId="9376" builtinId="9" hidden="1"/>
    <cellStyle name="Lien hypertexte visité" xfId="9120" builtinId="9" hidden="1"/>
    <cellStyle name="Lien hypertexte visité" xfId="8864" builtinId="9" hidden="1"/>
    <cellStyle name="Lien hypertexte visité" xfId="8936" builtinId="9" hidden="1"/>
    <cellStyle name="Lien hypertexte visité" xfId="9016" builtinId="9" hidden="1"/>
    <cellStyle name="Lien hypertexte visité" xfId="9104" builtinId="9" hidden="1"/>
    <cellStyle name="Lien hypertexte visité" xfId="9192" builtinId="9" hidden="1"/>
    <cellStyle name="Lien hypertexte visité" xfId="9272" builtinId="9" hidden="1"/>
    <cellStyle name="Lien hypertexte visité" xfId="9360" builtinId="9" hidden="1"/>
    <cellStyle name="Lien hypertexte visité" xfId="9448" builtinId="9" hidden="1"/>
    <cellStyle name="Lien hypertexte visité" xfId="9528" builtinId="9" hidden="1"/>
    <cellStyle name="Lien hypertexte visité" xfId="9616" builtinId="9" hidden="1"/>
    <cellStyle name="Lien hypertexte visité" xfId="9704" builtinId="9" hidden="1"/>
    <cellStyle name="Lien hypertexte visité" xfId="9784" builtinId="9" hidden="1"/>
    <cellStyle name="Lien hypertexte visité" xfId="9872" builtinId="9" hidden="1"/>
    <cellStyle name="Lien hypertexte visité" xfId="9960" builtinId="9" hidden="1"/>
    <cellStyle name="Lien hypertexte visité" xfId="10040" builtinId="9" hidden="1"/>
    <cellStyle name="Lien hypertexte visité" xfId="10128" builtinId="9" hidden="1"/>
    <cellStyle name="Lien hypertexte visité" xfId="10216" builtinId="9" hidden="1"/>
    <cellStyle name="Lien hypertexte visité" xfId="10296" builtinId="9" hidden="1"/>
    <cellStyle name="Lien hypertexte visité" xfId="10384" builtinId="9" hidden="1"/>
    <cellStyle name="Lien hypertexte visité" xfId="10472" builtinId="9" hidden="1"/>
    <cellStyle name="Lien hypertexte visité" xfId="10552" builtinId="9" hidden="1"/>
    <cellStyle name="Lien hypertexte visité" xfId="10640" builtinId="9" hidden="1"/>
    <cellStyle name="Lien hypertexte visité" xfId="10728" builtinId="9" hidden="1"/>
    <cellStyle name="Lien hypertexte visité" xfId="10808" builtinId="9" hidden="1"/>
    <cellStyle name="Lien hypertexte visité" xfId="10896" builtinId="9" hidden="1"/>
    <cellStyle name="Lien hypertexte visité" xfId="10984" builtinId="9" hidden="1"/>
    <cellStyle name="Lien hypertexte visité" xfId="11064" builtinId="9" hidden="1"/>
    <cellStyle name="Lien hypertexte visité" xfId="11152" builtinId="9" hidden="1"/>
    <cellStyle name="Lien hypertexte visité" xfId="11240" builtinId="9" hidden="1"/>
    <cellStyle name="Lien hypertexte visité" xfId="11320" builtinId="9" hidden="1"/>
    <cellStyle name="Lien hypertexte visité" xfId="11408" builtinId="9" hidden="1"/>
    <cellStyle name="Lien hypertexte visité" xfId="11496" builtinId="9" hidden="1"/>
    <cellStyle name="Lien hypertexte visité" xfId="11576" builtinId="9" hidden="1"/>
    <cellStyle name="Lien hypertexte visité" xfId="11664" builtinId="9" hidden="1"/>
    <cellStyle name="Lien hypertexte visité" xfId="11752" builtinId="9" hidden="1"/>
    <cellStyle name="Lien hypertexte visité" xfId="11832" builtinId="9" hidden="1"/>
    <cellStyle name="Lien hypertexte visité" xfId="11920" builtinId="9" hidden="1"/>
    <cellStyle name="Lien hypertexte visité" xfId="12008" builtinId="9" hidden="1"/>
    <cellStyle name="Lien hypertexte visité" xfId="12088" builtinId="9" hidden="1"/>
    <cellStyle name="Lien hypertexte visité" xfId="12176" builtinId="9" hidden="1"/>
    <cellStyle name="Lien hypertexte visité" xfId="12264" builtinId="9" hidden="1"/>
    <cellStyle name="Lien hypertexte visité" xfId="12344" builtinId="9" hidden="1"/>
    <cellStyle name="Lien hypertexte visité" xfId="12432" builtinId="9" hidden="1"/>
    <cellStyle name="Lien hypertexte visité" xfId="12520" builtinId="9" hidden="1"/>
    <cellStyle name="Lien hypertexte visité" xfId="12600" builtinId="9" hidden="1"/>
    <cellStyle name="Lien hypertexte visité" xfId="12688" builtinId="9" hidden="1"/>
    <cellStyle name="Lien hypertexte visité" xfId="12776" builtinId="9" hidden="1"/>
    <cellStyle name="Lien hypertexte visité" xfId="12856" builtinId="9" hidden="1"/>
    <cellStyle name="Lien hypertexte visité" xfId="12944" builtinId="9" hidden="1"/>
    <cellStyle name="Lien hypertexte visité" xfId="13032" builtinId="9" hidden="1"/>
    <cellStyle name="Lien hypertexte visité" xfId="13112" builtinId="9" hidden="1"/>
    <cellStyle name="Lien hypertexte visité" xfId="13200" builtinId="9" hidden="1"/>
    <cellStyle name="Lien hypertexte visité" xfId="13288" builtinId="9" hidden="1"/>
    <cellStyle name="Lien hypertexte visité" xfId="13368" builtinId="9" hidden="1"/>
    <cellStyle name="Lien hypertexte visité" xfId="13456" builtinId="9" hidden="1"/>
    <cellStyle name="Lien hypertexte visité" xfId="13544" builtinId="9" hidden="1"/>
    <cellStyle name="Lien hypertexte visité" xfId="13624" builtinId="9" hidden="1"/>
    <cellStyle name="Lien hypertexte visité" xfId="13712" builtinId="9" hidden="1"/>
    <cellStyle name="Lien hypertexte visité" xfId="13800" builtinId="9" hidden="1"/>
    <cellStyle name="Lien hypertexte visité" xfId="13880" builtinId="9" hidden="1"/>
    <cellStyle name="Lien hypertexte visité" xfId="13968" builtinId="9" hidden="1"/>
    <cellStyle name="Lien hypertexte visité" xfId="14056" builtinId="9" hidden="1"/>
    <cellStyle name="Lien hypertexte visité" xfId="14136" builtinId="9" hidden="1"/>
    <cellStyle name="Lien hypertexte visité" xfId="14224" builtinId="9" hidden="1"/>
    <cellStyle name="Lien hypertexte visité" xfId="14312" builtinId="9" hidden="1"/>
    <cellStyle name="Lien hypertexte visité" xfId="14392" builtinId="9" hidden="1"/>
    <cellStyle name="Lien hypertexte visité" xfId="14480" builtinId="9" hidden="1"/>
    <cellStyle name="Lien hypertexte visité" xfId="14621" builtinId="9" hidden="1"/>
    <cellStyle name="Lien hypertexte visité" xfId="14781" builtinId="9" hidden="1"/>
    <cellStyle name="Lien hypertexte visité" xfId="14957" builtinId="9" hidden="1"/>
    <cellStyle name="Lien hypertexte visité" xfId="15133" builtinId="9" hidden="1"/>
    <cellStyle name="Lien hypertexte visité" xfId="15293" builtinId="9" hidden="1"/>
    <cellStyle name="Lien hypertexte visité" xfId="15469" builtinId="9" hidden="1"/>
    <cellStyle name="Lien hypertexte visité" xfId="15645" builtinId="9" hidden="1"/>
    <cellStyle name="Lien hypertexte visité" xfId="15805" builtinId="9" hidden="1"/>
    <cellStyle name="Lien hypertexte visité" xfId="15981" builtinId="9" hidden="1"/>
    <cellStyle name="Lien hypertexte visité" xfId="16157" builtinId="9" hidden="1"/>
    <cellStyle name="Lien hypertexte visité" xfId="16317" builtinId="9" hidden="1"/>
    <cellStyle name="Lien hypertexte visité" xfId="16493" builtinId="9" hidden="1"/>
    <cellStyle name="Lien hypertexte visité" xfId="16669" builtinId="9" hidden="1"/>
    <cellStyle name="Lien hypertexte visité" xfId="16829" builtinId="9" hidden="1"/>
    <cellStyle name="Lien hypertexte visité" xfId="17005" builtinId="9" hidden="1"/>
    <cellStyle name="Lien hypertexte visité" xfId="17181" builtinId="9" hidden="1"/>
    <cellStyle name="Lien hypertexte visité" xfId="17341" builtinId="9" hidden="1"/>
    <cellStyle name="Lien hypertexte visité" xfId="17517" builtinId="9" hidden="1"/>
    <cellStyle name="Lien hypertexte visité" xfId="17693" builtinId="9" hidden="1"/>
    <cellStyle name="Lien hypertexte visité" xfId="17853" builtinId="9" hidden="1"/>
    <cellStyle name="Lien hypertexte visité" xfId="18029" builtinId="9" hidden="1"/>
    <cellStyle name="Lien hypertexte visité" xfId="18205" builtinId="9" hidden="1"/>
    <cellStyle name="Lien hypertexte visité" xfId="18348" builtinId="9" hidden="1"/>
    <cellStyle name="Lien hypertexte visité" xfId="18524" builtinId="9" hidden="1"/>
    <cellStyle name="Lien hypertexte visité" xfId="18700" builtinId="9" hidden="1"/>
    <cellStyle name="Lien hypertexte visité" xfId="18860" builtinId="9" hidden="1"/>
    <cellStyle name="Lien hypertexte visité" xfId="19036" builtinId="9" hidden="1"/>
    <cellStyle name="Lien hypertexte visité" xfId="19212" builtinId="9" hidden="1"/>
    <cellStyle name="Lien hypertexte visité" xfId="19372" builtinId="9" hidden="1"/>
    <cellStyle name="Lien hypertexte visité" xfId="19548" builtinId="9" hidden="1"/>
    <cellStyle name="Lien hypertexte visité" xfId="19724" builtinId="9" hidden="1"/>
    <cellStyle name="Lien hypertexte visité" xfId="19884" builtinId="9" hidden="1"/>
    <cellStyle name="Lien hypertexte visité" xfId="20060" builtinId="9" hidden="1"/>
    <cellStyle name="Lien hypertexte visité" xfId="20236" builtinId="9" hidden="1"/>
    <cellStyle name="Lien hypertexte visité" xfId="20396" builtinId="9" hidden="1"/>
    <cellStyle name="Lien hypertexte visité" xfId="20572" builtinId="9" hidden="1"/>
    <cellStyle name="Lien hypertexte visité" xfId="20748" builtinId="9" hidden="1"/>
    <cellStyle name="Lien hypertexte visité" xfId="20908" builtinId="9" hidden="1"/>
    <cellStyle name="Lien hypertexte visité" xfId="21084" builtinId="9" hidden="1"/>
    <cellStyle name="Lien hypertexte visité" xfId="21260" builtinId="9" hidden="1"/>
    <cellStyle name="Lien hypertexte visité" xfId="21420" builtinId="9" hidden="1"/>
    <cellStyle name="Lien hypertexte visité" xfId="21596" builtinId="9" hidden="1"/>
    <cellStyle name="Lien hypertexte visité" xfId="21772" builtinId="9" hidden="1"/>
    <cellStyle name="Lien hypertexte visité" xfId="21932" builtinId="9" hidden="1"/>
    <cellStyle name="Lien hypertexte visité" xfId="22108" builtinId="9" hidden="1"/>
    <cellStyle name="Lien hypertexte visité" xfId="22284" builtinId="9" hidden="1"/>
    <cellStyle name="Lien hypertexte visité" xfId="22444" builtinId="9" hidden="1"/>
    <cellStyle name="Lien hypertexte visité" xfId="22620" builtinId="9" hidden="1"/>
    <cellStyle name="Lien hypertexte visité" xfId="22796" builtinId="9" hidden="1"/>
    <cellStyle name="Lien hypertexte visité" xfId="22956" builtinId="9" hidden="1"/>
    <cellStyle name="Lien hypertexte visité" xfId="23132" builtinId="9" hidden="1"/>
    <cellStyle name="Lien hypertexte visité" xfId="23308" builtinId="9" hidden="1"/>
    <cellStyle name="Lien hypertexte visité" xfId="23468" builtinId="9" hidden="1"/>
    <cellStyle name="Lien hypertexte visité" xfId="23644" builtinId="9" hidden="1"/>
    <cellStyle name="Lien hypertexte visité" xfId="23820" builtinId="9" hidden="1"/>
    <cellStyle name="Lien hypertexte visité" xfId="23980" builtinId="9" hidden="1"/>
    <cellStyle name="Lien hypertexte visité" xfId="24156" builtinId="9" hidden="1"/>
    <cellStyle name="Lien hypertexte visité" xfId="24332" builtinId="9" hidden="1"/>
    <cellStyle name="Lien hypertexte visité" xfId="24492" builtinId="9" hidden="1"/>
    <cellStyle name="Lien hypertexte visité" xfId="24558" builtinId="9" hidden="1"/>
    <cellStyle name="Lien hypertexte visité" xfId="24382" builtinId="9" hidden="1"/>
    <cellStyle name="Lien hypertexte visité" xfId="24222" builtinId="9" hidden="1"/>
    <cellStyle name="Lien hypertexte visité" xfId="24046" builtinId="9" hidden="1"/>
    <cellStyle name="Lien hypertexte visité" xfId="23870" builtinId="9" hidden="1"/>
    <cellStyle name="Lien hypertexte visité" xfId="23710" builtinId="9" hidden="1"/>
    <cellStyle name="Lien hypertexte visité" xfId="23534" builtinId="9" hidden="1"/>
    <cellStyle name="Lien hypertexte visité" xfId="23358" builtinId="9" hidden="1"/>
    <cellStyle name="Lien hypertexte visité" xfId="23198" builtinId="9" hidden="1"/>
    <cellStyle name="Lien hypertexte visité" xfId="23022" builtinId="9" hidden="1"/>
    <cellStyle name="Lien hypertexte visité" xfId="22846" builtinId="9" hidden="1"/>
    <cellStyle name="Lien hypertexte visité" xfId="22686" builtinId="9" hidden="1"/>
    <cellStyle name="Lien hypertexte visité" xfId="22510" builtinId="9" hidden="1"/>
    <cellStyle name="Lien hypertexte visité" xfId="22334" builtinId="9" hidden="1"/>
    <cellStyle name="Lien hypertexte visité" xfId="22174" builtinId="9" hidden="1"/>
    <cellStyle name="Lien hypertexte visité" xfId="21998" builtinId="9" hidden="1"/>
    <cellStyle name="Lien hypertexte visité" xfId="21822" builtinId="9" hidden="1"/>
    <cellStyle name="Lien hypertexte visité" xfId="21662" builtinId="9" hidden="1"/>
    <cellStyle name="Lien hypertexte visité" xfId="21486" builtinId="9" hidden="1"/>
    <cellStyle name="Lien hypertexte visité" xfId="21310" builtinId="9" hidden="1"/>
    <cellStyle name="Lien hypertexte visité" xfId="21150" builtinId="9" hidden="1"/>
    <cellStyle name="Lien hypertexte visité" xfId="20974" builtinId="9" hidden="1"/>
    <cellStyle name="Lien hypertexte visité" xfId="20798" builtinId="9" hidden="1"/>
    <cellStyle name="Lien hypertexte visité" xfId="20638" builtinId="9" hidden="1"/>
    <cellStyle name="Lien hypertexte visité" xfId="20462" builtinId="9" hidden="1"/>
    <cellStyle name="Lien hypertexte visité" xfId="20286" builtinId="9" hidden="1"/>
    <cellStyle name="Lien hypertexte visité" xfId="20126" builtinId="9" hidden="1"/>
    <cellStyle name="Lien hypertexte visité" xfId="19950" builtinId="9" hidden="1"/>
    <cellStyle name="Lien hypertexte visité" xfId="19774" builtinId="9" hidden="1"/>
    <cellStyle name="Lien hypertexte visité" xfId="19614" builtinId="9" hidden="1"/>
    <cellStyle name="Lien hypertexte visité" xfId="19438" builtinId="9" hidden="1"/>
    <cellStyle name="Lien hypertexte visité" xfId="19262" builtinId="9" hidden="1"/>
    <cellStyle name="Lien hypertexte visité" xfId="19102" builtinId="9" hidden="1"/>
    <cellStyle name="Lien hypertexte visité" xfId="18926" builtinId="9" hidden="1"/>
    <cellStyle name="Lien hypertexte visité" xfId="18750" builtinId="9" hidden="1"/>
    <cellStyle name="Lien hypertexte visité" xfId="18590" builtinId="9" hidden="1"/>
    <cellStyle name="Lien hypertexte visité" xfId="18414" builtinId="9" hidden="1"/>
    <cellStyle name="Lien hypertexte visité" xfId="18255" builtinId="9" hidden="1"/>
    <cellStyle name="Lien hypertexte visité" xfId="18095" builtinId="9" hidden="1"/>
    <cellStyle name="Lien hypertexte visité" xfId="17919" builtinId="9" hidden="1"/>
    <cellStyle name="Lien hypertexte visité" xfId="17743" builtinId="9" hidden="1"/>
    <cellStyle name="Lien hypertexte visité" xfId="17583" builtinId="9" hidden="1"/>
    <cellStyle name="Lien hypertexte visité" xfId="17407" builtinId="9" hidden="1"/>
    <cellStyle name="Lien hypertexte visité" xfId="17231" builtinId="9" hidden="1"/>
    <cellStyle name="Lien hypertexte visité" xfId="17071" builtinId="9" hidden="1"/>
    <cellStyle name="Lien hypertexte visité" xfId="16895" builtinId="9" hidden="1"/>
    <cellStyle name="Lien hypertexte visité" xfId="16719" builtinId="9" hidden="1"/>
    <cellStyle name="Lien hypertexte visité" xfId="16559" builtinId="9" hidden="1"/>
    <cellStyle name="Lien hypertexte visité" xfId="16383" builtinId="9" hidden="1"/>
    <cellStyle name="Lien hypertexte visité" xfId="16207" builtinId="9" hidden="1"/>
    <cellStyle name="Lien hypertexte visité" xfId="16047" builtinId="9" hidden="1"/>
    <cellStyle name="Lien hypertexte visité" xfId="15871" builtinId="9" hidden="1"/>
    <cellStyle name="Lien hypertexte visité" xfId="15695" builtinId="9" hidden="1"/>
    <cellStyle name="Lien hypertexte visité" xfId="15535" builtinId="9" hidden="1"/>
    <cellStyle name="Lien hypertexte visité" xfId="15359" builtinId="9" hidden="1"/>
    <cellStyle name="Lien hypertexte visité" xfId="15183" builtinId="9" hidden="1"/>
    <cellStyle name="Lien hypertexte visité" xfId="15023" builtinId="9" hidden="1"/>
    <cellStyle name="Lien hypertexte visité" xfId="14847" builtinId="9" hidden="1"/>
    <cellStyle name="Lien hypertexte visité" xfId="14671" builtinId="9" hidden="1"/>
    <cellStyle name="Lien hypertexte visité" xfId="14513" builtinId="9" hidden="1"/>
    <cellStyle name="Lien hypertexte visité" xfId="14425" builtinId="9" hidden="1"/>
    <cellStyle name="Lien hypertexte visité" xfId="14337" builtinId="9" hidden="1"/>
    <cellStyle name="Lien hypertexte visité" xfId="14257" builtinId="9" hidden="1"/>
    <cellStyle name="Lien hypertexte visité" xfId="14169" builtinId="9" hidden="1"/>
    <cellStyle name="Lien hypertexte visité" xfId="14081" builtinId="9" hidden="1"/>
    <cellStyle name="Lien hypertexte visité" xfId="14001" builtinId="9" hidden="1"/>
    <cellStyle name="Lien hypertexte visité" xfId="13913" builtinId="9" hidden="1"/>
    <cellStyle name="Lien hypertexte visité" xfId="13825" builtinId="9" hidden="1"/>
    <cellStyle name="Lien hypertexte visité" xfId="13745" builtinId="9" hidden="1"/>
    <cellStyle name="Lien hypertexte visité" xfId="13657" builtinId="9" hidden="1"/>
    <cellStyle name="Lien hypertexte visité" xfId="13569" builtinId="9" hidden="1"/>
    <cellStyle name="Lien hypertexte visité" xfId="13489" builtinId="9" hidden="1"/>
    <cellStyle name="Lien hypertexte visité" xfId="13401" builtinId="9" hidden="1"/>
    <cellStyle name="Lien hypertexte visité" xfId="13313" builtinId="9" hidden="1"/>
    <cellStyle name="Lien hypertexte visité" xfId="13233" builtinId="9" hidden="1"/>
    <cellStyle name="Lien hypertexte visité" xfId="13145" builtinId="9" hidden="1"/>
    <cellStyle name="Lien hypertexte visité" xfId="13057" builtinId="9" hidden="1"/>
    <cellStyle name="Lien hypertexte visité" xfId="12977" builtinId="9" hidden="1"/>
    <cellStyle name="Lien hypertexte visité" xfId="12889" builtinId="9" hidden="1"/>
    <cellStyle name="Lien hypertexte visité" xfId="12801" builtinId="9" hidden="1"/>
    <cellStyle name="Lien hypertexte visité" xfId="12721" builtinId="9" hidden="1"/>
    <cellStyle name="Lien hypertexte visité" xfId="12633" builtinId="9" hidden="1"/>
    <cellStyle name="Lien hypertexte visité" xfId="12545" builtinId="9" hidden="1"/>
    <cellStyle name="Lien hypertexte visité" xfId="12465" builtinId="9" hidden="1"/>
    <cellStyle name="Lien hypertexte visité" xfId="12377" builtinId="9" hidden="1"/>
    <cellStyle name="Lien hypertexte visité" xfId="12289" builtinId="9" hidden="1"/>
    <cellStyle name="Lien hypertexte visité" xfId="12209" builtinId="9" hidden="1"/>
    <cellStyle name="Lien hypertexte visité" xfId="12121" builtinId="9" hidden="1"/>
    <cellStyle name="Lien hypertexte visité" xfId="12033" builtinId="9" hidden="1"/>
    <cellStyle name="Lien hypertexte visité" xfId="11953" builtinId="9" hidden="1"/>
    <cellStyle name="Lien hypertexte visité" xfId="11865" builtinId="9" hidden="1"/>
    <cellStyle name="Lien hypertexte visité" xfId="11777" builtinId="9" hidden="1"/>
    <cellStyle name="Lien hypertexte visité" xfId="11697" builtinId="9" hidden="1"/>
    <cellStyle name="Lien hypertexte visité" xfId="11609" builtinId="9" hidden="1"/>
    <cellStyle name="Lien hypertexte visité" xfId="11521" builtinId="9" hidden="1"/>
    <cellStyle name="Lien hypertexte visité" xfId="11441" builtinId="9" hidden="1"/>
    <cellStyle name="Lien hypertexte visité" xfId="11353" builtinId="9" hidden="1"/>
    <cellStyle name="Lien hypertexte visité" xfId="11265" builtinId="9" hidden="1"/>
    <cellStyle name="Lien hypertexte visité" xfId="11185" builtinId="9" hidden="1"/>
    <cellStyle name="Lien hypertexte visité" xfId="11097" builtinId="9" hidden="1"/>
    <cellStyle name="Lien hypertexte visité" xfId="11009" builtinId="9" hidden="1"/>
    <cellStyle name="Lien hypertexte visité" xfId="10929" builtinId="9" hidden="1"/>
    <cellStyle name="Lien hypertexte visité" xfId="10841" builtinId="9" hidden="1"/>
    <cellStyle name="Lien hypertexte visité" xfId="10753" builtinId="9" hidden="1"/>
    <cellStyle name="Lien hypertexte visité" xfId="10673" builtinId="9" hidden="1"/>
    <cellStyle name="Lien hypertexte visité" xfId="10585" builtinId="9" hidden="1"/>
    <cellStyle name="Lien hypertexte visité" xfId="10497" builtinId="9" hidden="1"/>
    <cellStyle name="Lien hypertexte visité" xfId="10417" builtinId="9" hidden="1"/>
    <cellStyle name="Lien hypertexte visité" xfId="10329" builtinId="9" hidden="1"/>
    <cellStyle name="Lien hypertexte visité" xfId="10241" builtinId="9" hidden="1"/>
    <cellStyle name="Lien hypertexte visité" xfId="10161" builtinId="9" hidden="1"/>
    <cellStyle name="Lien hypertexte visité" xfId="10073" builtinId="9" hidden="1"/>
    <cellStyle name="Lien hypertexte visité" xfId="9985" builtinId="9" hidden="1"/>
    <cellStyle name="Lien hypertexte visité" xfId="9905" builtinId="9" hidden="1"/>
    <cellStyle name="Lien hypertexte visité" xfId="9817" builtinId="9" hidden="1"/>
    <cellStyle name="Lien hypertexte visité" xfId="9729" builtinId="9" hidden="1"/>
    <cellStyle name="Lien hypertexte visité" xfId="9649" builtinId="9" hidden="1"/>
    <cellStyle name="Lien hypertexte visité" xfId="9561" builtinId="9" hidden="1"/>
    <cellStyle name="Lien hypertexte visité" xfId="9473" builtinId="9" hidden="1"/>
    <cellStyle name="Lien hypertexte visité" xfId="9393" builtinId="9" hidden="1"/>
    <cellStyle name="Lien hypertexte visité" xfId="9305" builtinId="9" hidden="1"/>
    <cellStyle name="Lien hypertexte visité" xfId="9217" builtinId="9" hidden="1"/>
    <cellStyle name="Lien hypertexte visité" xfId="9137" builtinId="9" hidden="1"/>
    <cellStyle name="Lien hypertexte visité" xfId="9049" builtinId="9" hidden="1"/>
    <cellStyle name="Lien hypertexte visité" xfId="8961" builtinId="9" hidden="1"/>
    <cellStyle name="Lien hypertexte visité" xfId="8881" builtinId="9" hidden="1"/>
    <cellStyle name="Lien hypertexte visité" xfId="8793" builtinId="9" hidden="1"/>
    <cellStyle name="Lien hypertexte visité" xfId="8705" builtinId="9" hidden="1"/>
    <cellStyle name="Lien hypertexte visité" xfId="8625" builtinId="9" hidden="1"/>
    <cellStyle name="Lien hypertexte visité" xfId="8537" builtinId="9" hidden="1"/>
    <cellStyle name="Lien hypertexte visité" xfId="8449" builtinId="9" hidden="1"/>
    <cellStyle name="Lien hypertexte visité" xfId="8369" builtinId="9" hidden="1"/>
    <cellStyle name="Lien hypertexte visité" xfId="8281" builtinId="9" hidden="1"/>
    <cellStyle name="Lien hypertexte visité" xfId="8193" builtinId="9" hidden="1"/>
    <cellStyle name="Lien hypertexte visité" xfId="8113" builtinId="9" hidden="1"/>
    <cellStyle name="Lien hypertexte visité" xfId="8025" builtinId="9" hidden="1"/>
    <cellStyle name="Lien hypertexte visité" xfId="7937" builtinId="9" hidden="1"/>
    <cellStyle name="Lien hypertexte visité" xfId="7857" builtinId="9" hidden="1"/>
    <cellStyle name="Lien hypertexte visité" xfId="7768" builtinId="9" hidden="1"/>
    <cellStyle name="Lien hypertexte visité" xfId="7680" builtinId="9" hidden="1"/>
    <cellStyle name="Lien hypertexte visité" xfId="7600" builtinId="9" hidden="1"/>
    <cellStyle name="Lien hypertexte visité" xfId="7512" builtinId="9" hidden="1"/>
    <cellStyle name="Lien hypertexte visité" xfId="7424" builtinId="9" hidden="1"/>
    <cellStyle name="Lien hypertexte visité" xfId="7344" builtinId="9" hidden="1"/>
    <cellStyle name="Lien hypertexte visité" xfId="7256" builtinId="9" hidden="1"/>
    <cellStyle name="Lien hypertexte visité" xfId="7168" builtinId="9" hidden="1"/>
    <cellStyle name="Lien hypertexte visité" xfId="7088" builtinId="9" hidden="1"/>
    <cellStyle name="Lien hypertexte visité" xfId="7000" builtinId="9" hidden="1"/>
    <cellStyle name="Lien hypertexte visité" xfId="6912" builtinId="9" hidden="1"/>
    <cellStyle name="Lien hypertexte visité" xfId="6832" builtinId="9" hidden="1"/>
    <cellStyle name="Lien hypertexte visité" xfId="6744" builtinId="9" hidden="1"/>
    <cellStyle name="Lien hypertexte visité" xfId="6656" builtinId="9" hidden="1"/>
    <cellStyle name="Lien hypertexte visité" xfId="6576" builtinId="9" hidden="1"/>
    <cellStyle name="Lien hypertexte visité" xfId="6488" builtinId="9" hidden="1"/>
    <cellStyle name="Lien hypertexte visité" xfId="6400" builtinId="9" hidden="1"/>
    <cellStyle name="Lien hypertexte visité" xfId="6320" builtinId="9" hidden="1"/>
    <cellStyle name="Lien hypertexte visité" xfId="6232" builtinId="9" hidden="1"/>
    <cellStyle name="Lien hypertexte visité" xfId="6144" builtinId="9" hidden="1"/>
    <cellStyle name="Lien hypertexte visité" xfId="6064" builtinId="9" hidden="1"/>
    <cellStyle name="Lien hypertexte visité" xfId="5976" builtinId="9" hidden="1"/>
    <cellStyle name="Lien hypertexte visité" xfId="5888" builtinId="9" hidden="1"/>
    <cellStyle name="Lien hypertexte visité" xfId="5808" builtinId="9" hidden="1"/>
    <cellStyle name="Lien hypertexte visité" xfId="5720" builtinId="9" hidden="1"/>
    <cellStyle name="Lien hypertexte visité" xfId="5632" builtinId="9" hidden="1"/>
    <cellStyle name="Lien hypertexte visité" xfId="5552" builtinId="9" hidden="1"/>
    <cellStyle name="Lien hypertexte visité" xfId="5464" builtinId="9" hidden="1"/>
    <cellStyle name="Lien hypertexte visité" xfId="5376" builtinId="9" hidden="1"/>
    <cellStyle name="Lien hypertexte visité" xfId="5296" builtinId="9" hidden="1"/>
    <cellStyle name="Lien hypertexte visité" xfId="5208" builtinId="9" hidden="1"/>
    <cellStyle name="Lien hypertexte visité" xfId="5120" builtinId="9" hidden="1"/>
    <cellStyle name="Lien hypertexte visité" xfId="5040" builtinId="9" hidden="1"/>
    <cellStyle name="Lien hypertexte visité" xfId="4952" builtinId="9" hidden="1"/>
    <cellStyle name="Lien hypertexte visité" xfId="4864" builtinId="9" hidden="1"/>
    <cellStyle name="Lien hypertexte visité" xfId="4784" builtinId="9" hidden="1"/>
    <cellStyle name="Lien hypertexte visité" xfId="4696" builtinId="9" hidden="1"/>
    <cellStyle name="Lien hypertexte visité" xfId="4608" builtinId="9" hidden="1"/>
    <cellStyle name="Lien hypertexte visité" xfId="4528" builtinId="9" hidden="1"/>
    <cellStyle name="Lien hypertexte visité" xfId="4440" builtinId="9" hidden="1"/>
    <cellStyle name="Lien hypertexte visité" xfId="4352" builtinId="9" hidden="1"/>
    <cellStyle name="Lien hypertexte visité" xfId="4272" builtinId="9" hidden="1"/>
    <cellStyle name="Lien hypertexte visité" xfId="4184" builtinId="9" hidden="1"/>
    <cellStyle name="Lien hypertexte visité" xfId="4096" builtinId="9" hidden="1"/>
    <cellStyle name="Lien hypertexte visité" xfId="4016" builtinId="9" hidden="1"/>
    <cellStyle name="Lien hypertexte visité" xfId="3928" builtinId="9" hidden="1"/>
    <cellStyle name="Lien hypertexte visité" xfId="3843" builtinId="9" hidden="1"/>
    <cellStyle name="Lien hypertexte visité" xfId="3763" builtinId="9" hidden="1"/>
    <cellStyle name="Lien hypertexte visité" xfId="3672" builtinId="9" hidden="1"/>
    <cellStyle name="Lien hypertexte visité" xfId="3579" builtinId="9" hidden="1"/>
    <cellStyle name="Lien hypertexte visité" xfId="3498" builtinId="9" hidden="1"/>
    <cellStyle name="Lien hypertexte visité" xfId="3410" builtinId="9" hidden="1"/>
    <cellStyle name="Lien hypertexte visité" xfId="3322" builtinId="9" hidden="1"/>
    <cellStyle name="Lien hypertexte visité" xfId="3242" builtinId="9" hidden="1"/>
    <cellStyle name="Lien hypertexte visité" xfId="3154" builtinId="9" hidden="1"/>
    <cellStyle name="Lien hypertexte visité" xfId="3066" builtinId="9" hidden="1"/>
    <cellStyle name="Lien hypertexte visité" xfId="2986" builtinId="9" hidden="1"/>
    <cellStyle name="Lien hypertexte visité" xfId="2898" builtinId="9" hidden="1"/>
    <cellStyle name="Lien hypertexte visité" xfId="2810" builtinId="9" hidden="1"/>
    <cellStyle name="Lien hypertexte visité" xfId="2730" builtinId="9" hidden="1"/>
    <cellStyle name="Lien hypertexte visité" xfId="2642" builtinId="9" hidden="1"/>
    <cellStyle name="Lien hypertexte visité" xfId="2554" builtinId="9" hidden="1"/>
    <cellStyle name="Lien hypertexte visité" xfId="2474" builtinId="9" hidden="1"/>
    <cellStyle name="Lien hypertexte visité" xfId="2386" builtinId="9" hidden="1"/>
    <cellStyle name="Lien hypertexte visité" xfId="2298" builtinId="9" hidden="1"/>
    <cellStyle name="Lien hypertexte visité" xfId="2218" builtinId="9" hidden="1"/>
    <cellStyle name="Lien hypertexte visité" xfId="2130" builtinId="9" hidden="1"/>
    <cellStyle name="Lien hypertexte visité" xfId="2042" builtinId="9" hidden="1"/>
    <cellStyle name="Lien hypertexte visité" xfId="1962" builtinId="9" hidden="1"/>
    <cellStyle name="Lien hypertexte visité" xfId="1874" builtinId="9" hidden="1"/>
    <cellStyle name="Lien hypertexte visité" xfId="1786" builtinId="9" hidden="1"/>
    <cellStyle name="Lien hypertexte visité" xfId="1706" builtinId="9" hidden="1"/>
    <cellStyle name="Lien hypertexte visité" xfId="1618" builtinId="9" hidden="1"/>
    <cellStyle name="Lien hypertexte visité" xfId="1530" builtinId="9" hidden="1"/>
    <cellStyle name="Lien hypertexte visité" xfId="1449" builtinId="9" hidden="1"/>
    <cellStyle name="Lien hypertexte visité" xfId="1361" builtinId="9" hidden="1"/>
    <cellStyle name="Lien hypertexte visité" xfId="1273" builtinId="9" hidden="1"/>
    <cellStyle name="Lien hypertexte visité" xfId="1193" builtinId="9" hidden="1"/>
    <cellStyle name="Lien hypertexte visité" xfId="1047" builtinId="9" hidden="1"/>
    <cellStyle name="Lien hypertexte visité" xfId="871" builtinId="9" hidden="1"/>
    <cellStyle name="Lien hypertexte visité" xfId="711" builtinId="9" hidden="1"/>
    <cellStyle name="Lien hypertexte visité" xfId="535" builtinId="9" hidden="1"/>
    <cellStyle name="Lien hypertexte visité" xfId="359" builtinId="9" hidden="1"/>
    <cellStyle name="Lien hypertexte visité" xfId="199" builtinId="9" hidden="1"/>
    <cellStyle name="Lien hypertexte visité" xfId="59" builtinId="9" hidden="1"/>
    <cellStyle name="Lien hypertexte visité" xfId="123" builtinId="9" hidden="1"/>
    <cellStyle name="Lien hypertexte visité" xfId="283" builtinId="9" hidden="1"/>
    <cellStyle name="Lien hypertexte visité" xfId="459" builtinId="9" hidden="1"/>
    <cellStyle name="Lien hypertexte visité" xfId="8848" builtinId="9" hidden="1"/>
    <cellStyle name="Lien hypertexte visité" xfId="8720" builtinId="9" hidden="1"/>
    <cellStyle name="Lien hypertexte visité" xfId="8592" builtinId="9" hidden="1"/>
    <cellStyle name="Lien hypertexte visité" xfId="8464" builtinId="9" hidden="1"/>
    <cellStyle name="Lien hypertexte visité" xfId="8336" builtinId="9" hidden="1"/>
    <cellStyle name="Lien hypertexte visité" xfId="8208" builtinId="9" hidden="1"/>
    <cellStyle name="Lien hypertexte visité" xfId="8080" builtinId="9" hidden="1"/>
    <cellStyle name="Lien hypertexte visité" xfId="7952" builtinId="9" hidden="1"/>
    <cellStyle name="Lien hypertexte visité" xfId="7824" builtinId="9" hidden="1"/>
    <cellStyle name="Lien hypertexte visité" xfId="7695" builtinId="9" hidden="1"/>
    <cellStyle name="Lien hypertexte visité" xfId="7567" builtinId="9" hidden="1"/>
    <cellStyle name="Lien hypertexte visité" xfId="7439" builtinId="9" hidden="1"/>
    <cellStyle name="Lien hypertexte visité" xfId="7311" builtinId="9" hidden="1"/>
    <cellStyle name="Lien hypertexte visité" xfId="7183" builtinId="9" hidden="1"/>
    <cellStyle name="Lien hypertexte visité" xfId="7055" builtinId="9" hidden="1"/>
    <cellStyle name="Lien hypertexte visité" xfId="6927" builtinId="9" hidden="1"/>
    <cellStyle name="Lien hypertexte visité" xfId="6799" builtinId="9" hidden="1"/>
    <cellStyle name="Lien hypertexte visité" xfId="6671" builtinId="9" hidden="1"/>
    <cellStyle name="Lien hypertexte visité" xfId="6543" builtinId="9" hidden="1"/>
    <cellStyle name="Lien hypertexte visité" xfId="6415" builtinId="9" hidden="1"/>
    <cellStyle name="Lien hypertexte visité" xfId="6287" builtinId="9" hidden="1"/>
    <cellStyle name="Lien hypertexte visité" xfId="6159" builtinId="9" hidden="1"/>
    <cellStyle name="Lien hypertexte visité" xfId="6031" builtinId="9" hidden="1"/>
    <cellStyle name="Lien hypertexte visité" xfId="5903" builtinId="9" hidden="1"/>
    <cellStyle name="Lien hypertexte visité" xfId="5775" builtinId="9" hidden="1"/>
    <cellStyle name="Lien hypertexte visité" xfId="5647" builtinId="9" hidden="1"/>
    <cellStyle name="Lien hypertexte visité" xfId="5519" builtinId="9" hidden="1"/>
    <cellStyle name="Lien hypertexte visité" xfId="5391" builtinId="9" hidden="1"/>
    <cellStyle name="Lien hypertexte visité" xfId="5263" builtinId="9" hidden="1"/>
    <cellStyle name="Lien hypertexte visité" xfId="5135" builtinId="9" hidden="1"/>
    <cellStyle name="Lien hypertexte visité" xfId="5007" builtinId="9" hidden="1"/>
    <cellStyle name="Lien hypertexte visité" xfId="4879" builtinId="9" hidden="1"/>
    <cellStyle name="Lien hypertexte visité" xfId="4751" builtinId="9" hidden="1"/>
    <cellStyle name="Lien hypertexte visité" xfId="4623" builtinId="9" hidden="1"/>
    <cellStyle name="Lien hypertexte visité" xfId="4495" builtinId="9" hidden="1"/>
    <cellStyle name="Lien hypertexte visité" xfId="4367" builtinId="9" hidden="1"/>
    <cellStyle name="Lien hypertexte visité" xfId="4239" builtinId="9" hidden="1"/>
    <cellStyle name="Lien hypertexte visité" xfId="4111" builtinId="9" hidden="1"/>
    <cellStyle name="Lien hypertexte visité" xfId="3983" builtinId="9" hidden="1"/>
    <cellStyle name="Lien hypertexte visité" xfId="3858" builtinId="9" hidden="1"/>
    <cellStyle name="Lien hypertexte visité" xfId="3730" builtinId="9" hidden="1"/>
    <cellStyle name="Lien hypertexte visité" xfId="3594" builtinId="9" hidden="1"/>
    <cellStyle name="Lien hypertexte visité" xfId="3465" builtinId="9" hidden="1"/>
    <cellStyle name="Lien hypertexte visité" xfId="3337" builtinId="9" hidden="1"/>
    <cellStyle name="Lien hypertexte visité" xfId="3209" builtinId="9" hidden="1"/>
    <cellStyle name="Lien hypertexte visité" xfId="3081" builtinId="9" hidden="1"/>
    <cellStyle name="Lien hypertexte visité" xfId="2953" builtinId="9" hidden="1"/>
    <cellStyle name="Lien hypertexte visité" xfId="2825" builtinId="9" hidden="1"/>
    <cellStyle name="Lien hypertexte visité" xfId="2697" builtinId="9" hidden="1"/>
    <cellStyle name="Lien hypertexte visité" xfId="2569" builtinId="9" hidden="1"/>
    <cellStyle name="Lien hypertexte visité" xfId="2441" builtinId="9" hidden="1"/>
    <cellStyle name="Lien hypertexte visité" xfId="2313" builtinId="9" hidden="1"/>
    <cellStyle name="Lien hypertexte visité" xfId="2185" builtinId="9" hidden="1"/>
    <cellStyle name="Lien hypertexte visité" xfId="2057" builtinId="9" hidden="1"/>
    <cellStyle name="Lien hypertexte visité" xfId="1929" builtinId="9" hidden="1"/>
    <cellStyle name="Lien hypertexte visité" xfId="1801" builtinId="9" hidden="1"/>
    <cellStyle name="Lien hypertexte visité" xfId="1673" builtinId="9" hidden="1"/>
    <cellStyle name="Lien hypertexte visité" xfId="1545" builtinId="9" hidden="1"/>
    <cellStyle name="Lien hypertexte visité" xfId="1416" builtinId="9" hidden="1"/>
    <cellStyle name="Lien hypertexte visité" xfId="1288" builtinId="9" hidden="1"/>
    <cellStyle name="Lien hypertexte visité" xfId="1160" builtinId="9" hidden="1"/>
    <cellStyle name="Lien hypertexte visité" xfId="901" builtinId="9" hidden="1"/>
    <cellStyle name="Lien hypertexte visité" xfId="645" builtinId="9" hidden="1"/>
    <cellStyle name="Lien hypertexte visité" xfId="389" builtinId="9" hidden="1"/>
    <cellStyle name="Lien hypertexte visité" xfId="229" builtinId="9" hidden="1"/>
    <cellStyle name="Lien hypertexte visité" xfId="205" builtinId="9" hidden="1"/>
    <cellStyle name="Lien hypertexte visité" xfId="349" builtinId="9" hidden="1"/>
    <cellStyle name="Lien hypertexte visité" xfId="605" builtinId="9" hidden="1"/>
    <cellStyle name="Lien hypertexte visité" xfId="861" builtinId="9" hidden="1"/>
    <cellStyle name="Lien hypertexte visité" xfId="1117" builtinId="9" hidden="1"/>
    <cellStyle name="Lien hypertexte visité" xfId="1268" builtinId="9" hidden="1"/>
    <cellStyle name="Lien hypertexte visité" xfId="1396" builtinId="9" hidden="1"/>
    <cellStyle name="Lien hypertexte visité" xfId="1525" builtinId="9" hidden="1"/>
    <cellStyle name="Lien hypertexte visité" xfId="1653" builtinId="9" hidden="1"/>
    <cellStyle name="Lien hypertexte visité" xfId="1781" builtinId="9" hidden="1"/>
    <cellStyle name="Lien hypertexte visité" xfId="1909" builtinId="9" hidden="1"/>
    <cellStyle name="Lien hypertexte visité" xfId="2037" builtinId="9" hidden="1"/>
    <cellStyle name="Lien hypertexte visité" xfId="2165" builtinId="9" hidden="1"/>
    <cellStyle name="Lien hypertexte visité" xfId="2293" builtinId="9" hidden="1"/>
    <cellStyle name="Lien hypertexte visité" xfId="2421" builtinId="9" hidden="1"/>
    <cellStyle name="Lien hypertexte visité" xfId="2549" builtinId="9" hidden="1"/>
    <cellStyle name="Lien hypertexte visité" xfId="2677" builtinId="9" hidden="1"/>
    <cellStyle name="Lien hypertexte visité" xfId="2805" builtinId="9" hidden="1"/>
    <cellStyle name="Lien hypertexte visité" xfId="2933" builtinId="9" hidden="1"/>
    <cellStyle name="Lien hypertexte visité" xfId="3061" builtinId="9" hidden="1"/>
    <cellStyle name="Lien hypertexte visité" xfId="3189" builtinId="9" hidden="1"/>
    <cellStyle name="Lien hypertexte visité" xfId="3317" builtinId="9" hidden="1"/>
    <cellStyle name="Lien hypertexte visité" xfId="3445" builtinId="9" hidden="1"/>
    <cellStyle name="Lien hypertexte visité" xfId="3574" builtinId="9" hidden="1"/>
    <cellStyle name="Lien hypertexte visité" xfId="3710" builtinId="9" hidden="1"/>
    <cellStyle name="Lien hypertexte visité" xfId="3838" builtinId="9" hidden="1"/>
    <cellStyle name="Lien hypertexte visité" xfId="3963" builtinId="9" hidden="1"/>
    <cellStyle name="Lien hypertexte visité" xfId="4091" builtinId="9" hidden="1"/>
    <cellStyle name="Lien hypertexte visité" xfId="4219" builtinId="9" hidden="1"/>
    <cellStyle name="Lien hypertexte visité" xfId="4347" builtinId="9" hidden="1"/>
    <cellStyle name="Lien hypertexte visité" xfId="4475" builtinId="9" hidden="1"/>
    <cellStyle name="Lien hypertexte visité" xfId="4603" builtinId="9" hidden="1"/>
    <cellStyle name="Lien hypertexte visité" xfId="4731" builtinId="9" hidden="1"/>
    <cellStyle name="Lien hypertexte visité" xfId="4859" builtinId="9" hidden="1"/>
    <cellStyle name="Lien hypertexte visité" xfId="4987" builtinId="9" hidden="1"/>
    <cellStyle name="Lien hypertexte visité" xfId="5115" builtinId="9" hidden="1"/>
    <cellStyle name="Lien hypertexte visité" xfId="5243" builtinId="9" hidden="1"/>
    <cellStyle name="Lien hypertexte visité" xfId="5371" builtinId="9" hidden="1"/>
    <cellStyle name="Lien hypertexte visité" xfId="5499" builtinId="9" hidden="1"/>
    <cellStyle name="Lien hypertexte visité" xfId="5627" builtinId="9" hidden="1"/>
    <cellStyle name="Lien hypertexte visité" xfId="5755" builtinId="9" hidden="1"/>
    <cellStyle name="Lien hypertexte visité" xfId="5883" builtinId="9" hidden="1"/>
    <cellStyle name="Lien hypertexte visité" xfId="6011" builtinId="9" hidden="1"/>
    <cellStyle name="Lien hypertexte visité" xfId="6139" builtinId="9" hidden="1"/>
    <cellStyle name="Lien hypertexte visité" xfId="6267" builtinId="9" hidden="1"/>
    <cellStyle name="Lien hypertexte visité" xfId="6395" builtinId="9" hidden="1"/>
    <cellStyle name="Lien hypertexte visité" xfId="6523" builtinId="9" hidden="1"/>
    <cellStyle name="Lien hypertexte visité" xfId="6651" builtinId="9" hidden="1"/>
    <cellStyle name="Lien hypertexte visité" xfId="6779" builtinId="9" hidden="1"/>
    <cellStyle name="Lien hypertexte visité" xfId="6907" builtinId="9" hidden="1"/>
    <cellStyle name="Lien hypertexte visité" xfId="7035" builtinId="9" hidden="1"/>
    <cellStyle name="Lien hypertexte visité" xfId="7163" builtinId="9" hidden="1"/>
    <cellStyle name="Lien hypertexte visité" xfId="7291" builtinId="9" hidden="1"/>
    <cellStyle name="Lien hypertexte visité" xfId="7419" builtinId="9" hidden="1"/>
    <cellStyle name="Lien hypertexte visité" xfId="7547" builtinId="9" hidden="1"/>
    <cellStyle name="Lien hypertexte visité" xfId="7675" builtinId="9" hidden="1"/>
    <cellStyle name="Lien hypertexte visité" xfId="7803" builtinId="9" hidden="1"/>
    <cellStyle name="Lien hypertexte visité" xfId="7932" builtinId="9" hidden="1"/>
    <cellStyle name="Lien hypertexte visité" xfId="8060" builtinId="9" hidden="1"/>
    <cellStyle name="Lien hypertexte visité" xfId="8188" builtinId="9" hidden="1"/>
    <cellStyle name="Lien hypertexte visité" xfId="8316" builtinId="9" hidden="1"/>
    <cellStyle name="Lien hypertexte visité" xfId="8444" builtinId="9" hidden="1"/>
    <cellStyle name="Lien hypertexte visité" xfId="8572" builtinId="9" hidden="1"/>
    <cellStyle name="Lien hypertexte visité" xfId="8700" builtinId="9" hidden="1"/>
    <cellStyle name="Lien hypertexte visité" xfId="8828" builtinId="9" hidden="1"/>
    <cellStyle name="Lien hypertexte visité" xfId="8956" builtinId="9" hidden="1"/>
    <cellStyle name="Lien hypertexte visité" xfId="9084" builtinId="9" hidden="1"/>
    <cellStyle name="Lien hypertexte visité" xfId="9212" builtinId="9" hidden="1"/>
    <cellStyle name="Lien hypertexte visité" xfId="9340" builtinId="9" hidden="1"/>
    <cellStyle name="Lien hypertexte visité" xfId="9468" builtinId="9" hidden="1"/>
    <cellStyle name="Lien hypertexte visité" xfId="9596" builtinId="9" hidden="1"/>
    <cellStyle name="Lien hypertexte visité" xfId="9724" builtinId="9" hidden="1"/>
    <cellStyle name="Lien hypertexte visité" xfId="9852" builtinId="9" hidden="1"/>
    <cellStyle name="Lien hypertexte visité" xfId="9980" builtinId="9" hidden="1"/>
    <cellStyle name="Lien hypertexte visité" xfId="10108" builtinId="9" hidden="1"/>
    <cellStyle name="Lien hypertexte visité" xfId="10236" builtinId="9" hidden="1"/>
    <cellStyle name="Lien hypertexte visité" xfId="10364" builtinId="9" hidden="1"/>
    <cellStyle name="Lien hypertexte visité" xfId="10492" builtinId="9" hidden="1"/>
    <cellStyle name="Lien hypertexte visité" xfId="10620" builtinId="9" hidden="1"/>
    <cellStyle name="Lien hypertexte visité" xfId="10748" builtinId="9" hidden="1"/>
    <cellStyle name="Lien hypertexte visité" xfId="10876" builtinId="9" hidden="1"/>
    <cellStyle name="Lien hypertexte visité" xfId="11004" builtinId="9" hidden="1"/>
    <cellStyle name="Lien hypertexte visité" xfId="11132" builtinId="9" hidden="1"/>
    <cellStyle name="Lien hypertexte visité" xfId="11260" builtinId="9" hidden="1"/>
    <cellStyle name="Lien hypertexte visité" xfId="11388" builtinId="9" hidden="1"/>
    <cellStyle name="Lien hypertexte visité" xfId="11516" builtinId="9" hidden="1"/>
    <cellStyle name="Lien hypertexte visité" xfId="11644" builtinId="9" hidden="1"/>
    <cellStyle name="Lien hypertexte visité" xfId="11772" builtinId="9" hidden="1"/>
    <cellStyle name="Lien hypertexte visité" xfId="11900" builtinId="9" hidden="1"/>
    <cellStyle name="Lien hypertexte visité" xfId="12028" builtinId="9" hidden="1"/>
    <cellStyle name="Lien hypertexte visité" xfId="12156" builtinId="9" hidden="1"/>
    <cellStyle name="Lien hypertexte visité" xfId="12284" builtinId="9" hidden="1"/>
    <cellStyle name="Lien hypertexte visité" xfId="12412" builtinId="9" hidden="1"/>
    <cellStyle name="Lien hypertexte visité" xfId="12540" builtinId="9" hidden="1"/>
    <cellStyle name="Lien hypertexte visité" xfId="12668" builtinId="9" hidden="1"/>
    <cellStyle name="Lien hypertexte visité" xfId="12796" builtinId="9" hidden="1"/>
    <cellStyle name="Lien hypertexte visité" xfId="12924" builtinId="9" hidden="1"/>
    <cellStyle name="Lien hypertexte visité" xfId="13052" builtinId="9" hidden="1"/>
    <cellStyle name="Lien hypertexte visité" xfId="13180" builtinId="9" hidden="1"/>
    <cellStyle name="Lien hypertexte visité" xfId="13308" builtinId="9" hidden="1"/>
    <cellStyle name="Lien hypertexte visité" xfId="13436" builtinId="9" hidden="1"/>
    <cellStyle name="Lien hypertexte visité" xfId="13564" builtinId="9" hidden="1"/>
    <cellStyle name="Lien hypertexte visité" xfId="13692" builtinId="9" hidden="1"/>
    <cellStyle name="Lien hypertexte visité" xfId="13820" builtinId="9" hidden="1"/>
    <cellStyle name="Lien hypertexte visité" xfId="13948" builtinId="9" hidden="1"/>
    <cellStyle name="Lien hypertexte visité" xfId="14076" builtinId="9" hidden="1"/>
    <cellStyle name="Lien hypertexte visité" xfId="14204" builtinId="9" hidden="1"/>
    <cellStyle name="Lien hypertexte visité" xfId="14332" builtinId="9" hidden="1"/>
    <cellStyle name="Lien hypertexte visité" xfId="14460" builtinId="9" hidden="1"/>
    <cellStyle name="Lien hypertexte visité" xfId="14661" builtinId="9" hidden="1"/>
    <cellStyle name="Lien hypertexte visité" xfId="14917" builtinId="9" hidden="1"/>
    <cellStyle name="Lien hypertexte visité" xfId="15173" builtinId="9" hidden="1"/>
    <cellStyle name="Lien hypertexte visité" xfId="15429" builtinId="9" hidden="1"/>
    <cellStyle name="Lien hypertexte visité" xfId="15685" builtinId="9" hidden="1"/>
    <cellStyle name="Lien hypertexte visité" xfId="15941" builtinId="9" hidden="1"/>
    <cellStyle name="Lien hypertexte visité" xfId="16197" builtinId="9" hidden="1"/>
    <cellStyle name="Lien hypertexte visité" xfId="16453" builtinId="9" hidden="1"/>
    <cellStyle name="Lien hypertexte visité" xfId="16709" builtinId="9" hidden="1"/>
    <cellStyle name="Lien hypertexte visité" xfId="16965" builtinId="9" hidden="1"/>
    <cellStyle name="Lien hypertexte visité" xfId="17221" builtinId="9" hidden="1"/>
    <cellStyle name="Lien hypertexte visité" xfId="17477" builtinId="9" hidden="1"/>
    <cellStyle name="Lien hypertexte visité" xfId="17733" builtinId="9" hidden="1"/>
    <cellStyle name="Lien hypertexte visité" xfId="17989" builtinId="9" hidden="1"/>
    <cellStyle name="Lien hypertexte visité" xfId="18245" builtinId="9" hidden="1"/>
    <cellStyle name="Lien hypertexte visité" xfId="18484" builtinId="9" hidden="1"/>
    <cellStyle name="Lien hypertexte visité" xfId="18740" builtinId="9" hidden="1"/>
    <cellStyle name="Lien hypertexte visité" xfId="18996" builtinId="9" hidden="1"/>
    <cellStyle name="Lien hypertexte visité" xfId="19252" builtinId="9" hidden="1"/>
    <cellStyle name="Lien hypertexte visité" xfId="19508" builtinId="9" hidden="1"/>
    <cellStyle name="Lien hypertexte visité" xfId="19764" builtinId="9" hidden="1"/>
    <cellStyle name="Lien hypertexte visité" xfId="20020" builtinId="9" hidden="1"/>
    <cellStyle name="Lien hypertexte visité" xfId="20276" builtinId="9" hidden="1"/>
    <cellStyle name="Lien hypertexte visité" xfId="20532" builtinId="9" hidden="1"/>
    <cellStyle name="Lien hypertexte visité" xfId="20788" builtinId="9" hidden="1"/>
    <cellStyle name="Lien hypertexte visité" xfId="21044" builtinId="9" hidden="1"/>
    <cellStyle name="Lien hypertexte visité" xfId="21300" builtinId="9" hidden="1"/>
    <cellStyle name="Lien hypertexte visité" xfId="21556" builtinId="9" hidden="1"/>
    <cellStyle name="Lien hypertexte visité" xfId="21812" builtinId="9" hidden="1"/>
    <cellStyle name="Lien hypertexte visité" xfId="22068" builtinId="9" hidden="1"/>
    <cellStyle name="Lien hypertexte visité" xfId="22324" builtinId="9" hidden="1"/>
    <cellStyle name="Lien hypertexte visité" xfId="22580" builtinId="9" hidden="1"/>
    <cellStyle name="Lien hypertexte visité" xfId="22836" builtinId="9" hidden="1"/>
    <cellStyle name="Lien hypertexte visité" xfId="23092" builtinId="9" hidden="1"/>
    <cellStyle name="Lien hypertexte visité" xfId="23348" builtinId="9" hidden="1"/>
    <cellStyle name="Lien hypertexte visité" xfId="23604" builtinId="9" hidden="1"/>
    <cellStyle name="Lien hypertexte visité" xfId="23860" builtinId="9" hidden="1"/>
    <cellStyle name="Lien hypertexte visité" xfId="24116" builtinId="9" hidden="1"/>
    <cellStyle name="Lien hypertexte visité" xfId="24372" builtinId="9" hidden="1"/>
    <cellStyle name="Lien hypertexte visité" xfId="24598" builtinId="9" hidden="1"/>
    <cellStyle name="Lien hypertexte visité" xfId="24342" builtinId="9" hidden="1"/>
    <cellStyle name="Lien hypertexte visité" xfId="24086" builtinId="9" hidden="1"/>
    <cellStyle name="Lien hypertexte visité" xfId="23830" builtinId="9" hidden="1"/>
    <cellStyle name="Lien hypertexte visité" xfId="23574" builtinId="9" hidden="1"/>
    <cellStyle name="Lien hypertexte visité" xfId="23318" builtinId="9" hidden="1"/>
    <cellStyle name="Lien hypertexte visité" xfId="23062" builtinId="9" hidden="1"/>
    <cellStyle name="Lien hypertexte visité" xfId="22806" builtinId="9" hidden="1"/>
    <cellStyle name="Lien hypertexte visité" xfId="22550" builtinId="9" hidden="1"/>
    <cellStyle name="Lien hypertexte visité" xfId="22294" builtinId="9" hidden="1"/>
    <cellStyle name="Lien hypertexte visité" xfId="22038" builtinId="9" hidden="1"/>
    <cellStyle name="Lien hypertexte visité" xfId="21782" builtinId="9" hidden="1"/>
    <cellStyle name="Lien hypertexte visité" xfId="21526" builtinId="9" hidden="1"/>
    <cellStyle name="Lien hypertexte visité" xfId="21270" builtinId="9" hidden="1"/>
    <cellStyle name="Lien hypertexte visité" xfId="21014" builtinId="9" hidden="1"/>
    <cellStyle name="Lien hypertexte visité" xfId="20758" builtinId="9" hidden="1"/>
    <cellStyle name="Lien hypertexte visité" xfId="20502" builtinId="9" hidden="1"/>
    <cellStyle name="Lien hypertexte visité" xfId="20246" builtinId="9" hidden="1"/>
    <cellStyle name="Lien hypertexte visité" xfId="19990" builtinId="9" hidden="1"/>
    <cellStyle name="Lien hypertexte visité" xfId="19734" builtinId="9" hidden="1"/>
    <cellStyle name="Lien hypertexte visité" xfId="19478" builtinId="9" hidden="1"/>
    <cellStyle name="Lien hypertexte visité" xfId="19222" builtinId="9" hidden="1"/>
    <cellStyle name="Lien hypertexte visité" xfId="18966" builtinId="9" hidden="1"/>
    <cellStyle name="Lien hypertexte visité" xfId="18710" builtinId="9" hidden="1"/>
    <cellStyle name="Lien hypertexte visité" xfId="18454" builtinId="9" hidden="1"/>
    <cellStyle name="Lien hypertexte visité" xfId="18215" builtinId="9" hidden="1"/>
    <cellStyle name="Lien hypertexte visité" xfId="17959" builtinId="9" hidden="1"/>
    <cellStyle name="Lien hypertexte visité" xfId="17703" builtinId="9" hidden="1"/>
    <cellStyle name="Lien hypertexte visité" xfId="17447" builtinId="9" hidden="1"/>
    <cellStyle name="Lien hypertexte visité" xfId="17191" builtinId="9" hidden="1"/>
    <cellStyle name="Lien hypertexte visité" xfId="16935" builtinId="9" hidden="1"/>
    <cellStyle name="Lien hypertexte visité" xfId="16679" builtinId="9" hidden="1"/>
    <cellStyle name="Lien hypertexte visité" xfId="16423" builtinId="9" hidden="1"/>
    <cellStyle name="Lien hypertexte visité" xfId="16167" builtinId="9" hidden="1"/>
    <cellStyle name="Lien hypertexte visité" xfId="15911" builtinId="9" hidden="1"/>
    <cellStyle name="Lien hypertexte visité" xfId="15655" builtinId="9" hidden="1"/>
    <cellStyle name="Lien hypertexte visité" xfId="15399" builtinId="9" hidden="1"/>
    <cellStyle name="Lien hypertexte visité" xfId="15143" builtinId="9" hidden="1"/>
    <cellStyle name="Lien hypertexte visité" xfId="14887" builtinId="9" hidden="1"/>
    <cellStyle name="Lien hypertexte visité" xfId="14631" builtinId="9" hidden="1"/>
    <cellStyle name="Lien hypertexte visité" xfId="14445" builtinId="9" hidden="1"/>
    <cellStyle name="Lien hypertexte visité" xfId="14317" builtinId="9" hidden="1"/>
    <cellStyle name="Lien hypertexte visité" xfId="14189" builtinId="9" hidden="1"/>
    <cellStyle name="Lien hypertexte visité" xfId="14061" builtinId="9" hidden="1"/>
    <cellStyle name="Lien hypertexte visité" xfId="13933" builtinId="9" hidden="1"/>
    <cellStyle name="Lien hypertexte visité" xfId="13805" builtinId="9" hidden="1"/>
    <cellStyle name="Lien hypertexte visité" xfId="13677" builtinId="9" hidden="1"/>
    <cellStyle name="Lien hypertexte visité" xfId="13549" builtinId="9" hidden="1"/>
    <cellStyle name="Lien hypertexte visité" xfId="13421" builtinId="9" hidden="1"/>
    <cellStyle name="Lien hypertexte visité" xfId="13293" builtinId="9" hidden="1"/>
    <cellStyle name="Lien hypertexte visité" xfId="13165" builtinId="9" hidden="1"/>
    <cellStyle name="Lien hypertexte visité" xfId="13037" builtinId="9" hidden="1"/>
    <cellStyle name="Lien hypertexte visité" xfId="12909" builtinId="9" hidden="1"/>
    <cellStyle name="Lien hypertexte visité" xfId="12781" builtinId="9" hidden="1"/>
    <cellStyle name="Lien hypertexte visité" xfId="12653" builtinId="9" hidden="1"/>
    <cellStyle name="Lien hypertexte visité" xfId="12525" builtinId="9" hidden="1"/>
    <cellStyle name="Lien hypertexte visité" xfId="12397" builtinId="9" hidden="1"/>
    <cellStyle name="Lien hypertexte visité" xfId="12269" builtinId="9" hidden="1"/>
    <cellStyle name="Lien hypertexte visité" xfId="12141" builtinId="9" hidden="1"/>
    <cellStyle name="Lien hypertexte visité" xfId="12013" builtinId="9" hidden="1"/>
    <cellStyle name="Lien hypertexte visité" xfId="11885" builtinId="9" hidden="1"/>
    <cellStyle name="Lien hypertexte visité" xfId="11757" builtinId="9" hidden="1"/>
    <cellStyle name="Lien hypertexte visité" xfId="11629" builtinId="9" hidden="1"/>
    <cellStyle name="Lien hypertexte visité" xfId="11501" builtinId="9" hidden="1"/>
    <cellStyle name="Lien hypertexte visité" xfId="11373" builtinId="9" hidden="1"/>
    <cellStyle name="Lien hypertexte visité" xfId="11245" builtinId="9" hidden="1"/>
    <cellStyle name="Lien hypertexte visité" xfId="11117" builtinId="9" hidden="1"/>
    <cellStyle name="Lien hypertexte visité" xfId="10989" builtinId="9" hidden="1"/>
    <cellStyle name="Lien hypertexte visité" xfId="10861" builtinId="9" hidden="1"/>
    <cellStyle name="Lien hypertexte visité" xfId="10733" builtinId="9" hidden="1"/>
    <cellStyle name="Lien hypertexte visité" xfId="10605" builtinId="9" hidden="1"/>
    <cellStyle name="Lien hypertexte visité" xfId="10477" builtinId="9" hidden="1"/>
    <cellStyle name="Lien hypertexte visité" xfId="10349" builtinId="9" hidden="1"/>
    <cellStyle name="Lien hypertexte visité" xfId="10221" builtinId="9" hidden="1"/>
    <cellStyle name="Lien hypertexte visité" xfId="10093" builtinId="9" hidden="1"/>
    <cellStyle name="Lien hypertexte visité" xfId="9965" builtinId="9" hidden="1"/>
    <cellStyle name="Lien hypertexte visité" xfId="9837" builtinId="9" hidden="1"/>
    <cellStyle name="Lien hypertexte visité" xfId="9709" builtinId="9" hidden="1"/>
    <cellStyle name="Lien hypertexte visité" xfId="9581" builtinId="9" hidden="1"/>
    <cellStyle name="Lien hypertexte visité" xfId="9453" builtinId="9" hidden="1"/>
    <cellStyle name="Lien hypertexte visité" xfId="9325" builtinId="9" hidden="1"/>
    <cellStyle name="Lien hypertexte visité" xfId="9197" builtinId="9" hidden="1"/>
    <cellStyle name="Lien hypertexte visité" xfId="9069" builtinId="9" hidden="1"/>
    <cellStyle name="Lien hypertexte visité" xfId="8941" builtinId="9" hidden="1"/>
    <cellStyle name="Lien hypertexte visité" xfId="8813" builtinId="9" hidden="1"/>
    <cellStyle name="Lien hypertexte visité" xfId="8685" builtinId="9" hidden="1"/>
    <cellStyle name="Lien hypertexte visité" xfId="8557" builtinId="9" hidden="1"/>
    <cellStyle name="Lien hypertexte visité" xfId="8429" builtinId="9" hidden="1"/>
    <cellStyle name="Lien hypertexte visité" xfId="8301" builtinId="9" hidden="1"/>
    <cellStyle name="Lien hypertexte visité" xfId="8173" builtinId="9" hidden="1"/>
    <cellStyle name="Lien hypertexte visité" xfId="8045" builtinId="9" hidden="1"/>
    <cellStyle name="Lien hypertexte visité" xfId="7917" builtinId="9" hidden="1"/>
    <cellStyle name="Lien hypertexte visité" xfId="7788" builtinId="9" hidden="1"/>
    <cellStyle name="Lien hypertexte visité" xfId="7660" builtinId="9" hidden="1"/>
    <cellStyle name="Lien hypertexte visité" xfId="7532" builtinId="9" hidden="1"/>
    <cellStyle name="Lien hypertexte visité" xfId="7404" builtinId="9" hidden="1"/>
    <cellStyle name="Lien hypertexte visité" xfId="7276" builtinId="9" hidden="1"/>
    <cellStyle name="Lien hypertexte visité" xfId="7148" builtinId="9" hidden="1"/>
    <cellStyle name="Lien hypertexte visité" xfId="7020" builtinId="9" hidden="1"/>
    <cellStyle name="Lien hypertexte visité" xfId="6892" builtinId="9" hidden="1"/>
    <cellStyle name="Lien hypertexte visité" xfId="6764" builtinId="9" hidden="1"/>
    <cellStyle name="Lien hypertexte visité" xfId="6636" builtinId="9" hidden="1"/>
    <cellStyle name="Lien hypertexte visité" xfId="6508" builtinId="9" hidden="1"/>
    <cellStyle name="Lien hypertexte visité" xfId="6380" builtinId="9" hidden="1"/>
    <cellStyle name="Lien hypertexte visité" xfId="6252" builtinId="9" hidden="1"/>
    <cellStyle name="Lien hypertexte visité" xfId="6124" builtinId="9" hidden="1"/>
    <cellStyle name="Lien hypertexte visité" xfId="5996" builtinId="9" hidden="1"/>
    <cellStyle name="Lien hypertexte visité" xfId="5868" builtinId="9" hidden="1"/>
    <cellStyle name="Lien hypertexte visité" xfId="5740" builtinId="9" hidden="1"/>
    <cellStyle name="Lien hypertexte visité" xfId="5612" builtinId="9" hidden="1"/>
    <cellStyle name="Lien hypertexte visité" xfId="5484" builtinId="9" hidden="1"/>
    <cellStyle name="Lien hypertexte visité" xfId="5356" builtinId="9" hidden="1"/>
    <cellStyle name="Lien hypertexte visité" xfId="5228" builtinId="9" hidden="1"/>
    <cellStyle name="Lien hypertexte visité" xfId="5100" builtinId="9" hidden="1"/>
    <cellStyle name="Lien hypertexte visité" xfId="4972" builtinId="9" hidden="1"/>
    <cellStyle name="Lien hypertexte visité" xfId="4844" builtinId="9" hidden="1"/>
    <cellStyle name="Lien hypertexte visité" xfId="4716" builtinId="9" hidden="1"/>
    <cellStyle name="Lien hypertexte visité" xfId="4588" builtinId="9" hidden="1"/>
    <cellStyle name="Lien hypertexte visité" xfId="4460" builtinId="9" hidden="1"/>
    <cellStyle name="Lien hypertexte visité" xfId="4332" builtinId="9" hidden="1"/>
    <cellStyle name="Lien hypertexte visité" xfId="4204" builtinId="9" hidden="1"/>
    <cellStyle name="Lien hypertexte visité" xfId="4076" builtinId="9" hidden="1"/>
    <cellStyle name="Lien hypertexte visité" xfId="3948" builtinId="9" hidden="1"/>
    <cellStyle name="Lien hypertexte visité" xfId="3823" builtinId="9" hidden="1"/>
    <cellStyle name="Lien hypertexte visité" xfId="3694" builtinId="9" hidden="1"/>
    <cellStyle name="Lien hypertexte visité" xfId="3559" builtinId="9" hidden="1"/>
    <cellStyle name="Lien hypertexte visité" xfId="3430" builtinId="9" hidden="1"/>
    <cellStyle name="Lien hypertexte visité" xfId="3302" builtinId="9" hidden="1"/>
    <cellStyle name="Lien hypertexte visité" xfId="3174" builtinId="9" hidden="1"/>
    <cellStyle name="Lien hypertexte visité" xfId="3046" builtinId="9" hidden="1"/>
    <cellStyle name="Lien hypertexte visité" xfId="2918" builtinId="9" hidden="1"/>
    <cellStyle name="Lien hypertexte visité" xfId="2790" builtinId="9" hidden="1"/>
    <cellStyle name="Lien hypertexte visité" xfId="2662" builtinId="9" hidden="1"/>
    <cellStyle name="Lien hypertexte visité" xfId="2534" builtinId="9" hidden="1"/>
    <cellStyle name="Lien hypertexte visité" xfId="2406" builtinId="9" hidden="1"/>
    <cellStyle name="Lien hypertexte visité" xfId="2278" builtinId="9" hidden="1"/>
    <cellStyle name="Lien hypertexte visité" xfId="2151" builtinId="9" hidden="1"/>
    <cellStyle name="Lien hypertexte visité" xfId="2022" builtinId="9" hidden="1"/>
    <cellStyle name="Lien hypertexte visité" xfId="1894" builtinId="9" hidden="1"/>
    <cellStyle name="Lien hypertexte visité" xfId="1766" builtinId="9" hidden="1"/>
    <cellStyle name="Lien hypertexte visité" xfId="1638" builtinId="9" hidden="1"/>
    <cellStyle name="Lien hypertexte visité" xfId="1510" builtinId="9" hidden="1"/>
    <cellStyle name="Lien hypertexte visité" xfId="1381" builtinId="9" hidden="1"/>
    <cellStyle name="Lien hypertexte visité" xfId="1253" builtinId="9" hidden="1"/>
    <cellStyle name="Lien hypertexte visité" xfId="1087" builtinId="9" hidden="1"/>
    <cellStyle name="Lien hypertexte visité" xfId="831" builtinId="9" hidden="1"/>
    <cellStyle name="Lien hypertexte visité" xfId="575" builtinId="9" hidden="1"/>
    <cellStyle name="Lien hypertexte visité" xfId="319" builtinId="9" hidden="1"/>
    <cellStyle name="Lien hypertexte visité" xfId="105" builtinId="9" hidden="1"/>
    <cellStyle name="Lien hypertexte visité" xfId="163" builtinId="9" hidden="1"/>
    <cellStyle name="Lien hypertexte visité" xfId="419" builtinId="9" hidden="1"/>
    <cellStyle name="Lien hypertexte visité" xfId="675" builtinId="9" hidden="1"/>
    <cellStyle name="Lien hypertexte visité" xfId="931" builtinId="9" hidden="1"/>
    <cellStyle name="Lien hypertexte visité" xfId="1175" builtinId="9" hidden="1"/>
    <cellStyle name="Lien hypertexte visité" xfId="1303" builtinId="9" hidden="1"/>
    <cellStyle name="Lien hypertexte visité" xfId="1431" builtinId="9" hidden="1"/>
    <cellStyle name="Lien hypertexte visité" xfId="1560" builtinId="9" hidden="1"/>
    <cellStyle name="Lien hypertexte visité" xfId="1688" builtinId="9" hidden="1"/>
    <cellStyle name="Lien hypertexte visité" xfId="1816" builtinId="9" hidden="1"/>
    <cellStyle name="Lien hypertexte visité" xfId="1944" builtinId="9" hidden="1"/>
    <cellStyle name="Lien hypertexte visité" xfId="2072" builtinId="9" hidden="1"/>
    <cellStyle name="Lien hypertexte visité" xfId="2200" builtinId="9" hidden="1"/>
    <cellStyle name="Lien hypertexte visité" xfId="2328" builtinId="9" hidden="1"/>
    <cellStyle name="Lien hypertexte visité" xfId="2456" builtinId="9" hidden="1"/>
    <cellStyle name="Lien hypertexte visité" xfId="2584" builtinId="9" hidden="1"/>
    <cellStyle name="Lien hypertexte visité" xfId="2712" builtinId="9" hidden="1"/>
    <cellStyle name="Lien hypertexte visité" xfId="2840" builtinId="9" hidden="1"/>
    <cellStyle name="Lien hypertexte visité" xfId="2968" builtinId="9" hidden="1"/>
    <cellStyle name="Lien hypertexte visité" xfId="3096" builtinId="9" hidden="1"/>
    <cellStyle name="Lien hypertexte visité" xfId="3224" builtinId="9" hidden="1"/>
    <cellStyle name="Lien hypertexte visité" xfId="3352" builtinId="9" hidden="1"/>
    <cellStyle name="Lien hypertexte visité" xfId="3480" builtinId="9" hidden="1"/>
    <cellStyle name="Lien hypertexte visité" xfId="3609" builtinId="9" hidden="1"/>
    <cellStyle name="Lien hypertexte visité" xfId="3745" builtinId="9" hidden="1"/>
    <cellStyle name="Lien hypertexte visité" xfId="3873" builtinId="9" hidden="1"/>
    <cellStyle name="Lien hypertexte visité" xfId="3998" builtinId="9" hidden="1"/>
    <cellStyle name="Lien hypertexte visité" xfId="4126" builtinId="9" hidden="1"/>
    <cellStyle name="Lien hypertexte visité" xfId="4254" builtinId="9" hidden="1"/>
    <cellStyle name="Lien hypertexte visité" xfId="4382" builtinId="9" hidden="1"/>
    <cellStyle name="Lien hypertexte visité" xfId="4510" builtinId="9" hidden="1"/>
    <cellStyle name="Lien hypertexte visité" xfId="4638" builtinId="9" hidden="1"/>
    <cellStyle name="Lien hypertexte visité" xfId="4766" builtinId="9" hidden="1"/>
    <cellStyle name="Lien hypertexte visité" xfId="4894" builtinId="9" hidden="1"/>
    <cellStyle name="Lien hypertexte visité" xfId="5022" builtinId="9" hidden="1"/>
    <cellStyle name="Lien hypertexte visité" xfId="5150" builtinId="9" hidden="1"/>
    <cellStyle name="Lien hypertexte visité" xfId="5278" builtinId="9" hidden="1"/>
    <cellStyle name="Lien hypertexte visité" xfId="5406" builtinId="9" hidden="1"/>
    <cellStyle name="Lien hypertexte visité" xfId="5534" builtinId="9" hidden="1"/>
    <cellStyle name="Lien hypertexte visité" xfId="5662" builtinId="9" hidden="1"/>
    <cellStyle name="Lien hypertexte visité" xfId="5790" builtinId="9" hidden="1"/>
    <cellStyle name="Lien hypertexte visité" xfId="5918" builtinId="9" hidden="1"/>
    <cellStyle name="Lien hypertexte visité" xfId="6046" builtinId="9" hidden="1"/>
    <cellStyle name="Lien hypertexte visité" xfId="6174" builtinId="9" hidden="1"/>
    <cellStyle name="Lien hypertexte visité" xfId="6302" builtinId="9" hidden="1"/>
    <cellStyle name="Lien hypertexte visité" xfId="6430" builtinId="9" hidden="1"/>
    <cellStyle name="Lien hypertexte visité" xfId="6558" builtinId="9" hidden="1"/>
    <cellStyle name="Lien hypertexte visité" xfId="6686" builtinId="9" hidden="1"/>
    <cellStyle name="Lien hypertexte visité" xfId="6814" builtinId="9" hidden="1"/>
    <cellStyle name="Lien hypertexte visité" xfId="6942" builtinId="9" hidden="1"/>
    <cellStyle name="Lien hypertexte visité" xfId="7070" builtinId="9" hidden="1"/>
    <cellStyle name="Lien hypertexte visité" xfId="7198" builtinId="9" hidden="1"/>
    <cellStyle name="Lien hypertexte visité" xfId="7326" builtinId="9" hidden="1"/>
    <cellStyle name="Lien hypertexte visité" xfId="7454" builtinId="9" hidden="1"/>
    <cellStyle name="Lien hypertexte visité" xfId="7582" builtinId="9" hidden="1"/>
    <cellStyle name="Lien hypertexte visité" xfId="7710" builtinId="9" hidden="1"/>
    <cellStyle name="Lien hypertexte visité" xfId="7839" builtinId="9" hidden="1"/>
    <cellStyle name="Lien hypertexte visité" xfId="7967" builtinId="9" hidden="1"/>
    <cellStyle name="Lien hypertexte visité" xfId="8095" builtinId="9" hidden="1"/>
    <cellStyle name="Lien hypertexte visité" xfId="8223" builtinId="9" hidden="1"/>
    <cellStyle name="Lien hypertexte visité" xfId="8351" builtinId="9" hidden="1"/>
    <cellStyle name="Lien hypertexte visité" xfId="8479" builtinId="9" hidden="1"/>
    <cellStyle name="Lien hypertexte visité" xfId="8607" builtinId="9" hidden="1"/>
    <cellStyle name="Lien hypertexte visité" xfId="8735" builtinId="9" hidden="1"/>
    <cellStyle name="Lien hypertexte visité" xfId="8863" builtinId="9" hidden="1"/>
    <cellStyle name="Lien hypertexte visité" xfId="8991" builtinId="9" hidden="1"/>
    <cellStyle name="Lien hypertexte visité" xfId="9119" builtinId="9" hidden="1"/>
    <cellStyle name="Lien hypertexte visité" xfId="9247" builtinId="9" hidden="1"/>
    <cellStyle name="Lien hypertexte visité" xfId="9375" builtinId="9" hidden="1"/>
    <cellStyle name="Lien hypertexte visité" xfId="9503" builtinId="9" hidden="1"/>
    <cellStyle name="Lien hypertexte visité" xfId="9631" builtinId="9" hidden="1"/>
    <cellStyle name="Lien hypertexte visité" xfId="9759" builtinId="9" hidden="1"/>
    <cellStyle name="Lien hypertexte visité" xfId="9887" builtinId="9" hidden="1"/>
    <cellStyle name="Lien hypertexte visité" xfId="10015" builtinId="9" hidden="1"/>
    <cellStyle name="Lien hypertexte visité" xfId="10143" builtinId="9" hidden="1"/>
    <cellStyle name="Lien hypertexte visité" xfId="10271" builtinId="9" hidden="1"/>
    <cellStyle name="Lien hypertexte visité" xfId="10399" builtinId="9" hidden="1"/>
    <cellStyle name="Lien hypertexte visité" xfId="10527" builtinId="9" hidden="1"/>
    <cellStyle name="Lien hypertexte visité" xfId="10655" builtinId="9" hidden="1"/>
    <cellStyle name="Lien hypertexte visité" xfId="10783" builtinId="9" hidden="1"/>
    <cellStyle name="Lien hypertexte visité" xfId="10911" builtinId="9" hidden="1"/>
    <cellStyle name="Lien hypertexte visité" xfId="11039" builtinId="9" hidden="1"/>
    <cellStyle name="Lien hypertexte visité" xfId="11167" builtinId="9" hidden="1"/>
    <cellStyle name="Lien hypertexte visité" xfId="11295" builtinId="9" hidden="1"/>
    <cellStyle name="Lien hypertexte visité" xfId="11423" builtinId="9" hidden="1"/>
    <cellStyle name="Lien hypertexte visité" xfId="11551" builtinId="9" hidden="1"/>
    <cellStyle name="Lien hypertexte visité" xfId="11679" builtinId="9" hidden="1"/>
    <cellStyle name="Lien hypertexte visité" xfId="11807" builtinId="9" hidden="1"/>
    <cellStyle name="Lien hypertexte visité" xfId="11935" builtinId="9" hidden="1"/>
    <cellStyle name="Lien hypertexte visité" xfId="12063" builtinId="9" hidden="1"/>
    <cellStyle name="Lien hypertexte visité" xfId="12191" builtinId="9" hidden="1"/>
    <cellStyle name="Lien hypertexte visité" xfId="12319" builtinId="9" hidden="1"/>
    <cellStyle name="Lien hypertexte visité" xfId="12447" builtinId="9" hidden="1"/>
    <cellStyle name="Lien hypertexte visité" xfId="12575" builtinId="9" hidden="1"/>
    <cellStyle name="Lien hypertexte visité" xfId="12703" builtinId="9" hidden="1"/>
    <cellStyle name="Lien hypertexte visité" xfId="12831" builtinId="9" hidden="1"/>
    <cellStyle name="Lien hypertexte visité" xfId="12959" builtinId="9" hidden="1"/>
    <cellStyle name="Lien hypertexte visité" xfId="13087" builtinId="9" hidden="1"/>
    <cellStyle name="Lien hypertexte visité" xfId="13215" builtinId="9" hidden="1"/>
    <cellStyle name="Lien hypertexte visité" xfId="13343" builtinId="9" hidden="1"/>
    <cellStyle name="Lien hypertexte visité" xfId="13471" builtinId="9" hidden="1"/>
    <cellStyle name="Lien hypertexte visité" xfId="13599" builtinId="9" hidden="1"/>
    <cellStyle name="Lien hypertexte visité" xfId="13727" builtinId="9" hidden="1"/>
    <cellStyle name="Lien hypertexte visité" xfId="13855" builtinId="9" hidden="1"/>
    <cellStyle name="Lien hypertexte visité" xfId="13983" builtinId="9" hidden="1"/>
    <cellStyle name="Lien hypertexte visité" xfId="14111" builtinId="9" hidden="1"/>
    <cellStyle name="Lien hypertexte visité" xfId="14239" builtinId="9" hidden="1"/>
    <cellStyle name="Lien hypertexte visité" xfId="14367" builtinId="9" hidden="1"/>
    <cellStyle name="Lien hypertexte visité" xfId="14495" builtinId="9" hidden="1"/>
    <cellStyle name="Lien hypertexte visité" xfId="14731" builtinId="9" hidden="1"/>
    <cellStyle name="Lien hypertexte visité" xfId="14987" builtinId="9" hidden="1"/>
    <cellStyle name="Lien hypertexte visité" xfId="15243" builtinId="9" hidden="1"/>
    <cellStyle name="Lien hypertexte visité" xfId="15499" builtinId="9" hidden="1"/>
    <cellStyle name="Lien hypertexte visité" xfId="15755" builtinId="9" hidden="1"/>
    <cellStyle name="Lien hypertexte visité" xfId="16011" builtinId="9" hidden="1"/>
    <cellStyle name="Lien hypertexte visité" xfId="16267" builtinId="9" hidden="1"/>
    <cellStyle name="Lien hypertexte visité" xfId="16523" builtinId="9" hidden="1"/>
    <cellStyle name="Lien hypertexte visité" xfId="16779" builtinId="9" hidden="1"/>
    <cellStyle name="Lien hypertexte visité" xfId="17035" builtinId="9" hidden="1"/>
    <cellStyle name="Lien hypertexte visité" xfId="17291" builtinId="9" hidden="1"/>
    <cellStyle name="Lien hypertexte visité" xfId="8294" builtinId="9" hidden="1"/>
    <cellStyle name="Lien hypertexte visité" xfId="8382" builtinId="9" hidden="1"/>
    <cellStyle name="Lien hypertexte visité" xfId="8466" builtinId="9" hidden="1"/>
    <cellStyle name="Lien hypertexte visité" xfId="8550" builtinId="9" hidden="1"/>
    <cellStyle name="Lien hypertexte visité" xfId="8638" builtinId="9" hidden="1"/>
    <cellStyle name="Lien hypertexte visité" xfId="8722" builtinId="9" hidden="1"/>
    <cellStyle name="Lien hypertexte visité" xfId="8806" builtinId="9" hidden="1"/>
    <cellStyle name="Lien hypertexte visité" xfId="8894" builtinId="9" hidden="1"/>
    <cellStyle name="Lien hypertexte visité" xfId="8978" builtinId="9" hidden="1"/>
    <cellStyle name="Lien hypertexte visité" xfId="9062" builtinId="9" hidden="1"/>
    <cellStyle name="Lien hypertexte visité" xfId="9150" builtinId="9" hidden="1"/>
    <cellStyle name="Lien hypertexte visité" xfId="9234" builtinId="9" hidden="1"/>
    <cellStyle name="Lien hypertexte visité" xfId="7237" builtinId="9" hidden="1"/>
    <cellStyle name="Lien hypertexte visité" xfId="7221" builtinId="9" hidden="1"/>
    <cellStyle name="Lien hypertexte visité" xfId="7201" builtinId="9" hidden="1"/>
    <cellStyle name="Lien hypertexte visité" xfId="7185" builtinId="9" hidden="1"/>
    <cellStyle name="Lien hypertexte visité" xfId="7149" builtinId="9" hidden="1"/>
    <cellStyle name="Lien hypertexte visité" xfId="7129" builtinId="9" hidden="1"/>
    <cellStyle name="Lien hypertexte visité" xfId="7109" builtinId="9" hidden="1"/>
    <cellStyle name="Lien hypertexte visité" xfId="7093" builtinId="9" hidden="1"/>
    <cellStyle name="Lien hypertexte visité" xfId="7073" builtinId="9" hidden="1"/>
    <cellStyle name="Lien hypertexte visité" xfId="7057" builtinId="9" hidden="1"/>
    <cellStyle name="Lien hypertexte visité" xfId="7037" builtinId="9" hidden="1"/>
    <cellStyle name="Lien hypertexte visité" xfId="7001" builtinId="9" hidden="1"/>
    <cellStyle name="Lien hypertexte visité" xfId="6981" builtinId="9" hidden="1"/>
    <cellStyle name="Lien hypertexte visité" xfId="6965" builtinId="9" hidden="1"/>
    <cellStyle name="Lien hypertexte visité" xfId="6945" builtinId="9" hidden="1"/>
    <cellStyle name="Lien hypertexte visité" xfId="6929" builtinId="9" hidden="1"/>
    <cellStyle name="Lien hypertexte visité" xfId="6909" builtinId="9" hidden="1"/>
    <cellStyle name="Lien hypertexte visité" xfId="6893" builtinId="9" hidden="1"/>
    <cellStyle name="Lien hypertexte visité" xfId="6853" builtinId="9" hidden="1"/>
    <cellStyle name="Lien hypertexte visité" xfId="6837" builtinId="9" hidden="1"/>
    <cellStyle name="Lien hypertexte visité" xfId="6817" builtinId="9" hidden="1"/>
    <cellStyle name="Lien hypertexte visité" xfId="6801" builtinId="9" hidden="1"/>
    <cellStyle name="Lien hypertexte visité" xfId="6781" builtinId="9" hidden="1"/>
    <cellStyle name="Lien hypertexte visité" xfId="6765" builtinId="9" hidden="1"/>
    <cellStyle name="Lien hypertexte visité" xfId="6745" builtinId="9" hidden="1"/>
    <cellStyle name="Lien hypertexte visité" xfId="6709" builtinId="9" hidden="1"/>
    <cellStyle name="Lien hypertexte visité" xfId="6689" builtinId="9" hidden="1"/>
    <cellStyle name="Lien hypertexte visité" xfId="6673" builtinId="9" hidden="1"/>
    <cellStyle name="Lien hypertexte visité" xfId="6653" builtinId="9" hidden="1"/>
    <cellStyle name="Lien hypertexte visité" xfId="6637" builtinId="9" hidden="1"/>
    <cellStyle name="Lien hypertexte visité" xfId="6617" builtinId="9" hidden="1"/>
    <cellStyle name="Lien hypertexte visité" xfId="6597" builtinId="9" hidden="1"/>
    <cellStyle name="Lien hypertexte visité" xfId="6561" builtinId="9" hidden="1"/>
    <cellStyle name="Lien hypertexte visité" xfId="6545" builtinId="9" hidden="1"/>
    <cellStyle name="Lien hypertexte visité" xfId="6525" builtinId="9" hidden="1"/>
    <cellStyle name="Lien hypertexte visité" xfId="6509" builtinId="9" hidden="1"/>
    <cellStyle name="Lien hypertexte visité" xfId="6489" builtinId="9" hidden="1"/>
    <cellStyle name="Lien hypertexte visité" xfId="6469" builtinId="9" hidden="1"/>
    <cellStyle name="Lien hypertexte visité" xfId="6453" builtinId="9" hidden="1"/>
    <cellStyle name="Lien hypertexte visité" xfId="6417" builtinId="9" hidden="1"/>
    <cellStyle name="Lien hypertexte visité" xfId="6397" builtinId="9" hidden="1"/>
    <cellStyle name="Lien hypertexte visité" xfId="6381" builtinId="9" hidden="1"/>
    <cellStyle name="Lien hypertexte visité" xfId="6361" builtinId="9" hidden="1"/>
    <cellStyle name="Lien hypertexte visité" xfId="6341" builtinId="9" hidden="1"/>
    <cellStyle name="Lien hypertexte visité" xfId="6325" builtinId="9" hidden="1"/>
    <cellStyle name="Lien hypertexte visité" xfId="6305" builtinId="9" hidden="1"/>
    <cellStyle name="Lien hypertexte visité" xfId="6269" builtinId="9" hidden="1"/>
    <cellStyle name="Lien hypertexte visité" xfId="6253" builtinId="9" hidden="1"/>
    <cellStyle name="Lien hypertexte visité" xfId="6233" builtinId="9" hidden="1"/>
    <cellStyle name="Lien hypertexte visité" xfId="6213" builtinId="9" hidden="1"/>
    <cellStyle name="Lien hypertexte visité" xfId="6197" builtinId="9" hidden="1"/>
    <cellStyle name="Lien hypertexte visité" xfId="6177" builtinId="9" hidden="1"/>
    <cellStyle name="Lien hypertexte visité" xfId="6161" builtinId="9" hidden="1"/>
    <cellStyle name="Lien hypertexte visité" xfId="6125" builtinId="9" hidden="1"/>
    <cellStyle name="Lien hypertexte visité" xfId="6105" builtinId="9" hidden="1"/>
    <cellStyle name="Lien hypertexte visité" xfId="6085" builtinId="9" hidden="1"/>
    <cellStyle name="Lien hypertexte visité" xfId="6069" builtinId="9" hidden="1"/>
    <cellStyle name="Lien hypertexte visité" xfId="6049" builtinId="9" hidden="1"/>
    <cellStyle name="Lien hypertexte visité" xfId="6033" builtinId="9" hidden="1"/>
    <cellStyle name="Lien hypertexte visité" xfId="6013" builtinId="9" hidden="1"/>
    <cellStyle name="Lien hypertexte visité" xfId="5977" builtinId="9" hidden="1"/>
    <cellStyle name="Lien hypertexte visité" xfId="5957" builtinId="9" hidden="1"/>
    <cellStyle name="Lien hypertexte visité" xfId="5941" builtinId="9" hidden="1"/>
    <cellStyle name="Lien hypertexte visité" xfId="5921" builtinId="9" hidden="1"/>
    <cellStyle name="Lien hypertexte visité" xfId="5905" builtinId="9" hidden="1"/>
    <cellStyle name="Lien hypertexte visité" xfId="5885" builtinId="9" hidden="1"/>
    <cellStyle name="Lien hypertexte visité" xfId="5869" builtinId="9" hidden="1"/>
    <cellStyle name="Lien hypertexte visité" xfId="5829" builtinId="9" hidden="1"/>
    <cellStyle name="Lien hypertexte visité" xfId="5813" builtinId="9" hidden="1"/>
    <cellStyle name="Lien hypertexte visité" xfId="5793" builtinId="9" hidden="1"/>
    <cellStyle name="Lien hypertexte visité" xfId="5777" builtinId="9" hidden="1"/>
    <cellStyle name="Lien hypertexte visité" xfId="5757" builtinId="9" hidden="1"/>
    <cellStyle name="Lien hypertexte visité" xfId="5741" builtinId="9" hidden="1"/>
    <cellStyle name="Lien hypertexte visité" xfId="5721" builtinId="9" hidden="1"/>
    <cellStyle name="Lien hypertexte visité" xfId="5685" builtinId="9" hidden="1"/>
    <cellStyle name="Lien hypertexte visité" xfId="5665" builtinId="9" hidden="1"/>
    <cellStyle name="Lien hypertexte visité" xfId="5649" builtinId="9" hidden="1"/>
    <cellStyle name="Lien hypertexte visité" xfId="5629" builtinId="9" hidden="1"/>
    <cellStyle name="Lien hypertexte visité" xfId="5613" builtinId="9" hidden="1"/>
    <cellStyle name="Lien hypertexte visité" xfId="5593" builtinId="9" hidden="1"/>
    <cellStyle name="Lien hypertexte visité" xfId="5573" builtinId="9" hidden="1"/>
    <cellStyle name="Lien hypertexte visité" xfId="5537" builtinId="9" hidden="1"/>
    <cellStyle name="Lien hypertexte visité" xfId="5521" builtinId="9" hidden="1"/>
    <cellStyle name="Lien hypertexte visité" xfId="5501" builtinId="9" hidden="1"/>
    <cellStyle name="Lien hypertexte visité" xfId="5485" builtinId="9" hidden="1"/>
    <cellStyle name="Lien hypertexte visité" xfId="5465" builtinId="9" hidden="1"/>
    <cellStyle name="Lien hypertexte visité" xfId="5445" builtinId="9" hidden="1"/>
    <cellStyle name="Lien hypertexte visité" xfId="5429" builtinId="9" hidden="1"/>
    <cellStyle name="Lien hypertexte visité" xfId="5393" builtinId="9" hidden="1"/>
    <cellStyle name="Lien hypertexte visité" xfId="5373" builtinId="9" hidden="1"/>
    <cellStyle name="Lien hypertexte visité" xfId="5357" builtinId="9" hidden="1"/>
    <cellStyle name="Lien hypertexte visité" xfId="5337" builtinId="9" hidden="1"/>
    <cellStyle name="Lien hypertexte visité" xfId="5317" builtinId="9" hidden="1"/>
    <cellStyle name="Lien hypertexte visité" xfId="5301" builtinId="9" hidden="1"/>
    <cellStyle name="Lien hypertexte visité" xfId="5281" builtinId="9" hidden="1"/>
    <cellStyle name="Lien hypertexte visité" xfId="5245" builtinId="9" hidden="1"/>
    <cellStyle name="Lien hypertexte visité" xfId="5229" builtinId="9" hidden="1"/>
    <cellStyle name="Lien hypertexte visité" xfId="5209" builtinId="9" hidden="1"/>
    <cellStyle name="Lien hypertexte visité" xfId="5189" builtinId="9" hidden="1"/>
    <cellStyle name="Lien hypertexte visité" xfId="5173" builtinId="9" hidden="1"/>
    <cellStyle name="Lien hypertexte visité" xfId="5153" builtinId="9" hidden="1"/>
    <cellStyle name="Lien hypertexte visité" xfId="5137" builtinId="9" hidden="1"/>
    <cellStyle name="Lien hypertexte visité" xfId="5101" builtinId="9" hidden="1"/>
    <cellStyle name="Lien hypertexte visité" xfId="5081" builtinId="9" hidden="1"/>
    <cellStyle name="Lien hypertexte visité" xfId="5061" builtinId="9" hidden="1"/>
    <cellStyle name="Lien hypertexte visité" xfId="5045" builtinId="9" hidden="1"/>
    <cellStyle name="Lien hypertexte visité" xfId="5025" builtinId="9" hidden="1"/>
    <cellStyle name="Lien hypertexte visité" xfId="5009" builtinId="9" hidden="1"/>
    <cellStyle name="Lien hypertexte visité" xfId="4989" builtinId="9" hidden="1"/>
    <cellStyle name="Lien hypertexte visité" xfId="4953" builtinId="9" hidden="1"/>
    <cellStyle name="Lien hypertexte visité" xfId="4933" builtinId="9" hidden="1"/>
    <cellStyle name="Lien hypertexte visité" xfId="4917" builtinId="9" hidden="1"/>
    <cellStyle name="Lien hypertexte visité" xfId="4897" builtinId="9" hidden="1"/>
    <cellStyle name="Lien hypertexte visité" xfId="4881" builtinId="9" hidden="1"/>
    <cellStyle name="Lien hypertexte visité" xfId="4861" builtinId="9" hidden="1"/>
    <cellStyle name="Lien hypertexte visité" xfId="4845" builtinId="9" hidden="1"/>
    <cellStyle name="Lien hypertexte visité" xfId="4805" builtinId="9" hidden="1"/>
    <cellStyle name="Lien hypertexte visité" xfId="4789" builtinId="9" hidden="1"/>
    <cellStyle name="Lien hypertexte visité" xfId="4769" builtinId="9" hidden="1"/>
    <cellStyle name="Lien hypertexte visité" xfId="4753" builtinId="9" hidden="1"/>
    <cellStyle name="Lien hypertexte visité" xfId="4733" builtinId="9" hidden="1"/>
    <cellStyle name="Lien hypertexte visité" xfId="4717" builtinId="9" hidden="1"/>
    <cellStyle name="Lien hypertexte visité" xfId="4697" builtinId="9" hidden="1"/>
    <cellStyle name="Lien hypertexte visité" xfId="4661" builtinId="9" hidden="1"/>
    <cellStyle name="Lien hypertexte visité" xfId="4641" builtinId="9" hidden="1"/>
    <cellStyle name="Lien hypertexte visité" xfId="4625" builtinId="9" hidden="1"/>
    <cellStyle name="Lien hypertexte visité" xfId="4605" builtinId="9" hidden="1"/>
    <cellStyle name="Lien hypertexte visité" xfId="4589" builtinId="9" hidden="1"/>
    <cellStyle name="Lien hypertexte visité" xfId="4569" builtinId="9" hidden="1"/>
    <cellStyle name="Lien hypertexte visité" xfId="4549" builtinId="9" hidden="1"/>
    <cellStyle name="Lien hypertexte visité" xfId="4513" builtinId="9" hidden="1"/>
    <cellStyle name="Lien hypertexte visité" xfId="4497" builtinId="9" hidden="1"/>
    <cellStyle name="Lien hypertexte visité" xfId="4477" builtinId="9" hidden="1"/>
    <cellStyle name="Lien hypertexte visité" xfId="4461" builtinId="9" hidden="1"/>
    <cellStyle name="Lien hypertexte visité" xfId="4441" builtinId="9" hidden="1"/>
    <cellStyle name="Lien hypertexte visité" xfId="4421" builtinId="9" hidden="1"/>
    <cellStyle name="Lien hypertexte visité" xfId="4405" builtinId="9" hidden="1"/>
    <cellStyle name="Lien hypertexte visité" xfId="4369" builtinId="9" hidden="1"/>
    <cellStyle name="Lien hypertexte visité" xfId="4349" builtinId="9" hidden="1"/>
    <cellStyle name="Lien hypertexte visité" xfId="4333" builtinId="9" hidden="1"/>
    <cellStyle name="Lien hypertexte visité" xfId="4313" builtinId="9" hidden="1"/>
    <cellStyle name="Lien hypertexte visité" xfId="4293" builtinId="9" hidden="1"/>
    <cellStyle name="Lien hypertexte visité" xfId="4277" builtinId="9" hidden="1"/>
    <cellStyle name="Lien hypertexte visité" xfId="4257" builtinId="9" hidden="1"/>
    <cellStyle name="Lien hypertexte visité" xfId="4221" builtinId="9" hidden="1"/>
    <cellStyle name="Lien hypertexte visité" xfId="4205" builtinId="9" hidden="1"/>
    <cellStyle name="Lien hypertexte visité" xfId="4185" builtinId="9" hidden="1"/>
    <cellStyle name="Lien hypertexte visité" xfId="4165" builtinId="9" hidden="1"/>
    <cellStyle name="Lien hypertexte visité" xfId="4149" builtinId="9" hidden="1"/>
    <cellStyle name="Lien hypertexte visité" xfId="4129" builtinId="9" hidden="1"/>
    <cellStyle name="Lien hypertexte visité" xfId="4113" builtinId="9" hidden="1"/>
    <cellStyle name="Lien hypertexte visité" xfId="4077" builtinId="9" hidden="1"/>
    <cellStyle name="Lien hypertexte visité" xfId="4057" builtinId="9" hidden="1"/>
    <cellStyle name="Lien hypertexte visité" xfId="4037" builtinId="9" hidden="1"/>
    <cellStyle name="Lien hypertexte visité" xfId="4021" builtinId="9" hidden="1"/>
    <cellStyle name="Lien hypertexte visité" xfId="4001" builtinId="9" hidden="1"/>
    <cellStyle name="Lien hypertexte visité" xfId="3985" builtinId="9" hidden="1"/>
    <cellStyle name="Lien hypertexte visité" xfId="3965" builtinId="9" hidden="1"/>
    <cellStyle name="Lien hypertexte visité" xfId="3929" builtinId="9" hidden="1"/>
    <cellStyle name="Lien hypertexte visité" xfId="8266" builtinId="9" hidden="1"/>
    <cellStyle name="Lien hypertexte visité" xfId="8330" builtinId="9" hidden="1"/>
    <cellStyle name="Lien hypertexte visité" xfId="8394" builtinId="9" hidden="1"/>
    <cellStyle name="Lien hypertexte visité" xfId="8458" builtinId="9" hidden="1"/>
    <cellStyle name="Lien hypertexte visité" xfId="8522" builtinId="9" hidden="1"/>
    <cellStyle name="Lien hypertexte visité" xfId="8586" builtinId="9" hidden="1"/>
    <cellStyle name="Lien hypertexte visité" xfId="8714" builtinId="9" hidden="1"/>
    <cellStyle name="Lien hypertexte visité" xfId="8778" builtinId="9" hidden="1"/>
    <cellStyle name="Lien hypertexte visité" xfId="8842" builtinId="9" hidden="1"/>
    <cellStyle name="Lien hypertexte visité" xfId="8906" builtinId="9" hidden="1"/>
    <cellStyle name="Lien hypertexte visité" xfId="8970" builtinId="9" hidden="1"/>
    <cellStyle name="Lien hypertexte visité" xfId="9034" builtinId="9" hidden="1"/>
    <cellStyle name="Lien hypertexte visité" xfId="9098" builtinId="9" hidden="1"/>
    <cellStyle name="Lien hypertexte visité" xfId="9226" builtinId="9" hidden="1"/>
    <cellStyle name="Lien hypertexte visité" xfId="9290" builtinId="9" hidden="1"/>
    <cellStyle name="Lien hypertexte visité" xfId="9354" builtinId="9" hidden="1"/>
    <cellStyle name="Lien hypertexte visité" xfId="9418" builtinId="9" hidden="1"/>
    <cellStyle name="Lien hypertexte visité" xfId="9482" builtinId="9" hidden="1"/>
    <cellStyle name="Lien hypertexte visité" xfId="9546" builtinId="9" hidden="1"/>
    <cellStyle name="Lien hypertexte visité" xfId="9610" builtinId="9" hidden="1"/>
    <cellStyle name="Lien hypertexte visité" xfId="9738" builtinId="9" hidden="1"/>
    <cellStyle name="Lien hypertexte visité" xfId="9802" builtinId="9" hidden="1"/>
    <cellStyle name="Lien hypertexte visité" xfId="9866" builtinId="9" hidden="1"/>
    <cellStyle name="Lien hypertexte visité" xfId="9930" builtinId="9" hidden="1"/>
    <cellStyle name="Lien hypertexte visité" xfId="9994" builtinId="9" hidden="1"/>
    <cellStyle name="Lien hypertexte visité" xfId="10058" builtinId="9" hidden="1"/>
    <cellStyle name="Lien hypertexte visité" xfId="10122" builtinId="9" hidden="1"/>
    <cellStyle name="Lien hypertexte visité" xfId="10250" builtinId="9" hidden="1"/>
    <cellStyle name="Lien hypertexte visité" xfId="10314" builtinId="9" hidden="1"/>
    <cellStyle name="Lien hypertexte visité" xfId="10378" builtinId="9" hidden="1"/>
    <cellStyle name="Lien hypertexte visité" xfId="10442" builtinId="9" hidden="1"/>
    <cellStyle name="Lien hypertexte visité" xfId="10506" builtinId="9" hidden="1"/>
    <cellStyle name="Lien hypertexte visité" xfId="10570" builtinId="9" hidden="1"/>
    <cellStyle name="Lien hypertexte visité" xfId="10634" builtinId="9" hidden="1"/>
    <cellStyle name="Lien hypertexte visité" xfId="10762" builtinId="9" hidden="1"/>
    <cellStyle name="Lien hypertexte visité" xfId="10826" builtinId="9" hidden="1"/>
    <cellStyle name="Lien hypertexte visité" xfId="10890" builtinId="9" hidden="1"/>
    <cellStyle name="Lien hypertexte visité" xfId="10954" builtinId="9" hidden="1"/>
    <cellStyle name="Lien hypertexte visité" xfId="11018" builtinId="9" hidden="1"/>
    <cellStyle name="Lien hypertexte visité" xfId="11082" builtinId="9" hidden="1"/>
    <cellStyle name="Lien hypertexte visité" xfId="11146" builtinId="9" hidden="1"/>
    <cellStyle name="Lien hypertexte visité" xfId="11274" builtinId="9" hidden="1"/>
    <cellStyle name="Lien hypertexte visité" xfId="11338" builtinId="9" hidden="1"/>
    <cellStyle name="Lien hypertexte visité" xfId="11402" builtinId="9" hidden="1"/>
    <cellStyle name="Lien hypertexte visité" xfId="11466" builtinId="9" hidden="1"/>
    <cellStyle name="Lien hypertexte visité" xfId="11530" builtinId="9" hidden="1"/>
    <cellStyle name="Lien hypertexte visité" xfId="11594" builtinId="9" hidden="1"/>
    <cellStyle name="Lien hypertexte visité" xfId="11658" builtinId="9" hidden="1"/>
    <cellStyle name="Lien hypertexte visité" xfId="11786" builtinId="9" hidden="1"/>
    <cellStyle name="Lien hypertexte visité" xfId="11850" builtinId="9" hidden="1"/>
    <cellStyle name="Lien hypertexte visité" xfId="11914" builtinId="9" hidden="1"/>
    <cellStyle name="Lien hypertexte visité" xfId="11978" builtinId="9" hidden="1"/>
    <cellStyle name="Lien hypertexte visité" xfId="12042" builtinId="9" hidden="1"/>
    <cellStyle name="Lien hypertexte visité" xfId="12106" builtinId="9" hidden="1"/>
    <cellStyle name="Lien hypertexte visité" xfId="12170" builtinId="9" hidden="1"/>
    <cellStyle name="Lien hypertexte visité" xfId="12298" builtinId="9" hidden="1"/>
    <cellStyle name="Lien hypertexte visité" xfId="12362" builtinId="9" hidden="1"/>
    <cellStyle name="Lien hypertexte visité" xfId="12426" builtinId="9" hidden="1"/>
    <cellStyle name="Lien hypertexte visité" xfId="12490" builtinId="9" hidden="1"/>
    <cellStyle name="Lien hypertexte visité" xfId="12554" builtinId="9" hidden="1"/>
    <cellStyle name="Lien hypertexte visité" xfId="12618" builtinId="9" hidden="1"/>
    <cellStyle name="Lien hypertexte visité" xfId="12682" builtinId="9" hidden="1"/>
    <cellStyle name="Lien hypertexte visité" xfId="12810" builtinId="9" hidden="1"/>
    <cellStyle name="Lien hypertexte visité" xfId="12874" builtinId="9" hidden="1"/>
    <cellStyle name="Lien hypertexte visité" xfId="12938" builtinId="9" hidden="1"/>
    <cellStyle name="Lien hypertexte visité" xfId="13002" builtinId="9" hidden="1"/>
    <cellStyle name="Lien hypertexte visité" xfId="13066" builtinId="9" hidden="1"/>
    <cellStyle name="Lien hypertexte visité" xfId="13130" builtinId="9" hidden="1"/>
    <cellStyle name="Lien hypertexte visité" xfId="13194" builtinId="9" hidden="1"/>
    <cellStyle name="Lien hypertexte visité" xfId="13322" builtinId="9" hidden="1"/>
    <cellStyle name="Lien hypertexte visité" xfId="13386" builtinId="9" hidden="1"/>
    <cellStyle name="Lien hypertexte visité" xfId="13450" builtinId="9" hidden="1"/>
    <cellStyle name="Lien hypertexte visité" xfId="13514" builtinId="9" hidden="1"/>
    <cellStyle name="Lien hypertexte visité" xfId="13578" builtinId="9" hidden="1"/>
    <cellStyle name="Lien hypertexte visité" xfId="13642" builtinId="9" hidden="1"/>
    <cellStyle name="Lien hypertexte visité" xfId="13706" builtinId="9" hidden="1"/>
    <cellStyle name="Lien hypertexte visité" xfId="13834" builtinId="9" hidden="1"/>
    <cellStyle name="Lien hypertexte visité" xfId="13898" builtinId="9" hidden="1"/>
    <cellStyle name="Lien hypertexte visité" xfId="13962" builtinId="9" hidden="1"/>
    <cellStyle name="Lien hypertexte visité" xfId="14026" builtinId="9" hidden="1"/>
    <cellStyle name="Lien hypertexte visité" xfId="14090" builtinId="9" hidden="1"/>
    <cellStyle name="Lien hypertexte visité" xfId="14154" builtinId="9" hidden="1"/>
    <cellStyle name="Lien hypertexte visité" xfId="14218" builtinId="9" hidden="1"/>
    <cellStyle name="Lien hypertexte visité" xfId="14346" builtinId="9" hidden="1"/>
    <cellStyle name="Lien hypertexte visité" xfId="14410" builtinId="9" hidden="1"/>
    <cellStyle name="Lien hypertexte visité" xfId="14474" builtinId="9" hidden="1"/>
    <cellStyle name="Lien hypertexte visité" xfId="14561" builtinId="9" hidden="1"/>
    <cellStyle name="Lien hypertexte visité" xfId="14689" builtinId="9" hidden="1"/>
    <cellStyle name="Lien hypertexte visité" xfId="14817" builtinId="9" hidden="1"/>
    <cellStyle name="Lien hypertexte visité" xfId="14945" builtinId="9" hidden="1"/>
    <cellStyle name="Lien hypertexte visité" xfId="15201" builtinId="9" hidden="1"/>
    <cellStyle name="Lien hypertexte visité" xfId="15329" builtinId="9" hidden="1"/>
    <cellStyle name="Lien hypertexte visité" xfId="15457" builtinId="9" hidden="1"/>
    <cellStyle name="Lien hypertexte visité" xfId="15585" builtinId="9" hidden="1"/>
    <cellStyle name="Lien hypertexte visité" xfId="15713" builtinId="9" hidden="1"/>
    <cellStyle name="Lien hypertexte visité" xfId="15841" builtinId="9" hidden="1"/>
    <cellStyle name="Lien hypertexte visité" xfId="15969" builtinId="9" hidden="1"/>
    <cellStyle name="Lien hypertexte visité" xfId="16225" builtinId="9" hidden="1"/>
    <cellStyle name="Lien hypertexte visité" xfId="16353" builtinId="9" hidden="1"/>
    <cellStyle name="Lien hypertexte visité" xfId="16481" builtinId="9" hidden="1"/>
    <cellStyle name="Lien hypertexte visité" xfId="16609" builtinId="9" hidden="1"/>
    <cellStyle name="Lien hypertexte visité" xfId="16737" builtinId="9" hidden="1"/>
    <cellStyle name="Lien hypertexte visité" xfId="16865" builtinId="9" hidden="1"/>
    <cellStyle name="Lien hypertexte visité" xfId="16993" builtinId="9" hidden="1"/>
    <cellStyle name="Lien hypertexte visité" xfId="17249" builtinId="9" hidden="1"/>
    <cellStyle name="Lien hypertexte visité" xfId="17377" builtinId="9" hidden="1"/>
    <cellStyle name="Lien hypertexte visité" xfId="17505" builtinId="9" hidden="1"/>
    <cellStyle name="Lien hypertexte visité" xfId="17633" builtinId="9" hidden="1"/>
    <cellStyle name="Lien hypertexte visité" xfId="17761" builtinId="9" hidden="1"/>
    <cellStyle name="Lien hypertexte visité" xfId="17889" builtinId="9" hidden="1"/>
    <cellStyle name="Lien hypertexte visité" xfId="18017" builtinId="9" hidden="1"/>
    <cellStyle name="Lien hypertexte visité" xfId="18273" builtinId="9" hidden="1"/>
    <cellStyle name="Lien hypertexte visité" xfId="18384" builtinId="9" hidden="1"/>
    <cellStyle name="Lien hypertexte visité" xfId="18512" builtinId="9" hidden="1"/>
    <cellStyle name="Lien hypertexte visité" xfId="18640" builtinId="9" hidden="1"/>
    <cellStyle name="Lien hypertexte visité" xfId="18768" builtinId="9" hidden="1"/>
    <cellStyle name="Lien hypertexte visité" xfId="18896" builtinId="9" hidden="1"/>
    <cellStyle name="Lien hypertexte visité" xfId="19024" builtinId="9" hidden="1"/>
    <cellStyle name="Lien hypertexte visité" xfId="19280" builtinId="9" hidden="1"/>
    <cellStyle name="Lien hypertexte visité" xfId="19408" builtinId="9" hidden="1"/>
    <cellStyle name="Lien hypertexte visité" xfId="19536" builtinId="9" hidden="1"/>
    <cellStyle name="Lien hypertexte visité" xfId="19664" builtinId="9" hidden="1"/>
    <cellStyle name="Lien hypertexte visité" xfId="19792" builtinId="9" hidden="1"/>
    <cellStyle name="Lien hypertexte visité" xfId="19920" builtinId="9" hidden="1"/>
    <cellStyle name="Lien hypertexte visité" xfId="20048" builtinId="9" hidden="1"/>
    <cellStyle name="Lien hypertexte visité" xfId="20304" builtinId="9" hidden="1"/>
    <cellStyle name="Lien hypertexte visité" xfId="20432" builtinId="9" hidden="1"/>
    <cellStyle name="Lien hypertexte visité" xfId="20560" builtinId="9" hidden="1"/>
    <cellStyle name="Lien hypertexte visité" xfId="20688" builtinId="9" hidden="1"/>
    <cellStyle name="Lien hypertexte visité" xfId="20816" builtinId="9" hidden="1"/>
    <cellStyle name="Lien hypertexte visité" xfId="20944" builtinId="9" hidden="1"/>
    <cellStyle name="Lien hypertexte visité" xfId="21072" builtinId="9" hidden="1"/>
    <cellStyle name="Lien hypertexte visité" xfId="21328" builtinId="9" hidden="1"/>
    <cellStyle name="Lien hypertexte visité" xfId="21456" builtinId="9" hidden="1"/>
    <cellStyle name="Lien hypertexte visité" xfId="21584" builtinId="9" hidden="1"/>
    <cellStyle name="Lien hypertexte visité" xfId="21712" builtinId="9" hidden="1"/>
    <cellStyle name="Lien hypertexte visité" xfId="21840" builtinId="9" hidden="1"/>
    <cellStyle name="Lien hypertexte visité" xfId="21968" builtinId="9" hidden="1"/>
    <cellStyle name="Lien hypertexte visité" xfId="22096" builtinId="9" hidden="1"/>
    <cellStyle name="Lien hypertexte visité" xfId="22352" builtinId="9" hidden="1"/>
    <cellStyle name="Lien hypertexte visité" xfId="22480" builtinId="9" hidden="1"/>
    <cellStyle name="Lien hypertexte visité" xfId="22608" builtinId="9" hidden="1"/>
    <cellStyle name="Lien hypertexte visité" xfId="22736" builtinId="9" hidden="1"/>
    <cellStyle name="Lien hypertexte visité" xfId="22864" builtinId="9" hidden="1"/>
    <cellStyle name="Lien hypertexte visité" xfId="22992" builtinId="9" hidden="1"/>
    <cellStyle name="Lien hypertexte visité" xfId="23120" builtinId="9" hidden="1"/>
    <cellStyle name="Lien hypertexte visité" xfId="23376" builtinId="9" hidden="1"/>
    <cellStyle name="Lien hypertexte visité" xfId="23504" builtinId="9" hidden="1"/>
    <cellStyle name="Lien hypertexte visité" xfId="23632" builtinId="9" hidden="1"/>
    <cellStyle name="Lien hypertexte visité" xfId="23760" builtinId="9" hidden="1"/>
    <cellStyle name="Lien hypertexte visité" xfId="23888" builtinId="9" hidden="1"/>
    <cellStyle name="Lien hypertexte visité" xfId="24016" builtinId="9" hidden="1"/>
    <cellStyle name="Lien hypertexte visité" xfId="24144" builtinId="9" hidden="1"/>
    <cellStyle name="Lien hypertexte visité" xfId="24400" builtinId="9" hidden="1"/>
    <cellStyle name="Lien hypertexte visité" xfId="24528" builtinId="9" hidden="1"/>
    <cellStyle name="Lien hypertexte visité" xfId="24570" builtinId="9" hidden="1"/>
    <cellStyle name="Lien hypertexte visité" xfId="24442" builtinId="9" hidden="1"/>
    <cellStyle name="Lien hypertexte visité" xfId="24314" builtinId="9" hidden="1"/>
    <cellStyle name="Lien hypertexte visité" xfId="24186" builtinId="9" hidden="1"/>
    <cellStyle name="Lien hypertexte visité" xfId="24058" builtinId="9" hidden="1"/>
    <cellStyle name="Lien hypertexte visité" xfId="23802" builtinId="9" hidden="1"/>
    <cellStyle name="Lien hypertexte visité" xfId="23674" builtinId="9" hidden="1"/>
    <cellStyle name="Lien hypertexte visité" xfId="23546" builtinId="9" hidden="1"/>
    <cellStyle name="Lien hypertexte visité" xfId="23418" builtinId="9" hidden="1"/>
    <cellStyle name="Lien hypertexte visité" xfId="23290" builtinId="9" hidden="1"/>
    <cellStyle name="Lien hypertexte visité" xfId="23162" builtinId="9" hidden="1"/>
    <cellStyle name="Lien hypertexte visité" xfId="23034" builtinId="9" hidden="1"/>
    <cellStyle name="Lien hypertexte visité" xfId="22778" builtinId="9" hidden="1"/>
    <cellStyle name="Lien hypertexte visité" xfId="22650" builtinId="9" hidden="1"/>
    <cellStyle name="Lien hypertexte visité" xfId="22522" builtinId="9" hidden="1"/>
    <cellStyle name="Lien hypertexte visité" xfId="22394" builtinId="9" hidden="1"/>
    <cellStyle name="Lien hypertexte visité" xfId="22266" builtinId="9" hidden="1"/>
    <cellStyle name="Lien hypertexte visité" xfId="22138" builtinId="9" hidden="1"/>
    <cellStyle name="Lien hypertexte visité" xfId="22010" builtinId="9" hidden="1"/>
    <cellStyle name="Lien hypertexte visité" xfId="21754" builtinId="9" hidden="1"/>
    <cellStyle name="Lien hypertexte visité" xfId="21626" builtinId="9" hidden="1"/>
    <cellStyle name="Lien hypertexte visité" xfId="21498" builtinId="9" hidden="1"/>
    <cellStyle name="Lien hypertexte visité" xfId="21370" builtinId="9" hidden="1"/>
    <cellStyle name="Lien hypertexte visité" xfId="21242" builtinId="9" hidden="1"/>
    <cellStyle name="Lien hypertexte visité" xfId="21114" builtinId="9" hidden="1"/>
    <cellStyle name="Lien hypertexte visité" xfId="20986" builtinId="9" hidden="1"/>
    <cellStyle name="Lien hypertexte visité" xfId="20730" builtinId="9" hidden="1"/>
    <cellStyle name="Lien hypertexte visité" xfId="20602" builtinId="9" hidden="1"/>
    <cellStyle name="Lien hypertexte visité" xfId="20474" builtinId="9" hidden="1"/>
    <cellStyle name="Lien hypertexte visité" xfId="20346" builtinId="9" hidden="1"/>
    <cellStyle name="Lien hypertexte visité" xfId="20218" builtinId="9" hidden="1"/>
    <cellStyle name="Lien hypertexte visité" xfId="20090" builtinId="9" hidden="1"/>
    <cellStyle name="Lien hypertexte visité" xfId="19962" builtinId="9" hidden="1"/>
    <cellStyle name="Lien hypertexte visité" xfId="19706" builtinId="9" hidden="1"/>
    <cellStyle name="Lien hypertexte visité" xfId="19578" builtinId="9" hidden="1"/>
    <cellStyle name="Lien hypertexte visité" xfId="19450" builtinId="9" hidden="1"/>
    <cellStyle name="Lien hypertexte visité" xfId="19322" builtinId="9" hidden="1"/>
    <cellStyle name="Lien hypertexte visité" xfId="19194" builtinId="9" hidden="1"/>
    <cellStyle name="Lien hypertexte visité" xfId="19066" builtinId="9" hidden="1"/>
    <cellStyle name="Lien hypertexte visité" xfId="18938" builtinId="9" hidden="1"/>
    <cellStyle name="Lien hypertexte visité" xfId="18682" builtinId="9" hidden="1"/>
    <cellStyle name="Lien hypertexte visité" xfId="18554" builtinId="9" hidden="1"/>
    <cellStyle name="Lien hypertexte visité" xfId="18426" builtinId="9" hidden="1"/>
    <cellStyle name="Lien hypertexte visité" xfId="18312" builtinId="9" hidden="1"/>
    <cellStyle name="Lien hypertexte visité" xfId="18187" builtinId="9" hidden="1"/>
    <cellStyle name="Lien hypertexte visité" xfId="18059" builtinId="9" hidden="1"/>
    <cellStyle name="Lien hypertexte visité" xfId="17931" builtinId="9" hidden="1"/>
    <cellStyle name="Lien hypertexte visité" xfId="17675" builtinId="9" hidden="1"/>
    <cellStyle name="Lien hypertexte visité" xfId="17547" builtinId="9" hidden="1"/>
    <cellStyle name="Lien hypertexte visité" xfId="17419" builtinId="9" hidden="1"/>
    <cellStyle name="Lien hypertexte visité" xfId="17315" builtinId="9" hidden="1"/>
    <cellStyle name="Lien hypertexte visité" xfId="17363" builtinId="9" hidden="1"/>
    <cellStyle name="Lien hypertexte visité" xfId="17403" builtinId="9" hidden="1"/>
    <cellStyle name="Lien hypertexte visité" xfId="17443" builtinId="9" hidden="1"/>
    <cellStyle name="Lien hypertexte visité" xfId="17531" builtinId="9" hidden="1"/>
    <cellStyle name="Lien hypertexte visité" xfId="17571" builtinId="9" hidden="1"/>
    <cellStyle name="Lien hypertexte visité" xfId="17619" builtinId="9" hidden="1"/>
    <cellStyle name="Lien hypertexte visité" xfId="17659" builtinId="9" hidden="1"/>
    <cellStyle name="Lien hypertexte visité" xfId="17699" builtinId="9" hidden="1"/>
    <cellStyle name="Lien hypertexte visité" xfId="17747" builtinId="9" hidden="1"/>
    <cellStyle name="Lien hypertexte visité" xfId="17787" builtinId="9" hidden="1"/>
    <cellStyle name="Lien hypertexte visité" xfId="17875" builtinId="9" hidden="1"/>
    <cellStyle name="Lien hypertexte visité" xfId="17915" builtinId="9" hidden="1"/>
    <cellStyle name="Lien hypertexte visité" xfId="17955" builtinId="9" hidden="1"/>
    <cellStyle name="Lien hypertexte visité" xfId="18003" builtinId="9" hidden="1"/>
    <cellStyle name="Lien hypertexte visité" xfId="18043" builtinId="9" hidden="1"/>
    <cellStyle name="Lien hypertexte visité" xfId="18083" builtinId="9" hidden="1"/>
    <cellStyle name="Lien hypertexte visité" xfId="18131" builtinId="9" hidden="1"/>
    <cellStyle name="Lien hypertexte visité" xfId="18211" builtinId="9" hidden="1"/>
    <cellStyle name="Lien hypertexte visité" xfId="18259" builtinId="9" hidden="1"/>
    <cellStyle name="Lien hypertexte visité" xfId="18299" builtinId="9" hidden="1"/>
    <cellStyle name="Lien hypertexte visité" xfId="18324" builtinId="9" hidden="1"/>
    <cellStyle name="Lien hypertexte visité" xfId="18370" builtinId="9" hidden="1"/>
    <cellStyle name="Lien hypertexte visité" xfId="18410" builtinId="9" hidden="1"/>
    <cellStyle name="Lien hypertexte visité" xfId="18450" builtinId="9" hidden="1"/>
    <cellStyle name="Lien hypertexte visité" xfId="18538" builtinId="9" hidden="1"/>
    <cellStyle name="Lien hypertexte visité" xfId="18578" builtinId="9" hidden="1"/>
    <cellStyle name="Lien hypertexte visité" xfId="18626" builtinId="9" hidden="1"/>
    <cellStyle name="Lien hypertexte visité" xfId="18666" builtinId="9" hidden="1"/>
    <cellStyle name="Lien hypertexte visité" xfId="18706" builtinId="9" hidden="1"/>
    <cellStyle name="Lien hypertexte visité" xfId="18754" builtinId="9" hidden="1"/>
    <cellStyle name="Lien hypertexte visité" xfId="18794" builtinId="9" hidden="1"/>
    <cellStyle name="Lien hypertexte visité" xfId="18882" builtinId="9" hidden="1"/>
    <cellStyle name="Lien hypertexte visité" xfId="18922" builtinId="9" hidden="1"/>
    <cellStyle name="Lien hypertexte visité" xfId="18962" builtinId="9" hidden="1"/>
    <cellStyle name="Lien hypertexte visité" xfId="19010" builtinId="9" hidden="1"/>
    <cellStyle name="Lien hypertexte visité" xfId="19050" builtinId="9" hidden="1"/>
    <cellStyle name="Lien hypertexte visité" xfId="19090" builtinId="9" hidden="1"/>
    <cellStyle name="Lien hypertexte visité" xfId="19138" builtinId="9" hidden="1"/>
    <cellStyle name="Lien hypertexte visité" xfId="19218" builtinId="9" hidden="1"/>
    <cellStyle name="Lien hypertexte visité" xfId="19266" builtinId="9" hidden="1"/>
    <cellStyle name="Lien hypertexte visité" xfId="19306" builtinId="9" hidden="1"/>
    <cellStyle name="Lien hypertexte visité" xfId="19346" builtinId="9" hidden="1"/>
    <cellStyle name="Lien hypertexte visité" xfId="19394" builtinId="9" hidden="1"/>
    <cellStyle name="Lien hypertexte visité" xfId="19434" builtinId="9" hidden="1"/>
    <cellStyle name="Lien hypertexte visité" xfId="19474" builtinId="9" hidden="1"/>
    <cellStyle name="Lien hypertexte visité" xfId="19562" builtinId="9" hidden="1"/>
    <cellStyle name="Lien hypertexte visité" xfId="19602" builtinId="9" hidden="1"/>
    <cellStyle name="Lien hypertexte visité" xfId="19650" builtinId="9" hidden="1"/>
    <cellStyle name="Lien hypertexte visité" xfId="19690" builtinId="9" hidden="1"/>
    <cellStyle name="Lien hypertexte visité" xfId="19730" builtinId="9" hidden="1"/>
    <cellStyle name="Lien hypertexte visité" xfId="19778" builtinId="9" hidden="1"/>
    <cellStyle name="Lien hypertexte visité" xfId="19818" builtinId="9" hidden="1"/>
    <cellStyle name="Lien hypertexte visité" xfId="19906" builtinId="9" hidden="1"/>
    <cellStyle name="Lien hypertexte visité" xfId="19946" builtinId="9" hidden="1"/>
    <cellStyle name="Lien hypertexte visité" xfId="19986" builtinId="9" hidden="1"/>
    <cellStyle name="Lien hypertexte visité" xfId="20034" builtinId="9" hidden="1"/>
    <cellStyle name="Lien hypertexte visité" xfId="20074" builtinId="9" hidden="1"/>
    <cellStyle name="Lien hypertexte visité" xfId="20114" builtinId="9" hidden="1"/>
    <cellStyle name="Lien hypertexte visité" xfId="20162" builtinId="9" hidden="1"/>
    <cellStyle name="Lien hypertexte visité" xfId="20242" builtinId="9" hidden="1"/>
    <cellStyle name="Lien hypertexte visité" xfId="20290" builtinId="9" hidden="1"/>
    <cellStyle name="Lien hypertexte visité" xfId="20330" builtinId="9" hidden="1"/>
    <cellStyle name="Lien hypertexte visité" xfId="20370" builtinId="9" hidden="1"/>
    <cellStyle name="Lien hypertexte visité" xfId="20418" builtinId="9" hidden="1"/>
    <cellStyle name="Lien hypertexte visité" xfId="20458" builtinId="9" hidden="1"/>
    <cellStyle name="Lien hypertexte visité" xfId="20498" builtinId="9" hidden="1"/>
    <cellStyle name="Lien hypertexte visité" xfId="20586" builtinId="9" hidden="1"/>
    <cellStyle name="Lien hypertexte visité" xfId="20626" builtinId="9" hidden="1"/>
    <cellStyle name="Lien hypertexte visité" xfId="20674" builtinId="9" hidden="1"/>
    <cellStyle name="Lien hypertexte visité" xfId="20714" builtinId="9" hidden="1"/>
    <cellStyle name="Lien hypertexte visité" xfId="20754" builtinId="9" hidden="1"/>
    <cellStyle name="Lien hypertexte visité" xfId="20802" builtinId="9" hidden="1"/>
    <cellStyle name="Lien hypertexte visité" xfId="20842" builtinId="9" hidden="1"/>
    <cellStyle name="Lien hypertexte visité" xfId="20930" builtinId="9" hidden="1"/>
    <cellStyle name="Lien hypertexte visité" xfId="20970" builtinId="9" hidden="1"/>
    <cellStyle name="Lien hypertexte visité" xfId="21010" builtinId="9" hidden="1"/>
    <cellStyle name="Lien hypertexte visité" xfId="21058" builtinId="9" hidden="1"/>
    <cellStyle name="Lien hypertexte visité" xfId="21098" builtinId="9" hidden="1"/>
    <cellStyle name="Lien hypertexte visité" xfId="21138" builtinId="9" hidden="1"/>
    <cellStyle name="Lien hypertexte visité" xfId="21186" builtinId="9" hidden="1"/>
    <cellStyle name="Lien hypertexte visité" xfId="21266" builtinId="9" hidden="1"/>
    <cellStyle name="Lien hypertexte visité" xfId="21314" builtinId="9" hidden="1"/>
    <cellStyle name="Lien hypertexte visité" xfId="21354" builtinId="9" hidden="1"/>
    <cellStyle name="Lien hypertexte visité" xfId="21394" builtinId="9" hidden="1"/>
    <cellStyle name="Lien hypertexte visité" xfId="21442" builtinId="9" hidden="1"/>
    <cellStyle name="Lien hypertexte visité" xfId="21482" builtinId="9" hidden="1"/>
    <cellStyle name="Lien hypertexte visité" xfId="21522" builtinId="9" hidden="1"/>
    <cellStyle name="Lien hypertexte visité" xfId="21610" builtinId="9" hidden="1"/>
    <cellStyle name="Lien hypertexte visité" xfId="21650" builtinId="9" hidden="1"/>
    <cellStyle name="Lien hypertexte visité" xfId="21698" builtinId="9" hidden="1"/>
    <cellStyle name="Lien hypertexte visité" xfId="21738" builtinId="9" hidden="1"/>
    <cellStyle name="Lien hypertexte visité" xfId="21778" builtinId="9" hidden="1"/>
    <cellStyle name="Lien hypertexte visité" xfId="21826" builtinId="9" hidden="1"/>
    <cellStyle name="Lien hypertexte visité" xfId="21866" builtinId="9" hidden="1"/>
    <cellStyle name="Lien hypertexte visité" xfId="21954" builtinId="9" hidden="1"/>
    <cellStyle name="Lien hypertexte visité" xfId="21994" builtinId="9" hidden="1"/>
    <cellStyle name="Lien hypertexte visité" xfId="22034" builtinId="9" hidden="1"/>
    <cellStyle name="Lien hypertexte visité" xfId="22082" builtinId="9" hidden="1"/>
    <cellStyle name="Lien hypertexte visité" xfId="22122" builtinId="9" hidden="1"/>
    <cellStyle name="Lien hypertexte visité" xfId="22162" builtinId="9" hidden="1"/>
    <cellStyle name="Lien hypertexte visité" xfId="22210" builtinId="9" hidden="1"/>
    <cellStyle name="Lien hypertexte visité" xfId="22290" builtinId="9" hidden="1"/>
    <cellStyle name="Lien hypertexte visité" xfId="22338" builtinId="9" hidden="1"/>
    <cellStyle name="Lien hypertexte visité" xfId="22378" builtinId="9" hidden="1"/>
    <cellStyle name="Lien hypertexte visité" xfId="22418" builtinId="9" hidden="1"/>
    <cellStyle name="Lien hypertexte visité" xfId="22466" builtinId="9" hidden="1"/>
    <cellStyle name="Lien hypertexte visité" xfId="22506" builtinId="9" hidden="1"/>
    <cellStyle name="Lien hypertexte visité" xfId="22546" builtinId="9" hidden="1"/>
    <cellStyle name="Lien hypertexte visité" xfId="22634" builtinId="9" hidden="1"/>
    <cellStyle name="Lien hypertexte visité" xfId="22674" builtinId="9" hidden="1"/>
    <cellStyle name="Lien hypertexte visité" xfId="22722" builtinId="9" hidden="1"/>
    <cellStyle name="Lien hypertexte visité" xfId="22762" builtinId="9" hidden="1"/>
    <cellStyle name="Lien hypertexte visité" xfId="22802" builtinId="9" hidden="1"/>
    <cellStyle name="Lien hypertexte visité" xfId="22850" builtinId="9" hidden="1"/>
    <cellStyle name="Lien hypertexte visité" xfId="22890" builtinId="9" hidden="1"/>
    <cellStyle name="Lien hypertexte visité" xfId="22978" builtinId="9" hidden="1"/>
    <cellStyle name="Lien hypertexte visité" xfId="23018" builtinId="9" hidden="1"/>
    <cellStyle name="Lien hypertexte visité" xfId="23058" builtinId="9" hidden="1"/>
    <cellStyle name="Lien hypertexte visité" xfId="23106" builtinId="9" hidden="1"/>
    <cellStyle name="Lien hypertexte visité" xfId="23146" builtinId="9" hidden="1"/>
    <cellStyle name="Lien hypertexte visité" xfId="23186" builtinId="9" hidden="1"/>
    <cellStyle name="Lien hypertexte visité" xfId="23234" builtinId="9" hidden="1"/>
    <cellStyle name="Lien hypertexte visité" xfId="23314" builtinId="9" hidden="1"/>
    <cellStyle name="Lien hypertexte visité" xfId="23362" builtinId="9" hidden="1"/>
    <cellStyle name="Lien hypertexte visité" xfId="23402" builtinId="9" hidden="1"/>
    <cellStyle name="Lien hypertexte visité" xfId="23442" builtinId="9" hidden="1"/>
    <cellStyle name="Lien hypertexte visité" xfId="23490" builtinId="9" hidden="1"/>
    <cellStyle name="Lien hypertexte visité" xfId="23530" builtinId="9" hidden="1"/>
    <cellStyle name="Lien hypertexte visité" xfId="23570" builtinId="9" hidden="1"/>
    <cellStyle name="Lien hypertexte visité" xfId="23658" builtinId="9" hidden="1"/>
    <cellStyle name="Lien hypertexte visité" xfId="23698" builtinId="9" hidden="1"/>
    <cellStyle name="Lien hypertexte visité" xfId="23746" builtinId="9" hidden="1"/>
    <cellStyle name="Lien hypertexte visité" xfId="23786" builtinId="9" hidden="1"/>
    <cellStyle name="Lien hypertexte visité" xfId="23826" builtinId="9" hidden="1"/>
    <cellStyle name="Lien hypertexte visité" xfId="23874" builtinId="9" hidden="1"/>
    <cellStyle name="Lien hypertexte visité" xfId="23914" builtinId="9" hidden="1"/>
    <cellStyle name="Lien hypertexte visité" xfId="24002" builtinId="9" hidden="1"/>
    <cellStyle name="Lien hypertexte visité" xfId="24042" builtinId="9" hidden="1"/>
    <cellStyle name="Lien hypertexte visité" xfId="24082" builtinId="9" hidden="1"/>
    <cellStyle name="Lien hypertexte visité" xfId="24130" builtinId="9" hidden="1"/>
    <cellStyle name="Lien hypertexte visité" xfId="24170" builtinId="9" hidden="1"/>
    <cellStyle name="Lien hypertexte visité" xfId="24210" builtinId="9" hidden="1"/>
    <cellStyle name="Lien hypertexte visité" xfId="24258" builtinId="9" hidden="1"/>
    <cellStyle name="Lien hypertexte visité" xfId="24338" builtinId="9" hidden="1"/>
    <cellStyle name="Lien hypertexte visité" xfId="24386" builtinId="9" hidden="1"/>
    <cellStyle name="Lien hypertexte visité" xfId="24426" builtinId="9" hidden="1"/>
    <cellStyle name="Lien hypertexte visité" xfId="24466" builtinId="9" hidden="1"/>
    <cellStyle name="Lien hypertexte visité" xfId="24514" builtinId="9" hidden="1"/>
    <cellStyle name="Lien hypertexte visité" xfId="24554" builtinId="9" hidden="1"/>
    <cellStyle name="Lien hypertexte visité" xfId="24594" builtinId="9" hidden="1"/>
    <cellStyle name="Lien hypertexte visité" xfId="24544" builtinId="9" hidden="1"/>
    <cellStyle name="Lien hypertexte visité" xfId="24504" builtinId="9" hidden="1"/>
    <cellStyle name="Lien hypertexte visité" xfId="24456" builtinId="9" hidden="1"/>
    <cellStyle name="Lien hypertexte visité" xfId="24416" builtinId="9" hidden="1"/>
    <cellStyle name="Lien hypertexte visité" xfId="24376" builtinId="9" hidden="1"/>
    <cellStyle name="Lien hypertexte visité" xfId="24328" builtinId="9" hidden="1"/>
    <cellStyle name="Lien hypertexte visité" xfId="24288" builtinId="9" hidden="1"/>
    <cellStyle name="Lien hypertexte visité" xfId="24200" builtinId="9" hidden="1"/>
    <cellStyle name="Lien hypertexte visité" xfId="24160" builtinId="9" hidden="1"/>
    <cellStyle name="Lien hypertexte visité" xfId="24120" builtinId="9" hidden="1"/>
    <cellStyle name="Lien hypertexte visité" xfId="24072" builtinId="9" hidden="1"/>
    <cellStyle name="Lien hypertexte visité" xfId="24032" builtinId="9" hidden="1"/>
    <cellStyle name="Lien hypertexte visité" xfId="23992" builtinId="9" hidden="1"/>
    <cellStyle name="Lien hypertexte visité" xfId="23944" builtinId="9" hidden="1"/>
    <cellStyle name="Lien hypertexte visité" xfId="23864" builtinId="9" hidden="1"/>
    <cellStyle name="Lien hypertexte visité" xfId="23816" builtinId="9" hidden="1"/>
    <cellStyle name="Lien hypertexte visité" xfId="23776" builtinId="9" hidden="1"/>
    <cellStyle name="Lien hypertexte visité" xfId="23736" builtinId="9" hidden="1"/>
    <cellStyle name="Lien hypertexte visité" xfId="23688" builtinId="9" hidden="1"/>
    <cellStyle name="Lien hypertexte visité" xfId="23648" builtinId="9" hidden="1"/>
    <cellStyle name="Lien hypertexte visité" xfId="23608" builtinId="9" hidden="1"/>
    <cellStyle name="Lien hypertexte visité" xfId="23520" builtinId="9" hidden="1"/>
    <cellStyle name="Lien hypertexte visité" xfId="23480" builtinId="9" hidden="1"/>
    <cellStyle name="Lien hypertexte visité" xfId="23432" builtinId="9" hidden="1"/>
    <cellStyle name="Lien hypertexte visité" xfId="23392" builtinId="9" hidden="1"/>
    <cellStyle name="Lien hypertexte visité" xfId="23352" builtinId="9" hidden="1"/>
    <cellStyle name="Lien hypertexte visité" xfId="23304" builtinId="9" hidden="1"/>
    <cellStyle name="Lien hypertexte visité" xfId="23264" builtinId="9" hidden="1"/>
    <cellStyle name="Lien hypertexte visité" xfId="23176" builtinId="9" hidden="1"/>
    <cellStyle name="Lien hypertexte visité" xfId="23136" builtinId="9" hidden="1"/>
    <cellStyle name="Lien hypertexte visité" xfId="23096" builtinId="9" hidden="1"/>
    <cellStyle name="Lien hypertexte visité" xfId="23048" builtinId="9" hidden="1"/>
    <cellStyle name="Lien hypertexte visité" xfId="23008" builtinId="9" hidden="1"/>
    <cellStyle name="Lien hypertexte visité" xfId="22968" builtinId="9" hidden="1"/>
    <cellStyle name="Lien hypertexte visité" xfId="22920" builtinId="9" hidden="1"/>
    <cellStyle name="Lien hypertexte visité" xfId="22840" builtinId="9" hidden="1"/>
    <cellStyle name="Lien hypertexte visité" xfId="22792" builtinId="9" hidden="1"/>
    <cellStyle name="Lien hypertexte visité" xfId="22752" builtinId="9" hidden="1"/>
    <cellStyle name="Lien hypertexte visité" xfId="22712" builtinId="9" hidden="1"/>
    <cellStyle name="Lien hypertexte visité" xfId="22664" builtinId="9" hidden="1"/>
    <cellStyle name="Lien hypertexte visité" xfId="22624" builtinId="9" hidden="1"/>
    <cellStyle name="Lien hypertexte visité" xfId="22584" builtinId="9" hidden="1"/>
    <cellStyle name="Lien hypertexte visité" xfId="22496" builtinId="9" hidden="1"/>
    <cellStyle name="Lien hypertexte visité" xfId="22456" builtinId="9" hidden="1"/>
    <cellStyle name="Lien hypertexte visité" xfId="22408" builtinId="9" hidden="1"/>
    <cellStyle name="Lien hypertexte visité" xfId="22368" builtinId="9" hidden="1"/>
    <cellStyle name="Lien hypertexte visité" xfId="22328" builtinId="9" hidden="1"/>
    <cellStyle name="Lien hypertexte visité" xfId="22280" builtinId="9" hidden="1"/>
    <cellStyle name="Lien hypertexte visité" xfId="22240" builtinId="9" hidden="1"/>
    <cellStyle name="Lien hypertexte visité" xfId="22152" builtinId="9" hidden="1"/>
    <cellStyle name="Lien hypertexte visité" xfId="22112" builtinId="9" hidden="1"/>
    <cellStyle name="Lien hypertexte visité" xfId="22072" builtinId="9" hidden="1"/>
    <cellStyle name="Lien hypertexte visité" xfId="22024" builtinId="9" hidden="1"/>
    <cellStyle name="Lien hypertexte visité" xfId="21984" builtinId="9" hidden="1"/>
    <cellStyle name="Lien hypertexte visité" xfId="21944" builtinId="9" hidden="1"/>
    <cellStyle name="Lien hypertexte visité" xfId="21896" builtinId="9" hidden="1"/>
    <cellStyle name="Lien hypertexte visité" xfId="21816" builtinId="9" hidden="1"/>
    <cellStyle name="Lien hypertexte visité" xfId="21768" builtinId="9" hidden="1"/>
    <cellStyle name="Lien hypertexte visité" xfId="21728" builtinId="9" hidden="1"/>
    <cellStyle name="Lien hypertexte visité" xfId="21688" builtinId="9" hidden="1"/>
    <cellStyle name="Lien hypertexte visité" xfId="21640" builtinId="9" hidden="1"/>
    <cellStyle name="Lien hypertexte visité" xfId="21600" builtinId="9" hidden="1"/>
    <cellStyle name="Lien hypertexte visité" xfId="21560" builtinId="9" hidden="1"/>
    <cellStyle name="Lien hypertexte visité" xfId="21472" builtinId="9" hidden="1"/>
    <cellStyle name="Lien hypertexte visité" xfId="21432" builtinId="9" hidden="1"/>
    <cellStyle name="Lien hypertexte visité" xfId="21384" builtinId="9" hidden="1"/>
    <cellStyle name="Lien hypertexte visité" xfId="21344" builtinId="9" hidden="1"/>
    <cellStyle name="Lien hypertexte visité" xfId="21304" builtinId="9" hidden="1"/>
    <cellStyle name="Lien hypertexte visité" xfId="21256" builtinId="9" hidden="1"/>
    <cellStyle name="Lien hypertexte visité" xfId="21216" builtinId="9" hidden="1"/>
    <cellStyle name="Lien hypertexte visité" xfId="21128" builtinId="9" hidden="1"/>
    <cellStyle name="Lien hypertexte visité" xfId="21088" builtinId="9" hidden="1"/>
    <cellStyle name="Lien hypertexte visité" xfId="21048" builtinId="9" hidden="1"/>
    <cellStyle name="Lien hypertexte visité" xfId="21000" builtinId="9" hidden="1"/>
    <cellStyle name="Lien hypertexte visité" xfId="20960" builtinId="9" hidden="1"/>
    <cellStyle name="Lien hypertexte visité" xfId="20920" builtinId="9" hidden="1"/>
    <cellStyle name="Lien hypertexte visité" xfId="20872" builtinId="9" hidden="1"/>
    <cellStyle name="Lien hypertexte visité" xfId="20792" builtinId="9" hidden="1"/>
    <cellStyle name="Lien hypertexte visité" xfId="20744" builtinId="9" hidden="1"/>
    <cellStyle name="Lien hypertexte visité" xfId="20704" builtinId="9" hidden="1"/>
    <cellStyle name="Lien hypertexte visité" xfId="20664" builtinId="9" hidden="1"/>
    <cellStyle name="Lien hypertexte visité" xfId="20616" builtinId="9" hidden="1"/>
    <cellStyle name="Lien hypertexte visité" xfId="20576" builtinId="9" hidden="1"/>
    <cellStyle name="Lien hypertexte visité" xfId="20536" builtinId="9" hidden="1"/>
    <cellStyle name="Lien hypertexte visité" xfId="20448" builtinId="9" hidden="1"/>
    <cellStyle name="Lien hypertexte visité" xfId="20408" builtinId="9" hidden="1"/>
    <cellStyle name="Lien hypertexte visité" xfId="20360" builtinId="9" hidden="1"/>
    <cellStyle name="Lien hypertexte visité" xfId="20320" builtinId="9" hidden="1"/>
    <cellStyle name="Lien hypertexte visité" xfId="20280" builtinId="9" hidden="1"/>
    <cellStyle name="Lien hypertexte visité" xfId="20232" builtinId="9" hidden="1"/>
    <cellStyle name="Lien hypertexte visité" xfId="20192" builtinId="9" hidden="1"/>
    <cellStyle name="Lien hypertexte visité" xfId="20104" builtinId="9" hidden="1"/>
    <cellStyle name="Lien hypertexte visité" xfId="20064" builtinId="9" hidden="1"/>
    <cellStyle name="Lien hypertexte visité" xfId="20024" builtinId="9" hidden="1"/>
    <cellStyle name="Lien hypertexte visité" xfId="19976" builtinId="9" hidden="1"/>
    <cellStyle name="Lien hypertexte visité" xfId="19936" builtinId="9" hidden="1"/>
    <cellStyle name="Lien hypertexte visité" xfId="19896" builtinId="9" hidden="1"/>
    <cellStyle name="Lien hypertexte visité" xfId="19848" builtinId="9" hidden="1"/>
    <cellStyle name="Lien hypertexte visité" xfId="19768" builtinId="9" hidden="1"/>
    <cellStyle name="Lien hypertexte visité" xfId="19720" builtinId="9" hidden="1"/>
    <cellStyle name="Lien hypertexte visité" xfId="19680" builtinId="9" hidden="1"/>
    <cellStyle name="Lien hypertexte visité" xfId="19640" builtinId="9" hidden="1"/>
    <cellStyle name="Lien hypertexte visité" xfId="19592" builtinId="9" hidden="1"/>
    <cellStyle name="Lien hypertexte visité" xfId="19552" builtinId="9" hidden="1"/>
    <cellStyle name="Lien hypertexte visité" xfId="19512" builtinId="9" hidden="1"/>
    <cellStyle name="Lien hypertexte visité" xfId="19424" builtinId="9" hidden="1"/>
    <cellStyle name="Lien hypertexte visité" xfId="19384" builtinId="9" hidden="1"/>
    <cellStyle name="Lien hypertexte visité" xfId="19336" builtinId="9" hidden="1"/>
    <cellStyle name="Lien hypertexte visité" xfId="19296" builtinId="9" hidden="1"/>
    <cellStyle name="Lien hypertexte visité" xfId="19256" builtinId="9" hidden="1"/>
    <cellStyle name="Lien hypertexte visité" xfId="19208" builtinId="9" hidden="1"/>
    <cellStyle name="Lien hypertexte visité" xfId="19168" builtinId="9" hidden="1"/>
    <cellStyle name="Lien hypertexte visité" xfId="19080" builtinId="9" hidden="1"/>
    <cellStyle name="Lien hypertexte visité" xfId="19040" builtinId="9" hidden="1"/>
    <cellStyle name="Lien hypertexte visité" xfId="19000" builtinId="9" hidden="1"/>
    <cellStyle name="Lien hypertexte visité" xfId="18952" builtinId="9" hidden="1"/>
    <cellStyle name="Lien hypertexte visité" xfId="18912" builtinId="9" hidden="1"/>
    <cellStyle name="Lien hypertexte visité" xfId="18872" builtinId="9" hidden="1"/>
    <cellStyle name="Lien hypertexte visité" xfId="18824" builtinId="9" hidden="1"/>
    <cellStyle name="Lien hypertexte visité" xfId="18744" builtinId="9" hidden="1"/>
    <cellStyle name="Lien hypertexte visité" xfId="18696" builtinId="9" hidden="1"/>
    <cellStyle name="Lien hypertexte visité" xfId="18656" builtinId="9" hidden="1"/>
    <cellStyle name="Lien hypertexte visité" xfId="18616" builtinId="9" hidden="1"/>
    <cellStyle name="Lien hypertexte visité" xfId="18568" builtinId="9" hidden="1"/>
    <cellStyle name="Lien hypertexte visité" xfId="18528" builtinId="9" hidden="1"/>
    <cellStyle name="Lien hypertexte visité" xfId="18488" builtinId="9" hidden="1"/>
    <cellStyle name="Lien hypertexte visité" xfId="18400" builtinId="9" hidden="1"/>
    <cellStyle name="Lien hypertexte visité" xfId="18360" builtinId="9" hidden="1"/>
    <cellStyle name="Lien hypertexte visité" xfId="18319" builtinId="9" hidden="1"/>
    <cellStyle name="Lien hypertexte visité" xfId="18289" builtinId="9" hidden="1"/>
    <cellStyle name="Lien hypertexte visité" xfId="18249" builtinId="9" hidden="1"/>
    <cellStyle name="Lien hypertexte visité" xfId="18201" builtinId="9" hidden="1"/>
    <cellStyle name="Lien hypertexte visité" xfId="18161" builtinId="9" hidden="1"/>
    <cellStyle name="Lien hypertexte visité" xfId="18073" builtinId="9" hidden="1"/>
    <cellStyle name="Lien hypertexte visité" xfId="18033" builtinId="9" hidden="1"/>
    <cellStyle name="Lien hypertexte visité" xfId="17993" builtinId="9" hidden="1"/>
    <cellStyle name="Lien hypertexte visité" xfId="17945" builtinId="9" hidden="1"/>
    <cellStyle name="Lien hypertexte visité" xfId="17905" builtinId="9" hidden="1"/>
    <cellStyle name="Lien hypertexte visité" xfId="17865" builtinId="9" hidden="1"/>
    <cellStyle name="Lien hypertexte visité" xfId="17817" builtinId="9" hidden="1"/>
    <cellStyle name="Lien hypertexte visité" xfId="17737" builtinId="9" hidden="1"/>
    <cellStyle name="Lien hypertexte visité" xfId="17689" builtinId="9" hidden="1"/>
    <cellStyle name="Lien hypertexte visité" xfId="17649" builtinId="9" hidden="1"/>
    <cellStyle name="Lien hypertexte visité" xfId="17609" builtinId="9" hidden="1"/>
    <cellStyle name="Lien hypertexte visité" xfId="17561" builtinId="9" hidden="1"/>
    <cellStyle name="Lien hypertexte visité" xfId="17521" builtinId="9" hidden="1"/>
    <cellStyle name="Lien hypertexte visité" xfId="17481" builtinId="9" hidden="1"/>
    <cellStyle name="Lien hypertexte visité" xfId="17393" builtinId="9" hidden="1"/>
    <cellStyle name="Lien hypertexte visité" xfId="17353" builtinId="9" hidden="1"/>
    <cellStyle name="Lien hypertexte visité" xfId="17305" builtinId="9" hidden="1"/>
    <cellStyle name="Lien hypertexte visité" xfId="17265" builtinId="9" hidden="1"/>
    <cellStyle name="Lien hypertexte visité" xfId="17225" builtinId="9" hidden="1"/>
    <cellStyle name="Lien hypertexte visité" xfId="17177" builtinId="9" hidden="1"/>
    <cellStyle name="Lien hypertexte visité" xfId="17137" builtinId="9" hidden="1"/>
    <cellStyle name="Lien hypertexte visité" xfId="17049" builtinId="9" hidden="1"/>
    <cellStyle name="Lien hypertexte visité" xfId="17009" builtinId="9" hidden="1"/>
    <cellStyle name="Lien hypertexte visité" xfId="16969" builtinId="9" hidden="1"/>
    <cellStyle name="Lien hypertexte visité" xfId="16921" builtinId="9" hidden="1"/>
    <cellStyle name="Lien hypertexte visité" xfId="16881" builtinId="9" hidden="1"/>
    <cellStyle name="Lien hypertexte visité" xfId="16841" builtinId="9" hidden="1"/>
    <cellStyle name="Lien hypertexte visité" xfId="16793" builtinId="9" hidden="1"/>
    <cellStyle name="Lien hypertexte visité" xfId="16713" builtinId="9" hidden="1"/>
    <cellStyle name="Lien hypertexte visité" xfId="16665" builtinId="9" hidden="1"/>
    <cellStyle name="Lien hypertexte visité" xfId="16625" builtinId="9" hidden="1"/>
    <cellStyle name="Lien hypertexte visité" xfId="16585" builtinId="9" hidden="1"/>
    <cellStyle name="Lien hypertexte visité" xfId="16537" builtinId="9" hidden="1"/>
    <cellStyle name="Lien hypertexte visité" xfId="16497" builtinId="9" hidden="1"/>
    <cellStyle name="Lien hypertexte visité" xfId="16457" builtinId="9" hidden="1"/>
    <cellStyle name="Lien hypertexte visité" xfId="16369" builtinId="9" hidden="1"/>
    <cellStyle name="Lien hypertexte visité" xfId="16329" builtinId="9" hidden="1"/>
    <cellStyle name="Lien hypertexte visité" xfId="16281" builtinId="9" hidden="1"/>
    <cellStyle name="Lien hypertexte visité" xfId="16241" builtinId="9" hidden="1"/>
    <cellStyle name="Lien hypertexte visité" xfId="16201" builtinId="9" hidden="1"/>
    <cellStyle name="Lien hypertexte visité" xfId="16153" builtinId="9" hidden="1"/>
    <cellStyle name="Lien hypertexte visité" xfId="16113" builtinId="9" hidden="1"/>
    <cellStyle name="Lien hypertexte visité" xfId="16025" builtinId="9" hidden="1"/>
    <cellStyle name="Lien hypertexte visité" xfId="15985" builtinId="9" hidden="1"/>
    <cellStyle name="Lien hypertexte visité" xfId="15945" builtinId="9" hidden="1"/>
    <cellStyle name="Lien hypertexte visité" xfId="15897" builtinId="9" hidden="1"/>
    <cellStyle name="Lien hypertexte visité" xfId="15857" builtinId="9" hidden="1"/>
    <cellStyle name="Lien hypertexte visité" xfId="15817" builtinId="9" hidden="1"/>
    <cellStyle name="Lien hypertexte visité" xfId="15769" builtinId="9" hidden="1"/>
    <cellStyle name="Lien hypertexte visité" xfId="15689" builtinId="9" hidden="1"/>
    <cellStyle name="Lien hypertexte visité" xfId="15641" builtinId="9" hidden="1"/>
    <cellStyle name="Lien hypertexte visité" xfId="15601" builtinId="9" hidden="1"/>
    <cellStyle name="Lien hypertexte visité" xfId="15561" builtinId="9" hidden="1"/>
    <cellStyle name="Lien hypertexte visité" xfId="15513" builtinId="9" hidden="1"/>
    <cellStyle name="Lien hypertexte visité" xfId="15473" builtinId="9" hidden="1"/>
    <cellStyle name="Lien hypertexte visité" xfId="15433" builtinId="9" hidden="1"/>
    <cellStyle name="Lien hypertexte visité" xfId="15345" builtinId="9" hidden="1"/>
    <cellStyle name="Lien hypertexte visité" xfId="15305" builtinId="9" hidden="1"/>
    <cellStyle name="Lien hypertexte visité" xfId="15257" builtinId="9" hidden="1"/>
    <cellStyle name="Lien hypertexte visité" xfId="15217" builtinId="9" hidden="1"/>
    <cellStyle name="Lien hypertexte visité" xfId="15177" builtinId="9" hidden="1"/>
    <cellStyle name="Lien hypertexte visité" xfId="15129" builtinId="9" hidden="1"/>
    <cellStyle name="Lien hypertexte visité" xfId="15089" builtinId="9" hidden="1"/>
    <cellStyle name="Lien hypertexte visité" xfId="15001" builtinId="9" hidden="1"/>
    <cellStyle name="Lien hypertexte visité" xfId="14961" builtinId="9" hidden="1"/>
    <cellStyle name="Lien hypertexte visité" xfId="14921" builtinId="9" hidden="1"/>
    <cellStyle name="Lien hypertexte visité" xfId="14873" builtinId="9" hidden="1"/>
    <cellStyle name="Lien hypertexte visité" xfId="14833" builtinId="9" hidden="1"/>
    <cellStyle name="Lien hypertexte visité" xfId="14793" builtinId="9" hidden="1"/>
    <cellStyle name="Lien hypertexte visité" xfId="14745" builtinId="9" hidden="1"/>
    <cellStyle name="Lien hypertexte visité" xfId="14665" builtinId="9" hidden="1"/>
    <cellStyle name="Lien hypertexte visité" xfId="14617" builtinId="9" hidden="1"/>
    <cellStyle name="Lien hypertexte visité" xfId="14577" builtinId="9" hidden="1"/>
    <cellStyle name="Lien hypertexte visité" xfId="14537" builtinId="9" hidden="1"/>
    <cellStyle name="Lien hypertexte visité" xfId="14502" builtinId="9" hidden="1"/>
    <cellStyle name="Lien hypertexte visité" xfId="14482" builtinId="9" hidden="1"/>
    <cellStyle name="Lien hypertexte visité" xfId="14462" builtinId="9" hidden="1"/>
    <cellStyle name="Lien hypertexte visité" xfId="14418" builtinId="9" hidden="1"/>
    <cellStyle name="Lien hypertexte visité" xfId="14398" builtinId="9" hidden="1"/>
    <cellStyle name="Lien hypertexte visité" xfId="14374" builtinId="9" hidden="1"/>
    <cellStyle name="Lien hypertexte visité" xfId="14354" builtinId="9" hidden="1"/>
    <cellStyle name="Lien hypertexte visité" xfId="14334" builtinId="9" hidden="1"/>
    <cellStyle name="Lien hypertexte visité" xfId="14310" builtinId="9" hidden="1"/>
    <cellStyle name="Lien hypertexte visité" xfId="14290" builtinId="9" hidden="1"/>
    <cellStyle name="Lien hypertexte visité" xfId="14246" builtinId="9" hidden="1"/>
    <cellStyle name="Lien hypertexte visité" xfId="14226" builtinId="9" hidden="1"/>
    <cellStyle name="Lien hypertexte visité" xfId="14206" builtinId="9" hidden="1"/>
    <cellStyle name="Lien hypertexte visité" xfId="14182" builtinId="9" hidden="1"/>
    <cellStyle name="Lien hypertexte visité" xfId="14162" builtinId="9" hidden="1"/>
    <cellStyle name="Lien hypertexte visité" xfId="14142" builtinId="9" hidden="1"/>
    <cellStyle name="Lien hypertexte visité" xfId="14118" builtinId="9" hidden="1"/>
    <cellStyle name="Lien hypertexte visité" xfId="14078" builtinId="9" hidden="1"/>
    <cellStyle name="Lien hypertexte visité" xfId="14054" builtinId="9" hidden="1"/>
    <cellStyle name="Lien hypertexte visité" xfId="14034" builtinId="9" hidden="1"/>
    <cellStyle name="Lien hypertexte visité" xfId="14014" builtinId="9" hidden="1"/>
    <cellStyle name="Lien hypertexte visité" xfId="13990" builtinId="9" hidden="1"/>
    <cellStyle name="Lien hypertexte visité" xfId="13970" builtinId="9" hidden="1"/>
    <cellStyle name="Lien hypertexte visité" xfId="13950" builtinId="9" hidden="1"/>
    <cellStyle name="Lien hypertexte visité" xfId="13906" builtinId="9" hidden="1"/>
    <cellStyle name="Lien hypertexte visité" xfId="13886" builtinId="9" hidden="1"/>
    <cellStyle name="Lien hypertexte visité" xfId="13862" builtinId="9" hidden="1"/>
    <cellStyle name="Lien hypertexte visité" xfId="13842" builtinId="9" hidden="1"/>
    <cellStyle name="Lien hypertexte visité" xfId="13822" builtinId="9" hidden="1"/>
    <cellStyle name="Lien hypertexte visité" xfId="13798" builtinId="9" hidden="1"/>
    <cellStyle name="Lien hypertexte visité" xfId="13778" builtinId="9" hidden="1"/>
    <cellStyle name="Lien hypertexte visité" xfId="13734" builtinId="9" hidden="1"/>
    <cellStyle name="Lien hypertexte visité" xfId="13714" builtinId="9" hidden="1"/>
    <cellStyle name="Lien hypertexte visité" xfId="13694" builtinId="9" hidden="1"/>
    <cellStyle name="Lien hypertexte visité" xfId="13670" builtinId="9" hidden="1"/>
    <cellStyle name="Lien hypertexte visité" xfId="13650" builtinId="9" hidden="1"/>
    <cellStyle name="Lien hypertexte visité" xfId="13630" builtinId="9" hidden="1"/>
    <cellStyle name="Lien hypertexte visité" xfId="13606" builtinId="9" hidden="1"/>
    <cellStyle name="Lien hypertexte visité" xfId="13566" builtinId="9" hidden="1"/>
    <cellStyle name="Lien hypertexte visité" xfId="13542" builtinId="9" hidden="1"/>
    <cellStyle name="Lien hypertexte visité" xfId="13522" builtinId="9" hidden="1"/>
    <cellStyle name="Lien hypertexte visité" xfId="13502" builtinId="9" hidden="1"/>
    <cellStyle name="Lien hypertexte visité" xfId="13478" builtinId="9" hidden="1"/>
    <cellStyle name="Lien hypertexte visité" xfId="13458" builtinId="9" hidden="1"/>
    <cellStyle name="Lien hypertexte visité" xfId="13438" builtinId="9" hidden="1"/>
    <cellStyle name="Lien hypertexte visité" xfId="13394" builtinId="9" hidden="1"/>
    <cellStyle name="Lien hypertexte visité" xfId="13374" builtinId="9" hidden="1"/>
    <cellStyle name="Lien hypertexte visité" xfId="13350" builtinId="9" hidden="1"/>
    <cellStyle name="Lien hypertexte visité" xfId="13330" builtinId="9" hidden="1"/>
    <cellStyle name="Lien hypertexte visité" xfId="13310" builtinId="9" hidden="1"/>
    <cellStyle name="Lien hypertexte visité" xfId="13286" builtinId="9" hidden="1"/>
    <cellStyle name="Lien hypertexte visité" xfId="13266" builtinId="9" hidden="1"/>
    <cellStyle name="Lien hypertexte visité" xfId="13222" builtinId="9" hidden="1"/>
    <cellStyle name="Lien hypertexte visité" xfId="13202" builtinId="9" hidden="1"/>
    <cellStyle name="Lien hypertexte visité" xfId="13182" builtinId="9" hidden="1"/>
    <cellStyle name="Lien hypertexte visité" xfId="13158" builtinId="9" hidden="1"/>
    <cellStyle name="Lien hypertexte visité" xfId="13138" builtinId="9" hidden="1"/>
    <cellStyle name="Lien hypertexte visité" xfId="13118" builtinId="9" hidden="1"/>
    <cellStyle name="Lien hypertexte visité" xfId="13094" builtinId="9" hidden="1"/>
    <cellStyle name="Lien hypertexte visité" xfId="13054" builtinId="9" hidden="1"/>
    <cellStyle name="Lien hypertexte visité" xfId="13030" builtinId="9" hidden="1"/>
    <cellStyle name="Lien hypertexte visité" xfId="13010" builtinId="9" hidden="1"/>
    <cellStyle name="Lien hypertexte visité" xfId="12990" builtinId="9" hidden="1"/>
    <cellStyle name="Lien hypertexte visité" xfId="12966" builtinId="9" hidden="1"/>
    <cellStyle name="Lien hypertexte visité" xfId="12946" builtinId="9" hidden="1"/>
    <cellStyle name="Lien hypertexte visité" xfId="12926" builtinId="9" hidden="1"/>
    <cellStyle name="Lien hypertexte visité" xfId="12882" builtinId="9" hidden="1"/>
    <cellStyle name="Lien hypertexte visité" xfId="12862" builtinId="9" hidden="1"/>
    <cellStyle name="Lien hypertexte visité" xfId="12838" builtinId="9" hidden="1"/>
    <cellStyle name="Lien hypertexte visité" xfId="12818" builtinId="9" hidden="1"/>
    <cellStyle name="Lien hypertexte visité" xfId="12798" builtinId="9" hidden="1"/>
    <cellStyle name="Lien hypertexte visité" xfId="12774" builtinId="9" hidden="1"/>
    <cellStyle name="Lien hypertexte visité" xfId="12754" builtinId="9" hidden="1"/>
    <cellStyle name="Lien hypertexte visité" xfId="12710" builtinId="9" hidden="1"/>
    <cellStyle name="Lien hypertexte visité" xfId="12690" builtinId="9" hidden="1"/>
    <cellStyle name="Lien hypertexte visité" xfId="12670" builtinId="9" hidden="1"/>
    <cellStyle name="Lien hypertexte visité" xfId="12646" builtinId="9" hidden="1"/>
    <cellStyle name="Lien hypertexte visité" xfId="12626" builtinId="9" hidden="1"/>
    <cellStyle name="Lien hypertexte visité" xfId="12606" builtinId="9" hidden="1"/>
    <cellStyle name="Lien hypertexte visité" xfId="12582" builtinId="9" hidden="1"/>
    <cellStyle name="Lien hypertexte visité" xfId="12542" builtinId="9" hidden="1"/>
    <cellStyle name="Lien hypertexte visité" xfId="12518" builtinId="9" hidden="1"/>
    <cellStyle name="Lien hypertexte visité" xfId="12498" builtinId="9" hidden="1"/>
    <cellStyle name="Lien hypertexte visité" xfId="12478" builtinId="9" hidden="1"/>
    <cellStyle name="Lien hypertexte visité" xfId="12454" builtinId="9" hidden="1"/>
    <cellStyle name="Lien hypertexte visité" xfId="12434" builtinId="9" hidden="1"/>
    <cellStyle name="Lien hypertexte visité" xfId="12414" builtinId="9" hidden="1"/>
    <cellStyle name="Lien hypertexte visité" xfId="12370" builtinId="9" hidden="1"/>
    <cellStyle name="Lien hypertexte visité" xfId="12350" builtinId="9" hidden="1"/>
    <cellStyle name="Lien hypertexte visité" xfId="12326" builtinId="9" hidden="1"/>
    <cellStyle name="Lien hypertexte visité" xfId="12306" builtinId="9" hidden="1"/>
    <cellStyle name="Lien hypertexte visité" xfId="12286" builtinId="9" hidden="1"/>
    <cellStyle name="Lien hypertexte visité" xfId="12262" builtinId="9" hidden="1"/>
    <cellStyle name="Lien hypertexte visité" xfId="12242" builtinId="9" hidden="1"/>
    <cellStyle name="Lien hypertexte visité" xfId="12198" builtinId="9" hidden="1"/>
    <cellStyle name="Lien hypertexte visité" xfId="12178" builtinId="9" hidden="1"/>
    <cellStyle name="Lien hypertexte visité" xfId="12158" builtinId="9" hidden="1"/>
    <cellStyle name="Lien hypertexte visité" xfId="12134" builtinId="9" hidden="1"/>
    <cellStyle name="Lien hypertexte visité" xfId="12114" builtinId="9" hidden="1"/>
    <cellStyle name="Lien hypertexte visité" xfId="12094" builtinId="9" hidden="1"/>
    <cellStyle name="Lien hypertexte visité" xfId="12070" builtinId="9" hidden="1"/>
    <cellStyle name="Lien hypertexte visité" xfId="12030" builtinId="9" hidden="1"/>
    <cellStyle name="Lien hypertexte visité" xfId="12006" builtinId="9" hidden="1"/>
    <cellStyle name="Lien hypertexte visité" xfId="11986" builtinId="9" hidden="1"/>
    <cellStyle name="Lien hypertexte visité" xfId="11966" builtinId="9" hidden="1"/>
    <cellStyle name="Lien hypertexte visité" xfId="11942" builtinId="9" hidden="1"/>
    <cellStyle name="Lien hypertexte visité" xfId="11922" builtinId="9" hidden="1"/>
    <cellStyle name="Lien hypertexte visité" xfId="11902" builtinId="9" hidden="1"/>
    <cellStyle name="Lien hypertexte visité" xfId="11858" builtinId="9" hidden="1"/>
    <cellStyle name="Lien hypertexte visité" xfId="11838" builtinId="9" hidden="1"/>
    <cellStyle name="Lien hypertexte visité" xfId="11814" builtinId="9" hidden="1"/>
    <cellStyle name="Lien hypertexte visité" xfId="11794" builtinId="9" hidden="1"/>
    <cellStyle name="Lien hypertexte visité" xfId="11774" builtinId="9" hidden="1"/>
    <cellStyle name="Lien hypertexte visité" xfId="11750" builtinId="9" hidden="1"/>
    <cellStyle name="Lien hypertexte visité" xfId="11730" builtinId="9" hidden="1"/>
    <cellStyle name="Lien hypertexte visité" xfId="11686" builtinId="9" hidden="1"/>
    <cellStyle name="Lien hypertexte visité" xfId="11666" builtinId="9" hidden="1"/>
    <cellStyle name="Lien hypertexte visité" xfId="11646" builtinId="9" hidden="1"/>
    <cellStyle name="Lien hypertexte visité" xfId="11622" builtinId="9" hidden="1"/>
    <cellStyle name="Lien hypertexte visité" xfId="11602" builtinId="9" hidden="1"/>
    <cellStyle name="Lien hypertexte visité" xfId="11582" builtinId="9" hidden="1"/>
    <cellStyle name="Lien hypertexte visité" xfId="11558" builtinId="9" hidden="1"/>
    <cellStyle name="Lien hypertexte visité" xfId="11518" builtinId="9" hidden="1"/>
    <cellStyle name="Lien hypertexte visité" xfId="11494" builtinId="9" hidden="1"/>
    <cellStyle name="Lien hypertexte visité" xfId="11474" builtinId="9" hidden="1"/>
    <cellStyle name="Lien hypertexte visité" xfId="11454" builtinId="9" hidden="1"/>
    <cellStyle name="Lien hypertexte visité" xfId="11430" builtinId="9" hidden="1"/>
    <cellStyle name="Lien hypertexte visité" xfId="11410" builtinId="9" hidden="1"/>
    <cellStyle name="Lien hypertexte visité" xfId="11390" builtinId="9" hidden="1"/>
    <cellStyle name="Lien hypertexte visité" xfId="11346" builtinId="9" hidden="1"/>
    <cellStyle name="Lien hypertexte visité" xfId="11326" builtinId="9" hidden="1"/>
    <cellStyle name="Lien hypertexte visité" xfId="11302" builtinId="9" hidden="1"/>
    <cellStyle name="Lien hypertexte visité" xfId="11282" builtinId="9" hidden="1"/>
    <cellStyle name="Lien hypertexte visité" xfId="11262" builtinId="9" hidden="1"/>
    <cellStyle name="Lien hypertexte visité" xfId="11238" builtinId="9" hidden="1"/>
    <cellStyle name="Lien hypertexte visité" xfId="11218" builtinId="9" hidden="1"/>
    <cellStyle name="Lien hypertexte visité" xfId="11174" builtinId="9" hidden="1"/>
    <cellStyle name="Lien hypertexte visité" xfId="11154" builtinId="9" hidden="1"/>
    <cellStyle name="Lien hypertexte visité" xfId="11134" builtinId="9" hidden="1"/>
    <cellStyle name="Lien hypertexte visité" xfId="11110" builtinId="9" hidden="1"/>
    <cellStyle name="Lien hypertexte visité" xfId="11090" builtinId="9" hidden="1"/>
    <cellStyle name="Lien hypertexte visité" xfId="11070" builtinId="9" hidden="1"/>
    <cellStyle name="Lien hypertexte visité" xfId="11046" builtinId="9" hidden="1"/>
    <cellStyle name="Lien hypertexte visité" xfId="11006" builtinId="9" hidden="1"/>
    <cellStyle name="Lien hypertexte visité" xfId="10982" builtinId="9" hidden="1"/>
    <cellStyle name="Lien hypertexte visité" xfId="10962" builtinId="9" hidden="1"/>
    <cellStyle name="Lien hypertexte visité" xfId="10942" builtinId="9" hidden="1"/>
    <cellStyle name="Lien hypertexte visité" xfId="10918" builtinId="9" hidden="1"/>
    <cellStyle name="Lien hypertexte visité" xfId="10898" builtinId="9" hidden="1"/>
    <cellStyle name="Lien hypertexte visité" xfId="10878" builtinId="9" hidden="1"/>
    <cellStyle name="Lien hypertexte visité" xfId="10834" builtinId="9" hidden="1"/>
    <cellStyle name="Lien hypertexte visité" xfId="10814" builtinId="9" hidden="1"/>
    <cellStyle name="Lien hypertexte visité" xfId="10790" builtinId="9" hidden="1"/>
    <cellStyle name="Lien hypertexte visité" xfId="10770" builtinId="9" hidden="1"/>
    <cellStyle name="Lien hypertexte visité" xfId="10750" builtinId="9" hidden="1"/>
    <cellStyle name="Lien hypertexte visité" xfId="10726" builtinId="9" hidden="1"/>
    <cellStyle name="Lien hypertexte visité" xfId="10706" builtinId="9" hidden="1"/>
    <cellStyle name="Lien hypertexte visité" xfId="10662" builtinId="9" hidden="1"/>
    <cellStyle name="Lien hypertexte visité" xfId="10642" builtinId="9" hidden="1"/>
    <cellStyle name="Lien hypertexte visité" xfId="10622" builtinId="9" hidden="1"/>
    <cellStyle name="Lien hypertexte visité" xfId="10598" builtinId="9" hidden="1"/>
    <cellStyle name="Lien hypertexte visité" xfId="10578" builtinId="9" hidden="1"/>
    <cellStyle name="Lien hypertexte visité" xfId="10558" builtinId="9" hidden="1"/>
    <cellStyle name="Lien hypertexte visité" xfId="10534" builtinId="9" hidden="1"/>
    <cellStyle name="Lien hypertexte visité" xfId="10494" builtinId="9" hidden="1"/>
    <cellStyle name="Lien hypertexte visité" xfId="10470" builtinId="9" hidden="1"/>
    <cellStyle name="Lien hypertexte visité" xfId="10450" builtinId="9" hidden="1"/>
    <cellStyle name="Lien hypertexte visité" xfId="10430" builtinId="9" hidden="1"/>
    <cellStyle name="Lien hypertexte visité" xfId="10406" builtinId="9" hidden="1"/>
    <cellStyle name="Lien hypertexte visité" xfId="10386" builtinId="9" hidden="1"/>
    <cellStyle name="Lien hypertexte visité" xfId="10366" builtinId="9" hidden="1"/>
    <cellStyle name="Lien hypertexte visité" xfId="10322" builtinId="9" hidden="1"/>
    <cellStyle name="Lien hypertexte visité" xfId="10302" builtinId="9" hidden="1"/>
    <cellStyle name="Lien hypertexte visité" xfId="10278" builtinId="9" hidden="1"/>
    <cellStyle name="Lien hypertexte visité" xfId="10258" builtinId="9" hidden="1"/>
    <cellStyle name="Lien hypertexte visité" xfId="10238" builtinId="9" hidden="1"/>
    <cellStyle name="Lien hypertexte visité" xfId="10214" builtinId="9" hidden="1"/>
    <cellStyle name="Lien hypertexte visité" xfId="10194" builtinId="9" hidden="1"/>
    <cellStyle name="Lien hypertexte visité" xfId="10150" builtinId="9" hidden="1"/>
    <cellStyle name="Lien hypertexte visité" xfId="10130" builtinId="9" hidden="1"/>
    <cellStyle name="Lien hypertexte visité" xfId="10110" builtinId="9" hidden="1"/>
    <cellStyle name="Lien hypertexte visité" xfId="10086" builtinId="9" hidden="1"/>
    <cellStyle name="Lien hypertexte visité" xfId="10066" builtinId="9" hidden="1"/>
    <cellStyle name="Lien hypertexte visité" xfId="10046" builtinId="9" hidden="1"/>
    <cellStyle name="Lien hypertexte visité" xfId="10022" builtinId="9" hidden="1"/>
    <cellStyle name="Lien hypertexte visité" xfId="9982" builtinId="9" hidden="1"/>
    <cellStyle name="Lien hypertexte visité" xfId="9958" builtinId="9" hidden="1"/>
    <cellStyle name="Lien hypertexte visité" xfId="9938" builtinId="9" hidden="1"/>
    <cellStyle name="Lien hypertexte visité" xfId="9918" builtinId="9" hidden="1"/>
    <cellStyle name="Lien hypertexte visité" xfId="9894" builtinId="9" hidden="1"/>
    <cellStyle name="Lien hypertexte visité" xfId="9874" builtinId="9" hidden="1"/>
    <cellStyle name="Lien hypertexte visité" xfId="9854" builtinId="9" hidden="1"/>
    <cellStyle name="Lien hypertexte visité" xfId="9810" builtinId="9" hidden="1"/>
    <cellStyle name="Lien hypertexte visité" xfId="9790" builtinId="9" hidden="1"/>
    <cellStyle name="Lien hypertexte visité" xfId="9766" builtinId="9" hidden="1"/>
    <cellStyle name="Lien hypertexte visité" xfId="9746" builtinId="9" hidden="1"/>
    <cellStyle name="Lien hypertexte visité" xfId="9726" builtinId="9" hidden="1"/>
    <cellStyle name="Lien hypertexte visité" xfId="9702" builtinId="9" hidden="1"/>
    <cellStyle name="Lien hypertexte visité" xfId="9682" builtinId="9" hidden="1"/>
    <cellStyle name="Lien hypertexte visité" xfId="9638" builtinId="9" hidden="1"/>
    <cellStyle name="Lien hypertexte visité" xfId="9618" builtinId="9" hidden="1"/>
    <cellStyle name="Lien hypertexte visité" xfId="9598" builtinId="9" hidden="1"/>
    <cellStyle name="Lien hypertexte visité" xfId="9574" builtinId="9" hidden="1"/>
    <cellStyle name="Lien hypertexte visité" xfId="9554" builtinId="9" hidden="1"/>
    <cellStyle name="Lien hypertexte visité" xfId="9534" builtinId="9" hidden="1"/>
    <cellStyle name="Lien hypertexte visité" xfId="9510" builtinId="9" hidden="1"/>
    <cellStyle name="Lien hypertexte visité" xfId="9470" builtinId="9" hidden="1"/>
    <cellStyle name="Lien hypertexte visité" xfId="9446" builtinId="9" hidden="1"/>
    <cellStyle name="Lien hypertexte visité" xfId="9426" builtinId="9" hidden="1"/>
    <cellStyle name="Lien hypertexte visité" xfId="9406" builtinId="9" hidden="1"/>
    <cellStyle name="Lien hypertexte visité" xfId="9382" builtinId="9" hidden="1"/>
    <cellStyle name="Lien hypertexte visité" xfId="9362" builtinId="9" hidden="1"/>
    <cellStyle name="Lien hypertexte visité" xfId="9342" builtinId="9" hidden="1"/>
    <cellStyle name="Lien hypertexte visité" xfId="9298" builtinId="9" hidden="1"/>
    <cellStyle name="Lien hypertexte visité" xfId="9278" builtinId="9" hidden="1"/>
    <cellStyle name="Lien hypertexte visité" xfId="9254" builtinId="9" hidden="1"/>
    <cellStyle name="Lien hypertexte visité" xfId="9318" builtinId="9" hidden="1"/>
    <cellStyle name="Lien hypertexte visité" xfId="9490" builtinId="9" hidden="1"/>
    <cellStyle name="Lien hypertexte visité" xfId="9662" builtinId="9" hidden="1"/>
    <cellStyle name="Lien hypertexte visité" xfId="9830" builtinId="9" hidden="1"/>
    <cellStyle name="Lien hypertexte visité" xfId="10002" builtinId="9" hidden="1"/>
    <cellStyle name="Lien hypertexte visité" xfId="10174" builtinId="9" hidden="1"/>
    <cellStyle name="Lien hypertexte visité" xfId="10342" builtinId="9" hidden="1"/>
    <cellStyle name="Lien hypertexte visité" xfId="10514" builtinId="9" hidden="1"/>
    <cellStyle name="Lien hypertexte visité" xfId="10686" builtinId="9" hidden="1"/>
    <cellStyle name="Lien hypertexte visité" xfId="10854" builtinId="9" hidden="1"/>
    <cellStyle name="Lien hypertexte visité" xfId="11026" builtinId="9" hidden="1"/>
    <cellStyle name="Lien hypertexte visité" xfId="11198" builtinId="9" hidden="1"/>
    <cellStyle name="Lien hypertexte visité" xfId="11366" builtinId="9" hidden="1"/>
    <cellStyle name="Lien hypertexte visité" xfId="11538" builtinId="9" hidden="1"/>
    <cellStyle name="Lien hypertexte visité" xfId="11710" builtinId="9" hidden="1"/>
    <cellStyle name="Lien hypertexte visité" xfId="11878" builtinId="9" hidden="1"/>
    <cellStyle name="Lien hypertexte visité" xfId="12050" builtinId="9" hidden="1"/>
    <cellStyle name="Lien hypertexte visité" xfId="12222" builtinId="9" hidden="1"/>
    <cellStyle name="Lien hypertexte visité" xfId="12390" builtinId="9" hidden="1"/>
    <cellStyle name="Lien hypertexte visité" xfId="12562" builtinId="9" hidden="1"/>
    <cellStyle name="Lien hypertexte visité" xfId="12734" builtinId="9" hidden="1"/>
    <cellStyle name="Lien hypertexte visité" xfId="12902" builtinId="9" hidden="1"/>
    <cellStyle name="Lien hypertexte visité" xfId="13074" builtinId="9" hidden="1"/>
    <cellStyle name="Lien hypertexte visité" xfId="13246" builtinId="9" hidden="1"/>
    <cellStyle name="Lien hypertexte visité" xfId="13414" builtinId="9" hidden="1"/>
    <cellStyle name="Lien hypertexte visité" xfId="13586" builtinId="9" hidden="1"/>
    <cellStyle name="Lien hypertexte visité" xfId="13758" builtinId="9" hidden="1"/>
    <cellStyle name="Lien hypertexte visité" xfId="13926" builtinId="9" hidden="1"/>
    <cellStyle name="Lien hypertexte visité" xfId="14098" builtinId="9" hidden="1"/>
    <cellStyle name="Lien hypertexte visité" xfId="14270" builtinId="9" hidden="1"/>
    <cellStyle name="Lien hypertexte visité" xfId="14438" builtinId="9" hidden="1"/>
    <cellStyle name="Lien hypertexte visité" xfId="14705" builtinId="9" hidden="1"/>
    <cellStyle name="Lien hypertexte visité" xfId="15049" builtinId="9" hidden="1"/>
    <cellStyle name="Lien hypertexte visité" xfId="15385" builtinId="9" hidden="1"/>
    <cellStyle name="Lien hypertexte visité" xfId="15729" builtinId="9" hidden="1"/>
    <cellStyle name="Lien hypertexte visité" xfId="16073" builtinId="9" hidden="1"/>
    <cellStyle name="Lien hypertexte visité" xfId="16409" builtinId="9" hidden="1"/>
    <cellStyle name="Lien hypertexte visité" xfId="16753" builtinId="9" hidden="1"/>
    <cellStyle name="Lien hypertexte visité" xfId="17097" builtinId="9" hidden="1"/>
    <cellStyle name="Lien hypertexte visité" xfId="17433" builtinId="9" hidden="1"/>
    <cellStyle name="Lien hypertexte visité" xfId="17777" builtinId="9" hidden="1"/>
    <cellStyle name="Lien hypertexte visité" xfId="18121" builtinId="9" hidden="1"/>
    <cellStyle name="Lien hypertexte visité" xfId="18440" builtinId="9" hidden="1"/>
    <cellStyle name="Lien hypertexte visité" xfId="18784" builtinId="9" hidden="1"/>
    <cellStyle name="Lien hypertexte visité" xfId="19128" builtinId="9" hidden="1"/>
    <cellStyle name="Lien hypertexte visité" xfId="19464" builtinId="9" hidden="1"/>
    <cellStyle name="Lien hypertexte visité" xfId="19808" builtinId="9" hidden="1"/>
    <cellStyle name="Lien hypertexte visité" xfId="20152" builtinId="9" hidden="1"/>
    <cellStyle name="Lien hypertexte visité" xfId="20488" builtinId="9" hidden="1"/>
    <cellStyle name="Lien hypertexte visité" xfId="20832" builtinId="9" hidden="1"/>
    <cellStyle name="Lien hypertexte visité" xfId="21176" builtinId="9" hidden="1"/>
    <cellStyle name="Lien hypertexte visité" xfId="21512" builtinId="9" hidden="1"/>
    <cellStyle name="Lien hypertexte visité" xfId="21856" builtinId="9" hidden="1"/>
    <cellStyle name="Lien hypertexte visité" xfId="22200" builtinId="9" hidden="1"/>
    <cellStyle name="Lien hypertexte visité" xfId="22536" builtinId="9" hidden="1"/>
    <cellStyle name="Lien hypertexte visité" xfId="22880" builtinId="9" hidden="1"/>
    <cellStyle name="Lien hypertexte visité" xfId="23224" builtinId="9" hidden="1"/>
    <cellStyle name="Lien hypertexte visité" xfId="23560" builtinId="9" hidden="1"/>
    <cellStyle name="Lien hypertexte visité" xfId="23904" builtinId="9" hidden="1"/>
    <cellStyle name="Lien hypertexte visité" xfId="24248" builtinId="9" hidden="1"/>
    <cellStyle name="Lien hypertexte visité" xfId="24584" builtinId="9" hidden="1"/>
    <cellStyle name="Lien hypertexte visité" xfId="24298" builtinId="9" hidden="1"/>
    <cellStyle name="Lien hypertexte visité" xfId="23954" builtinId="9" hidden="1"/>
    <cellStyle name="Lien hypertexte visité" xfId="23618" builtinId="9" hidden="1"/>
    <cellStyle name="Lien hypertexte visité" xfId="23274" builtinId="9" hidden="1"/>
    <cellStyle name="Lien hypertexte visité" xfId="22930" builtinId="9" hidden="1"/>
    <cellStyle name="Lien hypertexte visité" xfId="22594" builtinId="9" hidden="1"/>
    <cellStyle name="Lien hypertexte visité" xfId="22250" builtinId="9" hidden="1"/>
    <cellStyle name="Lien hypertexte visité" xfId="21906" builtinId="9" hidden="1"/>
    <cellStyle name="Lien hypertexte visité" xfId="21570" builtinId="9" hidden="1"/>
    <cellStyle name="Lien hypertexte visité" xfId="21226" builtinId="9" hidden="1"/>
    <cellStyle name="Lien hypertexte visité" xfId="20882" builtinId="9" hidden="1"/>
    <cellStyle name="Lien hypertexte visité" xfId="20546" builtinId="9" hidden="1"/>
    <cellStyle name="Lien hypertexte visité" xfId="20202" builtinId="9" hidden="1"/>
    <cellStyle name="Lien hypertexte visité" xfId="19858" builtinId="9" hidden="1"/>
    <cellStyle name="Lien hypertexte visité" xfId="19522" builtinId="9" hidden="1"/>
    <cellStyle name="Lien hypertexte visité" xfId="19178" builtinId="9" hidden="1"/>
    <cellStyle name="Lien hypertexte visité" xfId="18834" builtinId="9" hidden="1"/>
    <cellStyle name="Lien hypertexte visité" xfId="18498" builtinId="9" hidden="1"/>
    <cellStyle name="Lien hypertexte visité" xfId="18171" builtinId="9" hidden="1"/>
    <cellStyle name="Lien hypertexte visité" xfId="17827" builtinId="9" hidden="1"/>
    <cellStyle name="Lien hypertexte visité" xfId="17491" builtinId="9" hidden="1"/>
    <cellStyle name="Lien hypertexte visité" xfId="17803" builtinId="9" hidden="1"/>
    <cellStyle name="Lien hypertexte visité" xfId="18810" builtinId="9" hidden="1"/>
    <cellStyle name="Lien hypertexte visité" xfId="19834" builtinId="9" hidden="1"/>
    <cellStyle name="Lien hypertexte visité" xfId="20858" builtinId="9" hidden="1"/>
    <cellStyle name="Lien hypertexte visité" xfId="21882" builtinId="9" hidden="1"/>
    <cellStyle name="Lien hypertexte visité" xfId="22906" builtinId="9" hidden="1"/>
    <cellStyle name="Lien hypertexte visité" xfId="23930" builtinId="9" hidden="1"/>
    <cellStyle name="Lien hypertexte visité" xfId="24272" builtinId="9" hidden="1"/>
    <cellStyle name="Lien hypertexte visité" xfId="23248" builtinId="9" hidden="1"/>
    <cellStyle name="Lien hypertexte visité" xfId="22224" builtinId="9" hidden="1"/>
    <cellStyle name="Lien hypertexte visité" xfId="21200" builtinId="9" hidden="1"/>
    <cellStyle name="Lien hypertexte visité" xfId="20176" builtinId="9" hidden="1"/>
    <cellStyle name="Lien hypertexte visité" xfId="19152" builtinId="9" hidden="1"/>
    <cellStyle name="Lien hypertexte visité" xfId="18145" builtinId="9" hidden="1"/>
    <cellStyle name="Lien hypertexte visité" xfId="17121" builtinId="9" hidden="1"/>
    <cellStyle name="Lien hypertexte visité" xfId="16097" builtinId="9" hidden="1"/>
    <cellStyle name="Lien hypertexte visité" xfId="15073" builtinId="9" hidden="1"/>
    <cellStyle name="Lien hypertexte visité" xfId="14282" builtinId="9" hidden="1"/>
    <cellStyle name="Lien hypertexte visité" xfId="13770" builtinId="9" hidden="1"/>
    <cellStyle name="Lien hypertexte visité" xfId="13258" builtinId="9" hidden="1"/>
    <cellStyle name="Lien hypertexte visité" xfId="12746" builtinId="9" hidden="1"/>
    <cellStyle name="Lien hypertexte visité" xfId="12234" builtinId="9" hidden="1"/>
    <cellStyle name="Lien hypertexte visité" xfId="11722" builtinId="9" hidden="1"/>
    <cellStyle name="Lien hypertexte visité" xfId="11210" builtinId="9" hidden="1"/>
    <cellStyle name="Lien hypertexte visité" xfId="10698" builtinId="9" hidden="1"/>
    <cellStyle name="Lien hypertexte visité" xfId="10186" builtinId="9" hidden="1"/>
    <cellStyle name="Lien hypertexte visité" xfId="9674" builtinId="9" hidden="1"/>
    <cellStyle name="Lien hypertexte visité" xfId="9162" builtinId="9" hidden="1"/>
    <cellStyle name="Lien hypertexte visité" xfId="8650" builtinId="9" hidden="1"/>
    <cellStyle name="Lien hypertexte visité" xfId="3949" builtinId="9" hidden="1"/>
    <cellStyle name="Lien hypertexte visité" xfId="4093" builtinId="9" hidden="1"/>
    <cellStyle name="Lien hypertexte visité" xfId="4241" builtinId="9" hidden="1"/>
    <cellStyle name="Lien hypertexte visité" xfId="4385" builtinId="9" hidden="1"/>
    <cellStyle name="Lien hypertexte visité" xfId="4533" builtinId="9" hidden="1"/>
    <cellStyle name="Lien hypertexte visité" xfId="4677" builtinId="9" hidden="1"/>
    <cellStyle name="Lien hypertexte visité" xfId="4825" builtinId="9" hidden="1"/>
    <cellStyle name="Lien hypertexte visité" xfId="4973" builtinId="9" hidden="1"/>
    <cellStyle name="Lien hypertexte visité" xfId="5117" builtinId="9" hidden="1"/>
    <cellStyle name="Lien hypertexte visité" xfId="5265" builtinId="9" hidden="1"/>
    <cellStyle name="Lien hypertexte visité" xfId="5409" builtinId="9" hidden="1"/>
    <cellStyle name="Lien hypertexte visité" xfId="5557" builtinId="9" hidden="1"/>
    <cellStyle name="Lien hypertexte visité" xfId="5701" builtinId="9" hidden="1"/>
    <cellStyle name="Lien hypertexte visité" xfId="5849" builtinId="9" hidden="1"/>
    <cellStyle name="Lien hypertexte visité" xfId="5997" builtinId="9" hidden="1"/>
    <cellStyle name="Lien hypertexte visité" xfId="6141" builtinId="9" hidden="1"/>
    <cellStyle name="Lien hypertexte visité" xfId="6289" builtinId="9" hidden="1"/>
    <cellStyle name="Lien hypertexte visité" xfId="6433" builtinId="9" hidden="1"/>
    <cellStyle name="Lien hypertexte visité" xfId="6581" builtinId="9" hidden="1"/>
    <cellStyle name="Lien hypertexte visité" xfId="6725" builtinId="9" hidden="1"/>
    <cellStyle name="Lien hypertexte visité" xfId="6873" builtinId="9" hidden="1"/>
    <cellStyle name="Lien hypertexte visité" xfId="7021" builtinId="9" hidden="1"/>
    <cellStyle name="Lien hypertexte visité" xfId="7165" builtinId="9" hidden="1"/>
    <cellStyle name="Lien hypertexte visité" xfId="3227" builtinId="9" hidden="1"/>
    <cellStyle name="Lien hypertexte visité" xfId="3243" builtinId="9" hidden="1"/>
    <cellStyle name="Lien hypertexte visité" xfId="3259" builtinId="9" hidden="1"/>
    <cellStyle name="Lien hypertexte visité" xfId="3279" builtinId="9" hidden="1"/>
    <cellStyle name="Lien hypertexte visité" xfId="3295" builtinId="9" hidden="1"/>
    <cellStyle name="Lien hypertexte visité" xfId="3311" builtinId="9" hidden="1"/>
    <cellStyle name="Lien hypertexte visité" xfId="3327" builtinId="9" hidden="1"/>
    <cellStyle name="Lien hypertexte visité" xfId="3347" builtinId="9" hidden="1"/>
    <cellStyle name="Lien hypertexte visité" xfId="3363" builtinId="9" hidden="1"/>
    <cellStyle name="Lien hypertexte visité" xfId="3399" builtinId="9" hidden="1"/>
    <cellStyle name="Lien hypertexte visité" xfId="3415" builtinId="9" hidden="1"/>
    <cellStyle name="Lien hypertexte visité" xfId="3431" builtinId="9" hidden="1"/>
    <cellStyle name="Lien hypertexte visité" xfId="3447" builtinId="9" hidden="1"/>
    <cellStyle name="Lien hypertexte visité" xfId="3467" builtinId="9" hidden="1"/>
    <cellStyle name="Lien hypertexte visité" xfId="3483" builtinId="9" hidden="1"/>
    <cellStyle name="Lien hypertexte visité" xfId="3499" builtinId="9" hidden="1"/>
    <cellStyle name="Lien hypertexte visité" xfId="3515" builtinId="9" hidden="1"/>
    <cellStyle name="Lien hypertexte visité" xfId="3535" builtinId="9" hidden="1"/>
    <cellStyle name="Lien hypertexte visité" xfId="3551" builtinId="9" hidden="1"/>
    <cellStyle name="Lien hypertexte visité" xfId="3568" builtinId="9" hidden="1"/>
    <cellStyle name="Lien hypertexte visité" xfId="3584" builtinId="9" hidden="1"/>
    <cellStyle name="Lien hypertexte visité" xfId="3604" builtinId="9" hidden="1"/>
    <cellStyle name="Lien hypertexte visité" xfId="3620" builtinId="9" hidden="1"/>
    <cellStyle name="Lien hypertexte visité" xfId="3636" builtinId="9" hidden="1"/>
    <cellStyle name="Lien hypertexte visité" xfId="3679" builtinId="9" hidden="1"/>
    <cellStyle name="Lien hypertexte visité" xfId="3696" builtinId="9" hidden="1"/>
    <cellStyle name="Lien hypertexte visité" xfId="3712" builtinId="9" hidden="1"/>
    <cellStyle name="Lien hypertexte visité" xfId="3732" builtinId="9" hidden="1"/>
    <cellStyle name="Lien hypertexte visité" xfId="3748" builtinId="9" hidden="1"/>
    <cellStyle name="Lien hypertexte visité" xfId="3764" builtinId="9" hidden="1"/>
    <cellStyle name="Lien hypertexte visité" xfId="3780" builtinId="9" hidden="1"/>
    <cellStyle name="Lien hypertexte visité" xfId="3800" builtinId="9" hidden="1"/>
    <cellStyle name="Lien hypertexte visité" xfId="3816" builtinId="9" hidden="1"/>
    <cellStyle name="Lien hypertexte visité" xfId="3832" builtinId="9" hidden="1"/>
    <cellStyle name="Lien hypertexte visité" xfId="3848" builtinId="9" hidden="1"/>
    <cellStyle name="Lien hypertexte visité" xfId="3868" builtinId="9" hidden="1"/>
    <cellStyle name="Lien hypertexte visité" xfId="3557" builtinId="9" hidden="1"/>
    <cellStyle name="Lien hypertexte visité" xfId="3901" builtinId="9" hidden="1"/>
    <cellStyle name="Lien hypertexte visité" xfId="3921" builtinId="9" hidden="1"/>
    <cellStyle name="Lien hypertexte visité" xfId="3588" builtinId="9" hidden="1"/>
    <cellStyle name="Lien hypertexte visité" xfId="3331" builtinId="9" hidden="1"/>
    <cellStyle name="Lien hypertexte visité" xfId="3075" builtinId="9" hidden="1"/>
    <cellStyle name="Lien hypertexte visité" xfId="2819" builtinId="9" hidden="1"/>
    <cellStyle name="Lien hypertexte visité" xfId="2563" builtinId="9" hidden="1"/>
    <cellStyle name="Lien hypertexte visité" xfId="2307" builtinId="9" hidden="1"/>
    <cellStyle name="Lien hypertexte visité" xfId="1438" builtinId="9" hidden="1"/>
    <cellStyle name="Lien hypertexte visité" xfId="1454" builtinId="9" hidden="1"/>
    <cellStyle name="Lien hypertexte visité" xfId="1470" builtinId="9" hidden="1"/>
    <cellStyle name="Lien hypertexte visité" xfId="1490" builtinId="9" hidden="1"/>
    <cellStyle name="Lien hypertexte visité" xfId="1507" builtinId="9" hidden="1"/>
    <cellStyle name="Lien hypertexte visité" xfId="1523" builtinId="9" hidden="1"/>
    <cellStyle name="Lien hypertexte visité" xfId="1539" builtinId="9" hidden="1"/>
    <cellStyle name="Lien hypertexte visité" xfId="1555" builtinId="9" hidden="1"/>
    <cellStyle name="Lien hypertexte visité" xfId="1571" builtinId="9" hidden="1"/>
    <cellStyle name="Lien hypertexte visité" xfId="1607" builtinId="9" hidden="1"/>
    <cellStyle name="Lien hypertexte visité" xfId="1623" builtinId="9" hidden="1"/>
    <cellStyle name="Lien hypertexte visité" xfId="1639" builtinId="9" hidden="1"/>
    <cellStyle name="Lien hypertexte visité" xfId="1655" builtinId="9" hidden="1"/>
    <cellStyle name="Lien hypertexte visité" xfId="1671" builtinId="9" hidden="1"/>
    <cellStyle name="Lien hypertexte visité" xfId="1687" builtinId="9" hidden="1"/>
    <cellStyle name="Lien hypertexte visité" xfId="1703" builtinId="9" hidden="1"/>
    <cellStyle name="Lien hypertexte visité" xfId="1719" builtinId="9" hidden="1"/>
    <cellStyle name="Lien hypertexte visité" xfId="1739" builtinId="9" hidden="1"/>
    <cellStyle name="Lien hypertexte visité" xfId="1755" builtinId="9" hidden="1"/>
    <cellStyle name="Lien hypertexte visité" xfId="1771" builtinId="9" hidden="1"/>
    <cellStyle name="Lien hypertexte visité" xfId="1787" builtinId="9" hidden="1"/>
    <cellStyle name="Lien hypertexte visité" xfId="1803" builtinId="9" hidden="1"/>
    <cellStyle name="Lien hypertexte visité" xfId="1819" builtinId="9" hidden="1"/>
    <cellStyle name="Lien hypertexte visité" xfId="1835" builtinId="9" hidden="1"/>
    <cellStyle name="Lien hypertexte visité" xfId="1871" builtinId="9" hidden="1"/>
    <cellStyle name="Lien hypertexte visité" xfId="1887" builtinId="9" hidden="1"/>
    <cellStyle name="Lien hypertexte visité" xfId="1903" builtinId="9" hidden="1"/>
    <cellStyle name="Lien hypertexte visité" xfId="1919" builtinId="9" hidden="1"/>
    <cellStyle name="Lien hypertexte visité" xfId="1935" builtinId="9" hidden="1"/>
    <cellStyle name="Lien hypertexte visité" xfId="1951" builtinId="9" hidden="1"/>
    <cellStyle name="Lien hypertexte visité" xfId="1967" builtinId="9" hidden="1"/>
    <cellStyle name="Lien hypertexte visité" xfId="1983" builtinId="9" hidden="1"/>
    <cellStyle name="Lien hypertexte visité" xfId="2003" builtinId="9" hidden="1"/>
    <cellStyle name="Lien hypertexte visité" xfId="2019" builtinId="9" hidden="1"/>
    <cellStyle name="Lien hypertexte visité" xfId="2035" builtinId="9" hidden="1"/>
    <cellStyle name="Lien hypertexte visité" xfId="2051" builtinId="9" hidden="1"/>
    <cellStyle name="Lien hypertexte visité" xfId="2067" builtinId="9" hidden="1"/>
    <cellStyle name="Lien hypertexte visité" xfId="2083" builtinId="9" hidden="1"/>
    <cellStyle name="Lien hypertexte visité" xfId="2099" builtinId="9" hidden="1"/>
    <cellStyle name="Lien hypertexte visité" xfId="2135" builtinId="9" hidden="1"/>
    <cellStyle name="Lien hypertexte visité" xfId="1494" builtinId="9" hidden="1"/>
    <cellStyle name="Lien hypertexte visité" xfId="2167" builtinId="9" hidden="1"/>
    <cellStyle name="Lien hypertexte visité" xfId="2183" builtinId="9" hidden="1"/>
    <cellStyle name="Lien hypertexte visité" xfId="2199" builtinId="9" hidden="1"/>
    <cellStyle name="Lien hypertexte visité" xfId="1859" builtinId="9" hidden="1"/>
    <cellStyle name="Lien hypertexte visité" xfId="961" builtinId="9" hidden="1"/>
    <cellStyle name="Lien hypertexte visité" xfId="993" builtinId="9" hidden="1"/>
    <cellStyle name="Lien hypertexte visité" xfId="1025" builtinId="9" hidden="1"/>
    <cellStyle name="Lien hypertexte visité" xfId="1057" builtinId="9" hidden="1"/>
    <cellStyle name="Lien hypertexte visité" xfId="1089" builtinId="9" hidden="1"/>
    <cellStyle name="Lien hypertexte visité" xfId="1121" builtinId="9" hidden="1"/>
    <cellStyle name="Lien hypertexte visité" xfId="1152" builtinId="9" hidden="1"/>
    <cellStyle name="Lien hypertexte visité" xfId="1174" builtinId="9" hidden="1"/>
    <cellStyle name="Lien hypertexte visité" xfId="1190" builtinId="9" hidden="1"/>
    <cellStyle name="Lien hypertexte visité" xfId="1226" builtinId="9" hidden="1"/>
    <cellStyle name="Lien hypertexte visité" xfId="1242" builtinId="9" hidden="1"/>
    <cellStyle name="Lien hypertexte visité" xfId="1258" builtinId="9" hidden="1"/>
    <cellStyle name="Lien hypertexte visité" xfId="1274" builtinId="9" hidden="1"/>
    <cellStyle name="Lien hypertexte visité" xfId="1290" builtinId="9" hidden="1"/>
    <cellStyle name="Lien hypertexte visité" xfId="1306" builtinId="9" hidden="1"/>
    <cellStyle name="Lien hypertexte visité" xfId="1322" builtinId="9" hidden="1"/>
    <cellStyle name="Lien hypertexte visité" xfId="1338" builtinId="9" hidden="1"/>
    <cellStyle name="Lien hypertexte visité" xfId="1354" builtinId="9" hidden="1"/>
    <cellStyle name="Lien hypertexte visité" xfId="1370" builtinId="9" hidden="1"/>
    <cellStyle name="Lien hypertexte visité" xfId="1386" builtinId="9" hidden="1"/>
    <cellStyle name="Lien hypertexte visité" xfId="1402" builtinId="9" hidden="1"/>
    <cellStyle name="Lien hypertexte visité" xfId="1418" builtinId="9" hidden="1"/>
    <cellStyle name="Lien hypertexte visité" xfId="601" builtinId="9" hidden="1"/>
    <cellStyle name="Lien hypertexte visité" xfId="633" builtinId="9" hidden="1"/>
    <cellStyle name="Lien hypertexte visité" xfId="697" builtinId="9" hidden="1"/>
    <cellStyle name="Lien hypertexte visité" xfId="729" builtinId="9" hidden="1"/>
    <cellStyle name="Lien hypertexte visité" xfId="761" builtinId="9" hidden="1"/>
    <cellStyle name="Lien hypertexte visité" xfId="793" builtinId="9" hidden="1"/>
    <cellStyle name="Lien hypertexte visité" xfId="825" builtinId="9" hidden="1"/>
    <cellStyle name="Lien hypertexte visité" xfId="857" builtinId="9" hidden="1"/>
    <cellStyle name="Lien hypertexte visité" xfId="889" builtinId="9" hidden="1"/>
    <cellStyle name="Lien hypertexte visité" xfId="921" builtinId="9" hidden="1"/>
    <cellStyle name="Lien hypertexte visité" xfId="953" builtinId="9" hidden="1"/>
    <cellStyle name="Lien hypertexte visité" xfId="449" builtinId="9" hidden="1"/>
    <cellStyle name="Lien hypertexte visité" xfId="481" builtinId="9" hidden="1"/>
    <cellStyle name="Lien hypertexte visité" xfId="513" builtinId="9" hidden="1"/>
    <cellStyle name="Lien hypertexte visité" xfId="545" builtinId="9" hidden="1"/>
    <cellStyle name="Lien hypertexte visité" xfId="577" builtinId="9" hidden="1"/>
    <cellStyle name="Lien hypertexte visité" xfId="345" builtinId="9" hidden="1"/>
    <cellStyle name="Lien hypertexte visité" xfId="409" builtinId="9" hidden="1"/>
    <cellStyle name="Lien hypertexte visité" xfId="305" builtinId="9" hidden="1"/>
    <cellStyle name="Lien hypertexte visité" xfId="265" builtinId="9" hidden="1"/>
    <cellStyle name="Lien hypertexte visité" xfId="249" builtinId="9" hidden="1"/>
    <cellStyle name="Lien hypertexte visité" xfId="273" builtinId="9" hidden="1"/>
    <cellStyle name="Lien hypertexte visité" xfId="313" builtinId="9" hidden="1"/>
    <cellStyle name="Lien hypertexte visité" xfId="417" builtinId="9" hidden="1"/>
    <cellStyle name="Lien hypertexte visité" xfId="385" builtinId="9" hidden="1"/>
    <cellStyle name="Lien hypertexte visité" xfId="353" builtinId="9" hidden="1"/>
    <cellStyle name="Lien hypertexte visité" xfId="585" builtinId="9" hidden="1"/>
    <cellStyle name="Lien hypertexte visité" xfId="553" builtinId="9" hidden="1"/>
    <cellStyle name="Lien hypertexte visité" xfId="521" builtinId="9" hidden="1"/>
    <cellStyle name="Lien hypertexte visité" xfId="489" builtinId="9" hidden="1"/>
    <cellStyle name="Lien hypertexte visité" xfId="457" builtinId="9" hidden="1"/>
    <cellStyle name="Lien hypertexte visité" xfId="425" builtinId="9" hidden="1"/>
    <cellStyle name="Lien hypertexte visité" xfId="897" builtinId="9" hidden="1"/>
    <cellStyle name="Lien hypertexte visité" xfId="865" builtinId="9" hidden="1"/>
    <cellStyle name="Lien hypertexte visité" xfId="833" builtinId="9" hidden="1"/>
    <cellStyle name="Lien hypertexte visité" xfId="801" builtinId="9" hidden="1"/>
    <cellStyle name="Lien hypertexte visité" xfId="769" builtinId="9" hidden="1"/>
    <cellStyle name="Lien hypertexte visité" xfId="737" builtinId="9" hidden="1"/>
    <cellStyle name="Lien hypertexte visité" xfId="705" builtinId="9" hidden="1"/>
    <cellStyle name="Lien hypertexte visité" xfId="673" builtinId="9" hidden="1"/>
    <cellStyle name="Lien hypertexte visité" xfId="641" builtinId="9" hidden="1"/>
    <cellStyle name="Lien hypertexte visité" xfId="609" builtinId="9" hidden="1"/>
    <cellStyle name="Lien hypertexte visité" xfId="1422" builtinId="9" hidden="1"/>
    <cellStyle name="Lien hypertexte visité" xfId="1406" builtinId="9" hidden="1"/>
    <cellStyle name="Lien hypertexte visité" xfId="1390" builtinId="9" hidden="1"/>
    <cellStyle name="Lien hypertexte visité" xfId="1374" builtinId="9" hidden="1"/>
    <cellStyle name="Lien hypertexte visité" xfId="1358" builtinId="9" hidden="1"/>
    <cellStyle name="Lien hypertexte visité" xfId="1326" builtinId="9" hidden="1"/>
    <cellStyle name="Lien hypertexte visité" xfId="1310" builtinId="9" hidden="1"/>
    <cellStyle name="Lien hypertexte visité" xfId="1294" builtinId="9" hidden="1"/>
    <cellStyle name="Lien hypertexte visité" xfId="1278" builtinId="9" hidden="1"/>
    <cellStyle name="Lien hypertexte visité" xfId="1262" builtinId="9" hidden="1"/>
    <cellStyle name="Lien hypertexte visité" xfId="1246" builtinId="9" hidden="1"/>
    <cellStyle name="Lien hypertexte visité" xfId="1230" builtinId="9" hidden="1"/>
    <cellStyle name="Lien hypertexte visité" xfId="1210" builtinId="9" hidden="1"/>
    <cellStyle name="Lien hypertexte visité" xfId="1194" builtinId="9" hidden="1"/>
    <cellStyle name="Lien hypertexte visité" xfId="1178" builtinId="9" hidden="1"/>
    <cellStyle name="Lien hypertexte visité" xfId="1162" builtinId="9" hidden="1"/>
    <cellStyle name="Lien hypertexte visité" xfId="1129" builtinId="9" hidden="1"/>
    <cellStyle name="Lien hypertexte visité" xfId="1097" builtinId="9" hidden="1"/>
    <cellStyle name="Lien hypertexte visité" xfId="1065" builtinId="9" hidden="1"/>
    <cellStyle name="Lien hypertexte visité" xfId="1033" builtinId="9" hidden="1"/>
    <cellStyle name="Lien hypertexte visité" xfId="969" builtinId="9" hidden="1"/>
    <cellStyle name="Lien hypertexte visité" xfId="1731" builtinId="9" hidden="1"/>
    <cellStyle name="Lien hypertexte visité" xfId="2204" builtinId="9" hidden="1"/>
    <cellStyle name="Lien hypertexte visité" xfId="2187" builtinId="9" hidden="1"/>
    <cellStyle name="Lien hypertexte visité" xfId="2171" builtinId="9" hidden="1"/>
    <cellStyle name="Lien hypertexte visité" xfId="2155" builtinId="9" hidden="1"/>
    <cellStyle name="Lien hypertexte visité" xfId="2139" builtinId="9" hidden="1"/>
    <cellStyle name="Lien hypertexte visité" xfId="2123" builtinId="9" hidden="1"/>
    <cellStyle name="Lien hypertexte visité" xfId="2103" builtinId="9" hidden="1"/>
    <cellStyle name="Lien hypertexte visité" xfId="2087" builtinId="9" hidden="1"/>
    <cellStyle name="Lien hypertexte visité" xfId="2071" builtinId="9" hidden="1"/>
    <cellStyle name="Lien hypertexte visité" xfId="2055" builtinId="9" hidden="1"/>
    <cellStyle name="Lien hypertexte visité" xfId="2039" builtinId="9" hidden="1"/>
    <cellStyle name="Lien hypertexte visité" xfId="2023" builtinId="9" hidden="1"/>
    <cellStyle name="Lien hypertexte visité" xfId="2007" builtinId="9" hidden="1"/>
    <cellStyle name="Lien hypertexte visité" xfId="1971" builtinId="9" hidden="1"/>
    <cellStyle name="Lien hypertexte visité" xfId="1955" builtinId="9" hidden="1"/>
    <cellStyle name="Lien hypertexte visité" xfId="1939" builtinId="9" hidden="1"/>
    <cellStyle name="Lien hypertexte visité" xfId="1923" builtinId="9" hidden="1"/>
    <cellStyle name="Lien hypertexte visité" xfId="1907" builtinId="9" hidden="1"/>
    <cellStyle name="Lien hypertexte visité" xfId="1891" builtinId="9" hidden="1"/>
    <cellStyle name="Lien hypertexte visité" xfId="1875" builtinId="9" hidden="1"/>
    <cellStyle name="Lien hypertexte visité" xfId="1855" builtinId="9" hidden="1"/>
    <cellStyle name="Lien hypertexte visité" xfId="1839" builtinId="9" hidden="1"/>
    <cellStyle name="Lien hypertexte visité" xfId="1823" builtinId="9" hidden="1"/>
    <cellStyle name="Lien hypertexte visité" xfId="1807" builtinId="9" hidden="1"/>
    <cellStyle name="Lien hypertexte visité" xfId="1791" builtinId="9" hidden="1"/>
    <cellStyle name="Lien hypertexte visité" xfId="1775" builtinId="9" hidden="1"/>
    <cellStyle name="Lien hypertexte visité" xfId="1759" builtinId="9" hidden="1"/>
    <cellStyle name="Lien hypertexte visité" xfId="1743" builtinId="9" hidden="1"/>
    <cellStyle name="Lien hypertexte visité" xfId="1707" builtinId="9" hidden="1"/>
    <cellStyle name="Lien hypertexte visité" xfId="1691" builtinId="9" hidden="1"/>
    <cellStyle name="Lien hypertexte visité" xfId="1675" builtinId="9" hidden="1"/>
    <cellStyle name="Lien hypertexte visité" xfId="1659" builtinId="9" hidden="1"/>
    <cellStyle name="Lien hypertexte visité" xfId="1643" builtinId="9" hidden="1"/>
    <cellStyle name="Lien hypertexte visité" xfId="1627" builtinId="9" hidden="1"/>
    <cellStyle name="Lien hypertexte visité" xfId="1611" builtinId="9" hidden="1"/>
    <cellStyle name="Lien hypertexte visité" xfId="1591" builtinId="9" hidden="1"/>
    <cellStyle name="Lien hypertexte visité" xfId="1575" builtinId="9" hidden="1"/>
    <cellStyle name="Lien hypertexte visité" xfId="1559" builtinId="9" hidden="1"/>
    <cellStyle name="Lien hypertexte visité" xfId="1543" builtinId="9" hidden="1"/>
    <cellStyle name="Lien hypertexte visité" xfId="1527" builtinId="9" hidden="1"/>
    <cellStyle name="Lien hypertexte visité" xfId="1511" builtinId="9" hidden="1"/>
    <cellStyle name="Lien hypertexte visité" xfId="1495" builtinId="9" hidden="1"/>
    <cellStyle name="Lien hypertexte visité" xfId="1478" builtinId="9" hidden="1"/>
    <cellStyle name="Lien hypertexte visité" xfId="1442" builtinId="9" hidden="1"/>
    <cellStyle name="Lien hypertexte visité" xfId="2243" builtinId="9" hidden="1"/>
    <cellStyle name="Lien hypertexte visité" xfId="2499" builtinId="9" hidden="1"/>
    <cellStyle name="Lien hypertexte visité" xfId="2755" builtinId="9" hidden="1"/>
    <cellStyle name="Lien hypertexte visité" xfId="3011" builtinId="9" hidden="1"/>
    <cellStyle name="Lien hypertexte visité" xfId="3267" builtinId="9" hidden="1"/>
    <cellStyle name="Lien hypertexte visité" xfId="3523" builtinId="9" hidden="1"/>
    <cellStyle name="Lien hypertexte visité" xfId="3788" builtinId="9" hidden="1"/>
    <cellStyle name="Lien hypertexte visité" xfId="1156" builtinId="9" hidden="1"/>
    <cellStyle name="Lien hypertexte visité" xfId="3905" builtinId="9" hidden="1"/>
    <cellStyle name="Lien hypertexte visité" xfId="3889" builtinId="9" hidden="1"/>
    <cellStyle name="Lien hypertexte visité" xfId="3872" builtinId="9" hidden="1"/>
    <cellStyle name="Lien hypertexte visité" xfId="3856" builtinId="9" hidden="1"/>
    <cellStyle name="Lien hypertexte visité" xfId="3836" builtinId="9" hidden="1"/>
    <cellStyle name="Lien hypertexte visité" xfId="3820" builtinId="9" hidden="1"/>
    <cellStyle name="Lien hypertexte visité" xfId="3784" builtinId="9" hidden="1"/>
    <cellStyle name="Lien hypertexte visité" xfId="3768" builtinId="9" hidden="1"/>
    <cellStyle name="Lien hypertexte visité" xfId="3752" builtinId="9" hidden="1"/>
    <cellStyle name="Lien hypertexte visité" xfId="3736" builtinId="9" hidden="1"/>
    <cellStyle name="Lien hypertexte visité" xfId="3716" builtinId="9" hidden="1"/>
    <cellStyle name="Lien hypertexte visité" xfId="3700" builtinId="9" hidden="1"/>
    <cellStyle name="Lien hypertexte visité" xfId="3683" builtinId="9" hidden="1"/>
    <cellStyle name="Lien hypertexte visité" xfId="3665" builtinId="9" hidden="1"/>
    <cellStyle name="Lien hypertexte visité" xfId="3640" builtinId="9" hidden="1"/>
    <cellStyle name="Lien hypertexte visité" xfId="3624" builtinId="9" hidden="1"/>
    <cellStyle name="Lien hypertexte visité" xfId="3608" builtinId="9" hidden="1"/>
    <cellStyle name="Lien hypertexte visité" xfId="3592" builtinId="9" hidden="1"/>
    <cellStyle name="Lien hypertexte visité" xfId="3572" builtinId="9" hidden="1"/>
    <cellStyle name="Lien hypertexte visité" xfId="3555" builtinId="9" hidden="1"/>
    <cellStyle name="Lien hypertexte visité" xfId="3539" builtinId="9" hidden="1"/>
    <cellStyle name="Lien hypertexte visité" xfId="3503" builtinId="9" hidden="1"/>
    <cellStyle name="Lien hypertexte visité" xfId="3487" builtinId="9" hidden="1"/>
    <cellStyle name="Lien hypertexte visité" xfId="3471" builtinId="9" hidden="1"/>
    <cellStyle name="Lien hypertexte visité" xfId="3451" builtinId="9" hidden="1"/>
    <cellStyle name="Lien hypertexte visité" xfId="3435" builtinId="9" hidden="1"/>
    <cellStyle name="Lien hypertexte visité" xfId="3419" builtinId="9" hidden="1"/>
    <cellStyle name="Lien hypertexte visité" xfId="3403" builtinId="9" hidden="1"/>
    <cellStyle name="Lien hypertexte visité" xfId="3383" builtinId="9" hidden="1"/>
    <cellStyle name="Lien hypertexte visité" xfId="3367" builtinId="9" hidden="1"/>
    <cellStyle name="Lien hypertexte visité" xfId="3351" builtinId="9" hidden="1"/>
    <cellStyle name="Lien hypertexte visité" xfId="3335" builtinId="9" hidden="1"/>
    <cellStyle name="Lien hypertexte visité" xfId="3315" builtinId="9" hidden="1"/>
    <cellStyle name="Lien hypertexte visité" xfId="3299" builtinId="9" hidden="1"/>
    <cellStyle name="Lien hypertexte visité" xfId="3283" builtinId="9" hidden="1"/>
    <cellStyle name="Lien hypertexte visité" xfId="3263" builtinId="9" hidden="1"/>
    <cellStyle name="Lien hypertexte visité" xfId="3231" builtinId="9" hidden="1"/>
    <cellStyle name="Lien hypertexte visité" xfId="3215" builtinId="9" hidden="1"/>
    <cellStyle name="Lien hypertexte visité" xfId="3195" builtinId="9" hidden="1"/>
    <cellStyle name="Lien hypertexte visité" xfId="3179" builtinId="9" hidden="1"/>
    <cellStyle name="Lien hypertexte visité" xfId="3163" builtinId="9" hidden="1"/>
    <cellStyle name="Lien hypertexte visité" xfId="3147" builtinId="9" hidden="1"/>
    <cellStyle name="Lien hypertexte visité" xfId="3127" builtinId="9" hidden="1"/>
    <cellStyle name="Lien hypertexte visité" xfId="3111" builtinId="9" hidden="1"/>
    <cellStyle name="Lien hypertexte visité" xfId="3095" builtinId="9" hidden="1"/>
    <cellStyle name="Lien hypertexte visité" xfId="3079" builtinId="9" hidden="1"/>
    <cellStyle name="Lien hypertexte visité" xfId="3059" builtinId="9" hidden="1"/>
    <cellStyle name="Lien hypertexte visité" xfId="3043" builtinId="9" hidden="1"/>
    <cellStyle name="Lien hypertexte visité" xfId="3027" builtinId="9" hidden="1"/>
    <cellStyle name="Lien hypertexte visité" xfId="3007" builtinId="9" hidden="1"/>
    <cellStyle name="Lien hypertexte visité" xfId="2991" builtinId="9" hidden="1"/>
    <cellStyle name="Lien hypertexte visité" xfId="2959" builtinId="9" hidden="1"/>
    <cellStyle name="Lien hypertexte visité" xfId="2939" builtinId="9" hidden="1"/>
    <cellStyle name="Lien hypertexte visité" xfId="2923" builtinId="9" hidden="1"/>
    <cellStyle name="Lien hypertexte visité" xfId="2907" builtinId="9" hidden="1"/>
    <cellStyle name="Lien hypertexte visité" xfId="2891" builtinId="9" hidden="1"/>
    <cellStyle name="Lien hypertexte visité" xfId="2871" builtinId="9" hidden="1"/>
    <cellStyle name="Lien hypertexte visité" xfId="2855" builtinId="9" hidden="1"/>
    <cellStyle name="Lien hypertexte visité" xfId="2839" builtinId="9" hidden="1"/>
    <cellStyle name="Lien hypertexte visité" xfId="2823" builtinId="9" hidden="1"/>
    <cellStyle name="Lien hypertexte visité" xfId="2803" builtinId="9" hidden="1"/>
    <cellStyle name="Lien hypertexte visité" xfId="2787" builtinId="9" hidden="1"/>
    <cellStyle name="Lien hypertexte visité" xfId="2771" builtinId="9" hidden="1"/>
    <cellStyle name="Lien hypertexte visité" xfId="2751" builtinId="9" hidden="1"/>
    <cellStyle name="Lien hypertexte visité" xfId="2735" builtinId="9" hidden="1"/>
    <cellStyle name="Lien hypertexte visité" xfId="2719" builtinId="9" hidden="1"/>
    <cellStyle name="Lien hypertexte visité" xfId="2683" builtinId="9" hidden="1"/>
    <cellStyle name="Lien hypertexte visité" xfId="2667" builtinId="9" hidden="1"/>
    <cellStyle name="Lien hypertexte visité" xfId="2651" builtinId="9" hidden="1"/>
    <cellStyle name="Lien hypertexte visité" xfId="2635" builtinId="9" hidden="1"/>
    <cellStyle name="Lien hypertexte visité" xfId="2615" builtinId="9" hidden="1"/>
    <cellStyle name="Lien hypertexte visité" xfId="2599" builtinId="9" hidden="1"/>
    <cellStyle name="Lien hypertexte visité" xfId="2583" builtinId="9" hidden="1"/>
    <cellStyle name="Lien hypertexte visité" xfId="2567" builtinId="9" hidden="1"/>
    <cellStyle name="Lien hypertexte visité" xfId="2547" builtinId="9" hidden="1"/>
    <cellStyle name="Lien hypertexte visité" xfId="2531" builtinId="9" hidden="1"/>
    <cellStyle name="Lien hypertexte visité" xfId="2515" builtinId="9" hidden="1"/>
    <cellStyle name="Lien hypertexte visité" xfId="2495" builtinId="9" hidden="1"/>
    <cellStyle name="Lien hypertexte visité" xfId="2479" builtinId="9" hidden="1"/>
    <cellStyle name="Lien hypertexte visité" xfId="2463" builtinId="9" hidden="1"/>
    <cellStyle name="Lien hypertexte visité" xfId="2447" builtinId="9" hidden="1"/>
    <cellStyle name="Lien hypertexte visité" xfId="2411" builtinId="9" hidden="1"/>
    <cellStyle name="Lien hypertexte visité" xfId="2395" builtinId="9" hidden="1"/>
    <cellStyle name="Lien hypertexte visité" xfId="2379" builtinId="9" hidden="1"/>
    <cellStyle name="Lien hypertexte visité" xfId="2359" builtinId="9" hidden="1"/>
    <cellStyle name="Lien hypertexte visité" xfId="2343" builtinId="9" hidden="1"/>
    <cellStyle name="Lien hypertexte visité" xfId="2327" builtinId="9" hidden="1"/>
    <cellStyle name="Lien hypertexte visité" xfId="2311" builtinId="9" hidden="1"/>
    <cellStyle name="Lien hypertexte visité" xfId="2291" builtinId="9" hidden="1"/>
    <cellStyle name="Lien hypertexte visité" xfId="2275" builtinId="9" hidden="1"/>
    <cellStyle name="Lien hypertexte visité" xfId="2259" builtinId="9" hidden="1"/>
    <cellStyle name="Lien hypertexte visité" xfId="2239" builtinId="9" hidden="1"/>
    <cellStyle name="Lien hypertexte visité" xfId="2223" builtinId="9" hidden="1"/>
    <cellStyle name="Lien hypertexte visité" xfId="2208" builtinId="9" hidden="1"/>
    <cellStyle name="Lien hypertexte visité" xfId="4041" builtinId="9" hidden="1"/>
    <cellStyle name="Lien hypertexte visité" xfId="4169" builtinId="9" hidden="1"/>
    <cellStyle name="Lien hypertexte visité" xfId="4425" builtinId="9" hidden="1"/>
    <cellStyle name="Lien hypertexte visité" xfId="4553" builtinId="9" hidden="1"/>
    <cellStyle name="Lien hypertexte visité" xfId="4681" builtinId="9" hidden="1"/>
    <cellStyle name="Lien hypertexte visité" xfId="4809" builtinId="9" hidden="1"/>
    <cellStyle name="Lien hypertexte visité" xfId="4937" builtinId="9" hidden="1"/>
    <cellStyle name="Lien hypertexte visité" xfId="5065" builtinId="9" hidden="1"/>
    <cellStyle name="Lien hypertexte visité" xfId="5193" builtinId="9" hidden="1"/>
    <cellStyle name="Lien hypertexte visité" xfId="5321" builtinId="9" hidden="1"/>
    <cellStyle name="Lien hypertexte visité" xfId="5449" builtinId="9" hidden="1"/>
    <cellStyle name="Lien hypertexte visité" xfId="5577" builtinId="9" hidden="1"/>
    <cellStyle name="Lien hypertexte visité" xfId="5705" builtinId="9" hidden="1"/>
    <cellStyle name="Lien hypertexte visité" xfId="5833" builtinId="9" hidden="1"/>
    <cellStyle name="Lien hypertexte visité" xfId="5961" builtinId="9" hidden="1"/>
    <cellStyle name="Lien hypertexte visité" xfId="6089" builtinId="9" hidden="1"/>
    <cellStyle name="Lien hypertexte visité" xfId="6217" builtinId="9" hidden="1"/>
    <cellStyle name="Lien hypertexte visité" xfId="6473" builtinId="9" hidden="1"/>
    <cellStyle name="Lien hypertexte visité" xfId="6601" builtinId="9" hidden="1"/>
    <cellStyle name="Lien hypertexte visité" xfId="6729" builtinId="9" hidden="1"/>
    <cellStyle name="Lien hypertexte visité" xfId="6857" builtinId="9" hidden="1"/>
    <cellStyle name="Lien hypertexte visité" xfId="6985" builtinId="9" hidden="1"/>
    <cellStyle name="Lien hypertexte visité" xfId="7113" builtinId="9" hidden="1"/>
    <cellStyle name="Lien hypertexte visité" xfId="7241" builtinId="9" hidden="1"/>
    <cellStyle name="Lien hypertexte visité" xfId="7369" builtinId="9" hidden="1"/>
    <cellStyle name="Lien hypertexte visité" xfId="7497" builtinId="9" hidden="1"/>
    <cellStyle name="Lien hypertexte visité" xfId="7625" builtinId="9" hidden="1"/>
    <cellStyle name="Lien hypertexte visité" xfId="7753" builtinId="9" hidden="1"/>
    <cellStyle name="Lien hypertexte visité" xfId="7882" builtinId="9" hidden="1"/>
    <cellStyle name="Lien hypertexte visité" xfId="8010" builtinId="9" hidden="1"/>
    <cellStyle name="Lien hypertexte visité" xfId="8138" builtinId="9" hidden="1"/>
    <cellStyle name="Lien hypertexte visité" xfId="8210" builtinId="9" hidden="1"/>
    <cellStyle name="Lien hypertexte visité" xfId="8174" builtinId="9" hidden="1"/>
    <cellStyle name="Lien hypertexte visité" xfId="8154" builtinId="9" hidden="1"/>
    <cellStyle name="Lien hypertexte visité" xfId="8134" builtinId="9" hidden="1"/>
    <cellStyle name="Lien hypertexte visité" xfId="8118" builtinId="9" hidden="1"/>
    <cellStyle name="Lien hypertexte visité" xfId="8098" builtinId="9" hidden="1"/>
    <cellStyle name="Lien hypertexte visité" xfId="8082" builtinId="9" hidden="1"/>
    <cellStyle name="Lien hypertexte visité" xfId="8062" builtinId="9" hidden="1"/>
    <cellStyle name="Lien hypertexte visité" xfId="8046" builtinId="9" hidden="1"/>
    <cellStyle name="Lien hypertexte visité" xfId="8026" builtinId="9" hidden="1"/>
    <cellStyle name="Lien hypertexte visité" xfId="8006" builtinId="9" hidden="1"/>
    <cellStyle name="Lien hypertexte visité" xfId="7990" builtinId="9" hidden="1"/>
    <cellStyle name="Lien hypertexte visité" xfId="7970" builtinId="9" hidden="1"/>
    <cellStyle name="Lien hypertexte visité" xfId="7954" builtinId="9" hidden="1"/>
    <cellStyle name="Lien hypertexte visité" xfId="7934" builtinId="9" hidden="1"/>
    <cellStyle name="Lien hypertexte visité" xfId="7918" builtinId="9" hidden="1"/>
    <cellStyle name="Lien hypertexte visité" xfId="7878" builtinId="9" hidden="1"/>
    <cellStyle name="Lien hypertexte visité" xfId="7862" builtinId="9" hidden="1"/>
    <cellStyle name="Lien hypertexte visité" xfId="7842" builtinId="9" hidden="1"/>
    <cellStyle name="Lien hypertexte visité" xfId="7826" builtinId="9" hidden="1"/>
    <cellStyle name="Lien hypertexte visité" xfId="7805" builtinId="9" hidden="1"/>
    <cellStyle name="Lien hypertexte visité" xfId="7789" builtinId="9" hidden="1"/>
    <cellStyle name="Lien hypertexte visité" xfId="7769" builtinId="9" hidden="1"/>
    <cellStyle name="Lien hypertexte visité" xfId="7749" builtinId="9" hidden="1"/>
    <cellStyle name="Lien hypertexte visité" xfId="7733" builtinId="9" hidden="1"/>
    <cellStyle name="Lien hypertexte visité" xfId="7713" builtinId="9" hidden="1"/>
    <cellStyle name="Lien hypertexte visité" xfId="7697" builtinId="9" hidden="1"/>
    <cellStyle name="Lien hypertexte visité" xfId="7677" builtinId="9" hidden="1"/>
    <cellStyle name="Lien hypertexte visité" xfId="7661" builtinId="9" hidden="1"/>
    <cellStyle name="Lien hypertexte visité" xfId="7641" builtinId="9" hidden="1"/>
    <cellStyle name="Lien hypertexte visité" xfId="7621" builtinId="9" hidden="1"/>
    <cellStyle name="Lien hypertexte visité" xfId="7585" builtinId="9" hidden="1"/>
    <cellStyle name="Lien hypertexte visité" xfId="7569" builtinId="9" hidden="1"/>
    <cellStyle name="Lien hypertexte visité" xfId="7549" builtinId="9" hidden="1"/>
    <cellStyle name="Lien hypertexte visité" xfId="7533" builtinId="9" hidden="1"/>
    <cellStyle name="Lien hypertexte visité" xfId="7513" builtinId="9" hidden="1"/>
    <cellStyle name="Lien hypertexte visité" xfId="7493" builtinId="9" hidden="1"/>
    <cellStyle name="Lien hypertexte visité" xfId="7477" builtinId="9" hidden="1"/>
    <cellStyle name="Lien hypertexte visité" xfId="7457" builtinId="9" hidden="1"/>
    <cellStyle name="Lien hypertexte visité" xfId="7441" builtinId="9" hidden="1"/>
    <cellStyle name="Lien hypertexte visité" xfId="7421" builtinId="9" hidden="1"/>
    <cellStyle name="Lien hypertexte visité" xfId="7405" builtinId="9" hidden="1"/>
    <cellStyle name="Lien hypertexte visité" xfId="7385" builtinId="9" hidden="1"/>
    <cellStyle name="Lien hypertexte visité" xfId="7365" builtinId="9" hidden="1"/>
    <cellStyle name="Lien hypertexte visité" xfId="7349" builtinId="9" hidden="1"/>
    <cellStyle name="Lien hypertexte visité" xfId="7329" builtinId="9" hidden="1"/>
    <cellStyle name="Lien hypertexte visité" xfId="7293" builtinId="9" hidden="1"/>
    <cellStyle name="Lien hypertexte visité" xfId="7277" builtinId="9" hidden="1"/>
    <cellStyle name="Lien hypertexte visité" xfId="7257" builtinId="9" hidden="1"/>
    <cellStyle name="Lien hypertexte visité" xfId="7313" builtinId="9" hidden="1"/>
    <cellStyle name="Lien hypertexte visité" xfId="7605" builtinId="9" hidden="1"/>
    <cellStyle name="Lien hypertexte visité" xfId="7898" builtinId="9" hidden="1"/>
    <cellStyle name="Lien hypertexte visité" xfId="8190" builtinId="9" hidden="1"/>
    <cellStyle name="Lien hypertexte visité" xfId="6345" builtinId="9" hidden="1"/>
    <cellStyle name="Lien hypertexte visité" xfId="4297" builtinId="9" hidden="1"/>
    <cellStyle name="Lien hypertexte visité" xfId="2427" builtinId="9" hidden="1"/>
    <cellStyle name="Lien hypertexte visité" xfId="2703" builtinId="9" hidden="1"/>
    <cellStyle name="Lien hypertexte visité" xfId="2975" builtinId="9" hidden="1"/>
    <cellStyle name="Lien hypertexte visité" xfId="3247" builtinId="9" hidden="1"/>
    <cellStyle name="Lien hypertexte visité" xfId="3519" builtinId="9" hidden="1"/>
    <cellStyle name="Lien hypertexte visité" xfId="3804" builtinId="9" hidden="1"/>
    <cellStyle name="Lien hypertexte visité" xfId="1458" builtinId="9" hidden="1"/>
    <cellStyle name="Lien hypertexte visité" xfId="1723" builtinId="9" hidden="1"/>
    <cellStyle name="Lien hypertexte visité" xfId="1991" builtinId="9" hidden="1"/>
    <cellStyle name="Lien hypertexte visité" xfId="1001" builtinId="9" hidden="1"/>
    <cellStyle name="Lien hypertexte visité" xfId="1342" builtinId="9" hidden="1"/>
    <cellStyle name="Lien hypertexte visité" xfId="929" builtinId="9" hidden="1"/>
    <cellStyle name="Lien hypertexte visité" xfId="377" builtinId="9" hidden="1"/>
    <cellStyle name="Lien hypertexte visité" xfId="665" builtinId="9" hidden="1"/>
    <cellStyle name="Lien hypertexte visité" xfId="1206" builtinId="9" hidden="1"/>
    <cellStyle name="Lien hypertexte visité" xfId="2119" builtinId="9" hidden="1"/>
    <cellStyle name="Lien hypertexte visité" xfId="1851" builtinId="9" hidden="1"/>
    <cellStyle name="Lien hypertexte visité" xfId="1587" builtinId="9" hidden="1"/>
    <cellStyle name="Lien hypertexte visité" xfId="3852" builtinId="9" hidden="1"/>
    <cellStyle name="Lien hypertexte visité" xfId="3658" builtinId="9" hidden="1"/>
    <cellStyle name="Lien hypertexte visité" xfId="3379" builtinId="9" hidden="1"/>
    <cellStyle name="Lien hypertexte visité" xfId="6373" builtinId="9" hidden="1"/>
    <cellStyle name="Lien hypertexte visité" xfId="6393" builtinId="9" hidden="1"/>
    <cellStyle name="Lien hypertexte visité" xfId="6413" builtinId="9" hidden="1"/>
    <cellStyle name="Lien hypertexte visité" xfId="6429" builtinId="9" hidden="1"/>
    <cellStyle name="Lien hypertexte visité" xfId="6449" builtinId="9" hidden="1"/>
    <cellStyle name="Lien hypertexte visité" xfId="6465" builtinId="9" hidden="1"/>
    <cellStyle name="Lien hypertexte visité" xfId="6485" builtinId="9" hidden="1"/>
    <cellStyle name="Lien hypertexte visité" xfId="6501" builtinId="9" hidden="1"/>
    <cellStyle name="Lien hypertexte visité" xfId="6521" builtinId="9" hidden="1"/>
    <cellStyle name="Lien hypertexte visité" xfId="6541" builtinId="9" hidden="1"/>
    <cellStyle name="Lien hypertexte visité" xfId="6557" builtinId="9" hidden="1"/>
    <cellStyle name="Lien hypertexte visité" xfId="6593" builtinId="9" hidden="1"/>
    <cellStyle name="Lien hypertexte visité" xfId="6613" builtinId="9" hidden="1"/>
    <cellStyle name="Lien hypertexte visité" xfId="6629" builtinId="9" hidden="1"/>
    <cellStyle name="Lien hypertexte visité" xfId="6649" builtinId="9" hidden="1"/>
    <cellStyle name="Lien hypertexte visité" xfId="6669" builtinId="9" hidden="1"/>
    <cellStyle name="Lien hypertexte visité" xfId="6685" builtinId="9" hidden="1"/>
    <cellStyle name="Lien hypertexte visité" xfId="6705" builtinId="9" hidden="1"/>
    <cellStyle name="Lien hypertexte visité" xfId="6721" builtinId="9" hidden="1"/>
    <cellStyle name="Lien hypertexte visité" xfId="6741" builtinId="9" hidden="1"/>
    <cellStyle name="Lien hypertexte visité" xfId="6757" builtinId="9" hidden="1"/>
    <cellStyle name="Lien hypertexte visité" xfId="6777" builtinId="9" hidden="1"/>
    <cellStyle name="Lien hypertexte visité" xfId="6797" builtinId="9" hidden="1"/>
    <cellStyle name="Lien hypertexte visité" xfId="6813" builtinId="9" hidden="1"/>
    <cellStyle name="Lien hypertexte visité" xfId="6833" builtinId="9" hidden="1"/>
    <cellStyle name="Lien hypertexte visité" xfId="6849" builtinId="9" hidden="1"/>
    <cellStyle name="Lien hypertexte visité" xfId="6869" builtinId="9" hidden="1"/>
    <cellStyle name="Lien hypertexte visité" xfId="6885" builtinId="9" hidden="1"/>
    <cellStyle name="Lien hypertexte visité" xfId="6905" builtinId="9" hidden="1"/>
    <cellStyle name="Lien hypertexte visité" xfId="6925" builtinId="9" hidden="1"/>
    <cellStyle name="Lien hypertexte visité" xfId="6941" builtinId="9" hidden="1"/>
    <cellStyle name="Lien hypertexte visité" xfId="6961" builtinId="9" hidden="1"/>
    <cellStyle name="Lien hypertexte visité" xfId="6977" builtinId="9" hidden="1"/>
    <cellStyle name="Lien hypertexte visité" xfId="6997" builtinId="9" hidden="1"/>
    <cellStyle name="Lien hypertexte visité" xfId="7013" builtinId="9" hidden="1"/>
    <cellStyle name="Lien hypertexte visité" xfId="7033" builtinId="9" hidden="1"/>
    <cellStyle name="Lien hypertexte visité" xfId="7053" builtinId="9" hidden="1"/>
    <cellStyle name="Lien hypertexte visité" xfId="7069" builtinId="9" hidden="1"/>
    <cellStyle name="Lien hypertexte visité" xfId="7089" builtinId="9" hidden="1"/>
    <cellStyle name="Lien hypertexte visité" xfId="7105" builtinId="9" hidden="1"/>
    <cellStyle name="Lien hypertexte visité" xfId="7125" builtinId="9" hidden="1"/>
    <cellStyle name="Lien hypertexte visité" xfId="7141" builtinId="9" hidden="1"/>
    <cellStyle name="Lien hypertexte visité" xfId="7181" builtinId="9" hidden="1"/>
    <cellStyle name="Lien hypertexte visité" xfId="7197" builtinId="9" hidden="1"/>
    <cellStyle name="Lien hypertexte visité" xfId="7217" builtinId="9" hidden="1"/>
    <cellStyle name="Lien hypertexte visité" xfId="7233" builtinId="9" hidden="1"/>
    <cellStyle name="Lien hypertexte visité" xfId="7253" builtinId="9" hidden="1"/>
    <cellStyle name="Lien hypertexte visité" xfId="7269" builtinId="9" hidden="1"/>
    <cellStyle name="Lien hypertexte visité" xfId="7289" builtinId="9" hidden="1"/>
    <cellStyle name="Lien hypertexte visité" xfId="7309" builtinId="9" hidden="1"/>
    <cellStyle name="Lien hypertexte visité" xfId="7325" builtinId="9" hidden="1"/>
    <cellStyle name="Lien hypertexte visité" xfId="7345" builtinId="9" hidden="1"/>
    <cellStyle name="Lien hypertexte visité" xfId="7361" builtinId="9" hidden="1"/>
    <cellStyle name="Lien hypertexte visité" xfId="7381" builtinId="9" hidden="1"/>
    <cellStyle name="Lien hypertexte visité" xfId="7397" builtinId="9" hidden="1"/>
    <cellStyle name="Lien hypertexte visité" xfId="7417" builtinId="9" hidden="1"/>
    <cellStyle name="Lien hypertexte visité" xfId="7437" builtinId="9" hidden="1"/>
    <cellStyle name="Lien hypertexte visité" xfId="7453" builtinId="9" hidden="1"/>
    <cellStyle name="Lien hypertexte visité" xfId="7473" builtinId="9" hidden="1"/>
    <cellStyle name="Lien hypertexte visité" xfId="7489" builtinId="9" hidden="1"/>
    <cellStyle name="Lien hypertexte visité" xfId="7509" builtinId="9" hidden="1"/>
    <cellStyle name="Lien hypertexte visité" xfId="7525" builtinId="9" hidden="1"/>
    <cellStyle name="Lien hypertexte visité" xfId="7545" builtinId="9" hidden="1"/>
    <cellStyle name="Lien hypertexte visité" xfId="7565" builtinId="9" hidden="1"/>
    <cellStyle name="Lien hypertexte visité" xfId="7581" builtinId="9" hidden="1"/>
    <cellStyle name="Lien hypertexte visité" xfId="7601" builtinId="9" hidden="1"/>
    <cellStyle name="Lien hypertexte visité" xfId="7617" builtinId="9" hidden="1"/>
    <cellStyle name="Lien hypertexte visité" xfId="7637" builtinId="9" hidden="1"/>
    <cellStyle name="Lien hypertexte visité" xfId="7653" builtinId="9" hidden="1"/>
    <cellStyle name="Lien hypertexte visité" xfId="7673" builtinId="9" hidden="1"/>
    <cellStyle name="Lien hypertexte visité" xfId="7693" builtinId="9" hidden="1"/>
    <cellStyle name="Lien hypertexte visité" xfId="7709" builtinId="9" hidden="1"/>
    <cellStyle name="Lien hypertexte visité" xfId="7729" builtinId="9" hidden="1"/>
    <cellStyle name="Lien hypertexte visité" xfId="7765" builtinId="9" hidden="1"/>
    <cellStyle name="Lien hypertexte visité" xfId="7781" builtinId="9" hidden="1"/>
    <cellStyle name="Lien hypertexte visité" xfId="7801" builtinId="9" hidden="1"/>
    <cellStyle name="Lien hypertexte visité" xfId="7822" builtinId="9" hidden="1"/>
    <cellStyle name="Lien hypertexte visité" xfId="7838" builtinId="9" hidden="1"/>
    <cellStyle name="Lien hypertexte visité" xfId="7858" builtinId="9" hidden="1"/>
    <cellStyle name="Lien hypertexte visité" xfId="7874" builtinId="9" hidden="1"/>
    <cellStyle name="Lien hypertexte visité" xfId="7894" builtinId="9" hidden="1"/>
    <cellStyle name="Lien hypertexte visité" xfId="7910" builtinId="9" hidden="1"/>
    <cellStyle name="Lien hypertexte visité" xfId="7930" builtinId="9" hidden="1"/>
    <cellStyle name="Lien hypertexte visité" xfId="7950" builtinId="9" hidden="1"/>
    <cellStyle name="Lien hypertexte visité" xfId="7966" builtinId="9" hidden="1"/>
    <cellStyle name="Lien hypertexte visité" xfId="7986" builtinId="9" hidden="1"/>
    <cellStyle name="Lien hypertexte visité" xfId="8002" builtinId="9" hidden="1"/>
    <cellStyle name="Lien hypertexte visité" xfId="8022" builtinId="9" hidden="1"/>
    <cellStyle name="Lien hypertexte visité" xfId="8038" builtinId="9" hidden="1"/>
    <cellStyle name="Lien hypertexte visité" xfId="8058" builtinId="9" hidden="1"/>
    <cellStyle name="Lien hypertexte visité" xfId="8078" builtinId="9" hidden="1"/>
    <cellStyle name="Lien hypertexte visité" xfId="8094" builtinId="9" hidden="1"/>
    <cellStyle name="Lien hypertexte visité" xfId="8114" builtinId="9" hidden="1"/>
    <cellStyle name="Lien hypertexte visité" xfId="8130" builtinId="9" hidden="1"/>
    <cellStyle name="Lien hypertexte visité" xfId="8150" builtinId="9" hidden="1"/>
    <cellStyle name="Lien hypertexte visité" xfId="8166" builtinId="9" hidden="1"/>
    <cellStyle name="Lien hypertexte visité" xfId="8186" builtinId="9" hidden="1"/>
    <cellStyle name="Lien hypertexte visité" xfId="8206" builtinId="9" hidden="1"/>
    <cellStyle name="Lien hypertexte visité" xfId="8170" builtinId="9" hidden="1"/>
    <cellStyle name="Lien hypertexte visité" xfId="8042" builtinId="9" hidden="1"/>
    <cellStyle name="Lien hypertexte visité" xfId="7914" builtinId="9" hidden="1"/>
    <cellStyle name="Lien hypertexte visité" xfId="7785" builtinId="9" hidden="1"/>
    <cellStyle name="Lien hypertexte visité" xfId="7657" builtinId="9" hidden="1"/>
    <cellStyle name="Lien hypertexte visité" xfId="7529" builtinId="9" hidden="1"/>
    <cellStyle name="Lien hypertexte visité" xfId="7273" builtinId="9" hidden="1"/>
    <cellStyle name="Lien hypertexte visité" xfId="7145" builtinId="9" hidden="1"/>
    <cellStyle name="Lien hypertexte visité" xfId="7017" builtinId="9" hidden="1"/>
    <cellStyle name="Lien hypertexte visité" xfId="6889" builtinId="9" hidden="1"/>
    <cellStyle name="Lien hypertexte visité" xfId="6761" builtinId="9" hidden="1"/>
    <cellStyle name="Lien hypertexte visité" xfId="6633" builtinId="9" hidden="1"/>
    <cellStyle name="Lien hypertexte visité" xfId="6505" builtinId="9" hidden="1"/>
    <cellStyle name="Lien hypertexte visité" xfId="6377" builtinId="9" hidden="1"/>
    <cellStyle name="Lien hypertexte visité" xfId="6249" builtinId="9" hidden="1"/>
    <cellStyle name="Lien hypertexte visité" xfId="6121" builtinId="9" hidden="1"/>
    <cellStyle name="Lien hypertexte visité" xfId="5993" builtinId="9" hidden="1"/>
    <cellStyle name="Lien hypertexte visité" xfId="5865" builtinId="9" hidden="1"/>
    <cellStyle name="Lien hypertexte visité" xfId="5737" builtinId="9" hidden="1"/>
    <cellStyle name="Lien hypertexte visité" xfId="5609" builtinId="9" hidden="1"/>
    <cellStyle name="Lien hypertexte visité" xfId="5481" builtinId="9" hidden="1"/>
    <cellStyle name="Lien hypertexte visité" xfId="5353" builtinId="9" hidden="1"/>
    <cellStyle name="Lien hypertexte visité" xfId="5225" builtinId="9" hidden="1"/>
    <cellStyle name="Lien hypertexte visité" xfId="5097" builtinId="9" hidden="1"/>
    <cellStyle name="Lien hypertexte visité" xfId="4969" builtinId="9" hidden="1"/>
    <cellStyle name="Lien hypertexte visité" xfId="4841" builtinId="9" hidden="1"/>
    <cellStyle name="Lien hypertexte visité" xfId="4713" builtinId="9" hidden="1"/>
    <cellStyle name="Lien hypertexte visité" xfId="4585" builtinId="9" hidden="1"/>
    <cellStyle name="Lien hypertexte visité" xfId="4457" builtinId="9" hidden="1"/>
    <cellStyle name="Lien hypertexte visité" xfId="4329" builtinId="9" hidden="1"/>
    <cellStyle name="Lien hypertexte visité" xfId="4201" builtinId="9" hidden="1"/>
    <cellStyle name="Lien hypertexte visité" xfId="4073" builtinId="9" hidden="1"/>
    <cellStyle name="Lien hypertexte visité" xfId="3945" builtinId="9" hidden="1"/>
    <cellStyle name="Lien hypertexte visité" xfId="2219" builtinId="9" hidden="1"/>
    <cellStyle name="Lien hypertexte visité" xfId="2235" builtinId="9" hidden="1"/>
    <cellStyle name="Lien hypertexte visité" xfId="2255" builtinId="9" hidden="1"/>
    <cellStyle name="Lien hypertexte visité" xfId="2271" builtinId="9" hidden="1"/>
    <cellStyle name="Lien hypertexte visité" xfId="2303" builtinId="9" hidden="1"/>
    <cellStyle name="Lien hypertexte visité" xfId="2323" builtinId="9" hidden="1"/>
    <cellStyle name="Lien hypertexte visité" xfId="2339" builtinId="9" hidden="1"/>
    <cellStyle name="Lien hypertexte visité" xfId="2355" builtinId="9" hidden="1"/>
    <cellStyle name="Lien hypertexte visité" xfId="2375" builtinId="9" hidden="1"/>
    <cellStyle name="Lien hypertexte visité" xfId="2391" builtinId="9" hidden="1"/>
    <cellStyle name="Lien hypertexte visité" xfId="2407" builtinId="9" hidden="1"/>
    <cellStyle name="Lien hypertexte visité" xfId="2423" builtinId="9" hidden="1"/>
    <cellStyle name="Lien hypertexte visité" xfId="2443" builtinId="9" hidden="1"/>
    <cellStyle name="Lien hypertexte visité" xfId="2459" builtinId="9" hidden="1"/>
    <cellStyle name="Lien hypertexte visité" xfId="2475" builtinId="9" hidden="1"/>
    <cellStyle name="Lien hypertexte visité" xfId="2491" builtinId="9" hidden="1"/>
    <cellStyle name="Lien hypertexte visité" xfId="2511" builtinId="9" hidden="1"/>
    <cellStyle name="Lien hypertexte visité" xfId="2527" builtinId="9" hidden="1"/>
    <cellStyle name="Lien hypertexte visité" xfId="2543" builtinId="9" hidden="1"/>
    <cellStyle name="Lien hypertexte visité" xfId="2559" builtinId="9" hidden="1"/>
    <cellStyle name="Lien hypertexte visité" xfId="2579" builtinId="9" hidden="1"/>
    <cellStyle name="Lien hypertexte visité" xfId="2595" builtinId="9" hidden="1"/>
    <cellStyle name="Lien hypertexte visité" xfId="2611" builtinId="9" hidden="1"/>
    <cellStyle name="Lien hypertexte visité" xfId="2631" builtinId="9" hidden="1"/>
    <cellStyle name="Lien hypertexte visité" xfId="2647" builtinId="9" hidden="1"/>
    <cellStyle name="Lien hypertexte visité" xfId="2663" builtinId="9" hidden="1"/>
    <cellStyle name="Lien hypertexte visité" xfId="2679" builtinId="9" hidden="1"/>
    <cellStyle name="Lien hypertexte visité" xfId="2699" builtinId="9" hidden="1"/>
    <cellStyle name="Lien hypertexte visité" xfId="2715" builtinId="9" hidden="1"/>
    <cellStyle name="Lien hypertexte visité" xfId="2731" builtinId="9" hidden="1"/>
    <cellStyle name="Lien hypertexte visité" xfId="2747" builtinId="9" hidden="1"/>
    <cellStyle name="Lien hypertexte visité" xfId="2767" builtinId="9" hidden="1"/>
    <cellStyle name="Lien hypertexte visité" xfId="2783" builtinId="9" hidden="1"/>
    <cellStyle name="Lien hypertexte visité" xfId="2799" builtinId="9" hidden="1"/>
    <cellStyle name="Lien hypertexte visité" xfId="2815" builtinId="9" hidden="1"/>
    <cellStyle name="Lien hypertexte visité" xfId="2851" builtinId="9" hidden="1"/>
    <cellStyle name="Lien hypertexte visité" xfId="2867" builtinId="9" hidden="1"/>
    <cellStyle name="Lien hypertexte visité" xfId="2887" builtinId="9" hidden="1"/>
    <cellStyle name="Lien hypertexte visité" xfId="2903" builtinId="9" hidden="1"/>
    <cellStyle name="Lien hypertexte visité" xfId="2919" builtinId="9" hidden="1"/>
    <cellStyle name="Lien hypertexte visité" xfId="2935" builtinId="9" hidden="1"/>
    <cellStyle name="Lien hypertexte visité" xfId="2955" builtinId="9" hidden="1"/>
    <cellStyle name="Lien hypertexte visité" xfId="2971" builtinId="9" hidden="1"/>
    <cellStyle name="Lien hypertexte visité" xfId="2987" builtinId="9" hidden="1"/>
    <cellStyle name="Lien hypertexte visité" xfId="3003" builtinId="9" hidden="1"/>
    <cellStyle name="Lien hypertexte visité" xfId="3023" builtinId="9" hidden="1"/>
    <cellStyle name="Lien hypertexte visité" xfId="3039" builtinId="9" hidden="1"/>
    <cellStyle name="Lien hypertexte visité" xfId="3055" builtinId="9" hidden="1"/>
    <cellStyle name="Lien hypertexte visité" xfId="3071" builtinId="9" hidden="1"/>
    <cellStyle name="Lien hypertexte visité" xfId="3091" builtinId="9" hidden="1"/>
    <cellStyle name="Lien hypertexte visité" xfId="3107" builtinId="9" hidden="1"/>
    <cellStyle name="Lien hypertexte visité" xfId="3123" builtinId="9" hidden="1"/>
    <cellStyle name="Lien hypertexte visité" xfId="3143" builtinId="9" hidden="1"/>
    <cellStyle name="Lien hypertexte visité" xfId="3159" builtinId="9" hidden="1"/>
    <cellStyle name="Lien hypertexte visité" xfId="3175" builtinId="9" hidden="1"/>
    <cellStyle name="Lien hypertexte visité" xfId="3191" builtinId="9" hidden="1"/>
    <cellStyle name="Lien hypertexte visité" xfId="3211" builtinId="9" hidden="1"/>
    <cellStyle name="Lien hypertexte visité" xfId="2835" builtinId="9" hidden="1"/>
    <cellStyle name="Lien hypertexte visité" xfId="2287" builtinId="9" hidden="1"/>
    <cellStyle name="Lien hypertexte visité" xfId="7401" builtinId="9" hidden="1"/>
    <cellStyle name="Lien hypertexte visité" xfId="7745" builtinId="9" hidden="1"/>
    <cellStyle name="Lien hypertexte visité" xfId="7161" builtinId="9" hidden="1"/>
    <cellStyle name="Lien hypertexte visité" xfId="6577" builtinId="9" hidden="1"/>
    <cellStyle name="Lien hypertexte visité" xfId="4693" builtinId="9" hidden="1"/>
    <cellStyle name="Lien hypertexte visité" xfId="4709" builtinId="9" hidden="1"/>
    <cellStyle name="Lien hypertexte visité" xfId="4729" builtinId="9" hidden="1"/>
    <cellStyle name="Lien hypertexte visité" xfId="4749" builtinId="9" hidden="1"/>
    <cellStyle name="Lien hypertexte visité" xfId="4765" builtinId="9" hidden="1"/>
    <cellStyle name="Lien hypertexte visité" xfId="4785" builtinId="9" hidden="1"/>
    <cellStyle name="Lien hypertexte visité" xfId="4801" builtinId="9" hidden="1"/>
    <cellStyle name="Lien hypertexte visité" xfId="4821" builtinId="9" hidden="1"/>
    <cellStyle name="Lien hypertexte visité" xfId="4837" builtinId="9" hidden="1"/>
    <cellStyle name="Lien hypertexte visité" xfId="4857" builtinId="9" hidden="1"/>
    <cellStyle name="Lien hypertexte visité" xfId="4877" builtinId="9" hidden="1"/>
    <cellStyle name="Lien hypertexte visité" xfId="4893" builtinId="9" hidden="1"/>
    <cellStyle name="Lien hypertexte visité" xfId="4913" builtinId="9" hidden="1"/>
    <cellStyle name="Lien hypertexte visité" xfId="4929" builtinId="9" hidden="1"/>
    <cellStyle name="Lien hypertexte visité" xfId="4949" builtinId="9" hidden="1"/>
    <cellStyle name="Lien hypertexte visité" xfId="4965" builtinId="9" hidden="1"/>
    <cellStyle name="Lien hypertexte visité" xfId="4985" builtinId="9" hidden="1"/>
    <cellStyle name="Lien hypertexte visité" xfId="5005" builtinId="9" hidden="1"/>
    <cellStyle name="Lien hypertexte visité" xfId="5021" builtinId="9" hidden="1"/>
    <cellStyle name="Lien hypertexte visité" xfId="5041" builtinId="9" hidden="1"/>
    <cellStyle name="Lien hypertexte visité" xfId="5057" builtinId="9" hidden="1"/>
    <cellStyle name="Lien hypertexte visité" xfId="5077" builtinId="9" hidden="1"/>
    <cellStyle name="Lien hypertexte visité" xfId="5093" builtinId="9" hidden="1"/>
    <cellStyle name="Lien hypertexte visité" xfId="5113" builtinId="9" hidden="1"/>
    <cellStyle name="Lien hypertexte visité" xfId="5133" builtinId="9" hidden="1"/>
    <cellStyle name="Lien hypertexte visité" xfId="5149" builtinId="9" hidden="1"/>
    <cellStyle name="Lien hypertexte visité" xfId="5169" builtinId="9" hidden="1"/>
    <cellStyle name="Lien hypertexte visité" xfId="5185" builtinId="9" hidden="1"/>
    <cellStyle name="Lien hypertexte visité" xfId="5205" builtinId="9" hidden="1"/>
    <cellStyle name="Lien hypertexte visité" xfId="5221" builtinId="9" hidden="1"/>
    <cellStyle name="Lien hypertexte visité" xfId="5241" builtinId="9" hidden="1"/>
    <cellStyle name="Lien hypertexte visité" xfId="5261" builtinId="9" hidden="1"/>
    <cellStyle name="Lien hypertexte visité" xfId="5277" builtinId="9" hidden="1"/>
    <cellStyle name="Lien hypertexte visité" xfId="5297" builtinId="9" hidden="1"/>
    <cellStyle name="Lien hypertexte visité" xfId="5313" builtinId="9" hidden="1"/>
    <cellStyle name="Lien hypertexte visité" xfId="5333" builtinId="9" hidden="1"/>
    <cellStyle name="Lien hypertexte visité" xfId="5349" builtinId="9" hidden="1"/>
    <cellStyle name="Lien hypertexte visité" xfId="5369" builtinId="9" hidden="1"/>
    <cellStyle name="Lien hypertexte visité" xfId="5389" builtinId="9" hidden="1"/>
    <cellStyle name="Lien hypertexte visité" xfId="5425" builtinId="9" hidden="1"/>
    <cellStyle name="Lien hypertexte visité" xfId="5441" builtinId="9" hidden="1"/>
    <cellStyle name="Lien hypertexte visité" xfId="5461" builtinId="9" hidden="1"/>
    <cellStyle name="Lien hypertexte visité" xfId="5477" builtinId="9" hidden="1"/>
    <cellStyle name="Lien hypertexte visité" xfId="5497" builtinId="9" hidden="1"/>
    <cellStyle name="Lien hypertexte visité" xfId="5517" builtinId="9" hidden="1"/>
    <cellStyle name="Lien hypertexte visité" xfId="5533" builtinId="9" hidden="1"/>
    <cellStyle name="Lien hypertexte visité" xfId="5553" builtinId="9" hidden="1"/>
    <cellStyle name="Lien hypertexte visité" xfId="5569" builtinId="9" hidden="1"/>
    <cellStyle name="Lien hypertexte visité" xfId="5589" builtinId="9" hidden="1"/>
    <cellStyle name="Lien hypertexte visité" xfId="5605" builtinId="9" hidden="1"/>
    <cellStyle name="Lien hypertexte visité" xfId="5625" builtinId="9" hidden="1"/>
    <cellStyle name="Lien hypertexte visité" xfId="5645" builtinId="9" hidden="1"/>
    <cellStyle name="Lien hypertexte visité" xfId="5661" builtinId="9" hidden="1"/>
    <cellStyle name="Lien hypertexte visité" xfId="5681" builtinId="9" hidden="1"/>
    <cellStyle name="Lien hypertexte visité" xfId="5697" builtinId="9" hidden="1"/>
    <cellStyle name="Lien hypertexte visité" xfId="5717" builtinId="9" hidden="1"/>
    <cellStyle name="Lien hypertexte visité" xfId="5733" builtinId="9" hidden="1"/>
    <cellStyle name="Lien hypertexte visité" xfId="5753" builtinId="9" hidden="1"/>
    <cellStyle name="Lien hypertexte visité" xfId="5773" builtinId="9" hidden="1"/>
    <cellStyle name="Lien hypertexte visité" xfId="5789" builtinId="9" hidden="1"/>
    <cellStyle name="Lien hypertexte visité" xfId="5809" builtinId="9" hidden="1"/>
    <cellStyle name="Lien hypertexte visité" xfId="5825" builtinId="9" hidden="1"/>
    <cellStyle name="Lien hypertexte visité" xfId="5845" builtinId="9" hidden="1"/>
    <cellStyle name="Lien hypertexte visité" xfId="5861" builtinId="9" hidden="1"/>
    <cellStyle name="Lien hypertexte visité" xfId="5881" builtinId="9" hidden="1"/>
    <cellStyle name="Lien hypertexte visité" xfId="5901" builtinId="9" hidden="1"/>
    <cellStyle name="Lien hypertexte visité" xfId="5917" builtinId="9" hidden="1"/>
    <cellStyle name="Lien hypertexte visité" xfId="5937" builtinId="9" hidden="1"/>
    <cellStyle name="Lien hypertexte visité" xfId="5953" builtinId="9" hidden="1"/>
    <cellStyle name="Lien hypertexte visité" xfId="5973" builtinId="9" hidden="1"/>
    <cellStyle name="Lien hypertexte visité" xfId="5989" builtinId="9" hidden="1"/>
    <cellStyle name="Lien hypertexte visité" xfId="6009" builtinId="9" hidden="1"/>
    <cellStyle name="Lien hypertexte visité" xfId="6029" builtinId="9" hidden="1"/>
    <cellStyle name="Lien hypertexte visité" xfId="6045" builtinId="9" hidden="1"/>
    <cellStyle name="Lien hypertexte visité" xfId="6065" builtinId="9" hidden="1"/>
    <cellStyle name="Lien hypertexte visité" xfId="6081" builtinId="9" hidden="1"/>
    <cellStyle name="Lien hypertexte visité" xfId="6101" builtinId="9" hidden="1"/>
    <cellStyle name="Lien hypertexte visité" xfId="6117" builtinId="9" hidden="1"/>
    <cellStyle name="Lien hypertexte visité" xfId="6137" builtinId="9" hidden="1"/>
    <cellStyle name="Lien hypertexte visité" xfId="6157" builtinId="9" hidden="1"/>
    <cellStyle name="Lien hypertexte visité" xfId="6173" builtinId="9" hidden="1"/>
    <cellStyle name="Lien hypertexte visité" xfId="6193" builtinId="9" hidden="1"/>
    <cellStyle name="Lien hypertexte visité" xfId="6209" builtinId="9" hidden="1"/>
    <cellStyle name="Lien hypertexte visité" xfId="6229" builtinId="9" hidden="1"/>
    <cellStyle name="Lien hypertexte visité" xfId="6245" builtinId="9" hidden="1"/>
    <cellStyle name="Lien hypertexte visité" xfId="6265" builtinId="9" hidden="1"/>
    <cellStyle name="Lien hypertexte visité" xfId="6285" builtinId="9" hidden="1"/>
    <cellStyle name="Lien hypertexte visité" xfId="6301" builtinId="9" hidden="1"/>
    <cellStyle name="Lien hypertexte visité" xfId="6321" builtinId="9" hidden="1"/>
    <cellStyle name="Lien hypertexte visité" xfId="6337" builtinId="9" hidden="1"/>
    <cellStyle name="Lien hypertexte visité" xfId="6357" builtinId="9" hidden="1"/>
    <cellStyle name="Lien hypertexte visité" xfId="5405" builtinId="9" hidden="1"/>
    <cellStyle name="Lien hypertexte visité" xfId="8410" builtinId="9" hidden="1"/>
    <cellStyle name="Lien hypertexte visité" xfId="8346" builtinId="9" hidden="1"/>
    <cellStyle name="Lien hypertexte visité" xfId="8282" builtinId="9" hidden="1"/>
    <cellStyle name="Lien hypertexte visité" xfId="8218" builtinId="9" hidden="1"/>
    <cellStyle name="Lien hypertexte visité" xfId="3941" builtinId="9" hidden="1"/>
    <cellStyle name="Lien hypertexte visité" xfId="3961" builtinId="9" hidden="1"/>
    <cellStyle name="Lien hypertexte visité" xfId="3981" builtinId="9" hidden="1"/>
    <cellStyle name="Lien hypertexte visité" xfId="3997" builtinId="9" hidden="1"/>
    <cellStyle name="Lien hypertexte visité" xfId="4017" builtinId="9" hidden="1"/>
    <cellStyle name="Lien hypertexte visité" xfId="4033" builtinId="9" hidden="1"/>
    <cellStyle name="Lien hypertexte visité" xfId="4053" builtinId="9" hidden="1"/>
    <cellStyle name="Lien hypertexte visité" xfId="4069" builtinId="9" hidden="1"/>
    <cellStyle name="Lien hypertexte visité" xfId="4089" builtinId="9" hidden="1"/>
    <cellStyle name="Lien hypertexte visité" xfId="4109" builtinId="9" hidden="1"/>
    <cellStyle name="Lien hypertexte visité" xfId="4125" builtinId="9" hidden="1"/>
    <cellStyle name="Lien hypertexte visité" xfId="4145" builtinId="9" hidden="1"/>
    <cellStyle name="Lien hypertexte visité" xfId="4161" builtinId="9" hidden="1"/>
    <cellStyle name="Lien hypertexte visité" xfId="4181" builtinId="9" hidden="1"/>
    <cellStyle name="Lien hypertexte visité" xfId="4197" builtinId="9" hidden="1"/>
    <cellStyle name="Lien hypertexte visité" xfId="4217" builtinId="9" hidden="1"/>
    <cellStyle name="Lien hypertexte visité" xfId="4237" builtinId="9" hidden="1"/>
    <cellStyle name="Lien hypertexte visité" xfId="4253" builtinId="9" hidden="1"/>
    <cellStyle name="Lien hypertexte visité" xfId="4273" builtinId="9" hidden="1"/>
    <cellStyle name="Lien hypertexte visité" xfId="4289" builtinId="9" hidden="1"/>
    <cellStyle name="Lien hypertexte visité" xfId="4309" builtinId="9" hidden="1"/>
    <cellStyle name="Lien hypertexte visité" xfId="4325" builtinId="9" hidden="1"/>
    <cellStyle name="Lien hypertexte visité" xfId="4345" builtinId="9" hidden="1"/>
    <cellStyle name="Lien hypertexte visité" xfId="4365" builtinId="9" hidden="1"/>
    <cellStyle name="Lien hypertexte visité" xfId="4381" builtinId="9" hidden="1"/>
    <cellStyle name="Lien hypertexte visité" xfId="4401" builtinId="9" hidden="1"/>
    <cellStyle name="Lien hypertexte visité" xfId="4417" builtinId="9" hidden="1"/>
    <cellStyle name="Lien hypertexte visité" xfId="4437" builtinId="9" hidden="1"/>
    <cellStyle name="Lien hypertexte visité" xfId="4453" builtinId="9" hidden="1"/>
    <cellStyle name="Lien hypertexte visité" xfId="4473" builtinId="9" hidden="1"/>
    <cellStyle name="Lien hypertexte visité" xfId="4493" builtinId="9" hidden="1"/>
    <cellStyle name="Lien hypertexte visité" xfId="4509" builtinId="9" hidden="1"/>
    <cellStyle name="Lien hypertexte visité" xfId="4529" builtinId="9" hidden="1"/>
    <cellStyle name="Lien hypertexte visité" xfId="4545" builtinId="9" hidden="1"/>
    <cellStyle name="Lien hypertexte visité" xfId="4565" builtinId="9" hidden="1"/>
    <cellStyle name="Lien hypertexte visité" xfId="4581" builtinId="9" hidden="1"/>
    <cellStyle name="Lien hypertexte visité" xfId="4601" builtinId="9" hidden="1"/>
    <cellStyle name="Lien hypertexte visité" xfId="4621" builtinId="9" hidden="1"/>
    <cellStyle name="Lien hypertexte visité" xfId="4637" builtinId="9" hidden="1"/>
    <cellStyle name="Lien hypertexte visité" xfId="4657" builtinId="9" hidden="1"/>
    <cellStyle name="Lien hypertexte visité" xfId="4673" builtinId="9" hidden="1"/>
    <cellStyle name="Lien hypertexte visité" xfId="9818" builtinId="9" hidden="1"/>
    <cellStyle name="Lien hypertexte visité" xfId="9754" builtinId="9" hidden="1"/>
    <cellStyle name="Lien hypertexte visité" xfId="9690" builtinId="9" hidden="1"/>
    <cellStyle name="Lien hypertexte visité" xfId="9626" builtinId="9" hidden="1"/>
    <cellStyle name="Lien hypertexte visité" xfId="9562" builtinId="9" hidden="1"/>
    <cellStyle name="Lien hypertexte visité" xfId="9498" builtinId="9" hidden="1"/>
    <cellStyle name="Lien hypertexte visité" xfId="9434" builtinId="9" hidden="1"/>
    <cellStyle name="Lien hypertexte visité" xfId="9370" builtinId="9" hidden="1"/>
    <cellStyle name="Lien hypertexte visité" xfId="9306" builtinId="9" hidden="1"/>
    <cellStyle name="Lien hypertexte visité" xfId="9242" builtinId="9" hidden="1"/>
    <cellStyle name="Lien hypertexte visité" xfId="9178" builtinId="9" hidden="1"/>
    <cellStyle name="Lien hypertexte visité" xfId="9114" builtinId="9" hidden="1"/>
    <cellStyle name="Lien hypertexte visité" xfId="9050" builtinId="9" hidden="1"/>
    <cellStyle name="Lien hypertexte visité" xfId="8986" builtinId="9" hidden="1"/>
    <cellStyle name="Lien hypertexte visité" xfId="8922" builtinId="9" hidden="1"/>
    <cellStyle name="Lien hypertexte visité" xfId="8858" builtinId="9" hidden="1"/>
    <cellStyle name="Lien hypertexte visité" xfId="8794" builtinId="9" hidden="1"/>
    <cellStyle name="Lien hypertexte visité" xfId="8730" builtinId="9" hidden="1"/>
    <cellStyle name="Lien hypertexte visité" xfId="8666" builtinId="9" hidden="1"/>
    <cellStyle name="Lien hypertexte visité" xfId="8602" builtinId="9" hidden="1"/>
    <cellStyle name="Lien hypertexte visité" xfId="8538" builtinId="9" hidden="1"/>
    <cellStyle name="Lien hypertexte visité" xfId="8474" builtinId="9" hidden="1"/>
    <cellStyle name="Lien hypertexte visité" xfId="10522" builtinId="9" hidden="1"/>
    <cellStyle name="Lien hypertexte visité" xfId="10458" builtinId="9" hidden="1"/>
    <cellStyle name="Lien hypertexte visité" xfId="10394" builtinId="9" hidden="1"/>
    <cellStyle name="Lien hypertexte visité" xfId="10330" builtinId="9" hidden="1"/>
    <cellStyle name="Lien hypertexte visité" xfId="10266" builtinId="9" hidden="1"/>
    <cellStyle name="Lien hypertexte visité" xfId="10202" builtinId="9" hidden="1"/>
    <cellStyle name="Lien hypertexte visité" xfId="10138" builtinId="9" hidden="1"/>
    <cellStyle name="Lien hypertexte visité" xfId="10074" builtinId="9" hidden="1"/>
    <cellStyle name="Lien hypertexte visité" xfId="10010" builtinId="9" hidden="1"/>
    <cellStyle name="Lien hypertexte visité" xfId="9946" builtinId="9" hidden="1"/>
    <cellStyle name="Lien hypertexte visité" xfId="9882" builtinId="9" hidden="1"/>
    <cellStyle name="Lien hypertexte visité" xfId="10906" builtinId="9" hidden="1"/>
    <cellStyle name="Lien hypertexte visité" xfId="10842" builtinId="9" hidden="1"/>
    <cellStyle name="Lien hypertexte visité" xfId="10778" builtinId="9" hidden="1"/>
    <cellStyle name="Lien hypertexte visité" xfId="10714" builtinId="9" hidden="1"/>
    <cellStyle name="Lien hypertexte visité" xfId="10650" builtinId="9" hidden="1"/>
    <cellStyle name="Lien hypertexte visité" xfId="10586" builtinId="9" hidden="1"/>
    <cellStyle name="Lien hypertexte visité" xfId="11098" builtinId="9" hidden="1"/>
    <cellStyle name="Lien hypertexte visité" xfId="11034" builtinId="9" hidden="1"/>
    <cellStyle name="Lien hypertexte visité" xfId="10970" builtinId="9" hidden="1"/>
    <cellStyle name="Lien hypertexte visité" xfId="11162" builtinId="9" hidden="1"/>
    <cellStyle name="Lien hypertexte visité" xfId="11226" builtinId="9" hidden="1"/>
    <cellStyle name="M0_page" xfId="3663" xr:uid="{00000000-0005-0000-0000-00000A600000}"/>
    <cellStyle name="M0_sommaire" xfId="3656" xr:uid="{00000000-0005-0000-0000-00000B600000}"/>
    <cellStyle name="M1_%bleu" xfId="1154" xr:uid="{00000000-0005-0000-0000-00000C600000}"/>
    <cellStyle name="M1_config" xfId="49" xr:uid="{00000000-0005-0000-0000-00000D600000}"/>
    <cellStyle name="M1-2_Acc" xfId="3674" xr:uid="{00000000-0005-0000-0000-00000E600000}"/>
    <cellStyle name="M1-3_spb" xfId="3884" xr:uid="{00000000-0005-0000-0000-00000F600000}"/>
    <cellStyle name="M2" xfId="1153" xr:uid="{00000000-0005-0000-0000-000010600000}"/>
    <cellStyle name="M3_des_bleu" xfId="3675" xr:uid="{00000000-0005-0000-0000-000011600000}"/>
    <cellStyle name="M3-1_des_gar" xfId="3885" xr:uid="{00000000-0005-0000-0000-000012600000}"/>
    <cellStyle name="Milliers" xfId="5" builtinId="3" hidden="1"/>
    <cellStyle name="Milliers" xfId="24614" xr:uid="{FD0C328D-1371-DE48-9F3B-D02255428BD1}"/>
    <cellStyle name="Milliers [0]" xfId="6" builtinId="6" hidden="1"/>
    <cellStyle name="Monétaire" xfId="1" builtinId="4" hidden="1"/>
    <cellStyle name="Monétaire [0]" xfId="7" builtinId="7" hidden="1"/>
    <cellStyle name="Neutre" xfId="15" builtinId="28" hidden="1"/>
    <cellStyle name="Normal" xfId="0" builtinId="0" customBuiltin="1"/>
    <cellStyle name="Normal 2" xfId="24615" xr:uid="{0DA66574-FE7B-4A4B-8635-4D3BA5363160}"/>
    <cellStyle name="Normal 29" xfId="7808" xr:uid="{00000000-0005-0000-0000-000019600000}"/>
    <cellStyle name="Note" xfId="22" builtinId="10" hidden="1"/>
    <cellStyle name="Pourcentage" xfId="2" builtinId="5" hidden="1"/>
    <cellStyle name="Pourcentage" xfId="24613" xr:uid="{5A9F19B8-BFE0-A346-B007-A483E75C5D31}"/>
    <cellStyle name="Satisfaisant" xfId="13" builtinId="26" hidden="1"/>
    <cellStyle name="Sortie" xfId="17" builtinId="21" hidden="1"/>
    <cellStyle name="Texte explicatif" xfId="23" builtinId="53" hidden="1"/>
    <cellStyle name="Titre" xfId="8" builtinId="15" hidden="1"/>
    <cellStyle name="Titre 1" xfId="9" builtinId="16" hidden="1"/>
    <cellStyle name="Titre 2" xfId="10" builtinId="17" hidden="1"/>
    <cellStyle name="Titre 3" xfId="11" builtinId="18" hidden="1"/>
    <cellStyle name="Titre 4" xfId="12" builtinId="19" hidden="1"/>
    <cellStyle name="Total" xfId="24" builtinId="25" hidden="1"/>
    <cellStyle name="Vérification" xfId="20" builtinId="23" hidden="1"/>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4C4948"/>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3C3C7"/>
      <rgbColor rgb="00249F62"/>
      <rgbColor rgb="00E47823"/>
      <rgbColor rgb="007D7F80"/>
      <rgbColor rgb="00FFFFFE"/>
      <rgbColor rgb="00795691"/>
      <rgbColor rgb="00AD1221"/>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2CAB42"/>
      <color rgb="FFC1FFB5"/>
      <color rgb="FF4F81BD"/>
      <color rgb="FF0432FF"/>
      <color rgb="FFEAFFA2"/>
      <color rgb="FFD7B3FF"/>
      <color rgb="FFE4E4E4"/>
      <color rgb="FFDDDDDD"/>
      <color rgb="FFFFD7A8"/>
      <color rgb="FFF2F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103413</xdr:colOff>
      <xdr:row>2</xdr:row>
      <xdr:rowOff>19958</xdr:rowOff>
    </xdr:from>
    <xdr:to>
      <xdr:col>2</xdr:col>
      <xdr:colOff>4653</xdr:colOff>
      <xdr:row>3</xdr:row>
      <xdr:rowOff>28575</xdr:rowOff>
    </xdr:to>
    <xdr:pic>
      <xdr:nvPicPr>
        <xdr:cNvPr id="3" name="Image 1" descr="C:\Users\nma\AppData\Local\Microsoft\Windows\INetCache\Content.Outlook\K4E67URS\matinfo-logo.png">
          <a:extLst>
            <a:ext uri="{FF2B5EF4-FFF2-40B4-BE49-F238E27FC236}">
              <a16:creationId xmlns:a16="http://schemas.microsoft.com/office/drawing/2014/main" id="{53AC9B60-54D2-BB41-A2FB-C7E77D685C18}"/>
            </a:ext>
          </a:extLst>
        </xdr:cNvPr>
        <xdr:cNvPicPr>
          <a:picLocks noChangeAspect="1" noChangeArrowheads="1"/>
        </xdr:cNvPicPr>
      </xdr:nvPicPr>
      <xdr:blipFill>
        <a:blip xmlns:r="http://schemas.openxmlformats.org/officeDocument/2006/relationships" r:embed="rId1"/>
        <a:stretch/>
      </xdr:blipFill>
      <xdr:spPr bwMode="auto">
        <a:xfrm>
          <a:off x="756556" y="382815"/>
          <a:ext cx="3078508" cy="679903"/>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15</xdr:col>
      <xdr:colOff>0</xdr:colOff>
      <xdr:row>4</xdr:row>
      <xdr:rowOff>0</xdr:rowOff>
    </xdr:from>
    <xdr:ext cx="304800" cy="180407"/>
    <xdr:sp macro="" textlink="">
      <xdr:nvSpPr>
        <xdr:cNvPr id="2" name="AutoShape 1" descr="’image contient peut-être : texte">
          <a:extLst>
            <a:ext uri="{FF2B5EF4-FFF2-40B4-BE49-F238E27FC236}">
              <a16:creationId xmlns:a16="http://schemas.microsoft.com/office/drawing/2014/main" id="{86B9BF3E-0344-C04F-AECE-AC9B331C44E6}"/>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15</xdr:col>
      <xdr:colOff>0</xdr:colOff>
      <xdr:row>4</xdr:row>
      <xdr:rowOff>0</xdr:rowOff>
    </xdr:from>
    <xdr:ext cx="304800" cy="180407"/>
    <xdr:sp macro="" textlink="">
      <xdr:nvSpPr>
        <xdr:cNvPr id="3" name="AutoShape 1" descr="’image contient peut-être : texte">
          <a:extLst>
            <a:ext uri="{FF2B5EF4-FFF2-40B4-BE49-F238E27FC236}">
              <a16:creationId xmlns:a16="http://schemas.microsoft.com/office/drawing/2014/main" id="{2C820862-A70A-AE48-AB81-241677976A25}"/>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15</xdr:col>
      <xdr:colOff>0</xdr:colOff>
      <xdr:row>1</xdr:row>
      <xdr:rowOff>0</xdr:rowOff>
    </xdr:from>
    <xdr:ext cx="304800" cy="180407"/>
    <xdr:sp macro="" textlink="">
      <xdr:nvSpPr>
        <xdr:cNvPr id="4" name="AutoShape 1" descr="’image contient peut-être : texte">
          <a:extLst>
            <a:ext uri="{FF2B5EF4-FFF2-40B4-BE49-F238E27FC236}">
              <a16:creationId xmlns:a16="http://schemas.microsoft.com/office/drawing/2014/main" id="{1AF13AA4-D0E4-424C-8A06-73C7FEB00FE6}"/>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15</xdr:col>
      <xdr:colOff>0</xdr:colOff>
      <xdr:row>8</xdr:row>
      <xdr:rowOff>0</xdr:rowOff>
    </xdr:from>
    <xdr:ext cx="304800" cy="180407"/>
    <xdr:sp macro="" textlink="">
      <xdr:nvSpPr>
        <xdr:cNvPr id="5" name="AutoShape 1" descr="’image contient peut-être : texte">
          <a:extLst>
            <a:ext uri="{FF2B5EF4-FFF2-40B4-BE49-F238E27FC236}">
              <a16:creationId xmlns:a16="http://schemas.microsoft.com/office/drawing/2014/main" id="{2B80CB6D-1FC3-4B41-8BDF-6DAB60858645}"/>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15</xdr:col>
      <xdr:colOff>0</xdr:colOff>
      <xdr:row>4</xdr:row>
      <xdr:rowOff>0</xdr:rowOff>
    </xdr:from>
    <xdr:ext cx="304800" cy="180407"/>
    <xdr:sp macro="" textlink="">
      <xdr:nvSpPr>
        <xdr:cNvPr id="6" name="AutoShape 1" descr="’image contient peut-être : texte">
          <a:extLst>
            <a:ext uri="{FF2B5EF4-FFF2-40B4-BE49-F238E27FC236}">
              <a16:creationId xmlns:a16="http://schemas.microsoft.com/office/drawing/2014/main" id="{0B129699-674A-C04C-B5F7-2105ACA41C03}"/>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15</xdr:col>
      <xdr:colOff>0</xdr:colOff>
      <xdr:row>4</xdr:row>
      <xdr:rowOff>0</xdr:rowOff>
    </xdr:from>
    <xdr:ext cx="304800" cy="180407"/>
    <xdr:sp macro="" textlink="">
      <xdr:nvSpPr>
        <xdr:cNvPr id="7" name="AutoShape 1" descr="’image contient peut-être : texte">
          <a:extLst>
            <a:ext uri="{FF2B5EF4-FFF2-40B4-BE49-F238E27FC236}">
              <a16:creationId xmlns:a16="http://schemas.microsoft.com/office/drawing/2014/main" id="{029FD68D-5C80-2944-BDB6-AC35901B6BE0}"/>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2_lot3_Matinfo3_EP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0_lot3_Matinfo3_EP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n°22 Matinfo3"/>
      <sheetName val="Tarif normalisé n°22"/>
      <sheetName val="Récapitulatif remises"/>
    </sheetNames>
    <sheetDataSet>
      <sheetData sheetId="0">
        <row r="97">
          <cell r="C97" t="str">
            <v>MQD32FN/A</v>
          </cell>
        </row>
      </sheetData>
      <sheetData sheetId="1"/>
      <sheetData sheetId="2">
        <row r="6">
          <cell r="A6">
            <v>0.13500000000000001</v>
          </cell>
        </row>
        <row r="12">
          <cell r="A12">
            <v>8.2000000000000003E-2</v>
          </cell>
        </row>
        <row r="19">
          <cell r="A19">
            <v>0.2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n°20 Matinfo3"/>
      <sheetName val="Tarif normalisé n°20"/>
      <sheetName val="Récapitulatif remises"/>
    </sheetNames>
    <sheetDataSet>
      <sheetData sheetId="0" refreshError="1"/>
      <sheetData sheetId="1" refreshError="1"/>
      <sheetData sheetId="2">
        <row r="6">
          <cell r="C6">
            <v>0.20499999999999999</v>
          </cell>
        </row>
      </sheetData>
    </sheetDataSet>
  </externalBook>
</externalLink>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C443F-8039-9B41-9472-DE048AA240DC}">
  <sheetPr>
    <tabColor rgb="FF92D050"/>
  </sheetPr>
  <dimension ref="A3:G58"/>
  <sheetViews>
    <sheetView topLeftCell="A3" zoomScale="80" zoomScaleNormal="80" workbookViewId="0">
      <selection activeCell="A2" sqref="A2"/>
    </sheetView>
  </sheetViews>
  <sheetFormatPr baseColWidth="10" defaultColWidth="11.42578125" defaultRowHeight="12.75"/>
  <cols>
    <col min="1" max="1" width="7.28515625" customWidth="1"/>
    <col min="2" max="2" width="35.85546875" customWidth="1"/>
    <col min="3" max="3" width="17" customWidth="1"/>
    <col min="4" max="4" width="78.85546875" customWidth="1"/>
  </cols>
  <sheetData>
    <row r="3" spans="1:7" ht="53.1" customHeight="1">
      <c r="B3" s="1133"/>
      <c r="C3" s="1133"/>
    </row>
    <row r="4" spans="1:7" ht="36" customHeight="1">
      <c r="B4" s="1135" t="s">
        <v>0</v>
      </c>
      <c r="C4" s="1135"/>
      <c r="D4" s="1135"/>
    </row>
    <row r="5" spans="1:7" ht="38.1" customHeight="1">
      <c r="B5" s="1134"/>
      <c r="C5" s="1134"/>
      <c r="D5" s="1134"/>
    </row>
    <row r="6" spans="1:7" ht="13.5" thickBot="1">
      <c r="B6" s="160"/>
      <c r="C6" s="146"/>
      <c r="D6" s="146"/>
    </row>
    <row r="7" spans="1:7" ht="56.1" customHeight="1" thickTop="1" thickBot="1">
      <c r="B7" s="640" t="s">
        <v>1</v>
      </c>
      <c r="C7" s="641" t="s">
        <v>2</v>
      </c>
      <c r="D7" s="642" t="s">
        <v>3</v>
      </c>
      <c r="E7" s="130"/>
      <c r="F7" s="130"/>
      <c r="G7" s="130"/>
    </row>
    <row r="8" spans="1:7" ht="35.1" customHeight="1" thickTop="1">
      <c r="B8" s="1148" t="s">
        <v>4</v>
      </c>
      <c r="C8" s="1151" t="s">
        <v>5</v>
      </c>
      <c r="D8" s="903" t="s">
        <v>3616</v>
      </c>
      <c r="E8" s="130"/>
      <c r="F8" s="130"/>
      <c r="G8" s="130"/>
    </row>
    <row r="9" spans="1:7" ht="32.1" customHeight="1">
      <c r="B9" s="1149"/>
      <c r="C9" s="1152"/>
      <c r="D9" s="904" t="s">
        <v>3615</v>
      </c>
      <c r="E9" s="130"/>
      <c r="F9" s="130"/>
      <c r="G9" s="130"/>
    </row>
    <row r="10" spans="1:7" ht="48" customHeight="1">
      <c r="B10" s="1149"/>
      <c r="C10" s="1152"/>
      <c r="D10" s="635" t="s">
        <v>3617</v>
      </c>
      <c r="E10" s="130"/>
      <c r="F10" s="130"/>
      <c r="G10" s="130"/>
    </row>
    <row r="11" spans="1:7" ht="42">
      <c r="B11" s="1149"/>
      <c r="C11" s="1152"/>
      <c r="D11" s="904" t="s">
        <v>3666</v>
      </c>
      <c r="E11" s="130"/>
      <c r="F11" s="130"/>
      <c r="G11" s="130"/>
    </row>
    <row r="12" spans="1:7" ht="31.5">
      <c r="B12" s="1149"/>
      <c r="C12" s="1152"/>
      <c r="D12" s="905" t="s">
        <v>3618</v>
      </c>
      <c r="E12" s="130"/>
      <c r="F12" s="130"/>
      <c r="G12" s="130"/>
    </row>
    <row r="13" spans="1:7" ht="42">
      <c r="B13" s="1149"/>
      <c r="C13" s="1152"/>
      <c r="D13" s="905" t="s">
        <v>3621</v>
      </c>
      <c r="E13" s="130"/>
      <c r="F13" s="130"/>
      <c r="G13" s="130"/>
    </row>
    <row r="14" spans="1:7" ht="27.95" customHeight="1">
      <c r="B14" s="1149"/>
      <c r="C14" s="1152"/>
      <c r="D14" s="906" t="s">
        <v>3619</v>
      </c>
      <c r="E14" s="644"/>
    </row>
    <row r="15" spans="1:7" ht="51.95" customHeight="1" thickBot="1">
      <c r="A15" s="645"/>
      <c r="B15" s="1150"/>
      <c r="C15" s="1153"/>
      <c r="D15" s="639" t="s">
        <v>3614</v>
      </c>
      <c r="E15" s="644"/>
    </row>
    <row r="16" spans="1:7" ht="156" customHeight="1" thickTop="1">
      <c r="B16" s="1142" t="s">
        <v>6</v>
      </c>
      <c r="C16" s="1145" t="s">
        <v>7</v>
      </c>
      <c r="D16" s="643" t="s">
        <v>8</v>
      </c>
      <c r="E16" s="130"/>
      <c r="F16" s="130"/>
      <c r="G16" s="130"/>
    </row>
    <row r="17" spans="2:7" ht="56.1" customHeight="1">
      <c r="B17" s="1143"/>
      <c r="C17" s="1146"/>
      <c r="D17" s="630" t="s">
        <v>9</v>
      </c>
      <c r="E17" s="130"/>
      <c r="F17" s="130"/>
      <c r="G17" s="130"/>
    </row>
    <row r="18" spans="2:7" ht="56.1" customHeight="1" thickBot="1">
      <c r="B18" s="1144"/>
      <c r="C18" s="1147"/>
      <c r="D18" s="639" t="s">
        <v>10</v>
      </c>
      <c r="E18" s="130"/>
      <c r="F18" s="130"/>
      <c r="G18" s="130"/>
    </row>
    <row r="19" spans="2:7" ht="56.1" customHeight="1" thickTop="1">
      <c r="B19" s="1142" t="s">
        <v>11</v>
      </c>
      <c r="C19" s="1145" t="s">
        <v>12</v>
      </c>
      <c r="D19" s="638" t="s">
        <v>13</v>
      </c>
      <c r="E19" s="130"/>
      <c r="F19" s="130"/>
      <c r="G19" s="130"/>
    </row>
    <row r="20" spans="2:7" ht="56.1" customHeight="1">
      <c r="B20" s="1143"/>
      <c r="C20" s="1146"/>
      <c r="D20" s="635" t="s">
        <v>14</v>
      </c>
      <c r="E20" s="130"/>
      <c r="F20" s="130"/>
      <c r="G20" s="130"/>
    </row>
    <row r="21" spans="2:7" ht="56.1" customHeight="1">
      <c r="B21" s="1143"/>
      <c r="C21" s="1146"/>
      <c r="D21" s="630" t="s">
        <v>15</v>
      </c>
      <c r="E21" s="130"/>
      <c r="F21" s="130"/>
      <c r="G21" s="130"/>
    </row>
    <row r="22" spans="2:7" ht="56.1" customHeight="1" thickBot="1">
      <c r="B22" s="1144"/>
      <c r="C22" s="1147"/>
      <c r="D22" s="639" t="s">
        <v>16</v>
      </c>
      <c r="E22" s="130"/>
      <c r="F22" s="130"/>
      <c r="G22" s="130"/>
    </row>
    <row r="23" spans="2:7" ht="50.1" customHeight="1" thickTop="1">
      <c r="B23" s="1142" t="s">
        <v>17</v>
      </c>
      <c r="C23" s="1145" t="s">
        <v>18</v>
      </c>
      <c r="D23" s="638" t="s">
        <v>19</v>
      </c>
      <c r="E23" s="130"/>
      <c r="F23" s="130"/>
      <c r="G23" s="130"/>
    </row>
    <row r="24" spans="2:7" ht="33" customHeight="1">
      <c r="B24" s="1143"/>
      <c r="C24" s="1146"/>
      <c r="D24" s="631" t="s">
        <v>20</v>
      </c>
      <c r="E24" s="130"/>
      <c r="F24" s="130"/>
      <c r="G24" s="130"/>
    </row>
    <row r="25" spans="2:7" ht="42" customHeight="1">
      <c r="B25" s="1143"/>
      <c r="C25" s="1146"/>
      <c r="D25" s="630" t="s">
        <v>21</v>
      </c>
      <c r="E25" s="130"/>
      <c r="F25" s="130"/>
      <c r="G25" s="130"/>
    </row>
    <row r="26" spans="2:7" ht="44.1" customHeight="1">
      <c r="B26" s="1143"/>
      <c r="C26" s="1146"/>
      <c r="D26" s="630" t="s">
        <v>22</v>
      </c>
      <c r="E26" s="130"/>
      <c r="F26" s="130"/>
      <c r="G26" s="130"/>
    </row>
    <row r="27" spans="2:7" ht="42" customHeight="1">
      <c r="B27" s="1143"/>
      <c r="C27" s="1146"/>
      <c r="D27" s="630" t="s">
        <v>23</v>
      </c>
      <c r="E27" s="130"/>
      <c r="F27" s="130"/>
      <c r="G27" s="130"/>
    </row>
    <row r="28" spans="2:7" ht="42" customHeight="1">
      <c r="B28" s="1143"/>
      <c r="C28" s="1146"/>
      <c r="D28" s="629" t="s">
        <v>24</v>
      </c>
      <c r="E28" s="130"/>
      <c r="F28" s="130"/>
      <c r="G28" s="130"/>
    </row>
    <row r="29" spans="2:7" ht="42" customHeight="1">
      <c r="B29" s="1143"/>
      <c r="C29" s="1146"/>
      <c r="D29" s="633" t="s">
        <v>25</v>
      </c>
      <c r="E29" s="130"/>
      <c r="F29" s="130"/>
      <c r="G29" s="130"/>
    </row>
    <row r="30" spans="2:7" ht="45.95" customHeight="1" thickBot="1">
      <c r="B30" s="1144"/>
      <c r="C30" s="1147"/>
      <c r="D30" s="636" t="s">
        <v>26</v>
      </c>
      <c r="E30" s="130"/>
      <c r="F30" s="130"/>
      <c r="G30" s="130"/>
    </row>
    <row r="31" spans="2:7" ht="36" customHeight="1" thickTop="1">
      <c r="B31" s="1142" t="s">
        <v>27</v>
      </c>
      <c r="C31" s="1139" t="s">
        <v>28</v>
      </c>
      <c r="D31" s="637" t="s">
        <v>29</v>
      </c>
      <c r="E31" s="130"/>
      <c r="F31" s="130"/>
      <c r="G31" s="130"/>
    </row>
    <row r="32" spans="2:7" ht="39.950000000000003" customHeight="1">
      <c r="B32" s="1137"/>
      <c r="C32" s="1140"/>
      <c r="D32" s="633" t="s">
        <v>30</v>
      </c>
      <c r="E32" s="130"/>
      <c r="F32" s="130"/>
      <c r="G32" s="130"/>
    </row>
    <row r="33" spans="2:7" ht="35.1" customHeight="1">
      <c r="B33" s="1137"/>
      <c r="C33" s="1140"/>
      <c r="D33" s="633" t="s">
        <v>31</v>
      </c>
      <c r="E33" s="130"/>
      <c r="F33" s="130"/>
      <c r="G33" s="130"/>
    </row>
    <row r="34" spans="2:7" ht="41.1" customHeight="1" thickBot="1">
      <c r="B34" s="1156"/>
      <c r="C34" s="1141"/>
      <c r="D34" s="636" t="s">
        <v>10</v>
      </c>
      <c r="E34" s="130"/>
      <c r="F34" s="130"/>
      <c r="G34" s="130"/>
    </row>
    <row r="35" spans="2:7" ht="41.1" customHeight="1" thickTop="1">
      <c r="B35" s="1136" t="s">
        <v>32</v>
      </c>
      <c r="C35" s="1139" t="s">
        <v>33</v>
      </c>
      <c r="D35" s="637" t="s">
        <v>34</v>
      </c>
    </row>
    <row r="36" spans="2:7" ht="27.95" customHeight="1">
      <c r="B36" s="1137"/>
      <c r="C36" s="1140"/>
      <c r="D36" s="633" t="s">
        <v>35</v>
      </c>
    </row>
    <row r="37" spans="2:7" ht="32.1" customHeight="1" thickBot="1">
      <c r="B37" s="1138"/>
      <c r="C37" s="1141"/>
      <c r="D37" s="636" t="s">
        <v>36</v>
      </c>
    </row>
    <row r="38" spans="2:7" ht="42.95" customHeight="1" thickTop="1">
      <c r="B38" s="1142" t="s">
        <v>37</v>
      </c>
      <c r="C38" s="1139" t="s">
        <v>38</v>
      </c>
      <c r="D38" s="637" t="s">
        <v>39</v>
      </c>
    </row>
    <row r="39" spans="2:7" ht="42" customHeight="1">
      <c r="B39" s="1137"/>
      <c r="C39" s="1140"/>
      <c r="D39" s="633" t="s">
        <v>40</v>
      </c>
    </row>
    <row r="40" spans="2:7" ht="42">
      <c r="B40" s="1137"/>
      <c r="C40" s="1140"/>
      <c r="D40" s="633" t="s">
        <v>41</v>
      </c>
    </row>
    <row r="41" spans="2:7" ht="42">
      <c r="B41" s="1137"/>
      <c r="C41" s="1140"/>
      <c r="D41" s="633" t="s">
        <v>42</v>
      </c>
    </row>
    <row r="42" spans="2:7" ht="42">
      <c r="B42" s="1137"/>
      <c r="C42" s="1140"/>
      <c r="D42" s="633" t="s">
        <v>43</v>
      </c>
    </row>
    <row r="43" spans="2:7" ht="21">
      <c r="B43" s="1137"/>
      <c r="C43" s="1140"/>
      <c r="D43" s="633" t="s">
        <v>44</v>
      </c>
    </row>
    <row r="44" spans="2:7" ht="21.75" thickBot="1">
      <c r="B44" s="1156"/>
      <c r="C44" s="1157"/>
      <c r="D44" s="636" t="s">
        <v>45</v>
      </c>
    </row>
    <row r="45" spans="2:7" ht="21.75" thickTop="1">
      <c r="B45" s="1142" t="s">
        <v>46</v>
      </c>
      <c r="C45" s="1145" t="s">
        <v>47</v>
      </c>
      <c r="D45" s="637" t="s">
        <v>48</v>
      </c>
    </row>
    <row r="46" spans="2:7" ht="42">
      <c r="B46" s="1143"/>
      <c r="C46" s="1146"/>
      <c r="D46" s="633" t="s">
        <v>49</v>
      </c>
    </row>
    <row r="47" spans="2:7" ht="21">
      <c r="B47" s="1143"/>
      <c r="C47" s="1146"/>
      <c r="D47" s="633" t="s">
        <v>50</v>
      </c>
    </row>
    <row r="48" spans="2:7" ht="42">
      <c r="B48" s="1143"/>
      <c r="C48" s="1146"/>
      <c r="D48" s="633" t="s">
        <v>51</v>
      </c>
    </row>
    <row r="49" spans="2:4" ht="21">
      <c r="B49" s="1143"/>
      <c r="C49" s="1146"/>
      <c r="D49" s="633" t="s">
        <v>52</v>
      </c>
    </row>
    <row r="50" spans="2:4" ht="21">
      <c r="B50" s="1143"/>
      <c r="C50" s="1146"/>
      <c r="D50" s="633" t="s">
        <v>53</v>
      </c>
    </row>
    <row r="51" spans="2:4" ht="42">
      <c r="B51" s="1143"/>
      <c r="C51" s="1146"/>
      <c r="D51" s="633" t="s">
        <v>54</v>
      </c>
    </row>
    <row r="52" spans="2:4" ht="21">
      <c r="B52" s="1143"/>
      <c r="C52" s="1146"/>
      <c r="D52" s="633" t="s">
        <v>55</v>
      </c>
    </row>
    <row r="53" spans="2:4" ht="42">
      <c r="B53" s="1143"/>
      <c r="C53" s="1146"/>
      <c r="D53" s="633" t="s">
        <v>56</v>
      </c>
    </row>
    <row r="54" spans="2:4" ht="21">
      <c r="B54" s="1143"/>
      <c r="C54" s="1146"/>
      <c r="D54" s="633" t="s">
        <v>57</v>
      </c>
    </row>
    <row r="55" spans="2:4" ht="42">
      <c r="B55" s="1143"/>
      <c r="C55" s="1146"/>
      <c r="D55" s="632" t="s">
        <v>58</v>
      </c>
    </row>
    <row r="56" spans="2:4" ht="42">
      <c r="B56" s="1143"/>
      <c r="C56" s="1146"/>
      <c r="D56" s="632" t="s">
        <v>59</v>
      </c>
    </row>
    <row r="57" spans="2:4" ht="42.75" thickBot="1">
      <c r="B57" s="1154"/>
      <c r="C57" s="1155"/>
      <c r="D57" s="634" t="s">
        <v>60</v>
      </c>
    </row>
    <row r="58" spans="2:4" ht="13.5" thickTop="1"/>
  </sheetData>
  <mergeCells count="19">
    <mergeCell ref="B45:B57"/>
    <mergeCell ref="C45:C57"/>
    <mergeCell ref="B31:B34"/>
    <mergeCell ref="C31:C34"/>
    <mergeCell ref="B38:B44"/>
    <mergeCell ref="C38:C44"/>
    <mergeCell ref="B3:C3"/>
    <mergeCell ref="B5:D5"/>
    <mergeCell ref="B4:D4"/>
    <mergeCell ref="B35:B37"/>
    <mergeCell ref="C35:C37"/>
    <mergeCell ref="B23:B30"/>
    <mergeCell ref="C23:C30"/>
    <mergeCell ref="C19:C22"/>
    <mergeCell ref="B19:B22"/>
    <mergeCell ref="B16:B18"/>
    <mergeCell ref="C16:C18"/>
    <mergeCell ref="B8:B15"/>
    <mergeCell ref="C8:C15"/>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V2795"/>
  <sheetViews>
    <sheetView showRuler="0" zoomScaleNormal="100" workbookViewId="0">
      <pane xSplit="1" ySplit="4" topLeftCell="B5" activePane="bottomRight" state="frozen"/>
      <selection pane="topRight" activeCell="B1" sqref="B1"/>
      <selection pane="bottomLeft" activeCell="A5" sqref="A5"/>
      <selection pane="bottomRight" activeCell="A60" sqref="A60"/>
    </sheetView>
  </sheetViews>
  <sheetFormatPr baseColWidth="10" defaultColWidth="10.7109375" defaultRowHeight="12.75"/>
  <cols>
    <col min="1" max="1" width="38" style="467" bestFit="1" customWidth="1"/>
    <col min="2" max="2" width="128.7109375" style="1" customWidth="1"/>
    <col min="3" max="3" width="10.7109375" style="47"/>
    <col min="4" max="4" width="12.42578125" style="46" customWidth="1"/>
    <col min="5" max="5" width="11.42578125" style="1" customWidth="1"/>
    <col min="6" max="6" width="10" style="31" customWidth="1"/>
    <col min="7" max="7" width="10.7109375" style="24"/>
    <col min="8" max="8" width="16.28515625" style="147" customWidth="1"/>
    <col min="9" max="10" width="10.7109375" style="609"/>
    <col min="11" max="11" width="15.28515625" style="22" customWidth="1"/>
    <col min="12" max="12" width="7.5703125" style="209" customWidth="1"/>
    <col min="13" max="13" width="39.28515625" style="22" customWidth="1"/>
    <col min="14" max="14" width="10.7109375" style="504"/>
    <col min="15" max="15" width="6.85546875" style="163" bestFit="1" customWidth="1"/>
    <col min="16" max="16" width="9.140625" style="282" customWidth="1"/>
    <col min="17" max="17" width="9.7109375" style="282" customWidth="1"/>
    <col min="18" max="18" width="9.42578125" style="282" customWidth="1"/>
    <col min="19" max="19" width="9" style="282" customWidth="1"/>
    <col min="20" max="20" width="21.85546875" style="467" customWidth="1"/>
    <col min="21" max="21" width="110" style="1" customWidth="1"/>
    <col min="22" max="22" width="10.7109375" style="47"/>
    <col min="23" max="23" width="12.42578125" style="28" customWidth="1"/>
    <col min="24" max="24" width="22.42578125" style="24" customWidth="1"/>
    <col min="25" max="25" width="11.42578125" style="24" customWidth="1"/>
    <col min="26" max="26" width="10" style="31" customWidth="1"/>
    <col min="27" max="27" width="10.7109375" style="24"/>
    <col min="28" max="28" width="16.28515625" style="147" customWidth="1"/>
    <col min="29" max="30" width="10.7109375" style="22"/>
    <col min="31" max="31" width="15.28515625" style="22" customWidth="1"/>
    <col min="32" max="32" width="7.5703125" style="47" customWidth="1"/>
    <col min="33" max="33" width="39.28515625" style="22" customWidth="1"/>
    <col min="34" max="34" width="10.7109375" style="163"/>
    <col min="35" max="35" width="6.85546875" style="163" bestFit="1" customWidth="1"/>
    <col min="36" max="36" width="9.140625" style="282" customWidth="1"/>
    <col min="37" max="37" width="9.7109375" style="282" customWidth="1"/>
    <col min="38" max="38" width="9.42578125" style="282" customWidth="1"/>
    <col min="39" max="39" width="9" style="282" customWidth="1"/>
    <col min="40" max="40" width="7.140625" style="282" customWidth="1"/>
    <col min="41" max="16384" width="10.7109375" style="1"/>
  </cols>
  <sheetData>
    <row r="1" spans="1:40" ht="26.1" customHeight="1">
      <c r="B1" s="11"/>
      <c r="C1" s="54"/>
      <c r="D1" s="55"/>
      <c r="E1" s="22"/>
      <c r="P1" s="384" t="s">
        <v>61</v>
      </c>
      <c r="Q1" s="384" t="s">
        <v>62</v>
      </c>
      <c r="R1" s="384" t="s">
        <v>63</v>
      </c>
      <c r="S1" s="474" t="s">
        <v>64</v>
      </c>
      <c r="U1" s="11"/>
      <c r="V1" s="54"/>
      <c r="W1" s="55"/>
      <c r="X1" s="431"/>
      <c r="Y1" s="22"/>
      <c r="AC1" s="609"/>
      <c r="AD1" s="609"/>
      <c r="AF1" s="209"/>
      <c r="AJ1" s="384" t="s">
        <v>61</v>
      </c>
      <c r="AK1" s="384" t="s">
        <v>62</v>
      </c>
      <c r="AL1" s="384" t="s">
        <v>63</v>
      </c>
      <c r="AM1" s="474" t="s">
        <v>64</v>
      </c>
      <c r="AN1" s="165"/>
    </row>
    <row r="2" spans="1:40" ht="26.1" customHeight="1">
      <c r="A2" s="418" t="s">
        <v>65</v>
      </c>
      <c r="B2" s="176" t="s">
        <v>66</v>
      </c>
      <c r="C2" s="134"/>
      <c r="D2" s="143"/>
      <c r="E2" s="137"/>
      <c r="F2" s="32"/>
      <c r="G2" s="136"/>
      <c r="H2" s="148"/>
      <c r="I2" s="610"/>
      <c r="J2" s="610"/>
      <c r="K2" s="137"/>
      <c r="L2" s="618"/>
      <c r="P2" s="385">
        <v>0.20130874728773931</v>
      </c>
      <c r="Q2" s="385">
        <v>0.10462145617787387</v>
      </c>
      <c r="R2" s="385">
        <v>7.5983449177791346E-2</v>
      </c>
      <c r="S2" s="475">
        <v>6.5568882698771341E-2</v>
      </c>
      <c r="T2" s="418" t="s">
        <v>65</v>
      </c>
      <c r="U2" s="176" t="s">
        <v>66</v>
      </c>
      <c r="V2" s="134"/>
      <c r="W2" s="143"/>
      <c r="X2" s="432"/>
      <c r="Y2" s="137"/>
      <c r="Z2" s="32"/>
      <c r="AA2" s="136"/>
      <c r="AB2" s="148"/>
      <c r="AC2" s="610"/>
      <c r="AD2" s="610"/>
      <c r="AE2" s="137"/>
      <c r="AF2" s="618"/>
      <c r="AJ2" s="385">
        <v>0.20130874728773931</v>
      </c>
      <c r="AK2" s="385">
        <v>0.10462145617787387</v>
      </c>
      <c r="AL2" s="385">
        <v>7.5983449177791346E-2</v>
      </c>
      <c r="AM2" s="475">
        <v>6.5568882698771341E-2</v>
      </c>
      <c r="AN2" s="165"/>
    </row>
    <row r="3" spans="1:40" ht="30.95" customHeight="1">
      <c r="A3" s="1165" t="s">
        <v>67</v>
      </c>
      <c r="B3" s="1166"/>
      <c r="C3" s="1166"/>
      <c r="D3" s="1166"/>
      <c r="E3" s="1166"/>
      <c r="F3" s="1166"/>
      <c r="G3" s="1166"/>
      <c r="H3" s="149"/>
      <c r="I3" s="611"/>
      <c r="J3" s="611"/>
      <c r="K3" s="167"/>
      <c r="L3" s="619"/>
      <c r="M3" s="39" t="s">
        <v>68</v>
      </c>
      <c r="N3" s="1167" t="s">
        <v>69</v>
      </c>
      <c r="O3" s="1167" t="s">
        <v>70</v>
      </c>
      <c r="P3" s="1162" t="s">
        <v>71</v>
      </c>
      <c r="Q3" s="1162"/>
      <c r="R3" s="1162"/>
      <c r="S3" s="1160"/>
      <c r="T3" s="1165" t="s">
        <v>72</v>
      </c>
      <c r="U3" s="1166"/>
      <c r="V3" s="1166"/>
      <c r="W3" s="1166"/>
      <c r="X3" s="1166"/>
      <c r="Y3" s="1166"/>
      <c r="Z3" s="1166"/>
      <c r="AA3" s="1166"/>
      <c r="AB3" s="149"/>
      <c r="AC3" s="611"/>
      <c r="AD3" s="611"/>
      <c r="AE3" s="167"/>
      <c r="AF3" s="619"/>
      <c r="AG3" s="39" t="s">
        <v>68</v>
      </c>
      <c r="AH3" s="1167" t="s">
        <v>69</v>
      </c>
      <c r="AI3" s="1167" t="s">
        <v>70</v>
      </c>
      <c r="AJ3" s="1160" t="s">
        <v>71</v>
      </c>
      <c r="AK3" s="1161"/>
      <c r="AL3" s="1161"/>
      <c r="AM3" s="1161"/>
      <c r="AN3" s="280"/>
    </row>
    <row r="4" spans="1:40" ht="63.75">
      <c r="A4" s="420" t="s">
        <v>73</v>
      </c>
      <c r="B4" s="140" t="s">
        <v>74</v>
      </c>
      <c r="C4" s="141" t="s">
        <v>75</v>
      </c>
      <c r="D4" s="142" t="s">
        <v>76</v>
      </c>
      <c r="E4" s="168" t="s">
        <v>78</v>
      </c>
      <c r="F4" s="33" t="s">
        <v>79</v>
      </c>
      <c r="G4" s="29" t="s">
        <v>80</v>
      </c>
      <c r="H4" s="150" t="s">
        <v>81</v>
      </c>
      <c r="I4" s="15" t="s">
        <v>82</v>
      </c>
      <c r="J4" s="15" t="s">
        <v>83</v>
      </c>
      <c r="K4" s="169" t="s">
        <v>84</v>
      </c>
      <c r="L4" s="168" t="s">
        <v>85</v>
      </c>
      <c r="M4" s="40" t="s">
        <v>86</v>
      </c>
      <c r="N4" s="1169"/>
      <c r="O4" s="1169"/>
      <c r="P4" s="386">
        <v>12</v>
      </c>
      <c r="Q4" s="386">
        <v>24</v>
      </c>
      <c r="R4" s="386">
        <v>36</v>
      </c>
      <c r="S4" s="476">
        <v>48</v>
      </c>
      <c r="T4" s="420" t="s">
        <v>73</v>
      </c>
      <c r="U4" s="140" t="s">
        <v>87</v>
      </c>
      <c r="V4" s="141" t="s">
        <v>75</v>
      </c>
      <c r="W4" s="142" t="s">
        <v>76</v>
      </c>
      <c r="X4" s="433" t="s">
        <v>77</v>
      </c>
      <c r="Y4" s="168" t="s">
        <v>78</v>
      </c>
      <c r="Z4" s="33" t="s">
        <v>79</v>
      </c>
      <c r="AA4" s="29" t="s">
        <v>80</v>
      </c>
      <c r="AB4" s="150" t="s">
        <v>81</v>
      </c>
      <c r="AC4" s="15" t="s">
        <v>82</v>
      </c>
      <c r="AD4" s="15" t="s">
        <v>83</v>
      </c>
      <c r="AE4" s="169" t="s">
        <v>84</v>
      </c>
      <c r="AF4" s="168" t="s">
        <v>85</v>
      </c>
      <c r="AG4" s="40" t="s">
        <v>86</v>
      </c>
      <c r="AH4" s="1168"/>
      <c r="AI4" s="1168"/>
      <c r="AJ4" s="386">
        <v>12</v>
      </c>
      <c r="AK4" s="386">
        <v>24</v>
      </c>
      <c r="AL4" s="386">
        <v>36</v>
      </c>
      <c r="AM4" s="476">
        <v>48</v>
      </c>
      <c r="AN4" s="281"/>
    </row>
    <row r="5" spans="1:40" s="860" customFormat="1" ht="20.100000000000001" customHeight="1">
      <c r="A5" s="1074" t="s">
        <v>3610</v>
      </c>
      <c r="B5" s="1078" t="s">
        <v>3686</v>
      </c>
      <c r="C5" s="878"/>
      <c r="D5" s="879"/>
      <c r="E5" s="879"/>
      <c r="F5" s="880"/>
      <c r="G5" s="881"/>
      <c r="H5" s="893"/>
      <c r="I5" s="883"/>
      <c r="J5" s="883"/>
      <c r="K5" s="881"/>
      <c r="L5" s="869"/>
      <c r="M5" s="869"/>
      <c r="N5" s="1028"/>
      <c r="O5" s="869"/>
      <c r="P5" s="869"/>
      <c r="Q5" s="869"/>
      <c r="R5" s="869"/>
      <c r="S5" s="869"/>
      <c r="T5" s="894"/>
      <c r="U5" s="895"/>
      <c r="V5" s="896"/>
      <c r="W5" s="897"/>
      <c r="X5" s="898"/>
      <c r="Y5" s="897"/>
      <c r="Z5" s="899"/>
      <c r="AA5" s="900"/>
      <c r="AB5" s="896"/>
      <c r="AC5" s="900"/>
      <c r="AD5" s="900"/>
      <c r="AE5" s="901"/>
      <c r="AF5" s="902"/>
      <c r="AG5" s="858"/>
      <c r="AH5" s="859"/>
      <c r="AI5" s="859"/>
      <c r="AJ5" s="860" t="s">
        <v>98</v>
      </c>
      <c r="AK5" s="860" t="s">
        <v>98</v>
      </c>
      <c r="AL5" s="860" t="s">
        <v>98</v>
      </c>
      <c r="AM5" s="860" t="s">
        <v>98</v>
      </c>
      <c r="AN5" s="871"/>
    </row>
    <row r="6" spans="1:40">
      <c r="A6" s="425" t="s">
        <v>88</v>
      </c>
      <c r="B6" s="70" t="s">
        <v>89</v>
      </c>
      <c r="C6" s="71">
        <v>1</v>
      </c>
      <c r="D6" s="72" t="s">
        <v>90</v>
      </c>
      <c r="E6" s="85">
        <v>998.87</v>
      </c>
      <c r="F6" s="73">
        <f>rv_mba_mg</f>
        <v>0.17599999999999999</v>
      </c>
      <c r="G6" s="74">
        <f>E6-(E6*F6)</f>
        <v>823.06888000000004</v>
      </c>
      <c r="H6" s="111" t="s">
        <v>91</v>
      </c>
      <c r="I6" s="91">
        <v>48</v>
      </c>
      <c r="J6" s="91">
        <f>G6+I6</f>
        <v>871.06888000000004</v>
      </c>
      <c r="K6" s="75" t="s">
        <v>92</v>
      </c>
      <c r="L6" s="91">
        <v>0.3</v>
      </c>
      <c r="M6" s="1045" t="s">
        <v>93</v>
      </c>
      <c r="N6" s="1046" t="s">
        <v>94</v>
      </c>
      <c r="O6" s="1055" t="s">
        <v>95</v>
      </c>
      <c r="P6" s="1">
        <f t="shared" ref="P6:S13" si="0">+IF($J6&lt;&gt;"",P$2*$J6,"")</f>
        <v>175.35378503413412</v>
      </c>
      <c r="Q6" s="1">
        <f t="shared" si="0"/>
        <v>91.132494656829678</v>
      </c>
      <c r="R6" s="1">
        <f t="shared" si="0"/>
        <v>66.18681797383563</v>
      </c>
      <c r="S6" s="1">
        <f t="shared" si="0"/>
        <v>57.115013215270132</v>
      </c>
      <c r="T6" s="425" t="s">
        <v>88</v>
      </c>
      <c r="U6" s="70" t="s">
        <v>89</v>
      </c>
      <c r="V6" s="71">
        <v>1</v>
      </c>
      <c r="W6" s="72" t="s">
        <v>90</v>
      </c>
      <c r="X6" s="83" t="s">
        <v>88</v>
      </c>
      <c r="Y6" s="85">
        <v>998.87</v>
      </c>
      <c r="Z6" s="73">
        <v>0.17599999999999999</v>
      </c>
      <c r="AA6" s="74">
        <v>823.06888000000004</v>
      </c>
      <c r="AB6" s="111" t="s">
        <v>91</v>
      </c>
      <c r="AC6" s="91">
        <v>48</v>
      </c>
      <c r="AD6" s="91">
        <v>871.06888000000004</v>
      </c>
      <c r="AE6" s="75" t="s">
        <v>92</v>
      </c>
      <c r="AF6" s="91">
        <v>0.3</v>
      </c>
      <c r="AG6" s="41" t="s">
        <v>93</v>
      </c>
      <c r="AH6" s="174" t="s">
        <v>94</v>
      </c>
      <c r="AI6" s="181" t="s">
        <v>95</v>
      </c>
      <c r="AJ6" s="1">
        <v>175.35378503413412</v>
      </c>
      <c r="AK6" s="1">
        <v>91.132494656829678</v>
      </c>
      <c r="AL6" s="1">
        <v>66.18681797383563</v>
      </c>
      <c r="AM6" s="1">
        <v>57.115013215270132</v>
      </c>
      <c r="AN6" s="174"/>
    </row>
    <row r="7" spans="1:40">
      <c r="A7" s="421" t="s">
        <v>96</v>
      </c>
      <c r="B7" s="110" t="s">
        <v>97</v>
      </c>
      <c r="C7" s="26">
        <v>1</v>
      </c>
      <c r="D7" s="28" t="s">
        <v>90</v>
      </c>
      <c r="E7" s="47">
        <v>191.67</v>
      </c>
      <c r="F7" s="77">
        <f>rv_mba_mg_cto</f>
        <v>0.17599999999999999</v>
      </c>
      <c r="G7" s="27">
        <f>E7-(E7*F7)</f>
        <v>157.93608</v>
      </c>
      <c r="H7" s="107"/>
      <c r="I7" s="76"/>
      <c r="J7" s="76"/>
      <c r="K7" s="16"/>
      <c r="L7" s="76"/>
      <c r="M7" s="1045" t="s">
        <v>93</v>
      </c>
      <c r="N7" s="1047" t="s">
        <v>94</v>
      </c>
      <c r="O7" s="1056" t="s">
        <v>95</v>
      </c>
      <c r="P7" s="1" t="str">
        <f t="shared" si="0"/>
        <v/>
      </c>
      <c r="Q7" s="1" t="str">
        <f t="shared" si="0"/>
        <v/>
      </c>
      <c r="R7" s="1" t="str">
        <f t="shared" si="0"/>
        <v/>
      </c>
      <c r="S7" s="1" t="str">
        <f t="shared" si="0"/>
        <v/>
      </c>
      <c r="T7" s="421" t="s">
        <v>96</v>
      </c>
      <c r="U7" s="110" t="s">
        <v>97</v>
      </c>
      <c r="V7" s="26">
        <v>1</v>
      </c>
      <c r="W7" s="28" t="s">
        <v>90</v>
      </c>
      <c r="X7" s="435" t="s">
        <v>92</v>
      </c>
      <c r="Y7" s="47">
        <v>191.67</v>
      </c>
      <c r="Z7" s="77">
        <v>0.17599999999999999</v>
      </c>
      <c r="AA7" s="27">
        <v>157.93608</v>
      </c>
      <c r="AB7" s="107"/>
      <c r="AC7" s="76"/>
      <c r="AD7" s="76"/>
      <c r="AE7" s="16" t="s">
        <v>92</v>
      </c>
      <c r="AF7" s="76" t="s">
        <v>92</v>
      </c>
      <c r="AG7" s="41" t="s">
        <v>93</v>
      </c>
      <c r="AH7" s="174" t="s">
        <v>94</v>
      </c>
      <c r="AI7" s="159" t="s">
        <v>95</v>
      </c>
      <c r="AJ7" s="1" t="s">
        <v>98</v>
      </c>
      <c r="AK7" s="1" t="s">
        <v>98</v>
      </c>
      <c r="AL7" s="1" t="s">
        <v>98</v>
      </c>
      <c r="AM7" s="1" t="s">
        <v>98</v>
      </c>
      <c r="AN7" s="174"/>
    </row>
    <row r="8" spans="1:40">
      <c r="A8" s="421" t="s">
        <v>99</v>
      </c>
      <c r="B8" s="110" t="s">
        <v>100</v>
      </c>
      <c r="C8" s="26">
        <v>1</v>
      </c>
      <c r="D8" s="28" t="s">
        <v>90</v>
      </c>
      <c r="E8" s="47">
        <v>191.67</v>
      </c>
      <c r="F8" s="77">
        <f>rv_mba_mg_cto</f>
        <v>0.17599999999999999</v>
      </c>
      <c r="G8" s="27">
        <f>E8-(E8*F8)</f>
        <v>157.93608</v>
      </c>
      <c r="H8" s="107"/>
      <c r="I8" s="76"/>
      <c r="J8" s="76"/>
      <c r="K8" s="16"/>
      <c r="L8" s="76"/>
      <c r="M8" s="1045" t="s">
        <v>93</v>
      </c>
      <c r="N8" s="1047" t="s">
        <v>94</v>
      </c>
      <c r="O8" s="1056" t="s">
        <v>95</v>
      </c>
      <c r="P8" s="1" t="str">
        <f t="shared" si="0"/>
        <v/>
      </c>
      <c r="Q8" s="1" t="str">
        <f t="shared" si="0"/>
        <v/>
      </c>
      <c r="R8" s="1" t="str">
        <f t="shared" si="0"/>
        <v/>
      </c>
      <c r="S8" s="1" t="str">
        <f t="shared" si="0"/>
        <v/>
      </c>
      <c r="T8" s="421" t="s">
        <v>99</v>
      </c>
      <c r="U8" s="110" t="s">
        <v>100</v>
      </c>
      <c r="V8" s="26">
        <v>1</v>
      </c>
      <c r="W8" s="28" t="s">
        <v>90</v>
      </c>
      <c r="X8" s="435" t="s">
        <v>92</v>
      </c>
      <c r="Y8" s="47">
        <v>191.67</v>
      </c>
      <c r="Z8" s="77">
        <v>0.17599999999999999</v>
      </c>
      <c r="AA8" s="27">
        <v>157.93608</v>
      </c>
      <c r="AB8" s="107"/>
      <c r="AC8" s="76"/>
      <c r="AD8" s="76"/>
      <c r="AE8" s="16" t="s">
        <v>92</v>
      </c>
      <c r="AF8" s="76" t="s">
        <v>92</v>
      </c>
      <c r="AG8" s="41" t="s">
        <v>93</v>
      </c>
      <c r="AH8" s="174" t="s">
        <v>94</v>
      </c>
      <c r="AI8" s="159" t="s">
        <v>95</v>
      </c>
      <c r="AJ8" s="1" t="s">
        <v>98</v>
      </c>
      <c r="AK8" s="1" t="s">
        <v>98</v>
      </c>
      <c r="AL8" s="1" t="s">
        <v>98</v>
      </c>
      <c r="AM8" s="1" t="s">
        <v>98</v>
      </c>
      <c r="AN8" s="174"/>
    </row>
    <row r="9" spans="1:40">
      <c r="A9" s="421" t="s">
        <v>101</v>
      </c>
      <c r="B9" s="110" t="s">
        <v>102</v>
      </c>
      <c r="C9" s="26">
        <v>1</v>
      </c>
      <c r="D9" s="28" t="s">
        <v>90</v>
      </c>
      <c r="E9" s="47">
        <v>383.33</v>
      </c>
      <c r="F9" s="77">
        <f>rv_mba_mg_cto</f>
        <v>0.17599999999999999</v>
      </c>
      <c r="G9" s="27">
        <f>E9-(E9*F9)</f>
        <v>315.86392000000001</v>
      </c>
      <c r="H9" s="107"/>
      <c r="I9" s="76"/>
      <c r="J9" s="76"/>
      <c r="K9" s="16"/>
      <c r="L9" s="76"/>
      <c r="M9" s="1045" t="s">
        <v>93</v>
      </c>
      <c r="N9" s="1047" t="s">
        <v>94</v>
      </c>
      <c r="O9" s="1056" t="s">
        <v>95</v>
      </c>
      <c r="P9" s="1" t="str">
        <f t="shared" si="0"/>
        <v/>
      </c>
      <c r="Q9" s="1" t="str">
        <f t="shared" si="0"/>
        <v/>
      </c>
      <c r="R9" s="1" t="str">
        <f t="shared" si="0"/>
        <v/>
      </c>
      <c r="S9" s="1" t="str">
        <f t="shared" si="0"/>
        <v/>
      </c>
      <c r="T9" s="421" t="s">
        <v>101</v>
      </c>
      <c r="U9" s="110" t="s">
        <v>102</v>
      </c>
      <c r="V9" s="26">
        <v>1</v>
      </c>
      <c r="W9" s="28" t="s">
        <v>90</v>
      </c>
      <c r="X9" s="435" t="s">
        <v>92</v>
      </c>
      <c r="Y9" s="47">
        <v>383.33</v>
      </c>
      <c r="Z9" s="77">
        <v>0.17599999999999999</v>
      </c>
      <c r="AA9" s="27">
        <v>315.86392000000001</v>
      </c>
      <c r="AB9" s="107"/>
      <c r="AC9" s="76"/>
      <c r="AD9" s="76"/>
      <c r="AE9" s="16" t="s">
        <v>92</v>
      </c>
      <c r="AF9" s="76" t="s">
        <v>92</v>
      </c>
      <c r="AG9" s="41" t="s">
        <v>93</v>
      </c>
      <c r="AH9" s="174" t="s">
        <v>94</v>
      </c>
      <c r="AI9" s="159" t="s">
        <v>95</v>
      </c>
      <c r="AJ9" s="1" t="s">
        <v>98</v>
      </c>
      <c r="AK9" s="1" t="s">
        <v>98</v>
      </c>
      <c r="AL9" s="1" t="s">
        <v>98</v>
      </c>
      <c r="AM9" s="1" t="s">
        <v>98</v>
      </c>
      <c r="AN9" s="174"/>
    </row>
    <row r="10" spans="1:40">
      <c r="A10" s="421" t="s">
        <v>103</v>
      </c>
      <c r="B10" s="110" t="s">
        <v>104</v>
      </c>
      <c r="C10" s="26">
        <v>1</v>
      </c>
      <c r="D10" s="28" t="s">
        <v>90</v>
      </c>
      <c r="E10" s="47">
        <v>766.67</v>
      </c>
      <c r="F10" s="77">
        <f>rv_mba_mg_cto</f>
        <v>0.17599999999999999</v>
      </c>
      <c r="G10" s="27">
        <f>E10-(E10*F10)</f>
        <v>631.73608000000002</v>
      </c>
      <c r="H10" s="107"/>
      <c r="I10" s="76"/>
      <c r="J10" s="76"/>
      <c r="K10" s="16"/>
      <c r="L10" s="76"/>
      <c r="M10" s="1045" t="s">
        <v>93</v>
      </c>
      <c r="N10" s="1047" t="s">
        <v>94</v>
      </c>
      <c r="O10" s="1056" t="s">
        <v>95</v>
      </c>
      <c r="P10" s="1" t="str">
        <f t="shared" si="0"/>
        <v/>
      </c>
      <c r="Q10" s="1" t="str">
        <f t="shared" si="0"/>
        <v/>
      </c>
      <c r="R10" s="1" t="str">
        <f t="shared" si="0"/>
        <v/>
      </c>
      <c r="S10" s="1" t="str">
        <f t="shared" si="0"/>
        <v/>
      </c>
      <c r="T10" s="421" t="s">
        <v>103</v>
      </c>
      <c r="U10" s="110" t="s">
        <v>104</v>
      </c>
      <c r="V10" s="26">
        <v>1</v>
      </c>
      <c r="W10" s="28" t="s">
        <v>90</v>
      </c>
      <c r="X10" s="435" t="s">
        <v>92</v>
      </c>
      <c r="Y10" s="47">
        <v>766.67</v>
      </c>
      <c r="Z10" s="77">
        <v>0.17599999999999999</v>
      </c>
      <c r="AA10" s="27">
        <v>631.73608000000002</v>
      </c>
      <c r="AB10" s="107"/>
      <c r="AC10" s="76"/>
      <c r="AD10" s="76"/>
      <c r="AE10" s="16" t="s">
        <v>92</v>
      </c>
      <c r="AF10" s="76" t="s">
        <v>92</v>
      </c>
      <c r="AG10" s="41" t="s">
        <v>93</v>
      </c>
      <c r="AH10" s="174" t="s">
        <v>94</v>
      </c>
      <c r="AI10" s="159" t="s">
        <v>95</v>
      </c>
      <c r="AJ10" s="1" t="s">
        <v>98</v>
      </c>
      <c r="AK10" s="1" t="s">
        <v>98</v>
      </c>
      <c r="AL10" s="1" t="s">
        <v>98</v>
      </c>
      <c r="AM10" s="1" t="s">
        <v>98</v>
      </c>
      <c r="AN10" s="174"/>
    </row>
    <row r="11" spans="1:40" s="146" customFormat="1">
      <c r="A11" s="421" t="s">
        <v>105</v>
      </c>
      <c r="B11" s="110" t="s">
        <v>106</v>
      </c>
      <c r="C11" s="26">
        <v>1</v>
      </c>
      <c r="D11" s="28" t="s">
        <v>90</v>
      </c>
      <c r="E11" s="26"/>
      <c r="F11" s="21"/>
      <c r="G11" s="27">
        <v>0</v>
      </c>
      <c r="H11" s="107"/>
      <c r="I11" s="76"/>
      <c r="J11" s="76"/>
      <c r="K11" s="16"/>
      <c r="L11" s="76"/>
      <c r="M11" s="1045" t="s">
        <v>93</v>
      </c>
      <c r="N11" s="1047" t="s">
        <v>94</v>
      </c>
      <c r="O11" s="1056" t="s">
        <v>95</v>
      </c>
      <c r="P11" s="1" t="str">
        <f t="shared" si="0"/>
        <v/>
      </c>
      <c r="Q11" s="1" t="str">
        <f t="shared" si="0"/>
        <v/>
      </c>
      <c r="R11" s="1" t="str">
        <f t="shared" si="0"/>
        <v/>
      </c>
      <c r="S11" s="1" t="str">
        <f t="shared" si="0"/>
        <v/>
      </c>
      <c r="T11" s="421" t="s">
        <v>105</v>
      </c>
      <c r="U11" s="110" t="s">
        <v>106</v>
      </c>
      <c r="V11" s="26">
        <v>1</v>
      </c>
      <c r="W11" s="28" t="s">
        <v>90</v>
      </c>
      <c r="X11" s="435" t="s">
        <v>92</v>
      </c>
      <c r="Y11" s="26"/>
      <c r="Z11" s="21"/>
      <c r="AA11" s="27">
        <v>0</v>
      </c>
      <c r="AB11" s="107"/>
      <c r="AC11" s="76"/>
      <c r="AD11" s="76"/>
      <c r="AE11" s="16" t="s">
        <v>92</v>
      </c>
      <c r="AF11" s="76" t="s">
        <v>92</v>
      </c>
      <c r="AG11" s="41" t="s">
        <v>93</v>
      </c>
      <c r="AH11" s="174" t="s">
        <v>94</v>
      </c>
      <c r="AI11" s="159" t="s">
        <v>95</v>
      </c>
      <c r="AJ11" s="1" t="s">
        <v>98</v>
      </c>
      <c r="AK11" s="1" t="s">
        <v>98</v>
      </c>
      <c r="AL11" s="1" t="s">
        <v>98</v>
      </c>
      <c r="AM11" s="1" t="s">
        <v>98</v>
      </c>
      <c r="AN11" s="174"/>
    </row>
    <row r="12" spans="1:40" s="146" customFormat="1">
      <c r="A12" s="421" t="s">
        <v>107</v>
      </c>
      <c r="B12" s="110" t="s">
        <v>108</v>
      </c>
      <c r="C12" s="26">
        <v>1</v>
      </c>
      <c r="D12" s="27" t="s">
        <v>90</v>
      </c>
      <c r="E12" s="26"/>
      <c r="F12" s="21"/>
      <c r="G12" s="27">
        <v>0</v>
      </c>
      <c r="H12" s="107"/>
      <c r="I12" s="76"/>
      <c r="J12" s="76"/>
      <c r="K12" s="16"/>
      <c r="L12" s="76"/>
      <c r="M12" s="1045" t="s">
        <v>93</v>
      </c>
      <c r="N12" s="1047" t="s">
        <v>94</v>
      </c>
      <c r="O12" s="1056" t="s">
        <v>95</v>
      </c>
      <c r="P12" s="1" t="str">
        <f t="shared" si="0"/>
        <v/>
      </c>
      <c r="Q12" s="1" t="str">
        <f t="shared" si="0"/>
        <v/>
      </c>
      <c r="R12" s="1" t="str">
        <f t="shared" si="0"/>
        <v/>
      </c>
      <c r="S12" s="1" t="str">
        <f t="shared" si="0"/>
        <v/>
      </c>
      <c r="T12" s="421" t="s">
        <v>107</v>
      </c>
      <c r="U12" s="110" t="s">
        <v>108</v>
      </c>
      <c r="V12" s="26">
        <v>1</v>
      </c>
      <c r="W12" s="27" t="s">
        <v>90</v>
      </c>
      <c r="X12" s="435" t="s">
        <v>92</v>
      </c>
      <c r="Y12" s="26"/>
      <c r="Z12" s="21"/>
      <c r="AA12" s="27">
        <v>0</v>
      </c>
      <c r="AB12" s="107"/>
      <c r="AC12" s="76"/>
      <c r="AD12" s="76"/>
      <c r="AE12" s="16" t="s">
        <v>92</v>
      </c>
      <c r="AF12" s="76" t="s">
        <v>92</v>
      </c>
      <c r="AG12" s="41"/>
      <c r="AH12" s="164"/>
      <c r="AI12" s="166"/>
      <c r="AJ12" s="1" t="s">
        <v>98</v>
      </c>
      <c r="AK12" s="1" t="s">
        <v>98</v>
      </c>
      <c r="AL12" s="1" t="s">
        <v>98</v>
      </c>
      <c r="AM12" s="1" t="s">
        <v>98</v>
      </c>
      <c r="AN12" s="164"/>
    </row>
    <row r="13" spans="1:40" s="146" customFormat="1">
      <c r="A13" s="421" t="s">
        <v>109</v>
      </c>
      <c r="B13" s="110" t="s">
        <v>110</v>
      </c>
      <c r="C13" s="26">
        <v>1</v>
      </c>
      <c r="D13" s="27" t="s">
        <v>90</v>
      </c>
      <c r="E13" s="26"/>
      <c r="F13" s="21"/>
      <c r="G13" s="27">
        <v>0</v>
      </c>
      <c r="H13" s="107"/>
      <c r="I13" s="76"/>
      <c r="J13" s="76"/>
      <c r="K13" s="16"/>
      <c r="L13" s="76"/>
      <c r="M13" s="1045" t="s">
        <v>93</v>
      </c>
      <c r="N13" s="1047" t="s">
        <v>94</v>
      </c>
      <c r="O13" s="1056" t="s">
        <v>95</v>
      </c>
      <c r="P13" s="1" t="str">
        <f t="shared" si="0"/>
        <v/>
      </c>
      <c r="Q13" s="1" t="str">
        <f t="shared" si="0"/>
        <v/>
      </c>
      <c r="R13" s="1" t="str">
        <f t="shared" si="0"/>
        <v/>
      </c>
      <c r="S13" s="1" t="str">
        <f t="shared" si="0"/>
        <v/>
      </c>
      <c r="T13" s="421" t="s">
        <v>109</v>
      </c>
      <c r="U13" s="110" t="s">
        <v>110</v>
      </c>
      <c r="V13" s="26">
        <v>1</v>
      </c>
      <c r="W13" s="27" t="s">
        <v>90</v>
      </c>
      <c r="X13" s="435" t="s">
        <v>92</v>
      </c>
      <c r="Y13" s="26"/>
      <c r="Z13" s="21"/>
      <c r="AA13" s="27">
        <v>0</v>
      </c>
      <c r="AB13" s="107"/>
      <c r="AC13" s="76"/>
      <c r="AD13" s="76"/>
      <c r="AE13" s="16" t="s">
        <v>92</v>
      </c>
      <c r="AF13" s="76" t="s">
        <v>92</v>
      </c>
      <c r="AG13" s="41"/>
      <c r="AH13" s="164"/>
      <c r="AI13" s="166"/>
      <c r="AJ13" s="1" t="s">
        <v>98</v>
      </c>
      <c r="AK13" s="1" t="s">
        <v>98</v>
      </c>
      <c r="AL13" s="1" t="s">
        <v>98</v>
      </c>
      <c r="AM13" s="1" t="s">
        <v>98</v>
      </c>
      <c r="AN13" s="164"/>
    </row>
    <row r="14" spans="1:40">
      <c r="A14" s="425" t="s">
        <v>159</v>
      </c>
      <c r="B14" s="70" t="s">
        <v>160</v>
      </c>
      <c r="C14" s="71">
        <v>1</v>
      </c>
      <c r="D14" s="83" t="s">
        <v>90</v>
      </c>
      <c r="E14" s="85">
        <v>998.87</v>
      </c>
      <c r="F14" s="73">
        <f>rv_mba_mg</f>
        <v>0.17599999999999999</v>
      </c>
      <c r="G14" s="74">
        <f>E14-(E14*F14)</f>
        <v>823.06888000000004</v>
      </c>
      <c r="H14" s="111" t="s">
        <v>91</v>
      </c>
      <c r="I14" s="91">
        <f>mba13_5pl</f>
        <v>48</v>
      </c>
      <c r="J14" s="91">
        <f>G14+I14</f>
        <v>871.06888000000004</v>
      </c>
      <c r="K14" s="75" t="s">
        <v>92</v>
      </c>
      <c r="L14" s="91">
        <v>0.3</v>
      </c>
      <c r="M14" s="1045" t="s">
        <v>93</v>
      </c>
      <c r="N14" s="1047" t="s">
        <v>94</v>
      </c>
      <c r="O14" s="1056" t="s">
        <v>95</v>
      </c>
      <c r="P14" s="1">
        <f t="shared" ref="P14:S27" si="1">+IF($J14&lt;&gt;"",P$2*$J14,"")</f>
        <v>175.35378503413412</v>
      </c>
      <c r="Q14" s="1">
        <f t="shared" si="1"/>
        <v>91.132494656829678</v>
      </c>
      <c r="R14" s="1">
        <f t="shared" si="1"/>
        <v>66.18681797383563</v>
      </c>
      <c r="S14" s="1">
        <f t="shared" si="1"/>
        <v>57.115013215270132</v>
      </c>
      <c r="T14" s="425" t="s">
        <v>159</v>
      </c>
      <c r="U14" s="70" t="s">
        <v>160</v>
      </c>
      <c r="V14" s="71">
        <v>1</v>
      </c>
      <c r="W14" s="83" t="s">
        <v>90</v>
      </c>
      <c r="X14" s="84" t="s">
        <v>159</v>
      </c>
      <c r="Y14" s="85">
        <v>998.87</v>
      </c>
      <c r="Z14" s="73">
        <v>0.17599999999999999</v>
      </c>
      <c r="AA14" s="74">
        <v>823.06888000000004</v>
      </c>
      <c r="AB14" s="111" t="s">
        <v>91</v>
      </c>
      <c r="AC14" s="91">
        <v>48</v>
      </c>
      <c r="AD14" s="91">
        <v>871.06888000000004</v>
      </c>
      <c r="AE14" s="75" t="s">
        <v>92</v>
      </c>
      <c r="AF14" s="91">
        <v>0.3</v>
      </c>
      <c r="AG14" s="41" t="s">
        <v>93</v>
      </c>
      <c r="AH14" s="174" t="s">
        <v>94</v>
      </c>
      <c r="AI14" s="159" t="s">
        <v>95</v>
      </c>
      <c r="AJ14" s="1">
        <v>175.35378503413412</v>
      </c>
      <c r="AK14" s="1">
        <v>91.132494656829678</v>
      </c>
      <c r="AL14" s="1">
        <v>66.18681797383563</v>
      </c>
      <c r="AM14" s="1">
        <v>57.115013215270132</v>
      </c>
      <c r="AN14" s="174"/>
    </row>
    <row r="15" spans="1:40">
      <c r="A15" s="421" t="s">
        <v>161</v>
      </c>
      <c r="B15" s="110" t="s">
        <v>162</v>
      </c>
      <c r="C15" s="26">
        <v>1</v>
      </c>
      <c r="D15" s="28" t="s">
        <v>90</v>
      </c>
      <c r="E15" s="47">
        <v>191.67</v>
      </c>
      <c r="F15" s="77">
        <f>rv_mba_mg_cto</f>
        <v>0.17599999999999999</v>
      </c>
      <c r="G15" s="27">
        <f>E15-(E15*F15)</f>
        <v>157.93608</v>
      </c>
      <c r="H15" s="107"/>
      <c r="I15" s="76"/>
      <c r="J15" s="76"/>
      <c r="K15" s="16"/>
      <c r="L15" s="76"/>
      <c r="M15" s="1045" t="s">
        <v>93</v>
      </c>
      <c r="N15" s="1047" t="s">
        <v>94</v>
      </c>
      <c r="O15" s="1056" t="s">
        <v>95</v>
      </c>
      <c r="P15" s="1" t="str">
        <f t="shared" si="1"/>
        <v/>
      </c>
      <c r="Q15" s="1" t="str">
        <f t="shared" si="1"/>
        <v/>
      </c>
      <c r="R15" s="1" t="str">
        <f t="shared" si="1"/>
        <v/>
      </c>
      <c r="S15" s="1" t="str">
        <f t="shared" si="1"/>
        <v/>
      </c>
      <c r="T15" s="421" t="s">
        <v>161</v>
      </c>
      <c r="U15" s="110" t="s">
        <v>162</v>
      </c>
      <c r="V15" s="26">
        <v>1</v>
      </c>
      <c r="W15" s="28" t="s">
        <v>90</v>
      </c>
      <c r="X15" s="435" t="s">
        <v>92</v>
      </c>
      <c r="Y15" s="47">
        <v>191.67</v>
      </c>
      <c r="Z15" s="77">
        <v>0.17599999999999999</v>
      </c>
      <c r="AA15" s="27">
        <v>157.93608</v>
      </c>
      <c r="AB15" s="107"/>
      <c r="AC15" s="76"/>
      <c r="AD15" s="76"/>
      <c r="AE15" s="16" t="s">
        <v>92</v>
      </c>
      <c r="AF15" s="76" t="s">
        <v>92</v>
      </c>
      <c r="AG15" s="41" t="s">
        <v>93</v>
      </c>
      <c r="AH15" s="174" t="s">
        <v>94</v>
      </c>
      <c r="AI15" s="159" t="s">
        <v>95</v>
      </c>
      <c r="AJ15" s="1" t="s">
        <v>98</v>
      </c>
      <c r="AK15" s="1" t="s">
        <v>98</v>
      </c>
      <c r="AL15" s="1" t="s">
        <v>98</v>
      </c>
      <c r="AM15" s="1" t="s">
        <v>98</v>
      </c>
      <c r="AN15" s="174"/>
    </row>
    <row r="16" spans="1:40">
      <c r="A16" s="421" t="s">
        <v>163</v>
      </c>
      <c r="B16" s="110" t="s">
        <v>164</v>
      </c>
      <c r="C16" s="26">
        <v>1</v>
      </c>
      <c r="D16" s="28" t="s">
        <v>90</v>
      </c>
      <c r="E16" s="47">
        <v>191.67</v>
      </c>
      <c r="F16" s="77">
        <f>rv_mba_mg_cto</f>
        <v>0.17599999999999999</v>
      </c>
      <c r="G16" s="27">
        <f>E16-(E16*F16)</f>
        <v>157.93608</v>
      </c>
      <c r="H16" s="107"/>
      <c r="I16" s="76"/>
      <c r="J16" s="76"/>
      <c r="K16" s="16"/>
      <c r="L16" s="76"/>
      <c r="M16" s="1045" t="s">
        <v>93</v>
      </c>
      <c r="N16" s="1047" t="s">
        <v>94</v>
      </c>
      <c r="O16" s="1056" t="s">
        <v>95</v>
      </c>
      <c r="P16" s="1" t="str">
        <f t="shared" si="1"/>
        <v/>
      </c>
      <c r="Q16" s="1" t="str">
        <f t="shared" si="1"/>
        <v/>
      </c>
      <c r="R16" s="1" t="str">
        <f t="shared" si="1"/>
        <v/>
      </c>
      <c r="S16" s="1" t="str">
        <f t="shared" si="1"/>
        <v/>
      </c>
      <c r="T16" s="421" t="s">
        <v>163</v>
      </c>
      <c r="U16" s="110" t="s">
        <v>164</v>
      </c>
      <c r="V16" s="26">
        <v>1</v>
      </c>
      <c r="W16" s="28" t="s">
        <v>90</v>
      </c>
      <c r="X16" s="435" t="s">
        <v>92</v>
      </c>
      <c r="Y16" s="47">
        <v>191.67</v>
      </c>
      <c r="Z16" s="77">
        <v>0.17599999999999999</v>
      </c>
      <c r="AA16" s="27">
        <v>157.93608</v>
      </c>
      <c r="AB16" s="107"/>
      <c r="AC16" s="76"/>
      <c r="AD16" s="76"/>
      <c r="AE16" s="16" t="s">
        <v>92</v>
      </c>
      <c r="AF16" s="76" t="s">
        <v>92</v>
      </c>
      <c r="AG16" s="41" t="s">
        <v>93</v>
      </c>
      <c r="AH16" s="174" t="s">
        <v>94</v>
      </c>
      <c r="AI16" s="159" t="s">
        <v>95</v>
      </c>
      <c r="AJ16" s="1" t="s">
        <v>98</v>
      </c>
      <c r="AK16" s="1" t="s">
        <v>98</v>
      </c>
      <c r="AL16" s="1" t="s">
        <v>98</v>
      </c>
      <c r="AM16" s="1" t="s">
        <v>98</v>
      </c>
      <c r="AN16" s="174"/>
    </row>
    <row r="17" spans="1:48">
      <c r="A17" s="421" t="s">
        <v>165</v>
      </c>
      <c r="B17" s="110" t="s">
        <v>166</v>
      </c>
      <c r="C17" s="26">
        <v>1</v>
      </c>
      <c r="D17" s="28" t="s">
        <v>90</v>
      </c>
      <c r="E17" s="47">
        <v>383.33</v>
      </c>
      <c r="F17" s="77">
        <f>rv_mba_mg_cto</f>
        <v>0.17599999999999999</v>
      </c>
      <c r="G17" s="27">
        <f>E17-(E17*F17)</f>
        <v>315.86392000000001</v>
      </c>
      <c r="H17" s="107"/>
      <c r="I17" s="76"/>
      <c r="J17" s="76"/>
      <c r="K17" s="16"/>
      <c r="L17" s="76"/>
      <c r="M17" s="1045" t="s">
        <v>93</v>
      </c>
      <c r="N17" s="1047" t="s">
        <v>94</v>
      </c>
      <c r="O17" s="1056" t="s">
        <v>95</v>
      </c>
      <c r="P17" s="1" t="str">
        <f t="shared" si="1"/>
        <v/>
      </c>
      <c r="Q17" s="1" t="str">
        <f t="shared" si="1"/>
        <v/>
      </c>
      <c r="R17" s="1" t="str">
        <f t="shared" si="1"/>
        <v/>
      </c>
      <c r="S17" s="1" t="str">
        <f t="shared" si="1"/>
        <v/>
      </c>
      <c r="T17" s="421" t="s">
        <v>165</v>
      </c>
      <c r="U17" s="110" t="s">
        <v>166</v>
      </c>
      <c r="V17" s="26">
        <v>1</v>
      </c>
      <c r="W17" s="28" t="s">
        <v>90</v>
      </c>
      <c r="X17" s="435" t="s">
        <v>92</v>
      </c>
      <c r="Y17" s="47">
        <v>383.33</v>
      </c>
      <c r="Z17" s="77">
        <v>0.17599999999999999</v>
      </c>
      <c r="AA17" s="27">
        <v>315.86392000000001</v>
      </c>
      <c r="AB17" s="107"/>
      <c r="AC17" s="76"/>
      <c r="AD17" s="76"/>
      <c r="AE17" s="16" t="s">
        <v>92</v>
      </c>
      <c r="AF17" s="76" t="s">
        <v>92</v>
      </c>
      <c r="AG17" s="41" t="s">
        <v>93</v>
      </c>
      <c r="AH17" s="174" t="s">
        <v>94</v>
      </c>
      <c r="AI17" s="159" t="s">
        <v>95</v>
      </c>
      <c r="AJ17" s="1" t="s">
        <v>98</v>
      </c>
      <c r="AK17" s="1" t="s">
        <v>98</v>
      </c>
      <c r="AL17" s="1" t="s">
        <v>98</v>
      </c>
      <c r="AM17" s="1" t="s">
        <v>98</v>
      </c>
      <c r="AN17" s="174"/>
    </row>
    <row r="18" spans="1:48">
      <c r="A18" s="421" t="s">
        <v>167</v>
      </c>
      <c r="B18" s="110" t="s">
        <v>168</v>
      </c>
      <c r="C18" s="26">
        <v>1</v>
      </c>
      <c r="D18" s="28" t="s">
        <v>90</v>
      </c>
      <c r="E18" s="47">
        <v>766.67</v>
      </c>
      <c r="F18" s="77">
        <f>rv_mba_mg_cto</f>
        <v>0.17599999999999999</v>
      </c>
      <c r="G18" s="27">
        <f>E18-(E18*F18)</f>
        <v>631.73608000000002</v>
      </c>
      <c r="H18" s="107"/>
      <c r="I18" s="76"/>
      <c r="J18" s="76"/>
      <c r="K18" s="16"/>
      <c r="L18" s="76"/>
      <c r="M18" s="1045" t="s">
        <v>93</v>
      </c>
      <c r="N18" s="1047" t="s">
        <v>94</v>
      </c>
      <c r="O18" s="1056" t="s">
        <v>95</v>
      </c>
      <c r="P18" s="1" t="str">
        <f t="shared" si="1"/>
        <v/>
      </c>
      <c r="Q18" s="1" t="str">
        <f t="shared" si="1"/>
        <v/>
      </c>
      <c r="R18" s="1" t="str">
        <f t="shared" si="1"/>
        <v/>
      </c>
      <c r="S18" s="1" t="str">
        <f t="shared" si="1"/>
        <v/>
      </c>
      <c r="T18" s="421" t="s">
        <v>167</v>
      </c>
      <c r="U18" s="110" t="s">
        <v>168</v>
      </c>
      <c r="V18" s="26">
        <v>1</v>
      </c>
      <c r="W18" s="28" t="s">
        <v>90</v>
      </c>
      <c r="X18" s="435" t="s">
        <v>92</v>
      </c>
      <c r="Y18" s="47">
        <v>766.67</v>
      </c>
      <c r="Z18" s="77">
        <v>0.17599999999999999</v>
      </c>
      <c r="AA18" s="27">
        <v>631.73608000000002</v>
      </c>
      <c r="AB18" s="107"/>
      <c r="AC18" s="76"/>
      <c r="AD18" s="76"/>
      <c r="AE18" s="16" t="s">
        <v>92</v>
      </c>
      <c r="AF18" s="76" t="s">
        <v>92</v>
      </c>
      <c r="AG18" s="41" t="s">
        <v>93</v>
      </c>
      <c r="AH18" s="174" t="s">
        <v>94</v>
      </c>
      <c r="AI18" s="159" t="s">
        <v>95</v>
      </c>
      <c r="AJ18" s="1" t="s">
        <v>98</v>
      </c>
      <c r="AK18" s="1" t="s">
        <v>98</v>
      </c>
      <c r="AL18" s="1" t="s">
        <v>98</v>
      </c>
      <c r="AM18" s="1" t="s">
        <v>98</v>
      </c>
      <c r="AN18" s="174"/>
    </row>
    <row r="19" spans="1:48">
      <c r="A19" s="421" t="s">
        <v>169</v>
      </c>
      <c r="B19" s="110" t="s">
        <v>170</v>
      </c>
      <c r="C19" s="26">
        <v>1</v>
      </c>
      <c r="D19" s="27" t="s">
        <v>90</v>
      </c>
      <c r="E19" s="26"/>
      <c r="F19" s="21"/>
      <c r="G19" s="27">
        <v>0</v>
      </c>
      <c r="H19" s="107"/>
      <c r="I19" s="76"/>
      <c r="J19" s="76"/>
      <c r="K19" s="16"/>
      <c r="L19" s="76"/>
      <c r="M19" s="1045" t="s">
        <v>93</v>
      </c>
      <c r="N19" s="1047" t="s">
        <v>94</v>
      </c>
      <c r="O19" s="1056" t="s">
        <v>95</v>
      </c>
      <c r="P19" s="1" t="str">
        <f t="shared" si="1"/>
        <v/>
      </c>
      <c r="Q19" s="1" t="str">
        <f t="shared" si="1"/>
        <v/>
      </c>
      <c r="R19" s="1" t="str">
        <f t="shared" si="1"/>
        <v/>
      </c>
      <c r="S19" s="1" t="str">
        <f t="shared" si="1"/>
        <v/>
      </c>
      <c r="T19" s="421" t="s">
        <v>169</v>
      </c>
      <c r="U19" s="110" t="s">
        <v>170</v>
      </c>
      <c r="V19" s="26">
        <v>1</v>
      </c>
      <c r="W19" s="27" t="s">
        <v>90</v>
      </c>
      <c r="X19" s="435" t="s">
        <v>92</v>
      </c>
      <c r="Y19" s="26"/>
      <c r="Z19" s="21"/>
      <c r="AA19" s="27">
        <v>0</v>
      </c>
      <c r="AB19" s="107"/>
      <c r="AC19" s="76"/>
      <c r="AD19" s="76"/>
      <c r="AE19" s="16" t="s">
        <v>92</v>
      </c>
      <c r="AF19" s="76" t="s">
        <v>92</v>
      </c>
      <c r="AG19" s="41" t="s">
        <v>93</v>
      </c>
      <c r="AH19" s="174" t="s">
        <v>94</v>
      </c>
      <c r="AI19" s="159" t="s">
        <v>95</v>
      </c>
      <c r="AJ19" s="1" t="s">
        <v>98</v>
      </c>
      <c r="AK19" s="1" t="s">
        <v>98</v>
      </c>
      <c r="AL19" s="1" t="s">
        <v>98</v>
      </c>
      <c r="AM19" s="1" t="s">
        <v>98</v>
      </c>
      <c r="AN19" s="174"/>
    </row>
    <row r="20" spans="1:48" s="146" customFormat="1">
      <c r="A20" s="421" t="s">
        <v>171</v>
      </c>
      <c r="B20" s="110" t="s">
        <v>172</v>
      </c>
      <c r="C20" s="26">
        <v>1</v>
      </c>
      <c r="D20" s="27" t="s">
        <v>90</v>
      </c>
      <c r="E20" s="26"/>
      <c r="F20" s="21"/>
      <c r="G20" s="27">
        <v>0</v>
      </c>
      <c r="H20" s="107"/>
      <c r="I20" s="76"/>
      <c r="J20" s="76"/>
      <c r="K20" s="16"/>
      <c r="L20" s="76"/>
      <c r="M20" s="1045" t="s">
        <v>93</v>
      </c>
      <c r="N20" s="1047" t="s">
        <v>94</v>
      </c>
      <c r="O20" s="1056" t="s">
        <v>95</v>
      </c>
      <c r="P20" s="1" t="str">
        <f t="shared" si="1"/>
        <v/>
      </c>
      <c r="Q20" s="1" t="str">
        <f t="shared" si="1"/>
        <v/>
      </c>
      <c r="R20" s="1" t="str">
        <f t="shared" si="1"/>
        <v/>
      </c>
      <c r="S20" s="1" t="str">
        <f t="shared" si="1"/>
        <v/>
      </c>
      <c r="T20" s="421" t="s">
        <v>171</v>
      </c>
      <c r="U20" s="110" t="s">
        <v>172</v>
      </c>
      <c r="V20" s="26">
        <v>1</v>
      </c>
      <c r="W20" s="27" t="s">
        <v>90</v>
      </c>
      <c r="X20" s="435" t="s">
        <v>92</v>
      </c>
      <c r="Y20" s="26"/>
      <c r="Z20" s="21"/>
      <c r="AA20" s="27">
        <v>0</v>
      </c>
      <c r="AB20" s="107"/>
      <c r="AC20" s="76"/>
      <c r="AD20" s="76"/>
      <c r="AE20" s="16" t="s">
        <v>92</v>
      </c>
      <c r="AF20" s="76" t="s">
        <v>92</v>
      </c>
      <c r="AG20" s="41"/>
      <c r="AH20" s="164"/>
      <c r="AI20" s="166"/>
      <c r="AJ20" s="1" t="s">
        <v>98</v>
      </c>
      <c r="AK20" s="1" t="s">
        <v>98</v>
      </c>
      <c r="AL20" s="1" t="s">
        <v>98</v>
      </c>
      <c r="AM20" s="1" t="s">
        <v>98</v>
      </c>
      <c r="AN20" s="164"/>
    </row>
    <row r="21" spans="1:48" s="146" customFormat="1">
      <c r="A21" s="421" t="s">
        <v>173</v>
      </c>
      <c r="B21" s="110" t="s">
        <v>174</v>
      </c>
      <c r="C21" s="26">
        <v>1</v>
      </c>
      <c r="D21" s="27" t="s">
        <v>90</v>
      </c>
      <c r="E21" s="26"/>
      <c r="F21" s="21"/>
      <c r="G21" s="27">
        <v>0</v>
      </c>
      <c r="H21" s="107"/>
      <c r="I21" s="76"/>
      <c r="J21" s="76"/>
      <c r="K21" s="16"/>
      <c r="L21" s="76"/>
      <c r="M21" s="1045" t="s">
        <v>93</v>
      </c>
      <c r="N21" s="1047" t="s">
        <v>94</v>
      </c>
      <c r="O21" s="1056" t="s">
        <v>95</v>
      </c>
      <c r="P21" s="1" t="str">
        <f t="shared" si="1"/>
        <v/>
      </c>
      <c r="Q21" s="1" t="str">
        <f t="shared" si="1"/>
        <v/>
      </c>
      <c r="R21" s="1" t="str">
        <f t="shared" si="1"/>
        <v/>
      </c>
      <c r="S21" s="1" t="str">
        <f t="shared" si="1"/>
        <v/>
      </c>
      <c r="T21" s="421" t="s">
        <v>173</v>
      </c>
      <c r="U21" s="110" t="s">
        <v>174</v>
      </c>
      <c r="V21" s="26">
        <v>1</v>
      </c>
      <c r="W21" s="27" t="s">
        <v>90</v>
      </c>
      <c r="X21" s="435" t="s">
        <v>92</v>
      </c>
      <c r="Y21" s="26"/>
      <c r="Z21" s="21"/>
      <c r="AA21" s="27">
        <v>0</v>
      </c>
      <c r="AB21" s="107"/>
      <c r="AC21" s="76"/>
      <c r="AD21" s="76"/>
      <c r="AE21" s="16" t="s">
        <v>92</v>
      </c>
      <c r="AF21" s="76" t="s">
        <v>92</v>
      </c>
      <c r="AG21" s="41"/>
      <c r="AH21" s="164"/>
      <c r="AI21" s="166"/>
      <c r="AJ21" s="1" t="s">
        <v>98</v>
      </c>
      <c r="AK21" s="1" t="s">
        <v>98</v>
      </c>
      <c r="AL21" s="1" t="s">
        <v>98</v>
      </c>
      <c r="AM21" s="1" t="s">
        <v>98</v>
      </c>
      <c r="AN21" s="164"/>
    </row>
    <row r="22" spans="1:48">
      <c r="A22" s="425" t="s">
        <v>175</v>
      </c>
      <c r="B22" s="70" t="s">
        <v>176</v>
      </c>
      <c r="C22" s="71">
        <v>1</v>
      </c>
      <c r="D22" s="83" t="s">
        <v>90</v>
      </c>
      <c r="E22" s="85">
        <v>998.87</v>
      </c>
      <c r="F22" s="73">
        <f>rv_mba_mg</f>
        <v>0.17599999999999999</v>
      </c>
      <c r="G22" s="74">
        <f>E22-(E22*F22)</f>
        <v>823.06888000000004</v>
      </c>
      <c r="H22" s="111" t="s">
        <v>91</v>
      </c>
      <c r="I22" s="91">
        <f>mba13_5pl</f>
        <v>48</v>
      </c>
      <c r="J22" s="91">
        <f>G22+I22</f>
        <v>871.06888000000004</v>
      </c>
      <c r="K22" s="75" t="s">
        <v>92</v>
      </c>
      <c r="L22" s="91">
        <v>0.3</v>
      </c>
      <c r="M22" s="1045" t="s">
        <v>93</v>
      </c>
      <c r="N22" s="1047" t="s">
        <v>94</v>
      </c>
      <c r="O22" s="1056" t="s">
        <v>95</v>
      </c>
      <c r="P22" s="1">
        <f t="shared" si="1"/>
        <v>175.35378503413412</v>
      </c>
      <c r="Q22" s="1">
        <f t="shared" si="1"/>
        <v>91.132494656829678</v>
      </c>
      <c r="R22" s="1">
        <f t="shared" si="1"/>
        <v>66.18681797383563</v>
      </c>
      <c r="S22" s="1">
        <f t="shared" si="1"/>
        <v>57.115013215270132</v>
      </c>
      <c r="T22" s="425" t="s">
        <v>175</v>
      </c>
      <c r="U22" s="70" t="s">
        <v>176</v>
      </c>
      <c r="V22" s="71">
        <v>1</v>
      </c>
      <c r="W22" s="83" t="s">
        <v>90</v>
      </c>
      <c r="X22" s="84" t="s">
        <v>175</v>
      </c>
      <c r="Y22" s="85">
        <v>998.87</v>
      </c>
      <c r="Z22" s="73">
        <v>0.17599999999999999</v>
      </c>
      <c r="AA22" s="74">
        <v>823.06888000000004</v>
      </c>
      <c r="AB22" s="111" t="s">
        <v>91</v>
      </c>
      <c r="AC22" s="91">
        <v>48</v>
      </c>
      <c r="AD22" s="91">
        <v>871.06888000000004</v>
      </c>
      <c r="AE22" s="75" t="s">
        <v>92</v>
      </c>
      <c r="AF22" s="91">
        <v>0.3</v>
      </c>
      <c r="AG22" s="41" t="s">
        <v>93</v>
      </c>
      <c r="AH22" s="174" t="s">
        <v>94</v>
      </c>
      <c r="AI22" s="159" t="s">
        <v>95</v>
      </c>
      <c r="AJ22" s="1">
        <v>175.35378503413412</v>
      </c>
      <c r="AK22" s="1">
        <v>91.132494656829678</v>
      </c>
      <c r="AL22" s="1">
        <v>66.18681797383563</v>
      </c>
      <c r="AM22" s="1">
        <v>57.115013215270132</v>
      </c>
      <c r="AN22" s="174"/>
    </row>
    <row r="23" spans="1:48">
      <c r="A23" s="421" t="s">
        <v>177</v>
      </c>
      <c r="B23" s="110" t="s">
        <v>178</v>
      </c>
      <c r="C23" s="26">
        <v>1</v>
      </c>
      <c r="D23" s="28" t="s">
        <v>90</v>
      </c>
      <c r="E23" s="47">
        <v>191.67</v>
      </c>
      <c r="F23" s="77">
        <f>rv_mba_mg_cto</f>
        <v>0.17599999999999999</v>
      </c>
      <c r="G23" s="27">
        <f>E23-(E23*F23)</f>
        <v>157.93608</v>
      </c>
      <c r="H23" s="107"/>
      <c r="I23" s="76"/>
      <c r="J23" s="76"/>
      <c r="K23" s="16"/>
      <c r="L23" s="76"/>
      <c r="M23" s="1045" t="s">
        <v>93</v>
      </c>
      <c r="N23" s="1047" t="s">
        <v>94</v>
      </c>
      <c r="O23" s="1056" t="s">
        <v>95</v>
      </c>
      <c r="P23" s="1" t="str">
        <f t="shared" si="1"/>
        <v/>
      </c>
      <c r="Q23" s="1" t="str">
        <f t="shared" si="1"/>
        <v/>
      </c>
      <c r="R23" s="1" t="str">
        <f t="shared" si="1"/>
        <v/>
      </c>
      <c r="S23" s="1" t="str">
        <f t="shared" si="1"/>
        <v/>
      </c>
      <c r="T23" s="421" t="s">
        <v>177</v>
      </c>
      <c r="U23" s="110" t="s">
        <v>178</v>
      </c>
      <c r="V23" s="26">
        <v>1</v>
      </c>
      <c r="W23" s="28" t="s">
        <v>90</v>
      </c>
      <c r="X23" s="435" t="s">
        <v>92</v>
      </c>
      <c r="Y23" s="47">
        <v>191.67</v>
      </c>
      <c r="Z23" s="77">
        <v>0.17599999999999999</v>
      </c>
      <c r="AA23" s="27">
        <v>157.93608</v>
      </c>
      <c r="AB23" s="107"/>
      <c r="AC23" s="76"/>
      <c r="AD23" s="76"/>
      <c r="AE23" s="16" t="s">
        <v>92</v>
      </c>
      <c r="AF23" s="76" t="s">
        <v>92</v>
      </c>
      <c r="AG23" s="41" t="s">
        <v>93</v>
      </c>
      <c r="AH23" s="174" t="s">
        <v>94</v>
      </c>
      <c r="AI23" s="159" t="s">
        <v>95</v>
      </c>
      <c r="AJ23" s="1" t="s">
        <v>98</v>
      </c>
      <c r="AK23" s="1" t="s">
        <v>98</v>
      </c>
      <c r="AL23" s="1" t="s">
        <v>98</v>
      </c>
      <c r="AM23" s="1" t="s">
        <v>98</v>
      </c>
      <c r="AN23" s="174"/>
    </row>
    <row r="24" spans="1:48">
      <c r="A24" s="421" t="s">
        <v>179</v>
      </c>
      <c r="B24" s="110" t="s">
        <v>180</v>
      </c>
      <c r="C24" s="26">
        <v>1</v>
      </c>
      <c r="D24" s="28" t="s">
        <v>90</v>
      </c>
      <c r="E24" s="47">
        <v>191.67</v>
      </c>
      <c r="F24" s="77">
        <f>rv_mba_mg_cto</f>
        <v>0.17599999999999999</v>
      </c>
      <c r="G24" s="27">
        <f>E24-(E24*F24)</f>
        <v>157.93608</v>
      </c>
      <c r="H24" s="107"/>
      <c r="I24" s="76"/>
      <c r="J24" s="76"/>
      <c r="K24" s="16"/>
      <c r="L24" s="76"/>
      <c r="M24" s="1045" t="s">
        <v>93</v>
      </c>
      <c r="N24" s="1047" t="s">
        <v>94</v>
      </c>
      <c r="O24" s="1056" t="s">
        <v>95</v>
      </c>
      <c r="P24" s="1" t="str">
        <f t="shared" si="1"/>
        <v/>
      </c>
      <c r="Q24" s="1" t="str">
        <f t="shared" si="1"/>
        <v/>
      </c>
      <c r="R24" s="1" t="str">
        <f t="shared" si="1"/>
        <v/>
      </c>
      <c r="S24" s="1" t="str">
        <f t="shared" si="1"/>
        <v/>
      </c>
      <c r="T24" s="421" t="s">
        <v>179</v>
      </c>
      <c r="U24" s="110" t="s">
        <v>180</v>
      </c>
      <c r="V24" s="26">
        <v>1</v>
      </c>
      <c r="W24" s="28" t="s">
        <v>90</v>
      </c>
      <c r="X24" s="435" t="s">
        <v>92</v>
      </c>
      <c r="Y24" s="47">
        <v>191.67</v>
      </c>
      <c r="Z24" s="77">
        <v>0.17599999999999999</v>
      </c>
      <c r="AA24" s="27">
        <v>157.93608</v>
      </c>
      <c r="AB24" s="107"/>
      <c r="AC24" s="76"/>
      <c r="AD24" s="76"/>
      <c r="AE24" s="16" t="s">
        <v>92</v>
      </c>
      <c r="AF24" s="76" t="s">
        <v>92</v>
      </c>
      <c r="AG24" s="41" t="s">
        <v>93</v>
      </c>
      <c r="AH24" s="174" t="s">
        <v>94</v>
      </c>
      <c r="AI24" s="159" t="s">
        <v>95</v>
      </c>
      <c r="AJ24" s="1" t="s">
        <v>98</v>
      </c>
      <c r="AK24" s="1" t="s">
        <v>98</v>
      </c>
      <c r="AL24" s="1" t="s">
        <v>98</v>
      </c>
      <c r="AM24" s="1" t="s">
        <v>98</v>
      </c>
      <c r="AN24" s="174"/>
    </row>
    <row r="25" spans="1:48">
      <c r="A25" s="421" t="s">
        <v>181</v>
      </c>
      <c r="B25" s="110" t="s">
        <v>182</v>
      </c>
      <c r="C25" s="26">
        <v>1</v>
      </c>
      <c r="D25" s="28" t="s">
        <v>90</v>
      </c>
      <c r="E25" s="47">
        <v>383.33</v>
      </c>
      <c r="F25" s="77">
        <f>rv_mba_mg_cto</f>
        <v>0.17599999999999999</v>
      </c>
      <c r="G25" s="27">
        <f>E25-(E25*F25)</f>
        <v>315.86392000000001</v>
      </c>
      <c r="H25" s="107"/>
      <c r="I25" s="76"/>
      <c r="J25" s="76"/>
      <c r="K25" s="16"/>
      <c r="L25" s="76"/>
      <c r="M25" s="1045" t="s">
        <v>93</v>
      </c>
      <c r="N25" s="1047" t="s">
        <v>94</v>
      </c>
      <c r="O25" s="1056" t="s">
        <v>95</v>
      </c>
      <c r="P25" s="1" t="str">
        <f t="shared" si="1"/>
        <v/>
      </c>
      <c r="Q25" s="1" t="str">
        <f t="shared" si="1"/>
        <v/>
      </c>
      <c r="R25" s="1" t="str">
        <f t="shared" si="1"/>
        <v/>
      </c>
      <c r="S25" s="1" t="str">
        <f t="shared" si="1"/>
        <v/>
      </c>
      <c r="T25" s="421" t="s">
        <v>181</v>
      </c>
      <c r="U25" s="110" t="s">
        <v>182</v>
      </c>
      <c r="V25" s="26">
        <v>1</v>
      </c>
      <c r="W25" s="28" t="s">
        <v>90</v>
      </c>
      <c r="X25" s="435" t="s">
        <v>92</v>
      </c>
      <c r="Y25" s="47">
        <v>383.33</v>
      </c>
      <c r="Z25" s="77">
        <v>0.17599999999999999</v>
      </c>
      <c r="AA25" s="27">
        <v>315.86392000000001</v>
      </c>
      <c r="AB25" s="107"/>
      <c r="AC25" s="76"/>
      <c r="AD25" s="76"/>
      <c r="AE25" s="16" t="s">
        <v>92</v>
      </c>
      <c r="AF25" s="76" t="s">
        <v>92</v>
      </c>
      <c r="AG25" s="41" t="s">
        <v>93</v>
      </c>
      <c r="AH25" s="174" t="s">
        <v>94</v>
      </c>
      <c r="AI25" s="159" t="s">
        <v>95</v>
      </c>
      <c r="AJ25" s="1" t="s">
        <v>98</v>
      </c>
      <c r="AK25" s="1" t="s">
        <v>98</v>
      </c>
      <c r="AL25" s="1" t="s">
        <v>98</v>
      </c>
      <c r="AM25" s="1" t="s">
        <v>98</v>
      </c>
      <c r="AN25" s="174"/>
    </row>
    <row r="26" spans="1:48">
      <c r="A26" s="421" t="s">
        <v>183</v>
      </c>
      <c r="B26" s="110" t="s">
        <v>184</v>
      </c>
      <c r="C26" s="26">
        <v>1</v>
      </c>
      <c r="D26" s="28" t="s">
        <v>90</v>
      </c>
      <c r="E26" s="47">
        <v>766.67</v>
      </c>
      <c r="F26" s="77">
        <f>rv_mba_mg_cto</f>
        <v>0.17599999999999999</v>
      </c>
      <c r="G26" s="27">
        <f>E26-(E26*F26)</f>
        <v>631.73608000000002</v>
      </c>
      <c r="H26" s="107"/>
      <c r="I26" s="76"/>
      <c r="J26" s="76"/>
      <c r="K26" s="16"/>
      <c r="L26" s="76"/>
      <c r="M26" s="1045" t="s">
        <v>93</v>
      </c>
      <c r="N26" s="1047" t="s">
        <v>94</v>
      </c>
      <c r="O26" s="1056" t="s">
        <v>95</v>
      </c>
      <c r="P26" s="1" t="str">
        <f t="shared" si="1"/>
        <v/>
      </c>
      <c r="Q26" s="1" t="str">
        <f t="shared" si="1"/>
        <v/>
      </c>
      <c r="R26" s="1" t="str">
        <f t="shared" si="1"/>
        <v/>
      </c>
      <c r="S26" s="1" t="str">
        <f t="shared" si="1"/>
        <v/>
      </c>
      <c r="T26" s="421" t="s">
        <v>183</v>
      </c>
      <c r="U26" s="110" t="s">
        <v>184</v>
      </c>
      <c r="V26" s="26">
        <v>1</v>
      </c>
      <c r="W26" s="28" t="s">
        <v>90</v>
      </c>
      <c r="X26" s="435" t="s">
        <v>92</v>
      </c>
      <c r="Y26" s="47">
        <v>766.67</v>
      </c>
      <c r="Z26" s="77">
        <v>0.17599999999999999</v>
      </c>
      <c r="AA26" s="27">
        <v>631.73608000000002</v>
      </c>
      <c r="AB26" s="107"/>
      <c r="AC26" s="76"/>
      <c r="AD26" s="76"/>
      <c r="AE26" s="16" t="s">
        <v>92</v>
      </c>
      <c r="AF26" s="76" t="s">
        <v>92</v>
      </c>
      <c r="AG26" s="41" t="s">
        <v>93</v>
      </c>
      <c r="AH26" s="174" t="s">
        <v>94</v>
      </c>
      <c r="AI26" s="159" t="s">
        <v>95</v>
      </c>
      <c r="AJ26" s="1" t="s">
        <v>98</v>
      </c>
      <c r="AK26" s="1" t="s">
        <v>98</v>
      </c>
      <c r="AL26" s="1" t="s">
        <v>98</v>
      </c>
      <c r="AM26" s="1" t="s">
        <v>98</v>
      </c>
      <c r="AN26" s="174"/>
    </row>
    <row r="27" spans="1:48">
      <c r="A27" s="421" t="s">
        <v>185</v>
      </c>
      <c r="B27" s="110" t="s">
        <v>186</v>
      </c>
      <c r="C27" s="26">
        <v>1</v>
      </c>
      <c r="D27" s="27" t="s">
        <v>90</v>
      </c>
      <c r="E27" s="26"/>
      <c r="F27" s="21"/>
      <c r="G27" s="27">
        <v>0</v>
      </c>
      <c r="H27" s="107"/>
      <c r="I27" s="76"/>
      <c r="J27" s="76"/>
      <c r="K27" s="16"/>
      <c r="L27" s="76"/>
      <c r="M27" s="1045" t="s">
        <v>93</v>
      </c>
      <c r="N27" s="1047" t="s">
        <v>94</v>
      </c>
      <c r="O27" s="1056" t="s">
        <v>95</v>
      </c>
      <c r="P27" s="1" t="str">
        <f t="shared" si="1"/>
        <v/>
      </c>
      <c r="Q27" s="1" t="str">
        <f t="shared" si="1"/>
        <v/>
      </c>
      <c r="R27" s="1" t="str">
        <f t="shared" si="1"/>
        <v/>
      </c>
      <c r="S27" s="1" t="str">
        <f t="shared" si="1"/>
        <v/>
      </c>
      <c r="T27" s="421" t="s">
        <v>185</v>
      </c>
      <c r="U27" s="110" t="s">
        <v>186</v>
      </c>
      <c r="V27" s="26">
        <v>1</v>
      </c>
      <c r="W27" s="27" t="s">
        <v>90</v>
      </c>
      <c r="X27" s="435" t="s">
        <v>92</v>
      </c>
      <c r="Y27" s="26"/>
      <c r="Z27" s="21"/>
      <c r="AA27" s="27">
        <v>0</v>
      </c>
      <c r="AB27" s="107"/>
      <c r="AC27" s="76"/>
      <c r="AD27" s="76"/>
      <c r="AE27" s="16" t="s">
        <v>92</v>
      </c>
      <c r="AF27" s="76" t="s">
        <v>92</v>
      </c>
      <c r="AG27" s="41" t="s">
        <v>93</v>
      </c>
      <c r="AH27" s="174" t="s">
        <v>94</v>
      </c>
      <c r="AI27" s="159" t="s">
        <v>95</v>
      </c>
      <c r="AJ27" s="1" t="s">
        <v>98</v>
      </c>
      <c r="AK27" s="1" t="s">
        <v>98</v>
      </c>
      <c r="AL27" s="1" t="s">
        <v>98</v>
      </c>
      <c r="AM27" s="1" t="s">
        <v>98</v>
      </c>
      <c r="AN27" s="174"/>
    </row>
    <row r="28" spans="1:48" s="146" customFormat="1">
      <c r="A28" s="421" t="s">
        <v>187</v>
      </c>
      <c r="B28" s="110" t="s">
        <v>188</v>
      </c>
      <c r="C28" s="26">
        <v>1</v>
      </c>
      <c r="D28" s="27" t="s">
        <v>90</v>
      </c>
      <c r="E28" s="26"/>
      <c r="F28" s="21"/>
      <c r="G28" s="27">
        <v>0</v>
      </c>
      <c r="H28" s="107"/>
      <c r="I28" s="76"/>
      <c r="J28" s="76"/>
      <c r="K28" s="16"/>
      <c r="L28" s="76"/>
      <c r="M28" s="1045" t="s">
        <v>93</v>
      </c>
      <c r="N28" s="1047" t="s">
        <v>94</v>
      </c>
      <c r="O28" s="1056" t="s">
        <v>95</v>
      </c>
      <c r="P28" s="1" t="str">
        <f t="shared" ref="P28:S66" si="2">+IF($J28&lt;&gt;"",P$2*$J28,"")</f>
        <v/>
      </c>
      <c r="Q28" s="1" t="str">
        <f t="shared" si="2"/>
        <v/>
      </c>
      <c r="R28" s="1" t="str">
        <f t="shared" si="2"/>
        <v/>
      </c>
      <c r="S28" s="1" t="str">
        <f t="shared" si="2"/>
        <v/>
      </c>
      <c r="T28" s="421" t="s">
        <v>187</v>
      </c>
      <c r="U28" s="110" t="s">
        <v>188</v>
      </c>
      <c r="V28" s="26">
        <v>1</v>
      </c>
      <c r="W28" s="27" t="s">
        <v>90</v>
      </c>
      <c r="X28" s="435" t="s">
        <v>92</v>
      </c>
      <c r="Y28" s="26"/>
      <c r="Z28" s="21"/>
      <c r="AA28" s="27">
        <v>0</v>
      </c>
      <c r="AB28" s="107"/>
      <c r="AC28" s="76"/>
      <c r="AD28" s="76"/>
      <c r="AE28" s="16" t="s">
        <v>92</v>
      </c>
      <c r="AF28" s="76" t="s">
        <v>92</v>
      </c>
      <c r="AG28" s="41"/>
      <c r="AH28" s="164"/>
      <c r="AI28" s="166"/>
      <c r="AJ28" s="1" t="s">
        <v>98</v>
      </c>
      <c r="AK28" s="1" t="s">
        <v>98</v>
      </c>
      <c r="AL28" s="1" t="s">
        <v>98</v>
      </c>
      <c r="AM28" s="1" t="s">
        <v>98</v>
      </c>
      <c r="AN28" s="164"/>
    </row>
    <row r="29" spans="1:48" customFormat="1">
      <c r="A29" s="458" t="s">
        <v>189</v>
      </c>
      <c r="B29" s="289" t="s">
        <v>190</v>
      </c>
      <c r="C29" s="112">
        <v>1</v>
      </c>
      <c r="D29" s="285" t="s">
        <v>90</v>
      </c>
      <c r="E29" s="112"/>
      <c r="F29" s="290"/>
      <c r="G29" s="285">
        <v>0</v>
      </c>
      <c r="H29" s="283"/>
      <c r="I29" s="403"/>
      <c r="J29" s="403"/>
      <c r="K29" s="285"/>
      <c r="L29" s="403"/>
      <c r="M29" s="1045" t="s">
        <v>93</v>
      </c>
      <c r="N29" s="1047" t="s">
        <v>94</v>
      </c>
      <c r="O29" s="1056" t="s">
        <v>95</v>
      </c>
      <c r="P29" s="1" t="str">
        <f t="shared" si="2"/>
        <v/>
      </c>
      <c r="Q29" s="1" t="str">
        <f t="shared" si="2"/>
        <v/>
      </c>
      <c r="R29" s="1" t="str">
        <f t="shared" si="2"/>
        <v/>
      </c>
      <c r="S29" s="1" t="str">
        <f t="shared" si="2"/>
        <v/>
      </c>
      <c r="T29" s="458" t="s">
        <v>189</v>
      </c>
      <c r="U29" s="289" t="s">
        <v>190</v>
      </c>
      <c r="V29" s="112">
        <v>1</v>
      </c>
      <c r="W29" s="285" t="s">
        <v>90</v>
      </c>
      <c r="X29" s="436" t="s">
        <v>92</v>
      </c>
      <c r="Y29" s="112"/>
      <c r="Z29" s="290"/>
      <c r="AA29" s="285">
        <v>0</v>
      </c>
      <c r="AB29" s="283"/>
      <c r="AC29" s="403"/>
      <c r="AD29" s="403"/>
      <c r="AE29" s="285" t="s">
        <v>92</v>
      </c>
      <c r="AF29" s="403" t="s">
        <v>92</v>
      </c>
      <c r="AG29" s="286"/>
      <c r="AH29" s="287"/>
      <c r="AI29" s="288"/>
      <c r="AJ29" s="1" t="s">
        <v>98</v>
      </c>
      <c r="AK29" s="1" t="s">
        <v>98</v>
      </c>
      <c r="AL29" s="1" t="s">
        <v>98</v>
      </c>
      <c r="AM29" s="1" t="s">
        <v>98</v>
      </c>
      <c r="AN29" s="287"/>
      <c r="AO29" s="284"/>
      <c r="AP29" s="284"/>
      <c r="AQ29" s="284"/>
      <c r="AR29" s="284"/>
      <c r="AS29" s="284"/>
      <c r="AT29" s="284"/>
      <c r="AU29" s="284"/>
      <c r="AV29" s="284"/>
    </row>
    <row r="30" spans="1:48">
      <c r="A30" s="1073"/>
      <c r="B30" s="110"/>
      <c r="C30" s="26"/>
      <c r="D30" s="28"/>
      <c r="E30" s="47"/>
      <c r="F30" s="77"/>
      <c r="G30" s="27"/>
      <c r="H30" s="107"/>
      <c r="I30" s="76"/>
      <c r="J30" s="76"/>
      <c r="K30" s="16"/>
      <c r="L30" s="76"/>
      <c r="M30" s="1045"/>
      <c r="N30" s="1047"/>
      <c r="O30" s="1056"/>
      <c r="P30" s="1" t="str">
        <f t="shared" ref="P30:S47" si="3">+IF($J30&lt;&gt;"",P$2*$J30,"")</f>
        <v/>
      </c>
      <c r="Q30" s="1" t="str">
        <f t="shared" si="3"/>
        <v/>
      </c>
      <c r="R30" s="1" t="str">
        <f t="shared" si="3"/>
        <v/>
      </c>
      <c r="S30" s="1" t="str">
        <f t="shared" si="3"/>
        <v/>
      </c>
      <c r="T30" s="456" t="s">
        <v>111</v>
      </c>
      <c r="U30" s="250"/>
      <c r="V30" s="26"/>
      <c r="X30" s="435"/>
      <c r="Y30" s="47"/>
      <c r="Z30" s="77"/>
      <c r="AA30" s="27"/>
      <c r="AB30" s="107"/>
      <c r="AC30" s="76"/>
      <c r="AD30" s="76"/>
      <c r="AE30" s="16"/>
      <c r="AF30" s="76"/>
      <c r="AG30" s="41"/>
      <c r="AH30" s="174"/>
      <c r="AI30" s="159"/>
      <c r="AJ30" s="1" t="s">
        <v>98</v>
      </c>
      <c r="AK30" s="1" t="s">
        <v>98</v>
      </c>
      <c r="AL30" s="1" t="s">
        <v>98</v>
      </c>
      <c r="AM30" s="1" t="s">
        <v>98</v>
      </c>
      <c r="AN30" s="174"/>
    </row>
    <row r="31" spans="1:48">
      <c r="A31" s="1073"/>
      <c r="B31" s="110"/>
      <c r="C31" s="26"/>
      <c r="D31" s="28"/>
      <c r="E31" s="47"/>
      <c r="F31" s="77"/>
      <c r="G31" s="27"/>
      <c r="H31" s="107"/>
      <c r="I31" s="76"/>
      <c r="J31" s="76"/>
      <c r="K31" s="16"/>
      <c r="L31" s="76"/>
      <c r="M31" s="1045"/>
      <c r="N31" s="1047"/>
      <c r="O31" s="1056"/>
      <c r="P31" s="1" t="str">
        <f t="shared" si="3"/>
        <v/>
      </c>
      <c r="Q31" s="1" t="str">
        <f t="shared" si="3"/>
        <v/>
      </c>
      <c r="R31" s="1" t="str">
        <f t="shared" si="3"/>
        <v/>
      </c>
      <c r="S31" s="1" t="str">
        <f t="shared" si="3"/>
        <v/>
      </c>
      <c r="T31" s="456" t="s">
        <v>112</v>
      </c>
      <c r="U31" s="250"/>
      <c r="V31" s="26"/>
      <c r="X31" s="435"/>
      <c r="Y31" s="47"/>
      <c r="Z31" s="77"/>
      <c r="AA31" s="27"/>
      <c r="AB31" s="107"/>
      <c r="AC31" s="76"/>
      <c r="AD31" s="76"/>
      <c r="AE31" s="16"/>
      <c r="AF31" s="76"/>
      <c r="AG31" s="41"/>
      <c r="AH31" s="174"/>
      <c r="AI31" s="159"/>
      <c r="AJ31" s="1" t="s">
        <v>98</v>
      </c>
      <c r="AK31" s="1" t="s">
        <v>98</v>
      </c>
      <c r="AL31" s="1" t="s">
        <v>98</v>
      </c>
      <c r="AM31" s="1" t="s">
        <v>98</v>
      </c>
      <c r="AN31" s="174"/>
    </row>
    <row r="32" spans="1:48" s="127" customFormat="1">
      <c r="A32" s="457" t="s">
        <v>91</v>
      </c>
      <c r="B32" s="79" t="s">
        <v>113</v>
      </c>
      <c r="C32" s="80">
        <v>1</v>
      </c>
      <c r="D32" s="119" t="s">
        <v>114</v>
      </c>
      <c r="E32" s="598">
        <v>58.25</v>
      </c>
      <c r="F32" s="599">
        <f>rv_mba_mg</f>
        <v>0.17599999999999999</v>
      </c>
      <c r="G32" s="600">
        <f>E32-(E32*F32)</f>
        <v>47.998000000000005</v>
      </c>
      <c r="H32" s="151"/>
      <c r="I32" s="126"/>
      <c r="J32" s="126"/>
      <c r="K32" s="109"/>
      <c r="L32" s="269"/>
      <c r="M32" s="1045" t="s">
        <v>115</v>
      </c>
      <c r="N32" s="1047" t="s">
        <v>116</v>
      </c>
      <c r="O32" s="1056" t="s">
        <v>117</v>
      </c>
      <c r="P32" s="1" t="str">
        <f t="shared" si="3"/>
        <v/>
      </c>
      <c r="Q32" s="1" t="str">
        <f t="shared" si="3"/>
        <v/>
      </c>
      <c r="R32" s="1" t="str">
        <f t="shared" si="3"/>
        <v/>
      </c>
      <c r="S32" s="1" t="str">
        <f t="shared" si="3"/>
        <v/>
      </c>
      <c r="T32" s="457" t="s">
        <v>91</v>
      </c>
      <c r="U32" s="79" t="s">
        <v>113</v>
      </c>
      <c r="V32" s="80">
        <v>1</v>
      </c>
      <c r="W32" s="119" t="s">
        <v>114</v>
      </c>
      <c r="X32" s="434" t="s">
        <v>91</v>
      </c>
      <c r="Y32" s="598">
        <v>58.25</v>
      </c>
      <c r="Z32" s="599">
        <v>0.17599999999999999</v>
      </c>
      <c r="AA32" s="600">
        <v>47.998000000000005</v>
      </c>
      <c r="AB32" s="151"/>
      <c r="AC32" s="126"/>
      <c r="AD32" s="126"/>
      <c r="AE32" s="109" t="s">
        <v>92</v>
      </c>
      <c r="AF32" s="269" t="s">
        <v>92</v>
      </c>
      <c r="AG32" s="41" t="s">
        <v>115</v>
      </c>
      <c r="AH32" s="174" t="s">
        <v>116</v>
      </c>
      <c r="AI32" s="159" t="s">
        <v>117</v>
      </c>
      <c r="AJ32" s="1" t="s">
        <v>98</v>
      </c>
      <c r="AK32" s="1" t="s">
        <v>98</v>
      </c>
      <c r="AL32" s="1" t="s">
        <v>98</v>
      </c>
      <c r="AM32" s="1" t="s">
        <v>98</v>
      </c>
      <c r="AN32" s="174"/>
    </row>
    <row r="33" spans="1:40">
      <c r="A33" s="421" t="s">
        <v>118</v>
      </c>
      <c r="B33" s="110" t="s">
        <v>119</v>
      </c>
      <c r="C33" s="26">
        <v>1</v>
      </c>
      <c r="D33" s="46" t="s">
        <v>114</v>
      </c>
      <c r="E33" s="47"/>
      <c r="F33" s="21"/>
      <c r="G33" s="145">
        <v>18</v>
      </c>
      <c r="H33" s="145"/>
      <c r="I33" s="76"/>
      <c r="J33" s="76"/>
      <c r="K33" s="16"/>
      <c r="L33" s="76"/>
      <c r="M33" s="1045" t="s">
        <v>115</v>
      </c>
      <c r="N33" s="1047" t="s">
        <v>116</v>
      </c>
      <c r="O33" s="1056" t="s">
        <v>117</v>
      </c>
      <c r="P33" s="1" t="str">
        <f t="shared" si="3"/>
        <v/>
      </c>
      <c r="Q33" s="1" t="str">
        <f t="shared" si="3"/>
        <v/>
      </c>
      <c r="R33" s="1" t="str">
        <f t="shared" si="3"/>
        <v/>
      </c>
      <c r="S33" s="1" t="str">
        <f t="shared" si="3"/>
        <v/>
      </c>
      <c r="T33" s="421" t="s">
        <v>118</v>
      </c>
      <c r="U33" s="110" t="s">
        <v>120</v>
      </c>
      <c r="V33" s="26">
        <v>1</v>
      </c>
      <c r="W33" s="46" t="s">
        <v>114</v>
      </c>
      <c r="X33" s="452" t="s">
        <v>118</v>
      </c>
      <c r="Y33" s="47"/>
      <c r="Z33" s="21"/>
      <c r="AA33" s="145">
        <v>18</v>
      </c>
      <c r="AB33" s="145"/>
      <c r="AC33" s="76"/>
      <c r="AD33" s="76"/>
      <c r="AE33" s="16" t="s">
        <v>92</v>
      </c>
      <c r="AF33" s="76" t="s">
        <v>92</v>
      </c>
      <c r="AG33" s="41" t="s">
        <v>115</v>
      </c>
      <c r="AH33" s="174" t="s">
        <v>116</v>
      </c>
      <c r="AI33" s="159" t="s">
        <v>117</v>
      </c>
      <c r="AJ33" s="1" t="s">
        <v>98</v>
      </c>
      <c r="AK33" s="1" t="s">
        <v>98</v>
      </c>
      <c r="AL33" s="1" t="s">
        <v>98</v>
      </c>
      <c r="AM33" s="1" t="s">
        <v>98</v>
      </c>
      <c r="AN33" s="174"/>
    </row>
    <row r="34" spans="1:40">
      <c r="A34" s="421" t="s">
        <v>121</v>
      </c>
      <c r="B34" s="110" t="s">
        <v>122</v>
      </c>
      <c r="C34" s="26">
        <v>1</v>
      </c>
      <c r="D34" s="46" t="s">
        <v>114</v>
      </c>
      <c r="E34" s="47"/>
      <c r="F34" s="21"/>
      <c r="G34" s="145">
        <v>26</v>
      </c>
      <c r="H34" s="145"/>
      <c r="I34" s="76"/>
      <c r="J34" s="76"/>
      <c r="K34" s="16"/>
      <c r="L34" s="76"/>
      <c r="M34" s="1045" t="s">
        <v>115</v>
      </c>
      <c r="N34" s="1047" t="s">
        <v>116</v>
      </c>
      <c r="O34" s="1056" t="s">
        <v>117</v>
      </c>
      <c r="P34" s="1" t="str">
        <f t="shared" si="3"/>
        <v/>
      </c>
      <c r="Q34" s="1" t="str">
        <f t="shared" si="3"/>
        <v/>
      </c>
      <c r="R34" s="1" t="str">
        <f t="shared" si="3"/>
        <v/>
      </c>
      <c r="S34" s="1" t="str">
        <f t="shared" si="3"/>
        <v/>
      </c>
      <c r="T34" s="421" t="s">
        <v>121</v>
      </c>
      <c r="U34" s="110" t="s">
        <v>123</v>
      </c>
      <c r="V34" s="26">
        <v>1</v>
      </c>
      <c r="W34" s="46" t="s">
        <v>114</v>
      </c>
      <c r="X34" s="452" t="s">
        <v>121</v>
      </c>
      <c r="Y34" s="47"/>
      <c r="Z34" s="21"/>
      <c r="AA34" s="145">
        <v>26</v>
      </c>
      <c r="AB34" s="145"/>
      <c r="AC34" s="76"/>
      <c r="AD34" s="76"/>
      <c r="AE34" s="16" t="s">
        <v>92</v>
      </c>
      <c r="AF34" s="76" t="s">
        <v>92</v>
      </c>
      <c r="AG34" s="41" t="s">
        <v>115</v>
      </c>
      <c r="AH34" s="174" t="s">
        <v>116</v>
      </c>
      <c r="AI34" s="159" t="s">
        <v>117</v>
      </c>
      <c r="AJ34" s="1" t="s">
        <v>98</v>
      </c>
      <c r="AK34" s="1" t="s">
        <v>98</v>
      </c>
      <c r="AL34" s="1" t="s">
        <v>98</v>
      </c>
      <c r="AM34" s="1" t="s">
        <v>98</v>
      </c>
      <c r="AN34" s="174"/>
    </row>
    <row r="35" spans="1:40">
      <c r="A35" s="421" t="s">
        <v>124</v>
      </c>
      <c r="B35" s="110" t="s">
        <v>125</v>
      </c>
      <c r="C35" s="26">
        <v>1</v>
      </c>
      <c r="D35" s="46" t="s">
        <v>114</v>
      </c>
      <c r="E35" s="47"/>
      <c r="F35" s="21"/>
      <c r="G35" s="145">
        <v>37</v>
      </c>
      <c r="H35" s="145"/>
      <c r="I35" s="76"/>
      <c r="J35" s="76"/>
      <c r="K35" s="16"/>
      <c r="L35" s="76"/>
      <c r="M35" s="1045" t="s">
        <v>115</v>
      </c>
      <c r="N35" s="1047" t="s">
        <v>116</v>
      </c>
      <c r="O35" s="1056" t="s">
        <v>117</v>
      </c>
      <c r="P35" s="1" t="str">
        <f t="shared" si="3"/>
        <v/>
      </c>
      <c r="Q35" s="1" t="str">
        <f t="shared" si="3"/>
        <v/>
      </c>
      <c r="R35" s="1" t="str">
        <f t="shared" si="3"/>
        <v/>
      </c>
      <c r="S35" s="1" t="str">
        <f t="shared" si="3"/>
        <v/>
      </c>
      <c r="T35" s="421" t="s">
        <v>124</v>
      </c>
      <c r="U35" s="110" t="s">
        <v>126</v>
      </c>
      <c r="V35" s="26">
        <v>1</v>
      </c>
      <c r="W35" s="46" t="s">
        <v>114</v>
      </c>
      <c r="X35" s="452" t="s">
        <v>124</v>
      </c>
      <c r="Y35" s="47"/>
      <c r="Z35" s="21"/>
      <c r="AA35" s="145">
        <v>37</v>
      </c>
      <c r="AB35" s="145"/>
      <c r="AC35" s="76"/>
      <c r="AD35" s="76"/>
      <c r="AE35" s="16" t="s">
        <v>92</v>
      </c>
      <c r="AF35" s="76" t="s">
        <v>92</v>
      </c>
      <c r="AG35" s="41" t="s">
        <v>115</v>
      </c>
      <c r="AH35" s="174" t="s">
        <v>116</v>
      </c>
      <c r="AI35" s="159" t="s">
        <v>117</v>
      </c>
      <c r="AJ35" s="1" t="s">
        <v>98</v>
      </c>
      <c r="AK35" s="1" t="s">
        <v>98</v>
      </c>
      <c r="AL35" s="1" t="s">
        <v>98</v>
      </c>
      <c r="AM35" s="1" t="s">
        <v>98</v>
      </c>
      <c r="AN35" s="174"/>
    </row>
    <row r="36" spans="1:40">
      <c r="A36" s="421" t="s">
        <v>127</v>
      </c>
      <c r="B36" s="110" t="s">
        <v>128</v>
      </c>
      <c r="C36" s="26">
        <v>1</v>
      </c>
      <c r="D36" s="46" t="s">
        <v>114</v>
      </c>
      <c r="E36" s="47"/>
      <c r="F36" s="21"/>
      <c r="G36" s="145">
        <v>21</v>
      </c>
      <c r="H36" s="145"/>
      <c r="I36" s="76"/>
      <c r="J36" s="76"/>
      <c r="K36" s="16"/>
      <c r="L36" s="76"/>
      <c r="M36" s="1045" t="s">
        <v>115</v>
      </c>
      <c r="N36" s="1047" t="s">
        <v>116</v>
      </c>
      <c r="O36" s="1056" t="s">
        <v>117</v>
      </c>
      <c r="P36" s="1" t="str">
        <f t="shared" si="3"/>
        <v/>
      </c>
      <c r="Q36" s="1" t="str">
        <f t="shared" si="3"/>
        <v/>
      </c>
      <c r="R36" s="1" t="str">
        <f t="shared" si="3"/>
        <v/>
      </c>
      <c r="S36" s="1" t="str">
        <f t="shared" si="3"/>
        <v/>
      </c>
      <c r="T36" s="421" t="s">
        <v>127</v>
      </c>
      <c r="U36" s="110" t="s">
        <v>129</v>
      </c>
      <c r="V36" s="26">
        <v>1</v>
      </c>
      <c r="W36" s="46" t="s">
        <v>114</v>
      </c>
      <c r="X36" s="104" t="s">
        <v>127</v>
      </c>
      <c r="Y36" s="47"/>
      <c r="Z36" s="21"/>
      <c r="AA36" s="145">
        <v>21</v>
      </c>
      <c r="AB36" s="145"/>
      <c r="AC36" s="76"/>
      <c r="AD36" s="76"/>
      <c r="AE36" s="16" t="s">
        <v>92</v>
      </c>
      <c r="AF36" s="76" t="s">
        <v>92</v>
      </c>
      <c r="AG36" s="41" t="s">
        <v>115</v>
      </c>
      <c r="AH36" s="174" t="s">
        <v>116</v>
      </c>
      <c r="AI36" s="159" t="s">
        <v>117</v>
      </c>
      <c r="AJ36" s="1" t="s">
        <v>98</v>
      </c>
      <c r="AK36" s="1" t="s">
        <v>98</v>
      </c>
      <c r="AL36" s="1" t="s">
        <v>98</v>
      </c>
      <c r="AM36" s="1" t="s">
        <v>98</v>
      </c>
      <c r="AN36" s="174"/>
    </row>
    <row r="37" spans="1:40">
      <c r="A37" s="421" t="s">
        <v>130</v>
      </c>
      <c r="B37" s="110" t="s">
        <v>131</v>
      </c>
      <c r="C37" s="26">
        <v>1</v>
      </c>
      <c r="D37" s="46" t="s">
        <v>114</v>
      </c>
      <c r="E37" s="47"/>
      <c r="F37" s="21"/>
      <c r="G37" s="145">
        <v>46</v>
      </c>
      <c r="H37" s="145"/>
      <c r="I37" s="76"/>
      <c r="J37" s="76"/>
      <c r="K37" s="16"/>
      <c r="L37" s="76"/>
      <c r="M37" s="1045" t="s">
        <v>115</v>
      </c>
      <c r="N37" s="1047" t="s">
        <v>116</v>
      </c>
      <c r="O37" s="1056" t="s">
        <v>117</v>
      </c>
      <c r="P37" s="1" t="str">
        <f t="shared" si="3"/>
        <v/>
      </c>
      <c r="Q37" s="1" t="str">
        <f t="shared" si="3"/>
        <v/>
      </c>
      <c r="R37" s="1" t="str">
        <f t="shared" si="3"/>
        <v/>
      </c>
      <c r="S37" s="1" t="str">
        <f t="shared" si="3"/>
        <v/>
      </c>
      <c r="T37" s="421" t="s">
        <v>130</v>
      </c>
      <c r="U37" s="110" t="s">
        <v>132</v>
      </c>
      <c r="V37" s="26">
        <v>1</v>
      </c>
      <c r="W37" s="46" t="s">
        <v>114</v>
      </c>
      <c r="X37" s="104" t="s">
        <v>130</v>
      </c>
      <c r="Y37" s="47"/>
      <c r="Z37" s="21"/>
      <c r="AA37" s="145">
        <v>46</v>
      </c>
      <c r="AB37" s="145"/>
      <c r="AC37" s="76"/>
      <c r="AD37" s="76"/>
      <c r="AE37" s="16" t="s">
        <v>92</v>
      </c>
      <c r="AF37" s="76" t="s">
        <v>92</v>
      </c>
      <c r="AG37" s="41" t="s">
        <v>115</v>
      </c>
      <c r="AH37" s="174" t="s">
        <v>116</v>
      </c>
      <c r="AI37" s="159" t="s">
        <v>117</v>
      </c>
      <c r="AJ37" s="1" t="s">
        <v>98</v>
      </c>
      <c r="AK37" s="1" t="s">
        <v>98</v>
      </c>
      <c r="AL37" s="1" t="s">
        <v>98</v>
      </c>
      <c r="AM37" s="1" t="s">
        <v>98</v>
      </c>
      <c r="AN37" s="174"/>
    </row>
    <row r="38" spans="1:40">
      <c r="A38" s="421" t="s">
        <v>133</v>
      </c>
      <c r="B38" s="110" t="s">
        <v>134</v>
      </c>
      <c r="C38" s="26">
        <v>1</v>
      </c>
      <c r="D38" s="46" t="s">
        <v>114</v>
      </c>
      <c r="E38" s="47"/>
      <c r="F38" s="21"/>
      <c r="G38" s="145">
        <v>55</v>
      </c>
      <c r="H38" s="145"/>
      <c r="I38" s="76"/>
      <c r="J38" s="76"/>
      <c r="K38" s="16"/>
      <c r="L38" s="76"/>
      <c r="M38" s="1045" t="s">
        <v>115</v>
      </c>
      <c r="N38" s="1047" t="s">
        <v>116</v>
      </c>
      <c r="O38" s="1056" t="s">
        <v>117</v>
      </c>
      <c r="P38" s="1" t="str">
        <f t="shared" si="3"/>
        <v/>
      </c>
      <c r="Q38" s="1" t="str">
        <f t="shared" si="3"/>
        <v/>
      </c>
      <c r="R38" s="1" t="str">
        <f t="shared" si="3"/>
        <v/>
      </c>
      <c r="S38" s="1" t="str">
        <f t="shared" si="3"/>
        <v/>
      </c>
      <c r="T38" s="421" t="s">
        <v>133</v>
      </c>
      <c r="U38" s="110" t="s">
        <v>135</v>
      </c>
      <c r="V38" s="26">
        <v>1</v>
      </c>
      <c r="W38" s="46" t="s">
        <v>114</v>
      </c>
      <c r="X38" s="104" t="s">
        <v>133</v>
      </c>
      <c r="Y38" s="47"/>
      <c r="Z38" s="21"/>
      <c r="AA38" s="145">
        <v>55</v>
      </c>
      <c r="AB38" s="145"/>
      <c r="AC38" s="76"/>
      <c r="AD38" s="76"/>
      <c r="AE38" s="16" t="s">
        <v>92</v>
      </c>
      <c r="AF38" s="76" t="s">
        <v>92</v>
      </c>
      <c r="AG38" s="41" t="s">
        <v>115</v>
      </c>
      <c r="AH38" s="174" t="s">
        <v>116</v>
      </c>
      <c r="AI38" s="159" t="s">
        <v>117</v>
      </c>
      <c r="AJ38" s="1" t="s">
        <v>98</v>
      </c>
      <c r="AK38" s="1" t="s">
        <v>98</v>
      </c>
      <c r="AL38" s="1" t="s">
        <v>98</v>
      </c>
      <c r="AM38" s="1" t="s">
        <v>98</v>
      </c>
      <c r="AN38" s="174"/>
    </row>
    <row r="39" spans="1:40">
      <c r="A39" s="421" t="s">
        <v>136</v>
      </c>
      <c r="B39" s="110" t="s">
        <v>137</v>
      </c>
      <c r="C39" s="26">
        <v>1</v>
      </c>
      <c r="D39" s="46" t="s">
        <v>114</v>
      </c>
      <c r="E39" s="47"/>
      <c r="F39" s="21"/>
      <c r="G39" s="145">
        <v>62</v>
      </c>
      <c r="H39" s="145"/>
      <c r="I39" s="76"/>
      <c r="J39" s="76"/>
      <c r="K39" s="16"/>
      <c r="L39" s="76"/>
      <c r="M39" s="1045" t="s">
        <v>115</v>
      </c>
      <c r="N39" s="1047" t="s">
        <v>116</v>
      </c>
      <c r="O39" s="1056" t="s">
        <v>117</v>
      </c>
      <c r="P39" s="1" t="str">
        <f t="shared" si="3"/>
        <v/>
      </c>
      <c r="Q39" s="1" t="str">
        <f t="shared" si="3"/>
        <v/>
      </c>
      <c r="R39" s="1" t="str">
        <f t="shared" si="3"/>
        <v/>
      </c>
      <c r="S39" s="1" t="str">
        <f t="shared" si="3"/>
        <v/>
      </c>
      <c r="T39" s="421" t="s">
        <v>136</v>
      </c>
      <c r="U39" s="110" t="s">
        <v>138</v>
      </c>
      <c r="V39" s="26">
        <v>1</v>
      </c>
      <c r="W39" s="46" t="s">
        <v>114</v>
      </c>
      <c r="X39" s="104" t="s">
        <v>136</v>
      </c>
      <c r="Y39" s="47"/>
      <c r="Z39" s="21"/>
      <c r="AA39" s="145">
        <v>62</v>
      </c>
      <c r="AB39" s="145"/>
      <c r="AC39" s="76"/>
      <c r="AD39" s="76"/>
      <c r="AE39" s="16" t="s">
        <v>92</v>
      </c>
      <c r="AF39" s="76" t="s">
        <v>92</v>
      </c>
      <c r="AG39" s="41" t="s">
        <v>115</v>
      </c>
      <c r="AH39" s="174" t="s">
        <v>116</v>
      </c>
      <c r="AI39" s="159" t="s">
        <v>117</v>
      </c>
      <c r="AJ39" s="1" t="s">
        <v>98</v>
      </c>
      <c r="AK39" s="1" t="s">
        <v>98</v>
      </c>
      <c r="AL39" s="1" t="s">
        <v>98</v>
      </c>
      <c r="AM39" s="1" t="s">
        <v>98</v>
      </c>
      <c r="AN39" s="174"/>
    </row>
    <row r="40" spans="1:40">
      <c r="A40" s="421" t="s">
        <v>139</v>
      </c>
      <c r="B40" s="110" t="s">
        <v>140</v>
      </c>
      <c r="C40" s="26">
        <v>1</v>
      </c>
      <c r="D40" s="46" t="s">
        <v>114</v>
      </c>
      <c r="E40" s="47"/>
      <c r="F40" s="21"/>
      <c r="G40" s="145">
        <v>16</v>
      </c>
      <c r="H40" s="145"/>
      <c r="I40" s="76"/>
      <c r="J40" s="76"/>
      <c r="K40" s="16"/>
      <c r="L40" s="76"/>
      <c r="M40" s="1045" t="s">
        <v>115</v>
      </c>
      <c r="N40" s="1047" t="s">
        <v>116</v>
      </c>
      <c r="O40" s="1056" t="s">
        <v>117</v>
      </c>
      <c r="P40" s="1" t="str">
        <f t="shared" si="3"/>
        <v/>
      </c>
      <c r="Q40" s="1" t="str">
        <f t="shared" si="3"/>
        <v/>
      </c>
      <c r="R40" s="1" t="str">
        <f t="shared" si="3"/>
        <v/>
      </c>
      <c r="S40" s="1" t="str">
        <f t="shared" si="3"/>
        <v/>
      </c>
      <c r="T40" s="421" t="s">
        <v>139</v>
      </c>
      <c r="U40" s="110" t="s">
        <v>141</v>
      </c>
      <c r="V40" s="26">
        <v>1</v>
      </c>
      <c r="W40" s="46" t="s">
        <v>114</v>
      </c>
      <c r="X40" s="104" t="s">
        <v>139</v>
      </c>
      <c r="Y40" s="47"/>
      <c r="Z40" s="21"/>
      <c r="AA40" s="145">
        <v>16</v>
      </c>
      <c r="AB40" s="145"/>
      <c r="AC40" s="76"/>
      <c r="AD40" s="76"/>
      <c r="AE40" s="16" t="s">
        <v>92</v>
      </c>
      <c r="AF40" s="76" t="s">
        <v>92</v>
      </c>
      <c r="AG40" s="41" t="s">
        <v>115</v>
      </c>
      <c r="AH40" s="174" t="s">
        <v>116</v>
      </c>
      <c r="AI40" s="159" t="s">
        <v>117</v>
      </c>
      <c r="AJ40" s="1" t="s">
        <v>98</v>
      </c>
      <c r="AK40" s="1" t="s">
        <v>98</v>
      </c>
      <c r="AL40" s="1" t="s">
        <v>98</v>
      </c>
      <c r="AM40" s="1" t="s">
        <v>98</v>
      </c>
      <c r="AN40" s="174"/>
    </row>
    <row r="41" spans="1:40">
      <c r="A41" s="421" t="s">
        <v>142</v>
      </c>
      <c r="B41" s="110" t="s">
        <v>143</v>
      </c>
      <c r="C41" s="26">
        <v>1</v>
      </c>
      <c r="D41" s="46" t="s">
        <v>114</v>
      </c>
      <c r="E41" s="47"/>
      <c r="F41" s="21"/>
      <c r="G41" s="145">
        <v>39</v>
      </c>
      <c r="H41" s="145"/>
      <c r="I41" s="76"/>
      <c r="J41" s="76"/>
      <c r="K41" s="16"/>
      <c r="L41" s="76"/>
      <c r="M41" s="1045" t="s">
        <v>115</v>
      </c>
      <c r="N41" s="1047" t="s">
        <v>116</v>
      </c>
      <c r="O41" s="1056" t="s">
        <v>117</v>
      </c>
      <c r="P41" s="1" t="str">
        <f t="shared" si="3"/>
        <v/>
      </c>
      <c r="Q41" s="1" t="str">
        <f t="shared" si="3"/>
        <v/>
      </c>
      <c r="R41" s="1" t="str">
        <f t="shared" si="3"/>
        <v/>
      </c>
      <c r="S41" s="1" t="str">
        <f t="shared" si="3"/>
        <v/>
      </c>
      <c r="T41" s="421" t="s">
        <v>142</v>
      </c>
      <c r="U41" s="110" t="s">
        <v>144</v>
      </c>
      <c r="V41" s="26">
        <v>1</v>
      </c>
      <c r="W41" s="46" t="s">
        <v>114</v>
      </c>
      <c r="X41" s="104" t="s">
        <v>142</v>
      </c>
      <c r="Y41" s="47"/>
      <c r="Z41" s="21"/>
      <c r="AA41" s="145">
        <v>39</v>
      </c>
      <c r="AB41" s="145"/>
      <c r="AC41" s="76"/>
      <c r="AD41" s="76"/>
      <c r="AE41" s="16" t="s">
        <v>92</v>
      </c>
      <c r="AF41" s="76" t="s">
        <v>92</v>
      </c>
      <c r="AG41" s="41" t="s">
        <v>115</v>
      </c>
      <c r="AH41" s="174" t="s">
        <v>116</v>
      </c>
      <c r="AI41" s="159" t="s">
        <v>117</v>
      </c>
      <c r="AJ41" s="1" t="s">
        <v>98</v>
      </c>
      <c r="AK41" s="1" t="s">
        <v>98</v>
      </c>
      <c r="AL41" s="1" t="s">
        <v>98</v>
      </c>
      <c r="AM41" s="1" t="s">
        <v>98</v>
      </c>
      <c r="AN41" s="174"/>
    </row>
    <row r="42" spans="1:40">
      <c r="A42" s="421" t="s">
        <v>145</v>
      </c>
      <c r="B42" s="110" t="s">
        <v>146</v>
      </c>
      <c r="C42" s="26">
        <v>1</v>
      </c>
      <c r="D42" s="46" t="s">
        <v>114</v>
      </c>
      <c r="E42" s="47"/>
      <c r="F42" s="21"/>
      <c r="G42" s="145">
        <v>51</v>
      </c>
      <c r="H42" s="145"/>
      <c r="I42" s="76"/>
      <c r="J42" s="76"/>
      <c r="K42" s="16"/>
      <c r="L42" s="76"/>
      <c r="M42" s="1045" t="s">
        <v>115</v>
      </c>
      <c r="N42" s="1047" t="s">
        <v>116</v>
      </c>
      <c r="O42" s="1056" t="s">
        <v>117</v>
      </c>
      <c r="P42" s="1" t="str">
        <f t="shared" si="3"/>
        <v/>
      </c>
      <c r="Q42" s="1" t="str">
        <f t="shared" si="3"/>
        <v/>
      </c>
      <c r="R42" s="1" t="str">
        <f t="shared" si="3"/>
        <v/>
      </c>
      <c r="S42" s="1" t="str">
        <f t="shared" si="3"/>
        <v/>
      </c>
      <c r="T42" s="421" t="s">
        <v>145</v>
      </c>
      <c r="U42" s="110" t="s">
        <v>147</v>
      </c>
      <c r="V42" s="26">
        <v>1</v>
      </c>
      <c r="W42" s="46" t="s">
        <v>114</v>
      </c>
      <c r="X42" s="104" t="s">
        <v>145</v>
      </c>
      <c r="Y42" s="47"/>
      <c r="Z42" s="21"/>
      <c r="AA42" s="145">
        <v>51</v>
      </c>
      <c r="AB42" s="145"/>
      <c r="AC42" s="76"/>
      <c r="AD42" s="76"/>
      <c r="AE42" s="16" t="s">
        <v>92</v>
      </c>
      <c r="AF42" s="76" t="s">
        <v>92</v>
      </c>
      <c r="AG42" s="41" t="s">
        <v>115</v>
      </c>
      <c r="AH42" s="174" t="s">
        <v>116</v>
      </c>
      <c r="AI42" s="159" t="s">
        <v>117</v>
      </c>
      <c r="AJ42" s="1" t="s">
        <v>98</v>
      </c>
      <c r="AK42" s="1" t="s">
        <v>98</v>
      </c>
      <c r="AL42" s="1" t="s">
        <v>98</v>
      </c>
      <c r="AM42" s="1" t="s">
        <v>98</v>
      </c>
      <c r="AN42" s="174"/>
    </row>
    <row r="43" spans="1:40">
      <c r="A43" s="421" t="s">
        <v>148</v>
      </c>
      <c r="B43" s="110" t="s">
        <v>149</v>
      </c>
      <c r="C43" s="26">
        <v>1</v>
      </c>
      <c r="D43" s="46" t="s">
        <v>114</v>
      </c>
      <c r="E43" s="47"/>
      <c r="F43" s="21"/>
      <c r="G43" s="145">
        <v>68</v>
      </c>
      <c r="H43" s="145"/>
      <c r="I43" s="76"/>
      <c r="J43" s="76"/>
      <c r="K43" s="16"/>
      <c r="L43" s="76"/>
      <c r="M43" s="1045" t="s">
        <v>115</v>
      </c>
      <c r="N43" s="1047" t="s">
        <v>116</v>
      </c>
      <c r="O43" s="1056" t="s">
        <v>117</v>
      </c>
      <c r="P43" s="1" t="str">
        <f t="shared" si="3"/>
        <v/>
      </c>
      <c r="Q43" s="1" t="str">
        <f t="shared" si="3"/>
        <v/>
      </c>
      <c r="R43" s="1" t="str">
        <f t="shared" si="3"/>
        <v/>
      </c>
      <c r="S43" s="1" t="str">
        <f t="shared" si="3"/>
        <v/>
      </c>
      <c r="T43" s="421" t="s">
        <v>148</v>
      </c>
      <c r="U43" s="110" t="s">
        <v>150</v>
      </c>
      <c r="V43" s="26">
        <v>1</v>
      </c>
      <c r="W43" s="46" t="s">
        <v>114</v>
      </c>
      <c r="X43" s="104" t="s">
        <v>148</v>
      </c>
      <c r="Y43" s="47"/>
      <c r="Z43" s="21"/>
      <c r="AA43" s="145">
        <v>68</v>
      </c>
      <c r="AB43" s="145"/>
      <c r="AC43" s="76"/>
      <c r="AD43" s="76"/>
      <c r="AE43" s="16" t="s">
        <v>92</v>
      </c>
      <c r="AF43" s="76" t="s">
        <v>92</v>
      </c>
      <c r="AG43" s="41" t="s">
        <v>115</v>
      </c>
      <c r="AH43" s="174" t="s">
        <v>116</v>
      </c>
      <c r="AI43" s="159" t="s">
        <v>117</v>
      </c>
      <c r="AJ43" s="1" t="s">
        <v>98</v>
      </c>
      <c r="AK43" s="1" t="s">
        <v>98</v>
      </c>
      <c r="AL43" s="1" t="s">
        <v>98</v>
      </c>
      <c r="AM43" s="1" t="s">
        <v>98</v>
      </c>
      <c r="AN43" s="174"/>
    </row>
    <row r="44" spans="1:40" s="125" customFormat="1">
      <c r="A44" s="424" t="s">
        <v>151</v>
      </c>
      <c r="B44" s="1026" t="s">
        <v>152</v>
      </c>
      <c r="C44" s="175">
        <v>1</v>
      </c>
      <c r="D44" s="52" t="s">
        <v>114</v>
      </c>
      <c r="E44" s="53"/>
      <c r="F44" s="56"/>
      <c r="G44" s="180">
        <v>383</v>
      </c>
      <c r="H44" s="180"/>
      <c r="I44" s="178"/>
      <c r="J44" s="178"/>
      <c r="K44" s="53"/>
      <c r="L44" s="178"/>
      <c r="M44" s="1045" t="s">
        <v>115</v>
      </c>
      <c r="N44" s="1047" t="s">
        <v>116</v>
      </c>
      <c r="O44" s="1057" t="s">
        <v>117</v>
      </c>
      <c r="P44" s="1" t="str">
        <f t="shared" si="3"/>
        <v/>
      </c>
      <c r="Q44" s="1" t="str">
        <f t="shared" si="3"/>
        <v/>
      </c>
      <c r="R44" s="1" t="str">
        <f t="shared" si="3"/>
        <v/>
      </c>
      <c r="S44" s="1" t="str">
        <f t="shared" si="3"/>
        <v/>
      </c>
      <c r="T44" s="424" t="s">
        <v>151</v>
      </c>
      <c r="U44" s="1026" t="s">
        <v>152</v>
      </c>
      <c r="V44" s="175">
        <v>1</v>
      </c>
      <c r="W44" s="52" t="s">
        <v>114</v>
      </c>
      <c r="X44" s="274" t="s">
        <v>151</v>
      </c>
      <c r="Y44" s="53"/>
      <c r="Z44" s="56"/>
      <c r="AA44" s="180">
        <v>383</v>
      </c>
      <c r="AB44" s="180"/>
      <c r="AC44" s="178"/>
      <c r="AD44" s="178"/>
      <c r="AE44" s="53" t="s">
        <v>92</v>
      </c>
      <c r="AF44" s="178" t="s">
        <v>92</v>
      </c>
      <c r="AG44" s="41" t="s">
        <v>115</v>
      </c>
      <c r="AH44" s="182" t="s">
        <v>116</v>
      </c>
      <c r="AI44" s="179" t="s">
        <v>117</v>
      </c>
      <c r="AJ44" s="1" t="s">
        <v>98</v>
      </c>
      <c r="AK44" s="1" t="s">
        <v>98</v>
      </c>
      <c r="AL44" s="1" t="s">
        <v>98</v>
      </c>
      <c r="AM44" s="1" t="s">
        <v>98</v>
      </c>
      <c r="AN44" s="182"/>
    </row>
    <row r="45" spans="1:40">
      <c r="A45" s="421" t="s">
        <v>153</v>
      </c>
      <c r="B45" s="110" t="s">
        <v>154</v>
      </c>
      <c r="C45" s="26">
        <v>1</v>
      </c>
      <c r="D45" s="46" t="s">
        <v>114</v>
      </c>
      <c r="E45" s="47"/>
      <c r="F45" s="21"/>
      <c r="G45" s="145">
        <v>509</v>
      </c>
      <c r="H45" s="145"/>
      <c r="I45" s="76"/>
      <c r="J45" s="76"/>
      <c r="K45" s="16"/>
      <c r="L45" s="76"/>
      <c r="M45" s="1045" t="s">
        <v>115</v>
      </c>
      <c r="N45" s="1047" t="s">
        <v>116</v>
      </c>
      <c r="O45" s="1056" t="s">
        <v>117</v>
      </c>
      <c r="P45" s="1" t="str">
        <f t="shared" si="3"/>
        <v/>
      </c>
      <c r="Q45" s="1" t="str">
        <f t="shared" si="3"/>
        <v/>
      </c>
      <c r="R45" s="1" t="str">
        <f t="shared" si="3"/>
        <v/>
      </c>
      <c r="S45" s="1" t="str">
        <f t="shared" si="3"/>
        <v/>
      </c>
      <c r="T45" s="421" t="s">
        <v>153</v>
      </c>
      <c r="U45" s="110" t="s">
        <v>154</v>
      </c>
      <c r="V45" s="26">
        <v>1</v>
      </c>
      <c r="W45" s="46" t="s">
        <v>114</v>
      </c>
      <c r="X45" s="104" t="s">
        <v>153</v>
      </c>
      <c r="Y45" s="47"/>
      <c r="Z45" s="21"/>
      <c r="AA45" s="145">
        <v>509</v>
      </c>
      <c r="AB45" s="145"/>
      <c r="AC45" s="76"/>
      <c r="AD45" s="76"/>
      <c r="AE45" s="16" t="s">
        <v>92</v>
      </c>
      <c r="AF45" s="76" t="s">
        <v>92</v>
      </c>
      <c r="AG45" s="41" t="s">
        <v>115</v>
      </c>
      <c r="AH45" s="174" t="s">
        <v>116</v>
      </c>
      <c r="AI45" s="159" t="s">
        <v>117</v>
      </c>
      <c r="AJ45" s="1" t="s">
        <v>98</v>
      </c>
      <c r="AK45" s="1" t="s">
        <v>98</v>
      </c>
      <c r="AL45" s="1" t="s">
        <v>98</v>
      </c>
      <c r="AM45" s="1" t="s">
        <v>98</v>
      </c>
      <c r="AN45" s="174"/>
    </row>
    <row r="46" spans="1:40">
      <c r="A46" s="421" t="s">
        <v>155</v>
      </c>
      <c r="B46" s="110" t="s">
        <v>156</v>
      </c>
      <c r="C46" s="26">
        <v>1</v>
      </c>
      <c r="D46" s="123" t="s">
        <v>114</v>
      </c>
      <c r="E46" s="47"/>
      <c r="F46" s="21"/>
      <c r="G46" s="27">
        <v>137.59</v>
      </c>
      <c r="H46" s="107"/>
      <c r="I46" s="76"/>
      <c r="J46" s="76"/>
      <c r="K46" s="16"/>
      <c r="L46" s="76"/>
      <c r="M46" s="1045" t="s">
        <v>115</v>
      </c>
      <c r="N46" s="1047" t="s">
        <v>116</v>
      </c>
      <c r="O46" s="1056" t="s">
        <v>117</v>
      </c>
      <c r="P46" s="1" t="str">
        <f t="shared" si="3"/>
        <v/>
      </c>
      <c r="Q46" s="1" t="str">
        <f t="shared" si="3"/>
        <v/>
      </c>
      <c r="R46" s="1" t="str">
        <f t="shared" si="3"/>
        <v/>
      </c>
      <c r="S46" s="1" t="str">
        <f t="shared" si="3"/>
        <v/>
      </c>
      <c r="T46" s="421" t="s">
        <v>155</v>
      </c>
      <c r="U46" s="110" t="s">
        <v>156</v>
      </c>
      <c r="V46" s="26">
        <v>1</v>
      </c>
      <c r="W46" s="123" t="s">
        <v>114</v>
      </c>
      <c r="X46" s="104" t="s">
        <v>155</v>
      </c>
      <c r="Y46" s="47"/>
      <c r="Z46" s="21"/>
      <c r="AA46" s="27">
        <v>137.59</v>
      </c>
      <c r="AB46" s="107"/>
      <c r="AC46" s="76"/>
      <c r="AD46" s="76"/>
      <c r="AE46" s="16"/>
      <c r="AF46" s="76"/>
      <c r="AG46" s="41" t="s">
        <v>115</v>
      </c>
      <c r="AH46" s="174" t="s">
        <v>116</v>
      </c>
      <c r="AI46" s="159" t="s">
        <v>117</v>
      </c>
      <c r="AJ46" s="1" t="s">
        <v>98</v>
      </c>
      <c r="AK46" s="1" t="s">
        <v>98</v>
      </c>
      <c r="AL46" s="1" t="s">
        <v>98</v>
      </c>
      <c r="AM46" s="1" t="s">
        <v>98</v>
      </c>
      <c r="AN46" s="174"/>
    </row>
    <row r="47" spans="1:40">
      <c r="A47" s="421" t="s">
        <v>157</v>
      </c>
      <c r="B47" s="110" t="s">
        <v>158</v>
      </c>
      <c r="C47" s="26">
        <v>1</v>
      </c>
      <c r="D47" s="123" t="s">
        <v>114</v>
      </c>
      <c r="E47" s="47"/>
      <c r="F47" s="21"/>
      <c r="G47" s="27">
        <v>221.92</v>
      </c>
      <c r="H47" s="107"/>
      <c r="I47" s="76"/>
      <c r="J47" s="76"/>
      <c r="K47" s="16"/>
      <c r="L47" s="76"/>
      <c r="M47" s="1045" t="s">
        <v>115</v>
      </c>
      <c r="N47" s="1047" t="s">
        <v>116</v>
      </c>
      <c r="O47" s="1056" t="s">
        <v>117</v>
      </c>
      <c r="P47" s="1" t="str">
        <f t="shared" si="3"/>
        <v/>
      </c>
      <c r="Q47" s="1" t="str">
        <f t="shared" si="3"/>
        <v/>
      </c>
      <c r="R47" s="1" t="str">
        <f t="shared" si="3"/>
        <v/>
      </c>
      <c r="S47" s="1" t="str">
        <f t="shared" si="3"/>
        <v/>
      </c>
      <c r="T47" s="421" t="s">
        <v>157</v>
      </c>
      <c r="U47" s="110" t="s">
        <v>158</v>
      </c>
      <c r="V47" s="26">
        <v>1</v>
      </c>
      <c r="W47" s="123" t="s">
        <v>114</v>
      </c>
      <c r="X47" s="104" t="s">
        <v>157</v>
      </c>
      <c r="Y47" s="47"/>
      <c r="Z47" s="21"/>
      <c r="AA47" s="27">
        <v>221.92</v>
      </c>
      <c r="AB47" s="107"/>
      <c r="AC47" s="76"/>
      <c r="AD47" s="76"/>
      <c r="AE47" s="16"/>
      <c r="AF47" s="76"/>
      <c r="AG47" s="41" t="s">
        <v>115</v>
      </c>
      <c r="AH47" s="174" t="s">
        <v>116</v>
      </c>
      <c r="AI47" s="159" t="s">
        <v>117</v>
      </c>
      <c r="AJ47" s="1" t="s">
        <v>98</v>
      </c>
      <c r="AK47" s="1" t="s">
        <v>98</v>
      </c>
      <c r="AL47" s="1" t="s">
        <v>98</v>
      </c>
      <c r="AM47" s="1" t="s">
        <v>98</v>
      </c>
      <c r="AN47" s="174"/>
    </row>
    <row r="48" spans="1:40" s="860" customFormat="1" ht="20.100000000000001" customHeight="1">
      <c r="A48" s="1074" t="s">
        <v>3609</v>
      </c>
      <c r="B48" s="1078" t="s">
        <v>3686</v>
      </c>
      <c r="C48" s="878"/>
      <c r="D48" s="879"/>
      <c r="E48" s="879"/>
      <c r="F48" s="880"/>
      <c r="G48" s="881"/>
      <c r="H48" s="893"/>
      <c r="I48" s="883"/>
      <c r="J48" s="883"/>
      <c r="K48" s="881"/>
      <c r="L48" s="869"/>
      <c r="M48" s="869"/>
      <c r="N48" s="1028"/>
      <c r="O48" s="869"/>
      <c r="P48" s="869"/>
      <c r="Q48" s="869"/>
      <c r="R48" s="869"/>
      <c r="S48" s="869"/>
      <c r="T48" s="894"/>
      <c r="U48" s="895"/>
      <c r="V48" s="896"/>
      <c r="W48" s="897"/>
      <c r="X48" s="898"/>
      <c r="Y48" s="897"/>
      <c r="Z48" s="899"/>
      <c r="AA48" s="900"/>
      <c r="AB48" s="896"/>
      <c r="AC48" s="900"/>
      <c r="AD48" s="900"/>
      <c r="AE48" s="901"/>
      <c r="AF48" s="902"/>
      <c r="AG48" s="858"/>
      <c r="AH48" s="859"/>
      <c r="AI48" s="859"/>
      <c r="AJ48" s="860" t="s">
        <v>98</v>
      </c>
      <c r="AK48" s="860" t="s">
        <v>98</v>
      </c>
      <c r="AL48" s="860" t="s">
        <v>98</v>
      </c>
      <c r="AM48" s="860" t="s">
        <v>98</v>
      </c>
      <c r="AN48" s="871"/>
    </row>
    <row r="49" spans="1:48" customFormat="1">
      <c r="A49" s="387" t="s">
        <v>191</v>
      </c>
      <c r="B49" s="70" t="s">
        <v>192</v>
      </c>
      <c r="C49" s="71">
        <v>1</v>
      </c>
      <c r="D49" s="83" t="s">
        <v>90</v>
      </c>
      <c r="E49" s="85">
        <v>1248.8699999999999</v>
      </c>
      <c r="F49" s="103">
        <f>rv_mba_mg</f>
        <v>0.17599999999999999</v>
      </c>
      <c r="G49" s="111">
        <f t="shared" ref="G49:G77" si="4">E49-(E49*F49)</f>
        <v>1029.0688799999998</v>
      </c>
      <c r="H49" s="111" t="s">
        <v>91</v>
      </c>
      <c r="I49" s="91">
        <f>mba13_5pl</f>
        <v>48</v>
      </c>
      <c r="J49" s="91">
        <f>G49+I49</f>
        <v>1077.0688799999998</v>
      </c>
      <c r="K49" s="193" t="s">
        <v>92</v>
      </c>
      <c r="L49" s="91">
        <v>0.3</v>
      </c>
      <c r="M49" s="1045" t="s">
        <v>193</v>
      </c>
      <c r="N49" s="1046" t="s">
        <v>94</v>
      </c>
      <c r="O49" s="1065" t="s">
        <v>95</v>
      </c>
      <c r="P49" s="1">
        <f t="shared" si="2"/>
        <v>216.8233869754084</v>
      </c>
      <c r="Q49" s="1">
        <f t="shared" si="2"/>
        <v>112.68451462947166</v>
      </c>
      <c r="R49" s="1">
        <f t="shared" si="2"/>
        <v>81.839408504460636</v>
      </c>
      <c r="S49" s="1">
        <f t="shared" si="2"/>
        <v>70.622203051217014</v>
      </c>
      <c r="T49" s="387" t="s">
        <v>191</v>
      </c>
      <c r="U49" s="70" t="s">
        <v>192</v>
      </c>
      <c r="V49" s="71">
        <v>1</v>
      </c>
      <c r="W49" s="83" t="s">
        <v>90</v>
      </c>
      <c r="X49" s="101" t="s">
        <v>191</v>
      </c>
      <c r="Y49" s="85">
        <v>1248.8699999999999</v>
      </c>
      <c r="Z49" s="103">
        <v>0.17599999999999999</v>
      </c>
      <c r="AA49" s="111">
        <v>1029.0688799999998</v>
      </c>
      <c r="AB49" s="111" t="s">
        <v>91</v>
      </c>
      <c r="AC49" s="91">
        <v>48</v>
      </c>
      <c r="AD49" s="91">
        <v>1077.0688799999998</v>
      </c>
      <c r="AE49" s="193" t="s">
        <v>92</v>
      </c>
      <c r="AF49" s="91">
        <v>0.3</v>
      </c>
      <c r="AG49" s="41" t="s">
        <v>193</v>
      </c>
      <c r="AH49" s="174" t="s">
        <v>94</v>
      </c>
      <c r="AI49" s="174" t="s">
        <v>95</v>
      </c>
      <c r="AJ49" s="1">
        <v>216.8233869754084</v>
      </c>
      <c r="AK49" s="1">
        <v>112.68451462947166</v>
      </c>
      <c r="AL49" s="1">
        <v>81.839408504460636</v>
      </c>
      <c r="AM49" s="1">
        <v>70.622203051217014</v>
      </c>
      <c r="AN49" s="287"/>
      <c r="AO49" s="284"/>
      <c r="AP49" s="284"/>
      <c r="AQ49" s="284"/>
      <c r="AR49" s="284"/>
      <c r="AS49" s="284"/>
      <c r="AT49" s="284"/>
      <c r="AU49" s="284"/>
      <c r="AV49" s="284"/>
    </row>
    <row r="50" spans="1:48" customFormat="1">
      <c r="A50" s="358" t="s">
        <v>194</v>
      </c>
      <c r="B50" s="110" t="s">
        <v>195</v>
      </c>
      <c r="C50" s="87">
        <v>1</v>
      </c>
      <c r="D50" s="88" t="s">
        <v>90</v>
      </c>
      <c r="E50" s="47">
        <v>100</v>
      </c>
      <c r="F50" s="447">
        <f t="shared" ref="F50:F61" si="5">rv_mba_mg_cto</f>
        <v>0.17599999999999999</v>
      </c>
      <c r="G50" s="388">
        <f t="shared" si="4"/>
        <v>82.4</v>
      </c>
      <c r="H50" s="216"/>
      <c r="I50" s="216"/>
      <c r="J50" s="216"/>
      <c r="K50" s="99"/>
      <c r="L50" s="216"/>
      <c r="M50" s="1045" t="s">
        <v>193</v>
      </c>
      <c r="N50" s="1047" t="s">
        <v>94</v>
      </c>
      <c r="O50" s="1066" t="s">
        <v>95</v>
      </c>
      <c r="P50" s="1" t="str">
        <f t="shared" si="2"/>
        <v/>
      </c>
      <c r="Q50" s="1" t="str">
        <f t="shared" si="2"/>
        <v/>
      </c>
      <c r="R50" s="1" t="str">
        <f t="shared" si="2"/>
        <v/>
      </c>
      <c r="S50" s="1" t="str">
        <f t="shared" si="2"/>
        <v/>
      </c>
      <c r="T50" s="358" t="s">
        <v>194</v>
      </c>
      <c r="U50" s="110" t="s">
        <v>195</v>
      </c>
      <c r="V50" s="87">
        <v>1</v>
      </c>
      <c r="W50" s="88" t="s">
        <v>90</v>
      </c>
      <c r="X50" s="208" t="s">
        <v>92</v>
      </c>
      <c r="Y50" s="47">
        <v>100</v>
      </c>
      <c r="Z50" s="447">
        <v>0.17599999999999999</v>
      </c>
      <c r="AA50" s="388">
        <v>82.4</v>
      </c>
      <c r="AB50" s="216"/>
      <c r="AC50" s="216"/>
      <c r="AD50" s="216"/>
      <c r="AE50" s="99" t="s">
        <v>92</v>
      </c>
      <c r="AF50" s="216" t="s">
        <v>92</v>
      </c>
      <c r="AG50" s="41" t="s">
        <v>193</v>
      </c>
      <c r="AH50" s="174" t="s">
        <v>94</v>
      </c>
      <c r="AI50" s="174" t="s">
        <v>95</v>
      </c>
      <c r="AJ50" s="1" t="s">
        <v>98</v>
      </c>
      <c r="AK50" s="1" t="s">
        <v>98</v>
      </c>
      <c r="AL50" s="1" t="s">
        <v>98</v>
      </c>
      <c r="AM50" s="1" t="s">
        <v>98</v>
      </c>
      <c r="AN50" s="287"/>
      <c r="AO50" s="284"/>
      <c r="AP50" s="284"/>
      <c r="AQ50" s="284"/>
      <c r="AR50" s="284"/>
      <c r="AS50" s="284"/>
      <c r="AT50" s="284"/>
      <c r="AU50" s="284"/>
      <c r="AV50" s="284"/>
    </row>
    <row r="51" spans="1:48" customFormat="1">
      <c r="A51" s="358" t="s">
        <v>196</v>
      </c>
      <c r="B51" s="110" t="s">
        <v>197</v>
      </c>
      <c r="C51" s="87">
        <v>1</v>
      </c>
      <c r="D51" s="88" t="s">
        <v>90</v>
      </c>
      <c r="E51" s="47">
        <v>191.67</v>
      </c>
      <c r="F51" s="447">
        <f t="shared" si="5"/>
        <v>0.17599999999999999</v>
      </c>
      <c r="G51" s="388">
        <f t="shared" si="4"/>
        <v>157.93608</v>
      </c>
      <c r="H51" s="216"/>
      <c r="I51" s="216"/>
      <c r="J51" s="216"/>
      <c r="K51" s="99"/>
      <c r="L51" s="216"/>
      <c r="M51" s="1045" t="s">
        <v>193</v>
      </c>
      <c r="N51" s="1047" t="s">
        <v>94</v>
      </c>
      <c r="O51" s="1066" t="s">
        <v>95</v>
      </c>
      <c r="P51" s="1" t="str">
        <f t="shared" si="2"/>
        <v/>
      </c>
      <c r="Q51" s="1" t="str">
        <f t="shared" si="2"/>
        <v/>
      </c>
      <c r="R51" s="1" t="str">
        <f t="shared" si="2"/>
        <v/>
      </c>
      <c r="S51" s="1" t="str">
        <f t="shared" si="2"/>
        <v/>
      </c>
      <c r="T51" s="358" t="s">
        <v>196</v>
      </c>
      <c r="U51" s="110" t="s">
        <v>197</v>
      </c>
      <c r="V51" s="87">
        <v>1</v>
      </c>
      <c r="W51" s="88" t="s">
        <v>90</v>
      </c>
      <c r="X51" s="208" t="s">
        <v>92</v>
      </c>
      <c r="Y51" s="47">
        <v>191.67</v>
      </c>
      <c r="Z51" s="447">
        <v>0.17599999999999999</v>
      </c>
      <c r="AA51" s="388">
        <v>157.93608</v>
      </c>
      <c r="AB51" s="216"/>
      <c r="AC51" s="216"/>
      <c r="AD51" s="216"/>
      <c r="AE51" s="99" t="s">
        <v>92</v>
      </c>
      <c r="AF51" s="216" t="s">
        <v>92</v>
      </c>
      <c r="AG51" s="41" t="s">
        <v>193</v>
      </c>
      <c r="AH51" s="174" t="s">
        <v>94</v>
      </c>
      <c r="AI51" s="174" t="s">
        <v>95</v>
      </c>
      <c r="AJ51" s="1" t="s">
        <v>98</v>
      </c>
      <c r="AK51" s="1" t="s">
        <v>98</v>
      </c>
      <c r="AL51" s="1" t="s">
        <v>98</v>
      </c>
      <c r="AM51" s="1" t="s">
        <v>98</v>
      </c>
      <c r="AN51" s="287"/>
      <c r="AO51" s="284"/>
      <c r="AP51" s="284"/>
      <c r="AQ51" s="284"/>
      <c r="AR51" s="284"/>
      <c r="AS51" s="284"/>
      <c r="AT51" s="284"/>
      <c r="AU51" s="284"/>
      <c r="AV51" s="284"/>
    </row>
    <row r="52" spans="1:48" customFormat="1">
      <c r="A52" s="358" t="s">
        <v>198</v>
      </c>
      <c r="B52" s="110" t="s">
        <v>199</v>
      </c>
      <c r="C52" s="87">
        <v>1</v>
      </c>
      <c r="D52" s="88" t="s">
        <v>90</v>
      </c>
      <c r="E52" s="47">
        <v>383.33</v>
      </c>
      <c r="F52" s="447">
        <f t="shared" si="5"/>
        <v>0.17599999999999999</v>
      </c>
      <c r="G52" s="388">
        <f t="shared" si="4"/>
        <v>315.86392000000001</v>
      </c>
      <c r="H52" s="216"/>
      <c r="I52" s="216"/>
      <c r="J52" s="216"/>
      <c r="K52" s="99"/>
      <c r="L52" s="216"/>
      <c r="M52" s="1045" t="s">
        <v>193</v>
      </c>
      <c r="N52" s="1047" t="s">
        <v>94</v>
      </c>
      <c r="O52" s="1066" t="s">
        <v>95</v>
      </c>
      <c r="P52" s="1" t="str">
        <f t="shared" si="2"/>
        <v/>
      </c>
      <c r="Q52" s="1" t="str">
        <f t="shared" si="2"/>
        <v/>
      </c>
      <c r="R52" s="1" t="str">
        <f t="shared" si="2"/>
        <v/>
      </c>
      <c r="S52" s="1" t="str">
        <f t="shared" si="2"/>
        <v/>
      </c>
      <c r="T52" s="358" t="s">
        <v>198</v>
      </c>
      <c r="U52" s="110" t="s">
        <v>199</v>
      </c>
      <c r="V52" s="87">
        <v>1</v>
      </c>
      <c r="W52" s="88" t="s">
        <v>90</v>
      </c>
      <c r="X52" s="208" t="s">
        <v>92</v>
      </c>
      <c r="Y52" s="47">
        <v>383.33</v>
      </c>
      <c r="Z52" s="447">
        <v>0.17599999999999999</v>
      </c>
      <c r="AA52" s="388">
        <v>315.86392000000001</v>
      </c>
      <c r="AB52" s="216"/>
      <c r="AC52" s="216"/>
      <c r="AD52" s="216"/>
      <c r="AE52" s="99" t="s">
        <v>92</v>
      </c>
      <c r="AF52" s="216" t="s">
        <v>92</v>
      </c>
      <c r="AG52" s="41" t="s">
        <v>193</v>
      </c>
      <c r="AH52" s="174" t="s">
        <v>94</v>
      </c>
      <c r="AI52" s="174" t="s">
        <v>95</v>
      </c>
      <c r="AJ52" s="1" t="s">
        <v>98</v>
      </c>
      <c r="AK52" s="1" t="s">
        <v>98</v>
      </c>
      <c r="AL52" s="1" t="s">
        <v>98</v>
      </c>
      <c r="AM52" s="1" t="s">
        <v>98</v>
      </c>
      <c r="AN52" s="287"/>
      <c r="AO52" s="284"/>
      <c r="AP52" s="284"/>
      <c r="AQ52" s="284"/>
      <c r="AR52" s="284"/>
      <c r="AS52" s="284"/>
      <c r="AT52" s="284"/>
      <c r="AU52" s="284"/>
      <c r="AV52" s="284"/>
    </row>
    <row r="53" spans="1:48" customFormat="1">
      <c r="A53" s="358" t="s">
        <v>200</v>
      </c>
      <c r="B53" s="110" t="s">
        <v>201</v>
      </c>
      <c r="C53" s="87">
        <v>1</v>
      </c>
      <c r="D53" s="88" t="s">
        <v>90</v>
      </c>
      <c r="E53" s="47">
        <v>191.67</v>
      </c>
      <c r="F53" s="447">
        <f t="shared" si="5"/>
        <v>0.17599999999999999</v>
      </c>
      <c r="G53" s="388">
        <f t="shared" si="4"/>
        <v>157.93608</v>
      </c>
      <c r="H53" s="216"/>
      <c r="I53" s="216"/>
      <c r="J53" s="216"/>
      <c r="K53" s="99"/>
      <c r="L53" s="216"/>
      <c r="M53" s="1045" t="s">
        <v>193</v>
      </c>
      <c r="N53" s="1047" t="s">
        <v>94</v>
      </c>
      <c r="O53" s="1066" t="s">
        <v>95</v>
      </c>
      <c r="P53" s="1" t="str">
        <f t="shared" si="2"/>
        <v/>
      </c>
      <c r="Q53" s="1" t="str">
        <f t="shared" si="2"/>
        <v/>
      </c>
      <c r="R53" s="1" t="str">
        <f t="shared" si="2"/>
        <v/>
      </c>
      <c r="S53" s="1" t="str">
        <f t="shared" si="2"/>
        <v/>
      </c>
      <c r="T53" s="358" t="s">
        <v>200</v>
      </c>
      <c r="U53" s="110" t="s">
        <v>201</v>
      </c>
      <c r="V53" s="87">
        <v>1</v>
      </c>
      <c r="W53" s="88" t="s">
        <v>90</v>
      </c>
      <c r="X53" s="208" t="s">
        <v>92</v>
      </c>
      <c r="Y53" s="47">
        <v>191.67</v>
      </c>
      <c r="Z53" s="447">
        <v>0.17599999999999999</v>
      </c>
      <c r="AA53" s="388">
        <v>157.93608</v>
      </c>
      <c r="AB53" s="216"/>
      <c r="AC53" s="216"/>
      <c r="AD53" s="216"/>
      <c r="AE53" s="99" t="s">
        <v>92</v>
      </c>
      <c r="AF53" s="216" t="s">
        <v>92</v>
      </c>
      <c r="AG53" s="41" t="s">
        <v>193</v>
      </c>
      <c r="AH53" s="174" t="s">
        <v>94</v>
      </c>
      <c r="AI53" s="174" t="s">
        <v>95</v>
      </c>
      <c r="AJ53" s="1" t="s">
        <v>98</v>
      </c>
      <c r="AK53" s="1" t="s">
        <v>98</v>
      </c>
      <c r="AL53" s="1" t="s">
        <v>98</v>
      </c>
      <c r="AM53" s="1" t="s">
        <v>98</v>
      </c>
      <c r="AN53" s="287"/>
      <c r="AO53" s="284"/>
      <c r="AP53" s="284"/>
      <c r="AQ53" s="284"/>
      <c r="AR53" s="284"/>
      <c r="AS53" s="284"/>
      <c r="AT53" s="284"/>
      <c r="AU53" s="284"/>
      <c r="AV53" s="284"/>
    </row>
    <row r="54" spans="1:48" customFormat="1">
      <c r="A54" s="358" t="s">
        <v>202</v>
      </c>
      <c r="B54" s="110" t="s">
        <v>203</v>
      </c>
      <c r="C54" s="87">
        <v>1</v>
      </c>
      <c r="D54" s="108" t="s">
        <v>90</v>
      </c>
      <c r="E54" s="47">
        <v>383.33</v>
      </c>
      <c r="F54" s="447">
        <f t="shared" si="5"/>
        <v>0.17599999999999999</v>
      </c>
      <c r="G54" s="388">
        <f t="shared" si="4"/>
        <v>315.86392000000001</v>
      </c>
      <c r="H54" s="216"/>
      <c r="I54" s="216"/>
      <c r="J54" s="216"/>
      <c r="K54" s="99"/>
      <c r="L54" s="216"/>
      <c r="M54" s="1045" t="s">
        <v>193</v>
      </c>
      <c r="N54" s="1047" t="s">
        <v>94</v>
      </c>
      <c r="O54" s="1066" t="s">
        <v>95</v>
      </c>
      <c r="P54" s="1" t="str">
        <f t="shared" si="2"/>
        <v/>
      </c>
      <c r="Q54" s="1" t="str">
        <f t="shared" si="2"/>
        <v/>
      </c>
      <c r="R54" s="1" t="str">
        <f t="shared" si="2"/>
        <v/>
      </c>
      <c r="S54" s="1" t="str">
        <f t="shared" si="2"/>
        <v/>
      </c>
      <c r="T54" s="358" t="s">
        <v>202</v>
      </c>
      <c r="U54" s="110" t="s">
        <v>203</v>
      </c>
      <c r="V54" s="87">
        <v>1</v>
      </c>
      <c r="W54" s="108" t="s">
        <v>90</v>
      </c>
      <c r="X54" s="208" t="s">
        <v>92</v>
      </c>
      <c r="Y54" s="47">
        <v>383.33</v>
      </c>
      <c r="Z54" s="447">
        <v>0.17599999999999999</v>
      </c>
      <c r="AA54" s="388">
        <v>315.86392000000001</v>
      </c>
      <c r="AB54" s="216"/>
      <c r="AC54" s="216"/>
      <c r="AD54" s="216"/>
      <c r="AE54" s="99" t="s">
        <v>92</v>
      </c>
      <c r="AF54" s="216" t="s">
        <v>92</v>
      </c>
      <c r="AG54" s="41" t="s">
        <v>193</v>
      </c>
      <c r="AH54" s="174" t="s">
        <v>94</v>
      </c>
      <c r="AI54" s="174" t="s">
        <v>95</v>
      </c>
      <c r="AJ54" s="1" t="s">
        <v>98</v>
      </c>
      <c r="AK54" s="1" t="s">
        <v>98</v>
      </c>
      <c r="AL54" s="1" t="s">
        <v>98</v>
      </c>
      <c r="AM54" s="1" t="s">
        <v>98</v>
      </c>
      <c r="AN54" s="287"/>
      <c r="AO54" s="284"/>
      <c r="AP54" s="284"/>
      <c r="AQ54" s="284"/>
      <c r="AR54" s="284"/>
      <c r="AS54" s="284"/>
      <c r="AT54" s="284"/>
      <c r="AU54" s="284"/>
      <c r="AV54" s="284"/>
    </row>
    <row r="55" spans="1:48" customFormat="1">
      <c r="A55" s="358" t="s">
        <v>204</v>
      </c>
      <c r="B55" s="110" t="s">
        <v>205</v>
      </c>
      <c r="C55" s="87">
        <v>1</v>
      </c>
      <c r="D55" s="108" t="s">
        <v>90</v>
      </c>
      <c r="E55" s="47">
        <v>766.67</v>
      </c>
      <c r="F55" s="447">
        <f t="shared" si="5"/>
        <v>0.17599999999999999</v>
      </c>
      <c r="G55" s="388">
        <f t="shared" si="4"/>
        <v>631.73608000000002</v>
      </c>
      <c r="H55" s="216"/>
      <c r="I55" s="216"/>
      <c r="J55" s="216"/>
      <c r="K55" s="99"/>
      <c r="L55" s="216"/>
      <c r="M55" s="1045" t="s">
        <v>193</v>
      </c>
      <c r="N55" s="1047" t="s">
        <v>94</v>
      </c>
      <c r="O55" s="1066" t="s">
        <v>95</v>
      </c>
      <c r="P55" s="1" t="str">
        <f t="shared" si="2"/>
        <v/>
      </c>
      <c r="Q55" s="1" t="str">
        <f t="shared" si="2"/>
        <v/>
      </c>
      <c r="R55" s="1" t="str">
        <f t="shared" si="2"/>
        <v/>
      </c>
      <c r="S55" s="1" t="str">
        <f t="shared" si="2"/>
        <v/>
      </c>
      <c r="T55" s="358" t="s">
        <v>204</v>
      </c>
      <c r="U55" s="110" t="s">
        <v>205</v>
      </c>
      <c r="V55" s="87">
        <v>1</v>
      </c>
      <c r="W55" s="108" t="s">
        <v>90</v>
      </c>
      <c r="X55" s="208" t="s">
        <v>92</v>
      </c>
      <c r="Y55" s="47">
        <v>766.67</v>
      </c>
      <c r="Z55" s="447">
        <v>0.17599999999999999</v>
      </c>
      <c r="AA55" s="388">
        <v>631.73608000000002</v>
      </c>
      <c r="AB55" s="216"/>
      <c r="AC55" s="216"/>
      <c r="AD55" s="216"/>
      <c r="AE55" s="99" t="s">
        <v>92</v>
      </c>
      <c r="AF55" s="216" t="s">
        <v>92</v>
      </c>
      <c r="AG55" s="41" t="s">
        <v>193</v>
      </c>
      <c r="AH55" s="174" t="s">
        <v>94</v>
      </c>
      <c r="AI55" s="174" t="s">
        <v>95</v>
      </c>
      <c r="AJ55" s="1" t="s">
        <v>98</v>
      </c>
      <c r="AK55" s="1" t="s">
        <v>98</v>
      </c>
      <c r="AL55" s="1" t="s">
        <v>98</v>
      </c>
      <c r="AM55" s="1" t="s">
        <v>98</v>
      </c>
      <c r="AN55" s="287"/>
      <c r="AO55" s="284"/>
      <c r="AP55" s="284"/>
      <c r="AQ55" s="284"/>
      <c r="AR55" s="284"/>
      <c r="AS55" s="284"/>
      <c r="AT55" s="284"/>
      <c r="AU55" s="284"/>
      <c r="AV55" s="284"/>
    </row>
    <row r="56" spans="1:48" customFormat="1">
      <c r="A56" s="358" t="s">
        <v>206</v>
      </c>
      <c r="B56" s="110" t="s">
        <v>207</v>
      </c>
      <c r="C56" s="87">
        <v>1</v>
      </c>
      <c r="D56" s="108" t="s">
        <v>90</v>
      </c>
      <c r="E56" s="47">
        <v>16.670000000000002</v>
      </c>
      <c r="F56" s="447">
        <f t="shared" si="5"/>
        <v>0.17599999999999999</v>
      </c>
      <c r="G56" s="388">
        <f t="shared" si="4"/>
        <v>13.736080000000001</v>
      </c>
      <c r="H56" s="216"/>
      <c r="I56" s="292"/>
      <c r="J56" s="292"/>
      <c r="K56" s="262"/>
      <c r="L56" s="292"/>
      <c r="M56" s="1045" t="s">
        <v>193</v>
      </c>
      <c r="N56" s="1047" t="s">
        <v>94</v>
      </c>
      <c r="O56" s="1066" t="s">
        <v>95</v>
      </c>
      <c r="P56" s="1" t="str">
        <f t="shared" si="2"/>
        <v/>
      </c>
      <c r="Q56" s="1" t="str">
        <f t="shared" si="2"/>
        <v/>
      </c>
      <c r="R56" s="1" t="str">
        <f t="shared" si="2"/>
        <v/>
      </c>
      <c r="S56" s="1" t="str">
        <f t="shared" si="2"/>
        <v/>
      </c>
      <c r="T56" s="358" t="s">
        <v>206</v>
      </c>
      <c r="U56" s="110" t="s">
        <v>207</v>
      </c>
      <c r="V56" s="87">
        <v>1</v>
      </c>
      <c r="W56" s="108" t="s">
        <v>90</v>
      </c>
      <c r="X56" s="208" t="s">
        <v>92</v>
      </c>
      <c r="Y56" s="47">
        <v>16.670000000000002</v>
      </c>
      <c r="Z56" s="447">
        <v>0.17599999999999999</v>
      </c>
      <c r="AA56" s="388">
        <v>13.736080000000001</v>
      </c>
      <c r="AB56" s="216"/>
      <c r="AC56" s="292"/>
      <c r="AD56" s="292"/>
      <c r="AE56" s="262" t="s">
        <v>92</v>
      </c>
      <c r="AF56" s="292" t="s">
        <v>92</v>
      </c>
      <c r="AG56" s="41" t="s">
        <v>193</v>
      </c>
      <c r="AH56" s="174" t="s">
        <v>94</v>
      </c>
      <c r="AI56" s="174" t="s">
        <v>95</v>
      </c>
      <c r="AJ56" s="1" t="s">
        <v>98</v>
      </c>
      <c r="AK56" s="1" t="s">
        <v>98</v>
      </c>
      <c r="AL56" s="1" t="s">
        <v>98</v>
      </c>
      <c r="AM56" s="1" t="s">
        <v>98</v>
      </c>
      <c r="AN56" s="287"/>
      <c r="AO56" s="284"/>
      <c r="AP56" s="284"/>
      <c r="AQ56" s="284"/>
      <c r="AR56" s="284"/>
      <c r="AS56" s="284"/>
      <c r="AT56" s="284"/>
      <c r="AU56" s="284"/>
      <c r="AV56" s="284"/>
    </row>
    <row r="57" spans="1:48" customFormat="1">
      <c r="A57" s="358" t="s">
        <v>208</v>
      </c>
      <c r="B57" s="110" t="s">
        <v>209</v>
      </c>
      <c r="C57" s="87">
        <v>1</v>
      </c>
      <c r="D57" s="108" t="s">
        <v>90</v>
      </c>
      <c r="E57" s="47">
        <v>16.670000000000002</v>
      </c>
      <c r="F57" s="447">
        <f t="shared" si="5"/>
        <v>0.17599999999999999</v>
      </c>
      <c r="G57" s="388">
        <f t="shared" si="4"/>
        <v>13.736080000000001</v>
      </c>
      <c r="H57" s="270"/>
      <c r="I57" s="270"/>
      <c r="J57" s="270"/>
      <c r="K57" s="121"/>
      <c r="L57" s="270"/>
      <c r="M57" s="1045" t="s">
        <v>193</v>
      </c>
      <c r="N57" s="1047" t="s">
        <v>94</v>
      </c>
      <c r="O57" s="1066" t="s">
        <v>95</v>
      </c>
      <c r="P57" s="1" t="str">
        <f t="shared" si="2"/>
        <v/>
      </c>
      <c r="Q57" s="1" t="str">
        <f t="shared" si="2"/>
        <v/>
      </c>
      <c r="R57" s="1" t="str">
        <f t="shared" si="2"/>
        <v/>
      </c>
      <c r="S57" s="1" t="str">
        <f t="shared" si="2"/>
        <v/>
      </c>
      <c r="T57" s="358" t="s">
        <v>208</v>
      </c>
      <c r="U57" s="110" t="s">
        <v>209</v>
      </c>
      <c r="V57" s="87">
        <v>1</v>
      </c>
      <c r="W57" s="108" t="s">
        <v>90</v>
      </c>
      <c r="X57" s="435"/>
      <c r="Y57" s="47">
        <v>16.670000000000002</v>
      </c>
      <c r="Z57" s="447">
        <v>0.17599999999999999</v>
      </c>
      <c r="AA57" s="388">
        <v>13.736080000000001</v>
      </c>
      <c r="AB57" s="270"/>
      <c r="AC57" s="270"/>
      <c r="AD57" s="270"/>
      <c r="AE57" s="121"/>
      <c r="AF57" s="270"/>
      <c r="AG57" s="41" t="s">
        <v>193</v>
      </c>
      <c r="AH57" s="174" t="s">
        <v>94</v>
      </c>
      <c r="AI57" s="174" t="s">
        <v>95</v>
      </c>
      <c r="AJ57" s="1" t="s">
        <v>98</v>
      </c>
      <c r="AK57" s="1" t="s">
        <v>98</v>
      </c>
      <c r="AL57" s="1" t="s">
        <v>98</v>
      </c>
      <c r="AM57" s="1" t="s">
        <v>98</v>
      </c>
      <c r="AN57" s="287"/>
      <c r="AO57" s="284"/>
      <c r="AP57" s="284"/>
      <c r="AQ57" s="284"/>
      <c r="AR57" s="284"/>
      <c r="AS57" s="284"/>
      <c r="AT57" s="284"/>
      <c r="AU57" s="284"/>
      <c r="AV57" s="284"/>
    </row>
    <row r="58" spans="1:48" customFormat="1">
      <c r="A58" s="358" t="s">
        <v>210</v>
      </c>
      <c r="B58" s="110" t="s">
        <v>211</v>
      </c>
      <c r="C58" s="87">
        <v>1</v>
      </c>
      <c r="D58" s="108" t="s">
        <v>90</v>
      </c>
      <c r="E58" s="47">
        <v>0</v>
      </c>
      <c r="F58" s="447">
        <f t="shared" si="5"/>
        <v>0.17599999999999999</v>
      </c>
      <c r="G58" s="388">
        <f t="shared" si="4"/>
        <v>0</v>
      </c>
      <c r="H58" s="270"/>
      <c r="I58" s="270"/>
      <c r="J58" s="270"/>
      <c r="K58" s="121"/>
      <c r="L58" s="270"/>
      <c r="M58" s="1045" t="s">
        <v>193</v>
      </c>
      <c r="N58" s="1047" t="s">
        <v>94</v>
      </c>
      <c r="O58" s="1066" t="s">
        <v>95</v>
      </c>
      <c r="P58" s="1" t="str">
        <f t="shared" si="2"/>
        <v/>
      </c>
      <c r="Q58" s="1" t="str">
        <f t="shared" si="2"/>
        <v/>
      </c>
      <c r="R58" s="1" t="str">
        <f t="shared" si="2"/>
        <v/>
      </c>
      <c r="S58" s="1" t="str">
        <f t="shared" si="2"/>
        <v/>
      </c>
      <c r="T58" s="358" t="s">
        <v>210</v>
      </c>
      <c r="U58" s="110" t="s">
        <v>211</v>
      </c>
      <c r="V58" s="87">
        <v>1</v>
      </c>
      <c r="W58" s="108" t="s">
        <v>90</v>
      </c>
      <c r="X58" s="435"/>
      <c r="Y58" s="47">
        <v>0</v>
      </c>
      <c r="Z58" s="447">
        <v>0.17599999999999999</v>
      </c>
      <c r="AA58" s="388">
        <v>0</v>
      </c>
      <c r="AB58" s="270"/>
      <c r="AC58" s="270"/>
      <c r="AD58" s="270"/>
      <c r="AE58" s="121"/>
      <c r="AF58" s="270"/>
      <c r="AG58" s="41" t="s">
        <v>193</v>
      </c>
      <c r="AH58" s="174" t="s">
        <v>94</v>
      </c>
      <c r="AI58" s="174" t="s">
        <v>95</v>
      </c>
      <c r="AJ58" s="1" t="s">
        <v>98</v>
      </c>
      <c r="AK58" s="1" t="s">
        <v>98</v>
      </c>
      <c r="AL58" s="1" t="s">
        <v>98</v>
      </c>
      <c r="AM58" s="1" t="s">
        <v>98</v>
      </c>
      <c r="AN58" s="287"/>
      <c r="AO58" s="284"/>
      <c r="AP58" s="284"/>
      <c r="AQ58" s="284"/>
      <c r="AR58" s="284"/>
      <c r="AS58" s="284"/>
      <c r="AT58" s="284"/>
      <c r="AU58" s="284"/>
      <c r="AV58" s="284"/>
    </row>
    <row r="59" spans="1:48" customFormat="1">
      <c r="A59" s="358" t="s">
        <v>212</v>
      </c>
      <c r="B59" s="110" t="s">
        <v>213</v>
      </c>
      <c r="C59" s="87">
        <v>1</v>
      </c>
      <c r="D59" s="108" t="s">
        <v>90</v>
      </c>
      <c r="E59" s="47">
        <v>0</v>
      </c>
      <c r="F59" s="447">
        <f t="shared" si="5"/>
        <v>0.17599999999999999</v>
      </c>
      <c r="G59" s="388">
        <f t="shared" si="4"/>
        <v>0</v>
      </c>
      <c r="H59" s="270"/>
      <c r="I59" s="270"/>
      <c r="J59" s="270"/>
      <c r="K59" s="121"/>
      <c r="L59" s="270"/>
      <c r="M59" s="1045" t="s">
        <v>193</v>
      </c>
      <c r="N59" s="1047" t="s">
        <v>94</v>
      </c>
      <c r="O59" s="1066" t="s">
        <v>95</v>
      </c>
      <c r="P59" s="1" t="str">
        <f t="shared" si="2"/>
        <v/>
      </c>
      <c r="Q59" s="1" t="str">
        <f t="shared" si="2"/>
        <v/>
      </c>
      <c r="R59" s="1" t="str">
        <f t="shared" si="2"/>
        <v/>
      </c>
      <c r="S59" s="1" t="str">
        <f t="shared" si="2"/>
        <v/>
      </c>
      <c r="T59" s="358" t="s">
        <v>212</v>
      </c>
      <c r="U59" s="110" t="s">
        <v>213</v>
      </c>
      <c r="V59" s="87">
        <v>1</v>
      </c>
      <c r="W59" s="108" t="s">
        <v>90</v>
      </c>
      <c r="X59" s="435"/>
      <c r="Y59" s="47">
        <v>0</v>
      </c>
      <c r="Z59" s="447">
        <v>0.17599999999999999</v>
      </c>
      <c r="AA59" s="388">
        <v>0</v>
      </c>
      <c r="AB59" s="270"/>
      <c r="AC59" s="270"/>
      <c r="AD59" s="270"/>
      <c r="AE59" s="121"/>
      <c r="AF59" s="270"/>
      <c r="AG59" s="41" t="s">
        <v>193</v>
      </c>
      <c r="AH59" s="174" t="s">
        <v>94</v>
      </c>
      <c r="AI59" s="174" t="s">
        <v>95</v>
      </c>
      <c r="AJ59" s="1" t="s">
        <v>98</v>
      </c>
      <c r="AK59" s="1" t="s">
        <v>98</v>
      </c>
      <c r="AL59" s="1" t="s">
        <v>98</v>
      </c>
      <c r="AM59" s="1" t="s">
        <v>98</v>
      </c>
      <c r="AN59" s="287"/>
      <c r="AO59" s="284"/>
      <c r="AP59" s="284"/>
      <c r="AQ59" s="284"/>
      <c r="AR59" s="284"/>
      <c r="AS59" s="284"/>
      <c r="AT59" s="284"/>
      <c r="AU59" s="284"/>
      <c r="AV59" s="284"/>
    </row>
    <row r="60" spans="1:48" customFormat="1">
      <c r="A60" s="358"/>
      <c r="B60" s="110"/>
      <c r="C60" s="87"/>
      <c r="D60" s="108"/>
      <c r="E60" s="47"/>
      <c r="F60" s="447"/>
      <c r="G60" s="388"/>
      <c r="H60" s="270"/>
      <c r="I60" s="270"/>
      <c r="J60" s="270"/>
      <c r="K60" s="121"/>
      <c r="L60" s="270"/>
      <c r="M60" s="1045"/>
      <c r="N60" s="1047"/>
      <c r="O60" s="1066"/>
      <c r="P60" s="1"/>
      <c r="Q60" s="1"/>
      <c r="R60" s="1"/>
      <c r="S60" s="1"/>
      <c r="T60" s="358" t="s">
        <v>214</v>
      </c>
      <c r="U60" s="110" t="s">
        <v>215</v>
      </c>
      <c r="V60" s="87">
        <v>1</v>
      </c>
      <c r="W60" s="108" t="s">
        <v>90</v>
      </c>
      <c r="X60" s="435"/>
      <c r="Y60" s="47">
        <v>0</v>
      </c>
      <c r="Z60" s="447">
        <v>0.17599999999999999</v>
      </c>
      <c r="AA60" s="388">
        <v>0</v>
      </c>
      <c r="AB60" s="270"/>
      <c r="AC60" s="270"/>
      <c r="AD60" s="270"/>
      <c r="AE60" s="121"/>
      <c r="AF60" s="270"/>
      <c r="AG60" s="41" t="s">
        <v>193</v>
      </c>
      <c r="AH60" s="174" t="s">
        <v>94</v>
      </c>
      <c r="AI60" s="174" t="s">
        <v>95</v>
      </c>
      <c r="AJ60" s="1" t="s">
        <v>98</v>
      </c>
      <c r="AK60" s="1" t="s">
        <v>98</v>
      </c>
      <c r="AL60" s="1" t="s">
        <v>98</v>
      </c>
      <c r="AM60" s="1" t="s">
        <v>98</v>
      </c>
      <c r="AN60" s="287"/>
      <c r="AO60" s="284"/>
      <c r="AP60" s="284"/>
      <c r="AQ60" s="284"/>
      <c r="AR60" s="284"/>
      <c r="AS60" s="284"/>
      <c r="AT60" s="284"/>
      <c r="AU60" s="284"/>
      <c r="AV60" s="284"/>
    </row>
    <row r="61" spans="1:48" customFormat="1">
      <c r="A61" s="358" t="s">
        <v>216</v>
      </c>
      <c r="B61" s="110" t="s">
        <v>217</v>
      </c>
      <c r="C61" s="87">
        <v>1</v>
      </c>
      <c r="D61" s="108" t="s">
        <v>90</v>
      </c>
      <c r="E61" s="47">
        <v>0</v>
      </c>
      <c r="F61" s="447">
        <f t="shared" si="5"/>
        <v>0.17599999999999999</v>
      </c>
      <c r="G61" s="388">
        <f t="shared" si="4"/>
        <v>0</v>
      </c>
      <c r="H61" s="270"/>
      <c r="I61" s="270"/>
      <c r="J61" s="270"/>
      <c r="K61" s="121"/>
      <c r="L61" s="270"/>
      <c r="M61" s="1045" t="s">
        <v>193</v>
      </c>
      <c r="N61" s="1047" t="s">
        <v>94</v>
      </c>
      <c r="O61" s="1066" t="s">
        <v>95</v>
      </c>
      <c r="P61" s="1" t="str">
        <f t="shared" si="2"/>
        <v/>
      </c>
      <c r="Q61" s="1" t="str">
        <f t="shared" si="2"/>
        <v/>
      </c>
      <c r="R61" s="1" t="str">
        <f t="shared" si="2"/>
        <v/>
      </c>
      <c r="S61" s="1" t="str">
        <f t="shared" si="2"/>
        <v/>
      </c>
      <c r="T61" s="358" t="s">
        <v>216</v>
      </c>
      <c r="U61" s="110" t="s">
        <v>217</v>
      </c>
      <c r="V61" s="87">
        <v>1</v>
      </c>
      <c r="W61" s="108" t="s">
        <v>90</v>
      </c>
      <c r="X61" s="435"/>
      <c r="Y61" s="47">
        <v>0</v>
      </c>
      <c r="Z61" s="447">
        <v>0.17599999999999999</v>
      </c>
      <c r="AA61" s="388">
        <v>0</v>
      </c>
      <c r="AB61" s="270"/>
      <c r="AC61" s="270"/>
      <c r="AD61" s="270"/>
      <c r="AE61" s="121"/>
      <c r="AF61" s="270"/>
      <c r="AG61" s="41" t="s">
        <v>193</v>
      </c>
      <c r="AH61" s="174" t="s">
        <v>94</v>
      </c>
      <c r="AI61" s="174" t="s">
        <v>95</v>
      </c>
      <c r="AJ61" s="1" t="s">
        <v>98</v>
      </c>
      <c r="AK61" s="1" t="s">
        <v>98</v>
      </c>
      <c r="AL61" s="1" t="s">
        <v>98</v>
      </c>
      <c r="AM61" s="1" t="s">
        <v>98</v>
      </c>
      <c r="AN61" s="287"/>
      <c r="AO61" s="284"/>
      <c r="AP61" s="284"/>
      <c r="AQ61" s="284"/>
      <c r="AR61" s="284"/>
      <c r="AS61" s="284"/>
      <c r="AT61" s="284"/>
      <c r="AU61" s="284"/>
      <c r="AV61" s="284"/>
    </row>
    <row r="62" spans="1:48" customFormat="1">
      <c r="A62" s="358"/>
      <c r="B62" s="110"/>
      <c r="C62" s="87"/>
      <c r="D62" s="108"/>
      <c r="E62" s="47"/>
      <c r="F62" s="447"/>
      <c r="G62" s="388"/>
      <c r="H62" s="383"/>
      <c r="I62" s="612"/>
      <c r="J62" s="612"/>
      <c r="K62" s="382"/>
      <c r="L62" s="612"/>
      <c r="M62" s="1045"/>
      <c r="N62" s="1047"/>
      <c r="O62" s="1066"/>
      <c r="P62" s="1"/>
      <c r="Q62" s="1"/>
      <c r="R62" s="1"/>
      <c r="S62" s="1"/>
      <c r="T62" s="358" t="s">
        <v>218</v>
      </c>
      <c r="U62" s="110" t="s">
        <v>219</v>
      </c>
      <c r="V62" s="87">
        <v>1</v>
      </c>
      <c r="W62" s="108" t="s">
        <v>90</v>
      </c>
      <c r="X62" s="436"/>
      <c r="Y62" s="47">
        <v>0</v>
      </c>
      <c r="Z62" s="447">
        <v>0.17599999999999999</v>
      </c>
      <c r="AA62" s="388">
        <v>0</v>
      </c>
      <c r="AB62" s="383"/>
      <c r="AC62" s="612"/>
      <c r="AD62" s="612"/>
      <c r="AE62" s="382"/>
      <c r="AF62" s="612"/>
      <c r="AG62" s="41" t="s">
        <v>193</v>
      </c>
      <c r="AH62" s="174" t="s">
        <v>94</v>
      </c>
      <c r="AI62" s="174" t="s">
        <v>95</v>
      </c>
      <c r="AJ62" s="1" t="s">
        <v>98</v>
      </c>
      <c r="AK62" s="1" t="s">
        <v>98</v>
      </c>
      <c r="AL62" s="1" t="s">
        <v>98</v>
      </c>
      <c r="AM62" s="1" t="s">
        <v>98</v>
      </c>
      <c r="AN62" s="287"/>
      <c r="AO62" s="284"/>
      <c r="AP62" s="284"/>
      <c r="AQ62" s="284"/>
      <c r="AR62" s="284"/>
      <c r="AS62" s="284"/>
      <c r="AT62" s="284"/>
      <c r="AU62" s="284"/>
      <c r="AV62" s="284"/>
    </row>
    <row r="63" spans="1:48" customFormat="1">
      <c r="A63" s="358"/>
      <c r="B63" s="110"/>
      <c r="C63" s="87"/>
      <c r="D63" s="108"/>
      <c r="E63" s="47"/>
      <c r="F63" s="447"/>
      <c r="G63" s="388"/>
      <c r="H63" s="270"/>
      <c r="I63" s="270"/>
      <c r="J63" s="270"/>
      <c r="K63" s="121"/>
      <c r="L63" s="270"/>
      <c r="M63" s="1045"/>
      <c r="N63" s="1047"/>
      <c r="O63" s="1066"/>
      <c r="P63" s="1"/>
      <c r="Q63" s="1"/>
      <c r="R63" s="1"/>
      <c r="S63" s="1"/>
      <c r="T63" s="358" t="s">
        <v>220</v>
      </c>
      <c r="U63" s="110" t="s">
        <v>221</v>
      </c>
      <c r="V63" s="87">
        <v>1</v>
      </c>
      <c r="W63" s="108" t="s">
        <v>90</v>
      </c>
      <c r="X63" s="122"/>
      <c r="Y63" s="47">
        <v>0</v>
      </c>
      <c r="Z63" s="447">
        <v>0.17599999999999999</v>
      </c>
      <c r="AA63" s="388">
        <v>0</v>
      </c>
      <c r="AB63" s="270"/>
      <c r="AC63" s="270"/>
      <c r="AD63" s="270"/>
      <c r="AE63" s="121"/>
      <c r="AF63" s="270"/>
      <c r="AG63" s="41" t="s">
        <v>193</v>
      </c>
      <c r="AH63" s="174" t="s">
        <v>94</v>
      </c>
      <c r="AI63" s="174" t="s">
        <v>95</v>
      </c>
      <c r="AJ63" s="1" t="s">
        <v>98</v>
      </c>
      <c r="AK63" s="1" t="s">
        <v>98</v>
      </c>
      <c r="AL63" s="1" t="s">
        <v>98</v>
      </c>
      <c r="AM63" s="1" t="s">
        <v>98</v>
      </c>
      <c r="AN63" s="287"/>
      <c r="AO63" s="284"/>
      <c r="AP63" s="284"/>
      <c r="AQ63" s="284"/>
      <c r="AR63" s="284"/>
      <c r="AS63" s="284"/>
      <c r="AT63" s="284"/>
      <c r="AU63" s="284"/>
      <c r="AV63" s="284"/>
    </row>
    <row r="64" spans="1:48" customFormat="1">
      <c r="A64" s="358"/>
      <c r="B64" s="110"/>
      <c r="C64" s="87"/>
      <c r="D64" s="108"/>
      <c r="E64" s="47"/>
      <c r="F64" s="447"/>
      <c r="G64" s="388"/>
      <c r="H64" s="216"/>
      <c r="I64" s="216"/>
      <c r="J64" s="216"/>
      <c r="K64" s="99"/>
      <c r="L64" s="216"/>
      <c r="M64" s="1045"/>
      <c r="N64" s="1047"/>
      <c r="O64" s="1066"/>
      <c r="P64" s="1"/>
      <c r="Q64" s="1"/>
      <c r="R64" s="1"/>
      <c r="S64" s="1"/>
      <c r="T64" s="358" t="s">
        <v>222</v>
      </c>
      <c r="U64" s="110" t="s">
        <v>223</v>
      </c>
      <c r="V64" s="87">
        <v>1</v>
      </c>
      <c r="W64" s="108" t="s">
        <v>90</v>
      </c>
      <c r="X64" s="208"/>
      <c r="Y64" s="47">
        <v>0</v>
      </c>
      <c r="Z64" s="447">
        <v>0.17599999999999999</v>
      </c>
      <c r="AA64" s="388">
        <v>0</v>
      </c>
      <c r="AB64" s="216"/>
      <c r="AC64" s="216"/>
      <c r="AD64" s="216"/>
      <c r="AE64" s="99"/>
      <c r="AF64" s="216"/>
      <c r="AG64" s="41" t="s">
        <v>193</v>
      </c>
      <c r="AH64" s="174" t="s">
        <v>94</v>
      </c>
      <c r="AI64" s="174" t="s">
        <v>95</v>
      </c>
      <c r="AJ64" s="1" t="s">
        <v>98</v>
      </c>
      <c r="AK64" s="1" t="s">
        <v>98</v>
      </c>
      <c r="AL64" s="1" t="s">
        <v>98</v>
      </c>
      <c r="AM64" s="1" t="s">
        <v>98</v>
      </c>
      <c r="AN64" s="287"/>
      <c r="AO64" s="284"/>
      <c r="AP64" s="284"/>
      <c r="AQ64" s="284"/>
      <c r="AR64" s="284"/>
      <c r="AS64" s="284"/>
      <c r="AT64" s="284"/>
      <c r="AU64" s="284"/>
      <c r="AV64" s="284"/>
    </row>
    <row r="65" spans="1:48" customFormat="1">
      <c r="A65" s="387" t="s">
        <v>224</v>
      </c>
      <c r="B65" s="70" t="s">
        <v>225</v>
      </c>
      <c r="C65" s="389">
        <v>1</v>
      </c>
      <c r="D65" s="74" t="s">
        <v>90</v>
      </c>
      <c r="E65" s="85">
        <v>1248.8699999999999</v>
      </c>
      <c r="F65" s="103">
        <f>rv_mba_mg</f>
        <v>0.17599999999999999</v>
      </c>
      <c r="G65" s="390">
        <f t="shared" si="4"/>
        <v>1029.0688799999998</v>
      </c>
      <c r="H65" s="608" t="s">
        <v>91</v>
      </c>
      <c r="I65" s="91">
        <f>mba13_5pl</f>
        <v>48</v>
      </c>
      <c r="J65" s="91">
        <f>G65+I65</f>
        <v>1077.0688799999998</v>
      </c>
      <c r="K65" s="193" t="s">
        <v>92</v>
      </c>
      <c r="L65" s="194">
        <v>0.3</v>
      </c>
      <c r="M65" s="1045" t="s">
        <v>193</v>
      </c>
      <c r="N65" s="1047" t="s">
        <v>94</v>
      </c>
      <c r="O65" s="1066" t="s">
        <v>95</v>
      </c>
      <c r="P65" s="1">
        <f t="shared" si="2"/>
        <v>216.8233869754084</v>
      </c>
      <c r="Q65" s="1">
        <f t="shared" si="2"/>
        <v>112.68451462947166</v>
      </c>
      <c r="R65" s="1">
        <f t="shared" si="2"/>
        <v>81.839408504460636</v>
      </c>
      <c r="S65" s="1">
        <f t="shared" si="2"/>
        <v>70.622203051217014</v>
      </c>
      <c r="T65" s="387" t="s">
        <v>224</v>
      </c>
      <c r="U65" s="70" t="s">
        <v>225</v>
      </c>
      <c r="V65" s="389">
        <v>1</v>
      </c>
      <c r="W65" s="74" t="s">
        <v>90</v>
      </c>
      <c r="X65" s="101" t="s">
        <v>224</v>
      </c>
      <c r="Y65" s="85">
        <v>1248.8699999999999</v>
      </c>
      <c r="Z65" s="103">
        <v>0.17599999999999999</v>
      </c>
      <c r="AA65" s="390">
        <v>1029.0688799999998</v>
      </c>
      <c r="AB65" s="608" t="s">
        <v>91</v>
      </c>
      <c r="AC65" s="91">
        <v>48</v>
      </c>
      <c r="AD65" s="91">
        <v>1077.0688799999998</v>
      </c>
      <c r="AE65" s="193" t="s">
        <v>92</v>
      </c>
      <c r="AF65" s="194">
        <v>0.3</v>
      </c>
      <c r="AG65" s="41" t="s">
        <v>193</v>
      </c>
      <c r="AH65" s="174" t="s">
        <v>94</v>
      </c>
      <c r="AI65" s="174" t="s">
        <v>95</v>
      </c>
      <c r="AJ65" s="1">
        <v>216.8233869754084</v>
      </c>
      <c r="AK65" s="1">
        <v>112.68451462947166</v>
      </c>
      <c r="AL65" s="1">
        <v>81.839408504460636</v>
      </c>
      <c r="AM65" s="1">
        <v>70.622203051217014</v>
      </c>
      <c r="AN65" s="287"/>
      <c r="AO65" s="284"/>
      <c r="AP65" s="284"/>
      <c r="AQ65" s="284"/>
      <c r="AR65" s="284"/>
      <c r="AS65" s="284"/>
      <c r="AT65" s="284"/>
      <c r="AU65" s="284"/>
      <c r="AV65" s="284"/>
    </row>
    <row r="66" spans="1:48" customFormat="1">
      <c r="A66" s="358" t="s">
        <v>226</v>
      </c>
      <c r="B66" s="110" t="s">
        <v>227</v>
      </c>
      <c r="C66" s="87">
        <v>1</v>
      </c>
      <c r="D66" s="108" t="s">
        <v>90</v>
      </c>
      <c r="E66" s="47">
        <v>100</v>
      </c>
      <c r="F66" s="447">
        <f t="shared" ref="F66:F77" si="6">rv_mba_mg_cto</f>
        <v>0.17599999999999999</v>
      </c>
      <c r="G66" s="388">
        <f t="shared" si="4"/>
        <v>82.4</v>
      </c>
      <c r="H66" s="216"/>
      <c r="I66" s="216"/>
      <c r="J66" s="216"/>
      <c r="K66" s="99"/>
      <c r="L66" s="269"/>
      <c r="M66" s="1045" t="s">
        <v>193</v>
      </c>
      <c r="N66" s="1047" t="s">
        <v>94</v>
      </c>
      <c r="O66" s="1066" t="s">
        <v>95</v>
      </c>
      <c r="P66" s="1" t="str">
        <f t="shared" si="2"/>
        <v/>
      </c>
      <c r="Q66" s="1" t="str">
        <f t="shared" si="2"/>
        <v/>
      </c>
      <c r="R66" s="1" t="str">
        <f t="shared" si="2"/>
        <v/>
      </c>
      <c r="S66" s="1" t="str">
        <f t="shared" si="2"/>
        <v/>
      </c>
      <c r="T66" s="358" t="s">
        <v>226</v>
      </c>
      <c r="U66" s="110" t="s">
        <v>227</v>
      </c>
      <c r="V66" s="87">
        <v>1</v>
      </c>
      <c r="W66" s="108" t="s">
        <v>90</v>
      </c>
      <c r="X66" s="208"/>
      <c r="Y66" s="47">
        <v>100</v>
      </c>
      <c r="Z66" s="447">
        <v>0.17599999999999999</v>
      </c>
      <c r="AA66" s="388">
        <v>82.4</v>
      </c>
      <c r="AB66" s="216"/>
      <c r="AC66" s="216"/>
      <c r="AD66" s="216"/>
      <c r="AE66" s="99" t="s">
        <v>92</v>
      </c>
      <c r="AF66" s="269" t="s">
        <v>92</v>
      </c>
      <c r="AG66" s="41" t="s">
        <v>193</v>
      </c>
      <c r="AH66" s="174" t="s">
        <v>94</v>
      </c>
      <c r="AI66" s="174" t="s">
        <v>95</v>
      </c>
      <c r="AJ66" s="1" t="s">
        <v>98</v>
      </c>
      <c r="AK66" s="1" t="s">
        <v>98</v>
      </c>
      <c r="AL66" s="1" t="s">
        <v>98</v>
      </c>
      <c r="AM66" s="1" t="s">
        <v>98</v>
      </c>
      <c r="AN66" s="287"/>
      <c r="AO66" s="284"/>
      <c r="AP66" s="284"/>
      <c r="AQ66" s="284"/>
      <c r="AR66" s="284"/>
      <c r="AS66" s="284"/>
      <c r="AT66" s="284"/>
      <c r="AU66" s="284"/>
      <c r="AV66" s="284"/>
    </row>
    <row r="67" spans="1:48" customFormat="1">
      <c r="A67" s="358" t="s">
        <v>228</v>
      </c>
      <c r="B67" s="110" t="s">
        <v>229</v>
      </c>
      <c r="C67" s="87">
        <v>1</v>
      </c>
      <c r="D67" s="108" t="s">
        <v>90</v>
      </c>
      <c r="E67" s="47">
        <v>191.67</v>
      </c>
      <c r="F67" s="447">
        <f t="shared" si="6"/>
        <v>0.17599999999999999</v>
      </c>
      <c r="G67" s="388">
        <f t="shared" si="4"/>
        <v>157.93608</v>
      </c>
      <c r="H67" s="216"/>
      <c r="I67" s="216"/>
      <c r="J67" s="216"/>
      <c r="K67" s="99"/>
      <c r="L67" s="269"/>
      <c r="M67" s="1045" t="s">
        <v>193</v>
      </c>
      <c r="N67" s="1047" t="s">
        <v>94</v>
      </c>
      <c r="O67" s="1066" t="s">
        <v>95</v>
      </c>
      <c r="P67" s="1" t="str">
        <f t="shared" ref="P67:S86" si="7">+IF($J67&lt;&gt;"",P$2*$J67,"")</f>
        <v/>
      </c>
      <c r="Q67" s="1" t="str">
        <f t="shared" si="7"/>
        <v/>
      </c>
      <c r="R67" s="1" t="str">
        <f t="shared" si="7"/>
        <v/>
      </c>
      <c r="S67" s="1" t="str">
        <f t="shared" si="7"/>
        <v/>
      </c>
      <c r="T67" s="358" t="s">
        <v>228</v>
      </c>
      <c r="U67" s="110" t="s">
        <v>229</v>
      </c>
      <c r="V67" s="87">
        <v>1</v>
      </c>
      <c r="W67" s="108" t="s">
        <v>90</v>
      </c>
      <c r="X67" s="208"/>
      <c r="Y67" s="47">
        <v>191.67</v>
      </c>
      <c r="Z67" s="447">
        <v>0.17599999999999999</v>
      </c>
      <c r="AA67" s="388">
        <v>157.93608</v>
      </c>
      <c r="AB67" s="216"/>
      <c r="AC67" s="216"/>
      <c r="AD67" s="216"/>
      <c r="AE67" s="99" t="s">
        <v>92</v>
      </c>
      <c r="AF67" s="269" t="s">
        <v>92</v>
      </c>
      <c r="AG67" s="41" t="s">
        <v>193</v>
      </c>
      <c r="AH67" s="174" t="s">
        <v>94</v>
      </c>
      <c r="AI67" s="174" t="s">
        <v>95</v>
      </c>
      <c r="AJ67" s="1" t="s">
        <v>98</v>
      </c>
      <c r="AK67" s="1" t="s">
        <v>98</v>
      </c>
      <c r="AL67" s="1" t="s">
        <v>98</v>
      </c>
      <c r="AM67" s="1" t="s">
        <v>98</v>
      </c>
      <c r="AN67" s="287"/>
      <c r="AO67" s="284"/>
      <c r="AP67" s="284"/>
      <c r="AQ67" s="284"/>
      <c r="AR67" s="284"/>
      <c r="AS67" s="284"/>
      <c r="AT67" s="284"/>
      <c r="AU67" s="284"/>
      <c r="AV67" s="284"/>
    </row>
    <row r="68" spans="1:48" customFormat="1">
      <c r="A68" s="358" t="s">
        <v>230</v>
      </c>
      <c r="B68" s="110" t="s">
        <v>231</v>
      </c>
      <c r="C68" s="87">
        <v>1</v>
      </c>
      <c r="D68" s="108" t="s">
        <v>90</v>
      </c>
      <c r="E68" s="47">
        <v>383.33</v>
      </c>
      <c r="F68" s="447">
        <f t="shared" si="6"/>
        <v>0.17599999999999999</v>
      </c>
      <c r="G68" s="388">
        <f t="shared" si="4"/>
        <v>315.86392000000001</v>
      </c>
      <c r="H68" s="216"/>
      <c r="I68" s="216"/>
      <c r="J68" s="216"/>
      <c r="K68" s="99"/>
      <c r="L68" s="269"/>
      <c r="M68" s="1045" t="s">
        <v>193</v>
      </c>
      <c r="N68" s="1047" t="s">
        <v>94</v>
      </c>
      <c r="O68" s="1066" t="s">
        <v>95</v>
      </c>
      <c r="P68" s="1" t="str">
        <f t="shared" si="7"/>
        <v/>
      </c>
      <c r="Q68" s="1" t="str">
        <f t="shared" si="7"/>
        <v/>
      </c>
      <c r="R68" s="1" t="str">
        <f t="shared" si="7"/>
        <v/>
      </c>
      <c r="S68" s="1" t="str">
        <f t="shared" si="7"/>
        <v/>
      </c>
      <c r="T68" s="358" t="s">
        <v>230</v>
      </c>
      <c r="U68" s="110" t="s">
        <v>231</v>
      </c>
      <c r="V68" s="87">
        <v>1</v>
      </c>
      <c r="W68" s="108" t="s">
        <v>90</v>
      </c>
      <c r="X68" s="435"/>
      <c r="Y68" s="47">
        <v>383.33</v>
      </c>
      <c r="Z68" s="447">
        <v>0.17599999999999999</v>
      </c>
      <c r="AA68" s="388">
        <v>315.86392000000001</v>
      </c>
      <c r="AB68" s="216"/>
      <c r="AC68" s="216"/>
      <c r="AD68" s="216"/>
      <c r="AE68" s="99" t="s">
        <v>92</v>
      </c>
      <c r="AF68" s="269" t="s">
        <v>92</v>
      </c>
      <c r="AG68" s="41" t="s">
        <v>193</v>
      </c>
      <c r="AH68" s="174" t="s">
        <v>94</v>
      </c>
      <c r="AI68" s="174" t="s">
        <v>95</v>
      </c>
      <c r="AJ68" s="1" t="s">
        <v>98</v>
      </c>
      <c r="AK68" s="1" t="s">
        <v>98</v>
      </c>
      <c r="AL68" s="1" t="s">
        <v>98</v>
      </c>
      <c r="AM68" s="1" t="s">
        <v>98</v>
      </c>
      <c r="AN68" s="287"/>
      <c r="AO68" s="284"/>
      <c r="AP68" s="284"/>
      <c r="AQ68" s="284"/>
      <c r="AR68" s="284"/>
      <c r="AS68" s="284"/>
      <c r="AT68" s="284"/>
      <c r="AU68" s="284"/>
      <c r="AV68" s="284"/>
    </row>
    <row r="69" spans="1:48" customFormat="1">
      <c r="A69" s="358" t="s">
        <v>232</v>
      </c>
      <c r="B69" s="110" t="s">
        <v>233</v>
      </c>
      <c r="C69" s="87">
        <v>1</v>
      </c>
      <c r="D69" s="108" t="s">
        <v>90</v>
      </c>
      <c r="E69" s="47">
        <v>191.67</v>
      </c>
      <c r="F69" s="447">
        <f t="shared" si="6"/>
        <v>0.17599999999999999</v>
      </c>
      <c r="G69" s="388">
        <f t="shared" si="4"/>
        <v>157.93608</v>
      </c>
      <c r="H69" s="216"/>
      <c r="I69" s="216"/>
      <c r="J69" s="216"/>
      <c r="K69" s="99"/>
      <c r="L69" s="269"/>
      <c r="M69" s="1045" t="s">
        <v>193</v>
      </c>
      <c r="N69" s="1047" t="s">
        <v>94</v>
      </c>
      <c r="O69" s="1066" t="s">
        <v>95</v>
      </c>
      <c r="P69" s="1" t="str">
        <f t="shared" si="7"/>
        <v/>
      </c>
      <c r="Q69" s="1" t="str">
        <f t="shared" si="7"/>
        <v/>
      </c>
      <c r="R69" s="1" t="str">
        <f t="shared" si="7"/>
        <v/>
      </c>
      <c r="S69" s="1" t="str">
        <f t="shared" si="7"/>
        <v/>
      </c>
      <c r="T69" s="358" t="s">
        <v>232</v>
      </c>
      <c r="U69" s="110" t="s">
        <v>233</v>
      </c>
      <c r="V69" s="87">
        <v>1</v>
      </c>
      <c r="W69" s="108" t="s">
        <v>90</v>
      </c>
      <c r="X69" s="436"/>
      <c r="Y69" s="47">
        <v>191.67</v>
      </c>
      <c r="Z69" s="447">
        <v>0.17599999999999999</v>
      </c>
      <c r="AA69" s="388">
        <v>157.93608</v>
      </c>
      <c r="AB69" s="216"/>
      <c r="AC69" s="216"/>
      <c r="AD69" s="216"/>
      <c r="AE69" s="99" t="s">
        <v>92</v>
      </c>
      <c r="AF69" s="269" t="s">
        <v>92</v>
      </c>
      <c r="AG69" s="41" t="s">
        <v>193</v>
      </c>
      <c r="AH69" s="174" t="s">
        <v>94</v>
      </c>
      <c r="AI69" s="174" t="s">
        <v>95</v>
      </c>
      <c r="AJ69" s="1" t="s">
        <v>98</v>
      </c>
      <c r="AK69" s="1" t="s">
        <v>98</v>
      </c>
      <c r="AL69" s="1" t="s">
        <v>98</v>
      </c>
      <c r="AM69" s="1" t="s">
        <v>98</v>
      </c>
      <c r="AN69" s="287"/>
      <c r="AO69" s="284"/>
      <c r="AP69" s="284"/>
      <c r="AQ69" s="284"/>
      <c r="AR69" s="284"/>
      <c r="AS69" s="284"/>
      <c r="AT69" s="284"/>
      <c r="AU69" s="284"/>
      <c r="AV69" s="284"/>
    </row>
    <row r="70" spans="1:48" customFormat="1">
      <c r="A70" s="358" t="s">
        <v>234</v>
      </c>
      <c r="B70" s="110" t="s">
        <v>235</v>
      </c>
      <c r="C70" s="87">
        <v>1</v>
      </c>
      <c r="D70" s="108" t="s">
        <v>90</v>
      </c>
      <c r="E70" s="47">
        <v>383.33</v>
      </c>
      <c r="F70" s="447">
        <f t="shared" si="6"/>
        <v>0.17599999999999999</v>
      </c>
      <c r="G70" s="388">
        <f t="shared" si="4"/>
        <v>315.86392000000001</v>
      </c>
      <c r="H70" s="216"/>
      <c r="I70" s="216"/>
      <c r="J70" s="216"/>
      <c r="K70" s="99"/>
      <c r="L70" s="269"/>
      <c r="M70" s="1045" t="s">
        <v>193</v>
      </c>
      <c r="N70" s="1047" t="s">
        <v>94</v>
      </c>
      <c r="O70" s="1066" t="s">
        <v>95</v>
      </c>
      <c r="P70" s="1" t="str">
        <f t="shared" si="7"/>
        <v/>
      </c>
      <c r="Q70" s="1" t="str">
        <f t="shared" si="7"/>
        <v/>
      </c>
      <c r="R70" s="1" t="str">
        <f t="shared" si="7"/>
        <v/>
      </c>
      <c r="S70" s="1" t="str">
        <f t="shared" si="7"/>
        <v/>
      </c>
      <c r="T70" s="358" t="s">
        <v>234</v>
      </c>
      <c r="U70" s="110" t="s">
        <v>235</v>
      </c>
      <c r="V70" s="87">
        <v>1</v>
      </c>
      <c r="W70" s="108" t="s">
        <v>90</v>
      </c>
      <c r="X70" s="436"/>
      <c r="Y70" s="47">
        <v>383.33</v>
      </c>
      <c r="Z70" s="447">
        <v>0.17599999999999999</v>
      </c>
      <c r="AA70" s="388">
        <v>315.86392000000001</v>
      </c>
      <c r="AB70" s="216"/>
      <c r="AC70" s="216"/>
      <c r="AD70" s="216"/>
      <c r="AE70" s="99" t="s">
        <v>92</v>
      </c>
      <c r="AF70" s="269" t="s">
        <v>92</v>
      </c>
      <c r="AG70" s="41" t="s">
        <v>193</v>
      </c>
      <c r="AH70" s="174" t="s">
        <v>94</v>
      </c>
      <c r="AI70" s="174" t="s">
        <v>95</v>
      </c>
      <c r="AJ70" s="1" t="s">
        <v>98</v>
      </c>
      <c r="AK70" s="1" t="s">
        <v>98</v>
      </c>
      <c r="AL70" s="1" t="s">
        <v>98</v>
      </c>
      <c r="AM70" s="1" t="s">
        <v>98</v>
      </c>
      <c r="AN70" s="287"/>
      <c r="AO70" s="284"/>
      <c r="AP70" s="284"/>
      <c r="AQ70" s="284"/>
      <c r="AR70" s="284"/>
      <c r="AS70" s="284"/>
      <c r="AT70" s="284"/>
      <c r="AU70" s="284"/>
      <c r="AV70" s="284"/>
    </row>
    <row r="71" spans="1:48" customFormat="1">
      <c r="A71" s="358" t="s">
        <v>236</v>
      </c>
      <c r="B71" s="110" t="s">
        <v>237</v>
      </c>
      <c r="C71" s="87">
        <v>1</v>
      </c>
      <c r="D71" s="108" t="s">
        <v>90</v>
      </c>
      <c r="E71" s="47">
        <v>766.67</v>
      </c>
      <c r="F71" s="447">
        <f t="shared" si="6"/>
        <v>0.17599999999999999</v>
      </c>
      <c r="G71" s="388">
        <f t="shared" si="4"/>
        <v>631.73608000000002</v>
      </c>
      <c r="H71" s="216"/>
      <c r="I71" s="216"/>
      <c r="J71" s="216"/>
      <c r="K71" s="99"/>
      <c r="L71" s="269"/>
      <c r="M71" s="1045" t="s">
        <v>193</v>
      </c>
      <c r="N71" s="1047" t="s">
        <v>94</v>
      </c>
      <c r="O71" s="1066" t="s">
        <v>95</v>
      </c>
      <c r="P71" s="1" t="str">
        <f t="shared" si="7"/>
        <v/>
      </c>
      <c r="Q71" s="1" t="str">
        <f t="shared" si="7"/>
        <v/>
      </c>
      <c r="R71" s="1" t="str">
        <f t="shared" si="7"/>
        <v/>
      </c>
      <c r="S71" s="1" t="str">
        <f t="shared" si="7"/>
        <v/>
      </c>
      <c r="T71" s="358" t="s">
        <v>236</v>
      </c>
      <c r="U71" s="110" t="s">
        <v>237</v>
      </c>
      <c r="V71" s="87">
        <v>1</v>
      </c>
      <c r="W71" s="108" t="s">
        <v>90</v>
      </c>
      <c r="X71" s="436"/>
      <c r="Y71" s="47">
        <v>766.67</v>
      </c>
      <c r="Z71" s="447">
        <v>0.17599999999999999</v>
      </c>
      <c r="AA71" s="388">
        <v>631.73608000000002</v>
      </c>
      <c r="AB71" s="216"/>
      <c r="AC71" s="216"/>
      <c r="AD71" s="216"/>
      <c r="AE71" s="99" t="s">
        <v>92</v>
      </c>
      <c r="AF71" s="269" t="s">
        <v>92</v>
      </c>
      <c r="AG71" s="41" t="s">
        <v>193</v>
      </c>
      <c r="AH71" s="174" t="s">
        <v>94</v>
      </c>
      <c r="AI71" s="174" t="s">
        <v>95</v>
      </c>
      <c r="AJ71" s="1" t="s">
        <v>98</v>
      </c>
      <c r="AK71" s="1" t="s">
        <v>98</v>
      </c>
      <c r="AL71" s="1" t="s">
        <v>98</v>
      </c>
      <c r="AM71" s="1" t="s">
        <v>98</v>
      </c>
      <c r="AN71" s="287"/>
      <c r="AO71" s="284"/>
      <c r="AP71" s="284"/>
      <c r="AQ71" s="284"/>
      <c r="AR71" s="284"/>
      <c r="AS71" s="284"/>
      <c r="AT71" s="284"/>
      <c r="AU71" s="284"/>
      <c r="AV71" s="284"/>
    </row>
    <row r="72" spans="1:48" customFormat="1">
      <c r="A72" s="358" t="s">
        <v>238</v>
      </c>
      <c r="B72" s="110" t="s">
        <v>239</v>
      </c>
      <c r="C72" s="87">
        <v>1</v>
      </c>
      <c r="D72" s="108" t="s">
        <v>90</v>
      </c>
      <c r="E72" s="47">
        <v>16.670000000000002</v>
      </c>
      <c r="F72" s="447">
        <f t="shared" si="6"/>
        <v>0.17599999999999999</v>
      </c>
      <c r="G72" s="388">
        <f t="shared" si="4"/>
        <v>13.736080000000001</v>
      </c>
      <c r="H72" s="216"/>
      <c r="I72" s="292"/>
      <c r="J72" s="292"/>
      <c r="K72" s="262"/>
      <c r="L72" s="272"/>
      <c r="M72" s="1045" t="s">
        <v>193</v>
      </c>
      <c r="N72" s="1047" t="s">
        <v>94</v>
      </c>
      <c r="O72" s="1066" t="s">
        <v>95</v>
      </c>
      <c r="P72" s="1" t="str">
        <f t="shared" si="7"/>
        <v/>
      </c>
      <c r="Q72" s="1" t="str">
        <f t="shared" si="7"/>
        <v/>
      </c>
      <c r="R72" s="1" t="str">
        <f t="shared" si="7"/>
        <v/>
      </c>
      <c r="S72" s="1" t="str">
        <f t="shared" si="7"/>
        <v/>
      </c>
      <c r="T72" s="358" t="s">
        <v>238</v>
      </c>
      <c r="U72" s="110" t="s">
        <v>239</v>
      </c>
      <c r="V72" s="87">
        <v>1</v>
      </c>
      <c r="W72" s="108" t="s">
        <v>90</v>
      </c>
      <c r="X72" s="436"/>
      <c r="Y72" s="47">
        <v>16.670000000000002</v>
      </c>
      <c r="Z72" s="447">
        <v>0.17599999999999999</v>
      </c>
      <c r="AA72" s="388">
        <v>13.736080000000001</v>
      </c>
      <c r="AB72" s="216"/>
      <c r="AC72" s="292"/>
      <c r="AD72" s="292"/>
      <c r="AE72" s="262" t="s">
        <v>92</v>
      </c>
      <c r="AF72" s="272" t="s">
        <v>92</v>
      </c>
      <c r="AG72" s="41" t="s">
        <v>193</v>
      </c>
      <c r="AH72" s="174" t="s">
        <v>94</v>
      </c>
      <c r="AI72" s="174" t="s">
        <v>95</v>
      </c>
      <c r="AJ72" s="1" t="s">
        <v>98</v>
      </c>
      <c r="AK72" s="1" t="s">
        <v>98</v>
      </c>
      <c r="AL72" s="1" t="s">
        <v>98</v>
      </c>
      <c r="AM72" s="1" t="s">
        <v>98</v>
      </c>
      <c r="AN72" s="287"/>
      <c r="AO72" s="284"/>
      <c r="AP72" s="284"/>
      <c r="AQ72" s="284"/>
      <c r="AR72" s="284"/>
      <c r="AS72" s="284"/>
      <c r="AT72" s="284"/>
      <c r="AU72" s="284"/>
      <c r="AV72" s="284"/>
    </row>
    <row r="73" spans="1:48" customFormat="1">
      <c r="A73" s="358" t="s">
        <v>240</v>
      </c>
      <c r="B73" s="110" t="s">
        <v>241</v>
      </c>
      <c r="C73" s="87">
        <v>1</v>
      </c>
      <c r="D73" s="108" t="s">
        <v>90</v>
      </c>
      <c r="E73" s="47">
        <v>16.670000000000002</v>
      </c>
      <c r="F73" s="447">
        <f t="shared" si="6"/>
        <v>0.17599999999999999</v>
      </c>
      <c r="G73" s="388">
        <f t="shared" si="4"/>
        <v>13.736080000000001</v>
      </c>
      <c r="H73" s="270"/>
      <c r="I73" s="270"/>
      <c r="J73" s="270"/>
      <c r="K73" s="121"/>
      <c r="L73" s="76"/>
      <c r="M73" s="1045" t="s">
        <v>193</v>
      </c>
      <c r="N73" s="1047" t="s">
        <v>94</v>
      </c>
      <c r="O73" s="1066" t="s">
        <v>95</v>
      </c>
      <c r="P73" s="1" t="str">
        <f t="shared" si="7"/>
        <v/>
      </c>
      <c r="Q73" s="1" t="str">
        <f t="shared" si="7"/>
        <v/>
      </c>
      <c r="R73" s="1" t="str">
        <f t="shared" si="7"/>
        <v/>
      </c>
      <c r="S73" s="1" t="str">
        <f t="shared" si="7"/>
        <v/>
      </c>
      <c r="T73" s="358" t="s">
        <v>240</v>
      </c>
      <c r="U73" s="110" t="s">
        <v>241</v>
      </c>
      <c r="V73" s="87">
        <v>1</v>
      </c>
      <c r="W73" s="108" t="s">
        <v>90</v>
      </c>
      <c r="X73" s="436"/>
      <c r="Y73" s="47">
        <v>16.670000000000002</v>
      </c>
      <c r="Z73" s="447">
        <v>0.17599999999999999</v>
      </c>
      <c r="AA73" s="388">
        <v>13.736080000000001</v>
      </c>
      <c r="AB73" s="270"/>
      <c r="AC73" s="270"/>
      <c r="AD73" s="270"/>
      <c r="AE73" s="121"/>
      <c r="AF73" s="76"/>
      <c r="AG73" s="41" t="s">
        <v>193</v>
      </c>
      <c r="AH73" s="174" t="s">
        <v>94</v>
      </c>
      <c r="AI73" s="174" t="s">
        <v>95</v>
      </c>
      <c r="AJ73" s="1" t="s">
        <v>98</v>
      </c>
      <c r="AK73" s="1" t="s">
        <v>98</v>
      </c>
      <c r="AL73" s="1" t="s">
        <v>98</v>
      </c>
      <c r="AM73" s="1" t="s">
        <v>98</v>
      </c>
      <c r="AN73" s="287"/>
      <c r="AO73" s="284"/>
      <c r="AP73" s="284"/>
      <c r="AQ73" s="284"/>
      <c r="AR73" s="284"/>
      <c r="AS73" s="284"/>
      <c r="AT73" s="284"/>
      <c r="AU73" s="284"/>
      <c r="AV73" s="284"/>
    </row>
    <row r="74" spans="1:48" customFormat="1">
      <c r="A74" s="358" t="s">
        <v>242</v>
      </c>
      <c r="B74" s="110" t="s">
        <v>243</v>
      </c>
      <c r="C74" s="87">
        <v>1</v>
      </c>
      <c r="D74" s="108" t="s">
        <v>90</v>
      </c>
      <c r="E74" s="47">
        <v>0</v>
      </c>
      <c r="F74" s="447">
        <f t="shared" si="6"/>
        <v>0.17599999999999999</v>
      </c>
      <c r="G74" s="388">
        <f t="shared" si="4"/>
        <v>0</v>
      </c>
      <c r="H74" s="270"/>
      <c r="I74" s="270"/>
      <c r="J74" s="270"/>
      <c r="K74" s="121"/>
      <c r="L74" s="76"/>
      <c r="M74" s="1045" t="s">
        <v>193</v>
      </c>
      <c r="N74" s="1047" t="s">
        <v>94</v>
      </c>
      <c r="O74" s="1066" t="s">
        <v>95</v>
      </c>
      <c r="P74" s="1" t="str">
        <f t="shared" si="7"/>
        <v/>
      </c>
      <c r="Q74" s="1" t="str">
        <f t="shared" si="7"/>
        <v/>
      </c>
      <c r="R74" s="1" t="str">
        <f t="shared" si="7"/>
        <v/>
      </c>
      <c r="S74" s="1" t="str">
        <f t="shared" si="7"/>
        <v/>
      </c>
      <c r="T74" s="358" t="s">
        <v>242</v>
      </c>
      <c r="U74" s="110" t="s">
        <v>243</v>
      </c>
      <c r="V74" s="87">
        <v>1</v>
      </c>
      <c r="W74" s="108" t="s">
        <v>90</v>
      </c>
      <c r="X74" s="436"/>
      <c r="Y74" s="47">
        <v>0</v>
      </c>
      <c r="Z74" s="447">
        <v>0.17599999999999999</v>
      </c>
      <c r="AA74" s="388">
        <v>0</v>
      </c>
      <c r="AB74" s="270"/>
      <c r="AC74" s="270"/>
      <c r="AD74" s="270"/>
      <c r="AE74" s="121"/>
      <c r="AF74" s="76"/>
      <c r="AG74" s="41" t="s">
        <v>193</v>
      </c>
      <c r="AH74" s="174" t="s">
        <v>94</v>
      </c>
      <c r="AI74" s="174" t="s">
        <v>95</v>
      </c>
      <c r="AJ74" s="1" t="s">
        <v>98</v>
      </c>
      <c r="AK74" s="1" t="s">
        <v>98</v>
      </c>
      <c r="AL74" s="1" t="s">
        <v>98</v>
      </c>
      <c r="AM74" s="1" t="s">
        <v>98</v>
      </c>
      <c r="AN74" s="287"/>
      <c r="AO74" s="284"/>
      <c r="AP74" s="284"/>
      <c r="AQ74" s="284"/>
      <c r="AR74" s="284"/>
      <c r="AS74" s="284"/>
      <c r="AT74" s="284"/>
      <c r="AU74" s="284"/>
      <c r="AV74" s="284"/>
    </row>
    <row r="75" spans="1:48" customFormat="1">
      <c r="A75" s="358" t="s">
        <v>244</v>
      </c>
      <c r="B75" s="110" t="s">
        <v>245</v>
      </c>
      <c r="C75" s="87">
        <v>1</v>
      </c>
      <c r="D75" s="108" t="s">
        <v>90</v>
      </c>
      <c r="E75" s="47">
        <v>0</v>
      </c>
      <c r="F75" s="447">
        <f t="shared" si="6"/>
        <v>0.17599999999999999</v>
      </c>
      <c r="G75" s="388">
        <f t="shared" si="4"/>
        <v>0</v>
      </c>
      <c r="H75" s="270"/>
      <c r="I75" s="270"/>
      <c r="J75" s="270"/>
      <c r="K75" s="121"/>
      <c r="L75" s="76"/>
      <c r="M75" s="1045" t="s">
        <v>193</v>
      </c>
      <c r="N75" s="1047" t="s">
        <v>94</v>
      </c>
      <c r="O75" s="1066" t="s">
        <v>95</v>
      </c>
      <c r="P75" s="1" t="str">
        <f t="shared" si="7"/>
        <v/>
      </c>
      <c r="Q75" s="1" t="str">
        <f t="shared" si="7"/>
        <v/>
      </c>
      <c r="R75" s="1" t="str">
        <f t="shared" si="7"/>
        <v/>
      </c>
      <c r="S75" s="1" t="str">
        <f t="shared" si="7"/>
        <v/>
      </c>
      <c r="T75" s="358" t="s">
        <v>244</v>
      </c>
      <c r="U75" s="110" t="s">
        <v>245</v>
      </c>
      <c r="V75" s="87">
        <v>1</v>
      </c>
      <c r="W75" s="108" t="s">
        <v>90</v>
      </c>
      <c r="X75" s="436"/>
      <c r="Y75" s="47">
        <v>0</v>
      </c>
      <c r="Z75" s="447">
        <v>0.17599999999999999</v>
      </c>
      <c r="AA75" s="388">
        <v>0</v>
      </c>
      <c r="AB75" s="270"/>
      <c r="AC75" s="270"/>
      <c r="AD75" s="270"/>
      <c r="AE75" s="121"/>
      <c r="AF75" s="76"/>
      <c r="AG75" s="41" t="s">
        <v>193</v>
      </c>
      <c r="AH75" s="174" t="s">
        <v>94</v>
      </c>
      <c r="AI75" s="174" t="s">
        <v>95</v>
      </c>
      <c r="AJ75" s="1" t="s">
        <v>98</v>
      </c>
      <c r="AK75" s="1" t="s">
        <v>98</v>
      </c>
      <c r="AL75" s="1" t="s">
        <v>98</v>
      </c>
      <c r="AM75" s="1" t="s">
        <v>98</v>
      </c>
      <c r="AN75" s="287"/>
      <c r="AO75" s="284"/>
      <c r="AP75" s="284"/>
      <c r="AQ75" s="284"/>
      <c r="AR75" s="284"/>
      <c r="AS75" s="284"/>
      <c r="AT75" s="284"/>
      <c r="AU75" s="284"/>
      <c r="AV75" s="284"/>
    </row>
    <row r="76" spans="1:48" customFormat="1">
      <c r="A76" s="358"/>
      <c r="B76" s="110"/>
      <c r="C76" s="87"/>
      <c r="D76" s="108"/>
      <c r="E76" s="47"/>
      <c r="F76" s="447"/>
      <c r="G76" s="388"/>
      <c r="H76" s="270"/>
      <c r="I76" s="270"/>
      <c r="J76" s="270"/>
      <c r="K76" s="121"/>
      <c r="L76" s="76"/>
      <c r="M76" s="1045"/>
      <c r="N76" s="1047"/>
      <c r="O76" s="1066"/>
      <c r="P76" s="1"/>
      <c r="Q76" s="1"/>
      <c r="R76" s="1"/>
      <c r="S76" s="1"/>
      <c r="T76" s="358" t="s">
        <v>246</v>
      </c>
      <c r="U76" s="110" t="s">
        <v>247</v>
      </c>
      <c r="V76" s="87">
        <v>1</v>
      </c>
      <c r="W76" s="108" t="s">
        <v>90</v>
      </c>
      <c r="X76" s="436"/>
      <c r="Y76" s="47">
        <v>0</v>
      </c>
      <c r="Z76" s="447">
        <v>0.17599999999999999</v>
      </c>
      <c r="AA76" s="388">
        <v>0</v>
      </c>
      <c r="AB76" s="270"/>
      <c r="AC76" s="270"/>
      <c r="AD76" s="270"/>
      <c r="AE76" s="121"/>
      <c r="AF76" s="76"/>
      <c r="AG76" s="41" t="s">
        <v>193</v>
      </c>
      <c r="AH76" s="174" t="s">
        <v>94</v>
      </c>
      <c r="AI76" s="174" t="s">
        <v>95</v>
      </c>
      <c r="AJ76" s="1" t="s">
        <v>98</v>
      </c>
      <c r="AK76" s="1" t="s">
        <v>98</v>
      </c>
      <c r="AL76" s="1" t="s">
        <v>98</v>
      </c>
      <c r="AM76" s="1" t="s">
        <v>98</v>
      </c>
      <c r="AN76" s="287"/>
      <c r="AO76" s="284"/>
      <c r="AP76" s="284"/>
      <c r="AQ76" s="284"/>
      <c r="AR76" s="284"/>
      <c r="AS76" s="284"/>
      <c r="AT76" s="284"/>
      <c r="AU76" s="284"/>
      <c r="AV76" s="284"/>
    </row>
    <row r="77" spans="1:48" customFormat="1">
      <c r="A77" s="358" t="s">
        <v>248</v>
      </c>
      <c r="B77" s="110" t="s">
        <v>249</v>
      </c>
      <c r="C77" s="87">
        <v>1</v>
      </c>
      <c r="D77" s="108" t="s">
        <v>90</v>
      </c>
      <c r="E77" s="47">
        <v>0</v>
      </c>
      <c r="F77" s="447">
        <f t="shared" si="6"/>
        <v>0.17599999999999999</v>
      </c>
      <c r="G77" s="388">
        <f t="shared" si="4"/>
        <v>0</v>
      </c>
      <c r="H77" s="270"/>
      <c r="I77" s="270"/>
      <c r="J77" s="270"/>
      <c r="K77" s="121"/>
      <c r="L77" s="76"/>
      <c r="M77" s="1045" t="s">
        <v>193</v>
      </c>
      <c r="N77" s="1047" t="s">
        <v>94</v>
      </c>
      <c r="O77" s="1066" t="s">
        <v>95</v>
      </c>
      <c r="P77" s="1" t="str">
        <f t="shared" si="7"/>
        <v/>
      </c>
      <c r="Q77" s="1" t="str">
        <f t="shared" si="7"/>
        <v/>
      </c>
      <c r="R77" s="1" t="str">
        <f t="shared" si="7"/>
        <v/>
      </c>
      <c r="S77" s="1" t="str">
        <f t="shared" si="7"/>
        <v/>
      </c>
      <c r="T77" s="358" t="s">
        <v>248</v>
      </c>
      <c r="U77" s="110" t="s">
        <v>249</v>
      </c>
      <c r="V77" s="87">
        <v>1</v>
      </c>
      <c r="W77" s="108" t="s">
        <v>90</v>
      </c>
      <c r="X77" s="436"/>
      <c r="Y77" s="47">
        <v>0</v>
      </c>
      <c r="Z77" s="447">
        <v>0.17599999999999999</v>
      </c>
      <c r="AA77" s="388">
        <v>0</v>
      </c>
      <c r="AB77" s="270"/>
      <c r="AC77" s="270"/>
      <c r="AD77" s="270"/>
      <c r="AE77" s="121"/>
      <c r="AF77" s="76"/>
      <c r="AG77" s="41" t="s">
        <v>193</v>
      </c>
      <c r="AH77" s="174" t="s">
        <v>94</v>
      </c>
      <c r="AI77" s="174" t="s">
        <v>95</v>
      </c>
      <c r="AJ77" s="1" t="s">
        <v>98</v>
      </c>
      <c r="AK77" s="1" t="s">
        <v>98</v>
      </c>
      <c r="AL77" s="1" t="s">
        <v>98</v>
      </c>
      <c r="AM77" s="1" t="s">
        <v>98</v>
      </c>
      <c r="AN77" s="287"/>
      <c r="AO77" s="284"/>
      <c r="AP77" s="284"/>
      <c r="AQ77" s="284"/>
      <c r="AR77" s="284"/>
      <c r="AS77" s="284"/>
      <c r="AT77" s="284"/>
      <c r="AU77" s="284"/>
      <c r="AV77" s="284"/>
    </row>
    <row r="78" spans="1:48" customFormat="1">
      <c r="A78" s="358"/>
      <c r="B78" s="110"/>
      <c r="C78" s="87"/>
      <c r="D78" s="108"/>
      <c r="E78" s="47"/>
      <c r="F78" s="447"/>
      <c r="G78" s="388"/>
      <c r="H78" s="383"/>
      <c r="I78" s="612"/>
      <c r="J78" s="612"/>
      <c r="K78" s="382"/>
      <c r="L78" s="403"/>
      <c r="M78" s="1045"/>
      <c r="N78" s="1047"/>
      <c r="O78" s="1066"/>
      <c r="P78" s="1"/>
      <c r="Q78" s="1"/>
      <c r="R78" s="1"/>
      <c r="S78" s="1"/>
      <c r="T78" s="358" t="s">
        <v>250</v>
      </c>
      <c r="U78" s="110" t="s">
        <v>251</v>
      </c>
      <c r="V78" s="87">
        <v>1</v>
      </c>
      <c r="W78" s="108" t="s">
        <v>90</v>
      </c>
      <c r="X78" s="436"/>
      <c r="Y78" s="47">
        <v>0</v>
      </c>
      <c r="Z78" s="447">
        <v>0.17599999999999999</v>
      </c>
      <c r="AA78" s="388">
        <v>0</v>
      </c>
      <c r="AB78" s="383"/>
      <c r="AC78" s="612"/>
      <c r="AD78" s="612"/>
      <c r="AE78" s="382"/>
      <c r="AF78" s="403"/>
      <c r="AG78" s="41" t="s">
        <v>193</v>
      </c>
      <c r="AH78" s="174" t="s">
        <v>94</v>
      </c>
      <c r="AI78" s="174" t="s">
        <v>95</v>
      </c>
      <c r="AJ78" s="1" t="s">
        <v>98</v>
      </c>
      <c r="AK78" s="1" t="s">
        <v>98</v>
      </c>
      <c r="AL78" s="1" t="s">
        <v>98</v>
      </c>
      <c r="AM78" s="1" t="s">
        <v>98</v>
      </c>
      <c r="AN78" s="287"/>
      <c r="AO78" s="284"/>
      <c r="AP78" s="284"/>
      <c r="AQ78" s="284"/>
      <c r="AR78" s="284"/>
      <c r="AS78" s="284"/>
      <c r="AT78" s="284"/>
      <c r="AU78" s="284"/>
      <c r="AV78" s="284"/>
    </row>
    <row r="79" spans="1:48" customFormat="1">
      <c r="A79" s="358"/>
      <c r="B79" s="110"/>
      <c r="C79" s="87"/>
      <c r="D79" s="108"/>
      <c r="E79" s="47"/>
      <c r="F79" s="447"/>
      <c r="G79" s="388"/>
      <c r="H79" s="270"/>
      <c r="I79" s="270"/>
      <c r="J79" s="270"/>
      <c r="K79" s="121"/>
      <c r="L79" s="76"/>
      <c r="M79" s="1045"/>
      <c r="N79" s="1047"/>
      <c r="O79" s="1066"/>
      <c r="P79" s="1"/>
      <c r="Q79" s="1"/>
      <c r="R79" s="1"/>
      <c r="S79" s="1"/>
      <c r="T79" s="358" t="s">
        <v>252</v>
      </c>
      <c r="U79" s="110" t="s">
        <v>253</v>
      </c>
      <c r="V79" s="87">
        <v>1</v>
      </c>
      <c r="W79" s="108" t="s">
        <v>90</v>
      </c>
      <c r="X79" s="436"/>
      <c r="Y79" s="47">
        <v>0</v>
      </c>
      <c r="Z79" s="447">
        <v>0.17599999999999999</v>
      </c>
      <c r="AA79" s="388">
        <v>0</v>
      </c>
      <c r="AB79" s="270"/>
      <c r="AC79" s="270"/>
      <c r="AD79" s="270"/>
      <c r="AE79" s="121"/>
      <c r="AF79" s="76"/>
      <c r="AG79" s="41" t="s">
        <v>193</v>
      </c>
      <c r="AH79" s="174" t="s">
        <v>94</v>
      </c>
      <c r="AI79" s="174" t="s">
        <v>95</v>
      </c>
      <c r="AJ79" s="1" t="s">
        <v>98</v>
      </c>
      <c r="AK79" s="1" t="s">
        <v>98</v>
      </c>
      <c r="AL79" s="1" t="s">
        <v>98</v>
      </c>
      <c r="AM79" s="1" t="s">
        <v>98</v>
      </c>
      <c r="AN79" s="287"/>
      <c r="AO79" s="284"/>
      <c r="AP79" s="284"/>
      <c r="AQ79" s="284"/>
      <c r="AR79" s="284"/>
      <c r="AS79" s="284"/>
      <c r="AT79" s="284"/>
      <c r="AU79" s="284"/>
      <c r="AV79" s="284"/>
    </row>
    <row r="80" spans="1:48" customFormat="1">
      <c r="A80" s="358"/>
      <c r="B80" s="110"/>
      <c r="C80" s="87"/>
      <c r="D80" s="108"/>
      <c r="E80" s="47"/>
      <c r="F80" s="447"/>
      <c r="G80" s="388"/>
      <c r="H80" s="216"/>
      <c r="I80" s="216"/>
      <c r="J80" s="216"/>
      <c r="K80" s="99"/>
      <c r="L80" s="269"/>
      <c r="M80" s="1045"/>
      <c r="N80" s="1047"/>
      <c r="O80" s="1066"/>
      <c r="P80" s="1"/>
      <c r="Q80" s="1"/>
      <c r="R80" s="1"/>
      <c r="S80" s="1"/>
      <c r="T80" s="358" t="s">
        <v>254</v>
      </c>
      <c r="U80" s="110" t="s">
        <v>255</v>
      </c>
      <c r="V80" s="87">
        <v>1</v>
      </c>
      <c r="W80" s="108" t="s">
        <v>90</v>
      </c>
      <c r="X80" s="436"/>
      <c r="Y80" s="47">
        <v>0</v>
      </c>
      <c r="Z80" s="447">
        <v>0.17599999999999999</v>
      </c>
      <c r="AA80" s="388">
        <v>0</v>
      </c>
      <c r="AB80" s="216"/>
      <c r="AC80" s="216"/>
      <c r="AD80" s="216"/>
      <c r="AE80" s="99"/>
      <c r="AF80" s="269"/>
      <c r="AG80" s="41" t="s">
        <v>193</v>
      </c>
      <c r="AH80" s="174" t="s">
        <v>94</v>
      </c>
      <c r="AI80" s="174" t="s">
        <v>95</v>
      </c>
      <c r="AJ80" s="1" t="s">
        <v>98</v>
      </c>
      <c r="AK80" s="1" t="s">
        <v>98</v>
      </c>
      <c r="AL80" s="1" t="s">
        <v>98</v>
      </c>
      <c r="AM80" s="1" t="s">
        <v>98</v>
      </c>
      <c r="AN80" s="287"/>
      <c r="AO80" s="284"/>
      <c r="AP80" s="284"/>
      <c r="AQ80" s="284"/>
      <c r="AR80" s="284"/>
      <c r="AS80" s="284"/>
      <c r="AT80" s="284"/>
      <c r="AU80" s="284"/>
      <c r="AV80" s="284"/>
    </row>
    <row r="81" spans="1:48" customFormat="1">
      <c r="A81" s="387" t="s">
        <v>256</v>
      </c>
      <c r="B81" s="70" t="s">
        <v>257</v>
      </c>
      <c r="C81" s="389">
        <v>1</v>
      </c>
      <c r="D81" s="74" t="s">
        <v>90</v>
      </c>
      <c r="E81" s="85">
        <v>1248.8699999999999</v>
      </c>
      <c r="F81" s="103">
        <f>rv_mba_mg</f>
        <v>0.17599999999999999</v>
      </c>
      <c r="G81" s="390">
        <f t="shared" ref="G81:G109" si="8">E81-(E81*F81)</f>
        <v>1029.0688799999998</v>
      </c>
      <c r="H81" s="608" t="s">
        <v>91</v>
      </c>
      <c r="I81" s="91">
        <f>mba13_5pl</f>
        <v>48</v>
      </c>
      <c r="J81" s="91">
        <f>G81+I81</f>
        <v>1077.0688799999998</v>
      </c>
      <c r="K81" s="193" t="s">
        <v>92</v>
      </c>
      <c r="L81" s="194">
        <v>0.3</v>
      </c>
      <c r="M81" s="1045" t="s">
        <v>193</v>
      </c>
      <c r="N81" s="1047" t="s">
        <v>94</v>
      </c>
      <c r="O81" s="1066" t="s">
        <v>95</v>
      </c>
      <c r="P81" s="1">
        <f t="shared" si="7"/>
        <v>216.8233869754084</v>
      </c>
      <c r="Q81" s="1">
        <f t="shared" si="7"/>
        <v>112.68451462947166</v>
      </c>
      <c r="R81" s="1">
        <f t="shared" si="7"/>
        <v>81.839408504460636</v>
      </c>
      <c r="S81" s="1">
        <f t="shared" si="7"/>
        <v>70.622203051217014</v>
      </c>
      <c r="T81" s="387" t="s">
        <v>256</v>
      </c>
      <c r="U81" s="70" t="s">
        <v>257</v>
      </c>
      <c r="V81" s="389">
        <v>1</v>
      </c>
      <c r="W81" s="74" t="s">
        <v>90</v>
      </c>
      <c r="X81" s="101" t="s">
        <v>256</v>
      </c>
      <c r="Y81" s="85">
        <v>1248.8699999999999</v>
      </c>
      <c r="Z81" s="103">
        <v>0.17599999999999999</v>
      </c>
      <c r="AA81" s="390">
        <v>1029.0688799999998</v>
      </c>
      <c r="AB81" s="608" t="s">
        <v>91</v>
      </c>
      <c r="AC81" s="91">
        <v>48</v>
      </c>
      <c r="AD81" s="91">
        <v>1077.0688799999998</v>
      </c>
      <c r="AE81" s="193" t="s">
        <v>92</v>
      </c>
      <c r="AF81" s="194">
        <v>0.3</v>
      </c>
      <c r="AG81" s="41" t="s">
        <v>193</v>
      </c>
      <c r="AH81" s="174" t="s">
        <v>94</v>
      </c>
      <c r="AI81" s="174" t="s">
        <v>95</v>
      </c>
      <c r="AJ81" s="1">
        <v>216.8233869754084</v>
      </c>
      <c r="AK81" s="1">
        <v>112.68451462947166</v>
      </c>
      <c r="AL81" s="1">
        <v>81.839408504460636</v>
      </c>
      <c r="AM81" s="1">
        <v>70.622203051217014</v>
      </c>
      <c r="AN81" s="287"/>
      <c r="AO81" s="284"/>
      <c r="AP81" s="284"/>
      <c r="AQ81" s="284"/>
      <c r="AR81" s="284"/>
      <c r="AS81" s="284"/>
      <c r="AT81" s="284"/>
      <c r="AU81" s="284"/>
      <c r="AV81" s="284"/>
    </row>
    <row r="82" spans="1:48" customFormat="1">
      <c r="A82" s="358" t="s">
        <v>258</v>
      </c>
      <c r="B82" s="110" t="s">
        <v>259</v>
      </c>
      <c r="C82" s="87">
        <v>1</v>
      </c>
      <c r="D82" s="108" t="s">
        <v>90</v>
      </c>
      <c r="E82" s="47">
        <v>100</v>
      </c>
      <c r="F82" s="447">
        <f t="shared" ref="F82:F93" si="9">rv_mba_mg_cto</f>
        <v>0.17599999999999999</v>
      </c>
      <c r="G82" s="388">
        <f t="shared" si="8"/>
        <v>82.4</v>
      </c>
      <c r="H82" s="269"/>
      <c r="I82" s="216"/>
      <c r="J82" s="216"/>
      <c r="K82" s="99"/>
      <c r="L82" s="269"/>
      <c r="M82" s="1045" t="s">
        <v>193</v>
      </c>
      <c r="N82" s="1047" t="s">
        <v>94</v>
      </c>
      <c r="O82" s="1066" t="s">
        <v>95</v>
      </c>
      <c r="P82" s="1" t="str">
        <f t="shared" si="7"/>
        <v/>
      </c>
      <c r="Q82" s="1" t="str">
        <f t="shared" si="7"/>
        <v/>
      </c>
      <c r="R82" s="1" t="str">
        <f t="shared" si="7"/>
        <v/>
      </c>
      <c r="S82" s="1" t="str">
        <f t="shared" si="7"/>
        <v/>
      </c>
      <c r="T82" s="358" t="s">
        <v>258</v>
      </c>
      <c r="U82" s="110" t="s">
        <v>259</v>
      </c>
      <c r="V82" s="87">
        <v>1</v>
      </c>
      <c r="W82" s="108" t="s">
        <v>90</v>
      </c>
      <c r="X82" s="436"/>
      <c r="Y82" s="47">
        <v>100</v>
      </c>
      <c r="Z82" s="447">
        <v>0.17599999999999999</v>
      </c>
      <c r="AA82" s="388">
        <v>82.4</v>
      </c>
      <c r="AB82" s="269"/>
      <c r="AC82" s="216"/>
      <c r="AD82" s="216"/>
      <c r="AE82" s="99" t="s">
        <v>92</v>
      </c>
      <c r="AF82" s="269" t="s">
        <v>92</v>
      </c>
      <c r="AG82" s="41" t="s">
        <v>193</v>
      </c>
      <c r="AH82" s="174" t="s">
        <v>94</v>
      </c>
      <c r="AI82" s="174" t="s">
        <v>95</v>
      </c>
      <c r="AJ82" s="1" t="s">
        <v>98</v>
      </c>
      <c r="AK82" s="1" t="s">
        <v>98</v>
      </c>
      <c r="AL82" s="1" t="s">
        <v>98</v>
      </c>
      <c r="AM82" s="1" t="s">
        <v>98</v>
      </c>
      <c r="AN82" s="287"/>
      <c r="AO82" s="284"/>
      <c r="AP82" s="284"/>
      <c r="AQ82" s="284"/>
      <c r="AR82" s="284"/>
      <c r="AS82" s="284"/>
      <c r="AT82" s="284"/>
      <c r="AU82" s="284"/>
      <c r="AV82" s="284"/>
    </row>
    <row r="83" spans="1:48" customFormat="1">
      <c r="A83" s="358" t="s">
        <v>260</v>
      </c>
      <c r="B83" s="110" t="s">
        <v>261</v>
      </c>
      <c r="C83" s="87">
        <v>1</v>
      </c>
      <c r="D83" s="108" t="s">
        <v>90</v>
      </c>
      <c r="E83" s="47">
        <v>191.67</v>
      </c>
      <c r="F83" s="447">
        <f t="shared" si="9"/>
        <v>0.17599999999999999</v>
      </c>
      <c r="G83" s="388">
        <f t="shared" si="8"/>
        <v>157.93608</v>
      </c>
      <c r="H83" s="269"/>
      <c r="I83" s="216"/>
      <c r="J83" s="216"/>
      <c r="K83" s="99"/>
      <c r="L83" s="269"/>
      <c r="M83" s="1045" t="s">
        <v>193</v>
      </c>
      <c r="N83" s="1047" t="s">
        <v>94</v>
      </c>
      <c r="O83" s="1066" t="s">
        <v>95</v>
      </c>
      <c r="P83" s="1" t="str">
        <f t="shared" si="7"/>
        <v/>
      </c>
      <c r="Q83" s="1" t="str">
        <f t="shared" si="7"/>
        <v/>
      </c>
      <c r="R83" s="1" t="str">
        <f t="shared" si="7"/>
        <v/>
      </c>
      <c r="S83" s="1" t="str">
        <f t="shared" si="7"/>
        <v/>
      </c>
      <c r="T83" s="358" t="s">
        <v>260</v>
      </c>
      <c r="U83" s="110" t="s">
        <v>261</v>
      </c>
      <c r="V83" s="87">
        <v>1</v>
      </c>
      <c r="W83" s="108" t="s">
        <v>90</v>
      </c>
      <c r="X83" s="436"/>
      <c r="Y83" s="47">
        <v>191.67</v>
      </c>
      <c r="Z83" s="447">
        <v>0.17599999999999999</v>
      </c>
      <c r="AA83" s="388">
        <v>157.93608</v>
      </c>
      <c r="AB83" s="269"/>
      <c r="AC83" s="216"/>
      <c r="AD83" s="216"/>
      <c r="AE83" s="99" t="s">
        <v>92</v>
      </c>
      <c r="AF83" s="269" t="s">
        <v>92</v>
      </c>
      <c r="AG83" s="41" t="s">
        <v>193</v>
      </c>
      <c r="AH83" s="174" t="s">
        <v>94</v>
      </c>
      <c r="AI83" s="174" t="s">
        <v>95</v>
      </c>
      <c r="AJ83" s="1" t="s">
        <v>98</v>
      </c>
      <c r="AK83" s="1" t="s">
        <v>98</v>
      </c>
      <c r="AL83" s="1" t="s">
        <v>98</v>
      </c>
      <c r="AM83" s="1" t="s">
        <v>98</v>
      </c>
      <c r="AN83" s="287"/>
      <c r="AO83" s="284"/>
      <c r="AP83" s="284"/>
      <c r="AQ83" s="284"/>
      <c r="AR83" s="284"/>
      <c r="AS83" s="284"/>
      <c r="AT83" s="284"/>
      <c r="AU83" s="284"/>
      <c r="AV83" s="284"/>
    </row>
    <row r="84" spans="1:48" customFormat="1">
      <c r="A84" s="358" t="s">
        <v>262</v>
      </c>
      <c r="B84" s="110" t="s">
        <v>263</v>
      </c>
      <c r="C84" s="87">
        <v>1</v>
      </c>
      <c r="D84" s="108" t="s">
        <v>90</v>
      </c>
      <c r="E84" s="47">
        <v>383.33</v>
      </c>
      <c r="F84" s="447">
        <f t="shared" si="9"/>
        <v>0.17599999999999999</v>
      </c>
      <c r="G84" s="388">
        <f t="shared" si="8"/>
        <v>315.86392000000001</v>
      </c>
      <c r="H84" s="269"/>
      <c r="I84" s="216"/>
      <c r="J84" s="216"/>
      <c r="K84" s="99"/>
      <c r="L84" s="269"/>
      <c r="M84" s="1045" t="s">
        <v>193</v>
      </c>
      <c r="N84" s="1047" t="s">
        <v>94</v>
      </c>
      <c r="O84" s="1066" t="s">
        <v>95</v>
      </c>
      <c r="P84" s="1" t="str">
        <f t="shared" si="7"/>
        <v/>
      </c>
      <c r="Q84" s="1" t="str">
        <f t="shared" si="7"/>
        <v/>
      </c>
      <c r="R84" s="1" t="str">
        <f t="shared" si="7"/>
        <v/>
      </c>
      <c r="S84" s="1" t="str">
        <f t="shared" si="7"/>
        <v/>
      </c>
      <c r="T84" s="358" t="s">
        <v>262</v>
      </c>
      <c r="U84" s="110" t="s">
        <v>263</v>
      </c>
      <c r="V84" s="87">
        <v>1</v>
      </c>
      <c r="W84" s="108" t="s">
        <v>90</v>
      </c>
      <c r="X84" s="436"/>
      <c r="Y84" s="47">
        <v>383.33</v>
      </c>
      <c r="Z84" s="447">
        <v>0.17599999999999999</v>
      </c>
      <c r="AA84" s="388">
        <v>315.86392000000001</v>
      </c>
      <c r="AB84" s="269"/>
      <c r="AC84" s="216"/>
      <c r="AD84" s="216"/>
      <c r="AE84" s="99" t="s">
        <v>92</v>
      </c>
      <c r="AF84" s="269" t="s">
        <v>92</v>
      </c>
      <c r="AG84" s="41" t="s">
        <v>193</v>
      </c>
      <c r="AH84" s="174" t="s">
        <v>94</v>
      </c>
      <c r="AI84" s="174" t="s">
        <v>95</v>
      </c>
      <c r="AJ84" s="1" t="s">
        <v>98</v>
      </c>
      <c r="AK84" s="1" t="s">
        <v>98</v>
      </c>
      <c r="AL84" s="1" t="s">
        <v>98</v>
      </c>
      <c r="AM84" s="1" t="s">
        <v>98</v>
      </c>
      <c r="AN84" s="287"/>
      <c r="AO84" s="284"/>
      <c r="AP84" s="284"/>
      <c r="AQ84" s="284"/>
      <c r="AR84" s="284"/>
      <c r="AS84" s="284"/>
      <c r="AT84" s="284"/>
      <c r="AU84" s="284"/>
      <c r="AV84" s="284"/>
    </row>
    <row r="85" spans="1:48" customFormat="1">
      <c r="A85" s="358" t="s">
        <v>264</v>
      </c>
      <c r="B85" s="110" t="s">
        <v>265</v>
      </c>
      <c r="C85" s="87">
        <v>1</v>
      </c>
      <c r="D85" s="108" t="s">
        <v>90</v>
      </c>
      <c r="E85" s="47">
        <v>191.67</v>
      </c>
      <c r="F85" s="447">
        <f t="shared" si="9"/>
        <v>0.17599999999999999</v>
      </c>
      <c r="G85" s="388">
        <f t="shared" si="8"/>
        <v>157.93608</v>
      </c>
      <c r="H85" s="269"/>
      <c r="I85" s="216"/>
      <c r="J85" s="216"/>
      <c r="K85" s="99"/>
      <c r="L85" s="269"/>
      <c r="M85" s="1045" t="s">
        <v>193</v>
      </c>
      <c r="N85" s="1047" t="s">
        <v>94</v>
      </c>
      <c r="O85" s="1066" t="s">
        <v>95</v>
      </c>
      <c r="P85" s="1" t="str">
        <f t="shared" si="7"/>
        <v/>
      </c>
      <c r="Q85" s="1" t="str">
        <f t="shared" si="7"/>
        <v/>
      </c>
      <c r="R85" s="1" t="str">
        <f t="shared" si="7"/>
        <v/>
      </c>
      <c r="S85" s="1" t="str">
        <f t="shared" si="7"/>
        <v/>
      </c>
      <c r="T85" s="358" t="s">
        <v>264</v>
      </c>
      <c r="U85" s="110" t="s">
        <v>265</v>
      </c>
      <c r="V85" s="87">
        <v>1</v>
      </c>
      <c r="W85" s="108" t="s">
        <v>90</v>
      </c>
      <c r="X85" s="436"/>
      <c r="Y85" s="47">
        <v>191.67</v>
      </c>
      <c r="Z85" s="447">
        <v>0.17599999999999999</v>
      </c>
      <c r="AA85" s="388">
        <v>157.93608</v>
      </c>
      <c r="AB85" s="269"/>
      <c r="AC85" s="216"/>
      <c r="AD85" s="216"/>
      <c r="AE85" s="99" t="s">
        <v>92</v>
      </c>
      <c r="AF85" s="269" t="s">
        <v>92</v>
      </c>
      <c r="AG85" s="41" t="s">
        <v>193</v>
      </c>
      <c r="AH85" s="174" t="s">
        <v>94</v>
      </c>
      <c r="AI85" s="174" t="s">
        <v>95</v>
      </c>
      <c r="AJ85" s="1" t="s">
        <v>98</v>
      </c>
      <c r="AK85" s="1" t="s">
        <v>98</v>
      </c>
      <c r="AL85" s="1" t="s">
        <v>98</v>
      </c>
      <c r="AM85" s="1" t="s">
        <v>98</v>
      </c>
      <c r="AN85" s="287"/>
      <c r="AO85" s="284"/>
      <c r="AP85" s="284"/>
      <c r="AQ85" s="284"/>
      <c r="AR85" s="284"/>
      <c r="AS85" s="284"/>
      <c r="AT85" s="284"/>
      <c r="AU85" s="284"/>
      <c r="AV85" s="284"/>
    </row>
    <row r="86" spans="1:48" customFormat="1">
      <c r="A86" s="358" t="s">
        <v>266</v>
      </c>
      <c r="B86" s="110" t="s">
        <v>267</v>
      </c>
      <c r="C86" s="87">
        <v>1</v>
      </c>
      <c r="D86" s="108" t="s">
        <v>90</v>
      </c>
      <c r="E86" s="47">
        <v>383.33</v>
      </c>
      <c r="F86" s="447">
        <f t="shared" si="9"/>
        <v>0.17599999999999999</v>
      </c>
      <c r="G86" s="388">
        <f t="shared" si="8"/>
        <v>315.86392000000001</v>
      </c>
      <c r="H86" s="269"/>
      <c r="I86" s="216"/>
      <c r="J86" s="216"/>
      <c r="K86" s="99"/>
      <c r="L86" s="269"/>
      <c r="M86" s="1045" t="s">
        <v>193</v>
      </c>
      <c r="N86" s="1047" t="s">
        <v>94</v>
      </c>
      <c r="O86" s="1066" t="s">
        <v>95</v>
      </c>
      <c r="P86" s="1" t="str">
        <f t="shared" si="7"/>
        <v/>
      </c>
      <c r="Q86" s="1" t="str">
        <f t="shared" si="7"/>
        <v/>
      </c>
      <c r="R86" s="1" t="str">
        <f t="shared" si="7"/>
        <v/>
      </c>
      <c r="S86" s="1" t="str">
        <f t="shared" si="7"/>
        <v/>
      </c>
      <c r="T86" s="358" t="s">
        <v>266</v>
      </c>
      <c r="U86" s="110" t="s">
        <v>267</v>
      </c>
      <c r="V86" s="87">
        <v>1</v>
      </c>
      <c r="W86" s="108" t="s">
        <v>90</v>
      </c>
      <c r="X86" s="436"/>
      <c r="Y86" s="47">
        <v>383.33</v>
      </c>
      <c r="Z86" s="447">
        <v>0.17599999999999999</v>
      </c>
      <c r="AA86" s="388">
        <v>315.86392000000001</v>
      </c>
      <c r="AB86" s="269"/>
      <c r="AC86" s="216"/>
      <c r="AD86" s="216"/>
      <c r="AE86" s="99" t="s">
        <v>92</v>
      </c>
      <c r="AF86" s="269" t="s">
        <v>92</v>
      </c>
      <c r="AG86" s="41" t="s">
        <v>193</v>
      </c>
      <c r="AH86" s="174" t="s">
        <v>94</v>
      </c>
      <c r="AI86" s="174" t="s">
        <v>95</v>
      </c>
      <c r="AJ86" s="1" t="s">
        <v>98</v>
      </c>
      <c r="AK86" s="1" t="s">
        <v>98</v>
      </c>
      <c r="AL86" s="1" t="s">
        <v>98</v>
      </c>
      <c r="AM86" s="1" t="s">
        <v>98</v>
      </c>
      <c r="AN86" s="287"/>
      <c r="AO86" s="284"/>
      <c r="AP86" s="284"/>
      <c r="AQ86" s="284"/>
      <c r="AR86" s="284"/>
      <c r="AS86" s="284"/>
      <c r="AT86" s="284"/>
      <c r="AU86" s="284"/>
      <c r="AV86" s="284"/>
    </row>
    <row r="87" spans="1:48" customFormat="1">
      <c r="A87" s="358" t="s">
        <v>268</v>
      </c>
      <c r="B87" s="110" t="s">
        <v>269</v>
      </c>
      <c r="C87" s="87">
        <v>1</v>
      </c>
      <c r="D87" s="108" t="s">
        <v>90</v>
      </c>
      <c r="E87" s="47">
        <v>766.67</v>
      </c>
      <c r="F87" s="447">
        <f t="shared" si="9"/>
        <v>0.17599999999999999</v>
      </c>
      <c r="G87" s="388">
        <f t="shared" si="8"/>
        <v>631.73608000000002</v>
      </c>
      <c r="H87" s="269"/>
      <c r="I87" s="216"/>
      <c r="J87" s="216"/>
      <c r="K87" s="99"/>
      <c r="L87" s="269"/>
      <c r="M87" s="1045" t="s">
        <v>193</v>
      </c>
      <c r="N87" s="1047" t="s">
        <v>94</v>
      </c>
      <c r="O87" s="1066" t="s">
        <v>95</v>
      </c>
      <c r="P87" s="1" t="str">
        <f t="shared" ref="P87:S106" si="10">+IF($J87&lt;&gt;"",P$2*$J87,"")</f>
        <v/>
      </c>
      <c r="Q87" s="1" t="str">
        <f t="shared" si="10"/>
        <v/>
      </c>
      <c r="R87" s="1" t="str">
        <f t="shared" si="10"/>
        <v/>
      </c>
      <c r="S87" s="1" t="str">
        <f t="shared" si="10"/>
        <v/>
      </c>
      <c r="T87" s="358" t="s">
        <v>268</v>
      </c>
      <c r="U87" s="110" t="s">
        <v>269</v>
      </c>
      <c r="V87" s="87">
        <v>1</v>
      </c>
      <c r="W87" s="108" t="s">
        <v>90</v>
      </c>
      <c r="X87" s="436"/>
      <c r="Y87" s="47">
        <v>766.67</v>
      </c>
      <c r="Z87" s="447">
        <v>0.17599999999999999</v>
      </c>
      <c r="AA87" s="388">
        <v>631.73608000000002</v>
      </c>
      <c r="AB87" s="269"/>
      <c r="AC87" s="216"/>
      <c r="AD87" s="216"/>
      <c r="AE87" s="99" t="s">
        <v>92</v>
      </c>
      <c r="AF87" s="269" t="s">
        <v>92</v>
      </c>
      <c r="AG87" s="41" t="s">
        <v>193</v>
      </c>
      <c r="AH87" s="174" t="s">
        <v>94</v>
      </c>
      <c r="AI87" s="174" t="s">
        <v>95</v>
      </c>
      <c r="AJ87" s="1" t="s">
        <v>98</v>
      </c>
      <c r="AK87" s="1" t="s">
        <v>98</v>
      </c>
      <c r="AL87" s="1" t="s">
        <v>98</v>
      </c>
      <c r="AM87" s="1" t="s">
        <v>98</v>
      </c>
      <c r="AN87" s="287"/>
      <c r="AO87" s="284"/>
      <c r="AP87" s="284"/>
      <c r="AQ87" s="284"/>
      <c r="AR87" s="284"/>
      <c r="AS87" s="284"/>
      <c r="AT87" s="284"/>
      <c r="AU87" s="284"/>
      <c r="AV87" s="284"/>
    </row>
    <row r="88" spans="1:48" customFormat="1">
      <c r="A88" s="358" t="s">
        <v>270</v>
      </c>
      <c r="B88" s="110" t="s">
        <v>271</v>
      </c>
      <c r="C88" s="87">
        <v>1</v>
      </c>
      <c r="D88" s="108" t="s">
        <v>90</v>
      </c>
      <c r="E88" s="47">
        <v>16.670000000000002</v>
      </c>
      <c r="F88" s="447">
        <f t="shared" si="9"/>
        <v>0.17599999999999999</v>
      </c>
      <c r="G88" s="388">
        <f t="shared" si="8"/>
        <v>13.736080000000001</v>
      </c>
      <c r="H88" s="269"/>
      <c r="I88" s="292"/>
      <c r="J88" s="292"/>
      <c r="K88" s="262"/>
      <c r="L88" s="272"/>
      <c r="M88" s="1045" t="s">
        <v>193</v>
      </c>
      <c r="N88" s="1047" t="s">
        <v>94</v>
      </c>
      <c r="O88" s="1066" t="s">
        <v>95</v>
      </c>
      <c r="P88" s="1" t="str">
        <f t="shared" si="10"/>
        <v/>
      </c>
      <c r="Q88" s="1" t="str">
        <f t="shared" si="10"/>
        <v/>
      </c>
      <c r="R88" s="1" t="str">
        <f t="shared" si="10"/>
        <v/>
      </c>
      <c r="S88" s="1" t="str">
        <f t="shared" si="10"/>
        <v/>
      </c>
      <c r="T88" s="358" t="s">
        <v>270</v>
      </c>
      <c r="U88" s="110" t="s">
        <v>271</v>
      </c>
      <c r="V88" s="87">
        <v>1</v>
      </c>
      <c r="W88" s="108" t="s">
        <v>90</v>
      </c>
      <c r="X88" s="436"/>
      <c r="Y88" s="47">
        <v>16.670000000000002</v>
      </c>
      <c r="Z88" s="447">
        <v>0.17599999999999999</v>
      </c>
      <c r="AA88" s="388">
        <v>13.736080000000001</v>
      </c>
      <c r="AB88" s="269"/>
      <c r="AC88" s="292"/>
      <c r="AD88" s="292"/>
      <c r="AE88" s="262" t="s">
        <v>92</v>
      </c>
      <c r="AF88" s="272" t="s">
        <v>92</v>
      </c>
      <c r="AG88" s="41" t="s">
        <v>193</v>
      </c>
      <c r="AH88" s="174" t="s">
        <v>94</v>
      </c>
      <c r="AI88" s="174" t="s">
        <v>95</v>
      </c>
      <c r="AJ88" s="1" t="s">
        <v>98</v>
      </c>
      <c r="AK88" s="1" t="s">
        <v>98</v>
      </c>
      <c r="AL88" s="1" t="s">
        <v>98</v>
      </c>
      <c r="AM88" s="1" t="s">
        <v>98</v>
      </c>
      <c r="AN88" s="287"/>
      <c r="AO88" s="284"/>
      <c r="AP88" s="284"/>
      <c r="AQ88" s="284"/>
      <c r="AR88" s="284"/>
      <c r="AS88" s="284"/>
      <c r="AT88" s="284"/>
      <c r="AU88" s="284"/>
      <c r="AV88" s="284"/>
    </row>
    <row r="89" spans="1:48" customFormat="1">
      <c r="A89" s="358" t="s">
        <v>272</v>
      </c>
      <c r="B89" s="110" t="s">
        <v>273</v>
      </c>
      <c r="C89" s="87">
        <v>1</v>
      </c>
      <c r="D89" s="108" t="s">
        <v>90</v>
      </c>
      <c r="E89" s="47">
        <v>16.670000000000002</v>
      </c>
      <c r="F89" s="447">
        <f t="shared" si="9"/>
        <v>0.17599999999999999</v>
      </c>
      <c r="G89" s="388">
        <f t="shared" si="8"/>
        <v>13.736080000000001</v>
      </c>
      <c r="H89" s="76"/>
      <c r="I89" s="270"/>
      <c r="J89" s="270"/>
      <c r="K89" s="121"/>
      <c r="L89" s="76"/>
      <c r="M89" s="1045" t="s">
        <v>193</v>
      </c>
      <c r="N89" s="1047" t="s">
        <v>94</v>
      </c>
      <c r="O89" s="1066" t="s">
        <v>95</v>
      </c>
      <c r="P89" s="1" t="str">
        <f t="shared" si="10"/>
        <v/>
      </c>
      <c r="Q89" s="1" t="str">
        <f t="shared" si="10"/>
        <v/>
      </c>
      <c r="R89" s="1" t="str">
        <f t="shared" si="10"/>
        <v/>
      </c>
      <c r="S89" s="1" t="str">
        <f t="shared" si="10"/>
        <v/>
      </c>
      <c r="T89" s="358" t="s">
        <v>272</v>
      </c>
      <c r="U89" s="110" t="s">
        <v>273</v>
      </c>
      <c r="V89" s="87">
        <v>1</v>
      </c>
      <c r="W89" s="108" t="s">
        <v>90</v>
      </c>
      <c r="X89" s="436"/>
      <c r="Y89" s="47">
        <v>16.670000000000002</v>
      </c>
      <c r="Z89" s="447">
        <v>0.17599999999999999</v>
      </c>
      <c r="AA89" s="388">
        <v>13.736080000000001</v>
      </c>
      <c r="AB89" s="76"/>
      <c r="AC89" s="270"/>
      <c r="AD89" s="270"/>
      <c r="AE89" s="121"/>
      <c r="AF89" s="76"/>
      <c r="AG89" s="41" t="s">
        <v>193</v>
      </c>
      <c r="AH89" s="174" t="s">
        <v>94</v>
      </c>
      <c r="AI89" s="174" t="s">
        <v>95</v>
      </c>
      <c r="AJ89" s="1" t="s">
        <v>98</v>
      </c>
      <c r="AK89" s="1" t="s">
        <v>98</v>
      </c>
      <c r="AL89" s="1" t="s">
        <v>98</v>
      </c>
      <c r="AM89" s="1" t="s">
        <v>98</v>
      </c>
      <c r="AN89" s="287"/>
      <c r="AO89" s="284"/>
      <c r="AP89" s="284"/>
      <c r="AQ89" s="284"/>
      <c r="AR89" s="284"/>
      <c r="AS89" s="284"/>
      <c r="AT89" s="284"/>
      <c r="AU89" s="284"/>
      <c r="AV89" s="284"/>
    </row>
    <row r="90" spans="1:48" customFormat="1">
      <c r="A90" s="358" t="s">
        <v>274</v>
      </c>
      <c r="B90" s="110" t="s">
        <v>275</v>
      </c>
      <c r="C90" s="87">
        <v>1</v>
      </c>
      <c r="D90" s="108" t="s">
        <v>90</v>
      </c>
      <c r="E90" s="47">
        <v>0</v>
      </c>
      <c r="F90" s="447">
        <f t="shared" si="9"/>
        <v>0.17599999999999999</v>
      </c>
      <c r="G90" s="388">
        <f t="shared" si="8"/>
        <v>0</v>
      </c>
      <c r="H90" s="76"/>
      <c r="I90" s="270"/>
      <c r="J90" s="270"/>
      <c r="K90" s="121"/>
      <c r="L90" s="76"/>
      <c r="M90" s="1045" t="s">
        <v>193</v>
      </c>
      <c r="N90" s="1047" t="s">
        <v>94</v>
      </c>
      <c r="O90" s="1066" t="s">
        <v>95</v>
      </c>
      <c r="P90" s="1" t="str">
        <f t="shared" si="10"/>
        <v/>
      </c>
      <c r="Q90" s="1" t="str">
        <f t="shared" si="10"/>
        <v/>
      </c>
      <c r="R90" s="1" t="str">
        <f t="shared" si="10"/>
        <v/>
      </c>
      <c r="S90" s="1" t="str">
        <f t="shared" si="10"/>
        <v/>
      </c>
      <c r="T90" s="358" t="s">
        <v>274</v>
      </c>
      <c r="U90" s="110" t="s">
        <v>275</v>
      </c>
      <c r="V90" s="87">
        <v>1</v>
      </c>
      <c r="W90" s="108" t="s">
        <v>90</v>
      </c>
      <c r="X90" s="436"/>
      <c r="Y90" s="47">
        <v>0</v>
      </c>
      <c r="Z90" s="447">
        <v>0.17599999999999999</v>
      </c>
      <c r="AA90" s="388">
        <v>0</v>
      </c>
      <c r="AB90" s="76"/>
      <c r="AC90" s="270"/>
      <c r="AD90" s="270"/>
      <c r="AE90" s="121"/>
      <c r="AF90" s="76"/>
      <c r="AG90" s="41" t="s">
        <v>193</v>
      </c>
      <c r="AH90" s="174" t="s">
        <v>94</v>
      </c>
      <c r="AI90" s="174" t="s">
        <v>95</v>
      </c>
      <c r="AJ90" s="1" t="s">
        <v>98</v>
      </c>
      <c r="AK90" s="1" t="s">
        <v>98</v>
      </c>
      <c r="AL90" s="1" t="s">
        <v>98</v>
      </c>
      <c r="AM90" s="1" t="s">
        <v>98</v>
      </c>
      <c r="AN90" s="287"/>
      <c r="AO90" s="284"/>
      <c r="AP90" s="284"/>
      <c r="AQ90" s="284"/>
      <c r="AR90" s="284"/>
      <c r="AS90" s="284"/>
      <c r="AT90" s="284"/>
      <c r="AU90" s="284"/>
      <c r="AV90" s="284"/>
    </row>
    <row r="91" spans="1:48" customFormat="1">
      <c r="A91" s="358" t="s">
        <v>276</v>
      </c>
      <c r="B91" s="110" t="s">
        <v>277</v>
      </c>
      <c r="C91" s="87">
        <v>1</v>
      </c>
      <c r="D91" s="108" t="s">
        <v>90</v>
      </c>
      <c r="E91" s="47">
        <v>0</v>
      </c>
      <c r="F91" s="447">
        <f t="shared" si="9"/>
        <v>0.17599999999999999</v>
      </c>
      <c r="G91" s="388">
        <f t="shared" si="8"/>
        <v>0</v>
      </c>
      <c r="H91" s="76"/>
      <c r="I91" s="270"/>
      <c r="J91" s="270"/>
      <c r="K91" s="121"/>
      <c r="L91" s="76"/>
      <c r="M91" s="1045" t="s">
        <v>193</v>
      </c>
      <c r="N91" s="1047" t="s">
        <v>94</v>
      </c>
      <c r="O91" s="1066" t="s">
        <v>95</v>
      </c>
      <c r="P91" s="1" t="str">
        <f t="shared" si="10"/>
        <v/>
      </c>
      <c r="Q91" s="1" t="str">
        <f t="shared" si="10"/>
        <v/>
      </c>
      <c r="R91" s="1" t="str">
        <f t="shared" si="10"/>
        <v/>
      </c>
      <c r="S91" s="1" t="str">
        <f t="shared" si="10"/>
        <v/>
      </c>
      <c r="T91" s="358" t="s">
        <v>276</v>
      </c>
      <c r="U91" s="110" t="s">
        <v>277</v>
      </c>
      <c r="V91" s="87">
        <v>1</v>
      </c>
      <c r="W91" s="108" t="s">
        <v>90</v>
      </c>
      <c r="X91" s="436"/>
      <c r="Y91" s="47">
        <v>0</v>
      </c>
      <c r="Z91" s="447">
        <v>0.17599999999999999</v>
      </c>
      <c r="AA91" s="388">
        <v>0</v>
      </c>
      <c r="AB91" s="76"/>
      <c r="AC91" s="270"/>
      <c r="AD91" s="270"/>
      <c r="AE91" s="121"/>
      <c r="AF91" s="76"/>
      <c r="AG91" s="41" t="s">
        <v>193</v>
      </c>
      <c r="AH91" s="174" t="s">
        <v>94</v>
      </c>
      <c r="AI91" s="174" t="s">
        <v>95</v>
      </c>
      <c r="AJ91" s="1" t="s">
        <v>98</v>
      </c>
      <c r="AK91" s="1" t="s">
        <v>98</v>
      </c>
      <c r="AL91" s="1" t="s">
        <v>98</v>
      </c>
      <c r="AM91" s="1" t="s">
        <v>98</v>
      </c>
      <c r="AN91" s="287"/>
      <c r="AO91" s="284"/>
      <c r="AP91" s="284"/>
      <c r="AQ91" s="284"/>
      <c r="AR91" s="284"/>
      <c r="AS91" s="284"/>
      <c r="AT91" s="284"/>
      <c r="AU91" s="284"/>
      <c r="AV91" s="284"/>
    </row>
    <row r="92" spans="1:48" customFormat="1">
      <c r="A92" s="358"/>
      <c r="B92" s="110"/>
      <c r="C92" s="87"/>
      <c r="D92" s="108"/>
      <c r="E92" s="47"/>
      <c r="F92" s="447"/>
      <c r="G92" s="388"/>
      <c r="H92" s="76"/>
      <c r="I92" s="270"/>
      <c r="J92" s="270"/>
      <c r="K92" s="121"/>
      <c r="L92" s="76"/>
      <c r="M92" s="1045"/>
      <c r="N92" s="1047"/>
      <c r="O92" s="1066"/>
      <c r="P92" s="1"/>
      <c r="Q92" s="1"/>
      <c r="R92" s="1"/>
      <c r="S92" s="1"/>
      <c r="T92" s="358" t="s">
        <v>278</v>
      </c>
      <c r="U92" s="110" t="s">
        <v>279</v>
      </c>
      <c r="V92" s="87">
        <v>1</v>
      </c>
      <c r="W92" s="108" t="s">
        <v>90</v>
      </c>
      <c r="X92" s="436"/>
      <c r="Y92" s="47">
        <v>0</v>
      </c>
      <c r="Z92" s="447">
        <v>0.17599999999999999</v>
      </c>
      <c r="AA92" s="388">
        <v>0</v>
      </c>
      <c r="AB92" s="76"/>
      <c r="AC92" s="270"/>
      <c r="AD92" s="270"/>
      <c r="AE92" s="121"/>
      <c r="AF92" s="76"/>
      <c r="AG92" s="41" t="s">
        <v>193</v>
      </c>
      <c r="AH92" s="174" t="s">
        <v>94</v>
      </c>
      <c r="AI92" s="174" t="s">
        <v>95</v>
      </c>
      <c r="AJ92" s="1" t="s">
        <v>98</v>
      </c>
      <c r="AK92" s="1" t="s">
        <v>98</v>
      </c>
      <c r="AL92" s="1" t="s">
        <v>98</v>
      </c>
      <c r="AM92" s="1" t="s">
        <v>98</v>
      </c>
      <c r="AN92" s="287"/>
      <c r="AO92" s="284"/>
      <c r="AP92" s="284"/>
      <c r="AQ92" s="284"/>
      <c r="AR92" s="284"/>
      <c r="AS92" s="284"/>
      <c r="AT92" s="284"/>
      <c r="AU92" s="284"/>
      <c r="AV92" s="284"/>
    </row>
    <row r="93" spans="1:48" customFormat="1">
      <c r="A93" s="358" t="s">
        <v>280</v>
      </c>
      <c r="B93" s="110" t="s">
        <v>281</v>
      </c>
      <c r="C93" s="87">
        <v>1</v>
      </c>
      <c r="D93" s="108" t="s">
        <v>90</v>
      </c>
      <c r="E93" s="47">
        <v>0</v>
      </c>
      <c r="F93" s="447">
        <f t="shared" si="9"/>
        <v>0.17599999999999999</v>
      </c>
      <c r="G93" s="388">
        <f t="shared" si="8"/>
        <v>0</v>
      </c>
      <c r="H93" s="76"/>
      <c r="I93" s="270"/>
      <c r="J93" s="270"/>
      <c r="K93" s="121"/>
      <c r="L93" s="76"/>
      <c r="M93" s="1045" t="s">
        <v>193</v>
      </c>
      <c r="N93" s="1047" t="s">
        <v>94</v>
      </c>
      <c r="O93" s="1066" t="s">
        <v>95</v>
      </c>
      <c r="P93" s="1" t="str">
        <f t="shared" si="10"/>
        <v/>
      </c>
      <c r="Q93" s="1" t="str">
        <f t="shared" si="10"/>
        <v/>
      </c>
      <c r="R93" s="1" t="str">
        <f t="shared" si="10"/>
        <v/>
      </c>
      <c r="S93" s="1" t="str">
        <f t="shared" si="10"/>
        <v/>
      </c>
      <c r="T93" s="358" t="s">
        <v>280</v>
      </c>
      <c r="U93" s="110" t="s">
        <v>281</v>
      </c>
      <c r="V93" s="87">
        <v>1</v>
      </c>
      <c r="W93" s="108" t="s">
        <v>90</v>
      </c>
      <c r="X93" s="436"/>
      <c r="Y93" s="47">
        <v>0</v>
      </c>
      <c r="Z93" s="447">
        <v>0.17599999999999999</v>
      </c>
      <c r="AA93" s="388">
        <v>0</v>
      </c>
      <c r="AB93" s="76"/>
      <c r="AC93" s="270"/>
      <c r="AD93" s="270"/>
      <c r="AE93" s="121"/>
      <c r="AF93" s="76"/>
      <c r="AG93" s="41" t="s">
        <v>193</v>
      </c>
      <c r="AH93" s="174" t="s">
        <v>94</v>
      </c>
      <c r="AI93" s="174" t="s">
        <v>95</v>
      </c>
      <c r="AJ93" s="1" t="s">
        <v>98</v>
      </c>
      <c r="AK93" s="1" t="s">
        <v>98</v>
      </c>
      <c r="AL93" s="1" t="s">
        <v>98</v>
      </c>
      <c r="AM93" s="1" t="s">
        <v>98</v>
      </c>
      <c r="AN93" s="287"/>
      <c r="AO93" s="284"/>
      <c r="AP93" s="284"/>
      <c r="AQ93" s="284"/>
      <c r="AR93" s="284"/>
      <c r="AS93" s="284"/>
      <c r="AT93" s="284"/>
      <c r="AU93" s="284"/>
      <c r="AV93" s="284"/>
    </row>
    <row r="94" spans="1:48" customFormat="1">
      <c r="A94" s="358"/>
      <c r="B94" s="110"/>
      <c r="C94" s="87"/>
      <c r="D94" s="108"/>
      <c r="E94" s="47"/>
      <c r="F94" s="447"/>
      <c r="G94" s="388"/>
      <c r="H94" s="392"/>
      <c r="I94" s="612"/>
      <c r="J94" s="612"/>
      <c r="K94" s="382"/>
      <c r="L94" s="403"/>
      <c r="M94" s="1045"/>
      <c r="N94" s="1047"/>
      <c r="O94" s="1066"/>
      <c r="P94" s="1"/>
      <c r="Q94" s="1"/>
      <c r="R94" s="1"/>
      <c r="S94" s="1"/>
      <c r="T94" s="358" t="s">
        <v>282</v>
      </c>
      <c r="U94" s="110" t="s">
        <v>283</v>
      </c>
      <c r="V94" s="87">
        <v>1</v>
      </c>
      <c r="W94" s="108" t="s">
        <v>90</v>
      </c>
      <c r="X94" s="436"/>
      <c r="Y94" s="47">
        <v>0</v>
      </c>
      <c r="Z94" s="447">
        <v>0.17599999999999999</v>
      </c>
      <c r="AA94" s="388">
        <v>0</v>
      </c>
      <c r="AB94" s="392"/>
      <c r="AC94" s="612"/>
      <c r="AD94" s="612"/>
      <c r="AE94" s="382"/>
      <c r="AF94" s="403"/>
      <c r="AG94" s="41" t="s">
        <v>193</v>
      </c>
      <c r="AH94" s="174" t="s">
        <v>94</v>
      </c>
      <c r="AI94" s="174" t="s">
        <v>95</v>
      </c>
      <c r="AJ94" s="1" t="s">
        <v>98</v>
      </c>
      <c r="AK94" s="1" t="s">
        <v>98</v>
      </c>
      <c r="AL94" s="1" t="s">
        <v>98</v>
      </c>
      <c r="AM94" s="1" t="s">
        <v>98</v>
      </c>
      <c r="AN94" s="287"/>
      <c r="AO94" s="284"/>
      <c r="AP94" s="284"/>
      <c r="AQ94" s="284"/>
      <c r="AR94" s="284"/>
      <c r="AS94" s="284"/>
      <c r="AT94" s="284"/>
      <c r="AU94" s="284"/>
      <c r="AV94" s="284"/>
    </row>
    <row r="95" spans="1:48" customFormat="1">
      <c r="A95" s="358"/>
      <c r="B95" s="110"/>
      <c r="C95" s="87"/>
      <c r="D95" s="108"/>
      <c r="E95" s="47"/>
      <c r="F95" s="447"/>
      <c r="G95" s="388"/>
      <c r="H95" s="76"/>
      <c r="I95" s="270"/>
      <c r="J95" s="270"/>
      <c r="K95" s="121"/>
      <c r="L95" s="76"/>
      <c r="M95" s="1045"/>
      <c r="N95" s="1047"/>
      <c r="O95" s="1066"/>
      <c r="P95" s="1"/>
      <c r="Q95" s="1"/>
      <c r="R95" s="1"/>
      <c r="S95" s="1"/>
      <c r="T95" s="358" t="s">
        <v>284</v>
      </c>
      <c r="U95" s="110" t="s">
        <v>285</v>
      </c>
      <c r="V95" s="87">
        <v>1</v>
      </c>
      <c r="W95" s="108" t="s">
        <v>90</v>
      </c>
      <c r="X95" s="436"/>
      <c r="Y95" s="47">
        <v>0</v>
      </c>
      <c r="Z95" s="447">
        <v>0.17599999999999999</v>
      </c>
      <c r="AA95" s="388">
        <v>0</v>
      </c>
      <c r="AB95" s="76"/>
      <c r="AC95" s="270"/>
      <c r="AD95" s="270"/>
      <c r="AE95" s="121"/>
      <c r="AF95" s="76"/>
      <c r="AG95" s="41" t="s">
        <v>193</v>
      </c>
      <c r="AH95" s="174" t="s">
        <v>94</v>
      </c>
      <c r="AI95" s="174" t="s">
        <v>95</v>
      </c>
      <c r="AJ95" s="1" t="s">
        <v>98</v>
      </c>
      <c r="AK95" s="1" t="s">
        <v>98</v>
      </c>
      <c r="AL95" s="1" t="s">
        <v>98</v>
      </c>
      <c r="AM95" s="1" t="s">
        <v>98</v>
      </c>
      <c r="AN95" s="287"/>
      <c r="AO95" s="284"/>
      <c r="AP95" s="284"/>
      <c r="AQ95" s="284"/>
      <c r="AR95" s="284"/>
      <c r="AS95" s="284"/>
      <c r="AT95" s="284"/>
      <c r="AU95" s="284"/>
      <c r="AV95" s="284"/>
    </row>
    <row r="96" spans="1:48" customFormat="1">
      <c r="A96" s="358"/>
      <c r="B96" s="110"/>
      <c r="C96" s="87"/>
      <c r="D96" s="108"/>
      <c r="E96" s="47"/>
      <c r="F96" s="447"/>
      <c r="G96" s="388"/>
      <c r="H96" s="269"/>
      <c r="I96" s="216"/>
      <c r="J96" s="216"/>
      <c r="K96" s="99"/>
      <c r="L96" s="269"/>
      <c r="M96" s="1045"/>
      <c r="N96" s="1047"/>
      <c r="O96" s="1066"/>
      <c r="P96" s="1"/>
      <c r="Q96" s="1"/>
      <c r="R96" s="1"/>
      <c r="S96" s="1"/>
      <c r="T96" s="358" t="s">
        <v>286</v>
      </c>
      <c r="U96" s="110" t="s">
        <v>287</v>
      </c>
      <c r="V96" s="87">
        <v>1</v>
      </c>
      <c r="W96" s="108" t="s">
        <v>90</v>
      </c>
      <c r="X96" s="436"/>
      <c r="Y96" s="47">
        <v>0</v>
      </c>
      <c r="Z96" s="447">
        <v>0.17599999999999999</v>
      </c>
      <c r="AA96" s="388">
        <v>0</v>
      </c>
      <c r="AB96" s="269"/>
      <c r="AC96" s="216"/>
      <c r="AD96" s="216"/>
      <c r="AE96" s="99"/>
      <c r="AF96" s="269"/>
      <c r="AG96" s="41" t="s">
        <v>193</v>
      </c>
      <c r="AH96" s="174" t="s">
        <v>94</v>
      </c>
      <c r="AI96" s="174" t="s">
        <v>95</v>
      </c>
      <c r="AJ96" s="1" t="s">
        <v>98</v>
      </c>
      <c r="AK96" s="1" t="s">
        <v>98</v>
      </c>
      <c r="AL96" s="1" t="s">
        <v>98</v>
      </c>
      <c r="AM96" s="1" t="s">
        <v>98</v>
      </c>
      <c r="AN96" s="287"/>
      <c r="AO96" s="284"/>
      <c r="AP96" s="284"/>
      <c r="AQ96" s="284"/>
      <c r="AR96" s="284"/>
      <c r="AS96" s="284"/>
      <c r="AT96" s="284"/>
      <c r="AU96" s="284"/>
      <c r="AV96" s="284"/>
    </row>
    <row r="97" spans="1:48" customFormat="1">
      <c r="A97" s="387" t="s">
        <v>288</v>
      </c>
      <c r="B97" s="70" t="s">
        <v>289</v>
      </c>
      <c r="C97" s="389">
        <v>1</v>
      </c>
      <c r="D97" s="196" t="s">
        <v>90</v>
      </c>
      <c r="E97" s="85">
        <v>1248.8699999999999</v>
      </c>
      <c r="F97" s="103">
        <f>rv_mba_mg</f>
        <v>0.17599999999999999</v>
      </c>
      <c r="G97" s="390">
        <f t="shared" si="8"/>
        <v>1029.0688799999998</v>
      </c>
      <c r="H97" s="608" t="s">
        <v>91</v>
      </c>
      <c r="I97" s="91">
        <f>mba13_5pl</f>
        <v>48</v>
      </c>
      <c r="J97" s="91">
        <f>G97+I97</f>
        <v>1077.0688799999998</v>
      </c>
      <c r="K97" s="193" t="s">
        <v>92</v>
      </c>
      <c r="L97" s="194">
        <v>0.3</v>
      </c>
      <c r="M97" s="1045" t="s">
        <v>193</v>
      </c>
      <c r="N97" s="1047" t="s">
        <v>94</v>
      </c>
      <c r="O97" s="1066" t="s">
        <v>95</v>
      </c>
      <c r="P97" s="1">
        <f t="shared" si="10"/>
        <v>216.8233869754084</v>
      </c>
      <c r="Q97" s="1">
        <f t="shared" si="10"/>
        <v>112.68451462947166</v>
      </c>
      <c r="R97" s="1">
        <f t="shared" si="10"/>
        <v>81.839408504460636</v>
      </c>
      <c r="S97" s="1">
        <f t="shared" si="10"/>
        <v>70.622203051217014</v>
      </c>
      <c r="T97" s="387" t="s">
        <v>288</v>
      </c>
      <c r="U97" s="70" t="s">
        <v>289</v>
      </c>
      <c r="V97" s="389">
        <v>1</v>
      </c>
      <c r="W97" s="196" t="s">
        <v>90</v>
      </c>
      <c r="X97" s="437" t="s">
        <v>288</v>
      </c>
      <c r="Y97" s="85">
        <v>1248.8699999999999</v>
      </c>
      <c r="Z97" s="103">
        <v>0.17599999999999999</v>
      </c>
      <c r="AA97" s="390">
        <v>1029.0688799999998</v>
      </c>
      <c r="AB97" s="608" t="s">
        <v>91</v>
      </c>
      <c r="AC97" s="91">
        <v>48</v>
      </c>
      <c r="AD97" s="91">
        <v>1077.0688799999998</v>
      </c>
      <c r="AE97" s="193" t="s">
        <v>92</v>
      </c>
      <c r="AF97" s="194">
        <v>0.3</v>
      </c>
      <c r="AG97" s="41" t="s">
        <v>193</v>
      </c>
      <c r="AH97" s="174" t="s">
        <v>94</v>
      </c>
      <c r="AI97" s="174" t="s">
        <v>95</v>
      </c>
      <c r="AJ97" s="1">
        <v>216.8233869754084</v>
      </c>
      <c r="AK97" s="1">
        <v>112.68451462947166</v>
      </c>
      <c r="AL97" s="1">
        <v>81.839408504460636</v>
      </c>
      <c r="AM97" s="1">
        <v>70.622203051217014</v>
      </c>
      <c r="AN97" s="287"/>
      <c r="AO97" s="284"/>
      <c r="AP97" s="284"/>
      <c r="AQ97" s="284"/>
      <c r="AR97" s="284"/>
      <c r="AS97" s="284"/>
      <c r="AT97" s="284"/>
      <c r="AU97" s="284"/>
      <c r="AV97" s="284"/>
    </row>
    <row r="98" spans="1:48" customFormat="1">
      <c r="A98" s="358" t="s">
        <v>290</v>
      </c>
      <c r="B98" s="110" t="s">
        <v>291</v>
      </c>
      <c r="C98" s="87">
        <v>1</v>
      </c>
      <c r="D98" s="108" t="s">
        <v>90</v>
      </c>
      <c r="E98" s="47">
        <v>100</v>
      </c>
      <c r="F98" s="447">
        <f t="shared" ref="F98:F109" si="11">rv_mba_mg_cto</f>
        <v>0.17599999999999999</v>
      </c>
      <c r="G98" s="388">
        <f t="shared" si="8"/>
        <v>82.4</v>
      </c>
      <c r="H98" s="269"/>
      <c r="I98" s="216"/>
      <c r="J98" s="216"/>
      <c r="K98" s="99"/>
      <c r="L98" s="269"/>
      <c r="M98" s="1045" t="s">
        <v>193</v>
      </c>
      <c r="N98" s="1047" t="s">
        <v>94</v>
      </c>
      <c r="O98" s="1066" t="s">
        <v>95</v>
      </c>
      <c r="P98" s="1" t="str">
        <f t="shared" si="10"/>
        <v/>
      </c>
      <c r="Q98" s="1" t="str">
        <f t="shared" si="10"/>
        <v/>
      </c>
      <c r="R98" s="1" t="str">
        <f t="shared" si="10"/>
        <v/>
      </c>
      <c r="S98" s="1" t="str">
        <f t="shared" si="10"/>
        <v/>
      </c>
      <c r="T98" s="358" t="s">
        <v>290</v>
      </c>
      <c r="U98" s="110" t="s">
        <v>291</v>
      </c>
      <c r="V98" s="87">
        <v>1</v>
      </c>
      <c r="W98" s="108" t="s">
        <v>90</v>
      </c>
      <c r="X98" s="436"/>
      <c r="Y98" s="47">
        <v>100</v>
      </c>
      <c r="Z98" s="447">
        <v>0.17599999999999999</v>
      </c>
      <c r="AA98" s="388">
        <v>82.4</v>
      </c>
      <c r="AB98" s="269"/>
      <c r="AC98" s="216"/>
      <c r="AD98" s="216"/>
      <c r="AE98" s="99" t="s">
        <v>92</v>
      </c>
      <c r="AF98" s="269" t="s">
        <v>92</v>
      </c>
      <c r="AG98" s="41" t="s">
        <v>193</v>
      </c>
      <c r="AH98" s="174" t="s">
        <v>94</v>
      </c>
      <c r="AI98" s="174" t="s">
        <v>95</v>
      </c>
      <c r="AJ98" s="1" t="s">
        <v>98</v>
      </c>
      <c r="AK98" s="1" t="s">
        <v>98</v>
      </c>
      <c r="AL98" s="1" t="s">
        <v>98</v>
      </c>
      <c r="AM98" s="1" t="s">
        <v>98</v>
      </c>
      <c r="AN98" s="287"/>
      <c r="AO98" s="284"/>
      <c r="AP98" s="284"/>
      <c r="AQ98" s="284"/>
      <c r="AR98" s="284"/>
      <c r="AS98" s="284"/>
      <c r="AT98" s="284"/>
      <c r="AU98" s="284"/>
      <c r="AV98" s="284"/>
    </row>
    <row r="99" spans="1:48" customFormat="1">
      <c r="A99" s="358" t="s">
        <v>292</v>
      </c>
      <c r="B99" s="110" t="s">
        <v>293</v>
      </c>
      <c r="C99" s="87">
        <v>1</v>
      </c>
      <c r="D99" s="108" t="s">
        <v>90</v>
      </c>
      <c r="E99" s="47">
        <v>191.67</v>
      </c>
      <c r="F99" s="447">
        <f t="shared" si="11"/>
        <v>0.17599999999999999</v>
      </c>
      <c r="G99" s="388">
        <f t="shared" si="8"/>
        <v>157.93608</v>
      </c>
      <c r="H99" s="269"/>
      <c r="I99" s="216"/>
      <c r="J99" s="216"/>
      <c r="K99" s="99"/>
      <c r="L99" s="269"/>
      <c r="M99" s="1045" t="s">
        <v>193</v>
      </c>
      <c r="N99" s="1047" t="s">
        <v>94</v>
      </c>
      <c r="O99" s="1066" t="s">
        <v>95</v>
      </c>
      <c r="P99" s="1" t="str">
        <f t="shared" si="10"/>
        <v/>
      </c>
      <c r="Q99" s="1" t="str">
        <f t="shared" si="10"/>
        <v/>
      </c>
      <c r="R99" s="1" t="str">
        <f t="shared" si="10"/>
        <v/>
      </c>
      <c r="S99" s="1" t="str">
        <f t="shared" si="10"/>
        <v/>
      </c>
      <c r="T99" s="358" t="s">
        <v>292</v>
      </c>
      <c r="U99" s="110" t="s">
        <v>293</v>
      </c>
      <c r="V99" s="87">
        <v>1</v>
      </c>
      <c r="W99" s="108" t="s">
        <v>90</v>
      </c>
      <c r="X99" s="436"/>
      <c r="Y99" s="47">
        <v>191.67</v>
      </c>
      <c r="Z99" s="447">
        <v>0.17599999999999999</v>
      </c>
      <c r="AA99" s="388">
        <v>157.93608</v>
      </c>
      <c r="AB99" s="269"/>
      <c r="AC99" s="216"/>
      <c r="AD99" s="216"/>
      <c r="AE99" s="99" t="s">
        <v>92</v>
      </c>
      <c r="AF99" s="269" t="s">
        <v>92</v>
      </c>
      <c r="AG99" s="41" t="s">
        <v>193</v>
      </c>
      <c r="AH99" s="174" t="s">
        <v>94</v>
      </c>
      <c r="AI99" s="174" t="s">
        <v>95</v>
      </c>
      <c r="AJ99" s="1" t="s">
        <v>98</v>
      </c>
      <c r="AK99" s="1" t="s">
        <v>98</v>
      </c>
      <c r="AL99" s="1" t="s">
        <v>98</v>
      </c>
      <c r="AM99" s="1" t="s">
        <v>98</v>
      </c>
      <c r="AN99" s="287"/>
      <c r="AO99" s="284"/>
      <c r="AP99" s="284"/>
      <c r="AQ99" s="284"/>
      <c r="AR99" s="284"/>
      <c r="AS99" s="284"/>
      <c r="AT99" s="284"/>
      <c r="AU99" s="284"/>
      <c r="AV99" s="284"/>
    </row>
    <row r="100" spans="1:48" customFormat="1">
      <c r="A100" s="358" t="s">
        <v>294</v>
      </c>
      <c r="B100" s="110" t="s">
        <v>295</v>
      </c>
      <c r="C100" s="87">
        <v>1</v>
      </c>
      <c r="D100" s="108" t="s">
        <v>90</v>
      </c>
      <c r="E100" s="47">
        <v>383.33</v>
      </c>
      <c r="F100" s="447">
        <f t="shared" si="11"/>
        <v>0.17599999999999999</v>
      </c>
      <c r="G100" s="388">
        <f t="shared" si="8"/>
        <v>315.86392000000001</v>
      </c>
      <c r="H100" s="269"/>
      <c r="I100" s="216"/>
      <c r="J100" s="216"/>
      <c r="K100" s="99"/>
      <c r="L100" s="269"/>
      <c r="M100" s="1045" t="s">
        <v>193</v>
      </c>
      <c r="N100" s="1047" t="s">
        <v>94</v>
      </c>
      <c r="O100" s="1066" t="s">
        <v>95</v>
      </c>
      <c r="P100" s="1" t="str">
        <f t="shared" si="10"/>
        <v/>
      </c>
      <c r="Q100" s="1" t="str">
        <f t="shared" si="10"/>
        <v/>
      </c>
      <c r="R100" s="1" t="str">
        <f t="shared" si="10"/>
        <v/>
      </c>
      <c r="S100" s="1" t="str">
        <f t="shared" si="10"/>
        <v/>
      </c>
      <c r="T100" s="358" t="s">
        <v>294</v>
      </c>
      <c r="U100" s="110" t="s">
        <v>295</v>
      </c>
      <c r="V100" s="87">
        <v>1</v>
      </c>
      <c r="W100" s="108" t="s">
        <v>90</v>
      </c>
      <c r="X100" s="436"/>
      <c r="Y100" s="47">
        <v>383.33</v>
      </c>
      <c r="Z100" s="447">
        <v>0.17599999999999999</v>
      </c>
      <c r="AA100" s="388">
        <v>315.86392000000001</v>
      </c>
      <c r="AB100" s="269"/>
      <c r="AC100" s="216"/>
      <c r="AD100" s="216"/>
      <c r="AE100" s="99" t="s">
        <v>92</v>
      </c>
      <c r="AF100" s="269" t="s">
        <v>92</v>
      </c>
      <c r="AG100" s="41" t="s">
        <v>193</v>
      </c>
      <c r="AH100" s="174" t="s">
        <v>94</v>
      </c>
      <c r="AI100" s="174" t="s">
        <v>95</v>
      </c>
      <c r="AJ100" s="1" t="s">
        <v>98</v>
      </c>
      <c r="AK100" s="1" t="s">
        <v>98</v>
      </c>
      <c r="AL100" s="1" t="s">
        <v>98</v>
      </c>
      <c r="AM100" s="1" t="s">
        <v>98</v>
      </c>
      <c r="AN100" s="287"/>
      <c r="AO100" s="284"/>
      <c r="AP100" s="284"/>
      <c r="AQ100" s="284"/>
      <c r="AR100" s="284"/>
      <c r="AS100" s="284"/>
      <c r="AT100" s="284"/>
      <c r="AU100" s="284"/>
      <c r="AV100" s="284"/>
    </row>
    <row r="101" spans="1:48" customFormat="1">
      <c r="A101" s="358" t="s">
        <v>296</v>
      </c>
      <c r="B101" s="110" t="s">
        <v>297</v>
      </c>
      <c r="C101" s="87">
        <v>1</v>
      </c>
      <c r="D101" s="108" t="s">
        <v>90</v>
      </c>
      <c r="E101" s="47">
        <v>191.67</v>
      </c>
      <c r="F101" s="447">
        <f t="shared" si="11"/>
        <v>0.17599999999999999</v>
      </c>
      <c r="G101" s="388">
        <f t="shared" si="8"/>
        <v>157.93608</v>
      </c>
      <c r="H101" s="269"/>
      <c r="I101" s="216"/>
      <c r="J101" s="216"/>
      <c r="K101" s="99"/>
      <c r="L101" s="269"/>
      <c r="M101" s="1045" t="s">
        <v>193</v>
      </c>
      <c r="N101" s="1047" t="s">
        <v>94</v>
      </c>
      <c r="O101" s="1066" t="s">
        <v>95</v>
      </c>
      <c r="P101" s="1" t="str">
        <f t="shared" si="10"/>
        <v/>
      </c>
      <c r="Q101" s="1" t="str">
        <f t="shared" si="10"/>
        <v/>
      </c>
      <c r="R101" s="1" t="str">
        <f t="shared" si="10"/>
        <v/>
      </c>
      <c r="S101" s="1" t="str">
        <f t="shared" si="10"/>
        <v/>
      </c>
      <c r="T101" s="358" t="s">
        <v>296</v>
      </c>
      <c r="U101" s="110" t="s">
        <v>297</v>
      </c>
      <c r="V101" s="87">
        <v>1</v>
      </c>
      <c r="W101" s="108" t="s">
        <v>90</v>
      </c>
      <c r="X101" s="436"/>
      <c r="Y101" s="47">
        <v>191.67</v>
      </c>
      <c r="Z101" s="447">
        <v>0.17599999999999999</v>
      </c>
      <c r="AA101" s="388">
        <v>157.93608</v>
      </c>
      <c r="AB101" s="269"/>
      <c r="AC101" s="216"/>
      <c r="AD101" s="216"/>
      <c r="AE101" s="99" t="s">
        <v>92</v>
      </c>
      <c r="AF101" s="269" t="s">
        <v>92</v>
      </c>
      <c r="AG101" s="41" t="s">
        <v>193</v>
      </c>
      <c r="AH101" s="174" t="s">
        <v>94</v>
      </c>
      <c r="AI101" s="174" t="s">
        <v>95</v>
      </c>
      <c r="AJ101" s="1" t="s">
        <v>98</v>
      </c>
      <c r="AK101" s="1" t="s">
        <v>98</v>
      </c>
      <c r="AL101" s="1" t="s">
        <v>98</v>
      </c>
      <c r="AM101" s="1" t="s">
        <v>98</v>
      </c>
      <c r="AN101" s="287"/>
      <c r="AO101" s="284"/>
      <c r="AP101" s="284"/>
      <c r="AQ101" s="284"/>
      <c r="AR101" s="284"/>
      <c r="AS101" s="284"/>
      <c r="AT101" s="284"/>
      <c r="AU101" s="284"/>
      <c r="AV101" s="284"/>
    </row>
    <row r="102" spans="1:48" customFormat="1">
      <c r="A102" s="358" t="s">
        <v>298</v>
      </c>
      <c r="B102" s="110" t="s">
        <v>299</v>
      </c>
      <c r="C102" s="87">
        <v>1</v>
      </c>
      <c r="D102" s="108" t="s">
        <v>90</v>
      </c>
      <c r="E102" s="47">
        <v>383.33</v>
      </c>
      <c r="F102" s="447">
        <f t="shared" si="11"/>
        <v>0.17599999999999999</v>
      </c>
      <c r="G102" s="388">
        <f t="shared" si="8"/>
        <v>315.86392000000001</v>
      </c>
      <c r="H102" s="269"/>
      <c r="I102" s="216"/>
      <c r="J102" s="216"/>
      <c r="K102" s="99"/>
      <c r="L102" s="269"/>
      <c r="M102" s="1045" t="s">
        <v>193</v>
      </c>
      <c r="N102" s="1047" t="s">
        <v>94</v>
      </c>
      <c r="O102" s="1066" t="s">
        <v>95</v>
      </c>
      <c r="P102" s="1" t="str">
        <f t="shared" si="10"/>
        <v/>
      </c>
      <c r="Q102" s="1" t="str">
        <f t="shared" si="10"/>
        <v/>
      </c>
      <c r="R102" s="1" t="str">
        <f t="shared" si="10"/>
        <v/>
      </c>
      <c r="S102" s="1" t="str">
        <f t="shared" si="10"/>
        <v/>
      </c>
      <c r="T102" s="358" t="s">
        <v>298</v>
      </c>
      <c r="U102" s="110" t="s">
        <v>299</v>
      </c>
      <c r="V102" s="87">
        <v>1</v>
      </c>
      <c r="W102" s="108" t="s">
        <v>90</v>
      </c>
      <c r="X102" s="436"/>
      <c r="Y102" s="47">
        <v>383.33</v>
      </c>
      <c r="Z102" s="447">
        <v>0.17599999999999999</v>
      </c>
      <c r="AA102" s="388">
        <v>315.86392000000001</v>
      </c>
      <c r="AB102" s="269"/>
      <c r="AC102" s="216"/>
      <c r="AD102" s="216"/>
      <c r="AE102" s="99" t="s">
        <v>92</v>
      </c>
      <c r="AF102" s="269" t="s">
        <v>92</v>
      </c>
      <c r="AG102" s="41" t="s">
        <v>193</v>
      </c>
      <c r="AH102" s="174" t="s">
        <v>94</v>
      </c>
      <c r="AI102" s="174" t="s">
        <v>95</v>
      </c>
      <c r="AJ102" s="1" t="s">
        <v>98</v>
      </c>
      <c r="AK102" s="1" t="s">
        <v>98</v>
      </c>
      <c r="AL102" s="1" t="s">
        <v>98</v>
      </c>
      <c r="AM102" s="1" t="s">
        <v>98</v>
      </c>
      <c r="AN102" s="287"/>
      <c r="AO102" s="284"/>
      <c r="AP102" s="284"/>
      <c r="AQ102" s="284"/>
      <c r="AR102" s="284"/>
      <c r="AS102" s="284"/>
      <c r="AT102" s="284"/>
      <c r="AU102" s="284"/>
      <c r="AV102" s="284"/>
    </row>
    <row r="103" spans="1:48" customFormat="1">
      <c r="A103" s="358" t="s">
        <v>300</v>
      </c>
      <c r="B103" s="110" t="s">
        <v>301</v>
      </c>
      <c r="C103" s="87">
        <v>1</v>
      </c>
      <c r="D103" s="108" t="s">
        <v>90</v>
      </c>
      <c r="E103" s="47">
        <v>766.67</v>
      </c>
      <c r="F103" s="447">
        <f t="shared" si="11"/>
        <v>0.17599999999999999</v>
      </c>
      <c r="G103" s="388">
        <f t="shared" si="8"/>
        <v>631.73608000000002</v>
      </c>
      <c r="H103" s="269"/>
      <c r="I103" s="216"/>
      <c r="J103" s="216"/>
      <c r="K103" s="99"/>
      <c r="L103" s="269"/>
      <c r="M103" s="1045" t="s">
        <v>193</v>
      </c>
      <c r="N103" s="1047" t="s">
        <v>94</v>
      </c>
      <c r="O103" s="1066" t="s">
        <v>95</v>
      </c>
      <c r="P103" s="1" t="str">
        <f t="shared" si="10"/>
        <v/>
      </c>
      <c r="Q103" s="1" t="str">
        <f t="shared" si="10"/>
        <v/>
      </c>
      <c r="R103" s="1" t="str">
        <f t="shared" si="10"/>
        <v/>
      </c>
      <c r="S103" s="1" t="str">
        <f t="shared" si="10"/>
        <v/>
      </c>
      <c r="T103" s="358" t="s">
        <v>300</v>
      </c>
      <c r="U103" s="110" t="s">
        <v>301</v>
      </c>
      <c r="V103" s="87">
        <v>1</v>
      </c>
      <c r="W103" s="108" t="s">
        <v>90</v>
      </c>
      <c r="X103" s="436"/>
      <c r="Y103" s="47">
        <v>766.67</v>
      </c>
      <c r="Z103" s="447">
        <v>0.17599999999999999</v>
      </c>
      <c r="AA103" s="388">
        <v>631.73608000000002</v>
      </c>
      <c r="AB103" s="269"/>
      <c r="AC103" s="216"/>
      <c r="AD103" s="216"/>
      <c r="AE103" s="99" t="s">
        <v>92</v>
      </c>
      <c r="AF103" s="269" t="s">
        <v>92</v>
      </c>
      <c r="AG103" s="41" t="s">
        <v>193</v>
      </c>
      <c r="AH103" s="174" t="s">
        <v>94</v>
      </c>
      <c r="AI103" s="174" t="s">
        <v>95</v>
      </c>
      <c r="AJ103" s="1" t="s">
        <v>98</v>
      </c>
      <c r="AK103" s="1" t="s">
        <v>98</v>
      </c>
      <c r="AL103" s="1" t="s">
        <v>98</v>
      </c>
      <c r="AM103" s="1" t="s">
        <v>98</v>
      </c>
      <c r="AN103" s="287"/>
      <c r="AO103" s="284"/>
      <c r="AP103" s="284"/>
      <c r="AQ103" s="284"/>
      <c r="AR103" s="284"/>
      <c r="AS103" s="284"/>
      <c r="AT103" s="284"/>
      <c r="AU103" s="284"/>
      <c r="AV103" s="284"/>
    </row>
    <row r="104" spans="1:48" customFormat="1">
      <c r="A104" s="358" t="s">
        <v>302</v>
      </c>
      <c r="B104" s="110" t="s">
        <v>303</v>
      </c>
      <c r="C104" s="87">
        <v>1</v>
      </c>
      <c r="D104" s="108" t="s">
        <v>90</v>
      </c>
      <c r="E104" s="47">
        <v>16.670000000000002</v>
      </c>
      <c r="F104" s="447">
        <f t="shared" si="11"/>
        <v>0.17599999999999999</v>
      </c>
      <c r="G104" s="388">
        <f t="shared" si="8"/>
        <v>13.736080000000001</v>
      </c>
      <c r="H104" s="269"/>
      <c r="I104" s="292"/>
      <c r="J104" s="292"/>
      <c r="K104" s="262"/>
      <c r="L104" s="272"/>
      <c r="M104" s="1045" t="s">
        <v>193</v>
      </c>
      <c r="N104" s="1047" t="s">
        <v>94</v>
      </c>
      <c r="O104" s="1066" t="s">
        <v>95</v>
      </c>
      <c r="P104" s="1" t="str">
        <f t="shared" si="10"/>
        <v/>
      </c>
      <c r="Q104" s="1" t="str">
        <f t="shared" si="10"/>
        <v/>
      </c>
      <c r="R104" s="1" t="str">
        <f t="shared" si="10"/>
        <v/>
      </c>
      <c r="S104" s="1" t="str">
        <f t="shared" si="10"/>
        <v/>
      </c>
      <c r="T104" s="358" t="s">
        <v>302</v>
      </c>
      <c r="U104" s="110" t="s">
        <v>303</v>
      </c>
      <c r="V104" s="87">
        <v>1</v>
      </c>
      <c r="W104" s="108" t="s">
        <v>90</v>
      </c>
      <c r="X104" s="436"/>
      <c r="Y104" s="47">
        <v>16.670000000000002</v>
      </c>
      <c r="Z104" s="447">
        <v>0.17599999999999999</v>
      </c>
      <c r="AA104" s="388">
        <v>13.736080000000001</v>
      </c>
      <c r="AB104" s="269"/>
      <c r="AC104" s="292"/>
      <c r="AD104" s="292"/>
      <c r="AE104" s="262" t="s">
        <v>92</v>
      </c>
      <c r="AF104" s="272" t="s">
        <v>92</v>
      </c>
      <c r="AG104" s="41" t="s">
        <v>193</v>
      </c>
      <c r="AH104" s="174" t="s">
        <v>94</v>
      </c>
      <c r="AI104" s="174" t="s">
        <v>95</v>
      </c>
      <c r="AJ104" s="1" t="s">
        <v>98</v>
      </c>
      <c r="AK104" s="1" t="s">
        <v>98</v>
      </c>
      <c r="AL104" s="1" t="s">
        <v>98</v>
      </c>
      <c r="AM104" s="1" t="s">
        <v>98</v>
      </c>
      <c r="AN104" s="287"/>
      <c r="AO104" s="284"/>
      <c r="AP104" s="284"/>
      <c r="AQ104" s="284"/>
      <c r="AR104" s="284"/>
      <c r="AS104" s="284"/>
      <c r="AT104" s="284"/>
      <c r="AU104" s="284"/>
      <c r="AV104" s="284"/>
    </row>
    <row r="105" spans="1:48" customFormat="1">
      <c r="A105" s="358" t="s">
        <v>304</v>
      </c>
      <c r="B105" s="110" t="s">
        <v>305</v>
      </c>
      <c r="C105" s="87">
        <v>1</v>
      </c>
      <c r="D105" s="108" t="s">
        <v>90</v>
      </c>
      <c r="E105" s="47">
        <v>16.670000000000002</v>
      </c>
      <c r="F105" s="447">
        <f t="shared" si="11"/>
        <v>0.17599999999999999</v>
      </c>
      <c r="G105" s="388">
        <f t="shared" si="8"/>
        <v>13.736080000000001</v>
      </c>
      <c r="H105" s="76"/>
      <c r="I105" s="270"/>
      <c r="J105" s="270"/>
      <c r="K105" s="121"/>
      <c r="L105" s="76"/>
      <c r="M105" s="1045" t="s">
        <v>193</v>
      </c>
      <c r="N105" s="1047" t="s">
        <v>94</v>
      </c>
      <c r="O105" s="1066" t="s">
        <v>95</v>
      </c>
      <c r="P105" s="1" t="str">
        <f t="shared" si="10"/>
        <v/>
      </c>
      <c r="Q105" s="1" t="str">
        <f t="shared" si="10"/>
        <v/>
      </c>
      <c r="R105" s="1" t="str">
        <f t="shared" si="10"/>
        <v/>
      </c>
      <c r="S105" s="1" t="str">
        <f t="shared" si="10"/>
        <v/>
      </c>
      <c r="T105" s="358" t="s">
        <v>304</v>
      </c>
      <c r="U105" s="110" t="s">
        <v>305</v>
      </c>
      <c r="V105" s="87">
        <v>1</v>
      </c>
      <c r="W105" s="108" t="s">
        <v>90</v>
      </c>
      <c r="X105" s="436"/>
      <c r="Y105" s="47">
        <v>16.670000000000002</v>
      </c>
      <c r="Z105" s="447">
        <v>0.17599999999999999</v>
      </c>
      <c r="AA105" s="388">
        <v>13.736080000000001</v>
      </c>
      <c r="AB105" s="76"/>
      <c r="AC105" s="270"/>
      <c r="AD105" s="270"/>
      <c r="AE105" s="121"/>
      <c r="AF105" s="76"/>
      <c r="AG105" s="41" t="s">
        <v>193</v>
      </c>
      <c r="AH105" s="174" t="s">
        <v>94</v>
      </c>
      <c r="AI105" s="174" t="s">
        <v>95</v>
      </c>
      <c r="AJ105" s="1" t="s">
        <v>98</v>
      </c>
      <c r="AK105" s="1" t="s">
        <v>98</v>
      </c>
      <c r="AL105" s="1" t="s">
        <v>98</v>
      </c>
      <c r="AM105" s="1" t="s">
        <v>98</v>
      </c>
      <c r="AN105" s="287"/>
      <c r="AO105" s="284"/>
      <c r="AP105" s="284"/>
      <c r="AQ105" s="284"/>
      <c r="AR105" s="284"/>
      <c r="AS105" s="284"/>
      <c r="AT105" s="284"/>
      <c r="AU105" s="284"/>
      <c r="AV105" s="284"/>
    </row>
    <row r="106" spans="1:48" customFormat="1">
      <c r="A106" s="358" t="s">
        <v>306</v>
      </c>
      <c r="B106" s="110" t="s">
        <v>307</v>
      </c>
      <c r="C106" s="87">
        <v>1</v>
      </c>
      <c r="D106" s="108" t="s">
        <v>90</v>
      </c>
      <c r="E106" s="47">
        <v>0</v>
      </c>
      <c r="F106" s="447">
        <f t="shared" si="11"/>
        <v>0.17599999999999999</v>
      </c>
      <c r="G106" s="388">
        <f t="shared" si="8"/>
        <v>0</v>
      </c>
      <c r="H106" s="76"/>
      <c r="I106" s="270"/>
      <c r="J106" s="270"/>
      <c r="K106" s="121"/>
      <c r="L106" s="76"/>
      <c r="M106" s="1045" t="s">
        <v>193</v>
      </c>
      <c r="N106" s="1047" t="s">
        <v>94</v>
      </c>
      <c r="O106" s="1066" t="s">
        <v>95</v>
      </c>
      <c r="P106" s="1" t="str">
        <f t="shared" si="10"/>
        <v/>
      </c>
      <c r="Q106" s="1" t="str">
        <f t="shared" si="10"/>
        <v/>
      </c>
      <c r="R106" s="1" t="str">
        <f t="shared" si="10"/>
        <v/>
      </c>
      <c r="S106" s="1" t="str">
        <f t="shared" si="10"/>
        <v/>
      </c>
      <c r="T106" s="358" t="s">
        <v>306</v>
      </c>
      <c r="U106" s="110" t="s">
        <v>307</v>
      </c>
      <c r="V106" s="87">
        <v>1</v>
      </c>
      <c r="W106" s="108" t="s">
        <v>90</v>
      </c>
      <c r="X106" s="436"/>
      <c r="Y106" s="47">
        <v>0</v>
      </c>
      <c r="Z106" s="447">
        <v>0.17599999999999999</v>
      </c>
      <c r="AA106" s="388">
        <v>0</v>
      </c>
      <c r="AB106" s="76"/>
      <c r="AC106" s="270"/>
      <c r="AD106" s="270"/>
      <c r="AE106" s="121"/>
      <c r="AF106" s="76"/>
      <c r="AG106" s="41" t="s">
        <v>193</v>
      </c>
      <c r="AH106" s="174" t="s">
        <v>94</v>
      </c>
      <c r="AI106" s="174" t="s">
        <v>95</v>
      </c>
      <c r="AJ106" s="1" t="s">
        <v>98</v>
      </c>
      <c r="AK106" s="1" t="s">
        <v>98</v>
      </c>
      <c r="AL106" s="1" t="s">
        <v>98</v>
      </c>
      <c r="AM106" s="1" t="s">
        <v>98</v>
      </c>
      <c r="AN106" s="287"/>
      <c r="AO106" s="284"/>
      <c r="AP106" s="284"/>
      <c r="AQ106" s="284"/>
      <c r="AR106" s="284"/>
      <c r="AS106" s="284"/>
      <c r="AT106" s="284"/>
      <c r="AU106" s="284"/>
      <c r="AV106" s="284"/>
    </row>
    <row r="107" spans="1:48" customFormat="1" ht="12.95" customHeight="1">
      <c r="A107" s="358" t="s">
        <v>308</v>
      </c>
      <c r="B107" s="110" t="s">
        <v>309</v>
      </c>
      <c r="C107" s="87">
        <v>1</v>
      </c>
      <c r="D107" s="108" t="s">
        <v>90</v>
      </c>
      <c r="E107" s="47">
        <v>0</v>
      </c>
      <c r="F107" s="447">
        <f t="shared" si="11"/>
        <v>0.17599999999999999</v>
      </c>
      <c r="G107" s="388">
        <f t="shared" si="8"/>
        <v>0</v>
      </c>
      <c r="H107" s="76"/>
      <c r="I107" s="270"/>
      <c r="J107" s="270"/>
      <c r="K107" s="121"/>
      <c r="L107" s="76"/>
      <c r="M107" s="1045" t="s">
        <v>193</v>
      </c>
      <c r="N107" s="1047" t="s">
        <v>94</v>
      </c>
      <c r="O107" s="1066" t="s">
        <v>95</v>
      </c>
      <c r="P107" s="1" t="str">
        <f t="shared" ref="P107:S126" si="12">+IF($J107&lt;&gt;"",P$2*$J107,"")</f>
        <v/>
      </c>
      <c r="Q107" s="1" t="str">
        <f t="shared" si="12"/>
        <v/>
      </c>
      <c r="R107" s="1" t="str">
        <f t="shared" si="12"/>
        <v/>
      </c>
      <c r="S107" s="1" t="str">
        <f t="shared" si="12"/>
        <v/>
      </c>
      <c r="T107" s="358" t="s">
        <v>308</v>
      </c>
      <c r="U107" s="110" t="s">
        <v>309</v>
      </c>
      <c r="V107" s="87">
        <v>1</v>
      </c>
      <c r="W107" s="108" t="s">
        <v>90</v>
      </c>
      <c r="X107" s="436"/>
      <c r="Y107" s="47">
        <v>0</v>
      </c>
      <c r="Z107" s="447">
        <v>0.17599999999999999</v>
      </c>
      <c r="AA107" s="388">
        <v>0</v>
      </c>
      <c r="AB107" s="76"/>
      <c r="AC107" s="270"/>
      <c r="AD107" s="270"/>
      <c r="AE107" s="121"/>
      <c r="AF107" s="76"/>
      <c r="AG107" s="41" t="s">
        <v>193</v>
      </c>
      <c r="AH107" s="174" t="s">
        <v>94</v>
      </c>
      <c r="AI107" s="174" t="s">
        <v>95</v>
      </c>
      <c r="AJ107" s="1" t="s">
        <v>98</v>
      </c>
      <c r="AK107" s="1" t="s">
        <v>98</v>
      </c>
      <c r="AL107" s="1" t="s">
        <v>98</v>
      </c>
      <c r="AM107" s="1" t="s">
        <v>98</v>
      </c>
      <c r="AN107" s="287"/>
      <c r="AO107" s="284"/>
      <c r="AP107" s="284"/>
      <c r="AQ107" s="284"/>
      <c r="AR107" s="284"/>
      <c r="AS107" s="284"/>
      <c r="AT107" s="284"/>
      <c r="AU107" s="284"/>
      <c r="AV107" s="284"/>
    </row>
    <row r="108" spans="1:48" customFormat="1">
      <c r="A108" s="358"/>
      <c r="B108" s="110"/>
      <c r="C108" s="87"/>
      <c r="D108" s="108"/>
      <c r="E108" s="47"/>
      <c r="F108" s="447"/>
      <c r="G108" s="388"/>
      <c r="H108" s="76"/>
      <c r="I108" s="270"/>
      <c r="J108" s="270"/>
      <c r="K108" s="121"/>
      <c r="L108" s="76"/>
      <c r="M108" s="1045"/>
      <c r="N108" s="1047"/>
      <c r="O108" s="1066"/>
      <c r="P108" s="1"/>
      <c r="Q108" s="1"/>
      <c r="R108" s="1"/>
      <c r="S108" s="1"/>
      <c r="T108" s="358" t="s">
        <v>310</v>
      </c>
      <c r="U108" s="110" t="s">
        <v>311</v>
      </c>
      <c r="V108" s="87">
        <v>1</v>
      </c>
      <c r="W108" s="108" t="s">
        <v>90</v>
      </c>
      <c r="X108" s="436"/>
      <c r="Y108" s="47">
        <v>0</v>
      </c>
      <c r="Z108" s="447">
        <v>0.17599999999999999</v>
      </c>
      <c r="AA108" s="388">
        <v>0</v>
      </c>
      <c r="AB108" s="76"/>
      <c r="AC108" s="270"/>
      <c r="AD108" s="270"/>
      <c r="AE108" s="121"/>
      <c r="AF108" s="76"/>
      <c r="AG108" s="41" t="s">
        <v>193</v>
      </c>
      <c r="AH108" s="174" t="s">
        <v>94</v>
      </c>
      <c r="AI108" s="174" t="s">
        <v>95</v>
      </c>
      <c r="AJ108" s="1" t="s">
        <v>98</v>
      </c>
      <c r="AK108" s="1" t="s">
        <v>98</v>
      </c>
      <c r="AL108" s="1" t="s">
        <v>98</v>
      </c>
      <c r="AM108" s="1" t="s">
        <v>98</v>
      </c>
      <c r="AN108" s="287"/>
      <c r="AO108" s="284"/>
      <c r="AP108" s="284"/>
      <c r="AQ108" s="284"/>
      <c r="AR108" s="284"/>
      <c r="AS108" s="284"/>
      <c r="AT108" s="284"/>
      <c r="AU108" s="284"/>
      <c r="AV108" s="284"/>
    </row>
    <row r="109" spans="1:48" customFormat="1">
      <c r="A109" s="358" t="s">
        <v>312</v>
      </c>
      <c r="B109" s="110" t="s">
        <v>313</v>
      </c>
      <c r="C109" s="87">
        <v>1</v>
      </c>
      <c r="D109" s="108" t="s">
        <v>90</v>
      </c>
      <c r="E109" s="47">
        <v>0</v>
      </c>
      <c r="F109" s="447">
        <f t="shared" si="11"/>
        <v>0.17599999999999999</v>
      </c>
      <c r="G109" s="388">
        <f t="shared" si="8"/>
        <v>0</v>
      </c>
      <c r="H109" s="76"/>
      <c r="I109" s="270"/>
      <c r="J109" s="270"/>
      <c r="K109" s="121"/>
      <c r="L109" s="76"/>
      <c r="M109" s="1045" t="s">
        <v>193</v>
      </c>
      <c r="N109" s="1047" t="s">
        <v>94</v>
      </c>
      <c r="O109" s="1066" t="s">
        <v>95</v>
      </c>
      <c r="P109" s="1" t="str">
        <f t="shared" si="12"/>
        <v/>
      </c>
      <c r="Q109" s="1" t="str">
        <f t="shared" si="12"/>
        <v/>
      </c>
      <c r="R109" s="1" t="str">
        <f t="shared" si="12"/>
        <v/>
      </c>
      <c r="S109" s="1" t="str">
        <f t="shared" si="12"/>
        <v/>
      </c>
      <c r="T109" s="358" t="s">
        <v>312</v>
      </c>
      <c r="U109" s="110" t="s">
        <v>313</v>
      </c>
      <c r="V109" s="87">
        <v>1</v>
      </c>
      <c r="W109" s="108" t="s">
        <v>90</v>
      </c>
      <c r="X109" s="436"/>
      <c r="Y109" s="47">
        <v>0</v>
      </c>
      <c r="Z109" s="447">
        <v>0.17599999999999999</v>
      </c>
      <c r="AA109" s="388">
        <v>0</v>
      </c>
      <c r="AB109" s="76"/>
      <c r="AC109" s="270"/>
      <c r="AD109" s="270"/>
      <c r="AE109" s="121"/>
      <c r="AF109" s="76"/>
      <c r="AG109" s="41" t="s">
        <v>193</v>
      </c>
      <c r="AH109" s="174" t="s">
        <v>94</v>
      </c>
      <c r="AI109" s="174" t="s">
        <v>95</v>
      </c>
      <c r="AJ109" s="1" t="s">
        <v>98</v>
      </c>
      <c r="AK109" s="1" t="s">
        <v>98</v>
      </c>
      <c r="AL109" s="1" t="s">
        <v>98</v>
      </c>
      <c r="AM109" s="1" t="s">
        <v>98</v>
      </c>
      <c r="AN109" s="287"/>
      <c r="AO109" s="284"/>
      <c r="AP109" s="284"/>
      <c r="AQ109" s="284"/>
      <c r="AR109" s="284"/>
      <c r="AS109" s="284"/>
      <c r="AT109" s="284"/>
      <c r="AU109" s="284"/>
      <c r="AV109" s="284"/>
    </row>
    <row r="110" spans="1:48" customFormat="1">
      <c r="A110" s="358"/>
      <c r="B110" s="110"/>
      <c r="C110" s="87"/>
      <c r="D110" s="108"/>
      <c r="E110" s="47"/>
      <c r="F110" s="447"/>
      <c r="G110" s="388"/>
      <c r="H110" s="392"/>
      <c r="I110" s="612"/>
      <c r="J110" s="612"/>
      <c r="K110" s="382"/>
      <c r="L110" s="403"/>
      <c r="M110" s="1045"/>
      <c r="N110" s="1047"/>
      <c r="O110" s="1066"/>
      <c r="P110" s="1"/>
      <c r="Q110" s="1"/>
      <c r="R110" s="1"/>
      <c r="S110" s="1"/>
      <c r="T110" s="358" t="s">
        <v>314</v>
      </c>
      <c r="U110" s="110" t="s">
        <v>315</v>
      </c>
      <c r="V110" s="87">
        <v>1</v>
      </c>
      <c r="W110" s="108" t="s">
        <v>90</v>
      </c>
      <c r="X110" s="436"/>
      <c r="Y110" s="47">
        <v>0</v>
      </c>
      <c r="Z110" s="447">
        <v>0.17599999999999999</v>
      </c>
      <c r="AA110" s="388">
        <v>0</v>
      </c>
      <c r="AB110" s="392"/>
      <c r="AC110" s="612"/>
      <c r="AD110" s="612"/>
      <c r="AE110" s="382"/>
      <c r="AF110" s="403"/>
      <c r="AG110" s="41" t="s">
        <v>193</v>
      </c>
      <c r="AH110" s="174" t="s">
        <v>94</v>
      </c>
      <c r="AI110" s="174" t="s">
        <v>95</v>
      </c>
      <c r="AJ110" s="1" t="s">
        <v>98</v>
      </c>
      <c r="AK110" s="1" t="s">
        <v>98</v>
      </c>
      <c r="AL110" s="1" t="s">
        <v>98</v>
      </c>
      <c r="AM110" s="1" t="s">
        <v>98</v>
      </c>
      <c r="AN110" s="287"/>
      <c r="AO110" s="284"/>
      <c r="AP110" s="284"/>
      <c r="AQ110" s="284"/>
      <c r="AR110" s="284"/>
      <c r="AS110" s="284"/>
      <c r="AT110" s="284"/>
      <c r="AU110" s="284"/>
      <c r="AV110" s="284"/>
    </row>
    <row r="111" spans="1:48" customFormat="1">
      <c r="A111" s="358"/>
      <c r="B111" s="110"/>
      <c r="C111" s="87"/>
      <c r="D111" s="108"/>
      <c r="E111" s="47"/>
      <c r="F111" s="447"/>
      <c r="G111" s="388"/>
      <c r="H111" s="76"/>
      <c r="I111" s="270"/>
      <c r="J111" s="270"/>
      <c r="K111" s="121"/>
      <c r="L111" s="76"/>
      <c r="M111" s="1045"/>
      <c r="N111" s="1047"/>
      <c r="O111" s="1066"/>
      <c r="P111" s="1"/>
      <c r="Q111" s="1"/>
      <c r="R111" s="1"/>
      <c r="S111" s="1"/>
      <c r="T111" s="358" t="s">
        <v>316</v>
      </c>
      <c r="U111" s="110" t="s">
        <v>317</v>
      </c>
      <c r="V111" s="87">
        <v>1</v>
      </c>
      <c r="W111" s="108" t="s">
        <v>90</v>
      </c>
      <c r="X111" s="436"/>
      <c r="Y111" s="47">
        <v>0</v>
      </c>
      <c r="Z111" s="447">
        <v>0.17599999999999999</v>
      </c>
      <c r="AA111" s="388">
        <v>0</v>
      </c>
      <c r="AB111" s="76"/>
      <c r="AC111" s="270"/>
      <c r="AD111" s="270"/>
      <c r="AE111" s="121"/>
      <c r="AF111" s="76"/>
      <c r="AG111" s="41" t="s">
        <v>193</v>
      </c>
      <c r="AH111" s="174" t="s">
        <v>94</v>
      </c>
      <c r="AI111" s="174" t="s">
        <v>95</v>
      </c>
      <c r="AJ111" s="1" t="s">
        <v>98</v>
      </c>
      <c r="AK111" s="1" t="s">
        <v>98</v>
      </c>
      <c r="AL111" s="1" t="s">
        <v>98</v>
      </c>
      <c r="AM111" s="1" t="s">
        <v>98</v>
      </c>
      <c r="AN111" s="287"/>
      <c r="AO111" s="284"/>
      <c r="AP111" s="284"/>
      <c r="AQ111" s="284"/>
      <c r="AR111" s="284"/>
      <c r="AS111" s="284"/>
      <c r="AT111" s="284"/>
      <c r="AU111" s="284"/>
      <c r="AV111" s="284"/>
    </row>
    <row r="112" spans="1:48" customFormat="1">
      <c r="A112" s="358"/>
      <c r="B112" s="110"/>
      <c r="C112" s="87"/>
      <c r="D112" s="108"/>
      <c r="E112" s="47"/>
      <c r="F112" s="447"/>
      <c r="G112" s="388"/>
      <c r="H112" s="269"/>
      <c r="I112" s="216"/>
      <c r="J112" s="216"/>
      <c r="K112" s="99"/>
      <c r="L112" s="269"/>
      <c r="M112" s="1045"/>
      <c r="N112" s="1047"/>
      <c r="O112" s="1066"/>
      <c r="P112" s="1"/>
      <c r="Q112" s="1"/>
      <c r="R112" s="1"/>
      <c r="S112" s="1"/>
      <c r="T112" s="358" t="s">
        <v>318</v>
      </c>
      <c r="U112" s="110" t="s">
        <v>319</v>
      </c>
      <c r="V112" s="87">
        <v>1</v>
      </c>
      <c r="W112" s="108" t="s">
        <v>90</v>
      </c>
      <c r="X112" s="436"/>
      <c r="Y112" s="47">
        <v>0</v>
      </c>
      <c r="Z112" s="447">
        <v>0.17599999999999999</v>
      </c>
      <c r="AA112" s="388">
        <v>0</v>
      </c>
      <c r="AB112" s="269"/>
      <c r="AC112" s="216"/>
      <c r="AD112" s="216"/>
      <c r="AE112" s="99"/>
      <c r="AF112" s="269"/>
      <c r="AG112" s="41" t="s">
        <v>193</v>
      </c>
      <c r="AH112" s="174" t="s">
        <v>94</v>
      </c>
      <c r="AI112" s="174" t="s">
        <v>95</v>
      </c>
      <c r="AJ112" s="1" t="s">
        <v>98</v>
      </c>
      <c r="AK112" s="1" t="s">
        <v>98</v>
      </c>
      <c r="AL112" s="1" t="s">
        <v>98</v>
      </c>
      <c r="AM112" s="1" t="s">
        <v>98</v>
      </c>
      <c r="AN112" s="287"/>
      <c r="AO112" s="284"/>
      <c r="AP112" s="284"/>
      <c r="AQ112" s="284"/>
      <c r="AR112" s="284"/>
      <c r="AS112" s="284"/>
      <c r="AT112" s="284"/>
      <c r="AU112" s="284"/>
      <c r="AV112" s="284"/>
    </row>
    <row r="113" spans="1:48" customFormat="1">
      <c r="A113" s="387" t="s">
        <v>320</v>
      </c>
      <c r="B113" s="70" t="s">
        <v>321</v>
      </c>
      <c r="C113" s="389">
        <v>1</v>
      </c>
      <c r="D113" s="196" t="s">
        <v>90</v>
      </c>
      <c r="E113" s="85">
        <v>1540.53</v>
      </c>
      <c r="F113" s="103">
        <f>rv_mba_hg</f>
        <v>0.17599999999999999</v>
      </c>
      <c r="G113" s="390">
        <f t="shared" ref="G113:G144" si="13">E113-(E113*F113)</f>
        <v>1269.39672</v>
      </c>
      <c r="H113" s="608" t="s">
        <v>91</v>
      </c>
      <c r="I113" s="91">
        <f>mba13_5pl</f>
        <v>48</v>
      </c>
      <c r="J113" s="91">
        <f>G113+I113</f>
        <v>1317.39672</v>
      </c>
      <c r="K113" s="193" t="s">
        <v>92</v>
      </c>
      <c r="L113" s="194">
        <v>0.3</v>
      </c>
      <c r="M113" s="1045" t="s">
        <v>322</v>
      </c>
      <c r="N113" s="1047" t="s">
        <v>94</v>
      </c>
      <c r="O113" s="1066" t="s">
        <v>95</v>
      </c>
      <c r="P113" s="1">
        <f t="shared" si="12"/>
        <v>265.20348338417665</v>
      </c>
      <c r="Q113" s="1">
        <f t="shared" si="12"/>
        <v>137.82796321035477</v>
      </c>
      <c r="R113" s="1">
        <f t="shared" si="12"/>
        <v>100.10034672110901</v>
      </c>
      <c r="S113" s="1">
        <f t="shared" si="12"/>
        <v>86.380231001426111</v>
      </c>
      <c r="T113" s="387" t="s">
        <v>320</v>
      </c>
      <c r="U113" s="70" t="s">
        <v>321</v>
      </c>
      <c r="V113" s="389">
        <v>1</v>
      </c>
      <c r="W113" s="196" t="s">
        <v>90</v>
      </c>
      <c r="X113" s="437" t="s">
        <v>320</v>
      </c>
      <c r="Y113" s="85">
        <v>1540.53</v>
      </c>
      <c r="Z113" s="103">
        <v>0.17599999999999999</v>
      </c>
      <c r="AA113" s="390">
        <v>1269.39672</v>
      </c>
      <c r="AB113" s="608" t="s">
        <v>91</v>
      </c>
      <c r="AC113" s="91">
        <v>48</v>
      </c>
      <c r="AD113" s="91">
        <v>1317.39672</v>
      </c>
      <c r="AE113" s="193" t="s">
        <v>92</v>
      </c>
      <c r="AF113" s="194">
        <v>0.3</v>
      </c>
      <c r="AG113" s="41" t="s">
        <v>322</v>
      </c>
      <c r="AH113" s="174" t="s">
        <v>94</v>
      </c>
      <c r="AI113" s="174" t="s">
        <v>95</v>
      </c>
      <c r="AJ113" s="1">
        <v>265.20348338417665</v>
      </c>
      <c r="AK113" s="1">
        <v>137.82796321035477</v>
      </c>
      <c r="AL113" s="1">
        <v>100.10034672110901</v>
      </c>
      <c r="AM113" s="1">
        <v>86.380231001426111</v>
      </c>
      <c r="AN113" s="287"/>
      <c r="AO113" s="284"/>
      <c r="AP113" s="284"/>
      <c r="AQ113" s="284"/>
      <c r="AR113" s="284"/>
      <c r="AS113" s="284"/>
      <c r="AT113" s="284"/>
      <c r="AU113" s="284"/>
      <c r="AV113" s="284"/>
    </row>
    <row r="114" spans="1:48" customFormat="1">
      <c r="A114" s="358" t="s">
        <v>323</v>
      </c>
      <c r="B114" s="110" t="s">
        <v>324</v>
      </c>
      <c r="C114" s="87">
        <v>1</v>
      </c>
      <c r="D114" s="108" t="s">
        <v>90</v>
      </c>
      <c r="E114" s="47">
        <v>191.67</v>
      </c>
      <c r="F114" s="447">
        <f t="shared" ref="F114:F122" si="14">rv_mba_hg_cto</f>
        <v>0.17599999999999999</v>
      </c>
      <c r="G114" s="388">
        <f t="shared" si="13"/>
        <v>157.93608</v>
      </c>
      <c r="H114" s="269"/>
      <c r="I114" s="216"/>
      <c r="J114" s="216"/>
      <c r="K114" s="99"/>
      <c r="L114" s="269"/>
      <c r="M114" s="1045" t="s">
        <v>322</v>
      </c>
      <c r="N114" s="1047" t="s">
        <v>94</v>
      </c>
      <c r="O114" s="1066" t="s">
        <v>95</v>
      </c>
      <c r="P114" s="1" t="str">
        <f t="shared" si="12"/>
        <v/>
      </c>
      <c r="Q114" s="1" t="str">
        <f t="shared" si="12"/>
        <v/>
      </c>
      <c r="R114" s="1" t="str">
        <f t="shared" si="12"/>
        <v/>
      </c>
      <c r="S114" s="1" t="str">
        <f t="shared" si="12"/>
        <v/>
      </c>
      <c r="T114" s="358" t="s">
        <v>323</v>
      </c>
      <c r="U114" s="110" t="s">
        <v>324</v>
      </c>
      <c r="V114" s="87">
        <v>1</v>
      </c>
      <c r="W114" s="108" t="s">
        <v>90</v>
      </c>
      <c r="X114" s="436"/>
      <c r="Y114" s="47">
        <v>191.67</v>
      </c>
      <c r="Z114" s="447">
        <v>0.17599999999999999</v>
      </c>
      <c r="AA114" s="388">
        <v>157.93608</v>
      </c>
      <c r="AB114" s="269"/>
      <c r="AC114" s="216"/>
      <c r="AD114" s="216"/>
      <c r="AE114" s="99" t="s">
        <v>92</v>
      </c>
      <c r="AF114" s="269" t="s">
        <v>92</v>
      </c>
      <c r="AG114" s="41" t="s">
        <v>322</v>
      </c>
      <c r="AH114" s="174" t="s">
        <v>94</v>
      </c>
      <c r="AI114" s="174" t="s">
        <v>95</v>
      </c>
      <c r="AJ114" s="1" t="s">
        <v>98</v>
      </c>
      <c r="AK114" s="1" t="s">
        <v>98</v>
      </c>
      <c r="AL114" s="1" t="s">
        <v>98</v>
      </c>
      <c r="AM114" s="1" t="s">
        <v>98</v>
      </c>
      <c r="AN114" s="287"/>
      <c r="AO114" s="284"/>
      <c r="AP114" s="284"/>
      <c r="AQ114" s="284"/>
      <c r="AR114" s="284"/>
      <c r="AS114" s="284"/>
      <c r="AT114" s="284"/>
      <c r="AU114" s="284"/>
      <c r="AV114" s="284"/>
    </row>
    <row r="115" spans="1:48" customFormat="1">
      <c r="A115" s="358" t="s">
        <v>325</v>
      </c>
      <c r="B115" s="110" t="s">
        <v>326</v>
      </c>
      <c r="C115" s="87">
        <v>1</v>
      </c>
      <c r="D115" s="108" t="s">
        <v>90</v>
      </c>
      <c r="E115" s="47">
        <v>383.33</v>
      </c>
      <c r="F115" s="447">
        <f t="shared" si="14"/>
        <v>0.17599999999999999</v>
      </c>
      <c r="G115" s="388">
        <f t="shared" si="13"/>
        <v>315.86392000000001</v>
      </c>
      <c r="H115" s="269"/>
      <c r="I115" s="216"/>
      <c r="J115" s="216"/>
      <c r="K115" s="99"/>
      <c r="L115" s="269"/>
      <c r="M115" s="1045" t="s">
        <v>322</v>
      </c>
      <c r="N115" s="1047" t="s">
        <v>94</v>
      </c>
      <c r="O115" s="1066" t="s">
        <v>95</v>
      </c>
      <c r="P115" s="1" t="str">
        <f t="shared" si="12"/>
        <v/>
      </c>
      <c r="Q115" s="1" t="str">
        <f t="shared" si="12"/>
        <v/>
      </c>
      <c r="R115" s="1" t="str">
        <f t="shared" si="12"/>
        <v/>
      </c>
      <c r="S115" s="1" t="str">
        <f t="shared" si="12"/>
        <v/>
      </c>
      <c r="T115" s="358" t="s">
        <v>325</v>
      </c>
      <c r="U115" s="110" t="s">
        <v>326</v>
      </c>
      <c r="V115" s="87">
        <v>1</v>
      </c>
      <c r="W115" s="108" t="s">
        <v>90</v>
      </c>
      <c r="X115" s="436"/>
      <c r="Y115" s="47">
        <v>383.33</v>
      </c>
      <c r="Z115" s="447">
        <v>0.17599999999999999</v>
      </c>
      <c r="AA115" s="388">
        <v>315.86392000000001</v>
      </c>
      <c r="AB115" s="269"/>
      <c r="AC115" s="216"/>
      <c r="AD115" s="216"/>
      <c r="AE115" s="99" t="s">
        <v>92</v>
      </c>
      <c r="AF115" s="269" t="s">
        <v>92</v>
      </c>
      <c r="AG115" s="41" t="s">
        <v>322</v>
      </c>
      <c r="AH115" s="174" t="s">
        <v>94</v>
      </c>
      <c r="AI115" s="174" t="s">
        <v>95</v>
      </c>
      <c r="AJ115" s="1" t="s">
        <v>98</v>
      </c>
      <c r="AK115" s="1" t="s">
        <v>98</v>
      </c>
      <c r="AL115" s="1" t="s">
        <v>98</v>
      </c>
      <c r="AM115" s="1" t="s">
        <v>98</v>
      </c>
      <c r="AN115" s="287"/>
      <c r="AO115" s="284"/>
      <c r="AP115" s="284"/>
      <c r="AQ115" s="284"/>
      <c r="AR115" s="284"/>
      <c r="AS115" s="284"/>
      <c r="AT115" s="284"/>
      <c r="AU115" s="284"/>
      <c r="AV115" s="284"/>
    </row>
    <row r="116" spans="1:48" customFormat="1">
      <c r="A116" s="358" t="s">
        <v>327</v>
      </c>
      <c r="B116" s="110" t="s">
        <v>328</v>
      </c>
      <c r="C116" s="87">
        <v>1</v>
      </c>
      <c r="D116" s="108" t="s">
        <v>90</v>
      </c>
      <c r="E116" s="47">
        <v>191.67</v>
      </c>
      <c r="F116" s="447">
        <f t="shared" si="14"/>
        <v>0.17599999999999999</v>
      </c>
      <c r="G116" s="388">
        <f t="shared" si="13"/>
        <v>157.93608</v>
      </c>
      <c r="H116" s="269"/>
      <c r="I116" s="216"/>
      <c r="J116" s="216"/>
      <c r="K116" s="99"/>
      <c r="L116" s="269"/>
      <c r="M116" s="1045" t="s">
        <v>322</v>
      </c>
      <c r="N116" s="1047" t="s">
        <v>94</v>
      </c>
      <c r="O116" s="1066" t="s">
        <v>95</v>
      </c>
      <c r="P116" s="1" t="str">
        <f t="shared" si="12"/>
        <v/>
      </c>
      <c r="Q116" s="1" t="str">
        <f t="shared" si="12"/>
        <v/>
      </c>
      <c r="R116" s="1" t="str">
        <f t="shared" si="12"/>
        <v/>
      </c>
      <c r="S116" s="1" t="str">
        <f t="shared" si="12"/>
        <v/>
      </c>
      <c r="T116" s="358" t="s">
        <v>327</v>
      </c>
      <c r="U116" s="110" t="s">
        <v>328</v>
      </c>
      <c r="V116" s="87">
        <v>1</v>
      </c>
      <c r="W116" s="108" t="s">
        <v>90</v>
      </c>
      <c r="X116" s="436"/>
      <c r="Y116" s="47">
        <v>191.67</v>
      </c>
      <c r="Z116" s="447">
        <v>0.17599999999999999</v>
      </c>
      <c r="AA116" s="388">
        <v>157.93608</v>
      </c>
      <c r="AB116" s="269"/>
      <c r="AC116" s="216"/>
      <c r="AD116" s="216"/>
      <c r="AE116" s="99" t="s">
        <v>92</v>
      </c>
      <c r="AF116" s="269" t="s">
        <v>92</v>
      </c>
      <c r="AG116" s="41" t="s">
        <v>322</v>
      </c>
      <c r="AH116" s="174" t="s">
        <v>94</v>
      </c>
      <c r="AI116" s="174" t="s">
        <v>95</v>
      </c>
      <c r="AJ116" s="1" t="s">
        <v>98</v>
      </c>
      <c r="AK116" s="1" t="s">
        <v>98</v>
      </c>
      <c r="AL116" s="1" t="s">
        <v>98</v>
      </c>
      <c r="AM116" s="1" t="s">
        <v>98</v>
      </c>
      <c r="AN116" s="287"/>
      <c r="AO116" s="284"/>
      <c r="AP116" s="284"/>
      <c r="AQ116" s="284"/>
      <c r="AR116" s="284"/>
      <c r="AS116" s="284"/>
      <c r="AT116" s="284"/>
      <c r="AU116" s="284"/>
      <c r="AV116" s="284"/>
    </row>
    <row r="117" spans="1:48" customFormat="1">
      <c r="A117" s="358" t="s">
        <v>329</v>
      </c>
      <c r="B117" s="110" t="s">
        <v>330</v>
      </c>
      <c r="C117" s="87">
        <v>1</v>
      </c>
      <c r="D117" s="108" t="s">
        <v>90</v>
      </c>
      <c r="E117" s="47">
        <v>575</v>
      </c>
      <c r="F117" s="447">
        <f t="shared" si="14"/>
        <v>0.17599999999999999</v>
      </c>
      <c r="G117" s="388">
        <f t="shared" si="13"/>
        <v>473.8</v>
      </c>
      <c r="H117" s="269"/>
      <c r="I117" s="216"/>
      <c r="J117" s="216"/>
      <c r="K117" s="99"/>
      <c r="L117" s="269"/>
      <c r="M117" s="1045" t="s">
        <v>322</v>
      </c>
      <c r="N117" s="1047" t="s">
        <v>94</v>
      </c>
      <c r="O117" s="1066" t="s">
        <v>95</v>
      </c>
      <c r="P117" s="1" t="str">
        <f t="shared" si="12"/>
        <v/>
      </c>
      <c r="Q117" s="1" t="str">
        <f t="shared" si="12"/>
        <v/>
      </c>
      <c r="R117" s="1" t="str">
        <f t="shared" si="12"/>
        <v/>
      </c>
      <c r="S117" s="1" t="str">
        <f t="shared" si="12"/>
        <v/>
      </c>
      <c r="T117" s="358" t="s">
        <v>329</v>
      </c>
      <c r="U117" s="110" t="s">
        <v>330</v>
      </c>
      <c r="V117" s="87">
        <v>1</v>
      </c>
      <c r="W117" s="108" t="s">
        <v>90</v>
      </c>
      <c r="X117" s="436"/>
      <c r="Y117" s="47">
        <v>575</v>
      </c>
      <c r="Z117" s="447">
        <v>0.17599999999999999</v>
      </c>
      <c r="AA117" s="388">
        <v>473.8</v>
      </c>
      <c r="AB117" s="269"/>
      <c r="AC117" s="216"/>
      <c r="AD117" s="216"/>
      <c r="AE117" s="99" t="s">
        <v>92</v>
      </c>
      <c r="AF117" s="269" t="s">
        <v>92</v>
      </c>
      <c r="AG117" s="41" t="s">
        <v>322</v>
      </c>
      <c r="AH117" s="174" t="s">
        <v>94</v>
      </c>
      <c r="AI117" s="174" t="s">
        <v>95</v>
      </c>
      <c r="AJ117" s="1" t="s">
        <v>98</v>
      </c>
      <c r="AK117" s="1" t="s">
        <v>98</v>
      </c>
      <c r="AL117" s="1" t="s">
        <v>98</v>
      </c>
      <c r="AM117" s="1" t="s">
        <v>98</v>
      </c>
      <c r="AN117" s="287"/>
      <c r="AO117" s="284"/>
      <c r="AP117" s="284"/>
      <c r="AQ117" s="284"/>
      <c r="AR117" s="284"/>
      <c r="AS117" s="284"/>
      <c r="AT117" s="284"/>
      <c r="AU117" s="284"/>
      <c r="AV117" s="284"/>
    </row>
    <row r="118" spans="1:48" customFormat="1">
      <c r="A118" s="358" t="s">
        <v>331</v>
      </c>
      <c r="B118" s="110" t="s">
        <v>332</v>
      </c>
      <c r="C118" s="87">
        <v>1</v>
      </c>
      <c r="D118" s="108" t="s">
        <v>90</v>
      </c>
      <c r="E118" s="47">
        <v>0</v>
      </c>
      <c r="F118" s="447">
        <f t="shared" si="14"/>
        <v>0.17599999999999999</v>
      </c>
      <c r="G118" s="388">
        <f t="shared" si="13"/>
        <v>0</v>
      </c>
      <c r="H118" s="269"/>
      <c r="I118" s="216"/>
      <c r="J118" s="216"/>
      <c r="K118" s="99"/>
      <c r="L118" s="269"/>
      <c r="M118" s="1045" t="s">
        <v>322</v>
      </c>
      <c r="N118" s="1047" t="s">
        <v>94</v>
      </c>
      <c r="O118" s="1066" t="s">
        <v>95</v>
      </c>
      <c r="P118" s="1" t="str">
        <f t="shared" si="12"/>
        <v/>
      </c>
      <c r="Q118" s="1" t="str">
        <f t="shared" si="12"/>
        <v/>
      </c>
      <c r="R118" s="1" t="str">
        <f t="shared" si="12"/>
        <v/>
      </c>
      <c r="S118" s="1" t="str">
        <f t="shared" si="12"/>
        <v/>
      </c>
      <c r="T118" s="358" t="s">
        <v>331</v>
      </c>
      <c r="U118" s="110" t="s">
        <v>332</v>
      </c>
      <c r="V118" s="87">
        <v>1</v>
      </c>
      <c r="W118" s="108" t="s">
        <v>90</v>
      </c>
      <c r="X118" s="436"/>
      <c r="Y118" s="47">
        <v>0</v>
      </c>
      <c r="Z118" s="447">
        <v>0.17599999999999999</v>
      </c>
      <c r="AA118" s="388">
        <v>0</v>
      </c>
      <c r="AB118" s="269"/>
      <c r="AC118" s="216"/>
      <c r="AD118" s="216"/>
      <c r="AE118" s="99" t="s">
        <v>92</v>
      </c>
      <c r="AF118" s="269" t="s">
        <v>92</v>
      </c>
      <c r="AG118" s="41" t="s">
        <v>322</v>
      </c>
      <c r="AH118" s="174" t="s">
        <v>94</v>
      </c>
      <c r="AI118" s="174" t="s">
        <v>95</v>
      </c>
      <c r="AJ118" s="1" t="s">
        <v>98</v>
      </c>
      <c r="AK118" s="1" t="s">
        <v>98</v>
      </c>
      <c r="AL118" s="1" t="s">
        <v>98</v>
      </c>
      <c r="AM118" s="1" t="s">
        <v>98</v>
      </c>
      <c r="AN118" s="287"/>
      <c r="AO118" s="284"/>
      <c r="AP118" s="284"/>
      <c r="AQ118" s="284"/>
      <c r="AR118" s="284"/>
      <c r="AS118" s="284"/>
      <c r="AT118" s="284"/>
      <c r="AU118" s="284"/>
      <c r="AV118" s="284"/>
    </row>
    <row r="119" spans="1:48" customFormat="1">
      <c r="A119" s="358" t="s">
        <v>333</v>
      </c>
      <c r="B119" s="110" t="s">
        <v>334</v>
      </c>
      <c r="C119" s="87">
        <v>1</v>
      </c>
      <c r="D119" s="108" t="s">
        <v>90</v>
      </c>
      <c r="E119" s="47">
        <v>0</v>
      </c>
      <c r="F119" s="447">
        <f t="shared" si="14"/>
        <v>0.17599999999999999</v>
      </c>
      <c r="G119" s="388">
        <f t="shared" si="13"/>
        <v>0</v>
      </c>
      <c r="H119" s="269"/>
      <c r="I119" s="216"/>
      <c r="J119" s="216"/>
      <c r="K119" s="99"/>
      <c r="L119" s="269"/>
      <c r="M119" s="1045" t="s">
        <v>322</v>
      </c>
      <c r="N119" s="1047" t="s">
        <v>94</v>
      </c>
      <c r="O119" s="1066" t="s">
        <v>95</v>
      </c>
      <c r="P119" s="1" t="str">
        <f t="shared" si="12"/>
        <v/>
      </c>
      <c r="Q119" s="1" t="str">
        <f t="shared" si="12"/>
        <v/>
      </c>
      <c r="R119" s="1" t="str">
        <f t="shared" si="12"/>
        <v/>
      </c>
      <c r="S119" s="1" t="str">
        <f t="shared" si="12"/>
        <v/>
      </c>
      <c r="T119" s="358" t="s">
        <v>333</v>
      </c>
      <c r="U119" s="110" t="s">
        <v>334</v>
      </c>
      <c r="V119" s="87">
        <v>1</v>
      </c>
      <c r="W119" s="108" t="s">
        <v>90</v>
      </c>
      <c r="X119" s="436"/>
      <c r="Y119" s="47">
        <v>0</v>
      </c>
      <c r="Z119" s="447">
        <v>0.17599999999999999</v>
      </c>
      <c r="AA119" s="388">
        <v>0</v>
      </c>
      <c r="AB119" s="269"/>
      <c r="AC119" s="216"/>
      <c r="AD119" s="216"/>
      <c r="AE119" s="99" t="s">
        <v>92</v>
      </c>
      <c r="AF119" s="269" t="s">
        <v>92</v>
      </c>
      <c r="AG119" s="41" t="s">
        <v>322</v>
      </c>
      <c r="AH119" s="174" t="s">
        <v>94</v>
      </c>
      <c r="AI119" s="174" t="s">
        <v>95</v>
      </c>
      <c r="AJ119" s="1" t="s">
        <v>98</v>
      </c>
      <c r="AK119" s="1" t="s">
        <v>98</v>
      </c>
      <c r="AL119" s="1" t="s">
        <v>98</v>
      </c>
      <c r="AM119" s="1" t="s">
        <v>98</v>
      </c>
      <c r="AN119" s="287"/>
      <c r="AO119" s="284"/>
      <c r="AP119" s="284"/>
      <c r="AQ119" s="284"/>
      <c r="AR119" s="284"/>
      <c r="AS119" s="284"/>
      <c r="AT119" s="284"/>
      <c r="AU119" s="284"/>
      <c r="AV119" s="284"/>
    </row>
    <row r="120" spans="1:48" customFormat="1">
      <c r="A120" s="358" t="s">
        <v>335</v>
      </c>
      <c r="B120" s="110" t="s">
        <v>336</v>
      </c>
      <c r="C120" s="87">
        <v>1</v>
      </c>
      <c r="D120" s="108" t="s">
        <v>90</v>
      </c>
      <c r="E120" s="47">
        <v>0</v>
      </c>
      <c r="F120" s="447">
        <f t="shared" si="14"/>
        <v>0.17599999999999999</v>
      </c>
      <c r="G120" s="388">
        <f t="shared" si="13"/>
        <v>0</v>
      </c>
      <c r="H120" s="269"/>
      <c r="I120" s="292"/>
      <c r="J120" s="292"/>
      <c r="K120" s="262"/>
      <c r="L120" s="272"/>
      <c r="M120" s="1045" t="s">
        <v>322</v>
      </c>
      <c r="N120" s="1047" t="s">
        <v>94</v>
      </c>
      <c r="O120" s="1066" t="s">
        <v>95</v>
      </c>
      <c r="P120" s="1" t="str">
        <f t="shared" si="12"/>
        <v/>
      </c>
      <c r="Q120" s="1" t="str">
        <f t="shared" si="12"/>
        <v/>
      </c>
      <c r="R120" s="1" t="str">
        <f t="shared" si="12"/>
        <v/>
      </c>
      <c r="S120" s="1" t="str">
        <f t="shared" si="12"/>
        <v/>
      </c>
      <c r="T120" s="358" t="s">
        <v>335</v>
      </c>
      <c r="U120" s="110" t="s">
        <v>336</v>
      </c>
      <c r="V120" s="87">
        <v>1</v>
      </c>
      <c r="W120" s="108" t="s">
        <v>90</v>
      </c>
      <c r="X120" s="436"/>
      <c r="Y120" s="47">
        <v>0</v>
      </c>
      <c r="Z120" s="447">
        <v>0.17599999999999999</v>
      </c>
      <c r="AA120" s="388">
        <v>0</v>
      </c>
      <c r="AB120" s="269"/>
      <c r="AC120" s="292"/>
      <c r="AD120" s="292"/>
      <c r="AE120" s="262" t="s">
        <v>92</v>
      </c>
      <c r="AF120" s="272" t="s">
        <v>92</v>
      </c>
      <c r="AG120" s="41" t="s">
        <v>322</v>
      </c>
      <c r="AH120" s="174" t="s">
        <v>94</v>
      </c>
      <c r="AI120" s="174" t="s">
        <v>95</v>
      </c>
      <c r="AJ120" s="1" t="s">
        <v>98</v>
      </c>
      <c r="AK120" s="1" t="s">
        <v>98</v>
      </c>
      <c r="AL120" s="1" t="s">
        <v>98</v>
      </c>
      <c r="AM120" s="1" t="s">
        <v>98</v>
      </c>
      <c r="AN120" s="287"/>
      <c r="AO120" s="284"/>
      <c r="AP120" s="284"/>
      <c r="AQ120" s="284"/>
      <c r="AR120" s="284"/>
      <c r="AS120" s="284"/>
      <c r="AT120" s="284"/>
      <c r="AU120" s="284"/>
      <c r="AV120" s="284"/>
    </row>
    <row r="121" spans="1:48" customFormat="1">
      <c r="A121" s="358"/>
      <c r="B121" s="110"/>
      <c r="C121" s="87"/>
      <c r="D121" s="108"/>
      <c r="E121" s="47"/>
      <c r="F121" s="447"/>
      <c r="G121" s="388"/>
      <c r="H121" s="76"/>
      <c r="I121" s="270"/>
      <c r="J121" s="270"/>
      <c r="K121" s="121"/>
      <c r="L121" s="76"/>
      <c r="M121" s="1045"/>
      <c r="N121" s="1047"/>
      <c r="O121" s="1066"/>
      <c r="P121" s="1"/>
      <c r="Q121" s="1"/>
      <c r="R121" s="1"/>
      <c r="S121" s="1"/>
      <c r="T121" s="358" t="s">
        <v>337</v>
      </c>
      <c r="U121" s="110" t="s">
        <v>338</v>
      </c>
      <c r="V121" s="87">
        <v>1</v>
      </c>
      <c r="W121" s="108" t="s">
        <v>90</v>
      </c>
      <c r="X121" s="436"/>
      <c r="Y121" s="47">
        <v>0</v>
      </c>
      <c r="Z121" s="447">
        <v>0.17599999999999999</v>
      </c>
      <c r="AA121" s="388">
        <v>0</v>
      </c>
      <c r="AB121" s="76"/>
      <c r="AC121" s="270"/>
      <c r="AD121" s="270"/>
      <c r="AE121" s="121"/>
      <c r="AF121" s="76"/>
      <c r="AG121" s="41" t="s">
        <v>322</v>
      </c>
      <c r="AH121" s="174" t="s">
        <v>94</v>
      </c>
      <c r="AI121" s="174" t="s">
        <v>95</v>
      </c>
      <c r="AJ121" s="1" t="s">
        <v>98</v>
      </c>
      <c r="AK121" s="1" t="s">
        <v>98</v>
      </c>
      <c r="AL121" s="1" t="s">
        <v>98</v>
      </c>
      <c r="AM121" s="1" t="s">
        <v>98</v>
      </c>
      <c r="AN121" s="287"/>
      <c r="AO121" s="284"/>
      <c r="AP121" s="284"/>
      <c r="AQ121" s="284"/>
      <c r="AR121" s="284"/>
      <c r="AS121" s="284"/>
      <c r="AT121" s="284"/>
      <c r="AU121" s="284"/>
      <c r="AV121" s="284"/>
    </row>
    <row r="122" spans="1:48" customFormat="1">
      <c r="A122" s="358" t="s">
        <v>339</v>
      </c>
      <c r="B122" s="110" t="s">
        <v>340</v>
      </c>
      <c r="C122" s="87">
        <v>1</v>
      </c>
      <c r="D122" s="108" t="s">
        <v>90</v>
      </c>
      <c r="E122" s="47">
        <v>0</v>
      </c>
      <c r="F122" s="447">
        <f t="shared" si="14"/>
        <v>0.17599999999999999</v>
      </c>
      <c r="G122" s="388">
        <f t="shared" si="13"/>
        <v>0</v>
      </c>
      <c r="H122" s="76"/>
      <c r="I122" s="270"/>
      <c r="J122" s="270"/>
      <c r="K122" s="121"/>
      <c r="L122" s="76"/>
      <c r="M122" s="1045" t="s">
        <v>322</v>
      </c>
      <c r="N122" s="1047" t="s">
        <v>94</v>
      </c>
      <c r="O122" s="1066" t="s">
        <v>95</v>
      </c>
      <c r="P122" s="1" t="str">
        <f t="shared" si="12"/>
        <v/>
      </c>
      <c r="Q122" s="1" t="str">
        <f t="shared" si="12"/>
        <v/>
      </c>
      <c r="R122" s="1" t="str">
        <f t="shared" si="12"/>
        <v/>
      </c>
      <c r="S122" s="1" t="str">
        <f t="shared" si="12"/>
        <v/>
      </c>
      <c r="T122" s="358" t="s">
        <v>339</v>
      </c>
      <c r="U122" s="110" t="s">
        <v>340</v>
      </c>
      <c r="V122" s="87">
        <v>1</v>
      </c>
      <c r="W122" s="108" t="s">
        <v>90</v>
      </c>
      <c r="X122" s="436"/>
      <c r="Y122" s="47">
        <v>0</v>
      </c>
      <c r="Z122" s="447">
        <v>0.17599999999999999</v>
      </c>
      <c r="AA122" s="388">
        <v>0</v>
      </c>
      <c r="AB122" s="76"/>
      <c r="AC122" s="270"/>
      <c r="AD122" s="270"/>
      <c r="AE122" s="121"/>
      <c r="AF122" s="76"/>
      <c r="AG122" s="41" t="s">
        <v>322</v>
      </c>
      <c r="AH122" s="174" t="s">
        <v>94</v>
      </c>
      <c r="AI122" s="174" t="s">
        <v>95</v>
      </c>
      <c r="AJ122" s="1" t="s">
        <v>98</v>
      </c>
      <c r="AK122" s="1" t="s">
        <v>98</v>
      </c>
      <c r="AL122" s="1" t="s">
        <v>98</v>
      </c>
      <c r="AM122" s="1" t="s">
        <v>98</v>
      </c>
      <c r="AN122" s="287"/>
      <c r="AO122" s="284"/>
      <c r="AP122" s="284"/>
      <c r="AQ122" s="284"/>
      <c r="AR122" s="284"/>
      <c r="AS122" s="284"/>
      <c r="AT122" s="284"/>
      <c r="AU122" s="284"/>
      <c r="AV122" s="284"/>
    </row>
    <row r="123" spans="1:48" customFormat="1">
      <c r="A123" s="358"/>
      <c r="B123" s="110"/>
      <c r="C123" s="87"/>
      <c r="D123" s="108"/>
      <c r="E123" s="47"/>
      <c r="F123" s="447"/>
      <c r="G123" s="388"/>
      <c r="H123" s="76"/>
      <c r="I123" s="270"/>
      <c r="J123" s="270"/>
      <c r="K123" s="121"/>
      <c r="L123" s="76"/>
      <c r="M123" s="1045"/>
      <c r="N123" s="1047"/>
      <c r="O123" s="1066"/>
      <c r="P123" s="1"/>
      <c r="Q123" s="1"/>
      <c r="R123" s="1"/>
      <c r="S123" s="1"/>
      <c r="T123" s="358" t="s">
        <v>341</v>
      </c>
      <c r="U123" s="110" t="s">
        <v>342</v>
      </c>
      <c r="V123" s="87">
        <v>1</v>
      </c>
      <c r="W123" s="108" t="s">
        <v>90</v>
      </c>
      <c r="X123" s="436"/>
      <c r="Y123" s="47">
        <v>0</v>
      </c>
      <c r="Z123" s="447">
        <v>0.17599999999999999</v>
      </c>
      <c r="AA123" s="388">
        <v>0</v>
      </c>
      <c r="AB123" s="76"/>
      <c r="AC123" s="270"/>
      <c r="AD123" s="270"/>
      <c r="AE123" s="121"/>
      <c r="AF123" s="76"/>
      <c r="AG123" s="41" t="s">
        <v>322</v>
      </c>
      <c r="AH123" s="174" t="s">
        <v>94</v>
      </c>
      <c r="AI123" s="174" t="s">
        <v>95</v>
      </c>
      <c r="AJ123" s="1" t="s">
        <v>98</v>
      </c>
      <c r="AK123" s="1" t="s">
        <v>98</v>
      </c>
      <c r="AL123" s="1" t="s">
        <v>98</v>
      </c>
      <c r="AM123" s="1" t="s">
        <v>98</v>
      </c>
      <c r="AN123" s="287"/>
      <c r="AO123" s="284"/>
      <c r="AP123" s="284"/>
      <c r="AQ123" s="284"/>
      <c r="AR123" s="284"/>
      <c r="AS123" s="284"/>
      <c r="AT123" s="284"/>
      <c r="AU123" s="284"/>
      <c r="AV123" s="284"/>
    </row>
    <row r="124" spans="1:48" customFormat="1">
      <c r="A124" s="358"/>
      <c r="B124" s="110"/>
      <c r="C124" s="87"/>
      <c r="D124" s="108"/>
      <c r="E124" s="47"/>
      <c r="F124" s="447"/>
      <c r="G124" s="388"/>
      <c r="H124" s="76"/>
      <c r="I124" s="270"/>
      <c r="J124" s="270"/>
      <c r="K124" s="121"/>
      <c r="L124" s="76"/>
      <c r="M124" s="1045"/>
      <c r="N124" s="1047"/>
      <c r="O124" s="1066"/>
      <c r="P124" s="1"/>
      <c r="Q124" s="1"/>
      <c r="R124" s="1"/>
      <c r="S124" s="1"/>
      <c r="T124" s="358" t="s">
        <v>343</v>
      </c>
      <c r="U124" s="110" t="s">
        <v>344</v>
      </c>
      <c r="V124" s="87">
        <v>1</v>
      </c>
      <c r="W124" s="108" t="s">
        <v>90</v>
      </c>
      <c r="X124" s="436"/>
      <c r="Y124" s="47">
        <v>0</v>
      </c>
      <c r="Z124" s="447">
        <v>0.17599999999999999</v>
      </c>
      <c r="AA124" s="388">
        <v>0</v>
      </c>
      <c r="AB124" s="76"/>
      <c r="AC124" s="270"/>
      <c r="AD124" s="270"/>
      <c r="AE124" s="121"/>
      <c r="AF124" s="76"/>
      <c r="AG124" s="41" t="s">
        <v>322</v>
      </c>
      <c r="AH124" s="174" t="s">
        <v>94</v>
      </c>
      <c r="AI124" s="174" t="s">
        <v>95</v>
      </c>
      <c r="AJ124" s="1" t="s">
        <v>98</v>
      </c>
      <c r="AK124" s="1" t="s">
        <v>98</v>
      </c>
      <c r="AL124" s="1" t="s">
        <v>98</v>
      </c>
      <c r="AM124" s="1" t="s">
        <v>98</v>
      </c>
      <c r="AN124" s="287"/>
      <c r="AO124" s="284"/>
      <c r="AP124" s="284"/>
      <c r="AQ124" s="284"/>
      <c r="AR124" s="284"/>
      <c r="AS124" s="284"/>
      <c r="AT124" s="284"/>
      <c r="AU124" s="284"/>
      <c r="AV124" s="284"/>
    </row>
    <row r="125" spans="1:48" customFormat="1">
      <c r="A125" s="358"/>
      <c r="B125" s="110"/>
      <c r="C125" s="87"/>
      <c r="D125" s="108"/>
      <c r="E125" s="47"/>
      <c r="F125" s="447"/>
      <c r="G125" s="388"/>
      <c r="H125" s="76"/>
      <c r="I125" s="270"/>
      <c r="J125" s="270"/>
      <c r="K125" s="121"/>
      <c r="L125" s="76"/>
      <c r="M125" s="1045"/>
      <c r="N125" s="1047"/>
      <c r="O125" s="1066"/>
      <c r="P125" s="1"/>
      <c r="Q125" s="1"/>
      <c r="R125" s="1"/>
      <c r="S125" s="1"/>
      <c r="T125" s="358" t="s">
        <v>345</v>
      </c>
      <c r="U125" s="110" t="s">
        <v>346</v>
      </c>
      <c r="V125" s="87">
        <v>1</v>
      </c>
      <c r="W125" s="108" t="s">
        <v>90</v>
      </c>
      <c r="X125" s="436"/>
      <c r="Y125" s="47">
        <v>0</v>
      </c>
      <c r="Z125" s="447">
        <v>0.17599999999999999</v>
      </c>
      <c r="AA125" s="388">
        <v>0</v>
      </c>
      <c r="AB125" s="76"/>
      <c r="AC125" s="270"/>
      <c r="AD125" s="270"/>
      <c r="AE125" s="121"/>
      <c r="AF125" s="76"/>
      <c r="AG125" s="41" t="s">
        <v>322</v>
      </c>
      <c r="AH125" s="174" t="s">
        <v>94</v>
      </c>
      <c r="AI125" s="174" t="s">
        <v>95</v>
      </c>
      <c r="AJ125" s="1" t="s">
        <v>98</v>
      </c>
      <c r="AK125" s="1" t="s">
        <v>98</v>
      </c>
      <c r="AL125" s="1" t="s">
        <v>98</v>
      </c>
      <c r="AM125" s="1" t="s">
        <v>98</v>
      </c>
      <c r="AN125" s="287"/>
      <c r="AO125" s="284"/>
      <c r="AP125" s="284"/>
      <c r="AQ125" s="284"/>
      <c r="AR125" s="284"/>
      <c r="AS125" s="284"/>
      <c r="AT125" s="284"/>
      <c r="AU125" s="284"/>
      <c r="AV125" s="284"/>
    </row>
    <row r="126" spans="1:48" customFormat="1">
      <c r="A126" s="387" t="s">
        <v>347</v>
      </c>
      <c r="B126" s="70" t="s">
        <v>348</v>
      </c>
      <c r="C126" s="389">
        <v>1</v>
      </c>
      <c r="D126" s="196" t="s">
        <v>90</v>
      </c>
      <c r="E126" s="85">
        <v>1540.53</v>
      </c>
      <c r="F126" s="103">
        <f>rv_mba_hg</f>
        <v>0.17599999999999999</v>
      </c>
      <c r="G126" s="390">
        <f t="shared" si="13"/>
        <v>1269.39672</v>
      </c>
      <c r="H126" s="608" t="s">
        <v>91</v>
      </c>
      <c r="I126" s="91">
        <f>mba13_5pl</f>
        <v>48</v>
      </c>
      <c r="J126" s="91">
        <f>G126+I126</f>
        <v>1317.39672</v>
      </c>
      <c r="K126" s="193" t="s">
        <v>92</v>
      </c>
      <c r="L126" s="194">
        <v>0.3</v>
      </c>
      <c r="M126" s="1045" t="s">
        <v>322</v>
      </c>
      <c r="N126" s="1047" t="s">
        <v>94</v>
      </c>
      <c r="O126" s="1066" t="s">
        <v>95</v>
      </c>
      <c r="P126" s="1">
        <f t="shared" si="12"/>
        <v>265.20348338417665</v>
      </c>
      <c r="Q126" s="1">
        <f t="shared" si="12"/>
        <v>137.82796321035477</v>
      </c>
      <c r="R126" s="1">
        <f t="shared" si="12"/>
        <v>100.10034672110901</v>
      </c>
      <c r="S126" s="1">
        <f t="shared" si="12"/>
        <v>86.380231001426111</v>
      </c>
      <c r="T126" s="387" t="s">
        <v>347</v>
      </c>
      <c r="U126" s="70" t="s">
        <v>348</v>
      </c>
      <c r="V126" s="389">
        <v>1</v>
      </c>
      <c r="W126" s="196" t="s">
        <v>90</v>
      </c>
      <c r="X126" s="437" t="s">
        <v>347</v>
      </c>
      <c r="Y126" s="85">
        <v>1540.53</v>
      </c>
      <c r="Z126" s="103">
        <v>0.17599999999999999</v>
      </c>
      <c r="AA126" s="390">
        <v>1269.39672</v>
      </c>
      <c r="AB126" s="608" t="s">
        <v>91</v>
      </c>
      <c r="AC126" s="91">
        <v>48</v>
      </c>
      <c r="AD126" s="91">
        <v>1317.39672</v>
      </c>
      <c r="AE126" s="193" t="s">
        <v>92</v>
      </c>
      <c r="AF126" s="194">
        <v>0.3</v>
      </c>
      <c r="AG126" s="41" t="s">
        <v>322</v>
      </c>
      <c r="AH126" s="174" t="s">
        <v>94</v>
      </c>
      <c r="AI126" s="174" t="s">
        <v>95</v>
      </c>
      <c r="AJ126" s="1">
        <v>265.20348338417665</v>
      </c>
      <c r="AK126" s="1">
        <v>137.82796321035477</v>
      </c>
      <c r="AL126" s="1">
        <v>100.10034672110901</v>
      </c>
      <c r="AM126" s="1">
        <v>86.380231001426111</v>
      </c>
      <c r="AN126" s="287"/>
      <c r="AO126" s="284"/>
      <c r="AP126" s="284"/>
      <c r="AQ126" s="284"/>
      <c r="AR126" s="284"/>
      <c r="AS126" s="284"/>
      <c r="AT126" s="284"/>
      <c r="AU126" s="284"/>
      <c r="AV126" s="284"/>
    </row>
    <row r="127" spans="1:48" customFormat="1">
      <c r="A127" s="358" t="s">
        <v>349</v>
      </c>
      <c r="B127" s="110" t="s">
        <v>350</v>
      </c>
      <c r="C127" s="87">
        <v>1</v>
      </c>
      <c r="D127" s="108" t="s">
        <v>90</v>
      </c>
      <c r="E127" s="47">
        <v>191.67</v>
      </c>
      <c r="F127" s="447">
        <f t="shared" ref="F127:F135" si="15">rv_mba_hg_cto</f>
        <v>0.17599999999999999</v>
      </c>
      <c r="G127" s="388">
        <f t="shared" si="13"/>
        <v>157.93608</v>
      </c>
      <c r="H127" s="269"/>
      <c r="I127" s="216"/>
      <c r="J127" s="216"/>
      <c r="K127" s="99"/>
      <c r="L127" s="269"/>
      <c r="M127" s="1045" t="s">
        <v>322</v>
      </c>
      <c r="N127" s="1047" t="s">
        <v>94</v>
      </c>
      <c r="O127" s="1066" t="s">
        <v>95</v>
      </c>
      <c r="P127" s="1" t="str">
        <f t="shared" ref="P127:S146" si="16">+IF($J127&lt;&gt;"",P$2*$J127,"")</f>
        <v/>
      </c>
      <c r="Q127" s="1" t="str">
        <f t="shared" si="16"/>
        <v/>
      </c>
      <c r="R127" s="1" t="str">
        <f t="shared" si="16"/>
        <v/>
      </c>
      <c r="S127" s="1" t="str">
        <f t="shared" si="16"/>
        <v/>
      </c>
      <c r="T127" s="358" t="s">
        <v>349</v>
      </c>
      <c r="U127" s="110" t="s">
        <v>350</v>
      </c>
      <c r="V127" s="87">
        <v>1</v>
      </c>
      <c r="W127" s="108" t="s">
        <v>90</v>
      </c>
      <c r="X127" s="436"/>
      <c r="Y127" s="47">
        <v>191.67</v>
      </c>
      <c r="Z127" s="447">
        <v>0.17599999999999999</v>
      </c>
      <c r="AA127" s="388">
        <v>157.93608</v>
      </c>
      <c r="AB127" s="269"/>
      <c r="AC127" s="216"/>
      <c r="AD127" s="216"/>
      <c r="AE127" s="99" t="s">
        <v>92</v>
      </c>
      <c r="AF127" s="269" t="s">
        <v>92</v>
      </c>
      <c r="AG127" s="41" t="s">
        <v>322</v>
      </c>
      <c r="AH127" s="174" t="s">
        <v>94</v>
      </c>
      <c r="AI127" s="174" t="s">
        <v>95</v>
      </c>
      <c r="AJ127" s="1" t="s">
        <v>98</v>
      </c>
      <c r="AK127" s="1" t="s">
        <v>98</v>
      </c>
      <c r="AL127" s="1" t="s">
        <v>98</v>
      </c>
      <c r="AM127" s="1" t="s">
        <v>98</v>
      </c>
      <c r="AN127" s="287"/>
      <c r="AO127" s="284"/>
      <c r="AP127" s="284"/>
      <c r="AQ127" s="284"/>
      <c r="AR127" s="284"/>
      <c r="AS127" s="284"/>
      <c r="AT127" s="284"/>
      <c r="AU127" s="284"/>
      <c r="AV127" s="284"/>
    </row>
    <row r="128" spans="1:48" customFormat="1">
      <c r="A128" s="358" t="s">
        <v>351</v>
      </c>
      <c r="B128" s="110" t="s">
        <v>352</v>
      </c>
      <c r="C128" s="87">
        <v>1</v>
      </c>
      <c r="D128" s="108" t="s">
        <v>90</v>
      </c>
      <c r="E128" s="47">
        <v>383.33</v>
      </c>
      <c r="F128" s="447">
        <f t="shared" si="15"/>
        <v>0.17599999999999999</v>
      </c>
      <c r="G128" s="388">
        <f t="shared" si="13"/>
        <v>315.86392000000001</v>
      </c>
      <c r="H128" s="269"/>
      <c r="I128" s="216"/>
      <c r="J128" s="216"/>
      <c r="K128" s="99"/>
      <c r="L128" s="269"/>
      <c r="M128" s="1045" t="s">
        <v>322</v>
      </c>
      <c r="N128" s="1047" t="s">
        <v>94</v>
      </c>
      <c r="O128" s="1066" t="s">
        <v>95</v>
      </c>
      <c r="P128" s="1" t="str">
        <f t="shared" si="16"/>
        <v/>
      </c>
      <c r="Q128" s="1" t="str">
        <f t="shared" si="16"/>
        <v/>
      </c>
      <c r="R128" s="1" t="str">
        <f t="shared" si="16"/>
        <v/>
      </c>
      <c r="S128" s="1" t="str">
        <f t="shared" si="16"/>
        <v/>
      </c>
      <c r="T128" s="358" t="s">
        <v>351</v>
      </c>
      <c r="U128" s="110" t="s">
        <v>352</v>
      </c>
      <c r="V128" s="87">
        <v>1</v>
      </c>
      <c r="W128" s="108" t="s">
        <v>90</v>
      </c>
      <c r="X128" s="436"/>
      <c r="Y128" s="47">
        <v>383.33</v>
      </c>
      <c r="Z128" s="447">
        <v>0.17599999999999999</v>
      </c>
      <c r="AA128" s="388">
        <v>315.86392000000001</v>
      </c>
      <c r="AB128" s="269"/>
      <c r="AC128" s="216"/>
      <c r="AD128" s="216"/>
      <c r="AE128" s="99" t="s">
        <v>92</v>
      </c>
      <c r="AF128" s="269" t="s">
        <v>92</v>
      </c>
      <c r="AG128" s="41" t="s">
        <v>322</v>
      </c>
      <c r="AH128" s="174" t="s">
        <v>94</v>
      </c>
      <c r="AI128" s="174" t="s">
        <v>95</v>
      </c>
      <c r="AJ128" s="1" t="s">
        <v>98</v>
      </c>
      <c r="AK128" s="1" t="s">
        <v>98</v>
      </c>
      <c r="AL128" s="1" t="s">
        <v>98</v>
      </c>
      <c r="AM128" s="1" t="s">
        <v>98</v>
      </c>
      <c r="AN128" s="287"/>
      <c r="AO128" s="284"/>
      <c r="AP128" s="284"/>
      <c r="AQ128" s="284"/>
      <c r="AR128" s="284"/>
      <c r="AS128" s="284"/>
      <c r="AT128" s="284"/>
      <c r="AU128" s="284"/>
      <c r="AV128" s="284"/>
    </row>
    <row r="129" spans="1:48" customFormat="1">
      <c r="A129" s="358" t="s">
        <v>353</v>
      </c>
      <c r="B129" s="110" t="s">
        <v>354</v>
      </c>
      <c r="C129" s="87">
        <v>1</v>
      </c>
      <c r="D129" s="108" t="s">
        <v>90</v>
      </c>
      <c r="E129" s="47">
        <v>191.67</v>
      </c>
      <c r="F129" s="447">
        <f t="shared" si="15"/>
        <v>0.17599999999999999</v>
      </c>
      <c r="G129" s="388">
        <f t="shared" si="13"/>
        <v>157.93608</v>
      </c>
      <c r="H129" s="269"/>
      <c r="I129" s="216"/>
      <c r="J129" s="216"/>
      <c r="K129" s="99"/>
      <c r="L129" s="269"/>
      <c r="M129" s="1045" t="s">
        <v>322</v>
      </c>
      <c r="N129" s="1047" t="s">
        <v>94</v>
      </c>
      <c r="O129" s="1066" t="s">
        <v>95</v>
      </c>
      <c r="P129" s="1" t="str">
        <f t="shared" si="16"/>
        <v/>
      </c>
      <c r="Q129" s="1" t="str">
        <f t="shared" si="16"/>
        <v/>
      </c>
      <c r="R129" s="1" t="str">
        <f t="shared" si="16"/>
        <v/>
      </c>
      <c r="S129" s="1" t="str">
        <f t="shared" si="16"/>
        <v/>
      </c>
      <c r="T129" s="358" t="s">
        <v>353</v>
      </c>
      <c r="U129" s="110" t="s">
        <v>354</v>
      </c>
      <c r="V129" s="87">
        <v>1</v>
      </c>
      <c r="W129" s="108" t="s">
        <v>90</v>
      </c>
      <c r="X129" s="436"/>
      <c r="Y129" s="47">
        <v>191.67</v>
      </c>
      <c r="Z129" s="447">
        <v>0.17599999999999999</v>
      </c>
      <c r="AA129" s="388">
        <v>157.93608</v>
      </c>
      <c r="AB129" s="269"/>
      <c r="AC129" s="216"/>
      <c r="AD129" s="216"/>
      <c r="AE129" s="99" t="s">
        <v>92</v>
      </c>
      <c r="AF129" s="269" t="s">
        <v>92</v>
      </c>
      <c r="AG129" s="41" t="s">
        <v>322</v>
      </c>
      <c r="AH129" s="174" t="s">
        <v>94</v>
      </c>
      <c r="AI129" s="174" t="s">
        <v>95</v>
      </c>
      <c r="AJ129" s="1" t="s">
        <v>98</v>
      </c>
      <c r="AK129" s="1" t="s">
        <v>98</v>
      </c>
      <c r="AL129" s="1" t="s">
        <v>98</v>
      </c>
      <c r="AM129" s="1" t="s">
        <v>98</v>
      </c>
      <c r="AN129" s="287"/>
      <c r="AO129" s="284"/>
      <c r="AP129" s="284"/>
      <c r="AQ129" s="284"/>
      <c r="AR129" s="284"/>
      <c r="AS129" s="284"/>
      <c r="AT129" s="284"/>
      <c r="AU129" s="284"/>
      <c r="AV129" s="284"/>
    </row>
    <row r="130" spans="1:48" customFormat="1">
      <c r="A130" s="358" t="s">
        <v>355</v>
      </c>
      <c r="B130" s="110" t="s">
        <v>356</v>
      </c>
      <c r="C130" s="87">
        <v>1</v>
      </c>
      <c r="D130" s="108" t="s">
        <v>90</v>
      </c>
      <c r="E130" s="47">
        <v>575</v>
      </c>
      <c r="F130" s="447">
        <f t="shared" si="15"/>
        <v>0.17599999999999999</v>
      </c>
      <c r="G130" s="388">
        <f t="shared" si="13"/>
        <v>473.8</v>
      </c>
      <c r="H130" s="269"/>
      <c r="I130" s="216"/>
      <c r="J130" s="216"/>
      <c r="K130" s="99"/>
      <c r="L130" s="269"/>
      <c r="M130" s="1045" t="s">
        <v>322</v>
      </c>
      <c r="N130" s="1047" t="s">
        <v>94</v>
      </c>
      <c r="O130" s="1066" t="s">
        <v>95</v>
      </c>
      <c r="P130" s="1" t="str">
        <f t="shared" si="16"/>
        <v/>
      </c>
      <c r="Q130" s="1" t="str">
        <f t="shared" si="16"/>
        <v/>
      </c>
      <c r="R130" s="1" t="str">
        <f t="shared" si="16"/>
        <v/>
      </c>
      <c r="S130" s="1" t="str">
        <f t="shared" si="16"/>
        <v/>
      </c>
      <c r="T130" s="358" t="s">
        <v>355</v>
      </c>
      <c r="U130" s="110" t="s">
        <v>356</v>
      </c>
      <c r="V130" s="87">
        <v>1</v>
      </c>
      <c r="W130" s="108" t="s">
        <v>90</v>
      </c>
      <c r="X130" s="436"/>
      <c r="Y130" s="47">
        <v>575</v>
      </c>
      <c r="Z130" s="447">
        <v>0.17599999999999999</v>
      </c>
      <c r="AA130" s="388">
        <v>473.8</v>
      </c>
      <c r="AB130" s="269"/>
      <c r="AC130" s="216"/>
      <c r="AD130" s="216"/>
      <c r="AE130" s="99" t="s">
        <v>92</v>
      </c>
      <c r="AF130" s="269" t="s">
        <v>92</v>
      </c>
      <c r="AG130" s="41" t="s">
        <v>322</v>
      </c>
      <c r="AH130" s="174" t="s">
        <v>94</v>
      </c>
      <c r="AI130" s="174" t="s">
        <v>95</v>
      </c>
      <c r="AJ130" s="1" t="s">
        <v>98</v>
      </c>
      <c r="AK130" s="1" t="s">
        <v>98</v>
      </c>
      <c r="AL130" s="1" t="s">
        <v>98</v>
      </c>
      <c r="AM130" s="1" t="s">
        <v>98</v>
      </c>
      <c r="AN130" s="287"/>
      <c r="AO130" s="284"/>
      <c r="AP130" s="284"/>
      <c r="AQ130" s="284"/>
      <c r="AR130" s="284"/>
      <c r="AS130" s="284"/>
      <c r="AT130" s="284"/>
      <c r="AU130" s="284"/>
      <c r="AV130" s="284"/>
    </row>
    <row r="131" spans="1:48" customFormat="1">
      <c r="A131" s="358" t="s">
        <v>357</v>
      </c>
      <c r="B131" s="110" t="s">
        <v>358</v>
      </c>
      <c r="C131" s="87">
        <v>1</v>
      </c>
      <c r="D131" s="108" t="s">
        <v>90</v>
      </c>
      <c r="E131" s="47">
        <v>0</v>
      </c>
      <c r="F131" s="447">
        <f t="shared" si="15"/>
        <v>0.17599999999999999</v>
      </c>
      <c r="G131" s="388">
        <f t="shared" si="13"/>
        <v>0</v>
      </c>
      <c r="H131" s="269"/>
      <c r="I131" s="216"/>
      <c r="J131" s="216"/>
      <c r="K131" s="99"/>
      <c r="L131" s="269"/>
      <c r="M131" s="1045" t="s">
        <v>322</v>
      </c>
      <c r="N131" s="1047" t="s">
        <v>94</v>
      </c>
      <c r="O131" s="1066" t="s">
        <v>95</v>
      </c>
      <c r="P131" s="1" t="str">
        <f t="shared" si="16"/>
        <v/>
      </c>
      <c r="Q131" s="1" t="str">
        <f t="shared" si="16"/>
        <v/>
      </c>
      <c r="R131" s="1" t="str">
        <f t="shared" si="16"/>
        <v/>
      </c>
      <c r="S131" s="1" t="str">
        <f t="shared" si="16"/>
        <v/>
      </c>
      <c r="T131" s="358" t="s">
        <v>357</v>
      </c>
      <c r="U131" s="110" t="s">
        <v>358</v>
      </c>
      <c r="V131" s="87">
        <v>1</v>
      </c>
      <c r="W131" s="108" t="s">
        <v>90</v>
      </c>
      <c r="X131" s="436"/>
      <c r="Y131" s="47">
        <v>0</v>
      </c>
      <c r="Z131" s="447">
        <v>0.17599999999999999</v>
      </c>
      <c r="AA131" s="388">
        <v>0</v>
      </c>
      <c r="AB131" s="269"/>
      <c r="AC131" s="216"/>
      <c r="AD131" s="216"/>
      <c r="AE131" s="99" t="s">
        <v>92</v>
      </c>
      <c r="AF131" s="269" t="s">
        <v>92</v>
      </c>
      <c r="AG131" s="41" t="s">
        <v>322</v>
      </c>
      <c r="AH131" s="174" t="s">
        <v>94</v>
      </c>
      <c r="AI131" s="174" t="s">
        <v>95</v>
      </c>
      <c r="AJ131" s="1" t="s">
        <v>98</v>
      </c>
      <c r="AK131" s="1" t="s">
        <v>98</v>
      </c>
      <c r="AL131" s="1" t="s">
        <v>98</v>
      </c>
      <c r="AM131" s="1" t="s">
        <v>98</v>
      </c>
      <c r="AN131" s="287"/>
      <c r="AO131" s="284"/>
      <c r="AP131" s="284"/>
      <c r="AQ131" s="284"/>
      <c r="AR131" s="284"/>
      <c r="AS131" s="284"/>
      <c r="AT131" s="284"/>
      <c r="AU131" s="284"/>
      <c r="AV131" s="284"/>
    </row>
    <row r="132" spans="1:48" customFormat="1">
      <c r="A132" s="358" t="s">
        <v>359</v>
      </c>
      <c r="B132" s="110" t="s">
        <v>360</v>
      </c>
      <c r="C132" s="87">
        <v>1</v>
      </c>
      <c r="D132" s="108" t="s">
        <v>90</v>
      </c>
      <c r="E132" s="47">
        <v>0</v>
      </c>
      <c r="F132" s="447">
        <f t="shared" si="15"/>
        <v>0.17599999999999999</v>
      </c>
      <c r="G132" s="388">
        <f t="shared" si="13"/>
        <v>0</v>
      </c>
      <c r="H132" s="269"/>
      <c r="I132" s="216"/>
      <c r="J132" s="216"/>
      <c r="K132" s="99"/>
      <c r="L132" s="269"/>
      <c r="M132" s="1045" t="s">
        <v>322</v>
      </c>
      <c r="N132" s="1047" t="s">
        <v>94</v>
      </c>
      <c r="O132" s="1066" t="s">
        <v>95</v>
      </c>
      <c r="P132" s="1" t="str">
        <f t="shared" si="16"/>
        <v/>
      </c>
      <c r="Q132" s="1" t="str">
        <f t="shared" si="16"/>
        <v/>
      </c>
      <c r="R132" s="1" t="str">
        <f t="shared" si="16"/>
        <v/>
      </c>
      <c r="S132" s="1" t="str">
        <f t="shared" si="16"/>
        <v/>
      </c>
      <c r="T132" s="358" t="s">
        <v>359</v>
      </c>
      <c r="U132" s="110" t="s">
        <v>360</v>
      </c>
      <c r="V132" s="87">
        <v>1</v>
      </c>
      <c r="W132" s="108" t="s">
        <v>90</v>
      </c>
      <c r="X132" s="436"/>
      <c r="Y132" s="47">
        <v>0</v>
      </c>
      <c r="Z132" s="447">
        <v>0.17599999999999999</v>
      </c>
      <c r="AA132" s="388">
        <v>0</v>
      </c>
      <c r="AB132" s="269"/>
      <c r="AC132" s="216"/>
      <c r="AD132" s="216"/>
      <c r="AE132" s="99" t="s">
        <v>92</v>
      </c>
      <c r="AF132" s="269" t="s">
        <v>92</v>
      </c>
      <c r="AG132" s="41" t="s">
        <v>322</v>
      </c>
      <c r="AH132" s="174" t="s">
        <v>94</v>
      </c>
      <c r="AI132" s="174" t="s">
        <v>95</v>
      </c>
      <c r="AJ132" s="1" t="s">
        <v>98</v>
      </c>
      <c r="AK132" s="1" t="s">
        <v>98</v>
      </c>
      <c r="AL132" s="1" t="s">
        <v>98</v>
      </c>
      <c r="AM132" s="1" t="s">
        <v>98</v>
      </c>
      <c r="AN132" s="287"/>
      <c r="AO132" s="284"/>
      <c r="AP132" s="284"/>
      <c r="AQ132" s="284"/>
      <c r="AR132" s="284"/>
      <c r="AS132" s="284"/>
      <c r="AT132" s="284"/>
      <c r="AU132" s="284"/>
      <c r="AV132" s="284"/>
    </row>
    <row r="133" spans="1:48" customFormat="1">
      <c r="A133" s="358" t="s">
        <v>361</v>
      </c>
      <c r="B133" s="110" t="s">
        <v>362</v>
      </c>
      <c r="C133" s="87">
        <v>1</v>
      </c>
      <c r="D133" s="108" t="s">
        <v>90</v>
      </c>
      <c r="E133" s="47">
        <v>0</v>
      </c>
      <c r="F133" s="447">
        <f t="shared" si="15"/>
        <v>0.17599999999999999</v>
      </c>
      <c r="G133" s="388">
        <f t="shared" si="13"/>
        <v>0</v>
      </c>
      <c r="H133" s="269"/>
      <c r="I133" s="292"/>
      <c r="J133" s="292"/>
      <c r="K133" s="262"/>
      <c r="L133" s="272"/>
      <c r="M133" s="1045" t="s">
        <v>322</v>
      </c>
      <c r="N133" s="1047" t="s">
        <v>94</v>
      </c>
      <c r="O133" s="1066" t="s">
        <v>95</v>
      </c>
      <c r="P133" s="1" t="str">
        <f t="shared" si="16"/>
        <v/>
      </c>
      <c r="Q133" s="1" t="str">
        <f t="shared" si="16"/>
        <v/>
      </c>
      <c r="R133" s="1" t="str">
        <f t="shared" si="16"/>
        <v/>
      </c>
      <c r="S133" s="1" t="str">
        <f t="shared" si="16"/>
        <v/>
      </c>
      <c r="T133" s="358" t="s">
        <v>361</v>
      </c>
      <c r="U133" s="110" t="s">
        <v>362</v>
      </c>
      <c r="V133" s="87">
        <v>1</v>
      </c>
      <c r="W133" s="108" t="s">
        <v>90</v>
      </c>
      <c r="X133" s="436"/>
      <c r="Y133" s="47">
        <v>0</v>
      </c>
      <c r="Z133" s="447">
        <v>0.17599999999999999</v>
      </c>
      <c r="AA133" s="388">
        <v>0</v>
      </c>
      <c r="AB133" s="269"/>
      <c r="AC133" s="292"/>
      <c r="AD133" s="292"/>
      <c r="AE133" s="262" t="s">
        <v>92</v>
      </c>
      <c r="AF133" s="272" t="s">
        <v>92</v>
      </c>
      <c r="AG133" s="41" t="s">
        <v>322</v>
      </c>
      <c r="AH133" s="174" t="s">
        <v>94</v>
      </c>
      <c r="AI133" s="174" t="s">
        <v>95</v>
      </c>
      <c r="AJ133" s="1" t="s">
        <v>98</v>
      </c>
      <c r="AK133" s="1" t="s">
        <v>98</v>
      </c>
      <c r="AL133" s="1" t="s">
        <v>98</v>
      </c>
      <c r="AM133" s="1" t="s">
        <v>98</v>
      </c>
      <c r="AN133" s="287"/>
      <c r="AO133" s="284"/>
      <c r="AP133" s="284"/>
      <c r="AQ133" s="284"/>
      <c r="AR133" s="284"/>
      <c r="AS133" s="284"/>
      <c r="AT133" s="284"/>
      <c r="AU133" s="284"/>
      <c r="AV133" s="284"/>
    </row>
    <row r="134" spans="1:48" customFormat="1">
      <c r="A134" s="358"/>
      <c r="B134" s="110"/>
      <c r="C134" s="87"/>
      <c r="D134" s="108"/>
      <c r="E134" s="47"/>
      <c r="F134" s="447"/>
      <c r="G134" s="388"/>
      <c r="H134" s="76"/>
      <c r="I134" s="270"/>
      <c r="J134" s="270"/>
      <c r="K134" s="121"/>
      <c r="L134" s="76"/>
      <c r="M134" s="1045"/>
      <c r="N134" s="1047"/>
      <c r="O134" s="1066"/>
      <c r="P134" s="1"/>
      <c r="Q134" s="1"/>
      <c r="R134" s="1"/>
      <c r="S134" s="1"/>
      <c r="T134" s="358" t="s">
        <v>363</v>
      </c>
      <c r="U134" s="110" t="s">
        <v>364</v>
      </c>
      <c r="V134" s="87">
        <v>1</v>
      </c>
      <c r="W134" s="108" t="s">
        <v>90</v>
      </c>
      <c r="X134" s="436"/>
      <c r="Y134" s="47">
        <v>0</v>
      </c>
      <c r="Z134" s="447">
        <v>0.17599999999999999</v>
      </c>
      <c r="AA134" s="388">
        <v>0</v>
      </c>
      <c r="AB134" s="76"/>
      <c r="AC134" s="270"/>
      <c r="AD134" s="270"/>
      <c r="AE134" s="121"/>
      <c r="AF134" s="76"/>
      <c r="AG134" s="41" t="s">
        <v>322</v>
      </c>
      <c r="AH134" s="174" t="s">
        <v>94</v>
      </c>
      <c r="AI134" s="174" t="s">
        <v>95</v>
      </c>
      <c r="AJ134" s="1" t="s">
        <v>98</v>
      </c>
      <c r="AK134" s="1" t="s">
        <v>98</v>
      </c>
      <c r="AL134" s="1" t="s">
        <v>98</v>
      </c>
      <c r="AM134" s="1" t="s">
        <v>98</v>
      </c>
      <c r="AN134" s="287"/>
      <c r="AO134" s="284"/>
      <c r="AP134" s="284"/>
      <c r="AQ134" s="284"/>
      <c r="AR134" s="284"/>
      <c r="AS134" s="284"/>
      <c r="AT134" s="284"/>
      <c r="AU134" s="284"/>
      <c r="AV134" s="284"/>
    </row>
    <row r="135" spans="1:48" customFormat="1">
      <c r="A135" s="358" t="s">
        <v>365</v>
      </c>
      <c r="B135" s="110" t="s">
        <v>366</v>
      </c>
      <c r="C135" s="87">
        <v>1</v>
      </c>
      <c r="D135" s="108" t="s">
        <v>90</v>
      </c>
      <c r="E135" s="47">
        <v>0</v>
      </c>
      <c r="F135" s="447">
        <f t="shared" si="15"/>
        <v>0.17599999999999999</v>
      </c>
      <c r="G135" s="388">
        <f t="shared" si="13"/>
        <v>0</v>
      </c>
      <c r="H135" s="76"/>
      <c r="I135" s="270"/>
      <c r="J135" s="270"/>
      <c r="K135" s="121"/>
      <c r="L135" s="76"/>
      <c r="M135" s="1045" t="s">
        <v>322</v>
      </c>
      <c r="N135" s="1047" t="s">
        <v>94</v>
      </c>
      <c r="O135" s="1066" t="s">
        <v>95</v>
      </c>
      <c r="P135" s="1" t="str">
        <f t="shared" si="16"/>
        <v/>
      </c>
      <c r="Q135" s="1" t="str">
        <f t="shared" si="16"/>
        <v/>
      </c>
      <c r="R135" s="1" t="str">
        <f t="shared" si="16"/>
        <v/>
      </c>
      <c r="S135" s="1" t="str">
        <f t="shared" si="16"/>
        <v/>
      </c>
      <c r="T135" s="358" t="s">
        <v>365</v>
      </c>
      <c r="U135" s="110" t="s">
        <v>366</v>
      </c>
      <c r="V135" s="87">
        <v>1</v>
      </c>
      <c r="W135" s="108" t="s">
        <v>90</v>
      </c>
      <c r="X135" s="436"/>
      <c r="Y135" s="47">
        <v>0</v>
      </c>
      <c r="Z135" s="447">
        <v>0.17599999999999999</v>
      </c>
      <c r="AA135" s="388">
        <v>0</v>
      </c>
      <c r="AB135" s="76"/>
      <c r="AC135" s="270"/>
      <c r="AD135" s="270"/>
      <c r="AE135" s="121"/>
      <c r="AF135" s="76"/>
      <c r="AG135" s="41" t="s">
        <v>322</v>
      </c>
      <c r="AH135" s="174" t="s">
        <v>94</v>
      </c>
      <c r="AI135" s="174" t="s">
        <v>95</v>
      </c>
      <c r="AJ135" s="1" t="s">
        <v>98</v>
      </c>
      <c r="AK135" s="1" t="s">
        <v>98</v>
      </c>
      <c r="AL135" s="1" t="s">
        <v>98</v>
      </c>
      <c r="AM135" s="1" t="s">
        <v>98</v>
      </c>
      <c r="AN135" s="287"/>
      <c r="AO135" s="284"/>
      <c r="AP135" s="284"/>
      <c r="AQ135" s="284"/>
      <c r="AR135" s="284"/>
      <c r="AS135" s="284"/>
      <c r="AT135" s="284"/>
      <c r="AU135" s="284"/>
      <c r="AV135" s="284"/>
    </row>
    <row r="136" spans="1:48" customFormat="1">
      <c r="A136" s="358"/>
      <c r="B136" s="110"/>
      <c r="C136" s="87"/>
      <c r="D136" s="108"/>
      <c r="E136" s="47"/>
      <c r="F136" s="447"/>
      <c r="G136" s="388"/>
      <c r="H136" s="76"/>
      <c r="I136" s="270"/>
      <c r="J136" s="270"/>
      <c r="K136" s="121"/>
      <c r="L136" s="76"/>
      <c r="M136" s="1045"/>
      <c r="N136" s="1047"/>
      <c r="O136" s="1066"/>
      <c r="P136" s="1"/>
      <c r="Q136" s="1"/>
      <c r="R136" s="1"/>
      <c r="S136" s="1"/>
      <c r="T136" s="358" t="s">
        <v>367</v>
      </c>
      <c r="U136" s="110" t="s">
        <v>368</v>
      </c>
      <c r="V136" s="87">
        <v>1</v>
      </c>
      <c r="W136" s="108" t="s">
        <v>90</v>
      </c>
      <c r="X136" s="436"/>
      <c r="Y136" s="47">
        <v>0</v>
      </c>
      <c r="Z136" s="447">
        <v>0.17599999999999999</v>
      </c>
      <c r="AA136" s="388">
        <v>0</v>
      </c>
      <c r="AB136" s="76"/>
      <c r="AC136" s="270"/>
      <c r="AD136" s="270"/>
      <c r="AE136" s="121"/>
      <c r="AF136" s="76"/>
      <c r="AG136" s="41" t="s">
        <v>322</v>
      </c>
      <c r="AH136" s="174" t="s">
        <v>94</v>
      </c>
      <c r="AI136" s="174" t="s">
        <v>95</v>
      </c>
      <c r="AJ136" s="1" t="s">
        <v>98</v>
      </c>
      <c r="AK136" s="1" t="s">
        <v>98</v>
      </c>
      <c r="AL136" s="1" t="s">
        <v>98</v>
      </c>
      <c r="AM136" s="1" t="s">
        <v>98</v>
      </c>
      <c r="AN136" s="287"/>
      <c r="AO136" s="284"/>
      <c r="AP136" s="284"/>
      <c r="AQ136" s="284"/>
      <c r="AR136" s="284"/>
      <c r="AS136" s="284"/>
      <c r="AT136" s="284"/>
      <c r="AU136" s="284"/>
      <c r="AV136" s="284"/>
    </row>
    <row r="137" spans="1:48" customFormat="1">
      <c r="A137" s="358"/>
      <c r="B137" s="110"/>
      <c r="C137" s="87"/>
      <c r="D137" s="108"/>
      <c r="E137" s="47"/>
      <c r="F137" s="447"/>
      <c r="G137" s="388"/>
      <c r="H137" s="76"/>
      <c r="I137" s="270"/>
      <c r="J137" s="270"/>
      <c r="K137" s="121"/>
      <c r="L137" s="76"/>
      <c r="M137" s="1045"/>
      <c r="N137" s="1047"/>
      <c r="O137" s="1066"/>
      <c r="P137" s="1"/>
      <c r="Q137" s="1"/>
      <c r="R137" s="1"/>
      <c r="S137" s="1"/>
      <c r="T137" s="358" t="s">
        <v>369</v>
      </c>
      <c r="U137" s="110" t="s">
        <v>370</v>
      </c>
      <c r="V137" s="87">
        <v>1</v>
      </c>
      <c r="W137" s="108" t="s">
        <v>90</v>
      </c>
      <c r="X137" s="436"/>
      <c r="Y137" s="47">
        <v>0</v>
      </c>
      <c r="Z137" s="447">
        <v>0.17599999999999999</v>
      </c>
      <c r="AA137" s="388">
        <v>0</v>
      </c>
      <c r="AB137" s="76"/>
      <c r="AC137" s="270"/>
      <c r="AD137" s="270"/>
      <c r="AE137" s="121"/>
      <c r="AF137" s="76"/>
      <c r="AG137" s="41" t="s">
        <v>322</v>
      </c>
      <c r="AH137" s="174" t="s">
        <v>94</v>
      </c>
      <c r="AI137" s="174" t="s">
        <v>95</v>
      </c>
      <c r="AJ137" s="1" t="s">
        <v>98</v>
      </c>
      <c r="AK137" s="1" t="s">
        <v>98</v>
      </c>
      <c r="AL137" s="1" t="s">
        <v>98</v>
      </c>
      <c r="AM137" s="1" t="s">
        <v>98</v>
      </c>
      <c r="AN137" s="287"/>
      <c r="AO137" s="284"/>
      <c r="AP137" s="284"/>
      <c r="AQ137" s="284"/>
      <c r="AR137" s="284"/>
      <c r="AS137" s="284"/>
      <c r="AT137" s="284"/>
      <c r="AU137" s="284"/>
      <c r="AV137" s="284"/>
    </row>
    <row r="138" spans="1:48" customFormat="1">
      <c r="A138" s="358"/>
      <c r="B138" s="110"/>
      <c r="C138" s="87"/>
      <c r="D138" s="108"/>
      <c r="E138" s="47"/>
      <c r="F138" s="447"/>
      <c r="G138" s="388"/>
      <c r="H138" s="76"/>
      <c r="I138" s="270"/>
      <c r="J138" s="270"/>
      <c r="K138" s="121"/>
      <c r="L138" s="76"/>
      <c r="M138" s="1045"/>
      <c r="N138" s="1047"/>
      <c r="O138" s="1066"/>
      <c r="P138" s="1"/>
      <c r="Q138" s="1"/>
      <c r="R138" s="1"/>
      <c r="S138" s="1"/>
      <c r="T138" s="358" t="s">
        <v>371</v>
      </c>
      <c r="U138" s="110" t="s">
        <v>372</v>
      </c>
      <c r="V138" s="87">
        <v>1</v>
      </c>
      <c r="W138" s="108" t="s">
        <v>90</v>
      </c>
      <c r="X138" s="436"/>
      <c r="Y138" s="47">
        <v>0</v>
      </c>
      <c r="Z138" s="447">
        <v>0.17599999999999999</v>
      </c>
      <c r="AA138" s="388">
        <v>0</v>
      </c>
      <c r="AB138" s="76"/>
      <c r="AC138" s="270"/>
      <c r="AD138" s="270"/>
      <c r="AE138" s="121"/>
      <c r="AF138" s="76"/>
      <c r="AG138" s="41" t="s">
        <v>322</v>
      </c>
      <c r="AH138" s="174" t="s">
        <v>94</v>
      </c>
      <c r="AI138" s="174" t="s">
        <v>95</v>
      </c>
      <c r="AJ138" s="1" t="s">
        <v>98</v>
      </c>
      <c r="AK138" s="1" t="s">
        <v>98</v>
      </c>
      <c r="AL138" s="1" t="s">
        <v>98</v>
      </c>
      <c r="AM138" s="1" t="s">
        <v>98</v>
      </c>
      <c r="AN138" s="287"/>
      <c r="AO138" s="284"/>
      <c r="AP138" s="284"/>
      <c r="AQ138" s="284"/>
      <c r="AR138" s="284"/>
      <c r="AS138" s="284"/>
      <c r="AT138" s="284"/>
      <c r="AU138" s="284"/>
      <c r="AV138" s="284"/>
    </row>
    <row r="139" spans="1:48" customFormat="1">
      <c r="A139" s="387" t="s">
        <v>373</v>
      </c>
      <c r="B139" s="70" t="s">
        <v>374</v>
      </c>
      <c r="C139" s="389">
        <v>1</v>
      </c>
      <c r="D139" s="196" t="s">
        <v>90</v>
      </c>
      <c r="E139" s="85">
        <v>1540.53</v>
      </c>
      <c r="F139" s="103">
        <f>rv_mba_hg</f>
        <v>0.17599999999999999</v>
      </c>
      <c r="G139" s="390">
        <f t="shared" si="13"/>
        <v>1269.39672</v>
      </c>
      <c r="H139" s="608" t="s">
        <v>91</v>
      </c>
      <c r="I139" s="91">
        <f>mba13_5pl</f>
        <v>48</v>
      </c>
      <c r="J139" s="91">
        <f>G139+I139</f>
        <v>1317.39672</v>
      </c>
      <c r="K139" s="193" t="s">
        <v>92</v>
      </c>
      <c r="L139" s="194">
        <v>0.3</v>
      </c>
      <c r="M139" s="1045" t="s">
        <v>322</v>
      </c>
      <c r="N139" s="1047" t="s">
        <v>94</v>
      </c>
      <c r="O139" s="1066" t="s">
        <v>95</v>
      </c>
      <c r="P139" s="1">
        <f t="shared" si="16"/>
        <v>265.20348338417665</v>
      </c>
      <c r="Q139" s="1">
        <f t="shared" si="16"/>
        <v>137.82796321035477</v>
      </c>
      <c r="R139" s="1">
        <f t="shared" si="16"/>
        <v>100.10034672110901</v>
      </c>
      <c r="S139" s="1">
        <f t="shared" si="16"/>
        <v>86.380231001426111</v>
      </c>
      <c r="T139" s="387" t="s">
        <v>373</v>
      </c>
      <c r="U139" s="70" t="s">
        <v>374</v>
      </c>
      <c r="V139" s="389">
        <v>1</v>
      </c>
      <c r="W139" s="196" t="s">
        <v>90</v>
      </c>
      <c r="X139" s="437" t="s">
        <v>373</v>
      </c>
      <c r="Y139" s="85">
        <v>1540.53</v>
      </c>
      <c r="Z139" s="103">
        <v>0.17599999999999999</v>
      </c>
      <c r="AA139" s="390">
        <v>1269.39672</v>
      </c>
      <c r="AB139" s="608" t="s">
        <v>91</v>
      </c>
      <c r="AC139" s="91">
        <v>48</v>
      </c>
      <c r="AD139" s="91">
        <v>1317.39672</v>
      </c>
      <c r="AE139" s="193" t="s">
        <v>92</v>
      </c>
      <c r="AF139" s="194">
        <v>0.3</v>
      </c>
      <c r="AG139" s="41" t="s">
        <v>322</v>
      </c>
      <c r="AH139" s="174" t="s">
        <v>94</v>
      </c>
      <c r="AI139" s="174" t="s">
        <v>95</v>
      </c>
      <c r="AJ139" s="1">
        <v>265.20348338417665</v>
      </c>
      <c r="AK139" s="1">
        <v>137.82796321035477</v>
      </c>
      <c r="AL139" s="1">
        <v>100.10034672110901</v>
      </c>
      <c r="AM139" s="1">
        <v>86.380231001426111</v>
      </c>
      <c r="AN139" s="287"/>
      <c r="AO139" s="284"/>
      <c r="AP139" s="284"/>
      <c r="AQ139" s="284"/>
      <c r="AR139" s="284"/>
      <c r="AS139" s="284"/>
      <c r="AT139" s="284"/>
      <c r="AU139" s="284"/>
      <c r="AV139" s="284"/>
    </row>
    <row r="140" spans="1:48" customFormat="1">
      <c r="A140" s="358" t="s">
        <v>375</v>
      </c>
      <c r="B140" s="110" t="s">
        <v>376</v>
      </c>
      <c r="C140" s="87">
        <v>1</v>
      </c>
      <c r="D140" s="108" t="s">
        <v>90</v>
      </c>
      <c r="E140" s="47">
        <v>191.67</v>
      </c>
      <c r="F140" s="447">
        <f t="shared" ref="F140:F148" si="17">rv_mba_hg_cto</f>
        <v>0.17599999999999999</v>
      </c>
      <c r="G140" s="388">
        <f t="shared" si="13"/>
        <v>157.93608</v>
      </c>
      <c r="H140" s="269"/>
      <c r="I140" s="216"/>
      <c r="J140" s="216"/>
      <c r="K140" s="99"/>
      <c r="L140" s="269"/>
      <c r="M140" s="1045" t="s">
        <v>322</v>
      </c>
      <c r="N140" s="1047" t="s">
        <v>94</v>
      </c>
      <c r="O140" s="1066" t="s">
        <v>95</v>
      </c>
      <c r="P140" s="1" t="str">
        <f t="shared" si="16"/>
        <v/>
      </c>
      <c r="Q140" s="1" t="str">
        <f t="shared" si="16"/>
        <v/>
      </c>
      <c r="R140" s="1" t="str">
        <f t="shared" si="16"/>
        <v/>
      </c>
      <c r="S140" s="1" t="str">
        <f t="shared" si="16"/>
        <v/>
      </c>
      <c r="T140" s="358" t="s">
        <v>375</v>
      </c>
      <c r="U140" s="110" t="s">
        <v>376</v>
      </c>
      <c r="V140" s="87">
        <v>1</v>
      </c>
      <c r="W140" s="108" t="s">
        <v>90</v>
      </c>
      <c r="X140" s="436"/>
      <c r="Y140" s="47">
        <v>191.67</v>
      </c>
      <c r="Z140" s="447">
        <v>0.17599999999999999</v>
      </c>
      <c r="AA140" s="388">
        <v>157.93608</v>
      </c>
      <c r="AB140" s="269"/>
      <c r="AC140" s="216"/>
      <c r="AD140" s="216"/>
      <c r="AE140" s="99" t="s">
        <v>92</v>
      </c>
      <c r="AF140" s="269" t="s">
        <v>92</v>
      </c>
      <c r="AG140" s="41" t="s">
        <v>322</v>
      </c>
      <c r="AH140" s="174" t="s">
        <v>94</v>
      </c>
      <c r="AI140" s="174" t="s">
        <v>95</v>
      </c>
      <c r="AJ140" s="1" t="s">
        <v>98</v>
      </c>
      <c r="AK140" s="1" t="s">
        <v>98</v>
      </c>
      <c r="AL140" s="1" t="s">
        <v>98</v>
      </c>
      <c r="AM140" s="1" t="s">
        <v>98</v>
      </c>
      <c r="AN140" s="287"/>
      <c r="AO140" s="284"/>
      <c r="AP140" s="284"/>
      <c r="AQ140" s="284"/>
      <c r="AR140" s="284"/>
      <c r="AS140" s="284"/>
      <c r="AT140" s="284"/>
      <c r="AU140" s="284"/>
      <c r="AV140" s="284"/>
    </row>
    <row r="141" spans="1:48" customFormat="1">
      <c r="A141" s="358" t="s">
        <v>377</v>
      </c>
      <c r="B141" s="110" t="s">
        <v>378</v>
      </c>
      <c r="C141" s="87">
        <v>1</v>
      </c>
      <c r="D141" s="108" t="s">
        <v>90</v>
      </c>
      <c r="E141" s="47">
        <v>383.33</v>
      </c>
      <c r="F141" s="447">
        <f t="shared" si="17"/>
        <v>0.17599999999999999</v>
      </c>
      <c r="G141" s="388">
        <f t="shared" si="13"/>
        <v>315.86392000000001</v>
      </c>
      <c r="H141" s="269"/>
      <c r="I141" s="216"/>
      <c r="J141" s="216"/>
      <c r="K141" s="99"/>
      <c r="L141" s="269"/>
      <c r="M141" s="1045" t="s">
        <v>322</v>
      </c>
      <c r="N141" s="1047" t="s">
        <v>94</v>
      </c>
      <c r="O141" s="1066" t="s">
        <v>95</v>
      </c>
      <c r="P141" s="1" t="str">
        <f t="shared" si="16"/>
        <v/>
      </c>
      <c r="Q141" s="1" t="str">
        <f t="shared" si="16"/>
        <v/>
      </c>
      <c r="R141" s="1" t="str">
        <f t="shared" si="16"/>
        <v/>
      </c>
      <c r="S141" s="1" t="str">
        <f t="shared" si="16"/>
        <v/>
      </c>
      <c r="T141" s="358" t="s">
        <v>377</v>
      </c>
      <c r="U141" s="110" t="s">
        <v>378</v>
      </c>
      <c r="V141" s="87">
        <v>1</v>
      </c>
      <c r="W141" s="108" t="s">
        <v>90</v>
      </c>
      <c r="X141" s="436"/>
      <c r="Y141" s="47">
        <v>383.33</v>
      </c>
      <c r="Z141" s="447">
        <v>0.17599999999999999</v>
      </c>
      <c r="AA141" s="388">
        <v>315.86392000000001</v>
      </c>
      <c r="AB141" s="269"/>
      <c r="AC141" s="216"/>
      <c r="AD141" s="216"/>
      <c r="AE141" s="99" t="s">
        <v>92</v>
      </c>
      <c r="AF141" s="269" t="s">
        <v>92</v>
      </c>
      <c r="AG141" s="41" t="s">
        <v>322</v>
      </c>
      <c r="AH141" s="174" t="s">
        <v>94</v>
      </c>
      <c r="AI141" s="174" t="s">
        <v>95</v>
      </c>
      <c r="AJ141" s="1" t="s">
        <v>98</v>
      </c>
      <c r="AK141" s="1" t="s">
        <v>98</v>
      </c>
      <c r="AL141" s="1" t="s">
        <v>98</v>
      </c>
      <c r="AM141" s="1" t="s">
        <v>98</v>
      </c>
      <c r="AN141" s="287"/>
      <c r="AO141" s="284"/>
      <c r="AP141" s="284"/>
      <c r="AQ141" s="284"/>
      <c r="AR141" s="284"/>
      <c r="AS141" s="284"/>
      <c r="AT141" s="284"/>
      <c r="AU141" s="284"/>
      <c r="AV141" s="284"/>
    </row>
    <row r="142" spans="1:48" customFormat="1">
      <c r="A142" s="358" t="s">
        <v>379</v>
      </c>
      <c r="B142" s="110" t="s">
        <v>380</v>
      </c>
      <c r="C142" s="87">
        <v>1</v>
      </c>
      <c r="D142" s="108" t="s">
        <v>90</v>
      </c>
      <c r="E142" s="47">
        <v>191.67</v>
      </c>
      <c r="F142" s="447">
        <f t="shared" si="17"/>
        <v>0.17599999999999999</v>
      </c>
      <c r="G142" s="388">
        <f t="shared" si="13"/>
        <v>157.93608</v>
      </c>
      <c r="H142" s="269"/>
      <c r="I142" s="216"/>
      <c r="J142" s="216"/>
      <c r="K142" s="99"/>
      <c r="L142" s="269"/>
      <c r="M142" s="1045" t="s">
        <v>322</v>
      </c>
      <c r="N142" s="1047" t="s">
        <v>94</v>
      </c>
      <c r="O142" s="1066" t="s">
        <v>95</v>
      </c>
      <c r="P142" s="1" t="str">
        <f t="shared" si="16"/>
        <v/>
      </c>
      <c r="Q142" s="1" t="str">
        <f t="shared" si="16"/>
        <v/>
      </c>
      <c r="R142" s="1" t="str">
        <f t="shared" si="16"/>
        <v/>
      </c>
      <c r="S142" s="1" t="str">
        <f t="shared" si="16"/>
        <v/>
      </c>
      <c r="T142" s="358" t="s">
        <v>379</v>
      </c>
      <c r="U142" s="110" t="s">
        <v>380</v>
      </c>
      <c r="V142" s="87">
        <v>1</v>
      </c>
      <c r="W142" s="108" t="s">
        <v>90</v>
      </c>
      <c r="X142" s="436"/>
      <c r="Y142" s="47">
        <v>191.67</v>
      </c>
      <c r="Z142" s="447">
        <v>0.17599999999999999</v>
      </c>
      <c r="AA142" s="388">
        <v>157.93608</v>
      </c>
      <c r="AB142" s="269"/>
      <c r="AC142" s="216"/>
      <c r="AD142" s="216"/>
      <c r="AE142" s="99" t="s">
        <v>92</v>
      </c>
      <c r="AF142" s="269" t="s">
        <v>92</v>
      </c>
      <c r="AG142" s="41" t="s">
        <v>322</v>
      </c>
      <c r="AH142" s="174" t="s">
        <v>94</v>
      </c>
      <c r="AI142" s="174" t="s">
        <v>95</v>
      </c>
      <c r="AJ142" s="1" t="s">
        <v>98</v>
      </c>
      <c r="AK142" s="1" t="s">
        <v>98</v>
      </c>
      <c r="AL142" s="1" t="s">
        <v>98</v>
      </c>
      <c r="AM142" s="1" t="s">
        <v>98</v>
      </c>
      <c r="AN142" s="287"/>
      <c r="AO142" s="284"/>
      <c r="AP142" s="284"/>
      <c r="AQ142" s="284"/>
      <c r="AR142" s="284"/>
      <c r="AS142" s="284"/>
      <c r="AT142" s="284"/>
      <c r="AU142" s="284"/>
      <c r="AV142" s="284"/>
    </row>
    <row r="143" spans="1:48" customFormat="1">
      <c r="A143" s="358" t="s">
        <v>381</v>
      </c>
      <c r="B143" s="110" t="s">
        <v>382</v>
      </c>
      <c r="C143" s="87">
        <v>1</v>
      </c>
      <c r="D143" s="108" t="s">
        <v>90</v>
      </c>
      <c r="E143" s="47">
        <v>575</v>
      </c>
      <c r="F143" s="447">
        <f t="shared" si="17"/>
        <v>0.17599999999999999</v>
      </c>
      <c r="G143" s="388">
        <f t="shared" si="13"/>
        <v>473.8</v>
      </c>
      <c r="H143" s="269"/>
      <c r="I143" s="216"/>
      <c r="J143" s="216"/>
      <c r="K143" s="99"/>
      <c r="L143" s="269"/>
      <c r="M143" s="1045" t="s">
        <v>322</v>
      </c>
      <c r="N143" s="1047" t="s">
        <v>94</v>
      </c>
      <c r="O143" s="1066" t="s">
        <v>95</v>
      </c>
      <c r="P143" s="1" t="str">
        <f t="shared" si="16"/>
        <v/>
      </c>
      <c r="Q143" s="1" t="str">
        <f t="shared" si="16"/>
        <v/>
      </c>
      <c r="R143" s="1" t="str">
        <f t="shared" si="16"/>
        <v/>
      </c>
      <c r="S143" s="1" t="str">
        <f t="shared" si="16"/>
        <v/>
      </c>
      <c r="T143" s="358" t="s">
        <v>381</v>
      </c>
      <c r="U143" s="110" t="s">
        <v>382</v>
      </c>
      <c r="V143" s="87">
        <v>1</v>
      </c>
      <c r="W143" s="108" t="s">
        <v>90</v>
      </c>
      <c r="X143" s="436"/>
      <c r="Y143" s="47">
        <v>575</v>
      </c>
      <c r="Z143" s="447">
        <v>0.17599999999999999</v>
      </c>
      <c r="AA143" s="388">
        <v>473.8</v>
      </c>
      <c r="AB143" s="269"/>
      <c r="AC143" s="216"/>
      <c r="AD143" s="216"/>
      <c r="AE143" s="99" t="s">
        <v>92</v>
      </c>
      <c r="AF143" s="269" t="s">
        <v>92</v>
      </c>
      <c r="AG143" s="41" t="s">
        <v>322</v>
      </c>
      <c r="AH143" s="174" t="s">
        <v>94</v>
      </c>
      <c r="AI143" s="174" t="s">
        <v>95</v>
      </c>
      <c r="AJ143" s="1" t="s">
        <v>98</v>
      </c>
      <c r="AK143" s="1" t="s">
        <v>98</v>
      </c>
      <c r="AL143" s="1" t="s">
        <v>98</v>
      </c>
      <c r="AM143" s="1" t="s">
        <v>98</v>
      </c>
      <c r="AN143" s="287"/>
      <c r="AO143" s="284"/>
      <c r="AP143" s="284"/>
      <c r="AQ143" s="284"/>
      <c r="AR143" s="284"/>
      <c r="AS143" s="284"/>
      <c r="AT143" s="284"/>
      <c r="AU143" s="284"/>
      <c r="AV143" s="284"/>
    </row>
    <row r="144" spans="1:48" customFormat="1">
      <c r="A144" s="358" t="s">
        <v>383</v>
      </c>
      <c r="B144" s="110" t="s">
        <v>384</v>
      </c>
      <c r="C144" s="87">
        <v>1</v>
      </c>
      <c r="D144" s="108" t="s">
        <v>90</v>
      </c>
      <c r="E144" s="47">
        <v>0</v>
      </c>
      <c r="F144" s="447">
        <f t="shared" si="17"/>
        <v>0.17599999999999999</v>
      </c>
      <c r="G144" s="388">
        <f t="shared" si="13"/>
        <v>0</v>
      </c>
      <c r="H144" s="269"/>
      <c r="I144" s="216"/>
      <c r="J144" s="216"/>
      <c r="K144" s="99"/>
      <c r="L144" s="269"/>
      <c r="M144" s="1045" t="s">
        <v>322</v>
      </c>
      <c r="N144" s="1047" t="s">
        <v>94</v>
      </c>
      <c r="O144" s="1066" t="s">
        <v>95</v>
      </c>
      <c r="P144" s="1" t="str">
        <f t="shared" si="16"/>
        <v/>
      </c>
      <c r="Q144" s="1" t="str">
        <f t="shared" si="16"/>
        <v/>
      </c>
      <c r="R144" s="1" t="str">
        <f t="shared" si="16"/>
        <v/>
      </c>
      <c r="S144" s="1" t="str">
        <f t="shared" si="16"/>
        <v/>
      </c>
      <c r="T144" s="358" t="s">
        <v>383</v>
      </c>
      <c r="U144" s="110" t="s">
        <v>384</v>
      </c>
      <c r="V144" s="87">
        <v>1</v>
      </c>
      <c r="W144" s="108" t="s">
        <v>90</v>
      </c>
      <c r="X144" s="436"/>
      <c r="Y144" s="47">
        <v>0</v>
      </c>
      <c r="Z144" s="447">
        <v>0.17599999999999999</v>
      </c>
      <c r="AA144" s="388">
        <v>0</v>
      </c>
      <c r="AB144" s="269"/>
      <c r="AC144" s="216"/>
      <c r="AD144" s="216"/>
      <c r="AE144" s="99" t="s">
        <v>92</v>
      </c>
      <c r="AF144" s="269" t="s">
        <v>92</v>
      </c>
      <c r="AG144" s="41" t="s">
        <v>322</v>
      </c>
      <c r="AH144" s="174" t="s">
        <v>94</v>
      </c>
      <c r="AI144" s="174" t="s">
        <v>95</v>
      </c>
      <c r="AJ144" s="1" t="s">
        <v>98</v>
      </c>
      <c r="AK144" s="1" t="s">
        <v>98</v>
      </c>
      <c r="AL144" s="1" t="s">
        <v>98</v>
      </c>
      <c r="AM144" s="1" t="s">
        <v>98</v>
      </c>
      <c r="AN144" s="287"/>
      <c r="AO144" s="284"/>
      <c r="AP144" s="284"/>
      <c r="AQ144" s="284"/>
      <c r="AR144" s="284"/>
      <c r="AS144" s="284"/>
      <c r="AT144" s="284"/>
      <c r="AU144" s="284"/>
      <c r="AV144" s="284"/>
    </row>
    <row r="145" spans="1:48" customFormat="1">
      <c r="A145" s="358" t="s">
        <v>385</v>
      </c>
      <c r="B145" s="110" t="s">
        <v>386</v>
      </c>
      <c r="C145" s="87">
        <v>1</v>
      </c>
      <c r="D145" s="108" t="s">
        <v>90</v>
      </c>
      <c r="E145" s="47">
        <v>0</v>
      </c>
      <c r="F145" s="447">
        <f t="shared" si="17"/>
        <v>0.17599999999999999</v>
      </c>
      <c r="G145" s="388">
        <f t="shared" ref="G145:G165" si="18">E145-(E145*F145)</f>
        <v>0</v>
      </c>
      <c r="H145" s="269"/>
      <c r="I145" s="216"/>
      <c r="J145" s="216"/>
      <c r="K145" s="99"/>
      <c r="L145" s="269"/>
      <c r="M145" s="1045" t="s">
        <v>322</v>
      </c>
      <c r="N145" s="1047" t="s">
        <v>94</v>
      </c>
      <c r="O145" s="1066" t="s">
        <v>95</v>
      </c>
      <c r="P145" s="1" t="str">
        <f t="shared" si="16"/>
        <v/>
      </c>
      <c r="Q145" s="1" t="str">
        <f t="shared" si="16"/>
        <v/>
      </c>
      <c r="R145" s="1" t="str">
        <f t="shared" si="16"/>
        <v/>
      </c>
      <c r="S145" s="1" t="str">
        <f t="shared" si="16"/>
        <v/>
      </c>
      <c r="T145" s="358" t="s">
        <v>385</v>
      </c>
      <c r="U145" s="110" t="s">
        <v>386</v>
      </c>
      <c r="V145" s="87">
        <v>1</v>
      </c>
      <c r="W145" s="108" t="s">
        <v>90</v>
      </c>
      <c r="X145" s="436"/>
      <c r="Y145" s="47">
        <v>0</v>
      </c>
      <c r="Z145" s="447">
        <v>0.17599999999999999</v>
      </c>
      <c r="AA145" s="388">
        <v>0</v>
      </c>
      <c r="AB145" s="269"/>
      <c r="AC145" s="216"/>
      <c r="AD145" s="216"/>
      <c r="AE145" s="99" t="s">
        <v>92</v>
      </c>
      <c r="AF145" s="269" t="s">
        <v>92</v>
      </c>
      <c r="AG145" s="41" t="s">
        <v>322</v>
      </c>
      <c r="AH145" s="174" t="s">
        <v>94</v>
      </c>
      <c r="AI145" s="174" t="s">
        <v>95</v>
      </c>
      <c r="AJ145" s="1" t="s">
        <v>98</v>
      </c>
      <c r="AK145" s="1" t="s">
        <v>98</v>
      </c>
      <c r="AL145" s="1" t="s">
        <v>98</v>
      </c>
      <c r="AM145" s="1" t="s">
        <v>98</v>
      </c>
      <c r="AN145" s="287"/>
      <c r="AO145" s="284"/>
      <c r="AP145" s="284"/>
      <c r="AQ145" s="284"/>
      <c r="AR145" s="284"/>
      <c r="AS145" s="284"/>
      <c r="AT145" s="284"/>
      <c r="AU145" s="284"/>
      <c r="AV145" s="284"/>
    </row>
    <row r="146" spans="1:48" customFormat="1">
      <c r="A146" s="358" t="s">
        <v>387</v>
      </c>
      <c r="B146" s="110" t="s">
        <v>388</v>
      </c>
      <c r="C146" s="87">
        <v>1</v>
      </c>
      <c r="D146" s="108" t="s">
        <v>90</v>
      </c>
      <c r="E146" s="47">
        <v>0</v>
      </c>
      <c r="F146" s="447">
        <f t="shared" si="17"/>
        <v>0.17599999999999999</v>
      </c>
      <c r="G146" s="388">
        <f t="shared" si="18"/>
        <v>0</v>
      </c>
      <c r="H146" s="269"/>
      <c r="I146" s="292"/>
      <c r="J146" s="292"/>
      <c r="K146" s="262"/>
      <c r="L146" s="272"/>
      <c r="M146" s="1045" t="s">
        <v>322</v>
      </c>
      <c r="N146" s="1047" t="s">
        <v>94</v>
      </c>
      <c r="O146" s="1066" t="s">
        <v>95</v>
      </c>
      <c r="P146" s="1" t="str">
        <f t="shared" si="16"/>
        <v/>
      </c>
      <c r="Q146" s="1" t="str">
        <f t="shared" si="16"/>
        <v/>
      </c>
      <c r="R146" s="1" t="str">
        <f t="shared" si="16"/>
        <v/>
      </c>
      <c r="S146" s="1" t="str">
        <f t="shared" si="16"/>
        <v/>
      </c>
      <c r="T146" s="358" t="s">
        <v>387</v>
      </c>
      <c r="U146" s="110" t="s">
        <v>388</v>
      </c>
      <c r="V146" s="87">
        <v>1</v>
      </c>
      <c r="W146" s="108" t="s">
        <v>90</v>
      </c>
      <c r="X146" s="436"/>
      <c r="Y146" s="47">
        <v>0</v>
      </c>
      <c r="Z146" s="447">
        <v>0.17599999999999999</v>
      </c>
      <c r="AA146" s="388">
        <v>0</v>
      </c>
      <c r="AB146" s="269"/>
      <c r="AC146" s="292"/>
      <c r="AD146" s="292"/>
      <c r="AE146" s="262" t="s">
        <v>92</v>
      </c>
      <c r="AF146" s="272" t="s">
        <v>92</v>
      </c>
      <c r="AG146" s="41" t="s">
        <v>322</v>
      </c>
      <c r="AH146" s="174" t="s">
        <v>94</v>
      </c>
      <c r="AI146" s="174" t="s">
        <v>95</v>
      </c>
      <c r="AJ146" s="1" t="s">
        <v>98</v>
      </c>
      <c r="AK146" s="1" t="s">
        <v>98</v>
      </c>
      <c r="AL146" s="1" t="s">
        <v>98</v>
      </c>
      <c r="AM146" s="1" t="s">
        <v>98</v>
      </c>
      <c r="AN146" s="287"/>
      <c r="AO146" s="284"/>
      <c r="AP146" s="284"/>
      <c r="AQ146" s="284"/>
      <c r="AR146" s="284"/>
      <c r="AS146" s="284"/>
      <c r="AT146" s="284"/>
      <c r="AU146" s="284"/>
      <c r="AV146" s="284"/>
    </row>
    <row r="147" spans="1:48" customFormat="1">
      <c r="A147" s="358"/>
      <c r="B147" s="110"/>
      <c r="C147" s="87"/>
      <c r="D147" s="108"/>
      <c r="E147" s="47"/>
      <c r="F147" s="447"/>
      <c r="G147" s="388"/>
      <c r="H147" s="76"/>
      <c r="I147" s="270"/>
      <c r="J147" s="270"/>
      <c r="K147" s="121"/>
      <c r="L147" s="76"/>
      <c r="M147" s="1045"/>
      <c r="N147" s="1047"/>
      <c r="O147" s="1066"/>
      <c r="P147" s="1"/>
      <c r="Q147" s="1"/>
      <c r="R147" s="1"/>
      <c r="S147" s="1"/>
      <c r="T147" s="358" t="s">
        <v>389</v>
      </c>
      <c r="U147" s="110" t="s">
        <v>390</v>
      </c>
      <c r="V147" s="87">
        <v>1</v>
      </c>
      <c r="W147" s="108" t="s">
        <v>90</v>
      </c>
      <c r="X147" s="436"/>
      <c r="Y147" s="47">
        <v>0</v>
      </c>
      <c r="Z147" s="447">
        <v>0.17599999999999999</v>
      </c>
      <c r="AA147" s="388">
        <v>0</v>
      </c>
      <c r="AB147" s="76"/>
      <c r="AC147" s="270"/>
      <c r="AD147" s="270"/>
      <c r="AE147" s="121"/>
      <c r="AF147" s="76"/>
      <c r="AG147" s="41" t="s">
        <v>322</v>
      </c>
      <c r="AH147" s="174" t="s">
        <v>94</v>
      </c>
      <c r="AI147" s="174" t="s">
        <v>95</v>
      </c>
      <c r="AJ147" s="1" t="s">
        <v>98</v>
      </c>
      <c r="AK147" s="1" t="s">
        <v>98</v>
      </c>
      <c r="AL147" s="1" t="s">
        <v>98</v>
      </c>
      <c r="AM147" s="1" t="s">
        <v>98</v>
      </c>
      <c r="AN147" s="287"/>
      <c r="AO147" s="284"/>
      <c r="AP147" s="284"/>
      <c r="AQ147" s="284"/>
      <c r="AR147" s="284"/>
      <c r="AS147" s="284"/>
      <c r="AT147" s="284"/>
      <c r="AU147" s="284"/>
      <c r="AV147" s="284"/>
    </row>
    <row r="148" spans="1:48" customFormat="1">
      <c r="A148" s="358" t="s">
        <v>391</v>
      </c>
      <c r="B148" s="110" t="s">
        <v>392</v>
      </c>
      <c r="C148" s="87">
        <v>1</v>
      </c>
      <c r="D148" s="108" t="s">
        <v>90</v>
      </c>
      <c r="E148" s="47">
        <v>0</v>
      </c>
      <c r="F148" s="447">
        <f t="shared" si="17"/>
        <v>0.17599999999999999</v>
      </c>
      <c r="G148" s="388">
        <f t="shared" si="18"/>
        <v>0</v>
      </c>
      <c r="H148" s="76"/>
      <c r="I148" s="270"/>
      <c r="J148" s="270"/>
      <c r="K148" s="121"/>
      <c r="L148" s="76"/>
      <c r="M148" s="1045" t="s">
        <v>322</v>
      </c>
      <c r="N148" s="1047" t="s">
        <v>94</v>
      </c>
      <c r="O148" s="1066" t="s">
        <v>95</v>
      </c>
      <c r="P148" s="1" t="str">
        <f t="shared" ref="P148:S166" si="19">+IF($J148&lt;&gt;"",P$2*$J148,"")</f>
        <v/>
      </c>
      <c r="Q148" s="1" t="str">
        <f t="shared" si="19"/>
        <v/>
      </c>
      <c r="R148" s="1" t="str">
        <f t="shared" si="19"/>
        <v/>
      </c>
      <c r="S148" s="1" t="str">
        <f t="shared" si="19"/>
        <v/>
      </c>
      <c r="T148" s="358" t="s">
        <v>391</v>
      </c>
      <c r="U148" s="110" t="s">
        <v>392</v>
      </c>
      <c r="V148" s="87">
        <v>1</v>
      </c>
      <c r="W148" s="108" t="s">
        <v>90</v>
      </c>
      <c r="X148" s="436"/>
      <c r="Y148" s="47">
        <v>0</v>
      </c>
      <c r="Z148" s="447">
        <v>0.17599999999999999</v>
      </c>
      <c r="AA148" s="388">
        <v>0</v>
      </c>
      <c r="AB148" s="76"/>
      <c r="AC148" s="270"/>
      <c r="AD148" s="270"/>
      <c r="AE148" s="121"/>
      <c r="AF148" s="76"/>
      <c r="AG148" s="41" t="s">
        <v>322</v>
      </c>
      <c r="AH148" s="174" t="s">
        <v>94</v>
      </c>
      <c r="AI148" s="174" t="s">
        <v>95</v>
      </c>
      <c r="AJ148" s="1" t="s">
        <v>98</v>
      </c>
      <c r="AK148" s="1" t="s">
        <v>98</v>
      </c>
      <c r="AL148" s="1" t="s">
        <v>98</v>
      </c>
      <c r="AM148" s="1" t="s">
        <v>98</v>
      </c>
      <c r="AN148" s="287"/>
      <c r="AO148" s="284"/>
      <c r="AP148" s="284"/>
      <c r="AQ148" s="284"/>
      <c r="AR148" s="284"/>
      <c r="AS148" s="284"/>
      <c r="AT148" s="284"/>
      <c r="AU148" s="284"/>
      <c r="AV148" s="284"/>
    </row>
    <row r="149" spans="1:48" customFormat="1">
      <c r="A149" s="358"/>
      <c r="B149" s="110"/>
      <c r="C149" s="87"/>
      <c r="D149" s="108"/>
      <c r="E149" s="47"/>
      <c r="F149" s="447"/>
      <c r="G149" s="388"/>
      <c r="H149" s="76"/>
      <c r="I149" s="270"/>
      <c r="J149" s="270"/>
      <c r="K149" s="121"/>
      <c r="L149" s="76"/>
      <c r="M149" s="1045"/>
      <c r="N149" s="1047"/>
      <c r="O149" s="1066"/>
      <c r="P149" s="1"/>
      <c r="Q149" s="1"/>
      <c r="R149" s="1"/>
      <c r="S149" s="1"/>
      <c r="T149" s="358" t="s">
        <v>393</v>
      </c>
      <c r="U149" s="110" t="s">
        <v>394</v>
      </c>
      <c r="V149" s="87">
        <v>1</v>
      </c>
      <c r="W149" s="108" t="s">
        <v>90</v>
      </c>
      <c r="X149" s="436"/>
      <c r="Y149" s="47">
        <v>0</v>
      </c>
      <c r="Z149" s="447">
        <v>0.17599999999999999</v>
      </c>
      <c r="AA149" s="388">
        <v>0</v>
      </c>
      <c r="AB149" s="76"/>
      <c r="AC149" s="270"/>
      <c r="AD149" s="270"/>
      <c r="AE149" s="121"/>
      <c r="AF149" s="76"/>
      <c r="AG149" s="41" t="s">
        <v>322</v>
      </c>
      <c r="AH149" s="174" t="s">
        <v>94</v>
      </c>
      <c r="AI149" s="174" t="s">
        <v>95</v>
      </c>
      <c r="AJ149" s="1" t="s">
        <v>98</v>
      </c>
      <c r="AK149" s="1" t="s">
        <v>98</v>
      </c>
      <c r="AL149" s="1" t="s">
        <v>98</v>
      </c>
      <c r="AM149" s="1" t="s">
        <v>98</v>
      </c>
      <c r="AN149" s="287"/>
      <c r="AO149" s="284"/>
      <c r="AP149" s="284"/>
      <c r="AQ149" s="284"/>
      <c r="AR149" s="284"/>
      <c r="AS149" s="284"/>
      <c r="AT149" s="284"/>
      <c r="AU149" s="284"/>
      <c r="AV149" s="284"/>
    </row>
    <row r="150" spans="1:48" customFormat="1">
      <c r="A150" s="358"/>
      <c r="B150" s="110"/>
      <c r="C150" s="87"/>
      <c r="D150" s="108"/>
      <c r="E150" s="47"/>
      <c r="F150" s="447"/>
      <c r="G150" s="388"/>
      <c r="H150" s="76"/>
      <c r="I150" s="270"/>
      <c r="J150" s="270"/>
      <c r="K150" s="121"/>
      <c r="L150" s="76"/>
      <c r="M150" s="1045"/>
      <c r="N150" s="1047"/>
      <c r="O150" s="1066"/>
      <c r="P150" s="1"/>
      <c r="Q150" s="1"/>
      <c r="R150" s="1"/>
      <c r="S150" s="1"/>
      <c r="T150" s="358" t="s">
        <v>395</v>
      </c>
      <c r="U150" s="110" t="s">
        <v>396</v>
      </c>
      <c r="V150" s="87">
        <v>1</v>
      </c>
      <c r="W150" s="108" t="s">
        <v>90</v>
      </c>
      <c r="X150" s="436"/>
      <c r="Y150" s="47">
        <v>0</v>
      </c>
      <c r="Z150" s="447">
        <v>0.17599999999999999</v>
      </c>
      <c r="AA150" s="388">
        <v>0</v>
      </c>
      <c r="AB150" s="76"/>
      <c r="AC150" s="270"/>
      <c r="AD150" s="270"/>
      <c r="AE150" s="121"/>
      <c r="AF150" s="76"/>
      <c r="AG150" s="41" t="s">
        <v>322</v>
      </c>
      <c r="AH150" s="174" t="s">
        <v>94</v>
      </c>
      <c r="AI150" s="174" t="s">
        <v>95</v>
      </c>
      <c r="AJ150" s="1" t="s">
        <v>98</v>
      </c>
      <c r="AK150" s="1" t="s">
        <v>98</v>
      </c>
      <c r="AL150" s="1" t="s">
        <v>98</v>
      </c>
      <c r="AM150" s="1" t="s">
        <v>98</v>
      </c>
      <c r="AN150" s="287"/>
      <c r="AO150" s="284"/>
      <c r="AP150" s="284"/>
      <c r="AQ150" s="284"/>
      <c r="AR150" s="284"/>
      <c r="AS150" s="284"/>
      <c r="AT150" s="284"/>
      <c r="AU150" s="284"/>
      <c r="AV150" s="284"/>
    </row>
    <row r="151" spans="1:48" customFormat="1">
      <c r="A151" s="358"/>
      <c r="B151" s="110"/>
      <c r="C151" s="87"/>
      <c r="D151" s="108"/>
      <c r="E151" s="47"/>
      <c r="F151" s="447"/>
      <c r="G151" s="388"/>
      <c r="H151" s="76"/>
      <c r="I151" s="270"/>
      <c r="J151" s="270"/>
      <c r="K151" s="121"/>
      <c r="L151" s="76"/>
      <c r="M151" s="1045"/>
      <c r="N151" s="1047"/>
      <c r="O151" s="1066"/>
      <c r="P151" s="1"/>
      <c r="Q151" s="1"/>
      <c r="R151" s="1"/>
      <c r="S151" s="1"/>
      <c r="T151" s="358" t="s">
        <v>397</v>
      </c>
      <c r="U151" s="110" t="s">
        <v>398</v>
      </c>
      <c r="V151" s="87">
        <v>1</v>
      </c>
      <c r="W151" s="108" t="s">
        <v>90</v>
      </c>
      <c r="X151" s="436"/>
      <c r="Y151" s="47">
        <v>0</v>
      </c>
      <c r="Z151" s="447">
        <v>0.17599999999999999</v>
      </c>
      <c r="AA151" s="388">
        <v>0</v>
      </c>
      <c r="AB151" s="76"/>
      <c r="AC151" s="270"/>
      <c r="AD151" s="270"/>
      <c r="AE151" s="121"/>
      <c r="AF151" s="76"/>
      <c r="AG151" s="41" t="s">
        <v>322</v>
      </c>
      <c r="AH151" s="174" t="s">
        <v>94</v>
      </c>
      <c r="AI151" s="174" t="s">
        <v>95</v>
      </c>
      <c r="AJ151" s="1" t="s">
        <v>98</v>
      </c>
      <c r="AK151" s="1" t="s">
        <v>98</v>
      </c>
      <c r="AL151" s="1" t="s">
        <v>98</v>
      </c>
      <c r="AM151" s="1" t="s">
        <v>98</v>
      </c>
      <c r="AN151" s="287"/>
      <c r="AO151" s="284"/>
      <c r="AP151" s="284"/>
      <c r="AQ151" s="284"/>
      <c r="AR151" s="284"/>
      <c r="AS151" s="284"/>
      <c r="AT151" s="284"/>
      <c r="AU151" s="284"/>
      <c r="AV151" s="284"/>
    </row>
    <row r="152" spans="1:48" customFormat="1">
      <c r="A152" s="387" t="s">
        <v>399</v>
      </c>
      <c r="B152" s="70" t="s">
        <v>400</v>
      </c>
      <c r="C152" s="389">
        <v>1</v>
      </c>
      <c r="D152" s="196" t="s">
        <v>90</v>
      </c>
      <c r="E152" s="85">
        <v>1540.53</v>
      </c>
      <c r="F152" s="103">
        <f>rv_mba_hg</f>
        <v>0.17599999999999999</v>
      </c>
      <c r="G152" s="390">
        <f t="shared" si="18"/>
        <v>1269.39672</v>
      </c>
      <c r="H152" s="608" t="s">
        <v>91</v>
      </c>
      <c r="I152" s="91">
        <f>mba13_5pl</f>
        <v>48</v>
      </c>
      <c r="J152" s="91">
        <f>G152+I152</f>
        <v>1317.39672</v>
      </c>
      <c r="K152" s="193" t="s">
        <v>92</v>
      </c>
      <c r="L152" s="194">
        <v>0.3</v>
      </c>
      <c r="M152" s="1045" t="s">
        <v>322</v>
      </c>
      <c r="N152" s="1047" t="s">
        <v>94</v>
      </c>
      <c r="O152" s="1066" t="s">
        <v>95</v>
      </c>
      <c r="P152" s="1">
        <f t="shared" si="19"/>
        <v>265.20348338417665</v>
      </c>
      <c r="Q152" s="1">
        <f t="shared" si="19"/>
        <v>137.82796321035477</v>
      </c>
      <c r="R152" s="1">
        <f t="shared" si="19"/>
        <v>100.10034672110901</v>
      </c>
      <c r="S152" s="1">
        <f t="shared" si="19"/>
        <v>86.380231001426111</v>
      </c>
      <c r="T152" s="387" t="s">
        <v>399</v>
      </c>
      <c r="U152" s="70" t="s">
        <v>400</v>
      </c>
      <c r="V152" s="389">
        <v>1</v>
      </c>
      <c r="W152" s="196" t="s">
        <v>90</v>
      </c>
      <c r="X152" s="437" t="s">
        <v>399</v>
      </c>
      <c r="Y152" s="85">
        <v>1540.53</v>
      </c>
      <c r="Z152" s="103">
        <v>0.17599999999999999</v>
      </c>
      <c r="AA152" s="390">
        <v>1269.39672</v>
      </c>
      <c r="AB152" s="608" t="s">
        <v>91</v>
      </c>
      <c r="AC152" s="91">
        <v>48</v>
      </c>
      <c r="AD152" s="91">
        <v>1317.39672</v>
      </c>
      <c r="AE152" s="193" t="s">
        <v>92</v>
      </c>
      <c r="AF152" s="194">
        <v>0.3</v>
      </c>
      <c r="AG152" s="41" t="s">
        <v>322</v>
      </c>
      <c r="AH152" s="174" t="s">
        <v>94</v>
      </c>
      <c r="AI152" s="174" t="s">
        <v>95</v>
      </c>
      <c r="AJ152" s="1">
        <v>265.20348338417665</v>
      </c>
      <c r="AK152" s="1">
        <v>137.82796321035477</v>
      </c>
      <c r="AL152" s="1">
        <v>100.10034672110901</v>
      </c>
      <c r="AM152" s="1">
        <v>86.380231001426111</v>
      </c>
      <c r="AN152" s="287"/>
      <c r="AO152" s="284"/>
      <c r="AP152" s="284"/>
      <c r="AQ152" s="284"/>
      <c r="AR152" s="284"/>
      <c r="AS152" s="284"/>
      <c r="AT152" s="284"/>
      <c r="AU152" s="284"/>
      <c r="AV152" s="284"/>
    </row>
    <row r="153" spans="1:48" customFormat="1">
      <c r="A153" s="358" t="s">
        <v>401</v>
      </c>
      <c r="B153" s="110" t="s">
        <v>402</v>
      </c>
      <c r="C153" s="87">
        <v>1</v>
      </c>
      <c r="D153" s="108" t="s">
        <v>90</v>
      </c>
      <c r="E153" s="47">
        <v>191.67</v>
      </c>
      <c r="F153" s="447">
        <f t="shared" ref="F153:F161" si="20">rv_mba_hg_cto</f>
        <v>0.17599999999999999</v>
      </c>
      <c r="G153" s="388">
        <f t="shared" si="18"/>
        <v>157.93608</v>
      </c>
      <c r="H153" s="269"/>
      <c r="I153" s="216"/>
      <c r="J153" s="216"/>
      <c r="K153" s="99"/>
      <c r="L153" s="269"/>
      <c r="M153" s="1045" t="s">
        <v>322</v>
      </c>
      <c r="N153" s="1047" t="s">
        <v>94</v>
      </c>
      <c r="O153" s="1066" t="s">
        <v>95</v>
      </c>
      <c r="P153" s="1" t="str">
        <f t="shared" si="19"/>
        <v/>
      </c>
      <c r="Q153" s="1" t="str">
        <f t="shared" si="19"/>
        <v/>
      </c>
      <c r="R153" s="1" t="str">
        <f t="shared" si="19"/>
        <v/>
      </c>
      <c r="S153" s="1" t="str">
        <f t="shared" si="19"/>
        <v/>
      </c>
      <c r="T153" s="358" t="s">
        <v>401</v>
      </c>
      <c r="U153" s="110" t="s">
        <v>402</v>
      </c>
      <c r="V153" s="87">
        <v>1</v>
      </c>
      <c r="W153" s="108" t="s">
        <v>90</v>
      </c>
      <c r="X153" s="436"/>
      <c r="Y153" s="47">
        <v>191.67</v>
      </c>
      <c r="Z153" s="447">
        <v>0.17599999999999999</v>
      </c>
      <c r="AA153" s="388">
        <v>157.93608</v>
      </c>
      <c r="AB153" s="269"/>
      <c r="AC153" s="216"/>
      <c r="AD153" s="216"/>
      <c r="AE153" s="99" t="s">
        <v>92</v>
      </c>
      <c r="AF153" s="269" t="s">
        <v>92</v>
      </c>
      <c r="AG153" s="41" t="s">
        <v>322</v>
      </c>
      <c r="AH153" s="174" t="s">
        <v>94</v>
      </c>
      <c r="AI153" s="174" t="s">
        <v>95</v>
      </c>
      <c r="AJ153" s="1" t="s">
        <v>98</v>
      </c>
      <c r="AK153" s="1" t="s">
        <v>98</v>
      </c>
      <c r="AL153" s="1" t="s">
        <v>98</v>
      </c>
      <c r="AM153" s="1" t="s">
        <v>98</v>
      </c>
      <c r="AN153" s="287"/>
      <c r="AO153" s="284"/>
      <c r="AP153" s="284"/>
      <c r="AQ153" s="284"/>
      <c r="AR153" s="284"/>
      <c r="AS153" s="284"/>
      <c r="AT153" s="284"/>
      <c r="AU153" s="284"/>
      <c r="AV153" s="284"/>
    </row>
    <row r="154" spans="1:48" customFormat="1">
      <c r="A154" s="358" t="s">
        <v>403</v>
      </c>
      <c r="B154" s="110" t="s">
        <v>404</v>
      </c>
      <c r="C154" s="87">
        <v>1</v>
      </c>
      <c r="D154" s="108" t="s">
        <v>90</v>
      </c>
      <c r="E154" s="47">
        <v>383.33</v>
      </c>
      <c r="F154" s="447">
        <f t="shared" si="20"/>
        <v>0.17599999999999999</v>
      </c>
      <c r="G154" s="388">
        <f t="shared" si="18"/>
        <v>315.86392000000001</v>
      </c>
      <c r="H154" s="269"/>
      <c r="I154" s="216"/>
      <c r="J154" s="216"/>
      <c r="K154" s="99"/>
      <c r="L154" s="269"/>
      <c r="M154" s="1045" t="s">
        <v>322</v>
      </c>
      <c r="N154" s="1047" t="s">
        <v>94</v>
      </c>
      <c r="O154" s="1066" t="s">
        <v>95</v>
      </c>
      <c r="P154" s="1" t="str">
        <f t="shared" si="19"/>
        <v/>
      </c>
      <c r="Q154" s="1" t="str">
        <f t="shared" si="19"/>
        <v/>
      </c>
      <c r="R154" s="1" t="str">
        <f t="shared" si="19"/>
        <v/>
      </c>
      <c r="S154" s="1" t="str">
        <f t="shared" si="19"/>
        <v/>
      </c>
      <c r="T154" s="358" t="s">
        <v>403</v>
      </c>
      <c r="U154" s="110" t="s">
        <v>404</v>
      </c>
      <c r="V154" s="87">
        <v>1</v>
      </c>
      <c r="W154" s="108" t="s">
        <v>90</v>
      </c>
      <c r="X154" s="436"/>
      <c r="Y154" s="47">
        <v>383.33</v>
      </c>
      <c r="Z154" s="447">
        <v>0.17599999999999999</v>
      </c>
      <c r="AA154" s="388">
        <v>315.86392000000001</v>
      </c>
      <c r="AB154" s="269"/>
      <c r="AC154" s="216"/>
      <c r="AD154" s="216"/>
      <c r="AE154" s="99" t="s">
        <v>92</v>
      </c>
      <c r="AF154" s="269" t="s">
        <v>92</v>
      </c>
      <c r="AG154" s="41" t="s">
        <v>322</v>
      </c>
      <c r="AH154" s="174" t="s">
        <v>94</v>
      </c>
      <c r="AI154" s="174" t="s">
        <v>95</v>
      </c>
      <c r="AJ154" s="1" t="s">
        <v>98</v>
      </c>
      <c r="AK154" s="1" t="s">
        <v>98</v>
      </c>
      <c r="AL154" s="1" t="s">
        <v>98</v>
      </c>
      <c r="AM154" s="1" t="s">
        <v>98</v>
      </c>
      <c r="AN154" s="287"/>
      <c r="AO154" s="284"/>
      <c r="AP154" s="284"/>
      <c r="AQ154" s="284"/>
      <c r="AR154" s="284"/>
      <c r="AS154" s="284"/>
      <c r="AT154" s="284"/>
      <c r="AU154" s="284"/>
      <c r="AV154" s="284"/>
    </row>
    <row r="155" spans="1:48" customFormat="1">
      <c r="A155" s="358" t="s">
        <v>405</v>
      </c>
      <c r="B155" s="110" t="s">
        <v>406</v>
      </c>
      <c r="C155" s="87">
        <v>1</v>
      </c>
      <c r="D155" s="108" t="s">
        <v>90</v>
      </c>
      <c r="E155" s="47">
        <v>191.67</v>
      </c>
      <c r="F155" s="447">
        <f t="shared" si="20"/>
        <v>0.17599999999999999</v>
      </c>
      <c r="G155" s="388">
        <f t="shared" si="18"/>
        <v>157.93608</v>
      </c>
      <c r="H155" s="269"/>
      <c r="I155" s="216"/>
      <c r="J155" s="216"/>
      <c r="K155" s="99"/>
      <c r="L155" s="269"/>
      <c r="M155" s="1045" t="s">
        <v>322</v>
      </c>
      <c r="N155" s="1047" t="s">
        <v>94</v>
      </c>
      <c r="O155" s="1066" t="s">
        <v>95</v>
      </c>
      <c r="P155" s="1" t="str">
        <f t="shared" si="19"/>
        <v/>
      </c>
      <c r="Q155" s="1" t="str">
        <f t="shared" si="19"/>
        <v/>
      </c>
      <c r="R155" s="1" t="str">
        <f t="shared" si="19"/>
        <v/>
      </c>
      <c r="S155" s="1" t="str">
        <f t="shared" si="19"/>
        <v/>
      </c>
      <c r="T155" s="358" t="s">
        <v>405</v>
      </c>
      <c r="U155" s="110" t="s">
        <v>406</v>
      </c>
      <c r="V155" s="87">
        <v>1</v>
      </c>
      <c r="W155" s="108" t="s">
        <v>90</v>
      </c>
      <c r="X155" s="436"/>
      <c r="Y155" s="47">
        <v>191.67</v>
      </c>
      <c r="Z155" s="447">
        <v>0.17599999999999999</v>
      </c>
      <c r="AA155" s="388">
        <v>157.93608</v>
      </c>
      <c r="AB155" s="269"/>
      <c r="AC155" s="216"/>
      <c r="AD155" s="216"/>
      <c r="AE155" s="99" t="s">
        <v>92</v>
      </c>
      <c r="AF155" s="269" t="s">
        <v>92</v>
      </c>
      <c r="AG155" s="41" t="s">
        <v>322</v>
      </c>
      <c r="AH155" s="174" t="s">
        <v>94</v>
      </c>
      <c r="AI155" s="174" t="s">
        <v>95</v>
      </c>
      <c r="AJ155" s="1" t="s">
        <v>98</v>
      </c>
      <c r="AK155" s="1" t="s">
        <v>98</v>
      </c>
      <c r="AL155" s="1" t="s">
        <v>98</v>
      </c>
      <c r="AM155" s="1" t="s">
        <v>98</v>
      </c>
      <c r="AN155" s="287"/>
      <c r="AO155" s="284"/>
      <c r="AP155" s="284"/>
      <c r="AQ155" s="284"/>
      <c r="AR155" s="284"/>
      <c r="AS155" s="284"/>
      <c r="AT155" s="284"/>
      <c r="AU155" s="284"/>
      <c r="AV155" s="284"/>
    </row>
    <row r="156" spans="1:48" customFormat="1">
      <c r="A156" s="358" t="s">
        <v>407</v>
      </c>
      <c r="B156" s="110" t="s">
        <v>408</v>
      </c>
      <c r="C156" s="87">
        <v>1</v>
      </c>
      <c r="D156" s="108" t="s">
        <v>90</v>
      </c>
      <c r="E156" s="47">
        <v>575</v>
      </c>
      <c r="F156" s="447">
        <f t="shared" si="20"/>
        <v>0.17599999999999999</v>
      </c>
      <c r="G156" s="388">
        <f t="shared" si="18"/>
        <v>473.8</v>
      </c>
      <c r="H156" s="269"/>
      <c r="I156" s="216"/>
      <c r="J156" s="216"/>
      <c r="K156" s="99"/>
      <c r="L156" s="269"/>
      <c r="M156" s="1045" t="s">
        <v>322</v>
      </c>
      <c r="N156" s="1047" t="s">
        <v>94</v>
      </c>
      <c r="O156" s="1066" t="s">
        <v>95</v>
      </c>
      <c r="P156" s="1" t="str">
        <f t="shared" si="19"/>
        <v/>
      </c>
      <c r="Q156" s="1" t="str">
        <f t="shared" si="19"/>
        <v/>
      </c>
      <c r="R156" s="1" t="str">
        <f t="shared" si="19"/>
        <v/>
      </c>
      <c r="S156" s="1" t="str">
        <f t="shared" si="19"/>
        <v/>
      </c>
      <c r="T156" s="358" t="s">
        <v>407</v>
      </c>
      <c r="U156" s="110" t="s">
        <v>408</v>
      </c>
      <c r="V156" s="87">
        <v>1</v>
      </c>
      <c r="W156" s="108" t="s">
        <v>90</v>
      </c>
      <c r="X156" s="436"/>
      <c r="Y156" s="47">
        <v>575</v>
      </c>
      <c r="Z156" s="447">
        <v>0.17599999999999999</v>
      </c>
      <c r="AA156" s="388">
        <v>473.8</v>
      </c>
      <c r="AB156" s="269"/>
      <c r="AC156" s="216"/>
      <c r="AD156" s="216"/>
      <c r="AE156" s="99" t="s">
        <v>92</v>
      </c>
      <c r="AF156" s="269" t="s">
        <v>92</v>
      </c>
      <c r="AG156" s="41" t="s">
        <v>322</v>
      </c>
      <c r="AH156" s="174" t="s">
        <v>94</v>
      </c>
      <c r="AI156" s="174" t="s">
        <v>95</v>
      </c>
      <c r="AJ156" s="1" t="s">
        <v>98</v>
      </c>
      <c r="AK156" s="1" t="s">
        <v>98</v>
      </c>
      <c r="AL156" s="1" t="s">
        <v>98</v>
      </c>
      <c r="AM156" s="1" t="s">
        <v>98</v>
      </c>
      <c r="AN156" s="287"/>
      <c r="AO156" s="284"/>
      <c r="AP156" s="284"/>
      <c r="AQ156" s="284"/>
      <c r="AR156" s="284"/>
      <c r="AS156" s="284"/>
      <c r="AT156" s="284"/>
      <c r="AU156" s="284"/>
      <c r="AV156" s="284"/>
    </row>
    <row r="157" spans="1:48" customFormat="1">
      <c r="A157" s="358" t="s">
        <v>409</v>
      </c>
      <c r="B157" s="110" t="s">
        <v>410</v>
      </c>
      <c r="C157" s="87">
        <v>1</v>
      </c>
      <c r="D157" s="108" t="s">
        <v>90</v>
      </c>
      <c r="E157" s="47">
        <v>0</v>
      </c>
      <c r="F157" s="447">
        <f t="shared" si="20"/>
        <v>0.17599999999999999</v>
      </c>
      <c r="G157" s="388">
        <f t="shared" si="18"/>
        <v>0</v>
      </c>
      <c r="H157" s="269"/>
      <c r="I157" s="216"/>
      <c r="J157" s="216"/>
      <c r="K157" s="99"/>
      <c r="L157" s="269"/>
      <c r="M157" s="1045" t="s">
        <v>322</v>
      </c>
      <c r="N157" s="1047" t="s">
        <v>94</v>
      </c>
      <c r="O157" s="1066" t="s">
        <v>95</v>
      </c>
      <c r="P157" s="1" t="str">
        <f t="shared" si="19"/>
        <v/>
      </c>
      <c r="Q157" s="1" t="str">
        <f t="shared" si="19"/>
        <v/>
      </c>
      <c r="R157" s="1" t="str">
        <f t="shared" si="19"/>
        <v/>
      </c>
      <c r="S157" s="1" t="str">
        <f t="shared" si="19"/>
        <v/>
      </c>
      <c r="T157" s="358" t="s">
        <v>409</v>
      </c>
      <c r="U157" s="110" t="s">
        <v>410</v>
      </c>
      <c r="V157" s="87">
        <v>1</v>
      </c>
      <c r="W157" s="108" t="s">
        <v>90</v>
      </c>
      <c r="X157" s="436"/>
      <c r="Y157" s="47">
        <v>0</v>
      </c>
      <c r="Z157" s="447">
        <v>0.17599999999999999</v>
      </c>
      <c r="AA157" s="388">
        <v>0</v>
      </c>
      <c r="AB157" s="269"/>
      <c r="AC157" s="216"/>
      <c r="AD157" s="216"/>
      <c r="AE157" s="99" t="s">
        <v>92</v>
      </c>
      <c r="AF157" s="269" t="s">
        <v>92</v>
      </c>
      <c r="AG157" s="41" t="s">
        <v>322</v>
      </c>
      <c r="AH157" s="174" t="s">
        <v>94</v>
      </c>
      <c r="AI157" s="174" t="s">
        <v>95</v>
      </c>
      <c r="AJ157" s="1" t="s">
        <v>98</v>
      </c>
      <c r="AK157" s="1" t="s">
        <v>98</v>
      </c>
      <c r="AL157" s="1" t="s">
        <v>98</v>
      </c>
      <c r="AM157" s="1" t="s">
        <v>98</v>
      </c>
      <c r="AN157" s="287"/>
      <c r="AO157" s="284"/>
      <c r="AP157" s="284"/>
      <c r="AQ157" s="284"/>
      <c r="AR157" s="284"/>
      <c r="AS157" s="284"/>
      <c r="AT157" s="284"/>
      <c r="AU157" s="284"/>
      <c r="AV157" s="284"/>
    </row>
    <row r="158" spans="1:48" customFormat="1">
      <c r="A158" s="358" t="s">
        <v>411</v>
      </c>
      <c r="B158" s="110" t="s">
        <v>412</v>
      </c>
      <c r="C158" s="87">
        <v>1</v>
      </c>
      <c r="D158" s="108" t="s">
        <v>90</v>
      </c>
      <c r="E158" s="47">
        <v>0</v>
      </c>
      <c r="F158" s="447">
        <f t="shared" si="20"/>
        <v>0.17599999999999999</v>
      </c>
      <c r="G158" s="388">
        <f t="shared" si="18"/>
        <v>0</v>
      </c>
      <c r="H158" s="269"/>
      <c r="I158" s="216"/>
      <c r="J158" s="216"/>
      <c r="K158" s="99"/>
      <c r="L158" s="269"/>
      <c r="M158" s="1045" t="s">
        <v>322</v>
      </c>
      <c r="N158" s="1047" t="s">
        <v>94</v>
      </c>
      <c r="O158" s="1066" t="s">
        <v>95</v>
      </c>
      <c r="P158" s="1" t="str">
        <f t="shared" si="19"/>
        <v/>
      </c>
      <c r="Q158" s="1" t="str">
        <f t="shared" si="19"/>
        <v/>
      </c>
      <c r="R158" s="1" t="str">
        <f t="shared" si="19"/>
        <v/>
      </c>
      <c r="S158" s="1" t="str">
        <f t="shared" si="19"/>
        <v/>
      </c>
      <c r="T158" s="358" t="s">
        <v>411</v>
      </c>
      <c r="U158" s="110" t="s">
        <v>412</v>
      </c>
      <c r="V158" s="87">
        <v>1</v>
      </c>
      <c r="W158" s="108" t="s">
        <v>90</v>
      </c>
      <c r="X158" s="436"/>
      <c r="Y158" s="47">
        <v>0</v>
      </c>
      <c r="Z158" s="447">
        <v>0.17599999999999999</v>
      </c>
      <c r="AA158" s="388">
        <v>0</v>
      </c>
      <c r="AB158" s="269"/>
      <c r="AC158" s="216"/>
      <c r="AD158" s="216"/>
      <c r="AE158" s="99" t="s">
        <v>92</v>
      </c>
      <c r="AF158" s="269" t="s">
        <v>92</v>
      </c>
      <c r="AG158" s="41" t="s">
        <v>322</v>
      </c>
      <c r="AH158" s="174" t="s">
        <v>94</v>
      </c>
      <c r="AI158" s="174" t="s">
        <v>95</v>
      </c>
      <c r="AJ158" s="1" t="s">
        <v>98</v>
      </c>
      <c r="AK158" s="1" t="s">
        <v>98</v>
      </c>
      <c r="AL158" s="1" t="s">
        <v>98</v>
      </c>
      <c r="AM158" s="1" t="s">
        <v>98</v>
      </c>
      <c r="AN158" s="287"/>
      <c r="AO158" s="284"/>
      <c r="AP158" s="284"/>
      <c r="AQ158" s="284"/>
      <c r="AR158" s="284"/>
      <c r="AS158" s="284"/>
      <c r="AT158" s="284"/>
      <c r="AU158" s="284"/>
      <c r="AV158" s="284"/>
    </row>
    <row r="159" spans="1:48" customFormat="1">
      <c r="A159" s="358" t="s">
        <v>413</v>
      </c>
      <c r="B159" s="110" t="s">
        <v>414</v>
      </c>
      <c r="C159" s="87">
        <v>1</v>
      </c>
      <c r="D159" s="108" t="s">
        <v>90</v>
      </c>
      <c r="E159" s="47">
        <v>0</v>
      </c>
      <c r="F159" s="447">
        <f t="shared" si="20"/>
        <v>0.17599999999999999</v>
      </c>
      <c r="G159" s="388">
        <f t="shared" si="18"/>
        <v>0</v>
      </c>
      <c r="H159" s="269"/>
      <c r="I159" s="292"/>
      <c r="J159" s="292"/>
      <c r="K159" s="262"/>
      <c r="L159" s="272"/>
      <c r="M159" s="1045" t="s">
        <v>322</v>
      </c>
      <c r="N159" s="1047" t="s">
        <v>94</v>
      </c>
      <c r="O159" s="1066" t="s">
        <v>95</v>
      </c>
      <c r="P159" s="1" t="str">
        <f t="shared" si="19"/>
        <v/>
      </c>
      <c r="Q159" s="1" t="str">
        <f t="shared" si="19"/>
        <v/>
      </c>
      <c r="R159" s="1" t="str">
        <f t="shared" si="19"/>
        <v/>
      </c>
      <c r="S159" s="1" t="str">
        <f t="shared" si="19"/>
        <v/>
      </c>
      <c r="T159" s="358" t="s">
        <v>413</v>
      </c>
      <c r="U159" s="110" t="s">
        <v>414</v>
      </c>
      <c r="V159" s="87">
        <v>1</v>
      </c>
      <c r="W159" s="108" t="s">
        <v>90</v>
      </c>
      <c r="X159" s="436"/>
      <c r="Y159" s="47">
        <v>0</v>
      </c>
      <c r="Z159" s="447">
        <v>0.17599999999999999</v>
      </c>
      <c r="AA159" s="388">
        <v>0</v>
      </c>
      <c r="AB159" s="269"/>
      <c r="AC159" s="292"/>
      <c r="AD159" s="292"/>
      <c r="AE159" s="262" t="s">
        <v>92</v>
      </c>
      <c r="AF159" s="272" t="s">
        <v>92</v>
      </c>
      <c r="AG159" s="41" t="s">
        <v>322</v>
      </c>
      <c r="AH159" s="174" t="s">
        <v>94</v>
      </c>
      <c r="AI159" s="174" t="s">
        <v>95</v>
      </c>
      <c r="AJ159" s="1" t="s">
        <v>98</v>
      </c>
      <c r="AK159" s="1" t="s">
        <v>98</v>
      </c>
      <c r="AL159" s="1" t="s">
        <v>98</v>
      </c>
      <c r="AM159" s="1" t="s">
        <v>98</v>
      </c>
      <c r="AN159" s="287"/>
      <c r="AO159" s="284"/>
      <c r="AP159" s="284"/>
      <c r="AQ159" s="284"/>
      <c r="AR159" s="284"/>
      <c r="AS159" s="284"/>
      <c r="AT159" s="284"/>
      <c r="AU159" s="284"/>
      <c r="AV159" s="284"/>
    </row>
    <row r="160" spans="1:48" customFormat="1">
      <c r="A160" s="358"/>
      <c r="B160" s="110"/>
      <c r="C160" s="87"/>
      <c r="D160" s="108"/>
      <c r="E160" s="47"/>
      <c r="F160" s="447"/>
      <c r="G160" s="388"/>
      <c r="H160" s="76"/>
      <c r="I160" s="270"/>
      <c r="J160" s="270"/>
      <c r="K160" s="121"/>
      <c r="L160" s="76"/>
      <c r="M160" s="1045"/>
      <c r="N160" s="1047"/>
      <c r="O160" s="1066"/>
      <c r="P160" s="1"/>
      <c r="Q160" s="1"/>
      <c r="R160" s="1"/>
      <c r="S160" s="1"/>
      <c r="T160" s="358" t="s">
        <v>415</v>
      </c>
      <c r="U160" s="110" t="s">
        <v>416</v>
      </c>
      <c r="V160" s="87">
        <v>1</v>
      </c>
      <c r="W160" s="108" t="s">
        <v>90</v>
      </c>
      <c r="X160" s="436"/>
      <c r="Y160" s="47">
        <v>0</v>
      </c>
      <c r="Z160" s="447">
        <v>0.17599999999999999</v>
      </c>
      <c r="AA160" s="388">
        <v>0</v>
      </c>
      <c r="AB160" s="76"/>
      <c r="AC160" s="270"/>
      <c r="AD160" s="270"/>
      <c r="AE160" s="121"/>
      <c r="AF160" s="76"/>
      <c r="AG160" s="41" t="s">
        <v>322</v>
      </c>
      <c r="AH160" s="174" t="s">
        <v>94</v>
      </c>
      <c r="AI160" s="174" t="s">
        <v>95</v>
      </c>
      <c r="AJ160" s="1" t="s">
        <v>98</v>
      </c>
      <c r="AK160" s="1" t="s">
        <v>98</v>
      </c>
      <c r="AL160" s="1" t="s">
        <v>98</v>
      </c>
      <c r="AM160" s="1" t="s">
        <v>98</v>
      </c>
      <c r="AN160" s="287"/>
      <c r="AO160" s="284"/>
      <c r="AP160" s="284"/>
      <c r="AQ160" s="284"/>
      <c r="AR160" s="284"/>
      <c r="AS160" s="284"/>
      <c r="AT160" s="284"/>
      <c r="AU160" s="284"/>
      <c r="AV160" s="284"/>
    </row>
    <row r="161" spans="1:48" customFormat="1">
      <c r="A161" s="358" t="s">
        <v>417</v>
      </c>
      <c r="B161" s="110" t="s">
        <v>418</v>
      </c>
      <c r="C161" s="87">
        <v>1</v>
      </c>
      <c r="D161" s="108" t="s">
        <v>90</v>
      </c>
      <c r="E161" s="47">
        <v>0</v>
      </c>
      <c r="F161" s="447">
        <f t="shared" si="20"/>
        <v>0.17599999999999999</v>
      </c>
      <c r="G161" s="388">
        <f t="shared" si="18"/>
        <v>0</v>
      </c>
      <c r="H161" s="76"/>
      <c r="I161" s="270"/>
      <c r="J161" s="270"/>
      <c r="K161" s="121"/>
      <c r="L161" s="76"/>
      <c r="M161" s="1045" t="s">
        <v>322</v>
      </c>
      <c r="N161" s="1047" t="s">
        <v>94</v>
      </c>
      <c r="O161" s="1066" t="s">
        <v>95</v>
      </c>
      <c r="P161" s="1" t="str">
        <f t="shared" si="19"/>
        <v/>
      </c>
      <c r="Q161" s="1" t="str">
        <f t="shared" si="19"/>
        <v/>
      </c>
      <c r="R161" s="1" t="str">
        <f t="shared" si="19"/>
        <v/>
      </c>
      <c r="S161" s="1" t="str">
        <f t="shared" si="19"/>
        <v/>
      </c>
      <c r="T161" s="358" t="s">
        <v>417</v>
      </c>
      <c r="U161" s="110" t="s">
        <v>418</v>
      </c>
      <c r="V161" s="87">
        <v>1</v>
      </c>
      <c r="W161" s="108" t="s">
        <v>90</v>
      </c>
      <c r="X161" s="436"/>
      <c r="Y161" s="47">
        <v>0</v>
      </c>
      <c r="Z161" s="447">
        <v>0.17599999999999999</v>
      </c>
      <c r="AA161" s="388">
        <v>0</v>
      </c>
      <c r="AB161" s="76"/>
      <c r="AC161" s="270"/>
      <c r="AD161" s="270"/>
      <c r="AE161" s="121"/>
      <c r="AF161" s="76"/>
      <c r="AG161" s="41" t="s">
        <v>322</v>
      </c>
      <c r="AH161" s="174" t="s">
        <v>94</v>
      </c>
      <c r="AI161" s="174" t="s">
        <v>95</v>
      </c>
      <c r="AJ161" s="1" t="s">
        <v>98</v>
      </c>
      <c r="AK161" s="1" t="s">
        <v>98</v>
      </c>
      <c r="AL161" s="1" t="s">
        <v>98</v>
      </c>
      <c r="AM161" s="1" t="s">
        <v>98</v>
      </c>
      <c r="AN161" s="287"/>
      <c r="AO161" s="284"/>
      <c r="AP161" s="284"/>
      <c r="AQ161" s="284"/>
      <c r="AR161" s="284"/>
      <c r="AS161" s="284"/>
      <c r="AT161" s="284"/>
      <c r="AU161" s="284"/>
      <c r="AV161" s="284"/>
    </row>
    <row r="162" spans="1:48" customFormat="1">
      <c r="A162" s="358"/>
      <c r="B162" s="110"/>
      <c r="C162" s="87"/>
      <c r="D162" s="108"/>
      <c r="E162" s="47"/>
      <c r="F162" s="447"/>
      <c r="G162" s="388"/>
      <c r="H162" s="76"/>
      <c r="I162" s="270"/>
      <c r="J162" s="270"/>
      <c r="K162" s="121"/>
      <c r="L162" s="76"/>
      <c r="M162" s="1045"/>
      <c r="N162" s="1047"/>
      <c r="O162" s="1066"/>
      <c r="P162" s="1"/>
      <c r="Q162" s="1"/>
      <c r="R162" s="1"/>
      <c r="S162" s="1"/>
      <c r="T162" s="358" t="s">
        <v>419</v>
      </c>
      <c r="U162" s="110" t="s">
        <v>420</v>
      </c>
      <c r="V162" s="87">
        <v>1</v>
      </c>
      <c r="W162" s="108" t="s">
        <v>90</v>
      </c>
      <c r="X162" s="436"/>
      <c r="Y162" s="47">
        <v>0</v>
      </c>
      <c r="Z162" s="447">
        <v>0.17599999999999999</v>
      </c>
      <c r="AA162" s="388">
        <v>0</v>
      </c>
      <c r="AB162" s="76"/>
      <c r="AC162" s="270"/>
      <c r="AD162" s="270"/>
      <c r="AE162" s="121"/>
      <c r="AF162" s="76"/>
      <c r="AG162" s="41" t="s">
        <v>322</v>
      </c>
      <c r="AH162" s="174" t="s">
        <v>94</v>
      </c>
      <c r="AI162" s="174" t="s">
        <v>95</v>
      </c>
      <c r="AJ162" s="1" t="s">
        <v>98</v>
      </c>
      <c r="AK162" s="1" t="s">
        <v>98</v>
      </c>
      <c r="AL162" s="1" t="s">
        <v>98</v>
      </c>
      <c r="AM162" s="1" t="s">
        <v>98</v>
      </c>
      <c r="AN162" s="287"/>
      <c r="AO162" s="284"/>
      <c r="AP162" s="284"/>
      <c r="AQ162" s="284"/>
      <c r="AR162" s="284"/>
      <c r="AS162" s="284"/>
      <c r="AT162" s="284"/>
      <c r="AU162" s="284"/>
      <c r="AV162" s="284"/>
    </row>
    <row r="163" spans="1:48" customFormat="1">
      <c r="A163" s="358"/>
      <c r="B163" s="110"/>
      <c r="C163" s="87"/>
      <c r="D163" s="108"/>
      <c r="E163" s="47"/>
      <c r="F163" s="447"/>
      <c r="G163" s="388"/>
      <c r="H163" s="76"/>
      <c r="I163" s="270"/>
      <c r="J163" s="270"/>
      <c r="K163" s="121"/>
      <c r="L163" s="76"/>
      <c r="M163" s="1045"/>
      <c r="N163" s="1047"/>
      <c r="O163" s="1066"/>
      <c r="P163" s="1"/>
      <c r="Q163" s="1"/>
      <c r="R163" s="1"/>
      <c r="S163" s="1"/>
      <c r="T163" s="358" t="s">
        <v>421</v>
      </c>
      <c r="U163" s="110" t="s">
        <v>422</v>
      </c>
      <c r="V163" s="87">
        <v>1</v>
      </c>
      <c r="W163" s="108" t="s">
        <v>90</v>
      </c>
      <c r="X163" s="436"/>
      <c r="Y163" s="47">
        <v>0</v>
      </c>
      <c r="Z163" s="447">
        <v>0.17599999999999999</v>
      </c>
      <c r="AA163" s="388">
        <v>0</v>
      </c>
      <c r="AB163" s="76"/>
      <c r="AC163" s="270"/>
      <c r="AD163" s="270"/>
      <c r="AE163" s="121"/>
      <c r="AF163" s="76"/>
      <c r="AG163" s="41" t="s">
        <v>322</v>
      </c>
      <c r="AH163" s="174" t="s">
        <v>94</v>
      </c>
      <c r="AI163" s="174" t="s">
        <v>95</v>
      </c>
      <c r="AJ163" s="1" t="s">
        <v>98</v>
      </c>
      <c r="AK163" s="1" t="s">
        <v>98</v>
      </c>
      <c r="AL163" s="1" t="s">
        <v>98</v>
      </c>
      <c r="AM163" s="1" t="s">
        <v>98</v>
      </c>
      <c r="AN163" s="287"/>
      <c r="AO163" s="284"/>
      <c r="AP163" s="284"/>
      <c r="AQ163" s="284"/>
      <c r="AR163" s="284"/>
      <c r="AS163" s="284"/>
      <c r="AT163" s="284"/>
      <c r="AU163" s="284"/>
      <c r="AV163" s="284"/>
    </row>
    <row r="164" spans="1:48" customFormat="1">
      <c r="A164" s="358"/>
      <c r="B164" s="110"/>
      <c r="C164" s="87"/>
      <c r="D164" s="108"/>
      <c r="E164" s="47"/>
      <c r="F164" s="447"/>
      <c r="G164" s="388"/>
      <c r="H164" s="76"/>
      <c r="I164" s="270"/>
      <c r="J164" s="270"/>
      <c r="K164" s="121"/>
      <c r="L164" s="76"/>
      <c r="M164" s="1045"/>
      <c r="N164" s="1047"/>
      <c r="O164" s="1066"/>
      <c r="P164" s="1"/>
      <c r="Q164" s="1"/>
      <c r="R164" s="1"/>
      <c r="S164" s="1"/>
      <c r="T164" s="358" t="s">
        <v>423</v>
      </c>
      <c r="U164" s="110" t="s">
        <v>424</v>
      </c>
      <c r="V164" s="87">
        <v>1</v>
      </c>
      <c r="W164" s="108" t="s">
        <v>90</v>
      </c>
      <c r="X164" s="436"/>
      <c r="Y164" s="47">
        <v>0</v>
      </c>
      <c r="Z164" s="447">
        <v>0.17599999999999999</v>
      </c>
      <c r="AA164" s="388">
        <v>0</v>
      </c>
      <c r="AB164" s="76"/>
      <c r="AC164" s="270"/>
      <c r="AD164" s="270"/>
      <c r="AE164" s="121"/>
      <c r="AF164" s="76"/>
      <c r="AG164" s="41" t="s">
        <v>322</v>
      </c>
      <c r="AH164" s="174" t="s">
        <v>94</v>
      </c>
      <c r="AI164" s="174" t="s">
        <v>95</v>
      </c>
      <c r="AJ164" s="1" t="s">
        <v>98</v>
      </c>
      <c r="AK164" s="1" t="s">
        <v>98</v>
      </c>
      <c r="AL164" s="1" t="s">
        <v>98</v>
      </c>
      <c r="AM164" s="1" t="s">
        <v>98</v>
      </c>
      <c r="AN164" s="287"/>
      <c r="AO164" s="284"/>
      <c r="AP164" s="284"/>
      <c r="AQ164" s="284"/>
      <c r="AR164" s="284"/>
      <c r="AS164" s="284"/>
      <c r="AT164" s="284"/>
      <c r="AU164" s="284"/>
      <c r="AV164" s="284"/>
    </row>
    <row r="165" spans="1:48" customFormat="1">
      <c r="A165" s="457" t="s">
        <v>91</v>
      </c>
      <c r="B165" s="79" t="s">
        <v>113</v>
      </c>
      <c r="C165" s="80">
        <v>1</v>
      </c>
      <c r="D165" s="119" t="s">
        <v>114</v>
      </c>
      <c r="E165" s="598">
        <v>58.25</v>
      </c>
      <c r="F165" s="599">
        <f>rv_mba_mg</f>
        <v>0.17599999999999999</v>
      </c>
      <c r="G165" s="600">
        <f t="shared" si="18"/>
        <v>47.998000000000005</v>
      </c>
      <c r="H165" s="292"/>
      <c r="I165" s="216"/>
      <c r="J165" s="216"/>
      <c r="K165" s="99"/>
      <c r="L165" s="216"/>
      <c r="M165" s="1045" t="s">
        <v>115</v>
      </c>
      <c r="N165" s="1047" t="s">
        <v>116</v>
      </c>
      <c r="O165" s="1066" t="s">
        <v>117</v>
      </c>
      <c r="P165" s="1" t="str">
        <f t="shared" si="19"/>
        <v/>
      </c>
      <c r="Q165" s="1" t="str">
        <f t="shared" si="19"/>
        <v/>
      </c>
      <c r="R165" s="1" t="str">
        <f t="shared" si="19"/>
        <v/>
      </c>
      <c r="S165" s="1" t="str">
        <f t="shared" si="19"/>
        <v/>
      </c>
      <c r="T165" s="457" t="s">
        <v>91</v>
      </c>
      <c r="U165" s="79" t="s">
        <v>113</v>
      </c>
      <c r="V165" s="80">
        <v>1</v>
      </c>
      <c r="W165" s="119" t="s">
        <v>114</v>
      </c>
      <c r="X165" s="434" t="s">
        <v>91</v>
      </c>
      <c r="Y165" s="598">
        <v>58.25</v>
      </c>
      <c r="Z165" s="599">
        <v>0.17599999999999999</v>
      </c>
      <c r="AA165" s="600">
        <v>47.998000000000005</v>
      </c>
      <c r="AB165" s="292"/>
      <c r="AC165" s="216"/>
      <c r="AD165" s="216"/>
      <c r="AE165" s="99" t="s">
        <v>92</v>
      </c>
      <c r="AF165" s="216" t="s">
        <v>92</v>
      </c>
      <c r="AG165" s="41" t="s">
        <v>115</v>
      </c>
      <c r="AH165" s="174" t="s">
        <v>116</v>
      </c>
      <c r="AI165" s="174" t="s">
        <v>117</v>
      </c>
      <c r="AJ165" s="1" t="s">
        <v>98</v>
      </c>
      <c r="AK165" s="1" t="s">
        <v>98</v>
      </c>
      <c r="AL165" s="1" t="s">
        <v>98</v>
      </c>
      <c r="AM165" s="1" t="s">
        <v>98</v>
      </c>
      <c r="AN165" s="287"/>
      <c r="AO165" s="284"/>
      <c r="AP165" s="284"/>
      <c r="AQ165" s="284"/>
      <c r="AR165" s="284"/>
      <c r="AS165" s="284"/>
      <c r="AT165" s="284"/>
      <c r="AU165" s="284"/>
      <c r="AV165" s="284"/>
    </row>
    <row r="166" spans="1:48" s="172" customFormat="1">
      <c r="A166" s="421" t="s">
        <v>118</v>
      </c>
      <c r="B166" s="110" t="s">
        <v>119</v>
      </c>
      <c r="C166" s="26">
        <v>1</v>
      </c>
      <c r="D166" s="46" t="s">
        <v>114</v>
      </c>
      <c r="E166" s="47"/>
      <c r="F166" s="21"/>
      <c r="G166" s="145">
        <v>18</v>
      </c>
      <c r="H166" s="27"/>
      <c r="I166" s="270"/>
      <c r="J166" s="270"/>
      <c r="K166" s="121"/>
      <c r="L166" s="76"/>
      <c r="M166" s="1045" t="s">
        <v>115</v>
      </c>
      <c r="N166" s="1047" t="s">
        <v>116</v>
      </c>
      <c r="O166" s="1066" t="s">
        <v>117</v>
      </c>
      <c r="P166" s="1" t="str">
        <f t="shared" si="19"/>
        <v/>
      </c>
      <c r="Q166" s="1" t="str">
        <f t="shared" si="19"/>
        <v/>
      </c>
      <c r="R166" s="1" t="str">
        <f t="shared" si="19"/>
        <v/>
      </c>
      <c r="S166" s="1" t="str">
        <f t="shared" si="19"/>
        <v/>
      </c>
      <c r="T166" s="421" t="s">
        <v>118</v>
      </c>
      <c r="U166" s="110" t="s">
        <v>120</v>
      </c>
      <c r="V166" s="26">
        <v>1</v>
      </c>
      <c r="W166" s="46" t="s">
        <v>114</v>
      </c>
      <c r="X166" s="452" t="s">
        <v>118</v>
      </c>
      <c r="Y166" s="47"/>
      <c r="Z166" s="21"/>
      <c r="AA166" s="145">
        <v>18</v>
      </c>
      <c r="AB166" s="27"/>
      <c r="AC166" s="270"/>
      <c r="AD166" s="270"/>
      <c r="AE166" s="121" t="s">
        <v>92</v>
      </c>
      <c r="AF166" s="76" t="s">
        <v>92</v>
      </c>
      <c r="AG166" s="41" t="s">
        <v>115</v>
      </c>
      <c r="AH166" s="174" t="s">
        <v>116</v>
      </c>
      <c r="AI166" s="174" t="s">
        <v>117</v>
      </c>
      <c r="AJ166" s="1" t="s">
        <v>98</v>
      </c>
      <c r="AK166" s="1" t="s">
        <v>98</v>
      </c>
      <c r="AL166" s="1" t="s">
        <v>98</v>
      </c>
      <c r="AM166" s="1" t="s">
        <v>98</v>
      </c>
      <c r="AN166" s="287"/>
      <c r="AO166" s="284"/>
      <c r="AP166" s="284"/>
      <c r="AQ166" s="284"/>
      <c r="AR166" s="284"/>
      <c r="AS166" s="284"/>
      <c r="AT166" s="284"/>
      <c r="AU166" s="284"/>
      <c r="AV166" s="284"/>
    </row>
    <row r="167" spans="1:48" s="172" customFormat="1">
      <c r="A167" s="421" t="s">
        <v>121</v>
      </c>
      <c r="B167" s="110" t="s">
        <v>122</v>
      </c>
      <c r="C167" s="26">
        <v>1</v>
      </c>
      <c r="D167" s="46" t="s">
        <v>114</v>
      </c>
      <c r="E167" s="47"/>
      <c r="F167" s="21"/>
      <c r="G167" s="145">
        <v>26</v>
      </c>
      <c r="H167" s="27"/>
      <c r="I167" s="270"/>
      <c r="J167" s="270"/>
      <c r="K167" s="121"/>
      <c r="L167" s="76"/>
      <c r="M167" s="1045" t="s">
        <v>115</v>
      </c>
      <c r="N167" s="1047" t="s">
        <v>116</v>
      </c>
      <c r="O167" s="1066" t="s">
        <v>117</v>
      </c>
      <c r="P167" s="1" t="str">
        <f t="shared" ref="P167:S185" si="21">+IF($J167&lt;&gt;"",P$2*$J167,"")</f>
        <v/>
      </c>
      <c r="Q167" s="1" t="str">
        <f t="shared" si="21"/>
        <v/>
      </c>
      <c r="R167" s="1" t="str">
        <f t="shared" si="21"/>
        <v/>
      </c>
      <c r="S167" s="1" t="str">
        <f t="shared" si="21"/>
        <v/>
      </c>
      <c r="T167" s="421" t="s">
        <v>121</v>
      </c>
      <c r="U167" s="110" t="s">
        <v>123</v>
      </c>
      <c r="V167" s="26">
        <v>1</v>
      </c>
      <c r="W167" s="46" t="s">
        <v>114</v>
      </c>
      <c r="X167" s="452" t="s">
        <v>121</v>
      </c>
      <c r="Y167" s="47"/>
      <c r="Z167" s="21"/>
      <c r="AA167" s="145">
        <v>26</v>
      </c>
      <c r="AB167" s="27"/>
      <c r="AC167" s="270"/>
      <c r="AD167" s="270"/>
      <c r="AE167" s="121" t="s">
        <v>92</v>
      </c>
      <c r="AF167" s="76" t="s">
        <v>92</v>
      </c>
      <c r="AG167" s="41" t="s">
        <v>115</v>
      </c>
      <c r="AH167" s="174" t="s">
        <v>116</v>
      </c>
      <c r="AI167" s="174" t="s">
        <v>117</v>
      </c>
      <c r="AJ167" s="1" t="s">
        <v>98</v>
      </c>
      <c r="AK167" s="1" t="s">
        <v>98</v>
      </c>
      <c r="AL167" s="1" t="s">
        <v>98</v>
      </c>
      <c r="AM167" s="1" t="s">
        <v>98</v>
      </c>
      <c r="AN167" s="287"/>
      <c r="AO167" s="284"/>
      <c r="AP167" s="284"/>
      <c r="AQ167" s="284"/>
      <c r="AR167" s="284"/>
      <c r="AS167" s="284"/>
      <c r="AT167" s="284"/>
      <c r="AU167" s="284"/>
      <c r="AV167" s="284"/>
    </row>
    <row r="168" spans="1:48" s="172" customFormat="1">
      <c r="A168" s="421" t="s">
        <v>124</v>
      </c>
      <c r="B168" s="110" t="s">
        <v>125</v>
      </c>
      <c r="C168" s="26">
        <v>1</v>
      </c>
      <c r="D168" s="46" t="s">
        <v>114</v>
      </c>
      <c r="E168" s="47"/>
      <c r="F168" s="21"/>
      <c r="G168" s="145">
        <v>37</v>
      </c>
      <c r="H168" s="27"/>
      <c r="I168" s="270"/>
      <c r="J168" s="270"/>
      <c r="K168" s="121"/>
      <c r="L168" s="76"/>
      <c r="M168" s="1045" t="s">
        <v>115</v>
      </c>
      <c r="N168" s="1047" t="s">
        <v>116</v>
      </c>
      <c r="O168" s="1066" t="s">
        <v>117</v>
      </c>
      <c r="P168" s="1" t="str">
        <f t="shared" si="21"/>
        <v/>
      </c>
      <c r="Q168" s="1" t="str">
        <f t="shared" si="21"/>
        <v/>
      </c>
      <c r="R168" s="1" t="str">
        <f t="shared" si="21"/>
        <v/>
      </c>
      <c r="S168" s="1" t="str">
        <f t="shared" si="21"/>
        <v/>
      </c>
      <c r="T168" s="421" t="s">
        <v>124</v>
      </c>
      <c r="U168" s="110" t="s">
        <v>126</v>
      </c>
      <c r="V168" s="26">
        <v>1</v>
      </c>
      <c r="W168" s="46" t="s">
        <v>114</v>
      </c>
      <c r="X168" s="452" t="s">
        <v>124</v>
      </c>
      <c r="Y168" s="47"/>
      <c r="Z168" s="21"/>
      <c r="AA168" s="145">
        <v>37</v>
      </c>
      <c r="AB168" s="27"/>
      <c r="AC168" s="270"/>
      <c r="AD168" s="270"/>
      <c r="AE168" s="121" t="s">
        <v>92</v>
      </c>
      <c r="AF168" s="76" t="s">
        <v>92</v>
      </c>
      <c r="AG168" s="41" t="s">
        <v>115</v>
      </c>
      <c r="AH168" s="174" t="s">
        <v>116</v>
      </c>
      <c r="AI168" s="174" t="s">
        <v>117</v>
      </c>
      <c r="AJ168" s="1" t="s">
        <v>98</v>
      </c>
      <c r="AK168" s="1" t="s">
        <v>98</v>
      </c>
      <c r="AL168" s="1" t="s">
        <v>98</v>
      </c>
      <c r="AM168" s="1" t="s">
        <v>98</v>
      </c>
      <c r="AN168" s="287"/>
      <c r="AO168" s="284"/>
      <c r="AP168" s="284"/>
      <c r="AQ168" s="284"/>
      <c r="AR168" s="284"/>
      <c r="AS168" s="284"/>
      <c r="AT168" s="284"/>
      <c r="AU168" s="284"/>
      <c r="AV168" s="284"/>
    </row>
    <row r="169" spans="1:48" s="172" customFormat="1">
      <c r="A169" s="421" t="s">
        <v>127</v>
      </c>
      <c r="B169" s="110" t="s">
        <v>128</v>
      </c>
      <c r="C169" s="26">
        <v>1</v>
      </c>
      <c r="D169" s="46" t="s">
        <v>114</v>
      </c>
      <c r="E169" s="47"/>
      <c r="F169" s="21"/>
      <c r="G169" s="145">
        <v>21</v>
      </c>
      <c r="H169" s="27"/>
      <c r="I169" s="270"/>
      <c r="J169" s="270"/>
      <c r="K169" s="121"/>
      <c r="L169" s="76"/>
      <c r="M169" s="1045" t="s">
        <v>115</v>
      </c>
      <c r="N169" s="1047" t="s">
        <v>116</v>
      </c>
      <c r="O169" s="1066" t="s">
        <v>117</v>
      </c>
      <c r="P169" s="1" t="str">
        <f t="shared" si="21"/>
        <v/>
      </c>
      <c r="Q169" s="1" t="str">
        <f t="shared" si="21"/>
        <v/>
      </c>
      <c r="R169" s="1" t="str">
        <f t="shared" si="21"/>
        <v/>
      </c>
      <c r="S169" s="1" t="str">
        <f t="shared" si="21"/>
        <v/>
      </c>
      <c r="T169" s="421" t="s">
        <v>127</v>
      </c>
      <c r="U169" s="110" t="s">
        <v>129</v>
      </c>
      <c r="V169" s="26">
        <v>1</v>
      </c>
      <c r="W169" s="46" t="s">
        <v>114</v>
      </c>
      <c r="X169" s="104" t="s">
        <v>127</v>
      </c>
      <c r="Y169" s="47"/>
      <c r="Z169" s="21"/>
      <c r="AA169" s="145">
        <v>21</v>
      </c>
      <c r="AB169" s="27"/>
      <c r="AC169" s="270"/>
      <c r="AD169" s="270"/>
      <c r="AE169" s="121" t="s">
        <v>92</v>
      </c>
      <c r="AF169" s="76" t="s">
        <v>92</v>
      </c>
      <c r="AG169" s="41" t="s">
        <v>115</v>
      </c>
      <c r="AH169" s="174" t="s">
        <v>116</v>
      </c>
      <c r="AI169" s="174" t="s">
        <v>117</v>
      </c>
      <c r="AJ169" s="1" t="s">
        <v>98</v>
      </c>
      <c r="AK169" s="1" t="s">
        <v>98</v>
      </c>
      <c r="AL169" s="1" t="s">
        <v>98</v>
      </c>
      <c r="AM169" s="1" t="s">
        <v>98</v>
      </c>
      <c r="AN169" s="287"/>
      <c r="AO169" s="284"/>
      <c r="AP169" s="284"/>
      <c r="AQ169" s="284"/>
      <c r="AR169" s="284"/>
      <c r="AS169" s="284"/>
      <c r="AT169" s="284"/>
      <c r="AU169" s="284"/>
      <c r="AV169" s="284"/>
    </row>
    <row r="170" spans="1:48" s="172" customFormat="1">
      <c r="A170" s="421" t="s">
        <v>130</v>
      </c>
      <c r="B170" s="110" t="s">
        <v>131</v>
      </c>
      <c r="C170" s="26">
        <v>1</v>
      </c>
      <c r="D170" s="46" t="s">
        <v>114</v>
      </c>
      <c r="E170" s="47"/>
      <c r="F170" s="21"/>
      <c r="G170" s="145">
        <v>46</v>
      </c>
      <c r="H170" s="93"/>
      <c r="I170" s="270"/>
      <c r="J170" s="270"/>
      <c r="K170" s="121"/>
      <c r="L170" s="76"/>
      <c r="M170" s="1045" t="s">
        <v>115</v>
      </c>
      <c r="N170" s="1047" t="s">
        <v>116</v>
      </c>
      <c r="O170" s="1066" t="s">
        <v>117</v>
      </c>
      <c r="P170" s="1" t="str">
        <f t="shared" si="21"/>
        <v/>
      </c>
      <c r="Q170" s="1" t="str">
        <f t="shared" si="21"/>
        <v/>
      </c>
      <c r="R170" s="1" t="str">
        <f t="shared" si="21"/>
        <v/>
      </c>
      <c r="S170" s="1" t="str">
        <f t="shared" si="21"/>
        <v/>
      </c>
      <c r="T170" s="421" t="s">
        <v>130</v>
      </c>
      <c r="U170" s="110" t="s">
        <v>132</v>
      </c>
      <c r="V170" s="26">
        <v>1</v>
      </c>
      <c r="W170" s="46" t="s">
        <v>114</v>
      </c>
      <c r="X170" s="104" t="s">
        <v>130</v>
      </c>
      <c r="Y170" s="47"/>
      <c r="Z170" s="21"/>
      <c r="AA170" s="145">
        <v>46</v>
      </c>
      <c r="AB170" s="93"/>
      <c r="AC170" s="270"/>
      <c r="AD170" s="270"/>
      <c r="AE170" s="121" t="s">
        <v>92</v>
      </c>
      <c r="AF170" s="76" t="s">
        <v>92</v>
      </c>
      <c r="AG170" s="41" t="s">
        <v>115</v>
      </c>
      <c r="AH170" s="174" t="s">
        <v>116</v>
      </c>
      <c r="AI170" s="174" t="s">
        <v>117</v>
      </c>
      <c r="AJ170" s="1" t="s">
        <v>98</v>
      </c>
      <c r="AK170" s="1" t="s">
        <v>98</v>
      </c>
      <c r="AL170" s="1" t="s">
        <v>98</v>
      </c>
      <c r="AM170" s="1" t="s">
        <v>98</v>
      </c>
      <c r="AN170" s="287"/>
      <c r="AO170" s="284"/>
      <c r="AP170" s="284"/>
      <c r="AQ170" s="284"/>
      <c r="AR170" s="284"/>
      <c r="AS170" s="284"/>
      <c r="AT170" s="284"/>
      <c r="AU170" s="284"/>
      <c r="AV170" s="284"/>
    </row>
    <row r="171" spans="1:48" s="172" customFormat="1">
      <c r="A171" s="421" t="s">
        <v>133</v>
      </c>
      <c r="B171" s="110" t="s">
        <v>134</v>
      </c>
      <c r="C171" s="26">
        <v>1</v>
      </c>
      <c r="D171" s="46" t="s">
        <v>114</v>
      </c>
      <c r="E171" s="47"/>
      <c r="F171" s="21"/>
      <c r="G171" s="145">
        <v>55</v>
      </c>
      <c r="H171" s="93"/>
      <c r="I171" s="270"/>
      <c r="J171" s="270"/>
      <c r="K171" s="121"/>
      <c r="L171" s="76"/>
      <c r="M171" s="1045" t="s">
        <v>115</v>
      </c>
      <c r="N171" s="1047" t="s">
        <v>116</v>
      </c>
      <c r="O171" s="1066" t="s">
        <v>117</v>
      </c>
      <c r="P171" s="1" t="str">
        <f t="shared" si="21"/>
        <v/>
      </c>
      <c r="Q171" s="1" t="str">
        <f t="shared" si="21"/>
        <v/>
      </c>
      <c r="R171" s="1" t="str">
        <f t="shared" si="21"/>
        <v/>
      </c>
      <c r="S171" s="1" t="str">
        <f t="shared" si="21"/>
        <v/>
      </c>
      <c r="T171" s="421" t="s">
        <v>133</v>
      </c>
      <c r="U171" s="110" t="s">
        <v>135</v>
      </c>
      <c r="V171" s="26">
        <v>1</v>
      </c>
      <c r="W171" s="46" t="s">
        <v>114</v>
      </c>
      <c r="X171" s="104" t="s">
        <v>133</v>
      </c>
      <c r="Y171" s="47"/>
      <c r="Z171" s="21"/>
      <c r="AA171" s="145">
        <v>55</v>
      </c>
      <c r="AB171" s="93"/>
      <c r="AC171" s="270"/>
      <c r="AD171" s="270"/>
      <c r="AE171" s="121" t="s">
        <v>92</v>
      </c>
      <c r="AF171" s="76" t="s">
        <v>92</v>
      </c>
      <c r="AG171" s="41" t="s">
        <v>115</v>
      </c>
      <c r="AH171" s="174" t="s">
        <v>116</v>
      </c>
      <c r="AI171" s="174" t="s">
        <v>117</v>
      </c>
      <c r="AJ171" s="1" t="s">
        <v>98</v>
      </c>
      <c r="AK171" s="1" t="s">
        <v>98</v>
      </c>
      <c r="AL171" s="1" t="s">
        <v>98</v>
      </c>
      <c r="AM171" s="1" t="s">
        <v>98</v>
      </c>
      <c r="AN171" s="287"/>
      <c r="AO171" s="284"/>
      <c r="AP171" s="284"/>
      <c r="AQ171" s="284"/>
      <c r="AR171" s="284"/>
      <c r="AS171" s="284"/>
      <c r="AT171" s="284"/>
      <c r="AU171" s="284"/>
      <c r="AV171" s="284"/>
    </row>
    <row r="172" spans="1:48" s="172" customFormat="1">
      <c r="A172" s="421" t="s">
        <v>136</v>
      </c>
      <c r="B172" s="110" t="s">
        <v>137</v>
      </c>
      <c r="C172" s="26">
        <v>1</v>
      </c>
      <c r="D172" s="46" t="s">
        <v>114</v>
      </c>
      <c r="E172" s="47"/>
      <c r="F172" s="21"/>
      <c r="G172" s="145">
        <v>62</v>
      </c>
      <c r="H172" s="93"/>
      <c r="I172" s="270"/>
      <c r="J172" s="270"/>
      <c r="K172" s="121"/>
      <c r="L172" s="76"/>
      <c r="M172" s="1045" t="s">
        <v>115</v>
      </c>
      <c r="N172" s="1047" t="s">
        <v>116</v>
      </c>
      <c r="O172" s="1066" t="s">
        <v>117</v>
      </c>
      <c r="P172" s="1" t="str">
        <f t="shared" si="21"/>
        <v/>
      </c>
      <c r="Q172" s="1" t="str">
        <f t="shared" si="21"/>
        <v/>
      </c>
      <c r="R172" s="1" t="str">
        <f t="shared" si="21"/>
        <v/>
      </c>
      <c r="S172" s="1" t="str">
        <f t="shared" si="21"/>
        <v/>
      </c>
      <c r="T172" s="421" t="s">
        <v>136</v>
      </c>
      <c r="U172" s="110" t="s">
        <v>138</v>
      </c>
      <c r="V172" s="26">
        <v>1</v>
      </c>
      <c r="W172" s="46" t="s">
        <v>114</v>
      </c>
      <c r="X172" s="104" t="s">
        <v>136</v>
      </c>
      <c r="Y172" s="47"/>
      <c r="Z172" s="21"/>
      <c r="AA172" s="145">
        <v>62</v>
      </c>
      <c r="AB172" s="93"/>
      <c r="AC172" s="270"/>
      <c r="AD172" s="270"/>
      <c r="AE172" s="121" t="s">
        <v>92</v>
      </c>
      <c r="AF172" s="76" t="s">
        <v>92</v>
      </c>
      <c r="AG172" s="41" t="s">
        <v>115</v>
      </c>
      <c r="AH172" s="174" t="s">
        <v>116</v>
      </c>
      <c r="AI172" s="174" t="s">
        <v>117</v>
      </c>
      <c r="AJ172" s="1" t="s">
        <v>98</v>
      </c>
      <c r="AK172" s="1" t="s">
        <v>98</v>
      </c>
      <c r="AL172" s="1" t="s">
        <v>98</v>
      </c>
      <c r="AM172" s="1" t="s">
        <v>98</v>
      </c>
      <c r="AN172" s="287"/>
      <c r="AO172" s="284"/>
      <c r="AP172" s="284"/>
      <c r="AQ172" s="284"/>
      <c r="AR172" s="284"/>
      <c r="AS172" s="284"/>
      <c r="AT172" s="284"/>
      <c r="AU172" s="284"/>
      <c r="AV172" s="284"/>
    </row>
    <row r="173" spans="1:48" s="172" customFormat="1">
      <c r="A173" s="421" t="s">
        <v>139</v>
      </c>
      <c r="B173" s="110" t="s">
        <v>140</v>
      </c>
      <c r="C173" s="26">
        <v>1</v>
      </c>
      <c r="D173" s="46" t="s">
        <v>114</v>
      </c>
      <c r="E173" s="47"/>
      <c r="F173" s="21"/>
      <c r="G173" s="145">
        <v>16</v>
      </c>
      <c r="H173" s="93"/>
      <c r="I173" s="270"/>
      <c r="J173" s="270"/>
      <c r="K173" s="121"/>
      <c r="L173" s="76"/>
      <c r="M173" s="1045" t="s">
        <v>115</v>
      </c>
      <c r="N173" s="1047" t="s">
        <v>116</v>
      </c>
      <c r="O173" s="1066" t="s">
        <v>117</v>
      </c>
      <c r="P173" s="1" t="str">
        <f t="shared" si="21"/>
        <v/>
      </c>
      <c r="Q173" s="1" t="str">
        <f t="shared" si="21"/>
        <v/>
      </c>
      <c r="R173" s="1" t="str">
        <f t="shared" si="21"/>
        <v/>
      </c>
      <c r="S173" s="1" t="str">
        <f t="shared" si="21"/>
        <v/>
      </c>
      <c r="T173" s="421" t="s">
        <v>139</v>
      </c>
      <c r="U173" s="110" t="s">
        <v>141</v>
      </c>
      <c r="V173" s="26">
        <v>1</v>
      </c>
      <c r="W173" s="46" t="s">
        <v>114</v>
      </c>
      <c r="X173" s="104" t="s">
        <v>139</v>
      </c>
      <c r="Y173" s="47"/>
      <c r="Z173" s="21"/>
      <c r="AA173" s="145">
        <v>16</v>
      </c>
      <c r="AB173" s="93"/>
      <c r="AC173" s="270"/>
      <c r="AD173" s="270"/>
      <c r="AE173" s="121" t="s">
        <v>92</v>
      </c>
      <c r="AF173" s="76" t="s">
        <v>92</v>
      </c>
      <c r="AG173" s="41" t="s">
        <v>115</v>
      </c>
      <c r="AH173" s="174" t="s">
        <v>116</v>
      </c>
      <c r="AI173" s="174" t="s">
        <v>117</v>
      </c>
      <c r="AJ173" s="1" t="s">
        <v>98</v>
      </c>
      <c r="AK173" s="1" t="s">
        <v>98</v>
      </c>
      <c r="AL173" s="1" t="s">
        <v>98</v>
      </c>
      <c r="AM173" s="1" t="s">
        <v>98</v>
      </c>
      <c r="AN173" s="287"/>
      <c r="AO173" s="284"/>
      <c r="AP173" s="284"/>
      <c r="AQ173" s="284"/>
      <c r="AR173" s="284"/>
      <c r="AS173" s="284"/>
      <c r="AT173" s="284"/>
      <c r="AU173" s="284"/>
      <c r="AV173" s="284"/>
    </row>
    <row r="174" spans="1:48" s="172" customFormat="1">
      <c r="A174" s="421" t="s">
        <v>142</v>
      </c>
      <c r="B174" s="110" t="s">
        <v>143</v>
      </c>
      <c r="C174" s="26">
        <v>1</v>
      </c>
      <c r="D174" s="46" t="s">
        <v>114</v>
      </c>
      <c r="E174" s="47"/>
      <c r="F174" s="21"/>
      <c r="G174" s="145">
        <v>39</v>
      </c>
      <c r="H174" s="93"/>
      <c r="I174" s="270"/>
      <c r="J174" s="270"/>
      <c r="K174" s="121"/>
      <c r="L174" s="76"/>
      <c r="M174" s="1045" t="s">
        <v>115</v>
      </c>
      <c r="N174" s="1047" t="s">
        <v>116</v>
      </c>
      <c r="O174" s="1066" t="s">
        <v>117</v>
      </c>
      <c r="P174" s="1" t="str">
        <f t="shared" si="21"/>
        <v/>
      </c>
      <c r="Q174" s="1" t="str">
        <f t="shared" si="21"/>
        <v/>
      </c>
      <c r="R174" s="1" t="str">
        <f t="shared" si="21"/>
        <v/>
      </c>
      <c r="S174" s="1" t="str">
        <f t="shared" si="21"/>
        <v/>
      </c>
      <c r="T174" s="421" t="s">
        <v>142</v>
      </c>
      <c r="U174" s="110" t="s">
        <v>144</v>
      </c>
      <c r="V174" s="26">
        <v>1</v>
      </c>
      <c r="W174" s="46" t="s">
        <v>114</v>
      </c>
      <c r="X174" s="104" t="s">
        <v>142</v>
      </c>
      <c r="Y174" s="47"/>
      <c r="Z174" s="21"/>
      <c r="AA174" s="145">
        <v>39</v>
      </c>
      <c r="AB174" s="93"/>
      <c r="AC174" s="270"/>
      <c r="AD174" s="270"/>
      <c r="AE174" s="121" t="s">
        <v>92</v>
      </c>
      <c r="AF174" s="76" t="s">
        <v>92</v>
      </c>
      <c r="AG174" s="41" t="s">
        <v>115</v>
      </c>
      <c r="AH174" s="174" t="s">
        <v>116</v>
      </c>
      <c r="AI174" s="174" t="s">
        <v>117</v>
      </c>
      <c r="AJ174" s="1" t="s">
        <v>98</v>
      </c>
      <c r="AK174" s="1" t="s">
        <v>98</v>
      </c>
      <c r="AL174" s="1" t="s">
        <v>98</v>
      </c>
      <c r="AM174" s="1" t="s">
        <v>98</v>
      </c>
      <c r="AN174" s="287"/>
      <c r="AO174" s="284"/>
      <c r="AP174" s="284"/>
      <c r="AQ174" s="284"/>
      <c r="AR174" s="284"/>
      <c r="AS174" s="284"/>
      <c r="AT174" s="284"/>
      <c r="AU174" s="284"/>
      <c r="AV174" s="284"/>
    </row>
    <row r="175" spans="1:48" s="172" customFormat="1">
      <c r="A175" s="421" t="s">
        <v>145</v>
      </c>
      <c r="B175" s="110" t="s">
        <v>146</v>
      </c>
      <c r="C175" s="26">
        <v>1</v>
      </c>
      <c r="D175" s="46" t="s">
        <v>114</v>
      </c>
      <c r="E175" s="47"/>
      <c r="F175" s="21"/>
      <c r="G175" s="145">
        <v>51</v>
      </c>
      <c r="H175" s="93"/>
      <c r="I175" s="270"/>
      <c r="J175" s="270"/>
      <c r="K175" s="121"/>
      <c r="L175" s="76"/>
      <c r="M175" s="1045" t="s">
        <v>115</v>
      </c>
      <c r="N175" s="1047" t="s">
        <v>116</v>
      </c>
      <c r="O175" s="1066" t="s">
        <v>117</v>
      </c>
      <c r="P175" s="1" t="str">
        <f t="shared" si="21"/>
        <v/>
      </c>
      <c r="Q175" s="1" t="str">
        <f t="shared" si="21"/>
        <v/>
      </c>
      <c r="R175" s="1" t="str">
        <f t="shared" si="21"/>
        <v/>
      </c>
      <c r="S175" s="1" t="str">
        <f t="shared" si="21"/>
        <v/>
      </c>
      <c r="T175" s="421" t="s">
        <v>145</v>
      </c>
      <c r="U175" s="110" t="s">
        <v>147</v>
      </c>
      <c r="V175" s="26">
        <v>1</v>
      </c>
      <c r="W175" s="46" t="s">
        <v>114</v>
      </c>
      <c r="X175" s="104" t="s">
        <v>145</v>
      </c>
      <c r="Y175" s="47"/>
      <c r="Z175" s="21"/>
      <c r="AA175" s="145">
        <v>51</v>
      </c>
      <c r="AB175" s="93"/>
      <c r="AC175" s="270"/>
      <c r="AD175" s="270"/>
      <c r="AE175" s="121" t="s">
        <v>92</v>
      </c>
      <c r="AF175" s="76" t="s">
        <v>92</v>
      </c>
      <c r="AG175" s="41" t="s">
        <v>115</v>
      </c>
      <c r="AH175" s="174" t="s">
        <v>116</v>
      </c>
      <c r="AI175" s="174" t="s">
        <v>117</v>
      </c>
      <c r="AJ175" s="1" t="s">
        <v>98</v>
      </c>
      <c r="AK175" s="1" t="s">
        <v>98</v>
      </c>
      <c r="AL175" s="1" t="s">
        <v>98</v>
      </c>
      <c r="AM175" s="1" t="s">
        <v>98</v>
      </c>
      <c r="AN175" s="287"/>
      <c r="AO175" s="284"/>
      <c r="AP175" s="284"/>
      <c r="AQ175" s="284"/>
      <c r="AR175" s="284"/>
      <c r="AS175" s="284"/>
      <c r="AT175" s="284"/>
      <c r="AU175" s="284"/>
      <c r="AV175" s="284"/>
    </row>
    <row r="176" spans="1:48" s="172" customFormat="1">
      <c r="A176" s="421" t="s">
        <v>148</v>
      </c>
      <c r="B176" s="110" t="s">
        <v>149</v>
      </c>
      <c r="C176" s="26">
        <v>1</v>
      </c>
      <c r="D176" s="46" t="s">
        <v>114</v>
      </c>
      <c r="E176" s="47"/>
      <c r="F176" s="21"/>
      <c r="G176" s="145">
        <v>68</v>
      </c>
      <c r="H176" s="93"/>
      <c r="I176" s="270"/>
      <c r="J176" s="270"/>
      <c r="K176" s="121"/>
      <c r="L176" s="76"/>
      <c r="M176" s="1045" t="s">
        <v>115</v>
      </c>
      <c r="N176" s="1047" t="s">
        <v>116</v>
      </c>
      <c r="O176" s="1067" t="s">
        <v>117</v>
      </c>
      <c r="P176" s="1" t="str">
        <f t="shared" si="21"/>
        <v/>
      </c>
      <c r="Q176" s="1" t="str">
        <f t="shared" si="21"/>
        <v/>
      </c>
      <c r="R176" s="1" t="str">
        <f t="shared" si="21"/>
        <v/>
      </c>
      <c r="S176" s="1" t="str">
        <f t="shared" si="21"/>
        <v/>
      </c>
      <c r="T176" s="421" t="s">
        <v>148</v>
      </c>
      <c r="U176" s="110" t="s">
        <v>150</v>
      </c>
      <c r="V176" s="26">
        <v>1</v>
      </c>
      <c r="W176" s="46" t="s">
        <v>114</v>
      </c>
      <c r="X176" s="104" t="s">
        <v>148</v>
      </c>
      <c r="Y176" s="47"/>
      <c r="Z176" s="21"/>
      <c r="AA176" s="145">
        <v>68</v>
      </c>
      <c r="AB176" s="93"/>
      <c r="AC176" s="270"/>
      <c r="AD176" s="270"/>
      <c r="AE176" s="121" t="s">
        <v>92</v>
      </c>
      <c r="AF176" s="76" t="s">
        <v>92</v>
      </c>
      <c r="AG176" s="41" t="s">
        <v>115</v>
      </c>
      <c r="AH176" s="174" t="s">
        <v>116</v>
      </c>
      <c r="AI176" s="174" t="s">
        <v>117</v>
      </c>
      <c r="AJ176" s="1" t="s">
        <v>98</v>
      </c>
      <c r="AK176" s="1" t="s">
        <v>98</v>
      </c>
      <c r="AL176" s="1" t="s">
        <v>98</v>
      </c>
      <c r="AM176" s="1" t="s">
        <v>98</v>
      </c>
      <c r="AN176" s="287"/>
      <c r="AO176" s="284"/>
      <c r="AP176" s="284"/>
      <c r="AQ176" s="284"/>
      <c r="AR176" s="284"/>
      <c r="AS176" s="284"/>
      <c r="AT176" s="284"/>
      <c r="AU176" s="284"/>
      <c r="AV176" s="284"/>
    </row>
    <row r="177" spans="1:48" s="860" customFormat="1" ht="20.100000000000001" customHeight="1">
      <c r="A177" s="1074" t="s">
        <v>3608</v>
      </c>
      <c r="B177" s="1078" t="s">
        <v>3686</v>
      </c>
      <c r="C177" s="878"/>
      <c r="D177" s="879"/>
      <c r="E177" s="879"/>
      <c r="F177" s="880"/>
      <c r="G177" s="881"/>
      <c r="H177" s="893"/>
      <c r="I177" s="883"/>
      <c r="J177" s="883"/>
      <c r="K177" s="881"/>
      <c r="L177" s="869"/>
      <c r="M177" s="869"/>
      <c r="N177" s="1028"/>
      <c r="O177" s="869"/>
      <c r="P177" s="869"/>
      <c r="Q177" s="869"/>
      <c r="R177" s="869"/>
      <c r="S177" s="869"/>
      <c r="T177" s="894"/>
      <c r="U177" s="895"/>
      <c r="V177" s="896"/>
      <c r="W177" s="897"/>
      <c r="X177" s="898"/>
      <c r="Y177" s="897"/>
      <c r="Z177" s="899"/>
      <c r="AA177" s="900"/>
      <c r="AB177" s="896"/>
      <c r="AC177" s="900"/>
      <c r="AD177" s="900"/>
      <c r="AE177" s="901"/>
      <c r="AF177" s="902"/>
      <c r="AG177" s="858"/>
      <c r="AH177" s="859"/>
      <c r="AI177" s="859"/>
      <c r="AJ177" s="860" t="s">
        <v>98</v>
      </c>
      <c r="AK177" s="860" t="s">
        <v>98</v>
      </c>
      <c r="AL177" s="860" t="s">
        <v>98</v>
      </c>
      <c r="AM177" s="860" t="s">
        <v>98</v>
      </c>
      <c r="AN177" s="871"/>
    </row>
    <row r="178" spans="1:48" customFormat="1">
      <c r="A178" s="387" t="s">
        <v>425</v>
      </c>
      <c r="B178" s="70" t="s">
        <v>426</v>
      </c>
      <c r="C178" s="71">
        <v>1</v>
      </c>
      <c r="D178" s="72" t="s">
        <v>90</v>
      </c>
      <c r="E178" s="85">
        <v>1332.2</v>
      </c>
      <c r="F178" s="103">
        <f>rv_mbp13_eg</f>
        <v>0.17599999999999999</v>
      </c>
      <c r="G178" s="111">
        <f t="shared" ref="G178:G183" si="22">E178-(E178*F178)</f>
        <v>1097.7328</v>
      </c>
      <c r="H178" s="71" t="s">
        <v>427</v>
      </c>
      <c r="I178" s="91">
        <v>48</v>
      </c>
      <c r="J178" s="91">
        <f>G178+I178</f>
        <v>1145.7328</v>
      </c>
      <c r="K178" s="75" t="s">
        <v>92</v>
      </c>
      <c r="L178" s="91">
        <v>0.3</v>
      </c>
      <c r="M178" s="1045" t="s">
        <v>428</v>
      </c>
      <c r="N178" s="1046" t="s">
        <v>94</v>
      </c>
      <c r="O178" s="1065" t="s">
        <v>429</v>
      </c>
      <c r="P178" s="1">
        <f t="shared" si="21"/>
        <v>230.64603469447397</v>
      </c>
      <c r="Q178" s="1">
        <f t="shared" si="21"/>
        <v>119.86823392675272</v>
      </c>
      <c r="R178" s="1">
        <f t="shared" si="21"/>
        <v>87.05672998012858</v>
      </c>
      <c r="S178" s="1">
        <f t="shared" si="21"/>
        <v>75.12441956733484</v>
      </c>
      <c r="T178" s="387" t="s">
        <v>425</v>
      </c>
      <c r="U178" s="70" t="s">
        <v>426</v>
      </c>
      <c r="V178" s="71">
        <v>1</v>
      </c>
      <c r="W178" s="72" t="s">
        <v>90</v>
      </c>
      <c r="X178" s="101" t="s">
        <v>425</v>
      </c>
      <c r="Y178" s="85">
        <v>1332.2</v>
      </c>
      <c r="Z178" s="103">
        <v>0.17599999999999999</v>
      </c>
      <c r="AA178" s="111">
        <v>1097.7328</v>
      </c>
      <c r="AB178" s="71" t="s">
        <v>427</v>
      </c>
      <c r="AC178" s="91">
        <v>48</v>
      </c>
      <c r="AD178" s="91">
        <v>1145.7328</v>
      </c>
      <c r="AE178" s="75" t="s">
        <v>92</v>
      </c>
      <c r="AF178" s="91">
        <v>0.3</v>
      </c>
      <c r="AG178" s="41" t="s">
        <v>428</v>
      </c>
      <c r="AH178" s="174" t="s">
        <v>94</v>
      </c>
      <c r="AI178" s="174" t="s">
        <v>429</v>
      </c>
      <c r="AJ178" s="1">
        <v>230.64603469447397</v>
      </c>
      <c r="AK178" s="1">
        <v>119.86823392675272</v>
      </c>
      <c r="AL178" s="1">
        <v>87.05672998012858</v>
      </c>
      <c r="AM178" s="1">
        <v>75.12441956733484</v>
      </c>
      <c r="AN178" s="287"/>
      <c r="AO178" s="284"/>
      <c r="AP178" s="284"/>
      <c r="AQ178" s="284"/>
      <c r="AR178" s="284"/>
      <c r="AS178" s="284"/>
      <c r="AT178" s="284"/>
      <c r="AU178" s="284"/>
      <c r="AV178" s="284"/>
    </row>
    <row r="179" spans="1:48" customFormat="1">
      <c r="A179" s="358" t="s">
        <v>431</v>
      </c>
      <c r="B179" s="110" t="s">
        <v>432</v>
      </c>
      <c r="C179" s="26">
        <v>1</v>
      </c>
      <c r="D179" s="28" t="s">
        <v>90</v>
      </c>
      <c r="E179" s="47">
        <v>191.67</v>
      </c>
      <c r="F179" s="77">
        <f>rv_mbp13_eg_cto</f>
        <v>0.17599999999999999</v>
      </c>
      <c r="G179" s="27">
        <f t="shared" si="22"/>
        <v>157.93608</v>
      </c>
      <c r="H179" s="108"/>
      <c r="I179" s="194"/>
      <c r="J179" s="194"/>
      <c r="K179" s="99"/>
      <c r="L179" s="269"/>
      <c r="M179" s="1045" t="s">
        <v>428</v>
      </c>
      <c r="N179" s="1047" t="s">
        <v>94</v>
      </c>
      <c r="O179" s="1066" t="s">
        <v>429</v>
      </c>
      <c r="P179" s="1" t="str">
        <f t="shared" si="21"/>
        <v/>
      </c>
      <c r="Q179" s="1" t="str">
        <f t="shared" si="21"/>
        <v/>
      </c>
      <c r="R179" s="1" t="str">
        <f t="shared" si="21"/>
        <v/>
      </c>
      <c r="S179" s="1" t="str">
        <f t="shared" si="21"/>
        <v/>
      </c>
      <c r="T179" s="358" t="s">
        <v>431</v>
      </c>
      <c r="U179" s="110" t="s">
        <v>432</v>
      </c>
      <c r="V179" s="26">
        <v>1</v>
      </c>
      <c r="W179" s="28" t="s">
        <v>90</v>
      </c>
      <c r="X179" s="205"/>
      <c r="Y179" s="47">
        <v>191.67</v>
      </c>
      <c r="Z179" s="77">
        <v>0.17599999999999999</v>
      </c>
      <c r="AA179" s="27">
        <v>157.93608</v>
      </c>
      <c r="AB179" s="108"/>
      <c r="AC179" s="194"/>
      <c r="AD179" s="194"/>
      <c r="AE179" s="99" t="s">
        <v>92</v>
      </c>
      <c r="AF179" s="269" t="s">
        <v>92</v>
      </c>
      <c r="AG179" s="41" t="s">
        <v>428</v>
      </c>
      <c r="AH179" s="174" t="s">
        <v>94</v>
      </c>
      <c r="AI179" s="174" t="s">
        <v>429</v>
      </c>
      <c r="AJ179" s="1" t="s">
        <v>98</v>
      </c>
      <c r="AK179" s="1" t="s">
        <v>98</v>
      </c>
      <c r="AL179" s="1" t="s">
        <v>98</v>
      </c>
      <c r="AM179" s="1" t="s">
        <v>98</v>
      </c>
      <c r="AN179" s="287"/>
      <c r="AO179" s="284"/>
      <c r="AP179" s="284"/>
      <c r="AQ179" s="284"/>
      <c r="AR179" s="284"/>
      <c r="AS179" s="284"/>
      <c r="AT179" s="284"/>
      <c r="AU179" s="284"/>
      <c r="AV179" s="284"/>
    </row>
    <row r="180" spans="1:48" customFormat="1">
      <c r="A180" s="358" t="s">
        <v>433</v>
      </c>
      <c r="B180" s="110" t="s">
        <v>434</v>
      </c>
      <c r="C180" s="87">
        <v>1</v>
      </c>
      <c r="D180" s="88" t="s">
        <v>90</v>
      </c>
      <c r="E180" s="171">
        <v>383.33</v>
      </c>
      <c r="F180" s="89">
        <f>rv_mbp13_eg_cto</f>
        <v>0.17599999999999999</v>
      </c>
      <c r="G180" s="108">
        <f t="shared" si="22"/>
        <v>315.86392000000001</v>
      </c>
      <c r="H180" s="108"/>
      <c r="I180" s="194"/>
      <c r="J180" s="194"/>
      <c r="K180" s="99"/>
      <c r="L180" s="269"/>
      <c r="M180" s="1045" t="s">
        <v>428</v>
      </c>
      <c r="N180" s="1047" t="s">
        <v>94</v>
      </c>
      <c r="O180" s="1066" t="s">
        <v>429</v>
      </c>
      <c r="P180" s="1" t="str">
        <f t="shared" si="21"/>
        <v/>
      </c>
      <c r="Q180" s="1" t="str">
        <f t="shared" si="21"/>
        <v/>
      </c>
      <c r="R180" s="1" t="str">
        <f t="shared" si="21"/>
        <v/>
      </c>
      <c r="S180" s="1" t="str">
        <f t="shared" si="21"/>
        <v/>
      </c>
      <c r="T180" s="358" t="s">
        <v>433</v>
      </c>
      <c r="U180" s="110" t="s">
        <v>434</v>
      </c>
      <c r="V180" s="87">
        <v>1</v>
      </c>
      <c r="W180" s="88" t="s">
        <v>90</v>
      </c>
      <c r="X180" s="205"/>
      <c r="Y180" s="171">
        <v>383.33</v>
      </c>
      <c r="Z180" s="89">
        <v>0.17599999999999999</v>
      </c>
      <c r="AA180" s="108">
        <v>315.86392000000001</v>
      </c>
      <c r="AB180" s="108"/>
      <c r="AC180" s="194"/>
      <c r="AD180" s="194"/>
      <c r="AE180" s="99" t="s">
        <v>92</v>
      </c>
      <c r="AF180" s="269" t="s">
        <v>92</v>
      </c>
      <c r="AG180" s="41" t="s">
        <v>428</v>
      </c>
      <c r="AH180" s="174" t="s">
        <v>94</v>
      </c>
      <c r="AI180" s="174" t="s">
        <v>429</v>
      </c>
      <c r="AJ180" s="1" t="s">
        <v>98</v>
      </c>
      <c r="AK180" s="1" t="s">
        <v>98</v>
      </c>
      <c r="AL180" s="1" t="s">
        <v>98</v>
      </c>
      <c r="AM180" s="1" t="s">
        <v>98</v>
      </c>
      <c r="AN180" s="287"/>
      <c r="AO180" s="284"/>
      <c r="AP180" s="284"/>
      <c r="AQ180" s="284"/>
      <c r="AR180" s="284"/>
      <c r="AS180" s="284"/>
      <c r="AT180" s="284"/>
      <c r="AU180" s="284"/>
      <c r="AV180" s="284"/>
    </row>
    <row r="181" spans="1:48" customFormat="1">
      <c r="A181" s="358" t="s">
        <v>435</v>
      </c>
      <c r="B181" s="110" t="s">
        <v>436</v>
      </c>
      <c r="C181" s="87">
        <v>1</v>
      </c>
      <c r="D181" s="88" t="s">
        <v>90</v>
      </c>
      <c r="E181" s="171">
        <v>191.67</v>
      </c>
      <c r="F181" s="89">
        <f>rv_mbp13_eg_cto</f>
        <v>0.17599999999999999</v>
      </c>
      <c r="G181" s="108">
        <f t="shared" si="22"/>
        <v>157.93608</v>
      </c>
      <c r="H181" s="108"/>
      <c r="I181" s="194"/>
      <c r="J181" s="194"/>
      <c r="K181" s="99"/>
      <c r="L181" s="269"/>
      <c r="M181" s="1045" t="s">
        <v>428</v>
      </c>
      <c r="N181" s="1047" t="s">
        <v>94</v>
      </c>
      <c r="O181" s="1066" t="s">
        <v>429</v>
      </c>
      <c r="P181" s="1" t="str">
        <f t="shared" si="21"/>
        <v/>
      </c>
      <c r="Q181" s="1" t="str">
        <f t="shared" si="21"/>
        <v/>
      </c>
      <c r="R181" s="1" t="str">
        <f t="shared" si="21"/>
        <v/>
      </c>
      <c r="S181" s="1" t="str">
        <f t="shared" si="21"/>
        <v/>
      </c>
      <c r="T181" s="358" t="s">
        <v>435</v>
      </c>
      <c r="U181" s="110" t="s">
        <v>436</v>
      </c>
      <c r="V181" s="87">
        <v>1</v>
      </c>
      <c r="W181" s="88" t="s">
        <v>90</v>
      </c>
      <c r="X181" s="205"/>
      <c r="Y181" s="171">
        <v>191.67</v>
      </c>
      <c r="Z181" s="89">
        <v>0.17599999999999999</v>
      </c>
      <c r="AA181" s="108">
        <v>157.93608</v>
      </c>
      <c r="AB181" s="108"/>
      <c r="AC181" s="194"/>
      <c r="AD181" s="194"/>
      <c r="AE181" s="99" t="s">
        <v>92</v>
      </c>
      <c r="AF181" s="269" t="s">
        <v>92</v>
      </c>
      <c r="AG181" s="41" t="s">
        <v>428</v>
      </c>
      <c r="AH181" s="174" t="s">
        <v>94</v>
      </c>
      <c r="AI181" s="174" t="s">
        <v>429</v>
      </c>
      <c r="AJ181" s="1" t="s">
        <v>98</v>
      </c>
      <c r="AK181" s="1" t="s">
        <v>98</v>
      </c>
      <c r="AL181" s="1" t="s">
        <v>98</v>
      </c>
      <c r="AM181" s="1" t="s">
        <v>98</v>
      </c>
      <c r="AN181" s="287"/>
      <c r="AO181" s="284"/>
      <c r="AP181" s="284"/>
      <c r="AQ181" s="284"/>
      <c r="AR181" s="284"/>
      <c r="AS181" s="284"/>
      <c r="AT181" s="284"/>
      <c r="AU181" s="284"/>
      <c r="AV181" s="284"/>
    </row>
    <row r="182" spans="1:48" customFormat="1">
      <c r="A182" s="358" t="s">
        <v>437</v>
      </c>
      <c r="B182" s="110" t="s">
        <v>438</v>
      </c>
      <c r="C182" s="87">
        <v>1</v>
      </c>
      <c r="D182" s="88" t="s">
        <v>90</v>
      </c>
      <c r="E182" s="171">
        <v>383.33</v>
      </c>
      <c r="F182" s="77">
        <f>rv_mbp13_eg_cto</f>
        <v>0.17599999999999999</v>
      </c>
      <c r="G182" s="108">
        <f t="shared" si="22"/>
        <v>315.86392000000001</v>
      </c>
      <c r="H182" s="108"/>
      <c r="I182" s="194"/>
      <c r="J182" s="194"/>
      <c r="K182" s="99"/>
      <c r="L182" s="269"/>
      <c r="M182" s="1045" t="s">
        <v>428</v>
      </c>
      <c r="N182" s="1047" t="s">
        <v>94</v>
      </c>
      <c r="O182" s="1066" t="s">
        <v>429</v>
      </c>
      <c r="P182" s="1" t="str">
        <f t="shared" si="21"/>
        <v/>
      </c>
      <c r="Q182" s="1" t="str">
        <f t="shared" si="21"/>
        <v/>
      </c>
      <c r="R182" s="1" t="str">
        <f t="shared" si="21"/>
        <v/>
      </c>
      <c r="S182" s="1" t="str">
        <f t="shared" si="21"/>
        <v/>
      </c>
      <c r="T182" s="358" t="s">
        <v>437</v>
      </c>
      <c r="U182" s="110" t="s">
        <v>438</v>
      </c>
      <c r="V182" s="87">
        <v>1</v>
      </c>
      <c r="W182" s="88" t="s">
        <v>90</v>
      </c>
      <c r="X182" s="205"/>
      <c r="Y182" s="171">
        <v>383.33</v>
      </c>
      <c r="Z182" s="77">
        <v>0.17599999999999999</v>
      </c>
      <c r="AA182" s="108">
        <v>315.86392000000001</v>
      </c>
      <c r="AB182" s="108"/>
      <c r="AC182" s="194"/>
      <c r="AD182" s="194"/>
      <c r="AE182" s="99" t="s">
        <v>92</v>
      </c>
      <c r="AF182" s="269" t="s">
        <v>92</v>
      </c>
      <c r="AG182" s="41" t="s">
        <v>428</v>
      </c>
      <c r="AH182" s="174" t="s">
        <v>94</v>
      </c>
      <c r="AI182" s="174" t="s">
        <v>429</v>
      </c>
      <c r="AJ182" s="1" t="s">
        <v>98</v>
      </c>
      <c r="AK182" s="1" t="s">
        <v>98</v>
      </c>
      <c r="AL182" s="1" t="s">
        <v>98</v>
      </c>
      <c r="AM182" s="1" t="s">
        <v>98</v>
      </c>
      <c r="AN182" s="287"/>
      <c r="AO182" s="284"/>
      <c r="AP182" s="284"/>
      <c r="AQ182" s="284"/>
      <c r="AR182" s="284"/>
      <c r="AS182" s="284"/>
      <c r="AT182" s="284"/>
      <c r="AU182" s="284"/>
      <c r="AV182" s="284"/>
    </row>
    <row r="183" spans="1:48" customFormat="1">
      <c r="A183" s="358" t="s">
        <v>439</v>
      </c>
      <c r="B183" s="110" t="s">
        <v>440</v>
      </c>
      <c r="C183" s="87">
        <v>1</v>
      </c>
      <c r="D183" s="88" t="s">
        <v>90</v>
      </c>
      <c r="E183" s="171">
        <v>766.67</v>
      </c>
      <c r="F183" s="77">
        <f>rv_mbp13_eg_cto</f>
        <v>0.17599999999999999</v>
      </c>
      <c r="G183" s="108">
        <f t="shared" si="22"/>
        <v>631.73608000000002</v>
      </c>
      <c r="H183" s="108"/>
      <c r="I183" s="194"/>
      <c r="J183" s="194"/>
      <c r="K183" s="99"/>
      <c r="L183" s="269"/>
      <c r="M183" s="1045" t="s">
        <v>428</v>
      </c>
      <c r="N183" s="1047" t="s">
        <v>94</v>
      </c>
      <c r="O183" s="1066" t="s">
        <v>429</v>
      </c>
      <c r="P183" s="1" t="str">
        <f t="shared" si="21"/>
        <v/>
      </c>
      <c r="Q183" s="1" t="str">
        <f t="shared" si="21"/>
        <v/>
      </c>
      <c r="R183" s="1" t="str">
        <f t="shared" si="21"/>
        <v/>
      </c>
      <c r="S183" s="1" t="str">
        <f t="shared" si="21"/>
        <v/>
      </c>
      <c r="T183" s="358" t="s">
        <v>439</v>
      </c>
      <c r="U183" s="110" t="s">
        <v>440</v>
      </c>
      <c r="V183" s="87">
        <v>1</v>
      </c>
      <c r="W183" s="88" t="s">
        <v>90</v>
      </c>
      <c r="X183" s="205"/>
      <c r="Y183" s="171">
        <v>766.67</v>
      </c>
      <c r="Z183" s="77">
        <v>0.17599999999999999</v>
      </c>
      <c r="AA183" s="108">
        <v>631.73608000000002</v>
      </c>
      <c r="AB183" s="108"/>
      <c r="AC183" s="194"/>
      <c r="AD183" s="194"/>
      <c r="AE183" s="99" t="s">
        <v>92</v>
      </c>
      <c r="AF183" s="269" t="s">
        <v>92</v>
      </c>
      <c r="AG183" s="41" t="s">
        <v>428</v>
      </c>
      <c r="AH183" s="174" t="s">
        <v>94</v>
      </c>
      <c r="AI183" s="174" t="s">
        <v>429</v>
      </c>
      <c r="AJ183" s="1" t="s">
        <v>98</v>
      </c>
      <c r="AK183" s="1" t="s">
        <v>98</v>
      </c>
      <c r="AL183" s="1" t="s">
        <v>98</v>
      </c>
      <c r="AM183" s="1" t="s">
        <v>98</v>
      </c>
      <c r="AN183" s="287"/>
      <c r="AO183" s="284"/>
      <c r="AP183" s="284"/>
      <c r="AQ183" s="284"/>
      <c r="AR183" s="284"/>
      <c r="AS183" s="284"/>
      <c r="AT183" s="284"/>
      <c r="AU183" s="284"/>
      <c r="AV183" s="284"/>
    </row>
    <row r="184" spans="1:48" customFormat="1">
      <c r="A184" s="358" t="s">
        <v>441</v>
      </c>
      <c r="B184" s="110" t="s">
        <v>442</v>
      </c>
      <c r="C184" s="26">
        <v>1</v>
      </c>
      <c r="D184" s="27" t="s">
        <v>90</v>
      </c>
      <c r="E184" s="171">
        <v>0</v>
      </c>
      <c r="F184" s="21"/>
      <c r="G184" s="27">
        <v>0</v>
      </c>
      <c r="H184" s="27"/>
      <c r="I184" s="91"/>
      <c r="J184" s="91"/>
      <c r="K184" s="121"/>
      <c r="L184" s="76"/>
      <c r="M184" s="1045" t="s">
        <v>428</v>
      </c>
      <c r="N184" s="1047" t="s">
        <v>94</v>
      </c>
      <c r="O184" s="1066" t="s">
        <v>429</v>
      </c>
      <c r="P184" s="1" t="str">
        <f t="shared" si="21"/>
        <v/>
      </c>
      <c r="Q184" s="1" t="str">
        <f t="shared" si="21"/>
        <v/>
      </c>
      <c r="R184" s="1" t="str">
        <f t="shared" si="21"/>
        <v/>
      </c>
      <c r="S184" s="1" t="str">
        <f t="shared" si="21"/>
        <v/>
      </c>
      <c r="T184" s="358" t="s">
        <v>441</v>
      </c>
      <c r="U184" s="110" t="s">
        <v>442</v>
      </c>
      <c r="V184" s="26">
        <v>1</v>
      </c>
      <c r="W184" s="27" t="s">
        <v>90</v>
      </c>
      <c r="X184" s="435"/>
      <c r="Y184" s="171">
        <v>0</v>
      </c>
      <c r="Z184" s="21"/>
      <c r="AA184" s="27">
        <v>0</v>
      </c>
      <c r="AB184" s="27"/>
      <c r="AC184" s="91"/>
      <c r="AD184" s="91"/>
      <c r="AE184" s="121" t="s">
        <v>92</v>
      </c>
      <c r="AF184" s="76" t="s">
        <v>92</v>
      </c>
      <c r="AG184" s="41" t="s">
        <v>428</v>
      </c>
      <c r="AH184" s="174" t="s">
        <v>94</v>
      </c>
      <c r="AI184" s="174" t="s">
        <v>429</v>
      </c>
      <c r="AJ184" s="1" t="s">
        <v>98</v>
      </c>
      <c r="AK184" s="1" t="s">
        <v>98</v>
      </c>
      <c r="AL184" s="1" t="s">
        <v>98</v>
      </c>
      <c r="AM184" s="1" t="s">
        <v>98</v>
      </c>
      <c r="AN184" s="287"/>
      <c r="AO184" s="284"/>
      <c r="AP184" s="284"/>
      <c r="AQ184" s="284"/>
      <c r="AR184" s="284"/>
      <c r="AS184" s="284"/>
      <c r="AT184" s="284"/>
      <c r="AU184" s="284"/>
      <c r="AV184" s="284"/>
    </row>
    <row r="185" spans="1:48" customFormat="1">
      <c r="A185" s="358" t="s">
        <v>443</v>
      </c>
      <c r="B185" s="110" t="s">
        <v>444</v>
      </c>
      <c r="C185" s="26">
        <v>1</v>
      </c>
      <c r="D185" s="27" t="s">
        <v>90</v>
      </c>
      <c r="E185" s="171">
        <v>0</v>
      </c>
      <c r="F185" s="21"/>
      <c r="G185" s="27">
        <v>0</v>
      </c>
      <c r="H185" s="120"/>
      <c r="I185" s="91"/>
      <c r="J185" s="91"/>
      <c r="K185" s="121"/>
      <c r="L185" s="76"/>
      <c r="M185" s="1045" t="s">
        <v>428</v>
      </c>
      <c r="N185" s="1047" t="s">
        <v>94</v>
      </c>
      <c r="O185" s="1066" t="s">
        <v>429</v>
      </c>
      <c r="P185" s="1" t="str">
        <f t="shared" si="21"/>
        <v/>
      </c>
      <c r="Q185" s="1" t="str">
        <f t="shared" si="21"/>
        <v/>
      </c>
      <c r="R185" s="1" t="str">
        <f t="shared" si="21"/>
        <v/>
      </c>
      <c r="S185" s="1" t="str">
        <f t="shared" si="21"/>
        <v/>
      </c>
      <c r="T185" s="358" t="s">
        <v>443</v>
      </c>
      <c r="U185" s="110" t="s">
        <v>444</v>
      </c>
      <c r="V185" s="26">
        <v>1</v>
      </c>
      <c r="W185" s="27" t="s">
        <v>90</v>
      </c>
      <c r="X185" s="435"/>
      <c r="Y185" s="171">
        <v>0</v>
      </c>
      <c r="Z185" s="21"/>
      <c r="AA185" s="27">
        <v>0</v>
      </c>
      <c r="AB185" s="120"/>
      <c r="AC185" s="91"/>
      <c r="AD185" s="91"/>
      <c r="AE185" s="121" t="s">
        <v>92</v>
      </c>
      <c r="AF185" s="76" t="s">
        <v>92</v>
      </c>
      <c r="AG185" s="41" t="s">
        <v>428</v>
      </c>
      <c r="AH185" s="174" t="s">
        <v>94</v>
      </c>
      <c r="AI185" s="174" t="s">
        <v>429</v>
      </c>
      <c r="AJ185" s="1" t="s">
        <v>98</v>
      </c>
      <c r="AK185" s="1" t="s">
        <v>98</v>
      </c>
      <c r="AL185" s="1" t="s">
        <v>98</v>
      </c>
      <c r="AM185" s="1" t="s">
        <v>98</v>
      </c>
      <c r="AN185" s="287"/>
      <c r="AO185" s="284"/>
      <c r="AP185" s="284"/>
      <c r="AQ185" s="284"/>
      <c r="AR185" s="284"/>
      <c r="AS185" s="284"/>
      <c r="AT185" s="284"/>
      <c r="AU185" s="284"/>
      <c r="AV185" s="284"/>
    </row>
    <row r="186" spans="1:48" customFormat="1">
      <c r="A186" s="358"/>
      <c r="B186" s="110"/>
      <c r="C186" s="26"/>
      <c r="D186" s="27"/>
      <c r="E186" s="171"/>
      <c r="F186" s="290"/>
      <c r="G186" s="27"/>
      <c r="H186" s="403"/>
      <c r="I186" s="613"/>
      <c r="J186" s="613"/>
      <c r="K186" s="285"/>
      <c r="L186" s="403"/>
      <c r="M186" s="1045"/>
      <c r="N186" s="1047"/>
      <c r="O186" s="1066"/>
      <c r="P186" s="1"/>
      <c r="Q186" s="1"/>
      <c r="R186" s="1"/>
      <c r="S186" s="1"/>
      <c r="T186" s="358" t="s">
        <v>445</v>
      </c>
      <c r="U186" s="110" t="s">
        <v>446</v>
      </c>
      <c r="V186" s="26">
        <v>1</v>
      </c>
      <c r="W186" s="27" t="s">
        <v>90</v>
      </c>
      <c r="X186" s="436"/>
      <c r="Y186" s="171">
        <v>0</v>
      </c>
      <c r="Z186" s="290"/>
      <c r="AA186" s="27">
        <v>0</v>
      </c>
      <c r="AB186" s="403"/>
      <c r="AC186" s="613"/>
      <c r="AD186" s="613"/>
      <c r="AE186" s="285"/>
      <c r="AF186" s="403"/>
      <c r="AG186" s="41" t="s">
        <v>428</v>
      </c>
      <c r="AH186" s="174" t="s">
        <v>94</v>
      </c>
      <c r="AI186" s="174" t="s">
        <v>429</v>
      </c>
      <c r="AJ186" s="1" t="s">
        <v>98</v>
      </c>
      <c r="AK186" s="1" t="s">
        <v>98</v>
      </c>
      <c r="AL186" s="1" t="s">
        <v>98</v>
      </c>
      <c r="AM186" s="1" t="s">
        <v>98</v>
      </c>
      <c r="AN186" s="287"/>
      <c r="AO186" s="284"/>
      <c r="AP186" s="284"/>
      <c r="AQ186" s="284"/>
      <c r="AR186" s="284"/>
      <c r="AS186" s="284"/>
      <c r="AT186" s="284"/>
      <c r="AU186" s="284"/>
      <c r="AV186" s="284"/>
    </row>
    <row r="187" spans="1:48" customFormat="1">
      <c r="A187" s="358" t="s">
        <v>447</v>
      </c>
      <c r="B187" s="110" t="s">
        <v>448</v>
      </c>
      <c r="C187" s="26">
        <v>1</v>
      </c>
      <c r="D187" s="27" t="s">
        <v>90</v>
      </c>
      <c r="E187" s="171">
        <v>0</v>
      </c>
      <c r="F187" s="290"/>
      <c r="G187" s="27">
        <v>0</v>
      </c>
      <c r="H187" s="403"/>
      <c r="I187" s="613"/>
      <c r="J187" s="613"/>
      <c r="K187" s="285"/>
      <c r="L187" s="403"/>
      <c r="M187" s="1045" t="s">
        <v>428</v>
      </c>
      <c r="N187" s="1047" t="s">
        <v>94</v>
      </c>
      <c r="O187" s="1066" t="s">
        <v>429</v>
      </c>
      <c r="P187" s="1" t="str">
        <f t="shared" ref="P187:S206" si="23">+IF($J187&lt;&gt;"",P$2*$J187,"")</f>
        <v/>
      </c>
      <c r="Q187" s="1" t="str">
        <f t="shared" si="23"/>
        <v/>
      </c>
      <c r="R187" s="1" t="str">
        <f t="shared" si="23"/>
        <v/>
      </c>
      <c r="S187" s="1" t="str">
        <f t="shared" si="23"/>
        <v/>
      </c>
      <c r="T187" s="358" t="s">
        <v>447</v>
      </c>
      <c r="U187" s="110" t="s">
        <v>448</v>
      </c>
      <c r="V187" s="26">
        <v>1</v>
      </c>
      <c r="W187" s="27" t="s">
        <v>90</v>
      </c>
      <c r="X187" s="436"/>
      <c r="Y187" s="171">
        <v>0</v>
      </c>
      <c r="Z187" s="290"/>
      <c r="AA187" s="27">
        <v>0</v>
      </c>
      <c r="AB187" s="403"/>
      <c r="AC187" s="613"/>
      <c r="AD187" s="613"/>
      <c r="AE187" s="285"/>
      <c r="AF187" s="403"/>
      <c r="AG187" s="41" t="s">
        <v>428</v>
      </c>
      <c r="AH187" s="174" t="s">
        <v>94</v>
      </c>
      <c r="AI187" s="174" t="s">
        <v>429</v>
      </c>
      <c r="AJ187" s="1" t="s">
        <v>98</v>
      </c>
      <c r="AK187" s="1" t="s">
        <v>98</v>
      </c>
      <c r="AL187" s="1" t="s">
        <v>98</v>
      </c>
      <c r="AM187" s="1" t="s">
        <v>98</v>
      </c>
      <c r="AN187" s="287"/>
      <c r="AO187" s="284"/>
      <c r="AP187" s="284"/>
      <c r="AQ187" s="284"/>
      <c r="AR187" s="284"/>
      <c r="AS187" s="284"/>
      <c r="AT187" s="284"/>
      <c r="AU187" s="284"/>
      <c r="AV187" s="284"/>
    </row>
    <row r="188" spans="1:48" customFormat="1">
      <c r="A188" s="358"/>
      <c r="B188" s="110"/>
      <c r="C188" s="26"/>
      <c r="D188" s="27"/>
      <c r="E188" s="171"/>
      <c r="F188" s="290"/>
      <c r="G188" s="27"/>
      <c r="H188" s="403"/>
      <c r="I188" s="613"/>
      <c r="J188" s="613"/>
      <c r="K188" s="285"/>
      <c r="L188" s="403"/>
      <c r="M188" s="1045"/>
      <c r="N188" s="1047"/>
      <c r="O188" s="1066"/>
      <c r="P188" s="1"/>
      <c r="Q188" s="1"/>
      <c r="R188" s="1"/>
      <c r="S188" s="1"/>
      <c r="T188" s="358" t="s">
        <v>449</v>
      </c>
      <c r="U188" s="110" t="s">
        <v>450</v>
      </c>
      <c r="V188" s="26">
        <v>1</v>
      </c>
      <c r="W188" s="27" t="s">
        <v>90</v>
      </c>
      <c r="X188" s="436"/>
      <c r="Y188" s="171">
        <v>0</v>
      </c>
      <c r="Z188" s="290"/>
      <c r="AA188" s="27">
        <v>0</v>
      </c>
      <c r="AB188" s="403"/>
      <c r="AC188" s="613"/>
      <c r="AD188" s="613"/>
      <c r="AE188" s="285"/>
      <c r="AF188" s="403"/>
      <c r="AG188" s="41" t="s">
        <v>428</v>
      </c>
      <c r="AH188" s="174" t="s">
        <v>94</v>
      </c>
      <c r="AI188" s="174" t="s">
        <v>429</v>
      </c>
      <c r="AJ188" s="1" t="s">
        <v>98</v>
      </c>
      <c r="AK188" s="1" t="s">
        <v>98</v>
      </c>
      <c r="AL188" s="1" t="s">
        <v>98</v>
      </c>
      <c r="AM188" s="1" t="s">
        <v>98</v>
      </c>
      <c r="AN188" s="287"/>
      <c r="AO188" s="284"/>
      <c r="AP188" s="284"/>
      <c r="AQ188" s="284"/>
      <c r="AR188" s="284"/>
      <c r="AS188" s="284"/>
      <c r="AT188" s="284"/>
      <c r="AU188" s="284"/>
      <c r="AV188" s="284"/>
    </row>
    <row r="189" spans="1:48" customFormat="1">
      <c r="A189" s="358"/>
      <c r="B189" s="110"/>
      <c r="C189" s="26"/>
      <c r="D189" s="27"/>
      <c r="E189" s="171"/>
      <c r="F189" s="290"/>
      <c r="G189" s="27"/>
      <c r="H189" s="403"/>
      <c r="I189" s="613"/>
      <c r="J189" s="613"/>
      <c r="K189" s="285"/>
      <c r="L189" s="403"/>
      <c r="M189" s="1045"/>
      <c r="N189" s="1047"/>
      <c r="O189" s="1066"/>
      <c r="P189" s="1"/>
      <c r="Q189" s="1"/>
      <c r="R189" s="1"/>
      <c r="S189" s="1"/>
      <c r="T189" s="358" t="s">
        <v>451</v>
      </c>
      <c r="U189" s="110" t="s">
        <v>452</v>
      </c>
      <c r="V189" s="26">
        <v>1</v>
      </c>
      <c r="W189" s="27" t="s">
        <v>90</v>
      </c>
      <c r="X189" s="436"/>
      <c r="Y189" s="171">
        <v>0</v>
      </c>
      <c r="Z189" s="290"/>
      <c r="AA189" s="27">
        <v>0</v>
      </c>
      <c r="AB189" s="403"/>
      <c r="AC189" s="613"/>
      <c r="AD189" s="613"/>
      <c r="AE189" s="285"/>
      <c r="AF189" s="403"/>
      <c r="AG189" s="41" t="s">
        <v>428</v>
      </c>
      <c r="AH189" s="174" t="s">
        <v>94</v>
      </c>
      <c r="AI189" s="174" t="s">
        <v>429</v>
      </c>
      <c r="AJ189" s="1" t="s">
        <v>98</v>
      </c>
      <c r="AK189" s="1" t="s">
        <v>98</v>
      </c>
      <c r="AL189" s="1" t="s">
        <v>98</v>
      </c>
      <c r="AM189" s="1" t="s">
        <v>98</v>
      </c>
      <c r="AN189" s="287"/>
      <c r="AO189" s="284"/>
      <c r="AP189" s="284"/>
      <c r="AQ189" s="284"/>
      <c r="AR189" s="284"/>
      <c r="AS189" s="284"/>
      <c r="AT189" s="284"/>
      <c r="AU189" s="284"/>
      <c r="AV189" s="284"/>
    </row>
    <row r="190" spans="1:48" customFormat="1">
      <c r="A190" s="358"/>
      <c r="B190" s="110"/>
      <c r="C190" s="26"/>
      <c r="D190" s="27"/>
      <c r="E190" s="171"/>
      <c r="F190" s="290"/>
      <c r="G190" s="27"/>
      <c r="H190" s="403"/>
      <c r="I190" s="613"/>
      <c r="J190" s="613"/>
      <c r="K190" s="285"/>
      <c r="L190" s="403"/>
      <c r="M190" s="1045"/>
      <c r="N190" s="1047"/>
      <c r="O190" s="1066"/>
      <c r="P190" s="1"/>
      <c r="Q190" s="1"/>
      <c r="R190" s="1"/>
      <c r="S190" s="1"/>
      <c r="T190" s="358" t="s">
        <v>453</v>
      </c>
      <c r="U190" s="110" t="s">
        <v>454</v>
      </c>
      <c r="V190" s="26">
        <v>1</v>
      </c>
      <c r="W190" s="27" t="s">
        <v>90</v>
      </c>
      <c r="X190" s="436"/>
      <c r="Y190" s="171">
        <v>0</v>
      </c>
      <c r="Z190" s="290"/>
      <c r="AA190" s="27">
        <v>0</v>
      </c>
      <c r="AB190" s="403"/>
      <c r="AC190" s="613"/>
      <c r="AD190" s="613"/>
      <c r="AE190" s="285"/>
      <c r="AF190" s="403"/>
      <c r="AG190" s="41" t="s">
        <v>428</v>
      </c>
      <c r="AH190" s="174" t="s">
        <v>94</v>
      </c>
      <c r="AI190" s="174" t="s">
        <v>429</v>
      </c>
      <c r="AJ190" s="1" t="s">
        <v>98</v>
      </c>
      <c r="AK190" s="1" t="s">
        <v>98</v>
      </c>
      <c r="AL190" s="1" t="s">
        <v>98</v>
      </c>
      <c r="AM190" s="1" t="s">
        <v>98</v>
      </c>
      <c r="AN190" s="287"/>
      <c r="AO190" s="284"/>
      <c r="AP190" s="284"/>
      <c r="AQ190" s="284"/>
      <c r="AR190" s="284"/>
      <c r="AS190" s="284"/>
      <c r="AT190" s="284"/>
      <c r="AU190" s="284"/>
      <c r="AV190" s="284"/>
    </row>
    <row r="191" spans="1:48" customFormat="1">
      <c r="A191" s="387" t="s">
        <v>455</v>
      </c>
      <c r="B191" s="70" t="s">
        <v>456</v>
      </c>
      <c r="C191" s="71">
        <v>1</v>
      </c>
      <c r="D191" s="111" t="s">
        <v>90</v>
      </c>
      <c r="E191" s="85">
        <v>1332.2</v>
      </c>
      <c r="F191" s="103">
        <f>rv_mbp13_eg</f>
        <v>0.17599999999999999</v>
      </c>
      <c r="G191" s="111">
        <f t="shared" ref="G191:G196" si="24">E191-(E191*F191)</f>
        <v>1097.7328</v>
      </c>
      <c r="H191" s="71" t="s">
        <v>427</v>
      </c>
      <c r="I191" s="91" cm="1">
        <f t="array" ref="I191">mbp13_5pl</f>
        <v>48</v>
      </c>
      <c r="J191" s="91">
        <f>G191+I191</f>
        <v>1145.7328</v>
      </c>
      <c r="K191" s="75" t="s">
        <v>92</v>
      </c>
      <c r="L191" s="91">
        <v>0.3</v>
      </c>
      <c r="M191" s="1045" t="s">
        <v>428</v>
      </c>
      <c r="N191" s="1047" t="s">
        <v>94</v>
      </c>
      <c r="O191" s="1066" t="s">
        <v>429</v>
      </c>
      <c r="P191" s="1">
        <f t="shared" si="23"/>
        <v>230.64603469447397</v>
      </c>
      <c r="Q191" s="1">
        <f t="shared" si="23"/>
        <v>119.86823392675272</v>
      </c>
      <c r="R191" s="1">
        <f t="shared" si="23"/>
        <v>87.05672998012858</v>
      </c>
      <c r="S191" s="1">
        <f t="shared" si="23"/>
        <v>75.12441956733484</v>
      </c>
      <c r="T191" s="387" t="s">
        <v>455</v>
      </c>
      <c r="U191" s="70" t="s">
        <v>456</v>
      </c>
      <c r="V191" s="71">
        <v>1</v>
      </c>
      <c r="W191" s="111" t="s">
        <v>90</v>
      </c>
      <c r="X191" s="101" t="s">
        <v>455</v>
      </c>
      <c r="Y191" s="85">
        <v>1332.2</v>
      </c>
      <c r="Z191" s="103">
        <v>0.17599999999999999</v>
      </c>
      <c r="AA191" s="111">
        <v>1097.7328</v>
      </c>
      <c r="AB191" s="71" t="s">
        <v>427</v>
      </c>
      <c r="AC191" s="91">
        <v>48</v>
      </c>
      <c r="AD191" s="91">
        <v>1145.7328</v>
      </c>
      <c r="AE191" s="75" t="s">
        <v>92</v>
      </c>
      <c r="AF191" s="91">
        <v>0.3</v>
      </c>
      <c r="AG191" s="41" t="s">
        <v>428</v>
      </c>
      <c r="AH191" s="174" t="s">
        <v>94</v>
      </c>
      <c r="AI191" s="174" t="s">
        <v>429</v>
      </c>
      <c r="AJ191" s="1">
        <v>230.64603469447397</v>
      </c>
      <c r="AK191" s="1">
        <v>119.86823392675272</v>
      </c>
      <c r="AL191" s="1">
        <v>87.05672998012858</v>
      </c>
      <c r="AM191" s="1">
        <v>75.12441956733484</v>
      </c>
      <c r="AN191" s="287"/>
      <c r="AO191" s="284"/>
      <c r="AP191" s="284"/>
      <c r="AQ191" s="284"/>
      <c r="AR191" s="284"/>
      <c r="AS191" s="284"/>
      <c r="AT191" s="284"/>
      <c r="AU191" s="284"/>
      <c r="AV191" s="284"/>
    </row>
    <row r="192" spans="1:48" customFormat="1">
      <c r="A192" s="358" t="s">
        <v>431</v>
      </c>
      <c r="B192" s="110" t="s">
        <v>432</v>
      </c>
      <c r="C192" s="26">
        <v>1</v>
      </c>
      <c r="D192" s="28" t="s">
        <v>90</v>
      </c>
      <c r="E192" s="47">
        <v>191.67</v>
      </c>
      <c r="F192" s="77">
        <f>rv_mbp13_eg_cto</f>
        <v>0.17599999999999999</v>
      </c>
      <c r="G192" s="27">
        <f t="shared" si="24"/>
        <v>157.93608</v>
      </c>
      <c r="H192" s="108"/>
      <c r="I192" s="194"/>
      <c r="J192" s="194"/>
      <c r="K192" s="99"/>
      <c r="L192" s="269"/>
      <c r="M192" s="1045" t="s">
        <v>428</v>
      </c>
      <c r="N192" s="1047" t="s">
        <v>94</v>
      </c>
      <c r="O192" s="1066" t="s">
        <v>429</v>
      </c>
      <c r="P192" s="1" t="str">
        <f t="shared" si="23"/>
        <v/>
      </c>
      <c r="Q192" s="1" t="str">
        <f t="shared" si="23"/>
        <v/>
      </c>
      <c r="R192" s="1" t="str">
        <f t="shared" si="23"/>
        <v/>
      </c>
      <c r="S192" s="1" t="str">
        <f t="shared" si="23"/>
        <v/>
      </c>
      <c r="T192" s="358" t="s">
        <v>431</v>
      </c>
      <c r="U192" s="110" t="s">
        <v>432</v>
      </c>
      <c r="V192" s="26">
        <v>1</v>
      </c>
      <c r="W192" s="28" t="s">
        <v>90</v>
      </c>
      <c r="X192" s="205"/>
      <c r="Y192" s="47">
        <v>191.67</v>
      </c>
      <c r="Z192" s="77">
        <v>0.17599999999999999</v>
      </c>
      <c r="AA192" s="27">
        <v>157.93608</v>
      </c>
      <c r="AB192" s="108"/>
      <c r="AC192" s="194"/>
      <c r="AD192" s="194"/>
      <c r="AE192" s="99" t="s">
        <v>92</v>
      </c>
      <c r="AF192" s="269" t="s">
        <v>92</v>
      </c>
      <c r="AG192" s="41" t="s">
        <v>428</v>
      </c>
      <c r="AH192" s="174" t="s">
        <v>94</v>
      </c>
      <c r="AI192" s="174" t="s">
        <v>429</v>
      </c>
      <c r="AJ192" s="1" t="s">
        <v>98</v>
      </c>
      <c r="AK192" s="1" t="s">
        <v>98</v>
      </c>
      <c r="AL192" s="1" t="s">
        <v>98</v>
      </c>
      <c r="AM192" s="1" t="s">
        <v>98</v>
      </c>
      <c r="AN192" s="287"/>
      <c r="AO192" s="284"/>
      <c r="AP192" s="284"/>
      <c r="AQ192" s="284"/>
      <c r="AR192" s="284"/>
      <c r="AS192" s="284"/>
      <c r="AT192" s="284"/>
      <c r="AU192" s="284"/>
      <c r="AV192" s="284"/>
    </row>
    <row r="193" spans="1:48" customFormat="1">
      <c r="A193" s="358" t="s">
        <v>433</v>
      </c>
      <c r="B193" s="110" t="s">
        <v>434</v>
      </c>
      <c r="C193" s="87">
        <v>1</v>
      </c>
      <c r="D193" s="88" t="s">
        <v>90</v>
      </c>
      <c r="E193" s="171">
        <v>383.33</v>
      </c>
      <c r="F193" s="89">
        <f>rv_mbp13_eg_cto</f>
        <v>0.17599999999999999</v>
      </c>
      <c r="G193" s="108">
        <f t="shared" si="24"/>
        <v>315.86392000000001</v>
      </c>
      <c r="H193" s="108"/>
      <c r="I193" s="194"/>
      <c r="J193" s="194"/>
      <c r="K193" s="99"/>
      <c r="L193" s="269"/>
      <c r="M193" s="1045" t="s">
        <v>428</v>
      </c>
      <c r="N193" s="1047" t="s">
        <v>94</v>
      </c>
      <c r="O193" s="1066" t="s">
        <v>429</v>
      </c>
      <c r="P193" s="1" t="str">
        <f t="shared" si="23"/>
        <v/>
      </c>
      <c r="Q193" s="1" t="str">
        <f t="shared" si="23"/>
        <v/>
      </c>
      <c r="R193" s="1" t="str">
        <f t="shared" si="23"/>
        <v/>
      </c>
      <c r="S193" s="1" t="str">
        <f t="shared" si="23"/>
        <v/>
      </c>
      <c r="T193" s="358" t="s">
        <v>433</v>
      </c>
      <c r="U193" s="110" t="s">
        <v>434</v>
      </c>
      <c r="V193" s="87">
        <v>1</v>
      </c>
      <c r="W193" s="88" t="s">
        <v>90</v>
      </c>
      <c r="X193" s="205"/>
      <c r="Y193" s="171">
        <v>383.33</v>
      </c>
      <c r="Z193" s="89">
        <v>0.17599999999999999</v>
      </c>
      <c r="AA193" s="108">
        <v>315.86392000000001</v>
      </c>
      <c r="AB193" s="108"/>
      <c r="AC193" s="194"/>
      <c r="AD193" s="194"/>
      <c r="AE193" s="99" t="s">
        <v>92</v>
      </c>
      <c r="AF193" s="269" t="s">
        <v>92</v>
      </c>
      <c r="AG193" s="41" t="s">
        <v>428</v>
      </c>
      <c r="AH193" s="174" t="s">
        <v>94</v>
      </c>
      <c r="AI193" s="174" t="s">
        <v>429</v>
      </c>
      <c r="AJ193" s="1" t="s">
        <v>98</v>
      </c>
      <c r="AK193" s="1" t="s">
        <v>98</v>
      </c>
      <c r="AL193" s="1" t="s">
        <v>98</v>
      </c>
      <c r="AM193" s="1" t="s">
        <v>98</v>
      </c>
      <c r="AN193" s="287"/>
      <c r="AO193" s="284"/>
      <c r="AP193" s="284"/>
      <c r="AQ193" s="284"/>
      <c r="AR193" s="284"/>
      <c r="AS193" s="284"/>
      <c r="AT193" s="284"/>
      <c r="AU193" s="284"/>
      <c r="AV193" s="284"/>
    </row>
    <row r="194" spans="1:48" customFormat="1">
      <c r="A194" s="358" t="s">
        <v>435</v>
      </c>
      <c r="B194" s="110" t="s">
        <v>436</v>
      </c>
      <c r="C194" s="87">
        <v>1</v>
      </c>
      <c r="D194" s="88" t="s">
        <v>90</v>
      </c>
      <c r="E194" s="171">
        <v>191.67</v>
      </c>
      <c r="F194" s="89">
        <f>rv_mbp13_eg_cto</f>
        <v>0.17599999999999999</v>
      </c>
      <c r="G194" s="108">
        <f t="shared" si="24"/>
        <v>157.93608</v>
      </c>
      <c r="H194" s="108"/>
      <c r="I194" s="194"/>
      <c r="J194" s="194"/>
      <c r="K194" s="99"/>
      <c r="L194" s="269"/>
      <c r="M194" s="1045" t="s">
        <v>428</v>
      </c>
      <c r="N194" s="1047" t="s">
        <v>94</v>
      </c>
      <c r="O194" s="1066" t="s">
        <v>429</v>
      </c>
      <c r="P194" s="1" t="str">
        <f t="shared" si="23"/>
        <v/>
      </c>
      <c r="Q194" s="1" t="str">
        <f t="shared" si="23"/>
        <v/>
      </c>
      <c r="R194" s="1" t="str">
        <f t="shared" si="23"/>
        <v/>
      </c>
      <c r="S194" s="1" t="str">
        <f t="shared" si="23"/>
        <v/>
      </c>
      <c r="T194" s="358" t="s">
        <v>435</v>
      </c>
      <c r="U194" s="110" t="s">
        <v>436</v>
      </c>
      <c r="V194" s="87">
        <v>1</v>
      </c>
      <c r="W194" s="88" t="s">
        <v>90</v>
      </c>
      <c r="X194" s="205"/>
      <c r="Y194" s="171">
        <v>191.67</v>
      </c>
      <c r="Z194" s="89">
        <v>0.17599999999999999</v>
      </c>
      <c r="AA194" s="108">
        <v>157.93608</v>
      </c>
      <c r="AB194" s="108"/>
      <c r="AC194" s="194"/>
      <c r="AD194" s="194"/>
      <c r="AE194" s="99" t="s">
        <v>92</v>
      </c>
      <c r="AF194" s="269" t="s">
        <v>92</v>
      </c>
      <c r="AG194" s="41" t="s">
        <v>428</v>
      </c>
      <c r="AH194" s="174" t="s">
        <v>94</v>
      </c>
      <c r="AI194" s="174" t="s">
        <v>429</v>
      </c>
      <c r="AJ194" s="1" t="s">
        <v>98</v>
      </c>
      <c r="AK194" s="1" t="s">
        <v>98</v>
      </c>
      <c r="AL194" s="1" t="s">
        <v>98</v>
      </c>
      <c r="AM194" s="1" t="s">
        <v>98</v>
      </c>
      <c r="AN194" s="287"/>
      <c r="AO194" s="284"/>
      <c r="AP194" s="284"/>
      <c r="AQ194" s="284"/>
      <c r="AR194" s="284"/>
      <c r="AS194" s="284"/>
      <c r="AT194" s="284"/>
      <c r="AU194" s="284"/>
      <c r="AV194" s="284"/>
    </row>
    <row r="195" spans="1:48" customFormat="1">
      <c r="A195" s="358" t="s">
        <v>437</v>
      </c>
      <c r="B195" s="110" t="s">
        <v>438</v>
      </c>
      <c r="C195" s="87">
        <v>1</v>
      </c>
      <c r="D195" s="88" t="s">
        <v>90</v>
      </c>
      <c r="E195" s="171">
        <v>383.33</v>
      </c>
      <c r="F195" s="77">
        <f>rv_mbp13_eg_cto</f>
        <v>0.17599999999999999</v>
      </c>
      <c r="G195" s="108">
        <f t="shared" si="24"/>
        <v>315.86392000000001</v>
      </c>
      <c r="H195" s="108"/>
      <c r="I195" s="194"/>
      <c r="J195" s="194"/>
      <c r="K195" s="99"/>
      <c r="L195" s="269"/>
      <c r="M195" s="1045" t="s">
        <v>428</v>
      </c>
      <c r="N195" s="1047" t="s">
        <v>94</v>
      </c>
      <c r="O195" s="1066" t="s">
        <v>429</v>
      </c>
      <c r="P195" s="1" t="str">
        <f t="shared" si="23"/>
        <v/>
      </c>
      <c r="Q195" s="1" t="str">
        <f t="shared" si="23"/>
        <v/>
      </c>
      <c r="R195" s="1" t="str">
        <f t="shared" si="23"/>
        <v/>
      </c>
      <c r="S195" s="1" t="str">
        <f t="shared" si="23"/>
        <v/>
      </c>
      <c r="T195" s="358" t="s">
        <v>437</v>
      </c>
      <c r="U195" s="110" t="s">
        <v>438</v>
      </c>
      <c r="V195" s="87">
        <v>1</v>
      </c>
      <c r="W195" s="88" t="s">
        <v>90</v>
      </c>
      <c r="X195" s="205"/>
      <c r="Y195" s="171">
        <v>383.33</v>
      </c>
      <c r="Z195" s="77">
        <v>0.17599999999999999</v>
      </c>
      <c r="AA195" s="108">
        <v>315.86392000000001</v>
      </c>
      <c r="AB195" s="108"/>
      <c r="AC195" s="194"/>
      <c r="AD195" s="194"/>
      <c r="AE195" s="99" t="s">
        <v>92</v>
      </c>
      <c r="AF195" s="269" t="s">
        <v>92</v>
      </c>
      <c r="AG195" s="41" t="s">
        <v>428</v>
      </c>
      <c r="AH195" s="174" t="s">
        <v>94</v>
      </c>
      <c r="AI195" s="174" t="s">
        <v>429</v>
      </c>
      <c r="AJ195" s="1" t="s">
        <v>98</v>
      </c>
      <c r="AK195" s="1" t="s">
        <v>98</v>
      </c>
      <c r="AL195" s="1" t="s">
        <v>98</v>
      </c>
      <c r="AM195" s="1" t="s">
        <v>98</v>
      </c>
      <c r="AN195" s="287"/>
      <c r="AO195" s="284"/>
      <c r="AP195" s="284"/>
      <c r="AQ195" s="284"/>
      <c r="AR195" s="284"/>
      <c r="AS195" s="284"/>
      <c r="AT195" s="284"/>
      <c r="AU195" s="284"/>
      <c r="AV195" s="284"/>
    </row>
    <row r="196" spans="1:48" customFormat="1">
      <c r="A196" s="358" t="s">
        <v>439</v>
      </c>
      <c r="B196" s="110" t="s">
        <v>440</v>
      </c>
      <c r="C196" s="87">
        <v>1</v>
      </c>
      <c r="D196" s="88" t="s">
        <v>90</v>
      </c>
      <c r="E196" s="171">
        <v>766.67</v>
      </c>
      <c r="F196" s="77">
        <f>rv_mbp13_eg_cto</f>
        <v>0.17599999999999999</v>
      </c>
      <c r="G196" s="108">
        <f t="shared" si="24"/>
        <v>631.73608000000002</v>
      </c>
      <c r="H196" s="108"/>
      <c r="I196" s="194"/>
      <c r="J196" s="194"/>
      <c r="K196" s="99"/>
      <c r="L196" s="269"/>
      <c r="M196" s="1045" t="s">
        <v>428</v>
      </c>
      <c r="N196" s="1047" t="s">
        <v>94</v>
      </c>
      <c r="O196" s="1066" t="s">
        <v>429</v>
      </c>
      <c r="P196" s="1" t="str">
        <f t="shared" si="23"/>
        <v/>
      </c>
      <c r="Q196" s="1" t="str">
        <f t="shared" si="23"/>
        <v/>
      </c>
      <c r="R196" s="1" t="str">
        <f t="shared" si="23"/>
        <v/>
      </c>
      <c r="S196" s="1" t="str">
        <f t="shared" si="23"/>
        <v/>
      </c>
      <c r="T196" s="358" t="s">
        <v>439</v>
      </c>
      <c r="U196" s="110" t="s">
        <v>440</v>
      </c>
      <c r="V196" s="87">
        <v>1</v>
      </c>
      <c r="W196" s="88" t="s">
        <v>90</v>
      </c>
      <c r="X196" s="205"/>
      <c r="Y196" s="171">
        <v>766.67</v>
      </c>
      <c r="Z196" s="77">
        <v>0.17599999999999999</v>
      </c>
      <c r="AA196" s="108">
        <v>631.73608000000002</v>
      </c>
      <c r="AB196" s="108"/>
      <c r="AC196" s="194"/>
      <c r="AD196" s="194"/>
      <c r="AE196" s="99" t="s">
        <v>92</v>
      </c>
      <c r="AF196" s="269" t="s">
        <v>92</v>
      </c>
      <c r="AG196" s="41" t="s">
        <v>428</v>
      </c>
      <c r="AH196" s="174" t="s">
        <v>94</v>
      </c>
      <c r="AI196" s="174" t="s">
        <v>429</v>
      </c>
      <c r="AJ196" s="1" t="s">
        <v>98</v>
      </c>
      <c r="AK196" s="1" t="s">
        <v>98</v>
      </c>
      <c r="AL196" s="1" t="s">
        <v>98</v>
      </c>
      <c r="AM196" s="1" t="s">
        <v>98</v>
      </c>
      <c r="AN196" s="287"/>
      <c r="AO196" s="284"/>
      <c r="AP196" s="284"/>
      <c r="AQ196" s="284"/>
      <c r="AR196" s="284"/>
      <c r="AS196" s="284"/>
      <c r="AT196" s="284"/>
      <c r="AU196" s="284"/>
      <c r="AV196" s="284"/>
    </row>
    <row r="197" spans="1:48" customFormat="1">
      <c r="A197" s="358" t="s">
        <v>441</v>
      </c>
      <c r="B197" s="110" t="s">
        <v>442</v>
      </c>
      <c r="C197" s="26">
        <v>1</v>
      </c>
      <c r="D197" s="27" t="s">
        <v>90</v>
      </c>
      <c r="E197" s="171">
        <v>0</v>
      </c>
      <c r="F197" s="21"/>
      <c r="G197" s="27">
        <v>0</v>
      </c>
      <c r="H197" s="27"/>
      <c r="I197" s="91"/>
      <c r="J197" s="91"/>
      <c r="K197" s="121"/>
      <c r="L197" s="76"/>
      <c r="M197" s="1045" t="s">
        <v>428</v>
      </c>
      <c r="N197" s="1047" t="s">
        <v>94</v>
      </c>
      <c r="O197" s="1066" t="s">
        <v>429</v>
      </c>
      <c r="P197" s="1" t="str">
        <f t="shared" si="23"/>
        <v/>
      </c>
      <c r="Q197" s="1" t="str">
        <f t="shared" si="23"/>
        <v/>
      </c>
      <c r="R197" s="1" t="str">
        <f t="shared" si="23"/>
        <v/>
      </c>
      <c r="S197" s="1" t="str">
        <f t="shared" si="23"/>
        <v/>
      </c>
      <c r="T197" s="358" t="s">
        <v>441</v>
      </c>
      <c r="U197" s="110" t="s">
        <v>442</v>
      </c>
      <c r="V197" s="26">
        <v>1</v>
      </c>
      <c r="W197" s="27" t="s">
        <v>90</v>
      </c>
      <c r="X197" s="435"/>
      <c r="Y197" s="171">
        <v>0</v>
      </c>
      <c r="Z197" s="21"/>
      <c r="AA197" s="27">
        <v>0</v>
      </c>
      <c r="AB197" s="27"/>
      <c r="AC197" s="91"/>
      <c r="AD197" s="91"/>
      <c r="AE197" s="121" t="s">
        <v>92</v>
      </c>
      <c r="AF197" s="76" t="s">
        <v>92</v>
      </c>
      <c r="AG197" s="41" t="s">
        <v>428</v>
      </c>
      <c r="AH197" s="174" t="s">
        <v>94</v>
      </c>
      <c r="AI197" s="174" t="s">
        <v>429</v>
      </c>
      <c r="AJ197" s="1" t="s">
        <v>98</v>
      </c>
      <c r="AK197" s="1" t="s">
        <v>98</v>
      </c>
      <c r="AL197" s="1" t="s">
        <v>98</v>
      </c>
      <c r="AM197" s="1" t="s">
        <v>98</v>
      </c>
      <c r="AN197" s="287"/>
      <c r="AO197" s="284"/>
      <c r="AP197" s="284"/>
      <c r="AQ197" s="284"/>
      <c r="AR197" s="284"/>
      <c r="AS197" s="284"/>
      <c r="AT197" s="284"/>
      <c r="AU197" s="284"/>
      <c r="AV197" s="284"/>
    </row>
    <row r="198" spans="1:48" customFormat="1">
      <c r="A198" s="358" t="s">
        <v>443</v>
      </c>
      <c r="B198" s="110" t="s">
        <v>444</v>
      </c>
      <c r="C198" s="26">
        <v>1</v>
      </c>
      <c r="D198" s="27" t="s">
        <v>90</v>
      </c>
      <c r="E198" s="171">
        <v>0</v>
      </c>
      <c r="F198" s="21"/>
      <c r="G198" s="27">
        <v>0</v>
      </c>
      <c r="H198" s="120"/>
      <c r="I198" s="91"/>
      <c r="J198" s="91"/>
      <c r="K198" s="121"/>
      <c r="L198" s="76"/>
      <c r="M198" s="1045" t="s">
        <v>428</v>
      </c>
      <c r="N198" s="1047" t="s">
        <v>94</v>
      </c>
      <c r="O198" s="1066" t="s">
        <v>429</v>
      </c>
      <c r="P198" s="1" t="str">
        <f t="shared" si="23"/>
        <v/>
      </c>
      <c r="Q198" s="1" t="str">
        <f t="shared" si="23"/>
        <v/>
      </c>
      <c r="R198" s="1" t="str">
        <f t="shared" si="23"/>
        <v/>
      </c>
      <c r="S198" s="1" t="str">
        <f t="shared" si="23"/>
        <v/>
      </c>
      <c r="T198" s="358" t="s">
        <v>443</v>
      </c>
      <c r="U198" s="110" t="s">
        <v>444</v>
      </c>
      <c r="V198" s="26">
        <v>1</v>
      </c>
      <c r="W198" s="27" t="s">
        <v>90</v>
      </c>
      <c r="X198" s="435"/>
      <c r="Y198" s="171">
        <v>0</v>
      </c>
      <c r="Z198" s="21"/>
      <c r="AA198" s="27">
        <v>0</v>
      </c>
      <c r="AB198" s="120"/>
      <c r="AC198" s="91"/>
      <c r="AD198" s="91"/>
      <c r="AE198" s="121" t="s">
        <v>92</v>
      </c>
      <c r="AF198" s="76" t="s">
        <v>92</v>
      </c>
      <c r="AG198" s="41" t="s">
        <v>428</v>
      </c>
      <c r="AH198" s="174" t="s">
        <v>94</v>
      </c>
      <c r="AI198" s="174" t="s">
        <v>429</v>
      </c>
      <c r="AJ198" s="1" t="s">
        <v>98</v>
      </c>
      <c r="AK198" s="1" t="s">
        <v>98</v>
      </c>
      <c r="AL198" s="1" t="s">
        <v>98</v>
      </c>
      <c r="AM198" s="1" t="s">
        <v>98</v>
      </c>
      <c r="AN198" s="287"/>
      <c r="AO198" s="284"/>
      <c r="AP198" s="284"/>
      <c r="AQ198" s="284"/>
      <c r="AR198" s="284"/>
      <c r="AS198" s="284"/>
      <c r="AT198" s="284"/>
      <c r="AU198" s="284"/>
      <c r="AV198" s="284"/>
    </row>
    <row r="199" spans="1:48" customFormat="1">
      <c r="A199" s="358"/>
      <c r="B199" s="110"/>
      <c r="C199" s="26"/>
      <c r="D199" s="27"/>
      <c r="E199" s="171"/>
      <c r="F199" s="290"/>
      <c r="G199" s="27"/>
      <c r="H199" s="403"/>
      <c r="I199" s="613"/>
      <c r="J199" s="613"/>
      <c r="K199" s="285"/>
      <c r="L199" s="403"/>
      <c r="M199" s="1045"/>
      <c r="N199" s="1047"/>
      <c r="O199" s="1066"/>
      <c r="P199" s="1"/>
      <c r="Q199" s="1"/>
      <c r="R199" s="1"/>
      <c r="S199" s="1"/>
      <c r="T199" s="358" t="s">
        <v>445</v>
      </c>
      <c r="U199" s="110" t="s">
        <v>446</v>
      </c>
      <c r="V199" s="26">
        <v>1</v>
      </c>
      <c r="W199" s="27" t="s">
        <v>90</v>
      </c>
      <c r="X199" s="436"/>
      <c r="Y199" s="171">
        <v>0</v>
      </c>
      <c r="Z199" s="290"/>
      <c r="AA199" s="27">
        <v>0</v>
      </c>
      <c r="AB199" s="403"/>
      <c r="AC199" s="613"/>
      <c r="AD199" s="613"/>
      <c r="AE199" s="285"/>
      <c r="AF199" s="403"/>
      <c r="AG199" s="41" t="s">
        <v>428</v>
      </c>
      <c r="AH199" s="174" t="s">
        <v>94</v>
      </c>
      <c r="AI199" s="174" t="s">
        <v>429</v>
      </c>
      <c r="AJ199" s="1" t="s">
        <v>98</v>
      </c>
      <c r="AK199" s="1" t="s">
        <v>98</v>
      </c>
      <c r="AL199" s="1" t="s">
        <v>98</v>
      </c>
      <c r="AM199" s="1" t="s">
        <v>98</v>
      </c>
      <c r="AN199" s="287"/>
      <c r="AO199" s="284"/>
      <c r="AP199" s="284"/>
      <c r="AQ199" s="284"/>
      <c r="AR199" s="284"/>
      <c r="AS199" s="284"/>
      <c r="AT199" s="284"/>
      <c r="AU199" s="284"/>
      <c r="AV199" s="284"/>
    </row>
    <row r="200" spans="1:48" customFormat="1">
      <c r="A200" s="358" t="s">
        <v>447</v>
      </c>
      <c r="B200" s="110" t="s">
        <v>448</v>
      </c>
      <c r="C200" s="26">
        <v>1</v>
      </c>
      <c r="D200" s="27" t="s">
        <v>90</v>
      </c>
      <c r="E200" s="171">
        <v>0</v>
      </c>
      <c r="F200" s="290"/>
      <c r="G200" s="27">
        <v>0</v>
      </c>
      <c r="H200" s="403"/>
      <c r="I200" s="613"/>
      <c r="J200" s="613"/>
      <c r="K200" s="285"/>
      <c r="L200" s="403"/>
      <c r="M200" s="1045" t="s">
        <v>428</v>
      </c>
      <c r="N200" s="1047" t="s">
        <v>94</v>
      </c>
      <c r="O200" s="1066" t="s">
        <v>429</v>
      </c>
      <c r="P200" s="1" t="str">
        <f t="shared" si="23"/>
        <v/>
      </c>
      <c r="Q200" s="1" t="str">
        <f t="shared" si="23"/>
        <v/>
      </c>
      <c r="R200" s="1" t="str">
        <f t="shared" si="23"/>
        <v/>
      </c>
      <c r="S200" s="1" t="str">
        <f t="shared" si="23"/>
        <v/>
      </c>
      <c r="T200" s="358" t="s">
        <v>447</v>
      </c>
      <c r="U200" s="110" t="s">
        <v>448</v>
      </c>
      <c r="V200" s="26">
        <v>1</v>
      </c>
      <c r="W200" s="27" t="s">
        <v>90</v>
      </c>
      <c r="X200" s="436"/>
      <c r="Y200" s="171">
        <v>0</v>
      </c>
      <c r="Z200" s="290"/>
      <c r="AA200" s="27">
        <v>0</v>
      </c>
      <c r="AB200" s="403"/>
      <c r="AC200" s="613"/>
      <c r="AD200" s="613"/>
      <c r="AE200" s="285"/>
      <c r="AF200" s="403"/>
      <c r="AG200" s="41" t="s">
        <v>428</v>
      </c>
      <c r="AH200" s="174" t="s">
        <v>94</v>
      </c>
      <c r="AI200" s="174" t="s">
        <v>429</v>
      </c>
      <c r="AJ200" s="1" t="s">
        <v>98</v>
      </c>
      <c r="AK200" s="1" t="s">
        <v>98</v>
      </c>
      <c r="AL200" s="1" t="s">
        <v>98</v>
      </c>
      <c r="AM200" s="1" t="s">
        <v>98</v>
      </c>
      <c r="AN200" s="287"/>
      <c r="AO200" s="284"/>
      <c r="AP200" s="284"/>
      <c r="AQ200" s="284"/>
      <c r="AR200" s="284"/>
      <c r="AS200" s="284"/>
      <c r="AT200" s="284"/>
      <c r="AU200" s="284"/>
      <c r="AV200" s="284"/>
    </row>
    <row r="201" spans="1:48" customFormat="1">
      <c r="A201" s="358"/>
      <c r="B201" s="110"/>
      <c r="C201" s="26"/>
      <c r="D201" s="27"/>
      <c r="E201" s="171"/>
      <c r="F201" s="290"/>
      <c r="G201" s="27"/>
      <c r="H201" s="403"/>
      <c r="I201" s="613"/>
      <c r="J201" s="613"/>
      <c r="K201" s="285"/>
      <c r="L201" s="403"/>
      <c r="M201" s="1045"/>
      <c r="N201" s="1047"/>
      <c r="O201" s="1066"/>
      <c r="P201" s="1"/>
      <c r="Q201" s="1"/>
      <c r="R201" s="1"/>
      <c r="S201" s="1"/>
      <c r="T201" s="358" t="s">
        <v>449</v>
      </c>
      <c r="U201" s="110" t="s">
        <v>450</v>
      </c>
      <c r="V201" s="26">
        <v>1</v>
      </c>
      <c r="W201" s="27" t="s">
        <v>90</v>
      </c>
      <c r="X201" s="436"/>
      <c r="Y201" s="171">
        <v>0</v>
      </c>
      <c r="Z201" s="290"/>
      <c r="AA201" s="27">
        <v>0</v>
      </c>
      <c r="AB201" s="403"/>
      <c r="AC201" s="613"/>
      <c r="AD201" s="613"/>
      <c r="AE201" s="285"/>
      <c r="AF201" s="403"/>
      <c r="AG201" s="41" t="s">
        <v>428</v>
      </c>
      <c r="AH201" s="174" t="s">
        <v>94</v>
      </c>
      <c r="AI201" s="174" t="s">
        <v>429</v>
      </c>
      <c r="AJ201" s="1" t="s">
        <v>98</v>
      </c>
      <c r="AK201" s="1" t="s">
        <v>98</v>
      </c>
      <c r="AL201" s="1" t="s">
        <v>98</v>
      </c>
      <c r="AM201" s="1" t="s">
        <v>98</v>
      </c>
      <c r="AN201" s="287"/>
      <c r="AO201" s="284"/>
      <c r="AP201" s="284"/>
      <c r="AQ201" s="284"/>
      <c r="AR201" s="284"/>
      <c r="AS201" s="284"/>
      <c r="AT201" s="284"/>
      <c r="AU201" s="284"/>
      <c r="AV201" s="284"/>
    </row>
    <row r="202" spans="1:48" customFormat="1">
      <c r="A202" s="358"/>
      <c r="B202" s="110"/>
      <c r="C202" s="26"/>
      <c r="D202" s="27"/>
      <c r="E202" s="171"/>
      <c r="F202" s="290"/>
      <c r="G202" s="27"/>
      <c r="H202" s="403"/>
      <c r="I202" s="613"/>
      <c r="J202" s="613"/>
      <c r="K202" s="285"/>
      <c r="L202" s="403"/>
      <c r="M202" s="1045"/>
      <c r="N202" s="1047"/>
      <c r="O202" s="1066"/>
      <c r="P202" s="1"/>
      <c r="Q202" s="1"/>
      <c r="R202" s="1"/>
      <c r="S202" s="1"/>
      <c r="T202" s="358" t="s">
        <v>451</v>
      </c>
      <c r="U202" s="110" t="s">
        <v>452</v>
      </c>
      <c r="V202" s="26">
        <v>1</v>
      </c>
      <c r="W202" s="27" t="s">
        <v>90</v>
      </c>
      <c r="X202" s="436"/>
      <c r="Y202" s="171">
        <v>0</v>
      </c>
      <c r="Z202" s="290"/>
      <c r="AA202" s="27">
        <v>0</v>
      </c>
      <c r="AB202" s="403"/>
      <c r="AC202" s="613"/>
      <c r="AD202" s="613"/>
      <c r="AE202" s="285"/>
      <c r="AF202" s="403"/>
      <c r="AG202" s="41" t="s">
        <v>428</v>
      </c>
      <c r="AH202" s="174" t="s">
        <v>94</v>
      </c>
      <c r="AI202" s="174" t="s">
        <v>429</v>
      </c>
      <c r="AJ202" s="1" t="s">
        <v>98</v>
      </c>
      <c r="AK202" s="1" t="s">
        <v>98</v>
      </c>
      <c r="AL202" s="1" t="s">
        <v>98</v>
      </c>
      <c r="AM202" s="1" t="s">
        <v>98</v>
      </c>
      <c r="AN202" s="287"/>
      <c r="AO202" s="284"/>
      <c r="AP202" s="284"/>
      <c r="AQ202" s="284"/>
      <c r="AR202" s="284"/>
      <c r="AS202" s="284"/>
      <c r="AT202" s="284"/>
      <c r="AU202" s="284"/>
      <c r="AV202" s="284"/>
    </row>
    <row r="203" spans="1:48" customFormat="1">
      <c r="A203" s="358"/>
      <c r="B203" s="110"/>
      <c r="C203" s="26"/>
      <c r="D203" s="27"/>
      <c r="E203" s="171"/>
      <c r="F203" s="290"/>
      <c r="G203" s="27"/>
      <c r="H203" s="403"/>
      <c r="I203" s="613"/>
      <c r="J203" s="613"/>
      <c r="K203" s="285"/>
      <c r="L203" s="403"/>
      <c r="M203" s="1045"/>
      <c r="N203" s="1047"/>
      <c r="O203" s="1066"/>
      <c r="P203" s="1"/>
      <c r="Q203" s="1"/>
      <c r="R203" s="1"/>
      <c r="S203" s="1"/>
      <c r="T203" s="358" t="s">
        <v>453</v>
      </c>
      <c r="U203" s="110" t="s">
        <v>454</v>
      </c>
      <c r="V203" s="26">
        <v>1</v>
      </c>
      <c r="W203" s="27" t="s">
        <v>90</v>
      </c>
      <c r="X203" s="436"/>
      <c r="Y203" s="171">
        <v>0</v>
      </c>
      <c r="Z203" s="290"/>
      <c r="AA203" s="27">
        <v>0</v>
      </c>
      <c r="AB203" s="403"/>
      <c r="AC203" s="613"/>
      <c r="AD203" s="613"/>
      <c r="AE203" s="285"/>
      <c r="AF203" s="403"/>
      <c r="AG203" s="41" t="s">
        <v>428</v>
      </c>
      <c r="AH203" s="174" t="s">
        <v>94</v>
      </c>
      <c r="AI203" s="174" t="s">
        <v>429</v>
      </c>
      <c r="AJ203" s="1" t="s">
        <v>98</v>
      </c>
      <c r="AK203" s="1" t="s">
        <v>98</v>
      </c>
      <c r="AL203" s="1" t="s">
        <v>98</v>
      </c>
      <c r="AM203" s="1" t="s">
        <v>98</v>
      </c>
      <c r="AN203" s="287"/>
      <c r="AO203" s="284"/>
      <c r="AP203" s="284"/>
      <c r="AQ203" s="284"/>
      <c r="AR203" s="284"/>
      <c r="AS203" s="284"/>
      <c r="AT203" s="284"/>
      <c r="AU203" s="284"/>
      <c r="AV203" s="284"/>
    </row>
    <row r="204" spans="1:48" customFormat="1">
      <c r="A204" s="387" t="s">
        <v>457</v>
      </c>
      <c r="B204" s="70" t="s">
        <v>458</v>
      </c>
      <c r="C204" s="71">
        <v>1</v>
      </c>
      <c r="D204" s="111" t="s">
        <v>90</v>
      </c>
      <c r="E204" s="85">
        <v>1523.87</v>
      </c>
      <c r="F204" s="103">
        <f>rv_mbp13_hg</f>
        <v>0.17599999999999999</v>
      </c>
      <c r="G204" s="111">
        <f t="shared" ref="G204:G209" si="25">E204-(E204*F204)</f>
        <v>1255.6688799999999</v>
      </c>
      <c r="H204" s="71" t="s">
        <v>427</v>
      </c>
      <c r="I204" s="91">
        <f>mbp13_5pl</f>
        <v>48</v>
      </c>
      <c r="J204" s="91">
        <f>G204+I204</f>
        <v>1303.6688799999999</v>
      </c>
      <c r="K204" s="75" t="s">
        <v>92</v>
      </c>
      <c r="L204" s="91">
        <v>0.3</v>
      </c>
      <c r="M204" s="1045" t="s">
        <v>459</v>
      </c>
      <c r="N204" s="1047" t="s">
        <v>94</v>
      </c>
      <c r="O204" s="1066" t="s">
        <v>429</v>
      </c>
      <c r="P204" s="1">
        <f t="shared" si="23"/>
        <v>262.43994911081012</v>
      </c>
      <c r="Q204" s="1">
        <f t="shared" si="23"/>
        <v>136.39173659937791</v>
      </c>
      <c r="R204" s="1">
        <f t="shared" si="23"/>
        <v>99.05725808814816</v>
      </c>
      <c r="S204" s="1">
        <f t="shared" si="23"/>
        <v>85.480111870758606</v>
      </c>
      <c r="T204" s="387" t="s">
        <v>457</v>
      </c>
      <c r="U204" s="70" t="s">
        <v>458</v>
      </c>
      <c r="V204" s="71">
        <v>1</v>
      </c>
      <c r="W204" s="111" t="s">
        <v>90</v>
      </c>
      <c r="X204" s="101" t="s">
        <v>457</v>
      </c>
      <c r="Y204" s="85">
        <v>1523.87</v>
      </c>
      <c r="Z204" s="103">
        <v>0.17599999999999999</v>
      </c>
      <c r="AA204" s="111">
        <v>1255.6688799999999</v>
      </c>
      <c r="AB204" s="71" t="s">
        <v>427</v>
      </c>
      <c r="AC204" s="91">
        <v>48</v>
      </c>
      <c r="AD204" s="91">
        <v>1303.6688799999999</v>
      </c>
      <c r="AE204" s="75" t="s">
        <v>92</v>
      </c>
      <c r="AF204" s="91">
        <v>0.3</v>
      </c>
      <c r="AG204" s="41" t="s">
        <v>459</v>
      </c>
      <c r="AH204" s="174" t="s">
        <v>94</v>
      </c>
      <c r="AI204" s="174" t="s">
        <v>429</v>
      </c>
      <c r="AJ204" s="1">
        <v>262.43994911081012</v>
      </c>
      <c r="AK204" s="1">
        <v>136.39173659937791</v>
      </c>
      <c r="AL204" s="1">
        <v>99.05725808814816</v>
      </c>
      <c r="AM204" s="1">
        <v>85.480111870758606</v>
      </c>
      <c r="AN204" s="287"/>
      <c r="AO204" s="284"/>
      <c r="AP204" s="284"/>
      <c r="AQ204" s="284"/>
      <c r="AR204" s="284"/>
      <c r="AS204" s="284"/>
      <c r="AT204" s="284"/>
      <c r="AU204" s="284"/>
      <c r="AV204" s="284"/>
    </row>
    <row r="205" spans="1:48" customFormat="1">
      <c r="A205" s="358" t="s">
        <v>460</v>
      </c>
      <c r="B205" s="110" t="s">
        <v>461</v>
      </c>
      <c r="C205" s="26">
        <v>1</v>
      </c>
      <c r="D205" s="27" t="s">
        <v>90</v>
      </c>
      <c r="E205" s="47">
        <v>191.67</v>
      </c>
      <c r="F205" s="77">
        <f>rv_mbp13_hg_cto</f>
        <v>0.17599999999999999</v>
      </c>
      <c r="G205" s="27">
        <f t="shared" si="25"/>
        <v>157.93608</v>
      </c>
      <c r="H205" s="108"/>
      <c r="I205" s="194"/>
      <c r="J205" s="194"/>
      <c r="K205" s="99"/>
      <c r="L205" s="269"/>
      <c r="M205" s="1045" t="s">
        <v>459</v>
      </c>
      <c r="N205" s="1047" t="s">
        <v>94</v>
      </c>
      <c r="O205" s="1066" t="s">
        <v>429</v>
      </c>
      <c r="P205" s="1" t="str">
        <f t="shared" si="23"/>
        <v/>
      </c>
      <c r="Q205" s="1" t="str">
        <f t="shared" si="23"/>
        <v/>
      </c>
      <c r="R205" s="1" t="str">
        <f t="shared" si="23"/>
        <v/>
      </c>
      <c r="S205" s="1" t="str">
        <f t="shared" si="23"/>
        <v/>
      </c>
      <c r="T205" s="358" t="s">
        <v>460</v>
      </c>
      <c r="U205" s="110" t="s">
        <v>461</v>
      </c>
      <c r="V205" s="26">
        <v>1</v>
      </c>
      <c r="W205" s="27" t="s">
        <v>90</v>
      </c>
      <c r="X205" s="436"/>
      <c r="Y205" s="47">
        <v>191.67</v>
      </c>
      <c r="Z205" s="77">
        <v>0.17599999999999999</v>
      </c>
      <c r="AA205" s="27">
        <v>157.93608</v>
      </c>
      <c r="AB205" s="108"/>
      <c r="AC205" s="194"/>
      <c r="AD205" s="194"/>
      <c r="AE205" s="99" t="s">
        <v>92</v>
      </c>
      <c r="AF205" s="269" t="s">
        <v>92</v>
      </c>
      <c r="AG205" s="41" t="s">
        <v>459</v>
      </c>
      <c r="AH205" s="174" t="s">
        <v>94</v>
      </c>
      <c r="AI205" s="174" t="s">
        <v>429</v>
      </c>
      <c r="AJ205" s="1" t="s">
        <v>98</v>
      </c>
      <c r="AK205" s="1" t="s">
        <v>98</v>
      </c>
      <c r="AL205" s="1" t="s">
        <v>98</v>
      </c>
      <c r="AM205" s="1" t="s">
        <v>98</v>
      </c>
      <c r="AN205" s="287"/>
      <c r="AO205" s="284"/>
      <c r="AP205" s="284"/>
      <c r="AQ205" s="284"/>
      <c r="AR205" s="284"/>
      <c r="AS205" s="284"/>
      <c r="AT205" s="284"/>
      <c r="AU205" s="284"/>
      <c r="AV205" s="284"/>
    </row>
    <row r="206" spans="1:48" customFormat="1">
      <c r="A206" s="358" t="s">
        <v>462</v>
      </c>
      <c r="B206" s="110" t="s">
        <v>463</v>
      </c>
      <c r="C206" s="26">
        <v>1</v>
      </c>
      <c r="D206" s="27" t="s">
        <v>90</v>
      </c>
      <c r="E206" s="171">
        <v>383.33</v>
      </c>
      <c r="F206" s="77">
        <f>rv_mbp13_hg_cto</f>
        <v>0.17599999999999999</v>
      </c>
      <c r="G206" s="108">
        <f t="shared" si="25"/>
        <v>315.86392000000001</v>
      </c>
      <c r="H206" s="108"/>
      <c r="I206" s="216"/>
      <c r="J206" s="216"/>
      <c r="K206" s="99"/>
      <c r="L206" s="269"/>
      <c r="M206" s="1045" t="s">
        <v>459</v>
      </c>
      <c r="N206" s="1047" t="s">
        <v>94</v>
      </c>
      <c r="O206" s="1066" t="s">
        <v>429</v>
      </c>
      <c r="P206" s="1" t="str">
        <f t="shared" si="23"/>
        <v/>
      </c>
      <c r="Q206" s="1" t="str">
        <f t="shared" si="23"/>
        <v/>
      </c>
      <c r="R206" s="1" t="str">
        <f t="shared" si="23"/>
        <v/>
      </c>
      <c r="S206" s="1" t="str">
        <f t="shared" si="23"/>
        <v/>
      </c>
      <c r="T206" s="358" t="s">
        <v>462</v>
      </c>
      <c r="U206" s="110" t="s">
        <v>463</v>
      </c>
      <c r="V206" s="26">
        <v>1</v>
      </c>
      <c r="W206" s="27" t="s">
        <v>90</v>
      </c>
      <c r="X206" s="436"/>
      <c r="Y206" s="171">
        <v>383.33</v>
      </c>
      <c r="Z206" s="77">
        <v>0.17599999999999999</v>
      </c>
      <c r="AA206" s="108">
        <v>315.86392000000001</v>
      </c>
      <c r="AB206" s="108"/>
      <c r="AC206" s="216"/>
      <c r="AD206" s="216"/>
      <c r="AE206" s="99" t="s">
        <v>92</v>
      </c>
      <c r="AF206" s="269" t="s">
        <v>92</v>
      </c>
      <c r="AG206" s="41" t="s">
        <v>459</v>
      </c>
      <c r="AH206" s="174" t="s">
        <v>94</v>
      </c>
      <c r="AI206" s="174" t="s">
        <v>429</v>
      </c>
      <c r="AJ206" s="1" t="s">
        <v>98</v>
      </c>
      <c r="AK206" s="1" t="s">
        <v>98</v>
      </c>
      <c r="AL206" s="1" t="s">
        <v>98</v>
      </c>
      <c r="AM206" s="1" t="s">
        <v>98</v>
      </c>
      <c r="AN206" s="287"/>
      <c r="AO206" s="284"/>
      <c r="AP206" s="284"/>
      <c r="AQ206" s="284"/>
      <c r="AR206" s="284"/>
      <c r="AS206" s="284"/>
      <c r="AT206" s="284"/>
      <c r="AU206" s="284"/>
      <c r="AV206" s="284"/>
    </row>
    <row r="207" spans="1:48" customFormat="1">
      <c r="A207" s="358" t="s">
        <v>464</v>
      </c>
      <c r="B207" s="110" t="s">
        <v>465</v>
      </c>
      <c r="C207" s="26">
        <v>1</v>
      </c>
      <c r="D207" s="27" t="s">
        <v>90</v>
      </c>
      <c r="E207" s="171">
        <v>191.67</v>
      </c>
      <c r="F207" s="77">
        <f>rv_mbp13_hg_cto</f>
        <v>0.17599999999999999</v>
      </c>
      <c r="G207" s="108">
        <f t="shared" si="25"/>
        <v>157.93608</v>
      </c>
      <c r="H207" s="108"/>
      <c r="I207" s="216"/>
      <c r="J207" s="216"/>
      <c r="K207" s="99"/>
      <c r="L207" s="269"/>
      <c r="M207" s="1045" t="s">
        <v>459</v>
      </c>
      <c r="N207" s="1047" t="s">
        <v>94</v>
      </c>
      <c r="O207" s="1066" t="s">
        <v>429</v>
      </c>
      <c r="P207" s="1" t="str">
        <f t="shared" ref="P207:S224" si="26">+IF($J207&lt;&gt;"",P$2*$J207,"")</f>
        <v/>
      </c>
      <c r="Q207" s="1" t="str">
        <f t="shared" si="26"/>
        <v/>
      </c>
      <c r="R207" s="1" t="str">
        <f t="shared" si="26"/>
        <v/>
      </c>
      <c r="S207" s="1" t="str">
        <f t="shared" si="26"/>
        <v/>
      </c>
      <c r="T207" s="358" t="s">
        <v>464</v>
      </c>
      <c r="U207" s="110" t="s">
        <v>465</v>
      </c>
      <c r="V207" s="26">
        <v>1</v>
      </c>
      <c r="W207" s="27" t="s">
        <v>90</v>
      </c>
      <c r="X207" s="436"/>
      <c r="Y207" s="171">
        <v>191.67</v>
      </c>
      <c r="Z207" s="77">
        <v>0.17599999999999999</v>
      </c>
      <c r="AA207" s="108">
        <v>157.93608</v>
      </c>
      <c r="AB207" s="108"/>
      <c r="AC207" s="216"/>
      <c r="AD207" s="216"/>
      <c r="AE207" s="99" t="s">
        <v>92</v>
      </c>
      <c r="AF207" s="269" t="s">
        <v>92</v>
      </c>
      <c r="AG207" s="41" t="s">
        <v>459</v>
      </c>
      <c r="AH207" s="174" t="s">
        <v>94</v>
      </c>
      <c r="AI207" s="174" t="s">
        <v>429</v>
      </c>
      <c r="AJ207" s="1" t="s">
        <v>98</v>
      </c>
      <c r="AK207" s="1" t="s">
        <v>98</v>
      </c>
      <c r="AL207" s="1" t="s">
        <v>98</v>
      </c>
      <c r="AM207" s="1" t="s">
        <v>98</v>
      </c>
      <c r="AN207" s="287"/>
      <c r="AO207" s="284"/>
      <c r="AP207" s="284"/>
      <c r="AQ207" s="284"/>
      <c r="AR207" s="284"/>
      <c r="AS207" s="284"/>
      <c r="AT207" s="284"/>
      <c r="AU207" s="284"/>
      <c r="AV207" s="284"/>
    </row>
    <row r="208" spans="1:48" customFormat="1">
      <c r="A208" s="358" t="s">
        <v>466</v>
      </c>
      <c r="B208" s="110" t="s">
        <v>467</v>
      </c>
      <c r="C208" s="26">
        <v>1</v>
      </c>
      <c r="D208" s="27" t="s">
        <v>90</v>
      </c>
      <c r="E208" s="171">
        <v>575</v>
      </c>
      <c r="F208" s="77">
        <f>rv_mbp13_hg_cto</f>
        <v>0.17599999999999999</v>
      </c>
      <c r="G208" s="108">
        <f t="shared" si="25"/>
        <v>473.8</v>
      </c>
      <c r="H208" s="108"/>
      <c r="I208" s="216"/>
      <c r="J208" s="216"/>
      <c r="K208" s="99"/>
      <c r="L208" s="269"/>
      <c r="M208" s="1045" t="s">
        <v>459</v>
      </c>
      <c r="N208" s="1047" t="s">
        <v>94</v>
      </c>
      <c r="O208" s="1066" t="s">
        <v>429</v>
      </c>
      <c r="P208" s="1" t="str">
        <f t="shared" si="26"/>
        <v/>
      </c>
      <c r="Q208" s="1" t="str">
        <f t="shared" si="26"/>
        <v/>
      </c>
      <c r="R208" s="1" t="str">
        <f t="shared" si="26"/>
        <v/>
      </c>
      <c r="S208" s="1" t="str">
        <f t="shared" si="26"/>
        <v/>
      </c>
      <c r="T208" s="358" t="s">
        <v>466</v>
      </c>
      <c r="U208" s="110" t="s">
        <v>467</v>
      </c>
      <c r="V208" s="26">
        <v>1</v>
      </c>
      <c r="W208" s="27" t="s">
        <v>90</v>
      </c>
      <c r="X208" s="436"/>
      <c r="Y208" s="171">
        <v>575</v>
      </c>
      <c r="Z208" s="77">
        <v>0.17599999999999999</v>
      </c>
      <c r="AA208" s="108">
        <v>473.8</v>
      </c>
      <c r="AB208" s="108"/>
      <c r="AC208" s="216"/>
      <c r="AD208" s="216"/>
      <c r="AE208" s="99" t="s">
        <v>92</v>
      </c>
      <c r="AF208" s="269" t="s">
        <v>92</v>
      </c>
      <c r="AG208" s="41" t="s">
        <v>459</v>
      </c>
      <c r="AH208" s="174" t="s">
        <v>94</v>
      </c>
      <c r="AI208" s="174" t="s">
        <v>429</v>
      </c>
      <c r="AJ208" s="1" t="s">
        <v>98</v>
      </c>
      <c r="AK208" s="1" t="s">
        <v>98</v>
      </c>
      <c r="AL208" s="1" t="s">
        <v>98</v>
      </c>
      <c r="AM208" s="1" t="s">
        <v>98</v>
      </c>
      <c r="AN208" s="287"/>
      <c r="AO208" s="284"/>
      <c r="AP208" s="284"/>
      <c r="AQ208" s="284"/>
      <c r="AR208" s="284"/>
      <c r="AS208" s="284"/>
      <c r="AT208" s="284"/>
      <c r="AU208" s="284"/>
      <c r="AV208" s="284"/>
    </row>
    <row r="209" spans="1:48" customFormat="1">
      <c r="A209" s="358" t="s">
        <v>468</v>
      </c>
      <c r="B209" s="110" t="s">
        <v>469</v>
      </c>
      <c r="C209" s="26">
        <v>1</v>
      </c>
      <c r="D209" s="27" t="s">
        <v>90</v>
      </c>
      <c r="E209" s="171">
        <v>0</v>
      </c>
      <c r="F209" s="77"/>
      <c r="G209" s="108">
        <f t="shared" si="25"/>
        <v>0</v>
      </c>
      <c r="H209" s="108"/>
      <c r="I209" s="216"/>
      <c r="J209" s="216"/>
      <c r="K209" s="99"/>
      <c r="L209" s="269"/>
      <c r="M209" s="1045" t="s">
        <v>459</v>
      </c>
      <c r="N209" s="1047" t="s">
        <v>94</v>
      </c>
      <c r="O209" s="1066" t="s">
        <v>429</v>
      </c>
      <c r="P209" s="1" t="str">
        <f t="shared" si="26"/>
        <v/>
      </c>
      <c r="Q209" s="1" t="str">
        <f t="shared" si="26"/>
        <v/>
      </c>
      <c r="R209" s="1" t="str">
        <f t="shared" si="26"/>
        <v/>
      </c>
      <c r="S209" s="1" t="str">
        <f t="shared" si="26"/>
        <v/>
      </c>
      <c r="T209" s="358" t="s">
        <v>468</v>
      </c>
      <c r="U209" s="110" t="s">
        <v>469</v>
      </c>
      <c r="V209" s="26">
        <v>1</v>
      </c>
      <c r="W209" s="27" t="s">
        <v>90</v>
      </c>
      <c r="X209" s="436"/>
      <c r="Y209" s="171">
        <v>0</v>
      </c>
      <c r="Z209" s="77"/>
      <c r="AA209" s="108">
        <v>0</v>
      </c>
      <c r="AB209" s="108"/>
      <c r="AC209" s="216"/>
      <c r="AD209" s="216"/>
      <c r="AE209" s="99" t="s">
        <v>92</v>
      </c>
      <c r="AF209" s="269" t="s">
        <v>92</v>
      </c>
      <c r="AG209" s="41" t="s">
        <v>459</v>
      </c>
      <c r="AH209" s="174" t="s">
        <v>94</v>
      </c>
      <c r="AI209" s="174" t="s">
        <v>429</v>
      </c>
      <c r="AJ209" s="1" t="s">
        <v>98</v>
      </c>
      <c r="AK209" s="1" t="s">
        <v>98</v>
      </c>
      <c r="AL209" s="1" t="s">
        <v>98</v>
      </c>
      <c r="AM209" s="1" t="s">
        <v>98</v>
      </c>
      <c r="AN209" s="287"/>
      <c r="AO209" s="284"/>
      <c r="AP209" s="284"/>
      <c r="AQ209" s="284"/>
      <c r="AR209" s="284"/>
      <c r="AS209" s="284"/>
      <c r="AT209" s="284"/>
      <c r="AU209" s="284"/>
      <c r="AV209" s="284"/>
    </row>
    <row r="210" spans="1:48" customFormat="1">
      <c r="A210" s="358" t="s">
        <v>470</v>
      </c>
      <c r="B210" s="110" t="s">
        <v>471</v>
      </c>
      <c r="C210" s="26">
        <v>1</v>
      </c>
      <c r="D210" s="27" t="s">
        <v>90</v>
      </c>
      <c r="E210" s="171">
        <v>0</v>
      </c>
      <c r="F210" s="21"/>
      <c r="G210" s="27">
        <v>0</v>
      </c>
      <c r="H210" s="27"/>
      <c r="I210" s="270"/>
      <c r="J210" s="270"/>
      <c r="K210" s="121"/>
      <c r="L210" s="76"/>
      <c r="M210" s="1045" t="s">
        <v>459</v>
      </c>
      <c r="N210" s="1047" t="s">
        <v>94</v>
      </c>
      <c r="O210" s="1066" t="s">
        <v>429</v>
      </c>
      <c r="P210" s="1" t="str">
        <f t="shared" si="26"/>
        <v/>
      </c>
      <c r="Q210" s="1" t="str">
        <f t="shared" si="26"/>
        <v/>
      </c>
      <c r="R210" s="1" t="str">
        <f t="shared" si="26"/>
        <v/>
      </c>
      <c r="S210" s="1" t="str">
        <f t="shared" si="26"/>
        <v/>
      </c>
      <c r="T210" s="358" t="s">
        <v>470</v>
      </c>
      <c r="U210" s="110" t="s">
        <v>471</v>
      </c>
      <c r="V210" s="26">
        <v>1</v>
      </c>
      <c r="W210" s="27" t="s">
        <v>90</v>
      </c>
      <c r="X210" s="436"/>
      <c r="Y210" s="171">
        <v>0</v>
      </c>
      <c r="Z210" s="21"/>
      <c r="AA210" s="27">
        <v>0</v>
      </c>
      <c r="AB210" s="27"/>
      <c r="AC210" s="270"/>
      <c r="AD210" s="270"/>
      <c r="AE210" s="121" t="s">
        <v>92</v>
      </c>
      <c r="AF210" s="76" t="s">
        <v>92</v>
      </c>
      <c r="AG210" s="41" t="s">
        <v>459</v>
      </c>
      <c r="AH210" s="174" t="s">
        <v>94</v>
      </c>
      <c r="AI210" s="174" t="s">
        <v>429</v>
      </c>
      <c r="AJ210" s="1" t="s">
        <v>98</v>
      </c>
      <c r="AK210" s="1" t="s">
        <v>98</v>
      </c>
      <c r="AL210" s="1" t="s">
        <v>98</v>
      </c>
      <c r="AM210" s="1" t="s">
        <v>98</v>
      </c>
      <c r="AN210" s="287"/>
      <c r="AO210" s="284"/>
      <c r="AP210" s="284"/>
      <c r="AQ210" s="284"/>
      <c r="AR210" s="284"/>
      <c r="AS210" s="284"/>
      <c r="AT210" s="284"/>
      <c r="AU210" s="284"/>
      <c r="AV210" s="284"/>
    </row>
    <row r="211" spans="1:48" customFormat="1">
      <c r="A211" s="358"/>
      <c r="B211" s="110"/>
      <c r="C211" s="26"/>
      <c r="D211" s="27"/>
      <c r="E211" s="171"/>
      <c r="F211" s="21"/>
      <c r="G211" s="27"/>
      <c r="H211" s="120"/>
      <c r="I211" s="270"/>
      <c r="J211" s="270"/>
      <c r="K211" s="121"/>
      <c r="L211" s="76"/>
      <c r="M211" s="1045"/>
      <c r="N211" s="1047"/>
      <c r="O211" s="1066"/>
      <c r="P211" s="1"/>
      <c r="Q211" s="1"/>
      <c r="R211" s="1"/>
      <c r="S211" s="1"/>
      <c r="T211" s="358" t="s">
        <v>472</v>
      </c>
      <c r="U211" s="110" t="s">
        <v>473</v>
      </c>
      <c r="V211" s="26">
        <v>1</v>
      </c>
      <c r="W211" s="27" t="s">
        <v>90</v>
      </c>
      <c r="X211" s="436"/>
      <c r="Y211" s="171">
        <v>0</v>
      </c>
      <c r="Z211" s="21"/>
      <c r="AA211" s="27">
        <v>0</v>
      </c>
      <c r="AB211" s="120"/>
      <c r="AC211" s="270"/>
      <c r="AD211" s="270"/>
      <c r="AE211" s="121" t="s">
        <v>92</v>
      </c>
      <c r="AF211" s="76" t="s">
        <v>92</v>
      </c>
      <c r="AG211" s="41" t="s">
        <v>459</v>
      </c>
      <c r="AH211" s="174" t="s">
        <v>94</v>
      </c>
      <c r="AI211" s="174" t="s">
        <v>429</v>
      </c>
      <c r="AJ211" s="1" t="s">
        <v>98</v>
      </c>
      <c r="AK211" s="1" t="s">
        <v>98</v>
      </c>
      <c r="AL211" s="1" t="s">
        <v>98</v>
      </c>
      <c r="AM211" s="1" t="s">
        <v>98</v>
      </c>
      <c r="AN211" s="287"/>
      <c r="AO211" s="284"/>
      <c r="AP211" s="284"/>
      <c r="AQ211" s="284"/>
      <c r="AR211" s="284"/>
      <c r="AS211" s="284"/>
      <c r="AT211" s="284"/>
      <c r="AU211" s="284"/>
      <c r="AV211" s="284"/>
    </row>
    <row r="212" spans="1:48" customFormat="1">
      <c r="A212" s="358" t="s">
        <v>474</v>
      </c>
      <c r="B212" s="110" t="s">
        <v>475</v>
      </c>
      <c r="C212" s="26">
        <v>1</v>
      </c>
      <c r="D212" s="27" t="s">
        <v>90</v>
      </c>
      <c r="E212" s="171">
        <v>0</v>
      </c>
      <c r="F212" s="290"/>
      <c r="G212" s="27">
        <v>0</v>
      </c>
      <c r="H212" s="403"/>
      <c r="I212" s="403"/>
      <c r="J212" s="403"/>
      <c r="K212" s="285"/>
      <c r="L212" s="403"/>
      <c r="M212" s="1045" t="s">
        <v>459</v>
      </c>
      <c r="N212" s="1047" t="s">
        <v>94</v>
      </c>
      <c r="O212" s="1066" t="s">
        <v>429</v>
      </c>
      <c r="P212" s="1" t="str">
        <f t="shared" si="26"/>
        <v/>
      </c>
      <c r="Q212" s="1" t="str">
        <f t="shared" si="26"/>
        <v/>
      </c>
      <c r="R212" s="1" t="str">
        <f t="shared" si="26"/>
        <v/>
      </c>
      <c r="S212" s="1" t="str">
        <f t="shared" si="26"/>
        <v/>
      </c>
      <c r="T212" s="358" t="s">
        <v>474</v>
      </c>
      <c r="U212" s="110" t="s">
        <v>475</v>
      </c>
      <c r="V212" s="26">
        <v>1</v>
      </c>
      <c r="W212" s="27" t="s">
        <v>90</v>
      </c>
      <c r="X212" s="436"/>
      <c r="Y212" s="171">
        <v>0</v>
      </c>
      <c r="Z212" s="290"/>
      <c r="AA212" s="27">
        <v>0</v>
      </c>
      <c r="AB212" s="403"/>
      <c r="AC212" s="403"/>
      <c r="AD212" s="403"/>
      <c r="AE212" s="285"/>
      <c r="AF212" s="403"/>
      <c r="AG212" s="41" t="s">
        <v>459</v>
      </c>
      <c r="AH212" s="174" t="s">
        <v>94</v>
      </c>
      <c r="AI212" s="174" t="s">
        <v>429</v>
      </c>
      <c r="AJ212" s="1" t="s">
        <v>98</v>
      </c>
      <c r="AK212" s="1" t="s">
        <v>98</v>
      </c>
      <c r="AL212" s="1" t="s">
        <v>98</v>
      </c>
      <c r="AM212" s="1" t="s">
        <v>98</v>
      </c>
      <c r="AN212" s="287"/>
      <c r="AO212" s="284"/>
      <c r="AP212" s="284"/>
      <c r="AQ212" s="284"/>
      <c r="AR212" s="284"/>
      <c r="AS212" s="284"/>
      <c r="AT212" s="284"/>
      <c r="AU212" s="284"/>
      <c r="AV212" s="284"/>
    </row>
    <row r="213" spans="1:48" customFormat="1">
      <c r="A213" s="358"/>
      <c r="B213" s="110"/>
      <c r="C213" s="26"/>
      <c r="D213" s="27"/>
      <c r="E213" s="171"/>
      <c r="F213" s="290"/>
      <c r="G213" s="27"/>
      <c r="H213" s="403"/>
      <c r="I213" s="403"/>
      <c r="J213" s="403"/>
      <c r="K213" s="285"/>
      <c r="L213" s="403"/>
      <c r="M213" s="1045"/>
      <c r="N213" s="1047"/>
      <c r="O213" s="1066"/>
      <c r="P213" s="1"/>
      <c r="Q213" s="1"/>
      <c r="R213" s="1"/>
      <c r="S213" s="1"/>
      <c r="T213" s="358" t="s">
        <v>476</v>
      </c>
      <c r="U213" s="110" t="s">
        <v>477</v>
      </c>
      <c r="V213" s="26">
        <v>1</v>
      </c>
      <c r="W213" s="27" t="s">
        <v>90</v>
      </c>
      <c r="X213" s="436"/>
      <c r="Y213" s="171">
        <v>0</v>
      </c>
      <c r="Z213" s="290"/>
      <c r="AA213" s="27">
        <v>0</v>
      </c>
      <c r="AB213" s="403"/>
      <c r="AC213" s="403"/>
      <c r="AD213" s="403"/>
      <c r="AE213" s="285"/>
      <c r="AF213" s="403"/>
      <c r="AG213" s="41" t="s">
        <v>459</v>
      </c>
      <c r="AH213" s="174" t="s">
        <v>94</v>
      </c>
      <c r="AI213" s="174" t="s">
        <v>429</v>
      </c>
      <c r="AJ213" s="1" t="s">
        <v>98</v>
      </c>
      <c r="AK213" s="1" t="s">
        <v>98</v>
      </c>
      <c r="AL213" s="1" t="s">
        <v>98</v>
      </c>
      <c r="AM213" s="1" t="s">
        <v>98</v>
      </c>
      <c r="AN213" s="287"/>
      <c r="AO213" s="284"/>
      <c r="AP213" s="284"/>
      <c r="AQ213" s="284"/>
      <c r="AR213" s="284"/>
      <c r="AS213" s="284"/>
      <c r="AT213" s="284"/>
      <c r="AU213" s="284"/>
      <c r="AV213" s="284"/>
    </row>
    <row r="214" spans="1:48" customFormat="1">
      <c r="A214" s="358"/>
      <c r="B214" s="110"/>
      <c r="C214" s="26"/>
      <c r="D214" s="27"/>
      <c r="E214" s="171"/>
      <c r="F214" s="290"/>
      <c r="G214" s="27"/>
      <c r="H214" s="403"/>
      <c r="I214" s="403"/>
      <c r="J214" s="403"/>
      <c r="K214" s="285"/>
      <c r="L214" s="403"/>
      <c r="M214" s="1045"/>
      <c r="N214" s="1047"/>
      <c r="O214" s="1066"/>
      <c r="P214" s="1"/>
      <c r="Q214" s="1"/>
      <c r="R214" s="1"/>
      <c r="S214" s="1"/>
      <c r="T214" s="358" t="s">
        <v>478</v>
      </c>
      <c r="U214" s="110" t="s">
        <v>479</v>
      </c>
      <c r="V214" s="26">
        <v>1</v>
      </c>
      <c r="W214" s="27" t="s">
        <v>90</v>
      </c>
      <c r="X214" s="436"/>
      <c r="Y214" s="171">
        <v>0</v>
      </c>
      <c r="Z214" s="290"/>
      <c r="AA214" s="27">
        <v>0</v>
      </c>
      <c r="AB214" s="403"/>
      <c r="AC214" s="403"/>
      <c r="AD214" s="403"/>
      <c r="AE214" s="285"/>
      <c r="AF214" s="403"/>
      <c r="AG214" s="41" t="s">
        <v>459</v>
      </c>
      <c r="AH214" s="174" t="s">
        <v>94</v>
      </c>
      <c r="AI214" s="174" t="s">
        <v>429</v>
      </c>
      <c r="AJ214" s="1" t="s">
        <v>98</v>
      </c>
      <c r="AK214" s="1" t="s">
        <v>98</v>
      </c>
      <c r="AL214" s="1" t="s">
        <v>98</v>
      </c>
      <c r="AM214" s="1" t="s">
        <v>98</v>
      </c>
      <c r="AN214" s="287"/>
      <c r="AO214" s="284"/>
      <c r="AP214" s="284"/>
      <c r="AQ214" s="284"/>
      <c r="AR214" s="284"/>
      <c r="AS214" s="284"/>
      <c r="AT214" s="284"/>
      <c r="AU214" s="284"/>
      <c r="AV214" s="284"/>
    </row>
    <row r="215" spans="1:48" customFormat="1">
      <c r="A215" s="358"/>
      <c r="B215" s="110"/>
      <c r="C215" s="26"/>
      <c r="D215" s="27"/>
      <c r="E215" s="171"/>
      <c r="F215" s="290"/>
      <c r="G215" s="27"/>
      <c r="H215" s="403"/>
      <c r="I215" s="403"/>
      <c r="J215" s="403"/>
      <c r="K215" s="285"/>
      <c r="L215" s="403"/>
      <c r="M215" s="1045"/>
      <c r="N215" s="1047"/>
      <c r="O215" s="1066"/>
      <c r="P215" s="1"/>
      <c r="Q215" s="1"/>
      <c r="R215" s="1"/>
      <c r="S215" s="1"/>
      <c r="T215" s="358" t="s">
        <v>480</v>
      </c>
      <c r="U215" s="110" t="s">
        <v>481</v>
      </c>
      <c r="V215" s="26">
        <v>1</v>
      </c>
      <c r="W215" s="27" t="s">
        <v>90</v>
      </c>
      <c r="X215" s="436"/>
      <c r="Y215" s="171">
        <v>0</v>
      </c>
      <c r="Z215" s="290"/>
      <c r="AA215" s="27">
        <v>0</v>
      </c>
      <c r="AB215" s="403"/>
      <c r="AC215" s="403"/>
      <c r="AD215" s="403"/>
      <c r="AE215" s="285"/>
      <c r="AF215" s="403"/>
      <c r="AG215" s="41" t="s">
        <v>459</v>
      </c>
      <c r="AH215" s="174" t="s">
        <v>94</v>
      </c>
      <c r="AI215" s="174" t="s">
        <v>429</v>
      </c>
      <c r="AJ215" s="1" t="s">
        <v>98</v>
      </c>
      <c r="AK215" s="1" t="s">
        <v>98</v>
      </c>
      <c r="AL215" s="1" t="s">
        <v>98</v>
      </c>
      <c r="AM215" s="1" t="s">
        <v>98</v>
      </c>
      <c r="AN215" s="287"/>
      <c r="AO215" s="284"/>
      <c r="AP215" s="284"/>
      <c r="AQ215" s="284"/>
      <c r="AR215" s="284"/>
      <c r="AS215" s="284"/>
      <c r="AT215" s="284"/>
      <c r="AU215" s="284"/>
      <c r="AV215" s="284"/>
    </row>
    <row r="216" spans="1:48" customFormat="1">
      <c r="A216" s="387" t="s">
        <v>482</v>
      </c>
      <c r="B216" s="70" t="s">
        <v>483</v>
      </c>
      <c r="C216" s="71">
        <v>1</v>
      </c>
      <c r="D216" s="111" t="s">
        <v>90</v>
      </c>
      <c r="E216" s="85">
        <v>1523.87</v>
      </c>
      <c r="F216" s="103">
        <f>rv_mbp13_hg</f>
        <v>0.17599999999999999</v>
      </c>
      <c r="G216" s="111">
        <f t="shared" ref="G216:G221" si="27">E216-(E216*F216)</f>
        <v>1255.6688799999999</v>
      </c>
      <c r="H216" s="71" t="s">
        <v>427</v>
      </c>
      <c r="I216" s="91">
        <f>mbp13_5pl</f>
        <v>48</v>
      </c>
      <c r="J216" s="91">
        <f>G216+I216</f>
        <v>1303.6688799999999</v>
      </c>
      <c r="K216" s="75" t="s">
        <v>92</v>
      </c>
      <c r="L216" s="91">
        <v>0.3</v>
      </c>
      <c r="M216" s="1045" t="s">
        <v>459</v>
      </c>
      <c r="N216" s="1047" t="s">
        <v>94</v>
      </c>
      <c r="O216" s="1066" t="s">
        <v>429</v>
      </c>
      <c r="P216" s="1">
        <f t="shared" si="26"/>
        <v>262.43994911081012</v>
      </c>
      <c r="Q216" s="1">
        <f t="shared" si="26"/>
        <v>136.39173659937791</v>
      </c>
      <c r="R216" s="1">
        <f t="shared" si="26"/>
        <v>99.05725808814816</v>
      </c>
      <c r="S216" s="1">
        <f t="shared" si="26"/>
        <v>85.480111870758606</v>
      </c>
      <c r="T216" s="387" t="s">
        <v>482</v>
      </c>
      <c r="U216" s="70" t="s">
        <v>483</v>
      </c>
      <c r="V216" s="71">
        <v>1</v>
      </c>
      <c r="W216" s="111" t="s">
        <v>90</v>
      </c>
      <c r="X216" s="101" t="s">
        <v>482</v>
      </c>
      <c r="Y216" s="85">
        <v>1523.87</v>
      </c>
      <c r="Z216" s="103">
        <v>0.17599999999999999</v>
      </c>
      <c r="AA216" s="111">
        <v>1255.6688799999999</v>
      </c>
      <c r="AB216" s="71" t="s">
        <v>427</v>
      </c>
      <c r="AC216" s="91">
        <v>48</v>
      </c>
      <c r="AD216" s="91">
        <v>1303.6688799999999</v>
      </c>
      <c r="AE216" s="75" t="s">
        <v>92</v>
      </c>
      <c r="AF216" s="91">
        <v>0.3</v>
      </c>
      <c r="AG216" s="41" t="s">
        <v>459</v>
      </c>
      <c r="AH216" s="174" t="s">
        <v>94</v>
      </c>
      <c r="AI216" s="174" t="s">
        <v>429</v>
      </c>
      <c r="AJ216" s="1">
        <v>262.43994911081012</v>
      </c>
      <c r="AK216" s="1">
        <v>136.39173659937791</v>
      </c>
      <c r="AL216" s="1">
        <v>99.05725808814816</v>
      </c>
      <c r="AM216" s="1">
        <v>85.480111870758606</v>
      </c>
      <c r="AN216" s="287"/>
      <c r="AO216" s="284"/>
      <c r="AP216" s="284"/>
      <c r="AQ216" s="284"/>
      <c r="AR216" s="284"/>
      <c r="AS216" s="284"/>
      <c r="AT216" s="284"/>
      <c r="AU216" s="284"/>
      <c r="AV216" s="284"/>
    </row>
    <row r="217" spans="1:48" customFormat="1">
      <c r="A217" s="358" t="s">
        <v>484</v>
      </c>
      <c r="B217" s="110" t="s">
        <v>485</v>
      </c>
      <c r="C217" s="26">
        <v>1</v>
      </c>
      <c r="D217" s="27" t="s">
        <v>90</v>
      </c>
      <c r="E217" s="47">
        <v>191.67</v>
      </c>
      <c r="F217" s="77">
        <f>rv_mbp13_hg_cto</f>
        <v>0.17599999999999999</v>
      </c>
      <c r="G217" s="27">
        <f t="shared" si="27"/>
        <v>157.93608</v>
      </c>
      <c r="H217" s="108"/>
      <c r="I217" s="216"/>
      <c r="J217" s="216"/>
      <c r="K217" s="99"/>
      <c r="L217" s="269"/>
      <c r="M217" s="1045" t="s">
        <v>459</v>
      </c>
      <c r="N217" s="1047" t="s">
        <v>94</v>
      </c>
      <c r="O217" s="1066" t="s">
        <v>429</v>
      </c>
      <c r="P217" s="1" t="str">
        <f t="shared" si="26"/>
        <v/>
      </c>
      <c r="Q217" s="1" t="str">
        <f t="shared" si="26"/>
        <v/>
      </c>
      <c r="R217" s="1" t="str">
        <f t="shared" si="26"/>
        <v/>
      </c>
      <c r="S217" s="1" t="str">
        <f t="shared" si="26"/>
        <v/>
      </c>
      <c r="T217" s="358" t="s">
        <v>484</v>
      </c>
      <c r="U217" s="110" t="s">
        <v>485</v>
      </c>
      <c r="V217" s="26">
        <v>1</v>
      </c>
      <c r="W217" s="27" t="s">
        <v>90</v>
      </c>
      <c r="X217" s="436"/>
      <c r="Y217" s="47">
        <v>191.67</v>
      </c>
      <c r="Z217" s="77">
        <v>0.17599999999999999</v>
      </c>
      <c r="AA217" s="27">
        <v>157.93608</v>
      </c>
      <c r="AB217" s="108"/>
      <c r="AC217" s="216"/>
      <c r="AD217" s="216"/>
      <c r="AE217" s="99" t="s">
        <v>92</v>
      </c>
      <c r="AF217" s="269" t="s">
        <v>92</v>
      </c>
      <c r="AG217" s="41" t="s">
        <v>459</v>
      </c>
      <c r="AH217" s="174" t="s">
        <v>94</v>
      </c>
      <c r="AI217" s="174" t="s">
        <v>429</v>
      </c>
      <c r="AJ217" s="1" t="s">
        <v>98</v>
      </c>
      <c r="AK217" s="1" t="s">
        <v>98</v>
      </c>
      <c r="AL217" s="1" t="s">
        <v>98</v>
      </c>
      <c r="AM217" s="1" t="s">
        <v>98</v>
      </c>
      <c r="AN217" s="287"/>
      <c r="AO217" s="284"/>
      <c r="AP217" s="284"/>
      <c r="AQ217" s="284"/>
      <c r="AR217" s="284"/>
      <c r="AS217" s="284"/>
      <c r="AT217" s="284"/>
      <c r="AU217" s="284"/>
      <c r="AV217" s="284"/>
    </row>
    <row r="218" spans="1:48" customFormat="1">
      <c r="A218" s="358" t="s">
        <v>486</v>
      </c>
      <c r="B218" s="110" t="s">
        <v>487</v>
      </c>
      <c r="C218" s="26">
        <v>1</v>
      </c>
      <c r="D218" s="27" t="s">
        <v>90</v>
      </c>
      <c r="E218" s="171">
        <v>383.33</v>
      </c>
      <c r="F218" s="77">
        <f>rv_mbp13_hg_cto</f>
        <v>0.17599999999999999</v>
      </c>
      <c r="G218" s="108">
        <f t="shared" si="27"/>
        <v>315.86392000000001</v>
      </c>
      <c r="H218" s="108"/>
      <c r="I218" s="216"/>
      <c r="J218" s="216"/>
      <c r="K218" s="99"/>
      <c r="L218" s="269"/>
      <c r="M218" s="1045" t="s">
        <v>459</v>
      </c>
      <c r="N218" s="1047" t="s">
        <v>94</v>
      </c>
      <c r="O218" s="1066" t="s">
        <v>429</v>
      </c>
      <c r="P218" s="1" t="str">
        <f t="shared" si="26"/>
        <v/>
      </c>
      <c r="Q218" s="1" t="str">
        <f t="shared" si="26"/>
        <v/>
      </c>
      <c r="R218" s="1" t="str">
        <f t="shared" si="26"/>
        <v/>
      </c>
      <c r="S218" s="1" t="str">
        <f t="shared" si="26"/>
        <v/>
      </c>
      <c r="T218" s="358" t="s">
        <v>486</v>
      </c>
      <c r="U218" s="110" t="s">
        <v>487</v>
      </c>
      <c r="V218" s="26">
        <v>1</v>
      </c>
      <c r="W218" s="27" t="s">
        <v>90</v>
      </c>
      <c r="X218" s="436"/>
      <c r="Y218" s="171">
        <v>383.33</v>
      </c>
      <c r="Z218" s="77">
        <v>0.17599999999999999</v>
      </c>
      <c r="AA218" s="108">
        <v>315.86392000000001</v>
      </c>
      <c r="AB218" s="108"/>
      <c r="AC218" s="216"/>
      <c r="AD218" s="216"/>
      <c r="AE218" s="99" t="s">
        <v>92</v>
      </c>
      <c r="AF218" s="269" t="s">
        <v>92</v>
      </c>
      <c r="AG218" s="41" t="s">
        <v>459</v>
      </c>
      <c r="AH218" s="174" t="s">
        <v>94</v>
      </c>
      <c r="AI218" s="174" t="s">
        <v>429</v>
      </c>
      <c r="AJ218" s="1" t="s">
        <v>98</v>
      </c>
      <c r="AK218" s="1" t="s">
        <v>98</v>
      </c>
      <c r="AL218" s="1" t="s">
        <v>98</v>
      </c>
      <c r="AM218" s="1" t="s">
        <v>98</v>
      </c>
      <c r="AN218" s="287"/>
      <c r="AO218" s="284"/>
      <c r="AP218" s="284"/>
      <c r="AQ218" s="284"/>
      <c r="AR218" s="284"/>
      <c r="AS218" s="284"/>
      <c r="AT218" s="284"/>
      <c r="AU218" s="284"/>
      <c r="AV218" s="284"/>
    </row>
    <row r="219" spans="1:48" customFormat="1">
      <c r="A219" s="358" t="s">
        <v>488</v>
      </c>
      <c r="B219" s="110" t="s">
        <v>489</v>
      </c>
      <c r="C219" s="26">
        <v>1</v>
      </c>
      <c r="D219" s="27" t="s">
        <v>90</v>
      </c>
      <c r="E219" s="171">
        <v>191.67</v>
      </c>
      <c r="F219" s="77">
        <f>rv_mbp13_hg_cto</f>
        <v>0.17599999999999999</v>
      </c>
      <c r="G219" s="108">
        <f t="shared" si="27"/>
        <v>157.93608</v>
      </c>
      <c r="H219" s="108"/>
      <c r="I219" s="216"/>
      <c r="J219" s="216"/>
      <c r="K219" s="99"/>
      <c r="L219" s="269"/>
      <c r="M219" s="1045" t="s">
        <v>459</v>
      </c>
      <c r="N219" s="1047" t="s">
        <v>94</v>
      </c>
      <c r="O219" s="1066" t="s">
        <v>429</v>
      </c>
      <c r="P219" s="1" t="str">
        <f t="shared" si="26"/>
        <v/>
      </c>
      <c r="Q219" s="1" t="str">
        <f t="shared" si="26"/>
        <v/>
      </c>
      <c r="R219" s="1" t="str">
        <f t="shared" si="26"/>
        <v/>
      </c>
      <c r="S219" s="1" t="str">
        <f t="shared" si="26"/>
        <v/>
      </c>
      <c r="T219" s="358" t="s">
        <v>488</v>
      </c>
      <c r="U219" s="110" t="s">
        <v>489</v>
      </c>
      <c r="V219" s="26">
        <v>1</v>
      </c>
      <c r="W219" s="27" t="s">
        <v>90</v>
      </c>
      <c r="X219" s="436"/>
      <c r="Y219" s="171">
        <v>191.67</v>
      </c>
      <c r="Z219" s="77">
        <v>0.17599999999999999</v>
      </c>
      <c r="AA219" s="108">
        <v>157.93608</v>
      </c>
      <c r="AB219" s="108"/>
      <c r="AC219" s="216"/>
      <c r="AD219" s="216"/>
      <c r="AE219" s="99" t="s">
        <v>92</v>
      </c>
      <c r="AF219" s="269" t="s">
        <v>92</v>
      </c>
      <c r="AG219" s="41" t="s">
        <v>459</v>
      </c>
      <c r="AH219" s="174" t="s">
        <v>94</v>
      </c>
      <c r="AI219" s="174" t="s">
        <v>429</v>
      </c>
      <c r="AJ219" s="1" t="s">
        <v>98</v>
      </c>
      <c r="AK219" s="1" t="s">
        <v>98</v>
      </c>
      <c r="AL219" s="1" t="s">
        <v>98</v>
      </c>
      <c r="AM219" s="1" t="s">
        <v>98</v>
      </c>
      <c r="AN219" s="287"/>
      <c r="AO219" s="284"/>
      <c r="AP219" s="284"/>
      <c r="AQ219" s="284"/>
      <c r="AR219" s="284"/>
      <c r="AS219" s="284"/>
      <c r="AT219" s="284"/>
      <c r="AU219" s="284"/>
      <c r="AV219" s="284"/>
    </row>
    <row r="220" spans="1:48" customFormat="1">
      <c r="A220" s="358" t="s">
        <v>490</v>
      </c>
      <c r="B220" s="110" t="s">
        <v>491</v>
      </c>
      <c r="C220" s="26">
        <v>1</v>
      </c>
      <c r="D220" s="27" t="s">
        <v>90</v>
      </c>
      <c r="E220" s="171">
        <v>575</v>
      </c>
      <c r="F220" s="77">
        <f>rv_mbp13_hg_cto</f>
        <v>0.17599999999999999</v>
      </c>
      <c r="G220" s="108">
        <f t="shared" si="27"/>
        <v>473.8</v>
      </c>
      <c r="H220" s="108"/>
      <c r="I220" s="216"/>
      <c r="J220" s="216"/>
      <c r="K220" s="99"/>
      <c r="L220" s="269"/>
      <c r="M220" s="1045" t="s">
        <v>459</v>
      </c>
      <c r="N220" s="1047" t="s">
        <v>94</v>
      </c>
      <c r="O220" s="1066" t="s">
        <v>429</v>
      </c>
      <c r="P220" s="1" t="str">
        <f t="shared" si="26"/>
        <v/>
      </c>
      <c r="Q220" s="1" t="str">
        <f t="shared" si="26"/>
        <v/>
      </c>
      <c r="R220" s="1" t="str">
        <f t="shared" si="26"/>
        <v/>
      </c>
      <c r="S220" s="1" t="str">
        <f t="shared" si="26"/>
        <v/>
      </c>
      <c r="T220" s="358" t="s">
        <v>490</v>
      </c>
      <c r="U220" s="110" t="s">
        <v>491</v>
      </c>
      <c r="V220" s="26">
        <v>1</v>
      </c>
      <c r="W220" s="27" t="s">
        <v>90</v>
      </c>
      <c r="X220" s="436"/>
      <c r="Y220" s="171">
        <v>575</v>
      </c>
      <c r="Z220" s="77">
        <v>0.17599999999999999</v>
      </c>
      <c r="AA220" s="108">
        <v>473.8</v>
      </c>
      <c r="AB220" s="108"/>
      <c r="AC220" s="216"/>
      <c r="AD220" s="216"/>
      <c r="AE220" s="99" t="s">
        <v>92</v>
      </c>
      <c r="AF220" s="269" t="s">
        <v>92</v>
      </c>
      <c r="AG220" s="41" t="s">
        <v>459</v>
      </c>
      <c r="AH220" s="174" t="s">
        <v>94</v>
      </c>
      <c r="AI220" s="174" t="s">
        <v>429</v>
      </c>
      <c r="AJ220" s="1" t="s">
        <v>98</v>
      </c>
      <c r="AK220" s="1" t="s">
        <v>98</v>
      </c>
      <c r="AL220" s="1" t="s">
        <v>98</v>
      </c>
      <c r="AM220" s="1" t="s">
        <v>98</v>
      </c>
      <c r="AN220" s="287"/>
      <c r="AO220" s="284"/>
      <c r="AP220" s="284"/>
      <c r="AQ220" s="284"/>
      <c r="AR220" s="284"/>
      <c r="AS220" s="284"/>
      <c r="AT220" s="284"/>
      <c r="AU220" s="284"/>
      <c r="AV220" s="284"/>
    </row>
    <row r="221" spans="1:48" customFormat="1">
      <c r="A221" s="358" t="s">
        <v>492</v>
      </c>
      <c r="B221" s="110" t="s">
        <v>493</v>
      </c>
      <c r="C221" s="26">
        <v>1</v>
      </c>
      <c r="D221" s="27" t="s">
        <v>90</v>
      </c>
      <c r="E221" s="171">
        <v>0</v>
      </c>
      <c r="F221" s="77"/>
      <c r="G221" s="108">
        <f t="shared" si="27"/>
        <v>0</v>
      </c>
      <c r="H221" s="108"/>
      <c r="I221" s="216"/>
      <c r="J221" s="216"/>
      <c r="K221" s="99"/>
      <c r="L221" s="269"/>
      <c r="M221" s="1045" t="s">
        <v>459</v>
      </c>
      <c r="N221" s="1047" t="s">
        <v>94</v>
      </c>
      <c r="O221" s="1066" t="s">
        <v>429</v>
      </c>
      <c r="P221" s="1" t="str">
        <f t="shared" si="26"/>
        <v/>
      </c>
      <c r="Q221" s="1" t="str">
        <f t="shared" si="26"/>
        <v/>
      </c>
      <c r="R221" s="1" t="str">
        <f t="shared" si="26"/>
        <v/>
      </c>
      <c r="S221" s="1" t="str">
        <f t="shared" si="26"/>
        <v/>
      </c>
      <c r="T221" s="358" t="s">
        <v>492</v>
      </c>
      <c r="U221" s="110" t="s">
        <v>493</v>
      </c>
      <c r="V221" s="26">
        <v>1</v>
      </c>
      <c r="W221" s="27" t="s">
        <v>90</v>
      </c>
      <c r="X221" s="436"/>
      <c r="Y221" s="171">
        <v>0</v>
      </c>
      <c r="Z221" s="77"/>
      <c r="AA221" s="108">
        <v>0</v>
      </c>
      <c r="AB221" s="108"/>
      <c r="AC221" s="216"/>
      <c r="AD221" s="216"/>
      <c r="AE221" s="99" t="s">
        <v>92</v>
      </c>
      <c r="AF221" s="269" t="s">
        <v>92</v>
      </c>
      <c r="AG221" s="41" t="s">
        <v>459</v>
      </c>
      <c r="AH221" s="174" t="s">
        <v>94</v>
      </c>
      <c r="AI221" s="174" t="s">
        <v>429</v>
      </c>
      <c r="AJ221" s="1" t="s">
        <v>98</v>
      </c>
      <c r="AK221" s="1" t="s">
        <v>98</v>
      </c>
      <c r="AL221" s="1" t="s">
        <v>98</v>
      </c>
      <c r="AM221" s="1" t="s">
        <v>98</v>
      </c>
      <c r="AN221" s="287"/>
      <c r="AO221" s="284"/>
      <c r="AP221" s="284"/>
      <c r="AQ221" s="284"/>
      <c r="AR221" s="284"/>
      <c r="AS221" s="284"/>
      <c r="AT221" s="284"/>
      <c r="AU221" s="284"/>
      <c r="AV221" s="284"/>
    </row>
    <row r="222" spans="1:48" customFormat="1">
      <c r="A222" s="358" t="s">
        <v>494</v>
      </c>
      <c r="B222" s="110" t="s">
        <v>495</v>
      </c>
      <c r="C222" s="26">
        <v>1</v>
      </c>
      <c r="D222" s="27" t="s">
        <v>90</v>
      </c>
      <c r="E222" s="171">
        <v>0</v>
      </c>
      <c r="F222" s="21"/>
      <c r="G222" s="27">
        <v>0</v>
      </c>
      <c r="H222" s="27"/>
      <c r="I222" s="270"/>
      <c r="J222" s="270"/>
      <c r="K222" s="121"/>
      <c r="L222" s="76"/>
      <c r="M222" s="1045" t="s">
        <v>459</v>
      </c>
      <c r="N222" s="1047" t="s">
        <v>94</v>
      </c>
      <c r="O222" s="1066" t="s">
        <v>429</v>
      </c>
      <c r="P222" s="1" t="str">
        <f t="shared" si="26"/>
        <v/>
      </c>
      <c r="Q222" s="1" t="str">
        <f t="shared" si="26"/>
        <v/>
      </c>
      <c r="R222" s="1" t="str">
        <f t="shared" si="26"/>
        <v/>
      </c>
      <c r="S222" s="1" t="str">
        <f t="shared" si="26"/>
        <v/>
      </c>
      <c r="T222" s="358" t="s">
        <v>494</v>
      </c>
      <c r="U222" s="110" t="s">
        <v>495</v>
      </c>
      <c r="V222" s="26">
        <v>1</v>
      </c>
      <c r="W222" s="27" t="s">
        <v>90</v>
      </c>
      <c r="X222" s="436"/>
      <c r="Y222" s="171">
        <v>0</v>
      </c>
      <c r="Z222" s="21"/>
      <c r="AA222" s="27">
        <v>0</v>
      </c>
      <c r="AB222" s="27"/>
      <c r="AC222" s="270"/>
      <c r="AD222" s="270"/>
      <c r="AE222" s="121" t="s">
        <v>92</v>
      </c>
      <c r="AF222" s="76" t="s">
        <v>92</v>
      </c>
      <c r="AG222" s="41" t="s">
        <v>459</v>
      </c>
      <c r="AH222" s="174" t="s">
        <v>94</v>
      </c>
      <c r="AI222" s="174" t="s">
        <v>429</v>
      </c>
      <c r="AJ222" s="1" t="s">
        <v>98</v>
      </c>
      <c r="AK222" s="1" t="s">
        <v>98</v>
      </c>
      <c r="AL222" s="1" t="s">
        <v>98</v>
      </c>
      <c r="AM222" s="1" t="s">
        <v>98</v>
      </c>
      <c r="AN222" s="287"/>
      <c r="AO222" s="284"/>
      <c r="AP222" s="284"/>
      <c r="AQ222" s="284"/>
      <c r="AR222" s="284"/>
      <c r="AS222" s="284"/>
      <c r="AT222" s="284"/>
      <c r="AU222" s="284"/>
      <c r="AV222" s="284"/>
    </row>
    <row r="223" spans="1:48" customFormat="1">
      <c r="A223" s="358"/>
      <c r="B223" s="110"/>
      <c r="C223" s="26"/>
      <c r="D223" s="27"/>
      <c r="E223" s="171"/>
      <c r="F223" s="21"/>
      <c r="G223" s="27"/>
      <c r="H223" s="120"/>
      <c r="I223" s="270"/>
      <c r="J223" s="270"/>
      <c r="K223" s="121"/>
      <c r="L223" s="76"/>
      <c r="M223" s="1045"/>
      <c r="N223" s="1047"/>
      <c r="O223" s="1066"/>
      <c r="P223" s="1"/>
      <c r="Q223" s="1"/>
      <c r="R223" s="1"/>
      <c r="S223" s="1"/>
      <c r="T223" s="358" t="s">
        <v>496</v>
      </c>
      <c r="U223" s="110" t="s">
        <v>497</v>
      </c>
      <c r="V223" s="26">
        <v>1</v>
      </c>
      <c r="W223" s="27" t="s">
        <v>90</v>
      </c>
      <c r="X223" s="436"/>
      <c r="Y223" s="171">
        <v>0</v>
      </c>
      <c r="Z223" s="21"/>
      <c r="AA223" s="27">
        <v>0</v>
      </c>
      <c r="AB223" s="120"/>
      <c r="AC223" s="270"/>
      <c r="AD223" s="270"/>
      <c r="AE223" s="121" t="s">
        <v>92</v>
      </c>
      <c r="AF223" s="76" t="s">
        <v>92</v>
      </c>
      <c r="AG223" s="41" t="s">
        <v>459</v>
      </c>
      <c r="AH223" s="174" t="s">
        <v>94</v>
      </c>
      <c r="AI223" s="174" t="s">
        <v>429</v>
      </c>
      <c r="AJ223" s="1" t="s">
        <v>98</v>
      </c>
      <c r="AK223" s="1" t="s">
        <v>98</v>
      </c>
      <c r="AL223" s="1" t="s">
        <v>98</v>
      </c>
      <c r="AM223" s="1" t="s">
        <v>98</v>
      </c>
      <c r="AN223" s="287"/>
      <c r="AO223" s="284"/>
      <c r="AP223" s="284"/>
      <c r="AQ223" s="284"/>
      <c r="AR223" s="284"/>
      <c r="AS223" s="284"/>
      <c r="AT223" s="284"/>
      <c r="AU223" s="284"/>
      <c r="AV223" s="284"/>
    </row>
    <row r="224" spans="1:48" customFormat="1">
      <c r="A224" s="358" t="s">
        <v>498</v>
      </c>
      <c r="B224" s="110" t="s">
        <v>499</v>
      </c>
      <c r="C224" s="26">
        <v>1</v>
      </c>
      <c r="D224" s="27" t="s">
        <v>90</v>
      </c>
      <c r="E224" s="171">
        <v>0</v>
      </c>
      <c r="F224" s="290"/>
      <c r="G224" s="27">
        <v>0</v>
      </c>
      <c r="H224" s="403"/>
      <c r="I224" s="403"/>
      <c r="J224" s="403"/>
      <c r="K224" s="285"/>
      <c r="L224" s="403"/>
      <c r="M224" s="1045" t="s">
        <v>459</v>
      </c>
      <c r="N224" s="1047" t="s">
        <v>94</v>
      </c>
      <c r="O224" s="1066" t="s">
        <v>429</v>
      </c>
      <c r="P224" s="1" t="str">
        <f t="shared" si="26"/>
        <v/>
      </c>
      <c r="Q224" s="1" t="str">
        <f t="shared" si="26"/>
        <v/>
      </c>
      <c r="R224" s="1" t="str">
        <f t="shared" si="26"/>
        <v/>
      </c>
      <c r="S224" s="1" t="str">
        <f t="shared" si="26"/>
        <v/>
      </c>
      <c r="T224" s="358" t="s">
        <v>498</v>
      </c>
      <c r="U224" s="110" t="s">
        <v>499</v>
      </c>
      <c r="V224" s="26">
        <v>1</v>
      </c>
      <c r="W224" s="27" t="s">
        <v>90</v>
      </c>
      <c r="X224" s="436"/>
      <c r="Y224" s="171">
        <v>0</v>
      </c>
      <c r="Z224" s="290"/>
      <c r="AA224" s="27">
        <v>0</v>
      </c>
      <c r="AB224" s="403"/>
      <c r="AC224" s="403"/>
      <c r="AD224" s="403"/>
      <c r="AE224" s="285"/>
      <c r="AF224" s="403"/>
      <c r="AG224" s="41" t="s">
        <v>459</v>
      </c>
      <c r="AH224" s="174" t="s">
        <v>94</v>
      </c>
      <c r="AI224" s="174" t="s">
        <v>429</v>
      </c>
      <c r="AJ224" s="1" t="s">
        <v>98</v>
      </c>
      <c r="AK224" s="1" t="s">
        <v>98</v>
      </c>
      <c r="AL224" s="1" t="s">
        <v>98</v>
      </c>
      <c r="AM224" s="1" t="s">
        <v>98</v>
      </c>
      <c r="AN224" s="287"/>
      <c r="AO224" s="284"/>
      <c r="AP224" s="284"/>
      <c r="AQ224" s="284"/>
      <c r="AR224" s="284"/>
      <c r="AS224" s="284"/>
      <c r="AT224" s="284"/>
      <c r="AU224" s="284"/>
      <c r="AV224" s="284"/>
    </row>
    <row r="225" spans="1:48" customFormat="1">
      <c r="A225" s="358"/>
      <c r="B225" s="110"/>
      <c r="C225" s="26"/>
      <c r="D225" s="27"/>
      <c r="E225" s="171"/>
      <c r="F225" s="290"/>
      <c r="G225" s="27"/>
      <c r="H225" s="403"/>
      <c r="I225" s="403"/>
      <c r="J225" s="403"/>
      <c r="K225" s="285"/>
      <c r="L225" s="403"/>
      <c r="M225" s="1045"/>
      <c r="N225" s="1047"/>
      <c r="O225" s="1066"/>
      <c r="P225" s="1"/>
      <c r="Q225" s="1"/>
      <c r="R225" s="1"/>
      <c r="S225" s="1"/>
      <c r="T225" s="358" t="s">
        <v>500</v>
      </c>
      <c r="U225" s="110" t="s">
        <v>501</v>
      </c>
      <c r="V225" s="26">
        <v>1</v>
      </c>
      <c r="W225" s="27" t="s">
        <v>90</v>
      </c>
      <c r="X225" s="436"/>
      <c r="Y225" s="171">
        <v>0</v>
      </c>
      <c r="Z225" s="290"/>
      <c r="AA225" s="27">
        <v>0</v>
      </c>
      <c r="AB225" s="403"/>
      <c r="AC225" s="403"/>
      <c r="AD225" s="403"/>
      <c r="AE225" s="285"/>
      <c r="AF225" s="403"/>
      <c r="AG225" s="41" t="s">
        <v>459</v>
      </c>
      <c r="AH225" s="174" t="s">
        <v>94</v>
      </c>
      <c r="AI225" s="174" t="s">
        <v>429</v>
      </c>
      <c r="AJ225" s="1" t="s">
        <v>98</v>
      </c>
      <c r="AK225" s="1" t="s">
        <v>98</v>
      </c>
      <c r="AL225" s="1" t="s">
        <v>98</v>
      </c>
      <c r="AM225" s="1" t="s">
        <v>98</v>
      </c>
      <c r="AN225" s="287"/>
      <c r="AO225" s="284"/>
      <c r="AP225" s="284"/>
      <c r="AQ225" s="284"/>
      <c r="AR225" s="284"/>
      <c r="AS225" s="284"/>
      <c r="AT225" s="284"/>
      <c r="AU225" s="284"/>
      <c r="AV225" s="284"/>
    </row>
    <row r="226" spans="1:48" customFormat="1">
      <c r="A226" s="358"/>
      <c r="B226" s="110"/>
      <c r="C226" s="26"/>
      <c r="D226" s="27"/>
      <c r="E226" s="171"/>
      <c r="F226" s="290"/>
      <c r="G226" s="27"/>
      <c r="H226" s="403"/>
      <c r="I226" s="403"/>
      <c r="J226" s="403"/>
      <c r="K226" s="285"/>
      <c r="L226" s="403"/>
      <c r="M226" s="1045"/>
      <c r="N226" s="1047"/>
      <c r="O226" s="1066"/>
      <c r="P226" s="1"/>
      <c r="Q226" s="1"/>
      <c r="R226" s="1"/>
      <c r="S226" s="1"/>
      <c r="T226" s="358" t="s">
        <v>502</v>
      </c>
      <c r="U226" s="110" t="s">
        <v>503</v>
      </c>
      <c r="V226" s="26">
        <v>1</v>
      </c>
      <c r="W226" s="27" t="s">
        <v>90</v>
      </c>
      <c r="X226" s="436"/>
      <c r="Y226" s="171">
        <v>0</v>
      </c>
      <c r="Z226" s="290"/>
      <c r="AA226" s="27">
        <v>0</v>
      </c>
      <c r="AB226" s="403"/>
      <c r="AC226" s="403"/>
      <c r="AD226" s="403"/>
      <c r="AE226" s="285"/>
      <c r="AF226" s="403"/>
      <c r="AG226" s="41" t="s">
        <v>459</v>
      </c>
      <c r="AH226" s="174" t="s">
        <v>94</v>
      </c>
      <c r="AI226" s="174" t="s">
        <v>429</v>
      </c>
      <c r="AJ226" s="1" t="s">
        <v>98</v>
      </c>
      <c r="AK226" s="1" t="s">
        <v>98</v>
      </c>
      <c r="AL226" s="1" t="s">
        <v>98</v>
      </c>
      <c r="AM226" s="1" t="s">
        <v>98</v>
      </c>
      <c r="AN226" s="287"/>
      <c r="AO226" s="284"/>
      <c r="AP226" s="284"/>
      <c r="AQ226" s="284"/>
      <c r="AR226" s="284"/>
      <c r="AS226" s="284"/>
      <c r="AT226" s="284"/>
      <c r="AU226" s="284"/>
      <c r="AV226" s="284"/>
    </row>
    <row r="227" spans="1:48" customFormat="1">
      <c r="A227" s="358"/>
      <c r="B227" s="110"/>
      <c r="C227" s="26"/>
      <c r="D227" s="27"/>
      <c r="E227" s="171"/>
      <c r="F227" s="290"/>
      <c r="G227" s="27"/>
      <c r="H227" s="403"/>
      <c r="I227" s="403"/>
      <c r="J227" s="403"/>
      <c r="K227" s="285"/>
      <c r="L227" s="403"/>
      <c r="M227" s="1045"/>
      <c r="N227" s="1047"/>
      <c r="O227" s="1066"/>
      <c r="P227" s="1"/>
      <c r="Q227" s="1"/>
      <c r="R227" s="1"/>
      <c r="S227" s="1"/>
      <c r="T227" s="358" t="s">
        <v>504</v>
      </c>
      <c r="U227" s="110" t="s">
        <v>505</v>
      </c>
      <c r="V227" s="26">
        <v>1</v>
      </c>
      <c r="W227" s="27" t="s">
        <v>90</v>
      </c>
      <c r="X227" s="436"/>
      <c r="Y227" s="171">
        <v>0</v>
      </c>
      <c r="Z227" s="290"/>
      <c r="AA227" s="27">
        <v>0</v>
      </c>
      <c r="AB227" s="403"/>
      <c r="AC227" s="403"/>
      <c r="AD227" s="403"/>
      <c r="AE227" s="285"/>
      <c r="AF227" s="403"/>
      <c r="AG227" s="41" t="s">
        <v>459</v>
      </c>
      <c r="AH227" s="174" t="s">
        <v>94</v>
      </c>
      <c r="AI227" s="174" t="s">
        <v>429</v>
      </c>
      <c r="AJ227" s="1" t="s">
        <v>98</v>
      </c>
      <c r="AK227" s="1" t="s">
        <v>98</v>
      </c>
      <c r="AL227" s="1" t="s">
        <v>98</v>
      </c>
      <c r="AM227" s="1" t="s">
        <v>98</v>
      </c>
      <c r="AN227" s="287"/>
      <c r="AO227" s="284"/>
      <c r="AP227" s="284"/>
      <c r="AQ227" s="284"/>
      <c r="AR227" s="284"/>
      <c r="AS227" s="284"/>
      <c r="AT227" s="284"/>
      <c r="AU227" s="284"/>
      <c r="AV227" s="284"/>
    </row>
    <row r="228" spans="1:48" customFormat="1">
      <c r="A228" s="391" t="s">
        <v>427</v>
      </c>
      <c r="B228" s="79" t="s">
        <v>430</v>
      </c>
      <c r="C228" s="133">
        <v>1</v>
      </c>
      <c r="D228" s="123" t="s">
        <v>114</v>
      </c>
      <c r="E228" s="601">
        <v>58.25</v>
      </c>
      <c r="F228" s="214">
        <v>0.17599999999999999</v>
      </c>
      <c r="G228" s="107">
        <f>E228-(E228*F228)</f>
        <v>47.998000000000005</v>
      </c>
      <c r="H228" s="272"/>
      <c r="I228" s="194"/>
      <c r="J228" s="194"/>
      <c r="K228" s="99"/>
      <c r="L228" s="269"/>
      <c r="M228" s="1045" t="s">
        <v>115</v>
      </c>
      <c r="N228" s="1047" t="s">
        <v>116</v>
      </c>
      <c r="O228" s="1066" t="s">
        <v>117</v>
      </c>
      <c r="P228" s="1" t="str">
        <f>+IF($J228&lt;&gt;"",P$2*$J228,"")</f>
        <v/>
      </c>
      <c r="Q228" s="1" t="str">
        <f>+IF($J228&lt;&gt;"",Q$2*$J228,"")</f>
        <v/>
      </c>
      <c r="R228" s="1" t="str">
        <f>+IF($J228&lt;&gt;"",R$2*$J228,"")</f>
        <v/>
      </c>
      <c r="S228" s="1" t="str">
        <f>+IF($J228&lt;&gt;"",S$2*$J228,"")</f>
        <v/>
      </c>
      <c r="T228" s="391" t="s">
        <v>427</v>
      </c>
      <c r="U228" s="79" t="s">
        <v>430</v>
      </c>
      <c r="V228" s="133">
        <v>1</v>
      </c>
      <c r="W228" s="123" t="s">
        <v>114</v>
      </c>
      <c r="X228" s="122" t="s">
        <v>427</v>
      </c>
      <c r="Y228" s="601">
        <v>58.25</v>
      </c>
      <c r="Z228" s="214">
        <v>0.17599999999999999</v>
      </c>
      <c r="AA228" s="107">
        <v>47.998000000000005</v>
      </c>
      <c r="AB228" s="272"/>
      <c r="AC228" s="194"/>
      <c r="AD228" s="194"/>
      <c r="AE228" s="99" t="s">
        <v>92</v>
      </c>
      <c r="AF228" s="269" t="s">
        <v>92</v>
      </c>
      <c r="AG228" s="41" t="s">
        <v>115</v>
      </c>
      <c r="AH228" s="174" t="s">
        <v>116</v>
      </c>
      <c r="AI228" s="174" t="s">
        <v>117</v>
      </c>
      <c r="AJ228" s="1" t="s">
        <v>98</v>
      </c>
      <c r="AK228" s="1" t="s">
        <v>98</v>
      </c>
      <c r="AL228" s="1" t="s">
        <v>98</v>
      </c>
      <c r="AM228" s="1" t="s">
        <v>98</v>
      </c>
      <c r="AN228" s="287"/>
      <c r="AO228" s="284"/>
      <c r="AP228" s="284"/>
      <c r="AQ228" s="284"/>
      <c r="AR228" s="284"/>
      <c r="AS228" s="284"/>
      <c r="AT228" s="284"/>
      <c r="AU228" s="284"/>
      <c r="AV228" s="284"/>
    </row>
    <row r="229" spans="1:48" customFormat="1">
      <c r="A229" s="78" t="s">
        <v>506</v>
      </c>
      <c r="B229" s="79" t="s">
        <v>507</v>
      </c>
      <c r="C229" s="80">
        <v>1</v>
      </c>
      <c r="D229" s="123" t="s">
        <v>114</v>
      </c>
      <c r="E229" s="119"/>
      <c r="F229" s="82"/>
      <c r="G229" s="107">
        <v>24</v>
      </c>
      <c r="H229" s="107"/>
      <c r="I229" s="76"/>
      <c r="J229" s="76"/>
      <c r="K229" s="16"/>
      <c r="L229" s="76"/>
      <c r="M229" s="1045" t="s">
        <v>115</v>
      </c>
      <c r="N229" s="1047" t="s">
        <v>116</v>
      </c>
      <c r="O229" s="1066" t="s">
        <v>117</v>
      </c>
      <c r="P229" s="1" t="str">
        <f t="shared" ref="P229:S248" si="28">+IF($J229&lt;&gt;"",P$2*$J229,"")</f>
        <v/>
      </c>
      <c r="Q229" s="1" t="str">
        <f t="shared" si="28"/>
        <v/>
      </c>
      <c r="R229" s="1" t="str">
        <f t="shared" si="28"/>
        <v/>
      </c>
      <c r="S229" s="1" t="str">
        <f t="shared" si="28"/>
        <v/>
      </c>
      <c r="T229" s="457" t="s">
        <v>506</v>
      </c>
      <c r="U229" s="79" t="s">
        <v>508</v>
      </c>
      <c r="V229" s="80">
        <v>1</v>
      </c>
      <c r="W229" s="123" t="s">
        <v>114</v>
      </c>
      <c r="X229" s="80" t="s">
        <v>506</v>
      </c>
      <c r="Y229" s="119"/>
      <c r="Z229" s="82"/>
      <c r="AA229" s="107">
        <v>24</v>
      </c>
      <c r="AB229" s="107"/>
      <c r="AC229" s="76"/>
      <c r="AD229" s="76"/>
      <c r="AE229" s="16" t="s">
        <v>92</v>
      </c>
      <c r="AF229" s="76" t="s">
        <v>92</v>
      </c>
      <c r="AG229" s="41" t="s">
        <v>115</v>
      </c>
      <c r="AH229" s="174" t="s">
        <v>116</v>
      </c>
      <c r="AI229" s="174" t="s">
        <v>117</v>
      </c>
      <c r="AJ229" s="1" t="s">
        <v>98</v>
      </c>
      <c r="AK229" s="1" t="s">
        <v>98</v>
      </c>
      <c r="AL229" s="1" t="s">
        <v>98</v>
      </c>
      <c r="AM229" s="1" t="s">
        <v>98</v>
      </c>
      <c r="AN229" s="287"/>
      <c r="AO229" s="284"/>
      <c r="AP229" s="284"/>
      <c r="AQ229" s="284"/>
      <c r="AR229" s="284"/>
      <c r="AS229" s="284"/>
      <c r="AT229" s="284"/>
      <c r="AU229" s="284"/>
      <c r="AV229" s="284"/>
    </row>
    <row r="230" spans="1:48" customFormat="1">
      <c r="A230" s="78" t="s">
        <v>509</v>
      </c>
      <c r="B230" s="79" t="s">
        <v>510</v>
      </c>
      <c r="C230" s="80">
        <v>1</v>
      </c>
      <c r="D230" s="123" t="s">
        <v>114</v>
      </c>
      <c r="E230" s="119"/>
      <c r="F230" s="82"/>
      <c r="G230" s="107">
        <v>48</v>
      </c>
      <c r="H230" s="107"/>
      <c r="I230" s="76"/>
      <c r="J230" s="76"/>
      <c r="K230" s="16"/>
      <c r="L230" s="76"/>
      <c r="M230" s="1045" t="s">
        <v>115</v>
      </c>
      <c r="N230" s="1047" t="s">
        <v>116</v>
      </c>
      <c r="O230" s="1066" t="s">
        <v>117</v>
      </c>
      <c r="P230" s="1" t="str">
        <f t="shared" si="28"/>
        <v/>
      </c>
      <c r="Q230" s="1" t="str">
        <f t="shared" si="28"/>
        <v/>
      </c>
      <c r="R230" s="1" t="str">
        <f t="shared" si="28"/>
        <v/>
      </c>
      <c r="S230" s="1" t="str">
        <f t="shared" si="28"/>
        <v/>
      </c>
      <c r="T230" s="457" t="s">
        <v>509</v>
      </c>
      <c r="U230" s="79" t="s">
        <v>511</v>
      </c>
      <c r="V230" s="80">
        <v>1</v>
      </c>
      <c r="W230" s="123" t="s">
        <v>114</v>
      </c>
      <c r="X230" s="80" t="s">
        <v>509</v>
      </c>
      <c r="Y230" s="119"/>
      <c r="Z230" s="82"/>
      <c r="AA230" s="107">
        <v>48</v>
      </c>
      <c r="AB230" s="107"/>
      <c r="AC230" s="76"/>
      <c r="AD230" s="76"/>
      <c r="AE230" s="16" t="s">
        <v>92</v>
      </c>
      <c r="AF230" s="76" t="s">
        <v>92</v>
      </c>
      <c r="AG230" s="41" t="s">
        <v>115</v>
      </c>
      <c r="AH230" s="174" t="s">
        <v>116</v>
      </c>
      <c r="AI230" s="174" t="s">
        <v>117</v>
      </c>
      <c r="AJ230" s="1" t="s">
        <v>98</v>
      </c>
      <c r="AK230" s="1" t="s">
        <v>98</v>
      </c>
      <c r="AL230" s="1" t="s">
        <v>98</v>
      </c>
      <c r="AM230" s="1" t="s">
        <v>98</v>
      </c>
      <c r="AN230" s="287"/>
      <c r="AO230" s="284"/>
      <c r="AP230" s="284"/>
      <c r="AQ230" s="284"/>
      <c r="AR230" s="284"/>
      <c r="AS230" s="284"/>
      <c r="AT230" s="284"/>
      <c r="AU230" s="284"/>
      <c r="AV230" s="284"/>
    </row>
    <row r="231" spans="1:48" customFormat="1">
      <c r="A231" s="78" t="s">
        <v>512</v>
      </c>
      <c r="B231" s="79" t="s">
        <v>513</v>
      </c>
      <c r="C231" s="80">
        <v>1</v>
      </c>
      <c r="D231" s="123" t="s">
        <v>114</v>
      </c>
      <c r="E231" s="119"/>
      <c r="F231" s="82"/>
      <c r="G231" s="107">
        <v>74</v>
      </c>
      <c r="H231" s="107"/>
      <c r="I231" s="76"/>
      <c r="J231" s="76"/>
      <c r="K231" s="16"/>
      <c r="L231" s="76"/>
      <c r="M231" s="1045" t="s">
        <v>115</v>
      </c>
      <c r="N231" s="1047" t="s">
        <v>116</v>
      </c>
      <c r="O231" s="1066" t="s">
        <v>117</v>
      </c>
      <c r="P231" s="1" t="str">
        <f t="shared" si="28"/>
        <v/>
      </c>
      <c r="Q231" s="1" t="str">
        <f t="shared" si="28"/>
        <v/>
      </c>
      <c r="R231" s="1" t="str">
        <f t="shared" si="28"/>
        <v/>
      </c>
      <c r="S231" s="1" t="str">
        <f t="shared" si="28"/>
        <v/>
      </c>
      <c r="T231" s="457" t="s">
        <v>512</v>
      </c>
      <c r="U231" s="79" t="s">
        <v>514</v>
      </c>
      <c r="V231" s="80">
        <v>1</v>
      </c>
      <c r="W231" s="123" t="s">
        <v>114</v>
      </c>
      <c r="X231" s="80" t="s">
        <v>512</v>
      </c>
      <c r="Y231" s="119"/>
      <c r="Z231" s="82"/>
      <c r="AA231" s="107">
        <v>74</v>
      </c>
      <c r="AB231" s="107"/>
      <c r="AC231" s="76"/>
      <c r="AD231" s="76"/>
      <c r="AE231" s="16" t="s">
        <v>92</v>
      </c>
      <c r="AF231" s="76" t="s">
        <v>92</v>
      </c>
      <c r="AG231" s="41" t="s">
        <v>115</v>
      </c>
      <c r="AH231" s="174" t="s">
        <v>116</v>
      </c>
      <c r="AI231" s="174" t="s">
        <v>117</v>
      </c>
      <c r="AJ231" s="1" t="s">
        <v>98</v>
      </c>
      <c r="AK231" s="1" t="s">
        <v>98</v>
      </c>
      <c r="AL231" s="1" t="s">
        <v>98</v>
      </c>
      <c r="AM231" s="1" t="s">
        <v>98</v>
      </c>
      <c r="AN231" s="287"/>
      <c r="AO231" s="284"/>
      <c r="AP231" s="284"/>
      <c r="AQ231" s="284"/>
      <c r="AR231" s="284"/>
      <c r="AS231" s="284"/>
      <c r="AT231" s="284"/>
      <c r="AU231" s="284"/>
      <c r="AV231" s="284"/>
    </row>
    <row r="232" spans="1:48" customFormat="1">
      <c r="A232" s="78" t="s">
        <v>515</v>
      </c>
      <c r="B232" s="79" t="s">
        <v>516</v>
      </c>
      <c r="C232" s="80">
        <v>1</v>
      </c>
      <c r="D232" s="123" t="s">
        <v>114</v>
      </c>
      <c r="E232" s="119"/>
      <c r="F232" s="82"/>
      <c r="G232" s="107">
        <v>21</v>
      </c>
      <c r="H232" s="107"/>
      <c r="I232" s="76"/>
      <c r="J232" s="76"/>
      <c r="K232" s="16"/>
      <c r="L232" s="76"/>
      <c r="M232" s="1045" t="s">
        <v>115</v>
      </c>
      <c r="N232" s="1047" t="s">
        <v>116</v>
      </c>
      <c r="O232" s="1066" t="s">
        <v>117</v>
      </c>
      <c r="P232" s="1" t="str">
        <f t="shared" si="28"/>
        <v/>
      </c>
      <c r="Q232" s="1" t="str">
        <f t="shared" si="28"/>
        <v/>
      </c>
      <c r="R232" s="1" t="str">
        <f t="shared" si="28"/>
        <v/>
      </c>
      <c r="S232" s="1" t="str">
        <f t="shared" si="28"/>
        <v/>
      </c>
      <c r="T232" s="457" t="s">
        <v>515</v>
      </c>
      <c r="U232" s="79" t="s">
        <v>517</v>
      </c>
      <c r="V232" s="80">
        <v>1</v>
      </c>
      <c r="W232" s="123" t="s">
        <v>114</v>
      </c>
      <c r="X232" s="80" t="s">
        <v>515</v>
      </c>
      <c r="Y232" s="119"/>
      <c r="Z232" s="82"/>
      <c r="AA232" s="107">
        <v>21</v>
      </c>
      <c r="AB232" s="107"/>
      <c r="AC232" s="76"/>
      <c r="AD232" s="76"/>
      <c r="AE232" s="16" t="s">
        <v>92</v>
      </c>
      <c r="AF232" s="76" t="s">
        <v>92</v>
      </c>
      <c r="AG232" s="41" t="s">
        <v>115</v>
      </c>
      <c r="AH232" s="174" t="s">
        <v>116</v>
      </c>
      <c r="AI232" s="174" t="s">
        <v>117</v>
      </c>
      <c r="AJ232" s="1" t="s">
        <v>98</v>
      </c>
      <c r="AK232" s="1" t="s">
        <v>98</v>
      </c>
      <c r="AL232" s="1" t="s">
        <v>98</v>
      </c>
      <c r="AM232" s="1" t="s">
        <v>98</v>
      </c>
      <c r="AN232" s="287"/>
      <c r="AO232" s="284"/>
      <c r="AP232" s="284"/>
      <c r="AQ232" s="284"/>
      <c r="AR232" s="284"/>
      <c r="AS232" s="284"/>
      <c r="AT232" s="284"/>
      <c r="AU232" s="284"/>
      <c r="AV232" s="284"/>
    </row>
    <row r="233" spans="1:48" customFormat="1">
      <c r="A233" s="78" t="s">
        <v>518</v>
      </c>
      <c r="B233" s="79" t="s">
        <v>519</v>
      </c>
      <c r="C233" s="80">
        <v>1</v>
      </c>
      <c r="D233" s="123" t="s">
        <v>114</v>
      </c>
      <c r="E233" s="119"/>
      <c r="F233" s="82"/>
      <c r="G233" s="107">
        <v>58</v>
      </c>
      <c r="H233" s="107"/>
      <c r="I233" s="76"/>
      <c r="J233" s="76"/>
      <c r="K233" s="16"/>
      <c r="L233" s="76"/>
      <c r="M233" s="1045" t="s">
        <v>115</v>
      </c>
      <c r="N233" s="1047" t="s">
        <v>116</v>
      </c>
      <c r="O233" s="1066" t="s">
        <v>117</v>
      </c>
      <c r="P233" s="1" t="str">
        <f t="shared" si="28"/>
        <v/>
      </c>
      <c r="Q233" s="1" t="str">
        <f t="shared" si="28"/>
        <v/>
      </c>
      <c r="R233" s="1" t="str">
        <f t="shared" si="28"/>
        <v/>
      </c>
      <c r="S233" s="1" t="str">
        <f t="shared" si="28"/>
        <v/>
      </c>
      <c r="T233" s="457" t="s">
        <v>518</v>
      </c>
      <c r="U233" s="79" t="s">
        <v>520</v>
      </c>
      <c r="V233" s="80">
        <v>1</v>
      </c>
      <c r="W233" s="123" t="s">
        <v>114</v>
      </c>
      <c r="X233" s="80" t="s">
        <v>518</v>
      </c>
      <c r="Y233" s="119"/>
      <c r="Z233" s="82"/>
      <c r="AA233" s="107">
        <v>58</v>
      </c>
      <c r="AB233" s="107"/>
      <c r="AC233" s="76"/>
      <c r="AD233" s="76"/>
      <c r="AE233" s="16" t="s">
        <v>92</v>
      </c>
      <c r="AF233" s="76" t="s">
        <v>92</v>
      </c>
      <c r="AG233" s="41" t="s">
        <v>115</v>
      </c>
      <c r="AH233" s="174" t="s">
        <v>116</v>
      </c>
      <c r="AI233" s="174" t="s">
        <v>117</v>
      </c>
      <c r="AJ233" s="1" t="s">
        <v>98</v>
      </c>
      <c r="AK233" s="1" t="s">
        <v>98</v>
      </c>
      <c r="AL233" s="1" t="s">
        <v>98</v>
      </c>
      <c r="AM233" s="1" t="s">
        <v>98</v>
      </c>
      <c r="AN233" s="287"/>
      <c r="AO233" s="284"/>
      <c r="AP233" s="284"/>
      <c r="AQ233" s="284"/>
      <c r="AR233" s="284"/>
      <c r="AS233" s="284"/>
      <c r="AT233" s="284"/>
      <c r="AU233" s="284"/>
      <c r="AV233" s="284"/>
    </row>
    <row r="234" spans="1:48" customFormat="1">
      <c r="A234" s="78" t="s">
        <v>521</v>
      </c>
      <c r="B234" s="79" t="s">
        <v>522</v>
      </c>
      <c r="C234" s="80">
        <v>1</v>
      </c>
      <c r="D234" s="123" t="s">
        <v>114</v>
      </c>
      <c r="E234" s="119"/>
      <c r="F234" s="82"/>
      <c r="G234" s="107">
        <v>86</v>
      </c>
      <c r="H234" s="107"/>
      <c r="I234" s="76"/>
      <c r="J234" s="76"/>
      <c r="K234" s="16"/>
      <c r="L234" s="76"/>
      <c r="M234" s="1045" t="s">
        <v>115</v>
      </c>
      <c r="N234" s="1047" t="s">
        <v>116</v>
      </c>
      <c r="O234" s="1066" t="s">
        <v>117</v>
      </c>
      <c r="P234" s="1" t="str">
        <f t="shared" si="28"/>
        <v/>
      </c>
      <c r="Q234" s="1" t="str">
        <f t="shared" si="28"/>
        <v/>
      </c>
      <c r="R234" s="1" t="str">
        <f t="shared" si="28"/>
        <v/>
      </c>
      <c r="S234" s="1" t="str">
        <f t="shared" si="28"/>
        <v/>
      </c>
      <c r="T234" s="457" t="s">
        <v>521</v>
      </c>
      <c r="U234" s="79" t="s">
        <v>523</v>
      </c>
      <c r="V234" s="80">
        <v>1</v>
      </c>
      <c r="W234" s="123" t="s">
        <v>114</v>
      </c>
      <c r="X234" s="80" t="s">
        <v>521</v>
      </c>
      <c r="Y234" s="119"/>
      <c r="Z234" s="82"/>
      <c r="AA234" s="107">
        <v>86</v>
      </c>
      <c r="AB234" s="107"/>
      <c r="AC234" s="76"/>
      <c r="AD234" s="76"/>
      <c r="AE234" s="16" t="s">
        <v>92</v>
      </c>
      <c r="AF234" s="76" t="s">
        <v>92</v>
      </c>
      <c r="AG234" s="41" t="s">
        <v>115</v>
      </c>
      <c r="AH234" s="174" t="s">
        <v>116</v>
      </c>
      <c r="AI234" s="174" t="s">
        <v>117</v>
      </c>
      <c r="AJ234" s="1" t="s">
        <v>98</v>
      </c>
      <c r="AK234" s="1" t="s">
        <v>98</v>
      </c>
      <c r="AL234" s="1" t="s">
        <v>98</v>
      </c>
      <c r="AM234" s="1" t="s">
        <v>98</v>
      </c>
      <c r="AN234" s="287"/>
      <c r="AO234" s="284"/>
      <c r="AP234" s="284"/>
      <c r="AQ234" s="284"/>
      <c r="AR234" s="284"/>
      <c r="AS234" s="284"/>
      <c r="AT234" s="284"/>
      <c r="AU234" s="284"/>
      <c r="AV234" s="284"/>
    </row>
    <row r="235" spans="1:48" customFormat="1">
      <c r="A235" s="78" t="s">
        <v>524</v>
      </c>
      <c r="B235" s="79" t="s">
        <v>525</v>
      </c>
      <c r="C235" s="80">
        <v>1</v>
      </c>
      <c r="D235" s="123" t="s">
        <v>114</v>
      </c>
      <c r="E235" s="119"/>
      <c r="F235" s="82"/>
      <c r="G235" s="107">
        <v>88</v>
      </c>
      <c r="H235" s="107"/>
      <c r="I235" s="76"/>
      <c r="J235" s="76"/>
      <c r="K235" s="16"/>
      <c r="L235" s="76"/>
      <c r="M235" s="1045" t="s">
        <v>115</v>
      </c>
      <c r="N235" s="1047" t="s">
        <v>116</v>
      </c>
      <c r="O235" s="1066" t="s">
        <v>117</v>
      </c>
      <c r="P235" s="1" t="str">
        <f t="shared" si="28"/>
        <v/>
      </c>
      <c r="Q235" s="1" t="str">
        <f t="shared" si="28"/>
        <v/>
      </c>
      <c r="R235" s="1" t="str">
        <f t="shared" si="28"/>
        <v/>
      </c>
      <c r="S235" s="1" t="str">
        <f t="shared" si="28"/>
        <v/>
      </c>
      <c r="T235" s="457" t="s">
        <v>524</v>
      </c>
      <c r="U235" s="79" t="s">
        <v>526</v>
      </c>
      <c r="V235" s="80">
        <v>1</v>
      </c>
      <c r="W235" s="123" t="s">
        <v>114</v>
      </c>
      <c r="X235" s="80" t="s">
        <v>524</v>
      </c>
      <c r="Y235" s="119"/>
      <c r="Z235" s="82"/>
      <c r="AA235" s="107">
        <v>88</v>
      </c>
      <c r="AB235" s="107"/>
      <c r="AC235" s="76"/>
      <c r="AD235" s="76"/>
      <c r="AE235" s="16" t="s">
        <v>92</v>
      </c>
      <c r="AF235" s="76" t="s">
        <v>92</v>
      </c>
      <c r="AG235" s="41" t="s">
        <v>115</v>
      </c>
      <c r="AH235" s="174" t="s">
        <v>116</v>
      </c>
      <c r="AI235" s="174" t="s">
        <v>117</v>
      </c>
      <c r="AJ235" s="1" t="s">
        <v>98</v>
      </c>
      <c r="AK235" s="1" t="s">
        <v>98</v>
      </c>
      <c r="AL235" s="1" t="s">
        <v>98</v>
      </c>
      <c r="AM235" s="1" t="s">
        <v>98</v>
      </c>
      <c r="AN235" s="287"/>
      <c r="AO235" s="284"/>
      <c r="AP235" s="284"/>
      <c r="AQ235" s="284"/>
      <c r="AR235" s="284"/>
      <c r="AS235" s="284"/>
      <c r="AT235" s="284"/>
      <c r="AU235" s="284"/>
      <c r="AV235" s="284"/>
    </row>
    <row r="236" spans="1:48" customFormat="1">
      <c r="A236" s="78" t="s">
        <v>527</v>
      </c>
      <c r="B236" s="79" t="s">
        <v>528</v>
      </c>
      <c r="C236" s="80">
        <v>1</v>
      </c>
      <c r="D236" s="123" t="s">
        <v>114</v>
      </c>
      <c r="E236" s="119"/>
      <c r="F236" s="82"/>
      <c r="G236" s="107">
        <v>37</v>
      </c>
      <c r="H236" s="107"/>
      <c r="I236" s="76"/>
      <c r="J236" s="76"/>
      <c r="K236" s="16"/>
      <c r="L236" s="76"/>
      <c r="M236" s="1045" t="s">
        <v>115</v>
      </c>
      <c r="N236" s="1047" t="s">
        <v>116</v>
      </c>
      <c r="O236" s="1066" t="s">
        <v>117</v>
      </c>
      <c r="P236" s="1" t="str">
        <f t="shared" si="28"/>
        <v/>
      </c>
      <c r="Q236" s="1" t="str">
        <f t="shared" si="28"/>
        <v/>
      </c>
      <c r="R236" s="1" t="str">
        <f t="shared" si="28"/>
        <v/>
      </c>
      <c r="S236" s="1" t="str">
        <f t="shared" si="28"/>
        <v/>
      </c>
      <c r="T236" s="457" t="s">
        <v>527</v>
      </c>
      <c r="U236" s="79" t="s">
        <v>529</v>
      </c>
      <c r="V236" s="80">
        <v>1</v>
      </c>
      <c r="W236" s="123" t="s">
        <v>114</v>
      </c>
      <c r="X236" s="80" t="s">
        <v>527</v>
      </c>
      <c r="Y236" s="119"/>
      <c r="Z236" s="82"/>
      <c r="AA236" s="107">
        <v>37</v>
      </c>
      <c r="AB236" s="107"/>
      <c r="AC236" s="76"/>
      <c r="AD236" s="76"/>
      <c r="AE236" s="16" t="s">
        <v>92</v>
      </c>
      <c r="AF236" s="76" t="s">
        <v>92</v>
      </c>
      <c r="AG236" s="41" t="s">
        <v>115</v>
      </c>
      <c r="AH236" s="174" t="s">
        <v>116</v>
      </c>
      <c r="AI236" s="174" t="s">
        <v>117</v>
      </c>
      <c r="AJ236" s="1" t="s">
        <v>98</v>
      </c>
      <c r="AK236" s="1" t="s">
        <v>98</v>
      </c>
      <c r="AL236" s="1" t="s">
        <v>98</v>
      </c>
      <c r="AM236" s="1" t="s">
        <v>98</v>
      </c>
      <c r="AN236" s="287"/>
      <c r="AO236" s="284"/>
      <c r="AP236" s="284"/>
      <c r="AQ236" s="284"/>
      <c r="AR236" s="284"/>
      <c r="AS236" s="284"/>
      <c r="AT236" s="284"/>
      <c r="AU236" s="284"/>
      <c r="AV236" s="284"/>
    </row>
    <row r="237" spans="1:48" customFormat="1">
      <c r="A237" s="78" t="s">
        <v>530</v>
      </c>
      <c r="B237" s="79" t="s">
        <v>531</v>
      </c>
      <c r="C237" s="80">
        <v>1</v>
      </c>
      <c r="D237" s="123" t="s">
        <v>114</v>
      </c>
      <c r="E237" s="119"/>
      <c r="F237" s="82"/>
      <c r="G237" s="107">
        <v>84</v>
      </c>
      <c r="H237" s="107"/>
      <c r="I237" s="76"/>
      <c r="J237" s="76"/>
      <c r="K237" s="16"/>
      <c r="L237" s="76"/>
      <c r="M237" s="1045" t="s">
        <v>115</v>
      </c>
      <c r="N237" s="1047" t="s">
        <v>116</v>
      </c>
      <c r="O237" s="1066" t="s">
        <v>117</v>
      </c>
      <c r="P237" s="1" t="str">
        <f t="shared" si="28"/>
        <v/>
      </c>
      <c r="Q237" s="1" t="str">
        <f t="shared" si="28"/>
        <v/>
      </c>
      <c r="R237" s="1" t="str">
        <f t="shared" si="28"/>
        <v/>
      </c>
      <c r="S237" s="1" t="str">
        <f t="shared" si="28"/>
        <v/>
      </c>
      <c r="T237" s="457" t="s">
        <v>530</v>
      </c>
      <c r="U237" s="79" t="s">
        <v>532</v>
      </c>
      <c r="V237" s="80">
        <v>1</v>
      </c>
      <c r="W237" s="123" t="s">
        <v>114</v>
      </c>
      <c r="X237" s="80" t="s">
        <v>530</v>
      </c>
      <c r="Y237" s="119"/>
      <c r="Z237" s="82"/>
      <c r="AA237" s="107">
        <v>84</v>
      </c>
      <c r="AB237" s="107"/>
      <c r="AC237" s="76"/>
      <c r="AD237" s="76"/>
      <c r="AE237" s="16" t="s">
        <v>92</v>
      </c>
      <c r="AF237" s="76" t="s">
        <v>92</v>
      </c>
      <c r="AG237" s="41" t="s">
        <v>115</v>
      </c>
      <c r="AH237" s="174" t="s">
        <v>116</v>
      </c>
      <c r="AI237" s="174" t="s">
        <v>117</v>
      </c>
      <c r="AJ237" s="1" t="s">
        <v>98</v>
      </c>
      <c r="AK237" s="1" t="s">
        <v>98</v>
      </c>
      <c r="AL237" s="1" t="s">
        <v>98</v>
      </c>
      <c r="AM237" s="1" t="s">
        <v>98</v>
      </c>
      <c r="AN237" s="287"/>
      <c r="AO237" s="284"/>
      <c r="AP237" s="284"/>
      <c r="AQ237" s="284"/>
      <c r="AR237" s="284"/>
      <c r="AS237" s="284"/>
      <c r="AT237" s="284"/>
      <c r="AU237" s="284"/>
      <c r="AV237" s="284"/>
    </row>
    <row r="238" spans="1:48" customFormat="1">
      <c r="A238" s="78" t="s">
        <v>533</v>
      </c>
      <c r="B238" s="79" t="s">
        <v>534</v>
      </c>
      <c r="C238" s="80">
        <v>1</v>
      </c>
      <c r="D238" s="123" t="s">
        <v>114</v>
      </c>
      <c r="E238" s="119"/>
      <c r="F238" s="82"/>
      <c r="G238" s="107">
        <v>126</v>
      </c>
      <c r="H238" s="107"/>
      <c r="I238" s="76"/>
      <c r="J238" s="76"/>
      <c r="K238" s="16"/>
      <c r="L238" s="76"/>
      <c r="M238" s="1045" t="s">
        <v>115</v>
      </c>
      <c r="N238" s="1047" t="s">
        <v>116</v>
      </c>
      <c r="O238" s="1066" t="s">
        <v>117</v>
      </c>
      <c r="P238" s="1" t="str">
        <f t="shared" si="28"/>
        <v/>
      </c>
      <c r="Q238" s="1" t="str">
        <f t="shared" si="28"/>
        <v/>
      </c>
      <c r="R238" s="1" t="str">
        <f t="shared" si="28"/>
        <v/>
      </c>
      <c r="S238" s="1" t="str">
        <f t="shared" si="28"/>
        <v/>
      </c>
      <c r="T238" s="457" t="s">
        <v>533</v>
      </c>
      <c r="U238" s="79" t="s">
        <v>535</v>
      </c>
      <c r="V238" s="80">
        <v>1</v>
      </c>
      <c r="W238" s="123" t="s">
        <v>114</v>
      </c>
      <c r="X238" s="80" t="s">
        <v>533</v>
      </c>
      <c r="Y238" s="119"/>
      <c r="Z238" s="82"/>
      <c r="AA238" s="107">
        <v>126</v>
      </c>
      <c r="AB238" s="107"/>
      <c r="AC238" s="76"/>
      <c r="AD238" s="76"/>
      <c r="AE238" s="16" t="s">
        <v>92</v>
      </c>
      <c r="AF238" s="76" t="s">
        <v>92</v>
      </c>
      <c r="AG238" s="41" t="s">
        <v>115</v>
      </c>
      <c r="AH238" s="174" t="s">
        <v>116</v>
      </c>
      <c r="AI238" s="174" t="s">
        <v>117</v>
      </c>
      <c r="AJ238" s="1" t="s">
        <v>98</v>
      </c>
      <c r="AK238" s="1" t="s">
        <v>98</v>
      </c>
      <c r="AL238" s="1" t="s">
        <v>98</v>
      </c>
      <c r="AM238" s="1" t="s">
        <v>98</v>
      </c>
      <c r="AN238" s="287"/>
      <c r="AO238" s="284"/>
      <c r="AP238" s="284"/>
      <c r="AQ238" s="284"/>
      <c r="AR238" s="284"/>
      <c r="AS238" s="284"/>
      <c r="AT238" s="284"/>
      <c r="AU238" s="284"/>
      <c r="AV238" s="284"/>
    </row>
    <row r="239" spans="1:48" customFormat="1">
      <c r="A239" s="78" t="s">
        <v>536</v>
      </c>
      <c r="B239" s="79" t="s">
        <v>537</v>
      </c>
      <c r="C239" s="80">
        <v>1</v>
      </c>
      <c r="D239" s="123" t="s">
        <v>114</v>
      </c>
      <c r="E239" s="119"/>
      <c r="F239" s="82"/>
      <c r="G239" s="107">
        <v>194</v>
      </c>
      <c r="H239" s="107"/>
      <c r="I239" s="76"/>
      <c r="J239" s="76"/>
      <c r="K239" s="16"/>
      <c r="L239" s="76"/>
      <c r="M239" s="1045" t="s">
        <v>115</v>
      </c>
      <c r="N239" s="1047" t="s">
        <v>116</v>
      </c>
      <c r="O239" s="1066" t="s">
        <v>117</v>
      </c>
      <c r="P239" s="1" t="str">
        <f t="shared" si="28"/>
        <v/>
      </c>
      <c r="Q239" s="1" t="str">
        <f t="shared" si="28"/>
        <v/>
      </c>
      <c r="R239" s="1" t="str">
        <f t="shared" si="28"/>
        <v/>
      </c>
      <c r="S239" s="1" t="str">
        <f t="shared" si="28"/>
        <v/>
      </c>
      <c r="T239" s="457" t="s">
        <v>536</v>
      </c>
      <c r="U239" s="79" t="s">
        <v>538</v>
      </c>
      <c r="V239" s="80">
        <v>1</v>
      </c>
      <c r="W239" s="123" t="s">
        <v>114</v>
      </c>
      <c r="X239" s="80" t="s">
        <v>536</v>
      </c>
      <c r="Y239" s="119"/>
      <c r="Z239" s="82"/>
      <c r="AA239" s="107">
        <v>194</v>
      </c>
      <c r="AB239" s="107"/>
      <c r="AC239" s="76"/>
      <c r="AD239" s="76"/>
      <c r="AE239" s="16" t="s">
        <v>92</v>
      </c>
      <c r="AF239" s="76" t="s">
        <v>92</v>
      </c>
      <c r="AG239" s="41" t="s">
        <v>115</v>
      </c>
      <c r="AH239" s="174" t="s">
        <v>116</v>
      </c>
      <c r="AI239" s="174" t="s">
        <v>117</v>
      </c>
      <c r="AJ239" s="1" t="s">
        <v>98</v>
      </c>
      <c r="AK239" s="1" t="s">
        <v>98</v>
      </c>
      <c r="AL239" s="1" t="s">
        <v>98</v>
      </c>
      <c r="AM239" s="1" t="s">
        <v>98</v>
      </c>
      <c r="AN239" s="287"/>
      <c r="AO239" s="284"/>
      <c r="AP239" s="284"/>
      <c r="AQ239" s="284"/>
      <c r="AR239" s="284"/>
      <c r="AS239" s="284"/>
      <c r="AT239" s="284"/>
      <c r="AU239" s="284"/>
      <c r="AV239" s="284"/>
    </row>
    <row r="240" spans="1:48" customFormat="1">
      <c r="A240" s="468" t="s">
        <v>539</v>
      </c>
      <c r="B240" s="1027" t="s">
        <v>540</v>
      </c>
      <c r="C240" s="469">
        <v>1</v>
      </c>
      <c r="D240" s="177" t="s">
        <v>114</v>
      </c>
      <c r="E240" s="178"/>
      <c r="F240" s="56"/>
      <c r="G240" s="600">
        <v>384</v>
      </c>
      <c r="H240" s="180"/>
      <c r="I240" s="178"/>
      <c r="J240" s="178"/>
      <c r="K240" s="53"/>
      <c r="L240" s="178"/>
      <c r="M240" s="1045" t="s">
        <v>115</v>
      </c>
      <c r="N240" s="1047" t="s">
        <v>116</v>
      </c>
      <c r="O240" s="1066" t="s">
        <v>117</v>
      </c>
      <c r="P240" s="1" t="str">
        <f t="shared" si="28"/>
        <v/>
      </c>
      <c r="Q240" s="1" t="str">
        <f t="shared" si="28"/>
        <v/>
      </c>
      <c r="R240" s="1" t="str">
        <f t="shared" si="28"/>
        <v/>
      </c>
      <c r="S240" s="1" t="str">
        <f t="shared" si="28"/>
        <v/>
      </c>
      <c r="T240" s="846" t="s">
        <v>539</v>
      </c>
      <c r="U240" s="1027" t="s">
        <v>540</v>
      </c>
      <c r="V240" s="469">
        <v>1</v>
      </c>
      <c r="W240" s="177" t="s">
        <v>114</v>
      </c>
      <c r="X240" s="470" t="s">
        <v>539</v>
      </c>
      <c r="Y240" s="178"/>
      <c r="Z240" s="56"/>
      <c r="AA240" s="600">
        <v>384</v>
      </c>
      <c r="AB240" s="180"/>
      <c r="AC240" s="178"/>
      <c r="AD240" s="178"/>
      <c r="AE240" s="53" t="s">
        <v>92</v>
      </c>
      <c r="AF240" s="178" t="s">
        <v>92</v>
      </c>
      <c r="AG240" s="41" t="s">
        <v>115</v>
      </c>
      <c r="AH240" s="174" t="s">
        <v>116</v>
      </c>
      <c r="AI240" s="174" t="s">
        <v>117</v>
      </c>
      <c r="AJ240" s="1" t="s">
        <v>98</v>
      </c>
      <c r="AK240" s="1" t="s">
        <v>98</v>
      </c>
      <c r="AL240" s="1" t="s">
        <v>98</v>
      </c>
      <c r="AM240" s="1" t="s">
        <v>98</v>
      </c>
      <c r="AN240" s="287"/>
      <c r="AO240" s="284"/>
      <c r="AP240" s="284"/>
      <c r="AQ240" s="284"/>
      <c r="AR240" s="284"/>
      <c r="AS240" s="284"/>
      <c r="AT240" s="284"/>
      <c r="AU240" s="284"/>
      <c r="AV240" s="284"/>
    </row>
    <row r="241" spans="1:48" customFormat="1">
      <c r="A241" s="78" t="s">
        <v>541</v>
      </c>
      <c r="B241" s="79" t="s">
        <v>542</v>
      </c>
      <c r="C241" s="80">
        <v>1</v>
      </c>
      <c r="D241" s="123" t="s">
        <v>114</v>
      </c>
      <c r="E241" s="209"/>
      <c r="F241" s="21"/>
      <c r="G241" s="107">
        <v>510</v>
      </c>
      <c r="H241" s="145"/>
      <c r="I241" s="76"/>
      <c r="J241" s="76"/>
      <c r="K241" s="16"/>
      <c r="L241" s="76"/>
      <c r="M241" s="1045" t="s">
        <v>115</v>
      </c>
      <c r="N241" s="1047" t="s">
        <v>116</v>
      </c>
      <c r="O241" s="1066" t="s">
        <v>117</v>
      </c>
      <c r="P241" s="1" t="str">
        <f t="shared" si="28"/>
        <v/>
      </c>
      <c r="Q241" s="1" t="str">
        <f t="shared" si="28"/>
        <v/>
      </c>
      <c r="R241" s="1" t="str">
        <f t="shared" si="28"/>
        <v/>
      </c>
      <c r="S241" s="1" t="str">
        <f t="shared" si="28"/>
        <v/>
      </c>
      <c r="T241" s="457" t="s">
        <v>541</v>
      </c>
      <c r="U241" s="79" t="s">
        <v>542</v>
      </c>
      <c r="V241" s="80">
        <v>1</v>
      </c>
      <c r="W241" s="123" t="s">
        <v>114</v>
      </c>
      <c r="X241" s="122" t="s">
        <v>541</v>
      </c>
      <c r="Y241" s="209"/>
      <c r="Z241" s="21"/>
      <c r="AA241" s="107">
        <v>510</v>
      </c>
      <c r="AB241" s="145"/>
      <c r="AC241" s="76"/>
      <c r="AD241" s="76"/>
      <c r="AE241" s="16" t="s">
        <v>92</v>
      </c>
      <c r="AF241" s="76" t="s">
        <v>92</v>
      </c>
      <c r="AG241" s="41" t="s">
        <v>115</v>
      </c>
      <c r="AH241" s="174" t="s">
        <v>116</v>
      </c>
      <c r="AI241" s="174" t="s">
        <v>117</v>
      </c>
      <c r="AJ241" s="1" t="s">
        <v>98</v>
      </c>
      <c r="AK241" s="1" t="s">
        <v>98</v>
      </c>
      <c r="AL241" s="1" t="s">
        <v>98</v>
      </c>
      <c r="AM241" s="1" t="s">
        <v>98</v>
      </c>
      <c r="AN241" s="287"/>
      <c r="AO241" s="284"/>
      <c r="AP241" s="284"/>
      <c r="AQ241" s="284"/>
      <c r="AR241" s="284"/>
      <c r="AS241" s="284"/>
      <c r="AT241" s="284"/>
      <c r="AU241" s="284"/>
      <c r="AV241" s="284"/>
    </row>
    <row r="242" spans="1:48" customFormat="1">
      <c r="A242" s="471" t="s">
        <v>543</v>
      </c>
      <c r="B242" s="472" t="s">
        <v>544</v>
      </c>
      <c r="C242" s="473">
        <v>1</v>
      </c>
      <c r="D242" s="212" t="s">
        <v>114</v>
      </c>
      <c r="E242" s="106"/>
      <c r="F242" s="430"/>
      <c r="G242" s="145">
        <v>161.51</v>
      </c>
      <c r="H242" s="107"/>
      <c r="I242" s="76"/>
      <c r="J242" s="76"/>
      <c r="K242" s="16"/>
      <c r="L242" s="76"/>
      <c r="M242" s="1045" t="s">
        <v>115</v>
      </c>
      <c r="N242" s="1047" t="s">
        <v>116</v>
      </c>
      <c r="O242" s="1066" t="s">
        <v>117</v>
      </c>
      <c r="P242" s="1" t="str">
        <f t="shared" si="28"/>
        <v/>
      </c>
      <c r="Q242" s="1" t="str">
        <f t="shared" si="28"/>
        <v/>
      </c>
      <c r="R242" s="1" t="str">
        <f t="shared" si="28"/>
        <v/>
      </c>
      <c r="S242" s="1" t="str">
        <f t="shared" si="28"/>
        <v/>
      </c>
      <c r="T242" s="477" t="s">
        <v>543</v>
      </c>
      <c r="U242" s="472" t="s">
        <v>544</v>
      </c>
      <c r="V242" s="473">
        <v>1</v>
      </c>
      <c r="W242" s="212" t="s">
        <v>114</v>
      </c>
      <c r="X242" s="473" t="s">
        <v>543</v>
      </c>
      <c r="Y242" s="106"/>
      <c r="Z242" s="430"/>
      <c r="AA242" s="145">
        <v>161.51</v>
      </c>
      <c r="AB242" s="107"/>
      <c r="AC242" s="76"/>
      <c r="AD242" s="76"/>
      <c r="AE242" s="16"/>
      <c r="AF242" s="76"/>
      <c r="AG242" s="41" t="s">
        <v>115</v>
      </c>
      <c r="AH242" s="174" t="s">
        <v>116</v>
      </c>
      <c r="AI242" s="174" t="s">
        <v>117</v>
      </c>
      <c r="AJ242" s="1" t="s">
        <v>98</v>
      </c>
      <c r="AK242" s="1" t="s">
        <v>98</v>
      </c>
      <c r="AL242" s="1" t="s">
        <v>98</v>
      </c>
      <c r="AM242" s="1" t="s">
        <v>98</v>
      </c>
      <c r="AN242" s="287"/>
      <c r="AO242" s="284"/>
      <c r="AP242" s="284"/>
      <c r="AQ242" s="284"/>
      <c r="AR242" s="284"/>
      <c r="AS242" s="284"/>
      <c r="AT242" s="284"/>
      <c r="AU242" s="284"/>
      <c r="AV242" s="284"/>
    </row>
    <row r="243" spans="1:48" customFormat="1">
      <c r="A243" s="23" t="s">
        <v>545</v>
      </c>
      <c r="B243" s="110" t="s">
        <v>546</v>
      </c>
      <c r="C243" s="26">
        <v>1</v>
      </c>
      <c r="D243" s="123" t="s">
        <v>114</v>
      </c>
      <c r="E243" s="28"/>
      <c r="F243" s="21"/>
      <c r="G243" s="145">
        <v>173.67</v>
      </c>
      <c r="H243" s="107"/>
      <c r="I243" s="76"/>
      <c r="J243" s="76"/>
      <c r="K243" s="16"/>
      <c r="L243" s="76"/>
      <c r="M243" s="1045" t="s">
        <v>115</v>
      </c>
      <c r="N243" s="1047" t="s">
        <v>116</v>
      </c>
      <c r="O243" s="1067" t="s">
        <v>117</v>
      </c>
      <c r="P243" s="1" t="str">
        <f t="shared" si="28"/>
        <v/>
      </c>
      <c r="Q243" s="1" t="str">
        <f t="shared" si="28"/>
        <v/>
      </c>
      <c r="R243" s="1" t="str">
        <f t="shared" si="28"/>
        <v/>
      </c>
      <c r="S243" s="1" t="str">
        <f t="shared" si="28"/>
        <v/>
      </c>
      <c r="T243" s="421" t="s">
        <v>545</v>
      </c>
      <c r="U243" s="110" t="s">
        <v>546</v>
      </c>
      <c r="V243" s="26">
        <v>1</v>
      </c>
      <c r="W243" s="123" t="s">
        <v>114</v>
      </c>
      <c r="X243" s="26" t="s">
        <v>545</v>
      </c>
      <c r="Y243" s="28"/>
      <c r="Z243" s="21"/>
      <c r="AA243" s="145">
        <v>173.67</v>
      </c>
      <c r="AB243" s="107"/>
      <c r="AC243" s="76"/>
      <c r="AD243" s="76"/>
      <c r="AE243" s="16"/>
      <c r="AF243" s="76"/>
      <c r="AG243" s="41" t="s">
        <v>115</v>
      </c>
      <c r="AH243" s="174" t="s">
        <v>116</v>
      </c>
      <c r="AI243" s="174" t="s">
        <v>117</v>
      </c>
      <c r="AJ243" s="1" t="s">
        <v>98</v>
      </c>
      <c r="AK243" s="1" t="s">
        <v>98</v>
      </c>
      <c r="AL243" s="1" t="s">
        <v>98</v>
      </c>
      <c r="AM243" s="1" t="s">
        <v>98</v>
      </c>
      <c r="AN243" s="287"/>
      <c r="AO243" s="284"/>
      <c r="AP243" s="284"/>
      <c r="AQ243" s="284"/>
      <c r="AR243" s="284"/>
      <c r="AS243" s="284"/>
      <c r="AT243" s="284"/>
      <c r="AU243" s="284"/>
      <c r="AV243" s="284"/>
    </row>
    <row r="244" spans="1:48" s="860" customFormat="1" ht="20.100000000000001" customHeight="1">
      <c r="A244" s="1074" t="s">
        <v>3607</v>
      </c>
      <c r="B244" s="1078" t="s">
        <v>3686</v>
      </c>
      <c r="C244" s="878"/>
      <c r="D244" s="879"/>
      <c r="E244" s="879"/>
      <c r="F244" s="880"/>
      <c r="G244" s="881"/>
      <c r="H244" s="893"/>
      <c r="I244" s="883"/>
      <c r="J244" s="883"/>
      <c r="K244" s="881"/>
      <c r="L244" s="869"/>
      <c r="M244" s="869"/>
      <c r="N244" s="1028"/>
      <c r="O244" s="869"/>
      <c r="P244" s="869"/>
      <c r="Q244" s="869"/>
      <c r="R244" s="869"/>
      <c r="S244" s="887"/>
      <c r="T244" s="894"/>
      <c r="U244" s="895"/>
      <c r="V244" s="896"/>
      <c r="W244" s="897"/>
      <c r="X244" s="898"/>
      <c r="Y244" s="897"/>
      <c r="Z244" s="899"/>
      <c r="AA244" s="900"/>
      <c r="AB244" s="896"/>
      <c r="AC244" s="900"/>
      <c r="AD244" s="900"/>
      <c r="AE244" s="901"/>
      <c r="AF244" s="902"/>
      <c r="AG244" s="858"/>
      <c r="AH244" s="859"/>
      <c r="AI244" s="859"/>
      <c r="AJ244" s="860" t="s">
        <v>98</v>
      </c>
      <c r="AK244" s="860" t="s">
        <v>98</v>
      </c>
      <c r="AL244" s="860" t="s">
        <v>98</v>
      </c>
      <c r="AM244" s="860" t="s">
        <v>98</v>
      </c>
      <c r="AN244" s="871"/>
    </row>
    <row r="245" spans="1:48">
      <c r="A245" s="830" t="s">
        <v>3273</v>
      </c>
      <c r="B245" s="831" t="s">
        <v>3274</v>
      </c>
      <c r="C245" s="832">
        <v>1</v>
      </c>
      <c r="D245" s="833" t="s">
        <v>90</v>
      </c>
      <c r="E245" s="454">
        <v>1998.87</v>
      </c>
      <c r="F245" s="835">
        <f>rv_mbp14_eg</f>
        <v>0.17599999999999999</v>
      </c>
      <c r="G245" s="266">
        <f t="shared" ref="G245:G257" si="29">E245-(E245*F245)</f>
        <v>1647.0688799999998</v>
      </c>
      <c r="H245" s="832" t="s">
        <v>549</v>
      </c>
      <c r="I245" s="270">
        <v>48</v>
      </c>
      <c r="J245" s="270">
        <f>G245+I245</f>
        <v>1695.0688799999998</v>
      </c>
      <c r="K245" s="216" t="s">
        <v>92</v>
      </c>
      <c r="L245" s="216">
        <v>0.3</v>
      </c>
      <c r="M245" s="1045" t="s">
        <v>3668</v>
      </c>
      <c r="N245" s="1046" t="s">
        <v>94</v>
      </c>
      <c r="O245" s="1065" t="s">
        <v>429</v>
      </c>
      <c r="P245" s="1">
        <f t="shared" si="28"/>
        <v>341.23219279923126</v>
      </c>
      <c r="Q245" s="1">
        <f t="shared" si="28"/>
        <v>177.34057454739772</v>
      </c>
      <c r="R245" s="1">
        <f t="shared" si="28"/>
        <v>128.79718009633569</v>
      </c>
      <c r="S245" s="1">
        <f t="shared" si="28"/>
        <v>111.14377255905771</v>
      </c>
      <c r="T245" s="764" t="s">
        <v>547</v>
      </c>
      <c r="U245" s="775" t="s">
        <v>548</v>
      </c>
      <c r="V245" s="776">
        <v>1</v>
      </c>
      <c r="W245" s="777" t="s">
        <v>90</v>
      </c>
      <c r="X245" s="778" t="s">
        <v>547</v>
      </c>
      <c r="Y245" s="779">
        <v>1873.87</v>
      </c>
      <c r="Z245" s="780">
        <v>0.17599999999999999</v>
      </c>
      <c r="AA245" s="781">
        <v>1544.0688799999998</v>
      </c>
      <c r="AB245" s="776" t="s">
        <v>549</v>
      </c>
      <c r="AC245" s="782">
        <v>48</v>
      </c>
      <c r="AD245" s="782">
        <v>1592.0688799999998</v>
      </c>
      <c r="AE245" s="783" t="s">
        <v>92</v>
      </c>
      <c r="AF245" s="783">
        <v>0.3</v>
      </c>
      <c r="AG245" s="660" t="s">
        <v>550</v>
      </c>
      <c r="AH245" s="769" t="s">
        <v>94</v>
      </c>
      <c r="AI245" s="769" t="s">
        <v>429</v>
      </c>
      <c r="AJ245" s="770">
        <v>320.49739182859412</v>
      </c>
      <c r="AK245" s="770">
        <v>166.56456456107671</v>
      </c>
      <c r="AL245" s="770">
        <v>120.97088483102317</v>
      </c>
      <c r="AM245" s="770">
        <v>104.39017764108425</v>
      </c>
      <c r="AN245" s="174"/>
    </row>
    <row r="246" spans="1:48">
      <c r="A246" s="684" t="s">
        <v>3275</v>
      </c>
      <c r="B246" s="836" t="s">
        <v>3278</v>
      </c>
      <c r="C246" s="687">
        <v>1</v>
      </c>
      <c r="D246" s="647" t="s">
        <v>90</v>
      </c>
      <c r="E246" s="44">
        <v>308.33333333333337</v>
      </c>
      <c r="F246" s="837">
        <f t="shared" ref="F246:F273" si="30">rv_mbp14_eg_cto</f>
        <v>0.17599999999999999</v>
      </c>
      <c r="G246" s="93">
        <f t="shared" si="29"/>
        <v>254.06666666666669</v>
      </c>
      <c r="H246" s="93"/>
      <c r="I246" s="270"/>
      <c r="J246" s="270"/>
      <c r="K246" s="121"/>
      <c r="L246" s="270"/>
      <c r="M246" s="1045" t="s">
        <v>3668</v>
      </c>
      <c r="N246" s="1047" t="s">
        <v>94</v>
      </c>
      <c r="O246" s="1066" t="s">
        <v>429</v>
      </c>
      <c r="P246" s="1" t="str">
        <f t="shared" si="28"/>
        <v/>
      </c>
      <c r="Q246" s="1" t="str">
        <f t="shared" si="28"/>
        <v/>
      </c>
      <c r="R246" s="1" t="str">
        <f t="shared" si="28"/>
        <v/>
      </c>
      <c r="S246" s="1" t="str">
        <f t="shared" si="28"/>
        <v/>
      </c>
      <c r="T246" s="765" t="s">
        <v>551</v>
      </c>
      <c r="U246" s="784" t="s">
        <v>552</v>
      </c>
      <c r="V246" s="785">
        <v>1</v>
      </c>
      <c r="W246" s="786" t="s">
        <v>90</v>
      </c>
      <c r="X246" s="787" t="s">
        <v>92</v>
      </c>
      <c r="Y246" s="788">
        <v>191.67</v>
      </c>
      <c r="Z246" s="789">
        <v>0.17599999999999999</v>
      </c>
      <c r="AA246" s="790">
        <v>157.93608</v>
      </c>
      <c r="AB246" s="790"/>
      <c r="AC246" s="791"/>
      <c r="AD246" s="791"/>
      <c r="AE246" s="792" t="s">
        <v>92</v>
      </c>
      <c r="AF246" s="791" t="s">
        <v>92</v>
      </c>
      <c r="AG246" s="660" t="s">
        <v>550</v>
      </c>
      <c r="AH246" s="769" t="s">
        <v>94</v>
      </c>
      <c r="AI246" s="769" t="s">
        <v>429</v>
      </c>
      <c r="AJ246" s="770" t="s">
        <v>98</v>
      </c>
      <c r="AK246" s="770" t="s">
        <v>98</v>
      </c>
      <c r="AL246" s="770" t="s">
        <v>98</v>
      </c>
      <c r="AM246" s="770" t="s">
        <v>98</v>
      </c>
      <c r="AN246" s="174"/>
    </row>
    <row r="247" spans="1:48">
      <c r="A247" s="684" t="s">
        <v>3276</v>
      </c>
      <c r="B247" s="836" t="s">
        <v>3279</v>
      </c>
      <c r="C247" s="687">
        <v>1</v>
      </c>
      <c r="D247" s="647" t="s">
        <v>90</v>
      </c>
      <c r="E247" s="44">
        <v>891.66666666666674</v>
      </c>
      <c r="F247" s="837">
        <f t="shared" si="30"/>
        <v>0.17599999999999999</v>
      </c>
      <c r="G247" s="93">
        <f t="shared" si="29"/>
        <v>734.73333333333335</v>
      </c>
      <c r="H247" s="93"/>
      <c r="I247" s="270"/>
      <c r="J247" s="270"/>
      <c r="K247" s="121"/>
      <c r="L247" s="270"/>
      <c r="M247" s="1045" t="s">
        <v>3668</v>
      </c>
      <c r="N247" s="1047" t="s">
        <v>94</v>
      </c>
      <c r="O247" s="1066" t="s">
        <v>429</v>
      </c>
      <c r="P247" s="1" t="str">
        <f t="shared" si="28"/>
        <v/>
      </c>
      <c r="Q247" s="1" t="str">
        <f t="shared" si="28"/>
        <v/>
      </c>
      <c r="R247" s="1" t="str">
        <f t="shared" si="28"/>
        <v/>
      </c>
      <c r="S247" s="1" t="str">
        <f t="shared" si="28"/>
        <v/>
      </c>
      <c r="T247" s="765" t="s">
        <v>553</v>
      </c>
      <c r="U247" s="784" t="s">
        <v>554</v>
      </c>
      <c r="V247" s="785">
        <v>1</v>
      </c>
      <c r="W247" s="786" t="s">
        <v>90</v>
      </c>
      <c r="X247" s="787"/>
      <c r="Y247" s="788">
        <v>225</v>
      </c>
      <c r="Z247" s="789">
        <v>0.17599999999999999</v>
      </c>
      <c r="AA247" s="790">
        <v>185.4</v>
      </c>
      <c r="AB247" s="790"/>
      <c r="AC247" s="791"/>
      <c r="AD247" s="791"/>
      <c r="AE247" s="792"/>
      <c r="AF247" s="791"/>
      <c r="AG247" s="660" t="s">
        <v>550</v>
      </c>
      <c r="AH247" s="769" t="s">
        <v>94</v>
      </c>
      <c r="AI247" s="769" t="s">
        <v>429</v>
      </c>
      <c r="AJ247" s="770" t="s">
        <v>98</v>
      </c>
      <c r="AK247" s="770" t="s">
        <v>98</v>
      </c>
      <c r="AL247" s="770" t="s">
        <v>98</v>
      </c>
      <c r="AM247" s="770" t="s">
        <v>98</v>
      </c>
      <c r="AN247" s="174"/>
    </row>
    <row r="248" spans="1:48">
      <c r="A248" s="684" t="s">
        <v>3277</v>
      </c>
      <c r="B248" s="836" t="s">
        <v>3280</v>
      </c>
      <c r="C248" s="687">
        <v>1</v>
      </c>
      <c r="D248" s="647" t="s">
        <v>90</v>
      </c>
      <c r="E248" s="44">
        <v>1083.3333333333335</v>
      </c>
      <c r="F248" s="837">
        <f t="shared" si="30"/>
        <v>0.17599999999999999</v>
      </c>
      <c r="G248" s="93">
        <f t="shared" si="29"/>
        <v>892.66666666666674</v>
      </c>
      <c r="H248" s="93"/>
      <c r="I248" s="270"/>
      <c r="J248" s="270"/>
      <c r="K248" s="121"/>
      <c r="L248" s="270"/>
      <c r="M248" s="1045" t="s">
        <v>3668</v>
      </c>
      <c r="N248" s="1047" t="s">
        <v>94</v>
      </c>
      <c r="O248" s="1066" t="s">
        <v>429</v>
      </c>
      <c r="P248" s="1" t="str">
        <f t="shared" si="28"/>
        <v/>
      </c>
      <c r="Q248" s="1" t="str">
        <f t="shared" si="28"/>
        <v/>
      </c>
      <c r="R248" s="1" t="str">
        <f t="shared" si="28"/>
        <v/>
      </c>
      <c r="S248" s="1" t="str">
        <f t="shared" si="28"/>
        <v/>
      </c>
      <c r="T248" s="765" t="s">
        <v>555</v>
      </c>
      <c r="U248" s="784" t="s">
        <v>556</v>
      </c>
      <c r="V248" s="785">
        <v>1</v>
      </c>
      <c r="W248" s="786" t="s">
        <v>90</v>
      </c>
      <c r="X248" s="787" t="s">
        <v>92</v>
      </c>
      <c r="Y248" s="788">
        <v>800</v>
      </c>
      <c r="Z248" s="789">
        <v>0.17599999999999999</v>
      </c>
      <c r="AA248" s="790">
        <v>659.2</v>
      </c>
      <c r="AB248" s="790"/>
      <c r="AC248" s="791"/>
      <c r="AD248" s="791"/>
      <c r="AE248" s="792" t="s">
        <v>92</v>
      </c>
      <c r="AF248" s="791" t="s">
        <v>92</v>
      </c>
      <c r="AG248" s="660" t="s">
        <v>550</v>
      </c>
      <c r="AH248" s="769" t="s">
        <v>94</v>
      </c>
      <c r="AI248" s="769" t="s">
        <v>429</v>
      </c>
      <c r="AJ248" s="770" t="s">
        <v>98</v>
      </c>
      <c r="AK248" s="770" t="s">
        <v>98</v>
      </c>
      <c r="AL248" s="770" t="s">
        <v>98</v>
      </c>
      <c r="AM248" s="770" t="s">
        <v>98</v>
      </c>
      <c r="AN248" s="174"/>
    </row>
    <row r="249" spans="1:48">
      <c r="A249" s="422"/>
      <c r="B249" s="273"/>
      <c r="C249" s="87"/>
      <c r="D249" s="88"/>
      <c r="E249" s="171"/>
      <c r="F249" s="89"/>
      <c r="G249" s="108"/>
      <c r="H249" s="108"/>
      <c r="I249" s="269"/>
      <c r="J249" s="269"/>
      <c r="K249" s="99"/>
      <c r="L249" s="269"/>
      <c r="M249" s="1045"/>
      <c r="N249" s="1047"/>
      <c r="O249" s="1066"/>
      <c r="P249" s="1"/>
      <c r="Q249" s="1"/>
      <c r="R249" s="1"/>
      <c r="S249" s="1"/>
      <c r="T249" s="765" t="s">
        <v>557</v>
      </c>
      <c r="U249" s="784" t="s">
        <v>558</v>
      </c>
      <c r="V249" s="785">
        <v>1</v>
      </c>
      <c r="W249" s="786" t="s">
        <v>90</v>
      </c>
      <c r="X249" s="787" t="s">
        <v>92</v>
      </c>
      <c r="Y249" s="788">
        <v>991.67</v>
      </c>
      <c r="Z249" s="789">
        <v>0.17599999999999999</v>
      </c>
      <c r="AA249" s="790">
        <v>817.13607999999999</v>
      </c>
      <c r="AB249" s="790"/>
      <c r="AC249" s="791"/>
      <c r="AD249" s="791"/>
      <c r="AE249" s="792"/>
      <c r="AF249" s="791"/>
      <c r="AG249" s="660" t="s">
        <v>550</v>
      </c>
      <c r="AH249" s="769" t="s">
        <v>94</v>
      </c>
      <c r="AI249" s="769" t="s">
        <v>429</v>
      </c>
      <c r="AJ249" s="770" t="s">
        <v>98</v>
      </c>
      <c r="AK249" s="770" t="s">
        <v>98</v>
      </c>
      <c r="AL249" s="770" t="s">
        <v>98</v>
      </c>
      <c r="AM249" s="770" t="s">
        <v>98</v>
      </c>
      <c r="AN249" s="174"/>
    </row>
    <row r="250" spans="1:48">
      <c r="A250" s="684" t="s">
        <v>3281</v>
      </c>
      <c r="B250" s="836" t="s">
        <v>3284</v>
      </c>
      <c r="C250" s="263">
        <v>1</v>
      </c>
      <c r="D250" s="264" t="s">
        <v>90</v>
      </c>
      <c r="E250" s="444">
        <v>383.33333333333337</v>
      </c>
      <c r="F250" s="261">
        <f t="shared" si="30"/>
        <v>0.17599999999999999</v>
      </c>
      <c r="G250" s="262">
        <f t="shared" si="29"/>
        <v>315.86666666666667</v>
      </c>
      <c r="H250" s="108"/>
      <c r="I250" s="269"/>
      <c r="J250" s="269"/>
      <c r="K250" s="99"/>
      <c r="L250" s="269"/>
      <c r="M250" s="1045" t="s">
        <v>3668</v>
      </c>
      <c r="N250" s="1047" t="s">
        <v>94</v>
      </c>
      <c r="O250" s="1066" t="s">
        <v>429</v>
      </c>
      <c r="P250" s="1" t="str">
        <f t="shared" ref="P250:S270" si="31">+IF($J250&lt;&gt;"",P$2*$J250,"")</f>
        <v/>
      </c>
      <c r="Q250" s="1" t="str">
        <f t="shared" si="31"/>
        <v/>
      </c>
      <c r="R250" s="1" t="str">
        <f t="shared" si="31"/>
        <v/>
      </c>
      <c r="S250" s="1" t="str">
        <f t="shared" si="31"/>
        <v/>
      </c>
      <c r="T250" s="765" t="s">
        <v>559</v>
      </c>
      <c r="U250" s="784" t="s">
        <v>560</v>
      </c>
      <c r="V250" s="785">
        <v>1</v>
      </c>
      <c r="W250" s="786" t="s">
        <v>90</v>
      </c>
      <c r="X250" s="787"/>
      <c r="Y250" s="788">
        <v>383.33</v>
      </c>
      <c r="Z250" s="789">
        <v>0.17599999999999999</v>
      </c>
      <c r="AA250" s="790">
        <v>315.86392000000001</v>
      </c>
      <c r="AB250" s="790"/>
      <c r="AC250" s="791"/>
      <c r="AD250" s="791"/>
      <c r="AE250" s="792"/>
      <c r="AF250" s="791"/>
      <c r="AG250" s="660" t="s">
        <v>550</v>
      </c>
      <c r="AH250" s="769" t="s">
        <v>94</v>
      </c>
      <c r="AI250" s="769" t="s">
        <v>429</v>
      </c>
      <c r="AJ250" s="770" t="s">
        <v>98</v>
      </c>
      <c r="AK250" s="770" t="s">
        <v>98</v>
      </c>
      <c r="AL250" s="770" t="s">
        <v>98</v>
      </c>
      <c r="AM250" s="770" t="s">
        <v>98</v>
      </c>
      <c r="AN250" s="174"/>
    </row>
    <row r="251" spans="1:48">
      <c r="A251" s="684" t="s">
        <v>3282</v>
      </c>
      <c r="B251" s="836" t="s">
        <v>3285</v>
      </c>
      <c r="C251" s="263">
        <v>1</v>
      </c>
      <c r="D251" s="264" t="s">
        <v>90</v>
      </c>
      <c r="E251" s="44">
        <v>383.33333333333337</v>
      </c>
      <c r="F251" s="261">
        <f t="shared" si="30"/>
        <v>0.17599999999999999</v>
      </c>
      <c r="G251" s="262">
        <f t="shared" si="29"/>
        <v>315.86666666666667</v>
      </c>
      <c r="H251" s="108"/>
      <c r="I251" s="269"/>
      <c r="J251" s="269"/>
      <c r="K251" s="99"/>
      <c r="L251" s="269"/>
      <c r="M251" s="1045" t="s">
        <v>3668</v>
      </c>
      <c r="N251" s="1047" t="s">
        <v>94</v>
      </c>
      <c r="O251" s="1066" t="s">
        <v>429</v>
      </c>
      <c r="P251" s="1" t="str">
        <f t="shared" si="31"/>
        <v/>
      </c>
      <c r="Q251" s="1" t="str">
        <f t="shared" si="31"/>
        <v/>
      </c>
      <c r="R251" s="1" t="str">
        <f t="shared" si="31"/>
        <v/>
      </c>
      <c r="S251" s="1" t="str">
        <f t="shared" si="31"/>
        <v/>
      </c>
      <c r="T251" s="765" t="s">
        <v>561</v>
      </c>
      <c r="U251" s="784" t="s">
        <v>562</v>
      </c>
      <c r="V251" s="785">
        <v>1</v>
      </c>
      <c r="W251" s="786" t="s">
        <v>90</v>
      </c>
      <c r="X251" s="787"/>
      <c r="Y251" s="793">
        <v>383.33</v>
      </c>
      <c r="Z251" s="789">
        <v>0.17599999999999999</v>
      </c>
      <c r="AA251" s="790">
        <v>315.86392000000001</v>
      </c>
      <c r="AB251" s="790"/>
      <c r="AC251" s="791"/>
      <c r="AD251" s="791"/>
      <c r="AE251" s="792"/>
      <c r="AF251" s="791"/>
      <c r="AG251" s="660" t="s">
        <v>550</v>
      </c>
      <c r="AH251" s="769" t="s">
        <v>94</v>
      </c>
      <c r="AI251" s="769" t="s">
        <v>429</v>
      </c>
      <c r="AJ251" s="770" t="s">
        <v>98</v>
      </c>
      <c r="AK251" s="770" t="s">
        <v>98</v>
      </c>
      <c r="AL251" s="770" t="s">
        <v>98</v>
      </c>
      <c r="AM251" s="770" t="s">
        <v>98</v>
      </c>
      <c r="AN251" s="174"/>
    </row>
    <row r="252" spans="1:48">
      <c r="A252" s="684" t="s">
        <v>3283</v>
      </c>
      <c r="B252" s="836" t="s">
        <v>3286</v>
      </c>
      <c r="C252" s="263">
        <v>1</v>
      </c>
      <c r="D252" s="264" t="s">
        <v>90</v>
      </c>
      <c r="E252" s="44">
        <v>766.66666666666674</v>
      </c>
      <c r="F252" s="261">
        <f t="shared" si="30"/>
        <v>0.17599999999999999</v>
      </c>
      <c r="G252" s="262">
        <f t="shared" ref="G252" si="32">E252-(E252*F252)</f>
        <v>631.73333333333335</v>
      </c>
      <c r="H252" s="108"/>
      <c r="I252" s="269"/>
      <c r="J252" s="269"/>
      <c r="K252" s="99"/>
      <c r="L252" s="269"/>
      <c r="M252" s="1045" t="s">
        <v>3668</v>
      </c>
      <c r="N252" s="1047" t="s">
        <v>94</v>
      </c>
      <c r="O252" s="1066" t="s">
        <v>429</v>
      </c>
      <c r="P252" s="1" t="str">
        <f t="shared" si="31"/>
        <v/>
      </c>
      <c r="Q252" s="1" t="str">
        <f t="shared" si="31"/>
        <v/>
      </c>
      <c r="R252" s="1" t="str">
        <f t="shared" si="31"/>
        <v/>
      </c>
      <c r="S252" s="1" t="str">
        <f t="shared" si="31"/>
        <v/>
      </c>
      <c r="T252" s="422"/>
      <c r="U252" s="273"/>
      <c r="V252" s="87"/>
      <c r="W252" s="88"/>
      <c r="X252" s="208"/>
      <c r="Y252" s="47"/>
      <c r="Z252" s="89"/>
      <c r="AA252" s="108"/>
      <c r="AB252" s="108"/>
      <c r="AC252" s="269"/>
      <c r="AD252" s="269"/>
      <c r="AE252" s="99"/>
      <c r="AF252" s="269"/>
      <c r="AG252" s="41"/>
      <c r="AH252" s="174"/>
      <c r="AI252" s="174"/>
      <c r="AJ252" s="1"/>
      <c r="AK252" s="1"/>
      <c r="AL252" s="1"/>
      <c r="AM252" s="1"/>
      <c r="AN252" s="174"/>
    </row>
    <row r="253" spans="1:48">
      <c r="A253" s="684" t="s">
        <v>3287</v>
      </c>
      <c r="B253" s="836" t="s">
        <v>3291</v>
      </c>
      <c r="C253" s="687">
        <v>1</v>
      </c>
      <c r="D253" s="647" t="s">
        <v>90</v>
      </c>
      <c r="E253" s="44">
        <v>191.66666666666669</v>
      </c>
      <c r="F253" s="837">
        <f t="shared" si="30"/>
        <v>0.17599999999999999</v>
      </c>
      <c r="G253" s="93">
        <f t="shared" si="29"/>
        <v>157.93333333333334</v>
      </c>
      <c r="H253" s="93"/>
      <c r="I253" s="270"/>
      <c r="J253" s="270"/>
      <c r="K253" s="121"/>
      <c r="L253" s="270"/>
      <c r="M253" s="1045" t="s">
        <v>3668</v>
      </c>
      <c r="N253" s="1047" t="s">
        <v>94</v>
      </c>
      <c r="O253" s="1066" t="s">
        <v>429</v>
      </c>
      <c r="P253" s="1" t="str">
        <f t="shared" si="31"/>
        <v/>
      </c>
      <c r="Q253" s="1" t="str">
        <f t="shared" si="31"/>
        <v/>
      </c>
      <c r="R253" s="1" t="str">
        <f t="shared" si="31"/>
        <v/>
      </c>
      <c r="S253" s="1" t="str">
        <f t="shared" si="31"/>
        <v/>
      </c>
      <c r="T253" s="765" t="s">
        <v>563</v>
      </c>
      <c r="U253" s="784" t="s">
        <v>564</v>
      </c>
      <c r="V253" s="785">
        <v>1</v>
      </c>
      <c r="W253" s="786" t="s">
        <v>90</v>
      </c>
      <c r="X253" s="787"/>
      <c r="Y253" s="788">
        <v>191.67</v>
      </c>
      <c r="Z253" s="789">
        <v>0.17599999999999999</v>
      </c>
      <c r="AA253" s="790">
        <v>157.93608</v>
      </c>
      <c r="AB253" s="790"/>
      <c r="AC253" s="791"/>
      <c r="AD253" s="791"/>
      <c r="AE253" s="792"/>
      <c r="AF253" s="791"/>
      <c r="AG253" s="660" t="s">
        <v>550</v>
      </c>
      <c r="AH253" s="769" t="s">
        <v>94</v>
      </c>
      <c r="AI253" s="769" t="s">
        <v>429</v>
      </c>
      <c r="AJ253" s="770" t="s">
        <v>98</v>
      </c>
      <c r="AK253" s="770" t="s">
        <v>98</v>
      </c>
      <c r="AL253" s="770" t="s">
        <v>98</v>
      </c>
      <c r="AM253" s="770" t="s">
        <v>98</v>
      </c>
      <c r="AN253" s="174"/>
    </row>
    <row r="254" spans="1:48">
      <c r="A254" s="684" t="s">
        <v>3288</v>
      </c>
      <c r="B254" s="836" t="s">
        <v>3292</v>
      </c>
      <c r="C254" s="687">
        <v>1</v>
      </c>
      <c r="D254" s="647" t="s">
        <v>90</v>
      </c>
      <c r="E254" s="44">
        <v>575</v>
      </c>
      <c r="F254" s="837">
        <f t="shared" si="30"/>
        <v>0.17599999999999999</v>
      </c>
      <c r="G254" s="93">
        <f t="shared" si="29"/>
        <v>473.8</v>
      </c>
      <c r="H254" s="93"/>
      <c r="I254" s="270"/>
      <c r="J254" s="270"/>
      <c r="K254" s="121"/>
      <c r="L254" s="270"/>
      <c r="M254" s="1045" t="s">
        <v>3668</v>
      </c>
      <c r="N254" s="1047" t="s">
        <v>94</v>
      </c>
      <c r="O254" s="1066" t="s">
        <v>429</v>
      </c>
      <c r="P254" s="1" t="str">
        <f t="shared" si="31"/>
        <v/>
      </c>
      <c r="Q254" s="1" t="str">
        <f t="shared" si="31"/>
        <v/>
      </c>
      <c r="R254" s="1" t="str">
        <f t="shared" si="31"/>
        <v/>
      </c>
      <c r="S254" s="1" t="str">
        <f t="shared" si="31"/>
        <v/>
      </c>
      <c r="T254" s="765" t="s">
        <v>565</v>
      </c>
      <c r="U254" s="784" t="s">
        <v>566</v>
      </c>
      <c r="V254" s="785">
        <v>1</v>
      </c>
      <c r="W254" s="786" t="s">
        <v>90</v>
      </c>
      <c r="X254" s="787"/>
      <c r="Y254" s="788">
        <v>575</v>
      </c>
      <c r="Z254" s="789">
        <v>0.17599999999999999</v>
      </c>
      <c r="AA254" s="790">
        <v>473.8</v>
      </c>
      <c r="AB254" s="790"/>
      <c r="AC254" s="791"/>
      <c r="AD254" s="791"/>
      <c r="AE254" s="792"/>
      <c r="AF254" s="791"/>
      <c r="AG254" s="660" t="s">
        <v>550</v>
      </c>
      <c r="AH254" s="769" t="s">
        <v>94</v>
      </c>
      <c r="AI254" s="769" t="s">
        <v>429</v>
      </c>
      <c r="AJ254" s="770" t="s">
        <v>98</v>
      </c>
      <c r="AK254" s="770" t="s">
        <v>98</v>
      </c>
      <c r="AL254" s="770" t="s">
        <v>98</v>
      </c>
      <c r="AM254" s="770" t="s">
        <v>98</v>
      </c>
      <c r="AN254" s="174"/>
    </row>
    <row r="255" spans="1:48">
      <c r="A255" s="684" t="s">
        <v>3289</v>
      </c>
      <c r="B255" s="836" t="s">
        <v>3293</v>
      </c>
      <c r="C255" s="687">
        <v>1</v>
      </c>
      <c r="D255" s="647" t="s">
        <v>90</v>
      </c>
      <c r="E255" s="44">
        <v>1150</v>
      </c>
      <c r="F255" s="837">
        <f t="shared" si="30"/>
        <v>0.17599999999999999</v>
      </c>
      <c r="G255" s="93">
        <f t="shared" si="29"/>
        <v>947.6</v>
      </c>
      <c r="H255" s="93"/>
      <c r="I255" s="270"/>
      <c r="J255" s="270"/>
      <c r="K255" s="121"/>
      <c r="L255" s="270"/>
      <c r="M255" s="1045" t="s">
        <v>3668</v>
      </c>
      <c r="N255" s="1047" t="s">
        <v>94</v>
      </c>
      <c r="O255" s="1066" t="s">
        <v>429</v>
      </c>
      <c r="P255" s="1" t="str">
        <f t="shared" si="31"/>
        <v/>
      </c>
      <c r="Q255" s="1" t="str">
        <f t="shared" si="31"/>
        <v/>
      </c>
      <c r="R255" s="1" t="str">
        <f t="shared" si="31"/>
        <v/>
      </c>
      <c r="S255" s="1" t="str">
        <f t="shared" si="31"/>
        <v/>
      </c>
      <c r="T255" s="765" t="s">
        <v>567</v>
      </c>
      <c r="U255" s="784" t="s">
        <v>568</v>
      </c>
      <c r="V255" s="785">
        <v>1</v>
      </c>
      <c r="W255" s="786" t="s">
        <v>90</v>
      </c>
      <c r="X255" s="787"/>
      <c r="Y255" s="788">
        <v>1150</v>
      </c>
      <c r="Z255" s="789">
        <v>0.17599999999999999</v>
      </c>
      <c r="AA255" s="790">
        <v>947.6</v>
      </c>
      <c r="AB255" s="790"/>
      <c r="AC255" s="791"/>
      <c r="AD255" s="791"/>
      <c r="AE255" s="792"/>
      <c r="AF255" s="791"/>
      <c r="AG255" s="660" t="s">
        <v>550</v>
      </c>
      <c r="AH255" s="769" t="s">
        <v>94</v>
      </c>
      <c r="AI255" s="769" t="s">
        <v>429</v>
      </c>
      <c r="AJ255" s="770" t="s">
        <v>98</v>
      </c>
      <c r="AK255" s="770" t="s">
        <v>98</v>
      </c>
      <c r="AL255" s="770" t="s">
        <v>98</v>
      </c>
      <c r="AM255" s="770" t="s">
        <v>98</v>
      </c>
      <c r="AN255" s="174"/>
    </row>
    <row r="256" spans="1:48">
      <c r="A256" s="684" t="s">
        <v>3290</v>
      </c>
      <c r="B256" s="836" t="s">
        <v>3294</v>
      </c>
      <c r="C256" s="687">
        <v>1</v>
      </c>
      <c r="D256" s="647" t="s">
        <v>90</v>
      </c>
      <c r="E256" s="44">
        <v>2300</v>
      </c>
      <c r="F256" s="837">
        <f t="shared" si="30"/>
        <v>0.17599999999999999</v>
      </c>
      <c r="G256" s="93">
        <f t="shared" si="29"/>
        <v>1895.2</v>
      </c>
      <c r="H256" s="93"/>
      <c r="I256" s="270"/>
      <c r="J256" s="270"/>
      <c r="K256" s="121"/>
      <c r="L256" s="270"/>
      <c r="M256" s="1045" t="s">
        <v>3668</v>
      </c>
      <c r="N256" s="1047" t="s">
        <v>94</v>
      </c>
      <c r="O256" s="1066" t="s">
        <v>429</v>
      </c>
      <c r="P256" s="1" t="str">
        <f t="shared" si="31"/>
        <v/>
      </c>
      <c r="Q256" s="1" t="str">
        <f t="shared" si="31"/>
        <v/>
      </c>
      <c r="R256" s="1" t="str">
        <f t="shared" si="31"/>
        <v/>
      </c>
      <c r="S256" s="1" t="str">
        <f t="shared" si="31"/>
        <v/>
      </c>
      <c r="T256" s="765" t="s">
        <v>569</v>
      </c>
      <c r="U256" s="784" t="s">
        <v>570</v>
      </c>
      <c r="V256" s="785">
        <v>1</v>
      </c>
      <c r="W256" s="786" t="s">
        <v>90</v>
      </c>
      <c r="X256" s="787"/>
      <c r="Y256" s="788">
        <v>2300</v>
      </c>
      <c r="Z256" s="789">
        <v>0.17599999999999999</v>
      </c>
      <c r="AA256" s="790">
        <v>1895.2</v>
      </c>
      <c r="AB256" s="790"/>
      <c r="AC256" s="791"/>
      <c r="AD256" s="791"/>
      <c r="AE256" s="792"/>
      <c r="AF256" s="791"/>
      <c r="AG256" s="660" t="s">
        <v>550</v>
      </c>
      <c r="AH256" s="769" t="s">
        <v>94</v>
      </c>
      <c r="AI256" s="769" t="s">
        <v>429</v>
      </c>
      <c r="AJ256" s="770" t="s">
        <v>98</v>
      </c>
      <c r="AK256" s="770" t="s">
        <v>98</v>
      </c>
      <c r="AL256" s="770" t="s">
        <v>98</v>
      </c>
      <c r="AM256" s="770" t="s">
        <v>98</v>
      </c>
      <c r="AN256" s="174"/>
    </row>
    <row r="257" spans="1:48">
      <c r="A257" s="684" t="s">
        <v>3417</v>
      </c>
      <c r="B257" s="836" t="s">
        <v>3418</v>
      </c>
      <c r="C257" s="687">
        <v>1</v>
      </c>
      <c r="D257" s="647" t="s">
        <v>90</v>
      </c>
      <c r="E257" s="44">
        <v>16.670000000000002</v>
      </c>
      <c r="F257" s="837">
        <f t="shared" si="30"/>
        <v>0.17599999999999999</v>
      </c>
      <c r="G257" s="93">
        <f t="shared" si="29"/>
        <v>13.736080000000001</v>
      </c>
      <c r="H257" s="93"/>
      <c r="I257" s="270"/>
      <c r="J257" s="270"/>
      <c r="K257" s="121"/>
      <c r="L257" s="270"/>
      <c r="M257" s="1045" t="s">
        <v>3668</v>
      </c>
      <c r="N257" s="1047" t="s">
        <v>94</v>
      </c>
      <c r="O257" s="1066" t="s">
        <v>429</v>
      </c>
      <c r="P257" s="1" t="str">
        <f t="shared" si="31"/>
        <v/>
      </c>
      <c r="Q257" s="1" t="str">
        <f t="shared" si="31"/>
        <v/>
      </c>
      <c r="R257" s="1" t="str">
        <f t="shared" si="31"/>
        <v/>
      </c>
      <c r="S257" s="1" t="str">
        <f t="shared" si="31"/>
        <v/>
      </c>
      <c r="T257" s="765" t="s">
        <v>571</v>
      </c>
      <c r="U257" s="784" t="s">
        <v>572</v>
      </c>
      <c r="V257" s="785">
        <v>1</v>
      </c>
      <c r="W257" s="786" t="s">
        <v>90</v>
      </c>
      <c r="X257" s="787"/>
      <c r="Y257" s="788">
        <v>16.670000000000002</v>
      </c>
      <c r="Z257" s="789">
        <v>0.17599999999999999</v>
      </c>
      <c r="AA257" s="790">
        <v>13.736080000000001</v>
      </c>
      <c r="AB257" s="790"/>
      <c r="AC257" s="791"/>
      <c r="AD257" s="791"/>
      <c r="AE257" s="792"/>
      <c r="AF257" s="791"/>
      <c r="AG257" s="660" t="s">
        <v>550</v>
      </c>
      <c r="AH257" s="769" t="s">
        <v>94</v>
      </c>
      <c r="AI257" s="769" t="s">
        <v>429</v>
      </c>
      <c r="AJ257" s="770" t="s">
        <v>98</v>
      </c>
      <c r="AK257" s="770" t="s">
        <v>98</v>
      </c>
      <c r="AL257" s="770" t="s">
        <v>98</v>
      </c>
      <c r="AM257" s="770" t="s">
        <v>98</v>
      </c>
      <c r="AN257" s="174"/>
    </row>
    <row r="258" spans="1:48">
      <c r="A258" s="718" t="s">
        <v>3295</v>
      </c>
      <c r="B258" s="839" t="s">
        <v>3392</v>
      </c>
      <c r="C258" s="263">
        <v>1</v>
      </c>
      <c r="D258" s="264" t="s">
        <v>90</v>
      </c>
      <c r="E258" s="444">
        <v>0</v>
      </c>
      <c r="F258" s="261" t="s">
        <v>92</v>
      </c>
      <c r="G258" s="262">
        <f t="shared" ref="G258:G260" si="33">E258</f>
        <v>0</v>
      </c>
      <c r="H258" s="108"/>
      <c r="I258" s="269"/>
      <c r="J258" s="269"/>
      <c r="K258" s="99"/>
      <c r="L258" s="269"/>
      <c r="M258" s="1045" t="s">
        <v>3668</v>
      </c>
      <c r="N258" s="1047" t="s">
        <v>94</v>
      </c>
      <c r="O258" s="1066" t="s">
        <v>429</v>
      </c>
      <c r="P258" s="1" t="str">
        <f t="shared" si="31"/>
        <v/>
      </c>
      <c r="Q258" s="1" t="str">
        <f t="shared" si="31"/>
        <v/>
      </c>
      <c r="R258" s="1" t="str">
        <f t="shared" si="31"/>
        <v/>
      </c>
      <c r="S258" s="1" t="str">
        <f t="shared" si="31"/>
        <v/>
      </c>
      <c r="T258" s="765" t="s">
        <v>573</v>
      </c>
      <c r="U258" s="784" t="s">
        <v>574</v>
      </c>
      <c r="V258" s="785">
        <v>1</v>
      </c>
      <c r="W258" s="786" t="s">
        <v>90</v>
      </c>
      <c r="X258" s="787"/>
      <c r="Y258" s="788">
        <v>0</v>
      </c>
      <c r="Z258" s="789">
        <v>0.17599999999999999</v>
      </c>
      <c r="AA258" s="790">
        <v>0</v>
      </c>
      <c r="AB258" s="790"/>
      <c r="AC258" s="791"/>
      <c r="AD258" s="791"/>
      <c r="AE258" s="792"/>
      <c r="AF258" s="791"/>
      <c r="AG258" s="660" t="s">
        <v>550</v>
      </c>
      <c r="AH258" s="769" t="s">
        <v>94</v>
      </c>
      <c r="AI258" s="769" t="s">
        <v>429</v>
      </c>
      <c r="AJ258" s="770" t="s">
        <v>98</v>
      </c>
      <c r="AK258" s="770" t="s">
        <v>98</v>
      </c>
      <c r="AL258" s="770" t="s">
        <v>98</v>
      </c>
      <c r="AM258" s="770" t="s">
        <v>98</v>
      </c>
      <c r="AN258" s="174"/>
    </row>
    <row r="259" spans="1:48">
      <c r="A259" s="684" t="s">
        <v>3297</v>
      </c>
      <c r="B259" s="839" t="s">
        <v>3298</v>
      </c>
      <c r="C259" s="263">
        <v>1</v>
      </c>
      <c r="D259" s="264" t="s">
        <v>90</v>
      </c>
      <c r="E259" s="444">
        <v>0</v>
      </c>
      <c r="F259" s="261" t="s">
        <v>92</v>
      </c>
      <c r="G259" s="262">
        <f t="shared" si="33"/>
        <v>0</v>
      </c>
      <c r="H259" s="108"/>
      <c r="I259" s="269"/>
      <c r="J259" s="269"/>
      <c r="K259" s="99"/>
      <c r="L259" s="269"/>
      <c r="M259" s="1045" t="s">
        <v>3668</v>
      </c>
      <c r="N259" s="1047" t="s">
        <v>94</v>
      </c>
      <c r="O259" s="1066" t="s">
        <v>429</v>
      </c>
      <c r="P259" s="1" t="str">
        <f t="shared" si="31"/>
        <v/>
      </c>
      <c r="Q259" s="1" t="str">
        <f t="shared" si="31"/>
        <v/>
      </c>
      <c r="R259" s="1" t="str">
        <f t="shared" si="31"/>
        <v/>
      </c>
      <c r="S259" s="1" t="str">
        <f t="shared" si="31"/>
        <v/>
      </c>
      <c r="T259" s="766" t="s">
        <v>575</v>
      </c>
      <c r="U259" s="784" t="s">
        <v>576</v>
      </c>
      <c r="V259" s="785">
        <v>1</v>
      </c>
      <c r="W259" s="786" t="s">
        <v>90</v>
      </c>
      <c r="X259" s="787"/>
      <c r="Y259" s="788">
        <v>0</v>
      </c>
      <c r="Z259" s="789">
        <v>0.17599999999999999</v>
      </c>
      <c r="AA259" s="790">
        <v>0</v>
      </c>
      <c r="AB259" s="790"/>
      <c r="AC259" s="791"/>
      <c r="AD259" s="791"/>
      <c r="AE259" s="792"/>
      <c r="AF259" s="791"/>
      <c r="AG259" s="660" t="s">
        <v>550</v>
      </c>
      <c r="AH259" s="769" t="s">
        <v>94</v>
      </c>
      <c r="AI259" s="769" t="s">
        <v>429</v>
      </c>
      <c r="AJ259" s="770" t="s">
        <v>98</v>
      </c>
      <c r="AK259" s="770" t="s">
        <v>98</v>
      </c>
      <c r="AL259" s="770" t="s">
        <v>98</v>
      </c>
      <c r="AM259" s="770" t="s">
        <v>98</v>
      </c>
      <c r="AN259" s="174"/>
    </row>
    <row r="260" spans="1:48" customFormat="1">
      <c r="A260" s="838" t="s">
        <v>3296</v>
      </c>
      <c r="B260" s="840" t="s">
        <v>3299</v>
      </c>
      <c r="C260" s="263">
        <v>1</v>
      </c>
      <c r="D260" s="264" t="s">
        <v>90</v>
      </c>
      <c r="E260" s="444">
        <v>0</v>
      </c>
      <c r="F260" s="261" t="s">
        <v>92</v>
      </c>
      <c r="G260" s="262">
        <f t="shared" si="33"/>
        <v>0</v>
      </c>
      <c r="H260" s="108"/>
      <c r="I260" s="269"/>
      <c r="J260" s="269"/>
      <c r="K260" s="99"/>
      <c r="L260" s="269"/>
      <c r="M260" s="1045" t="s">
        <v>3668</v>
      </c>
      <c r="N260" s="1047" t="s">
        <v>94</v>
      </c>
      <c r="O260" s="1066" t="s">
        <v>429</v>
      </c>
      <c r="P260" s="1" t="str">
        <f t="shared" si="31"/>
        <v/>
      </c>
      <c r="Q260" s="1" t="str">
        <f t="shared" si="31"/>
        <v/>
      </c>
      <c r="R260" s="1" t="str">
        <f t="shared" si="31"/>
        <v/>
      </c>
      <c r="S260" s="1" t="str">
        <f t="shared" si="31"/>
        <v/>
      </c>
      <c r="T260" s="767" t="s">
        <v>577</v>
      </c>
      <c r="U260" s="794" t="s">
        <v>578</v>
      </c>
      <c r="V260" s="795">
        <v>1</v>
      </c>
      <c r="W260" s="796" t="s">
        <v>90</v>
      </c>
      <c r="X260" s="797" t="s">
        <v>92</v>
      </c>
      <c r="Y260" s="795"/>
      <c r="Z260" s="798"/>
      <c r="AA260" s="796">
        <v>0</v>
      </c>
      <c r="AB260" s="799"/>
      <c r="AC260" s="799"/>
      <c r="AD260" s="799"/>
      <c r="AE260" s="796" t="s">
        <v>92</v>
      </c>
      <c r="AF260" s="799" t="s">
        <v>92</v>
      </c>
      <c r="AG260" s="771"/>
      <c r="AH260" s="769"/>
      <c r="AI260" s="769"/>
      <c r="AJ260" s="770" t="s">
        <v>98</v>
      </c>
      <c r="AK260" s="770" t="s">
        <v>98</v>
      </c>
      <c r="AL260" s="770" t="s">
        <v>98</v>
      </c>
      <c r="AM260" s="770" t="s">
        <v>98</v>
      </c>
      <c r="AN260" s="287"/>
      <c r="AO260" s="284"/>
      <c r="AP260" s="284"/>
      <c r="AQ260" s="284"/>
      <c r="AR260" s="284"/>
      <c r="AS260" s="284"/>
      <c r="AT260" s="284"/>
      <c r="AU260" s="284"/>
      <c r="AV260" s="284"/>
    </row>
    <row r="261" spans="1:48">
      <c r="A261" s="830" t="s">
        <v>3300</v>
      </c>
      <c r="B261" s="831" t="s">
        <v>3301</v>
      </c>
      <c r="C261" s="832">
        <v>1</v>
      </c>
      <c r="D261" s="833" t="s">
        <v>90</v>
      </c>
      <c r="E261" s="454">
        <v>1998.87</v>
      </c>
      <c r="F261" s="835">
        <f>rv_mbp14_eg</f>
        <v>0.17599999999999999</v>
      </c>
      <c r="G261" s="266">
        <f t="shared" ref="G261:G264" si="34">E261-(E261*F261)</f>
        <v>1647.0688799999998</v>
      </c>
      <c r="H261" s="832" t="s">
        <v>549</v>
      </c>
      <c r="I261" s="270">
        <v>48</v>
      </c>
      <c r="J261" s="270">
        <f>G261+I261</f>
        <v>1695.0688799999998</v>
      </c>
      <c r="K261" s="216" t="s">
        <v>92</v>
      </c>
      <c r="L261" s="216">
        <v>0.3</v>
      </c>
      <c r="M261" s="1045" t="s">
        <v>3668</v>
      </c>
      <c r="N261" s="1047" t="s">
        <v>94</v>
      </c>
      <c r="O261" s="1066" t="s">
        <v>429</v>
      </c>
      <c r="P261" s="1">
        <f t="shared" si="31"/>
        <v>341.23219279923126</v>
      </c>
      <c r="Q261" s="1">
        <f t="shared" si="31"/>
        <v>177.34057454739772</v>
      </c>
      <c r="R261" s="1">
        <f t="shared" si="31"/>
        <v>128.79718009633569</v>
      </c>
      <c r="S261" s="1">
        <f t="shared" si="31"/>
        <v>111.14377255905771</v>
      </c>
      <c r="T261" s="764" t="s">
        <v>579</v>
      </c>
      <c r="U261" s="775" t="s">
        <v>580</v>
      </c>
      <c r="V261" s="776">
        <v>1</v>
      </c>
      <c r="W261" s="777" t="s">
        <v>90</v>
      </c>
      <c r="X261" s="778" t="s">
        <v>579</v>
      </c>
      <c r="Y261" s="779">
        <v>1873.87</v>
      </c>
      <c r="Z261" s="780">
        <v>0.17599999999999999</v>
      </c>
      <c r="AA261" s="781">
        <v>1544.0688799999998</v>
      </c>
      <c r="AB261" s="776" t="s">
        <v>549</v>
      </c>
      <c r="AC261" s="782">
        <v>48</v>
      </c>
      <c r="AD261" s="782">
        <v>1592.0688799999998</v>
      </c>
      <c r="AE261" s="800" t="s">
        <v>92</v>
      </c>
      <c r="AF261" s="783">
        <v>0.3</v>
      </c>
      <c r="AG261" s="660" t="s">
        <v>550</v>
      </c>
      <c r="AH261" s="769" t="s">
        <v>94</v>
      </c>
      <c r="AI261" s="769" t="s">
        <v>429</v>
      </c>
      <c r="AJ261" s="770">
        <v>320.49739182859412</v>
      </c>
      <c r="AK261" s="770">
        <v>166.56456456107671</v>
      </c>
      <c r="AL261" s="770">
        <v>120.97088483102317</v>
      </c>
      <c r="AM261" s="770">
        <v>104.39017764108425</v>
      </c>
      <c r="AN261" s="174"/>
    </row>
    <row r="262" spans="1:48">
      <c r="A262" s="684" t="s">
        <v>3302</v>
      </c>
      <c r="B262" s="836" t="s">
        <v>3314</v>
      </c>
      <c r="C262" s="687">
        <v>1</v>
      </c>
      <c r="D262" s="647" t="s">
        <v>90</v>
      </c>
      <c r="E262" s="44">
        <v>308.33333333333337</v>
      </c>
      <c r="F262" s="837">
        <f t="shared" si="30"/>
        <v>0.17599999999999999</v>
      </c>
      <c r="G262" s="93">
        <f t="shared" si="34"/>
        <v>254.06666666666669</v>
      </c>
      <c r="H262" s="93"/>
      <c r="I262" s="270"/>
      <c r="J262" s="270"/>
      <c r="K262" s="121"/>
      <c r="L262" s="270"/>
      <c r="M262" s="1045" t="s">
        <v>3668</v>
      </c>
      <c r="N262" s="1047" t="s">
        <v>94</v>
      </c>
      <c r="O262" s="1066" t="s">
        <v>429</v>
      </c>
      <c r="P262" s="1" t="str">
        <f t="shared" si="31"/>
        <v/>
      </c>
      <c r="Q262" s="1" t="str">
        <f t="shared" si="31"/>
        <v/>
      </c>
      <c r="R262" s="1" t="str">
        <f t="shared" si="31"/>
        <v/>
      </c>
      <c r="S262" s="1" t="str">
        <f t="shared" si="31"/>
        <v/>
      </c>
      <c r="T262" s="765" t="s">
        <v>581</v>
      </c>
      <c r="U262" s="784" t="s">
        <v>582</v>
      </c>
      <c r="V262" s="785">
        <v>1</v>
      </c>
      <c r="W262" s="786" t="s">
        <v>90</v>
      </c>
      <c r="X262" s="787" t="s">
        <v>92</v>
      </c>
      <c r="Y262" s="788">
        <v>191.67</v>
      </c>
      <c r="Z262" s="789">
        <v>0.17599999999999999</v>
      </c>
      <c r="AA262" s="790">
        <v>157.93608</v>
      </c>
      <c r="AB262" s="790"/>
      <c r="AC262" s="791"/>
      <c r="AD262" s="791"/>
      <c r="AE262" s="792" t="s">
        <v>92</v>
      </c>
      <c r="AF262" s="791" t="s">
        <v>92</v>
      </c>
      <c r="AG262" s="660" t="s">
        <v>550</v>
      </c>
      <c r="AH262" s="769" t="s">
        <v>94</v>
      </c>
      <c r="AI262" s="769" t="s">
        <v>429</v>
      </c>
      <c r="AJ262" s="770" t="s">
        <v>98</v>
      </c>
      <c r="AK262" s="770" t="s">
        <v>98</v>
      </c>
      <c r="AL262" s="770" t="s">
        <v>98</v>
      </c>
      <c r="AM262" s="770" t="s">
        <v>98</v>
      </c>
      <c r="AN262" s="174"/>
    </row>
    <row r="263" spans="1:48">
      <c r="A263" s="684" t="s">
        <v>3303</v>
      </c>
      <c r="B263" s="836" t="s">
        <v>3315</v>
      </c>
      <c r="C263" s="687">
        <v>1</v>
      </c>
      <c r="D263" s="647" t="s">
        <v>90</v>
      </c>
      <c r="E263" s="44">
        <v>891.66666666666674</v>
      </c>
      <c r="F263" s="837">
        <f t="shared" si="30"/>
        <v>0.17599999999999999</v>
      </c>
      <c r="G263" s="93">
        <f t="shared" si="34"/>
        <v>734.73333333333335</v>
      </c>
      <c r="H263" s="93"/>
      <c r="I263" s="270"/>
      <c r="J263" s="270"/>
      <c r="K263" s="121"/>
      <c r="L263" s="270"/>
      <c r="M263" s="1045" t="s">
        <v>3668</v>
      </c>
      <c r="N263" s="1047" t="s">
        <v>94</v>
      </c>
      <c r="O263" s="1066" t="s">
        <v>429</v>
      </c>
      <c r="P263" s="1" t="str">
        <f t="shared" si="31"/>
        <v/>
      </c>
      <c r="Q263" s="1" t="str">
        <f t="shared" si="31"/>
        <v/>
      </c>
      <c r="R263" s="1" t="str">
        <f t="shared" si="31"/>
        <v/>
      </c>
      <c r="S263" s="1" t="str">
        <f t="shared" si="31"/>
        <v/>
      </c>
      <c r="T263" s="765" t="s">
        <v>583</v>
      </c>
      <c r="U263" s="784" t="s">
        <v>584</v>
      </c>
      <c r="V263" s="785">
        <v>1</v>
      </c>
      <c r="W263" s="786" t="s">
        <v>90</v>
      </c>
      <c r="X263" s="787"/>
      <c r="Y263" s="788">
        <v>225</v>
      </c>
      <c r="Z263" s="789">
        <v>0.17599999999999999</v>
      </c>
      <c r="AA263" s="790">
        <v>185.4</v>
      </c>
      <c r="AB263" s="790"/>
      <c r="AC263" s="791"/>
      <c r="AD263" s="791"/>
      <c r="AE263" s="792"/>
      <c r="AF263" s="791"/>
      <c r="AG263" s="660" t="s">
        <v>550</v>
      </c>
      <c r="AH263" s="769" t="s">
        <v>94</v>
      </c>
      <c r="AI263" s="769" t="s">
        <v>429</v>
      </c>
      <c r="AJ263" s="770" t="s">
        <v>98</v>
      </c>
      <c r="AK263" s="770" t="s">
        <v>98</v>
      </c>
      <c r="AL263" s="770" t="s">
        <v>98</v>
      </c>
      <c r="AM263" s="770" t="s">
        <v>98</v>
      </c>
      <c r="AN263" s="174"/>
    </row>
    <row r="264" spans="1:48">
      <c r="A264" s="684" t="s">
        <v>3304</v>
      </c>
      <c r="B264" s="836" t="s">
        <v>3316</v>
      </c>
      <c r="C264" s="687">
        <v>1</v>
      </c>
      <c r="D264" s="647" t="s">
        <v>90</v>
      </c>
      <c r="E264" s="44">
        <v>1083.3333333333335</v>
      </c>
      <c r="F264" s="837">
        <f t="shared" si="30"/>
        <v>0.17599999999999999</v>
      </c>
      <c r="G264" s="93">
        <f t="shared" si="34"/>
        <v>892.66666666666674</v>
      </c>
      <c r="H264" s="93"/>
      <c r="I264" s="270"/>
      <c r="J264" s="270"/>
      <c r="K264" s="121"/>
      <c r="L264" s="270"/>
      <c r="M264" s="1045" t="s">
        <v>3668</v>
      </c>
      <c r="N264" s="1047" t="s">
        <v>94</v>
      </c>
      <c r="O264" s="1066" t="s">
        <v>429</v>
      </c>
      <c r="P264" s="1" t="str">
        <f t="shared" si="31"/>
        <v/>
      </c>
      <c r="Q264" s="1" t="str">
        <f t="shared" si="31"/>
        <v/>
      </c>
      <c r="R264" s="1" t="str">
        <f t="shared" si="31"/>
        <v/>
      </c>
      <c r="S264" s="1" t="str">
        <f t="shared" si="31"/>
        <v/>
      </c>
      <c r="T264" s="765" t="s">
        <v>585</v>
      </c>
      <c r="U264" s="784" t="s">
        <v>586</v>
      </c>
      <c r="V264" s="785">
        <v>1</v>
      </c>
      <c r="W264" s="786" t="s">
        <v>90</v>
      </c>
      <c r="X264" s="787" t="s">
        <v>92</v>
      </c>
      <c r="Y264" s="788">
        <v>800</v>
      </c>
      <c r="Z264" s="789">
        <v>0.17599999999999999</v>
      </c>
      <c r="AA264" s="790">
        <v>659.2</v>
      </c>
      <c r="AB264" s="790"/>
      <c r="AC264" s="791"/>
      <c r="AD264" s="791"/>
      <c r="AE264" s="792" t="s">
        <v>92</v>
      </c>
      <c r="AF264" s="791" t="s">
        <v>92</v>
      </c>
      <c r="AG264" s="660" t="s">
        <v>550</v>
      </c>
      <c r="AH264" s="769" t="s">
        <v>94</v>
      </c>
      <c r="AI264" s="769" t="s">
        <v>429</v>
      </c>
      <c r="AJ264" s="770" t="s">
        <v>98</v>
      </c>
      <c r="AK264" s="770" t="s">
        <v>98</v>
      </c>
      <c r="AL264" s="770" t="s">
        <v>98</v>
      </c>
      <c r="AM264" s="770" t="s">
        <v>98</v>
      </c>
      <c r="AN264" s="174"/>
    </row>
    <row r="265" spans="1:48">
      <c r="A265" s="422"/>
      <c r="B265" s="273"/>
      <c r="C265" s="87"/>
      <c r="D265" s="88"/>
      <c r="E265" s="171"/>
      <c r="F265" s="89"/>
      <c r="G265" s="108"/>
      <c r="H265" s="108"/>
      <c r="I265" s="269"/>
      <c r="J265" s="269"/>
      <c r="K265" s="99"/>
      <c r="L265" s="269"/>
      <c r="M265" s="1045"/>
      <c r="N265" s="1047"/>
      <c r="O265" s="1066"/>
      <c r="P265" s="1"/>
      <c r="Q265" s="1"/>
      <c r="R265" s="1"/>
      <c r="S265" s="1"/>
      <c r="T265" s="765" t="s">
        <v>587</v>
      </c>
      <c r="U265" s="784" t="s">
        <v>588</v>
      </c>
      <c r="V265" s="785">
        <v>1</v>
      </c>
      <c r="W265" s="786" t="s">
        <v>90</v>
      </c>
      <c r="X265" s="787" t="s">
        <v>92</v>
      </c>
      <c r="Y265" s="788">
        <v>991.67</v>
      </c>
      <c r="Z265" s="789">
        <v>0.17599999999999999</v>
      </c>
      <c r="AA265" s="790">
        <v>817.13607999999999</v>
      </c>
      <c r="AB265" s="790"/>
      <c r="AC265" s="791"/>
      <c r="AD265" s="791"/>
      <c r="AE265" s="792"/>
      <c r="AF265" s="791"/>
      <c r="AG265" s="660" t="s">
        <v>550</v>
      </c>
      <c r="AH265" s="769" t="s">
        <v>94</v>
      </c>
      <c r="AI265" s="769" t="s">
        <v>429</v>
      </c>
      <c r="AJ265" s="770" t="s">
        <v>98</v>
      </c>
      <c r="AK265" s="770" t="s">
        <v>98</v>
      </c>
      <c r="AL265" s="770" t="s">
        <v>98</v>
      </c>
      <c r="AM265" s="770" t="s">
        <v>98</v>
      </c>
      <c r="AN265" s="174"/>
    </row>
    <row r="266" spans="1:48">
      <c r="A266" s="684" t="s">
        <v>3305</v>
      </c>
      <c r="B266" s="836" t="s">
        <v>3317</v>
      </c>
      <c r="C266" s="263">
        <v>1</v>
      </c>
      <c r="D266" s="264" t="s">
        <v>90</v>
      </c>
      <c r="E266" s="444">
        <v>383.33333333333337</v>
      </c>
      <c r="F266" s="261">
        <f t="shared" si="30"/>
        <v>0.17599999999999999</v>
      </c>
      <c r="G266" s="262">
        <f t="shared" ref="G266:G273" si="35">E266-(E266*F266)</f>
        <v>315.86666666666667</v>
      </c>
      <c r="H266" s="108"/>
      <c r="I266" s="269"/>
      <c r="J266" s="269"/>
      <c r="K266" s="99"/>
      <c r="L266" s="269"/>
      <c r="M266" s="1045" t="s">
        <v>3668</v>
      </c>
      <c r="N266" s="1047" t="s">
        <v>94</v>
      </c>
      <c r="O266" s="1066" t="s">
        <v>429</v>
      </c>
      <c r="P266" s="1" t="str">
        <f t="shared" si="31"/>
        <v/>
      </c>
      <c r="Q266" s="1" t="str">
        <f t="shared" si="31"/>
        <v/>
      </c>
      <c r="R266" s="1" t="str">
        <f t="shared" si="31"/>
        <v/>
      </c>
      <c r="S266" s="1" t="str">
        <f t="shared" si="31"/>
        <v/>
      </c>
      <c r="T266" s="765" t="s">
        <v>589</v>
      </c>
      <c r="U266" s="784" t="s">
        <v>590</v>
      </c>
      <c r="V266" s="785">
        <v>1</v>
      </c>
      <c r="W266" s="786" t="s">
        <v>90</v>
      </c>
      <c r="X266" s="787"/>
      <c r="Y266" s="788">
        <v>383.33</v>
      </c>
      <c r="Z266" s="789">
        <v>0.17599999999999999</v>
      </c>
      <c r="AA266" s="790">
        <v>315.86392000000001</v>
      </c>
      <c r="AB266" s="790"/>
      <c r="AC266" s="791"/>
      <c r="AD266" s="791"/>
      <c r="AE266" s="792"/>
      <c r="AF266" s="791"/>
      <c r="AG266" s="660" t="s">
        <v>550</v>
      </c>
      <c r="AH266" s="769" t="s">
        <v>94</v>
      </c>
      <c r="AI266" s="769" t="s">
        <v>429</v>
      </c>
      <c r="AJ266" s="770" t="s">
        <v>98</v>
      </c>
      <c r="AK266" s="770" t="s">
        <v>98</v>
      </c>
      <c r="AL266" s="770" t="s">
        <v>98</v>
      </c>
      <c r="AM266" s="770" t="s">
        <v>98</v>
      </c>
      <c r="AN266" s="174"/>
    </row>
    <row r="267" spans="1:48">
      <c r="A267" s="684" t="s">
        <v>3306</v>
      </c>
      <c r="B267" s="836" t="s">
        <v>3318</v>
      </c>
      <c r="C267" s="263">
        <v>1</v>
      </c>
      <c r="D267" s="264" t="s">
        <v>90</v>
      </c>
      <c r="E267" s="44">
        <v>383.33333333333337</v>
      </c>
      <c r="F267" s="261">
        <f t="shared" si="30"/>
        <v>0.17599999999999999</v>
      </c>
      <c r="G267" s="262">
        <f t="shared" si="35"/>
        <v>315.86666666666667</v>
      </c>
      <c r="H267" s="108"/>
      <c r="I267" s="269"/>
      <c r="J267" s="269"/>
      <c r="K267" s="99"/>
      <c r="L267" s="269"/>
      <c r="M267" s="1045" t="s">
        <v>3668</v>
      </c>
      <c r="N267" s="1047" t="s">
        <v>94</v>
      </c>
      <c r="O267" s="1066" t="s">
        <v>429</v>
      </c>
      <c r="P267" s="1" t="str">
        <f t="shared" si="31"/>
        <v/>
      </c>
      <c r="Q267" s="1" t="str">
        <f t="shared" si="31"/>
        <v/>
      </c>
      <c r="R267" s="1" t="str">
        <f t="shared" si="31"/>
        <v/>
      </c>
      <c r="S267" s="1" t="str">
        <f t="shared" si="31"/>
        <v/>
      </c>
      <c r="T267" s="765" t="s">
        <v>591</v>
      </c>
      <c r="U267" s="784" t="s">
        <v>592</v>
      </c>
      <c r="V267" s="785">
        <v>1</v>
      </c>
      <c r="W267" s="786" t="s">
        <v>90</v>
      </c>
      <c r="X267" s="787"/>
      <c r="Y267" s="793">
        <v>383.33</v>
      </c>
      <c r="Z267" s="789">
        <v>0.17599999999999999</v>
      </c>
      <c r="AA267" s="790">
        <v>315.86392000000001</v>
      </c>
      <c r="AB267" s="790"/>
      <c r="AC267" s="791"/>
      <c r="AD267" s="791"/>
      <c r="AE267" s="792"/>
      <c r="AF267" s="791"/>
      <c r="AG267" s="660" t="s">
        <v>550</v>
      </c>
      <c r="AH267" s="769" t="s">
        <v>94</v>
      </c>
      <c r="AI267" s="769" t="s">
        <v>429</v>
      </c>
      <c r="AJ267" s="770" t="s">
        <v>98</v>
      </c>
      <c r="AK267" s="770" t="s">
        <v>98</v>
      </c>
      <c r="AL267" s="770" t="s">
        <v>98</v>
      </c>
      <c r="AM267" s="770" t="s">
        <v>98</v>
      </c>
      <c r="AN267" s="174"/>
    </row>
    <row r="268" spans="1:48">
      <c r="A268" s="684" t="s">
        <v>3307</v>
      </c>
      <c r="B268" s="836" t="s">
        <v>3319</v>
      </c>
      <c r="C268" s="263">
        <v>1</v>
      </c>
      <c r="D268" s="264" t="s">
        <v>90</v>
      </c>
      <c r="E268" s="44">
        <v>766.66666666666674</v>
      </c>
      <c r="F268" s="261">
        <f t="shared" si="30"/>
        <v>0.17599999999999999</v>
      </c>
      <c r="G268" s="262">
        <f t="shared" si="35"/>
        <v>631.73333333333335</v>
      </c>
      <c r="H268" s="108"/>
      <c r="I268" s="269"/>
      <c r="J268" s="269"/>
      <c r="K268" s="99"/>
      <c r="L268" s="269"/>
      <c r="M268" s="1045" t="s">
        <v>3668</v>
      </c>
      <c r="N268" s="1047" t="s">
        <v>94</v>
      </c>
      <c r="O268" s="1066" t="s">
        <v>429</v>
      </c>
      <c r="P268" s="1" t="str">
        <f t="shared" si="31"/>
        <v/>
      </c>
      <c r="Q268" s="1" t="str">
        <f t="shared" si="31"/>
        <v/>
      </c>
      <c r="R268" s="1" t="str">
        <f t="shared" si="31"/>
        <v/>
      </c>
      <c r="S268" s="1" t="str">
        <f t="shared" si="31"/>
        <v/>
      </c>
      <c r="T268" s="422"/>
      <c r="U268" s="273"/>
      <c r="V268" s="87"/>
      <c r="W268" s="88"/>
      <c r="X268" s="208"/>
      <c r="Y268" s="47"/>
      <c r="Z268" s="89"/>
      <c r="AA268" s="108"/>
      <c r="AB268" s="108"/>
      <c r="AC268" s="269"/>
      <c r="AD268" s="269"/>
      <c r="AE268" s="99"/>
      <c r="AF268" s="269"/>
      <c r="AG268" s="41"/>
      <c r="AH268" s="174"/>
      <c r="AI268" s="174"/>
      <c r="AJ268" s="1"/>
      <c r="AK268" s="1"/>
      <c r="AL268" s="1"/>
      <c r="AM268" s="1"/>
      <c r="AN268" s="174"/>
    </row>
    <row r="269" spans="1:48">
      <c r="A269" s="684" t="s">
        <v>3308</v>
      </c>
      <c r="B269" s="836" t="s">
        <v>3320</v>
      </c>
      <c r="C269" s="687">
        <v>1</v>
      </c>
      <c r="D269" s="647" t="s">
        <v>90</v>
      </c>
      <c r="E269" s="44">
        <v>191.66666666666669</v>
      </c>
      <c r="F269" s="837">
        <f t="shared" si="30"/>
        <v>0.17599999999999999</v>
      </c>
      <c r="G269" s="93">
        <f t="shared" si="35"/>
        <v>157.93333333333334</v>
      </c>
      <c r="H269" s="93"/>
      <c r="I269" s="270"/>
      <c r="J269" s="270"/>
      <c r="K269" s="121"/>
      <c r="L269" s="270"/>
      <c r="M269" s="1045" t="s">
        <v>3668</v>
      </c>
      <c r="N269" s="1047" t="s">
        <v>94</v>
      </c>
      <c r="O269" s="1066" t="s">
        <v>429</v>
      </c>
      <c r="P269" s="1" t="str">
        <f t="shared" si="31"/>
        <v/>
      </c>
      <c r="Q269" s="1" t="str">
        <f t="shared" si="31"/>
        <v/>
      </c>
      <c r="R269" s="1" t="str">
        <f t="shared" si="31"/>
        <v/>
      </c>
      <c r="S269" s="1" t="str">
        <f t="shared" si="31"/>
        <v/>
      </c>
      <c r="T269" s="765" t="s">
        <v>593</v>
      </c>
      <c r="U269" s="784" t="s">
        <v>594</v>
      </c>
      <c r="V269" s="785">
        <v>1</v>
      </c>
      <c r="W269" s="786" t="s">
        <v>90</v>
      </c>
      <c r="X269" s="787"/>
      <c r="Y269" s="788">
        <v>191.67</v>
      </c>
      <c r="Z269" s="789">
        <v>0.17599999999999999</v>
      </c>
      <c r="AA269" s="790">
        <v>157.93608</v>
      </c>
      <c r="AB269" s="790"/>
      <c r="AC269" s="791"/>
      <c r="AD269" s="791"/>
      <c r="AE269" s="792"/>
      <c r="AF269" s="791"/>
      <c r="AG269" s="660" t="s">
        <v>550</v>
      </c>
      <c r="AH269" s="769" t="s">
        <v>94</v>
      </c>
      <c r="AI269" s="769" t="s">
        <v>429</v>
      </c>
      <c r="AJ269" s="770" t="s">
        <v>98</v>
      </c>
      <c r="AK269" s="770" t="s">
        <v>98</v>
      </c>
      <c r="AL269" s="770" t="s">
        <v>98</v>
      </c>
      <c r="AM269" s="770" t="s">
        <v>98</v>
      </c>
      <c r="AN269" s="174"/>
    </row>
    <row r="270" spans="1:48">
      <c r="A270" s="684" t="s">
        <v>3309</v>
      </c>
      <c r="B270" s="836" t="s">
        <v>3321</v>
      </c>
      <c r="C270" s="687">
        <v>1</v>
      </c>
      <c r="D270" s="647" t="s">
        <v>90</v>
      </c>
      <c r="E270" s="44">
        <v>575</v>
      </c>
      <c r="F270" s="837">
        <f t="shared" si="30"/>
        <v>0.17599999999999999</v>
      </c>
      <c r="G270" s="93">
        <f t="shared" si="35"/>
        <v>473.8</v>
      </c>
      <c r="H270" s="93"/>
      <c r="I270" s="270"/>
      <c r="J270" s="270"/>
      <c r="K270" s="121"/>
      <c r="L270" s="270"/>
      <c r="M270" s="1045" t="s">
        <v>3668</v>
      </c>
      <c r="N270" s="1047" t="s">
        <v>94</v>
      </c>
      <c r="O270" s="1066" t="s">
        <v>429</v>
      </c>
      <c r="P270" s="1" t="str">
        <f t="shared" si="31"/>
        <v/>
      </c>
      <c r="Q270" s="1" t="str">
        <f t="shared" si="31"/>
        <v/>
      </c>
      <c r="R270" s="1" t="str">
        <f t="shared" si="31"/>
        <v/>
      </c>
      <c r="S270" s="1" t="str">
        <f t="shared" si="31"/>
        <v/>
      </c>
      <c r="T270" s="765" t="s">
        <v>595</v>
      </c>
      <c r="U270" s="784" t="s">
        <v>596</v>
      </c>
      <c r="V270" s="785">
        <v>1</v>
      </c>
      <c r="W270" s="786" t="s">
        <v>90</v>
      </c>
      <c r="X270" s="787"/>
      <c r="Y270" s="788">
        <v>575</v>
      </c>
      <c r="Z270" s="789">
        <v>0.17599999999999999</v>
      </c>
      <c r="AA270" s="790">
        <v>473.8</v>
      </c>
      <c r="AB270" s="790"/>
      <c r="AC270" s="791"/>
      <c r="AD270" s="791"/>
      <c r="AE270" s="792"/>
      <c r="AF270" s="791"/>
      <c r="AG270" s="660" t="s">
        <v>550</v>
      </c>
      <c r="AH270" s="769" t="s">
        <v>94</v>
      </c>
      <c r="AI270" s="769" t="s">
        <v>429</v>
      </c>
      <c r="AJ270" s="770" t="s">
        <v>98</v>
      </c>
      <c r="AK270" s="770" t="s">
        <v>98</v>
      </c>
      <c r="AL270" s="770" t="s">
        <v>98</v>
      </c>
      <c r="AM270" s="770" t="s">
        <v>98</v>
      </c>
      <c r="AN270" s="174"/>
    </row>
    <row r="271" spans="1:48">
      <c r="A271" s="684" t="s">
        <v>3310</v>
      </c>
      <c r="B271" s="836" t="s">
        <v>3322</v>
      </c>
      <c r="C271" s="687">
        <v>1</v>
      </c>
      <c r="D271" s="647" t="s">
        <v>90</v>
      </c>
      <c r="E271" s="44">
        <v>1150</v>
      </c>
      <c r="F271" s="837">
        <f t="shared" si="30"/>
        <v>0.17599999999999999</v>
      </c>
      <c r="G271" s="93">
        <f t="shared" si="35"/>
        <v>947.6</v>
      </c>
      <c r="H271" s="93"/>
      <c r="I271" s="270"/>
      <c r="J271" s="270"/>
      <c r="K271" s="121"/>
      <c r="L271" s="270"/>
      <c r="M271" s="1045" t="s">
        <v>3668</v>
      </c>
      <c r="N271" s="1047" t="s">
        <v>94</v>
      </c>
      <c r="O271" s="1066" t="s">
        <v>429</v>
      </c>
      <c r="P271" s="1" t="str">
        <f t="shared" ref="P271:S276" si="36">+IF($J271&lt;&gt;"",P$2*$J271,"")</f>
        <v/>
      </c>
      <c r="Q271" s="1" t="str">
        <f t="shared" si="36"/>
        <v/>
      </c>
      <c r="R271" s="1" t="str">
        <f t="shared" si="36"/>
        <v/>
      </c>
      <c r="S271" s="1" t="str">
        <f t="shared" si="36"/>
        <v/>
      </c>
      <c r="T271" s="765" t="s">
        <v>597</v>
      </c>
      <c r="U271" s="784" t="s">
        <v>598</v>
      </c>
      <c r="V271" s="785">
        <v>1</v>
      </c>
      <c r="W271" s="786" t="s">
        <v>90</v>
      </c>
      <c r="X271" s="787"/>
      <c r="Y271" s="788">
        <v>1150</v>
      </c>
      <c r="Z271" s="789">
        <v>0.17599999999999999</v>
      </c>
      <c r="AA271" s="790">
        <v>947.6</v>
      </c>
      <c r="AB271" s="790"/>
      <c r="AC271" s="791"/>
      <c r="AD271" s="791"/>
      <c r="AE271" s="792"/>
      <c r="AF271" s="791"/>
      <c r="AG271" s="660" t="s">
        <v>550</v>
      </c>
      <c r="AH271" s="769" t="s">
        <v>94</v>
      </c>
      <c r="AI271" s="769" t="s">
        <v>429</v>
      </c>
      <c r="AJ271" s="770" t="s">
        <v>98</v>
      </c>
      <c r="AK271" s="770" t="s">
        <v>98</v>
      </c>
      <c r="AL271" s="770" t="s">
        <v>98</v>
      </c>
      <c r="AM271" s="770" t="s">
        <v>98</v>
      </c>
      <c r="AN271" s="174"/>
    </row>
    <row r="272" spans="1:48">
      <c r="A272" s="684" t="s">
        <v>3311</v>
      </c>
      <c r="B272" s="836" t="s">
        <v>3323</v>
      </c>
      <c r="C272" s="687">
        <v>1</v>
      </c>
      <c r="D272" s="647" t="s">
        <v>90</v>
      </c>
      <c r="E272" s="44">
        <v>2300</v>
      </c>
      <c r="F272" s="837">
        <f t="shared" si="30"/>
        <v>0.17599999999999999</v>
      </c>
      <c r="G272" s="93">
        <f t="shared" si="35"/>
        <v>1895.2</v>
      </c>
      <c r="H272" s="93"/>
      <c r="I272" s="270"/>
      <c r="J272" s="270"/>
      <c r="K272" s="121"/>
      <c r="L272" s="270"/>
      <c r="M272" s="1045" t="s">
        <v>3668</v>
      </c>
      <c r="N272" s="1047" t="s">
        <v>94</v>
      </c>
      <c r="O272" s="1066" t="s">
        <v>429</v>
      </c>
      <c r="P272" s="1" t="str">
        <f t="shared" si="36"/>
        <v/>
      </c>
      <c r="Q272" s="1" t="str">
        <f t="shared" si="36"/>
        <v/>
      </c>
      <c r="R272" s="1" t="str">
        <f t="shared" si="36"/>
        <v/>
      </c>
      <c r="S272" s="1" t="str">
        <f t="shared" si="36"/>
        <v/>
      </c>
      <c r="T272" s="765" t="s">
        <v>599</v>
      </c>
      <c r="U272" s="784" t="s">
        <v>600</v>
      </c>
      <c r="V272" s="785">
        <v>1</v>
      </c>
      <c r="W272" s="786" t="s">
        <v>90</v>
      </c>
      <c r="X272" s="787"/>
      <c r="Y272" s="788">
        <v>2300</v>
      </c>
      <c r="Z272" s="789">
        <v>0.17599999999999999</v>
      </c>
      <c r="AA272" s="790">
        <v>1895.2</v>
      </c>
      <c r="AB272" s="790"/>
      <c r="AC272" s="791"/>
      <c r="AD272" s="791"/>
      <c r="AE272" s="792"/>
      <c r="AF272" s="791"/>
      <c r="AG272" s="660" t="s">
        <v>550</v>
      </c>
      <c r="AH272" s="769" t="s">
        <v>94</v>
      </c>
      <c r="AI272" s="769" t="s">
        <v>429</v>
      </c>
      <c r="AJ272" s="770" t="s">
        <v>98</v>
      </c>
      <c r="AK272" s="770" t="s">
        <v>98</v>
      </c>
      <c r="AL272" s="770" t="s">
        <v>98</v>
      </c>
      <c r="AM272" s="770" t="s">
        <v>98</v>
      </c>
      <c r="AN272" s="174"/>
    </row>
    <row r="273" spans="1:48">
      <c r="A273" s="684" t="s">
        <v>3419</v>
      </c>
      <c r="B273" s="836" t="s">
        <v>3420</v>
      </c>
      <c r="C273" s="687">
        <v>1</v>
      </c>
      <c r="D273" s="647" t="s">
        <v>90</v>
      </c>
      <c r="E273" s="44">
        <v>16.670000000000002</v>
      </c>
      <c r="F273" s="837">
        <f t="shared" si="30"/>
        <v>0.17599999999999999</v>
      </c>
      <c r="G273" s="93">
        <f t="shared" si="35"/>
        <v>13.736080000000001</v>
      </c>
      <c r="H273" s="93"/>
      <c r="I273" s="270"/>
      <c r="J273" s="270"/>
      <c r="K273" s="121"/>
      <c r="L273" s="270"/>
      <c r="M273" s="1045" t="s">
        <v>3668</v>
      </c>
      <c r="N273" s="1047" t="s">
        <v>94</v>
      </c>
      <c r="O273" s="1066" t="s">
        <v>429</v>
      </c>
      <c r="P273" s="1" t="str">
        <f t="shared" si="36"/>
        <v/>
      </c>
      <c r="Q273" s="1" t="str">
        <f t="shared" si="36"/>
        <v/>
      </c>
      <c r="R273" s="1" t="str">
        <f t="shared" si="36"/>
        <v/>
      </c>
      <c r="S273" s="1" t="str">
        <f t="shared" si="36"/>
        <v/>
      </c>
      <c r="T273" s="765" t="s">
        <v>601</v>
      </c>
      <c r="U273" s="784" t="s">
        <v>602</v>
      </c>
      <c r="V273" s="785">
        <v>1</v>
      </c>
      <c r="W273" s="786" t="s">
        <v>90</v>
      </c>
      <c r="X273" s="787"/>
      <c r="Y273" s="788">
        <v>16.670000000000002</v>
      </c>
      <c r="Z273" s="789">
        <v>0.17599999999999999</v>
      </c>
      <c r="AA273" s="790">
        <v>13.736080000000001</v>
      </c>
      <c r="AB273" s="790"/>
      <c r="AC273" s="791"/>
      <c r="AD273" s="791"/>
      <c r="AE273" s="792"/>
      <c r="AF273" s="791"/>
      <c r="AG273" s="660" t="s">
        <v>550</v>
      </c>
      <c r="AH273" s="769" t="s">
        <v>94</v>
      </c>
      <c r="AI273" s="769" t="s">
        <v>429</v>
      </c>
      <c r="AJ273" s="770" t="s">
        <v>98</v>
      </c>
      <c r="AK273" s="770" t="s">
        <v>98</v>
      </c>
      <c r="AL273" s="770" t="s">
        <v>98</v>
      </c>
      <c r="AM273" s="770" t="s">
        <v>98</v>
      </c>
      <c r="AN273" s="174"/>
    </row>
    <row r="274" spans="1:48">
      <c r="A274" s="718" t="s">
        <v>3312</v>
      </c>
      <c r="B274" s="839" t="s">
        <v>3391</v>
      </c>
      <c r="C274" s="263">
        <v>1</v>
      </c>
      <c r="D274" s="264" t="s">
        <v>90</v>
      </c>
      <c r="E274" s="444">
        <v>0</v>
      </c>
      <c r="F274" s="261" t="s">
        <v>92</v>
      </c>
      <c r="G274" s="262">
        <f>E274</f>
        <v>0</v>
      </c>
      <c r="H274" s="108"/>
      <c r="I274" s="269"/>
      <c r="J274" s="269"/>
      <c r="K274" s="99"/>
      <c r="L274" s="269"/>
      <c r="M274" s="1045" t="s">
        <v>3668</v>
      </c>
      <c r="N274" s="1047" t="s">
        <v>94</v>
      </c>
      <c r="O274" s="1066" t="s">
        <v>429</v>
      </c>
      <c r="P274" s="1" t="str">
        <f t="shared" si="36"/>
        <v/>
      </c>
      <c r="Q274" s="1" t="str">
        <f t="shared" si="36"/>
        <v/>
      </c>
      <c r="R274" s="1" t="str">
        <f t="shared" si="36"/>
        <v/>
      </c>
      <c r="S274" s="1" t="str">
        <f t="shared" si="36"/>
        <v/>
      </c>
      <c r="T274" s="765" t="s">
        <v>603</v>
      </c>
      <c r="U274" s="784" t="s">
        <v>604</v>
      </c>
      <c r="V274" s="785">
        <v>1</v>
      </c>
      <c r="W274" s="786" t="s">
        <v>90</v>
      </c>
      <c r="X274" s="787"/>
      <c r="Y274" s="788">
        <v>0</v>
      </c>
      <c r="Z274" s="789">
        <v>0.17599999999999999</v>
      </c>
      <c r="AA274" s="790">
        <v>0</v>
      </c>
      <c r="AB274" s="790"/>
      <c r="AC274" s="791"/>
      <c r="AD274" s="791"/>
      <c r="AE274" s="792"/>
      <c r="AF274" s="791"/>
      <c r="AG274" s="660" t="s">
        <v>550</v>
      </c>
      <c r="AH274" s="769" t="s">
        <v>94</v>
      </c>
      <c r="AI274" s="769" t="s">
        <v>429</v>
      </c>
      <c r="AJ274" s="770" t="s">
        <v>98</v>
      </c>
      <c r="AK274" s="770" t="s">
        <v>98</v>
      </c>
      <c r="AL274" s="770" t="s">
        <v>98</v>
      </c>
      <c r="AM274" s="770" t="s">
        <v>98</v>
      </c>
      <c r="AN274" s="174"/>
    </row>
    <row r="275" spans="1:48">
      <c r="A275" s="684" t="s">
        <v>3343</v>
      </c>
      <c r="B275" s="839" t="s">
        <v>3324</v>
      </c>
      <c r="C275" s="263">
        <v>1</v>
      </c>
      <c r="D275" s="264" t="s">
        <v>90</v>
      </c>
      <c r="E275" s="444">
        <v>0</v>
      </c>
      <c r="F275" s="261" t="s">
        <v>92</v>
      </c>
      <c r="G275" s="262">
        <f t="shared" ref="G275:G276" si="37">E275</f>
        <v>0</v>
      </c>
      <c r="H275" s="108"/>
      <c r="I275" s="269"/>
      <c r="J275" s="269"/>
      <c r="K275" s="99"/>
      <c r="L275" s="269"/>
      <c r="M275" s="1045" t="s">
        <v>3668</v>
      </c>
      <c r="N275" s="1047" t="s">
        <v>94</v>
      </c>
      <c r="O275" s="1066" t="s">
        <v>429</v>
      </c>
      <c r="P275" s="1" t="str">
        <f t="shared" si="36"/>
        <v/>
      </c>
      <c r="Q275" s="1" t="str">
        <f t="shared" si="36"/>
        <v/>
      </c>
      <c r="R275" s="1" t="str">
        <f t="shared" si="36"/>
        <v/>
      </c>
      <c r="S275" s="1" t="str">
        <f t="shared" si="36"/>
        <v/>
      </c>
      <c r="T275" s="766" t="s">
        <v>605</v>
      </c>
      <c r="U275" s="784" t="s">
        <v>606</v>
      </c>
      <c r="V275" s="785">
        <v>1</v>
      </c>
      <c r="W275" s="786" t="s">
        <v>90</v>
      </c>
      <c r="X275" s="787"/>
      <c r="Y275" s="788">
        <v>0</v>
      </c>
      <c r="Z275" s="789">
        <v>0.17599999999999999</v>
      </c>
      <c r="AA275" s="790">
        <v>0</v>
      </c>
      <c r="AB275" s="790"/>
      <c r="AC275" s="791"/>
      <c r="AD275" s="791"/>
      <c r="AE275" s="792"/>
      <c r="AF275" s="791"/>
      <c r="AG275" s="660" t="s">
        <v>550</v>
      </c>
      <c r="AH275" s="769" t="s">
        <v>94</v>
      </c>
      <c r="AI275" s="769" t="s">
        <v>429</v>
      </c>
      <c r="AJ275" s="770" t="s">
        <v>98</v>
      </c>
      <c r="AK275" s="770" t="s">
        <v>98</v>
      </c>
      <c r="AL275" s="770" t="s">
        <v>98</v>
      </c>
      <c r="AM275" s="770" t="s">
        <v>98</v>
      </c>
      <c r="AN275" s="174"/>
    </row>
    <row r="276" spans="1:48" customFormat="1">
      <c r="A276" s="838" t="s">
        <v>3313</v>
      </c>
      <c r="B276" s="840" t="s">
        <v>3348</v>
      </c>
      <c r="C276" s="263">
        <v>1</v>
      </c>
      <c r="D276" s="264" t="s">
        <v>90</v>
      </c>
      <c r="E276" s="444">
        <v>0</v>
      </c>
      <c r="F276" s="261" t="s">
        <v>92</v>
      </c>
      <c r="G276" s="262">
        <f t="shared" si="37"/>
        <v>0</v>
      </c>
      <c r="H276" s="108"/>
      <c r="I276" s="269"/>
      <c r="J276" s="269"/>
      <c r="K276" s="99"/>
      <c r="L276" s="269"/>
      <c r="M276" s="1045" t="s">
        <v>3668</v>
      </c>
      <c r="N276" s="1047" t="s">
        <v>94</v>
      </c>
      <c r="O276" s="1066" t="s">
        <v>429</v>
      </c>
      <c r="P276" s="1" t="str">
        <f t="shared" si="36"/>
        <v/>
      </c>
      <c r="Q276" s="1" t="str">
        <f t="shared" si="36"/>
        <v/>
      </c>
      <c r="R276" s="1" t="str">
        <f t="shared" si="36"/>
        <v/>
      </c>
      <c r="S276" s="1" t="str">
        <f t="shared" si="36"/>
        <v/>
      </c>
      <c r="T276" s="767" t="s">
        <v>607</v>
      </c>
      <c r="U276" s="794" t="s">
        <v>608</v>
      </c>
      <c r="V276" s="795">
        <v>1</v>
      </c>
      <c r="W276" s="796" t="s">
        <v>90</v>
      </c>
      <c r="X276" s="797" t="s">
        <v>92</v>
      </c>
      <c r="Y276" s="795"/>
      <c r="Z276" s="798"/>
      <c r="AA276" s="796">
        <v>0</v>
      </c>
      <c r="AB276" s="799"/>
      <c r="AC276" s="799"/>
      <c r="AD276" s="799"/>
      <c r="AE276" s="796" t="s">
        <v>92</v>
      </c>
      <c r="AF276" s="799" t="s">
        <v>92</v>
      </c>
      <c r="AG276" s="771"/>
      <c r="AH276" s="769"/>
      <c r="AI276" s="769"/>
      <c r="AJ276" s="770" t="s">
        <v>98</v>
      </c>
      <c r="AK276" s="770" t="s">
        <v>98</v>
      </c>
      <c r="AL276" s="770" t="s">
        <v>98</v>
      </c>
      <c r="AM276" s="770" t="s">
        <v>98</v>
      </c>
      <c r="AN276" s="287"/>
      <c r="AO276" s="284"/>
      <c r="AP276" s="284"/>
      <c r="AQ276" s="284"/>
      <c r="AR276" s="284"/>
      <c r="AS276" s="284"/>
      <c r="AT276" s="284"/>
      <c r="AU276" s="284"/>
      <c r="AV276" s="284"/>
    </row>
    <row r="277" spans="1:48">
      <c r="A277" s="830" t="s">
        <v>3325</v>
      </c>
      <c r="B277" s="831" t="s">
        <v>3326</v>
      </c>
      <c r="C277" s="832">
        <v>1</v>
      </c>
      <c r="D277" s="833" t="s">
        <v>90</v>
      </c>
      <c r="E277" s="454">
        <v>2498.8666666666668</v>
      </c>
      <c r="F277" s="835">
        <f>rv_mbp14_hg</f>
        <v>0.17599999999999999</v>
      </c>
      <c r="G277" s="266">
        <f t="shared" ref="G277:G285" si="38">E277-(E277*F277)</f>
        <v>2059.0661333333337</v>
      </c>
      <c r="H277" s="832" t="s">
        <v>549</v>
      </c>
      <c r="I277" s="270">
        <f>mbp14_5pl</f>
        <v>48</v>
      </c>
      <c r="J277" s="270">
        <f>G277+I277</f>
        <v>2107.0661333333337</v>
      </c>
      <c r="K277" s="99" t="s">
        <v>92</v>
      </c>
      <c r="L277" s="216">
        <v>0.3</v>
      </c>
      <c r="M277" s="1045" t="s">
        <v>550</v>
      </c>
      <c r="N277" s="1047" t="s">
        <v>94</v>
      </c>
      <c r="O277" s="1066" t="s">
        <v>429</v>
      </c>
      <c r="P277" s="1">
        <f t="shared" ref="P277:S291" si="39">+IF($J277&lt;&gt;"",P$2*$J277,"")</f>
        <v>424.17084375375413</v>
      </c>
      <c r="Q277" s="1">
        <f t="shared" si="39"/>
        <v>220.44432713241551</v>
      </c>
      <c r="R277" s="1">
        <f t="shared" si="39"/>
        <v>160.10215245637869</v>
      </c>
      <c r="S277" s="1">
        <f t="shared" si="39"/>
        <v>138.15797213508705</v>
      </c>
      <c r="T277" s="764" t="s">
        <v>609</v>
      </c>
      <c r="U277" s="775" t="s">
        <v>610</v>
      </c>
      <c r="V277" s="776">
        <v>1</v>
      </c>
      <c r="W277" s="777" t="s">
        <v>90</v>
      </c>
      <c r="X277" s="778" t="s">
        <v>609</v>
      </c>
      <c r="Y277" s="779">
        <v>2290.5300000000002</v>
      </c>
      <c r="Z277" s="780">
        <v>0.17599999999999999</v>
      </c>
      <c r="AA277" s="781">
        <v>1887.3967200000002</v>
      </c>
      <c r="AB277" s="776" t="s">
        <v>549</v>
      </c>
      <c r="AC277" s="782">
        <v>48</v>
      </c>
      <c r="AD277" s="782">
        <v>1935.3967200000002</v>
      </c>
      <c r="AE277" s="800" t="s">
        <v>92</v>
      </c>
      <c r="AF277" s="783">
        <v>0.3</v>
      </c>
      <c r="AG277" s="660" t="s">
        <v>611</v>
      </c>
      <c r="AH277" s="769" t="s">
        <v>94</v>
      </c>
      <c r="AI277" s="769" t="s">
        <v>429</v>
      </c>
      <c r="AJ277" s="770">
        <v>389.61228920799959</v>
      </c>
      <c r="AK277" s="770">
        <v>202.48402312828085</v>
      </c>
      <c r="AL277" s="770">
        <v>147.05811831298408</v>
      </c>
      <c r="AM277" s="770">
        <v>126.90180050926682</v>
      </c>
      <c r="AN277" s="174"/>
    </row>
    <row r="278" spans="1:48">
      <c r="A278" s="684" t="s">
        <v>3327</v>
      </c>
      <c r="B278" s="836" t="s">
        <v>3328</v>
      </c>
      <c r="C278" s="687">
        <v>1</v>
      </c>
      <c r="D278" s="647" t="s">
        <v>90</v>
      </c>
      <c r="E278" s="44">
        <v>583.33333333333337</v>
      </c>
      <c r="F278" s="837">
        <f t="shared" ref="F278:F285" si="40">rv_mbp14_eg_cto</f>
        <v>0.17599999999999999</v>
      </c>
      <c r="G278" s="93">
        <f t="shared" si="38"/>
        <v>480.66666666666669</v>
      </c>
      <c r="H278" s="108"/>
      <c r="I278" s="269"/>
      <c r="J278" s="269"/>
      <c r="K278" s="99"/>
      <c r="L278" s="269"/>
      <c r="M278" s="1045" t="s">
        <v>550</v>
      </c>
      <c r="N278" s="1047" t="s">
        <v>94</v>
      </c>
      <c r="O278" s="1066" t="s">
        <v>429</v>
      </c>
      <c r="P278" s="1" t="str">
        <f t="shared" si="39"/>
        <v/>
      </c>
      <c r="Q278" s="1" t="str">
        <f t="shared" si="39"/>
        <v/>
      </c>
      <c r="R278" s="1" t="str">
        <f t="shared" si="39"/>
        <v/>
      </c>
      <c r="S278" s="1" t="str">
        <f t="shared" si="39"/>
        <v/>
      </c>
      <c r="T278" s="765" t="s">
        <v>612</v>
      </c>
      <c r="U278" s="784" t="s">
        <v>613</v>
      </c>
      <c r="V278" s="785">
        <v>1</v>
      </c>
      <c r="W278" s="786" t="s">
        <v>90</v>
      </c>
      <c r="X278" s="787" t="s">
        <v>92</v>
      </c>
      <c r="Y278" s="788">
        <v>575</v>
      </c>
      <c r="Z278" s="789">
        <v>0.17599999999999999</v>
      </c>
      <c r="AA278" s="790">
        <v>473.8</v>
      </c>
      <c r="AB278" s="790"/>
      <c r="AC278" s="791"/>
      <c r="AD278" s="791"/>
      <c r="AE278" s="792" t="s">
        <v>92</v>
      </c>
      <c r="AF278" s="791" t="s">
        <v>92</v>
      </c>
      <c r="AG278" s="660" t="s">
        <v>550</v>
      </c>
      <c r="AH278" s="769" t="s">
        <v>94</v>
      </c>
      <c r="AI278" s="769" t="s">
        <v>429</v>
      </c>
      <c r="AJ278" s="770" t="s">
        <v>98</v>
      </c>
      <c r="AK278" s="770" t="s">
        <v>98</v>
      </c>
      <c r="AL278" s="770" t="s">
        <v>98</v>
      </c>
      <c r="AM278" s="770" t="s">
        <v>98</v>
      </c>
      <c r="AN278" s="174"/>
    </row>
    <row r="279" spans="1:48">
      <c r="A279" s="684" t="s">
        <v>3329</v>
      </c>
      <c r="B279" s="836" t="s">
        <v>3330</v>
      </c>
      <c r="C279" s="687">
        <v>1</v>
      </c>
      <c r="D279" s="647" t="s">
        <v>90</v>
      </c>
      <c r="E279" s="44">
        <v>775</v>
      </c>
      <c r="F279" s="837">
        <f t="shared" si="40"/>
        <v>0.17599999999999999</v>
      </c>
      <c r="G279" s="93">
        <f t="shared" si="38"/>
        <v>638.6</v>
      </c>
      <c r="H279" s="108"/>
      <c r="I279" s="269"/>
      <c r="J279" s="269"/>
      <c r="K279" s="99"/>
      <c r="L279" s="269"/>
      <c r="M279" s="1045" t="s">
        <v>550</v>
      </c>
      <c r="N279" s="1047" t="s">
        <v>94</v>
      </c>
      <c r="O279" s="1066" t="s">
        <v>429</v>
      </c>
      <c r="P279" s="1" t="str">
        <f t="shared" si="39"/>
        <v/>
      </c>
      <c r="Q279" s="1" t="str">
        <f t="shared" si="39"/>
        <v/>
      </c>
      <c r="R279" s="1" t="str">
        <f t="shared" si="39"/>
        <v/>
      </c>
      <c r="S279" s="1" t="str">
        <f t="shared" si="39"/>
        <v/>
      </c>
      <c r="T279" s="765" t="s">
        <v>614</v>
      </c>
      <c r="U279" s="784" t="s">
        <v>615</v>
      </c>
      <c r="V279" s="785">
        <v>1</v>
      </c>
      <c r="W279" s="786" t="s">
        <v>90</v>
      </c>
      <c r="X279" s="787" t="s">
        <v>92</v>
      </c>
      <c r="Y279" s="788">
        <v>766.67</v>
      </c>
      <c r="Z279" s="789">
        <v>0.17599999999999999</v>
      </c>
      <c r="AA279" s="790">
        <v>631.73608000000002</v>
      </c>
      <c r="AB279" s="790"/>
      <c r="AC279" s="791"/>
      <c r="AD279" s="791"/>
      <c r="AE279" s="792"/>
      <c r="AF279" s="791"/>
      <c r="AG279" s="660" t="s">
        <v>550</v>
      </c>
      <c r="AH279" s="769" t="s">
        <v>94</v>
      </c>
      <c r="AI279" s="769" t="s">
        <v>429</v>
      </c>
      <c r="AJ279" s="770" t="s">
        <v>98</v>
      </c>
      <c r="AK279" s="770" t="s">
        <v>98</v>
      </c>
      <c r="AL279" s="770" t="s">
        <v>98</v>
      </c>
      <c r="AM279" s="770" t="s">
        <v>98</v>
      </c>
      <c r="AN279" s="174"/>
    </row>
    <row r="280" spans="1:48">
      <c r="A280" s="684" t="s">
        <v>3331</v>
      </c>
      <c r="B280" s="836" t="s">
        <v>3334</v>
      </c>
      <c r="C280" s="687">
        <v>1</v>
      </c>
      <c r="D280" s="647" t="s">
        <v>90</v>
      </c>
      <c r="E280" s="444">
        <v>383.33333333333337</v>
      </c>
      <c r="F280" s="837">
        <f t="shared" si="40"/>
        <v>0.17599999999999999</v>
      </c>
      <c r="G280" s="93">
        <f t="shared" si="38"/>
        <v>315.86666666666667</v>
      </c>
      <c r="H280" s="93"/>
      <c r="I280" s="270"/>
      <c r="J280" s="270"/>
      <c r="K280" s="121"/>
      <c r="L280" s="270"/>
      <c r="M280" s="1045" t="s">
        <v>550</v>
      </c>
      <c r="N280" s="1047" t="s">
        <v>94</v>
      </c>
      <c r="O280" s="1066" t="s">
        <v>429</v>
      </c>
      <c r="P280" s="1" t="str">
        <f t="shared" si="39"/>
        <v/>
      </c>
      <c r="Q280" s="1" t="str">
        <f t="shared" si="39"/>
        <v/>
      </c>
      <c r="R280" s="1" t="str">
        <f t="shared" si="39"/>
        <v/>
      </c>
      <c r="S280" s="1" t="str">
        <f t="shared" si="39"/>
        <v/>
      </c>
      <c r="T280" s="765" t="s">
        <v>616</v>
      </c>
      <c r="U280" s="784" t="s">
        <v>617</v>
      </c>
      <c r="V280" s="785">
        <v>1</v>
      </c>
      <c r="W280" s="786" t="s">
        <v>90</v>
      </c>
      <c r="X280" s="787"/>
      <c r="Y280" s="788">
        <v>383.33</v>
      </c>
      <c r="Z280" s="789">
        <v>0.17599999999999999</v>
      </c>
      <c r="AA280" s="790">
        <v>315.86392000000001</v>
      </c>
      <c r="AB280" s="790"/>
      <c r="AC280" s="791"/>
      <c r="AD280" s="791"/>
      <c r="AE280" s="792"/>
      <c r="AF280" s="791"/>
      <c r="AG280" s="660" t="s">
        <v>550</v>
      </c>
      <c r="AH280" s="769" t="s">
        <v>94</v>
      </c>
      <c r="AI280" s="772" t="s">
        <v>429</v>
      </c>
      <c r="AJ280" s="770" t="s">
        <v>98</v>
      </c>
      <c r="AK280" s="770" t="s">
        <v>98</v>
      </c>
      <c r="AL280" s="770" t="s">
        <v>98</v>
      </c>
      <c r="AM280" s="770" t="s">
        <v>98</v>
      </c>
      <c r="AN280" s="174"/>
    </row>
    <row r="281" spans="1:48">
      <c r="A281" s="684" t="s">
        <v>3332</v>
      </c>
      <c r="B281" s="836" t="s">
        <v>3335</v>
      </c>
      <c r="C281" s="687">
        <v>1</v>
      </c>
      <c r="D281" s="647" t="s">
        <v>90</v>
      </c>
      <c r="E281" s="44">
        <v>383.33333333333337</v>
      </c>
      <c r="F281" s="837">
        <f t="shared" si="40"/>
        <v>0.17599999999999999</v>
      </c>
      <c r="G281" s="93">
        <f t="shared" si="38"/>
        <v>315.86666666666667</v>
      </c>
      <c r="H281" s="93"/>
      <c r="I281" s="270"/>
      <c r="J281" s="270"/>
      <c r="K281" s="121"/>
      <c r="L281" s="270"/>
      <c r="M281" s="1045" t="s">
        <v>550</v>
      </c>
      <c r="N281" s="1047" t="s">
        <v>94</v>
      </c>
      <c r="O281" s="1066" t="s">
        <v>429</v>
      </c>
      <c r="P281" s="1" t="str">
        <f t="shared" si="39"/>
        <v/>
      </c>
      <c r="Q281" s="1" t="str">
        <f t="shared" si="39"/>
        <v/>
      </c>
      <c r="R281" s="1" t="str">
        <f t="shared" si="39"/>
        <v/>
      </c>
      <c r="S281" s="1" t="str">
        <f t="shared" si="39"/>
        <v/>
      </c>
      <c r="T281" s="765" t="s">
        <v>618</v>
      </c>
      <c r="U281" s="784" t="s">
        <v>619</v>
      </c>
      <c r="V281" s="785">
        <v>1</v>
      </c>
      <c r="W281" s="786" t="s">
        <v>90</v>
      </c>
      <c r="X281" s="787"/>
      <c r="Y281" s="793">
        <v>383.33</v>
      </c>
      <c r="Z281" s="789">
        <v>0.17599999999999999</v>
      </c>
      <c r="AA281" s="790">
        <v>315.86392000000001</v>
      </c>
      <c r="AB281" s="790"/>
      <c r="AC281" s="791"/>
      <c r="AD281" s="791"/>
      <c r="AE281" s="792"/>
      <c r="AF281" s="791"/>
      <c r="AG281" s="660" t="s">
        <v>550</v>
      </c>
      <c r="AH281" s="769" t="s">
        <v>94</v>
      </c>
      <c r="AI281" s="772" t="s">
        <v>429</v>
      </c>
      <c r="AJ281" s="770" t="s">
        <v>98</v>
      </c>
      <c r="AK281" s="770" t="s">
        <v>98</v>
      </c>
      <c r="AL281" s="770" t="s">
        <v>98</v>
      </c>
      <c r="AM281" s="770" t="s">
        <v>98</v>
      </c>
      <c r="AN281" s="174"/>
    </row>
    <row r="282" spans="1:48">
      <c r="A282" s="684" t="s">
        <v>3333</v>
      </c>
      <c r="B282" s="836" t="s">
        <v>3336</v>
      </c>
      <c r="C282" s="687">
        <v>1</v>
      </c>
      <c r="D282" s="647" t="s">
        <v>90</v>
      </c>
      <c r="E282" s="44">
        <v>766.66666666666674</v>
      </c>
      <c r="F282" s="837">
        <f t="shared" si="40"/>
        <v>0.17599999999999999</v>
      </c>
      <c r="G282" s="93">
        <f t="shared" ref="G282" si="41">E282-(E282*F282)</f>
        <v>631.73333333333335</v>
      </c>
      <c r="H282" s="93"/>
      <c r="I282" s="270"/>
      <c r="J282" s="270"/>
      <c r="K282" s="121"/>
      <c r="L282" s="270"/>
      <c r="M282" s="1045" t="s">
        <v>550</v>
      </c>
      <c r="N282" s="1047" t="s">
        <v>94</v>
      </c>
      <c r="O282" s="1066" t="s">
        <v>429</v>
      </c>
      <c r="P282" s="1" t="str">
        <f t="shared" si="39"/>
        <v/>
      </c>
      <c r="Q282" s="1" t="str">
        <f t="shared" si="39"/>
        <v/>
      </c>
      <c r="R282" s="1" t="str">
        <f t="shared" si="39"/>
        <v/>
      </c>
      <c r="S282" s="1" t="str">
        <f t="shared" si="39"/>
        <v/>
      </c>
      <c r="T282" s="422"/>
      <c r="U282" s="273"/>
      <c r="V282" s="87"/>
      <c r="W282" s="88"/>
      <c r="X282" s="208"/>
      <c r="Y282" s="47"/>
      <c r="Z282" s="89"/>
      <c r="AA282" s="108"/>
      <c r="AB282" s="108"/>
      <c r="AC282" s="269"/>
      <c r="AD282" s="269"/>
      <c r="AE282" s="99"/>
      <c r="AF282" s="269"/>
      <c r="AG282" s="41"/>
      <c r="AH282" s="174"/>
      <c r="AI282" s="159"/>
      <c r="AJ282" s="1"/>
      <c r="AK282" s="1"/>
      <c r="AL282" s="1"/>
      <c r="AM282" s="1"/>
      <c r="AN282" s="174"/>
    </row>
    <row r="283" spans="1:48">
      <c r="A283" s="684" t="s">
        <v>3337</v>
      </c>
      <c r="B283" s="836" t="s">
        <v>3340</v>
      </c>
      <c r="C283" s="687">
        <v>1</v>
      </c>
      <c r="D283" s="647" t="s">
        <v>90</v>
      </c>
      <c r="E283" s="44">
        <v>383.33</v>
      </c>
      <c r="F283" s="837">
        <f t="shared" si="40"/>
        <v>0.17599999999999999</v>
      </c>
      <c r="G283" s="93">
        <f t="shared" si="38"/>
        <v>315.86392000000001</v>
      </c>
      <c r="H283" s="93"/>
      <c r="I283" s="270"/>
      <c r="J283" s="270"/>
      <c r="K283" s="121"/>
      <c r="L283" s="270"/>
      <c r="M283" s="1045" t="s">
        <v>550</v>
      </c>
      <c r="N283" s="1047" t="s">
        <v>94</v>
      </c>
      <c r="O283" s="1066" t="s">
        <v>429</v>
      </c>
      <c r="P283" s="1" t="str">
        <f t="shared" si="39"/>
        <v/>
      </c>
      <c r="Q283" s="1" t="str">
        <f t="shared" si="39"/>
        <v/>
      </c>
      <c r="R283" s="1" t="str">
        <f t="shared" si="39"/>
        <v/>
      </c>
      <c r="S283" s="1" t="str">
        <f t="shared" si="39"/>
        <v/>
      </c>
      <c r="T283" s="765" t="s">
        <v>620</v>
      </c>
      <c r="U283" s="784" t="s">
        <v>621</v>
      </c>
      <c r="V283" s="785">
        <v>1</v>
      </c>
      <c r="W283" s="786" t="s">
        <v>90</v>
      </c>
      <c r="X283" s="787"/>
      <c r="Y283" s="788">
        <v>383.33</v>
      </c>
      <c r="Z283" s="789">
        <v>0.17599999999999999</v>
      </c>
      <c r="AA283" s="790">
        <v>315.86392000000001</v>
      </c>
      <c r="AB283" s="790"/>
      <c r="AC283" s="791"/>
      <c r="AD283" s="791"/>
      <c r="AE283" s="792"/>
      <c r="AF283" s="791"/>
      <c r="AG283" s="660" t="s">
        <v>550</v>
      </c>
      <c r="AH283" s="769" t="s">
        <v>94</v>
      </c>
      <c r="AI283" s="772" t="s">
        <v>429</v>
      </c>
      <c r="AJ283" s="770" t="s">
        <v>98</v>
      </c>
      <c r="AK283" s="770" t="s">
        <v>98</v>
      </c>
      <c r="AL283" s="770" t="s">
        <v>98</v>
      </c>
      <c r="AM283" s="770" t="s">
        <v>98</v>
      </c>
      <c r="AN283" s="174"/>
    </row>
    <row r="284" spans="1:48">
      <c r="A284" s="684" t="s">
        <v>3338</v>
      </c>
      <c r="B284" s="836" t="s">
        <v>3341</v>
      </c>
      <c r="C284" s="687">
        <v>1</v>
      </c>
      <c r="D284" s="647" t="s">
        <v>90</v>
      </c>
      <c r="E284" s="44">
        <v>958.33</v>
      </c>
      <c r="F284" s="837">
        <f t="shared" si="40"/>
        <v>0.17599999999999999</v>
      </c>
      <c r="G284" s="93">
        <f t="shared" si="38"/>
        <v>789.66392000000008</v>
      </c>
      <c r="H284" s="93"/>
      <c r="I284" s="270"/>
      <c r="J284" s="270"/>
      <c r="K284" s="121"/>
      <c r="L284" s="270"/>
      <c r="M284" s="1045" t="s">
        <v>550</v>
      </c>
      <c r="N284" s="1047" t="s">
        <v>94</v>
      </c>
      <c r="O284" s="1066" t="s">
        <v>429</v>
      </c>
      <c r="P284" s="1" t="str">
        <f t="shared" si="39"/>
        <v/>
      </c>
      <c r="Q284" s="1" t="str">
        <f t="shared" si="39"/>
        <v/>
      </c>
      <c r="R284" s="1" t="str">
        <f t="shared" si="39"/>
        <v/>
      </c>
      <c r="S284" s="1" t="str">
        <f t="shared" si="39"/>
        <v/>
      </c>
      <c r="T284" s="765" t="s">
        <v>622</v>
      </c>
      <c r="U284" s="784" t="s">
        <v>623</v>
      </c>
      <c r="V284" s="785">
        <v>1</v>
      </c>
      <c r="W284" s="786" t="s">
        <v>90</v>
      </c>
      <c r="X284" s="787"/>
      <c r="Y284" s="788">
        <v>958.33</v>
      </c>
      <c r="Z284" s="789">
        <v>0.17599999999999999</v>
      </c>
      <c r="AA284" s="790">
        <v>789.66392000000008</v>
      </c>
      <c r="AB284" s="790"/>
      <c r="AC284" s="791"/>
      <c r="AD284" s="791"/>
      <c r="AE284" s="792"/>
      <c r="AF284" s="791"/>
      <c r="AG284" s="660" t="s">
        <v>550</v>
      </c>
      <c r="AH284" s="769" t="s">
        <v>94</v>
      </c>
      <c r="AI284" s="772" t="s">
        <v>429</v>
      </c>
      <c r="AJ284" s="770" t="s">
        <v>98</v>
      </c>
      <c r="AK284" s="770" t="s">
        <v>98</v>
      </c>
      <c r="AL284" s="770" t="s">
        <v>98</v>
      </c>
      <c r="AM284" s="770" t="s">
        <v>98</v>
      </c>
      <c r="AN284" s="174"/>
    </row>
    <row r="285" spans="1:48">
      <c r="A285" s="684" t="s">
        <v>3339</v>
      </c>
      <c r="B285" s="836" t="s">
        <v>3342</v>
      </c>
      <c r="C285" s="687">
        <v>1</v>
      </c>
      <c r="D285" s="647" t="s">
        <v>90</v>
      </c>
      <c r="E285" s="44">
        <v>2108.33</v>
      </c>
      <c r="F285" s="837">
        <f t="shared" si="40"/>
        <v>0.17599999999999999</v>
      </c>
      <c r="G285" s="93">
        <f t="shared" si="38"/>
        <v>1737.2639199999999</v>
      </c>
      <c r="H285" s="93"/>
      <c r="I285" s="270"/>
      <c r="J285" s="270"/>
      <c r="K285" s="121"/>
      <c r="L285" s="270"/>
      <c r="M285" s="1045" t="s">
        <v>550</v>
      </c>
      <c r="N285" s="1047" t="s">
        <v>94</v>
      </c>
      <c r="O285" s="1066" t="s">
        <v>429</v>
      </c>
      <c r="P285" s="1" t="str">
        <f t="shared" si="39"/>
        <v/>
      </c>
      <c r="Q285" s="1" t="str">
        <f t="shared" si="39"/>
        <v/>
      </c>
      <c r="R285" s="1" t="str">
        <f t="shared" si="39"/>
        <v/>
      </c>
      <c r="S285" s="1" t="str">
        <f t="shared" si="39"/>
        <v/>
      </c>
      <c r="T285" s="765" t="s">
        <v>624</v>
      </c>
      <c r="U285" s="784" t="s">
        <v>625</v>
      </c>
      <c r="V285" s="785">
        <v>1</v>
      </c>
      <c r="W285" s="786" t="s">
        <v>90</v>
      </c>
      <c r="X285" s="787"/>
      <c r="Y285" s="788">
        <v>2108.33</v>
      </c>
      <c r="Z285" s="789">
        <v>0.17599999999999999</v>
      </c>
      <c r="AA285" s="790">
        <v>1737.2639199999999</v>
      </c>
      <c r="AB285" s="790"/>
      <c r="AC285" s="791"/>
      <c r="AD285" s="791"/>
      <c r="AE285" s="792"/>
      <c r="AF285" s="791"/>
      <c r="AG285" s="660" t="s">
        <v>550</v>
      </c>
      <c r="AH285" s="769" t="s">
        <v>94</v>
      </c>
      <c r="AI285" s="772" t="s">
        <v>429</v>
      </c>
      <c r="AJ285" s="770" t="s">
        <v>98</v>
      </c>
      <c r="AK285" s="770" t="s">
        <v>98</v>
      </c>
      <c r="AL285" s="770" t="s">
        <v>98</v>
      </c>
      <c r="AM285" s="770" t="s">
        <v>98</v>
      </c>
      <c r="AN285" s="174"/>
    </row>
    <row r="286" spans="1:48">
      <c r="A286" s="718" t="s">
        <v>3344</v>
      </c>
      <c r="B286" s="839" t="s">
        <v>3390</v>
      </c>
      <c r="C286" s="263">
        <v>1</v>
      </c>
      <c r="D286" s="264" t="s">
        <v>90</v>
      </c>
      <c r="E286" s="444">
        <v>0</v>
      </c>
      <c r="F286" s="261" t="s">
        <v>92</v>
      </c>
      <c r="G286" s="262">
        <f t="shared" ref="G286:G288" si="42">E286</f>
        <v>0</v>
      </c>
      <c r="H286" s="108"/>
      <c r="I286" s="269"/>
      <c r="J286" s="269"/>
      <c r="K286" s="99"/>
      <c r="L286" s="269"/>
      <c r="M286" s="1045" t="s">
        <v>550</v>
      </c>
      <c r="N286" s="1047" t="s">
        <v>94</v>
      </c>
      <c r="O286" s="1066" t="s">
        <v>429</v>
      </c>
      <c r="P286" s="1" t="s">
        <v>98</v>
      </c>
      <c r="Q286" s="1" t="s">
        <v>98</v>
      </c>
      <c r="R286" s="1" t="s">
        <v>98</v>
      </c>
      <c r="S286" s="1" t="s">
        <v>98</v>
      </c>
      <c r="T286" s="765" t="s">
        <v>626</v>
      </c>
      <c r="U286" s="784" t="s">
        <v>627</v>
      </c>
      <c r="V286" s="785">
        <v>1</v>
      </c>
      <c r="W286" s="786" t="s">
        <v>90</v>
      </c>
      <c r="X286" s="787"/>
      <c r="Y286" s="788">
        <v>0</v>
      </c>
      <c r="Z286" s="789">
        <v>0.17599999999999999</v>
      </c>
      <c r="AA286" s="790">
        <v>0</v>
      </c>
      <c r="AB286" s="790"/>
      <c r="AC286" s="791"/>
      <c r="AD286" s="791"/>
      <c r="AE286" s="792"/>
      <c r="AF286" s="791"/>
      <c r="AG286" s="660" t="s">
        <v>550</v>
      </c>
      <c r="AH286" s="769" t="s">
        <v>94</v>
      </c>
      <c r="AI286" s="772" t="s">
        <v>429</v>
      </c>
      <c r="AJ286" s="770" t="s">
        <v>98</v>
      </c>
      <c r="AK286" s="770" t="s">
        <v>98</v>
      </c>
      <c r="AL286" s="770" t="s">
        <v>98</v>
      </c>
      <c r="AM286" s="770" t="s">
        <v>98</v>
      </c>
      <c r="AN286" s="174"/>
    </row>
    <row r="287" spans="1:48">
      <c r="A287" s="684" t="s">
        <v>3346</v>
      </c>
      <c r="B287" s="839" t="s">
        <v>3347</v>
      </c>
      <c r="C287" s="263">
        <v>1</v>
      </c>
      <c r="D287" s="264" t="s">
        <v>90</v>
      </c>
      <c r="E287" s="444">
        <v>0</v>
      </c>
      <c r="F287" s="261" t="s">
        <v>92</v>
      </c>
      <c r="G287" s="262">
        <f t="shared" si="42"/>
        <v>0</v>
      </c>
      <c r="H287" s="108"/>
      <c r="I287" s="269"/>
      <c r="J287" s="269"/>
      <c r="K287" s="99"/>
      <c r="L287" s="269"/>
      <c r="M287" s="1045" t="s">
        <v>550</v>
      </c>
      <c r="N287" s="1047" t="s">
        <v>94</v>
      </c>
      <c r="O287" s="1066" t="s">
        <v>429</v>
      </c>
      <c r="P287" s="1" t="s">
        <v>98</v>
      </c>
      <c r="Q287" s="1" t="s">
        <v>98</v>
      </c>
      <c r="R287" s="1" t="s">
        <v>98</v>
      </c>
      <c r="S287" s="1" t="s">
        <v>98</v>
      </c>
      <c r="T287" s="766" t="s">
        <v>628</v>
      </c>
      <c r="U287" s="784" t="s">
        <v>629</v>
      </c>
      <c r="V287" s="785">
        <v>1</v>
      </c>
      <c r="W287" s="786" t="s">
        <v>90</v>
      </c>
      <c r="X287" s="787"/>
      <c r="Y287" s="788">
        <v>0</v>
      </c>
      <c r="Z287" s="789">
        <v>0.17599999999999999</v>
      </c>
      <c r="AA287" s="790">
        <v>0</v>
      </c>
      <c r="AB287" s="790"/>
      <c r="AC287" s="791"/>
      <c r="AD287" s="791"/>
      <c r="AE287" s="792"/>
      <c r="AF287" s="791"/>
      <c r="AG287" s="660" t="s">
        <v>550</v>
      </c>
      <c r="AH287" s="769" t="s">
        <v>94</v>
      </c>
      <c r="AI287" s="772" t="s">
        <v>429</v>
      </c>
      <c r="AJ287" s="770" t="s">
        <v>98</v>
      </c>
      <c r="AK287" s="770" t="s">
        <v>98</v>
      </c>
      <c r="AL287" s="770" t="s">
        <v>98</v>
      </c>
      <c r="AM287" s="770" t="s">
        <v>98</v>
      </c>
      <c r="AN287" s="174"/>
    </row>
    <row r="288" spans="1:48" customFormat="1">
      <c r="A288" s="838" t="s">
        <v>3345</v>
      </c>
      <c r="B288" s="840" t="s">
        <v>3349</v>
      </c>
      <c r="C288" s="263">
        <v>1</v>
      </c>
      <c r="D288" s="264" t="s">
        <v>90</v>
      </c>
      <c r="E288" s="444">
        <v>0</v>
      </c>
      <c r="F288" s="261" t="s">
        <v>92</v>
      </c>
      <c r="G288" s="262">
        <f t="shared" si="42"/>
        <v>0</v>
      </c>
      <c r="H288" s="108"/>
      <c r="I288" s="269"/>
      <c r="J288" s="269"/>
      <c r="K288" s="99"/>
      <c r="L288" s="269"/>
      <c r="M288" s="1045" t="s">
        <v>550</v>
      </c>
      <c r="N288" s="1047" t="s">
        <v>94</v>
      </c>
      <c r="O288" s="1066" t="s">
        <v>429</v>
      </c>
      <c r="P288" s="1" t="s">
        <v>98</v>
      </c>
      <c r="Q288" s="1" t="s">
        <v>98</v>
      </c>
      <c r="R288" s="1" t="s">
        <v>98</v>
      </c>
      <c r="S288" s="1" t="s">
        <v>98</v>
      </c>
      <c r="T288" s="767" t="s">
        <v>630</v>
      </c>
      <c r="U288" s="794" t="s">
        <v>608</v>
      </c>
      <c r="V288" s="795">
        <v>1</v>
      </c>
      <c r="W288" s="796" t="s">
        <v>90</v>
      </c>
      <c r="X288" s="797" t="s">
        <v>92</v>
      </c>
      <c r="Y288" s="795"/>
      <c r="Z288" s="798"/>
      <c r="AA288" s="796">
        <v>0</v>
      </c>
      <c r="AB288" s="799"/>
      <c r="AC288" s="799"/>
      <c r="AD288" s="799"/>
      <c r="AE288" s="796" t="s">
        <v>92</v>
      </c>
      <c r="AF288" s="799" t="s">
        <v>92</v>
      </c>
      <c r="AG288" s="771"/>
      <c r="AH288" s="773"/>
      <c r="AI288" s="774"/>
      <c r="AJ288" s="770" t="s">
        <v>98</v>
      </c>
      <c r="AK288" s="770" t="s">
        <v>98</v>
      </c>
      <c r="AL288" s="770" t="s">
        <v>98</v>
      </c>
      <c r="AM288" s="770" t="s">
        <v>98</v>
      </c>
      <c r="AN288" s="287"/>
      <c r="AO288" s="284"/>
      <c r="AP288" s="284"/>
      <c r="AQ288" s="284"/>
      <c r="AR288" s="284"/>
      <c r="AS288" s="284"/>
      <c r="AT288" s="284"/>
      <c r="AU288" s="284"/>
      <c r="AV288" s="284"/>
    </row>
    <row r="289" spans="1:48">
      <c r="A289" s="830" t="s">
        <v>3350</v>
      </c>
      <c r="B289" s="831" t="s">
        <v>3351</v>
      </c>
      <c r="C289" s="832">
        <v>1</v>
      </c>
      <c r="D289" s="833" t="s">
        <v>90</v>
      </c>
      <c r="E289" s="454">
        <v>2498.8666666666668</v>
      </c>
      <c r="F289" s="835">
        <f>rv_mbp14_hg</f>
        <v>0.17599999999999999</v>
      </c>
      <c r="G289" s="266">
        <f t="shared" ref="G289" si="43">E289-(E289*F289)</f>
        <v>2059.0661333333337</v>
      </c>
      <c r="H289" s="832" t="s">
        <v>549</v>
      </c>
      <c r="I289" s="270">
        <f>mbp14_5pl</f>
        <v>48</v>
      </c>
      <c r="J289" s="270">
        <f>G289+I289</f>
        <v>2107.0661333333337</v>
      </c>
      <c r="K289" s="99" t="s">
        <v>92</v>
      </c>
      <c r="L289" s="216">
        <v>0.3</v>
      </c>
      <c r="M289" s="1045" t="s">
        <v>550</v>
      </c>
      <c r="N289" s="1047" t="s">
        <v>94</v>
      </c>
      <c r="O289" s="1066" t="s">
        <v>429</v>
      </c>
      <c r="P289" s="1">
        <f t="shared" si="39"/>
        <v>424.17084375375413</v>
      </c>
      <c r="Q289" s="1">
        <f t="shared" si="39"/>
        <v>220.44432713241551</v>
      </c>
      <c r="R289" s="1">
        <f t="shared" si="39"/>
        <v>160.10215245637869</v>
      </c>
      <c r="S289" s="1">
        <f t="shared" si="39"/>
        <v>138.15797213508705</v>
      </c>
      <c r="T289" s="764" t="s">
        <v>631</v>
      </c>
      <c r="U289" s="775" t="s">
        <v>632</v>
      </c>
      <c r="V289" s="776">
        <v>1</v>
      </c>
      <c r="W289" s="777" t="s">
        <v>90</v>
      </c>
      <c r="X289" s="778" t="s">
        <v>631</v>
      </c>
      <c r="Y289" s="779">
        <v>2290.5300000000002</v>
      </c>
      <c r="Z289" s="780">
        <v>0.17599999999999999</v>
      </c>
      <c r="AA289" s="781">
        <v>1887.3967200000002</v>
      </c>
      <c r="AB289" s="776" t="s">
        <v>549</v>
      </c>
      <c r="AC289" s="782">
        <v>48</v>
      </c>
      <c r="AD289" s="782">
        <v>1935.3967200000002</v>
      </c>
      <c r="AE289" s="800" t="s">
        <v>92</v>
      </c>
      <c r="AF289" s="783">
        <v>0.3</v>
      </c>
      <c r="AG289" s="660" t="s">
        <v>611</v>
      </c>
      <c r="AH289" s="769" t="s">
        <v>94</v>
      </c>
      <c r="AI289" s="772" t="s">
        <v>429</v>
      </c>
      <c r="AJ289" s="770">
        <v>389.61228920799959</v>
      </c>
      <c r="AK289" s="770">
        <v>202.48402312828085</v>
      </c>
      <c r="AL289" s="770">
        <v>147.05811831298408</v>
      </c>
      <c r="AM289" s="770">
        <v>126.90180050926682</v>
      </c>
      <c r="AN289" s="174"/>
    </row>
    <row r="290" spans="1:48">
      <c r="A290" s="718" t="s">
        <v>3352</v>
      </c>
      <c r="B290" s="836" t="s">
        <v>3365</v>
      </c>
      <c r="C290" s="687">
        <v>1</v>
      </c>
      <c r="D290" s="647" t="s">
        <v>90</v>
      </c>
      <c r="E290" s="44">
        <v>583.33333333333337</v>
      </c>
      <c r="F290" s="837">
        <f t="shared" ref="F290:F297" si="44">rv_mbp14_eg_cto</f>
        <v>0.17599999999999999</v>
      </c>
      <c r="G290" s="93">
        <f t="shared" ref="G290:G297" si="45">E290-(E290*F290)</f>
        <v>480.66666666666669</v>
      </c>
      <c r="H290" s="108"/>
      <c r="I290" s="269"/>
      <c r="J290" s="269"/>
      <c r="K290" s="99"/>
      <c r="L290" s="269"/>
      <c r="M290" s="1045" t="s">
        <v>550</v>
      </c>
      <c r="N290" s="1047" t="s">
        <v>94</v>
      </c>
      <c r="O290" s="1066" t="s">
        <v>429</v>
      </c>
      <c r="P290" s="1" t="str">
        <f t="shared" si="39"/>
        <v/>
      </c>
      <c r="Q290" s="1" t="str">
        <f t="shared" si="39"/>
        <v/>
      </c>
      <c r="R290" s="1" t="str">
        <f t="shared" si="39"/>
        <v/>
      </c>
      <c r="S290" s="1" t="str">
        <f t="shared" si="39"/>
        <v/>
      </c>
      <c r="T290" s="765" t="s">
        <v>633</v>
      </c>
      <c r="U290" s="784" t="s">
        <v>634</v>
      </c>
      <c r="V290" s="785">
        <v>1</v>
      </c>
      <c r="W290" s="786" t="s">
        <v>90</v>
      </c>
      <c r="X290" s="787" t="s">
        <v>92</v>
      </c>
      <c r="Y290" s="788">
        <v>575</v>
      </c>
      <c r="Z290" s="789">
        <v>0.17599999999999999</v>
      </c>
      <c r="AA290" s="790">
        <v>473.8</v>
      </c>
      <c r="AB290" s="790"/>
      <c r="AC290" s="791"/>
      <c r="AD290" s="791"/>
      <c r="AE290" s="792" t="s">
        <v>92</v>
      </c>
      <c r="AF290" s="791" t="s">
        <v>92</v>
      </c>
      <c r="AG290" s="660" t="s">
        <v>550</v>
      </c>
      <c r="AH290" s="769" t="s">
        <v>94</v>
      </c>
      <c r="AI290" s="772" t="s">
        <v>429</v>
      </c>
      <c r="AJ290" s="770" t="s">
        <v>98</v>
      </c>
      <c r="AK290" s="770" t="s">
        <v>98</v>
      </c>
      <c r="AL290" s="770" t="s">
        <v>98</v>
      </c>
      <c r="AM290" s="770" t="s">
        <v>98</v>
      </c>
      <c r="AN290" s="174"/>
    </row>
    <row r="291" spans="1:48">
      <c r="A291" s="718" t="s">
        <v>3353</v>
      </c>
      <c r="B291" s="836" t="s">
        <v>3366</v>
      </c>
      <c r="C291" s="687">
        <v>1</v>
      </c>
      <c r="D291" s="647" t="s">
        <v>90</v>
      </c>
      <c r="E291" s="44">
        <v>775</v>
      </c>
      <c r="F291" s="837">
        <f t="shared" si="44"/>
        <v>0.17599999999999999</v>
      </c>
      <c r="G291" s="93">
        <f t="shared" si="45"/>
        <v>638.6</v>
      </c>
      <c r="H291" s="108"/>
      <c r="I291" s="269"/>
      <c r="J291" s="269"/>
      <c r="K291" s="99"/>
      <c r="L291" s="269"/>
      <c r="M291" s="1045" t="s">
        <v>550</v>
      </c>
      <c r="N291" s="1047" t="s">
        <v>94</v>
      </c>
      <c r="O291" s="1066" t="s">
        <v>429</v>
      </c>
      <c r="P291" s="1" t="str">
        <f t="shared" si="39"/>
        <v/>
      </c>
      <c r="Q291" s="1" t="str">
        <f t="shared" si="39"/>
        <v/>
      </c>
      <c r="R291" s="1" t="str">
        <f t="shared" si="39"/>
        <v/>
      </c>
      <c r="S291" s="1" t="str">
        <f t="shared" si="39"/>
        <v/>
      </c>
      <c r="T291" s="765" t="s">
        <v>635</v>
      </c>
      <c r="U291" s="784" t="s">
        <v>636</v>
      </c>
      <c r="V291" s="785">
        <v>1</v>
      </c>
      <c r="W291" s="786" t="s">
        <v>90</v>
      </c>
      <c r="X291" s="787" t="s">
        <v>92</v>
      </c>
      <c r="Y291" s="788">
        <v>766.67</v>
      </c>
      <c r="Z291" s="789">
        <v>0.17599999999999999</v>
      </c>
      <c r="AA291" s="790">
        <v>631.73608000000002</v>
      </c>
      <c r="AB291" s="790"/>
      <c r="AC291" s="791"/>
      <c r="AD291" s="791"/>
      <c r="AE291" s="792"/>
      <c r="AF291" s="791"/>
      <c r="AG291" s="660" t="s">
        <v>550</v>
      </c>
      <c r="AH291" s="769" t="s">
        <v>94</v>
      </c>
      <c r="AI291" s="772" t="s">
        <v>429</v>
      </c>
      <c r="AJ291" s="770" t="s">
        <v>98</v>
      </c>
      <c r="AK291" s="770" t="s">
        <v>98</v>
      </c>
      <c r="AL291" s="770" t="s">
        <v>98</v>
      </c>
      <c r="AM291" s="770" t="s">
        <v>98</v>
      </c>
      <c r="AN291" s="174"/>
    </row>
    <row r="292" spans="1:48">
      <c r="A292" s="718" t="s">
        <v>3354</v>
      </c>
      <c r="B292" s="836" t="s">
        <v>3367</v>
      </c>
      <c r="C292" s="687">
        <v>1</v>
      </c>
      <c r="D292" s="647" t="s">
        <v>90</v>
      </c>
      <c r="E292" s="444">
        <v>383.33333333333337</v>
      </c>
      <c r="F292" s="837">
        <f t="shared" si="44"/>
        <v>0.17599999999999999</v>
      </c>
      <c r="G292" s="93">
        <f t="shared" si="45"/>
        <v>315.86666666666667</v>
      </c>
      <c r="H292" s="93"/>
      <c r="I292" s="270"/>
      <c r="J292" s="270"/>
      <c r="K292" s="121"/>
      <c r="L292" s="270"/>
      <c r="M292" s="1045" t="s">
        <v>550</v>
      </c>
      <c r="N292" s="1047" t="s">
        <v>94</v>
      </c>
      <c r="O292" s="1066" t="s">
        <v>429</v>
      </c>
      <c r="P292" s="1" t="str">
        <f t="shared" ref="P292:S297" si="46">+IF($J292&lt;&gt;"",P$2*$J292,"")</f>
        <v/>
      </c>
      <c r="Q292" s="1" t="str">
        <f t="shared" si="46"/>
        <v/>
      </c>
      <c r="R292" s="1" t="str">
        <f t="shared" si="46"/>
        <v/>
      </c>
      <c r="S292" s="1" t="str">
        <f t="shared" si="46"/>
        <v/>
      </c>
      <c r="T292" s="765" t="s">
        <v>637</v>
      </c>
      <c r="U292" s="784" t="s">
        <v>638</v>
      </c>
      <c r="V292" s="785">
        <v>1</v>
      </c>
      <c r="W292" s="786" t="s">
        <v>90</v>
      </c>
      <c r="X292" s="787"/>
      <c r="Y292" s="788">
        <v>383.33</v>
      </c>
      <c r="Z292" s="789">
        <v>0.17599999999999999</v>
      </c>
      <c r="AA292" s="790">
        <v>315.86392000000001</v>
      </c>
      <c r="AB292" s="790"/>
      <c r="AC292" s="791"/>
      <c r="AD292" s="791"/>
      <c r="AE292" s="792"/>
      <c r="AF292" s="791"/>
      <c r="AG292" s="660" t="s">
        <v>550</v>
      </c>
      <c r="AH292" s="769" t="s">
        <v>94</v>
      </c>
      <c r="AI292" s="772" t="s">
        <v>429</v>
      </c>
      <c r="AJ292" s="770" t="s">
        <v>98</v>
      </c>
      <c r="AK292" s="770" t="s">
        <v>98</v>
      </c>
      <c r="AL292" s="770" t="s">
        <v>98</v>
      </c>
      <c r="AM292" s="770" t="s">
        <v>98</v>
      </c>
      <c r="AN292" s="174"/>
    </row>
    <row r="293" spans="1:48">
      <c r="A293" s="718" t="s">
        <v>3355</v>
      </c>
      <c r="B293" s="836" t="s">
        <v>3368</v>
      </c>
      <c r="C293" s="687">
        <v>1</v>
      </c>
      <c r="D293" s="647" t="s">
        <v>90</v>
      </c>
      <c r="E293" s="44">
        <v>383.33333333333337</v>
      </c>
      <c r="F293" s="837">
        <f t="shared" si="44"/>
        <v>0.17599999999999999</v>
      </c>
      <c r="G293" s="93">
        <f t="shared" si="45"/>
        <v>315.86666666666667</v>
      </c>
      <c r="H293" s="93"/>
      <c r="I293" s="270"/>
      <c r="J293" s="270"/>
      <c r="K293" s="121"/>
      <c r="L293" s="270"/>
      <c r="M293" s="1045" t="s">
        <v>550</v>
      </c>
      <c r="N293" s="1047" t="s">
        <v>94</v>
      </c>
      <c r="O293" s="1066" t="s">
        <v>429</v>
      </c>
      <c r="P293" s="1" t="str">
        <f t="shared" si="46"/>
        <v/>
      </c>
      <c r="Q293" s="1" t="str">
        <f t="shared" si="46"/>
        <v/>
      </c>
      <c r="R293" s="1" t="str">
        <f t="shared" si="46"/>
        <v/>
      </c>
      <c r="S293" s="1" t="str">
        <f t="shared" si="46"/>
        <v/>
      </c>
      <c r="T293" s="765" t="s">
        <v>639</v>
      </c>
      <c r="U293" s="784" t="s">
        <v>640</v>
      </c>
      <c r="V293" s="785">
        <v>1</v>
      </c>
      <c r="W293" s="786" t="s">
        <v>90</v>
      </c>
      <c r="X293" s="787"/>
      <c r="Y293" s="793">
        <v>383.33</v>
      </c>
      <c r="Z293" s="789">
        <v>0.17599999999999999</v>
      </c>
      <c r="AA293" s="790">
        <v>315.86392000000001</v>
      </c>
      <c r="AB293" s="790"/>
      <c r="AC293" s="791"/>
      <c r="AD293" s="791"/>
      <c r="AE293" s="792"/>
      <c r="AF293" s="791"/>
      <c r="AG293" s="660" t="s">
        <v>550</v>
      </c>
      <c r="AH293" s="769" t="s">
        <v>94</v>
      </c>
      <c r="AI293" s="772" t="s">
        <v>429</v>
      </c>
      <c r="AJ293" s="770" t="s">
        <v>98</v>
      </c>
      <c r="AK293" s="770" t="s">
        <v>98</v>
      </c>
      <c r="AL293" s="770" t="s">
        <v>98</v>
      </c>
      <c r="AM293" s="770" t="s">
        <v>98</v>
      </c>
      <c r="AN293" s="174"/>
    </row>
    <row r="294" spans="1:48">
      <c r="A294" s="718" t="s">
        <v>3356</v>
      </c>
      <c r="B294" s="836" t="s">
        <v>3369</v>
      </c>
      <c r="C294" s="687">
        <v>1</v>
      </c>
      <c r="D294" s="647" t="s">
        <v>90</v>
      </c>
      <c r="E294" s="44">
        <v>766.66666666666674</v>
      </c>
      <c r="F294" s="837">
        <f t="shared" si="44"/>
        <v>0.17599999999999999</v>
      </c>
      <c r="G294" s="93">
        <f t="shared" si="45"/>
        <v>631.73333333333335</v>
      </c>
      <c r="H294" s="93"/>
      <c r="I294" s="270"/>
      <c r="J294" s="270"/>
      <c r="K294" s="121"/>
      <c r="L294" s="270"/>
      <c r="M294" s="1045" t="s">
        <v>550</v>
      </c>
      <c r="N294" s="1047" t="s">
        <v>94</v>
      </c>
      <c r="O294" s="1066" t="s">
        <v>429</v>
      </c>
      <c r="P294" s="1" t="str">
        <f t="shared" si="46"/>
        <v/>
      </c>
      <c r="Q294" s="1" t="str">
        <f t="shared" si="46"/>
        <v/>
      </c>
      <c r="R294" s="1" t="str">
        <f t="shared" si="46"/>
        <v/>
      </c>
      <c r="S294" s="1" t="str">
        <f t="shared" si="46"/>
        <v/>
      </c>
      <c r="T294" s="422"/>
      <c r="U294" s="273"/>
      <c r="V294" s="87"/>
      <c r="W294" s="88"/>
      <c r="X294" s="208"/>
      <c r="Y294" s="47"/>
      <c r="Z294" s="89"/>
      <c r="AA294" s="108"/>
      <c r="AB294" s="108"/>
      <c r="AC294" s="269"/>
      <c r="AD294" s="269"/>
      <c r="AE294" s="99"/>
      <c r="AF294" s="269"/>
      <c r="AG294" s="41"/>
      <c r="AH294" s="174"/>
      <c r="AI294" s="159"/>
      <c r="AJ294" s="1"/>
      <c r="AK294" s="1"/>
      <c r="AL294" s="1"/>
      <c r="AM294" s="1"/>
      <c r="AN294" s="174"/>
    </row>
    <row r="295" spans="1:48">
      <c r="A295" s="718" t="s">
        <v>3357</v>
      </c>
      <c r="B295" s="836" t="s">
        <v>3370</v>
      </c>
      <c r="C295" s="687">
        <v>1</v>
      </c>
      <c r="D295" s="647" t="s">
        <v>90</v>
      </c>
      <c r="E295" s="44">
        <v>383.33</v>
      </c>
      <c r="F295" s="837">
        <f t="shared" si="44"/>
        <v>0.17599999999999999</v>
      </c>
      <c r="G295" s="93">
        <f t="shared" si="45"/>
        <v>315.86392000000001</v>
      </c>
      <c r="H295" s="93"/>
      <c r="I295" s="270"/>
      <c r="J295" s="270"/>
      <c r="K295" s="121"/>
      <c r="L295" s="270"/>
      <c r="M295" s="1045" t="s">
        <v>550</v>
      </c>
      <c r="N295" s="1047" t="s">
        <v>94</v>
      </c>
      <c r="O295" s="1066" t="s">
        <v>429</v>
      </c>
      <c r="P295" s="1" t="str">
        <f t="shared" si="46"/>
        <v/>
      </c>
      <c r="Q295" s="1" t="str">
        <f t="shared" si="46"/>
        <v/>
      </c>
      <c r="R295" s="1" t="str">
        <f t="shared" si="46"/>
        <v/>
      </c>
      <c r="S295" s="1" t="str">
        <f t="shared" si="46"/>
        <v/>
      </c>
      <c r="T295" s="765" t="s">
        <v>641</v>
      </c>
      <c r="U295" s="784" t="s">
        <v>642</v>
      </c>
      <c r="V295" s="785">
        <v>1</v>
      </c>
      <c r="W295" s="786" t="s">
        <v>90</v>
      </c>
      <c r="X295" s="787"/>
      <c r="Y295" s="788">
        <v>383.33</v>
      </c>
      <c r="Z295" s="789">
        <v>0.17599999999999999</v>
      </c>
      <c r="AA295" s="790">
        <v>315.86392000000001</v>
      </c>
      <c r="AB295" s="790"/>
      <c r="AC295" s="791"/>
      <c r="AD295" s="791"/>
      <c r="AE295" s="792"/>
      <c r="AF295" s="791"/>
      <c r="AG295" s="660" t="s">
        <v>550</v>
      </c>
      <c r="AH295" s="769" t="s">
        <v>94</v>
      </c>
      <c r="AI295" s="772" t="s">
        <v>429</v>
      </c>
      <c r="AJ295" s="770" t="s">
        <v>98</v>
      </c>
      <c r="AK295" s="770" t="s">
        <v>98</v>
      </c>
      <c r="AL295" s="770" t="s">
        <v>98</v>
      </c>
      <c r="AM295" s="770" t="s">
        <v>98</v>
      </c>
      <c r="AN295" s="174"/>
    </row>
    <row r="296" spans="1:48">
      <c r="A296" s="718" t="s">
        <v>3358</v>
      </c>
      <c r="B296" s="836" t="s">
        <v>3371</v>
      </c>
      <c r="C296" s="687">
        <v>1</v>
      </c>
      <c r="D296" s="647" t="s">
        <v>90</v>
      </c>
      <c r="E296" s="44">
        <v>958.33</v>
      </c>
      <c r="F296" s="837">
        <f t="shared" si="44"/>
        <v>0.17599999999999999</v>
      </c>
      <c r="G296" s="93">
        <f t="shared" si="45"/>
        <v>789.66392000000008</v>
      </c>
      <c r="H296" s="93"/>
      <c r="I296" s="270"/>
      <c r="J296" s="270"/>
      <c r="K296" s="121"/>
      <c r="L296" s="270"/>
      <c r="M296" s="1045" t="s">
        <v>550</v>
      </c>
      <c r="N296" s="1047" t="s">
        <v>94</v>
      </c>
      <c r="O296" s="1066" t="s">
        <v>429</v>
      </c>
      <c r="P296" s="1" t="str">
        <f t="shared" si="46"/>
        <v/>
      </c>
      <c r="Q296" s="1" t="str">
        <f t="shared" si="46"/>
        <v/>
      </c>
      <c r="R296" s="1" t="str">
        <f t="shared" si="46"/>
        <v/>
      </c>
      <c r="S296" s="1" t="str">
        <f t="shared" si="46"/>
        <v/>
      </c>
      <c r="T296" s="765" t="s">
        <v>643</v>
      </c>
      <c r="U296" s="784" t="s">
        <v>644</v>
      </c>
      <c r="V296" s="785">
        <v>1</v>
      </c>
      <c r="W296" s="786" t="s">
        <v>90</v>
      </c>
      <c r="X296" s="787"/>
      <c r="Y296" s="788">
        <v>958.33</v>
      </c>
      <c r="Z296" s="789">
        <v>0.17599999999999999</v>
      </c>
      <c r="AA296" s="790">
        <v>789.66392000000008</v>
      </c>
      <c r="AB296" s="790"/>
      <c r="AC296" s="791"/>
      <c r="AD296" s="791"/>
      <c r="AE296" s="792"/>
      <c r="AF296" s="801"/>
      <c r="AG296" s="660" t="s">
        <v>550</v>
      </c>
      <c r="AH296" s="769" t="s">
        <v>94</v>
      </c>
      <c r="AI296" s="772" t="s">
        <v>429</v>
      </c>
      <c r="AJ296" s="770" t="s">
        <v>98</v>
      </c>
      <c r="AK296" s="770" t="s">
        <v>98</v>
      </c>
      <c r="AL296" s="770" t="s">
        <v>98</v>
      </c>
      <c r="AM296" s="770" t="s">
        <v>98</v>
      </c>
      <c r="AN296" s="174"/>
    </row>
    <row r="297" spans="1:48">
      <c r="A297" s="718" t="s">
        <v>3359</v>
      </c>
      <c r="B297" s="836" t="s">
        <v>3372</v>
      </c>
      <c r="C297" s="687">
        <v>1</v>
      </c>
      <c r="D297" s="647" t="s">
        <v>90</v>
      </c>
      <c r="E297" s="44">
        <v>2108.33</v>
      </c>
      <c r="F297" s="837">
        <f t="shared" si="44"/>
        <v>0.17599999999999999</v>
      </c>
      <c r="G297" s="93">
        <f t="shared" si="45"/>
        <v>1737.2639199999999</v>
      </c>
      <c r="H297" s="93"/>
      <c r="I297" s="270"/>
      <c r="J297" s="270"/>
      <c r="K297" s="121"/>
      <c r="L297" s="270"/>
      <c r="M297" s="1045" t="s">
        <v>550</v>
      </c>
      <c r="N297" s="1047" t="s">
        <v>94</v>
      </c>
      <c r="O297" s="1066" t="s">
        <v>429</v>
      </c>
      <c r="P297" s="1" t="str">
        <f t="shared" si="46"/>
        <v/>
      </c>
      <c r="Q297" s="1" t="str">
        <f t="shared" si="46"/>
        <v/>
      </c>
      <c r="R297" s="1" t="str">
        <f t="shared" si="46"/>
        <v/>
      </c>
      <c r="S297" s="1" t="str">
        <f t="shared" si="46"/>
        <v/>
      </c>
      <c r="T297" s="765" t="s">
        <v>645</v>
      </c>
      <c r="U297" s="784" t="s">
        <v>646</v>
      </c>
      <c r="V297" s="785">
        <v>1</v>
      </c>
      <c r="W297" s="786" t="s">
        <v>90</v>
      </c>
      <c r="X297" s="787"/>
      <c r="Y297" s="788">
        <v>2108.33</v>
      </c>
      <c r="Z297" s="789">
        <v>0.17599999999999999</v>
      </c>
      <c r="AA297" s="790">
        <v>1737.2639199999999</v>
      </c>
      <c r="AB297" s="790"/>
      <c r="AC297" s="791"/>
      <c r="AD297" s="791"/>
      <c r="AE297" s="792"/>
      <c r="AF297" s="801"/>
      <c r="AG297" s="660" t="s">
        <v>550</v>
      </c>
      <c r="AH297" s="769" t="s">
        <v>94</v>
      </c>
      <c r="AI297" s="772" t="s">
        <v>429</v>
      </c>
      <c r="AJ297" s="770" t="s">
        <v>98</v>
      </c>
      <c r="AK297" s="770" t="s">
        <v>98</v>
      </c>
      <c r="AL297" s="770" t="s">
        <v>98</v>
      </c>
      <c r="AM297" s="770" t="s">
        <v>98</v>
      </c>
      <c r="AN297" s="174"/>
    </row>
    <row r="298" spans="1:48">
      <c r="A298" s="718" t="s">
        <v>3360</v>
      </c>
      <c r="B298" s="839" t="s">
        <v>3389</v>
      </c>
      <c r="C298" s="263">
        <v>1</v>
      </c>
      <c r="D298" s="264" t="s">
        <v>90</v>
      </c>
      <c r="E298" s="444">
        <v>0</v>
      </c>
      <c r="F298" s="261" t="s">
        <v>92</v>
      </c>
      <c r="G298" s="262">
        <f t="shared" ref="G298:G300" si="47">E298</f>
        <v>0</v>
      </c>
      <c r="H298" s="108"/>
      <c r="I298" s="269"/>
      <c r="J298" s="269"/>
      <c r="K298" s="99"/>
      <c r="L298" s="269"/>
      <c r="M298" s="1045" t="s">
        <v>550</v>
      </c>
      <c r="N298" s="1047" t="s">
        <v>94</v>
      </c>
      <c r="O298" s="1066" t="s">
        <v>429</v>
      </c>
      <c r="P298" s="1" t="s">
        <v>98</v>
      </c>
      <c r="Q298" s="1" t="s">
        <v>98</v>
      </c>
      <c r="R298" s="1" t="s">
        <v>98</v>
      </c>
      <c r="S298" s="1" t="s">
        <v>98</v>
      </c>
      <c r="T298" s="765" t="s">
        <v>647</v>
      </c>
      <c r="U298" s="784" t="s">
        <v>648</v>
      </c>
      <c r="V298" s="785">
        <v>1</v>
      </c>
      <c r="W298" s="786" t="s">
        <v>90</v>
      </c>
      <c r="X298" s="787"/>
      <c r="Y298" s="788">
        <v>0</v>
      </c>
      <c r="Z298" s="789">
        <v>0.17599999999999999</v>
      </c>
      <c r="AA298" s="790">
        <v>0</v>
      </c>
      <c r="AB298" s="790"/>
      <c r="AC298" s="791"/>
      <c r="AD298" s="791"/>
      <c r="AE298" s="792"/>
      <c r="AF298" s="801"/>
      <c r="AG298" s="660" t="s">
        <v>550</v>
      </c>
      <c r="AH298" s="769" t="s">
        <v>94</v>
      </c>
      <c r="AI298" s="772" t="s">
        <v>429</v>
      </c>
      <c r="AJ298" s="770" t="s">
        <v>98</v>
      </c>
      <c r="AK298" s="770" t="s">
        <v>98</v>
      </c>
      <c r="AL298" s="770" t="s">
        <v>98</v>
      </c>
      <c r="AM298" s="770" t="s">
        <v>98</v>
      </c>
      <c r="AN298" s="174"/>
    </row>
    <row r="299" spans="1:48">
      <c r="A299" s="684" t="s">
        <v>3362</v>
      </c>
      <c r="B299" s="839" t="s">
        <v>3363</v>
      </c>
      <c r="C299" s="263">
        <v>1</v>
      </c>
      <c r="D299" s="264" t="s">
        <v>90</v>
      </c>
      <c r="E299" s="444">
        <v>0</v>
      </c>
      <c r="F299" s="261" t="s">
        <v>92</v>
      </c>
      <c r="G299" s="262">
        <f t="shared" si="47"/>
        <v>0</v>
      </c>
      <c r="H299" s="108"/>
      <c r="I299" s="269"/>
      <c r="J299" s="269"/>
      <c r="K299" s="99"/>
      <c r="L299" s="269"/>
      <c r="M299" s="1045" t="s">
        <v>550</v>
      </c>
      <c r="N299" s="1047" t="s">
        <v>94</v>
      </c>
      <c r="O299" s="1066" t="s">
        <v>429</v>
      </c>
      <c r="P299" s="1" t="s">
        <v>98</v>
      </c>
      <c r="Q299" s="1" t="s">
        <v>98</v>
      </c>
      <c r="R299" s="1" t="s">
        <v>98</v>
      </c>
      <c r="S299" s="1" t="s">
        <v>98</v>
      </c>
      <c r="T299" s="766" t="s">
        <v>649</v>
      </c>
      <c r="U299" s="784" t="s">
        <v>650</v>
      </c>
      <c r="V299" s="785">
        <v>1</v>
      </c>
      <c r="W299" s="786" t="s">
        <v>90</v>
      </c>
      <c r="X299" s="787"/>
      <c r="Y299" s="788">
        <v>0</v>
      </c>
      <c r="Z299" s="789">
        <v>0.17599999999999999</v>
      </c>
      <c r="AA299" s="790">
        <v>0</v>
      </c>
      <c r="AB299" s="790"/>
      <c r="AC299" s="791"/>
      <c r="AD299" s="791"/>
      <c r="AE299" s="792"/>
      <c r="AF299" s="801"/>
      <c r="AG299" s="660" t="s">
        <v>550</v>
      </c>
      <c r="AH299" s="769" t="s">
        <v>94</v>
      </c>
      <c r="AI299" s="772" t="s">
        <v>429</v>
      </c>
      <c r="AJ299" s="770" t="s">
        <v>98</v>
      </c>
      <c r="AK299" s="770" t="s">
        <v>98</v>
      </c>
      <c r="AL299" s="770" t="s">
        <v>98</v>
      </c>
      <c r="AM299" s="770" t="s">
        <v>98</v>
      </c>
      <c r="AN299" s="174"/>
    </row>
    <row r="300" spans="1:48" customFormat="1">
      <c r="A300" s="838" t="s">
        <v>3361</v>
      </c>
      <c r="B300" s="840" t="s">
        <v>3364</v>
      </c>
      <c r="C300" s="263">
        <v>1</v>
      </c>
      <c r="D300" s="264" t="s">
        <v>90</v>
      </c>
      <c r="E300" s="444">
        <v>0</v>
      </c>
      <c r="F300" s="261" t="s">
        <v>92</v>
      </c>
      <c r="G300" s="262">
        <f t="shared" si="47"/>
        <v>0</v>
      </c>
      <c r="H300" s="108"/>
      <c r="I300" s="269"/>
      <c r="J300" s="269"/>
      <c r="K300" s="99"/>
      <c r="L300" s="269"/>
      <c r="M300" s="1045" t="s">
        <v>550</v>
      </c>
      <c r="N300" s="1047" t="s">
        <v>94</v>
      </c>
      <c r="O300" s="1066" t="s">
        <v>429</v>
      </c>
      <c r="P300" s="1" t="s">
        <v>98</v>
      </c>
      <c r="Q300" s="1" t="s">
        <v>98</v>
      </c>
      <c r="R300" s="1" t="s">
        <v>98</v>
      </c>
      <c r="S300" s="1" t="s">
        <v>98</v>
      </c>
      <c r="T300" s="767" t="s">
        <v>651</v>
      </c>
      <c r="U300" s="794" t="s">
        <v>652</v>
      </c>
      <c r="V300" s="795">
        <v>1</v>
      </c>
      <c r="W300" s="796" t="s">
        <v>90</v>
      </c>
      <c r="X300" s="797" t="s">
        <v>92</v>
      </c>
      <c r="Y300" s="795"/>
      <c r="Z300" s="798"/>
      <c r="AA300" s="796">
        <v>0</v>
      </c>
      <c r="AB300" s="799"/>
      <c r="AC300" s="799"/>
      <c r="AD300" s="799"/>
      <c r="AE300" s="796" t="s">
        <v>92</v>
      </c>
      <c r="AF300" s="799" t="s">
        <v>92</v>
      </c>
      <c r="AG300" s="660" t="s">
        <v>550</v>
      </c>
      <c r="AH300" s="769" t="s">
        <v>653</v>
      </c>
      <c r="AI300" s="772" t="s">
        <v>95</v>
      </c>
      <c r="AJ300" s="770" t="s">
        <v>98</v>
      </c>
      <c r="AK300" s="770" t="s">
        <v>98</v>
      </c>
      <c r="AL300" s="770" t="s">
        <v>98</v>
      </c>
      <c r="AM300" s="770" t="s">
        <v>98</v>
      </c>
      <c r="AN300" s="287"/>
      <c r="AO300" s="284"/>
      <c r="AP300" s="284"/>
      <c r="AQ300" s="284"/>
      <c r="AR300" s="284"/>
      <c r="AS300" s="284"/>
      <c r="AT300" s="284"/>
      <c r="AU300" s="284"/>
      <c r="AV300" s="284"/>
    </row>
    <row r="301" spans="1:48" customFormat="1">
      <c r="A301" s="830" t="s">
        <v>3373</v>
      </c>
      <c r="B301" s="831" t="s">
        <v>3376</v>
      </c>
      <c r="C301" s="832">
        <v>1</v>
      </c>
      <c r="D301" s="833" t="s">
        <v>90</v>
      </c>
      <c r="E301" s="454">
        <v>3082.2</v>
      </c>
      <c r="F301" s="835">
        <f>rv_mbp14_hg</f>
        <v>0.17599999999999999</v>
      </c>
      <c r="G301" s="266">
        <f t="shared" ref="G301:G307" si="48">E301-(E301*F301)</f>
        <v>2539.7327999999998</v>
      </c>
      <c r="H301" s="832" t="s">
        <v>549</v>
      </c>
      <c r="I301" s="270">
        <f>mbp14_5pl</f>
        <v>48</v>
      </c>
      <c r="J301" s="270">
        <f>G301+I301</f>
        <v>2587.7327999999998</v>
      </c>
      <c r="K301" s="99" t="s">
        <v>92</v>
      </c>
      <c r="L301" s="216">
        <v>0.3</v>
      </c>
      <c r="M301" s="1045" t="s">
        <v>611</v>
      </c>
      <c r="N301" s="1047" t="s">
        <v>94</v>
      </c>
      <c r="O301" s="1066" t="s">
        <v>429</v>
      </c>
      <c r="P301" s="1">
        <f t="shared" ref="P301:S307" si="49">+IF($J301&lt;&gt;"",P$2*$J301,"")</f>
        <v>520.93324828339405</v>
      </c>
      <c r="Q301" s="1">
        <f t="shared" si="49"/>
        <v>270.73237373524682</v>
      </c>
      <c r="R301" s="1">
        <f t="shared" si="49"/>
        <v>196.62486369450369</v>
      </c>
      <c r="S301" s="1">
        <f t="shared" si="49"/>
        <v>169.67474841896311</v>
      </c>
      <c r="T301" s="458"/>
      <c r="U301" s="289"/>
      <c r="V301" s="112"/>
      <c r="W301" s="285"/>
      <c r="X301" s="436"/>
      <c r="Y301" s="112"/>
      <c r="Z301" s="290"/>
      <c r="AA301" s="285"/>
      <c r="AB301" s="403"/>
      <c r="AC301" s="403"/>
      <c r="AD301" s="403"/>
      <c r="AE301" s="285"/>
      <c r="AF301" s="403"/>
      <c r="AG301" s="41"/>
      <c r="AH301" s="174"/>
      <c r="AI301" s="174"/>
      <c r="AJ301" s="1"/>
      <c r="AK301" s="1"/>
      <c r="AL301" s="1"/>
      <c r="AM301" s="1"/>
      <c r="AN301" s="287"/>
      <c r="AO301" s="284"/>
      <c r="AP301" s="284"/>
      <c r="AQ301" s="284"/>
      <c r="AR301" s="284"/>
      <c r="AS301" s="284"/>
      <c r="AT301" s="284"/>
      <c r="AU301" s="284"/>
      <c r="AV301" s="284"/>
    </row>
    <row r="302" spans="1:48" customFormat="1">
      <c r="A302" s="718" t="s">
        <v>3377</v>
      </c>
      <c r="B302" s="836" t="s">
        <v>3393</v>
      </c>
      <c r="C302" s="687">
        <v>1</v>
      </c>
      <c r="D302" s="647" t="s">
        <v>90</v>
      </c>
      <c r="E302" s="44">
        <v>191.66666666666669</v>
      </c>
      <c r="F302" s="837">
        <f t="shared" ref="F302:F307" si="50">rv_mbp14_eg_cto</f>
        <v>0.17599999999999999</v>
      </c>
      <c r="G302" s="93">
        <f t="shared" si="48"/>
        <v>157.93333333333334</v>
      </c>
      <c r="H302" s="108"/>
      <c r="I302" s="269"/>
      <c r="J302" s="269"/>
      <c r="K302" s="99"/>
      <c r="L302" s="269"/>
      <c r="M302" s="1045" t="s">
        <v>611</v>
      </c>
      <c r="N302" s="1047" t="s">
        <v>94</v>
      </c>
      <c r="O302" s="1066" t="s">
        <v>429</v>
      </c>
      <c r="P302" s="1" t="str">
        <f t="shared" si="49"/>
        <v/>
      </c>
      <c r="Q302" s="1" t="str">
        <f t="shared" si="49"/>
        <v/>
      </c>
      <c r="R302" s="1" t="str">
        <f t="shared" si="49"/>
        <v/>
      </c>
      <c r="S302" s="1" t="str">
        <f t="shared" si="49"/>
        <v/>
      </c>
      <c r="T302" s="458"/>
      <c r="U302" s="289"/>
      <c r="V302" s="112"/>
      <c r="W302" s="285"/>
      <c r="X302" s="436"/>
      <c r="Y302" s="112"/>
      <c r="Z302" s="290"/>
      <c r="AA302" s="285"/>
      <c r="AB302" s="403"/>
      <c r="AC302" s="403"/>
      <c r="AD302" s="403"/>
      <c r="AE302" s="285"/>
      <c r="AF302" s="403"/>
      <c r="AG302" s="41"/>
      <c r="AH302" s="174"/>
      <c r="AI302" s="174"/>
      <c r="AJ302" s="1"/>
      <c r="AK302" s="1"/>
      <c r="AL302" s="1"/>
      <c r="AM302" s="1"/>
      <c r="AN302" s="287"/>
      <c r="AO302" s="284"/>
      <c r="AP302" s="284"/>
      <c r="AQ302" s="284"/>
      <c r="AR302" s="284"/>
      <c r="AS302" s="284"/>
      <c r="AT302" s="284"/>
      <c r="AU302" s="284"/>
      <c r="AV302" s="284"/>
    </row>
    <row r="303" spans="1:48" customFormat="1">
      <c r="A303" s="718" t="s">
        <v>3378</v>
      </c>
      <c r="B303" s="836" t="s">
        <v>3394</v>
      </c>
      <c r="C303" s="687">
        <v>1</v>
      </c>
      <c r="D303" s="647" t="s">
        <v>90</v>
      </c>
      <c r="E303" s="44">
        <v>383.33333333333337</v>
      </c>
      <c r="F303" s="837">
        <f t="shared" si="50"/>
        <v>0.17599999999999999</v>
      </c>
      <c r="G303" s="93">
        <f t="shared" si="48"/>
        <v>315.86666666666667</v>
      </c>
      <c r="H303" s="93"/>
      <c r="I303" s="270"/>
      <c r="J303" s="270"/>
      <c r="K303" s="121"/>
      <c r="L303" s="270"/>
      <c r="M303" s="1045" t="s">
        <v>611</v>
      </c>
      <c r="N303" s="1047" t="s">
        <v>94</v>
      </c>
      <c r="O303" s="1066" t="s">
        <v>429</v>
      </c>
      <c r="P303" s="1" t="str">
        <f t="shared" si="49"/>
        <v/>
      </c>
      <c r="Q303" s="1" t="str">
        <f t="shared" si="49"/>
        <v/>
      </c>
      <c r="R303" s="1" t="str">
        <f t="shared" si="49"/>
        <v/>
      </c>
      <c r="S303" s="1" t="str">
        <f t="shared" si="49"/>
        <v/>
      </c>
      <c r="T303" s="458"/>
      <c r="U303" s="289"/>
      <c r="V303" s="112"/>
      <c r="W303" s="285"/>
      <c r="X303" s="436"/>
      <c r="Y303" s="112"/>
      <c r="Z303" s="290"/>
      <c r="AA303" s="285"/>
      <c r="AB303" s="403"/>
      <c r="AC303" s="403"/>
      <c r="AD303" s="403"/>
      <c r="AE303" s="285"/>
      <c r="AF303" s="403"/>
      <c r="AG303" s="41"/>
      <c r="AH303" s="174"/>
      <c r="AI303" s="174"/>
      <c r="AJ303" s="1"/>
      <c r="AK303" s="1"/>
      <c r="AL303" s="1"/>
      <c r="AM303" s="1"/>
      <c r="AN303" s="287"/>
      <c r="AO303" s="284"/>
      <c r="AP303" s="284"/>
      <c r="AQ303" s="284"/>
      <c r="AR303" s="284"/>
      <c r="AS303" s="284"/>
      <c r="AT303" s="284"/>
      <c r="AU303" s="284"/>
      <c r="AV303" s="284"/>
    </row>
    <row r="304" spans="1:48" customFormat="1">
      <c r="A304" s="718" t="s">
        <v>3379</v>
      </c>
      <c r="B304" s="836" t="s">
        <v>3395</v>
      </c>
      <c r="C304" s="687">
        <v>1</v>
      </c>
      <c r="D304" s="647" t="s">
        <v>90</v>
      </c>
      <c r="E304" s="44">
        <v>766.66666666666674</v>
      </c>
      <c r="F304" s="837">
        <f t="shared" si="50"/>
        <v>0.17599999999999999</v>
      </c>
      <c r="G304" s="93">
        <f t="shared" si="48"/>
        <v>631.73333333333335</v>
      </c>
      <c r="H304" s="93"/>
      <c r="I304" s="270"/>
      <c r="J304" s="270"/>
      <c r="K304" s="121"/>
      <c r="L304" s="270"/>
      <c r="M304" s="1045" t="s">
        <v>611</v>
      </c>
      <c r="N304" s="1047" t="s">
        <v>94</v>
      </c>
      <c r="O304" s="1066" t="s">
        <v>429</v>
      </c>
      <c r="P304" s="1" t="str">
        <f t="shared" si="49"/>
        <v/>
      </c>
      <c r="Q304" s="1" t="str">
        <f t="shared" si="49"/>
        <v/>
      </c>
      <c r="R304" s="1" t="str">
        <f t="shared" si="49"/>
        <v/>
      </c>
      <c r="S304" s="1" t="str">
        <f t="shared" si="49"/>
        <v/>
      </c>
      <c r="T304" s="458"/>
      <c r="U304" s="289"/>
      <c r="V304" s="112"/>
      <c r="W304" s="285"/>
      <c r="X304" s="436"/>
      <c r="Y304" s="112"/>
      <c r="Z304" s="290"/>
      <c r="AA304" s="285"/>
      <c r="AB304" s="403"/>
      <c r="AC304" s="403"/>
      <c r="AD304" s="403"/>
      <c r="AE304" s="285"/>
      <c r="AF304" s="403"/>
      <c r="AG304" s="41"/>
      <c r="AH304" s="174"/>
      <c r="AI304" s="174"/>
      <c r="AJ304" s="1"/>
      <c r="AK304" s="1"/>
      <c r="AL304" s="1"/>
      <c r="AM304" s="1"/>
      <c r="AN304" s="287"/>
      <c r="AO304" s="284"/>
      <c r="AP304" s="284"/>
      <c r="AQ304" s="284"/>
      <c r="AR304" s="284"/>
      <c r="AS304" s="284"/>
      <c r="AT304" s="284"/>
      <c r="AU304" s="284"/>
      <c r="AV304" s="284"/>
    </row>
    <row r="305" spans="1:48" customFormat="1">
      <c r="A305" s="718" t="s">
        <v>3380</v>
      </c>
      <c r="B305" s="836" t="s">
        <v>3396</v>
      </c>
      <c r="C305" s="687">
        <v>1</v>
      </c>
      <c r="D305" s="647" t="s">
        <v>90</v>
      </c>
      <c r="E305" s="44">
        <v>383.33333333333337</v>
      </c>
      <c r="F305" s="837">
        <f t="shared" si="50"/>
        <v>0.17599999999999999</v>
      </c>
      <c r="G305" s="93">
        <f t="shared" si="48"/>
        <v>315.86666666666667</v>
      </c>
      <c r="H305" s="93"/>
      <c r="I305" s="270"/>
      <c r="J305" s="270"/>
      <c r="K305" s="121"/>
      <c r="L305" s="270"/>
      <c r="M305" s="1045" t="s">
        <v>611</v>
      </c>
      <c r="N305" s="1047" t="s">
        <v>94</v>
      </c>
      <c r="O305" s="1066" t="s">
        <v>429</v>
      </c>
      <c r="P305" s="1" t="str">
        <f t="shared" si="49"/>
        <v/>
      </c>
      <c r="Q305" s="1" t="str">
        <f t="shared" si="49"/>
        <v/>
      </c>
      <c r="R305" s="1" t="str">
        <f t="shared" si="49"/>
        <v/>
      </c>
      <c r="S305" s="1" t="str">
        <f t="shared" si="49"/>
        <v/>
      </c>
      <c r="T305" s="458"/>
      <c r="U305" s="289"/>
      <c r="V305" s="112"/>
      <c r="W305" s="285"/>
      <c r="X305" s="436"/>
      <c r="Y305" s="112"/>
      <c r="Z305" s="290"/>
      <c r="AA305" s="285"/>
      <c r="AB305" s="403"/>
      <c r="AC305" s="403"/>
      <c r="AD305" s="403"/>
      <c r="AE305" s="285"/>
      <c r="AF305" s="403"/>
      <c r="AG305" s="41"/>
      <c r="AH305" s="174"/>
      <c r="AI305" s="174"/>
      <c r="AJ305" s="1"/>
      <c r="AK305" s="1"/>
      <c r="AL305" s="1"/>
      <c r="AM305" s="1"/>
      <c r="AN305" s="287"/>
      <c r="AO305" s="284"/>
      <c r="AP305" s="284"/>
      <c r="AQ305" s="284"/>
      <c r="AR305" s="284"/>
      <c r="AS305" s="284"/>
      <c r="AT305" s="284"/>
      <c r="AU305" s="284"/>
      <c r="AV305" s="284"/>
    </row>
    <row r="306" spans="1:48" customFormat="1">
      <c r="A306" s="718" t="s">
        <v>3381</v>
      </c>
      <c r="B306" s="836" t="s">
        <v>3397</v>
      </c>
      <c r="C306" s="687">
        <v>1</v>
      </c>
      <c r="D306" s="647" t="s">
        <v>90</v>
      </c>
      <c r="E306" s="44">
        <v>958.33333333333337</v>
      </c>
      <c r="F306" s="837">
        <f t="shared" si="50"/>
        <v>0.17599999999999999</v>
      </c>
      <c r="G306" s="93">
        <f t="shared" si="48"/>
        <v>789.66666666666674</v>
      </c>
      <c r="H306" s="93"/>
      <c r="I306" s="270"/>
      <c r="J306" s="270"/>
      <c r="K306" s="121"/>
      <c r="L306" s="270"/>
      <c r="M306" s="1045" t="s">
        <v>611</v>
      </c>
      <c r="N306" s="1047" t="s">
        <v>94</v>
      </c>
      <c r="O306" s="1066" t="s">
        <v>429</v>
      </c>
      <c r="P306" s="1" t="str">
        <f t="shared" si="49"/>
        <v/>
      </c>
      <c r="Q306" s="1" t="str">
        <f t="shared" si="49"/>
        <v/>
      </c>
      <c r="R306" s="1" t="str">
        <f t="shared" si="49"/>
        <v/>
      </c>
      <c r="S306" s="1" t="str">
        <f t="shared" si="49"/>
        <v/>
      </c>
      <c r="T306" s="458"/>
      <c r="U306" s="289"/>
      <c r="V306" s="112"/>
      <c r="W306" s="285"/>
      <c r="X306" s="436"/>
      <c r="Y306" s="112"/>
      <c r="Z306" s="290"/>
      <c r="AA306" s="285"/>
      <c r="AB306" s="403"/>
      <c r="AC306" s="403"/>
      <c r="AD306" s="403"/>
      <c r="AE306" s="285"/>
      <c r="AF306" s="403"/>
      <c r="AG306" s="41"/>
      <c r="AH306" s="174"/>
      <c r="AI306" s="174"/>
      <c r="AJ306" s="1"/>
      <c r="AK306" s="1"/>
      <c r="AL306" s="1"/>
      <c r="AM306" s="1"/>
      <c r="AN306" s="287"/>
      <c r="AO306" s="284"/>
      <c r="AP306" s="284"/>
      <c r="AQ306" s="284"/>
      <c r="AR306" s="284"/>
      <c r="AS306" s="284"/>
      <c r="AT306" s="284"/>
      <c r="AU306" s="284"/>
      <c r="AV306" s="284"/>
    </row>
    <row r="307" spans="1:48" customFormat="1">
      <c r="A307" s="718" t="s">
        <v>3382</v>
      </c>
      <c r="B307" s="836" t="s">
        <v>3398</v>
      </c>
      <c r="C307" s="687">
        <v>1</v>
      </c>
      <c r="D307" s="647" t="s">
        <v>90</v>
      </c>
      <c r="E307" s="44">
        <v>2108.3333333333335</v>
      </c>
      <c r="F307" s="837">
        <f t="shared" si="50"/>
        <v>0.17599999999999999</v>
      </c>
      <c r="G307" s="93">
        <f t="shared" si="48"/>
        <v>1737.2666666666669</v>
      </c>
      <c r="H307" s="93"/>
      <c r="I307" s="270"/>
      <c r="J307" s="270"/>
      <c r="K307" s="121"/>
      <c r="L307" s="270"/>
      <c r="M307" s="1045" t="s">
        <v>611</v>
      </c>
      <c r="N307" s="1047" t="s">
        <v>94</v>
      </c>
      <c r="O307" s="1066" t="s">
        <v>429</v>
      </c>
      <c r="P307" s="1" t="str">
        <f t="shared" si="49"/>
        <v/>
      </c>
      <c r="Q307" s="1" t="str">
        <f t="shared" si="49"/>
        <v/>
      </c>
      <c r="R307" s="1" t="str">
        <f t="shared" si="49"/>
        <v/>
      </c>
      <c r="S307" s="1" t="str">
        <f t="shared" si="49"/>
        <v/>
      </c>
      <c r="T307" s="458"/>
      <c r="U307" s="289"/>
      <c r="V307" s="112"/>
      <c r="W307" s="285"/>
      <c r="X307" s="436"/>
      <c r="Y307" s="112"/>
      <c r="Z307" s="290"/>
      <c r="AA307" s="285"/>
      <c r="AB307" s="403"/>
      <c r="AC307" s="403"/>
      <c r="AD307" s="403"/>
      <c r="AE307" s="285"/>
      <c r="AF307" s="403"/>
      <c r="AG307" s="41"/>
      <c r="AH307" s="174"/>
      <c r="AI307" s="174"/>
      <c r="AJ307" s="1"/>
      <c r="AK307" s="1"/>
      <c r="AL307" s="1"/>
      <c r="AM307" s="1"/>
      <c r="AN307" s="287"/>
      <c r="AO307" s="284"/>
      <c r="AP307" s="284"/>
      <c r="AQ307" s="284"/>
      <c r="AR307" s="284"/>
      <c r="AS307" s="284"/>
      <c r="AT307" s="284"/>
      <c r="AU307" s="284"/>
      <c r="AV307" s="284"/>
    </row>
    <row r="308" spans="1:48" customFormat="1">
      <c r="A308" s="718" t="s">
        <v>3383</v>
      </c>
      <c r="B308" s="839" t="s">
        <v>3388</v>
      </c>
      <c r="C308" s="263">
        <v>1</v>
      </c>
      <c r="D308" s="264" t="s">
        <v>90</v>
      </c>
      <c r="E308" s="44">
        <v>0</v>
      </c>
      <c r="F308" s="261" t="s">
        <v>92</v>
      </c>
      <c r="G308" s="262">
        <f t="shared" ref="G308:G310" si="51">E308</f>
        <v>0</v>
      </c>
      <c r="H308" s="108"/>
      <c r="I308" s="269"/>
      <c r="J308" s="269"/>
      <c r="K308" s="99"/>
      <c r="L308" s="269"/>
      <c r="M308" s="1045" t="s">
        <v>611</v>
      </c>
      <c r="N308" s="1047" t="s">
        <v>94</v>
      </c>
      <c r="O308" s="1066" t="s">
        <v>429</v>
      </c>
      <c r="P308" s="1" t="s">
        <v>98</v>
      </c>
      <c r="Q308" s="1" t="s">
        <v>98</v>
      </c>
      <c r="R308" s="1" t="s">
        <v>98</v>
      </c>
      <c r="S308" s="1" t="s">
        <v>98</v>
      </c>
      <c r="T308" s="458"/>
      <c r="U308" s="289"/>
      <c r="V308" s="112"/>
      <c r="W308" s="285"/>
      <c r="X308" s="436"/>
      <c r="Y308" s="112"/>
      <c r="Z308" s="290"/>
      <c r="AA308" s="285"/>
      <c r="AB308" s="403"/>
      <c r="AC308" s="403"/>
      <c r="AD308" s="403"/>
      <c r="AE308" s="285"/>
      <c r="AF308" s="403"/>
      <c r="AG308" s="41"/>
      <c r="AH308" s="174"/>
      <c r="AI308" s="174"/>
      <c r="AJ308" s="1"/>
      <c r="AK308" s="1"/>
      <c r="AL308" s="1"/>
      <c r="AM308" s="1"/>
      <c r="AN308" s="287"/>
      <c r="AO308" s="284"/>
      <c r="AP308" s="284"/>
      <c r="AQ308" s="284"/>
      <c r="AR308" s="284"/>
      <c r="AS308" s="284"/>
      <c r="AT308" s="284"/>
      <c r="AU308" s="284"/>
      <c r="AV308" s="284"/>
    </row>
    <row r="309" spans="1:48" customFormat="1">
      <c r="A309" s="684" t="s">
        <v>3385</v>
      </c>
      <c r="B309" s="839" t="s">
        <v>3386</v>
      </c>
      <c r="C309" s="263">
        <v>1</v>
      </c>
      <c r="D309" s="264" t="s">
        <v>90</v>
      </c>
      <c r="E309" s="44">
        <v>0</v>
      </c>
      <c r="F309" s="261" t="s">
        <v>92</v>
      </c>
      <c r="G309" s="262">
        <f t="shared" si="51"/>
        <v>0</v>
      </c>
      <c r="H309" s="108"/>
      <c r="I309" s="269"/>
      <c r="J309" s="269"/>
      <c r="K309" s="99"/>
      <c r="L309" s="269"/>
      <c r="M309" s="1045" t="s">
        <v>611</v>
      </c>
      <c r="N309" s="1047" t="s">
        <v>94</v>
      </c>
      <c r="O309" s="1066" t="s">
        <v>429</v>
      </c>
      <c r="P309" s="1" t="s">
        <v>98</v>
      </c>
      <c r="Q309" s="1" t="s">
        <v>98</v>
      </c>
      <c r="R309" s="1" t="s">
        <v>98</v>
      </c>
      <c r="S309" s="1" t="s">
        <v>98</v>
      </c>
      <c r="T309" s="458"/>
      <c r="U309" s="289"/>
      <c r="V309" s="112"/>
      <c r="W309" s="285"/>
      <c r="X309" s="436"/>
      <c r="Y309" s="112"/>
      <c r="Z309" s="290"/>
      <c r="AA309" s="285"/>
      <c r="AB309" s="403"/>
      <c r="AC309" s="403"/>
      <c r="AD309" s="403"/>
      <c r="AE309" s="285"/>
      <c r="AF309" s="403"/>
      <c r="AG309" s="41"/>
      <c r="AH309" s="174"/>
      <c r="AI309" s="174"/>
      <c r="AJ309" s="1"/>
      <c r="AK309" s="1"/>
      <c r="AL309" s="1"/>
      <c r="AM309" s="1"/>
      <c r="AN309" s="287"/>
      <c r="AO309" s="284"/>
      <c r="AP309" s="284"/>
      <c r="AQ309" s="284"/>
      <c r="AR309" s="284"/>
      <c r="AS309" s="284"/>
      <c r="AT309" s="284"/>
      <c r="AU309" s="284"/>
      <c r="AV309" s="284"/>
    </row>
    <row r="310" spans="1:48" customFormat="1">
      <c r="A310" s="838" t="s">
        <v>3384</v>
      </c>
      <c r="B310" s="840" t="s">
        <v>3387</v>
      </c>
      <c r="C310" s="263">
        <v>1</v>
      </c>
      <c r="D310" s="264" t="s">
        <v>90</v>
      </c>
      <c r="E310" s="44">
        <v>0</v>
      </c>
      <c r="F310" s="261" t="s">
        <v>92</v>
      </c>
      <c r="G310" s="262">
        <f t="shared" si="51"/>
        <v>0</v>
      </c>
      <c r="H310" s="108"/>
      <c r="I310" s="269"/>
      <c r="J310" s="269"/>
      <c r="K310" s="99"/>
      <c r="L310" s="269"/>
      <c r="M310" s="1045" t="s">
        <v>611</v>
      </c>
      <c r="N310" s="1047" t="s">
        <v>94</v>
      </c>
      <c r="O310" s="1066" t="s">
        <v>429</v>
      </c>
      <c r="P310" s="1" t="s">
        <v>98</v>
      </c>
      <c r="Q310" s="1" t="s">
        <v>98</v>
      </c>
      <c r="R310" s="1" t="s">
        <v>98</v>
      </c>
      <c r="S310" s="1" t="s">
        <v>98</v>
      </c>
      <c r="T310" s="458"/>
      <c r="U310" s="289"/>
      <c r="V310" s="112"/>
      <c r="W310" s="285"/>
      <c r="X310" s="436"/>
      <c r="Y310" s="112"/>
      <c r="Z310" s="290"/>
      <c r="AA310" s="285"/>
      <c r="AB310" s="403"/>
      <c r="AC310" s="403"/>
      <c r="AD310" s="403"/>
      <c r="AE310" s="285"/>
      <c r="AF310" s="403"/>
      <c r="AG310" s="41"/>
      <c r="AH310" s="174"/>
      <c r="AI310" s="174"/>
      <c r="AJ310" s="1"/>
      <c r="AK310" s="1"/>
      <c r="AL310" s="1"/>
      <c r="AM310" s="1"/>
      <c r="AN310" s="287"/>
      <c r="AO310" s="284"/>
      <c r="AP310" s="284"/>
      <c r="AQ310" s="284"/>
      <c r="AR310" s="284"/>
      <c r="AS310" s="284"/>
      <c r="AT310" s="284"/>
      <c r="AU310" s="284"/>
      <c r="AV310" s="284"/>
    </row>
    <row r="311" spans="1:48" customFormat="1">
      <c r="A311" s="830" t="s">
        <v>3374</v>
      </c>
      <c r="B311" s="831" t="s">
        <v>3375</v>
      </c>
      <c r="C311" s="832">
        <v>1</v>
      </c>
      <c r="D311" s="833" t="s">
        <v>90</v>
      </c>
      <c r="E311" s="454">
        <v>3082.2</v>
      </c>
      <c r="F311" s="835">
        <f>rv_mbp14_hg</f>
        <v>0.17599999999999999</v>
      </c>
      <c r="G311" s="266">
        <f t="shared" ref="G311:G317" si="52">E311-(E311*F311)</f>
        <v>2539.7327999999998</v>
      </c>
      <c r="H311" s="832" t="s">
        <v>549</v>
      </c>
      <c r="I311" s="270">
        <f>mbp14_5pl</f>
        <v>48</v>
      </c>
      <c r="J311" s="270">
        <f>G311+I311</f>
        <v>2587.7327999999998</v>
      </c>
      <c r="K311" s="99" t="s">
        <v>92</v>
      </c>
      <c r="L311" s="216">
        <v>0.3</v>
      </c>
      <c r="M311" s="1045" t="s">
        <v>611</v>
      </c>
      <c r="N311" s="1047" t="s">
        <v>94</v>
      </c>
      <c r="O311" s="1066" t="s">
        <v>429</v>
      </c>
      <c r="P311" s="1">
        <f t="shared" ref="P311:S317" si="53">+IF($J311&lt;&gt;"",P$2*$J311,"")</f>
        <v>520.93324828339405</v>
      </c>
      <c r="Q311" s="1">
        <f t="shared" si="53"/>
        <v>270.73237373524682</v>
      </c>
      <c r="R311" s="1">
        <f t="shared" si="53"/>
        <v>196.62486369450369</v>
      </c>
      <c r="S311" s="1">
        <f t="shared" si="53"/>
        <v>169.67474841896311</v>
      </c>
      <c r="T311" s="458"/>
      <c r="U311" s="289"/>
      <c r="V311" s="112"/>
      <c r="W311" s="285"/>
      <c r="X311" s="436"/>
      <c r="Y311" s="112"/>
      <c r="Z311" s="290"/>
      <c r="AA311" s="285"/>
      <c r="AB311" s="403"/>
      <c r="AC311" s="403"/>
      <c r="AD311" s="403"/>
      <c r="AE311" s="285"/>
      <c r="AF311" s="403"/>
      <c r="AG311" s="41"/>
      <c r="AH311" s="174"/>
      <c r="AI311" s="174"/>
      <c r="AJ311" s="1"/>
      <c r="AK311" s="1"/>
      <c r="AL311" s="1"/>
      <c r="AM311" s="1"/>
      <c r="AN311" s="287"/>
      <c r="AO311" s="284"/>
      <c r="AP311" s="284"/>
      <c r="AQ311" s="284"/>
      <c r="AR311" s="284"/>
      <c r="AS311" s="284"/>
      <c r="AT311" s="284"/>
      <c r="AU311" s="284"/>
      <c r="AV311" s="284"/>
    </row>
    <row r="312" spans="1:48" customFormat="1">
      <c r="A312" s="718" t="s">
        <v>3399</v>
      </c>
      <c r="B312" s="836" t="s">
        <v>3408</v>
      </c>
      <c r="C312" s="687">
        <v>1</v>
      </c>
      <c r="D312" s="647" t="s">
        <v>90</v>
      </c>
      <c r="E312" s="44">
        <v>191.66666666666669</v>
      </c>
      <c r="F312" s="837">
        <f t="shared" ref="F312:F317" si="54">rv_mbp14_eg_cto</f>
        <v>0.17599999999999999</v>
      </c>
      <c r="G312" s="93">
        <f t="shared" si="52"/>
        <v>157.93333333333334</v>
      </c>
      <c r="H312" s="108"/>
      <c r="I312" s="269"/>
      <c r="J312" s="269"/>
      <c r="K312" s="99"/>
      <c r="L312" s="269"/>
      <c r="M312" s="1045" t="s">
        <v>611</v>
      </c>
      <c r="N312" s="1047" t="s">
        <v>94</v>
      </c>
      <c r="O312" s="1066" t="s">
        <v>429</v>
      </c>
      <c r="P312" s="1" t="str">
        <f t="shared" si="53"/>
        <v/>
      </c>
      <c r="Q312" s="1" t="str">
        <f t="shared" si="53"/>
        <v/>
      </c>
      <c r="R312" s="1" t="str">
        <f t="shared" si="53"/>
        <v/>
      </c>
      <c r="S312" s="1" t="str">
        <f t="shared" si="53"/>
        <v/>
      </c>
      <c r="T312" s="458"/>
      <c r="U312" s="289"/>
      <c r="V312" s="112"/>
      <c r="W312" s="285"/>
      <c r="X312" s="436"/>
      <c r="Y312" s="112"/>
      <c r="Z312" s="290"/>
      <c r="AA312" s="285"/>
      <c r="AB312" s="403"/>
      <c r="AC312" s="403"/>
      <c r="AD312" s="403"/>
      <c r="AE312" s="285"/>
      <c r="AF312" s="403"/>
      <c r="AG312" s="41"/>
      <c r="AH312" s="174"/>
      <c r="AI312" s="174"/>
      <c r="AJ312" s="1"/>
      <c r="AK312" s="1"/>
      <c r="AL312" s="1"/>
      <c r="AM312" s="1"/>
      <c r="AN312" s="287"/>
      <c r="AO312" s="284"/>
      <c r="AP312" s="284"/>
      <c r="AQ312" s="284"/>
      <c r="AR312" s="284"/>
      <c r="AS312" s="284"/>
      <c r="AT312" s="284"/>
      <c r="AU312" s="284"/>
      <c r="AV312" s="284"/>
    </row>
    <row r="313" spans="1:48" customFormat="1">
      <c r="A313" s="718" t="s">
        <v>3400</v>
      </c>
      <c r="B313" s="836" t="s">
        <v>3409</v>
      </c>
      <c r="C313" s="687">
        <v>1</v>
      </c>
      <c r="D313" s="647" t="s">
        <v>90</v>
      </c>
      <c r="E313" s="44">
        <v>383.33333333333337</v>
      </c>
      <c r="F313" s="837">
        <f t="shared" si="54"/>
        <v>0.17599999999999999</v>
      </c>
      <c r="G313" s="93">
        <f t="shared" si="52"/>
        <v>315.86666666666667</v>
      </c>
      <c r="H313" s="93"/>
      <c r="I313" s="270"/>
      <c r="J313" s="270"/>
      <c r="K313" s="121"/>
      <c r="L313" s="270"/>
      <c r="M313" s="1045" t="s">
        <v>611</v>
      </c>
      <c r="N313" s="1047" t="s">
        <v>94</v>
      </c>
      <c r="O313" s="1066" t="s">
        <v>429</v>
      </c>
      <c r="P313" s="1" t="str">
        <f t="shared" si="53"/>
        <v/>
      </c>
      <c r="Q313" s="1" t="str">
        <f t="shared" si="53"/>
        <v/>
      </c>
      <c r="R313" s="1" t="str">
        <f t="shared" si="53"/>
        <v/>
      </c>
      <c r="S313" s="1" t="str">
        <f t="shared" si="53"/>
        <v/>
      </c>
      <c r="T313" s="458"/>
      <c r="U313" s="289"/>
      <c r="V313" s="112"/>
      <c r="W313" s="285"/>
      <c r="X313" s="436"/>
      <c r="Y313" s="112"/>
      <c r="Z313" s="290"/>
      <c r="AA313" s="285"/>
      <c r="AB313" s="403"/>
      <c r="AC313" s="403"/>
      <c r="AD313" s="403"/>
      <c r="AE313" s="285"/>
      <c r="AF313" s="403"/>
      <c r="AG313" s="41"/>
      <c r="AH313" s="174"/>
      <c r="AI313" s="174"/>
      <c r="AJ313" s="1"/>
      <c r="AK313" s="1"/>
      <c r="AL313" s="1"/>
      <c r="AM313" s="1"/>
      <c r="AN313" s="287"/>
      <c r="AO313" s="284"/>
      <c r="AP313" s="284"/>
      <c r="AQ313" s="284"/>
      <c r="AR313" s="284"/>
      <c r="AS313" s="284"/>
      <c r="AT313" s="284"/>
      <c r="AU313" s="284"/>
      <c r="AV313" s="284"/>
    </row>
    <row r="314" spans="1:48" customFormat="1">
      <c r="A314" s="718" t="s">
        <v>3401</v>
      </c>
      <c r="B314" s="836" t="s">
        <v>3410</v>
      </c>
      <c r="C314" s="687">
        <v>1</v>
      </c>
      <c r="D314" s="647" t="s">
        <v>90</v>
      </c>
      <c r="E314" s="44">
        <v>766.66666666666674</v>
      </c>
      <c r="F314" s="837">
        <f t="shared" si="54"/>
        <v>0.17599999999999999</v>
      </c>
      <c r="G314" s="93">
        <f t="shared" si="52"/>
        <v>631.73333333333335</v>
      </c>
      <c r="H314" s="93"/>
      <c r="I314" s="270"/>
      <c r="J314" s="270"/>
      <c r="K314" s="121"/>
      <c r="L314" s="270"/>
      <c r="M314" s="1045" t="s">
        <v>611</v>
      </c>
      <c r="N314" s="1047" t="s">
        <v>94</v>
      </c>
      <c r="O314" s="1066" t="s">
        <v>429</v>
      </c>
      <c r="P314" s="1" t="str">
        <f t="shared" si="53"/>
        <v/>
      </c>
      <c r="Q314" s="1" t="str">
        <f t="shared" si="53"/>
        <v/>
      </c>
      <c r="R314" s="1" t="str">
        <f t="shared" si="53"/>
        <v/>
      </c>
      <c r="S314" s="1" t="str">
        <f t="shared" si="53"/>
        <v/>
      </c>
      <c r="T314" s="458"/>
      <c r="U314" s="289"/>
      <c r="V314" s="112"/>
      <c r="W314" s="285"/>
      <c r="X314" s="436"/>
      <c r="Y314" s="112"/>
      <c r="Z314" s="290"/>
      <c r="AA314" s="285"/>
      <c r="AB314" s="403"/>
      <c r="AC314" s="403"/>
      <c r="AD314" s="403"/>
      <c r="AE314" s="285"/>
      <c r="AF314" s="403"/>
      <c r="AG314" s="41"/>
      <c r="AH314" s="174"/>
      <c r="AI314" s="174"/>
      <c r="AJ314" s="1"/>
      <c r="AK314" s="1"/>
      <c r="AL314" s="1"/>
      <c r="AM314" s="1"/>
      <c r="AN314" s="287"/>
      <c r="AO314" s="284"/>
      <c r="AP314" s="284"/>
      <c r="AQ314" s="284"/>
      <c r="AR314" s="284"/>
      <c r="AS314" s="284"/>
      <c r="AT314" s="284"/>
      <c r="AU314" s="284"/>
      <c r="AV314" s="284"/>
    </row>
    <row r="315" spans="1:48" customFormat="1">
      <c r="A315" s="718" t="s">
        <v>3402</v>
      </c>
      <c r="B315" s="836" t="s">
        <v>3411</v>
      </c>
      <c r="C315" s="687">
        <v>1</v>
      </c>
      <c r="D315" s="647" t="s">
        <v>90</v>
      </c>
      <c r="E315" s="44">
        <v>383.33333333333337</v>
      </c>
      <c r="F315" s="837">
        <f t="shared" si="54"/>
        <v>0.17599999999999999</v>
      </c>
      <c r="G315" s="93">
        <f t="shared" si="52"/>
        <v>315.86666666666667</v>
      </c>
      <c r="H315" s="93"/>
      <c r="I315" s="270"/>
      <c r="J315" s="270"/>
      <c r="K315" s="121"/>
      <c r="L315" s="270"/>
      <c r="M315" s="1045" t="s">
        <v>611</v>
      </c>
      <c r="N315" s="1047" t="s">
        <v>94</v>
      </c>
      <c r="O315" s="1066" t="s">
        <v>429</v>
      </c>
      <c r="P315" s="1" t="str">
        <f t="shared" si="53"/>
        <v/>
      </c>
      <c r="Q315" s="1" t="str">
        <f t="shared" si="53"/>
        <v/>
      </c>
      <c r="R315" s="1" t="str">
        <f t="shared" si="53"/>
        <v/>
      </c>
      <c r="S315" s="1" t="str">
        <f t="shared" si="53"/>
        <v/>
      </c>
      <c r="T315" s="458"/>
      <c r="U315" s="289"/>
      <c r="V315" s="112"/>
      <c r="W315" s="285"/>
      <c r="X315" s="436"/>
      <c r="Y315" s="112"/>
      <c r="Z315" s="290"/>
      <c r="AA315" s="285"/>
      <c r="AB315" s="403"/>
      <c r="AC315" s="403"/>
      <c r="AD315" s="403"/>
      <c r="AE315" s="285"/>
      <c r="AF315" s="403"/>
      <c r="AG315" s="41"/>
      <c r="AH315" s="174"/>
      <c r="AI315" s="174"/>
      <c r="AJ315" s="1"/>
      <c r="AK315" s="1"/>
      <c r="AL315" s="1"/>
      <c r="AM315" s="1"/>
      <c r="AN315" s="287"/>
      <c r="AO315" s="284"/>
      <c r="AP315" s="284"/>
      <c r="AQ315" s="284"/>
      <c r="AR315" s="284"/>
      <c r="AS315" s="284"/>
      <c r="AT315" s="284"/>
      <c r="AU315" s="284"/>
      <c r="AV315" s="284"/>
    </row>
    <row r="316" spans="1:48" customFormat="1">
      <c r="A316" s="718" t="s">
        <v>3403</v>
      </c>
      <c r="B316" s="836" t="s">
        <v>3412</v>
      </c>
      <c r="C316" s="687">
        <v>1</v>
      </c>
      <c r="D316" s="647" t="s">
        <v>90</v>
      </c>
      <c r="E316" s="44">
        <v>958.33333333333337</v>
      </c>
      <c r="F316" s="837">
        <f t="shared" si="54"/>
        <v>0.17599999999999999</v>
      </c>
      <c r="G316" s="93">
        <f t="shared" si="52"/>
        <v>789.66666666666674</v>
      </c>
      <c r="H316" s="93"/>
      <c r="I316" s="270"/>
      <c r="J316" s="270"/>
      <c r="K316" s="121"/>
      <c r="L316" s="270"/>
      <c r="M316" s="1045" t="s">
        <v>611</v>
      </c>
      <c r="N316" s="1047" t="s">
        <v>94</v>
      </c>
      <c r="O316" s="1066" t="s">
        <v>429</v>
      </c>
      <c r="P316" s="1" t="str">
        <f t="shared" si="53"/>
        <v/>
      </c>
      <c r="Q316" s="1" t="str">
        <f t="shared" si="53"/>
        <v/>
      </c>
      <c r="R316" s="1" t="str">
        <f t="shared" si="53"/>
        <v/>
      </c>
      <c r="S316" s="1" t="str">
        <f t="shared" si="53"/>
        <v/>
      </c>
      <c r="T316" s="458"/>
      <c r="U316" s="289"/>
      <c r="V316" s="112"/>
      <c r="W316" s="285"/>
      <c r="X316" s="436"/>
      <c r="Y316" s="112"/>
      <c r="Z316" s="290"/>
      <c r="AA316" s="285"/>
      <c r="AB316" s="403"/>
      <c r="AC316" s="403"/>
      <c r="AD316" s="403"/>
      <c r="AE316" s="285"/>
      <c r="AF316" s="403"/>
      <c r="AG316" s="41"/>
      <c r="AH316" s="174"/>
      <c r="AI316" s="174"/>
      <c r="AJ316" s="1"/>
      <c r="AK316" s="1"/>
      <c r="AL316" s="1"/>
      <c r="AM316" s="1"/>
      <c r="AN316" s="287"/>
      <c r="AO316" s="284"/>
      <c r="AP316" s="284"/>
      <c r="AQ316" s="284"/>
      <c r="AR316" s="284"/>
      <c r="AS316" s="284"/>
      <c r="AT316" s="284"/>
      <c r="AU316" s="284"/>
      <c r="AV316" s="284"/>
    </row>
    <row r="317" spans="1:48" customFormat="1">
      <c r="A317" s="718" t="s">
        <v>3404</v>
      </c>
      <c r="B317" s="836" t="s">
        <v>3413</v>
      </c>
      <c r="C317" s="687">
        <v>1</v>
      </c>
      <c r="D317" s="647" t="s">
        <v>90</v>
      </c>
      <c r="E317" s="44">
        <v>2108.3333333333335</v>
      </c>
      <c r="F317" s="837">
        <f t="shared" si="54"/>
        <v>0.17599999999999999</v>
      </c>
      <c r="G317" s="93">
        <f t="shared" si="52"/>
        <v>1737.2666666666669</v>
      </c>
      <c r="H317" s="93"/>
      <c r="I317" s="270"/>
      <c r="J317" s="270"/>
      <c r="K317" s="121"/>
      <c r="L317" s="270"/>
      <c r="M317" s="1045" t="s">
        <v>611</v>
      </c>
      <c r="N317" s="1047" t="s">
        <v>94</v>
      </c>
      <c r="O317" s="1066" t="s">
        <v>429</v>
      </c>
      <c r="P317" s="1" t="str">
        <f t="shared" si="53"/>
        <v/>
      </c>
      <c r="Q317" s="1" t="str">
        <f t="shared" si="53"/>
        <v/>
      </c>
      <c r="R317" s="1" t="str">
        <f t="shared" si="53"/>
        <v/>
      </c>
      <c r="S317" s="1" t="str">
        <f t="shared" si="53"/>
        <v/>
      </c>
      <c r="T317" s="458"/>
      <c r="U317" s="289"/>
      <c r="V317" s="112"/>
      <c r="W317" s="285"/>
      <c r="X317" s="436"/>
      <c r="Y317" s="112"/>
      <c r="Z317" s="290"/>
      <c r="AA317" s="285"/>
      <c r="AB317" s="403"/>
      <c r="AC317" s="403"/>
      <c r="AD317" s="403"/>
      <c r="AE317" s="285"/>
      <c r="AF317" s="403"/>
      <c r="AG317" s="41"/>
      <c r="AH317" s="174"/>
      <c r="AI317" s="174"/>
      <c r="AJ317" s="1"/>
      <c r="AK317" s="1"/>
      <c r="AL317" s="1"/>
      <c r="AM317" s="1"/>
      <c r="AN317" s="287"/>
      <c r="AO317" s="284"/>
      <c r="AP317" s="284"/>
      <c r="AQ317" s="284"/>
      <c r="AR317" s="284"/>
      <c r="AS317" s="284"/>
      <c r="AT317" s="284"/>
      <c r="AU317" s="284"/>
      <c r="AV317" s="284"/>
    </row>
    <row r="318" spans="1:48" customFormat="1">
      <c r="A318" s="718" t="s">
        <v>3405</v>
      </c>
      <c r="B318" s="839" t="s">
        <v>3414</v>
      </c>
      <c r="C318" s="263">
        <v>1</v>
      </c>
      <c r="D318" s="264" t="s">
        <v>90</v>
      </c>
      <c r="E318" s="44">
        <v>0</v>
      </c>
      <c r="F318" s="261" t="s">
        <v>92</v>
      </c>
      <c r="G318" s="262">
        <f t="shared" ref="G318:G320" si="55">E318</f>
        <v>0</v>
      </c>
      <c r="H318" s="108"/>
      <c r="I318" s="269"/>
      <c r="J318" s="269"/>
      <c r="K318" s="99"/>
      <c r="L318" s="269"/>
      <c r="M318" s="1045" t="s">
        <v>611</v>
      </c>
      <c r="N318" s="1047" t="s">
        <v>94</v>
      </c>
      <c r="O318" s="1066" t="s">
        <v>429</v>
      </c>
      <c r="P318" s="1" t="s">
        <v>98</v>
      </c>
      <c r="Q318" s="1" t="s">
        <v>98</v>
      </c>
      <c r="R318" s="1" t="s">
        <v>98</v>
      </c>
      <c r="S318" s="1" t="s">
        <v>98</v>
      </c>
      <c r="T318" s="458"/>
      <c r="U318" s="289"/>
      <c r="V318" s="112"/>
      <c r="W318" s="285"/>
      <c r="X318" s="436"/>
      <c r="Y318" s="112"/>
      <c r="Z318" s="290"/>
      <c r="AA318" s="285"/>
      <c r="AB318" s="403"/>
      <c r="AC318" s="403"/>
      <c r="AD318" s="403"/>
      <c r="AE318" s="285"/>
      <c r="AF318" s="403"/>
      <c r="AG318" s="41"/>
      <c r="AH318" s="174"/>
      <c r="AI318" s="174"/>
      <c r="AJ318" s="1"/>
      <c r="AK318" s="1"/>
      <c r="AL318" s="1"/>
      <c r="AM318" s="1"/>
      <c r="AN318" s="287"/>
      <c r="AO318" s="284"/>
      <c r="AP318" s="284"/>
      <c r="AQ318" s="284"/>
      <c r="AR318" s="284"/>
      <c r="AS318" s="284"/>
      <c r="AT318" s="284"/>
      <c r="AU318" s="284"/>
      <c r="AV318" s="284"/>
    </row>
    <row r="319" spans="1:48" customFormat="1">
      <c r="A319" s="684" t="s">
        <v>3406</v>
      </c>
      <c r="B319" s="839" t="s">
        <v>3415</v>
      </c>
      <c r="C319" s="263">
        <v>1</v>
      </c>
      <c r="D319" s="264" t="s">
        <v>90</v>
      </c>
      <c r="E319" s="44">
        <v>0</v>
      </c>
      <c r="F319" s="261" t="s">
        <v>92</v>
      </c>
      <c r="G319" s="262">
        <f t="shared" si="55"/>
        <v>0</v>
      </c>
      <c r="H319" s="108"/>
      <c r="I319" s="269"/>
      <c r="J319" s="269"/>
      <c r="K319" s="99"/>
      <c r="L319" s="269"/>
      <c r="M319" s="1045" t="s">
        <v>611</v>
      </c>
      <c r="N319" s="1047" t="s">
        <v>94</v>
      </c>
      <c r="O319" s="1066" t="s">
        <v>429</v>
      </c>
      <c r="P319" s="1" t="s">
        <v>98</v>
      </c>
      <c r="Q319" s="1" t="s">
        <v>98</v>
      </c>
      <c r="R319" s="1" t="s">
        <v>98</v>
      </c>
      <c r="S319" s="1" t="s">
        <v>98</v>
      </c>
      <c r="T319" s="458"/>
      <c r="U319" s="289"/>
      <c r="V319" s="112"/>
      <c r="W319" s="285"/>
      <c r="X319" s="436"/>
      <c r="Y319" s="112"/>
      <c r="Z319" s="290"/>
      <c r="AA319" s="285"/>
      <c r="AB319" s="403"/>
      <c r="AC319" s="403"/>
      <c r="AD319" s="403"/>
      <c r="AE319" s="285"/>
      <c r="AF319" s="403"/>
      <c r="AG319" s="41"/>
      <c r="AH319" s="174"/>
      <c r="AI319" s="174"/>
      <c r="AJ319" s="1"/>
      <c r="AK319" s="1"/>
      <c r="AL319" s="1"/>
      <c r="AM319" s="1"/>
      <c r="AN319" s="287"/>
      <c r="AO319" s="284"/>
      <c r="AP319" s="284"/>
      <c r="AQ319" s="284"/>
      <c r="AR319" s="284"/>
      <c r="AS319" s="284"/>
      <c r="AT319" s="284"/>
      <c r="AU319" s="284"/>
      <c r="AV319" s="284"/>
    </row>
    <row r="320" spans="1:48" customFormat="1">
      <c r="A320" s="838" t="s">
        <v>3407</v>
      </c>
      <c r="B320" s="840" t="s">
        <v>3416</v>
      </c>
      <c r="C320" s="263">
        <v>1</v>
      </c>
      <c r="D320" s="264" t="s">
        <v>90</v>
      </c>
      <c r="E320" s="44">
        <v>0</v>
      </c>
      <c r="F320" s="261" t="s">
        <v>92</v>
      </c>
      <c r="G320" s="262">
        <f t="shared" si="55"/>
        <v>0</v>
      </c>
      <c r="H320" s="108"/>
      <c r="I320" s="269"/>
      <c r="J320" s="269"/>
      <c r="K320" s="99"/>
      <c r="L320" s="269"/>
      <c r="M320" s="1045" t="s">
        <v>611</v>
      </c>
      <c r="N320" s="1047" t="s">
        <v>94</v>
      </c>
      <c r="O320" s="1066" t="s">
        <v>429</v>
      </c>
      <c r="P320" s="1" t="s">
        <v>98</v>
      </c>
      <c r="Q320" s="1" t="s">
        <v>98</v>
      </c>
      <c r="R320" s="1" t="s">
        <v>98</v>
      </c>
      <c r="S320" s="1" t="s">
        <v>98</v>
      </c>
      <c r="T320" s="458"/>
      <c r="U320" s="289"/>
      <c r="V320" s="112"/>
      <c r="W320" s="285"/>
      <c r="X320" s="436"/>
      <c r="Y320" s="112"/>
      <c r="Z320" s="290"/>
      <c r="AA320" s="285"/>
      <c r="AB320" s="403"/>
      <c r="AC320" s="403"/>
      <c r="AD320" s="403"/>
      <c r="AE320" s="285"/>
      <c r="AF320" s="403"/>
      <c r="AG320" s="41"/>
      <c r="AH320" s="174"/>
      <c r="AI320" s="174"/>
      <c r="AJ320" s="1"/>
      <c r="AK320" s="1"/>
      <c r="AL320" s="1"/>
      <c r="AM320" s="1"/>
      <c r="AN320" s="287"/>
      <c r="AO320" s="284"/>
      <c r="AP320" s="284"/>
      <c r="AQ320" s="284"/>
      <c r="AR320" s="284"/>
      <c r="AS320" s="284"/>
      <c r="AT320" s="284"/>
      <c r="AU320" s="284"/>
      <c r="AV320" s="284"/>
    </row>
    <row r="321" spans="1:40">
      <c r="A321" s="457" t="s">
        <v>549</v>
      </c>
      <c r="B321" s="79" t="s">
        <v>654</v>
      </c>
      <c r="C321" s="133">
        <v>1</v>
      </c>
      <c r="D321" s="123" t="s">
        <v>114</v>
      </c>
      <c r="E321" s="601">
        <v>58.25</v>
      </c>
      <c r="F321" s="214">
        <v>0.17599999999999999</v>
      </c>
      <c r="G321" s="107">
        <f>E321-(E321*F321)</f>
        <v>47.998000000000005</v>
      </c>
      <c r="H321" s="272"/>
      <c r="I321" s="269"/>
      <c r="J321" s="269"/>
      <c r="K321" s="99"/>
      <c r="L321" s="269"/>
      <c r="M321" s="1045" t="s">
        <v>115</v>
      </c>
      <c r="N321" s="1047" t="s">
        <v>116</v>
      </c>
      <c r="O321" s="1066" t="s">
        <v>117</v>
      </c>
      <c r="P321" s="1" t="str">
        <f t="shared" ref="P321:S330" si="56">+IF($J321&lt;&gt;"",P$2*$J321,"")</f>
        <v/>
      </c>
      <c r="Q321" s="1" t="str">
        <f t="shared" si="56"/>
        <v/>
      </c>
      <c r="R321" s="1" t="str">
        <f t="shared" si="56"/>
        <v/>
      </c>
      <c r="S321" s="1" t="str">
        <f t="shared" si="56"/>
        <v/>
      </c>
      <c r="T321" s="457" t="s">
        <v>549</v>
      </c>
      <c r="U321" s="79" t="s">
        <v>654</v>
      </c>
      <c r="V321" s="133">
        <v>1</v>
      </c>
      <c r="W321" s="123" t="s">
        <v>114</v>
      </c>
      <c r="X321" s="122" t="s">
        <v>549</v>
      </c>
      <c r="Y321" s="601">
        <v>58.25</v>
      </c>
      <c r="Z321" s="214">
        <v>0.17599999999999999</v>
      </c>
      <c r="AA321" s="107">
        <v>47.998000000000005</v>
      </c>
      <c r="AB321" s="272"/>
      <c r="AC321" s="269"/>
      <c r="AD321" s="269"/>
      <c r="AE321" s="99" t="s">
        <v>92</v>
      </c>
      <c r="AF321" s="269" t="s">
        <v>92</v>
      </c>
      <c r="AG321" s="41" t="s">
        <v>115</v>
      </c>
      <c r="AH321" s="174" t="s">
        <v>116</v>
      </c>
      <c r="AI321" s="174" t="s">
        <v>117</v>
      </c>
      <c r="AJ321" s="1" t="s">
        <v>98</v>
      </c>
      <c r="AK321" s="1" t="s">
        <v>98</v>
      </c>
      <c r="AL321" s="1" t="s">
        <v>98</v>
      </c>
      <c r="AM321" s="1" t="s">
        <v>98</v>
      </c>
      <c r="AN321" s="174"/>
    </row>
    <row r="322" spans="1:40">
      <c r="A322" s="421" t="s">
        <v>655</v>
      </c>
      <c r="B322" s="110" t="s">
        <v>656</v>
      </c>
      <c r="C322" s="26">
        <v>1</v>
      </c>
      <c r="D322" s="46" t="s">
        <v>114</v>
      </c>
      <c r="E322" s="47"/>
      <c r="F322" s="21"/>
      <c r="G322" s="145">
        <v>24</v>
      </c>
      <c r="H322" s="27"/>
      <c r="I322" s="76"/>
      <c r="J322" s="76"/>
      <c r="K322" s="16"/>
      <c r="L322" s="76"/>
      <c r="M322" s="1045" t="s">
        <v>115</v>
      </c>
      <c r="N322" s="1047" t="s">
        <v>116</v>
      </c>
      <c r="O322" s="1066" t="s">
        <v>117</v>
      </c>
      <c r="P322" s="1" t="str">
        <f t="shared" si="56"/>
        <v/>
      </c>
      <c r="Q322" s="1" t="str">
        <f t="shared" si="56"/>
        <v/>
      </c>
      <c r="R322" s="1" t="str">
        <f t="shared" si="56"/>
        <v/>
      </c>
      <c r="S322" s="1" t="str">
        <f t="shared" si="56"/>
        <v/>
      </c>
      <c r="T322" s="421" t="s">
        <v>655</v>
      </c>
      <c r="U322" s="110" t="s">
        <v>657</v>
      </c>
      <c r="V322" s="26">
        <v>1</v>
      </c>
      <c r="W322" s="46" t="s">
        <v>114</v>
      </c>
      <c r="X322" s="104" t="s">
        <v>655</v>
      </c>
      <c r="Y322" s="47"/>
      <c r="Z322" s="21"/>
      <c r="AA322" s="145">
        <v>24</v>
      </c>
      <c r="AB322" s="27"/>
      <c r="AC322" s="76"/>
      <c r="AD322" s="76"/>
      <c r="AE322" s="16" t="s">
        <v>92</v>
      </c>
      <c r="AF322" s="76" t="s">
        <v>92</v>
      </c>
      <c r="AG322" s="41" t="s">
        <v>115</v>
      </c>
      <c r="AH322" s="174" t="s">
        <v>116</v>
      </c>
      <c r="AI322" s="159" t="s">
        <v>117</v>
      </c>
      <c r="AJ322" s="1" t="s">
        <v>98</v>
      </c>
      <c r="AK322" s="1" t="s">
        <v>98</v>
      </c>
      <c r="AL322" s="1" t="s">
        <v>98</v>
      </c>
      <c r="AM322" s="1" t="s">
        <v>98</v>
      </c>
      <c r="AN322" s="174"/>
    </row>
    <row r="323" spans="1:40">
      <c r="A323" s="421" t="s">
        <v>658</v>
      </c>
      <c r="B323" s="110" t="s">
        <v>659</v>
      </c>
      <c r="C323" s="26">
        <v>1</v>
      </c>
      <c r="D323" s="46" t="s">
        <v>114</v>
      </c>
      <c r="E323" s="47"/>
      <c r="F323" s="21"/>
      <c r="G323" s="145">
        <v>48</v>
      </c>
      <c r="H323" s="27"/>
      <c r="I323" s="76"/>
      <c r="J323" s="76"/>
      <c r="K323" s="16"/>
      <c r="L323" s="76"/>
      <c r="M323" s="1045" t="s">
        <v>115</v>
      </c>
      <c r="N323" s="1047" t="s">
        <v>116</v>
      </c>
      <c r="O323" s="1066" t="s">
        <v>117</v>
      </c>
      <c r="P323" s="1" t="str">
        <f t="shared" si="56"/>
        <v/>
      </c>
      <c r="Q323" s="1" t="str">
        <f t="shared" si="56"/>
        <v/>
      </c>
      <c r="R323" s="1" t="str">
        <f t="shared" si="56"/>
        <v/>
      </c>
      <c r="S323" s="1" t="str">
        <f t="shared" si="56"/>
        <v/>
      </c>
      <c r="T323" s="421" t="s">
        <v>658</v>
      </c>
      <c r="U323" s="110" t="s">
        <v>660</v>
      </c>
      <c r="V323" s="26">
        <v>1</v>
      </c>
      <c r="W323" s="46" t="s">
        <v>114</v>
      </c>
      <c r="X323" s="104" t="s">
        <v>658</v>
      </c>
      <c r="Y323" s="47"/>
      <c r="Z323" s="21"/>
      <c r="AA323" s="145">
        <v>48</v>
      </c>
      <c r="AB323" s="27"/>
      <c r="AC323" s="76"/>
      <c r="AD323" s="76"/>
      <c r="AE323" s="16" t="s">
        <v>92</v>
      </c>
      <c r="AF323" s="76" t="s">
        <v>92</v>
      </c>
      <c r="AG323" s="41" t="s">
        <v>115</v>
      </c>
      <c r="AH323" s="174" t="s">
        <v>116</v>
      </c>
      <c r="AI323" s="159" t="s">
        <v>117</v>
      </c>
      <c r="AJ323" s="1" t="s">
        <v>98</v>
      </c>
      <c r="AK323" s="1" t="s">
        <v>98</v>
      </c>
      <c r="AL323" s="1" t="s">
        <v>98</v>
      </c>
      <c r="AM323" s="1" t="s">
        <v>98</v>
      </c>
      <c r="AN323" s="174"/>
    </row>
    <row r="324" spans="1:40">
      <c r="A324" s="421" t="s">
        <v>661</v>
      </c>
      <c r="B324" s="110" t="s">
        <v>662</v>
      </c>
      <c r="C324" s="26">
        <v>1</v>
      </c>
      <c r="D324" s="46" t="s">
        <v>114</v>
      </c>
      <c r="E324" s="47"/>
      <c r="F324" s="21"/>
      <c r="G324" s="145">
        <v>74</v>
      </c>
      <c r="H324" s="27"/>
      <c r="I324" s="76"/>
      <c r="J324" s="76"/>
      <c r="K324" s="16"/>
      <c r="L324" s="76"/>
      <c r="M324" s="1045" t="s">
        <v>115</v>
      </c>
      <c r="N324" s="1047" t="s">
        <v>116</v>
      </c>
      <c r="O324" s="1066" t="s">
        <v>117</v>
      </c>
      <c r="P324" s="1" t="str">
        <f t="shared" si="56"/>
        <v/>
      </c>
      <c r="Q324" s="1" t="str">
        <f t="shared" si="56"/>
        <v/>
      </c>
      <c r="R324" s="1" t="str">
        <f t="shared" si="56"/>
        <v/>
      </c>
      <c r="S324" s="1" t="str">
        <f t="shared" si="56"/>
        <v/>
      </c>
      <c r="T324" s="421" t="s">
        <v>661</v>
      </c>
      <c r="U324" s="110" t="s">
        <v>663</v>
      </c>
      <c r="V324" s="26">
        <v>1</v>
      </c>
      <c r="W324" s="46" t="s">
        <v>114</v>
      </c>
      <c r="X324" s="104" t="s">
        <v>661</v>
      </c>
      <c r="Y324" s="47"/>
      <c r="Z324" s="21"/>
      <c r="AA324" s="145">
        <v>74</v>
      </c>
      <c r="AB324" s="27"/>
      <c r="AC324" s="76"/>
      <c r="AD324" s="76"/>
      <c r="AE324" s="16" t="s">
        <v>92</v>
      </c>
      <c r="AF324" s="76" t="s">
        <v>92</v>
      </c>
      <c r="AG324" s="41" t="s">
        <v>115</v>
      </c>
      <c r="AH324" s="174" t="s">
        <v>116</v>
      </c>
      <c r="AI324" s="159" t="s">
        <v>117</v>
      </c>
      <c r="AJ324" s="1" t="s">
        <v>98</v>
      </c>
      <c r="AK324" s="1" t="s">
        <v>98</v>
      </c>
      <c r="AL324" s="1" t="s">
        <v>98</v>
      </c>
      <c r="AM324" s="1" t="s">
        <v>98</v>
      </c>
      <c r="AN324" s="174"/>
    </row>
    <row r="325" spans="1:40">
      <c r="A325" s="421" t="s">
        <v>664</v>
      </c>
      <c r="B325" s="110" t="s">
        <v>665</v>
      </c>
      <c r="C325" s="26">
        <v>1</v>
      </c>
      <c r="D325" s="46" t="s">
        <v>114</v>
      </c>
      <c r="E325" s="47"/>
      <c r="F325" s="21"/>
      <c r="G325" s="145">
        <v>21</v>
      </c>
      <c r="H325" s="27"/>
      <c r="I325" s="76"/>
      <c r="J325" s="76"/>
      <c r="K325" s="16"/>
      <c r="L325" s="76"/>
      <c r="M325" s="1045" t="s">
        <v>115</v>
      </c>
      <c r="N325" s="1047" t="s">
        <v>116</v>
      </c>
      <c r="O325" s="1056" t="s">
        <v>117</v>
      </c>
      <c r="P325" s="1" t="str">
        <f t="shared" si="56"/>
        <v/>
      </c>
      <c r="Q325" s="1" t="str">
        <f t="shared" si="56"/>
        <v/>
      </c>
      <c r="R325" s="1" t="str">
        <f t="shared" si="56"/>
        <v/>
      </c>
      <c r="S325" s="1" t="str">
        <f t="shared" si="56"/>
        <v/>
      </c>
      <c r="T325" s="421" t="s">
        <v>664</v>
      </c>
      <c r="U325" s="110" t="s">
        <v>666</v>
      </c>
      <c r="V325" s="26">
        <v>1</v>
      </c>
      <c r="W325" s="46" t="s">
        <v>114</v>
      </c>
      <c r="X325" s="104" t="s">
        <v>664</v>
      </c>
      <c r="Y325" s="47"/>
      <c r="Z325" s="21"/>
      <c r="AA325" s="145">
        <v>21</v>
      </c>
      <c r="AB325" s="27"/>
      <c r="AC325" s="76"/>
      <c r="AD325" s="76"/>
      <c r="AE325" s="16" t="s">
        <v>92</v>
      </c>
      <c r="AF325" s="76" t="s">
        <v>92</v>
      </c>
      <c r="AG325" s="41" t="s">
        <v>115</v>
      </c>
      <c r="AH325" s="174" t="s">
        <v>116</v>
      </c>
      <c r="AI325" s="159" t="s">
        <v>117</v>
      </c>
      <c r="AJ325" s="1" t="s">
        <v>98</v>
      </c>
      <c r="AK325" s="1" t="s">
        <v>98</v>
      </c>
      <c r="AL325" s="1" t="s">
        <v>98</v>
      </c>
      <c r="AM325" s="1" t="s">
        <v>98</v>
      </c>
      <c r="AN325" s="174"/>
    </row>
    <row r="326" spans="1:40">
      <c r="A326" s="421" t="s">
        <v>667</v>
      </c>
      <c r="B326" s="110" t="s">
        <v>668</v>
      </c>
      <c r="C326" s="26">
        <v>1</v>
      </c>
      <c r="D326" s="46" t="s">
        <v>114</v>
      </c>
      <c r="E326" s="47"/>
      <c r="F326" s="21"/>
      <c r="G326" s="145">
        <v>58</v>
      </c>
      <c r="H326" s="27"/>
      <c r="I326" s="76"/>
      <c r="J326" s="76"/>
      <c r="K326" s="16"/>
      <c r="L326" s="76"/>
      <c r="M326" s="1045" t="s">
        <v>115</v>
      </c>
      <c r="N326" s="1047" t="s">
        <v>116</v>
      </c>
      <c r="O326" s="1056" t="s">
        <v>117</v>
      </c>
      <c r="P326" s="1" t="str">
        <f t="shared" si="56"/>
        <v/>
      </c>
      <c r="Q326" s="1" t="str">
        <f t="shared" si="56"/>
        <v/>
      </c>
      <c r="R326" s="1" t="str">
        <f t="shared" si="56"/>
        <v/>
      </c>
      <c r="S326" s="1" t="str">
        <f t="shared" si="56"/>
        <v/>
      </c>
      <c r="T326" s="421" t="s">
        <v>667</v>
      </c>
      <c r="U326" s="110" t="s">
        <v>669</v>
      </c>
      <c r="V326" s="26">
        <v>1</v>
      </c>
      <c r="W326" s="46" t="s">
        <v>114</v>
      </c>
      <c r="X326" s="104" t="s">
        <v>667</v>
      </c>
      <c r="Y326" s="47"/>
      <c r="Z326" s="21"/>
      <c r="AA326" s="145">
        <v>58</v>
      </c>
      <c r="AB326" s="27"/>
      <c r="AC326" s="76"/>
      <c r="AD326" s="76"/>
      <c r="AE326" s="16" t="s">
        <v>92</v>
      </c>
      <c r="AF326" s="76" t="s">
        <v>92</v>
      </c>
      <c r="AG326" s="41" t="s">
        <v>115</v>
      </c>
      <c r="AH326" s="174" t="s">
        <v>116</v>
      </c>
      <c r="AI326" s="159" t="s">
        <v>117</v>
      </c>
      <c r="AJ326" s="1" t="s">
        <v>98</v>
      </c>
      <c r="AK326" s="1" t="s">
        <v>98</v>
      </c>
      <c r="AL326" s="1" t="s">
        <v>98</v>
      </c>
      <c r="AM326" s="1" t="s">
        <v>98</v>
      </c>
      <c r="AN326" s="174"/>
    </row>
    <row r="327" spans="1:40">
      <c r="A327" s="421" t="s">
        <v>670</v>
      </c>
      <c r="B327" s="110" t="s">
        <v>671</v>
      </c>
      <c r="C327" s="26">
        <v>1</v>
      </c>
      <c r="D327" s="46" t="s">
        <v>114</v>
      </c>
      <c r="E327" s="47"/>
      <c r="F327" s="21"/>
      <c r="G327" s="145">
        <v>86</v>
      </c>
      <c r="H327" s="27"/>
      <c r="I327" s="76"/>
      <c r="J327" s="76"/>
      <c r="K327" s="16"/>
      <c r="L327" s="76"/>
      <c r="M327" s="1045" t="s">
        <v>115</v>
      </c>
      <c r="N327" s="1047" t="s">
        <v>116</v>
      </c>
      <c r="O327" s="1056" t="s">
        <v>117</v>
      </c>
      <c r="P327" s="1" t="str">
        <f t="shared" si="56"/>
        <v/>
      </c>
      <c r="Q327" s="1" t="str">
        <f t="shared" si="56"/>
        <v/>
      </c>
      <c r="R327" s="1" t="str">
        <f t="shared" si="56"/>
        <v/>
      </c>
      <c r="S327" s="1" t="str">
        <f t="shared" si="56"/>
        <v/>
      </c>
      <c r="T327" s="421" t="s">
        <v>670</v>
      </c>
      <c r="U327" s="110" t="s">
        <v>672</v>
      </c>
      <c r="V327" s="26">
        <v>1</v>
      </c>
      <c r="W327" s="46" t="s">
        <v>114</v>
      </c>
      <c r="X327" s="104" t="s">
        <v>670</v>
      </c>
      <c r="Y327" s="47"/>
      <c r="Z327" s="21"/>
      <c r="AA327" s="145">
        <v>86</v>
      </c>
      <c r="AB327" s="27"/>
      <c r="AC327" s="76"/>
      <c r="AD327" s="76"/>
      <c r="AE327" s="16" t="s">
        <v>92</v>
      </c>
      <c r="AF327" s="76" t="s">
        <v>92</v>
      </c>
      <c r="AG327" s="41" t="s">
        <v>115</v>
      </c>
      <c r="AH327" s="174" t="s">
        <v>116</v>
      </c>
      <c r="AI327" s="159" t="s">
        <v>117</v>
      </c>
      <c r="AJ327" s="1" t="s">
        <v>98</v>
      </c>
      <c r="AK327" s="1" t="s">
        <v>98</v>
      </c>
      <c r="AL327" s="1" t="s">
        <v>98</v>
      </c>
      <c r="AM327" s="1" t="s">
        <v>98</v>
      </c>
      <c r="AN327" s="174"/>
    </row>
    <row r="328" spans="1:40">
      <c r="A328" s="421" t="s">
        <v>673</v>
      </c>
      <c r="B328" s="110" t="s">
        <v>674</v>
      </c>
      <c r="C328" s="26">
        <v>1</v>
      </c>
      <c r="D328" s="46" t="s">
        <v>114</v>
      </c>
      <c r="E328" s="47"/>
      <c r="F328" s="21"/>
      <c r="G328" s="145">
        <v>88</v>
      </c>
      <c r="H328" s="27"/>
      <c r="I328" s="76"/>
      <c r="J328" s="76"/>
      <c r="K328" s="16"/>
      <c r="L328" s="76"/>
      <c r="M328" s="1045" t="s">
        <v>115</v>
      </c>
      <c r="N328" s="1047" t="s">
        <v>116</v>
      </c>
      <c r="O328" s="1056" t="s">
        <v>117</v>
      </c>
      <c r="P328" s="1" t="str">
        <f t="shared" si="56"/>
        <v/>
      </c>
      <c r="Q328" s="1" t="str">
        <f t="shared" si="56"/>
        <v/>
      </c>
      <c r="R328" s="1" t="str">
        <f t="shared" si="56"/>
        <v/>
      </c>
      <c r="S328" s="1" t="str">
        <f t="shared" si="56"/>
        <v/>
      </c>
      <c r="T328" s="421" t="s">
        <v>673</v>
      </c>
      <c r="U328" s="110" t="s">
        <v>675</v>
      </c>
      <c r="V328" s="26">
        <v>1</v>
      </c>
      <c r="W328" s="46" t="s">
        <v>114</v>
      </c>
      <c r="X328" s="104" t="s">
        <v>673</v>
      </c>
      <c r="Y328" s="47"/>
      <c r="Z328" s="21"/>
      <c r="AA328" s="145">
        <v>88</v>
      </c>
      <c r="AB328" s="27"/>
      <c r="AC328" s="76"/>
      <c r="AD328" s="76"/>
      <c r="AE328" s="16" t="s">
        <v>92</v>
      </c>
      <c r="AF328" s="76" t="s">
        <v>92</v>
      </c>
      <c r="AG328" s="41" t="s">
        <v>115</v>
      </c>
      <c r="AH328" s="174" t="s">
        <v>116</v>
      </c>
      <c r="AI328" s="159" t="s">
        <v>117</v>
      </c>
      <c r="AJ328" s="1" t="s">
        <v>98</v>
      </c>
      <c r="AK328" s="1" t="s">
        <v>98</v>
      </c>
      <c r="AL328" s="1" t="s">
        <v>98</v>
      </c>
      <c r="AM328" s="1" t="s">
        <v>98</v>
      </c>
      <c r="AN328" s="174"/>
    </row>
    <row r="329" spans="1:40">
      <c r="A329" s="421" t="s">
        <v>676</v>
      </c>
      <c r="B329" s="110" t="s">
        <v>677</v>
      </c>
      <c r="C329" s="26">
        <v>1</v>
      </c>
      <c r="D329" s="46" t="s">
        <v>114</v>
      </c>
      <c r="E329" s="47"/>
      <c r="F329" s="21"/>
      <c r="G329" s="145">
        <v>37</v>
      </c>
      <c r="H329" s="27"/>
      <c r="I329" s="76"/>
      <c r="J329" s="76"/>
      <c r="K329" s="16"/>
      <c r="L329" s="76"/>
      <c r="M329" s="1045" t="s">
        <v>115</v>
      </c>
      <c r="N329" s="1047" t="s">
        <v>116</v>
      </c>
      <c r="O329" s="1056" t="s">
        <v>117</v>
      </c>
      <c r="P329" s="1" t="str">
        <f t="shared" si="56"/>
        <v/>
      </c>
      <c r="Q329" s="1" t="str">
        <f t="shared" si="56"/>
        <v/>
      </c>
      <c r="R329" s="1" t="str">
        <f t="shared" si="56"/>
        <v/>
      </c>
      <c r="S329" s="1" t="str">
        <f t="shared" si="56"/>
        <v/>
      </c>
      <c r="T329" s="421" t="s">
        <v>676</v>
      </c>
      <c r="U329" s="110" t="s">
        <v>678</v>
      </c>
      <c r="V329" s="26">
        <v>1</v>
      </c>
      <c r="W329" s="46" t="s">
        <v>114</v>
      </c>
      <c r="X329" s="104" t="s">
        <v>676</v>
      </c>
      <c r="Y329" s="47"/>
      <c r="Z329" s="21"/>
      <c r="AA329" s="145">
        <v>37</v>
      </c>
      <c r="AB329" s="27"/>
      <c r="AC329" s="76"/>
      <c r="AD329" s="76"/>
      <c r="AE329" s="16" t="s">
        <v>92</v>
      </c>
      <c r="AF329" s="76" t="s">
        <v>92</v>
      </c>
      <c r="AG329" s="41" t="s">
        <v>115</v>
      </c>
      <c r="AH329" s="174" t="s">
        <v>116</v>
      </c>
      <c r="AI329" s="159" t="s">
        <v>117</v>
      </c>
      <c r="AJ329" s="1" t="s">
        <v>98</v>
      </c>
      <c r="AK329" s="1" t="s">
        <v>98</v>
      </c>
      <c r="AL329" s="1" t="s">
        <v>98</v>
      </c>
      <c r="AM329" s="1" t="s">
        <v>98</v>
      </c>
      <c r="AN329" s="174"/>
    </row>
    <row r="330" spans="1:40">
      <c r="A330" s="421" t="s">
        <v>679</v>
      </c>
      <c r="B330" s="110" t="s">
        <v>680</v>
      </c>
      <c r="C330" s="26">
        <v>1</v>
      </c>
      <c r="D330" s="46" t="s">
        <v>114</v>
      </c>
      <c r="E330" s="47"/>
      <c r="F330" s="21"/>
      <c r="G330" s="145">
        <v>84</v>
      </c>
      <c r="H330" s="27"/>
      <c r="I330" s="76"/>
      <c r="J330" s="76"/>
      <c r="K330" s="16"/>
      <c r="L330" s="76"/>
      <c r="M330" s="1045" t="s">
        <v>115</v>
      </c>
      <c r="N330" s="1047" t="s">
        <v>116</v>
      </c>
      <c r="O330" s="1056" t="s">
        <v>117</v>
      </c>
      <c r="P330" s="1" t="str">
        <f t="shared" si="56"/>
        <v/>
      </c>
      <c r="Q330" s="1" t="str">
        <f t="shared" si="56"/>
        <v/>
      </c>
      <c r="R330" s="1" t="str">
        <f t="shared" si="56"/>
        <v/>
      </c>
      <c r="S330" s="1" t="str">
        <f t="shared" si="56"/>
        <v/>
      </c>
      <c r="T330" s="421" t="s">
        <v>679</v>
      </c>
      <c r="U330" s="110" t="s">
        <v>681</v>
      </c>
      <c r="V330" s="26">
        <v>1</v>
      </c>
      <c r="W330" s="46" t="s">
        <v>114</v>
      </c>
      <c r="X330" s="104" t="s">
        <v>679</v>
      </c>
      <c r="Y330" s="47"/>
      <c r="Z330" s="21"/>
      <c r="AA330" s="145">
        <v>84</v>
      </c>
      <c r="AB330" s="27"/>
      <c r="AC330" s="76"/>
      <c r="AD330" s="76"/>
      <c r="AE330" s="16" t="s">
        <v>92</v>
      </c>
      <c r="AF330" s="76" t="s">
        <v>92</v>
      </c>
      <c r="AG330" s="41" t="s">
        <v>115</v>
      </c>
      <c r="AH330" s="174" t="s">
        <v>116</v>
      </c>
      <c r="AI330" s="159" t="s">
        <v>117</v>
      </c>
      <c r="AJ330" s="1" t="s">
        <v>98</v>
      </c>
      <c r="AK330" s="1" t="s">
        <v>98</v>
      </c>
      <c r="AL330" s="1" t="s">
        <v>98</v>
      </c>
      <c r="AM330" s="1" t="s">
        <v>98</v>
      </c>
      <c r="AN330" s="174"/>
    </row>
    <row r="331" spans="1:40">
      <c r="A331" s="421" t="s">
        <v>682</v>
      </c>
      <c r="B331" s="110" t="s">
        <v>683</v>
      </c>
      <c r="C331" s="26">
        <v>1</v>
      </c>
      <c r="D331" s="46" t="s">
        <v>114</v>
      </c>
      <c r="E331" s="47"/>
      <c r="F331" s="21"/>
      <c r="G331" s="145">
        <v>126</v>
      </c>
      <c r="H331" s="27"/>
      <c r="I331" s="76"/>
      <c r="J331" s="76"/>
      <c r="K331" s="16"/>
      <c r="L331" s="76"/>
      <c r="M331" s="1045" t="s">
        <v>115</v>
      </c>
      <c r="N331" s="1047" t="s">
        <v>116</v>
      </c>
      <c r="O331" s="1056" t="s">
        <v>117</v>
      </c>
      <c r="P331" s="1" t="str">
        <f t="shared" ref="P331:S352" si="57">+IF($J331&lt;&gt;"",P$2*$J331,"")</f>
        <v/>
      </c>
      <c r="Q331" s="1" t="str">
        <f t="shared" si="57"/>
        <v/>
      </c>
      <c r="R331" s="1" t="str">
        <f t="shared" si="57"/>
        <v/>
      </c>
      <c r="S331" s="1" t="str">
        <f t="shared" si="57"/>
        <v/>
      </c>
      <c r="T331" s="421" t="s">
        <v>682</v>
      </c>
      <c r="U331" s="110" t="s">
        <v>684</v>
      </c>
      <c r="V331" s="26">
        <v>1</v>
      </c>
      <c r="W331" s="46" t="s">
        <v>114</v>
      </c>
      <c r="X331" s="104" t="s">
        <v>682</v>
      </c>
      <c r="Y331" s="47"/>
      <c r="Z331" s="21"/>
      <c r="AA331" s="145">
        <v>126</v>
      </c>
      <c r="AB331" s="27"/>
      <c r="AC331" s="76"/>
      <c r="AD331" s="76"/>
      <c r="AE331" s="16" t="s">
        <v>92</v>
      </c>
      <c r="AF331" s="76" t="s">
        <v>92</v>
      </c>
      <c r="AG331" s="41" t="s">
        <v>115</v>
      </c>
      <c r="AH331" s="174" t="s">
        <v>116</v>
      </c>
      <c r="AI331" s="159" t="s">
        <v>117</v>
      </c>
      <c r="AJ331" s="1" t="s">
        <v>98</v>
      </c>
      <c r="AK331" s="1" t="s">
        <v>98</v>
      </c>
      <c r="AL331" s="1" t="s">
        <v>98</v>
      </c>
      <c r="AM331" s="1" t="s">
        <v>98</v>
      </c>
      <c r="AN331" s="174"/>
    </row>
    <row r="332" spans="1:40">
      <c r="A332" s="421" t="s">
        <v>685</v>
      </c>
      <c r="B332" s="110" t="s">
        <v>686</v>
      </c>
      <c r="C332" s="26">
        <v>1</v>
      </c>
      <c r="D332" s="46" t="s">
        <v>114</v>
      </c>
      <c r="E332" s="47"/>
      <c r="F332" s="21"/>
      <c r="G332" s="145">
        <v>194</v>
      </c>
      <c r="H332" s="27"/>
      <c r="I332" s="76"/>
      <c r="J332" s="76"/>
      <c r="K332" s="16"/>
      <c r="L332" s="76"/>
      <c r="M332" s="1045" t="s">
        <v>115</v>
      </c>
      <c r="N332" s="1047" t="s">
        <v>116</v>
      </c>
      <c r="O332" s="1056" t="s">
        <v>117</v>
      </c>
      <c r="P332" s="1" t="str">
        <f t="shared" si="57"/>
        <v/>
      </c>
      <c r="Q332" s="1" t="str">
        <f t="shared" si="57"/>
        <v/>
      </c>
      <c r="R332" s="1" t="str">
        <f t="shared" si="57"/>
        <v/>
      </c>
      <c r="S332" s="1" t="str">
        <f t="shared" si="57"/>
        <v/>
      </c>
      <c r="T332" s="421" t="s">
        <v>685</v>
      </c>
      <c r="U332" s="110" t="s">
        <v>687</v>
      </c>
      <c r="V332" s="26">
        <v>1</v>
      </c>
      <c r="W332" s="46" t="s">
        <v>114</v>
      </c>
      <c r="X332" s="104" t="s">
        <v>685</v>
      </c>
      <c r="Y332" s="47"/>
      <c r="Z332" s="21"/>
      <c r="AA332" s="145">
        <v>194</v>
      </c>
      <c r="AB332" s="27"/>
      <c r="AC332" s="76"/>
      <c r="AD332" s="76"/>
      <c r="AE332" s="16" t="s">
        <v>92</v>
      </c>
      <c r="AF332" s="76" t="s">
        <v>92</v>
      </c>
      <c r="AG332" s="41" t="s">
        <v>115</v>
      </c>
      <c r="AH332" s="174" t="s">
        <v>116</v>
      </c>
      <c r="AI332" s="159" t="s">
        <v>117</v>
      </c>
      <c r="AJ332" s="1" t="s">
        <v>98</v>
      </c>
      <c r="AK332" s="1" t="s">
        <v>98</v>
      </c>
      <c r="AL332" s="1" t="s">
        <v>98</v>
      </c>
      <c r="AM332" s="1" t="s">
        <v>98</v>
      </c>
      <c r="AN332" s="174"/>
    </row>
    <row r="333" spans="1:40">
      <c r="A333" s="424" t="s">
        <v>688</v>
      </c>
      <c r="B333" s="1026" t="s">
        <v>689</v>
      </c>
      <c r="C333" s="175">
        <v>1</v>
      </c>
      <c r="D333" s="52" t="s">
        <v>114</v>
      </c>
      <c r="E333" s="53"/>
      <c r="F333" s="56"/>
      <c r="G333" s="180">
        <v>384</v>
      </c>
      <c r="H333" s="51"/>
      <c r="I333" s="178"/>
      <c r="J333" s="178"/>
      <c r="K333" s="53"/>
      <c r="L333" s="178"/>
      <c r="M333" s="1045" t="s">
        <v>115</v>
      </c>
      <c r="N333" s="1047" t="s">
        <v>116</v>
      </c>
      <c r="O333" s="1056" t="s">
        <v>117</v>
      </c>
      <c r="P333" s="1" t="str">
        <f t="shared" si="57"/>
        <v/>
      </c>
      <c r="Q333" s="1" t="str">
        <f t="shared" si="57"/>
        <v/>
      </c>
      <c r="R333" s="1" t="str">
        <f t="shared" si="57"/>
        <v/>
      </c>
      <c r="S333" s="1" t="str">
        <f t="shared" si="57"/>
        <v/>
      </c>
      <c r="T333" s="424" t="s">
        <v>688</v>
      </c>
      <c r="U333" s="1026" t="s">
        <v>689</v>
      </c>
      <c r="V333" s="175">
        <v>1</v>
      </c>
      <c r="W333" s="52" t="s">
        <v>114</v>
      </c>
      <c r="X333" s="274" t="s">
        <v>688</v>
      </c>
      <c r="Y333" s="53"/>
      <c r="Z333" s="56"/>
      <c r="AA333" s="180">
        <v>384</v>
      </c>
      <c r="AB333" s="51"/>
      <c r="AC333" s="178"/>
      <c r="AD333" s="178"/>
      <c r="AE333" s="53" t="s">
        <v>92</v>
      </c>
      <c r="AF333" s="178" t="s">
        <v>92</v>
      </c>
      <c r="AG333" s="41" t="s">
        <v>115</v>
      </c>
      <c r="AH333" s="174" t="s">
        <v>116</v>
      </c>
      <c r="AI333" s="159" t="s">
        <v>117</v>
      </c>
      <c r="AJ333" s="1" t="s">
        <v>98</v>
      </c>
      <c r="AK333" s="1" t="s">
        <v>98</v>
      </c>
      <c r="AL333" s="1" t="s">
        <v>98</v>
      </c>
      <c r="AM333" s="1" t="s">
        <v>98</v>
      </c>
      <c r="AN333" s="174"/>
    </row>
    <row r="334" spans="1:40">
      <c r="A334" s="421" t="s">
        <v>690</v>
      </c>
      <c r="B334" s="110" t="s">
        <v>691</v>
      </c>
      <c r="C334" s="26">
        <v>1</v>
      </c>
      <c r="D334" s="46" t="s">
        <v>114</v>
      </c>
      <c r="E334" s="47"/>
      <c r="F334" s="21"/>
      <c r="G334" s="145">
        <v>510</v>
      </c>
      <c r="H334" s="27"/>
      <c r="I334" s="76"/>
      <c r="J334" s="76"/>
      <c r="K334" s="16"/>
      <c r="L334" s="76"/>
      <c r="M334" s="1045" t="s">
        <v>115</v>
      </c>
      <c r="N334" s="1047" t="s">
        <v>116</v>
      </c>
      <c r="O334" s="1056" t="s">
        <v>117</v>
      </c>
      <c r="P334" s="1" t="str">
        <f t="shared" si="57"/>
        <v/>
      </c>
      <c r="Q334" s="1" t="str">
        <f t="shared" si="57"/>
        <v/>
      </c>
      <c r="R334" s="1" t="str">
        <f t="shared" si="57"/>
        <v/>
      </c>
      <c r="S334" s="1" t="str">
        <f t="shared" si="57"/>
        <v/>
      </c>
      <c r="T334" s="421" t="s">
        <v>690</v>
      </c>
      <c r="U334" s="110" t="s">
        <v>691</v>
      </c>
      <c r="V334" s="26">
        <v>1</v>
      </c>
      <c r="W334" s="46" t="s">
        <v>114</v>
      </c>
      <c r="X334" s="104" t="s">
        <v>690</v>
      </c>
      <c r="Y334" s="47"/>
      <c r="Z334" s="21"/>
      <c r="AA334" s="145">
        <v>510</v>
      </c>
      <c r="AB334" s="27"/>
      <c r="AC334" s="76"/>
      <c r="AD334" s="76"/>
      <c r="AE334" s="16" t="s">
        <v>92</v>
      </c>
      <c r="AF334" s="76" t="s">
        <v>92</v>
      </c>
      <c r="AG334" s="41" t="s">
        <v>115</v>
      </c>
      <c r="AH334" s="174" t="s">
        <v>116</v>
      </c>
      <c r="AI334" s="159" t="s">
        <v>117</v>
      </c>
      <c r="AJ334" s="1" t="s">
        <v>98</v>
      </c>
      <c r="AK334" s="1" t="s">
        <v>98</v>
      </c>
      <c r="AL334" s="1" t="s">
        <v>98</v>
      </c>
      <c r="AM334" s="1" t="s">
        <v>98</v>
      </c>
      <c r="AN334" s="174"/>
    </row>
    <row r="335" spans="1:40">
      <c r="A335" s="421" t="s">
        <v>692</v>
      </c>
      <c r="B335" s="110" t="s">
        <v>693</v>
      </c>
      <c r="C335" s="26">
        <v>1</v>
      </c>
      <c r="D335" s="46" t="s">
        <v>114</v>
      </c>
      <c r="E335" s="209"/>
      <c r="F335" s="82"/>
      <c r="G335" s="27">
        <v>355.49</v>
      </c>
      <c r="H335" s="120"/>
      <c r="I335" s="76"/>
      <c r="J335" s="76"/>
      <c r="K335" s="16"/>
      <c r="L335" s="76"/>
      <c r="M335" s="1045" t="s">
        <v>115</v>
      </c>
      <c r="N335" s="1047" t="s">
        <v>116</v>
      </c>
      <c r="O335" s="1056" t="s">
        <v>117</v>
      </c>
      <c r="P335" s="1" t="str">
        <f t="shared" si="57"/>
        <v/>
      </c>
      <c r="Q335" s="1" t="str">
        <f t="shared" si="57"/>
        <v/>
      </c>
      <c r="R335" s="1" t="str">
        <f t="shared" si="57"/>
        <v/>
      </c>
      <c r="S335" s="1" t="str">
        <f t="shared" si="57"/>
        <v/>
      </c>
      <c r="T335" s="421" t="s">
        <v>692</v>
      </c>
      <c r="U335" s="110" t="s">
        <v>693</v>
      </c>
      <c r="V335" s="80">
        <v>1</v>
      </c>
      <c r="W335" s="123" t="s">
        <v>114</v>
      </c>
      <c r="X335" s="104" t="s">
        <v>692</v>
      </c>
      <c r="Y335" s="209"/>
      <c r="Z335" s="82"/>
      <c r="AA335" s="27">
        <v>355.49</v>
      </c>
      <c r="AB335" s="120"/>
      <c r="AC335" s="76"/>
      <c r="AD335" s="76"/>
      <c r="AE335" s="16"/>
      <c r="AF335" s="76"/>
      <c r="AG335" s="41" t="s">
        <v>115</v>
      </c>
      <c r="AH335" s="174" t="s">
        <v>116</v>
      </c>
      <c r="AI335" s="159" t="s">
        <v>117</v>
      </c>
      <c r="AJ335" s="1" t="s">
        <v>98</v>
      </c>
      <c r="AK335" s="1" t="s">
        <v>98</v>
      </c>
      <c r="AL335" s="1" t="s">
        <v>98</v>
      </c>
      <c r="AM335" s="1" t="s">
        <v>98</v>
      </c>
      <c r="AN335" s="174"/>
    </row>
    <row r="336" spans="1:40">
      <c r="A336" s="457" t="s">
        <v>694</v>
      </c>
      <c r="B336" s="79" t="s">
        <v>695</v>
      </c>
      <c r="C336" s="80">
        <v>1</v>
      </c>
      <c r="D336" s="123" t="s">
        <v>114</v>
      </c>
      <c r="E336" s="209"/>
      <c r="F336" s="82"/>
      <c r="G336" s="120">
        <v>573.38</v>
      </c>
      <c r="H336" s="120"/>
      <c r="I336" s="76"/>
      <c r="J336" s="76"/>
      <c r="K336" s="16"/>
      <c r="L336" s="76"/>
      <c r="M336" s="1045" t="s">
        <v>115</v>
      </c>
      <c r="N336" s="1047" t="s">
        <v>116</v>
      </c>
      <c r="O336" s="1056" t="s">
        <v>117</v>
      </c>
      <c r="P336" s="1" t="str">
        <f t="shared" si="57"/>
        <v/>
      </c>
      <c r="Q336" s="1" t="str">
        <f t="shared" si="57"/>
        <v/>
      </c>
      <c r="R336" s="1" t="str">
        <f t="shared" si="57"/>
        <v/>
      </c>
      <c r="S336" s="1" t="str">
        <f t="shared" si="57"/>
        <v/>
      </c>
      <c r="T336" s="457" t="s">
        <v>694</v>
      </c>
      <c r="U336" s="79" t="s">
        <v>695</v>
      </c>
      <c r="V336" s="80">
        <v>1</v>
      </c>
      <c r="W336" s="123" t="s">
        <v>114</v>
      </c>
      <c r="X336" s="122" t="s">
        <v>694</v>
      </c>
      <c r="Y336" s="209"/>
      <c r="Z336" s="82"/>
      <c r="AA336" s="120">
        <v>573.38</v>
      </c>
      <c r="AB336" s="120"/>
      <c r="AC336" s="76"/>
      <c r="AD336" s="76"/>
      <c r="AE336" s="16"/>
      <c r="AF336" s="76"/>
      <c r="AG336" s="41" t="s">
        <v>115</v>
      </c>
      <c r="AH336" s="174" t="s">
        <v>116</v>
      </c>
      <c r="AI336" s="159" t="s">
        <v>117</v>
      </c>
      <c r="AJ336" s="1" t="s">
        <v>98</v>
      </c>
      <c r="AK336" s="1" t="s">
        <v>98</v>
      </c>
      <c r="AL336" s="1" t="s">
        <v>98</v>
      </c>
      <c r="AM336" s="1" t="s">
        <v>98</v>
      </c>
      <c r="AN336" s="174"/>
    </row>
    <row r="337" spans="1:40" s="860" customFormat="1" ht="20.100000000000001" customHeight="1">
      <c r="A337" s="1074" t="s">
        <v>3606</v>
      </c>
      <c r="B337" s="1078" t="s">
        <v>3686</v>
      </c>
      <c r="C337" s="878"/>
      <c r="D337" s="879"/>
      <c r="E337" s="879"/>
      <c r="F337" s="880"/>
      <c r="G337" s="881"/>
      <c r="H337" s="893"/>
      <c r="I337" s="883"/>
      <c r="J337" s="883"/>
      <c r="K337" s="881"/>
      <c r="L337" s="869"/>
      <c r="M337" s="869"/>
      <c r="N337" s="1028"/>
      <c r="O337" s="869"/>
      <c r="P337" s="869"/>
      <c r="Q337" s="869"/>
      <c r="R337" s="869"/>
      <c r="S337" s="887"/>
      <c r="T337" s="894"/>
      <c r="U337" s="895"/>
      <c r="V337" s="896"/>
      <c r="W337" s="897"/>
      <c r="X337" s="898"/>
      <c r="Y337" s="897"/>
      <c r="Z337" s="899"/>
      <c r="AA337" s="900"/>
      <c r="AB337" s="896"/>
      <c r="AC337" s="900"/>
      <c r="AD337" s="900"/>
      <c r="AE337" s="901"/>
      <c r="AF337" s="902"/>
      <c r="AG337" s="858"/>
      <c r="AH337" s="859"/>
      <c r="AI337" s="859"/>
      <c r="AJ337" s="860" t="s">
        <v>98</v>
      </c>
      <c r="AK337" s="860" t="s">
        <v>98</v>
      </c>
      <c r="AL337" s="860" t="s">
        <v>98</v>
      </c>
      <c r="AM337" s="860" t="s">
        <v>98</v>
      </c>
      <c r="AN337" s="871"/>
    </row>
    <row r="338" spans="1:40">
      <c r="A338" s="830" t="s">
        <v>3421</v>
      </c>
      <c r="B338" s="831" t="s">
        <v>3422</v>
      </c>
      <c r="C338" s="832">
        <v>1</v>
      </c>
      <c r="D338" s="833" t="s">
        <v>90</v>
      </c>
      <c r="E338" s="454">
        <v>2498.7466666666669</v>
      </c>
      <c r="F338" s="835">
        <f>rv_mbp16_eg</f>
        <v>0.17599999999999999</v>
      </c>
      <c r="G338" s="266">
        <f t="shared" ref="G338:G347" si="58">E338-(E338*F338)</f>
        <v>2058.9672533333337</v>
      </c>
      <c r="H338" s="832" t="s">
        <v>698</v>
      </c>
      <c r="I338" s="270">
        <v>62</v>
      </c>
      <c r="J338" s="270">
        <f>G338+I338</f>
        <v>2120.9672533333337</v>
      </c>
      <c r="K338" s="99" t="s">
        <v>92</v>
      </c>
      <c r="L338" s="216">
        <v>0.42</v>
      </c>
      <c r="M338" s="1045" t="s">
        <v>699</v>
      </c>
      <c r="N338" s="1048" t="s">
        <v>700</v>
      </c>
      <c r="O338" s="1058" t="s">
        <v>429</v>
      </c>
      <c r="P338" s="1">
        <f t="shared" si="57"/>
        <v>426.96926080685063</v>
      </c>
      <c r="Q338" s="1">
        <f t="shared" si="57"/>
        <v>221.89868254931889</v>
      </c>
      <c r="R338" s="1">
        <f t="shared" si="57"/>
        <v>161.15840750141305</v>
      </c>
      <c r="S338" s="1">
        <f t="shared" si="57"/>
        <v>139.0694530417486</v>
      </c>
      <c r="T338" s="764" t="s">
        <v>696</v>
      </c>
      <c r="U338" s="775" t="s">
        <v>697</v>
      </c>
      <c r="V338" s="776">
        <v>1</v>
      </c>
      <c r="W338" s="777" t="s">
        <v>90</v>
      </c>
      <c r="X338" s="805" t="s">
        <v>696</v>
      </c>
      <c r="Y338" s="779">
        <v>2290.41</v>
      </c>
      <c r="Z338" s="780">
        <v>0.17599999999999999</v>
      </c>
      <c r="AA338" s="781">
        <v>1887.29784</v>
      </c>
      <c r="AB338" s="776" t="s">
        <v>698</v>
      </c>
      <c r="AC338" s="782">
        <v>62</v>
      </c>
      <c r="AD338" s="782">
        <v>1949.29784</v>
      </c>
      <c r="AE338" s="800" t="s">
        <v>92</v>
      </c>
      <c r="AF338" s="783">
        <v>0.42</v>
      </c>
      <c r="AG338" s="660" t="s">
        <v>699</v>
      </c>
      <c r="AH338" s="802" t="s">
        <v>700</v>
      </c>
      <c r="AI338" s="661" t="s">
        <v>429</v>
      </c>
      <c r="AJ338" s="770">
        <v>392.4107062610961</v>
      </c>
      <c r="AK338" s="770">
        <v>203.93837854518418</v>
      </c>
      <c r="AL338" s="770">
        <v>148.11437335801844</v>
      </c>
      <c r="AM338" s="770">
        <v>127.81328141592834</v>
      </c>
      <c r="AN338" s="185"/>
    </row>
    <row r="339" spans="1:40">
      <c r="A339" s="718" t="s">
        <v>3423</v>
      </c>
      <c r="B339" s="685" t="s">
        <v>3434</v>
      </c>
      <c r="C339" s="687">
        <v>1</v>
      </c>
      <c r="D339" s="647" t="s">
        <v>90</v>
      </c>
      <c r="E339" s="44">
        <v>575</v>
      </c>
      <c r="F339" s="837">
        <f t="shared" ref="F339:F347" si="59">rv_mbp16_eg_cto</f>
        <v>0.17599999999999999</v>
      </c>
      <c r="G339" s="93">
        <f t="shared" si="58"/>
        <v>473.8</v>
      </c>
      <c r="H339" s="93"/>
      <c r="I339" s="270"/>
      <c r="J339" s="270"/>
      <c r="K339" s="121"/>
      <c r="L339" s="270"/>
      <c r="M339" s="1045" t="s">
        <v>699</v>
      </c>
      <c r="N339" s="1049" t="s">
        <v>700</v>
      </c>
      <c r="O339" s="1059" t="s">
        <v>429</v>
      </c>
      <c r="P339" s="1" t="str">
        <f t="shared" si="57"/>
        <v/>
      </c>
      <c r="Q339" s="1" t="str">
        <f t="shared" si="57"/>
        <v/>
      </c>
      <c r="R339" s="1" t="str">
        <f t="shared" si="57"/>
        <v/>
      </c>
      <c r="S339" s="1" t="str">
        <f t="shared" si="57"/>
        <v/>
      </c>
      <c r="T339" s="765" t="s">
        <v>701</v>
      </c>
      <c r="U339" s="806" t="s">
        <v>702</v>
      </c>
      <c r="V339" s="785">
        <v>1</v>
      </c>
      <c r="W339" s="786" t="s">
        <v>90</v>
      </c>
      <c r="X339" s="787" t="s">
        <v>92</v>
      </c>
      <c r="Y339" s="788">
        <v>575</v>
      </c>
      <c r="Z339" s="789">
        <v>0.17599999999999999</v>
      </c>
      <c r="AA339" s="790">
        <v>473.8</v>
      </c>
      <c r="AB339" s="790"/>
      <c r="AC339" s="791"/>
      <c r="AD339" s="791"/>
      <c r="AE339" s="807" t="s">
        <v>92</v>
      </c>
      <c r="AF339" s="791" t="s">
        <v>92</v>
      </c>
      <c r="AG339" s="660" t="s">
        <v>699</v>
      </c>
      <c r="AH339" s="802" t="s">
        <v>700</v>
      </c>
      <c r="AI339" s="661" t="s">
        <v>429</v>
      </c>
      <c r="AJ339" s="770" t="s">
        <v>98</v>
      </c>
      <c r="AK339" s="770" t="s">
        <v>98</v>
      </c>
      <c r="AL339" s="770" t="s">
        <v>98</v>
      </c>
      <c r="AM339" s="770" t="s">
        <v>98</v>
      </c>
      <c r="AN339" s="185"/>
    </row>
    <row r="340" spans="1:40">
      <c r="A340" s="718" t="s">
        <v>3424</v>
      </c>
      <c r="B340" s="685" t="s">
        <v>3435</v>
      </c>
      <c r="C340" s="687">
        <v>1</v>
      </c>
      <c r="D340" s="647" t="s">
        <v>90</v>
      </c>
      <c r="E340" s="44">
        <v>766.66666666666674</v>
      </c>
      <c r="F340" s="837">
        <f t="shared" si="59"/>
        <v>0.17599999999999999</v>
      </c>
      <c r="G340" s="93">
        <f t="shared" si="58"/>
        <v>631.73333333333335</v>
      </c>
      <c r="H340" s="93"/>
      <c r="I340" s="270"/>
      <c r="J340" s="270"/>
      <c r="K340" s="121"/>
      <c r="L340" s="270"/>
      <c r="M340" s="1045" t="s">
        <v>699</v>
      </c>
      <c r="N340" s="1049" t="s">
        <v>700</v>
      </c>
      <c r="O340" s="1059" t="s">
        <v>429</v>
      </c>
      <c r="P340" s="1" t="str">
        <f t="shared" si="57"/>
        <v/>
      </c>
      <c r="Q340" s="1" t="str">
        <f t="shared" si="57"/>
        <v/>
      </c>
      <c r="R340" s="1" t="str">
        <f t="shared" si="57"/>
        <v/>
      </c>
      <c r="S340" s="1" t="str">
        <f t="shared" si="57"/>
        <v/>
      </c>
      <c r="T340" s="765" t="s">
        <v>703</v>
      </c>
      <c r="U340" s="806" t="s">
        <v>704</v>
      </c>
      <c r="V340" s="785">
        <v>1</v>
      </c>
      <c r="W340" s="786" t="s">
        <v>90</v>
      </c>
      <c r="X340" s="787" t="s">
        <v>92</v>
      </c>
      <c r="Y340" s="788">
        <v>725</v>
      </c>
      <c r="Z340" s="789">
        <v>0.17599999999999999</v>
      </c>
      <c r="AA340" s="790">
        <v>597.4</v>
      </c>
      <c r="AB340" s="790"/>
      <c r="AC340" s="791"/>
      <c r="AD340" s="791"/>
      <c r="AE340" s="807" t="s">
        <v>92</v>
      </c>
      <c r="AF340" s="791" t="s">
        <v>92</v>
      </c>
      <c r="AG340" s="660" t="s">
        <v>699</v>
      </c>
      <c r="AH340" s="802" t="s">
        <v>700</v>
      </c>
      <c r="AI340" s="661" t="s">
        <v>429</v>
      </c>
      <c r="AJ340" s="770" t="s">
        <v>98</v>
      </c>
      <c r="AK340" s="770" t="s">
        <v>98</v>
      </c>
      <c r="AL340" s="770" t="s">
        <v>98</v>
      </c>
      <c r="AM340" s="770" t="s">
        <v>98</v>
      </c>
      <c r="AN340" s="185"/>
    </row>
    <row r="341" spans="1:40">
      <c r="A341" s="718" t="s">
        <v>3425</v>
      </c>
      <c r="B341" s="685" t="s">
        <v>3436</v>
      </c>
      <c r="C341" s="687">
        <v>1</v>
      </c>
      <c r="D341" s="647" t="s">
        <v>90</v>
      </c>
      <c r="E341" s="44">
        <v>383.33333333333337</v>
      </c>
      <c r="F341" s="837">
        <f t="shared" si="59"/>
        <v>0.17599999999999999</v>
      </c>
      <c r="G341" s="93">
        <f t="shared" si="58"/>
        <v>315.86666666666667</v>
      </c>
      <c r="H341" s="93"/>
      <c r="I341" s="270"/>
      <c r="J341" s="270"/>
      <c r="K341" s="121"/>
      <c r="L341" s="270"/>
      <c r="M341" s="1045" t="s">
        <v>699</v>
      </c>
      <c r="N341" s="1049" t="s">
        <v>700</v>
      </c>
      <c r="O341" s="1059" t="s">
        <v>429</v>
      </c>
      <c r="P341" s="1" t="str">
        <f t="shared" si="57"/>
        <v/>
      </c>
      <c r="Q341" s="1" t="str">
        <f t="shared" si="57"/>
        <v/>
      </c>
      <c r="R341" s="1" t="str">
        <f t="shared" si="57"/>
        <v/>
      </c>
      <c r="S341" s="1" t="str">
        <f t="shared" si="57"/>
        <v/>
      </c>
      <c r="T341" s="765" t="s">
        <v>705</v>
      </c>
      <c r="U341" s="806" t="s">
        <v>706</v>
      </c>
      <c r="V341" s="785">
        <v>1</v>
      </c>
      <c r="W341" s="786" t="s">
        <v>90</v>
      </c>
      <c r="X341" s="787" t="s">
        <v>92</v>
      </c>
      <c r="Y341" s="788">
        <v>383.33</v>
      </c>
      <c r="Z341" s="789">
        <v>0.17599999999999999</v>
      </c>
      <c r="AA341" s="790">
        <v>315.86392000000001</v>
      </c>
      <c r="AB341" s="790"/>
      <c r="AC341" s="791"/>
      <c r="AD341" s="791"/>
      <c r="AE341" s="807" t="s">
        <v>92</v>
      </c>
      <c r="AF341" s="791" t="s">
        <v>92</v>
      </c>
      <c r="AG341" s="660" t="s">
        <v>699</v>
      </c>
      <c r="AH341" s="802" t="s">
        <v>700</v>
      </c>
      <c r="AI341" s="661" t="s">
        <v>429</v>
      </c>
      <c r="AJ341" s="770" t="s">
        <v>98</v>
      </c>
      <c r="AK341" s="770" t="s">
        <v>98</v>
      </c>
      <c r="AL341" s="770" t="s">
        <v>98</v>
      </c>
      <c r="AM341" s="770" t="s">
        <v>98</v>
      </c>
      <c r="AN341" s="185"/>
    </row>
    <row r="342" spans="1:40">
      <c r="A342" s="718" t="s">
        <v>3426</v>
      </c>
      <c r="B342" s="685" t="s">
        <v>3437</v>
      </c>
      <c r="C342" s="687">
        <v>1</v>
      </c>
      <c r="D342" s="647" t="s">
        <v>90</v>
      </c>
      <c r="E342" s="44">
        <v>383.33333333333337</v>
      </c>
      <c r="F342" s="837">
        <f t="shared" si="59"/>
        <v>0.17599999999999999</v>
      </c>
      <c r="G342" s="93">
        <f t="shared" si="58"/>
        <v>315.86666666666667</v>
      </c>
      <c r="H342" s="93"/>
      <c r="I342" s="270"/>
      <c r="J342" s="270"/>
      <c r="K342" s="121"/>
      <c r="L342" s="270"/>
      <c r="M342" s="1045" t="s">
        <v>699</v>
      </c>
      <c r="N342" s="1049" t="s">
        <v>700</v>
      </c>
      <c r="O342" s="1059" t="s">
        <v>429</v>
      </c>
      <c r="P342" s="1" t="str">
        <f t="shared" si="57"/>
        <v/>
      </c>
      <c r="Q342" s="1" t="str">
        <f t="shared" si="57"/>
        <v/>
      </c>
      <c r="R342" s="1" t="str">
        <f t="shared" si="57"/>
        <v/>
      </c>
      <c r="S342" s="1" t="str">
        <f t="shared" si="57"/>
        <v/>
      </c>
      <c r="T342" s="765" t="s">
        <v>707</v>
      </c>
      <c r="U342" s="806" t="s">
        <v>708</v>
      </c>
      <c r="V342" s="785">
        <v>1</v>
      </c>
      <c r="W342" s="786" t="s">
        <v>90</v>
      </c>
      <c r="X342" s="787" t="s">
        <v>92</v>
      </c>
      <c r="Y342" s="788">
        <v>383.33</v>
      </c>
      <c r="Z342" s="789">
        <v>0.17599999999999999</v>
      </c>
      <c r="AA342" s="790">
        <v>315.86392000000001</v>
      </c>
      <c r="AB342" s="790"/>
      <c r="AC342" s="791"/>
      <c r="AD342" s="791"/>
      <c r="AE342" s="807" t="s">
        <v>92</v>
      </c>
      <c r="AF342" s="791" t="s">
        <v>92</v>
      </c>
      <c r="AG342" s="660" t="s">
        <v>699</v>
      </c>
      <c r="AH342" s="802" t="s">
        <v>700</v>
      </c>
      <c r="AI342" s="661" t="s">
        <v>429</v>
      </c>
      <c r="AJ342" s="770" t="s">
        <v>98</v>
      </c>
      <c r="AK342" s="770" t="s">
        <v>98</v>
      </c>
      <c r="AL342" s="770" t="s">
        <v>98</v>
      </c>
      <c r="AM342" s="770" t="s">
        <v>98</v>
      </c>
      <c r="AN342" s="185"/>
    </row>
    <row r="343" spans="1:40">
      <c r="A343" s="718" t="s">
        <v>3427</v>
      </c>
      <c r="B343" s="685" t="s">
        <v>3438</v>
      </c>
      <c r="C343" s="687">
        <v>1</v>
      </c>
      <c r="D343" s="647" t="s">
        <v>90</v>
      </c>
      <c r="E343" s="44">
        <v>766.66666666666674</v>
      </c>
      <c r="F343" s="837">
        <f t="shared" si="59"/>
        <v>0.17599999999999999</v>
      </c>
      <c r="G343" s="93">
        <f t="shared" ref="G343" si="60">E343-(E343*F343)</f>
        <v>631.73333333333335</v>
      </c>
      <c r="H343" s="93"/>
      <c r="I343" s="270"/>
      <c r="J343" s="270"/>
      <c r="K343" s="121"/>
      <c r="L343" s="270"/>
      <c r="M343" s="1045" t="s">
        <v>699</v>
      </c>
      <c r="N343" s="1049" t="s">
        <v>700</v>
      </c>
      <c r="O343" s="1059" t="s">
        <v>429</v>
      </c>
      <c r="P343" s="1" t="str">
        <f t="shared" si="57"/>
        <v/>
      </c>
      <c r="Q343" s="1" t="str">
        <f t="shared" si="57"/>
        <v/>
      </c>
      <c r="R343" s="1" t="str">
        <f t="shared" si="57"/>
        <v/>
      </c>
      <c r="S343" s="1" t="str">
        <f t="shared" si="57"/>
        <v/>
      </c>
      <c r="T343" s="422"/>
      <c r="U343" s="189"/>
      <c r="V343" s="87"/>
      <c r="W343" s="88"/>
      <c r="X343" s="208"/>
      <c r="Y343" s="171"/>
      <c r="Z343" s="89"/>
      <c r="AA343" s="108"/>
      <c r="AB343" s="108"/>
      <c r="AC343" s="269"/>
      <c r="AD343" s="269"/>
      <c r="AE343" s="109"/>
      <c r="AF343" s="269"/>
      <c r="AG343" s="41"/>
      <c r="AH343" s="185"/>
      <c r="AI343" s="42"/>
      <c r="AJ343" s="1"/>
      <c r="AK343" s="1"/>
      <c r="AL343" s="1"/>
      <c r="AM343" s="1"/>
      <c r="AN343" s="185"/>
    </row>
    <row r="344" spans="1:40">
      <c r="A344" s="718" t="s">
        <v>3428</v>
      </c>
      <c r="B344" s="685" t="s">
        <v>3439</v>
      </c>
      <c r="C344" s="687">
        <v>1</v>
      </c>
      <c r="D344" s="647" t="s">
        <v>90</v>
      </c>
      <c r="E344" s="44">
        <v>191.66666666666669</v>
      </c>
      <c r="F344" s="837">
        <f t="shared" si="59"/>
        <v>0.17599999999999999</v>
      </c>
      <c r="G344" s="93">
        <f t="shared" si="58"/>
        <v>157.93333333333334</v>
      </c>
      <c r="H344" s="93"/>
      <c r="I344" s="270"/>
      <c r="J344" s="270"/>
      <c r="K344" s="121"/>
      <c r="L344" s="270"/>
      <c r="M344" s="1045" t="s">
        <v>699</v>
      </c>
      <c r="N344" s="1049" t="s">
        <v>700</v>
      </c>
      <c r="O344" s="1059" t="s">
        <v>429</v>
      </c>
      <c r="P344" s="1" t="str">
        <f t="shared" si="57"/>
        <v/>
      </c>
      <c r="Q344" s="1" t="str">
        <f t="shared" si="57"/>
        <v/>
      </c>
      <c r="R344" s="1" t="str">
        <f t="shared" si="57"/>
        <v/>
      </c>
      <c r="S344" s="1" t="str">
        <f t="shared" si="57"/>
        <v/>
      </c>
      <c r="T344" s="765" t="s">
        <v>709</v>
      </c>
      <c r="U344" s="806" t="s">
        <v>710</v>
      </c>
      <c r="V344" s="785">
        <v>1</v>
      </c>
      <c r="W344" s="786" t="s">
        <v>90</v>
      </c>
      <c r="X344" s="787" t="s">
        <v>92</v>
      </c>
      <c r="Y344" s="788">
        <v>191.67</v>
      </c>
      <c r="Z344" s="789">
        <v>0.17599999999999999</v>
      </c>
      <c r="AA344" s="790">
        <v>157.93608</v>
      </c>
      <c r="AB344" s="790"/>
      <c r="AC344" s="791"/>
      <c r="AD344" s="791"/>
      <c r="AE344" s="807" t="s">
        <v>92</v>
      </c>
      <c r="AF344" s="791" t="s">
        <v>92</v>
      </c>
      <c r="AG344" s="660" t="s">
        <v>699</v>
      </c>
      <c r="AH344" s="802" t="s">
        <v>700</v>
      </c>
      <c r="AI344" s="661" t="s">
        <v>429</v>
      </c>
      <c r="AJ344" s="770" t="s">
        <v>98</v>
      </c>
      <c r="AK344" s="770" t="s">
        <v>98</v>
      </c>
      <c r="AL344" s="770" t="s">
        <v>98</v>
      </c>
      <c r="AM344" s="770" t="s">
        <v>98</v>
      </c>
      <c r="AN344" s="185"/>
    </row>
    <row r="345" spans="1:40">
      <c r="A345" s="718" t="s">
        <v>3429</v>
      </c>
      <c r="B345" s="685" t="s">
        <v>3440</v>
      </c>
      <c r="C345" s="687">
        <v>1</v>
      </c>
      <c r="D345" s="647" t="s">
        <v>90</v>
      </c>
      <c r="E345" s="44">
        <v>575</v>
      </c>
      <c r="F345" s="837">
        <f t="shared" si="59"/>
        <v>0.17599999999999999</v>
      </c>
      <c r="G345" s="93">
        <f t="shared" si="58"/>
        <v>473.8</v>
      </c>
      <c r="H345" s="93"/>
      <c r="I345" s="270"/>
      <c r="J345" s="270"/>
      <c r="K345" s="121"/>
      <c r="L345" s="270"/>
      <c r="M345" s="1045" t="s">
        <v>699</v>
      </c>
      <c r="N345" s="1049" t="s">
        <v>700</v>
      </c>
      <c r="O345" s="1059" t="s">
        <v>429</v>
      </c>
      <c r="P345" s="1" t="str">
        <f t="shared" si="57"/>
        <v/>
      </c>
      <c r="Q345" s="1" t="str">
        <f t="shared" si="57"/>
        <v/>
      </c>
      <c r="R345" s="1" t="str">
        <f t="shared" si="57"/>
        <v/>
      </c>
      <c r="S345" s="1" t="str">
        <f t="shared" si="57"/>
        <v/>
      </c>
      <c r="T345" s="765" t="s">
        <v>711</v>
      </c>
      <c r="U345" s="806" t="s">
        <v>712</v>
      </c>
      <c r="V345" s="785">
        <v>1</v>
      </c>
      <c r="W345" s="786" t="s">
        <v>90</v>
      </c>
      <c r="X345" s="787" t="s">
        <v>92</v>
      </c>
      <c r="Y345" s="788">
        <v>575</v>
      </c>
      <c r="Z345" s="789">
        <v>0.17599999999999999</v>
      </c>
      <c r="AA345" s="790">
        <v>473.8</v>
      </c>
      <c r="AB345" s="790"/>
      <c r="AC345" s="791"/>
      <c r="AD345" s="791"/>
      <c r="AE345" s="807" t="s">
        <v>92</v>
      </c>
      <c r="AF345" s="791" t="s">
        <v>92</v>
      </c>
      <c r="AG345" s="660" t="s">
        <v>699</v>
      </c>
      <c r="AH345" s="802" t="s">
        <v>700</v>
      </c>
      <c r="AI345" s="661" t="s">
        <v>429</v>
      </c>
      <c r="AJ345" s="770" t="s">
        <v>98</v>
      </c>
      <c r="AK345" s="770" t="s">
        <v>98</v>
      </c>
      <c r="AL345" s="770" t="s">
        <v>98</v>
      </c>
      <c r="AM345" s="770" t="s">
        <v>98</v>
      </c>
      <c r="AN345" s="185"/>
    </row>
    <row r="346" spans="1:40">
      <c r="A346" s="718" t="s">
        <v>3430</v>
      </c>
      <c r="B346" s="685" t="s">
        <v>3441</v>
      </c>
      <c r="C346" s="687">
        <v>1</v>
      </c>
      <c r="D346" s="647" t="s">
        <v>90</v>
      </c>
      <c r="E346" s="44">
        <v>1150</v>
      </c>
      <c r="F346" s="837">
        <f t="shared" si="59"/>
        <v>0.17599999999999999</v>
      </c>
      <c r="G346" s="93">
        <f t="shared" si="58"/>
        <v>947.6</v>
      </c>
      <c r="H346" s="93"/>
      <c r="I346" s="270"/>
      <c r="J346" s="270"/>
      <c r="K346" s="121"/>
      <c r="L346" s="270"/>
      <c r="M346" s="1045" t="s">
        <v>699</v>
      </c>
      <c r="N346" s="1049" t="s">
        <v>700</v>
      </c>
      <c r="O346" s="1059" t="s">
        <v>429</v>
      </c>
      <c r="P346" s="1" t="str">
        <f t="shared" si="57"/>
        <v/>
      </c>
      <c r="Q346" s="1" t="str">
        <f t="shared" si="57"/>
        <v/>
      </c>
      <c r="R346" s="1" t="str">
        <f t="shared" si="57"/>
        <v/>
      </c>
      <c r="S346" s="1" t="str">
        <f t="shared" si="57"/>
        <v/>
      </c>
      <c r="T346" s="765" t="s">
        <v>713</v>
      </c>
      <c r="U346" s="806" t="s">
        <v>714</v>
      </c>
      <c r="V346" s="785">
        <v>1</v>
      </c>
      <c r="W346" s="786" t="s">
        <v>90</v>
      </c>
      <c r="X346" s="787" t="s">
        <v>92</v>
      </c>
      <c r="Y346" s="788">
        <v>1150</v>
      </c>
      <c r="Z346" s="789">
        <v>0.17599999999999999</v>
      </c>
      <c r="AA346" s="790">
        <v>947.6</v>
      </c>
      <c r="AB346" s="790"/>
      <c r="AC346" s="791"/>
      <c r="AD346" s="791"/>
      <c r="AE346" s="807" t="s">
        <v>92</v>
      </c>
      <c r="AF346" s="791" t="s">
        <v>92</v>
      </c>
      <c r="AG346" s="660" t="s">
        <v>699</v>
      </c>
      <c r="AH346" s="802" t="s">
        <v>700</v>
      </c>
      <c r="AI346" s="661" t="s">
        <v>429</v>
      </c>
      <c r="AJ346" s="770" t="s">
        <v>98</v>
      </c>
      <c r="AK346" s="770" t="s">
        <v>98</v>
      </c>
      <c r="AL346" s="770" t="s">
        <v>98</v>
      </c>
      <c r="AM346" s="770" t="s">
        <v>98</v>
      </c>
      <c r="AN346" s="185"/>
    </row>
    <row r="347" spans="1:40">
      <c r="A347" s="718" t="s">
        <v>3431</v>
      </c>
      <c r="B347" s="685" t="s">
        <v>3442</v>
      </c>
      <c r="C347" s="687">
        <v>1</v>
      </c>
      <c r="D347" s="647" t="s">
        <v>90</v>
      </c>
      <c r="E347" s="44">
        <v>2300</v>
      </c>
      <c r="F347" s="837">
        <f t="shared" si="59"/>
        <v>0.17599999999999999</v>
      </c>
      <c r="G347" s="93">
        <f t="shared" si="58"/>
        <v>1895.2</v>
      </c>
      <c r="H347" s="93"/>
      <c r="I347" s="270"/>
      <c r="J347" s="270"/>
      <c r="K347" s="121"/>
      <c r="L347" s="270"/>
      <c r="M347" s="1045" t="s">
        <v>699</v>
      </c>
      <c r="N347" s="1049" t="s">
        <v>700</v>
      </c>
      <c r="O347" s="1059" t="s">
        <v>429</v>
      </c>
      <c r="P347" s="1" t="str">
        <f t="shared" si="57"/>
        <v/>
      </c>
      <c r="Q347" s="1" t="str">
        <f t="shared" si="57"/>
        <v/>
      </c>
      <c r="R347" s="1" t="str">
        <f t="shared" si="57"/>
        <v/>
      </c>
      <c r="S347" s="1" t="str">
        <f t="shared" si="57"/>
        <v/>
      </c>
      <c r="T347" s="765" t="s">
        <v>715</v>
      </c>
      <c r="U347" s="806" t="s">
        <v>716</v>
      </c>
      <c r="V347" s="785">
        <v>1</v>
      </c>
      <c r="W347" s="786" t="s">
        <v>90</v>
      </c>
      <c r="X347" s="787" t="s">
        <v>92</v>
      </c>
      <c r="Y347" s="788">
        <v>2300</v>
      </c>
      <c r="Z347" s="789">
        <v>0.17599999999999999</v>
      </c>
      <c r="AA347" s="790">
        <v>1895.2</v>
      </c>
      <c r="AB347" s="790"/>
      <c r="AC347" s="791"/>
      <c r="AD347" s="791"/>
      <c r="AE347" s="807" t="s">
        <v>92</v>
      </c>
      <c r="AF347" s="791" t="s">
        <v>92</v>
      </c>
      <c r="AG347" s="660" t="s">
        <v>699</v>
      </c>
      <c r="AH347" s="802" t="s">
        <v>700</v>
      </c>
      <c r="AI347" s="661" t="s">
        <v>429</v>
      </c>
      <c r="AJ347" s="770" t="s">
        <v>98</v>
      </c>
      <c r="AK347" s="770" t="s">
        <v>98</v>
      </c>
      <c r="AL347" s="770" t="s">
        <v>98</v>
      </c>
      <c r="AM347" s="770" t="s">
        <v>98</v>
      </c>
      <c r="AN347" s="185"/>
    </row>
    <row r="348" spans="1:40">
      <c r="A348" s="718" t="s">
        <v>3432</v>
      </c>
      <c r="B348" s="685" t="s">
        <v>3445</v>
      </c>
      <c r="C348" s="687">
        <v>1</v>
      </c>
      <c r="D348" s="647" t="s">
        <v>90</v>
      </c>
      <c r="E348" s="44">
        <v>0</v>
      </c>
      <c r="F348" s="161" t="s">
        <v>92</v>
      </c>
      <c r="G348" s="262">
        <f t="shared" ref="G348:G350" si="61">E348</f>
        <v>0</v>
      </c>
      <c r="H348" s="93"/>
      <c r="I348" s="270"/>
      <c r="J348" s="270"/>
      <c r="K348" s="121"/>
      <c r="L348" s="270"/>
      <c r="M348" s="1045" t="s">
        <v>699</v>
      </c>
      <c r="N348" s="1049" t="s">
        <v>700</v>
      </c>
      <c r="O348" s="1059" t="s">
        <v>429</v>
      </c>
      <c r="P348" s="1" t="str">
        <f t="shared" si="57"/>
        <v/>
      </c>
      <c r="Q348" s="1" t="str">
        <f t="shared" si="57"/>
        <v/>
      </c>
      <c r="R348" s="1" t="str">
        <f t="shared" si="57"/>
        <v/>
      </c>
      <c r="S348" s="1" t="str">
        <f t="shared" si="57"/>
        <v/>
      </c>
      <c r="T348" s="765" t="s">
        <v>717</v>
      </c>
      <c r="U348" s="806" t="s">
        <v>718</v>
      </c>
      <c r="V348" s="785">
        <v>1</v>
      </c>
      <c r="W348" s="786" t="s">
        <v>90</v>
      </c>
      <c r="X348" s="787" t="s">
        <v>92</v>
      </c>
      <c r="Y348" s="788">
        <v>0</v>
      </c>
      <c r="Z348" s="808"/>
      <c r="AA348" s="790">
        <v>0</v>
      </c>
      <c r="AB348" s="790"/>
      <c r="AC348" s="791"/>
      <c r="AD348" s="791"/>
      <c r="AE348" s="807" t="s">
        <v>92</v>
      </c>
      <c r="AF348" s="791" t="s">
        <v>92</v>
      </c>
      <c r="AG348" s="660" t="s">
        <v>699</v>
      </c>
      <c r="AH348" s="802" t="s">
        <v>700</v>
      </c>
      <c r="AI348" s="661" t="s">
        <v>429</v>
      </c>
      <c r="AJ348" s="770" t="s">
        <v>98</v>
      </c>
      <c r="AK348" s="770" t="s">
        <v>98</v>
      </c>
      <c r="AL348" s="770" t="s">
        <v>98</v>
      </c>
      <c r="AM348" s="770" t="s">
        <v>98</v>
      </c>
      <c r="AN348" s="185"/>
    </row>
    <row r="349" spans="1:40">
      <c r="A349" s="684" t="s">
        <v>3472</v>
      </c>
      <c r="B349" s="685" t="s">
        <v>3443</v>
      </c>
      <c r="C349" s="687">
        <v>1</v>
      </c>
      <c r="D349" s="93" t="s">
        <v>90</v>
      </c>
      <c r="E349" s="44">
        <v>0</v>
      </c>
      <c r="F349" s="161" t="s">
        <v>92</v>
      </c>
      <c r="G349" s="262">
        <f t="shared" si="61"/>
        <v>0</v>
      </c>
      <c r="H349" s="93"/>
      <c r="I349" s="270"/>
      <c r="J349" s="270"/>
      <c r="K349" s="121"/>
      <c r="L349" s="270"/>
      <c r="M349" s="1045" t="s">
        <v>699</v>
      </c>
      <c r="N349" s="1049" t="s">
        <v>700</v>
      </c>
      <c r="O349" s="1059" t="s">
        <v>429</v>
      </c>
      <c r="P349" s="1" t="str">
        <f t="shared" si="57"/>
        <v/>
      </c>
      <c r="Q349" s="1" t="str">
        <f t="shared" si="57"/>
        <v/>
      </c>
      <c r="R349" s="1" t="str">
        <f t="shared" si="57"/>
        <v/>
      </c>
      <c r="S349" s="1" t="str">
        <f t="shared" si="57"/>
        <v/>
      </c>
      <c r="T349" s="766" t="s">
        <v>719</v>
      </c>
      <c r="U349" s="806" t="s">
        <v>720</v>
      </c>
      <c r="V349" s="785">
        <v>1</v>
      </c>
      <c r="W349" s="790" t="s">
        <v>90</v>
      </c>
      <c r="X349" s="787" t="s">
        <v>92</v>
      </c>
      <c r="Y349" s="788">
        <v>0</v>
      </c>
      <c r="Z349" s="808"/>
      <c r="AA349" s="790">
        <v>0</v>
      </c>
      <c r="AB349" s="790"/>
      <c r="AC349" s="791"/>
      <c r="AD349" s="791"/>
      <c r="AE349" s="807" t="s">
        <v>92</v>
      </c>
      <c r="AF349" s="791" t="s">
        <v>92</v>
      </c>
      <c r="AG349" s="660" t="s">
        <v>699</v>
      </c>
      <c r="AH349" s="802" t="s">
        <v>700</v>
      </c>
      <c r="AI349" s="661" t="s">
        <v>429</v>
      </c>
      <c r="AJ349" s="770" t="s">
        <v>98</v>
      </c>
      <c r="AK349" s="770" t="s">
        <v>98</v>
      </c>
      <c r="AL349" s="770" t="s">
        <v>98</v>
      </c>
      <c r="AM349" s="770" t="s">
        <v>98</v>
      </c>
      <c r="AN349" s="185"/>
    </row>
    <row r="350" spans="1:40" s="146" customFormat="1">
      <c r="A350" s="684" t="s">
        <v>3433</v>
      </c>
      <c r="B350" s="685" t="s">
        <v>3444</v>
      </c>
      <c r="C350" s="687">
        <v>1</v>
      </c>
      <c r="D350" s="93" t="s">
        <v>90</v>
      </c>
      <c r="E350" s="44">
        <v>0</v>
      </c>
      <c r="F350" s="161" t="s">
        <v>92</v>
      </c>
      <c r="G350" s="262">
        <f t="shared" si="61"/>
        <v>0</v>
      </c>
      <c r="H350" s="93"/>
      <c r="I350" s="270"/>
      <c r="J350" s="270"/>
      <c r="K350" s="121"/>
      <c r="L350" s="270"/>
      <c r="M350" s="1045" t="s">
        <v>699</v>
      </c>
      <c r="N350" s="1049" t="s">
        <v>700</v>
      </c>
      <c r="O350" s="1059" t="s">
        <v>429</v>
      </c>
      <c r="P350" s="1" t="str">
        <f t="shared" si="57"/>
        <v/>
      </c>
      <c r="Q350" s="1" t="str">
        <f t="shared" si="57"/>
        <v/>
      </c>
      <c r="R350" s="1" t="str">
        <f t="shared" si="57"/>
        <v/>
      </c>
      <c r="S350" s="1" t="str">
        <f t="shared" si="57"/>
        <v/>
      </c>
      <c r="T350" s="766" t="s">
        <v>721</v>
      </c>
      <c r="U350" s="809" t="s">
        <v>722</v>
      </c>
      <c r="V350" s="810">
        <v>1</v>
      </c>
      <c r="W350" s="811" t="s">
        <v>90</v>
      </c>
      <c r="X350" s="812" t="s">
        <v>92</v>
      </c>
      <c r="Y350" s="810"/>
      <c r="Z350" s="813"/>
      <c r="AA350" s="811">
        <v>0</v>
      </c>
      <c r="AB350" s="814"/>
      <c r="AC350" s="815"/>
      <c r="AD350" s="815"/>
      <c r="AE350" s="816" t="s">
        <v>92</v>
      </c>
      <c r="AF350" s="815" t="s">
        <v>92</v>
      </c>
      <c r="AG350" s="660"/>
      <c r="AH350" s="803"/>
      <c r="AI350" s="804"/>
      <c r="AJ350" s="770" t="s">
        <v>98</v>
      </c>
      <c r="AK350" s="770" t="s">
        <v>98</v>
      </c>
      <c r="AL350" s="770" t="s">
        <v>98</v>
      </c>
      <c r="AM350" s="770" t="s">
        <v>98</v>
      </c>
      <c r="AN350" s="164"/>
    </row>
    <row r="351" spans="1:40">
      <c r="A351" s="830" t="s">
        <v>3446</v>
      </c>
      <c r="B351" s="831" t="s">
        <v>3447</v>
      </c>
      <c r="C351" s="832">
        <v>1</v>
      </c>
      <c r="D351" s="833" t="s">
        <v>90</v>
      </c>
      <c r="E351" s="454">
        <v>2498.7466666666669</v>
      </c>
      <c r="F351" s="835">
        <f>rv_mbp16_eg</f>
        <v>0.17599999999999999</v>
      </c>
      <c r="G351" s="266">
        <f t="shared" ref="G351:G360" si="62">E351-(E351*F351)</f>
        <v>2058.9672533333337</v>
      </c>
      <c r="H351" s="832" t="s">
        <v>698</v>
      </c>
      <c r="I351" s="270">
        <v>62</v>
      </c>
      <c r="J351" s="270">
        <f>G351+I351</f>
        <v>2120.9672533333337</v>
      </c>
      <c r="K351" s="99" t="s">
        <v>92</v>
      </c>
      <c r="L351" s="216">
        <v>0.42</v>
      </c>
      <c r="M351" s="1045" t="s">
        <v>699</v>
      </c>
      <c r="N351" s="1049" t="s">
        <v>700</v>
      </c>
      <c r="O351" s="1059" t="s">
        <v>429</v>
      </c>
      <c r="P351" s="1">
        <f t="shared" si="57"/>
        <v>426.96926080685063</v>
      </c>
      <c r="Q351" s="1">
        <f t="shared" si="57"/>
        <v>221.89868254931889</v>
      </c>
      <c r="R351" s="1">
        <f t="shared" si="57"/>
        <v>161.15840750141305</v>
      </c>
      <c r="S351" s="1">
        <f t="shared" si="57"/>
        <v>139.0694530417486</v>
      </c>
      <c r="T351" s="764" t="s">
        <v>723</v>
      </c>
      <c r="U351" s="775" t="s">
        <v>724</v>
      </c>
      <c r="V351" s="776">
        <v>1</v>
      </c>
      <c r="W351" s="777" t="s">
        <v>90</v>
      </c>
      <c r="X351" s="805" t="s">
        <v>723</v>
      </c>
      <c r="Y351" s="779">
        <v>2290.41</v>
      </c>
      <c r="Z351" s="780">
        <v>0.17599999999999999</v>
      </c>
      <c r="AA351" s="781">
        <v>1887.29784</v>
      </c>
      <c r="AB351" s="776" t="s">
        <v>698</v>
      </c>
      <c r="AC351" s="782">
        <v>62</v>
      </c>
      <c r="AD351" s="782">
        <v>1949.29784</v>
      </c>
      <c r="AE351" s="800" t="s">
        <v>92</v>
      </c>
      <c r="AF351" s="783">
        <v>0.42</v>
      </c>
      <c r="AG351" s="660" t="s">
        <v>699</v>
      </c>
      <c r="AH351" s="802" t="s">
        <v>700</v>
      </c>
      <c r="AI351" s="661" t="s">
        <v>429</v>
      </c>
      <c r="AJ351" s="770">
        <v>392.4107062610961</v>
      </c>
      <c r="AK351" s="770">
        <v>203.93837854518418</v>
      </c>
      <c r="AL351" s="770">
        <v>148.11437335801844</v>
      </c>
      <c r="AM351" s="770">
        <v>127.81328141592834</v>
      </c>
      <c r="AN351" s="185"/>
    </row>
    <row r="352" spans="1:40">
      <c r="A352" s="718" t="s">
        <v>3448</v>
      </c>
      <c r="B352" s="719" t="s">
        <v>3449</v>
      </c>
      <c r="C352" s="263">
        <v>1</v>
      </c>
      <c r="D352" s="264" t="s">
        <v>90</v>
      </c>
      <c r="E352" s="44">
        <v>575</v>
      </c>
      <c r="F352" s="837">
        <f t="shared" ref="F352:F360" si="63">rv_mbp16_eg_cto</f>
        <v>0.17599999999999999</v>
      </c>
      <c r="G352" s="93">
        <f t="shared" si="62"/>
        <v>473.8</v>
      </c>
      <c r="H352" s="93"/>
      <c r="I352" s="270"/>
      <c r="J352" s="270"/>
      <c r="K352" s="121"/>
      <c r="L352" s="270"/>
      <c r="M352" s="1045" t="s">
        <v>699</v>
      </c>
      <c r="N352" s="1049" t="s">
        <v>700</v>
      </c>
      <c r="O352" s="1059" t="s">
        <v>429</v>
      </c>
      <c r="P352" s="1" t="str">
        <f t="shared" si="57"/>
        <v/>
      </c>
      <c r="Q352" s="1" t="str">
        <f t="shared" si="57"/>
        <v/>
      </c>
      <c r="R352" s="1" t="str">
        <f t="shared" si="57"/>
        <v/>
      </c>
      <c r="S352" s="1" t="str">
        <f t="shared" si="57"/>
        <v/>
      </c>
      <c r="T352" s="765" t="s">
        <v>725</v>
      </c>
      <c r="U352" s="806" t="s">
        <v>726</v>
      </c>
      <c r="V352" s="785">
        <v>1</v>
      </c>
      <c r="W352" s="786" t="s">
        <v>90</v>
      </c>
      <c r="X352" s="787" t="s">
        <v>92</v>
      </c>
      <c r="Y352" s="788">
        <v>575</v>
      </c>
      <c r="Z352" s="789">
        <v>0.17599999999999999</v>
      </c>
      <c r="AA352" s="790">
        <v>473.8</v>
      </c>
      <c r="AB352" s="790"/>
      <c r="AC352" s="791"/>
      <c r="AD352" s="791"/>
      <c r="AE352" s="807" t="s">
        <v>92</v>
      </c>
      <c r="AF352" s="791" t="s">
        <v>92</v>
      </c>
      <c r="AG352" s="660" t="s">
        <v>699</v>
      </c>
      <c r="AH352" s="802" t="s">
        <v>700</v>
      </c>
      <c r="AI352" s="661" t="s">
        <v>429</v>
      </c>
      <c r="AJ352" s="770" t="s">
        <v>98</v>
      </c>
      <c r="AK352" s="770" t="s">
        <v>98</v>
      </c>
      <c r="AL352" s="770" t="s">
        <v>98</v>
      </c>
      <c r="AM352" s="770" t="s">
        <v>98</v>
      </c>
      <c r="AN352" s="185"/>
    </row>
    <row r="353" spans="1:40">
      <c r="A353" s="718" t="s">
        <v>3450</v>
      </c>
      <c r="B353" s="719" t="s">
        <v>3451</v>
      </c>
      <c r="C353" s="263">
        <v>1</v>
      </c>
      <c r="D353" s="264" t="s">
        <v>90</v>
      </c>
      <c r="E353" s="44">
        <v>766.66666666666674</v>
      </c>
      <c r="F353" s="837">
        <f t="shared" si="63"/>
        <v>0.17599999999999999</v>
      </c>
      <c r="G353" s="93">
        <f t="shared" si="62"/>
        <v>631.73333333333335</v>
      </c>
      <c r="H353" s="93"/>
      <c r="I353" s="270"/>
      <c r="J353" s="270"/>
      <c r="K353" s="121"/>
      <c r="L353" s="270"/>
      <c r="M353" s="1045" t="s">
        <v>699</v>
      </c>
      <c r="N353" s="1049" t="s">
        <v>700</v>
      </c>
      <c r="O353" s="1059" t="s">
        <v>429</v>
      </c>
      <c r="P353" s="1" t="str">
        <f t="shared" ref="P353:S374" si="64">+IF($J353&lt;&gt;"",P$2*$J353,"")</f>
        <v/>
      </c>
      <c r="Q353" s="1" t="str">
        <f t="shared" si="64"/>
        <v/>
      </c>
      <c r="R353" s="1" t="str">
        <f t="shared" si="64"/>
        <v/>
      </c>
      <c r="S353" s="1" t="str">
        <f t="shared" si="64"/>
        <v/>
      </c>
      <c r="T353" s="765" t="s">
        <v>727</v>
      </c>
      <c r="U353" s="806" t="s">
        <v>728</v>
      </c>
      <c r="V353" s="785">
        <v>1</v>
      </c>
      <c r="W353" s="786" t="s">
        <v>90</v>
      </c>
      <c r="X353" s="787" t="s">
        <v>92</v>
      </c>
      <c r="Y353" s="788">
        <v>725</v>
      </c>
      <c r="Z353" s="789">
        <v>0.17599999999999999</v>
      </c>
      <c r="AA353" s="790">
        <v>597.4</v>
      </c>
      <c r="AB353" s="790"/>
      <c r="AC353" s="791"/>
      <c r="AD353" s="791"/>
      <c r="AE353" s="807" t="s">
        <v>92</v>
      </c>
      <c r="AF353" s="791" t="s">
        <v>92</v>
      </c>
      <c r="AG353" s="660" t="s">
        <v>699</v>
      </c>
      <c r="AH353" s="802" t="s">
        <v>700</v>
      </c>
      <c r="AI353" s="661" t="s">
        <v>429</v>
      </c>
      <c r="AJ353" s="770" t="s">
        <v>98</v>
      </c>
      <c r="AK353" s="770" t="s">
        <v>98</v>
      </c>
      <c r="AL353" s="770" t="s">
        <v>98</v>
      </c>
      <c r="AM353" s="770" t="s">
        <v>98</v>
      </c>
      <c r="AN353" s="185"/>
    </row>
    <row r="354" spans="1:40">
      <c r="A354" s="718" t="s">
        <v>3452</v>
      </c>
      <c r="B354" s="719" t="s">
        <v>3453</v>
      </c>
      <c r="C354" s="263">
        <v>1</v>
      </c>
      <c r="D354" s="264" t="s">
        <v>90</v>
      </c>
      <c r="E354" s="44">
        <v>383.33333333333337</v>
      </c>
      <c r="F354" s="837">
        <f t="shared" si="63"/>
        <v>0.17599999999999999</v>
      </c>
      <c r="G354" s="93">
        <f t="shared" si="62"/>
        <v>315.86666666666667</v>
      </c>
      <c r="H354" s="93"/>
      <c r="I354" s="270"/>
      <c r="J354" s="270"/>
      <c r="K354" s="121"/>
      <c r="L354" s="270"/>
      <c r="M354" s="1045" t="s">
        <v>699</v>
      </c>
      <c r="N354" s="1049" t="s">
        <v>700</v>
      </c>
      <c r="O354" s="1059" t="s">
        <v>429</v>
      </c>
      <c r="P354" s="1" t="str">
        <f t="shared" si="64"/>
        <v/>
      </c>
      <c r="Q354" s="1" t="str">
        <f t="shared" si="64"/>
        <v/>
      </c>
      <c r="R354" s="1" t="str">
        <f t="shared" si="64"/>
        <v/>
      </c>
      <c r="S354" s="1" t="str">
        <f t="shared" si="64"/>
        <v/>
      </c>
      <c r="T354" s="765" t="s">
        <v>729</v>
      </c>
      <c r="U354" s="806" t="s">
        <v>730</v>
      </c>
      <c r="V354" s="785">
        <v>1</v>
      </c>
      <c r="W354" s="786" t="s">
        <v>90</v>
      </c>
      <c r="X354" s="787" t="s">
        <v>92</v>
      </c>
      <c r="Y354" s="788">
        <v>383.33</v>
      </c>
      <c r="Z354" s="789">
        <v>0.17599999999999999</v>
      </c>
      <c r="AA354" s="790">
        <v>315.86392000000001</v>
      </c>
      <c r="AB354" s="790"/>
      <c r="AC354" s="791"/>
      <c r="AD354" s="791"/>
      <c r="AE354" s="807" t="s">
        <v>92</v>
      </c>
      <c r="AF354" s="791" t="s">
        <v>92</v>
      </c>
      <c r="AG354" s="660" t="s">
        <v>699</v>
      </c>
      <c r="AH354" s="802" t="s">
        <v>700</v>
      </c>
      <c r="AI354" s="661" t="s">
        <v>429</v>
      </c>
      <c r="AJ354" s="770" t="s">
        <v>98</v>
      </c>
      <c r="AK354" s="770" t="s">
        <v>98</v>
      </c>
      <c r="AL354" s="770" t="s">
        <v>98</v>
      </c>
      <c r="AM354" s="770" t="s">
        <v>98</v>
      </c>
      <c r="AN354" s="185"/>
    </row>
    <row r="355" spans="1:40">
      <c r="A355" s="718" t="s">
        <v>3454</v>
      </c>
      <c r="B355" s="719" t="s">
        <v>3455</v>
      </c>
      <c r="C355" s="263">
        <v>1</v>
      </c>
      <c r="D355" s="264" t="s">
        <v>90</v>
      </c>
      <c r="E355" s="44">
        <v>383.33333333333337</v>
      </c>
      <c r="F355" s="837">
        <f t="shared" si="63"/>
        <v>0.17599999999999999</v>
      </c>
      <c r="G355" s="93">
        <f t="shared" si="62"/>
        <v>315.86666666666667</v>
      </c>
      <c r="H355" s="93"/>
      <c r="I355" s="270"/>
      <c r="J355" s="270"/>
      <c r="K355" s="121"/>
      <c r="L355" s="270"/>
      <c r="M355" s="1045" t="s">
        <v>699</v>
      </c>
      <c r="N355" s="1049" t="s">
        <v>700</v>
      </c>
      <c r="O355" s="1059" t="s">
        <v>429</v>
      </c>
      <c r="P355" s="1" t="str">
        <f t="shared" si="64"/>
        <v/>
      </c>
      <c r="Q355" s="1" t="str">
        <f t="shared" si="64"/>
        <v/>
      </c>
      <c r="R355" s="1" t="str">
        <f t="shared" si="64"/>
        <v/>
      </c>
      <c r="S355" s="1" t="str">
        <f t="shared" si="64"/>
        <v/>
      </c>
      <c r="T355" s="765" t="s">
        <v>731</v>
      </c>
      <c r="U355" s="806" t="s">
        <v>732</v>
      </c>
      <c r="V355" s="785">
        <v>1</v>
      </c>
      <c r="W355" s="786" t="s">
        <v>90</v>
      </c>
      <c r="X355" s="787" t="s">
        <v>92</v>
      </c>
      <c r="Y355" s="788">
        <v>383.33</v>
      </c>
      <c r="Z355" s="789">
        <v>0.17599999999999999</v>
      </c>
      <c r="AA355" s="790">
        <v>315.86392000000001</v>
      </c>
      <c r="AB355" s="790"/>
      <c r="AC355" s="791"/>
      <c r="AD355" s="791"/>
      <c r="AE355" s="807" t="s">
        <v>92</v>
      </c>
      <c r="AF355" s="791" t="s">
        <v>92</v>
      </c>
      <c r="AG355" s="660" t="s">
        <v>699</v>
      </c>
      <c r="AH355" s="802" t="s">
        <v>700</v>
      </c>
      <c r="AI355" s="661" t="s">
        <v>429</v>
      </c>
      <c r="AJ355" s="770" t="s">
        <v>98</v>
      </c>
      <c r="AK355" s="770" t="s">
        <v>98</v>
      </c>
      <c r="AL355" s="770" t="s">
        <v>98</v>
      </c>
      <c r="AM355" s="770" t="s">
        <v>98</v>
      </c>
      <c r="AN355" s="185"/>
    </row>
    <row r="356" spans="1:40">
      <c r="A356" s="718" t="s">
        <v>3456</v>
      </c>
      <c r="B356" s="685" t="s">
        <v>3457</v>
      </c>
      <c r="C356" s="687">
        <v>1</v>
      </c>
      <c r="D356" s="647" t="s">
        <v>90</v>
      </c>
      <c r="E356" s="44">
        <v>766.66666666666674</v>
      </c>
      <c r="F356" s="837">
        <f t="shared" si="63"/>
        <v>0.17599999999999999</v>
      </c>
      <c r="G356" s="93">
        <f t="shared" si="62"/>
        <v>631.73333333333335</v>
      </c>
      <c r="H356" s="93"/>
      <c r="I356" s="270"/>
      <c r="J356" s="270"/>
      <c r="K356" s="121"/>
      <c r="L356" s="270"/>
      <c r="M356" s="1045" t="s">
        <v>699</v>
      </c>
      <c r="N356" s="1049" t="s">
        <v>700</v>
      </c>
      <c r="O356" s="1059" t="s">
        <v>429</v>
      </c>
      <c r="P356" s="1" t="str">
        <f t="shared" si="64"/>
        <v/>
      </c>
      <c r="Q356" s="1" t="str">
        <f t="shared" si="64"/>
        <v/>
      </c>
      <c r="R356" s="1" t="str">
        <f t="shared" si="64"/>
        <v/>
      </c>
      <c r="S356" s="1" t="str">
        <f t="shared" si="64"/>
        <v/>
      </c>
      <c r="T356" s="422"/>
      <c r="U356" s="189"/>
      <c r="V356" s="87"/>
      <c r="W356" s="88"/>
      <c r="X356" s="208"/>
      <c r="Y356" s="171"/>
      <c r="Z356" s="89"/>
      <c r="AA356" s="108"/>
      <c r="AB356" s="108"/>
      <c r="AC356" s="269"/>
      <c r="AD356" s="269"/>
      <c r="AE356" s="109"/>
      <c r="AF356" s="269"/>
      <c r="AG356" s="41"/>
      <c r="AH356" s="185"/>
      <c r="AI356" s="42"/>
      <c r="AJ356" s="1"/>
      <c r="AK356" s="1"/>
      <c r="AL356" s="1"/>
      <c r="AM356" s="1"/>
      <c r="AN356" s="185"/>
    </row>
    <row r="357" spans="1:40">
      <c r="A357" s="718" t="s">
        <v>3458</v>
      </c>
      <c r="B357" s="719" t="s">
        <v>3459</v>
      </c>
      <c r="C357" s="263">
        <v>1</v>
      </c>
      <c r="D357" s="264" t="s">
        <v>90</v>
      </c>
      <c r="E357" s="44">
        <v>191.66666666666669</v>
      </c>
      <c r="F357" s="837">
        <f t="shared" si="63"/>
        <v>0.17599999999999999</v>
      </c>
      <c r="G357" s="93">
        <f t="shared" si="62"/>
        <v>157.93333333333334</v>
      </c>
      <c r="H357" s="93"/>
      <c r="I357" s="270"/>
      <c r="J357" s="270"/>
      <c r="K357" s="121"/>
      <c r="L357" s="270"/>
      <c r="M357" s="1045" t="s">
        <v>699</v>
      </c>
      <c r="N357" s="1049" t="s">
        <v>700</v>
      </c>
      <c r="O357" s="1059" t="s">
        <v>429</v>
      </c>
      <c r="P357" s="1" t="str">
        <f t="shared" si="64"/>
        <v/>
      </c>
      <c r="Q357" s="1" t="str">
        <f t="shared" si="64"/>
        <v/>
      </c>
      <c r="R357" s="1" t="str">
        <f t="shared" si="64"/>
        <v/>
      </c>
      <c r="S357" s="1" t="str">
        <f t="shared" si="64"/>
        <v/>
      </c>
      <c r="T357" s="765" t="s">
        <v>733</v>
      </c>
      <c r="U357" s="806" t="s">
        <v>734</v>
      </c>
      <c r="V357" s="785">
        <v>1</v>
      </c>
      <c r="W357" s="786" t="s">
        <v>90</v>
      </c>
      <c r="X357" s="787" t="s">
        <v>92</v>
      </c>
      <c r="Y357" s="788">
        <v>191.67</v>
      </c>
      <c r="Z357" s="789">
        <v>0.17599999999999999</v>
      </c>
      <c r="AA357" s="790">
        <v>157.93608</v>
      </c>
      <c r="AB357" s="790"/>
      <c r="AC357" s="791"/>
      <c r="AD357" s="791"/>
      <c r="AE357" s="807" t="s">
        <v>92</v>
      </c>
      <c r="AF357" s="791" t="s">
        <v>92</v>
      </c>
      <c r="AG357" s="660" t="s">
        <v>699</v>
      </c>
      <c r="AH357" s="802" t="s">
        <v>700</v>
      </c>
      <c r="AI357" s="661" t="s">
        <v>429</v>
      </c>
      <c r="AJ357" s="770" t="s">
        <v>98</v>
      </c>
      <c r="AK357" s="770" t="s">
        <v>98</v>
      </c>
      <c r="AL357" s="770" t="s">
        <v>98</v>
      </c>
      <c r="AM357" s="770" t="s">
        <v>98</v>
      </c>
      <c r="AN357" s="185"/>
    </row>
    <row r="358" spans="1:40">
      <c r="A358" s="718" t="s">
        <v>3460</v>
      </c>
      <c r="B358" s="719" t="s">
        <v>3461</v>
      </c>
      <c r="C358" s="263">
        <v>1</v>
      </c>
      <c r="D358" s="264" t="s">
        <v>90</v>
      </c>
      <c r="E358" s="44">
        <v>575</v>
      </c>
      <c r="F358" s="837">
        <f t="shared" si="63"/>
        <v>0.17599999999999999</v>
      </c>
      <c r="G358" s="93">
        <f t="shared" si="62"/>
        <v>473.8</v>
      </c>
      <c r="H358" s="93"/>
      <c r="I358" s="270"/>
      <c r="J358" s="270"/>
      <c r="K358" s="121"/>
      <c r="L358" s="270"/>
      <c r="M358" s="1045" t="s">
        <v>699</v>
      </c>
      <c r="N358" s="1049" t="s">
        <v>700</v>
      </c>
      <c r="O358" s="1059" t="s">
        <v>429</v>
      </c>
      <c r="P358" s="1" t="str">
        <f t="shared" si="64"/>
        <v/>
      </c>
      <c r="Q358" s="1" t="str">
        <f t="shared" si="64"/>
        <v/>
      </c>
      <c r="R358" s="1" t="str">
        <f t="shared" si="64"/>
        <v/>
      </c>
      <c r="S358" s="1" t="str">
        <f t="shared" si="64"/>
        <v/>
      </c>
      <c r="T358" s="765" t="s">
        <v>735</v>
      </c>
      <c r="U358" s="806" t="s">
        <v>736</v>
      </c>
      <c r="V358" s="785">
        <v>1</v>
      </c>
      <c r="W358" s="786" t="s">
        <v>90</v>
      </c>
      <c r="X358" s="787" t="s">
        <v>92</v>
      </c>
      <c r="Y358" s="788">
        <v>575</v>
      </c>
      <c r="Z358" s="789">
        <v>0.17599999999999999</v>
      </c>
      <c r="AA358" s="790">
        <v>473.8</v>
      </c>
      <c r="AB358" s="790"/>
      <c r="AC358" s="791"/>
      <c r="AD358" s="791"/>
      <c r="AE358" s="807" t="s">
        <v>92</v>
      </c>
      <c r="AF358" s="791" t="s">
        <v>92</v>
      </c>
      <c r="AG358" s="660" t="s">
        <v>699</v>
      </c>
      <c r="AH358" s="802" t="s">
        <v>700</v>
      </c>
      <c r="AI358" s="661" t="s">
        <v>429</v>
      </c>
      <c r="AJ358" s="770" t="s">
        <v>98</v>
      </c>
      <c r="AK358" s="770" t="s">
        <v>98</v>
      </c>
      <c r="AL358" s="770" t="s">
        <v>98</v>
      </c>
      <c r="AM358" s="770" t="s">
        <v>98</v>
      </c>
      <c r="AN358" s="185"/>
    </row>
    <row r="359" spans="1:40">
      <c r="A359" s="718" t="s">
        <v>3462</v>
      </c>
      <c r="B359" s="719" t="s">
        <v>3463</v>
      </c>
      <c r="C359" s="263">
        <v>1</v>
      </c>
      <c r="D359" s="264" t="s">
        <v>90</v>
      </c>
      <c r="E359" s="44">
        <v>1150</v>
      </c>
      <c r="F359" s="837">
        <f t="shared" si="63"/>
        <v>0.17599999999999999</v>
      </c>
      <c r="G359" s="93">
        <f t="shared" si="62"/>
        <v>947.6</v>
      </c>
      <c r="H359" s="93"/>
      <c r="I359" s="270"/>
      <c r="J359" s="270"/>
      <c r="K359" s="121"/>
      <c r="L359" s="270"/>
      <c r="M359" s="1045" t="s">
        <v>699</v>
      </c>
      <c r="N359" s="1049" t="s">
        <v>700</v>
      </c>
      <c r="O359" s="1059" t="s">
        <v>429</v>
      </c>
      <c r="P359" s="1" t="str">
        <f t="shared" si="64"/>
        <v/>
      </c>
      <c r="Q359" s="1" t="str">
        <f t="shared" si="64"/>
        <v/>
      </c>
      <c r="R359" s="1" t="str">
        <f t="shared" si="64"/>
        <v/>
      </c>
      <c r="S359" s="1" t="str">
        <f t="shared" si="64"/>
        <v/>
      </c>
      <c r="T359" s="765" t="s">
        <v>737</v>
      </c>
      <c r="U359" s="806" t="s">
        <v>738</v>
      </c>
      <c r="V359" s="785">
        <v>1</v>
      </c>
      <c r="W359" s="786" t="s">
        <v>90</v>
      </c>
      <c r="X359" s="787" t="s">
        <v>92</v>
      </c>
      <c r="Y359" s="788">
        <v>1150</v>
      </c>
      <c r="Z359" s="789">
        <v>0.17599999999999999</v>
      </c>
      <c r="AA359" s="790">
        <v>947.6</v>
      </c>
      <c r="AB359" s="790"/>
      <c r="AC359" s="791"/>
      <c r="AD359" s="791"/>
      <c r="AE359" s="807" t="s">
        <v>92</v>
      </c>
      <c r="AF359" s="791" t="s">
        <v>92</v>
      </c>
      <c r="AG359" s="660" t="s">
        <v>699</v>
      </c>
      <c r="AH359" s="802" t="s">
        <v>700</v>
      </c>
      <c r="AI359" s="661" t="s">
        <v>429</v>
      </c>
      <c r="AJ359" s="770" t="s">
        <v>98</v>
      </c>
      <c r="AK359" s="770" t="s">
        <v>98</v>
      </c>
      <c r="AL359" s="770" t="s">
        <v>98</v>
      </c>
      <c r="AM359" s="770" t="s">
        <v>98</v>
      </c>
      <c r="AN359" s="185"/>
    </row>
    <row r="360" spans="1:40">
      <c r="A360" s="718" t="s">
        <v>3464</v>
      </c>
      <c r="B360" s="719" t="s">
        <v>3465</v>
      </c>
      <c r="C360" s="263">
        <v>1</v>
      </c>
      <c r="D360" s="264" t="s">
        <v>90</v>
      </c>
      <c r="E360" s="44">
        <v>2300</v>
      </c>
      <c r="F360" s="837">
        <f t="shared" si="63"/>
        <v>0.17599999999999999</v>
      </c>
      <c r="G360" s="93">
        <f t="shared" si="62"/>
        <v>1895.2</v>
      </c>
      <c r="H360" s="93"/>
      <c r="I360" s="270"/>
      <c r="J360" s="270"/>
      <c r="K360" s="121"/>
      <c r="L360" s="270"/>
      <c r="M360" s="1045" t="s">
        <v>699</v>
      </c>
      <c r="N360" s="1049" t="s">
        <v>700</v>
      </c>
      <c r="O360" s="1059" t="s">
        <v>429</v>
      </c>
      <c r="P360" s="1" t="str">
        <f t="shared" si="64"/>
        <v/>
      </c>
      <c r="Q360" s="1" t="str">
        <f t="shared" si="64"/>
        <v/>
      </c>
      <c r="R360" s="1" t="str">
        <f t="shared" si="64"/>
        <v/>
      </c>
      <c r="S360" s="1" t="str">
        <f t="shared" si="64"/>
        <v/>
      </c>
      <c r="T360" s="765" t="s">
        <v>739</v>
      </c>
      <c r="U360" s="806" t="s">
        <v>740</v>
      </c>
      <c r="V360" s="785">
        <v>1</v>
      </c>
      <c r="W360" s="786" t="s">
        <v>90</v>
      </c>
      <c r="X360" s="787" t="s">
        <v>92</v>
      </c>
      <c r="Y360" s="788">
        <v>2300</v>
      </c>
      <c r="Z360" s="789">
        <v>0.17599999999999999</v>
      </c>
      <c r="AA360" s="790">
        <v>1895.2</v>
      </c>
      <c r="AB360" s="790"/>
      <c r="AC360" s="791"/>
      <c r="AD360" s="791"/>
      <c r="AE360" s="807" t="s">
        <v>92</v>
      </c>
      <c r="AF360" s="791" t="s">
        <v>92</v>
      </c>
      <c r="AG360" s="660" t="s">
        <v>699</v>
      </c>
      <c r="AH360" s="802" t="s">
        <v>700</v>
      </c>
      <c r="AI360" s="661" t="s">
        <v>429</v>
      </c>
      <c r="AJ360" s="770" t="s">
        <v>98</v>
      </c>
      <c r="AK360" s="770" t="s">
        <v>98</v>
      </c>
      <c r="AL360" s="770" t="s">
        <v>98</v>
      </c>
      <c r="AM360" s="770" t="s">
        <v>98</v>
      </c>
      <c r="AN360" s="185"/>
    </row>
    <row r="361" spans="1:40">
      <c r="A361" s="718" t="s">
        <v>3466</v>
      </c>
      <c r="B361" s="719" t="s">
        <v>3467</v>
      </c>
      <c r="C361" s="263">
        <v>1</v>
      </c>
      <c r="D361" s="264" t="s">
        <v>90</v>
      </c>
      <c r="E361" s="44">
        <v>0</v>
      </c>
      <c r="F361" s="161" t="s">
        <v>92</v>
      </c>
      <c r="G361" s="262">
        <f t="shared" ref="G361:G363" si="65">E361</f>
        <v>0</v>
      </c>
      <c r="H361" s="93"/>
      <c r="I361" s="270"/>
      <c r="J361" s="270"/>
      <c r="K361" s="121"/>
      <c r="L361" s="270"/>
      <c r="M361" s="1045" t="s">
        <v>699</v>
      </c>
      <c r="N361" s="1049" t="s">
        <v>700</v>
      </c>
      <c r="O361" s="1059" t="s">
        <v>429</v>
      </c>
      <c r="P361" s="1" t="str">
        <f t="shared" si="64"/>
        <v/>
      </c>
      <c r="Q361" s="1" t="str">
        <f t="shared" si="64"/>
        <v/>
      </c>
      <c r="R361" s="1" t="str">
        <f t="shared" si="64"/>
        <v/>
      </c>
      <c r="S361" s="1" t="str">
        <f t="shared" si="64"/>
        <v/>
      </c>
      <c r="T361" s="765" t="s">
        <v>741</v>
      </c>
      <c r="U361" s="806" t="s">
        <v>742</v>
      </c>
      <c r="V361" s="785">
        <v>1</v>
      </c>
      <c r="W361" s="786" t="s">
        <v>90</v>
      </c>
      <c r="X361" s="787" t="s">
        <v>92</v>
      </c>
      <c r="Y361" s="788">
        <v>0</v>
      </c>
      <c r="Z361" s="808"/>
      <c r="AA361" s="790">
        <v>0</v>
      </c>
      <c r="AB361" s="790"/>
      <c r="AC361" s="791"/>
      <c r="AD361" s="791"/>
      <c r="AE361" s="807" t="s">
        <v>92</v>
      </c>
      <c r="AF361" s="791" t="s">
        <v>92</v>
      </c>
      <c r="AG361" s="660" t="s">
        <v>699</v>
      </c>
      <c r="AH361" s="802" t="s">
        <v>700</v>
      </c>
      <c r="AI361" s="661" t="s">
        <v>429</v>
      </c>
      <c r="AJ361" s="770" t="s">
        <v>98</v>
      </c>
      <c r="AK361" s="770" t="s">
        <v>98</v>
      </c>
      <c r="AL361" s="770" t="s">
        <v>98</v>
      </c>
      <c r="AM361" s="770" t="s">
        <v>98</v>
      </c>
      <c r="AN361" s="185"/>
    </row>
    <row r="362" spans="1:40">
      <c r="A362" s="684" t="s">
        <v>3468</v>
      </c>
      <c r="B362" s="719" t="s">
        <v>3469</v>
      </c>
      <c r="C362" s="263">
        <v>1</v>
      </c>
      <c r="D362" s="262" t="s">
        <v>90</v>
      </c>
      <c r="E362" s="44">
        <v>0</v>
      </c>
      <c r="F362" s="161" t="s">
        <v>92</v>
      </c>
      <c r="G362" s="262">
        <f t="shared" si="65"/>
        <v>0</v>
      </c>
      <c r="H362" s="93"/>
      <c r="I362" s="270"/>
      <c r="J362" s="270"/>
      <c r="K362" s="121"/>
      <c r="L362" s="270"/>
      <c r="M362" s="1045" t="s">
        <v>699</v>
      </c>
      <c r="N362" s="1049" t="s">
        <v>700</v>
      </c>
      <c r="O362" s="1059" t="s">
        <v>429</v>
      </c>
      <c r="P362" s="1" t="str">
        <f t="shared" si="64"/>
        <v/>
      </c>
      <c r="Q362" s="1" t="str">
        <f t="shared" si="64"/>
        <v/>
      </c>
      <c r="R362" s="1" t="str">
        <f t="shared" si="64"/>
        <v/>
      </c>
      <c r="S362" s="1" t="str">
        <f t="shared" si="64"/>
        <v/>
      </c>
      <c r="T362" s="766" t="s">
        <v>743</v>
      </c>
      <c r="U362" s="806" t="s">
        <v>744</v>
      </c>
      <c r="V362" s="785">
        <v>1</v>
      </c>
      <c r="W362" s="790" t="s">
        <v>90</v>
      </c>
      <c r="X362" s="787" t="s">
        <v>92</v>
      </c>
      <c r="Y362" s="788">
        <v>0</v>
      </c>
      <c r="Z362" s="808"/>
      <c r="AA362" s="790">
        <v>0</v>
      </c>
      <c r="AB362" s="790"/>
      <c r="AC362" s="791"/>
      <c r="AD362" s="791"/>
      <c r="AE362" s="807" t="s">
        <v>92</v>
      </c>
      <c r="AF362" s="791" t="s">
        <v>92</v>
      </c>
      <c r="AG362" s="660" t="s">
        <v>699</v>
      </c>
      <c r="AH362" s="802" t="s">
        <v>700</v>
      </c>
      <c r="AI362" s="661" t="s">
        <v>429</v>
      </c>
      <c r="AJ362" s="770" t="s">
        <v>98</v>
      </c>
      <c r="AK362" s="770" t="s">
        <v>98</v>
      </c>
      <c r="AL362" s="770" t="s">
        <v>98</v>
      </c>
      <c r="AM362" s="770" t="s">
        <v>98</v>
      </c>
      <c r="AN362" s="185"/>
    </row>
    <row r="363" spans="1:40" s="146" customFormat="1">
      <c r="A363" s="684" t="s">
        <v>3471</v>
      </c>
      <c r="B363" s="685" t="s">
        <v>3470</v>
      </c>
      <c r="C363" s="687">
        <v>1</v>
      </c>
      <c r="D363" s="93" t="s">
        <v>90</v>
      </c>
      <c r="E363" s="44">
        <v>0</v>
      </c>
      <c r="F363" s="161" t="s">
        <v>92</v>
      </c>
      <c r="G363" s="262">
        <f t="shared" si="65"/>
        <v>0</v>
      </c>
      <c r="H363" s="93"/>
      <c r="I363" s="270"/>
      <c r="J363" s="270"/>
      <c r="K363" s="121"/>
      <c r="L363" s="270"/>
      <c r="M363" s="1045" t="s">
        <v>699</v>
      </c>
      <c r="N363" s="1049" t="s">
        <v>700</v>
      </c>
      <c r="O363" s="1059" t="s">
        <v>429</v>
      </c>
      <c r="P363" s="1" t="str">
        <f t="shared" ref="P363:S363" si="66">+IF($J363&lt;&gt;"",P$2*$J363,"")</f>
        <v/>
      </c>
      <c r="Q363" s="1" t="str">
        <f t="shared" si="66"/>
        <v/>
      </c>
      <c r="R363" s="1" t="str">
        <f t="shared" si="66"/>
        <v/>
      </c>
      <c r="S363" s="1" t="str">
        <f t="shared" si="66"/>
        <v/>
      </c>
      <c r="T363" s="767" t="s">
        <v>745</v>
      </c>
      <c r="U363" s="794" t="s">
        <v>746</v>
      </c>
      <c r="V363" s="795">
        <v>1</v>
      </c>
      <c r="W363" s="796" t="s">
        <v>90</v>
      </c>
      <c r="X363" s="797" t="s">
        <v>92</v>
      </c>
      <c r="Y363" s="795"/>
      <c r="Z363" s="798"/>
      <c r="AA363" s="796">
        <v>0</v>
      </c>
      <c r="AB363" s="799"/>
      <c r="AC363" s="799"/>
      <c r="AD363" s="799"/>
      <c r="AE363" s="796" t="s">
        <v>92</v>
      </c>
      <c r="AF363" s="799" t="s">
        <v>92</v>
      </c>
      <c r="AG363" s="771"/>
      <c r="AH363" s="773"/>
      <c r="AI363" s="774"/>
      <c r="AJ363" s="770" t="s">
        <v>98</v>
      </c>
      <c r="AK363" s="770" t="s">
        <v>98</v>
      </c>
      <c r="AL363" s="770" t="s">
        <v>98</v>
      </c>
      <c r="AM363" s="770" t="s">
        <v>98</v>
      </c>
      <c r="AN363" s="164"/>
    </row>
    <row r="364" spans="1:40">
      <c r="A364" s="830" t="s">
        <v>3473</v>
      </c>
      <c r="B364" s="831" t="s">
        <v>3474</v>
      </c>
      <c r="C364" s="832">
        <v>1</v>
      </c>
      <c r="D364" s="833" t="s">
        <v>90</v>
      </c>
      <c r="E364" s="454">
        <v>2690.4133333333334</v>
      </c>
      <c r="F364" s="835">
        <f>rv_mbp16_mg</f>
        <v>0.17599999999999999</v>
      </c>
      <c r="G364" s="266">
        <f t="shared" ref="G364:G372" si="67">E364-(E364*F364)</f>
        <v>2216.9005866666666</v>
      </c>
      <c r="H364" s="832" t="s">
        <v>698</v>
      </c>
      <c r="I364" s="270">
        <f>mbp16_5pl</f>
        <v>62</v>
      </c>
      <c r="J364" s="270">
        <f>G364+I364</f>
        <v>2278.9005866666666</v>
      </c>
      <c r="K364" s="99" t="s">
        <v>92</v>
      </c>
      <c r="L364" s="216">
        <v>0.42</v>
      </c>
      <c r="M364" s="1045" t="s">
        <v>3669</v>
      </c>
      <c r="N364" s="1049" t="s">
        <v>700</v>
      </c>
      <c r="O364" s="1059" t="s">
        <v>429</v>
      </c>
      <c r="P364" s="1">
        <f t="shared" si="64"/>
        <v>458.76262229516084</v>
      </c>
      <c r="Q364" s="1">
        <f t="shared" si="64"/>
        <v>238.42189786167771</v>
      </c>
      <c r="R364" s="1">
        <f t="shared" si="64"/>
        <v>173.15872690822556</v>
      </c>
      <c r="S364" s="1">
        <f t="shared" si="64"/>
        <v>149.42496524930786</v>
      </c>
      <c r="T364" s="764" t="s">
        <v>747</v>
      </c>
      <c r="U364" s="775" t="s">
        <v>748</v>
      </c>
      <c r="V364" s="776">
        <v>1</v>
      </c>
      <c r="W364" s="777" t="s">
        <v>90</v>
      </c>
      <c r="X364" s="805" t="s">
        <v>747</v>
      </c>
      <c r="Y364" s="779">
        <v>2482.08</v>
      </c>
      <c r="Z364" s="780">
        <v>0.17599999999999999</v>
      </c>
      <c r="AA364" s="781">
        <v>2045.2339199999999</v>
      </c>
      <c r="AB364" s="776" t="s">
        <v>698</v>
      </c>
      <c r="AC364" s="782">
        <v>62</v>
      </c>
      <c r="AD364" s="782">
        <v>2107.2339199999997</v>
      </c>
      <c r="AE364" s="800" t="s">
        <v>92</v>
      </c>
      <c r="AF364" s="783">
        <v>0.42</v>
      </c>
      <c r="AG364" s="660" t="s">
        <v>699</v>
      </c>
      <c r="AH364" s="802" t="s">
        <v>700</v>
      </c>
      <c r="AI364" s="661" t="s">
        <v>429</v>
      </c>
      <c r="AJ364" s="770">
        <v>424.20462067743222</v>
      </c>
      <c r="AK364" s="770">
        <v>220.46188121780935</v>
      </c>
      <c r="AL364" s="770">
        <v>160.11490146603802</v>
      </c>
      <c r="AM364" s="770">
        <v>138.1689737193521</v>
      </c>
      <c r="AN364" s="185"/>
    </row>
    <row r="365" spans="1:40">
      <c r="A365" s="718" t="s">
        <v>3475</v>
      </c>
      <c r="B365" s="760" t="s">
        <v>3486</v>
      </c>
      <c r="C365" s="687">
        <v>1</v>
      </c>
      <c r="D365" s="647" t="s">
        <v>90</v>
      </c>
      <c r="E365" s="44">
        <v>575</v>
      </c>
      <c r="F365" s="837">
        <f t="shared" ref="F365:F372" si="68">rv_mbp16_mg_cto</f>
        <v>0.17599999999999999</v>
      </c>
      <c r="G365" s="93">
        <f t="shared" si="67"/>
        <v>473.8</v>
      </c>
      <c r="H365" s="93"/>
      <c r="I365" s="270"/>
      <c r="J365" s="270"/>
      <c r="K365" s="121"/>
      <c r="L365" s="270"/>
      <c r="M365" s="1045" t="s">
        <v>3669</v>
      </c>
      <c r="N365" s="1049" t="s">
        <v>700</v>
      </c>
      <c r="O365" s="1059" t="s">
        <v>429</v>
      </c>
      <c r="P365" s="1" t="str">
        <f t="shared" si="64"/>
        <v/>
      </c>
      <c r="Q365" s="1" t="str">
        <f t="shared" si="64"/>
        <v/>
      </c>
      <c r="R365" s="1" t="str">
        <f t="shared" si="64"/>
        <v/>
      </c>
      <c r="S365" s="1" t="str">
        <f t="shared" si="64"/>
        <v/>
      </c>
      <c r="T365" s="765" t="s">
        <v>749</v>
      </c>
      <c r="U365" s="817" t="s">
        <v>750</v>
      </c>
      <c r="V365" s="785">
        <v>1</v>
      </c>
      <c r="W365" s="786" t="s">
        <v>90</v>
      </c>
      <c r="X365" s="787" t="s">
        <v>92</v>
      </c>
      <c r="Y365" s="788">
        <v>575</v>
      </c>
      <c r="Z365" s="789">
        <v>0.17599999999999999</v>
      </c>
      <c r="AA365" s="790">
        <v>473.8</v>
      </c>
      <c r="AB365" s="790"/>
      <c r="AC365" s="791"/>
      <c r="AD365" s="791"/>
      <c r="AE365" s="807" t="s">
        <v>92</v>
      </c>
      <c r="AF365" s="791" t="s">
        <v>92</v>
      </c>
      <c r="AG365" s="660" t="s">
        <v>699</v>
      </c>
      <c r="AH365" s="802" t="s">
        <v>700</v>
      </c>
      <c r="AI365" s="661" t="s">
        <v>429</v>
      </c>
      <c r="AJ365" s="770" t="s">
        <v>98</v>
      </c>
      <c r="AK365" s="770" t="s">
        <v>98</v>
      </c>
      <c r="AL365" s="770" t="s">
        <v>98</v>
      </c>
      <c r="AM365" s="770" t="s">
        <v>98</v>
      </c>
      <c r="AN365" s="185"/>
    </row>
    <row r="366" spans="1:40">
      <c r="A366" s="718" t="s">
        <v>3476</v>
      </c>
      <c r="B366" s="760" t="s">
        <v>3487</v>
      </c>
      <c r="C366" s="687">
        <v>1</v>
      </c>
      <c r="D366" s="647" t="s">
        <v>90</v>
      </c>
      <c r="E366" s="44">
        <v>766.66666666666674</v>
      </c>
      <c r="F366" s="837">
        <f t="shared" si="68"/>
        <v>0.17599999999999999</v>
      </c>
      <c r="G366" s="93">
        <f t="shared" si="67"/>
        <v>631.73333333333335</v>
      </c>
      <c r="H366" s="93"/>
      <c r="I366" s="270"/>
      <c r="J366" s="270"/>
      <c r="K366" s="121"/>
      <c r="L366" s="270"/>
      <c r="M366" s="1045" t="s">
        <v>3669</v>
      </c>
      <c r="N366" s="1049" t="s">
        <v>700</v>
      </c>
      <c r="O366" s="1059" t="s">
        <v>429</v>
      </c>
      <c r="P366" s="1" t="str">
        <f t="shared" si="64"/>
        <v/>
      </c>
      <c r="Q366" s="1" t="str">
        <f t="shared" si="64"/>
        <v/>
      </c>
      <c r="R366" s="1" t="str">
        <f t="shared" si="64"/>
        <v/>
      </c>
      <c r="S366" s="1" t="str">
        <f t="shared" si="64"/>
        <v/>
      </c>
      <c r="T366" s="765" t="s">
        <v>751</v>
      </c>
      <c r="U366" s="817" t="s">
        <v>752</v>
      </c>
      <c r="V366" s="785">
        <v>1</v>
      </c>
      <c r="W366" s="786" t="s">
        <v>90</v>
      </c>
      <c r="X366" s="787" t="s">
        <v>92</v>
      </c>
      <c r="Y366" s="788">
        <v>725</v>
      </c>
      <c r="Z366" s="789">
        <v>0.17599999999999999</v>
      </c>
      <c r="AA366" s="790">
        <v>597.4</v>
      </c>
      <c r="AB366" s="790"/>
      <c r="AC366" s="791"/>
      <c r="AD366" s="791"/>
      <c r="AE366" s="807" t="s">
        <v>92</v>
      </c>
      <c r="AF366" s="791" t="s">
        <v>92</v>
      </c>
      <c r="AG366" s="660" t="s">
        <v>699</v>
      </c>
      <c r="AH366" s="802" t="s">
        <v>700</v>
      </c>
      <c r="AI366" s="661" t="s">
        <v>429</v>
      </c>
      <c r="AJ366" s="770" t="s">
        <v>98</v>
      </c>
      <c r="AK366" s="770" t="s">
        <v>98</v>
      </c>
      <c r="AL366" s="770" t="s">
        <v>98</v>
      </c>
      <c r="AM366" s="770" t="s">
        <v>98</v>
      </c>
      <c r="AN366" s="185"/>
    </row>
    <row r="367" spans="1:40">
      <c r="A367" s="718" t="s">
        <v>3477</v>
      </c>
      <c r="B367" s="760" t="s">
        <v>3488</v>
      </c>
      <c r="C367" s="687">
        <v>1</v>
      </c>
      <c r="D367" s="647" t="s">
        <v>90</v>
      </c>
      <c r="E367" s="44">
        <v>383.33333333333337</v>
      </c>
      <c r="F367" s="837">
        <f t="shared" si="68"/>
        <v>0.17599999999999999</v>
      </c>
      <c r="G367" s="93">
        <f t="shared" si="67"/>
        <v>315.86666666666667</v>
      </c>
      <c r="H367" s="93"/>
      <c r="I367" s="270"/>
      <c r="J367" s="270"/>
      <c r="K367" s="121"/>
      <c r="L367" s="270"/>
      <c r="M367" s="1045" t="s">
        <v>3669</v>
      </c>
      <c r="N367" s="1049" t="s">
        <v>700</v>
      </c>
      <c r="O367" s="1059" t="s">
        <v>429</v>
      </c>
      <c r="P367" s="1" t="str">
        <f t="shared" si="64"/>
        <v/>
      </c>
      <c r="Q367" s="1" t="str">
        <f t="shared" si="64"/>
        <v/>
      </c>
      <c r="R367" s="1" t="str">
        <f t="shared" si="64"/>
        <v/>
      </c>
      <c r="S367" s="1" t="str">
        <f t="shared" si="64"/>
        <v/>
      </c>
      <c r="T367" s="765" t="s">
        <v>753</v>
      </c>
      <c r="U367" s="817" t="s">
        <v>754</v>
      </c>
      <c r="V367" s="785">
        <v>1</v>
      </c>
      <c r="W367" s="786" t="s">
        <v>90</v>
      </c>
      <c r="X367" s="787" t="s">
        <v>92</v>
      </c>
      <c r="Y367" s="788">
        <v>383.33</v>
      </c>
      <c r="Z367" s="789">
        <v>0.17599999999999999</v>
      </c>
      <c r="AA367" s="790">
        <v>315.86392000000001</v>
      </c>
      <c r="AB367" s="790"/>
      <c r="AC367" s="791"/>
      <c r="AD367" s="791"/>
      <c r="AE367" s="807" t="s">
        <v>92</v>
      </c>
      <c r="AF367" s="791" t="s">
        <v>92</v>
      </c>
      <c r="AG367" s="660" t="s">
        <v>699</v>
      </c>
      <c r="AH367" s="802" t="s">
        <v>700</v>
      </c>
      <c r="AI367" s="661" t="s">
        <v>429</v>
      </c>
      <c r="AJ367" s="770" t="s">
        <v>98</v>
      </c>
      <c r="AK367" s="770" t="s">
        <v>98</v>
      </c>
      <c r="AL367" s="770" t="s">
        <v>98</v>
      </c>
      <c r="AM367" s="770" t="s">
        <v>98</v>
      </c>
      <c r="AN367" s="185"/>
    </row>
    <row r="368" spans="1:40">
      <c r="A368" s="718" t="s">
        <v>3478</v>
      </c>
      <c r="B368" s="760" t="s">
        <v>3489</v>
      </c>
      <c r="C368" s="687">
        <v>1</v>
      </c>
      <c r="D368" s="647" t="s">
        <v>90</v>
      </c>
      <c r="E368" s="44">
        <v>383.33333333333337</v>
      </c>
      <c r="F368" s="837">
        <f t="shared" si="68"/>
        <v>0.17599999999999999</v>
      </c>
      <c r="G368" s="93">
        <f t="shared" si="67"/>
        <v>315.86666666666667</v>
      </c>
      <c r="H368" s="93"/>
      <c r="I368" s="270"/>
      <c r="J368" s="270"/>
      <c r="K368" s="121"/>
      <c r="L368" s="270"/>
      <c r="M368" s="1045" t="s">
        <v>3669</v>
      </c>
      <c r="N368" s="1049" t="s">
        <v>700</v>
      </c>
      <c r="O368" s="1059" t="s">
        <v>429</v>
      </c>
      <c r="P368" s="1" t="str">
        <f t="shared" ref="P368:S369" si="69">+IF($J368&lt;&gt;"",P$2*$J368,"")</f>
        <v/>
      </c>
      <c r="Q368" s="1" t="str">
        <f t="shared" si="69"/>
        <v/>
      </c>
      <c r="R368" s="1" t="str">
        <f t="shared" si="69"/>
        <v/>
      </c>
      <c r="S368" s="1" t="str">
        <f t="shared" si="69"/>
        <v/>
      </c>
      <c r="T368" s="765" t="s">
        <v>755</v>
      </c>
      <c r="U368" s="817" t="s">
        <v>756</v>
      </c>
      <c r="V368" s="785">
        <v>1</v>
      </c>
      <c r="W368" s="786" t="s">
        <v>90</v>
      </c>
      <c r="X368" s="787" t="s">
        <v>92</v>
      </c>
      <c r="Y368" s="788">
        <v>383.33</v>
      </c>
      <c r="Z368" s="789">
        <v>0.17599999999999999</v>
      </c>
      <c r="AA368" s="790">
        <v>315.86392000000001</v>
      </c>
      <c r="AB368" s="790"/>
      <c r="AC368" s="791"/>
      <c r="AD368" s="791"/>
      <c r="AE368" s="807" t="s">
        <v>92</v>
      </c>
      <c r="AF368" s="791" t="s">
        <v>92</v>
      </c>
      <c r="AG368" s="660" t="s">
        <v>699</v>
      </c>
      <c r="AH368" s="802" t="s">
        <v>700</v>
      </c>
      <c r="AI368" s="661" t="s">
        <v>429</v>
      </c>
      <c r="AJ368" s="770" t="s">
        <v>98</v>
      </c>
      <c r="AK368" s="770" t="s">
        <v>98</v>
      </c>
      <c r="AL368" s="770" t="s">
        <v>98</v>
      </c>
      <c r="AM368" s="770" t="s">
        <v>98</v>
      </c>
      <c r="AN368" s="185"/>
    </row>
    <row r="369" spans="1:48">
      <c r="A369" s="718" t="s">
        <v>3479</v>
      </c>
      <c r="B369" s="760" t="s">
        <v>3490</v>
      </c>
      <c r="C369" s="687">
        <v>1</v>
      </c>
      <c r="D369" s="647" t="s">
        <v>90</v>
      </c>
      <c r="E369" s="44">
        <v>766.66666666666674</v>
      </c>
      <c r="F369" s="837">
        <f t="shared" si="68"/>
        <v>0.17599999999999999</v>
      </c>
      <c r="G369" s="93">
        <f t="shared" ref="G369" si="70">E369-(E369*F369)</f>
        <v>631.73333333333335</v>
      </c>
      <c r="H369" s="93"/>
      <c r="I369" s="270"/>
      <c r="J369" s="270"/>
      <c r="K369" s="121"/>
      <c r="L369" s="270"/>
      <c r="M369" s="1045" t="s">
        <v>3669</v>
      </c>
      <c r="N369" s="1049" t="s">
        <v>700</v>
      </c>
      <c r="O369" s="1059" t="s">
        <v>429</v>
      </c>
      <c r="P369" s="1" t="str">
        <f t="shared" si="69"/>
        <v/>
      </c>
      <c r="Q369" s="1" t="str">
        <f t="shared" si="69"/>
        <v/>
      </c>
      <c r="R369" s="1" t="str">
        <f t="shared" si="69"/>
        <v/>
      </c>
      <c r="S369" s="1" t="str">
        <f t="shared" si="69"/>
        <v/>
      </c>
      <c r="T369" s="422"/>
      <c r="U369" s="105"/>
      <c r="V369" s="87"/>
      <c r="W369" s="88"/>
      <c r="X369" s="208"/>
      <c r="Y369" s="171"/>
      <c r="Z369" s="89"/>
      <c r="AA369" s="108"/>
      <c r="AB369" s="108"/>
      <c r="AC369" s="269"/>
      <c r="AD369" s="269"/>
      <c r="AE369" s="109"/>
      <c r="AF369" s="269"/>
      <c r="AG369" s="41"/>
      <c r="AH369" s="185"/>
      <c r="AI369" s="42"/>
      <c r="AJ369" s="1"/>
      <c r="AK369" s="1"/>
      <c r="AL369" s="1"/>
      <c r="AM369" s="1"/>
      <c r="AN369" s="185"/>
    </row>
    <row r="370" spans="1:48">
      <c r="A370" s="718" t="s">
        <v>3480</v>
      </c>
      <c r="B370" s="760" t="s">
        <v>3491</v>
      </c>
      <c r="C370" s="687">
        <v>1</v>
      </c>
      <c r="D370" s="647" t="s">
        <v>90</v>
      </c>
      <c r="E370" s="44">
        <v>383.33333333333337</v>
      </c>
      <c r="F370" s="837">
        <f t="shared" si="68"/>
        <v>0.17599999999999999</v>
      </c>
      <c r="G370" s="93">
        <f t="shared" si="67"/>
        <v>315.86666666666667</v>
      </c>
      <c r="H370" s="93"/>
      <c r="I370" s="270"/>
      <c r="J370" s="270"/>
      <c r="K370" s="121"/>
      <c r="L370" s="270"/>
      <c r="M370" s="1045" t="s">
        <v>3669</v>
      </c>
      <c r="N370" s="1049" t="s">
        <v>700</v>
      </c>
      <c r="O370" s="1059" t="s">
        <v>429</v>
      </c>
      <c r="P370" s="1" t="str">
        <f t="shared" si="64"/>
        <v/>
      </c>
      <c r="Q370" s="1" t="str">
        <f t="shared" si="64"/>
        <v/>
      </c>
      <c r="R370" s="1" t="str">
        <f t="shared" si="64"/>
        <v/>
      </c>
      <c r="S370" s="1" t="str">
        <f t="shared" si="64"/>
        <v/>
      </c>
      <c r="T370" s="765" t="s">
        <v>757</v>
      </c>
      <c r="U370" s="817" t="s">
        <v>758</v>
      </c>
      <c r="V370" s="785">
        <v>1</v>
      </c>
      <c r="W370" s="786" t="s">
        <v>90</v>
      </c>
      <c r="X370" s="787" t="s">
        <v>92</v>
      </c>
      <c r="Y370" s="788">
        <v>383.33</v>
      </c>
      <c r="Z370" s="789">
        <v>0.17599999999999999</v>
      </c>
      <c r="AA370" s="790">
        <v>315.86392000000001</v>
      </c>
      <c r="AB370" s="790"/>
      <c r="AC370" s="791"/>
      <c r="AD370" s="791"/>
      <c r="AE370" s="807" t="s">
        <v>92</v>
      </c>
      <c r="AF370" s="791" t="s">
        <v>92</v>
      </c>
      <c r="AG370" s="660" t="s">
        <v>699</v>
      </c>
      <c r="AH370" s="802" t="s">
        <v>700</v>
      </c>
      <c r="AI370" s="661" t="s">
        <v>429</v>
      </c>
      <c r="AJ370" s="770" t="s">
        <v>98</v>
      </c>
      <c r="AK370" s="770" t="s">
        <v>98</v>
      </c>
      <c r="AL370" s="770" t="s">
        <v>98</v>
      </c>
      <c r="AM370" s="770" t="s">
        <v>98</v>
      </c>
      <c r="AN370" s="185"/>
    </row>
    <row r="371" spans="1:48">
      <c r="A371" s="718" t="s">
        <v>3481</v>
      </c>
      <c r="B371" s="760" t="s">
        <v>3492</v>
      </c>
      <c r="C371" s="687">
        <v>1</v>
      </c>
      <c r="D371" s="647" t="s">
        <v>90</v>
      </c>
      <c r="E371" s="44">
        <v>958.33333333333337</v>
      </c>
      <c r="F371" s="837">
        <f t="shared" si="68"/>
        <v>0.17599999999999999</v>
      </c>
      <c r="G371" s="93">
        <f t="shared" si="67"/>
        <v>789.66666666666674</v>
      </c>
      <c r="H371" s="93"/>
      <c r="I371" s="270"/>
      <c r="J371" s="270"/>
      <c r="K371" s="121"/>
      <c r="L371" s="270"/>
      <c r="M371" s="1045" t="s">
        <v>3669</v>
      </c>
      <c r="N371" s="1049" t="s">
        <v>700</v>
      </c>
      <c r="O371" s="1059" t="s">
        <v>429</v>
      </c>
      <c r="P371" s="1" t="str">
        <f t="shared" si="64"/>
        <v/>
      </c>
      <c r="Q371" s="1" t="str">
        <f t="shared" si="64"/>
        <v/>
      </c>
      <c r="R371" s="1" t="str">
        <f t="shared" si="64"/>
        <v/>
      </c>
      <c r="S371" s="1" t="str">
        <f t="shared" si="64"/>
        <v/>
      </c>
      <c r="T371" s="765" t="s">
        <v>759</v>
      </c>
      <c r="U371" s="817" t="s">
        <v>760</v>
      </c>
      <c r="V371" s="785">
        <v>1</v>
      </c>
      <c r="W371" s="786" t="s">
        <v>90</v>
      </c>
      <c r="X371" s="787" t="s">
        <v>92</v>
      </c>
      <c r="Y371" s="788">
        <v>958.33</v>
      </c>
      <c r="Z371" s="789">
        <v>0.17599999999999999</v>
      </c>
      <c r="AA371" s="790">
        <v>789.66392000000008</v>
      </c>
      <c r="AB371" s="790"/>
      <c r="AC371" s="791"/>
      <c r="AD371" s="791"/>
      <c r="AE371" s="807" t="s">
        <v>92</v>
      </c>
      <c r="AF371" s="791" t="s">
        <v>92</v>
      </c>
      <c r="AG371" s="660" t="s">
        <v>699</v>
      </c>
      <c r="AH371" s="802" t="s">
        <v>700</v>
      </c>
      <c r="AI371" s="661" t="s">
        <v>429</v>
      </c>
      <c r="AJ371" s="770" t="s">
        <v>98</v>
      </c>
      <c r="AK371" s="770" t="s">
        <v>98</v>
      </c>
      <c r="AL371" s="770" t="s">
        <v>98</v>
      </c>
      <c r="AM371" s="770" t="s">
        <v>98</v>
      </c>
      <c r="AN371" s="185"/>
    </row>
    <row r="372" spans="1:48">
      <c r="A372" s="718" t="s">
        <v>3482</v>
      </c>
      <c r="B372" s="760" t="s">
        <v>3493</v>
      </c>
      <c r="C372" s="687">
        <v>1</v>
      </c>
      <c r="D372" s="647" t="s">
        <v>90</v>
      </c>
      <c r="E372" s="44">
        <v>2108.3333333333335</v>
      </c>
      <c r="F372" s="837">
        <f t="shared" si="68"/>
        <v>0.17599999999999999</v>
      </c>
      <c r="G372" s="93">
        <f t="shared" si="67"/>
        <v>1737.2666666666669</v>
      </c>
      <c r="H372" s="93"/>
      <c r="I372" s="270"/>
      <c r="J372" s="270"/>
      <c r="K372" s="121"/>
      <c r="L372" s="270"/>
      <c r="M372" s="1045" t="s">
        <v>3669</v>
      </c>
      <c r="N372" s="1049" t="s">
        <v>700</v>
      </c>
      <c r="O372" s="1059" t="s">
        <v>429</v>
      </c>
      <c r="P372" s="1" t="str">
        <f t="shared" si="64"/>
        <v/>
      </c>
      <c r="Q372" s="1" t="str">
        <f t="shared" si="64"/>
        <v/>
      </c>
      <c r="R372" s="1" t="str">
        <f t="shared" si="64"/>
        <v/>
      </c>
      <c r="S372" s="1" t="str">
        <f t="shared" si="64"/>
        <v/>
      </c>
      <c r="T372" s="765" t="s">
        <v>761</v>
      </c>
      <c r="U372" s="817" t="s">
        <v>762</v>
      </c>
      <c r="V372" s="785">
        <v>1</v>
      </c>
      <c r="W372" s="786" t="s">
        <v>90</v>
      </c>
      <c r="X372" s="787" t="s">
        <v>92</v>
      </c>
      <c r="Y372" s="788">
        <v>2108.33</v>
      </c>
      <c r="Z372" s="789">
        <v>0.17599999999999999</v>
      </c>
      <c r="AA372" s="790">
        <v>1737.2639199999999</v>
      </c>
      <c r="AB372" s="790"/>
      <c r="AC372" s="791"/>
      <c r="AD372" s="791"/>
      <c r="AE372" s="807" t="s">
        <v>92</v>
      </c>
      <c r="AF372" s="791" t="s">
        <v>92</v>
      </c>
      <c r="AG372" s="660" t="s">
        <v>699</v>
      </c>
      <c r="AH372" s="802" t="s">
        <v>700</v>
      </c>
      <c r="AI372" s="661" t="s">
        <v>429</v>
      </c>
      <c r="AJ372" s="770" t="s">
        <v>98</v>
      </c>
      <c r="AK372" s="770" t="s">
        <v>98</v>
      </c>
      <c r="AL372" s="770" t="s">
        <v>98</v>
      </c>
      <c r="AM372" s="770" t="s">
        <v>98</v>
      </c>
      <c r="AN372" s="185"/>
    </row>
    <row r="373" spans="1:48">
      <c r="A373" s="718" t="s">
        <v>3483</v>
      </c>
      <c r="B373" s="760" t="s">
        <v>3494</v>
      </c>
      <c r="C373" s="687">
        <v>1</v>
      </c>
      <c r="D373" s="647" t="s">
        <v>90</v>
      </c>
      <c r="E373" s="44">
        <v>0</v>
      </c>
      <c r="F373" s="837" t="s">
        <v>92</v>
      </c>
      <c r="G373" s="262">
        <f t="shared" ref="G373:G375" si="71">E373</f>
        <v>0</v>
      </c>
      <c r="H373" s="108"/>
      <c r="I373" s="269"/>
      <c r="J373" s="269"/>
      <c r="K373" s="109"/>
      <c r="L373" s="269"/>
      <c r="M373" s="1045" t="s">
        <v>3669</v>
      </c>
      <c r="N373" s="1049" t="s">
        <v>700</v>
      </c>
      <c r="O373" s="1059" t="s">
        <v>429</v>
      </c>
      <c r="P373" s="1" t="str">
        <f t="shared" si="64"/>
        <v/>
      </c>
      <c r="Q373" s="1" t="str">
        <f t="shared" si="64"/>
        <v/>
      </c>
      <c r="R373" s="1" t="str">
        <f t="shared" si="64"/>
        <v/>
      </c>
      <c r="S373" s="1" t="str">
        <f t="shared" si="64"/>
        <v/>
      </c>
      <c r="T373" s="765" t="s">
        <v>763</v>
      </c>
      <c r="U373" s="817" t="s">
        <v>764</v>
      </c>
      <c r="V373" s="785">
        <v>1</v>
      </c>
      <c r="W373" s="786" t="s">
        <v>90</v>
      </c>
      <c r="X373" s="787" t="s">
        <v>92</v>
      </c>
      <c r="Y373" s="788">
        <v>0</v>
      </c>
      <c r="Z373" s="789"/>
      <c r="AA373" s="790">
        <v>0</v>
      </c>
      <c r="AB373" s="790"/>
      <c r="AC373" s="791"/>
      <c r="AD373" s="791"/>
      <c r="AE373" s="807" t="s">
        <v>92</v>
      </c>
      <c r="AF373" s="791" t="s">
        <v>92</v>
      </c>
      <c r="AG373" s="660" t="s">
        <v>699</v>
      </c>
      <c r="AH373" s="802" t="s">
        <v>700</v>
      </c>
      <c r="AI373" s="661" t="s">
        <v>429</v>
      </c>
      <c r="AJ373" s="770" t="s">
        <v>98</v>
      </c>
      <c r="AK373" s="770" t="s">
        <v>98</v>
      </c>
      <c r="AL373" s="770" t="s">
        <v>98</v>
      </c>
      <c r="AM373" s="770" t="s">
        <v>98</v>
      </c>
      <c r="AN373" s="185"/>
    </row>
    <row r="374" spans="1:48">
      <c r="A374" s="684" t="s">
        <v>3484</v>
      </c>
      <c r="B374" s="760" t="s">
        <v>3495</v>
      </c>
      <c r="C374" s="687">
        <v>1</v>
      </c>
      <c r="D374" s="647" t="s">
        <v>90</v>
      </c>
      <c r="E374" s="44">
        <v>0</v>
      </c>
      <c r="F374" s="837" t="s">
        <v>92</v>
      </c>
      <c r="G374" s="262">
        <f t="shared" si="71"/>
        <v>0</v>
      </c>
      <c r="H374" s="108"/>
      <c r="I374" s="269"/>
      <c r="J374" s="269"/>
      <c r="K374" s="109"/>
      <c r="L374" s="269"/>
      <c r="M374" s="1045" t="s">
        <v>3669</v>
      </c>
      <c r="N374" s="1049" t="s">
        <v>700</v>
      </c>
      <c r="O374" s="1059" t="s">
        <v>429</v>
      </c>
      <c r="P374" s="1" t="str">
        <f t="shared" si="64"/>
        <v/>
      </c>
      <c r="Q374" s="1" t="str">
        <f t="shared" si="64"/>
        <v/>
      </c>
      <c r="R374" s="1" t="str">
        <f t="shared" si="64"/>
        <v/>
      </c>
      <c r="S374" s="1" t="str">
        <f t="shared" si="64"/>
        <v/>
      </c>
      <c r="T374" s="766" t="s">
        <v>765</v>
      </c>
      <c r="U374" s="817" t="s">
        <v>766</v>
      </c>
      <c r="V374" s="785">
        <v>1</v>
      </c>
      <c r="W374" s="786" t="s">
        <v>90</v>
      </c>
      <c r="X374" s="787" t="s">
        <v>92</v>
      </c>
      <c r="Y374" s="788">
        <v>0</v>
      </c>
      <c r="Z374" s="808"/>
      <c r="AA374" s="790">
        <v>0</v>
      </c>
      <c r="AB374" s="790"/>
      <c r="AC374" s="791"/>
      <c r="AD374" s="791"/>
      <c r="AE374" s="807" t="s">
        <v>92</v>
      </c>
      <c r="AF374" s="791" t="s">
        <v>92</v>
      </c>
      <c r="AG374" s="660" t="s">
        <v>699</v>
      </c>
      <c r="AH374" s="802" t="s">
        <v>700</v>
      </c>
      <c r="AI374" s="661" t="s">
        <v>429</v>
      </c>
      <c r="AJ374" s="770" t="s">
        <v>98</v>
      </c>
      <c r="AK374" s="770" t="s">
        <v>98</v>
      </c>
      <c r="AL374" s="770" t="s">
        <v>98</v>
      </c>
      <c r="AM374" s="770" t="s">
        <v>98</v>
      </c>
      <c r="AN374" s="185"/>
    </row>
    <row r="375" spans="1:48" customFormat="1">
      <c r="A375" s="838" t="s">
        <v>3485</v>
      </c>
      <c r="B375" s="840" t="s">
        <v>3496</v>
      </c>
      <c r="C375" s="687">
        <v>1</v>
      </c>
      <c r="D375" s="647" t="s">
        <v>90</v>
      </c>
      <c r="E375" s="44">
        <v>0</v>
      </c>
      <c r="F375" s="837" t="s">
        <v>92</v>
      </c>
      <c r="G375" s="262">
        <f t="shared" si="71"/>
        <v>0</v>
      </c>
      <c r="H375" s="403"/>
      <c r="I375" s="403"/>
      <c r="J375" s="403"/>
      <c r="K375" s="285"/>
      <c r="L375" s="403"/>
      <c r="M375" s="1045" t="s">
        <v>3669</v>
      </c>
      <c r="N375" s="1049" t="s">
        <v>1694</v>
      </c>
      <c r="O375" s="1059" t="s">
        <v>95</v>
      </c>
      <c r="P375" s="1" t="str">
        <f t="shared" ref="P375:S375" si="72">+IF($J375&lt;&gt;"",P$2*$J375,"")</f>
        <v/>
      </c>
      <c r="Q375" s="1" t="str">
        <f t="shared" si="72"/>
        <v/>
      </c>
      <c r="R375" s="1" t="str">
        <f t="shared" si="72"/>
        <v/>
      </c>
      <c r="S375" s="1" t="str">
        <f t="shared" si="72"/>
        <v/>
      </c>
      <c r="T375" s="767" t="s">
        <v>767</v>
      </c>
      <c r="U375" s="794" t="s">
        <v>768</v>
      </c>
      <c r="V375" s="795">
        <v>1</v>
      </c>
      <c r="W375" s="796" t="s">
        <v>90</v>
      </c>
      <c r="X375" s="797" t="s">
        <v>92</v>
      </c>
      <c r="Y375" s="795"/>
      <c r="Z375" s="798"/>
      <c r="AA375" s="796">
        <v>0</v>
      </c>
      <c r="AB375" s="799"/>
      <c r="AC375" s="799"/>
      <c r="AD375" s="799"/>
      <c r="AE375" s="796" t="s">
        <v>92</v>
      </c>
      <c r="AF375" s="799" t="s">
        <v>92</v>
      </c>
      <c r="AG375" s="771"/>
      <c r="AH375" s="773"/>
      <c r="AI375" s="774"/>
      <c r="AJ375" s="770" t="s">
        <v>98</v>
      </c>
      <c r="AK375" s="770" t="s">
        <v>98</v>
      </c>
      <c r="AL375" s="770" t="s">
        <v>98</v>
      </c>
      <c r="AM375" s="770" t="s">
        <v>98</v>
      </c>
      <c r="AN375" s="287"/>
      <c r="AO375" s="284"/>
      <c r="AP375" s="284"/>
      <c r="AQ375" s="284"/>
      <c r="AR375" s="284"/>
      <c r="AS375" s="284"/>
      <c r="AT375" s="284"/>
      <c r="AU375" s="284"/>
      <c r="AV375" s="284"/>
    </row>
    <row r="376" spans="1:48">
      <c r="A376" s="830" t="s">
        <v>3497</v>
      </c>
      <c r="B376" s="831" t="s">
        <v>3498</v>
      </c>
      <c r="C376" s="832">
        <v>1</v>
      </c>
      <c r="D376" s="833" t="s">
        <v>90</v>
      </c>
      <c r="E376" s="454">
        <v>2690.4133333333334</v>
      </c>
      <c r="F376" s="835">
        <f>rv_mbp16_mg</f>
        <v>0.17599999999999999</v>
      </c>
      <c r="G376" s="266">
        <f t="shared" ref="G376:G384" si="73">E376-(E376*F376)</f>
        <v>2216.9005866666666</v>
      </c>
      <c r="H376" s="832" t="s">
        <v>698</v>
      </c>
      <c r="I376" s="270">
        <f>mbp16_5pl</f>
        <v>62</v>
      </c>
      <c r="J376" s="270">
        <f>G376+I376</f>
        <v>2278.9005866666666</v>
      </c>
      <c r="K376" s="99" t="s">
        <v>92</v>
      </c>
      <c r="L376" s="216">
        <v>0.42</v>
      </c>
      <c r="M376" s="1045" t="s">
        <v>3669</v>
      </c>
      <c r="N376" s="1049" t="s">
        <v>700</v>
      </c>
      <c r="O376" s="1059" t="s">
        <v>429</v>
      </c>
      <c r="P376" s="1">
        <f t="shared" ref="P376:S386" si="74">+IF($J376&lt;&gt;"",P$2*$J376,"")</f>
        <v>458.76262229516084</v>
      </c>
      <c r="Q376" s="1">
        <f t="shared" si="74"/>
        <v>238.42189786167771</v>
      </c>
      <c r="R376" s="1">
        <f t="shared" si="74"/>
        <v>173.15872690822556</v>
      </c>
      <c r="S376" s="1">
        <f t="shared" si="74"/>
        <v>149.42496524930786</v>
      </c>
      <c r="T376" s="764" t="s">
        <v>769</v>
      </c>
      <c r="U376" s="775" t="s">
        <v>770</v>
      </c>
      <c r="V376" s="776">
        <v>1</v>
      </c>
      <c r="W376" s="777" t="s">
        <v>90</v>
      </c>
      <c r="X376" s="805" t="s">
        <v>769</v>
      </c>
      <c r="Y376" s="779">
        <v>2482.08</v>
      </c>
      <c r="Z376" s="780">
        <v>0.17599999999999999</v>
      </c>
      <c r="AA376" s="781">
        <v>2045.2339199999999</v>
      </c>
      <c r="AB376" s="776" t="s">
        <v>698</v>
      </c>
      <c r="AC376" s="782">
        <v>62</v>
      </c>
      <c r="AD376" s="782">
        <v>2107.2339199999997</v>
      </c>
      <c r="AE376" s="800" t="s">
        <v>92</v>
      </c>
      <c r="AF376" s="783">
        <v>0.42</v>
      </c>
      <c r="AG376" s="660" t="s">
        <v>699</v>
      </c>
      <c r="AH376" s="802" t="s">
        <v>700</v>
      </c>
      <c r="AI376" s="661" t="s">
        <v>429</v>
      </c>
      <c r="AJ376" s="770">
        <v>424.20462067743222</v>
      </c>
      <c r="AK376" s="770">
        <v>220.46188121780935</v>
      </c>
      <c r="AL376" s="770">
        <v>160.11490146603802</v>
      </c>
      <c r="AM376" s="770">
        <v>138.1689737193521</v>
      </c>
      <c r="AN376" s="185"/>
    </row>
    <row r="377" spans="1:48">
      <c r="A377" s="718" t="s">
        <v>3499</v>
      </c>
      <c r="B377" s="760" t="s">
        <v>3510</v>
      </c>
      <c r="C377" s="263">
        <v>1</v>
      </c>
      <c r="D377" s="264" t="s">
        <v>90</v>
      </c>
      <c r="E377" s="44">
        <v>575</v>
      </c>
      <c r="F377" s="837">
        <f t="shared" ref="F377:F384" si="75">rv_mbp16_mg_cto</f>
        <v>0.17599999999999999</v>
      </c>
      <c r="G377" s="93">
        <f t="shared" si="73"/>
        <v>473.8</v>
      </c>
      <c r="H377" s="93"/>
      <c r="I377" s="270"/>
      <c r="J377" s="270"/>
      <c r="K377" s="121"/>
      <c r="L377" s="270"/>
      <c r="M377" s="1045" t="s">
        <v>3669</v>
      </c>
      <c r="N377" s="1049" t="s">
        <v>700</v>
      </c>
      <c r="O377" s="1059" t="s">
        <v>429</v>
      </c>
      <c r="P377" s="1" t="str">
        <f t="shared" si="74"/>
        <v/>
      </c>
      <c r="Q377" s="1" t="str">
        <f t="shared" si="74"/>
        <v/>
      </c>
      <c r="R377" s="1" t="str">
        <f t="shared" si="74"/>
        <v/>
      </c>
      <c r="S377" s="1" t="str">
        <f t="shared" si="74"/>
        <v/>
      </c>
      <c r="T377" s="765" t="s">
        <v>771</v>
      </c>
      <c r="U377" s="817" t="s">
        <v>772</v>
      </c>
      <c r="V377" s="785">
        <v>1</v>
      </c>
      <c r="W377" s="786" t="s">
        <v>90</v>
      </c>
      <c r="X377" s="787" t="s">
        <v>92</v>
      </c>
      <c r="Y377" s="788">
        <v>575</v>
      </c>
      <c r="Z377" s="789">
        <v>0.17599999999999999</v>
      </c>
      <c r="AA377" s="790">
        <v>473.8</v>
      </c>
      <c r="AB377" s="790"/>
      <c r="AC377" s="791"/>
      <c r="AD377" s="791"/>
      <c r="AE377" s="807" t="s">
        <v>92</v>
      </c>
      <c r="AF377" s="791" t="s">
        <v>92</v>
      </c>
      <c r="AG377" s="660" t="s">
        <v>699</v>
      </c>
      <c r="AH377" s="802" t="s">
        <v>700</v>
      </c>
      <c r="AI377" s="661" t="s">
        <v>429</v>
      </c>
      <c r="AJ377" s="770" t="s">
        <v>98</v>
      </c>
      <c r="AK377" s="770" t="s">
        <v>98</v>
      </c>
      <c r="AL377" s="770" t="s">
        <v>98</v>
      </c>
      <c r="AM377" s="770" t="s">
        <v>98</v>
      </c>
      <c r="AN377" s="185"/>
    </row>
    <row r="378" spans="1:48">
      <c r="A378" s="718" t="s">
        <v>3500</v>
      </c>
      <c r="B378" s="760" t="s">
        <v>3511</v>
      </c>
      <c r="C378" s="263">
        <v>1</v>
      </c>
      <c r="D378" s="264" t="s">
        <v>90</v>
      </c>
      <c r="E378" s="44">
        <v>766.66666666666674</v>
      </c>
      <c r="F378" s="837">
        <f t="shared" si="75"/>
        <v>0.17599999999999999</v>
      </c>
      <c r="G378" s="93">
        <f t="shared" si="73"/>
        <v>631.73333333333335</v>
      </c>
      <c r="H378" s="93"/>
      <c r="I378" s="270"/>
      <c r="J378" s="270"/>
      <c r="K378" s="121"/>
      <c r="L378" s="270"/>
      <c r="M378" s="1045" t="s">
        <v>3669</v>
      </c>
      <c r="N378" s="1049" t="s">
        <v>700</v>
      </c>
      <c r="O378" s="1059" t="s">
        <v>429</v>
      </c>
      <c r="P378" s="1" t="str">
        <f t="shared" si="74"/>
        <v/>
      </c>
      <c r="Q378" s="1" t="str">
        <f t="shared" si="74"/>
        <v/>
      </c>
      <c r="R378" s="1" t="str">
        <f t="shared" si="74"/>
        <v/>
      </c>
      <c r="S378" s="1" t="str">
        <f t="shared" si="74"/>
        <v/>
      </c>
      <c r="T378" s="765" t="s">
        <v>773</v>
      </c>
      <c r="U378" s="817" t="s">
        <v>774</v>
      </c>
      <c r="V378" s="785">
        <v>1</v>
      </c>
      <c r="W378" s="786" t="s">
        <v>90</v>
      </c>
      <c r="X378" s="787" t="s">
        <v>92</v>
      </c>
      <c r="Y378" s="788">
        <v>725</v>
      </c>
      <c r="Z378" s="789">
        <v>0.17599999999999999</v>
      </c>
      <c r="AA378" s="790">
        <v>597.4</v>
      </c>
      <c r="AB378" s="790"/>
      <c r="AC378" s="791"/>
      <c r="AD378" s="791"/>
      <c r="AE378" s="807" t="s">
        <v>92</v>
      </c>
      <c r="AF378" s="791" t="s">
        <v>92</v>
      </c>
      <c r="AG378" s="660" t="s">
        <v>699</v>
      </c>
      <c r="AH378" s="802" t="s">
        <v>700</v>
      </c>
      <c r="AI378" s="661" t="s">
        <v>429</v>
      </c>
      <c r="AJ378" s="770" t="s">
        <v>98</v>
      </c>
      <c r="AK378" s="770" t="s">
        <v>98</v>
      </c>
      <c r="AL378" s="770" t="s">
        <v>98</v>
      </c>
      <c r="AM378" s="770" t="s">
        <v>98</v>
      </c>
      <c r="AN378" s="185"/>
    </row>
    <row r="379" spans="1:48">
      <c r="A379" s="718" t="s">
        <v>3501</v>
      </c>
      <c r="B379" s="760" t="s">
        <v>3512</v>
      </c>
      <c r="C379" s="263">
        <v>1</v>
      </c>
      <c r="D379" s="264" t="s">
        <v>90</v>
      </c>
      <c r="E379" s="44">
        <v>383.33333333333337</v>
      </c>
      <c r="F379" s="837">
        <f t="shared" si="75"/>
        <v>0.17599999999999999</v>
      </c>
      <c r="G379" s="93">
        <f t="shared" si="73"/>
        <v>315.86666666666667</v>
      </c>
      <c r="H379" s="93"/>
      <c r="I379" s="270"/>
      <c r="J379" s="270"/>
      <c r="K379" s="121"/>
      <c r="L379" s="270"/>
      <c r="M379" s="1045" t="s">
        <v>3669</v>
      </c>
      <c r="N379" s="1049" t="s">
        <v>700</v>
      </c>
      <c r="O379" s="1059" t="s">
        <v>429</v>
      </c>
      <c r="P379" s="1" t="str">
        <f t="shared" si="74"/>
        <v/>
      </c>
      <c r="Q379" s="1" t="str">
        <f t="shared" si="74"/>
        <v/>
      </c>
      <c r="R379" s="1" t="str">
        <f t="shared" si="74"/>
        <v/>
      </c>
      <c r="S379" s="1" t="str">
        <f t="shared" si="74"/>
        <v/>
      </c>
      <c r="T379" s="765" t="s">
        <v>775</v>
      </c>
      <c r="U379" s="817" t="s">
        <v>776</v>
      </c>
      <c r="V379" s="785">
        <v>1</v>
      </c>
      <c r="W379" s="786" t="s">
        <v>90</v>
      </c>
      <c r="X379" s="787" t="s">
        <v>92</v>
      </c>
      <c r="Y379" s="788">
        <v>383.33</v>
      </c>
      <c r="Z379" s="789">
        <v>0.17599999999999999</v>
      </c>
      <c r="AA379" s="790">
        <v>315.86392000000001</v>
      </c>
      <c r="AB379" s="790"/>
      <c r="AC379" s="791"/>
      <c r="AD379" s="791"/>
      <c r="AE379" s="807" t="s">
        <v>92</v>
      </c>
      <c r="AF379" s="791" t="s">
        <v>92</v>
      </c>
      <c r="AG379" s="660" t="s">
        <v>699</v>
      </c>
      <c r="AH379" s="802" t="s">
        <v>700</v>
      </c>
      <c r="AI379" s="661" t="s">
        <v>429</v>
      </c>
      <c r="AJ379" s="770" t="s">
        <v>98</v>
      </c>
      <c r="AK379" s="770" t="s">
        <v>98</v>
      </c>
      <c r="AL379" s="770" t="s">
        <v>98</v>
      </c>
      <c r="AM379" s="770" t="s">
        <v>98</v>
      </c>
      <c r="AN379" s="185"/>
    </row>
    <row r="380" spans="1:48">
      <c r="A380" s="718" t="s">
        <v>3502</v>
      </c>
      <c r="B380" s="760" t="s">
        <v>3513</v>
      </c>
      <c r="C380" s="263">
        <v>1</v>
      </c>
      <c r="D380" s="264" t="s">
        <v>90</v>
      </c>
      <c r="E380" s="44">
        <v>383.33333333333337</v>
      </c>
      <c r="F380" s="837">
        <f t="shared" si="75"/>
        <v>0.17599999999999999</v>
      </c>
      <c r="G380" s="93">
        <f t="shared" si="73"/>
        <v>315.86666666666667</v>
      </c>
      <c r="H380" s="93"/>
      <c r="I380" s="270"/>
      <c r="J380" s="270"/>
      <c r="K380" s="121"/>
      <c r="L380" s="270"/>
      <c r="M380" s="1045" t="s">
        <v>3669</v>
      </c>
      <c r="N380" s="1049" t="s">
        <v>700</v>
      </c>
      <c r="O380" s="1059" t="s">
        <v>429</v>
      </c>
      <c r="P380" s="1" t="str">
        <f t="shared" si="74"/>
        <v/>
      </c>
      <c r="Q380" s="1" t="str">
        <f t="shared" si="74"/>
        <v/>
      </c>
      <c r="R380" s="1" t="str">
        <f t="shared" si="74"/>
        <v/>
      </c>
      <c r="S380" s="1" t="str">
        <f t="shared" si="74"/>
        <v/>
      </c>
      <c r="T380" s="765" t="s">
        <v>777</v>
      </c>
      <c r="U380" s="817" t="s">
        <v>778</v>
      </c>
      <c r="V380" s="785">
        <v>1</v>
      </c>
      <c r="W380" s="786" t="s">
        <v>90</v>
      </c>
      <c r="X380" s="787" t="s">
        <v>92</v>
      </c>
      <c r="Y380" s="788">
        <v>383.33</v>
      </c>
      <c r="Z380" s="789">
        <v>0.17599999999999999</v>
      </c>
      <c r="AA380" s="790">
        <v>315.86392000000001</v>
      </c>
      <c r="AB380" s="790"/>
      <c r="AC380" s="791"/>
      <c r="AD380" s="791"/>
      <c r="AE380" s="807" t="s">
        <v>92</v>
      </c>
      <c r="AF380" s="791" t="s">
        <v>92</v>
      </c>
      <c r="AG380" s="660" t="s">
        <v>699</v>
      </c>
      <c r="AH380" s="802" t="s">
        <v>700</v>
      </c>
      <c r="AI380" s="661" t="s">
        <v>429</v>
      </c>
      <c r="AJ380" s="770" t="s">
        <v>98</v>
      </c>
      <c r="AK380" s="770" t="s">
        <v>98</v>
      </c>
      <c r="AL380" s="770" t="s">
        <v>98</v>
      </c>
      <c r="AM380" s="770" t="s">
        <v>98</v>
      </c>
      <c r="AN380" s="185"/>
    </row>
    <row r="381" spans="1:48">
      <c r="A381" s="718" t="s">
        <v>3503</v>
      </c>
      <c r="B381" s="760" t="s">
        <v>3514</v>
      </c>
      <c r="C381" s="263">
        <v>1</v>
      </c>
      <c r="D381" s="264" t="s">
        <v>90</v>
      </c>
      <c r="E381" s="44">
        <v>766.66666666666674</v>
      </c>
      <c r="F381" s="837">
        <f t="shared" si="75"/>
        <v>0.17599999999999999</v>
      </c>
      <c r="G381" s="93">
        <f t="shared" si="73"/>
        <v>631.73333333333335</v>
      </c>
      <c r="H381" s="93"/>
      <c r="I381" s="270"/>
      <c r="J381" s="270"/>
      <c r="K381" s="121"/>
      <c r="L381" s="270"/>
      <c r="M381" s="1045" t="s">
        <v>3669</v>
      </c>
      <c r="N381" s="1049" t="s">
        <v>700</v>
      </c>
      <c r="O381" s="1059" t="s">
        <v>429</v>
      </c>
      <c r="P381" s="1" t="str">
        <f t="shared" si="74"/>
        <v/>
      </c>
      <c r="Q381" s="1" t="str">
        <f t="shared" si="74"/>
        <v/>
      </c>
      <c r="R381" s="1" t="str">
        <f t="shared" si="74"/>
        <v/>
      </c>
      <c r="S381" s="1" t="str">
        <f t="shared" si="74"/>
        <v/>
      </c>
      <c r="T381" s="422"/>
      <c r="U381" s="105"/>
      <c r="V381" s="87"/>
      <c r="W381" s="88"/>
      <c r="X381" s="208"/>
      <c r="Y381" s="171"/>
      <c r="Z381" s="89"/>
      <c r="AA381" s="108"/>
      <c r="AB381" s="108"/>
      <c r="AC381" s="269"/>
      <c r="AD381" s="269"/>
      <c r="AE381" s="109"/>
      <c r="AF381" s="269"/>
      <c r="AG381" s="41"/>
      <c r="AH381" s="185"/>
      <c r="AI381" s="42"/>
      <c r="AJ381" s="1"/>
      <c r="AK381" s="1"/>
      <c r="AL381" s="1"/>
      <c r="AM381" s="1"/>
      <c r="AN381" s="185"/>
    </row>
    <row r="382" spans="1:48">
      <c r="A382" s="718" t="s">
        <v>3504</v>
      </c>
      <c r="B382" s="760" t="s">
        <v>3515</v>
      </c>
      <c r="C382" s="263">
        <v>1</v>
      </c>
      <c r="D382" s="264" t="s">
        <v>90</v>
      </c>
      <c r="E382" s="44">
        <v>383.33333333333337</v>
      </c>
      <c r="F382" s="837">
        <f t="shared" si="75"/>
        <v>0.17599999999999999</v>
      </c>
      <c r="G382" s="93">
        <f t="shared" si="73"/>
        <v>315.86666666666667</v>
      </c>
      <c r="H382" s="93"/>
      <c r="I382" s="270"/>
      <c r="J382" s="270"/>
      <c r="K382" s="121"/>
      <c r="L382" s="270"/>
      <c r="M382" s="1045" t="s">
        <v>3669</v>
      </c>
      <c r="N382" s="1049" t="s">
        <v>700</v>
      </c>
      <c r="O382" s="1059" t="s">
        <v>429</v>
      </c>
      <c r="P382" s="1" t="str">
        <f t="shared" si="74"/>
        <v/>
      </c>
      <c r="Q382" s="1" t="str">
        <f t="shared" si="74"/>
        <v/>
      </c>
      <c r="R382" s="1" t="str">
        <f t="shared" si="74"/>
        <v/>
      </c>
      <c r="S382" s="1" t="str">
        <f t="shared" si="74"/>
        <v/>
      </c>
      <c r="T382" s="765" t="s">
        <v>779</v>
      </c>
      <c r="U382" s="817" t="s">
        <v>780</v>
      </c>
      <c r="V382" s="785">
        <v>1</v>
      </c>
      <c r="W382" s="786" t="s">
        <v>90</v>
      </c>
      <c r="X382" s="787" t="s">
        <v>92</v>
      </c>
      <c r="Y382" s="788">
        <v>383.33</v>
      </c>
      <c r="Z382" s="789">
        <v>0.17599999999999999</v>
      </c>
      <c r="AA382" s="790">
        <v>315.86392000000001</v>
      </c>
      <c r="AB382" s="790"/>
      <c r="AC382" s="791"/>
      <c r="AD382" s="791"/>
      <c r="AE382" s="807" t="s">
        <v>92</v>
      </c>
      <c r="AF382" s="791" t="s">
        <v>92</v>
      </c>
      <c r="AG382" s="660" t="s">
        <v>699</v>
      </c>
      <c r="AH382" s="802" t="s">
        <v>700</v>
      </c>
      <c r="AI382" s="661" t="s">
        <v>429</v>
      </c>
      <c r="AJ382" s="770" t="s">
        <v>98</v>
      </c>
      <c r="AK382" s="770" t="s">
        <v>98</v>
      </c>
      <c r="AL382" s="770" t="s">
        <v>98</v>
      </c>
      <c r="AM382" s="770" t="s">
        <v>98</v>
      </c>
      <c r="AN382" s="185"/>
    </row>
    <row r="383" spans="1:48">
      <c r="A383" s="718" t="s">
        <v>3505</v>
      </c>
      <c r="B383" s="760" t="s">
        <v>3516</v>
      </c>
      <c r="C383" s="263">
        <v>1</v>
      </c>
      <c r="D383" s="264" t="s">
        <v>90</v>
      </c>
      <c r="E383" s="44">
        <v>958.33333333333337</v>
      </c>
      <c r="F383" s="837">
        <f t="shared" si="75"/>
        <v>0.17599999999999999</v>
      </c>
      <c r="G383" s="93">
        <f t="shared" si="73"/>
        <v>789.66666666666674</v>
      </c>
      <c r="H383" s="93"/>
      <c r="I383" s="270"/>
      <c r="J383" s="270"/>
      <c r="K383" s="121"/>
      <c r="L383" s="270"/>
      <c r="M383" s="1045" t="s">
        <v>3669</v>
      </c>
      <c r="N383" s="1049" t="s">
        <v>700</v>
      </c>
      <c r="O383" s="1059" t="s">
        <v>429</v>
      </c>
      <c r="P383" s="1" t="str">
        <f t="shared" si="74"/>
        <v/>
      </c>
      <c r="Q383" s="1" t="str">
        <f t="shared" si="74"/>
        <v/>
      </c>
      <c r="R383" s="1" t="str">
        <f t="shared" si="74"/>
        <v/>
      </c>
      <c r="S383" s="1" t="str">
        <f t="shared" si="74"/>
        <v/>
      </c>
      <c r="T383" s="765" t="s">
        <v>781</v>
      </c>
      <c r="U383" s="817" t="s">
        <v>782</v>
      </c>
      <c r="V383" s="785">
        <v>1</v>
      </c>
      <c r="W383" s="786" t="s">
        <v>90</v>
      </c>
      <c r="X383" s="787" t="s">
        <v>92</v>
      </c>
      <c r="Y383" s="788">
        <v>958.33</v>
      </c>
      <c r="Z383" s="789">
        <v>0.17599999999999999</v>
      </c>
      <c r="AA383" s="790">
        <v>789.66392000000008</v>
      </c>
      <c r="AB383" s="790"/>
      <c r="AC383" s="791"/>
      <c r="AD383" s="791"/>
      <c r="AE383" s="807" t="s">
        <v>92</v>
      </c>
      <c r="AF383" s="791" t="s">
        <v>92</v>
      </c>
      <c r="AG383" s="660" t="s">
        <v>699</v>
      </c>
      <c r="AH383" s="802" t="s">
        <v>700</v>
      </c>
      <c r="AI383" s="661" t="s">
        <v>429</v>
      </c>
      <c r="AJ383" s="770" t="s">
        <v>98</v>
      </c>
      <c r="AK383" s="770" t="s">
        <v>98</v>
      </c>
      <c r="AL383" s="770" t="s">
        <v>98</v>
      </c>
      <c r="AM383" s="770" t="s">
        <v>98</v>
      </c>
      <c r="AN383" s="185"/>
    </row>
    <row r="384" spans="1:48">
      <c r="A384" s="718" t="s">
        <v>3506</v>
      </c>
      <c r="B384" s="760" t="s">
        <v>3517</v>
      </c>
      <c r="C384" s="263">
        <v>1</v>
      </c>
      <c r="D384" s="264" t="s">
        <v>90</v>
      </c>
      <c r="E384" s="44">
        <v>2108.3333333333335</v>
      </c>
      <c r="F384" s="837">
        <f t="shared" si="75"/>
        <v>0.17599999999999999</v>
      </c>
      <c r="G384" s="93">
        <f t="shared" si="73"/>
        <v>1737.2666666666669</v>
      </c>
      <c r="H384" s="93"/>
      <c r="I384" s="270"/>
      <c r="J384" s="270"/>
      <c r="K384" s="121"/>
      <c r="L384" s="270"/>
      <c r="M384" s="1045" t="s">
        <v>3669</v>
      </c>
      <c r="N384" s="1049" t="s">
        <v>700</v>
      </c>
      <c r="O384" s="1059" t="s">
        <v>429</v>
      </c>
      <c r="P384" s="1" t="str">
        <f t="shared" si="74"/>
        <v/>
      </c>
      <c r="Q384" s="1" t="str">
        <f t="shared" si="74"/>
        <v/>
      </c>
      <c r="R384" s="1" t="str">
        <f t="shared" si="74"/>
        <v/>
      </c>
      <c r="S384" s="1" t="str">
        <f t="shared" si="74"/>
        <v/>
      </c>
      <c r="T384" s="765" t="s">
        <v>783</v>
      </c>
      <c r="U384" s="817" t="s">
        <v>784</v>
      </c>
      <c r="V384" s="785">
        <v>1</v>
      </c>
      <c r="W384" s="786" t="s">
        <v>90</v>
      </c>
      <c r="X384" s="787" t="s">
        <v>92</v>
      </c>
      <c r="Y384" s="788">
        <v>2108.33</v>
      </c>
      <c r="Z384" s="789">
        <v>0.17599999999999999</v>
      </c>
      <c r="AA384" s="790">
        <v>1737.2639199999999</v>
      </c>
      <c r="AB384" s="790"/>
      <c r="AC384" s="791"/>
      <c r="AD384" s="791"/>
      <c r="AE384" s="807" t="s">
        <v>92</v>
      </c>
      <c r="AF384" s="791" t="s">
        <v>92</v>
      </c>
      <c r="AG384" s="660" t="s">
        <v>699</v>
      </c>
      <c r="AH384" s="802" t="s">
        <v>700</v>
      </c>
      <c r="AI384" s="661" t="s">
        <v>429</v>
      </c>
      <c r="AJ384" s="770" t="s">
        <v>98</v>
      </c>
      <c r="AK384" s="770" t="s">
        <v>98</v>
      </c>
      <c r="AL384" s="770" t="s">
        <v>98</v>
      </c>
      <c r="AM384" s="770" t="s">
        <v>98</v>
      </c>
      <c r="AN384" s="185"/>
    </row>
    <row r="385" spans="1:48">
      <c r="A385" s="718" t="s">
        <v>3507</v>
      </c>
      <c r="B385" s="760" t="s">
        <v>3518</v>
      </c>
      <c r="C385" s="263">
        <v>1</v>
      </c>
      <c r="D385" s="264" t="s">
        <v>90</v>
      </c>
      <c r="E385" s="44">
        <v>0</v>
      </c>
      <c r="F385" s="837" t="s">
        <v>92</v>
      </c>
      <c r="G385" s="262">
        <f t="shared" ref="G385:G387" si="76">E385</f>
        <v>0</v>
      </c>
      <c r="H385" s="108"/>
      <c r="I385" s="269"/>
      <c r="J385" s="269"/>
      <c r="K385" s="109"/>
      <c r="L385" s="269"/>
      <c r="M385" s="1045" t="s">
        <v>3669</v>
      </c>
      <c r="N385" s="1049" t="s">
        <v>700</v>
      </c>
      <c r="O385" s="1059" t="s">
        <v>429</v>
      </c>
      <c r="P385" s="1" t="str">
        <f t="shared" si="74"/>
        <v/>
      </c>
      <c r="Q385" s="1" t="str">
        <f t="shared" si="74"/>
        <v/>
      </c>
      <c r="R385" s="1" t="str">
        <f t="shared" si="74"/>
        <v/>
      </c>
      <c r="S385" s="1" t="str">
        <f t="shared" si="74"/>
        <v/>
      </c>
      <c r="T385" s="765" t="s">
        <v>785</v>
      </c>
      <c r="U385" s="817" t="s">
        <v>786</v>
      </c>
      <c r="V385" s="785">
        <v>1</v>
      </c>
      <c r="W385" s="786" t="s">
        <v>90</v>
      </c>
      <c r="X385" s="787" t="s">
        <v>92</v>
      </c>
      <c r="Y385" s="788">
        <v>0</v>
      </c>
      <c r="Z385" s="789"/>
      <c r="AA385" s="790">
        <v>0</v>
      </c>
      <c r="AB385" s="790"/>
      <c r="AC385" s="791"/>
      <c r="AD385" s="791"/>
      <c r="AE385" s="807" t="s">
        <v>92</v>
      </c>
      <c r="AF385" s="791" t="s">
        <v>92</v>
      </c>
      <c r="AG385" s="660" t="s">
        <v>699</v>
      </c>
      <c r="AH385" s="802" t="s">
        <v>700</v>
      </c>
      <c r="AI385" s="661" t="s">
        <v>429</v>
      </c>
      <c r="AJ385" s="770" t="s">
        <v>98</v>
      </c>
      <c r="AK385" s="770" t="s">
        <v>98</v>
      </c>
      <c r="AL385" s="770" t="s">
        <v>98</v>
      </c>
      <c r="AM385" s="770" t="s">
        <v>98</v>
      </c>
      <c r="AN385" s="185"/>
    </row>
    <row r="386" spans="1:48">
      <c r="A386" s="684" t="s">
        <v>3508</v>
      </c>
      <c r="B386" s="760" t="s">
        <v>3519</v>
      </c>
      <c r="C386" s="263">
        <v>1</v>
      </c>
      <c r="D386" s="264" t="s">
        <v>90</v>
      </c>
      <c r="E386" s="44">
        <v>0</v>
      </c>
      <c r="F386" s="837" t="s">
        <v>92</v>
      </c>
      <c r="G386" s="262">
        <f t="shared" si="76"/>
        <v>0</v>
      </c>
      <c r="H386" s="108"/>
      <c r="I386" s="269"/>
      <c r="J386" s="269"/>
      <c r="K386" s="109"/>
      <c r="L386" s="269"/>
      <c r="M386" s="1045" t="s">
        <v>3669</v>
      </c>
      <c r="N386" s="1049" t="s">
        <v>700</v>
      </c>
      <c r="O386" s="1059" t="s">
        <v>429</v>
      </c>
      <c r="P386" s="1" t="str">
        <f t="shared" si="74"/>
        <v/>
      </c>
      <c r="Q386" s="1" t="str">
        <f t="shared" si="74"/>
        <v/>
      </c>
      <c r="R386" s="1" t="str">
        <f t="shared" si="74"/>
        <v/>
      </c>
      <c r="S386" s="1" t="str">
        <f t="shared" si="74"/>
        <v/>
      </c>
      <c r="T386" s="766" t="s">
        <v>787</v>
      </c>
      <c r="U386" s="817" t="s">
        <v>788</v>
      </c>
      <c r="V386" s="785">
        <v>1</v>
      </c>
      <c r="W386" s="786" t="s">
        <v>90</v>
      </c>
      <c r="X386" s="787" t="s">
        <v>92</v>
      </c>
      <c r="Y386" s="788">
        <v>0</v>
      </c>
      <c r="Z386" s="808"/>
      <c r="AA386" s="790">
        <v>0</v>
      </c>
      <c r="AB386" s="790"/>
      <c r="AC386" s="791"/>
      <c r="AD386" s="791"/>
      <c r="AE386" s="807" t="s">
        <v>92</v>
      </c>
      <c r="AF386" s="791" t="s">
        <v>92</v>
      </c>
      <c r="AG386" s="660" t="s">
        <v>699</v>
      </c>
      <c r="AH386" s="802" t="s">
        <v>700</v>
      </c>
      <c r="AI386" s="661" t="s">
        <v>429</v>
      </c>
      <c r="AJ386" s="770" t="s">
        <v>98</v>
      </c>
      <c r="AK386" s="770" t="s">
        <v>98</v>
      </c>
      <c r="AL386" s="770" t="s">
        <v>98</v>
      </c>
      <c r="AM386" s="770" t="s">
        <v>98</v>
      </c>
      <c r="AN386" s="185"/>
    </row>
    <row r="387" spans="1:48" customFormat="1">
      <c r="A387" s="838" t="s">
        <v>3509</v>
      </c>
      <c r="B387" s="840" t="s">
        <v>3520</v>
      </c>
      <c r="C387" s="841">
        <v>1</v>
      </c>
      <c r="D387" s="382" t="s">
        <v>90</v>
      </c>
      <c r="E387" s="44">
        <v>0</v>
      </c>
      <c r="F387" s="837" t="s">
        <v>92</v>
      </c>
      <c r="G387" s="262">
        <f t="shared" si="76"/>
        <v>0</v>
      </c>
      <c r="H387" s="403"/>
      <c r="I387" s="403"/>
      <c r="J387" s="403"/>
      <c r="K387" s="285"/>
      <c r="L387" s="403"/>
      <c r="M387" s="1045" t="s">
        <v>3669</v>
      </c>
      <c r="N387" s="1049" t="s">
        <v>1694</v>
      </c>
      <c r="O387" s="1059" t="s">
        <v>95</v>
      </c>
      <c r="P387" s="1" t="str">
        <f t="shared" ref="P387:S396" si="77">+IF($J387&lt;&gt;"",P$2*$J387,"")</f>
        <v/>
      </c>
      <c r="Q387" s="1" t="str">
        <f t="shared" si="77"/>
        <v/>
      </c>
      <c r="R387" s="1" t="str">
        <f t="shared" si="77"/>
        <v/>
      </c>
      <c r="S387" s="1" t="str">
        <f t="shared" si="77"/>
        <v/>
      </c>
      <c r="T387" s="767" t="s">
        <v>789</v>
      </c>
      <c r="U387" s="794" t="s">
        <v>790</v>
      </c>
      <c r="V387" s="795">
        <v>1</v>
      </c>
      <c r="W387" s="796" t="s">
        <v>90</v>
      </c>
      <c r="X387" s="797" t="s">
        <v>92</v>
      </c>
      <c r="Y387" s="795"/>
      <c r="Z387" s="798"/>
      <c r="AA387" s="796">
        <v>0</v>
      </c>
      <c r="AB387" s="799"/>
      <c r="AC387" s="799"/>
      <c r="AD387" s="799"/>
      <c r="AE387" s="796" t="s">
        <v>92</v>
      </c>
      <c r="AF387" s="799" t="s">
        <v>92</v>
      </c>
      <c r="AG387" s="771"/>
      <c r="AH387" s="773"/>
      <c r="AI387" s="774"/>
      <c r="AJ387" s="770" t="s">
        <v>98</v>
      </c>
      <c r="AK387" s="770" t="s">
        <v>98</v>
      </c>
      <c r="AL387" s="770" t="s">
        <v>98</v>
      </c>
      <c r="AM387" s="770" t="s">
        <v>98</v>
      </c>
      <c r="AN387" s="287"/>
      <c r="AO387" s="284"/>
      <c r="AP387" s="284"/>
      <c r="AQ387" s="284"/>
      <c r="AR387" s="284"/>
      <c r="AS387" s="284"/>
      <c r="AT387" s="284"/>
      <c r="AU387" s="284"/>
      <c r="AV387" s="284"/>
    </row>
    <row r="388" spans="1:48">
      <c r="A388" s="830" t="s">
        <v>3521</v>
      </c>
      <c r="B388" s="831" t="s">
        <v>3522</v>
      </c>
      <c r="C388" s="832">
        <v>1</v>
      </c>
      <c r="D388" s="833" t="s">
        <v>90</v>
      </c>
      <c r="E388" s="454">
        <v>3457.08</v>
      </c>
      <c r="F388" s="835">
        <f>rv_mbp16_hg</f>
        <v>0.17599999999999999</v>
      </c>
      <c r="G388" s="266">
        <f t="shared" ref="G388:G393" si="78">E388-(E388*F388)</f>
        <v>2848.6339200000002</v>
      </c>
      <c r="H388" s="832" t="s">
        <v>698</v>
      </c>
      <c r="I388" s="270">
        <f>mbp16_5pl</f>
        <v>62</v>
      </c>
      <c r="J388" s="270">
        <f>G388+I388</f>
        <v>2910.6339200000002</v>
      </c>
      <c r="K388" s="99" t="s">
        <v>92</v>
      </c>
      <c r="L388" s="216">
        <v>0.42</v>
      </c>
      <c r="M388" s="1045" t="s">
        <v>3670</v>
      </c>
      <c r="N388" s="1049" t="s">
        <v>700</v>
      </c>
      <c r="O388" s="1059" t="s">
        <v>429</v>
      </c>
      <c r="P388" s="1">
        <f t="shared" si="77"/>
        <v>585.93606824840208</v>
      </c>
      <c r="Q388" s="1">
        <f t="shared" si="77"/>
        <v>304.51475911111328</v>
      </c>
      <c r="R388" s="1">
        <f t="shared" si="77"/>
        <v>221.16000453547562</v>
      </c>
      <c r="S388" s="1">
        <f t="shared" si="77"/>
        <v>190.84701407954503</v>
      </c>
      <c r="T388" s="764" t="s">
        <v>791</v>
      </c>
      <c r="U388" s="775" t="s">
        <v>792</v>
      </c>
      <c r="V388" s="776">
        <v>1</v>
      </c>
      <c r="W388" s="777" t="s">
        <v>90</v>
      </c>
      <c r="X388" s="805" t="s">
        <v>791</v>
      </c>
      <c r="Y388" s="779">
        <v>3207.08</v>
      </c>
      <c r="Z388" s="780">
        <v>0.17599999999999999</v>
      </c>
      <c r="AA388" s="781">
        <v>2642.6339200000002</v>
      </c>
      <c r="AB388" s="776" t="s">
        <v>698</v>
      </c>
      <c r="AC388" s="782">
        <v>62</v>
      </c>
      <c r="AD388" s="782">
        <v>2704.6339200000002</v>
      </c>
      <c r="AE388" s="800" t="s">
        <v>92</v>
      </c>
      <c r="AF388" s="783">
        <v>0.42</v>
      </c>
      <c r="AG388" s="660" t="s">
        <v>699</v>
      </c>
      <c r="AH388" s="802" t="s">
        <v>700</v>
      </c>
      <c r="AI388" s="661" t="s">
        <v>429</v>
      </c>
      <c r="AJ388" s="770">
        <v>544.4664663071278</v>
      </c>
      <c r="AK388" s="770">
        <v>282.96273913847125</v>
      </c>
      <c r="AL388" s="770">
        <v>205.5074140048506</v>
      </c>
      <c r="AM388" s="770">
        <v>177.33982424359812</v>
      </c>
      <c r="AN388" s="185"/>
    </row>
    <row r="389" spans="1:48">
      <c r="A389" s="718" t="s">
        <v>3523</v>
      </c>
      <c r="B389" s="760" t="s">
        <v>3524</v>
      </c>
      <c r="C389" s="263">
        <v>1</v>
      </c>
      <c r="D389" s="264" t="s">
        <v>90</v>
      </c>
      <c r="E389" s="44">
        <v>383.33333333333337</v>
      </c>
      <c r="F389" s="837">
        <f t="shared" ref="F389:F393" si="79">rv_mbp16_hg_cto</f>
        <v>0.17599999999999999</v>
      </c>
      <c r="G389" s="93">
        <f t="shared" si="78"/>
        <v>315.86666666666667</v>
      </c>
      <c r="H389" s="93"/>
      <c r="I389" s="270"/>
      <c r="J389" s="270"/>
      <c r="K389" s="121"/>
      <c r="L389" s="270"/>
      <c r="M389" s="1045" t="s">
        <v>3670</v>
      </c>
      <c r="N389" s="1049" t="s">
        <v>700</v>
      </c>
      <c r="O389" s="1059" t="s">
        <v>429</v>
      </c>
      <c r="P389" s="1" t="str">
        <f t="shared" si="77"/>
        <v/>
      </c>
      <c r="Q389" s="1" t="str">
        <f t="shared" si="77"/>
        <v/>
      </c>
      <c r="R389" s="1" t="str">
        <f t="shared" si="77"/>
        <v/>
      </c>
      <c r="S389" s="1" t="str">
        <f t="shared" si="77"/>
        <v/>
      </c>
      <c r="T389" s="765" t="s">
        <v>793</v>
      </c>
      <c r="U389" s="817" t="s">
        <v>794</v>
      </c>
      <c r="V389" s="785">
        <v>1</v>
      </c>
      <c r="W389" s="786" t="s">
        <v>90</v>
      </c>
      <c r="X389" s="787" t="s">
        <v>92</v>
      </c>
      <c r="Y389" s="788">
        <v>383.33</v>
      </c>
      <c r="Z389" s="789">
        <v>0.17599999999999999</v>
      </c>
      <c r="AA389" s="790">
        <v>315.86392000000001</v>
      </c>
      <c r="AB389" s="790"/>
      <c r="AC389" s="791"/>
      <c r="AD389" s="791"/>
      <c r="AE389" s="807" t="s">
        <v>92</v>
      </c>
      <c r="AF389" s="791" t="s">
        <v>92</v>
      </c>
      <c r="AG389" s="660" t="s">
        <v>699</v>
      </c>
      <c r="AH389" s="802" t="s">
        <v>700</v>
      </c>
      <c r="AI389" s="661" t="s">
        <v>429</v>
      </c>
      <c r="AJ389" s="770" t="s">
        <v>98</v>
      </c>
      <c r="AK389" s="770" t="s">
        <v>98</v>
      </c>
      <c r="AL389" s="770" t="s">
        <v>98</v>
      </c>
      <c r="AM389" s="770" t="s">
        <v>98</v>
      </c>
      <c r="AN389" s="185"/>
    </row>
    <row r="390" spans="1:48">
      <c r="A390" s="718" t="s">
        <v>3525</v>
      </c>
      <c r="B390" s="760" t="s">
        <v>3526</v>
      </c>
      <c r="C390" s="263">
        <v>1</v>
      </c>
      <c r="D390" s="264" t="s">
        <v>90</v>
      </c>
      <c r="E390" s="44">
        <v>766.66666666666674</v>
      </c>
      <c r="F390" s="837">
        <f t="shared" si="79"/>
        <v>0.17599999999999999</v>
      </c>
      <c r="G390" s="93">
        <f t="shared" si="78"/>
        <v>631.73333333333335</v>
      </c>
      <c r="H390" s="93"/>
      <c r="I390" s="270"/>
      <c r="J390" s="270"/>
      <c r="K390" s="121"/>
      <c r="L390" s="270"/>
      <c r="M390" s="1045" t="s">
        <v>3670</v>
      </c>
      <c r="N390" s="1049" t="s">
        <v>700</v>
      </c>
      <c r="O390" s="1059" t="s">
        <v>429</v>
      </c>
      <c r="P390" s="1" t="str">
        <f t="shared" si="77"/>
        <v/>
      </c>
      <c r="Q390" s="1" t="str">
        <f t="shared" si="77"/>
        <v/>
      </c>
      <c r="R390" s="1" t="str">
        <f t="shared" si="77"/>
        <v/>
      </c>
      <c r="S390" s="1" t="str">
        <f t="shared" si="77"/>
        <v/>
      </c>
      <c r="T390" s="422"/>
      <c r="U390" s="105"/>
      <c r="V390" s="87"/>
      <c r="W390" s="88"/>
      <c r="X390" s="208"/>
      <c r="Y390" s="171"/>
      <c r="Z390" s="89"/>
      <c r="AA390" s="108"/>
      <c r="AB390" s="108"/>
      <c r="AC390" s="269"/>
      <c r="AD390" s="269"/>
      <c r="AE390" s="109"/>
      <c r="AF390" s="269"/>
      <c r="AG390" s="41"/>
      <c r="AH390" s="185"/>
      <c r="AI390" s="42"/>
      <c r="AJ390" s="1"/>
      <c r="AK390" s="1"/>
      <c r="AL390" s="1"/>
      <c r="AM390" s="1"/>
      <c r="AN390" s="185"/>
    </row>
    <row r="391" spans="1:48">
      <c r="A391" s="718" t="s">
        <v>3527</v>
      </c>
      <c r="B391" s="760" t="s">
        <v>3528</v>
      </c>
      <c r="C391" s="263">
        <v>1</v>
      </c>
      <c r="D391" s="264" t="s">
        <v>90</v>
      </c>
      <c r="E391" s="44">
        <v>383.33333333333337</v>
      </c>
      <c r="F391" s="837">
        <f t="shared" si="79"/>
        <v>0.17599999999999999</v>
      </c>
      <c r="G391" s="93">
        <f t="shared" si="78"/>
        <v>315.86666666666667</v>
      </c>
      <c r="H391" s="93"/>
      <c r="I391" s="270"/>
      <c r="J391" s="270"/>
      <c r="K391" s="121"/>
      <c r="L391" s="270"/>
      <c r="M391" s="1045" t="s">
        <v>3670</v>
      </c>
      <c r="N391" s="1049" t="s">
        <v>700</v>
      </c>
      <c r="O391" s="1059" t="s">
        <v>429</v>
      </c>
      <c r="P391" s="1" t="str">
        <f t="shared" si="77"/>
        <v/>
      </c>
      <c r="Q391" s="1" t="str">
        <f t="shared" si="77"/>
        <v/>
      </c>
      <c r="R391" s="1" t="str">
        <f t="shared" si="77"/>
        <v/>
      </c>
      <c r="S391" s="1" t="str">
        <f t="shared" si="77"/>
        <v/>
      </c>
      <c r="T391" s="765" t="s">
        <v>795</v>
      </c>
      <c r="U391" s="817" t="s">
        <v>796</v>
      </c>
      <c r="V391" s="785">
        <v>1</v>
      </c>
      <c r="W391" s="786" t="s">
        <v>90</v>
      </c>
      <c r="X391" s="787" t="s">
        <v>92</v>
      </c>
      <c r="Y391" s="788">
        <v>383.33</v>
      </c>
      <c r="Z391" s="789">
        <v>0.17599999999999999</v>
      </c>
      <c r="AA391" s="790">
        <v>315.86392000000001</v>
      </c>
      <c r="AB391" s="790"/>
      <c r="AC391" s="791"/>
      <c r="AD391" s="791"/>
      <c r="AE391" s="807" t="s">
        <v>92</v>
      </c>
      <c r="AF391" s="791" t="s">
        <v>92</v>
      </c>
      <c r="AG391" s="660" t="s">
        <v>699</v>
      </c>
      <c r="AH391" s="802" t="s">
        <v>700</v>
      </c>
      <c r="AI391" s="661" t="s">
        <v>429</v>
      </c>
      <c r="AJ391" s="770" t="s">
        <v>98</v>
      </c>
      <c r="AK391" s="770" t="s">
        <v>98</v>
      </c>
      <c r="AL391" s="770" t="s">
        <v>98</v>
      </c>
      <c r="AM391" s="770" t="s">
        <v>98</v>
      </c>
      <c r="AN391" s="185"/>
    </row>
    <row r="392" spans="1:48">
      <c r="A392" s="718" t="s">
        <v>3529</v>
      </c>
      <c r="B392" s="760" t="s">
        <v>3530</v>
      </c>
      <c r="C392" s="263">
        <v>1</v>
      </c>
      <c r="D392" s="264" t="s">
        <v>90</v>
      </c>
      <c r="E392" s="44">
        <v>958.33333333333337</v>
      </c>
      <c r="F392" s="837">
        <f t="shared" si="79"/>
        <v>0.17599999999999999</v>
      </c>
      <c r="G392" s="93">
        <f t="shared" si="78"/>
        <v>789.66666666666674</v>
      </c>
      <c r="H392" s="93"/>
      <c r="I392" s="270"/>
      <c r="J392" s="270"/>
      <c r="K392" s="121"/>
      <c r="L392" s="270"/>
      <c r="M392" s="1045" t="s">
        <v>3670</v>
      </c>
      <c r="N392" s="1049" t="s">
        <v>700</v>
      </c>
      <c r="O392" s="1059" t="s">
        <v>429</v>
      </c>
      <c r="P392" s="1" t="str">
        <f t="shared" si="77"/>
        <v/>
      </c>
      <c r="Q392" s="1" t="str">
        <f t="shared" si="77"/>
        <v/>
      </c>
      <c r="R392" s="1" t="str">
        <f t="shared" si="77"/>
        <v/>
      </c>
      <c r="S392" s="1" t="str">
        <f t="shared" si="77"/>
        <v/>
      </c>
      <c r="T392" s="765" t="s">
        <v>797</v>
      </c>
      <c r="U392" s="817" t="s">
        <v>798</v>
      </c>
      <c r="V392" s="785">
        <v>1</v>
      </c>
      <c r="W392" s="786" t="s">
        <v>90</v>
      </c>
      <c r="X392" s="787" t="s">
        <v>92</v>
      </c>
      <c r="Y392" s="788">
        <v>958.33</v>
      </c>
      <c r="Z392" s="789">
        <v>0.17599999999999999</v>
      </c>
      <c r="AA392" s="790">
        <v>789.66392000000008</v>
      </c>
      <c r="AB392" s="790"/>
      <c r="AC392" s="791"/>
      <c r="AD392" s="791"/>
      <c r="AE392" s="807" t="s">
        <v>92</v>
      </c>
      <c r="AF392" s="791" t="s">
        <v>92</v>
      </c>
      <c r="AG392" s="660" t="s">
        <v>699</v>
      </c>
      <c r="AH392" s="802" t="s">
        <v>700</v>
      </c>
      <c r="AI392" s="661" t="s">
        <v>429</v>
      </c>
      <c r="AJ392" s="770" t="s">
        <v>98</v>
      </c>
      <c r="AK392" s="770" t="s">
        <v>98</v>
      </c>
      <c r="AL392" s="770" t="s">
        <v>98</v>
      </c>
      <c r="AM392" s="770" t="s">
        <v>98</v>
      </c>
      <c r="AN392" s="185"/>
    </row>
    <row r="393" spans="1:48">
      <c r="A393" s="718" t="s">
        <v>3531</v>
      </c>
      <c r="B393" s="760" t="s">
        <v>3532</v>
      </c>
      <c r="C393" s="263">
        <v>1</v>
      </c>
      <c r="D393" s="264" t="s">
        <v>90</v>
      </c>
      <c r="E393" s="44">
        <v>2108.3333333333335</v>
      </c>
      <c r="F393" s="837">
        <f t="shared" si="79"/>
        <v>0.17599999999999999</v>
      </c>
      <c r="G393" s="93">
        <f t="shared" si="78"/>
        <v>1737.2666666666669</v>
      </c>
      <c r="H393" s="93"/>
      <c r="I393" s="270"/>
      <c r="J393" s="270"/>
      <c r="K393" s="121"/>
      <c r="L393" s="270"/>
      <c r="M393" s="1045" t="s">
        <v>3670</v>
      </c>
      <c r="N393" s="1049" t="s">
        <v>700</v>
      </c>
      <c r="O393" s="1059" t="s">
        <v>429</v>
      </c>
      <c r="P393" s="1" t="str">
        <f t="shared" si="77"/>
        <v/>
      </c>
      <c r="Q393" s="1" t="str">
        <f t="shared" si="77"/>
        <v/>
      </c>
      <c r="R393" s="1" t="str">
        <f t="shared" si="77"/>
        <v/>
      </c>
      <c r="S393" s="1" t="str">
        <f t="shared" si="77"/>
        <v/>
      </c>
      <c r="T393" s="765" t="s">
        <v>799</v>
      </c>
      <c r="U393" s="817" t="s">
        <v>800</v>
      </c>
      <c r="V393" s="785">
        <v>1</v>
      </c>
      <c r="W393" s="786" t="s">
        <v>90</v>
      </c>
      <c r="X393" s="787" t="s">
        <v>92</v>
      </c>
      <c r="Y393" s="788">
        <v>2108.33</v>
      </c>
      <c r="Z393" s="789">
        <v>0.17599999999999999</v>
      </c>
      <c r="AA393" s="790">
        <v>1737.2639199999999</v>
      </c>
      <c r="AB393" s="790"/>
      <c r="AC393" s="791"/>
      <c r="AD393" s="791"/>
      <c r="AE393" s="807" t="s">
        <v>92</v>
      </c>
      <c r="AF393" s="791" t="s">
        <v>92</v>
      </c>
      <c r="AG393" s="660" t="s">
        <v>699</v>
      </c>
      <c r="AH393" s="802" t="s">
        <v>700</v>
      </c>
      <c r="AI393" s="661" t="s">
        <v>429</v>
      </c>
      <c r="AJ393" s="770" t="s">
        <v>98</v>
      </c>
      <c r="AK393" s="770" t="s">
        <v>98</v>
      </c>
      <c r="AL393" s="770" t="s">
        <v>98</v>
      </c>
      <c r="AM393" s="770" t="s">
        <v>98</v>
      </c>
      <c r="AN393" s="185"/>
    </row>
    <row r="394" spans="1:48">
      <c r="A394" s="718" t="s">
        <v>3533</v>
      </c>
      <c r="B394" s="760" t="s">
        <v>3534</v>
      </c>
      <c r="C394" s="263">
        <v>1</v>
      </c>
      <c r="D394" s="264" t="s">
        <v>90</v>
      </c>
      <c r="E394" s="444">
        <v>0</v>
      </c>
      <c r="F394" s="837" t="s">
        <v>92</v>
      </c>
      <c r="G394" s="93">
        <f t="shared" ref="G394:G396" si="80">E394</f>
        <v>0</v>
      </c>
      <c r="H394" s="93"/>
      <c r="I394" s="270"/>
      <c r="J394" s="270"/>
      <c r="K394" s="121"/>
      <c r="L394" s="270"/>
      <c r="M394" s="1045" t="s">
        <v>3670</v>
      </c>
      <c r="N394" s="1049" t="s">
        <v>700</v>
      </c>
      <c r="O394" s="1059" t="s">
        <v>429</v>
      </c>
      <c r="P394" s="1" t="str">
        <f t="shared" si="77"/>
        <v/>
      </c>
      <c r="Q394" s="1" t="str">
        <f t="shared" si="77"/>
        <v/>
      </c>
      <c r="R394" s="1" t="str">
        <f t="shared" si="77"/>
        <v/>
      </c>
      <c r="S394" s="1" t="str">
        <f t="shared" si="77"/>
        <v/>
      </c>
      <c r="T394" s="765" t="s">
        <v>801</v>
      </c>
      <c r="U394" s="817" t="s">
        <v>802</v>
      </c>
      <c r="V394" s="785">
        <v>1</v>
      </c>
      <c r="W394" s="786" t="s">
        <v>90</v>
      </c>
      <c r="X394" s="787" t="s">
        <v>92</v>
      </c>
      <c r="Y394" s="788">
        <v>0</v>
      </c>
      <c r="Z394" s="789">
        <v>0.17599999999999999</v>
      </c>
      <c r="AA394" s="790">
        <v>0</v>
      </c>
      <c r="AB394" s="790"/>
      <c r="AC394" s="791"/>
      <c r="AD394" s="791"/>
      <c r="AE394" s="807" t="s">
        <v>92</v>
      </c>
      <c r="AF394" s="791" t="s">
        <v>92</v>
      </c>
      <c r="AG394" s="660" t="s">
        <v>699</v>
      </c>
      <c r="AH394" s="802" t="s">
        <v>700</v>
      </c>
      <c r="AI394" s="661" t="s">
        <v>429</v>
      </c>
      <c r="AJ394" s="770" t="s">
        <v>98</v>
      </c>
      <c r="AK394" s="770" t="s">
        <v>98</v>
      </c>
      <c r="AL394" s="770" t="s">
        <v>98</v>
      </c>
      <c r="AM394" s="770" t="s">
        <v>98</v>
      </c>
      <c r="AN394" s="185"/>
    </row>
    <row r="395" spans="1:48">
      <c r="A395" s="684" t="s">
        <v>3535</v>
      </c>
      <c r="B395" s="760" t="s">
        <v>3536</v>
      </c>
      <c r="C395" s="263">
        <v>1</v>
      </c>
      <c r="D395" s="264" t="s">
        <v>90</v>
      </c>
      <c r="E395" s="444">
        <v>0</v>
      </c>
      <c r="F395" s="261" t="s">
        <v>92</v>
      </c>
      <c r="G395" s="262">
        <f t="shared" si="80"/>
        <v>0</v>
      </c>
      <c r="H395" s="108"/>
      <c r="I395" s="269"/>
      <c r="J395" s="269"/>
      <c r="K395" s="109"/>
      <c r="L395" s="269"/>
      <c r="M395" s="1045" t="s">
        <v>3670</v>
      </c>
      <c r="N395" s="1049" t="s">
        <v>700</v>
      </c>
      <c r="O395" s="1059" t="s">
        <v>429</v>
      </c>
      <c r="P395" s="1" t="str">
        <f t="shared" si="77"/>
        <v/>
      </c>
      <c r="Q395" s="1" t="str">
        <f t="shared" si="77"/>
        <v/>
      </c>
      <c r="R395" s="1" t="str">
        <f t="shared" si="77"/>
        <v/>
      </c>
      <c r="S395" s="1" t="str">
        <f t="shared" si="77"/>
        <v/>
      </c>
      <c r="T395" s="766" t="s">
        <v>803</v>
      </c>
      <c r="U395" s="817" t="s">
        <v>804</v>
      </c>
      <c r="V395" s="785">
        <v>1</v>
      </c>
      <c r="W395" s="786" t="s">
        <v>90</v>
      </c>
      <c r="X395" s="787" t="s">
        <v>92</v>
      </c>
      <c r="Y395" s="788">
        <v>0</v>
      </c>
      <c r="Z395" s="789">
        <v>0.17599999999999999</v>
      </c>
      <c r="AA395" s="790">
        <v>0</v>
      </c>
      <c r="AB395" s="790"/>
      <c r="AC395" s="791"/>
      <c r="AD395" s="791"/>
      <c r="AE395" s="807" t="s">
        <v>92</v>
      </c>
      <c r="AF395" s="791" t="s">
        <v>92</v>
      </c>
      <c r="AG395" s="660" t="s">
        <v>699</v>
      </c>
      <c r="AH395" s="802" t="s">
        <v>700</v>
      </c>
      <c r="AI395" s="661" t="s">
        <v>429</v>
      </c>
      <c r="AJ395" s="770" t="s">
        <v>98</v>
      </c>
      <c r="AK395" s="770" t="s">
        <v>98</v>
      </c>
      <c r="AL395" s="770" t="s">
        <v>98</v>
      </c>
      <c r="AM395" s="770" t="s">
        <v>98</v>
      </c>
      <c r="AN395" s="185"/>
    </row>
    <row r="396" spans="1:48" customFormat="1">
      <c r="A396" s="838" t="s">
        <v>3537</v>
      </c>
      <c r="B396" s="840" t="s">
        <v>3538</v>
      </c>
      <c r="C396" s="841">
        <v>1</v>
      </c>
      <c r="D396" s="382" t="s">
        <v>90</v>
      </c>
      <c r="E396" s="444">
        <v>0</v>
      </c>
      <c r="F396" s="261" t="s">
        <v>92</v>
      </c>
      <c r="G396" s="262">
        <f t="shared" si="80"/>
        <v>0</v>
      </c>
      <c r="H396" s="403"/>
      <c r="I396" s="403"/>
      <c r="J396" s="403"/>
      <c r="K396" s="285"/>
      <c r="L396" s="403"/>
      <c r="M396" s="1045" t="s">
        <v>3670</v>
      </c>
      <c r="N396" s="1049" t="s">
        <v>700</v>
      </c>
      <c r="O396" s="1059" t="s">
        <v>429</v>
      </c>
      <c r="P396" s="1" t="str">
        <f t="shared" si="77"/>
        <v/>
      </c>
      <c r="Q396" s="1" t="str">
        <f t="shared" si="77"/>
        <v/>
      </c>
      <c r="R396" s="1" t="str">
        <f t="shared" si="77"/>
        <v/>
      </c>
      <c r="S396" s="1" t="str">
        <f t="shared" si="77"/>
        <v/>
      </c>
      <c r="T396" s="767" t="s">
        <v>805</v>
      </c>
      <c r="U396" s="794" t="s">
        <v>806</v>
      </c>
      <c r="V396" s="795">
        <v>1</v>
      </c>
      <c r="W396" s="796" t="s">
        <v>90</v>
      </c>
      <c r="X396" s="797" t="s">
        <v>92</v>
      </c>
      <c r="Y396" s="795"/>
      <c r="Z396" s="798"/>
      <c r="AA396" s="796">
        <v>0</v>
      </c>
      <c r="AB396" s="799"/>
      <c r="AC396" s="799"/>
      <c r="AD396" s="799"/>
      <c r="AE396" s="796" t="s">
        <v>92</v>
      </c>
      <c r="AF396" s="799" t="s">
        <v>92</v>
      </c>
      <c r="AG396" s="771"/>
      <c r="AH396" s="773"/>
      <c r="AI396" s="774"/>
      <c r="AJ396" s="770" t="s">
        <v>98</v>
      </c>
      <c r="AK396" s="770" t="s">
        <v>98</v>
      </c>
      <c r="AL396" s="770" t="s">
        <v>98</v>
      </c>
      <c r="AM396" s="770" t="s">
        <v>98</v>
      </c>
      <c r="AN396" s="287"/>
      <c r="AO396" s="284"/>
      <c r="AP396" s="284"/>
      <c r="AQ396" s="284"/>
      <c r="AR396" s="284"/>
      <c r="AS396" s="284"/>
      <c r="AT396" s="284"/>
      <c r="AU396" s="284"/>
      <c r="AV396" s="284"/>
    </row>
    <row r="397" spans="1:48">
      <c r="A397" s="830" t="s">
        <v>3539</v>
      </c>
      <c r="B397" s="831" t="s">
        <v>3540</v>
      </c>
      <c r="C397" s="832">
        <v>1</v>
      </c>
      <c r="D397" s="833" t="s">
        <v>90</v>
      </c>
      <c r="E397" s="454">
        <v>3457.08</v>
      </c>
      <c r="F397" s="835">
        <f>rv_mbp16_hg</f>
        <v>0.17599999999999999</v>
      </c>
      <c r="G397" s="266">
        <f t="shared" ref="G397:G402" si="81">E397-(E397*F397)</f>
        <v>2848.6339200000002</v>
      </c>
      <c r="H397" s="832" t="s">
        <v>698</v>
      </c>
      <c r="I397" s="270">
        <f>mbp16_5pl</f>
        <v>62</v>
      </c>
      <c r="J397" s="270">
        <f>G397+I397</f>
        <v>2910.6339200000002</v>
      </c>
      <c r="K397" s="99" t="s">
        <v>92</v>
      </c>
      <c r="L397" s="216">
        <v>0.42</v>
      </c>
      <c r="M397" s="1045" t="s">
        <v>3670</v>
      </c>
      <c r="N397" s="1049" t="s">
        <v>700</v>
      </c>
      <c r="O397" s="1059" t="s">
        <v>429</v>
      </c>
      <c r="P397" s="1">
        <f t="shared" ref="P397:S405" si="82">+IF($J397&lt;&gt;"",P$2*$J397,"")</f>
        <v>585.93606824840208</v>
      </c>
      <c r="Q397" s="1">
        <f t="shared" si="82"/>
        <v>304.51475911111328</v>
      </c>
      <c r="R397" s="1">
        <f t="shared" si="82"/>
        <v>221.16000453547562</v>
      </c>
      <c r="S397" s="1">
        <f t="shared" si="82"/>
        <v>190.84701407954503</v>
      </c>
      <c r="T397" s="764" t="s">
        <v>807</v>
      </c>
      <c r="U397" s="775" t="s">
        <v>808</v>
      </c>
      <c r="V397" s="776">
        <v>1</v>
      </c>
      <c r="W397" s="777" t="s">
        <v>90</v>
      </c>
      <c r="X397" s="805" t="s">
        <v>807</v>
      </c>
      <c r="Y397" s="779">
        <v>3207.08</v>
      </c>
      <c r="Z397" s="780">
        <v>0.17599999999999999</v>
      </c>
      <c r="AA397" s="781">
        <v>2642.6339200000002</v>
      </c>
      <c r="AB397" s="776" t="s">
        <v>698</v>
      </c>
      <c r="AC397" s="782">
        <v>62</v>
      </c>
      <c r="AD397" s="782">
        <v>2704.6339200000002</v>
      </c>
      <c r="AE397" s="800" t="s">
        <v>92</v>
      </c>
      <c r="AF397" s="783">
        <v>0.42</v>
      </c>
      <c r="AG397" s="660" t="s">
        <v>699</v>
      </c>
      <c r="AH397" s="802" t="s">
        <v>700</v>
      </c>
      <c r="AI397" s="661" t="s">
        <v>429</v>
      </c>
      <c r="AJ397" s="770">
        <v>544.4664663071278</v>
      </c>
      <c r="AK397" s="770">
        <v>282.96273913847125</v>
      </c>
      <c r="AL397" s="770">
        <v>205.5074140048506</v>
      </c>
      <c r="AM397" s="770">
        <v>177.33982424359812</v>
      </c>
      <c r="AN397" s="185"/>
    </row>
    <row r="398" spans="1:48">
      <c r="A398" s="718" t="s">
        <v>3541</v>
      </c>
      <c r="B398" s="760" t="s">
        <v>3549</v>
      </c>
      <c r="C398" s="263">
        <v>1</v>
      </c>
      <c r="D398" s="264" t="s">
        <v>90</v>
      </c>
      <c r="E398" s="44">
        <v>383.33333333333337</v>
      </c>
      <c r="F398" s="837">
        <f t="shared" ref="F398:F402" si="83">rv_mbp16_hg_cto</f>
        <v>0.17599999999999999</v>
      </c>
      <c r="G398" s="93">
        <f t="shared" si="81"/>
        <v>315.86666666666667</v>
      </c>
      <c r="H398" s="93"/>
      <c r="I398" s="270"/>
      <c r="J398" s="270"/>
      <c r="K398" s="121"/>
      <c r="L398" s="270"/>
      <c r="M398" s="1045" t="s">
        <v>3670</v>
      </c>
      <c r="N398" s="1049" t="s">
        <v>700</v>
      </c>
      <c r="O398" s="1059" t="s">
        <v>429</v>
      </c>
      <c r="P398" s="1" t="str">
        <f t="shared" si="82"/>
        <v/>
      </c>
      <c r="Q398" s="1" t="str">
        <f t="shared" si="82"/>
        <v/>
      </c>
      <c r="R398" s="1" t="str">
        <f t="shared" si="82"/>
        <v/>
      </c>
      <c r="S398" s="1" t="str">
        <f t="shared" si="82"/>
        <v/>
      </c>
      <c r="T398" s="765" t="s">
        <v>809</v>
      </c>
      <c r="U398" s="817" t="s">
        <v>810</v>
      </c>
      <c r="V398" s="785">
        <v>1</v>
      </c>
      <c r="W398" s="786" t="s">
        <v>90</v>
      </c>
      <c r="X398" s="787" t="s">
        <v>92</v>
      </c>
      <c r="Y398" s="788">
        <v>383.33</v>
      </c>
      <c r="Z398" s="789">
        <v>0.17599999999999999</v>
      </c>
      <c r="AA398" s="790">
        <v>315.86392000000001</v>
      </c>
      <c r="AB398" s="790"/>
      <c r="AC398" s="791"/>
      <c r="AD398" s="791"/>
      <c r="AE398" s="807" t="s">
        <v>92</v>
      </c>
      <c r="AF398" s="791" t="s">
        <v>92</v>
      </c>
      <c r="AG398" s="660" t="s">
        <v>699</v>
      </c>
      <c r="AH398" s="802" t="s">
        <v>700</v>
      </c>
      <c r="AI398" s="661" t="s">
        <v>429</v>
      </c>
      <c r="AJ398" s="770" t="s">
        <v>98</v>
      </c>
      <c r="AK398" s="770" t="s">
        <v>98</v>
      </c>
      <c r="AL398" s="770" t="s">
        <v>98</v>
      </c>
      <c r="AM398" s="770" t="s">
        <v>98</v>
      </c>
      <c r="AN398" s="185"/>
    </row>
    <row r="399" spans="1:48">
      <c r="A399" s="718" t="s">
        <v>3542</v>
      </c>
      <c r="B399" s="760" t="s">
        <v>3550</v>
      </c>
      <c r="C399" s="263">
        <v>1</v>
      </c>
      <c r="D399" s="264" t="s">
        <v>90</v>
      </c>
      <c r="E399" s="44">
        <v>766.66666666666674</v>
      </c>
      <c r="F399" s="837">
        <f t="shared" si="83"/>
        <v>0.17599999999999999</v>
      </c>
      <c r="G399" s="93">
        <f t="shared" si="81"/>
        <v>631.73333333333335</v>
      </c>
      <c r="H399" s="93"/>
      <c r="I399" s="270"/>
      <c r="J399" s="270"/>
      <c r="K399" s="121"/>
      <c r="L399" s="270"/>
      <c r="M399" s="1045" t="s">
        <v>3670</v>
      </c>
      <c r="N399" s="1049" t="s">
        <v>700</v>
      </c>
      <c r="O399" s="1059" t="s">
        <v>429</v>
      </c>
      <c r="P399" s="1" t="str">
        <f t="shared" si="82"/>
        <v/>
      </c>
      <c r="Q399" s="1" t="str">
        <f t="shared" si="82"/>
        <v/>
      </c>
      <c r="R399" s="1" t="str">
        <f t="shared" si="82"/>
        <v/>
      </c>
      <c r="S399" s="1" t="str">
        <f t="shared" si="82"/>
        <v/>
      </c>
      <c r="T399" s="422"/>
      <c r="U399" s="105"/>
      <c r="V399" s="87"/>
      <c r="W399" s="88"/>
      <c r="X399" s="208"/>
      <c r="Y399" s="171"/>
      <c r="Z399" s="89"/>
      <c r="AA399" s="108"/>
      <c r="AB399" s="108"/>
      <c r="AC399" s="269"/>
      <c r="AD399" s="269"/>
      <c r="AE399" s="109"/>
      <c r="AF399" s="269"/>
      <c r="AG399" s="41"/>
      <c r="AH399" s="185"/>
      <c r="AI399" s="42"/>
      <c r="AJ399" s="1"/>
      <c r="AK399" s="1"/>
      <c r="AL399" s="1"/>
      <c r="AM399" s="1"/>
      <c r="AN399" s="185"/>
    </row>
    <row r="400" spans="1:48">
      <c r="A400" s="718" t="s">
        <v>3543</v>
      </c>
      <c r="B400" s="760" t="s">
        <v>3551</v>
      </c>
      <c r="C400" s="263">
        <v>1</v>
      </c>
      <c r="D400" s="264" t="s">
        <v>90</v>
      </c>
      <c r="E400" s="44">
        <v>383.33333333333337</v>
      </c>
      <c r="F400" s="837">
        <f t="shared" si="83"/>
        <v>0.17599999999999999</v>
      </c>
      <c r="G400" s="93">
        <f t="shared" si="81"/>
        <v>315.86666666666667</v>
      </c>
      <c r="H400" s="93"/>
      <c r="I400" s="270"/>
      <c r="J400" s="270"/>
      <c r="K400" s="121"/>
      <c r="L400" s="270"/>
      <c r="M400" s="1045" t="s">
        <v>3670</v>
      </c>
      <c r="N400" s="1049" t="s">
        <v>700</v>
      </c>
      <c r="O400" s="1059" t="s">
        <v>429</v>
      </c>
      <c r="P400" s="1" t="str">
        <f t="shared" si="82"/>
        <v/>
      </c>
      <c r="Q400" s="1" t="str">
        <f t="shared" si="82"/>
        <v/>
      </c>
      <c r="R400" s="1" t="str">
        <f t="shared" si="82"/>
        <v/>
      </c>
      <c r="S400" s="1" t="str">
        <f t="shared" si="82"/>
        <v/>
      </c>
      <c r="T400" s="765" t="s">
        <v>811</v>
      </c>
      <c r="U400" s="817" t="s">
        <v>812</v>
      </c>
      <c r="V400" s="785">
        <v>1</v>
      </c>
      <c r="W400" s="786" t="s">
        <v>90</v>
      </c>
      <c r="X400" s="787" t="s">
        <v>92</v>
      </c>
      <c r="Y400" s="788">
        <v>383.33</v>
      </c>
      <c r="Z400" s="789">
        <v>0.17599999999999999</v>
      </c>
      <c r="AA400" s="790">
        <v>315.86392000000001</v>
      </c>
      <c r="AB400" s="790"/>
      <c r="AC400" s="791"/>
      <c r="AD400" s="791"/>
      <c r="AE400" s="807" t="s">
        <v>92</v>
      </c>
      <c r="AF400" s="791" t="s">
        <v>92</v>
      </c>
      <c r="AG400" s="660" t="s">
        <v>699</v>
      </c>
      <c r="AH400" s="802" t="s">
        <v>700</v>
      </c>
      <c r="AI400" s="661" t="s">
        <v>429</v>
      </c>
      <c r="AJ400" s="770" t="s">
        <v>98</v>
      </c>
      <c r="AK400" s="770" t="s">
        <v>98</v>
      </c>
      <c r="AL400" s="770" t="s">
        <v>98</v>
      </c>
      <c r="AM400" s="770" t="s">
        <v>98</v>
      </c>
      <c r="AN400" s="185"/>
    </row>
    <row r="401" spans="1:48">
      <c r="A401" s="718" t="s">
        <v>3544</v>
      </c>
      <c r="B401" s="760" t="s">
        <v>3552</v>
      </c>
      <c r="C401" s="263">
        <v>1</v>
      </c>
      <c r="D401" s="264" t="s">
        <v>90</v>
      </c>
      <c r="E401" s="44">
        <v>958.33333333333337</v>
      </c>
      <c r="F401" s="837">
        <f t="shared" si="83"/>
        <v>0.17599999999999999</v>
      </c>
      <c r="G401" s="93">
        <f t="shared" si="81"/>
        <v>789.66666666666674</v>
      </c>
      <c r="H401" s="93"/>
      <c r="I401" s="270"/>
      <c r="J401" s="270"/>
      <c r="K401" s="121"/>
      <c r="L401" s="270"/>
      <c r="M401" s="1045" t="s">
        <v>3670</v>
      </c>
      <c r="N401" s="1049" t="s">
        <v>700</v>
      </c>
      <c r="O401" s="1059" t="s">
        <v>429</v>
      </c>
      <c r="P401" s="1" t="str">
        <f t="shared" si="82"/>
        <v/>
      </c>
      <c r="Q401" s="1" t="str">
        <f t="shared" si="82"/>
        <v/>
      </c>
      <c r="R401" s="1" t="str">
        <f t="shared" si="82"/>
        <v/>
      </c>
      <c r="S401" s="1" t="str">
        <f t="shared" si="82"/>
        <v/>
      </c>
      <c r="T401" s="765" t="s">
        <v>813</v>
      </c>
      <c r="U401" s="817" t="s">
        <v>814</v>
      </c>
      <c r="V401" s="785">
        <v>1</v>
      </c>
      <c r="W401" s="786" t="s">
        <v>90</v>
      </c>
      <c r="X401" s="787" t="s">
        <v>92</v>
      </c>
      <c r="Y401" s="788">
        <v>958.33</v>
      </c>
      <c r="Z401" s="789">
        <v>0.17599999999999999</v>
      </c>
      <c r="AA401" s="790">
        <v>789.66392000000008</v>
      </c>
      <c r="AB401" s="790"/>
      <c r="AC401" s="791"/>
      <c r="AD401" s="791"/>
      <c r="AE401" s="807" t="s">
        <v>92</v>
      </c>
      <c r="AF401" s="791" t="s">
        <v>92</v>
      </c>
      <c r="AG401" s="660" t="s">
        <v>699</v>
      </c>
      <c r="AH401" s="802" t="s">
        <v>700</v>
      </c>
      <c r="AI401" s="661" t="s">
        <v>429</v>
      </c>
      <c r="AJ401" s="770" t="s">
        <v>98</v>
      </c>
      <c r="AK401" s="770" t="s">
        <v>98</v>
      </c>
      <c r="AL401" s="770" t="s">
        <v>98</v>
      </c>
      <c r="AM401" s="770" t="s">
        <v>98</v>
      </c>
      <c r="AN401" s="185"/>
    </row>
    <row r="402" spans="1:48">
      <c r="A402" s="718" t="s">
        <v>3545</v>
      </c>
      <c r="B402" s="760" t="s">
        <v>3553</v>
      </c>
      <c r="C402" s="263">
        <v>1</v>
      </c>
      <c r="D402" s="264" t="s">
        <v>90</v>
      </c>
      <c r="E402" s="44">
        <v>2108.3333333333335</v>
      </c>
      <c r="F402" s="837">
        <f t="shared" si="83"/>
        <v>0.17599999999999999</v>
      </c>
      <c r="G402" s="93">
        <f t="shared" si="81"/>
        <v>1737.2666666666669</v>
      </c>
      <c r="H402" s="93"/>
      <c r="I402" s="270"/>
      <c r="J402" s="270"/>
      <c r="K402" s="121"/>
      <c r="L402" s="270"/>
      <c r="M402" s="1045" t="s">
        <v>3670</v>
      </c>
      <c r="N402" s="1049" t="s">
        <v>700</v>
      </c>
      <c r="O402" s="1059" t="s">
        <v>429</v>
      </c>
      <c r="P402" s="1" t="str">
        <f t="shared" si="82"/>
        <v/>
      </c>
      <c r="Q402" s="1" t="str">
        <f t="shared" si="82"/>
        <v/>
      </c>
      <c r="R402" s="1" t="str">
        <f t="shared" si="82"/>
        <v/>
      </c>
      <c r="S402" s="1" t="str">
        <f t="shared" si="82"/>
        <v/>
      </c>
      <c r="T402" s="765" t="s">
        <v>815</v>
      </c>
      <c r="U402" s="817" t="s">
        <v>816</v>
      </c>
      <c r="V402" s="785">
        <v>1</v>
      </c>
      <c r="W402" s="786" t="s">
        <v>90</v>
      </c>
      <c r="X402" s="787" t="s">
        <v>92</v>
      </c>
      <c r="Y402" s="788">
        <v>2108.33</v>
      </c>
      <c r="Z402" s="789">
        <v>0.17599999999999999</v>
      </c>
      <c r="AA402" s="790">
        <v>1737.2639199999999</v>
      </c>
      <c r="AB402" s="790"/>
      <c r="AC402" s="791"/>
      <c r="AD402" s="791"/>
      <c r="AE402" s="807" t="s">
        <v>92</v>
      </c>
      <c r="AF402" s="791" t="s">
        <v>92</v>
      </c>
      <c r="AG402" s="660" t="s">
        <v>699</v>
      </c>
      <c r="AH402" s="802" t="s">
        <v>700</v>
      </c>
      <c r="AI402" s="661" t="s">
        <v>429</v>
      </c>
      <c r="AJ402" s="770" t="s">
        <v>98</v>
      </c>
      <c r="AK402" s="770" t="s">
        <v>98</v>
      </c>
      <c r="AL402" s="770" t="s">
        <v>98</v>
      </c>
      <c r="AM402" s="770" t="s">
        <v>98</v>
      </c>
      <c r="AN402" s="185"/>
    </row>
    <row r="403" spans="1:48">
      <c r="A403" s="718" t="s">
        <v>3546</v>
      </c>
      <c r="B403" s="760" t="s">
        <v>3554</v>
      </c>
      <c r="C403" s="263">
        <v>1</v>
      </c>
      <c r="D403" s="264" t="s">
        <v>90</v>
      </c>
      <c r="E403" s="444">
        <v>0</v>
      </c>
      <c r="F403" s="837" t="s">
        <v>92</v>
      </c>
      <c r="G403" s="93">
        <f t="shared" ref="G403:G405" si="84">E403</f>
        <v>0</v>
      </c>
      <c r="H403" s="93"/>
      <c r="I403" s="270"/>
      <c r="J403" s="270"/>
      <c r="K403" s="121"/>
      <c r="L403" s="270"/>
      <c r="M403" s="1045" t="s">
        <v>3670</v>
      </c>
      <c r="N403" s="1049" t="s">
        <v>700</v>
      </c>
      <c r="O403" s="1059" t="s">
        <v>429</v>
      </c>
      <c r="P403" s="1" t="str">
        <f t="shared" si="82"/>
        <v/>
      </c>
      <c r="Q403" s="1" t="str">
        <f t="shared" si="82"/>
        <v/>
      </c>
      <c r="R403" s="1" t="str">
        <f t="shared" si="82"/>
        <v/>
      </c>
      <c r="S403" s="1" t="str">
        <f t="shared" si="82"/>
        <v/>
      </c>
      <c r="T403" s="765" t="s">
        <v>817</v>
      </c>
      <c r="U403" s="817" t="s">
        <v>818</v>
      </c>
      <c r="V403" s="785">
        <v>1</v>
      </c>
      <c r="W403" s="786" t="s">
        <v>90</v>
      </c>
      <c r="X403" s="787" t="s">
        <v>92</v>
      </c>
      <c r="Y403" s="788">
        <v>0</v>
      </c>
      <c r="Z403" s="789">
        <v>0.17599999999999999</v>
      </c>
      <c r="AA403" s="790">
        <v>0</v>
      </c>
      <c r="AB403" s="790"/>
      <c r="AC403" s="791"/>
      <c r="AD403" s="791"/>
      <c r="AE403" s="807" t="s">
        <v>92</v>
      </c>
      <c r="AF403" s="791" t="s">
        <v>92</v>
      </c>
      <c r="AG403" s="660" t="s">
        <v>699</v>
      </c>
      <c r="AH403" s="802" t="s">
        <v>700</v>
      </c>
      <c r="AI403" s="661" t="s">
        <v>429</v>
      </c>
      <c r="AJ403" s="770" t="s">
        <v>98</v>
      </c>
      <c r="AK403" s="770" t="s">
        <v>98</v>
      </c>
      <c r="AL403" s="770" t="s">
        <v>98</v>
      </c>
      <c r="AM403" s="770" t="s">
        <v>98</v>
      </c>
      <c r="AN403" s="185"/>
    </row>
    <row r="404" spans="1:48">
      <c r="A404" s="684" t="s">
        <v>3547</v>
      </c>
      <c r="B404" s="760" t="s">
        <v>3555</v>
      </c>
      <c r="C404" s="263">
        <v>1</v>
      </c>
      <c r="D404" s="264" t="s">
        <v>90</v>
      </c>
      <c r="E404" s="444">
        <v>0</v>
      </c>
      <c r="F404" s="261" t="s">
        <v>92</v>
      </c>
      <c r="G404" s="262">
        <f t="shared" si="84"/>
        <v>0</v>
      </c>
      <c r="H404" s="108"/>
      <c r="I404" s="269"/>
      <c r="J404" s="269"/>
      <c r="K404" s="109"/>
      <c r="L404" s="269"/>
      <c r="M404" s="1045" t="s">
        <v>3670</v>
      </c>
      <c r="N404" s="1049" t="s">
        <v>700</v>
      </c>
      <c r="O404" s="1059" t="s">
        <v>429</v>
      </c>
      <c r="P404" s="1" t="str">
        <f t="shared" si="82"/>
        <v/>
      </c>
      <c r="Q404" s="1" t="str">
        <f t="shared" si="82"/>
        <v/>
      </c>
      <c r="R404" s="1" t="str">
        <f t="shared" si="82"/>
        <v/>
      </c>
      <c r="S404" s="1" t="str">
        <f t="shared" si="82"/>
        <v/>
      </c>
      <c r="T404" s="766" t="s">
        <v>819</v>
      </c>
      <c r="U404" s="817" t="s">
        <v>820</v>
      </c>
      <c r="V404" s="785">
        <v>1</v>
      </c>
      <c r="W404" s="786" t="s">
        <v>90</v>
      </c>
      <c r="X404" s="787" t="s">
        <v>92</v>
      </c>
      <c r="Y404" s="788">
        <v>0</v>
      </c>
      <c r="Z404" s="789">
        <v>0.17599999999999999</v>
      </c>
      <c r="AA404" s="790">
        <v>0</v>
      </c>
      <c r="AB404" s="790"/>
      <c r="AC404" s="791"/>
      <c r="AD404" s="791"/>
      <c r="AE404" s="807" t="s">
        <v>92</v>
      </c>
      <c r="AF404" s="791" t="s">
        <v>92</v>
      </c>
      <c r="AG404" s="660" t="s">
        <v>699</v>
      </c>
      <c r="AH404" s="802" t="s">
        <v>700</v>
      </c>
      <c r="AI404" s="661" t="s">
        <v>429</v>
      </c>
      <c r="AJ404" s="770" t="s">
        <v>98</v>
      </c>
      <c r="AK404" s="770" t="s">
        <v>98</v>
      </c>
      <c r="AL404" s="770" t="s">
        <v>98</v>
      </c>
      <c r="AM404" s="770" t="s">
        <v>98</v>
      </c>
      <c r="AN404" s="185"/>
    </row>
    <row r="405" spans="1:48" customFormat="1">
      <c r="A405" s="838" t="s">
        <v>3548</v>
      </c>
      <c r="B405" s="840" t="s">
        <v>3556</v>
      </c>
      <c r="C405" s="841">
        <v>1</v>
      </c>
      <c r="D405" s="382" t="s">
        <v>90</v>
      </c>
      <c r="E405" s="444">
        <v>0</v>
      </c>
      <c r="F405" s="261" t="s">
        <v>92</v>
      </c>
      <c r="G405" s="262">
        <f t="shared" si="84"/>
        <v>0</v>
      </c>
      <c r="H405" s="403"/>
      <c r="I405" s="403"/>
      <c r="J405" s="403"/>
      <c r="K405" s="285"/>
      <c r="L405" s="403"/>
      <c r="M405" s="1045" t="s">
        <v>3670</v>
      </c>
      <c r="N405" s="1049" t="s">
        <v>700</v>
      </c>
      <c r="O405" s="1059" t="s">
        <v>429</v>
      </c>
      <c r="P405" s="1" t="str">
        <f t="shared" si="82"/>
        <v/>
      </c>
      <c r="Q405" s="1" t="str">
        <f t="shared" si="82"/>
        <v/>
      </c>
      <c r="R405" s="1" t="str">
        <f t="shared" si="82"/>
        <v/>
      </c>
      <c r="S405" s="1" t="str">
        <f t="shared" si="82"/>
        <v/>
      </c>
      <c r="T405" s="767" t="s">
        <v>821</v>
      </c>
      <c r="U405" s="794" t="s">
        <v>822</v>
      </c>
      <c r="V405" s="795">
        <v>1</v>
      </c>
      <c r="W405" s="796" t="s">
        <v>90</v>
      </c>
      <c r="X405" s="797" t="s">
        <v>92</v>
      </c>
      <c r="Y405" s="795"/>
      <c r="Z405" s="798"/>
      <c r="AA405" s="796">
        <v>0</v>
      </c>
      <c r="AB405" s="818"/>
      <c r="AC405" s="799"/>
      <c r="AD405" s="799"/>
      <c r="AE405" s="796" t="s">
        <v>92</v>
      </c>
      <c r="AF405" s="799" t="s">
        <v>92</v>
      </c>
      <c r="AG405" s="771"/>
      <c r="AH405" s="773"/>
      <c r="AI405" s="774"/>
      <c r="AJ405" s="770" t="s">
        <v>98</v>
      </c>
      <c r="AK405" s="770" t="s">
        <v>98</v>
      </c>
      <c r="AL405" s="770" t="s">
        <v>98</v>
      </c>
      <c r="AM405" s="770" t="s">
        <v>98</v>
      </c>
      <c r="AN405" s="287"/>
      <c r="AO405" s="284"/>
      <c r="AP405" s="284"/>
      <c r="AQ405" s="284"/>
      <c r="AR405" s="284"/>
      <c r="AS405" s="284"/>
      <c r="AT405" s="284"/>
      <c r="AU405" s="284"/>
      <c r="AV405" s="284"/>
    </row>
    <row r="406" spans="1:48">
      <c r="A406" s="457" t="s">
        <v>698</v>
      </c>
      <c r="B406" s="79" t="s">
        <v>823</v>
      </c>
      <c r="C406" s="133">
        <v>1</v>
      </c>
      <c r="D406" s="123" t="s">
        <v>114</v>
      </c>
      <c r="E406" s="601">
        <v>75.239999999999995</v>
      </c>
      <c r="F406" s="214">
        <v>0.17599999999999999</v>
      </c>
      <c r="G406" s="107">
        <f>E406-(E406*F406)</f>
        <v>61.99776</v>
      </c>
      <c r="H406" s="272"/>
      <c r="I406" s="269"/>
      <c r="J406" s="269"/>
      <c r="K406" s="109"/>
      <c r="L406" s="269"/>
      <c r="M406" s="1045" t="s">
        <v>115</v>
      </c>
      <c r="N406" s="1047" t="s">
        <v>116</v>
      </c>
      <c r="O406" s="1056" t="s">
        <v>117</v>
      </c>
      <c r="P406" s="1" t="str">
        <f t="shared" ref="P406:S415" si="85">+IF($J406&lt;&gt;"",P$2*$J406,"")</f>
        <v/>
      </c>
      <c r="Q406" s="1" t="str">
        <f t="shared" si="85"/>
        <v/>
      </c>
      <c r="R406" s="1" t="str">
        <f t="shared" si="85"/>
        <v/>
      </c>
      <c r="S406" s="1" t="str">
        <f t="shared" si="85"/>
        <v/>
      </c>
      <c r="T406" s="457" t="s">
        <v>698</v>
      </c>
      <c r="U406" s="79" t="s">
        <v>823</v>
      </c>
      <c r="V406" s="133">
        <v>1</v>
      </c>
      <c r="W406" s="123" t="s">
        <v>114</v>
      </c>
      <c r="X406" s="122" t="s">
        <v>698</v>
      </c>
      <c r="Y406" s="601">
        <v>75.239999999999995</v>
      </c>
      <c r="Z406" s="214">
        <v>0.17599999999999999</v>
      </c>
      <c r="AA406" s="107">
        <v>61.99776</v>
      </c>
      <c r="AB406" s="272"/>
      <c r="AC406" s="269"/>
      <c r="AD406" s="269"/>
      <c r="AE406" s="109" t="s">
        <v>92</v>
      </c>
      <c r="AF406" s="269" t="s">
        <v>92</v>
      </c>
      <c r="AG406" s="41" t="s">
        <v>115</v>
      </c>
      <c r="AH406" s="174" t="s">
        <v>116</v>
      </c>
      <c r="AI406" s="159" t="s">
        <v>117</v>
      </c>
      <c r="AJ406" s="1" t="s">
        <v>98</v>
      </c>
      <c r="AK406" s="1" t="s">
        <v>98</v>
      </c>
      <c r="AL406" s="1" t="s">
        <v>98</v>
      </c>
      <c r="AM406" s="1" t="s">
        <v>98</v>
      </c>
      <c r="AN406" s="185"/>
    </row>
    <row r="407" spans="1:48">
      <c r="A407" s="421" t="s">
        <v>824</v>
      </c>
      <c r="B407" s="110" t="s">
        <v>825</v>
      </c>
      <c r="C407" s="26">
        <v>1</v>
      </c>
      <c r="D407" s="46" t="s">
        <v>114</v>
      </c>
      <c r="E407" s="47"/>
      <c r="F407" s="21"/>
      <c r="G407" s="145">
        <v>34</v>
      </c>
      <c r="H407" s="93"/>
      <c r="I407" s="270"/>
      <c r="J407" s="270"/>
      <c r="K407" s="121"/>
      <c r="L407" s="270"/>
      <c r="M407" s="1045" t="s">
        <v>115</v>
      </c>
      <c r="N407" s="1049" t="s">
        <v>116</v>
      </c>
      <c r="O407" s="1059" t="s">
        <v>117</v>
      </c>
      <c r="P407" s="1" t="str">
        <f t="shared" si="85"/>
        <v/>
      </c>
      <c r="Q407" s="1" t="str">
        <f t="shared" si="85"/>
        <v/>
      </c>
      <c r="R407" s="1" t="str">
        <f t="shared" si="85"/>
        <v/>
      </c>
      <c r="S407" s="1" t="str">
        <f t="shared" si="85"/>
        <v/>
      </c>
      <c r="T407" s="421" t="s">
        <v>824</v>
      </c>
      <c r="U407" s="110" t="s">
        <v>826</v>
      </c>
      <c r="V407" s="26">
        <v>1</v>
      </c>
      <c r="W407" s="46" t="s">
        <v>114</v>
      </c>
      <c r="X407" s="104" t="s">
        <v>824</v>
      </c>
      <c r="Y407" s="47"/>
      <c r="Z407" s="21"/>
      <c r="AA407" s="145">
        <v>34</v>
      </c>
      <c r="AB407" s="93"/>
      <c r="AC407" s="270"/>
      <c r="AD407" s="270"/>
      <c r="AE407" s="121" t="s">
        <v>92</v>
      </c>
      <c r="AF407" s="270" t="s">
        <v>92</v>
      </c>
      <c r="AG407" s="41" t="s">
        <v>115</v>
      </c>
      <c r="AH407" s="185" t="s">
        <v>116</v>
      </c>
      <c r="AI407" s="42" t="s">
        <v>117</v>
      </c>
      <c r="AJ407" s="1" t="s">
        <v>98</v>
      </c>
      <c r="AK407" s="1" t="s">
        <v>98</v>
      </c>
      <c r="AL407" s="1" t="s">
        <v>98</v>
      </c>
      <c r="AM407" s="1" t="s">
        <v>98</v>
      </c>
      <c r="AN407" s="185"/>
    </row>
    <row r="408" spans="1:48">
      <c r="A408" s="421" t="s">
        <v>827</v>
      </c>
      <c r="B408" s="110" t="s">
        <v>828</v>
      </c>
      <c r="C408" s="26">
        <v>1</v>
      </c>
      <c r="D408" s="46" t="s">
        <v>114</v>
      </c>
      <c r="E408" s="47"/>
      <c r="F408" s="21"/>
      <c r="G408" s="145">
        <v>64</v>
      </c>
      <c r="H408" s="93"/>
      <c r="I408" s="270"/>
      <c r="J408" s="270"/>
      <c r="K408" s="121"/>
      <c r="L408" s="270"/>
      <c r="M408" s="1045" t="s">
        <v>115</v>
      </c>
      <c r="N408" s="1049" t="s">
        <v>116</v>
      </c>
      <c r="O408" s="1059" t="s">
        <v>117</v>
      </c>
      <c r="P408" s="1" t="str">
        <f t="shared" si="85"/>
        <v/>
      </c>
      <c r="Q408" s="1" t="str">
        <f t="shared" si="85"/>
        <v/>
      </c>
      <c r="R408" s="1" t="str">
        <f t="shared" si="85"/>
        <v/>
      </c>
      <c r="S408" s="1" t="str">
        <f t="shared" si="85"/>
        <v/>
      </c>
      <c r="T408" s="421" t="s">
        <v>827</v>
      </c>
      <c r="U408" s="110" t="s">
        <v>829</v>
      </c>
      <c r="V408" s="26">
        <v>1</v>
      </c>
      <c r="W408" s="46" t="s">
        <v>114</v>
      </c>
      <c r="X408" s="104" t="s">
        <v>827</v>
      </c>
      <c r="Y408" s="47"/>
      <c r="Z408" s="21"/>
      <c r="AA408" s="145">
        <v>64</v>
      </c>
      <c r="AB408" s="93"/>
      <c r="AC408" s="270"/>
      <c r="AD408" s="270"/>
      <c r="AE408" s="121" t="s">
        <v>92</v>
      </c>
      <c r="AF408" s="270" t="s">
        <v>92</v>
      </c>
      <c r="AG408" s="41" t="s">
        <v>115</v>
      </c>
      <c r="AH408" s="185" t="s">
        <v>116</v>
      </c>
      <c r="AI408" s="42" t="s">
        <v>117</v>
      </c>
      <c r="AJ408" s="1" t="s">
        <v>98</v>
      </c>
      <c r="AK408" s="1" t="s">
        <v>98</v>
      </c>
      <c r="AL408" s="1" t="s">
        <v>98</v>
      </c>
      <c r="AM408" s="1" t="s">
        <v>98</v>
      </c>
      <c r="AN408" s="185"/>
    </row>
    <row r="409" spans="1:48">
      <c r="A409" s="421" t="s">
        <v>830</v>
      </c>
      <c r="B409" s="110" t="s">
        <v>831</v>
      </c>
      <c r="C409" s="26">
        <v>1</v>
      </c>
      <c r="D409" s="46" t="s">
        <v>114</v>
      </c>
      <c r="E409" s="47"/>
      <c r="F409" s="21"/>
      <c r="G409" s="145">
        <v>96</v>
      </c>
      <c r="H409" s="93"/>
      <c r="I409" s="270"/>
      <c r="J409" s="270"/>
      <c r="K409" s="121"/>
      <c r="L409" s="270"/>
      <c r="M409" s="1045" t="s">
        <v>115</v>
      </c>
      <c r="N409" s="1049" t="s">
        <v>116</v>
      </c>
      <c r="O409" s="1059" t="s">
        <v>117</v>
      </c>
      <c r="P409" s="1" t="str">
        <f t="shared" si="85"/>
        <v/>
      </c>
      <c r="Q409" s="1" t="str">
        <f t="shared" si="85"/>
        <v/>
      </c>
      <c r="R409" s="1" t="str">
        <f t="shared" si="85"/>
        <v/>
      </c>
      <c r="S409" s="1" t="str">
        <f t="shared" si="85"/>
        <v/>
      </c>
      <c r="T409" s="421" t="s">
        <v>830</v>
      </c>
      <c r="U409" s="110" t="s">
        <v>832</v>
      </c>
      <c r="V409" s="26">
        <v>1</v>
      </c>
      <c r="W409" s="46" t="s">
        <v>114</v>
      </c>
      <c r="X409" s="104" t="s">
        <v>830</v>
      </c>
      <c r="Y409" s="47"/>
      <c r="Z409" s="21"/>
      <c r="AA409" s="145">
        <v>96</v>
      </c>
      <c r="AB409" s="93"/>
      <c r="AC409" s="270"/>
      <c r="AD409" s="270"/>
      <c r="AE409" s="121" t="s">
        <v>92</v>
      </c>
      <c r="AF409" s="270" t="s">
        <v>92</v>
      </c>
      <c r="AG409" s="41" t="s">
        <v>115</v>
      </c>
      <c r="AH409" s="185" t="s">
        <v>116</v>
      </c>
      <c r="AI409" s="42" t="s">
        <v>117</v>
      </c>
      <c r="AJ409" s="1" t="s">
        <v>98</v>
      </c>
      <c r="AK409" s="1" t="s">
        <v>98</v>
      </c>
      <c r="AL409" s="1" t="s">
        <v>98</v>
      </c>
      <c r="AM409" s="1" t="s">
        <v>98</v>
      </c>
      <c r="AN409" s="185"/>
    </row>
    <row r="410" spans="1:48">
      <c r="A410" s="421" t="s">
        <v>833</v>
      </c>
      <c r="B410" s="110" t="s">
        <v>834</v>
      </c>
      <c r="C410" s="26">
        <v>1</v>
      </c>
      <c r="D410" s="46" t="s">
        <v>114</v>
      </c>
      <c r="E410" s="47"/>
      <c r="F410" s="21"/>
      <c r="G410" s="145">
        <v>25</v>
      </c>
      <c r="H410" s="93"/>
      <c r="I410" s="270"/>
      <c r="J410" s="270"/>
      <c r="K410" s="121"/>
      <c r="L410" s="270"/>
      <c r="M410" s="1045" t="s">
        <v>115</v>
      </c>
      <c r="N410" s="1049" t="s">
        <v>116</v>
      </c>
      <c r="O410" s="1059" t="s">
        <v>117</v>
      </c>
      <c r="P410" s="1" t="str">
        <f t="shared" si="85"/>
        <v/>
      </c>
      <c r="Q410" s="1" t="str">
        <f t="shared" si="85"/>
        <v/>
      </c>
      <c r="R410" s="1" t="str">
        <f t="shared" si="85"/>
        <v/>
      </c>
      <c r="S410" s="1" t="str">
        <f t="shared" si="85"/>
        <v/>
      </c>
      <c r="T410" s="421" t="s">
        <v>833</v>
      </c>
      <c r="U410" s="110" t="s">
        <v>835</v>
      </c>
      <c r="V410" s="26">
        <v>1</v>
      </c>
      <c r="W410" s="46" t="s">
        <v>114</v>
      </c>
      <c r="X410" s="104" t="s">
        <v>833</v>
      </c>
      <c r="Y410" s="47"/>
      <c r="Z410" s="21"/>
      <c r="AA410" s="145">
        <v>25</v>
      </c>
      <c r="AB410" s="93"/>
      <c r="AC410" s="270"/>
      <c r="AD410" s="270"/>
      <c r="AE410" s="121" t="s">
        <v>92</v>
      </c>
      <c r="AF410" s="270" t="s">
        <v>92</v>
      </c>
      <c r="AG410" s="41" t="s">
        <v>115</v>
      </c>
      <c r="AH410" s="185" t="s">
        <v>116</v>
      </c>
      <c r="AI410" s="42" t="s">
        <v>117</v>
      </c>
      <c r="AJ410" s="1" t="s">
        <v>98</v>
      </c>
      <c r="AK410" s="1" t="s">
        <v>98</v>
      </c>
      <c r="AL410" s="1" t="s">
        <v>98</v>
      </c>
      <c r="AM410" s="1" t="s">
        <v>98</v>
      </c>
      <c r="AN410" s="185"/>
    </row>
    <row r="411" spans="1:48">
      <c r="A411" s="421" t="s">
        <v>836</v>
      </c>
      <c r="B411" s="110" t="s">
        <v>837</v>
      </c>
      <c r="C411" s="26">
        <v>1</v>
      </c>
      <c r="D411" s="46" t="s">
        <v>114</v>
      </c>
      <c r="E411" s="47"/>
      <c r="F411" s="21"/>
      <c r="G411" s="145">
        <v>81</v>
      </c>
      <c r="H411" s="93"/>
      <c r="I411" s="270"/>
      <c r="J411" s="270"/>
      <c r="K411" s="121"/>
      <c r="L411" s="270"/>
      <c r="M411" s="1045" t="s">
        <v>115</v>
      </c>
      <c r="N411" s="1049" t="s">
        <v>116</v>
      </c>
      <c r="O411" s="1059" t="s">
        <v>117</v>
      </c>
      <c r="P411" s="1" t="str">
        <f t="shared" si="85"/>
        <v/>
      </c>
      <c r="Q411" s="1" t="str">
        <f t="shared" si="85"/>
        <v/>
      </c>
      <c r="R411" s="1" t="str">
        <f t="shared" si="85"/>
        <v/>
      </c>
      <c r="S411" s="1" t="str">
        <f t="shared" si="85"/>
        <v/>
      </c>
      <c r="T411" s="421" t="s">
        <v>836</v>
      </c>
      <c r="U411" s="110" t="s">
        <v>838</v>
      </c>
      <c r="V411" s="26">
        <v>1</v>
      </c>
      <c r="W411" s="46" t="s">
        <v>114</v>
      </c>
      <c r="X411" s="104" t="s">
        <v>836</v>
      </c>
      <c r="Y411" s="47"/>
      <c r="Z411" s="21"/>
      <c r="AA411" s="145">
        <v>81</v>
      </c>
      <c r="AB411" s="93"/>
      <c r="AC411" s="270"/>
      <c r="AD411" s="270"/>
      <c r="AE411" s="121" t="s">
        <v>92</v>
      </c>
      <c r="AF411" s="270" t="s">
        <v>92</v>
      </c>
      <c r="AG411" s="41" t="s">
        <v>115</v>
      </c>
      <c r="AH411" s="185" t="s">
        <v>116</v>
      </c>
      <c r="AI411" s="42" t="s">
        <v>117</v>
      </c>
      <c r="AJ411" s="1" t="s">
        <v>98</v>
      </c>
      <c r="AK411" s="1" t="s">
        <v>98</v>
      </c>
      <c r="AL411" s="1" t="s">
        <v>98</v>
      </c>
      <c r="AM411" s="1" t="s">
        <v>98</v>
      </c>
      <c r="AN411" s="185"/>
    </row>
    <row r="412" spans="1:48">
      <c r="A412" s="421" t="s">
        <v>839</v>
      </c>
      <c r="B412" s="110" t="s">
        <v>840</v>
      </c>
      <c r="C412" s="26">
        <v>1</v>
      </c>
      <c r="D412" s="46" t="s">
        <v>114</v>
      </c>
      <c r="E412" s="47"/>
      <c r="F412" s="21"/>
      <c r="G412" s="145">
        <v>117</v>
      </c>
      <c r="H412" s="93"/>
      <c r="I412" s="270"/>
      <c r="J412" s="270"/>
      <c r="K412" s="121"/>
      <c r="L412" s="270"/>
      <c r="M412" s="1045" t="s">
        <v>115</v>
      </c>
      <c r="N412" s="1049" t="s">
        <v>116</v>
      </c>
      <c r="O412" s="1059" t="s">
        <v>117</v>
      </c>
      <c r="P412" s="1" t="str">
        <f t="shared" si="85"/>
        <v/>
      </c>
      <c r="Q412" s="1" t="str">
        <f t="shared" si="85"/>
        <v/>
      </c>
      <c r="R412" s="1" t="str">
        <f t="shared" si="85"/>
        <v/>
      </c>
      <c r="S412" s="1" t="str">
        <f t="shared" si="85"/>
        <v/>
      </c>
      <c r="T412" s="421" t="s">
        <v>839</v>
      </c>
      <c r="U412" s="110" t="s">
        <v>841</v>
      </c>
      <c r="V412" s="26">
        <v>1</v>
      </c>
      <c r="W412" s="46" t="s">
        <v>114</v>
      </c>
      <c r="X412" s="104" t="s">
        <v>839</v>
      </c>
      <c r="Y412" s="47"/>
      <c r="Z412" s="21"/>
      <c r="AA412" s="145">
        <v>117</v>
      </c>
      <c r="AB412" s="93"/>
      <c r="AC412" s="270"/>
      <c r="AD412" s="270"/>
      <c r="AE412" s="121" t="s">
        <v>92</v>
      </c>
      <c r="AF412" s="270" t="s">
        <v>92</v>
      </c>
      <c r="AG412" s="41" t="s">
        <v>115</v>
      </c>
      <c r="AH412" s="185" t="s">
        <v>116</v>
      </c>
      <c r="AI412" s="42" t="s">
        <v>117</v>
      </c>
      <c r="AJ412" s="1" t="s">
        <v>98</v>
      </c>
      <c r="AK412" s="1" t="s">
        <v>98</v>
      </c>
      <c r="AL412" s="1" t="s">
        <v>98</v>
      </c>
      <c r="AM412" s="1" t="s">
        <v>98</v>
      </c>
      <c r="AN412" s="185"/>
    </row>
    <row r="413" spans="1:48">
      <c r="A413" s="421" t="s">
        <v>842</v>
      </c>
      <c r="B413" s="110" t="s">
        <v>843</v>
      </c>
      <c r="C413" s="26">
        <v>1</v>
      </c>
      <c r="D413" s="46" t="s">
        <v>114</v>
      </c>
      <c r="E413" s="47"/>
      <c r="F413" s="21"/>
      <c r="G413" s="145">
        <v>116</v>
      </c>
      <c r="H413" s="93"/>
      <c r="I413" s="270"/>
      <c r="J413" s="270"/>
      <c r="K413" s="121"/>
      <c r="L413" s="270"/>
      <c r="M413" s="1045" t="s">
        <v>115</v>
      </c>
      <c r="N413" s="1049" t="s">
        <v>116</v>
      </c>
      <c r="O413" s="1059" t="s">
        <v>117</v>
      </c>
      <c r="P413" s="1" t="str">
        <f t="shared" si="85"/>
        <v/>
      </c>
      <c r="Q413" s="1" t="str">
        <f t="shared" si="85"/>
        <v/>
      </c>
      <c r="R413" s="1" t="str">
        <f t="shared" si="85"/>
        <v/>
      </c>
      <c r="S413" s="1" t="str">
        <f t="shared" si="85"/>
        <v/>
      </c>
      <c r="T413" s="421" t="s">
        <v>842</v>
      </c>
      <c r="U413" s="110" t="s">
        <v>844</v>
      </c>
      <c r="V413" s="26">
        <v>1</v>
      </c>
      <c r="W413" s="46" t="s">
        <v>114</v>
      </c>
      <c r="X413" s="104" t="s">
        <v>842</v>
      </c>
      <c r="Y413" s="47"/>
      <c r="Z413" s="21"/>
      <c r="AA413" s="145">
        <v>116</v>
      </c>
      <c r="AB413" s="93"/>
      <c r="AC413" s="270"/>
      <c r="AD413" s="270"/>
      <c r="AE413" s="121" t="s">
        <v>92</v>
      </c>
      <c r="AF413" s="270" t="s">
        <v>92</v>
      </c>
      <c r="AG413" s="41" t="s">
        <v>115</v>
      </c>
      <c r="AH413" s="185" t="s">
        <v>116</v>
      </c>
      <c r="AI413" s="42" t="s">
        <v>117</v>
      </c>
      <c r="AJ413" s="1" t="s">
        <v>98</v>
      </c>
      <c r="AK413" s="1" t="s">
        <v>98</v>
      </c>
      <c r="AL413" s="1" t="s">
        <v>98</v>
      </c>
      <c r="AM413" s="1" t="s">
        <v>98</v>
      </c>
      <c r="AN413" s="185"/>
    </row>
    <row r="414" spans="1:48">
      <c r="A414" s="421" t="s">
        <v>845</v>
      </c>
      <c r="B414" s="110" t="s">
        <v>846</v>
      </c>
      <c r="C414" s="26">
        <v>1</v>
      </c>
      <c r="D414" s="46" t="s">
        <v>114</v>
      </c>
      <c r="E414" s="47"/>
      <c r="F414" s="21"/>
      <c r="G414" s="145">
        <v>43</v>
      </c>
      <c r="H414" s="93"/>
      <c r="I414" s="270"/>
      <c r="J414" s="270"/>
      <c r="K414" s="121"/>
      <c r="L414" s="270"/>
      <c r="M414" s="1045" t="s">
        <v>115</v>
      </c>
      <c r="N414" s="1049" t="s">
        <v>116</v>
      </c>
      <c r="O414" s="1059" t="s">
        <v>117</v>
      </c>
      <c r="P414" s="1" t="str">
        <f t="shared" si="85"/>
        <v/>
      </c>
      <c r="Q414" s="1" t="str">
        <f t="shared" si="85"/>
        <v/>
      </c>
      <c r="R414" s="1" t="str">
        <f t="shared" si="85"/>
        <v/>
      </c>
      <c r="S414" s="1" t="str">
        <f t="shared" si="85"/>
        <v/>
      </c>
      <c r="T414" s="421" t="s">
        <v>845</v>
      </c>
      <c r="U414" s="110" t="s">
        <v>847</v>
      </c>
      <c r="V414" s="26">
        <v>1</v>
      </c>
      <c r="W414" s="46" t="s">
        <v>114</v>
      </c>
      <c r="X414" s="104" t="s">
        <v>845</v>
      </c>
      <c r="Y414" s="47"/>
      <c r="Z414" s="21"/>
      <c r="AA414" s="145">
        <v>43</v>
      </c>
      <c r="AB414" s="93"/>
      <c r="AC414" s="270"/>
      <c r="AD414" s="270"/>
      <c r="AE414" s="121" t="s">
        <v>92</v>
      </c>
      <c r="AF414" s="270" t="s">
        <v>92</v>
      </c>
      <c r="AG414" s="41" t="s">
        <v>115</v>
      </c>
      <c r="AH414" s="185" t="s">
        <v>116</v>
      </c>
      <c r="AI414" s="42" t="s">
        <v>117</v>
      </c>
      <c r="AJ414" s="1" t="s">
        <v>98</v>
      </c>
      <c r="AK414" s="1" t="s">
        <v>98</v>
      </c>
      <c r="AL414" s="1" t="s">
        <v>98</v>
      </c>
      <c r="AM414" s="1" t="s">
        <v>98</v>
      </c>
      <c r="AN414" s="185"/>
    </row>
    <row r="415" spans="1:48">
      <c r="A415" s="421" t="s">
        <v>848</v>
      </c>
      <c r="B415" s="110" t="s">
        <v>849</v>
      </c>
      <c r="C415" s="26">
        <v>1</v>
      </c>
      <c r="D415" s="46" t="s">
        <v>114</v>
      </c>
      <c r="E415" s="47"/>
      <c r="F415" s="21"/>
      <c r="G415" s="145">
        <v>106</v>
      </c>
      <c r="H415" s="93"/>
      <c r="I415" s="270"/>
      <c r="J415" s="270"/>
      <c r="K415" s="121"/>
      <c r="L415" s="270"/>
      <c r="M415" s="1045" t="s">
        <v>115</v>
      </c>
      <c r="N415" s="1049" t="s">
        <v>116</v>
      </c>
      <c r="O415" s="1059" t="s">
        <v>117</v>
      </c>
      <c r="P415" s="1" t="str">
        <f t="shared" si="85"/>
        <v/>
      </c>
      <c r="Q415" s="1" t="str">
        <f t="shared" si="85"/>
        <v/>
      </c>
      <c r="R415" s="1" t="str">
        <f t="shared" si="85"/>
        <v/>
      </c>
      <c r="S415" s="1" t="str">
        <f t="shared" si="85"/>
        <v/>
      </c>
      <c r="T415" s="421" t="s">
        <v>848</v>
      </c>
      <c r="U415" s="110" t="s">
        <v>850</v>
      </c>
      <c r="V415" s="26">
        <v>1</v>
      </c>
      <c r="W415" s="46" t="s">
        <v>114</v>
      </c>
      <c r="X415" s="104" t="s">
        <v>848</v>
      </c>
      <c r="Y415" s="47"/>
      <c r="Z415" s="21"/>
      <c r="AA415" s="145">
        <v>106</v>
      </c>
      <c r="AB415" s="93"/>
      <c r="AC415" s="270"/>
      <c r="AD415" s="270"/>
      <c r="AE415" s="121" t="s">
        <v>92</v>
      </c>
      <c r="AF415" s="270" t="s">
        <v>92</v>
      </c>
      <c r="AG415" s="41" t="s">
        <v>115</v>
      </c>
      <c r="AH415" s="185" t="s">
        <v>116</v>
      </c>
      <c r="AI415" s="42" t="s">
        <v>117</v>
      </c>
      <c r="AJ415" s="1" t="s">
        <v>98</v>
      </c>
      <c r="AK415" s="1" t="s">
        <v>98</v>
      </c>
      <c r="AL415" s="1" t="s">
        <v>98</v>
      </c>
      <c r="AM415" s="1" t="s">
        <v>98</v>
      </c>
      <c r="AN415" s="185"/>
    </row>
    <row r="416" spans="1:48">
      <c r="A416" s="421" t="s">
        <v>851</v>
      </c>
      <c r="B416" s="110" t="s">
        <v>852</v>
      </c>
      <c r="C416" s="26">
        <v>1</v>
      </c>
      <c r="D416" s="46" t="s">
        <v>114</v>
      </c>
      <c r="E416" s="47"/>
      <c r="F416" s="21"/>
      <c r="G416" s="145">
        <v>169</v>
      </c>
      <c r="H416" s="93"/>
      <c r="I416" s="270"/>
      <c r="J416" s="270"/>
      <c r="K416" s="121"/>
      <c r="L416" s="270"/>
      <c r="M416" s="1045" t="s">
        <v>115</v>
      </c>
      <c r="N416" s="1049" t="s">
        <v>116</v>
      </c>
      <c r="O416" s="1059" t="s">
        <v>117</v>
      </c>
      <c r="P416" s="1" t="str">
        <f t="shared" ref="P416:S421" si="86">+IF($J416&lt;&gt;"",P$2*$J416,"")</f>
        <v/>
      </c>
      <c r="Q416" s="1" t="str">
        <f t="shared" si="86"/>
        <v/>
      </c>
      <c r="R416" s="1" t="str">
        <f t="shared" si="86"/>
        <v/>
      </c>
      <c r="S416" s="1" t="str">
        <f t="shared" si="86"/>
        <v/>
      </c>
      <c r="T416" s="421" t="s">
        <v>851</v>
      </c>
      <c r="U416" s="110" t="s">
        <v>853</v>
      </c>
      <c r="V416" s="26">
        <v>1</v>
      </c>
      <c r="W416" s="46" t="s">
        <v>114</v>
      </c>
      <c r="X416" s="104" t="s">
        <v>851</v>
      </c>
      <c r="Y416" s="47"/>
      <c r="Z416" s="21"/>
      <c r="AA416" s="145">
        <v>169</v>
      </c>
      <c r="AB416" s="93"/>
      <c r="AC416" s="270"/>
      <c r="AD416" s="270"/>
      <c r="AE416" s="121" t="s">
        <v>92</v>
      </c>
      <c r="AF416" s="270" t="s">
        <v>92</v>
      </c>
      <c r="AG416" s="41" t="s">
        <v>115</v>
      </c>
      <c r="AH416" s="185" t="s">
        <v>116</v>
      </c>
      <c r="AI416" s="42" t="s">
        <v>117</v>
      </c>
      <c r="AJ416" s="1" t="s">
        <v>98</v>
      </c>
      <c r="AK416" s="1" t="s">
        <v>98</v>
      </c>
      <c r="AL416" s="1" t="s">
        <v>98</v>
      </c>
      <c r="AM416" s="1" t="s">
        <v>98</v>
      </c>
      <c r="AN416" s="185"/>
    </row>
    <row r="417" spans="1:40" ht="15" customHeight="1">
      <c r="A417" s="421" t="s">
        <v>854</v>
      </c>
      <c r="B417" s="110" t="s">
        <v>855</v>
      </c>
      <c r="C417" s="26">
        <v>1</v>
      </c>
      <c r="D417" s="46" t="s">
        <v>114</v>
      </c>
      <c r="E417" s="47"/>
      <c r="F417" s="21"/>
      <c r="G417" s="145">
        <v>248</v>
      </c>
      <c r="H417" s="93"/>
      <c r="I417" s="270"/>
      <c r="J417" s="270"/>
      <c r="K417" s="121"/>
      <c r="L417" s="270"/>
      <c r="M417" s="1045" t="s">
        <v>115</v>
      </c>
      <c r="N417" s="1049" t="s">
        <v>116</v>
      </c>
      <c r="O417" s="1059" t="s">
        <v>117</v>
      </c>
      <c r="P417" s="1" t="str">
        <f t="shared" si="86"/>
        <v/>
      </c>
      <c r="Q417" s="1" t="str">
        <f t="shared" si="86"/>
        <v/>
      </c>
      <c r="R417" s="1" t="str">
        <f t="shared" si="86"/>
        <v/>
      </c>
      <c r="S417" s="1" t="str">
        <f t="shared" si="86"/>
        <v/>
      </c>
      <c r="T417" s="421" t="s">
        <v>854</v>
      </c>
      <c r="U417" s="110" t="s">
        <v>856</v>
      </c>
      <c r="V417" s="26">
        <v>1</v>
      </c>
      <c r="W417" s="46" t="s">
        <v>114</v>
      </c>
      <c r="X417" s="104" t="s">
        <v>854</v>
      </c>
      <c r="Y417" s="47"/>
      <c r="Z417" s="21"/>
      <c r="AA417" s="145">
        <v>248</v>
      </c>
      <c r="AB417" s="93"/>
      <c r="AC417" s="270"/>
      <c r="AD417" s="270"/>
      <c r="AE417" s="121" t="s">
        <v>92</v>
      </c>
      <c r="AF417" s="270" t="s">
        <v>92</v>
      </c>
      <c r="AG417" s="41" t="s">
        <v>115</v>
      </c>
      <c r="AH417" s="185" t="s">
        <v>116</v>
      </c>
      <c r="AI417" s="42" t="s">
        <v>117</v>
      </c>
      <c r="AJ417" s="1" t="s">
        <v>98</v>
      </c>
      <c r="AK417" s="1" t="s">
        <v>98</v>
      </c>
      <c r="AL417" s="1" t="s">
        <v>98</v>
      </c>
      <c r="AM417" s="1" t="s">
        <v>98</v>
      </c>
      <c r="AN417" s="185"/>
    </row>
    <row r="418" spans="1:40" ht="14.1" customHeight="1">
      <c r="A418" s="424" t="s">
        <v>857</v>
      </c>
      <c r="B418" s="451" t="s">
        <v>858</v>
      </c>
      <c r="C418" s="175">
        <v>1</v>
      </c>
      <c r="D418" s="52" t="s">
        <v>114</v>
      </c>
      <c r="E418" s="53"/>
      <c r="F418" s="56"/>
      <c r="G418" s="180">
        <v>602</v>
      </c>
      <c r="H418" s="268"/>
      <c r="I418" s="614"/>
      <c r="J418" s="614"/>
      <c r="K418" s="223"/>
      <c r="L418" s="614"/>
      <c r="M418" s="1045" t="s">
        <v>115</v>
      </c>
      <c r="N418" s="1049" t="s">
        <v>116</v>
      </c>
      <c r="O418" s="1059" t="s">
        <v>117</v>
      </c>
      <c r="P418" s="1" t="str">
        <f t="shared" si="86"/>
        <v/>
      </c>
      <c r="Q418" s="1" t="str">
        <f t="shared" si="86"/>
        <v/>
      </c>
      <c r="R418" s="1" t="str">
        <f t="shared" si="86"/>
        <v/>
      </c>
      <c r="S418" s="1" t="str">
        <f t="shared" si="86"/>
        <v/>
      </c>
      <c r="T418" s="424" t="s">
        <v>857</v>
      </c>
      <c r="U418" s="451" t="s">
        <v>858</v>
      </c>
      <c r="V418" s="175">
        <v>1</v>
      </c>
      <c r="W418" s="52" t="s">
        <v>114</v>
      </c>
      <c r="X418" s="274" t="s">
        <v>857</v>
      </c>
      <c r="Y418" s="53"/>
      <c r="Z418" s="56"/>
      <c r="AA418" s="180">
        <v>602</v>
      </c>
      <c r="AB418" s="268"/>
      <c r="AC418" s="614"/>
      <c r="AD418" s="614"/>
      <c r="AE418" s="223" t="s">
        <v>92</v>
      </c>
      <c r="AF418" s="614" t="s">
        <v>92</v>
      </c>
      <c r="AG418" s="41" t="s">
        <v>115</v>
      </c>
      <c r="AH418" s="185" t="s">
        <v>116</v>
      </c>
      <c r="AI418" s="42" t="s">
        <v>117</v>
      </c>
      <c r="AJ418" s="1" t="s">
        <v>98</v>
      </c>
      <c r="AK418" s="1" t="s">
        <v>98</v>
      </c>
      <c r="AL418" s="1" t="s">
        <v>98</v>
      </c>
      <c r="AM418" s="1" t="s">
        <v>98</v>
      </c>
      <c r="AN418" s="185"/>
    </row>
    <row r="419" spans="1:40" ht="25.5">
      <c r="A419" s="424" t="s">
        <v>859</v>
      </c>
      <c r="B419" s="451" t="s">
        <v>860</v>
      </c>
      <c r="C419" s="175">
        <v>1</v>
      </c>
      <c r="D419" s="52" t="s">
        <v>114</v>
      </c>
      <c r="E419" s="53"/>
      <c r="F419" s="56"/>
      <c r="G419" s="180">
        <v>728</v>
      </c>
      <c r="H419" s="268"/>
      <c r="I419" s="614"/>
      <c r="J419" s="614"/>
      <c r="K419" s="223"/>
      <c r="L419" s="614"/>
      <c r="M419" s="1045" t="s">
        <v>115</v>
      </c>
      <c r="N419" s="1049" t="s">
        <v>116</v>
      </c>
      <c r="O419" s="1059" t="s">
        <v>117</v>
      </c>
      <c r="P419" s="1" t="str">
        <f t="shared" si="86"/>
        <v/>
      </c>
      <c r="Q419" s="1" t="str">
        <f t="shared" si="86"/>
        <v/>
      </c>
      <c r="R419" s="1" t="str">
        <f t="shared" si="86"/>
        <v/>
      </c>
      <c r="S419" s="1" t="str">
        <f t="shared" si="86"/>
        <v/>
      </c>
      <c r="T419" s="424" t="s">
        <v>859</v>
      </c>
      <c r="U419" s="451" t="s">
        <v>860</v>
      </c>
      <c r="V419" s="175">
        <v>1</v>
      </c>
      <c r="W419" s="52" t="s">
        <v>114</v>
      </c>
      <c r="X419" s="274" t="s">
        <v>859</v>
      </c>
      <c r="Y419" s="53"/>
      <c r="Z419" s="56"/>
      <c r="AA419" s="180">
        <v>728</v>
      </c>
      <c r="AB419" s="268"/>
      <c r="AC419" s="614"/>
      <c r="AD419" s="614"/>
      <c r="AE419" s="223" t="s">
        <v>92</v>
      </c>
      <c r="AF419" s="614" t="s">
        <v>92</v>
      </c>
      <c r="AG419" s="41" t="s">
        <v>115</v>
      </c>
      <c r="AH419" s="185" t="s">
        <v>116</v>
      </c>
      <c r="AI419" s="42" t="s">
        <v>117</v>
      </c>
      <c r="AJ419" s="1" t="s">
        <v>98</v>
      </c>
      <c r="AK419" s="1" t="s">
        <v>98</v>
      </c>
      <c r="AL419" s="1" t="s">
        <v>98</v>
      </c>
      <c r="AM419" s="1" t="s">
        <v>98</v>
      </c>
      <c r="AN419" s="185"/>
    </row>
    <row r="420" spans="1:40">
      <c r="A420" s="421" t="s">
        <v>861</v>
      </c>
      <c r="B420" s="110" t="s">
        <v>862</v>
      </c>
      <c r="C420" s="26">
        <v>1</v>
      </c>
      <c r="D420" s="177" t="s">
        <v>114</v>
      </c>
      <c r="E420" s="47"/>
      <c r="F420" s="21"/>
      <c r="G420" s="27">
        <v>382.62</v>
      </c>
      <c r="H420" s="266"/>
      <c r="I420" s="270"/>
      <c r="J420" s="270"/>
      <c r="K420" s="121"/>
      <c r="L420" s="270"/>
      <c r="M420" s="1045" t="s">
        <v>115</v>
      </c>
      <c r="N420" s="1049" t="s">
        <v>116</v>
      </c>
      <c r="O420" s="1059" t="s">
        <v>863</v>
      </c>
      <c r="P420" s="1" t="str">
        <f t="shared" si="86"/>
        <v/>
      </c>
      <c r="Q420" s="1" t="str">
        <f t="shared" si="86"/>
        <v/>
      </c>
      <c r="R420" s="1" t="str">
        <f t="shared" si="86"/>
        <v/>
      </c>
      <c r="S420" s="1" t="str">
        <f t="shared" si="86"/>
        <v/>
      </c>
      <c r="T420" s="421" t="s">
        <v>861</v>
      </c>
      <c r="U420" s="110" t="s">
        <v>862</v>
      </c>
      <c r="V420" s="26">
        <v>1</v>
      </c>
      <c r="W420" s="177" t="s">
        <v>114</v>
      </c>
      <c r="X420" s="104" t="s">
        <v>861</v>
      </c>
      <c r="Y420" s="47"/>
      <c r="Z420" s="21"/>
      <c r="AA420" s="27">
        <v>382.62</v>
      </c>
      <c r="AB420" s="266"/>
      <c r="AC420" s="270"/>
      <c r="AD420" s="270"/>
      <c r="AE420" s="121"/>
      <c r="AF420" s="270"/>
      <c r="AG420" s="41" t="s">
        <v>115</v>
      </c>
      <c r="AH420" s="185" t="s">
        <v>116</v>
      </c>
      <c r="AI420" s="42" t="s">
        <v>863</v>
      </c>
      <c r="AJ420" s="1" t="s">
        <v>98</v>
      </c>
      <c r="AK420" s="1" t="s">
        <v>98</v>
      </c>
      <c r="AL420" s="1" t="s">
        <v>98</v>
      </c>
      <c r="AM420" s="1" t="s">
        <v>98</v>
      </c>
      <c r="AN420" s="185"/>
    </row>
    <row r="421" spans="1:40">
      <c r="A421" s="421" t="s">
        <v>864</v>
      </c>
      <c r="B421" s="110" t="s">
        <v>865</v>
      </c>
      <c r="C421" s="26">
        <v>1</v>
      </c>
      <c r="D421" s="177" t="s">
        <v>114</v>
      </c>
      <c r="E421" s="47"/>
      <c r="F421" s="21"/>
      <c r="G421" s="27">
        <v>411.42</v>
      </c>
      <c r="H421" s="266"/>
      <c r="I421" s="270"/>
      <c r="J421" s="270"/>
      <c r="K421" s="121"/>
      <c r="L421" s="270"/>
      <c r="M421" s="1045" t="s">
        <v>115</v>
      </c>
      <c r="N421" s="1049" t="s">
        <v>116</v>
      </c>
      <c r="O421" s="1059" t="s">
        <v>117</v>
      </c>
      <c r="P421" s="1" t="str">
        <f t="shared" si="86"/>
        <v/>
      </c>
      <c r="Q421" s="1" t="str">
        <f t="shared" si="86"/>
        <v/>
      </c>
      <c r="R421" s="1" t="str">
        <f t="shared" si="86"/>
        <v/>
      </c>
      <c r="S421" s="1" t="str">
        <f t="shared" si="86"/>
        <v/>
      </c>
      <c r="T421" s="421" t="s">
        <v>864</v>
      </c>
      <c r="U421" s="110" t="s">
        <v>866</v>
      </c>
      <c r="V421" s="26">
        <v>1</v>
      </c>
      <c r="W421" s="177" t="s">
        <v>114</v>
      </c>
      <c r="X421" s="104" t="s">
        <v>864</v>
      </c>
      <c r="Y421" s="47"/>
      <c r="Z421" s="21"/>
      <c r="AA421" s="27">
        <v>411.42</v>
      </c>
      <c r="AB421" s="266"/>
      <c r="AC421" s="270"/>
      <c r="AD421" s="270"/>
      <c r="AE421" s="121"/>
      <c r="AF421" s="270"/>
      <c r="AG421" s="41" t="s">
        <v>115</v>
      </c>
      <c r="AH421" s="185" t="s">
        <v>116</v>
      </c>
      <c r="AI421" s="42" t="s">
        <v>117</v>
      </c>
      <c r="AJ421" s="1" t="s">
        <v>98</v>
      </c>
      <c r="AK421" s="1" t="s">
        <v>98</v>
      </c>
      <c r="AL421" s="1" t="s">
        <v>98</v>
      </c>
      <c r="AM421" s="1" t="s">
        <v>98</v>
      </c>
      <c r="AN421" s="185"/>
    </row>
    <row r="422" spans="1:40" s="860" customFormat="1" ht="20.100000000000001" customHeight="1">
      <c r="A422" s="1074" t="s">
        <v>3604</v>
      </c>
      <c r="B422" s="1079"/>
      <c r="C422" s="878"/>
      <c r="D422" s="879"/>
      <c r="E422" s="879"/>
      <c r="F422" s="880"/>
      <c r="G422" s="881"/>
      <c r="H422" s="893"/>
      <c r="I422" s="883"/>
      <c r="J422" s="883"/>
      <c r="K422" s="881"/>
      <c r="L422" s="869"/>
      <c r="M422" s="869"/>
      <c r="N422" s="1028"/>
      <c r="O422" s="869"/>
      <c r="P422" s="869"/>
      <c r="Q422" s="869"/>
      <c r="R422" s="869"/>
      <c r="S422" s="887"/>
      <c r="T422" s="894"/>
      <c r="U422" s="895"/>
      <c r="V422" s="896"/>
      <c r="W422" s="897"/>
      <c r="X422" s="898"/>
      <c r="Y422" s="897"/>
      <c r="Z422" s="899"/>
      <c r="AA422" s="900"/>
      <c r="AB422" s="896"/>
      <c r="AC422" s="900"/>
      <c r="AD422" s="900"/>
      <c r="AE422" s="901"/>
      <c r="AF422" s="902"/>
      <c r="AG422" s="858"/>
      <c r="AH422" s="859"/>
      <c r="AI422" s="859"/>
      <c r="AJ422" s="860" t="s">
        <v>98</v>
      </c>
      <c r="AK422" s="860" t="s">
        <v>98</v>
      </c>
      <c r="AL422" s="860" t="s">
        <v>98</v>
      </c>
      <c r="AM422" s="860" t="s">
        <v>98</v>
      </c>
      <c r="AN422" s="871"/>
    </row>
    <row r="423" spans="1:40">
      <c r="A423" s="830" t="s">
        <v>3557</v>
      </c>
      <c r="B423" s="842" t="s">
        <v>3570</v>
      </c>
      <c r="C423" s="832">
        <v>1</v>
      </c>
      <c r="D423" s="834" t="s">
        <v>90</v>
      </c>
      <c r="E423" s="725">
        <v>581.9</v>
      </c>
      <c r="F423" s="261">
        <v>0.16500000000000001</v>
      </c>
      <c r="G423" s="262">
        <f t="shared" ref="G423:G429" si="87">E423-(E423*F423)</f>
        <v>485.88649999999996</v>
      </c>
      <c r="H423" s="292" t="s">
        <v>869</v>
      </c>
      <c r="I423" s="216">
        <v>48</v>
      </c>
      <c r="J423" s="216">
        <f>G423+I423</f>
        <v>533.88649999999996</v>
      </c>
      <c r="K423" s="99" t="s">
        <v>92</v>
      </c>
      <c r="L423" s="216">
        <v>0.6</v>
      </c>
      <c r="M423" s="1045" t="s">
        <v>870</v>
      </c>
      <c r="N423" s="1046" t="s">
        <v>871</v>
      </c>
      <c r="O423" s="1055" t="s">
        <v>872</v>
      </c>
      <c r="P423" s="1">
        <f t="shared" ref="P423:S425" si="88">+IF($J423&lt;&gt;"",P$2*$J423,"")</f>
        <v>107.47602250883563</v>
      </c>
      <c r="Q423" s="1">
        <f t="shared" si="88"/>
        <v>55.85598306370845</v>
      </c>
      <c r="R423" s="1">
        <f t="shared" si="88"/>
        <v>40.566537739458894</v>
      </c>
      <c r="S423" s="1">
        <f t="shared" si="88"/>
        <v>35.006341292957586</v>
      </c>
      <c r="T423" s="764" t="s">
        <v>867</v>
      </c>
      <c r="U423" s="819" t="s">
        <v>868</v>
      </c>
      <c r="V423" s="776">
        <v>1</v>
      </c>
      <c r="W423" s="778" t="s">
        <v>90</v>
      </c>
      <c r="X423" s="820" t="s">
        <v>867</v>
      </c>
      <c r="Y423" s="779">
        <v>665.23</v>
      </c>
      <c r="Z423" s="821">
        <v>0.16500000000000001</v>
      </c>
      <c r="AA423" s="822">
        <v>555.46704999999997</v>
      </c>
      <c r="AB423" s="781" t="s">
        <v>869</v>
      </c>
      <c r="AC423" s="782">
        <v>48</v>
      </c>
      <c r="AD423" s="782">
        <v>603.46704999999997</v>
      </c>
      <c r="AE423" s="823" t="s">
        <v>92</v>
      </c>
      <c r="AF423" s="782">
        <v>0.6</v>
      </c>
      <c r="AG423" s="660" t="s">
        <v>870</v>
      </c>
      <c r="AH423" s="769" t="s">
        <v>871</v>
      </c>
      <c r="AI423" s="772" t="s">
        <v>872</v>
      </c>
      <c r="AJ423" s="770">
        <v>121.48319586492754</v>
      </c>
      <c r="AK423" s="770">
        <v>63.135601526365818</v>
      </c>
      <c r="AL423" s="770">
        <v>45.853507924146669</v>
      </c>
      <c r="AM423" s="770">
        <v>39.568660214023581</v>
      </c>
      <c r="AN423" s="174"/>
    </row>
    <row r="424" spans="1:40">
      <c r="A424" s="684" t="s">
        <v>3558</v>
      </c>
      <c r="B424" s="836" t="s">
        <v>3564</v>
      </c>
      <c r="C424" s="687">
        <v>1</v>
      </c>
      <c r="D424" s="647" t="s">
        <v>90</v>
      </c>
      <c r="E424" s="44">
        <v>191.66666666666669</v>
      </c>
      <c r="F424" s="837">
        <f t="shared" ref="F424:F429" si="89">rv_mm_eg_cto</f>
        <v>0.16500000000000001</v>
      </c>
      <c r="G424" s="93">
        <f t="shared" si="87"/>
        <v>160.04166666666669</v>
      </c>
      <c r="H424" s="145"/>
      <c r="I424" s="76"/>
      <c r="J424" s="76"/>
      <c r="K424" s="16"/>
      <c r="L424" s="76"/>
      <c r="M424" s="1045" t="s">
        <v>870</v>
      </c>
      <c r="N424" s="1047" t="s">
        <v>871</v>
      </c>
      <c r="O424" s="1056" t="s">
        <v>872</v>
      </c>
      <c r="P424" s="1" t="str">
        <f t="shared" si="88"/>
        <v/>
      </c>
      <c r="Q424" s="1" t="str">
        <f t="shared" si="88"/>
        <v/>
      </c>
      <c r="R424" s="1" t="str">
        <f t="shared" si="88"/>
        <v/>
      </c>
      <c r="S424" s="1" t="str">
        <f t="shared" si="88"/>
        <v/>
      </c>
      <c r="T424" s="766" t="s">
        <v>873</v>
      </c>
      <c r="U424" s="824" t="s">
        <v>874</v>
      </c>
      <c r="V424" s="810">
        <v>1</v>
      </c>
      <c r="W424" s="825" t="s">
        <v>90</v>
      </c>
      <c r="X424" s="812" t="s">
        <v>92</v>
      </c>
      <c r="Y424" s="793">
        <v>191.67</v>
      </c>
      <c r="Z424" s="826">
        <v>0.16500000000000001</v>
      </c>
      <c r="AA424" s="811">
        <v>160.04444999999998</v>
      </c>
      <c r="AB424" s="702"/>
      <c r="AC424" s="815"/>
      <c r="AD424" s="815"/>
      <c r="AE424" s="816" t="s">
        <v>92</v>
      </c>
      <c r="AF424" s="815" t="s">
        <v>92</v>
      </c>
      <c r="AG424" s="660" t="s">
        <v>870</v>
      </c>
      <c r="AH424" s="769" t="s">
        <v>871</v>
      </c>
      <c r="AI424" s="772" t="s">
        <v>872</v>
      </c>
      <c r="AJ424" s="770" t="s">
        <v>98</v>
      </c>
      <c r="AK424" s="770" t="s">
        <v>98</v>
      </c>
      <c r="AL424" s="770" t="s">
        <v>98</v>
      </c>
      <c r="AM424" s="770" t="s">
        <v>98</v>
      </c>
      <c r="AN424" s="174"/>
    </row>
    <row r="425" spans="1:40">
      <c r="A425" s="684" t="s">
        <v>3559</v>
      </c>
      <c r="B425" s="836" t="s">
        <v>3565</v>
      </c>
      <c r="C425" s="687">
        <v>1</v>
      </c>
      <c r="D425" s="647" t="s">
        <v>90</v>
      </c>
      <c r="E425" s="44">
        <v>383.33333333333337</v>
      </c>
      <c r="F425" s="837">
        <f t="shared" si="89"/>
        <v>0.16500000000000001</v>
      </c>
      <c r="G425" s="93">
        <f t="shared" ref="G425" si="90">E425-(E425*F425)</f>
        <v>320.08333333333337</v>
      </c>
      <c r="H425" s="145"/>
      <c r="I425" s="76"/>
      <c r="J425" s="76"/>
      <c r="K425" s="16"/>
      <c r="L425" s="76"/>
      <c r="M425" s="1045" t="s">
        <v>870</v>
      </c>
      <c r="N425" s="1047" t="s">
        <v>871</v>
      </c>
      <c r="O425" s="1056" t="s">
        <v>872</v>
      </c>
      <c r="P425" s="1" t="str">
        <f t="shared" si="88"/>
        <v/>
      </c>
      <c r="Q425" s="1" t="str">
        <f t="shared" si="88"/>
        <v/>
      </c>
      <c r="R425" s="1" t="str">
        <f t="shared" si="88"/>
        <v/>
      </c>
      <c r="S425" s="1" t="str">
        <f t="shared" si="88"/>
        <v/>
      </c>
      <c r="T425" s="421"/>
      <c r="U425" s="92"/>
      <c r="V425" s="26"/>
      <c r="X425" s="435"/>
      <c r="Y425" s="47"/>
      <c r="Z425" s="77"/>
      <c r="AA425" s="27"/>
      <c r="AB425" s="145"/>
      <c r="AC425" s="76"/>
      <c r="AD425" s="76"/>
      <c r="AE425" s="16"/>
      <c r="AF425" s="76"/>
      <c r="AG425" s="41"/>
      <c r="AH425" s="174"/>
      <c r="AI425" s="159"/>
      <c r="AJ425" s="1"/>
      <c r="AK425" s="1"/>
      <c r="AL425" s="1"/>
      <c r="AM425" s="1"/>
      <c r="AN425" s="174"/>
    </row>
    <row r="426" spans="1:40">
      <c r="A426" s="684" t="s">
        <v>3560</v>
      </c>
      <c r="B426" s="761" t="s">
        <v>3566</v>
      </c>
      <c r="C426" s="687">
        <v>1</v>
      </c>
      <c r="D426" s="647" t="s">
        <v>90</v>
      </c>
      <c r="E426" s="44">
        <v>191.66666666666669</v>
      </c>
      <c r="F426" s="837">
        <f t="shared" si="89"/>
        <v>0.16500000000000001</v>
      </c>
      <c r="G426" s="93">
        <f t="shared" si="87"/>
        <v>160.04166666666669</v>
      </c>
      <c r="H426" s="145"/>
      <c r="I426" s="76"/>
      <c r="J426" s="76"/>
      <c r="K426" s="16"/>
      <c r="L426" s="76"/>
      <c r="M426" s="1045" t="s">
        <v>870</v>
      </c>
      <c r="N426" s="1047" t="s">
        <v>871</v>
      </c>
      <c r="O426" s="1056" t="s">
        <v>872</v>
      </c>
      <c r="P426" s="1" t="str">
        <f t="shared" ref="P426:S443" si="91">+IF($J426&lt;&gt;"",P$2*$J426,"")</f>
        <v/>
      </c>
      <c r="Q426" s="1" t="str">
        <f t="shared" si="91"/>
        <v/>
      </c>
      <c r="R426" s="1" t="str">
        <f t="shared" si="91"/>
        <v/>
      </c>
      <c r="S426" s="1" t="str">
        <f t="shared" si="91"/>
        <v/>
      </c>
      <c r="T426" s="766" t="s">
        <v>875</v>
      </c>
      <c r="U426" s="809" t="s">
        <v>876</v>
      </c>
      <c r="V426" s="810">
        <v>1</v>
      </c>
      <c r="W426" s="825" t="s">
        <v>90</v>
      </c>
      <c r="X426" s="812" t="s">
        <v>92</v>
      </c>
      <c r="Y426" s="793">
        <v>191.67</v>
      </c>
      <c r="Z426" s="826">
        <v>0.16500000000000001</v>
      </c>
      <c r="AA426" s="811">
        <v>160.04444999999998</v>
      </c>
      <c r="AB426" s="702"/>
      <c r="AC426" s="815"/>
      <c r="AD426" s="815"/>
      <c r="AE426" s="816" t="s">
        <v>92</v>
      </c>
      <c r="AF426" s="815" t="s">
        <v>92</v>
      </c>
      <c r="AG426" s="660" t="s">
        <v>870</v>
      </c>
      <c r="AH426" s="769" t="s">
        <v>871</v>
      </c>
      <c r="AI426" s="772" t="s">
        <v>872</v>
      </c>
      <c r="AJ426" s="770" t="s">
        <v>98</v>
      </c>
      <c r="AK426" s="770" t="s">
        <v>98</v>
      </c>
      <c r="AL426" s="770" t="s">
        <v>98</v>
      </c>
      <c r="AM426" s="770" t="s">
        <v>98</v>
      </c>
      <c r="AN426" s="174"/>
    </row>
    <row r="427" spans="1:40">
      <c r="A427" s="684" t="s">
        <v>3561</v>
      </c>
      <c r="B427" s="761" t="s">
        <v>3567</v>
      </c>
      <c r="C427" s="687">
        <v>1</v>
      </c>
      <c r="D427" s="647" t="s">
        <v>90</v>
      </c>
      <c r="E427" s="44">
        <v>383.33333333333337</v>
      </c>
      <c r="F427" s="837">
        <f t="shared" si="89"/>
        <v>0.16500000000000001</v>
      </c>
      <c r="G427" s="93">
        <f t="shared" si="87"/>
        <v>320.08333333333337</v>
      </c>
      <c r="H427" s="145"/>
      <c r="I427" s="76"/>
      <c r="J427" s="76"/>
      <c r="K427" s="16"/>
      <c r="L427" s="76"/>
      <c r="M427" s="1045" t="s">
        <v>870</v>
      </c>
      <c r="N427" s="1047" t="s">
        <v>871</v>
      </c>
      <c r="O427" s="1056" t="s">
        <v>872</v>
      </c>
      <c r="P427" s="1" t="str">
        <f t="shared" si="91"/>
        <v/>
      </c>
      <c r="Q427" s="1" t="str">
        <f t="shared" si="91"/>
        <v/>
      </c>
      <c r="R427" s="1" t="str">
        <f t="shared" si="91"/>
        <v/>
      </c>
      <c r="S427" s="1" t="str">
        <f t="shared" si="91"/>
        <v/>
      </c>
      <c r="T427" s="766" t="s">
        <v>877</v>
      </c>
      <c r="U427" s="809" t="s">
        <v>878</v>
      </c>
      <c r="V427" s="810">
        <v>1</v>
      </c>
      <c r="W427" s="825" t="s">
        <v>90</v>
      </c>
      <c r="X427" s="812" t="s">
        <v>92</v>
      </c>
      <c r="Y427" s="793">
        <v>383.33</v>
      </c>
      <c r="Z427" s="826">
        <v>0.16500000000000001</v>
      </c>
      <c r="AA427" s="811">
        <v>320.08054999999996</v>
      </c>
      <c r="AB427" s="702"/>
      <c r="AC427" s="815"/>
      <c r="AD427" s="815"/>
      <c r="AE427" s="816" t="s">
        <v>92</v>
      </c>
      <c r="AF427" s="815" t="s">
        <v>92</v>
      </c>
      <c r="AG427" s="660" t="s">
        <v>870</v>
      </c>
      <c r="AH427" s="769" t="s">
        <v>871</v>
      </c>
      <c r="AI427" s="772" t="s">
        <v>872</v>
      </c>
      <c r="AJ427" s="770" t="s">
        <v>98</v>
      </c>
      <c r="AK427" s="770" t="s">
        <v>98</v>
      </c>
      <c r="AL427" s="770" t="s">
        <v>98</v>
      </c>
      <c r="AM427" s="770" t="s">
        <v>98</v>
      </c>
      <c r="AN427" s="174"/>
    </row>
    <row r="428" spans="1:40">
      <c r="A428" s="684" t="s">
        <v>3562</v>
      </c>
      <c r="B428" s="761" t="s">
        <v>3568</v>
      </c>
      <c r="C428" s="687">
        <v>1</v>
      </c>
      <c r="D428" s="647" t="s">
        <v>90</v>
      </c>
      <c r="E428" s="44">
        <v>766.66666666666674</v>
      </c>
      <c r="F428" s="837">
        <f t="shared" si="89"/>
        <v>0.16500000000000001</v>
      </c>
      <c r="G428" s="93">
        <f t="shared" si="87"/>
        <v>640.16666666666674</v>
      </c>
      <c r="H428" s="145"/>
      <c r="I428" s="76"/>
      <c r="J428" s="76"/>
      <c r="K428" s="16"/>
      <c r="L428" s="76"/>
      <c r="M428" s="1045" t="s">
        <v>870</v>
      </c>
      <c r="N428" s="1047" t="s">
        <v>871</v>
      </c>
      <c r="O428" s="1056" t="s">
        <v>872</v>
      </c>
      <c r="P428" s="1" t="str">
        <f t="shared" si="91"/>
        <v/>
      </c>
      <c r="Q428" s="1" t="str">
        <f t="shared" si="91"/>
        <v/>
      </c>
      <c r="R428" s="1" t="str">
        <f t="shared" si="91"/>
        <v/>
      </c>
      <c r="S428" s="1" t="str">
        <f t="shared" si="91"/>
        <v/>
      </c>
      <c r="T428" s="766" t="s">
        <v>879</v>
      </c>
      <c r="U428" s="809" t="s">
        <v>880</v>
      </c>
      <c r="V428" s="810">
        <v>1</v>
      </c>
      <c r="W428" s="825" t="s">
        <v>90</v>
      </c>
      <c r="X428" s="812" t="s">
        <v>92</v>
      </c>
      <c r="Y428" s="793">
        <v>766.67</v>
      </c>
      <c r="Z428" s="826">
        <v>0.16500000000000001</v>
      </c>
      <c r="AA428" s="811">
        <v>640.16944999999998</v>
      </c>
      <c r="AB428" s="702"/>
      <c r="AC428" s="815"/>
      <c r="AD428" s="815"/>
      <c r="AE428" s="816" t="s">
        <v>92</v>
      </c>
      <c r="AF428" s="815" t="s">
        <v>92</v>
      </c>
      <c r="AG428" s="660" t="s">
        <v>870</v>
      </c>
      <c r="AH428" s="769" t="s">
        <v>871</v>
      </c>
      <c r="AI428" s="772" t="s">
        <v>872</v>
      </c>
      <c r="AJ428" s="770" t="s">
        <v>98</v>
      </c>
      <c r="AK428" s="770" t="s">
        <v>98</v>
      </c>
      <c r="AL428" s="770" t="s">
        <v>98</v>
      </c>
      <c r="AM428" s="770" t="s">
        <v>98</v>
      </c>
      <c r="AN428" s="174"/>
    </row>
    <row r="429" spans="1:40">
      <c r="A429" s="684" t="s">
        <v>3563</v>
      </c>
      <c r="B429" s="761" t="s">
        <v>3569</v>
      </c>
      <c r="C429" s="687">
        <v>1</v>
      </c>
      <c r="D429" s="647" t="s">
        <v>90</v>
      </c>
      <c r="E429" s="44">
        <v>95.833333333333343</v>
      </c>
      <c r="F429" s="837">
        <f t="shared" si="89"/>
        <v>0.16500000000000001</v>
      </c>
      <c r="G429" s="93">
        <f t="shared" si="87"/>
        <v>80.020833333333343</v>
      </c>
      <c r="H429" s="145"/>
      <c r="I429" s="76"/>
      <c r="J429" s="76"/>
      <c r="K429" s="16"/>
      <c r="L429" s="76"/>
      <c r="M429" s="1045" t="s">
        <v>870</v>
      </c>
      <c r="N429" s="1047" t="s">
        <v>871</v>
      </c>
      <c r="O429" s="1056" t="s">
        <v>872</v>
      </c>
      <c r="P429" s="1" t="str">
        <f t="shared" si="91"/>
        <v/>
      </c>
      <c r="Q429" s="1" t="str">
        <f t="shared" si="91"/>
        <v/>
      </c>
      <c r="R429" s="1" t="str">
        <f t="shared" si="91"/>
        <v/>
      </c>
      <c r="S429" s="1" t="str">
        <f t="shared" si="91"/>
        <v/>
      </c>
      <c r="T429" s="766" t="s">
        <v>881</v>
      </c>
      <c r="U429" s="809" t="s">
        <v>882</v>
      </c>
      <c r="V429" s="810">
        <v>1</v>
      </c>
      <c r="W429" s="825" t="s">
        <v>90</v>
      </c>
      <c r="X429" s="812" t="s">
        <v>92</v>
      </c>
      <c r="Y429" s="793">
        <v>95.83</v>
      </c>
      <c r="Z429" s="826">
        <v>0.16500000000000001</v>
      </c>
      <c r="AA429" s="811">
        <v>80.018050000000002</v>
      </c>
      <c r="AB429" s="702"/>
      <c r="AC429" s="815"/>
      <c r="AD429" s="815"/>
      <c r="AE429" s="816" t="s">
        <v>92</v>
      </c>
      <c r="AF429" s="815" t="s">
        <v>92</v>
      </c>
      <c r="AG429" s="660" t="s">
        <v>870</v>
      </c>
      <c r="AH429" s="769" t="s">
        <v>871</v>
      </c>
      <c r="AI429" s="772" t="s">
        <v>872</v>
      </c>
      <c r="AJ429" s="770" t="s">
        <v>98</v>
      </c>
      <c r="AK429" s="770" t="s">
        <v>98</v>
      </c>
      <c r="AL429" s="770" t="s">
        <v>98</v>
      </c>
      <c r="AM429" s="770" t="s">
        <v>98</v>
      </c>
      <c r="AN429" s="174"/>
    </row>
    <row r="430" spans="1:40">
      <c r="A430" s="830" t="s">
        <v>3571</v>
      </c>
      <c r="B430" s="831" t="s">
        <v>3572</v>
      </c>
      <c r="C430" s="832">
        <v>1</v>
      </c>
      <c r="D430" s="834" t="s">
        <v>90</v>
      </c>
      <c r="E430" s="454">
        <v>773.56666666666672</v>
      </c>
      <c r="F430" s="261">
        <f>rv_mm_hg</f>
        <v>0.16500000000000001</v>
      </c>
      <c r="G430" s="262">
        <f t="shared" ref="G430:G443" si="92">E430-(E430*F430)</f>
        <v>645.9281666666667</v>
      </c>
      <c r="H430" s="292" t="s">
        <v>926</v>
      </c>
      <c r="I430" s="216">
        <f>mm_5pl</f>
        <v>48</v>
      </c>
      <c r="J430" s="216">
        <f>G430+I430</f>
        <v>693.9281666666667</v>
      </c>
      <c r="K430" s="99" t="s">
        <v>92</v>
      </c>
      <c r="L430" s="216">
        <v>0.6</v>
      </c>
      <c r="M430" s="1045" t="s">
        <v>927</v>
      </c>
      <c r="N430" s="1047" t="s">
        <v>871</v>
      </c>
      <c r="O430" s="1056" t="s">
        <v>872</v>
      </c>
      <c r="P430" s="1">
        <f t="shared" si="91"/>
        <v>139.69380993934425</v>
      </c>
      <c r="Q430" s="1">
        <f t="shared" si="91"/>
        <v>72.599775279509032</v>
      </c>
      <c r="R430" s="1">
        <f t="shared" si="91"/>
        <v>52.727055584954591</v>
      </c>
      <c r="S430" s="1">
        <f t="shared" si="91"/>
        <v>45.500094561540116</v>
      </c>
      <c r="T430" s="764" t="s">
        <v>924</v>
      </c>
      <c r="U430" s="775" t="s">
        <v>925</v>
      </c>
      <c r="V430" s="776">
        <v>1</v>
      </c>
      <c r="W430" s="778" t="s">
        <v>90</v>
      </c>
      <c r="X430" s="820" t="s">
        <v>924</v>
      </c>
      <c r="Y430" s="779">
        <v>856.9</v>
      </c>
      <c r="Z430" s="821">
        <v>0.16500000000000001</v>
      </c>
      <c r="AA430" s="822">
        <v>715.51149999999996</v>
      </c>
      <c r="AB430" s="781" t="s">
        <v>926</v>
      </c>
      <c r="AC430" s="782">
        <v>48</v>
      </c>
      <c r="AD430" s="782">
        <v>763.51149999999996</v>
      </c>
      <c r="AE430" s="823" t="s">
        <v>92</v>
      </c>
      <c r="AF430" s="782">
        <v>0.6</v>
      </c>
      <c r="AG430" s="660" t="s">
        <v>927</v>
      </c>
      <c r="AH430" s="769" t="s">
        <v>871</v>
      </c>
      <c r="AI430" s="772" t="s">
        <v>872</v>
      </c>
      <c r="AJ430" s="770">
        <v>153.70154360478276</v>
      </c>
      <c r="AK430" s="770">
        <v>79.879684938552742</v>
      </c>
      <c r="AL430" s="770">
        <v>58.014237256909233</v>
      </c>
      <c r="AM430" s="770">
        <v>50.062595982662955</v>
      </c>
      <c r="AN430" s="174"/>
    </row>
    <row r="431" spans="1:40">
      <c r="A431" s="684" t="s">
        <v>3573</v>
      </c>
      <c r="B431" s="761" t="s">
        <v>3578</v>
      </c>
      <c r="C431" s="687">
        <v>1</v>
      </c>
      <c r="D431" s="647" t="s">
        <v>90</v>
      </c>
      <c r="E431" s="44">
        <v>191.66666666666669</v>
      </c>
      <c r="F431" s="837">
        <f>rv_mm_hg_cto</f>
        <v>0.16500000000000001</v>
      </c>
      <c r="G431" s="93">
        <f t="shared" si="92"/>
        <v>160.04166666666669</v>
      </c>
      <c r="H431" s="145"/>
      <c r="I431" s="76"/>
      <c r="J431" s="76"/>
      <c r="K431" s="16"/>
      <c r="L431" s="76"/>
      <c r="M431" s="1045" t="s">
        <v>927</v>
      </c>
      <c r="N431" s="1047" t="s">
        <v>871</v>
      </c>
      <c r="O431" s="1056" t="s">
        <v>872</v>
      </c>
      <c r="P431" s="1" t="str">
        <f t="shared" si="91"/>
        <v/>
      </c>
      <c r="Q431" s="1" t="str">
        <f t="shared" si="91"/>
        <v/>
      </c>
      <c r="R431" s="1" t="str">
        <f t="shared" si="91"/>
        <v/>
      </c>
      <c r="S431" s="1" t="str">
        <f t="shared" si="91"/>
        <v/>
      </c>
      <c r="T431" s="766" t="s">
        <v>928</v>
      </c>
      <c r="U431" s="809" t="s">
        <v>929</v>
      </c>
      <c r="V431" s="810">
        <v>1</v>
      </c>
      <c r="W431" s="825" t="s">
        <v>90</v>
      </c>
      <c r="X431" s="812" t="s">
        <v>92</v>
      </c>
      <c r="Y431" s="793">
        <v>191.67</v>
      </c>
      <c r="Z431" s="826">
        <v>0.16500000000000001</v>
      </c>
      <c r="AA431" s="811">
        <v>160.04444999999998</v>
      </c>
      <c r="AB431" s="702"/>
      <c r="AC431" s="815"/>
      <c r="AD431" s="815"/>
      <c r="AE431" s="816" t="s">
        <v>92</v>
      </c>
      <c r="AF431" s="815" t="s">
        <v>92</v>
      </c>
      <c r="AG431" s="660" t="s">
        <v>927</v>
      </c>
      <c r="AH431" s="769" t="s">
        <v>871</v>
      </c>
      <c r="AI431" s="772" t="s">
        <v>872</v>
      </c>
      <c r="AJ431" s="770" t="s">
        <v>98</v>
      </c>
      <c r="AK431" s="770" t="s">
        <v>98</v>
      </c>
      <c r="AL431" s="770" t="s">
        <v>98</v>
      </c>
      <c r="AM431" s="770" t="s">
        <v>98</v>
      </c>
      <c r="AN431" s="174"/>
    </row>
    <row r="432" spans="1:40">
      <c r="A432" s="684" t="s">
        <v>3574</v>
      </c>
      <c r="B432" s="761" t="s">
        <v>3579</v>
      </c>
      <c r="C432" s="687">
        <v>1</v>
      </c>
      <c r="D432" s="647" t="s">
        <v>90</v>
      </c>
      <c r="E432" s="44">
        <v>383.33333333333337</v>
      </c>
      <c r="F432" s="837">
        <f>rv_mm_hg_cto</f>
        <v>0.16500000000000001</v>
      </c>
      <c r="G432" s="93">
        <f t="shared" ref="G432" si="93">E432-(E432*F432)</f>
        <v>320.08333333333337</v>
      </c>
      <c r="H432" s="145"/>
      <c r="I432" s="76"/>
      <c r="J432" s="76"/>
      <c r="K432" s="16"/>
      <c r="L432" s="76"/>
      <c r="M432" s="1045" t="s">
        <v>927</v>
      </c>
      <c r="N432" s="1047" t="s">
        <v>871</v>
      </c>
      <c r="O432" s="1056" t="s">
        <v>872</v>
      </c>
      <c r="P432" s="1" t="str">
        <f t="shared" si="91"/>
        <v/>
      </c>
      <c r="Q432" s="1" t="str">
        <f t="shared" si="91"/>
        <v/>
      </c>
      <c r="R432" s="1" t="str">
        <f t="shared" si="91"/>
        <v/>
      </c>
      <c r="S432" s="1" t="str">
        <f t="shared" si="91"/>
        <v/>
      </c>
      <c r="T432" s="421"/>
      <c r="U432" s="110"/>
      <c r="V432" s="26"/>
      <c r="X432" s="435"/>
      <c r="Y432" s="47"/>
      <c r="Z432" s="77"/>
      <c r="AA432" s="27"/>
      <c r="AB432" s="145"/>
      <c r="AC432" s="76"/>
      <c r="AD432" s="76"/>
      <c r="AE432" s="16"/>
      <c r="AF432" s="76"/>
      <c r="AG432" s="41"/>
      <c r="AH432" s="174"/>
      <c r="AI432" s="159"/>
      <c r="AJ432" s="1"/>
      <c r="AK432" s="1"/>
      <c r="AL432" s="1"/>
      <c r="AM432" s="1"/>
      <c r="AN432" s="174"/>
    </row>
    <row r="433" spans="1:40">
      <c r="A433" s="684" t="s">
        <v>3575</v>
      </c>
      <c r="B433" s="761" t="s">
        <v>3580</v>
      </c>
      <c r="C433" s="687">
        <v>1</v>
      </c>
      <c r="D433" s="647" t="s">
        <v>90</v>
      </c>
      <c r="E433" s="44">
        <v>191.66666666666669</v>
      </c>
      <c r="F433" s="837">
        <f>rv_mm_hg_cto</f>
        <v>0.16500000000000001</v>
      </c>
      <c r="G433" s="93">
        <f t="shared" si="92"/>
        <v>160.04166666666669</v>
      </c>
      <c r="H433" s="145"/>
      <c r="I433" s="76"/>
      <c r="J433" s="76"/>
      <c r="K433" s="16"/>
      <c r="L433" s="76"/>
      <c r="M433" s="1045" t="s">
        <v>927</v>
      </c>
      <c r="N433" s="1047" t="s">
        <v>871</v>
      </c>
      <c r="O433" s="1056" t="s">
        <v>872</v>
      </c>
      <c r="P433" s="1" t="str">
        <f t="shared" si="91"/>
        <v/>
      </c>
      <c r="Q433" s="1" t="str">
        <f t="shared" si="91"/>
        <v/>
      </c>
      <c r="R433" s="1" t="str">
        <f t="shared" si="91"/>
        <v/>
      </c>
      <c r="S433" s="1" t="str">
        <f t="shared" si="91"/>
        <v/>
      </c>
      <c r="T433" s="766" t="s">
        <v>930</v>
      </c>
      <c r="U433" s="809" t="s">
        <v>931</v>
      </c>
      <c r="V433" s="810">
        <v>1</v>
      </c>
      <c r="W433" s="825" t="s">
        <v>90</v>
      </c>
      <c r="X433" s="812" t="s">
        <v>92</v>
      </c>
      <c r="Y433" s="793">
        <v>191.67</v>
      </c>
      <c r="Z433" s="826">
        <v>0.16500000000000001</v>
      </c>
      <c r="AA433" s="811">
        <v>160.04444999999998</v>
      </c>
      <c r="AB433" s="702"/>
      <c r="AC433" s="815"/>
      <c r="AD433" s="815"/>
      <c r="AE433" s="816" t="s">
        <v>92</v>
      </c>
      <c r="AF433" s="815" t="s">
        <v>92</v>
      </c>
      <c r="AG433" s="660" t="s">
        <v>927</v>
      </c>
      <c r="AH433" s="769" t="s">
        <v>871</v>
      </c>
      <c r="AI433" s="772" t="s">
        <v>872</v>
      </c>
      <c r="AJ433" s="770" t="s">
        <v>98</v>
      </c>
      <c r="AK433" s="770" t="s">
        <v>98</v>
      </c>
      <c r="AL433" s="770" t="s">
        <v>98</v>
      </c>
      <c r="AM433" s="770" t="s">
        <v>98</v>
      </c>
      <c r="AN433" s="174"/>
    </row>
    <row r="434" spans="1:40">
      <c r="A434" s="684" t="s">
        <v>3576</v>
      </c>
      <c r="B434" s="761" t="s">
        <v>3581</v>
      </c>
      <c r="C434" s="687">
        <v>1</v>
      </c>
      <c r="D434" s="647" t="s">
        <v>90</v>
      </c>
      <c r="E434" s="44">
        <v>575</v>
      </c>
      <c r="F434" s="837">
        <f>rv_mm_hg_cto</f>
        <v>0.16500000000000001</v>
      </c>
      <c r="G434" s="93">
        <f t="shared" si="92"/>
        <v>480.125</v>
      </c>
      <c r="H434" s="145"/>
      <c r="I434" s="76"/>
      <c r="J434" s="76"/>
      <c r="K434" s="16"/>
      <c r="L434" s="76"/>
      <c r="M434" s="1045" t="s">
        <v>927</v>
      </c>
      <c r="N434" s="1047" t="s">
        <v>871</v>
      </c>
      <c r="O434" s="1056" t="s">
        <v>872</v>
      </c>
      <c r="P434" s="1" t="str">
        <f t="shared" si="91"/>
        <v/>
      </c>
      <c r="Q434" s="1" t="str">
        <f t="shared" si="91"/>
        <v/>
      </c>
      <c r="R434" s="1" t="str">
        <f t="shared" si="91"/>
        <v/>
      </c>
      <c r="S434" s="1" t="str">
        <f t="shared" si="91"/>
        <v/>
      </c>
      <c r="T434" s="766" t="s">
        <v>932</v>
      </c>
      <c r="U434" s="809" t="s">
        <v>933</v>
      </c>
      <c r="V434" s="810">
        <v>1</v>
      </c>
      <c r="W434" s="825" t="s">
        <v>90</v>
      </c>
      <c r="X434" s="812" t="s">
        <v>92</v>
      </c>
      <c r="Y434" s="793">
        <v>575</v>
      </c>
      <c r="Z434" s="826">
        <v>0.16500000000000001</v>
      </c>
      <c r="AA434" s="811">
        <v>480.125</v>
      </c>
      <c r="AB434" s="702"/>
      <c r="AC434" s="815"/>
      <c r="AD434" s="815"/>
      <c r="AE434" s="816" t="s">
        <v>92</v>
      </c>
      <c r="AF434" s="815" t="s">
        <v>92</v>
      </c>
      <c r="AG434" s="660" t="s">
        <v>927</v>
      </c>
      <c r="AH434" s="769" t="s">
        <v>871</v>
      </c>
      <c r="AI434" s="772" t="s">
        <v>872</v>
      </c>
      <c r="AJ434" s="770" t="s">
        <v>98</v>
      </c>
      <c r="AK434" s="770" t="s">
        <v>98</v>
      </c>
      <c r="AL434" s="770" t="s">
        <v>98</v>
      </c>
      <c r="AM434" s="770" t="s">
        <v>98</v>
      </c>
      <c r="AN434" s="174"/>
    </row>
    <row r="435" spans="1:40">
      <c r="A435" s="684" t="s">
        <v>3577</v>
      </c>
      <c r="B435" s="761" t="s">
        <v>3582</v>
      </c>
      <c r="C435" s="687">
        <v>1</v>
      </c>
      <c r="D435" s="647" t="s">
        <v>90</v>
      </c>
      <c r="E435" s="44">
        <v>95.833333333333343</v>
      </c>
      <c r="F435" s="837">
        <f>rv_mm_hg_cto</f>
        <v>0.16500000000000001</v>
      </c>
      <c r="G435" s="93">
        <f t="shared" si="92"/>
        <v>80.020833333333343</v>
      </c>
      <c r="H435" s="145"/>
      <c r="I435" s="76"/>
      <c r="J435" s="76"/>
      <c r="K435" s="16"/>
      <c r="L435" s="76"/>
      <c r="M435" s="1045" t="s">
        <v>927</v>
      </c>
      <c r="N435" s="1047" t="s">
        <v>871</v>
      </c>
      <c r="O435" s="1056" t="s">
        <v>872</v>
      </c>
      <c r="P435" s="1" t="str">
        <f t="shared" si="91"/>
        <v/>
      </c>
      <c r="Q435" s="1" t="str">
        <f t="shared" si="91"/>
        <v/>
      </c>
      <c r="R435" s="1" t="str">
        <f t="shared" si="91"/>
        <v/>
      </c>
      <c r="S435" s="1" t="str">
        <f t="shared" si="91"/>
        <v/>
      </c>
      <c r="T435" s="766" t="s">
        <v>934</v>
      </c>
      <c r="U435" s="809" t="s">
        <v>935</v>
      </c>
      <c r="V435" s="810">
        <v>1</v>
      </c>
      <c r="W435" s="825" t="s">
        <v>90</v>
      </c>
      <c r="X435" s="812" t="s">
        <v>92</v>
      </c>
      <c r="Y435" s="793">
        <v>95.83</v>
      </c>
      <c r="Z435" s="826">
        <v>0.16500000000000001</v>
      </c>
      <c r="AA435" s="811">
        <v>80.018050000000002</v>
      </c>
      <c r="AB435" s="702"/>
      <c r="AC435" s="815"/>
      <c r="AD435" s="815"/>
      <c r="AE435" s="816" t="s">
        <v>92</v>
      </c>
      <c r="AF435" s="815" t="s">
        <v>92</v>
      </c>
      <c r="AG435" s="660" t="s">
        <v>870</v>
      </c>
      <c r="AH435" s="769" t="s">
        <v>871</v>
      </c>
      <c r="AI435" s="772" t="s">
        <v>872</v>
      </c>
      <c r="AJ435" s="770" t="s">
        <v>98</v>
      </c>
      <c r="AK435" s="770" t="s">
        <v>98</v>
      </c>
      <c r="AL435" s="770" t="s">
        <v>98</v>
      </c>
      <c r="AM435" s="770" t="s">
        <v>98</v>
      </c>
      <c r="AN435" s="174"/>
    </row>
    <row r="436" spans="1:40">
      <c r="A436" s="843" t="s">
        <v>3583</v>
      </c>
      <c r="B436" s="831" t="s">
        <v>3584</v>
      </c>
      <c r="C436" s="845">
        <v>1</v>
      </c>
      <c r="D436" s="844" t="s">
        <v>90</v>
      </c>
      <c r="E436" s="725">
        <v>1290.2333333333336</v>
      </c>
      <c r="F436" s="261">
        <f>rv_mm_hg</f>
        <v>0.16500000000000001</v>
      </c>
      <c r="G436" s="262">
        <f t="shared" si="92"/>
        <v>1077.3448333333336</v>
      </c>
      <c r="H436" s="292" t="s">
        <v>926</v>
      </c>
      <c r="I436" s="216">
        <f>mm_5pl</f>
        <v>48</v>
      </c>
      <c r="J436" s="216">
        <f>G436+I436</f>
        <v>1125.3448333333336</v>
      </c>
      <c r="K436" s="99" t="s">
        <v>92</v>
      </c>
      <c r="L436" s="216">
        <v>0.6</v>
      </c>
      <c r="M436" s="1045" t="s">
        <v>3671</v>
      </c>
      <c r="N436" s="1047" t="s">
        <v>871</v>
      </c>
      <c r="O436" s="1056" t="s">
        <v>872</v>
      </c>
      <c r="P436" s="1">
        <f t="shared" si="91"/>
        <v>226.54175866506316</v>
      </c>
      <c r="Q436" s="1">
        <f t="shared" si="91"/>
        <v>117.73521516558013</v>
      </c>
      <c r="R436" s="1">
        <f t="shared" si="91"/>
        <v>85.507581951073419</v>
      </c>
      <c r="S436" s="1">
        <f t="shared" si="91"/>
        <v>73.787603372501735</v>
      </c>
      <c r="AN436" s="174"/>
    </row>
    <row r="437" spans="1:40">
      <c r="A437" s="684" t="s">
        <v>3586</v>
      </c>
      <c r="B437" s="761" t="s">
        <v>3593</v>
      </c>
      <c r="C437" s="687">
        <v>1</v>
      </c>
      <c r="D437" s="647" t="s">
        <v>90</v>
      </c>
      <c r="E437" s="44">
        <v>287.5</v>
      </c>
      <c r="F437" s="837">
        <f t="shared" ref="F437:F443" si="94">rv_mm_hg_cto</f>
        <v>0.16500000000000001</v>
      </c>
      <c r="G437" s="93">
        <f t="shared" si="92"/>
        <v>240.0625</v>
      </c>
      <c r="H437" s="145"/>
      <c r="I437" s="76"/>
      <c r="J437" s="98"/>
      <c r="K437" s="16"/>
      <c r="L437" s="76"/>
      <c r="M437" s="1045" t="s">
        <v>3671</v>
      </c>
      <c r="N437" s="1047" t="s">
        <v>871</v>
      </c>
      <c r="O437" s="1056" t="s">
        <v>872</v>
      </c>
      <c r="P437" s="1" t="str">
        <f t="shared" si="91"/>
        <v/>
      </c>
      <c r="Q437" s="1" t="str">
        <f t="shared" si="91"/>
        <v/>
      </c>
      <c r="R437" s="1" t="str">
        <f t="shared" si="91"/>
        <v/>
      </c>
      <c r="S437" s="1" t="str">
        <f t="shared" si="91"/>
        <v/>
      </c>
      <c r="AN437" s="174"/>
    </row>
    <row r="438" spans="1:40">
      <c r="A438" s="684" t="s">
        <v>3587</v>
      </c>
      <c r="B438" s="761" t="s">
        <v>3594</v>
      </c>
      <c r="C438" s="687">
        <v>1</v>
      </c>
      <c r="D438" s="647" t="s">
        <v>90</v>
      </c>
      <c r="E438" s="44">
        <v>383.33333333333337</v>
      </c>
      <c r="F438" s="837">
        <f t="shared" si="94"/>
        <v>0.16500000000000001</v>
      </c>
      <c r="G438" s="93">
        <f t="shared" si="92"/>
        <v>320.08333333333337</v>
      </c>
      <c r="H438" s="145"/>
      <c r="I438" s="76"/>
      <c r="J438" s="76"/>
      <c r="K438" s="16"/>
      <c r="L438" s="76"/>
      <c r="M438" s="1045" t="s">
        <v>3671</v>
      </c>
      <c r="N438" s="1047" t="s">
        <v>871</v>
      </c>
      <c r="O438" s="1056" t="s">
        <v>872</v>
      </c>
      <c r="P438" s="1" t="str">
        <f t="shared" si="91"/>
        <v/>
      </c>
      <c r="Q438" s="1" t="str">
        <f t="shared" si="91"/>
        <v/>
      </c>
      <c r="R438" s="1" t="str">
        <f t="shared" si="91"/>
        <v/>
      </c>
      <c r="S438" s="1" t="str">
        <f t="shared" si="91"/>
        <v/>
      </c>
      <c r="AN438" s="174"/>
    </row>
    <row r="439" spans="1:40">
      <c r="A439" s="684" t="s">
        <v>3588</v>
      </c>
      <c r="B439" s="761" t="s">
        <v>3595</v>
      </c>
      <c r="C439" s="687">
        <v>1</v>
      </c>
      <c r="D439" s="647" t="s">
        <v>90</v>
      </c>
      <c r="E439" s="44">
        <v>191.66666666666669</v>
      </c>
      <c r="F439" s="837">
        <f t="shared" si="94"/>
        <v>0.16500000000000001</v>
      </c>
      <c r="G439" s="93">
        <f t="shared" si="92"/>
        <v>160.04166666666669</v>
      </c>
      <c r="H439" s="145"/>
      <c r="I439" s="76"/>
      <c r="J439" s="76"/>
      <c r="K439" s="16"/>
      <c r="L439" s="76"/>
      <c r="M439" s="1045" t="s">
        <v>3671</v>
      </c>
      <c r="N439" s="1047" t="s">
        <v>871</v>
      </c>
      <c r="O439" s="1056" t="s">
        <v>872</v>
      </c>
      <c r="P439" s="1" t="str">
        <f t="shared" si="91"/>
        <v/>
      </c>
      <c r="Q439" s="1" t="str">
        <f t="shared" si="91"/>
        <v/>
      </c>
      <c r="R439" s="1" t="str">
        <f t="shared" si="91"/>
        <v/>
      </c>
      <c r="S439" s="1" t="str">
        <f t="shared" si="91"/>
        <v/>
      </c>
      <c r="AN439" s="174"/>
    </row>
    <row r="440" spans="1:40">
      <c r="A440" s="684" t="s">
        <v>3589</v>
      </c>
      <c r="B440" s="761" t="s">
        <v>3596</v>
      </c>
      <c r="C440" s="687">
        <v>1</v>
      </c>
      <c r="D440" s="647" t="s">
        <v>90</v>
      </c>
      <c r="E440" s="44">
        <v>575</v>
      </c>
      <c r="F440" s="837">
        <f t="shared" si="94"/>
        <v>0.16500000000000001</v>
      </c>
      <c r="G440" s="93">
        <f t="shared" si="92"/>
        <v>480.125</v>
      </c>
      <c r="H440" s="145"/>
      <c r="I440" s="76"/>
      <c r="J440" s="76"/>
      <c r="K440" s="16"/>
      <c r="L440" s="76"/>
      <c r="M440" s="1045" t="s">
        <v>3671</v>
      </c>
      <c r="N440" s="1047" t="s">
        <v>871</v>
      </c>
      <c r="O440" s="1056" t="s">
        <v>872</v>
      </c>
      <c r="P440" s="1" t="str">
        <f t="shared" si="91"/>
        <v/>
      </c>
      <c r="Q440" s="1" t="str">
        <f t="shared" si="91"/>
        <v/>
      </c>
      <c r="R440" s="1" t="str">
        <f t="shared" si="91"/>
        <v/>
      </c>
      <c r="S440" s="1" t="str">
        <f t="shared" si="91"/>
        <v/>
      </c>
      <c r="AN440" s="174"/>
    </row>
    <row r="441" spans="1:40">
      <c r="A441" s="684" t="s">
        <v>3590</v>
      </c>
      <c r="B441" s="761" t="s">
        <v>3597</v>
      </c>
      <c r="C441" s="687">
        <v>1</v>
      </c>
      <c r="D441" s="647" t="s">
        <v>90</v>
      </c>
      <c r="E441" s="44">
        <v>1150</v>
      </c>
      <c r="F441" s="837">
        <f t="shared" si="94"/>
        <v>0.16500000000000001</v>
      </c>
      <c r="G441" s="93">
        <f t="shared" si="92"/>
        <v>960.25</v>
      </c>
      <c r="H441" s="145"/>
      <c r="I441" s="76"/>
      <c r="J441" s="76"/>
      <c r="K441" s="16"/>
      <c r="L441" s="76"/>
      <c r="M441" s="1045" t="s">
        <v>3671</v>
      </c>
      <c r="N441" s="1047" t="s">
        <v>871</v>
      </c>
      <c r="O441" s="1056" t="s">
        <v>872</v>
      </c>
      <c r="P441" s="1" t="str">
        <f t="shared" si="91"/>
        <v/>
      </c>
      <c r="Q441" s="1" t="str">
        <f t="shared" si="91"/>
        <v/>
      </c>
      <c r="R441" s="1" t="str">
        <f t="shared" si="91"/>
        <v/>
      </c>
      <c r="S441" s="1" t="str">
        <f t="shared" si="91"/>
        <v/>
      </c>
      <c r="AN441" s="174"/>
    </row>
    <row r="442" spans="1:40">
      <c r="A442" s="684" t="s">
        <v>3591</v>
      </c>
      <c r="B442" s="761" t="s">
        <v>3598</v>
      </c>
      <c r="C442" s="687">
        <v>1</v>
      </c>
      <c r="D442" s="647" t="s">
        <v>90</v>
      </c>
      <c r="E442" s="44">
        <v>2300</v>
      </c>
      <c r="F442" s="837">
        <f t="shared" si="94"/>
        <v>0.16500000000000001</v>
      </c>
      <c r="G442" s="93">
        <f t="shared" si="92"/>
        <v>1920.5</v>
      </c>
      <c r="H442" s="145"/>
      <c r="I442" s="76"/>
      <c r="J442" s="76"/>
      <c r="K442" s="16"/>
      <c r="L442" s="76"/>
      <c r="M442" s="1045" t="s">
        <v>3671</v>
      </c>
      <c r="N442" s="1047" t="s">
        <v>871</v>
      </c>
      <c r="O442" s="1056" t="s">
        <v>872</v>
      </c>
      <c r="P442" s="1" t="str">
        <f t="shared" si="91"/>
        <v/>
      </c>
      <c r="Q442" s="1" t="str">
        <f t="shared" si="91"/>
        <v/>
      </c>
      <c r="R442" s="1" t="str">
        <f t="shared" si="91"/>
        <v/>
      </c>
      <c r="S442" s="1" t="str">
        <f t="shared" si="91"/>
        <v/>
      </c>
      <c r="AN442" s="174"/>
    </row>
    <row r="443" spans="1:40">
      <c r="A443" s="684" t="s">
        <v>3592</v>
      </c>
      <c r="B443" s="761" t="s">
        <v>3599</v>
      </c>
      <c r="C443" s="687">
        <v>1</v>
      </c>
      <c r="D443" s="647" t="s">
        <v>90</v>
      </c>
      <c r="E443" s="44">
        <v>95.833333333333343</v>
      </c>
      <c r="F443" s="837">
        <f t="shared" si="94"/>
        <v>0.16500000000000001</v>
      </c>
      <c r="G443" s="93">
        <f t="shared" si="92"/>
        <v>80.020833333333343</v>
      </c>
      <c r="H443" s="145"/>
      <c r="I443" s="76"/>
      <c r="J443" s="76"/>
      <c r="K443" s="16"/>
      <c r="L443" s="76"/>
      <c r="M443" s="1045" t="s">
        <v>3671</v>
      </c>
      <c r="N443" s="1047" t="s">
        <v>871</v>
      </c>
      <c r="O443" s="1056" t="s">
        <v>872</v>
      </c>
      <c r="P443" s="1" t="str">
        <f t="shared" si="91"/>
        <v/>
      </c>
      <c r="Q443" s="1" t="str">
        <f t="shared" si="91"/>
        <v/>
      </c>
      <c r="R443" s="1" t="str">
        <f t="shared" si="91"/>
        <v/>
      </c>
      <c r="S443" s="1" t="str">
        <f t="shared" si="91"/>
        <v/>
      </c>
      <c r="T443" s="847"/>
      <c r="V443" s="1"/>
      <c r="W443" s="1"/>
      <c r="X443" s="1"/>
      <c r="Y443" s="1"/>
      <c r="Z443" s="1"/>
      <c r="AA443" s="1"/>
      <c r="AB443" s="1"/>
      <c r="AC443" s="1"/>
      <c r="AD443" s="1"/>
      <c r="AE443" s="1"/>
      <c r="AF443" s="1"/>
      <c r="AG443" s="1"/>
      <c r="AH443" s="1"/>
      <c r="AI443" s="1"/>
      <c r="AJ443" s="1"/>
      <c r="AK443" s="1"/>
      <c r="AL443" s="1"/>
      <c r="AM443" s="1"/>
      <c r="AN443" s="174"/>
    </row>
    <row r="444" spans="1:40">
      <c r="A444" s="684"/>
      <c r="B444" s="761"/>
      <c r="C444" s="687"/>
      <c r="D444" s="647"/>
      <c r="E444" s="44"/>
      <c r="F444" s="837"/>
      <c r="G444" s="93"/>
      <c r="H444" s="145"/>
      <c r="I444" s="76"/>
      <c r="J444" s="76"/>
      <c r="K444" s="16"/>
      <c r="L444" s="76"/>
      <c r="M444" s="1045"/>
      <c r="N444" s="1047"/>
      <c r="O444" s="1056"/>
      <c r="P444" s="1"/>
      <c r="Q444" s="1"/>
      <c r="R444" s="1"/>
      <c r="S444" s="1"/>
      <c r="T444" s="768" t="s">
        <v>936</v>
      </c>
      <c r="U444" s="775" t="s">
        <v>937</v>
      </c>
      <c r="V444" s="827">
        <v>1</v>
      </c>
      <c r="W444" s="828" t="s">
        <v>90</v>
      </c>
      <c r="X444" s="828" t="s">
        <v>936</v>
      </c>
      <c r="Y444" s="779">
        <v>1048.57</v>
      </c>
      <c r="Z444" s="821">
        <v>0.16500000000000001</v>
      </c>
      <c r="AA444" s="822">
        <v>875.55594999999994</v>
      </c>
      <c r="AB444" s="781" t="s">
        <v>926</v>
      </c>
      <c r="AC444" s="782">
        <v>48</v>
      </c>
      <c r="AD444" s="782">
        <v>923.55594999999994</v>
      </c>
      <c r="AE444" s="823" t="s">
        <v>92</v>
      </c>
      <c r="AF444" s="782">
        <v>0.6</v>
      </c>
      <c r="AG444" s="660" t="s">
        <v>927</v>
      </c>
      <c r="AH444" s="769" t="s">
        <v>871</v>
      </c>
      <c r="AI444" s="772" t="s">
        <v>872</v>
      </c>
      <c r="AJ444" s="770">
        <v>185.91989134463799</v>
      </c>
      <c r="AK444" s="770">
        <v>96.623768350739667</v>
      </c>
      <c r="AL444" s="770">
        <v>70.174966589671797</v>
      </c>
      <c r="AM444" s="770">
        <v>60.556531751302323</v>
      </c>
      <c r="AN444" s="174"/>
    </row>
    <row r="445" spans="1:40">
      <c r="A445" s="684"/>
      <c r="B445" s="761"/>
      <c r="C445" s="687"/>
      <c r="D445" s="647"/>
      <c r="E445" s="44"/>
      <c r="F445" s="837"/>
      <c r="G445" s="93"/>
      <c r="H445" s="145"/>
      <c r="I445" s="76"/>
      <c r="J445" s="76"/>
      <c r="K445" s="16"/>
      <c r="L445" s="76"/>
      <c r="M445" s="1045"/>
      <c r="N445" s="1047"/>
      <c r="O445" s="1056"/>
      <c r="P445" s="1"/>
      <c r="Q445" s="1"/>
      <c r="R445" s="1"/>
      <c r="S445" s="1"/>
      <c r="T445" s="766" t="s">
        <v>938</v>
      </c>
      <c r="U445" s="809" t="s">
        <v>939</v>
      </c>
      <c r="V445" s="810">
        <v>1</v>
      </c>
      <c r="W445" s="825" t="s">
        <v>90</v>
      </c>
      <c r="X445" s="812" t="s">
        <v>92</v>
      </c>
      <c r="Y445" s="793">
        <v>200</v>
      </c>
      <c r="Z445" s="826">
        <v>0.16500000000000001</v>
      </c>
      <c r="AA445" s="811">
        <v>167</v>
      </c>
      <c r="AB445" s="702"/>
      <c r="AC445" s="815"/>
      <c r="AD445" s="829"/>
      <c r="AE445" s="816" t="s">
        <v>92</v>
      </c>
      <c r="AF445" s="815" t="s">
        <v>92</v>
      </c>
      <c r="AG445" s="660" t="s">
        <v>927</v>
      </c>
      <c r="AH445" s="769" t="s">
        <v>871</v>
      </c>
      <c r="AI445" s="772" t="s">
        <v>872</v>
      </c>
      <c r="AJ445" s="770" t="s">
        <v>98</v>
      </c>
      <c r="AK445" s="770" t="s">
        <v>98</v>
      </c>
      <c r="AL445" s="770" t="s">
        <v>98</v>
      </c>
      <c r="AM445" s="770" t="s">
        <v>98</v>
      </c>
      <c r="AN445" s="174"/>
    </row>
    <row r="446" spans="1:40">
      <c r="A446" s="684"/>
      <c r="B446" s="761"/>
      <c r="C446" s="687"/>
      <c r="D446" s="647"/>
      <c r="E446" s="44"/>
      <c r="F446" s="837"/>
      <c r="G446" s="93"/>
      <c r="H446" s="145"/>
      <c r="I446" s="76"/>
      <c r="J446" s="76"/>
      <c r="K446" s="16"/>
      <c r="L446" s="76"/>
      <c r="M446" s="1045"/>
      <c r="N446" s="1047"/>
      <c r="O446" s="1056"/>
      <c r="P446" s="1"/>
      <c r="Q446" s="1"/>
      <c r="R446" s="1"/>
      <c r="S446" s="1"/>
      <c r="T446" s="766" t="s">
        <v>940</v>
      </c>
      <c r="U446" s="809" t="s">
        <v>941</v>
      </c>
      <c r="V446" s="810">
        <v>1</v>
      </c>
      <c r="W446" s="825" t="s">
        <v>90</v>
      </c>
      <c r="X446" s="812" t="s">
        <v>92</v>
      </c>
      <c r="Y446" s="793">
        <v>191.67</v>
      </c>
      <c r="Z446" s="826">
        <v>0.16500000000000001</v>
      </c>
      <c r="AA446" s="811">
        <v>160.04444999999998</v>
      </c>
      <c r="AB446" s="702"/>
      <c r="AC446" s="815"/>
      <c r="AD446" s="815"/>
      <c r="AE446" s="816" t="s">
        <v>92</v>
      </c>
      <c r="AF446" s="815" t="s">
        <v>92</v>
      </c>
      <c r="AG446" s="660" t="s">
        <v>927</v>
      </c>
      <c r="AH446" s="769" t="s">
        <v>871</v>
      </c>
      <c r="AI446" s="772" t="s">
        <v>872</v>
      </c>
      <c r="AJ446" s="770" t="s">
        <v>98</v>
      </c>
      <c r="AK446" s="770" t="s">
        <v>98</v>
      </c>
      <c r="AL446" s="770" t="s">
        <v>98</v>
      </c>
      <c r="AM446" s="770" t="s">
        <v>98</v>
      </c>
      <c r="AN446" s="174"/>
    </row>
    <row r="447" spans="1:40">
      <c r="A447" s="684"/>
      <c r="B447" s="761"/>
      <c r="C447" s="687"/>
      <c r="D447" s="647"/>
      <c r="E447" s="44"/>
      <c r="F447" s="837"/>
      <c r="G447" s="93"/>
      <c r="H447" s="145"/>
      <c r="I447" s="76"/>
      <c r="J447" s="76"/>
      <c r="K447" s="16"/>
      <c r="L447" s="76"/>
      <c r="M447" s="1045"/>
      <c r="N447" s="1047"/>
      <c r="O447" s="1056"/>
      <c r="P447" s="1"/>
      <c r="Q447" s="1"/>
      <c r="R447" s="1"/>
      <c r="S447" s="1"/>
      <c r="T447" s="766" t="s">
        <v>942</v>
      </c>
      <c r="U447" s="809" t="s">
        <v>943</v>
      </c>
      <c r="V447" s="810">
        <v>1</v>
      </c>
      <c r="W447" s="825" t="s">
        <v>90</v>
      </c>
      <c r="X447" s="812" t="s">
        <v>92</v>
      </c>
      <c r="Y447" s="793">
        <v>575</v>
      </c>
      <c r="Z447" s="826">
        <v>0.16500000000000001</v>
      </c>
      <c r="AA447" s="811">
        <v>480.125</v>
      </c>
      <c r="AB447" s="702"/>
      <c r="AC447" s="815"/>
      <c r="AD447" s="815"/>
      <c r="AE447" s="816" t="s">
        <v>92</v>
      </c>
      <c r="AF447" s="815" t="s">
        <v>92</v>
      </c>
      <c r="AG447" s="660" t="s">
        <v>927</v>
      </c>
      <c r="AH447" s="769" t="s">
        <v>871</v>
      </c>
      <c r="AI447" s="772" t="s">
        <v>872</v>
      </c>
      <c r="AJ447" s="770" t="s">
        <v>98</v>
      </c>
      <c r="AK447" s="770" t="s">
        <v>98</v>
      </c>
      <c r="AL447" s="770" t="s">
        <v>98</v>
      </c>
      <c r="AM447" s="770" t="s">
        <v>98</v>
      </c>
      <c r="AN447" s="174"/>
    </row>
    <row r="448" spans="1:40">
      <c r="A448" s="684"/>
      <c r="B448" s="761"/>
      <c r="C448" s="687"/>
      <c r="D448" s="647"/>
      <c r="E448" s="44"/>
      <c r="F448" s="837"/>
      <c r="G448" s="93"/>
      <c r="H448" s="145"/>
      <c r="I448" s="76"/>
      <c r="J448" s="76"/>
      <c r="K448" s="16"/>
      <c r="L448" s="76"/>
      <c r="M448" s="1045"/>
      <c r="N448" s="1047"/>
      <c r="O448" s="1056"/>
      <c r="P448" s="1"/>
      <c r="Q448" s="1"/>
      <c r="R448" s="1"/>
      <c r="S448" s="1"/>
      <c r="T448" s="766" t="s">
        <v>944</v>
      </c>
      <c r="U448" s="809" t="s">
        <v>945</v>
      </c>
      <c r="V448" s="810">
        <v>1</v>
      </c>
      <c r="W448" s="825" t="s">
        <v>90</v>
      </c>
      <c r="X448" s="812" t="s">
        <v>92</v>
      </c>
      <c r="Y448" s="793">
        <v>958.33</v>
      </c>
      <c r="Z448" s="826">
        <v>0.16500000000000001</v>
      </c>
      <c r="AA448" s="811">
        <v>800.20555000000002</v>
      </c>
      <c r="AB448" s="702"/>
      <c r="AC448" s="815"/>
      <c r="AD448" s="815"/>
      <c r="AE448" s="816" t="s">
        <v>92</v>
      </c>
      <c r="AF448" s="815" t="s">
        <v>92</v>
      </c>
      <c r="AG448" s="660" t="s">
        <v>927</v>
      </c>
      <c r="AH448" s="769" t="s">
        <v>871</v>
      </c>
      <c r="AI448" s="772" t="s">
        <v>872</v>
      </c>
      <c r="AJ448" s="770" t="s">
        <v>98</v>
      </c>
      <c r="AK448" s="770" t="s">
        <v>98</v>
      </c>
      <c r="AL448" s="770" t="s">
        <v>98</v>
      </c>
      <c r="AM448" s="770" t="s">
        <v>98</v>
      </c>
      <c r="AN448" s="174"/>
    </row>
    <row r="449" spans="1:40">
      <c r="A449" s="684"/>
      <c r="B449" s="761"/>
      <c r="C449" s="687"/>
      <c r="D449" s="647"/>
      <c r="E449" s="44"/>
      <c r="F449" s="837"/>
      <c r="G449" s="93"/>
      <c r="H449" s="145"/>
      <c r="I449" s="76"/>
      <c r="J449" s="76"/>
      <c r="K449" s="16"/>
      <c r="L449" s="76"/>
      <c r="M449" s="1045"/>
      <c r="N449" s="1047"/>
      <c r="O449" s="1056"/>
      <c r="P449" s="1"/>
      <c r="Q449" s="1"/>
      <c r="R449" s="1"/>
      <c r="S449" s="1"/>
      <c r="T449" s="766" t="s">
        <v>946</v>
      </c>
      <c r="U449" s="809" t="s">
        <v>947</v>
      </c>
      <c r="V449" s="810">
        <v>1</v>
      </c>
      <c r="W449" s="825" t="s">
        <v>90</v>
      </c>
      <c r="X449" s="812" t="s">
        <v>92</v>
      </c>
      <c r="Y449" s="793">
        <v>191.67</v>
      </c>
      <c r="Z449" s="826">
        <v>0.16500000000000001</v>
      </c>
      <c r="AA449" s="811">
        <v>160.04444999999998</v>
      </c>
      <c r="AB449" s="702"/>
      <c r="AC449" s="815"/>
      <c r="AD449" s="815"/>
      <c r="AE449" s="816" t="s">
        <v>92</v>
      </c>
      <c r="AF449" s="815" t="s">
        <v>92</v>
      </c>
      <c r="AG449" s="660" t="s">
        <v>927</v>
      </c>
      <c r="AH449" s="769" t="s">
        <v>871</v>
      </c>
      <c r="AI449" s="772" t="s">
        <v>872</v>
      </c>
      <c r="AJ449" s="770" t="s">
        <v>98</v>
      </c>
      <c r="AK449" s="770" t="s">
        <v>98</v>
      </c>
      <c r="AL449" s="770" t="s">
        <v>98</v>
      </c>
      <c r="AM449" s="770" t="s">
        <v>98</v>
      </c>
      <c r="AN449" s="174"/>
    </row>
    <row r="450" spans="1:40">
      <c r="A450" s="684"/>
      <c r="B450" s="761"/>
      <c r="C450" s="687"/>
      <c r="D450" s="647"/>
      <c r="E450" s="44"/>
      <c r="F450" s="837"/>
      <c r="G450" s="93"/>
      <c r="H450" s="145"/>
      <c r="I450" s="76"/>
      <c r="J450" s="76"/>
      <c r="K450" s="16"/>
      <c r="L450" s="76"/>
      <c r="M450" s="1045"/>
      <c r="N450" s="1047"/>
      <c r="O450" s="1056"/>
      <c r="P450" s="1"/>
      <c r="Q450" s="1"/>
      <c r="R450" s="1"/>
      <c r="S450" s="1"/>
      <c r="T450" s="766" t="s">
        <v>948</v>
      </c>
      <c r="U450" s="809" t="s">
        <v>949</v>
      </c>
      <c r="V450" s="810">
        <v>1</v>
      </c>
      <c r="W450" s="825" t="s">
        <v>90</v>
      </c>
      <c r="X450" s="812" t="s">
        <v>92</v>
      </c>
      <c r="Y450" s="793">
        <v>575</v>
      </c>
      <c r="Z450" s="826">
        <v>0.16500000000000001</v>
      </c>
      <c r="AA450" s="811">
        <v>480.125</v>
      </c>
      <c r="AB450" s="702"/>
      <c r="AC450" s="815"/>
      <c r="AD450" s="815"/>
      <c r="AE450" s="816" t="s">
        <v>92</v>
      </c>
      <c r="AF450" s="815" t="s">
        <v>92</v>
      </c>
      <c r="AG450" s="660" t="s">
        <v>927</v>
      </c>
      <c r="AH450" s="769" t="s">
        <v>871</v>
      </c>
      <c r="AI450" s="772" t="s">
        <v>872</v>
      </c>
      <c r="AJ450" s="770" t="s">
        <v>98</v>
      </c>
      <c r="AK450" s="770" t="s">
        <v>98</v>
      </c>
      <c r="AL450" s="770" t="s">
        <v>98</v>
      </c>
      <c r="AM450" s="770" t="s">
        <v>98</v>
      </c>
      <c r="AN450" s="174"/>
    </row>
    <row r="451" spans="1:40">
      <c r="A451" s="684"/>
      <c r="B451" s="761"/>
      <c r="C451" s="687"/>
      <c r="D451" s="647"/>
      <c r="E451" s="44"/>
      <c r="F451" s="837"/>
      <c r="G451" s="93"/>
      <c r="H451" s="145"/>
      <c r="I451" s="76"/>
      <c r="J451" s="76"/>
      <c r="K451" s="16"/>
      <c r="L451" s="76"/>
      <c r="M451" s="1045"/>
      <c r="N451" s="1047"/>
      <c r="O451" s="1056"/>
      <c r="P451" s="1"/>
      <c r="Q451" s="1"/>
      <c r="R451" s="1"/>
      <c r="S451" s="1"/>
      <c r="T451" s="766" t="s">
        <v>950</v>
      </c>
      <c r="U451" s="809" t="s">
        <v>951</v>
      </c>
      <c r="V451" s="810">
        <v>1</v>
      </c>
      <c r="W451" s="825" t="s">
        <v>90</v>
      </c>
      <c r="X451" s="812" t="s">
        <v>92</v>
      </c>
      <c r="Y451" s="793">
        <v>95.83</v>
      </c>
      <c r="Z451" s="826">
        <v>0.16500000000000001</v>
      </c>
      <c r="AA451" s="811">
        <v>80.018050000000002</v>
      </c>
      <c r="AB451" s="702"/>
      <c r="AC451" s="815"/>
      <c r="AD451" s="815"/>
      <c r="AE451" s="816" t="s">
        <v>92</v>
      </c>
      <c r="AF451" s="815" t="s">
        <v>92</v>
      </c>
      <c r="AG451" s="660" t="s">
        <v>927</v>
      </c>
      <c r="AH451" s="769" t="s">
        <v>871</v>
      </c>
      <c r="AI451" s="772" t="s">
        <v>872</v>
      </c>
      <c r="AJ451" s="770" t="s">
        <v>98</v>
      </c>
      <c r="AK451" s="770" t="s">
        <v>98</v>
      </c>
      <c r="AL451" s="770" t="s">
        <v>98</v>
      </c>
      <c r="AM451" s="770" t="s">
        <v>98</v>
      </c>
      <c r="AN451" s="174"/>
    </row>
    <row r="452" spans="1:40" s="127" customFormat="1">
      <c r="A452" s="457" t="s">
        <v>869</v>
      </c>
      <c r="B452" s="79" t="s">
        <v>883</v>
      </c>
      <c r="C452" s="80">
        <v>1</v>
      </c>
      <c r="D452" s="119" t="s">
        <v>114</v>
      </c>
      <c r="E452" s="601">
        <v>57.49</v>
      </c>
      <c r="F452" s="214">
        <v>0.16500000000000001</v>
      </c>
      <c r="G452" s="107">
        <f>E452-(E452*F452)</f>
        <v>48.004150000000003</v>
      </c>
      <c r="H452" s="152"/>
      <c r="I452" s="126"/>
      <c r="J452" s="126"/>
      <c r="K452" s="109"/>
      <c r="L452" s="269"/>
      <c r="M452" s="1045" t="s">
        <v>115</v>
      </c>
      <c r="N452" s="1050" t="s">
        <v>116</v>
      </c>
      <c r="O452" s="1062" t="s">
        <v>884</v>
      </c>
      <c r="P452" s="1" t="str">
        <f t="shared" ref="P452:S528" si="95">+IF($J452&lt;&gt;"",P$2*$J452,"")</f>
        <v/>
      </c>
      <c r="Q452" s="1" t="str">
        <f t="shared" si="95"/>
        <v/>
      </c>
      <c r="R452" s="1" t="str">
        <f t="shared" si="95"/>
        <v/>
      </c>
      <c r="S452" s="1" t="str">
        <f t="shared" si="95"/>
        <v/>
      </c>
      <c r="T452" s="457" t="s">
        <v>869</v>
      </c>
      <c r="U452" s="79" t="s">
        <v>883</v>
      </c>
      <c r="V452" s="80">
        <v>1</v>
      </c>
      <c r="W452" s="119" t="s">
        <v>114</v>
      </c>
      <c r="X452" s="438" t="s">
        <v>869</v>
      </c>
      <c r="Y452" s="601">
        <v>57.49</v>
      </c>
      <c r="Z452" s="214">
        <v>0.16500000000000001</v>
      </c>
      <c r="AA452" s="107">
        <v>48.004150000000003</v>
      </c>
      <c r="AB452" s="152"/>
      <c r="AC452" s="126"/>
      <c r="AD452" s="126"/>
      <c r="AE452" s="109" t="s">
        <v>92</v>
      </c>
      <c r="AF452" s="269" t="s">
        <v>92</v>
      </c>
      <c r="AG452" s="41" t="s">
        <v>115</v>
      </c>
      <c r="AH452" s="183" t="s">
        <v>116</v>
      </c>
      <c r="AI452" s="158" t="s">
        <v>884</v>
      </c>
      <c r="AJ452" s="1" t="s">
        <v>98</v>
      </c>
      <c r="AK452" s="1" t="s">
        <v>98</v>
      </c>
      <c r="AL452" s="1" t="s">
        <v>98</v>
      </c>
      <c r="AM452" s="1" t="s">
        <v>98</v>
      </c>
      <c r="AN452" s="183"/>
    </row>
    <row r="453" spans="1:40">
      <c r="A453" s="421" t="s">
        <v>885</v>
      </c>
      <c r="B453" s="110" t="s">
        <v>886</v>
      </c>
      <c r="C453" s="26">
        <v>1</v>
      </c>
      <c r="D453" s="46" t="s">
        <v>114</v>
      </c>
      <c r="E453" s="47"/>
      <c r="F453" s="21"/>
      <c r="G453" s="145">
        <v>9</v>
      </c>
      <c r="H453" s="145"/>
      <c r="I453" s="76"/>
      <c r="J453" s="76"/>
      <c r="K453" s="16"/>
      <c r="L453" s="76"/>
      <c r="M453" s="1045" t="s">
        <v>115</v>
      </c>
      <c r="N453" s="1047" t="s">
        <v>116</v>
      </c>
      <c r="O453" s="1056" t="s">
        <v>884</v>
      </c>
      <c r="P453" s="1" t="str">
        <f t="shared" si="95"/>
        <v/>
      </c>
      <c r="Q453" s="1" t="str">
        <f t="shared" si="95"/>
        <v/>
      </c>
      <c r="R453" s="1" t="str">
        <f t="shared" si="95"/>
        <v/>
      </c>
      <c r="S453" s="1" t="str">
        <f t="shared" si="95"/>
        <v/>
      </c>
      <c r="T453" s="421" t="s">
        <v>885</v>
      </c>
      <c r="U453" s="110" t="s">
        <v>887</v>
      </c>
      <c r="V453" s="26">
        <v>1</v>
      </c>
      <c r="W453" s="46" t="s">
        <v>114</v>
      </c>
      <c r="X453" s="104" t="s">
        <v>885</v>
      </c>
      <c r="Y453" s="47"/>
      <c r="Z453" s="21"/>
      <c r="AA453" s="145">
        <v>9</v>
      </c>
      <c r="AB453" s="145"/>
      <c r="AC453" s="76"/>
      <c r="AD453" s="76"/>
      <c r="AE453" s="16" t="s">
        <v>92</v>
      </c>
      <c r="AF453" s="76" t="s">
        <v>92</v>
      </c>
      <c r="AG453" s="41" t="s">
        <v>115</v>
      </c>
      <c r="AH453" s="174" t="s">
        <v>116</v>
      </c>
      <c r="AI453" s="159" t="s">
        <v>884</v>
      </c>
      <c r="AJ453" s="1" t="s">
        <v>98</v>
      </c>
      <c r="AK453" s="1" t="s">
        <v>98</v>
      </c>
      <c r="AL453" s="1" t="s">
        <v>98</v>
      </c>
      <c r="AM453" s="1" t="s">
        <v>98</v>
      </c>
      <c r="AN453" s="174"/>
    </row>
    <row r="454" spans="1:40">
      <c r="A454" s="421" t="s">
        <v>888</v>
      </c>
      <c r="B454" s="110" t="s">
        <v>889</v>
      </c>
      <c r="C454" s="26">
        <v>1</v>
      </c>
      <c r="D454" s="46" t="s">
        <v>114</v>
      </c>
      <c r="E454" s="47"/>
      <c r="F454" s="21"/>
      <c r="G454" s="145">
        <v>14</v>
      </c>
      <c r="H454" s="145"/>
      <c r="I454" s="76"/>
      <c r="J454" s="76"/>
      <c r="K454" s="16"/>
      <c r="L454" s="76"/>
      <c r="M454" s="1045" t="s">
        <v>115</v>
      </c>
      <c r="N454" s="1047" t="s">
        <v>116</v>
      </c>
      <c r="O454" s="1056" t="s">
        <v>884</v>
      </c>
      <c r="P454" s="1" t="str">
        <f t="shared" si="95"/>
        <v/>
      </c>
      <c r="Q454" s="1" t="str">
        <f t="shared" si="95"/>
        <v/>
      </c>
      <c r="R454" s="1" t="str">
        <f t="shared" si="95"/>
        <v/>
      </c>
      <c r="S454" s="1" t="str">
        <f t="shared" si="95"/>
        <v/>
      </c>
      <c r="T454" s="421" t="s">
        <v>888</v>
      </c>
      <c r="U454" s="110" t="s">
        <v>890</v>
      </c>
      <c r="V454" s="26">
        <v>1</v>
      </c>
      <c r="W454" s="46" t="s">
        <v>114</v>
      </c>
      <c r="X454" s="104" t="s">
        <v>888</v>
      </c>
      <c r="Y454" s="47"/>
      <c r="Z454" s="21"/>
      <c r="AA454" s="145">
        <v>14</v>
      </c>
      <c r="AB454" s="145"/>
      <c r="AC454" s="76"/>
      <c r="AD454" s="76"/>
      <c r="AE454" s="16" t="s">
        <v>92</v>
      </c>
      <c r="AF454" s="76" t="s">
        <v>92</v>
      </c>
      <c r="AG454" s="41" t="s">
        <v>115</v>
      </c>
      <c r="AH454" s="174" t="s">
        <v>116</v>
      </c>
      <c r="AI454" s="159" t="s">
        <v>884</v>
      </c>
      <c r="AJ454" s="1" t="s">
        <v>98</v>
      </c>
      <c r="AK454" s="1" t="s">
        <v>98</v>
      </c>
      <c r="AL454" s="1" t="s">
        <v>98</v>
      </c>
      <c r="AM454" s="1" t="s">
        <v>98</v>
      </c>
      <c r="AN454" s="174"/>
    </row>
    <row r="455" spans="1:40">
      <c r="A455" s="421" t="s">
        <v>891</v>
      </c>
      <c r="B455" s="110" t="s">
        <v>892</v>
      </c>
      <c r="C455" s="26">
        <v>1</v>
      </c>
      <c r="D455" s="46" t="s">
        <v>114</v>
      </c>
      <c r="E455" s="47"/>
      <c r="F455" s="21"/>
      <c r="G455" s="145">
        <v>19</v>
      </c>
      <c r="H455" s="145"/>
      <c r="I455" s="76"/>
      <c r="J455" s="76"/>
      <c r="K455" s="16"/>
      <c r="L455" s="76"/>
      <c r="M455" s="1045" t="s">
        <v>115</v>
      </c>
      <c r="N455" s="1047" t="s">
        <v>116</v>
      </c>
      <c r="O455" s="1056" t="s">
        <v>884</v>
      </c>
      <c r="P455" s="1" t="str">
        <f t="shared" si="95"/>
        <v/>
      </c>
      <c r="Q455" s="1" t="str">
        <f t="shared" si="95"/>
        <v/>
      </c>
      <c r="R455" s="1" t="str">
        <f t="shared" si="95"/>
        <v/>
      </c>
      <c r="S455" s="1" t="str">
        <f t="shared" si="95"/>
        <v/>
      </c>
      <c r="T455" s="421" t="s">
        <v>891</v>
      </c>
      <c r="U455" s="110" t="s">
        <v>893</v>
      </c>
      <c r="V455" s="26">
        <v>1</v>
      </c>
      <c r="W455" s="46" t="s">
        <v>114</v>
      </c>
      <c r="X455" s="104" t="s">
        <v>891</v>
      </c>
      <c r="Y455" s="47"/>
      <c r="Z455" s="21"/>
      <c r="AA455" s="145">
        <v>19</v>
      </c>
      <c r="AB455" s="145"/>
      <c r="AC455" s="76"/>
      <c r="AD455" s="76"/>
      <c r="AE455" s="16" t="s">
        <v>92</v>
      </c>
      <c r="AF455" s="76" t="s">
        <v>92</v>
      </c>
      <c r="AG455" s="41" t="s">
        <v>115</v>
      </c>
      <c r="AH455" s="174" t="s">
        <v>116</v>
      </c>
      <c r="AI455" s="159" t="s">
        <v>884</v>
      </c>
      <c r="AJ455" s="1" t="s">
        <v>98</v>
      </c>
      <c r="AK455" s="1" t="s">
        <v>98</v>
      </c>
      <c r="AL455" s="1" t="s">
        <v>98</v>
      </c>
      <c r="AM455" s="1" t="s">
        <v>98</v>
      </c>
      <c r="AN455" s="174"/>
    </row>
    <row r="456" spans="1:40">
      <c r="A456" s="421" t="s">
        <v>894</v>
      </c>
      <c r="B456" s="110" t="s">
        <v>895</v>
      </c>
      <c r="C456" s="26">
        <v>1</v>
      </c>
      <c r="D456" s="46" t="s">
        <v>114</v>
      </c>
      <c r="E456" s="47"/>
      <c r="F456" s="21"/>
      <c r="G456" s="145">
        <v>21</v>
      </c>
      <c r="H456" s="145"/>
      <c r="I456" s="76"/>
      <c r="J456" s="76"/>
      <c r="K456" s="16"/>
      <c r="L456" s="76"/>
      <c r="M456" s="1045" t="s">
        <v>115</v>
      </c>
      <c r="N456" s="1047" t="s">
        <v>116</v>
      </c>
      <c r="O456" s="1056" t="s">
        <v>884</v>
      </c>
      <c r="P456" s="1" t="str">
        <f t="shared" si="95"/>
        <v/>
      </c>
      <c r="Q456" s="1" t="str">
        <f t="shared" si="95"/>
        <v/>
      </c>
      <c r="R456" s="1" t="str">
        <f t="shared" si="95"/>
        <v/>
      </c>
      <c r="S456" s="1" t="str">
        <f t="shared" si="95"/>
        <v/>
      </c>
      <c r="T456" s="421" t="s">
        <v>894</v>
      </c>
      <c r="U456" s="110" t="s">
        <v>896</v>
      </c>
      <c r="V456" s="26">
        <v>1</v>
      </c>
      <c r="W456" s="46" t="s">
        <v>114</v>
      </c>
      <c r="X456" s="104" t="s">
        <v>894</v>
      </c>
      <c r="Y456" s="47"/>
      <c r="Z456" s="21"/>
      <c r="AA456" s="145">
        <v>21</v>
      </c>
      <c r="AB456" s="145"/>
      <c r="AC456" s="76"/>
      <c r="AD456" s="76"/>
      <c r="AE456" s="16" t="s">
        <v>92</v>
      </c>
      <c r="AF456" s="76" t="s">
        <v>92</v>
      </c>
      <c r="AG456" s="41" t="s">
        <v>115</v>
      </c>
      <c r="AH456" s="174" t="s">
        <v>116</v>
      </c>
      <c r="AI456" s="159" t="s">
        <v>884</v>
      </c>
      <c r="AJ456" s="1" t="s">
        <v>98</v>
      </c>
      <c r="AK456" s="1" t="s">
        <v>98</v>
      </c>
      <c r="AL456" s="1" t="s">
        <v>98</v>
      </c>
      <c r="AM456" s="1" t="s">
        <v>98</v>
      </c>
      <c r="AN456" s="174"/>
    </row>
    <row r="457" spans="1:40">
      <c r="A457" s="421" t="s">
        <v>897</v>
      </c>
      <c r="B457" s="110" t="s">
        <v>898</v>
      </c>
      <c r="C457" s="26">
        <v>1</v>
      </c>
      <c r="D457" s="46" t="s">
        <v>114</v>
      </c>
      <c r="E457" s="47"/>
      <c r="F457" s="21"/>
      <c r="G457" s="145">
        <v>24</v>
      </c>
      <c r="H457" s="145"/>
      <c r="I457" s="76"/>
      <c r="J457" s="76"/>
      <c r="K457" s="16"/>
      <c r="L457" s="76"/>
      <c r="M457" s="1045" t="s">
        <v>115</v>
      </c>
      <c r="N457" s="1047" t="s">
        <v>116</v>
      </c>
      <c r="O457" s="1056" t="s">
        <v>884</v>
      </c>
      <c r="P457" s="1" t="str">
        <f t="shared" si="95"/>
        <v/>
      </c>
      <c r="Q457" s="1" t="str">
        <f t="shared" si="95"/>
        <v/>
      </c>
      <c r="R457" s="1" t="str">
        <f t="shared" si="95"/>
        <v/>
      </c>
      <c r="S457" s="1" t="str">
        <f t="shared" si="95"/>
        <v/>
      </c>
      <c r="T457" s="421" t="s">
        <v>897</v>
      </c>
      <c r="U457" s="110" t="s">
        <v>899</v>
      </c>
      <c r="V457" s="26">
        <v>1</v>
      </c>
      <c r="W457" s="46" t="s">
        <v>114</v>
      </c>
      <c r="X457" s="104" t="s">
        <v>897</v>
      </c>
      <c r="Y457" s="47"/>
      <c r="Z457" s="21"/>
      <c r="AA457" s="145">
        <v>24</v>
      </c>
      <c r="AB457" s="145"/>
      <c r="AC457" s="76"/>
      <c r="AD457" s="76"/>
      <c r="AE457" s="16" t="s">
        <v>92</v>
      </c>
      <c r="AF457" s="76" t="s">
        <v>92</v>
      </c>
      <c r="AG457" s="41" t="s">
        <v>115</v>
      </c>
      <c r="AH457" s="174" t="s">
        <v>116</v>
      </c>
      <c r="AI457" s="159" t="s">
        <v>884</v>
      </c>
      <c r="AJ457" s="1" t="s">
        <v>98</v>
      </c>
      <c r="AK457" s="1" t="s">
        <v>98</v>
      </c>
      <c r="AL457" s="1" t="s">
        <v>98</v>
      </c>
      <c r="AM457" s="1" t="s">
        <v>98</v>
      </c>
      <c r="AN457" s="174"/>
    </row>
    <row r="458" spans="1:40">
      <c r="A458" s="421" t="s">
        <v>900</v>
      </c>
      <c r="B458" s="110" t="s">
        <v>901</v>
      </c>
      <c r="C458" s="26">
        <v>1</v>
      </c>
      <c r="D458" s="46" t="s">
        <v>114</v>
      </c>
      <c r="E458" s="47"/>
      <c r="F458" s="21"/>
      <c r="G458" s="145">
        <v>55</v>
      </c>
      <c r="H458" s="145"/>
      <c r="I458" s="76"/>
      <c r="J458" s="76"/>
      <c r="K458" s="16"/>
      <c r="L458" s="76"/>
      <c r="M458" s="1045" t="s">
        <v>115</v>
      </c>
      <c r="N458" s="1047" t="s">
        <v>116</v>
      </c>
      <c r="O458" s="1056" t="s">
        <v>884</v>
      </c>
      <c r="P458" s="1" t="str">
        <f t="shared" si="95"/>
        <v/>
      </c>
      <c r="Q458" s="1" t="str">
        <f t="shared" si="95"/>
        <v/>
      </c>
      <c r="R458" s="1" t="str">
        <f t="shared" si="95"/>
        <v/>
      </c>
      <c r="S458" s="1" t="str">
        <f t="shared" si="95"/>
        <v/>
      </c>
      <c r="T458" s="421" t="s">
        <v>900</v>
      </c>
      <c r="U458" s="110" t="s">
        <v>902</v>
      </c>
      <c r="V458" s="26">
        <v>1</v>
      </c>
      <c r="W458" s="46" t="s">
        <v>114</v>
      </c>
      <c r="X458" s="104" t="s">
        <v>900</v>
      </c>
      <c r="Y458" s="47"/>
      <c r="Z458" s="21"/>
      <c r="AA458" s="145">
        <v>55</v>
      </c>
      <c r="AB458" s="145"/>
      <c r="AC458" s="76"/>
      <c r="AD458" s="76"/>
      <c r="AE458" s="16" t="s">
        <v>92</v>
      </c>
      <c r="AF458" s="76" t="s">
        <v>92</v>
      </c>
      <c r="AG458" s="41" t="s">
        <v>115</v>
      </c>
      <c r="AH458" s="174" t="s">
        <v>116</v>
      </c>
      <c r="AI458" s="159" t="s">
        <v>884</v>
      </c>
      <c r="AJ458" s="1" t="s">
        <v>98</v>
      </c>
      <c r="AK458" s="1" t="s">
        <v>98</v>
      </c>
      <c r="AL458" s="1" t="s">
        <v>98</v>
      </c>
      <c r="AM458" s="1" t="s">
        <v>98</v>
      </c>
      <c r="AN458" s="174"/>
    </row>
    <row r="459" spans="1:40">
      <c r="A459" s="421" t="s">
        <v>903</v>
      </c>
      <c r="B459" s="110" t="s">
        <v>904</v>
      </c>
      <c r="C459" s="26">
        <v>1</v>
      </c>
      <c r="D459" s="46" t="s">
        <v>114</v>
      </c>
      <c r="E459" s="47"/>
      <c r="F459" s="21"/>
      <c r="G459" s="145">
        <v>60</v>
      </c>
      <c r="H459" s="145"/>
      <c r="I459" s="76"/>
      <c r="J459" s="76"/>
      <c r="K459" s="16"/>
      <c r="L459" s="76"/>
      <c r="M459" s="1045" t="s">
        <v>115</v>
      </c>
      <c r="N459" s="1047" t="s">
        <v>116</v>
      </c>
      <c r="O459" s="1056" t="s">
        <v>884</v>
      </c>
      <c r="P459" s="1" t="str">
        <f t="shared" si="95"/>
        <v/>
      </c>
      <c r="Q459" s="1" t="str">
        <f t="shared" si="95"/>
        <v/>
      </c>
      <c r="R459" s="1" t="str">
        <f t="shared" si="95"/>
        <v/>
      </c>
      <c r="S459" s="1" t="str">
        <f t="shared" si="95"/>
        <v/>
      </c>
      <c r="T459" s="421" t="s">
        <v>903</v>
      </c>
      <c r="U459" s="110" t="s">
        <v>905</v>
      </c>
      <c r="V459" s="26">
        <v>1</v>
      </c>
      <c r="W459" s="46" t="s">
        <v>114</v>
      </c>
      <c r="X459" s="104" t="s">
        <v>903</v>
      </c>
      <c r="Y459" s="47"/>
      <c r="Z459" s="21"/>
      <c r="AA459" s="145">
        <v>60</v>
      </c>
      <c r="AB459" s="145"/>
      <c r="AC459" s="76"/>
      <c r="AD459" s="76"/>
      <c r="AE459" s="16" t="s">
        <v>92</v>
      </c>
      <c r="AF459" s="76" t="s">
        <v>92</v>
      </c>
      <c r="AG459" s="41" t="s">
        <v>115</v>
      </c>
      <c r="AH459" s="174" t="s">
        <v>116</v>
      </c>
      <c r="AI459" s="159" t="s">
        <v>884</v>
      </c>
      <c r="AJ459" s="1" t="s">
        <v>98</v>
      </c>
      <c r="AK459" s="1" t="s">
        <v>98</v>
      </c>
      <c r="AL459" s="1" t="s">
        <v>98</v>
      </c>
      <c r="AM459" s="1" t="s">
        <v>98</v>
      </c>
      <c r="AN459" s="174"/>
    </row>
    <row r="460" spans="1:40">
      <c r="A460" s="421" t="s">
        <v>906</v>
      </c>
      <c r="B460" s="110" t="s">
        <v>907</v>
      </c>
      <c r="C460" s="26">
        <v>1</v>
      </c>
      <c r="D460" s="46" t="s">
        <v>114</v>
      </c>
      <c r="E460" s="47"/>
      <c r="F460" s="21"/>
      <c r="G460" s="145">
        <v>39</v>
      </c>
      <c r="H460" s="145"/>
      <c r="I460" s="76"/>
      <c r="J460" s="76"/>
      <c r="K460" s="16"/>
      <c r="L460" s="76"/>
      <c r="M460" s="1045" t="s">
        <v>115</v>
      </c>
      <c r="N460" s="1047" t="s">
        <v>116</v>
      </c>
      <c r="O460" s="1056" t="s">
        <v>884</v>
      </c>
      <c r="P460" s="1" t="str">
        <f t="shared" si="95"/>
        <v/>
      </c>
      <c r="Q460" s="1" t="str">
        <f t="shared" si="95"/>
        <v/>
      </c>
      <c r="R460" s="1" t="str">
        <f t="shared" si="95"/>
        <v/>
      </c>
      <c r="S460" s="1" t="str">
        <f t="shared" si="95"/>
        <v/>
      </c>
      <c r="T460" s="421" t="s">
        <v>906</v>
      </c>
      <c r="U460" s="110" t="s">
        <v>908</v>
      </c>
      <c r="V460" s="26">
        <v>1</v>
      </c>
      <c r="W460" s="46" t="s">
        <v>114</v>
      </c>
      <c r="X460" s="104" t="s">
        <v>906</v>
      </c>
      <c r="Y460" s="47"/>
      <c r="Z460" s="21"/>
      <c r="AA460" s="145">
        <v>39</v>
      </c>
      <c r="AB460" s="145"/>
      <c r="AC460" s="76"/>
      <c r="AD460" s="76"/>
      <c r="AE460" s="16" t="s">
        <v>92</v>
      </c>
      <c r="AF460" s="76" t="s">
        <v>92</v>
      </c>
      <c r="AG460" s="41" t="s">
        <v>115</v>
      </c>
      <c r="AH460" s="174" t="s">
        <v>116</v>
      </c>
      <c r="AI460" s="159" t="s">
        <v>884</v>
      </c>
      <c r="AJ460" s="1" t="s">
        <v>98</v>
      </c>
      <c r="AK460" s="1" t="s">
        <v>98</v>
      </c>
      <c r="AL460" s="1" t="s">
        <v>98</v>
      </c>
      <c r="AM460" s="1" t="s">
        <v>98</v>
      </c>
      <c r="AN460" s="174"/>
    </row>
    <row r="461" spans="1:40">
      <c r="A461" s="421" t="s">
        <v>909</v>
      </c>
      <c r="B461" s="110" t="s">
        <v>910</v>
      </c>
      <c r="C461" s="26">
        <v>1</v>
      </c>
      <c r="D461" s="46" t="s">
        <v>114</v>
      </c>
      <c r="E461" s="47"/>
      <c r="F461" s="21"/>
      <c r="G461" s="145">
        <v>45</v>
      </c>
      <c r="H461" s="145"/>
      <c r="I461" s="76"/>
      <c r="J461" s="76"/>
      <c r="K461" s="16"/>
      <c r="L461" s="76"/>
      <c r="M461" s="1045" t="s">
        <v>115</v>
      </c>
      <c r="N461" s="1047" t="s">
        <v>116</v>
      </c>
      <c r="O461" s="1056" t="s">
        <v>884</v>
      </c>
      <c r="P461" s="1" t="str">
        <f t="shared" si="95"/>
        <v/>
      </c>
      <c r="Q461" s="1" t="str">
        <f t="shared" si="95"/>
        <v/>
      </c>
      <c r="R461" s="1" t="str">
        <f t="shared" si="95"/>
        <v/>
      </c>
      <c r="S461" s="1" t="str">
        <f t="shared" si="95"/>
        <v/>
      </c>
      <c r="T461" s="421" t="s">
        <v>909</v>
      </c>
      <c r="U461" s="110" t="s">
        <v>911</v>
      </c>
      <c r="V461" s="26">
        <v>1</v>
      </c>
      <c r="W461" s="46" t="s">
        <v>114</v>
      </c>
      <c r="X461" s="104" t="s">
        <v>909</v>
      </c>
      <c r="Y461" s="47"/>
      <c r="Z461" s="21"/>
      <c r="AA461" s="145">
        <v>45</v>
      </c>
      <c r="AB461" s="145"/>
      <c r="AC461" s="76"/>
      <c r="AD461" s="76"/>
      <c r="AE461" s="16" t="s">
        <v>92</v>
      </c>
      <c r="AF461" s="76" t="s">
        <v>92</v>
      </c>
      <c r="AG461" s="41" t="s">
        <v>115</v>
      </c>
      <c r="AH461" s="174" t="s">
        <v>116</v>
      </c>
      <c r="AI461" s="159" t="s">
        <v>884</v>
      </c>
      <c r="AJ461" s="1" t="s">
        <v>98</v>
      </c>
      <c r="AK461" s="1" t="s">
        <v>98</v>
      </c>
      <c r="AL461" s="1" t="s">
        <v>98</v>
      </c>
      <c r="AM461" s="1" t="s">
        <v>98</v>
      </c>
      <c r="AN461" s="174"/>
    </row>
    <row r="462" spans="1:40">
      <c r="A462" s="421" t="s">
        <v>912</v>
      </c>
      <c r="B462" s="110" t="s">
        <v>913</v>
      </c>
      <c r="C462" s="26">
        <v>1</v>
      </c>
      <c r="D462" s="46" t="s">
        <v>114</v>
      </c>
      <c r="E462" s="47"/>
      <c r="F462" s="21"/>
      <c r="G462" s="145">
        <v>55</v>
      </c>
      <c r="H462" s="145"/>
      <c r="I462" s="76"/>
      <c r="J462" s="76"/>
      <c r="K462" s="16"/>
      <c r="L462" s="76"/>
      <c r="M462" s="1045" t="s">
        <v>115</v>
      </c>
      <c r="N462" s="1047" t="s">
        <v>116</v>
      </c>
      <c r="O462" s="1056" t="s">
        <v>884</v>
      </c>
      <c r="P462" s="1" t="str">
        <f t="shared" si="95"/>
        <v/>
      </c>
      <c r="Q462" s="1" t="str">
        <f t="shared" si="95"/>
        <v/>
      </c>
      <c r="R462" s="1" t="str">
        <f t="shared" si="95"/>
        <v/>
      </c>
      <c r="S462" s="1" t="str">
        <f t="shared" si="95"/>
        <v/>
      </c>
      <c r="T462" s="421" t="s">
        <v>912</v>
      </c>
      <c r="U462" s="110" t="s">
        <v>914</v>
      </c>
      <c r="V462" s="26">
        <v>1</v>
      </c>
      <c r="W462" s="46" t="s">
        <v>114</v>
      </c>
      <c r="X462" s="104" t="s">
        <v>912</v>
      </c>
      <c r="Y462" s="47"/>
      <c r="Z462" s="21"/>
      <c r="AA462" s="145">
        <v>55</v>
      </c>
      <c r="AB462" s="145"/>
      <c r="AC462" s="76"/>
      <c r="AD462" s="76"/>
      <c r="AE462" s="16" t="s">
        <v>92</v>
      </c>
      <c r="AF462" s="76" t="s">
        <v>92</v>
      </c>
      <c r="AG462" s="41" t="s">
        <v>115</v>
      </c>
      <c r="AH462" s="174" t="s">
        <v>116</v>
      </c>
      <c r="AI462" s="159" t="s">
        <v>884</v>
      </c>
      <c r="AJ462" s="1" t="s">
        <v>98</v>
      </c>
      <c r="AK462" s="1" t="s">
        <v>98</v>
      </c>
      <c r="AL462" s="1" t="s">
        <v>98</v>
      </c>
      <c r="AM462" s="1" t="s">
        <v>98</v>
      </c>
      <c r="AN462" s="174"/>
    </row>
    <row r="463" spans="1:40">
      <c r="A463" s="421" t="s">
        <v>915</v>
      </c>
      <c r="B463" s="110" t="s">
        <v>916</v>
      </c>
      <c r="C463" s="26">
        <v>1</v>
      </c>
      <c r="D463" s="46" t="s">
        <v>114</v>
      </c>
      <c r="E463" s="47"/>
      <c r="F463" s="21"/>
      <c r="G463" s="145">
        <v>62</v>
      </c>
      <c r="H463" s="145"/>
      <c r="I463" s="76"/>
      <c r="J463" s="76"/>
      <c r="K463" s="16"/>
      <c r="L463" s="76"/>
      <c r="M463" s="1045" t="s">
        <v>115</v>
      </c>
      <c r="N463" s="1047" t="s">
        <v>116</v>
      </c>
      <c r="O463" s="1056" t="s">
        <v>884</v>
      </c>
      <c r="P463" s="1" t="str">
        <f t="shared" si="95"/>
        <v/>
      </c>
      <c r="Q463" s="1" t="str">
        <f t="shared" si="95"/>
        <v/>
      </c>
      <c r="R463" s="1" t="str">
        <f t="shared" si="95"/>
        <v/>
      </c>
      <c r="S463" s="1" t="str">
        <f t="shared" si="95"/>
        <v/>
      </c>
      <c r="T463" s="421" t="s">
        <v>915</v>
      </c>
      <c r="U463" s="110" t="s">
        <v>917</v>
      </c>
      <c r="V463" s="26">
        <v>1</v>
      </c>
      <c r="W463" s="46" t="s">
        <v>114</v>
      </c>
      <c r="X463" s="104" t="s">
        <v>915</v>
      </c>
      <c r="Y463" s="47"/>
      <c r="Z463" s="21"/>
      <c r="AA463" s="145">
        <v>62</v>
      </c>
      <c r="AB463" s="145"/>
      <c r="AC463" s="76"/>
      <c r="AD463" s="76"/>
      <c r="AE463" s="16" t="s">
        <v>92</v>
      </c>
      <c r="AF463" s="76" t="s">
        <v>92</v>
      </c>
      <c r="AG463" s="41" t="s">
        <v>115</v>
      </c>
      <c r="AH463" s="174" t="s">
        <v>116</v>
      </c>
      <c r="AI463" s="159" t="s">
        <v>884</v>
      </c>
      <c r="AJ463" s="1" t="s">
        <v>98</v>
      </c>
      <c r="AK463" s="1" t="s">
        <v>98</v>
      </c>
      <c r="AL463" s="1" t="s">
        <v>98</v>
      </c>
      <c r="AM463" s="1" t="s">
        <v>98</v>
      </c>
      <c r="AN463" s="174"/>
    </row>
    <row r="464" spans="1:40" s="125" customFormat="1">
      <c r="A464" s="459" t="s">
        <v>918</v>
      </c>
      <c r="B464" s="1026" t="s">
        <v>919</v>
      </c>
      <c r="C464" s="175">
        <v>1</v>
      </c>
      <c r="D464" s="52" t="s">
        <v>114</v>
      </c>
      <c r="E464" s="53"/>
      <c r="F464" s="56"/>
      <c r="G464" s="180">
        <v>215</v>
      </c>
      <c r="H464" s="180"/>
      <c r="I464" s="178"/>
      <c r="J464" s="178"/>
      <c r="K464" s="53"/>
      <c r="L464" s="178"/>
      <c r="M464" s="1045" t="s">
        <v>115</v>
      </c>
      <c r="N464" s="1047" t="s">
        <v>116</v>
      </c>
      <c r="O464" s="1057" t="s">
        <v>884</v>
      </c>
      <c r="P464" s="1" t="str">
        <f t="shared" si="95"/>
        <v/>
      </c>
      <c r="Q464" s="1" t="str">
        <f t="shared" si="95"/>
        <v/>
      </c>
      <c r="R464" s="1" t="str">
        <f t="shared" si="95"/>
        <v/>
      </c>
      <c r="S464" s="1" t="str">
        <f t="shared" si="95"/>
        <v/>
      </c>
      <c r="T464" s="459" t="s">
        <v>918</v>
      </c>
      <c r="U464" s="1026" t="s">
        <v>919</v>
      </c>
      <c r="V464" s="175">
        <v>1</v>
      </c>
      <c r="W464" s="52" t="s">
        <v>114</v>
      </c>
      <c r="X464" s="274" t="s">
        <v>918</v>
      </c>
      <c r="Y464" s="53"/>
      <c r="Z464" s="56"/>
      <c r="AA464" s="180">
        <v>215</v>
      </c>
      <c r="AB464" s="180"/>
      <c r="AC464" s="178"/>
      <c r="AD464" s="178"/>
      <c r="AE464" s="53" t="s">
        <v>92</v>
      </c>
      <c r="AF464" s="178" t="s">
        <v>92</v>
      </c>
      <c r="AG464" s="41" t="s">
        <v>115</v>
      </c>
      <c r="AH464" s="182" t="s">
        <v>116</v>
      </c>
      <c r="AI464" s="179" t="s">
        <v>884</v>
      </c>
      <c r="AJ464" s="1" t="s">
        <v>98</v>
      </c>
      <c r="AK464" s="1" t="s">
        <v>98</v>
      </c>
      <c r="AL464" s="1" t="s">
        <v>98</v>
      </c>
      <c r="AM464" s="1" t="s">
        <v>98</v>
      </c>
      <c r="AN464" s="182"/>
    </row>
    <row r="465" spans="1:40">
      <c r="A465" s="460" t="s">
        <v>920</v>
      </c>
      <c r="B465" s="110" t="s">
        <v>921</v>
      </c>
      <c r="C465" s="26">
        <v>1</v>
      </c>
      <c r="D465" s="46" t="s">
        <v>114</v>
      </c>
      <c r="E465" s="47"/>
      <c r="F465" s="21"/>
      <c r="G465" s="145">
        <v>294</v>
      </c>
      <c r="H465" s="145"/>
      <c r="I465" s="76"/>
      <c r="J465" s="76"/>
      <c r="K465" s="16"/>
      <c r="L465" s="76"/>
      <c r="M465" s="1045" t="s">
        <v>115</v>
      </c>
      <c r="N465" s="1047" t="s">
        <v>116</v>
      </c>
      <c r="O465" s="1056" t="s">
        <v>884</v>
      </c>
      <c r="P465" s="1" t="str">
        <f t="shared" si="95"/>
        <v/>
      </c>
      <c r="Q465" s="1" t="str">
        <f t="shared" si="95"/>
        <v/>
      </c>
      <c r="R465" s="1" t="str">
        <f t="shared" si="95"/>
        <v/>
      </c>
      <c r="S465" s="1" t="str">
        <f t="shared" si="95"/>
        <v/>
      </c>
      <c r="T465" s="460" t="s">
        <v>920</v>
      </c>
      <c r="U465" s="110" t="s">
        <v>921</v>
      </c>
      <c r="V465" s="26">
        <v>1</v>
      </c>
      <c r="W465" s="46" t="s">
        <v>114</v>
      </c>
      <c r="X465" s="104" t="s">
        <v>920</v>
      </c>
      <c r="Y465" s="47"/>
      <c r="Z465" s="21"/>
      <c r="AA465" s="145">
        <v>294</v>
      </c>
      <c r="AB465" s="145"/>
      <c r="AC465" s="76"/>
      <c r="AD465" s="76"/>
      <c r="AE465" s="16" t="s">
        <v>92</v>
      </c>
      <c r="AF465" s="76" t="s">
        <v>92</v>
      </c>
      <c r="AG465" s="41" t="s">
        <v>115</v>
      </c>
      <c r="AH465" s="174" t="s">
        <v>116</v>
      </c>
      <c r="AI465" s="159" t="s">
        <v>884</v>
      </c>
      <c r="AJ465" s="1" t="s">
        <v>98</v>
      </c>
      <c r="AK465" s="1" t="s">
        <v>98</v>
      </c>
      <c r="AL465" s="1" t="s">
        <v>98</v>
      </c>
      <c r="AM465" s="1" t="s">
        <v>98</v>
      </c>
      <c r="AN465" s="174"/>
    </row>
    <row r="466" spans="1:40">
      <c r="A466" s="421" t="s">
        <v>922</v>
      </c>
      <c r="B466" s="110" t="s">
        <v>923</v>
      </c>
      <c r="C466" s="26">
        <v>1</v>
      </c>
      <c r="D466" s="123" t="s">
        <v>114</v>
      </c>
      <c r="E466" s="47"/>
      <c r="F466" s="21"/>
      <c r="G466" s="27">
        <v>277.22000000000003</v>
      </c>
      <c r="H466" s="145"/>
      <c r="I466" s="76"/>
      <c r="J466" s="76"/>
      <c r="K466" s="16"/>
      <c r="L466" s="76"/>
      <c r="M466" s="1045" t="s">
        <v>115</v>
      </c>
      <c r="N466" s="1047" t="s">
        <v>116</v>
      </c>
      <c r="O466" s="1056" t="s">
        <v>117</v>
      </c>
      <c r="P466" s="1" t="str">
        <f t="shared" si="95"/>
        <v/>
      </c>
      <c r="Q466" s="1" t="str">
        <f t="shared" si="95"/>
        <v/>
      </c>
      <c r="R466" s="1" t="str">
        <f t="shared" si="95"/>
        <v/>
      </c>
      <c r="S466" s="1" t="str">
        <f t="shared" si="95"/>
        <v/>
      </c>
      <c r="T466" s="421" t="s">
        <v>922</v>
      </c>
      <c r="U466" s="110" t="s">
        <v>923</v>
      </c>
      <c r="V466" s="26">
        <v>1</v>
      </c>
      <c r="W466" s="123" t="s">
        <v>114</v>
      </c>
      <c r="X466" s="104" t="s">
        <v>922</v>
      </c>
      <c r="Y466" s="47"/>
      <c r="Z466" s="21"/>
      <c r="AA466" s="27">
        <v>277.22000000000003</v>
      </c>
      <c r="AB466" s="145"/>
      <c r="AC466" s="76"/>
      <c r="AD466" s="76"/>
      <c r="AE466" s="16" t="s">
        <v>92</v>
      </c>
      <c r="AF466" s="76" t="s">
        <v>92</v>
      </c>
      <c r="AG466" s="41" t="s">
        <v>115</v>
      </c>
      <c r="AH466" s="174" t="s">
        <v>116</v>
      </c>
      <c r="AI466" s="159" t="s">
        <v>117</v>
      </c>
      <c r="AJ466" s="1" t="s">
        <v>98</v>
      </c>
      <c r="AK466" s="1" t="s">
        <v>98</v>
      </c>
      <c r="AL466" s="1" t="s">
        <v>98</v>
      </c>
      <c r="AM466" s="1" t="s">
        <v>98</v>
      </c>
      <c r="AN466" s="174"/>
    </row>
    <row r="467" spans="1:40" s="860" customFormat="1" ht="20.100000000000001" customHeight="1">
      <c r="A467" s="1074" t="s">
        <v>3605</v>
      </c>
      <c r="B467" s="1079"/>
      <c r="C467" s="878"/>
      <c r="D467" s="879"/>
      <c r="E467" s="879"/>
      <c r="F467" s="880"/>
      <c r="G467" s="881"/>
      <c r="H467" s="893"/>
      <c r="I467" s="883"/>
      <c r="J467" s="883"/>
      <c r="K467" s="881"/>
      <c r="L467" s="869"/>
      <c r="M467" s="869"/>
      <c r="N467" s="1028"/>
      <c r="O467" s="869"/>
      <c r="P467" s="869"/>
      <c r="Q467" s="869"/>
      <c r="R467" s="869"/>
      <c r="S467" s="887"/>
      <c r="T467" s="894"/>
      <c r="U467" s="895"/>
      <c r="V467" s="896"/>
      <c r="W467" s="897"/>
      <c r="X467" s="898"/>
      <c r="Y467" s="897"/>
      <c r="Z467" s="899"/>
      <c r="AA467" s="900"/>
      <c r="AB467" s="896"/>
      <c r="AC467" s="900"/>
      <c r="AD467" s="900"/>
      <c r="AE467" s="901"/>
      <c r="AF467" s="902"/>
      <c r="AG467" s="858"/>
      <c r="AH467" s="859"/>
      <c r="AI467" s="859"/>
      <c r="AJ467" s="860" t="s">
        <v>98</v>
      </c>
      <c r="AK467" s="860" t="s">
        <v>98</v>
      </c>
      <c r="AL467" s="860" t="s">
        <v>98</v>
      </c>
      <c r="AM467" s="860" t="s">
        <v>98</v>
      </c>
      <c r="AN467" s="871"/>
    </row>
    <row r="468" spans="1:40" s="90" customFormat="1">
      <c r="A468" s="425" t="s">
        <v>953</v>
      </c>
      <c r="B468" s="70" t="s">
        <v>954</v>
      </c>
      <c r="C468" s="71">
        <v>1</v>
      </c>
      <c r="D468" s="72" t="s">
        <v>90</v>
      </c>
      <c r="E468" s="649">
        <v>1289.4100000000001</v>
      </c>
      <c r="F468" s="103">
        <f>rv_im21_hg</f>
        <v>0.17199999999999999</v>
      </c>
      <c r="G468" s="952">
        <f t="shared" ref="G468:G483" si="96">E468-(E468*F468)</f>
        <v>1067.63148</v>
      </c>
      <c r="H468" s="71" t="s">
        <v>955</v>
      </c>
      <c r="I468" s="91">
        <v>48</v>
      </c>
      <c r="J468" s="91">
        <f>G468+I468</f>
        <v>1115.63148</v>
      </c>
      <c r="K468" s="193" t="s">
        <v>92</v>
      </c>
      <c r="L468" s="1025">
        <v>1.42</v>
      </c>
      <c r="M468" s="1045" t="s">
        <v>956</v>
      </c>
      <c r="N468" s="1048" t="s">
        <v>871</v>
      </c>
      <c r="O468" s="1058" t="s">
        <v>872</v>
      </c>
      <c r="P468" s="1">
        <f t="shared" ref="P468:S487" si="97">+IF($J468&lt;&gt;"",P$2*$J468,"")</f>
        <v>224.58637567356661</v>
      </c>
      <c r="Q468" s="1">
        <f t="shared" si="97"/>
        <v>116.71898999547658</v>
      </c>
      <c r="R468" s="1">
        <f t="shared" si="97"/>
        <v>84.769527861724143</v>
      </c>
      <c r="S468" s="1">
        <f t="shared" si="97"/>
        <v>73.150709647176669</v>
      </c>
      <c r="T468" s="425" t="s">
        <v>953</v>
      </c>
      <c r="U468" s="70" t="s">
        <v>954</v>
      </c>
      <c r="V468" s="71">
        <v>1</v>
      </c>
      <c r="W468" s="72" t="s">
        <v>90</v>
      </c>
      <c r="X468" s="197" t="s">
        <v>953</v>
      </c>
      <c r="Y468" s="779">
        <v>1205</v>
      </c>
      <c r="Z468" s="103">
        <v>0.17199999999999999</v>
      </c>
      <c r="AA468" s="822">
        <v>997.74</v>
      </c>
      <c r="AB468" s="71" t="s">
        <v>955</v>
      </c>
      <c r="AC468" s="91">
        <v>48</v>
      </c>
      <c r="AD468" s="91">
        <v>1045.74</v>
      </c>
      <c r="AE468" s="193" t="s">
        <v>92</v>
      </c>
      <c r="AF468" s="783">
        <v>2.5</v>
      </c>
      <c r="AG468" s="41" t="s">
        <v>956</v>
      </c>
      <c r="AH468" s="185" t="s">
        <v>871</v>
      </c>
      <c r="AI468" s="42" t="s">
        <v>872</v>
      </c>
      <c r="AJ468" s="1">
        <v>210.51660938868051</v>
      </c>
      <c r="AK468" s="1">
        <v>109.40684158344982</v>
      </c>
      <c r="AL468" s="1">
        <v>79.458932143183517</v>
      </c>
      <c r="AM468" s="1">
        <v>68.56800339341315</v>
      </c>
      <c r="AN468" s="185"/>
    </row>
    <row r="469" spans="1:40">
      <c r="A469" s="423" t="s">
        <v>952</v>
      </c>
      <c r="B469" s="251"/>
      <c r="C469" s="80"/>
      <c r="D469" s="123"/>
      <c r="E469" s="209"/>
      <c r="F469" s="82"/>
      <c r="G469" s="120"/>
      <c r="H469" s="145"/>
      <c r="I469" s="76"/>
      <c r="J469" s="76"/>
      <c r="K469" s="16"/>
      <c r="L469" s="76"/>
      <c r="M469" s="1045"/>
      <c r="N469" s="1047"/>
      <c r="O469" s="1056"/>
      <c r="P469" s="1" t="str">
        <f t="shared" si="97"/>
        <v/>
      </c>
      <c r="Q469" s="1" t="str">
        <f t="shared" si="97"/>
        <v/>
      </c>
      <c r="R469" s="1" t="str">
        <f t="shared" si="97"/>
        <v/>
      </c>
      <c r="S469" s="1" t="str">
        <f t="shared" si="97"/>
        <v/>
      </c>
      <c r="T469" s="423" t="s">
        <v>952</v>
      </c>
      <c r="U469" s="251"/>
      <c r="V469" s="80"/>
      <c r="W469" s="123"/>
      <c r="X469" s="434"/>
      <c r="Y469" s="209"/>
      <c r="Z469" s="82"/>
      <c r="AA469" s="120"/>
      <c r="AB469" s="145"/>
      <c r="AC469" s="76"/>
      <c r="AD469" s="76"/>
      <c r="AE469" s="16"/>
      <c r="AF469" s="76"/>
      <c r="AG469" s="41"/>
      <c r="AH469" s="174"/>
      <c r="AI469" s="159"/>
      <c r="AJ469" s="1" t="s">
        <v>98</v>
      </c>
      <c r="AK469" s="1" t="s">
        <v>98</v>
      </c>
      <c r="AL469" s="1" t="s">
        <v>98</v>
      </c>
      <c r="AM469" s="1" t="s">
        <v>98</v>
      </c>
      <c r="AN469" s="174"/>
    </row>
    <row r="470" spans="1:40" s="90" customFormat="1">
      <c r="A470" s="422" t="s">
        <v>957</v>
      </c>
      <c r="B470" s="189" t="s">
        <v>958</v>
      </c>
      <c r="C470" s="87">
        <v>1</v>
      </c>
      <c r="D470" s="88" t="s">
        <v>90</v>
      </c>
      <c r="E470" s="171">
        <v>191.67</v>
      </c>
      <c r="F470" s="89">
        <f t="shared" ref="F470:F475" si="98">rv_im21_hg_cto</f>
        <v>0.17199999999999999</v>
      </c>
      <c r="G470" s="108">
        <f t="shared" si="96"/>
        <v>158.70275999999998</v>
      </c>
      <c r="H470" s="108"/>
      <c r="I470" s="269"/>
      <c r="J470" s="269"/>
      <c r="K470" s="109"/>
      <c r="L470" s="269"/>
      <c r="M470" s="1045" t="s">
        <v>956</v>
      </c>
      <c r="N470" s="1050" t="s">
        <v>871</v>
      </c>
      <c r="O470" s="1060" t="s">
        <v>872</v>
      </c>
      <c r="P470" s="1" t="str">
        <f t="shared" si="97"/>
        <v/>
      </c>
      <c r="Q470" s="1" t="str">
        <f t="shared" si="97"/>
        <v/>
      </c>
      <c r="R470" s="1" t="str">
        <f t="shared" si="97"/>
        <v/>
      </c>
      <c r="S470" s="1" t="str">
        <f t="shared" si="97"/>
        <v/>
      </c>
      <c r="T470" s="422" t="s">
        <v>957</v>
      </c>
      <c r="U470" s="189" t="s">
        <v>958</v>
      </c>
      <c r="V470" s="87">
        <v>1</v>
      </c>
      <c r="W470" s="88" t="s">
        <v>90</v>
      </c>
      <c r="X470" s="208" t="s">
        <v>92</v>
      </c>
      <c r="Y470" s="171">
        <v>191.67</v>
      </c>
      <c r="Z470" s="89">
        <v>0.17199999999999999</v>
      </c>
      <c r="AA470" s="108">
        <v>158.70275999999998</v>
      </c>
      <c r="AB470" s="108"/>
      <c r="AC470" s="269"/>
      <c r="AD470" s="269"/>
      <c r="AE470" s="109" t="s">
        <v>92</v>
      </c>
      <c r="AF470" s="269" t="s">
        <v>92</v>
      </c>
      <c r="AG470" s="41" t="s">
        <v>956</v>
      </c>
      <c r="AH470" s="184" t="s">
        <v>871</v>
      </c>
      <c r="AI470" s="488" t="s">
        <v>872</v>
      </c>
      <c r="AJ470" s="1" t="s">
        <v>98</v>
      </c>
      <c r="AK470" s="1" t="s">
        <v>98</v>
      </c>
      <c r="AL470" s="1" t="s">
        <v>98</v>
      </c>
      <c r="AM470" s="1" t="s">
        <v>98</v>
      </c>
      <c r="AN470" s="185"/>
    </row>
    <row r="471" spans="1:40" s="90" customFormat="1">
      <c r="A471" s="422" t="s">
        <v>959</v>
      </c>
      <c r="B471" s="189" t="s">
        <v>960</v>
      </c>
      <c r="C471" s="87">
        <v>1</v>
      </c>
      <c r="D471" s="88" t="s">
        <v>90</v>
      </c>
      <c r="E471" s="171">
        <v>191.67</v>
      </c>
      <c r="F471" s="89">
        <f t="shared" si="98"/>
        <v>0.17199999999999999</v>
      </c>
      <c r="G471" s="108">
        <f t="shared" si="96"/>
        <v>158.70275999999998</v>
      </c>
      <c r="H471" s="108"/>
      <c r="I471" s="269"/>
      <c r="J471" s="269"/>
      <c r="K471" s="109"/>
      <c r="L471" s="269"/>
      <c r="M471" s="1045" t="s">
        <v>956</v>
      </c>
      <c r="N471" s="1050" t="s">
        <v>871</v>
      </c>
      <c r="O471" s="1060" t="s">
        <v>872</v>
      </c>
      <c r="P471" s="1" t="str">
        <f t="shared" si="97"/>
        <v/>
      </c>
      <c r="Q471" s="1" t="str">
        <f t="shared" si="97"/>
        <v/>
      </c>
      <c r="R471" s="1" t="str">
        <f t="shared" si="97"/>
        <v/>
      </c>
      <c r="S471" s="1" t="str">
        <f t="shared" si="97"/>
        <v/>
      </c>
      <c r="T471" s="422" t="s">
        <v>959</v>
      </c>
      <c r="U471" s="189" t="s">
        <v>960</v>
      </c>
      <c r="V471" s="87">
        <v>1</v>
      </c>
      <c r="W471" s="88" t="s">
        <v>90</v>
      </c>
      <c r="X471" s="208" t="s">
        <v>92</v>
      </c>
      <c r="Y471" s="171">
        <v>191.67</v>
      </c>
      <c r="Z471" s="89">
        <v>0.17199999999999999</v>
      </c>
      <c r="AA471" s="108">
        <v>158.70275999999998</v>
      </c>
      <c r="AB471" s="108"/>
      <c r="AC471" s="269"/>
      <c r="AD471" s="269"/>
      <c r="AE471" s="109" t="s">
        <v>92</v>
      </c>
      <c r="AF471" s="269" t="s">
        <v>92</v>
      </c>
      <c r="AG471" s="41" t="s">
        <v>956</v>
      </c>
      <c r="AH471" s="184" t="s">
        <v>871</v>
      </c>
      <c r="AI471" s="488" t="s">
        <v>872</v>
      </c>
      <c r="AJ471" s="1" t="s">
        <v>98</v>
      </c>
      <c r="AK471" s="1" t="s">
        <v>98</v>
      </c>
      <c r="AL471" s="1" t="s">
        <v>98</v>
      </c>
      <c r="AM471" s="1" t="s">
        <v>98</v>
      </c>
      <c r="AN471" s="185"/>
    </row>
    <row r="472" spans="1:40" s="90" customFormat="1">
      <c r="A472" s="422" t="s">
        <v>961</v>
      </c>
      <c r="B472" s="189" t="s">
        <v>962</v>
      </c>
      <c r="C472" s="87">
        <v>1</v>
      </c>
      <c r="D472" s="88" t="s">
        <v>90</v>
      </c>
      <c r="E472" s="171">
        <v>383.33</v>
      </c>
      <c r="F472" s="89">
        <f t="shared" si="98"/>
        <v>0.17199999999999999</v>
      </c>
      <c r="G472" s="108">
        <f t="shared" si="96"/>
        <v>317.39724000000001</v>
      </c>
      <c r="H472" s="108"/>
      <c r="I472" s="269"/>
      <c r="J472" s="269"/>
      <c r="K472" s="109"/>
      <c r="L472" s="269"/>
      <c r="M472" s="1045" t="s">
        <v>956</v>
      </c>
      <c r="N472" s="1050" t="s">
        <v>871</v>
      </c>
      <c r="O472" s="1060" t="s">
        <v>872</v>
      </c>
      <c r="P472" s="1" t="str">
        <f t="shared" si="97"/>
        <v/>
      </c>
      <c r="Q472" s="1" t="str">
        <f t="shared" si="97"/>
        <v/>
      </c>
      <c r="R472" s="1" t="str">
        <f t="shared" si="97"/>
        <v/>
      </c>
      <c r="S472" s="1" t="str">
        <f t="shared" si="97"/>
        <v/>
      </c>
      <c r="T472" s="422" t="s">
        <v>961</v>
      </c>
      <c r="U472" s="189" t="s">
        <v>962</v>
      </c>
      <c r="V472" s="87">
        <v>1</v>
      </c>
      <c r="W472" s="88" t="s">
        <v>90</v>
      </c>
      <c r="X472" s="208" t="s">
        <v>92</v>
      </c>
      <c r="Y472" s="171">
        <v>383.33</v>
      </c>
      <c r="Z472" s="89">
        <v>0.17199999999999999</v>
      </c>
      <c r="AA472" s="108">
        <v>317.39724000000001</v>
      </c>
      <c r="AB472" s="108"/>
      <c r="AC472" s="269"/>
      <c r="AD472" s="269"/>
      <c r="AE472" s="109" t="s">
        <v>92</v>
      </c>
      <c r="AF472" s="269" t="s">
        <v>92</v>
      </c>
      <c r="AG472" s="41" t="s">
        <v>956</v>
      </c>
      <c r="AH472" s="184" t="s">
        <v>871</v>
      </c>
      <c r="AI472" s="488" t="s">
        <v>872</v>
      </c>
      <c r="AJ472" s="1" t="s">
        <v>98</v>
      </c>
      <c r="AK472" s="1" t="s">
        <v>98</v>
      </c>
      <c r="AL472" s="1" t="s">
        <v>98</v>
      </c>
      <c r="AM472" s="1" t="s">
        <v>98</v>
      </c>
      <c r="AN472" s="185"/>
    </row>
    <row r="473" spans="1:40" s="90" customFormat="1">
      <c r="A473" s="422" t="s">
        <v>963</v>
      </c>
      <c r="B473" s="189" t="s">
        <v>964</v>
      </c>
      <c r="C473" s="87">
        <v>1</v>
      </c>
      <c r="D473" s="88" t="s">
        <v>90</v>
      </c>
      <c r="E473" s="171">
        <v>21.67</v>
      </c>
      <c r="F473" s="89">
        <f t="shared" si="98"/>
        <v>0.17199999999999999</v>
      </c>
      <c r="G473" s="108">
        <f t="shared" si="96"/>
        <v>17.94276</v>
      </c>
      <c r="H473" s="108"/>
      <c r="I473" s="269"/>
      <c r="J473" s="269"/>
      <c r="K473" s="109"/>
      <c r="L473" s="269"/>
      <c r="M473" s="1045" t="s">
        <v>956</v>
      </c>
      <c r="N473" s="1050" t="s">
        <v>871</v>
      </c>
      <c r="O473" s="1060" t="s">
        <v>872</v>
      </c>
      <c r="P473" s="1" t="str">
        <f t="shared" si="97"/>
        <v/>
      </c>
      <c r="Q473" s="1" t="str">
        <f t="shared" si="97"/>
        <v/>
      </c>
      <c r="R473" s="1" t="str">
        <f t="shared" si="97"/>
        <v/>
      </c>
      <c r="S473" s="1" t="str">
        <f t="shared" si="97"/>
        <v/>
      </c>
      <c r="T473" s="422" t="s">
        <v>963</v>
      </c>
      <c r="U473" s="189" t="s">
        <v>964</v>
      </c>
      <c r="V473" s="87">
        <v>1</v>
      </c>
      <c r="W473" s="88" t="s">
        <v>90</v>
      </c>
      <c r="X473" s="208" t="s">
        <v>92</v>
      </c>
      <c r="Y473" s="171">
        <v>21.67</v>
      </c>
      <c r="Z473" s="89">
        <v>0.17199999999999999</v>
      </c>
      <c r="AA473" s="108">
        <v>17.94276</v>
      </c>
      <c r="AB473" s="108"/>
      <c r="AC473" s="269"/>
      <c r="AD473" s="269"/>
      <c r="AE473" s="109" t="s">
        <v>92</v>
      </c>
      <c r="AF473" s="269" t="s">
        <v>92</v>
      </c>
      <c r="AG473" s="41" t="s">
        <v>956</v>
      </c>
      <c r="AH473" s="184" t="s">
        <v>871</v>
      </c>
      <c r="AI473" s="488" t="s">
        <v>872</v>
      </c>
      <c r="AJ473" s="1" t="s">
        <v>98</v>
      </c>
      <c r="AK473" s="1" t="s">
        <v>98</v>
      </c>
      <c r="AL473" s="1" t="s">
        <v>98</v>
      </c>
      <c r="AM473" s="1" t="s">
        <v>98</v>
      </c>
      <c r="AN473" s="185"/>
    </row>
    <row r="474" spans="1:40" s="90" customFormat="1">
      <c r="A474" s="422" t="s">
        <v>965</v>
      </c>
      <c r="B474" s="189" t="s">
        <v>966</v>
      </c>
      <c r="C474" s="87">
        <v>1</v>
      </c>
      <c r="D474" s="88" t="s">
        <v>90</v>
      </c>
      <c r="E474" s="171">
        <v>41.67</v>
      </c>
      <c r="F474" s="89">
        <f t="shared" si="98"/>
        <v>0.17199999999999999</v>
      </c>
      <c r="G474" s="108">
        <f t="shared" si="96"/>
        <v>34.502760000000002</v>
      </c>
      <c r="H474" s="108"/>
      <c r="I474" s="269"/>
      <c r="J474" s="269"/>
      <c r="K474" s="109"/>
      <c r="L474" s="269"/>
      <c r="M474" s="1045" t="s">
        <v>956</v>
      </c>
      <c r="N474" s="1050" t="s">
        <v>871</v>
      </c>
      <c r="O474" s="1060" t="s">
        <v>872</v>
      </c>
      <c r="P474" s="1" t="str">
        <f t="shared" si="97"/>
        <v/>
      </c>
      <c r="Q474" s="1" t="str">
        <f t="shared" si="97"/>
        <v/>
      </c>
      <c r="R474" s="1" t="str">
        <f t="shared" si="97"/>
        <v/>
      </c>
      <c r="S474" s="1" t="str">
        <f t="shared" si="97"/>
        <v/>
      </c>
      <c r="T474" s="422" t="s">
        <v>965</v>
      </c>
      <c r="U474" s="189" t="s">
        <v>966</v>
      </c>
      <c r="V474" s="87">
        <v>1</v>
      </c>
      <c r="W474" s="88" t="s">
        <v>90</v>
      </c>
      <c r="X474" s="208" t="s">
        <v>92</v>
      </c>
      <c r="Y474" s="171">
        <v>41.67</v>
      </c>
      <c r="Z474" s="89">
        <v>0.17199999999999999</v>
      </c>
      <c r="AA474" s="108">
        <v>34.502760000000002</v>
      </c>
      <c r="AB474" s="108"/>
      <c r="AC474" s="269"/>
      <c r="AD474" s="269"/>
      <c r="AE474" s="109" t="s">
        <v>92</v>
      </c>
      <c r="AF474" s="269" t="s">
        <v>92</v>
      </c>
      <c r="AG474" s="41" t="s">
        <v>956</v>
      </c>
      <c r="AH474" s="184" t="s">
        <v>871</v>
      </c>
      <c r="AI474" s="488" t="s">
        <v>872</v>
      </c>
      <c r="AJ474" s="1" t="s">
        <v>98</v>
      </c>
      <c r="AK474" s="1" t="s">
        <v>98</v>
      </c>
      <c r="AL474" s="1" t="s">
        <v>98</v>
      </c>
      <c r="AM474" s="1" t="s">
        <v>98</v>
      </c>
      <c r="AN474" s="185"/>
    </row>
    <row r="475" spans="1:40" s="90" customFormat="1">
      <c r="A475" s="422" t="s">
        <v>967</v>
      </c>
      <c r="B475" s="189" t="s">
        <v>968</v>
      </c>
      <c r="C475" s="87">
        <v>1</v>
      </c>
      <c r="D475" s="88" t="s">
        <v>90</v>
      </c>
      <c r="E475" s="171">
        <v>112.5</v>
      </c>
      <c r="F475" s="89">
        <f t="shared" si="98"/>
        <v>0.17199999999999999</v>
      </c>
      <c r="G475" s="108">
        <f t="shared" si="96"/>
        <v>93.15</v>
      </c>
      <c r="H475" s="108"/>
      <c r="I475" s="269"/>
      <c r="J475" s="269"/>
      <c r="K475" s="109"/>
      <c r="L475" s="269"/>
      <c r="M475" s="1045" t="s">
        <v>956</v>
      </c>
      <c r="N475" s="1050" t="s">
        <v>871</v>
      </c>
      <c r="O475" s="1060" t="s">
        <v>872</v>
      </c>
      <c r="P475" s="1" t="str">
        <f t="shared" si="97"/>
        <v/>
      </c>
      <c r="Q475" s="1" t="str">
        <f t="shared" si="97"/>
        <v/>
      </c>
      <c r="R475" s="1" t="str">
        <f t="shared" si="97"/>
        <v/>
      </c>
      <c r="S475" s="1" t="str">
        <f t="shared" si="97"/>
        <v/>
      </c>
      <c r="T475" s="422" t="s">
        <v>967</v>
      </c>
      <c r="U475" s="189" t="s">
        <v>968</v>
      </c>
      <c r="V475" s="87">
        <v>1</v>
      </c>
      <c r="W475" s="88" t="s">
        <v>90</v>
      </c>
      <c r="X475" s="208" t="s">
        <v>92</v>
      </c>
      <c r="Y475" s="171">
        <v>112.5</v>
      </c>
      <c r="Z475" s="89">
        <v>0.17199999999999999</v>
      </c>
      <c r="AA475" s="108">
        <v>93.15</v>
      </c>
      <c r="AB475" s="108"/>
      <c r="AC475" s="269"/>
      <c r="AD475" s="269"/>
      <c r="AE475" s="109" t="s">
        <v>92</v>
      </c>
      <c r="AF475" s="269" t="s">
        <v>92</v>
      </c>
      <c r="AG475" s="41" t="s">
        <v>956</v>
      </c>
      <c r="AH475" s="184" t="s">
        <v>871</v>
      </c>
      <c r="AI475" s="488" t="s">
        <v>872</v>
      </c>
      <c r="AJ475" s="1" t="s">
        <v>98</v>
      </c>
      <c r="AK475" s="1" t="s">
        <v>98</v>
      </c>
      <c r="AL475" s="1" t="s">
        <v>98</v>
      </c>
      <c r="AM475" s="1" t="s">
        <v>98</v>
      </c>
      <c r="AN475" s="185"/>
    </row>
    <row r="476" spans="1:40" s="90" customFormat="1">
      <c r="A476" s="422" t="s">
        <v>969</v>
      </c>
      <c r="B476" s="189" t="s">
        <v>970</v>
      </c>
      <c r="C476" s="87">
        <v>1</v>
      </c>
      <c r="D476" s="88" t="s">
        <v>90</v>
      </c>
      <c r="E476" s="171">
        <v>0</v>
      </c>
      <c r="F476" s="89"/>
      <c r="G476" s="108">
        <f t="shared" si="96"/>
        <v>0</v>
      </c>
      <c r="H476" s="108"/>
      <c r="I476" s="269"/>
      <c r="J476" s="269"/>
      <c r="K476" s="109"/>
      <c r="L476" s="269"/>
      <c r="M476" s="1045" t="s">
        <v>956</v>
      </c>
      <c r="N476" s="1050" t="s">
        <v>871</v>
      </c>
      <c r="O476" s="1060" t="s">
        <v>872</v>
      </c>
      <c r="P476" s="1" t="str">
        <f t="shared" si="97"/>
        <v/>
      </c>
      <c r="Q476" s="1" t="str">
        <f t="shared" si="97"/>
        <v/>
      </c>
      <c r="R476" s="1" t="str">
        <f t="shared" si="97"/>
        <v/>
      </c>
      <c r="S476" s="1" t="str">
        <f t="shared" si="97"/>
        <v/>
      </c>
      <c r="T476" s="422" t="s">
        <v>969</v>
      </c>
      <c r="U476" s="189" t="s">
        <v>970</v>
      </c>
      <c r="V476" s="87">
        <v>1</v>
      </c>
      <c r="W476" s="88" t="s">
        <v>90</v>
      </c>
      <c r="X476" s="208" t="s">
        <v>92</v>
      </c>
      <c r="Y476" s="171">
        <v>0</v>
      </c>
      <c r="Z476" s="89"/>
      <c r="AA476" s="108">
        <v>0</v>
      </c>
      <c r="AB476" s="108"/>
      <c r="AC476" s="269"/>
      <c r="AD476" s="269"/>
      <c r="AE476" s="109"/>
      <c r="AF476" s="269"/>
      <c r="AG476" s="41" t="s">
        <v>956</v>
      </c>
      <c r="AH476" s="184" t="s">
        <v>871</v>
      </c>
      <c r="AI476" s="488" t="s">
        <v>872</v>
      </c>
      <c r="AJ476" s="1" t="s">
        <v>98</v>
      </c>
      <c r="AK476" s="1" t="s">
        <v>98</v>
      </c>
      <c r="AL476" s="1" t="s">
        <v>98</v>
      </c>
      <c r="AM476" s="1" t="s">
        <v>98</v>
      </c>
      <c r="AN476" s="185"/>
    </row>
    <row r="477" spans="1:40" s="90" customFormat="1">
      <c r="A477" s="421" t="s">
        <v>971</v>
      </c>
      <c r="B477" s="189" t="s">
        <v>972</v>
      </c>
      <c r="C477" s="87">
        <v>1</v>
      </c>
      <c r="D477" s="88" t="s">
        <v>90</v>
      </c>
      <c r="E477" s="171">
        <v>0</v>
      </c>
      <c r="F477" s="89"/>
      <c r="G477" s="108">
        <f t="shared" si="96"/>
        <v>0</v>
      </c>
      <c r="H477" s="108"/>
      <c r="I477" s="269"/>
      <c r="J477" s="269"/>
      <c r="K477" s="109"/>
      <c r="L477" s="269"/>
      <c r="M477" s="1045" t="s">
        <v>956</v>
      </c>
      <c r="N477" s="1050" t="s">
        <v>871</v>
      </c>
      <c r="O477" s="1060" t="s">
        <v>872</v>
      </c>
      <c r="P477" s="1" t="str">
        <f t="shared" si="97"/>
        <v/>
      </c>
      <c r="Q477" s="1" t="str">
        <f t="shared" si="97"/>
        <v/>
      </c>
      <c r="R477" s="1" t="str">
        <f t="shared" si="97"/>
        <v/>
      </c>
      <c r="S477" s="1" t="str">
        <f t="shared" si="97"/>
        <v/>
      </c>
      <c r="T477" s="421" t="s">
        <v>971</v>
      </c>
      <c r="U477" s="189" t="s">
        <v>972</v>
      </c>
      <c r="V477" s="87">
        <v>1</v>
      </c>
      <c r="W477" s="88" t="s">
        <v>90</v>
      </c>
      <c r="X477" s="208" t="s">
        <v>92</v>
      </c>
      <c r="Y477" s="171">
        <v>0</v>
      </c>
      <c r="Z477" s="89"/>
      <c r="AA477" s="108">
        <v>0</v>
      </c>
      <c r="AB477" s="108"/>
      <c r="AC477" s="269"/>
      <c r="AD477" s="269"/>
      <c r="AE477" s="109"/>
      <c r="AF477" s="269"/>
      <c r="AG477" s="41" t="s">
        <v>956</v>
      </c>
      <c r="AH477" s="184" t="s">
        <v>871</v>
      </c>
      <c r="AI477" s="488" t="s">
        <v>872</v>
      </c>
      <c r="AJ477" s="1" t="s">
        <v>98</v>
      </c>
      <c r="AK477" s="1" t="s">
        <v>98</v>
      </c>
      <c r="AL477" s="1" t="s">
        <v>98</v>
      </c>
      <c r="AM477" s="1" t="s">
        <v>98</v>
      </c>
      <c r="AN477" s="185"/>
    </row>
    <row r="478" spans="1:40" s="90" customFormat="1">
      <c r="A478" s="422" t="s">
        <v>973</v>
      </c>
      <c r="B478" s="189" t="s">
        <v>974</v>
      </c>
      <c r="C478" s="87">
        <v>1</v>
      </c>
      <c r="D478" s="88" t="s">
        <v>90</v>
      </c>
      <c r="E478" s="171">
        <v>41.67</v>
      </c>
      <c r="F478" s="89">
        <f t="shared" ref="F478:F483" si="99">rv_im21_hg_cto</f>
        <v>0.17199999999999999</v>
      </c>
      <c r="G478" s="108">
        <f t="shared" si="96"/>
        <v>34.502760000000002</v>
      </c>
      <c r="H478" s="108"/>
      <c r="I478" s="269"/>
      <c r="J478" s="269"/>
      <c r="K478" s="109"/>
      <c r="L478" s="269"/>
      <c r="M478" s="1045" t="s">
        <v>956</v>
      </c>
      <c r="N478" s="1050" t="s">
        <v>871</v>
      </c>
      <c r="O478" s="1060" t="s">
        <v>872</v>
      </c>
      <c r="P478" s="1" t="str">
        <f t="shared" si="97"/>
        <v/>
      </c>
      <c r="Q478" s="1" t="str">
        <f t="shared" si="97"/>
        <v/>
      </c>
      <c r="R478" s="1" t="str">
        <f t="shared" si="97"/>
        <v/>
      </c>
      <c r="S478" s="1" t="str">
        <f t="shared" si="97"/>
        <v/>
      </c>
      <c r="T478" s="422" t="s">
        <v>973</v>
      </c>
      <c r="U478" s="189" t="s">
        <v>974</v>
      </c>
      <c r="V478" s="87">
        <v>1</v>
      </c>
      <c r="W478" s="88" t="s">
        <v>90</v>
      </c>
      <c r="X478" s="208" t="s">
        <v>92</v>
      </c>
      <c r="Y478" s="171">
        <v>41.67</v>
      </c>
      <c r="Z478" s="89">
        <v>0.17199999999999999</v>
      </c>
      <c r="AA478" s="108">
        <v>34.502760000000002</v>
      </c>
      <c r="AB478" s="108"/>
      <c r="AC478" s="269"/>
      <c r="AD478" s="269"/>
      <c r="AE478" s="109"/>
      <c r="AF478" s="269"/>
      <c r="AG478" s="41" t="s">
        <v>956</v>
      </c>
      <c r="AH478" s="184" t="s">
        <v>871</v>
      </c>
      <c r="AI478" s="488" t="s">
        <v>872</v>
      </c>
      <c r="AJ478" s="1" t="s">
        <v>98</v>
      </c>
      <c r="AK478" s="1" t="s">
        <v>98</v>
      </c>
      <c r="AL478" s="1" t="s">
        <v>98</v>
      </c>
      <c r="AM478" s="1" t="s">
        <v>98</v>
      </c>
      <c r="AN478" s="185"/>
    </row>
    <row r="479" spans="1:40" s="90" customFormat="1">
      <c r="A479" s="422" t="s">
        <v>975</v>
      </c>
      <c r="B479" s="189" t="s">
        <v>976</v>
      </c>
      <c r="C479" s="87">
        <v>1</v>
      </c>
      <c r="D479" s="88" t="s">
        <v>90</v>
      </c>
      <c r="E479" s="171">
        <v>41.67</v>
      </c>
      <c r="F479" s="89">
        <f t="shared" si="99"/>
        <v>0.17199999999999999</v>
      </c>
      <c r="G479" s="108">
        <f t="shared" si="96"/>
        <v>34.502760000000002</v>
      </c>
      <c r="H479" s="108"/>
      <c r="I479" s="269"/>
      <c r="J479" s="269"/>
      <c r="K479" s="109"/>
      <c r="L479" s="269"/>
      <c r="M479" s="1045" t="s">
        <v>956</v>
      </c>
      <c r="N479" s="1050" t="s">
        <v>871</v>
      </c>
      <c r="O479" s="1060" t="s">
        <v>872</v>
      </c>
      <c r="P479" s="1" t="str">
        <f t="shared" si="97"/>
        <v/>
      </c>
      <c r="Q479" s="1" t="str">
        <f t="shared" si="97"/>
        <v/>
      </c>
      <c r="R479" s="1" t="str">
        <f t="shared" si="97"/>
        <v/>
      </c>
      <c r="S479" s="1" t="str">
        <f t="shared" si="97"/>
        <v/>
      </c>
      <c r="T479" s="422" t="s">
        <v>975</v>
      </c>
      <c r="U479" s="189" t="s">
        <v>976</v>
      </c>
      <c r="V479" s="87">
        <v>1</v>
      </c>
      <c r="W479" s="88" t="s">
        <v>90</v>
      </c>
      <c r="X479" s="208" t="s">
        <v>92</v>
      </c>
      <c r="Y479" s="171">
        <v>41.67</v>
      </c>
      <c r="Z479" s="89">
        <v>0.17199999999999999</v>
      </c>
      <c r="AA479" s="108">
        <v>34.502760000000002</v>
      </c>
      <c r="AB479" s="108"/>
      <c r="AC479" s="269"/>
      <c r="AD479" s="269"/>
      <c r="AE479" s="109"/>
      <c r="AF479" s="269"/>
      <c r="AG479" s="41" t="s">
        <v>956</v>
      </c>
      <c r="AH479" s="184" t="s">
        <v>871</v>
      </c>
      <c r="AI479" s="488" t="s">
        <v>872</v>
      </c>
      <c r="AJ479" s="1" t="s">
        <v>98</v>
      </c>
      <c r="AK479" s="1" t="s">
        <v>98</v>
      </c>
      <c r="AL479" s="1" t="s">
        <v>98</v>
      </c>
      <c r="AM479" s="1" t="s">
        <v>98</v>
      </c>
      <c r="AN479" s="185"/>
    </row>
    <row r="480" spans="1:40" s="90" customFormat="1">
      <c r="A480" s="421" t="s">
        <v>977</v>
      </c>
      <c r="B480" s="189" t="s">
        <v>978</v>
      </c>
      <c r="C480" s="87">
        <v>1</v>
      </c>
      <c r="D480" s="88" t="s">
        <v>90</v>
      </c>
      <c r="E480" s="171">
        <v>41.67</v>
      </c>
      <c r="F480" s="89">
        <f t="shared" si="99"/>
        <v>0.17199999999999999</v>
      </c>
      <c r="G480" s="108">
        <f t="shared" si="96"/>
        <v>34.502760000000002</v>
      </c>
      <c r="H480" s="108"/>
      <c r="I480" s="269"/>
      <c r="J480" s="269"/>
      <c r="K480" s="109"/>
      <c r="L480" s="269"/>
      <c r="M480" s="1045" t="s">
        <v>956</v>
      </c>
      <c r="N480" s="1050" t="s">
        <v>871</v>
      </c>
      <c r="O480" s="1060" t="s">
        <v>872</v>
      </c>
      <c r="P480" s="1" t="str">
        <f t="shared" si="97"/>
        <v/>
      </c>
      <c r="Q480" s="1" t="str">
        <f t="shared" si="97"/>
        <v/>
      </c>
      <c r="R480" s="1" t="str">
        <f t="shared" si="97"/>
        <v/>
      </c>
      <c r="S480" s="1" t="str">
        <f t="shared" si="97"/>
        <v/>
      </c>
      <c r="T480" s="421" t="s">
        <v>977</v>
      </c>
      <c r="U480" s="189" t="s">
        <v>978</v>
      </c>
      <c r="V480" s="87">
        <v>1</v>
      </c>
      <c r="W480" s="88" t="s">
        <v>90</v>
      </c>
      <c r="X480" s="208" t="s">
        <v>92</v>
      </c>
      <c r="Y480" s="171">
        <v>41.67</v>
      </c>
      <c r="Z480" s="89">
        <v>0.17199999999999999</v>
      </c>
      <c r="AA480" s="108">
        <v>34.502760000000002</v>
      </c>
      <c r="AB480" s="108"/>
      <c r="AC480" s="269"/>
      <c r="AD480" s="269"/>
      <c r="AE480" s="109"/>
      <c r="AF480" s="269"/>
      <c r="AG480" s="41" t="s">
        <v>956</v>
      </c>
      <c r="AH480" s="184" t="s">
        <v>871</v>
      </c>
      <c r="AI480" s="488" t="s">
        <v>872</v>
      </c>
      <c r="AJ480" s="1" t="s">
        <v>98</v>
      </c>
      <c r="AK480" s="1" t="s">
        <v>98</v>
      </c>
      <c r="AL480" s="1" t="s">
        <v>98</v>
      </c>
      <c r="AM480" s="1" t="s">
        <v>98</v>
      </c>
      <c r="AN480" s="185"/>
    </row>
    <row r="481" spans="1:40" s="90" customFormat="1">
      <c r="A481" s="422" t="s">
        <v>979</v>
      </c>
      <c r="B481" s="189" t="s">
        <v>980</v>
      </c>
      <c r="C481" s="87">
        <v>1</v>
      </c>
      <c r="D481" s="88" t="s">
        <v>90</v>
      </c>
      <c r="E481" s="171">
        <v>63.33</v>
      </c>
      <c r="F481" s="89">
        <f t="shared" si="99"/>
        <v>0.17199999999999999</v>
      </c>
      <c r="G481" s="108">
        <f t="shared" si="96"/>
        <v>52.437240000000003</v>
      </c>
      <c r="H481" s="108"/>
      <c r="I481" s="269"/>
      <c r="J481" s="269"/>
      <c r="K481" s="109"/>
      <c r="L481" s="269"/>
      <c r="M481" s="1045" t="s">
        <v>956</v>
      </c>
      <c r="N481" s="1050" t="s">
        <v>871</v>
      </c>
      <c r="O481" s="1060" t="s">
        <v>872</v>
      </c>
      <c r="P481" s="1" t="str">
        <f t="shared" si="97"/>
        <v/>
      </c>
      <c r="Q481" s="1" t="str">
        <f t="shared" si="97"/>
        <v/>
      </c>
      <c r="R481" s="1" t="str">
        <f t="shared" si="97"/>
        <v/>
      </c>
      <c r="S481" s="1" t="str">
        <f t="shared" si="97"/>
        <v/>
      </c>
      <c r="T481" s="422" t="s">
        <v>979</v>
      </c>
      <c r="U481" s="189" t="s">
        <v>980</v>
      </c>
      <c r="V481" s="87">
        <v>1</v>
      </c>
      <c r="W481" s="88" t="s">
        <v>90</v>
      </c>
      <c r="X481" s="208" t="s">
        <v>92</v>
      </c>
      <c r="Y481" s="171">
        <v>63.33</v>
      </c>
      <c r="Z481" s="89">
        <v>0.17199999999999999</v>
      </c>
      <c r="AA481" s="108">
        <v>52.437240000000003</v>
      </c>
      <c r="AB481" s="108"/>
      <c r="AC481" s="269"/>
      <c r="AD481" s="269"/>
      <c r="AE481" s="109"/>
      <c r="AF481" s="269"/>
      <c r="AG481" s="41" t="s">
        <v>956</v>
      </c>
      <c r="AH481" s="184" t="s">
        <v>871</v>
      </c>
      <c r="AI481" s="488" t="s">
        <v>872</v>
      </c>
      <c r="AJ481" s="1" t="s">
        <v>98</v>
      </c>
      <c r="AK481" s="1" t="s">
        <v>98</v>
      </c>
      <c r="AL481" s="1" t="s">
        <v>98</v>
      </c>
      <c r="AM481" s="1" t="s">
        <v>98</v>
      </c>
      <c r="AN481" s="185"/>
    </row>
    <row r="482" spans="1:40" s="90" customFormat="1">
      <c r="A482" s="422" t="s">
        <v>981</v>
      </c>
      <c r="B482" s="189" t="s">
        <v>982</v>
      </c>
      <c r="C482" s="87">
        <v>1</v>
      </c>
      <c r="D482" s="88" t="s">
        <v>90</v>
      </c>
      <c r="E482" s="171">
        <v>63.33</v>
      </c>
      <c r="F482" s="89">
        <f t="shared" si="99"/>
        <v>0.17199999999999999</v>
      </c>
      <c r="G482" s="108">
        <f t="shared" si="96"/>
        <v>52.437240000000003</v>
      </c>
      <c r="H482" s="108"/>
      <c r="I482" s="269"/>
      <c r="J482" s="269"/>
      <c r="K482" s="109"/>
      <c r="L482" s="269"/>
      <c r="M482" s="1045" t="s">
        <v>956</v>
      </c>
      <c r="N482" s="1050" t="s">
        <v>871</v>
      </c>
      <c r="O482" s="1060" t="s">
        <v>872</v>
      </c>
      <c r="P482" s="1" t="str">
        <f t="shared" si="97"/>
        <v/>
      </c>
      <c r="Q482" s="1" t="str">
        <f t="shared" si="97"/>
        <v/>
      </c>
      <c r="R482" s="1" t="str">
        <f t="shared" si="97"/>
        <v/>
      </c>
      <c r="S482" s="1" t="str">
        <f t="shared" si="97"/>
        <v/>
      </c>
      <c r="T482" s="422" t="s">
        <v>981</v>
      </c>
      <c r="U482" s="189" t="s">
        <v>982</v>
      </c>
      <c r="V482" s="87">
        <v>1</v>
      </c>
      <c r="W482" s="88" t="s">
        <v>90</v>
      </c>
      <c r="X482" s="208" t="s">
        <v>92</v>
      </c>
      <c r="Y482" s="171">
        <v>63.33</v>
      </c>
      <c r="Z482" s="89">
        <v>0.17199999999999999</v>
      </c>
      <c r="AA482" s="108">
        <v>52.437240000000003</v>
      </c>
      <c r="AB482" s="108"/>
      <c r="AC482" s="269"/>
      <c r="AD482" s="269"/>
      <c r="AE482" s="109"/>
      <c r="AF482" s="269"/>
      <c r="AG482" s="41" t="s">
        <v>956</v>
      </c>
      <c r="AH482" s="184" t="s">
        <v>871</v>
      </c>
      <c r="AI482" s="488" t="s">
        <v>872</v>
      </c>
      <c r="AJ482" s="1" t="s">
        <v>98</v>
      </c>
      <c r="AK482" s="1" t="s">
        <v>98</v>
      </c>
      <c r="AL482" s="1" t="s">
        <v>98</v>
      </c>
      <c r="AM482" s="1" t="s">
        <v>98</v>
      </c>
      <c r="AN482" s="185"/>
    </row>
    <row r="483" spans="1:40" s="90" customFormat="1">
      <c r="A483" s="421" t="s">
        <v>983</v>
      </c>
      <c r="B483" s="189" t="s">
        <v>984</v>
      </c>
      <c r="C483" s="87">
        <v>1</v>
      </c>
      <c r="D483" s="88" t="s">
        <v>90</v>
      </c>
      <c r="E483" s="171">
        <v>63.33</v>
      </c>
      <c r="F483" s="89">
        <f t="shared" si="99"/>
        <v>0.17199999999999999</v>
      </c>
      <c r="G483" s="108">
        <f t="shared" si="96"/>
        <v>52.437240000000003</v>
      </c>
      <c r="H483" s="108"/>
      <c r="I483" s="269"/>
      <c r="J483" s="269"/>
      <c r="K483" s="109"/>
      <c r="L483" s="269"/>
      <c r="M483" s="1045" t="s">
        <v>956</v>
      </c>
      <c r="N483" s="1050" t="s">
        <v>871</v>
      </c>
      <c r="O483" s="1060" t="s">
        <v>872</v>
      </c>
      <c r="P483" s="1" t="str">
        <f t="shared" si="97"/>
        <v/>
      </c>
      <c r="Q483" s="1" t="str">
        <f t="shared" si="97"/>
        <v/>
      </c>
      <c r="R483" s="1" t="str">
        <f t="shared" si="97"/>
        <v/>
      </c>
      <c r="S483" s="1" t="str">
        <f t="shared" si="97"/>
        <v/>
      </c>
      <c r="T483" s="421" t="s">
        <v>983</v>
      </c>
      <c r="U483" s="189" t="s">
        <v>984</v>
      </c>
      <c r="V483" s="87">
        <v>1</v>
      </c>
      <c r="W483" s="88" t="s">
        <v>90</v>
      </c>
      <c r="X483" s="208" t="s">
        <v>92</v>
      </c>
      <c r="Y483" s="171">
        <v>63.33</v>
      </c>
      <c r="Z483" s="89">
        <v>0.17199999999999999</v>
      </c>
      <c r="AA483" s="108">
        <v>52.437240000000003</v>
      </c>
      <c r="AB483" s="108"/>
      <c r="AC483" s="269"/>
      <c r="AD483" s="269"/>
      <c r="AE483" s="109"/>
      <c r="AF483" s="269"/>
      <c r="AG483" s="41" t="s">
        <v>956</v>
      </c>
      <c r="AH483" s="184" t="s">
        <v>871</v>
      </c>
      <c r="AI483" s="488" t="s">
        <v>872</v>
      </c>
      <c r="AJ483" s="1" t="s">
        <v>98</v>
      </c>
      <c r="AK483" s="1" t="s">
        <v>98</v>
      </c>
      <c r="AL483" s="1" t="s">
        <v>98</v>
      </c>
      <c r="AM483" s="1" t="s">
        <v>98</v>
      </c>
      <c r="AN483" s="185"/>
    </row>
    <row r="484" spans="1:40" s="90" customFormat="1">
      <c r="A484" s="425" t="s">
        <v>986</v>
      </c>
      <c r="B484" s="70" t="s">
        <v>987</v>
      </c>
      <c r="C484" s="71">
        <v>1</v>
      </c>
      <c r="D484" s="72" t="s">
        <v>90</v>
      </c>
      <c r="E484" s="726">
        <v>1481.08</v>
      </c>
      <c r="F484" s="103">
        <f>rv_im21_hg</f>
        <v>0.17199999999999999</v>
      </c>
      <c r="G484" s="953">
        <f t="shared" ref="G484:G496" si="100">E484-(E484*F484)</f>
        <v>1226.3342399999999</v>
      </c>
      <c r="H484" s="71" t="s">
        <v>955</v>
      </c>
      <c r="I484" s="91">
        <f>im24_5pl</f>
        <v>48</v>
      </c>
      <c r="J484" s="91">
        <f>G484+I484</f>
        <v>1274.3342399999999</v>
      </c>
      <c r="K484" s="75" t="s">
        <v>92</v>
      </c>
      <c r="L484" s="450">
        <v>1.42</v>
      </c>
      <c r="M484" s="1045" t="s">
        <v>988</v>
      </c>
      <c r="N484" s="1049" t="s">
        <v>871</v>
      </c>
      <c r="O484" s="1059" t="s">
        <v>872</v>
      </c>
      <c r="P484" s="1">
        <f t="shared" si="97"/>
        <v>256.53462948027334</v>
      </c>
      <c r="Q484" s="1">
        <f t="shared" si="97"/>
        <v>133.3227038461242</v>
      </c>
      <c r="R484" s="1">
        <f t="shared" si="97"/>
        <v>96.828310960559349</v>
      </c>
      <c r="S484" s="1">
        <f t="shared" si="97"/>
        <v>83.556672301587923</v>
      </c>
      <c r="T484" s="425" t="s">
        <v>986</v>
      </c>
      <c r="U484" s="70" t="s">
        <v>987</v>
      </c>
      <c r="V484" s="71">
        <v>1</v>
      </c>
      <c r="W484" s="72" t="s">
        <v>90</v>
      </c>
      <c r="X484" s="197" t="s">
        <v>986</v>
      </c>
      <c r="Y484" s="779">
        <v>1388.33</v>
      </c>
      <c r="Z484" s="103">
        <v>0.17199999999999999</v>
      </c>
      <c r="AA484" s="822">
        <v>1149.5372399999999</v>
      </c>
      <c r="AB484" s="71" t="s">
        <v>955</v>
      </c>
      <c r="AC484" s="91">
        <v>48</v>
      </c>
      <c r="AD484" s="91">
        <v>1197.5372399999999</v>
      </c>
      <c r="AE484" s="75" t="s">
        <v>92</v>
      </c>
      <c r="AF484" s="782">
        <v>2.5</v>
      </c>
      <c r="AG484" s="41" t="s">
        <v>988</v>
      </c>
      <c r="AH484" s="185" t="s">
        <v>871</v>
      </c>
      <c r="AI484" s="42" t="s">
        <v>872</v>
      </c>
      <c r="AJ484" s="1">
        <v>241.07472161481681</v>
      </c>
      <c r="AK484" s="1">
        <v>125.28808987603202</v>
      </c>
      <c r="AL484" s="1">
        <v>90.993010014052516</v>
      </c>
      <c r="AM484" s="1">
        <v>78.521178816970377</v>
      </c>
      <c r="AN484" s="185"/>
    </row>
    <row r="485" spans="1:40" s="90" customFormat="1">
      <c r="A485" s="461" t="s">
        <v>985</v>
      </c>
      <c r="B485" s="252"/>
      <c r="C485" s="87"/>
      <c r="D485" s="88"/>
      <c r="E485" s="171"/>
      <c r="F485" s="89"/>
      <c r="G485" s="108"/>
      <c r="H485" s="108"/>
      <c r="I485" s="269"/>
      <c r="J485" s="269"/>
      <c r="K485" s="109"/>
      <c r="L485" s="269"/>
      <c r="M485" s="1045"/>
      <c r="N485" s="1049"/>
      <c r="O485" s="1059"/>
      <c r="P485" s="1" t="str">
        <f t="shared" si="97"/>
        <v/>
      </c>
      <c r="Q485" s="1" t="str">
        <f t="shared" si="97"/>
        <v/>
      </c>
      <c r="R485" s="1" t="str">
        <f t="shared" si="97"/>
        <v/>
      </c>
      <c r="S485" s="1" t="str">
        <f t="shared" si="97"/>
        <v/>
      </c>
      <c r="T485" s="461" t="s">
        <v>985</v>
      </c>
      <c r="U485" s="252"/>
      <c r="V485" s="87"/>
      <c r="W485" s="88"/>
      <c r="X485" s="208"/>
      <c r="Y485" s="171"/>
      <c r="Z485" s="89"/>
      <c r="AA485" s="108"/>
      <c r="AB485" s="108"/>
      <c r="AC485" s="269"/>
      <c r="AD485" s="269"/>
      <c r="AE485" s="109"/>
      <c r="AF485" s="269"/>
      <c r="AG485" s="41"/>
      <c r="AH485" s="185"/>
      <c r="AI485" s="42"/>
      <c r="AJ485" s="1" t="s">
        <v>98</v>
      </c>
      <c r="AK485" s="1" t="s">
        <v>98</v>
      </c>
      <c r="AL485" s="1" t="s">
        <v>98</v>
      </c>
      <c r="AM485" s="1" t="s">
        <v>98</v>
      </c>
      <c r="AN485" s="185"/>
    </row>
    <row r="486" spans="1:40" s="90" customFormat="1">
      <c r="A486" s="422" t="s">
        <v>989</v>
      </c>
      <c r="B486" s="189" t="s">
        <v>990</v>
      </c>
      <c r="C486" s="87">
        <v>1</v>
      </c>
      <c r="D486" s="88" t="s">
        <v>90</v>
      </c>
      <c r="E486" s="47">
        <v>191.67</v>
      </c>
      <c r="F486" s="77">
        <f t="shared" ref="F486:F491" si="101">rv_im21_hg_cto</f>
        <v>0.17199999999999999</v>
      </c>
      <c r="G486" s="27">
        <f t="shared" si="100"/>
        <v>158.70275999999998</v>
      </c>
      <c r="H486" s="108"/>
      <c r="I486" s="269"/>
      <c r="J486" s="269"/>
      <c r="K486" s="109"/>
      <c r="L486" s="269"/>
      <c r="M486" s="1045" t="s">
        <v>988</v>
      </c>
      <c r="N486" s="1049" t="s">
        <v>871</v>
      </c>
      <c r="O486" s="1059" t="s">
        <v>872</v>
      </c>
      <c r="P486" s="1" t="str">
        <f t="shared" si="97"/>
        <v/>
      </c>
      <c r="Q486" s="1" t="str">
        <f t="shared" si="97"/>
        <v/>
      </c>
      <c r="R486" s="1" t="str">
        <f t="shared" si="97"/>
        <v/>
      </c>
      <c r="S486" s="1" t="str">
        <f t="shared" si="97"/>
        <v/>
      </c>
      <c r="T486" s="422" t="s">
        <v>989</v>
      </c>
      <c r="U486" s="189" t="s">
        <v>990</v>
      </c>
      <c r="V486" s="87">
        <v>1</v>
      </c>
      <c r="W486" s="88" t="s">
        <v>90</v>
      </c>
      <c r="X486" s="208" t="s">
        <v>92</v>
      </c>
      <c r="Y486" s="47">
        <v>191.67</v>
      </c>
      <c r="Z486" s="77">
        <v>0.17199999999999999</v>
      </c>
      <c r="AA486" s="27">
        <v>158.70275999999998</v>
      </c>
      <c r="AB486" s="108"/>
      <c r="AC486" s="269"/>
      <c r="AD486" s="269"/>
      <c r="AE486" s="109" t="s">
        <v>92</v>
      </c>
      <c r="AF486" s="269" t="s">
        <v>92</v>
      </c>
      <c r="AG486" s="41" t="s">
        <v>988</v>
      </c>
      <c r="AH486" s="185" t="s">
        <v>871</v>
      </c>
      <c r="AI486" s="42" t="s">
        <v>872</v>
      </c>
      <c r="AJ486" s="1" t="s">
        <v>98</v>
      </c>
      <c r="AK486" s="1" t="s">
        <v>98</v>
      </c>
      <c r="AL486" s="1" t="s">
        <v>98</v>
      </c>
      <c r="AM486" s="1" t="s">
        <v>98</v>
      </c>
      <c r="AN486" s="185"/>
    </row>
    <row r="487" spans="1:40" s="90" customFormat="1">
      <c r="A487" s="422" t="s">
        <v>991</v>
      </c>
      <c r="B487" s="189" t="s">
        <v>992</v>
      </c>
      <c r="C487" s="87">
        <v>1</v>
      </c>
      <c r="D487" s="88" t="s">
        <v>90</v>
      </c>
      <c r="E487" s="47">
        <v>191.67</v>
      </c>
      <c r="F487" s="77">
        <f t="shared" si="101"/>
        <v>0.17199999999999999</v>
      </c>
      <c r="G487" s="27">
        <f t="shared" si="100"/>
        <v>158.70275999999998</v>
      </c>
      <c r="H487" s="108"/>
      <c r="I487" s="269"/>
      <c r="J487" s="269"/>
      <c r="K487" s="109"/>
      <c r="L487" s="269"/>
      <c r="M487" s="1045" t="s">
        <v>988</v>
      </c>
      <c r="N487" s="1049" t="s">
        <v>871</v>
      </c>
      <c r="O487" s="1059" t="s">
        <v>872</v>
      </c>
      <c r="P487" s="1" t="str">
        <f t="shared" si="97"/>
        <v/>
      </c>
      <c r="Q487" s="1" t="str">
        <f t="shared" si="97"/>
        <v/>
      </c>
      <c r="R487" s="1" t="str">
        <f t="shared" si="97"/>
        <v/>
      </c>
      <c r="S487" s="1" t="str">
        <f t="shared" si="97"/>
        <v/>
      </c>
      <c r="T487" s="422" t="s">
        <v>991</v>
      </c>
      <c r="U487" s="189" t="s">
        <v>992</v>
      </c>
      <c r="V487" s="87">
        <v>1</v>
      </c>
      <c r="W487" s="88" t="s">
        <v>90</v>
      </c>
      <c r="X487" s="208" t="s">
        <v>92</v>
      </c>
      <c r="Y487" s="47">
        <v>191.67</v>
      </c>
      <c r="Z487" s="77">
        <v>0.17199999999999999</v>
      </c>
      <c r="AA487" s="27">
        <v>158.70275999999998</v>
      </c>
      <c r="AB487" s="108"/>
      <c r="AC487" s="269"/>
      <c r="AD487" s="269"/>
      <c r="AE487" s="109" t="s">
        <v>92</v>
      </c>
      <c r="AF487" s="269" t="s">
        <v>92</v>
      </c>
      <c r="AG487" s="41" t="s">
        <v>988</v>
      </c>
      <c r="AH487" s="185" t="s">
        <v>871</v>
      </c>
      <c r="AI487" s="42" t="s">
        <v>872</v>
      </c>
      <c r="AJ487" s="1" t="s">
        <v>98</v>
      </c>
      <c r="AK487" s="1" t="s">
        <v>98</v>
      </c>
      <c r="AL487" s="1" t="s">
        <v>98</v>
      </c>
      <c r="AM487" s="1" t="s">
        <v>98</v>
      </c>
      <c r="AN487" s="185"/>
    </row>
    <row r="488" spans="1:40" s="90" customFormat="1">
      <c r="A488" s="422" t="s">
        <v>993</v>
      </c>
      <c r="B488" s="189" t="s">
        <v>994</v>
      </c>
      <c r="C488" s="87">
        <v>1</v>
      </c>
      <c r="D488" s="88" t="s">
        <v>90</v>
      </c>
      <c r="E488" s="47">
        <v>383.33</v>
      </c>
      <c r="F488" s="77">
        <f t="shared" si="101"/>
        <v>0.17199999999999999</v>
      </c>
      <c r="G488" s="27">
        <f t="shared" si="100"/>
        <v>317.39724000000001</v>
      </c>
      <c r="H488" s="108"/>
      <c r="I488" s="269"/>
      <c r="J488" s="269"/>
      <c r="K488" s="109"/>
      <c r="L488" s="269"/>
      <c r="M488" s="1045" t="s">
        <v>988</v>
      </c>
      <c r="N488" s="1049" t="s">
        <v>871</v>
      </c>
      <c r="O488" s="1059" t="s">
        <v>872</v>
      </c>
      <c r="P488" s="1" t="str">
        <f t="shared" ref="P488:S507" si="102">+IF($J488&lt;&gt;"",P$2*$J488,"")</f>
        <v/>
      </c>
      <c r="Q488" s="1" t="str">
        <f t="shared" si="102"/>
        <v/>
      </c>
      <c r="R488" s="1" t="str">
        <f t="shared" si="102"/>
        <v/>
      </c>
      <c r="S488" s="1" t="str">
        <f t="shared" si="102"/>
        <v/>
      </c>
      <c r="T488" s="422" t="s">
        <v>993</v>
      </c>
      <c r="U488" s="189" t="s">
        <v>994</v>
      </c>
      <c r="V488" s="87">
        <v>1</v>
      </c>
      <c r="W488" s="88" t="s">
        <v>90</v>
      </c>
      <c r="X488" s="208" t="s">
        <v>92</v>
      </c>
      <c r="Y488" s="47">
        <v>383.33</v>
      </c>
      <c r="Z488" s="77">
        <v>0.17199999999999999</v>
      </c>
      <c r="AA488" s="27">
        <v>317.39724000000001</v>
      </c>
      <c r="AB488" s="108"/>
      <c r="AC488" s="269"/>
      <c r="AD488" s="269"/>
      <c r="AE488" s="109" t="s">
        <v>92</v>
      </c>
      <c r="AF488" s="269" t="s">
        <v>92</v>
      </c>
      <c r="AG488" s="41" t="s">
        <v>988</v>
      </c>
      <c r="AH488" s="185" t="s">
        <v>871</v>
      </c>
      <c r="AI488" s="42" t="s">
        <v>872</v>
      </c>
      <c r="AJ488" s="1" t="s">
        <v>98</v>
      </c>
      <c r="AK488" s="1" t="s">
        <v>98</v>
      </c>
      <c r="AL488" s="1" t="s">
        <v>98</v>
      </c>
      <c r="AM488" s="1" t="s">
        <v>98</v>
      </c>
      <c r="AN488" s="185"/>
    </row>
    <row r="489" spans="1:40" s="90" customFormat="1">
      <c r="A489" s="422" t="s">
        <v>995</v>
      </c>
      <c r="B489" s="189" t="s">
        <v>996</v>
      </c>
      <c r="C489" s="87">
        <v>1</v>
      </c>
      <c r="D489" s="88" t="s">
        <v>90</v>
      </c>
      <c r="E489" s="47">
        <v>766.67</v>
      </c>
      <c r="F489" s="77">
        <f t="shared" si="101"/>
        <v>0.17199999999999999</v>
      </c>
      <c r="G489" s="27">
        <f t="shared" si="100"/>
        <v>634.80276000000003</v>
      </c>
      <c r="H489" s="108"/>
      <c r="I489" s="269"/>
      <c r="J489" s="269"/>
      <c r="K489" s="109"/>
      <c r="L489" s="269"/>
      <c r="M489" s="1045" t="s">
        <v>988</v>
      </c>
      <c r="N489" s="1049" t="s">
        <v>871</v>
      </c>
      <c r="O489" s="1059" t="s">
        <v>872</v>
      </c>
      <c r="P489" s="1" t="str">
        <f t="shared" si="102"/>
        <v/>
      </c>
      <c r="Q489" s="1" t="str">
        <f t="shared" si="102"/>
        <v/>
      </c>
      <c r="R489" s="1" t="str">
        <f t="shared" si="102"/>
        <v/>
      </c>
      <c r="S489" s="1" t="str">
        <f t="shared" si="102"/>
        <v/>
      </c>
      <c r="T489" s="422" t="s">
        <v>995</v>
      </c>
      <c r="U489" s="189" t="s">
        <v>996</v>
      </c>
      <c r="V489" s="87">
        <v>1</v>
      </c>
      <c r="W489" s="88" t="s">
        <v>90</v>
      </c>
      <c r="X489" s="208" t="s">
        <v>92</v>
      </c>
      <c r="Y489" s="47">
        <v>766.67</v>
      </c>
      <c r="Z489" s="77">
        <v>0.17199999999999999</v>
      </c>
      <c r="AA489" s="27">
        <v>634.80276000000003</v>
      </c>
      <c r="AB489" s="108"/>
      <c r="AC489" s="269"/>
      <c r="AD489" s="269"/>
      <c r="AE489" s="109" t="s">
        <v>92</v>
      </c>
      <c r="AF489" s="269" t="s">
        <v>92</v>
      </c>
      <c r="AG489" s="41" t="s">
        <v>988</v>
      </c>
      <c r="AH489" s="185" t="s">
        <v>871</v>
      </c>
      <c r="AI489" s="42" t="s">
        <v>872</v>
      </c>
      <c r="AJ489" s="1" t="s">
        <v>98</v>
      </c>
      <c r="AK489" s="1" t="s">
        <v>98</v>
      </c>
      <c r="AL489" s="1" t="s">
        <v>98</v>
      </c>
      <c r="AM489" s="1" t="s">
        <v>98</v>
      </c>
      <c r="AN489" s="185"/>
    </row>
    <row r="490" spans="1:40" s="90" customFormat="1">
      <c r="A490" s="422" t="s">
        <v>997</v>
      </c>
      <c r="B490" s="189" t="s">
        <v>998</v>
      </c>
      <c r="C490" s="87">
        <v>1</v>
      </c>
      <c r="D490" s="88" t="s">
        <v>90</v>
      </c>
      <c r="E490" s="171">
        <v>41.67</v>
      </c>
      <c r="F490" s="77">
        <f t="shared" si="101"/>
        <v>0.17199999999999999</v>
      </c>
      <c r="G490" s="27">
        <f t="shared" si="100"/>
        <v>34.502760000000002</v>
      </c>
      <c r="H490" s="108"/>
      <c r="I490" s="269"/>
      <c r="J490" s="269"/>
      <c r="K490" s="109"/>
      <c r="L490" s="269"/>
      <c r="M490" s="1045" t="s">
        <v>988</v>
      </c>
      <c r="N490" s="1049" t="s">
        <v>871</v>
      </c>
      <c r="O490" s="1059" t="s">
        <v>872</v>
      </c>
      <c r="P490" s="1" t="str">
        <f t="shared" si="102"/>
        <v/>
      </c>
      <c r="Q490" s="1" t="str">
        <f t="shared" si="102"/>
        <v/>
      </c>
      <c r="R490" s="1" t="str">
        <f t="shared" si="102"/>
        <v/>
      </c>
      <c r="S490" s="1" t="str">
        <f t="shared" si="102"/>
        <v/>
      </c>
      <c r="T490" s="422" t="s">
        <v>997</v>
      </c>
      <c r="U490" s="189" t="s">
        <v>998</v>
      </c>
      <c r="V490" s="87">
        <v>1</v>
      </c>
      <c r="W490" s="88" t="s">
        <v>90</v>
      </c>
      <c r="X490" s="208" t="s">
        <v>92</v>
      </c>
      <c r="Y490" s="171">
        <v>41.67</v>
      </c>
      <c r="Z490" s="77">
        <v>0.17199999999999999</v>
      </c>
      <c r="AA490" s="27">
        <v>34.502760000000002</v>
      </c>
      <c r="AB490" s="108"/>
      <c r="AC490" s="269"/>
      <c r="AD490" s="269"/>
      <c r="AE490" s="109"/>
      <c r="AF490" s="269"/>
      <c r="AG490" s="41" t="s">
        <v>988</v>
      </c>
      <c r="AH490" s="185" t="s">
        <v>871</v>
      </c>
      <c r="AI490" s="42" t="s">
        <v>872</v>
      </c>
      <c r="AJ490" s="1" t="s">
        <v>98</v>
      </c>
      <c r="AK490" s="1" t="s">
        <v>98</v>
      </c>
      <c r="AL490" s="1" t="s">
        <v>98</v>
      </c>
      <c r="AM490" s="1" t="s">
        <v>98</v>
      </c>
      <c r="AN490" s="185"/>
    </row>
    <row r="491" spans="1:40" s="90" customFormat="1">
      <c r="A491" s="422" t="s">
        <v>999</v>
      </c>
      <c r="B491" s="189" t="s">
        <v>1000</v>
      </c>
      <c r="C491" s="87">
        <v>1</v>
      </c>
      <c r="D491" s="88" t="s">
        <v>90</v>
      </c>
      <c r="E491" s="47">
        <v>112.5</v>
      </c>
      <c r="F491" s="77">
        <f t="shared" si="101"/>
        <v>0.17199999999999999</v>
      </c>
      <c r="G491" s="27">
        <f t="shared" si="100"/>
        <v>93.15</v>
      </c>
      <c r="H491" s="108"/>
      <c r="I491" s="269"/>
      <c r="J491" s="269"/>
      <c r="K491" s="109"/>
      <c r="L491" s="269"/>
      <c r="M491" s="1045" t="s">
        <v>988</v>
      </c>
      <c r="N491" s="1049" t="s">
        <v>871</v>
      </c>
      <c r="O491" s="1059" t="s">
        <v>872</v>
      </c>
      <c r="P491" s="1" t="str">
        <f t="shared" si="102"/>
        <v/>
      </c>
      <c r="Q491" s="1" t="str">
        <f t="shared" si="102"/>
        <v/>
      </c>
      <c r="R491" s="1" t="str">
        <f t="shared" si="102"/>
        <v/>
      </c>
      <c r="S491" s="1" t="str">
        <f t="shared" si="102"/>
        <v/>
      </c>
      <c r="T491" s="422" t="s">
        <v>999</v>
      </c>
      <c r="U491" s="189" t="s">
        <v>1000</v>
      </c>
      <c r="V491" s="87">
        <v>1</v>
      </c>
      <c r="W491" s="88" t="s">
        <v>90</v>
      </c>
      <c r="X491" s="208" t="s">
        <v>92</v>
      </c>
      <c r="Y491" s="47">
        <v>112.5</v>
      </c>
      <c r="Z491" s="77">
        <v>0.17199999999999999</v>
      </c>
      <c r="AA491" s="27">
        <v>93.15</v>
      </c>
      <c r="AB491" s="108"/>
      <c r="AC491" s="269"/>
      <c r="AD491" s="269"/>
      <c r="AE491" s="109" t="s">
        <v>92</v>
      </c>
      <c r="AF491" s="269" t="s">
        <v>92</v>
      </c>
      <c r="AG491" s="41" t="s">
        <v>988</v>
      </c>
      <c r="AH491" s="185" t="s">
        <v>871</v>
      </c>
      <c r="AI491" s="42" t="s">
        <v>872</v>
      </c>
      <c r="AJ491" s="1" t="s">
        <v>98</v>
      </c>
      <c r="AK491" s="1" t="s">
        <v>98</v>
      </c>
      <c r="AL491" s="1" t="s">
        <v>98</v>
      </c>
      <c r="AM491" s="1" t="s">
        <v>98</v>
      </c>
      <c r="AN491" s="185"/>
    </row>
    <row r="492" spans="1:40" s="90" customFormat="1">
      <c r="A492" s="422" t="s">
        <v>1001</v>
      </c>
      <c r="B492" s="189" t="s">
        <v>1002</v>
      </c>
      <c r="C492" s="87">
        <v>1</v>
      </c>
      <c r="D492" s="88" t="s">
        <v>90</v>
      </c>
      <c r="E492" s="47">
        <v>0</v>
      </c>
      <c r="F492" s="77"/>
      <c r="G492" s="27">
        <f t="shared" si="100"/>
        <v>0</v>
      </c>
      <c r="H492" s="108"/>
      <c r="I492" s="269"/>
      <c r="J492" s="269"/>
      <c r="K492" s="109"/>
      <c r="L492" s="269"/>
      <c r="M492" s="1045" t="s">
        <v>988</v>
      </c>
      <c r="N492" s="1049" t="s">
        <v>871</v>
      </c>
      <c r="O492" s="1059" t="s">
        <v>872</v>
      </c>
      <c r="P492" s="1" t="str">
        <f t="shared" si="102"/>
        <v/>
      </c>
      <c r="Q492" s="1" t="str">
        <f t="shared" si="102"/>
        <v/>
      </c>
      <c r="R492" s="1" t="str">
        <f t="shared" si="102"/>
        <v/>
      </c>
      <c r="S492" s="1" t="str">
        <f t="shared" si="102"/>
        <v/>
      </c>
      <c r="T492" s="422" t="s">
        <v>1001</v>
      </c>
      <c r="U492" s="189" t="s">
        <v>1002</v>
      </c>
      <c r="V492" s="87">
        <v>1</v>
      </c>
      <c r="W492" s="88" t="s">
        <v>90</v>
      </c>
      <c r="X492" s="208" t="s">
        <v>92</v>
      </c>
      <c r="Y492" s="47">
        <v>0</v>
      </c>
      <c r="Z492" s="77"/>
      <c r="AA492" s="27">
        <v>0</v>
      </c>
      <c r="AB492" s="108"/>
      <c r="AC492" s="269"/>
      <c r="AD492" s="269"/>
      <c r="AE492" s="109" t="s">
        <v>92</v>
      </c>
      <c r="AF492" s="269" t="s">
        <v>92</v>
      </c>
      <c r="AG492" s="41" t="s">
        <v>988</v>
      </c>
      <c r="AH492" s="185" t="s">
        <v>871</v>
      </c>
      <c r="AI492" s="42" t="s">
        <v>872</v>
      </c>
      <c r="AJ492" s="1" t="s">
        <v>98</v>
      </c>
      <c r="AK492" s="1" t="s">
        <v>98</v>
      </c>
      <c r="AL492" s="1" t="s">
        <v>98</v>
      </c>
      <c r="AM492" s="1" t="s">
        <v>98</v>
      </c>
      <c r="AN492" s="185"/>
    </row>
    <row r="493" spans="1:40" s="90" customFormat="1">
      <c r="A493" s="421" t="s">
        <v>1003</v>
      </c>
      <c r="B493" s="189" t="s">
        <v>1004</v>
      </c>
      <c r="C493" s="87">
        <v>1</v>
      </c>
      <c r="D493" s="88" t="s">
        <v>90</v>
      </c>
      <c r="E493" s="171">
        <v>0</v>
      </c>
      <c r="F493" s="89"/>
      <c r="G493" s="108">
        <f t="shared" si="100"/>
        <v>0</v>
      </c>
      <c r="H493" s="108"/>
      <c r="I493" s="269"/>
      <c r="J493" s="269"/>
      <c r="K493" s="109"/>
      <c r="L493" s="269"/>
      <c r="M493" s="1045" t="s">
        <v>988</v>
      </c>
      <c r="N493" s="1049" t="s">
        <v>871</v>
      </c>
      <c r="O493" s="1059" t="s">
        <v>872</v>
      </c>
      <c r="P493" s="1" t="str">
        <f t="shared" si="102"/>
        <v/>
      </c>
      <c r="Q493" s="1" t="str">
        <f t="shared" si="102"/>
        <v/>
      </c>
      <c r="R493" s="1" t="str">
        <f t="shared" si="102"/>
        <v/>
      </c>
      <c r="S493" s="1" t="str">
        <f t="shared" si="102"/>
        <v/>
      </c>
      <c r="T493" s="421" t="s">
        <v>1003</v>
      </c>
      <c r="U493" s="189" t="s">
        <v>1004</v>
      </c>
      <c r="V493" s="87">
        <v>1</v>
      </c>
      <c r="W493" s="88" t="s">
        <v>90</v>
      </c>
      <c r="X493" s="208" t="s">
        <v>92</v>
      </c>
      <c r="Y493" s="171">
        <v>0</v>
      </c>
      <c r="Z493" s="89"/>
      <c r="AA493" s="108">
        <v>0</v>
      </c>
      <c r="AB493" s="108"/>
      <c r="AC493" s="269"/>
      <c r="AD493" s="269"/>
      <c r="AE493" s="109"/>
      <c r="AF493" s="269"/>
      <c r="AG493" s="41" t="s">
        <v>988</v>
      </c>
      <c r="AH493" s="185" t="s">
        <v>871</v>
      </c>
      <c r="AI493" s="42" t="s">
        <v>872</v>
      </c>
      <c r="AJ493" s="1" t="s">
        <v>98</v>
      </c>
      <c r="AK493" s="1" t="s">
        <v>98</v>
      </c>
      <c r="AL493" s="1" t="s">
        <v>98</v>
      </c>
      <c r="AM493" s="1" t="s">
        <v>98</v>
      </c>
      <c r="AN493" s="185"/>
    </row>
    <row r="494" spans="1:40" s="90" customFormat="1">
      <c r="A494" s="422" t="s">
        <v>1005</v>
      </c>
      <c r="B494" s="189" t="s">
        <v>1006</v>
      </c>
      <c r="C494" s="87">
        <v>1</v>
      </c>
      <c r="D494" s="88" t="s">
        <v>90</v>
      </c>
      <c r="E494" s="171">
        <v>21.67</v>
      </c>
      <c r="F494" s="89">
        <f>rv_im21_hg_cto</f>
        <v>0.17199999999999999</v>
      </c>
      <c r="G494" s="108">
        <f t="shared" si="100"/>
        <v>17.94276</v>
      </c>
      <c r="H494" s="108"/>
      <c r="I494" s="269"/>
      <c r="J494" s="269"/>
      <c r="K494" s="109"/>
      <c r="L494" s="269"/>
      <c r="M494" s="1045" t="s">
        <v>988</v>
      </c>
      <c r="N494" s="1049" t="s">
        <v>871</v>
      </c>
      <c r="O494" s="1059" t="s">
        <v>872</v>
      </c>
      <c r="P494" s="1" t="str">
        <f t="shared" si="102"/>
        <v/>
      </c>
      <c r="Q494" s="1" t="str">
        <f t="shared" si="102"/>
        <v/>
      </c>
      <c r="R494" s="1" t="str">
        <f t="shared" si="102"/>
        <v/>
      </c>
      <c r="S494" s="1" t="str">
        <f t="shared" si="102"/>
        <v/>
      </c>
      <c r="T494" s="422" t="s">
        <v>1005</v>
      </c>
      <c r="U494" s="189" t="s">
        <v>1006</v>
      </c>
      <c r="V494" s="87">
        <v>1</v>
      </c>
      <c r="W494" s="88" t="s">
        <v>90</v>
      </c>
      <c r="X494" s="208" t="s">
        <v>92</v>
      </c>
      <c r="Y494" s="171">
        <v>21.67</v>
      </c>
      <c r="Z494" s="89">
        <v>0.17199999999999999</v>
      </c>
      <c r="AA494" s="108">
        <v>17.94276</v>
      </c>
      <c r="AB494" s="108"/>
      <c r="AC494" s="269"/>
      <c r="AD494" s="269"/>
      <c r="AE494" s="109"/>
      <c r="AF494" s="269"/>
      <c r="AG494" s="41" t="s">
        <v>988</v>
      </c>
      <c r="AH494" s="185" t="s">
        <v>871</v>
      </c>
      <c r="AI494" s="42" t="s">
        <v>872</v>
      </c>
      <c r="AJ494" s="1" t="s">
        <v>98</v>
      </c>
      <c r="AK494" s="1" t="s">
        <v>98</v>
      </c>
      <c r="AL494" s="1" t="s">
        <v>98</v>
      </c>
      <c r="AM494" s="1" t="s">
        <v>98</v>
      </c>
      <c r="AN494" s="185"/>
    </row>
    <row r="495" spans="1:40" s="90" customFormat="1">
      <c r="A495" s="422" t="s">
        <v>1007</v>
      </c>
      <c r="B495" s="189" t="s">
        <v>1008</v>
      </c>
      <c r="C495" s="87">
        <v>1</v>
      </c>
      <c r="D495" s="88" t="s">
        <v>90</v>
      </c>
      <c r="E495" s="171">
        <v>21.67</v>
      </c>
      <c r="F495" s="89">
        <f>rv_im21_hg_cto</f>
        <v>0.17199999999999999</v>
      </c>
      <c r="G495" s="108">
        <f t="shared" si="100"/>
        <v>17.94276</v>
      </c>
      <c r="H495" s="108"/>
      <c r="I495" s="269"/>
      <c r="J495" s="269"/>
      <c r="K495" s="109"/>
      <c r="L495" s="269"/>
      <c r="M495" s="1045" t="s">
        <v>988</v>
      </c>
      <c r="N495" s="1049" t="s">
        <v>871</v>
      </c>
      <c r="O495" s="1059" t="s">
        <v>872</v>
      </c>
      <c r="P495" s="1" t="str">
        <f t="shared" si="102"/>
        <v/>
      </c>
      <c r="Q495" s="1" t="str">
        <f t="shared" si="102"/>
        <v/>
      </c>
      <c r="R495" s="1" t="str">
        <f t="shared" si="102"/>
        <v/>
      </c>
      <c r="S495" s="1" t="str">
        <f t="shared" si="102"/>
        <v/>
      </c>
      <c r="T495" s="422" t="s">
        <v>1007</v>
      </c>
      <c r="U495" s="189" t="s">
        <v>1008</v>
      </c>
      <c r="V495" s="87">
        <v>1</v>
      </c>
      <c r="W495" s="88" t="s">
        <v>90</v>
      </c>
      <c r="X495" s="208" t="s">
        <v>92</v>
      </c>
      <c r="Y495" s="171">
        <v>21.67</v>
      </c>
      <c r="Z495" s="89">
        <v>0.17199999999999999</v>
      </c>
      <c r="AA495" s="108">
        <v>17.94276</v>
      </c>
      <c r="AB495" s="108"/>
      <c r="AC495" s="269"/>
      <c r="AD495" s="269"/>
      <c r="AE495" s="109"/>
      <c r="AF495" s="269"/>
      <c r="AG495" s="41" t="s">
        <v>988</v>
      </c>
      <c r="AH495" s="185" t="s">
        <v>871</v>
      </c>
      <c r="AI495" s="42" t="s">
        <v>872</v>
      </c>
      <c r="AJ495" s="1" t="s">
        <v>98</v>
      </c>
      <c r="AK495" s="1" t="s">
        <v>98</v>
      </c>
      <c r="AL495" s="1" t="s">
        <v>98</v>
      </c>
      <c r="AM495" s="1" t="s">
        <v>98</v>
      </c>
      <c r="AN495" s="185"/>
    </row>
    <row r="496" spans="1:40" s="90" customFormat="1">
      <c r="A496" s="421" t="s">
        <v>1009</v>
      </c>
      <c r="B496" s="189" t="s">
        <v>1010</v>
      </c>
      <c r="C496" s="87">
        <v>1</v>
      </c>
      <c r="D496" s="88" t="s">
        <v>90</v>
      </c>
      <c r="E496" s="171">
        <v>21.67</v>
      </c>
      <c r="F496" s="89">
        <f>rv_im21_hg_cto</f>
        <v>0.17199999999999999</v>
      </c>
      <c r="G496" s="108">
        <f t="shared" si="100"/>
        <v>17.94276</v>
      </c>
      <c r="H496" s="108"/>
      <c r="I496" s="269"/>
      <c r="J496" s="269"/>
      <c r="K496" s="109"/>
      <c r="L496" s="269"/>
      <c r="M496" s="1045" t="s">
        <v>988</v>
      </c>
      <c r="N496" s="1049" t="s">
        <v>871</v>
      </c>
      <c r="O496" s="1059" t="s">
        <v>872</v>
      </c>
      <c r="P496" s="1" t="str">
        <f t="shared" si="102"/>
        <v/>
      </c>
      <c r="Q496" s="1" t="str">
        <f t="shared" si="102"/>
        <v/>
      </c>
      <c r="R496" s="1" t="str">
        <f t="shared" si="102"/>
        <v/>
      </c>
      <c r="S496" s="1" t="str">
        <f t="shared" si="102"/>
        <v/>
      </c>
      <c r="T496" s="421" t="s">
        <v>1009</v>
      </c>
      <c r="U496" s="189" t="s">
        <v>1010</v>
      </c>
      <c r="V496" s="87">
        <v>1</v>
      </c>
      <c r="W496" s="88" t="s">
        <v>90</v>
      </c>
      <c r="X496" s="208" t="s">
        <v>92</v>
      </c>
      <c r="Y496" s="171">
        <v>21.67</v>
      </c>
      <c r="Z496" s="89">
        <v>0.17199999999999999</v>
      </c>
      <c r="AA496" s="108">
        <v>17.94276</v>
      </c>
      <c r="AB496" s="108"/>
      <c r="AC496" s="269"/>
      <c r="AD496" s="269"/>
      <c r="AE496" s="109"/>
      <c r="AF496" s="269"/>
      <c r="AG496" s="41" t="s">
        <v>988</v>
      </c>
      <c r="AH496" s="185" t="s">
        <v>871</v>
      </c>
      <c r="AI496" s="42" t="s">
        <v>872</v>
      </c>
      <c r="AJ496" s="1" t="s">
        <v>98</v>
      </c>
      <c r="AK496" s="1" t="s">
        <v>98</v>
      </c>
      <c r="AL496" s="1" t="s">
        <v>98</v>
      </c>
      <c r="AM496" s="1" t="s">
        <v>98</v>
      </c>
      <c r="AN496" s="185"/>
    </row>
    <row r="497" spans="1:40">
      <c r="A497" s="463" t="s">
        <v>1011</v>
      </c>
      <c r="B497" s="70" t="s">
        <v>1012</v>
      </c>
      <c r="C497" s="71">
        <v>1</v>
      </c>
      <c r="D497" s="72" t="s">
        <v>90</v>
      </c>
      <c r="E497" s="726">
        <v>1672.75</v>
      </c>
      <c r="F497" s="103">
        <f>rv_im21_hg</f>
        <v>0.17199999999999999</v>
      </c>
      <c r="G497" s="953">
        <f t="shared" ref="G497:G509" si="103">E497-(E497*F497)</f>
        <v>1385.037</v>
      </c>
      <c r="H497" s="71" t="s">
        <v>955</v>
      </c>
      <c r="I497" s="91">
        <f>im24_5pl</f>
        <v>48</v>
      </c>
      <c r="J497" s="91">
        <f>G497+I497</f>
        <v>1433.037</v>
      </c>
      <c r="K497" s="75" t="s">
        <v>92</v>
      </c>
      <c r="L497" s="450">
        <v>1.42</v>
      </c>
      <c r="M497" s="1045" t="s">
        <v>1013</v>
      </c>
      <c r="N497" s="1049" t="s">
        <v>871</v>
      </c>
      <c r="O497" s="1059" t="s">
        <v>872</v>
      </c>
      <c r="P497" s="1">
        <f t="shared" si="102"/>
        <v>288.4828832869801</v>
      </c>
      <c r="Q497" s="1">
        <f t="shared" si="102"/>
        <v>149.92641769677184</v>
      </c>
      <c r="R497" s="1">
        <f t="shared" si="102"/>
        <v>108.88709405939458</v>
      </c>
      <c r="S497" s="1">
        <f t="shared" si="102"/>
        <v>93.962634955999192</v>
      </c>
      <c r="T497" s="463" t="s">
        <v>1011</v>
      </c>
      <c r="U497" s="70" t="s">
        <v>1012</v>
      </c>
      <c r="V497" s="71">
        <v>1</v>
      </c>
      <c r="W497" s="72" t="s">
        <v>90</v>
      </c>
      <c r="X497" s="197" t="s">
        <v>1011</v>
      </c>
      <c r="Y497" s="779">
        <v>1580</v>
      </c>
      <c r="Z497" s="103">
        <v>0.17199999999999999</v>
      </c>
      <c r="AA497" s="822">
        <v>1308.24</v>
      </c>
      <c r="AB497" s="71" t="s">
        <v>955</v>
      </c>
      <c r="AC497" s="91">
        <v>48</v>
      </c>
      <c r="AD497" s="91">
        <v>1356.24</v>
      </c>
      <c r="AE497" s="75" t="s">
        <v>92</v>
      </c>
      <c r="AF497" s="782">
        <v>2.5</v>
      </c>
      <c r="AG497" s="41" t="s">
        <v>1013</v>
      </c>
      <c r="AH497" s="185" t="s">
        <v>871</v>
      </c>
      <c r="AI497" s="42" t="s">
        <v>872</v>
      </c>
      <c r="AJ497" s="1">
        <v>273.0229754215236</v>
      </c>
      <c r="AK497" s="1">
        <v>141.89180372667965</v>
      </c>
      <c r="AL497" s="1">
        <v>103.05179311288774</v>
      </c>
      <c r="AM497" s="1">
        <v>88.927141471381645</v>
      </c>
      <c r="AN497" s="185"/>
    </row>
    <row r="498" spans="1:40" s="90" customFormat="1">
      <c r="A498" s="462" t="s">
        <v>985</v>
      </c>
      <c r="B498" s="271"/>
      <c r="C498" s="87"/>
      <c r="D498" s="88"/>
      <c r="E498" s="171"/>
      <c r="F498" s="89"/>
      <c r="G498" s="108"/>
      <c r="H498" s="108"/>
      <c r="I498" s="269"/>
      <c r="J498" s="269"/>
      <c r="K498" s="109"/>
      <c r="L498" s="269"/>
      <c r="M498" s="1045"/>
      <c r="N498" s="1049"/>
      <c r="O498" s="1059"/>
      <c r="P498" s="1" t="str">
        <f t="shared" si="102"/>
        <v/>
      </c>
      <c r="Q498" s="1" t="str">
        <f t="shared" si="102"/>
        <v/>
      </c>
      <c r="R498" s="1" t="str">
        <f t="shared" si="102"/>
        <v/>
      </c>
      <c r="S498" s="1" t="str">
        <f t="shared" si="102"/>
        <v/>
      </c>
      <c r="T498" s="462" t="s">
        <v>985</v>
      </c>
      <c r="U498" s="271"/>
      <c r="V498" s="87"/>
      <c r="W498" s="88"/>
      <c r="X498" s="208"/>
      <c r="Y498" s="171"/>
      <c r="Z498" s="89"/>
      <c r="AA498" s="108"/>
      <c r="AB498" s="108"/>
      <c r="AC498" s="269"/>
      <c r="AD498" s="269"/>
      <c r="AE498" s="109"/>
      <c r="AF498" s="269"/>
      <c r="AG498" s="41"/>
      <c r="AH498" s="185"/>
      <c r="AI498" s="42"/>
      <c r="AJ498" s="1" t="s">
        <v>98</v>
      </c>
      <c r="AK498" s="1" t="s">
        <v>98</v>
      </c>
      <c r="AL498" s="1" t="s">
        <v>98</v>
      </c>
      <c r="AM498" s="1" t="s">
        <v>98</v>
      </c>
      <c r="AN498" s="185"/>
    </row>
    <row r="499" spans="1:40">
      <c r="A499" s="422" t="s">
        <v>1014</v>
      </c>
      <c r="B499" s="189" t="s">
        <v>1015</v>
      </c>
      <c r="C499" s="87">
        <v>1</v>
      </c>
      <c r="D499" s="88" t="s">
        <v>90</v>
      </c>
      <c r="E499" s="47">
        <v>191.67</v>
      </c>
      <c r="F499" s="77">
        <f>rv_im21_hg_cto</f>
        <v>0.17199999999999999</v>
      </c>
      <c r="G499" s="27">
        <f t="shared" si="103"/>
        <v>158.70275999999998</v>
      </c>
      <c r="H499" s="108"/>
      <c r="I499" s="269"/>
      <c r="J499" s="269"/>
      <c r="K499" s="109"/>
      <c r="L499" s="269"/>
      <c r="M499" s="1045" t="s">
        <v>1013</v>
      </c>
      <c r="N499" s="1049" t="s">
        <v>871</v>
      </c>
      <c r="O499" s="1059" t="s">
        <v>872</v>
      </c>
      <c r="P499" s="1" t="str">
        <f t="shared" si="102"/>
        <v/>
      </c>
      <c r="Q499" s="1" t="str">
        <f t="shared" si="102"/>
        <v/>
      </c>
      <c r="R499" s="1" t="str">
        <f t="shared" si="102"/>
        <v/>
      </c>
      <c r="S499" s="1" t="str">
        <f t="shared" si="102"/>
        <v/>
      </c>
      <c r="T499" s="422" t="s">
        <v>1014</v>
      </c>
      <c r="U499" s="189" t="s">
        <v>1015</v>
      </c>
      <c r="V499" s="87">
        <v>1</v>
      </c>
      <c r="W499" s="88" t="s">
        <v>90</v>
      </c>
      <c r="X499" s="208" t="s">
        <v>92</v>
      </c>
      <c r="Y499" s="47">
        <v>191.67</v>
      </c>
      <c r="Z499" s="77">
        <v>0.17199999999999999</v>
      </c>
      <c r="AA499" s="27">
        <v>158.70275999999998</v>
      </c>
      <c r="AB499" s="108"/>
      <c r="AC499" s="269"/>
      <c r="AD499" s="269"/>
      <c r="AE499" s="109" t="s">
        <v>92</v>
      </c>
      <c r="AF499" s="269" t="s">
        <v>92</v>
      </c>
      <c r="AG499" s="41" t="s">
        <v>1013</v>
      </c>
      <c r="AH499" s="185" t="s">
        <v>871</v>
      </c>
      <c r="AI499" s="42" t="s">
        <v>872</v>
      </c>
      <c r="AJ499" s="1" t="s">
        <v>98</v>
      </c>
      <c r="AK499" s="1" t="s">
        <v>98</v>
      </c>
      <c r="AL499" s="1" t="s">
        <v>98</v>
      </c>
      <c r="AM499" s="1" t="s">
        <v>98</v>
      </c>
      <c r="AN499" s="185"/>
    </row>
    <row r="500" spans="1:40">
      <c r="A500" s="422" t="s">
        <v>1016</v>
      </c>
      <c r="B500" s="189" t="s">
        <v>1017</v>
      </c>
      <c r="C500" s="87">
        <v>1</v>
      </c>
      <c r="D500" s="88" t="s">
        <v>90</v>
      </c>
      <c r="E500" s="47">
        <v>191.67</v>
      </c>
      <c r="F500" s="77">
        <f>rv_im21_hg_cto</f>
        <v>0.17199999999999999</v>
      </c>
      <c r="G500" s="27">
        <f t="shared" si="103"/>
        <v>158.70275999999998</v>
      </c>
      <c r="H500" s="108"/>
      <c r="I500" s="269"/>
      <c r="J500" s="269"/>
      <c r="K500" s="109"/>
      <c r="L500" s="269"/>
      <c r="M500" s="1045" t="s">
        <v>1013</v>
      </c>
      <c r="N500" s="1049" t="s">
        <v>871</v>
      </c>
      <c r="O500" s="1059" t="s">
        <v>872</v>
      </c>
      <c r="P500" s="1" t="str">
        <f t="shared" si="102"/>
        <v/>
      </c>
      <c r="Q500" s="1" t="str">
        <f t="shared" si="102"/>
        <v/>
      </c>
      <c r="R500" s="1" t="str">
        <f t="shared" si="102"/>
        <v/>
      </c>
      <c r="S500" s="1" t="str">
        <f t="shared" si="102"/>
        <v/>
      </c>
      <c r="T500" s="422" t="s">
        <v>1016</v>
      </c>
      <c r="U500" s="189" t="s">
        <v>1017</v>
      </c>
      <c r="V500" s="87">
        <v>1</v>
      </c>
      <c r="W500" s="88" t="s">
        <v>90</v>
      </c>
      <c r="X500" s="208" t="s">
        <v>92</v>
      </c>
      <c r="Y500" s="47">
        <v>191.67</v>
      </c>
      <c r="Z500" s="77">
        <v>0.17199999999999999</v>
      </c>
      <c r="AA500" s="27">
        <v>158.70275999999998</v>
      </c>
      <c r="AB500" s="108"/>
      <c r="AC500" s="269"/>
      <c r="AD500" s="269"/>
      <c r="AE500" s="109" t="s">
        <v>92</v>
      </c>
      <c r="AF500" s="269" t="s">
        <v>92</v>
      </c>
      <c r="AG500" s="41" t="s">
        <v>1013</v>
      </c>
      <c r="AH500" s="185" t="s">
        <v>871</v>
      </c>
      <c r="AI500" s="42" t="s">
        <v>872</v>
      </c>
      <c r="AJ500" s="1" t="s">
        <v>98</v>
      </c>
      <c r="AK500" s="1" t="s">
        <v>98</v>
      </c>
      <c r="AL500" s="1" t="s">
        <v>98</v>
      </c>
      <c r="AM500" s="1" t="s">
        <v>98</v>
      </c>
      <c r="AN500" s="185"/>
    </row>
    <row r="501" spans="1:40">
      <c r="A501" s="422" t="s">
        <v>1018</v>
      </c>
      <c r="B501" s="189" t="s">
        <v>1019</v>
      </c>
      <c r="C501" s="87">
        <v>1</v>
      </c>
      <c r="D501" s="88" t="s">
        <v>90</v>
      </c>
      <c r="E501" s="47">
        <v>575</v>
      </c>
      <c r="F501" s="77">
        <f>rv_im21_hg_cto</f>
        <v>0.17199999999999999</v>
      </c>
      <c r="G501" s="27">
        <f t="shared" si="103"/>
        <v>476.1</v>
      </c>
      <c r="H501" s="108"/>
      <c r="I501" s="269"/>
      <c r="J501" s="269"/>
      <c r="K501" s="109"/>
      <c r="L501" s="269"/>
      <c r="M501" s="1045" t="s">
        <v>1013</v>
      </c>
      <c r="N501" s="1049" t="s">
        <v>871</v>
      </c>
      <c r="O501" s="1059" t="s">
        <v>872</v>
      </c>
      <c r="P501" s="1" t="str">
        <f t="shared" si="102"/>
        <v/>
      </c>
      <c r="Q501" s="1" t="str">
        <f t="shared" si="102"/>
        <v/>
      </c>
      <c r="R501" s="1" t="str">
        <f t="shared" si="102"/>
        <v/>
      </c>
      <c r="S501" s="1" t="str">
        <f t="shared" si="102"/>
        <v/>
      </c>
      <c r="T501" s="422" t="s">
        <v>1018</v>
      </c>
      <c r="U501" s="189" t="s">
        <v>1019</v>
      </c>
      <c r="V501" s="87">
        <v>1</v>
      </c>
      <c r="W501" s="88" t="s">
        <v>90</v>
      </c>
      <c r="X501" s="208" t="s">
        <v>92</v>
      </c>
      <c r="Y501" s="47">
        <v>575</v>
      </c>
      <c r="Z501" s="77">
        <v>0.17199999999999999</v>
      </c>
      <c r="AA501" s="27">
        <v>476.1</v>
      </c>
      <c r="AB501" s="108"/>
      <c r="AC501" s="269"/>
      <c r="AD501" s="269"/>
      <c r="AE501" s="109" t="s">
        <v>92</v>
      </c>
      <c r="AF501" s="269" t="s">
        <v>92</v>
      </c>
      <c r="AG501" s="41" t="s">
        <v>1013</v>
      </c>
      <c r="AH501" s="185" t="s">
        <v>871</v>
      </c>
      <c r="AI501" s="42" t="s">
        <v>872</v>
      </c>
      <c r="AJ501" s="1" t="s">
        <v>98</v>
      </c>
      <c r="AK501" s="1" t="s">
        <v>98</v>
      </c>
      <c r="AL501" s="1" t="s">
        <v>98</v>
      </c>
      <c r="AM501" s="1" t="s">
        <v>98</v>
      </c>
      <c r="AN501" s="185"/>
    </row>
    <row r="502" spans="1:40">
      <c r="A502" s="422" t="s">
        <v>1020</v>
      </c>
      <c r="B502" s="189" t="s">
        <v>1021</v>
      </c>
      <c r="C502" s="87">
        <v>1</v>
      </c>
      <c r="D502" s="88" t="s">
        <v>90</v>
      </c>
      <c r="E502" s="47">
        <v>41.67</v>
      </c>
      <c r="F502" s="77">
        <f>rv_im21_hg_cto</f>
        <v>0.17199999999999999</v>
      </c>
      <c r="G502" s="27">
        <f t="shared" si="103"/>
        <v>34.502760000000002</v>
      </c>
      <c r="H502" s="108"/>
      <c r="I502" s="269"/>
      <c r="J502" s="269"/>
      <c r="K502" s="109"/>
      <c r="L502" s="269"/>
      <c r="M502" s="1045" t="s">
        <v>1013</v>
      </c>
      <c r="N502" s="1049" t="s">
        <v>871</v>
      </c>
      <c r="O502" s="1059" t="s">
        <v>872</v>
      </c>
      <c r="P502" s="1" t="str">
        <f t="shared" si="102"/>
        <v/>
      </c>
      <c r="Q502" s="1" t="str">
        <f t="shared" si="102"/>
        <v/>
      </c>
      <c r="R502" s="1" t="str">
        <f t="shared" si="102"/>
        <v/>
      </c>
      <c r="S502" s="1" t="str">
        <f t="shared" si="102"/>
        <v/>
      </c>
      <c r="T502" s="422" t="s">
        <v>1020</v>
      </c>
      <c r="U502" s="189" t="s">
        <v>1021</v>
      </c>
      <c r="V502" s="87">
        <v>1</v>
      </c>
      <c r="W502" s="88" t="s">
        <v>90</v>
      </c>
      <c r="X502" s="208" t="s">
        <v>92</v>
      </c>
      <c r="Y502" s="47">
        <v>41.67</v>
      </c>
      <c r="Z502" s="77">
        <v>0.17199999999999999</v>
      </c>
      <c r="AA502" s="27">
        <v>34.502760000000002</v>
      </c>
      <c r="AB502" s="108"/>
      <c r="AC502" s="269"/>
      <c r="AD502" s="269"/>
      <c r="AE502" s="109" t="s">
        <v>92</v>
      </c>
      <c r="AF502" s="269" t="s">
        <v>92</v>
      </c>
      <c r="AG502" s="41" t="s">
        <v>1013</v>
      </c>
      <c r="AH502" s="185" t="s">
        <v>871</v>
      </c>
      <c r="AI502" s="42" t="s">
        <v>872</v>
      </c>
      <c r="AJ502" s="1" t="s">
        <v>98</v>
      </c>
      <c r="AK502" s="1" t="s">
        <v>98</v>
      </c>
      <c r="AL502" s="1" t="s">
        <v>98</v>
      </c>
      <c r="AM502" s="1" t="s">
        <v>98</v>
      </c>
      <c r="AN502" s="185"/>
    </row>
    <row r="503" spans="1:40">
      <c r="A503" s="422" t="s">
        <v>1022</v>
      </c>
      <c r="B503" s="189" t="s">
        <v>1023</v>
      </c>
      <c r="C503" s="87">
        <v>1</v>
      </c>
      <c r="D503" s="88" t="s">
        <v>90</v>
      </c>
      <c r="E503" s="47">
        <v>112.5</v>
      </c>
      <c r="F503" s="77">
        <f>rv_im21_hg_cto</f>
        <v>0.17199999999999999</v>
      </c>
      <c r="G503" s="27">
        <f t="shared" si="103"/>
        <v>93.15</v>
      </c>
      <c r="H503" s="108"/>
      <c r="I503" s="269"/>
      <c r="J503" s="269"/>
      <c r="K503" s="109"/>
      <c r="L503" s="269"/>
      <c r="M503" s="1045" t="s">
        <v>1013</v>
      </c>
      <c r="N503" s="1049" t="s">
        <v>871</v>
      </c>
      <c r="O503" s="1059" t="s">
        <v>872</v>
      </c>
      <c r="P503" s="1" t="str">
        <f t="shared" si="102"/>
        <v/>
      </c>
      <c r="Q503" s="1" t="str">
        <f t="shared" si="102"/>
        <v/>
      </c>
      <c r="R503" s="1" t="str">
        <f t="shared" si="102"/>
        <v/>
      </c>
      <c r="S503" s="1" t="str">
        <f t="shared" si="102"/>
        <v/>
      </c>
      <c r="T503" s="422" t="s">
        <v>1022</v>
      </c>
      <c r="U503" s="189" t="s">
        <v>1023</v>
      </c>
      <c r="V503" s="87">
        <v>1</v>
      </c>
      <c r="W503" s="88" t="s">
        <v>90</v>
      </c>
      <c r="X503" s="208" t="s">
        <v>92</v>
      </c>
      <c r="Y503" s="47">
        <v>112.5</v>
      </c>
      <c r="Z503" s="77">
        <v>0.17199999999999999</v>
      </c>
      <c r="AA503" s="27">
        <v>93.15</v>
      </c>
      <c r="AB503" s="108"/>
      <c r="AC503" s="269"/>
      <c r="AD503" s="269"/>
      <c r="AE503" s="109" t="s">
        <v>92</v>
      </c>
      <c r="AF503" s="269" t="s">
        <v>92</v>
      </c>
      <c r="AG503" s="41" t="s">
        <v>1013</v>
      </c>
      <c r="AH503" s="185" t="s">
        <v>871</v>
      </c>
      <c r="AI503" s="42" t="s">
        <v>872</v>
      </c>
      <c r="AJ503" s="1" t="s">
        <v>98</v>
      </c>
      <c r="AK503" s="1" t="s">
        <v>98</v>
      </c>
      <c r="AL503" s="1" t="s">
        <v>98</v>
      </c>
      <c r="AM503" s="1" t="s">
        <v>98</v>
      </c>
      <c r="AN503" s="185"/>
    </row>
    <row r="504" spans="1:40">
      <c r="A504" s="422" t="s">
        <v>1024</v>
      </c>
      <c r="B504" s="189" t="s">
        <v>1025</v>
      </c>
      <c r="C504" s="87">
        <v>1</v>
      </c>
      <c r="D504" s="88" t="s">
        <v>90</v>
      </c>
      <c r="E504" s="47">
        <v>0</v>
      </c>
      <c r="F504" s="77"/>
      <c r="G504" s="27">
        <f t="shared" si="103"/>
        <v>0</v>
      </c>
      <c r="H504" s="108"/>
      <c r="I504" s="269"/>
      <c r="J504" s="269"/>
      <c r="K504" s="109"/>
      <c r="L504" s="269"/>
      <c r="M504" s="1045" t="s">
        <v>1013</v>
      </c>
      <c r="N504" s="1049" t="s">
        <v>871</v>
      </c>
      <c r="O504" s="1059" t="s">
        <v>872</v>
      </c>
      <c r="P504" s="1" t="str">
        <f t="shared" si="102"/>
        <v/>
      </c>
      <c r="Q504" s="1" t="str">
        <f t="shared" si="102"/>
        <v/>
      </c>
      <c r="R504" s="1" t="str">
        <f t="shared" si="102"/>
        <v/>
      </c>
      <c r="S504" s="1" t="str">
        <f t="shared" si="102"/>
        <v/>
      </c>
      <c r="T504" s="422" t="s">
        <v>1024</v>
      </c>
      <c r="U504" s="189" t="s">
        <v>1025</v>
      </c>
      <c r="V504" s="87">
        <v>1</v>
      </c>
      <c r="W504" s="88" t="s">
        <v>90</v>
      </c>
      <c r="X504" s="208" t="s">
        <v>92</v>
      </c>
      <c r="Y504" s="47">
        <v>0</v>
      </c>
      <c r="Z504" s="77"/>
      <c r="AA504" s="27">
        <v>0</v>
      </c>
      <c r="AB504" s="108"/>
      <c r="AC504" s="269"/>
      <c r="AD504" s="269"/>
      <c r="AE504" s="109" t="s">
        <v>92</v>
      </c>
      <c r="AF504" s="269" t="s">
        <v>92</v>
      </c>
      <c r="AG504" s="41" t="s">
        <v>1013</v>
      </c>
      <c r="AH504" s="185" t="s">
        <v>871</v>
      </c>
      <c r="AI504" s="42" t="s">
        <v>872</v>
      </c>
      <c r="AJ504" s="1" t="s">
        <v>98</v>
      </c>
      <c r="AK504" s="1" t="s">
        <v>98</v>
      </c>
      <c r="AL504" s="1" t="s">
        <v>98</v>
      </c>
      <c r="AM504" s="1" t="s">
        <v>98</v>
      </c>
      <c r="AN504" s="185"/>
    </row>
    <row r="505" spans="1:40">
      <c r="A505" s="421" t="s">
        <v>1026</v>
      </c>
      <c r="B505" s="189" t="s">
        <v>1027</v>
      </c>
      <c r="C505" s="87">
        <v>1</v>
      </c>
      <c r="D505" s="88" t="s">
        <v>90</v>
      </c>
      <c r="E505" s="47">
        <v>0</v>
      </c>
      <c r="F505" s="77"/>
      <c r="G505" s="27">
        <f t="shared" si="103"/>
        <v>0</v>
      </c>
      <c r="H505" s="108"/>
      <c r="I505" s="269"/>
      <c r="J505" s="269"/>
      <c r="K505" s="109"/>
      <c r="L505" s="269"/>
      <c r="M505" s="1045" t="s">
        <v>1013</v>
      </c>
      <c r="N505" s="1049" t="s">
        <v>871</v>
      </c>
      <c r="O505" s="1059" t="s">
        <v>872</v>
      </c>
      <c r="P505" s="1" t="str">
        <f t="shared" si="102"/>
        <v/>
      </c>
      <c r="Q505" s="1" t="str">
        <f t="shared" si="102"/>
        <v/>
      </c>
      <c r="R505" s="1" t="str">
        <f t="shared" si="102"/>
        <v/>
      </c>
      <c r="S505" s="1" t="str">
        <f t="shared" si="102"/>
        <v/>
      </c>
      <c r="T505" s="421" t="s">
        <v>1026</v>
      </c>
      <c r="U505" s="189" t="s">
        <v>1027</v>
      </c>
      <c r="V505" s="87">
        <v>1</v>
      </c>
      <c r="W505" s="88" t="s">
        <v>90</v>
      </c>
      <c r="X505" s="208" t="s">
        <v>92</v>
      </c>
      <c r="Y505" s="47">
        <v>0</v>
      </c>
      <c r="Z505" s="77"/>
      <c r="AA505" s="27">
        <v>0</v>
      </c>
      <c r="AB505" s="108"/>
      <c r="AC505" s="269"/>
      <c r="AD505" s="269"/>
      <c r="AE505" s="109" t="s">
        <v>92</v>
      </c>
      <c r="AF505" s="269" t="s">
        <v>92</v>
      </c>
      <c r="AG505" s="41" t="s">
        <v>1013</v>
      </c>
      <c r="AH505" s="185" t="s">
        <v>871</v>
      </c>
      <c r="AI505" s="42" t="s">
        <v>872</v>
      </c>
      <c r="AJ505" s="1" t="s">
        <v>98</v>
      </c>
      <c r="AK505" s="1" t="s">
        <v>98</v>
      </c>
      <c r="AL505" s="1" t="s">
        <v>98</v>
      </c>
      <c r="AM505" s="1" t="s">
        <v>98</v>
      </c>
      <c r="AN505" s="185"/>
    </row>
    <row r="506" spans="1:40">
      <c r="A506" s="422" t="s">
        <v>1028</v>
      </c>
      <c r="B506" s="189" t="s">
        <v>1029</v>
      </c>
      <c r="C506" s="87">
        <v>1</v>
      </c>
      <c r="D506" s="88" t="s">
        <v>90</v>
      </c>
      <c r="E506" s="47">
        <v>21.67</v>
      </c>
      <c r="F506" s="77">
        <f>rv_im21_hg_cto</f>
        <v>0.17199999999999999</v>
      </c>
      <c r="G506" s="27">
        <f t="shared" si="103"/>
        <v>17.94276</v>
      </c>
      <c r="H506" s="108"/>
      <c r="I506" s="269"/>
      <c r="J506" s="269"/>
      <c r="K506" s="109"/>
      <c r="L506" s="269"/>
      <c r="M506" s="1045" t="s">
        <v>1013</v>
      </c>
      <c r="N506" s="1049" t="s">
        <v>871</v>
      </c>
      <c r="O506" s="1059" t="s">
        <v>872</v>
      </c>
      <c r="P506" s="1" t="str">
        <f t="shared" si="102"/>
        <v/>
      </c>
      <c r="Q506" s="1" t="str">
        <f t="shared" si="102"/>
        <v/>
      </c>
      <c r="R506" s="1" t="str">
        <f t="shared" si="102"/>
        <v/>
      </c>
      <c r="S506" s="1" t="str">
        <f t="shared" si="102"/>
        <v/>
      </c>
      <c r="T506" s="422" t="s">
        <v>1028</v>
      </c>
      <c r="U506" s="189" t="s">
        <v>1029</v>
      </c>
      <c r="V506" s="87">
        <v>1</v>
      </c>
      <c r="W506" s="88" t="s">
        <v>90</v>
      </c>
      <c r="X506" s="208" t="s">
        <v>92</v>
      </c>
      <c r="Y506" s="47">
        <v>21.67</v>
      </c>
      <c r="Z506" s="77">
        <v>0.17199999999999999</v>
      </c>
      <c r="AA506" s="27">
        <v>17.94276</v>
      </c>
      <c r="AB506" s="108"/>
      <c r="AC506" s="269"/>
      <c r="AD506" s="269"/>
      <c r="AE506" s="109" t="s">
        <v>92</v>
      </c>
      <c r="AF506" s="269" t="s">
        <v>92</v>
      </c>
      <c r="AG506" s="41" t="s">
        <v>1013</v>
      </c>
      <c r="AH506" s="185" t="s">
        <v>871</v>
      </c>
      <c r="AI506" s="42" t="s">
        <v>872</v>
      </c>
      <c r="AJ506" s="1" t="s">
        <v>98</v>
      </c>
      <c r="AK506" s="1" t="s">
        <v>98</v>
      </c>
      <c r="AL506" s="1" t="s">
        <v>98</v>
      </c>
      <c r="AM506" s="1" t="s">
        <v>98</v>
      </c>
      <c r="AN506" s="185"/>
    </row>
    <row r="507" spans="1:40">
      <c r="A507" s="422" t="s">
        <v>1030</v>
      </c>
      <c r="B507" s="189" t="s">
        <v>1031</v>
      </c>
      <c r="C507" s="87">
        <v>1</v>
      </c>
      <c r="D507" s="88" t="s">
        <v>90</v>
      </c>
      <c r="E507" s="47">
        <v>21.67</v>
      </c>
      <c r="F507" s="77">
        <f>rv_im21_hg_cto</f>
        <v>0.17199999999999999</v>
      </c>
      <c r="G507" s="27">
        <f t="shared" si="103"/>
        <v>17.94276</v>
      </c>
      <c r="H507" s="108"/>
      <c r="I507" s="269"/>
      <c r="J507" s="269"/>
      <c r="K507" s="109"/>
      <c r="L507" s="269"/>
      <c r="M507" s="1045" t="s">
        <v>1013</v>
      </c>
      <c r="N507" s="1049" t="s">
        <v>871</v>
      </c>
      <c r="O507" s="1059" t="s">
        <v>872</v>
      </c>
      <c r="P507" s="1" t="str">
        <f t="shared" si="102"/>
        <v/>
      </c>
      <c r="Q507" s="1" t="str">
        <f t="shared" si="102"/>
        <v/>
      </c>
      <c r="R507" s="1" t="str">
        <f t="shared" si="102"/>
        <v/>
      </c>
      <c r="S507" s="1" t="str">
        <f t="shared" si="102"/>
        <v/>
      </c>
      <c r="T507" s="422" t="s">
        <v>1030</v>
      </c>
      <c r="U507" s="189" t="s">
        <v>1031</v>
      </c>
      <c r="V507" s="87">
        <v>1</v>
      </c>
      <c r="W507" s="88" t="s">
        <v>90</v>
      </c>
      <c r="X507" s="208" t="s">
        <v>92</v>
      </c>
      <c r="Y507" s="47">
        <v>21.67</v>
      </c>
      <c r="Z507" s="77">
        <v>0.17199999999999999</v>
      </c>
      <c r="AA507" s="27">
        <v>17.94276</v>
      </c>
      <c r="AB507" s="108"/>
      <c r="AC507" s="269"/>
      <c r="AD507" s="269"/>
      <c r="AE507" s="109" t="s">
        <v>92</v>
      </c>
      <c r="AF507" s="269" t="s">
        <v>92</v>
      </c>
      <c r="AG507" s="41" t="s">
        <v>1013</v>
      </c>
      <c r="AH507" s="185" t="s">
        <v>871</v>
      </c>
      <c r="AI507" s="42" t="s">
        <v>872</v>
      </c>
      <c r="AJ507" s="1" t="s">
        <v>98</v>
      </c>
      <c r="AK507" s="1" t="s">
        <v>98</v>
      </c>
      <c r="AL507" s="1" t="s">
        <v>98</v>
      </c>
      <c r="AM507" s="1" t="s">
        <v>98</v>
      </c>
      <c r="AN507" s="185"/>
    </row>
    <row r="508" spans="1:40">
      <c r="A508" s="421" t="s">
        <v>1032</v>
      </c>
      <c r="B508" s="189" t="s">
        <v>1033</v>
      </c>
      <c r="C508" s="87">
        <v>1</v>
      </c>
      <c r="D508" s="88" t="s">
        <v>90</v>
      </c>
      <c r="E508" s="47">
        <v>21.67</v>
      </c>
      <c r="F508" s="77">
        <f>rv_im21_hg_cto</f>
        <v>0.17199999999999999</v>
      </c>
      <c r="G508" s="27">
        <f t="shared" si="103"/>
        <v>17.94276</v>
      </c>
      <c r="H508" s="108"/>
      <c r="I508" s="269"/>
      <c r="J508" s="269"/>
      <c r="K508" s="109"/>
      <c r="L508" s="269"/>
      <c r="M508" s="1045" t="s">
        <v>1013</v>
      </c>
      <c r="N508" s="1049" t="s">
        <v>871</v>
      </c>
      <c r="O508" s="1059" t="s">
        <v>872</v>
      </c>
      <c r="P508" s="1" t="str">
        <f t="shared" ref="P508:S523" si="104">+IF($J508&lt;&gt;"",P$2*$J508,"")</f>
        <v/>
      </c>
      <c r="Q508" s="1" t="str">
        <f t="shared" si="104"/>
        <v/>
      </c>
      <c r="R508" s="1" t="str">
        <f t="shared" si="104"/>
        <v/>
      </c>
      <c r="S508" s="1" t="str">
        <f t="shared" si="104"/>
        <v/>
      </c>
      <c r="T508" s="421" t="s">
        <v>1032</v>
      </c>
      <c r="U508" s="189" t="s">
        <v>1033</v>
      </c>
      <c r="V508" s="87">
        <v>1</v>
      </c>
      <c r="W508" s="88" t="s">
        <v>90</v>
      </c>
      <c r="X508" s="208" t="s">
        <v>92</v>
      </c>
      <c r="Y508" s="47">
        <v>21.67</v>
      </c>
      <c r="Z508" s="77">
        <v>0.17199999999999999</v>
      </c>
      <c r="AA508" s="27">
        <v>17.94276</v>
      </c>
      <c r="AB508" s="108"/>
      <c r="AC508" s="269"/>
      <c r="AD508" s="269"/>
      <c r="AE508" s="109" t="s">
        <v>92</v>
      </c>
      <c r="AF508" s="269" t="s">
        <v>92</v>
      </c>
      <c r="AG508" s="41" t="s">
        <v>1013</v>
      </c>
      <c r="AH508" s="185" t="s">
        <v>871</v>
      </c>
      <c r="AI508" s="42" t="s">
        <v>872</v>
      </c>
      <c r="AJ508" s="1" t="s">
        <v>98</v>
      </c>
      <c r="AK508" s="1" t="s">
        <v>98</v>
      </c>
      <c r="AL508" s="1" t="s">
        <v>98</v>
      </c>
      <c r="AM508" s="1" t="s">
        <v>98</v>
      </c>
      <c r="AN508" s="185"/>
    </row>
    <row r="509" spans="1:40">
      <c r="A509" s="457" t="s">
        <v>955</v>
      </c>
      <c r="B509" s="79" t="s">
        <v>1034</v>
      </c>
      <c r="C509" s="80">
        <v>1</v>
      </c>
      <c r="D509" s="123" t="s">
        <v>114</v>
      </c>
      <c r="E509" s="601">
        <v>57.97</v>
      </c>
      <c r="F509" s="214">
        <f>rv_im21_hg</f>
        <v>0.17199999999999999</v>
      </c>
      <c r="G509" s="145">
        <f t="shared" si="103"/>
        <v>47.999160000000003</v>
      </c>
      <c r="H509" s="120"/>
      <c r="I509" s="76"/>
      <c r="J509" s="76"/>
      <c r="K509" s="109"/>
      <c r="L509" s="269"/>
      <c r="M509" s="1045" t="s">
        <v>115</v>
      </c>
      <c r="N509" s="1049" t="s">
        <v>116</v>
      </c>
      <c r="O509" s="1059" t="s">
        <v>884</v>
      </c>
      <c r="P509" s="1" t="str">
        <f t="shared" si="104"/>
        <v/>
      </c>
      <c r="Q509" s="1" t="str">
        <f t="shared" si="104"/>
        <v/>
      </c>
      <c r="R509" s="1" t="str">
        <f t="shared" si="104"/>
        <v/>
      </c>
      <c r="S509" s="1" t="str">
        <f t="shared" si="104"/>
        <v/>
      </c>
      <c r="T509" s="457" t="s">
        <v>955</v>
      </c>
      <c r="U509" s="79" t="s">
        <v>1034</v>
      </c>
      <c r="V509" s="80">
        <v>1</v>
      </c>
      <c r="W509" s="123" t="s">
        <v>114</v>
      </c>
      <c r="X509" s="122" t="s">
        <v>955</v>
      </c>
      <c r="Y509" s="601">
        <v>57.97</v>
      </c>
      <c r="Z509" s="214">
        <v>0.17199999999999999</v>
      </c>
      <c r="AA509" s="145">
        <v>47.999160000000003</v>
      </c>
      <c r="AB509" s="120"/>
      <c r="AC509" s="76"/>
      <c r="AD509" s="76"/>
      <c r="AE509" s="109" t="s">
        <v>92</v>
      </c>
      <c r="AF509" s="269" t="s">
        <v>92</v>
      </c>
      <c r="AG509" s="41" t="s">
        <v>115</v>
      </c>
      <c r="AH509" s="185" t="s">
        <v>116</v>
      </c>
      <c r="AI509" s="42" t="s">
        <v>884</v>
      </c>
      <c r="AJ509" s="1" t="s">
        <v>98</v>
      </c>
      <c r="AK509" s="1" t="s">
        <v>98</v>
      </c>
      <c r="AL509" s="1" t="s">
        <v>98</v>
      </c>
      <c r="AM509" s="1" t="s">
        <v>98</v>
      </c>
      <c r="AN509" s="185"/>
    </row>
    <row r="510" spans="1:40">
      <c r="A510" s="421" t="s">
        <v>1035</v>
      </c>
      <c r="B510" s="110" t="s">
        <v>1036</v>
      </c>
      <c r="C510" s="26">
        <v>1</v>
      </c>
      <c r="D510" s="46" t="s">
        <v>114</v>
      </c>
      <c r="E510" s="47"/>
      <c r="F510" s="21"/>
      <c r="G510" s="145">
        <v>12</v>
      </c>
      <c r="H510" s="108"/>
      <c r="I510" s="269"/>
      <c r="J510" s="269"/>
      <c r="K510" s="109"/>
      <c r="L510" s="269"/>
      <c r="M510" s="1045" t="s">
        <v>115</v>
      </c>
      <c r="N510" s="1049" t="s">
        <v>116</v>
      </c>
      <c r="O510" s="1059" t="s">
        <v>884</v>
      </c>
      <c r="P510" s="1" t="str">
        <f t="shared" si="104"/>
        <v/>
      </c>
      <c r="Q510" s="1" t="str">
        <f t="shared" si="104"/>
        <v/>
      </c>
      <c r="R510" s="1" t="str">
        <f t="shared" si="104"/>
        <v/>
      </c>
      <c r="S510" s="1" t="str">
        <f t="shared" si="104"/>
        <v/>
      </c>
      <c r="T510" s="421" t="s">
        <v>1035</v>
      </c>
      <c r="U510" s="110" t="s">
        <v>1037</v>
      </c>
      <c r="V510" s="26">
        <v>1</v>
      </c>
      <c r="W510" s="46" t="s">
        <v>114</v>
      </c>
      <c r="X510" s="104" t="s">
        <v>1035</v>
      </c>
      <c r="Y510" s="47"/>
      <c r="Z510" s="21"/>
      <c r="AA510" s="145">
        <v>12</v>
      </c>
      <c r="AB510" s="108"/>
      <c r="AC510" s="269"/>
      <c r="AD510" s="269"/>
      <c r="AE510" s="109" t="s">
        <v>92</v>
      </c>
      <c r="AF510" s="269" t="s">
        <v>92</v>
      </c>
      <c r="AG510" s="41" t="s">
        <v>115</v>
      </c>
      <c r="AH510" s="185" t="s">
        <v>116</v>
      </c>
      <c r="AI510" s="42" t="s">
        <v>884</v>
      </c>
      <c r="AJ510" s="1" t="s">
        <v>98</v>
      </c>
      <c r="AK510" s="1" t="s">
        <v>98</v>
      </c>
      <c r="AL510" s="1" t="s">
        <v>98</v>
      </c>
      <c r="AM510" s="1" t="s">
        <v>98</v>
      </c>
      <c r="AN510" s="185"/>
    </row>
    <row r="511" spans="1:40">
      <c r="A511" s="421" t="s">
        <v>1038</v>
      </c>
      <c r="B511" s="110" t="s">
        <v>1039</v>
      </c>
      <c r="C511" s="26">
        <v>1</v>
      </c>
      <c r="D511" s="46" t="s">
        <v>114</v>
      </c>
      <c r="E511" s="47"/>
      <c r="F511" s="21"/>
      <c r="G511" s="145">
        <v>17</v>
      </c>
      <c r="H511" s="108"/>
      <c r="I511" s="269"/>
      <c r="J511" s="269"/>
      <c r="K511" s="109"/>
      <c r="L511" s="269"/>
      <c r="M511" s="1045" t="s">
        <v>115</v>
      </c>
      <c r="N511" s="1049" t="s">
        <v>116</v>
      </c>
      <c r="O511" s="1059" t="s">
        <v>884</v>
      </c>
      <c r="P511" s="1" t="str">
        <f t="shared" si="104"/>
        <v/>
      </c>
      <c r="Q511" s="1" t="str">
        <f t="shared" si="104"/>
        <v/>
      </c>
      <c r="R511" s="1" t="str">
        <f t="shared" si="104"/>
        <v/>
      </c>
      <c r="S511" s="1" t="str">
        <f t="shared" si="104"/>
        <v/>
      </c>
      <c r="T511" s="421" t="s">
        <v>1038</v>
      </c>
      <c r="U511" s="110" t="s">
        <v>1040</v>
      </c>
      <c r="V511" s="26">
        <v>1</v>
      </c>
      <c r="W511" s="46" t="s">
        <v>114</v>
      </c>
      <c r="X511" s="104" t="s">
        <v>1038</v>
      </c>
      <c r="Y511" s="47"/>
      <c r="Z511" s="21"/>
      <c r="AA511" s="145">
        <v>17</v>
      </c>
      <c r="AB511" s="108"/>
      <c r="AC511" s="269"/>
      <c r="AD511" s="269"/>
      <c r="AE511" s="109" t="s">
        <v>92</v>
      </c>
      <c r="AF511" s="269" t="s">
        <v>92</v>
      </c>
      <c r="AG511" s="41" t="s">
        <v>115</v>
      </c>
      <c r="AH511" s="185" t="s">
        <v>116</v>
      </c>
      <c r="AI511" s="42" t="s">
        <v>884</v>
      </c>
      <c r="AJ511" s="1" t="s">
        <v>98</v>
      </c>
      <c r="AK511" s="1" t="s">
        <v>98</v>
      </c>
      <c r="AL511" s="1" t="s">
        <v>98</v>
      </c>
      <c r="AM511" s="1" t="s">
        <v>98</v>
      </c>
      <c r="AN511" s="185"/>
    </row>
    <row r="512" spans="1:40">
      <c r="A512" s="421" t="s">
        <v>1041</v>
      </c>
      <c r="B512" s="110" t="s">
        <v>1042</v>
      </c>
      <c r="C512" s="26">
        <v>1</v>
      </c>
      <c r="D512" s="46" t="s">
        <v>114</v>
      </c>
      <c r="E512" s="47"/>
      <c r="F512" s="21"/>
      <c r="G512" s="145">
        <v>23</v>
      </c>
      <c r="H512" s="108"/>
      <c r="I512" s="269"/>
      <c r="J512" s="269"/>
      <c r="K512" s="109"/>
      <c r="L512" s="269"/>
      <c r="M512" s="1045" t="s">
        <v>115</v>
      </c>
      <c r="N512" s="1049" t="s">
        <v>116</v>
      </c>
      <c r="O512" s="1059" t="s">
        <v>884</v>
      </c>
      <c r="P512" s="1" t="str">
        <f t="shared" si="104"/>
        <v/>
      </c>
      <c r="Q512" s="1" t="str">
        <f t="shared" si="104"/>
        <v/>
      </c>
      <c r="R512" s="1" t="str">
        <f t="shared" si="104"/>
        <v/>
      </c>
      <c r="S512" s="1" t="str">
        <f t="shared" si="104"/>
        <v/>
      </c>
      <c r="T512" s="421" t="s">
        <v>1041</v>
      </c>
      <c r="U512" s="110" t="s">
        <v>1043</v>
      </c>
      <c r="V512" s="26">
        <v>1</v>
      </c>
      <c r="W512" s="46" t="s">
        <v>114</v>
      </c>
      <c r="X512" s="104" t="s">
        <v>1041</v>
      </c>
      <c r="Y512" s="47"/>
      <c r="Z512" s="21"/>
      <c r="AA512" s="145">
        <v>23</v>
      </c>
      <c r="AB512" s="108"/>
      <c r="AC512" s="269"/>
      <c r="AD512" s="269"/>
      <c r="AE512" s="109" t="s">
        <v>92</v>
      </c>
      <c r="AF512" s="269" t="s">
        <v>92</v>
      </c>
      <c r="AG512" s="41" t="s">
        <v>115</v>
      </c>
      <c r="AH512" s="185" t="s">
        <v>116</v>
      </c>
      <c r="AI512" s="42" t="s">
        <v>884</v>
      </c>
      <c r="AJ512" s="1" t="s">
        <v>98</v>
      </c>
      <c r="AK512" s="1" t="s">
        <v>98</v>
      </c>
      <c r="AL512" s="1" t="s">
        <v>98</v>
      </c>
      <c r="AM512" s="1" t="s">
        <v>98</v>
      </c>
      <c r="AN512" s="185"/>
    </row>
    <row r="513" spans="1:40">
      <c r="A513" s="421" t="s">
        <v>1044</v>
      </c>
      <c r="B513" s="110" t="s">
        <v>1045</v>
      </c>
      <c r="C513" s="26">
        <v>1</v>
      </c>
      <c r="D513" s="46" t="s">
        <v>114</v>
      </c>
      <c r="E513" s="47"/>
      <c r="F513" s="21"/>
      <c r="G513" s="145">
        <v>21</v>
      </c>
      <c r="H513" s="108"/>
      <c r="I513" s="269"/>
      <c r="J513" s="269"/>
      <c r="K513" s="109"/>
      <c r="L513" s="269"/>
      <c r="M513" s="1045" t="s">
        <v>115</v>
      </c>
      <c r="N513" s="1049" t="s">
        <v>116</v>
      </c>
      <c r="O513" s="1059" t="s">
        <v>884</v>
      </c>
      <c r="P513" s="1" t="str">
        <f t="shared" si="104"/>
        <v/>
      </c>
      <c r="Q513" s="1" t="str">
        <f t="shared" si="104"/>
        <v/>
      </c>
      <c r="R513" s="1" t="str">
        <f t="shared" si="104"/>
        <v/>
      </c>
      <c r="S513" s="1" t="str">
        <f t="shared" si="104"/>
        <v/>
      </c>
      <c r="T513" s="421" t="s">
        <v>1044</v>
      </c>
      <c r="U513" s="110" t="s">
        <v>1046</v>
      </c>
      <c r="V513" s="26">
        <v>1</v>
      </c>
      <c r="W513" s="46" t="s">
        <v>114</v>
      </c>
      <c r="X513" s="104" t="s">
        <v>1044</v>
      </c>
      <c r="Y513" s="47"/>
      <c r="Z513" s="21"/>
      <c r="AA513" s="145">
        <v>21</v>
      </c>
      <c r="AB513" s="108"/>
      <c r="AC513" s="269"/>
      <c r="AD513" s="269"/>
      <c r="AE513" s="109" t="s">
        <v>92</v>
      </c>
      <c r="AF513" s="269" t="s">
        <v>92</v>
      </c>
      <c r="AG513" s="41" t="s">
        <v>115</v>
      </c>
      <c r="AH513" s="185" t="s">
        <v>116</v>
      </c>
      <c r="AI513" s="42" t="s">
        <v>884</v>
      </c>
      <c r="AJ513" s="1" t="s">
        <v>98</v>
      </c>
      <c r="AK513" s="1" t="s">
        <v>98</v>
      </c>
      <c r="AL513" s="1" t="s">
        <v>98</v>
      </c>
      <c r="AM513" s="1" t="s">
        <v>98</v>
      </c>
      <c r="AN513" s="185"/>
    </row>
    <row r="514" spans="1:40">
      <c r="A514" s="421" t="s">
        <v>1047</v>
      </c>
      <c r="B514" s="110" t="s">
        <v>1048</v>
      </c>
      <c r="C514" s="26">
        <v>1</v>
      </c>
      <c r="D514" s="46" t="s">
        <v>114</v>
      </c>
      <c r="E514" s="47"/>
      <c r="F514" s="21"/>
      <c r="G514" s="145">
        <v>30</v>
      </c>
      <c r="H514" s="108"/>
      <c r="I514" s="269"/>
      <c r="J514" s="269"/>
      <c r="K514" s="109"/>
      <c r="L514" s="269"/>
      <c r="M514" s="1045" t="s">
        <v>115</v>
      </c>
      <c r="N514" s="1049" t="s">
        <v>116</v>
      </c>
      <c r="O514" s="1059" t="s">
        <v>884</v>
      </c>
      <c r="P514" s="1" t="str">
        <f t="shared" si="104"/>
        <v/>
      </c>
      <c r="Q514" s="1" t="str">
        <f t="shared" si="104"/>
        <v/>
      </c>
      <c r="R514" s="1" t="str">
        <f t="shared" si="104"/>
        <v/>
      </c>
      <c r="S514" s="1" t="str">
        <f t="shared" si="104"/>
        <v/>
      </c>
      <c r="T514" s="421" t="s">
        <v>1047</v>
      </c>
      <c r="U514" s="110" t="s">
        <v>1049</v>
      </c>
      <c r="V514" s="26">
        <v>1</v>
      </c>
      <c r="W514" s="46" t="s">
        <v>114</v>
      </c>
      <c r="X514" s="104" t="s">
        <v>1047</v>
      </c>
      <c r="Y514" s="47"/>
      <c r="Z514" s="21"/>
      <c r="AA514" s="145">
        <v>30</v>
      </c>
      <c r="AB514" s="108"/>
      <c r="AC514" s="269"/>
      <c r="AD514" s="269"/>
      <c r="AE514" s="109" t="s">
        <v>92</v>
      </c>
      <c r="AF514" s="269" t="s">
        <v>92</v>
      </c>
      <c r="AG514" s="41" t="s">
        <v>115</v>
      </c>
      <c r="AH514" s="185" t="s">
        <v>116</v>
      </c>
      <c r="AI514" s="42" t="s">
        <v>884</v>
      </c>
      <c r="AJ514" s="1" t="s">
        <v>98</v>
      </c>
      <c r="AK514" s="1" t="s">
        <v>98</v>
      </c>
      <c r="AL514" s="1" t="s">
        <v>98</v>
      </c>
      <c r="AM514" s="1" t="s">
        <v>98</v>
      </c>
      <c r="AN514" s="185"/>
    </row>
    <row r="515" spans="1:40">
      <c r="A515" s="421" t="s">
        <v>1050</v>
      </c>
      <c r="B515" s="110" t="s">
        <v>1051</v>
      </c>
      <c r="C515" s="26">
        <v>1</v>
      </c>
      <c r="D515" s="46" t="s">
        <v>114</v>
      </c>
      <c r="E515" s="47"/>
      <c r="F515" s="21"/>
      <c r="G515" s="145">
        <v>36</v>
      </c>
      <c r="H515" s="108"/>
      <c r="I515" s="269"/>
      <c r="J515" s="269"/>
      <c r="K515" s="109"/>
      <c r="L515" s="269"/>
      <c r="M515" s="1045" t="s">
        <v>115</v>
      </c>
      <c r="N515" s="1049" t="s">
        <v>116</v>
      </c>
      <c r="O515" s="1059" t="s">
        <v>884</v>
      </c>
      <c r="P515" s="1" t="str">
        <f t="shared" si="104"/>
        <v/>
      </c>
      <c r="Q515" s="1" t="str">
        <f t="shared" si="104"/>
        <v/>
      </c>
      <c r="R515" s="1" t="str">
        <f t="shared" si="104"/>
        <v/>
      </c>
      <c r="S515" s="1" t="str">
        <f t="shared" si="104"/>
        <v/>
      </c>
      <c r="T515" s="421" t="s">
        <v>1050</v>
      </c>
      <c r="U515" s="110" t="s">
        <v>1052</v>
      </c>
      <c r="V515" s="26">
        <v>1</v>
      </c>
      <c r="W515" s="46" t="s">
        <v>114</v>
      </c>
      <c r="X515" s="104" t="s">
        <v>1050</v>
      </c>
      <c r="Y515" s="47"/>
      <c r="Z515" s="21"/>
      <c r="AA515" s="145">
        <v>36</v>
      </c>
      <c r="AB515" s="108"/>
      <c r="AC515" s="269"/>
      <c r="AD515" s="269"/>
      <c r="AE515" s="109" t="s">
        <v>92</v>
      </c>
      <c r="AF515" s="269" t="s">
        <v>92</v>
      </c>
      <c r="AG515" s="41" t="s">
        <v>115</v>
      </c>
      <c r="AH515" s="185" t="s">
        <v>116</v>
      </c>
      <c r="AI515" s="42" t="s">
        <v>884</v>
      </c>
      <c r="AJ515" s="1" t="s">
        <v>98</v>
      </c>
      <c r="AK515" s="1" t="s">
        <v>98</v>
      </c>
      <c r="AL515" s="1" t="s">
        <v>98</v>
      </c>
      <c r="AM515" s="1" t="s">
        <v>98</v>
      </c>
      <c r="AN515" s="185"/>
    </row>
    <row r="516" spans="1:40">
      <c r="A516" s="421" t="s">
        <v>1053</v>
      </c>
      <c r="B516" s="110" t="s">
        <v>1054</v>
      </c>
      <c r="C516" s="26">
        <v>1</v>
      </c>
      <c r="D516" s="46" t="s">
        <v>114</v>
      </c>
      <c r="E516" s="47"/>
      <c r="F516" s="21"/>
      <c r="G516" s="145">
        <v>37</v>
      </c>
      <c r="H516" s="108"/>
      <c r="I516" s="269"/>
      <c r="J516" s="269"/>
      <c r="K516" s="109"/>
      <c r="L516" s="269"/>
      <c r="M516" s="1045" t="s">
        <v>115</v>
      </c>
      <c r="N516" s="1049" t="s">
        <v>116</v>
      </c>
      <c r="O516" s="1059" t="s">
        <v>884</v>
      </c>
      <c r="P516" s="1" t="str">
        <f t="shared" si="104"/>
        <v/>
      </c>
      <c r="Q516" s="1" t="str">
        <f t="shared" si="104"/>
        <v/>
      </c>
      <c r="R516" s="1" t="str">
        <f t="shared" si="104"/>
        <v/>
      </c>
      <c r="S516" s="1" t="str">
        <f t="shared" si="104"/>
        <v/>
      </c>
      <c r="T516" s="421" t="s">
        <v>1053</v>
      </c>
      <c r="U516" s="110" t="s">
        <v>1055</v>
      </c>
      <c r="V516" s="26">
        <v>1</v>
      </c>
      <c r="W516" s="46" t="s">
        <v>114</v>
      </c>
      <c r="X516" s="104" t="s">
        <v>1053</v>
      </c>
      <c r="Y516" s="47"/>
      <c r="Z516" s="21"/>
      <c r="AA516" s="145">
        <v>37</v>
      </c>
      <c r="AB516" s="108"/>
      <c r="AC516" s="269"/>
      <c r="AD516" s="269"/>
      <c r="AE516" s="109" t="s">
        <v>92</v>
      </c>
      <c r="AF516" s="269" t="s">
        <v>92</v>
      </c>
      <c r="AG516" s="41" t="s">
        <v>115</v>
      </c>
      <c r="AH516" s="185" t="s">
        <v>116</v>
      </c>
      <c r="AI516" s="42" t="s">
        <v>884</v>
      </c>
      <c r="AJ516" s="1" t="s">
        <v>98</v>
      </c>
      <c r="AK516" s="1" t="s">
        <v>98</v>
      </c>
      <c r="AL516" s="1" t="s">
        <v>98</v>
      </c>
      <c r="AM516" s="1" t="s">
        <v>98</v>
      </c>
      <c r="AN516" s="185"/>
    </row>
    <row r="517" spans="1:40">
      <c r="A517" s="421" t="s">
        <v>1056</v>
      </c>
      <c r="B517" s="110" t="s">
        <v>1057</v>
      </c>
      <c r="C517" s="26">
        <v>1</v>
      </c>
      <c r="D517" s="46" t="s">
        <v>114</v>
      </c>
      <c r="E517" s="47"/>
      <c r="F517" s="21"/>
      <c r="G517" s="145">
        <v>16</v>
      </c>
      <c r="H517" s="108"/>
      <c r="I517" s="269"/>
      <c r="J517" s="269"/>
      <c r="K517" s="109"/>
      <c r="L517" s="269"/>
      <c r="M517" s="1045" t="s">
        <v>115</v>
      </c>
      <c r="N517" s="1049" t="s">
        <v>116</v>
      </c>
      <c r="O517" s="1059" t="s">
        <v>884</v>
      </c>
      <c r="P517" s="1" t="str">
        <f t="shared" si="104"/>
        <v/>
      </c>
      <c r="Q517" s="1" t="str">
        <f t="shared" si="104"/>
        <v/>
      </c>
      <c r="R517" s="1" t="str">
        <f t="shared" si="104"/>
        <v/>
      </c>
      <c r="S517" s="1" t="str">
        <f t="shared" si="104"/>
        <v/>
      </c>
      <c r="T517" s="421" t="s">
        <v>1056</v>
      </c>
      <c r="U517" s="110" t="s">
        <v>1057</v>
      </c>
      <c r="V517" s="26">
        <v>1</v>
      </c>
      <c r="W517" s="46" t="s">
        <v>114</v>
      </c>
      <c r="X517" s="104" t="s">
        <v>1056</v>
      </c>
      <c r="Y517" s="47"/>
      <c r="Z517" s="21"/>
      <c r="AA517" s="145">
        <v>16</v>
      </c>
      <c r="AB517" s="108"/>
      <c r="AC517" s="269"/>
      <c r="AD517" s="269"/>
      <c r="AE517" s="109" t="s">
        <v>92</v>
      </c>
      <c r="AF517" s="269" t="s">
        <v>92</v>
      </c>
      <c r="AG517" s="41" t="s">
        <v>115</v>
      </c>
      <c r="AH517" s="185" t="s">
        <v>116</v>
      </c>
      <c r="AI517" s="42" t="s">
        <v>884</v>
      </c>
      <c r="AJ517" s="1" t="s">
        <v>98</v>
      </c>
      <c r="AK517" s="1" t="s">
        <v>98</v>
      </c>
      <c r="AL517" s="1" t="s">
        <v>98</v>
      </c>
      <c r="AM517" s="1" t="s">
        <v>98</v>
      </c>
      <c r="AN517" s="185"/>
    </row>
    <row r="518" spans="1:40">
      <c r="A518" s="421" t="s">
        <v>1058</v>
      </c>
      <c r="B518" s="110" t="s">
        <v>1059</v>
      </c>
      <c r="C518" s="26">
        <v>1</v>
      </c>
      <c r="D518" s="46" t="s">
        <v>114</v>
      </c>
      <c r="E518" s="47"/>
      <c r="F518" s="21"/>
      <c r="G518" s="145">
        <v>35</v>
      </c>
      <c r="H518" s="108"/>
      <c r="I518" s="269"/>
      <c r="J518" s="269"/>
      <c r="K518" s="109"/>
      <c r="L518" s="269"/>
      <c r="M518" s="1045" t="s">
        <v>115</v>
      </c>
      <c r="N518" s="1049" t="s">
        <v>116</v>
      </c>
      <c r="O518" s="1059" t="s">
        <v>884</v>
      </c>
      <c r="P518" s="1" t="str">
        <f t="shared" si="104"/>
        <v/>
      </c>
      <c r="Q518" s="1" t="str">
        <f t="shared" si="104"/>
        <v/>
      </c>
      <c r="R518" s="1" t="str">
        <f t="shared" si="104"/>
        <v/>
      </c>
      <c r="S518" s="1" t="str">
        <f t="shared" si="104"/>
        <v/>
      </c>
      <c r="T518" s="421" t="s">
        <v>1058</v>
      </c>
      <c r="U518" s="110" t="s">
        <v>1059</v>
      </c>
      <c r="V518" s="26">
        <v>1</v>
      </c>
      <c r="W518" s="46" t="s">
        <v>114</v>
      </c>
      <c r="X518" s="104" t="s">
        <v>1058</v>
      </c>
      <c r="Y518" s="47"/>
      <c r="Z518" s="21"/>
      <c r="AA518" s="145">
        <v>35</v>
      </c>
      <c r="AB518" s="108"/>
      <c r="AC518" s="269"/>
      <c r="AD518" s="269"/>
      <c r="AE518" s="109" t="s">
        <v>92</v>
      </c>
      <c r="AF518" s="269" t="s">
        <v>92</v>
      </c>
      <c r="AG518" s="41" t="s">
        <v>115</v>
      </c>
      <c r="AH518" s="185" t="s">
        <v>116</v>
      </c>
      <c r="AI518" s="42" t="s">
        <v>884</v>
      </c>
      <c r="AJ518" s="1" t="s">
        <v>98</v>
      </c>
      <c r="AK518" s="1" t="s">
        <v>98</v>
      </c>
      <c r="AL518" s="1" t="s">
        <v>98</v>
      </c>
      <c r="AM518" s="1" t="s">
        <v>98</v>
      </c>
      <c r="AN518" s="185"/>
    </row>
    <row r="519" spans="1:40">
      <c r="A519" s="421" t="s">
        <v>1060</v>
      </c>
      <c r="B519" s="110" t="s">
        <v>1061</v>
      </c>
      <c r="C519" s="26">
        <v>1</v>
      </c>
      <c r="D519" s="46" t="s">
        <v>114</v>
      </c>
      <c r="E519" s="47"/>
      <c r="F519" s="21"/>
      <c r="G519" s="145">
        <v>46</v>
      </c>
      <c r="H519" s="108"/>
      <c r="I519" s="269"/>
      <c r="J519" s="269"/>
      <c r="K519" s="109"/>
      <c r="L519" s="269"/>
      <c r="M519" s="1045" t="s">
        <v>115</v>
      </c>
      <c r="N519" s="1049" t="s">
        <v>116</v>
      </c>
      <c r="O519" s="1059" t="s">
        <v>884</v>
      </c>
      <c r="P519" s="1" t="str">
        <f t="shared" si="104"/>
        <v/>
      </c>
      <c r="Q519" s="1" t="str">
        <f t="shared" si="104"/>
        <v/>
      </c>
      <c r="R519" s="1" t="str">
        <f t="shared" si="104"/>
        <v/>
      </c>
      <c r="S519" s="1" t="str">
        <f t="shared" si="104"/>
        <v/>
      </c>
      <c r="T519" s="421" t="s">
        <v>1060</v>
      </c>
      <c r="U519" s="110" t="s">
        <v>1061</v>
      </c>
      <c r="V519" s="26">
        <v>1</v>
      </c>
      <c r="W519" s="46" t="s">
        <v>114</v>
      </c>
      <c r="X519" s="104" t="s">
        <v>1060</v>
      </c>
      <c r="Y519" s="47"/>
      <c r="Z519" s="21"/>
      <c r="AA519" s="145">
        <v>46</v>
      </c>
      <c r="AB519" s="108"/>
      <c r="AC519" s="269"/>
      <c r="AD519" s="269"/>
      <c r="AE519" s="109" t="s">
        <v>92</v>
      </c>
      <c r="AF519" s="269" t="s">
        <v>92</v>
      </c>
      <c r="AG519" s="41" t="s">
        <v>115</v>
      </c>
      <c r="AH519" s="185" t="s">
        <v>116</v>
      </c>
      <c r="AI519" s="42" t="s">
        <v>884</v>
      </c>
      <c r="AJ519" s="1" t="s">
        <v>98</v>
      </c>
      <c r="AK519" s="1" t="s">
        <v>98</v>
      </c>
      <c r="AL519" s="1" t="s">
        <v>98</v>
      </c>
      <c r="AM519" s="1" t="s">
        <v>98</v>
      </c>
      <c r="AN519" s="185"/>
    </row>
    <row r="520" spans="1:40">
      <c r="A520" s="421" t="s">
        <v>1062</v>
      </c>
      <c r="B520" s="110" t="s">
        <v>1063</v>
      </c>
      <c r="C520" s="26">
        <v>1</v>
      </c>
      <c r="D520" s="46" t="s">
        <v>114</v>
      </c>
      <c r="E520" s="47"/>
      <c r="F520" s="21"/>
      <c r="G520" s="145">
        <v>53</v>
      </c>
      <c r="H520" s="108"/>
      <c r="I520" s="269"/>
      <c r="J520" s="269"/>
      <c r="K520" s="109"/>
      <c r="L520" s="269"/>
      <c r="M520" s="1045" t="s">
        <v>115</v>
      </c>
      <c r="N520" s="1049" t="s">
        <v>116</v>
      </c>
      <c r="O520" s="1059" t="s">
        <v>884</v>
      </c>
      <c r="P520" s="1" t="str">
        <f t="shared" si="104"/>
        <v/>
      </c>
      <c r="Q520" s="1" t="str">
        <f t="shared" si="104"/>
        <v/>
      </c>
      <c r="R520" s="1" t="str">
        <f t="shared" si="104"/>
        <v/>
      </c>
      <c r="S520" s="1" t="str">
        <f t="shared" si="104"/>
        <v/>
      </c>
      <c r="T520" s="421" t="s">
        <v>1062</v>
      </c>
      <c r="U520" s="110" t="s">
        <v>1063</v>
      </c>
      <c r="V520" s="26">
        <v>1</v>
      </c>
      <c r="W520" s="46" t="s">
        <v>114</v>
      </c>
      <c r="X520" s="104" t="s">
        <v>1062</v>
      </c>
      <c r="Y520" s="47"/>
      <c r="Z520" s="21"/>
      <c r="AA520" s="145">
        <v>53</v>
      </c>
      <c r="AB520" s="108"/>
      <c r="AC520" s="269"/>
      <c r="AD520" s="269"/>
      <c r="AE520" s="109" t="s">
        <v>92</v>
      </c>
      <c r="AF520" s="269" t="s">
        <v>92</v>
      </c>
      <c r="AG520" s="41" t="s">
        <v>115</v>
      </c>
      <c r="AH520" s="185" t="s">
        <v>116</v>
      </c>
      <c r="AI520" s="42" t="s">
        <v>884</v>
      </c>
      <c r="AJ520" s="1" t="s">
        <v>98</v>
      </c>
      <c r="AK520" s="1" t="s">
        <v>98</v>
      </c>
      <c r="AL520" s="1" t="s">
        <v>98</v>
      </c>
      <c r="AM520" s="1" t="s">
        <v>98</v>
      </c>
      <c r="AN520" s="185"/>
    </row>
    <row r="521" spans="1:40" s="125" customFormat="1">
      <c r="A521" s="459" t="s">
        <v>1064</v>
      </c>
      <c r="B521" s="1026" t="s">
        <v>1065</v>
      </c>
      <c r="C521" s="175">
        <v>1</v>
      </c>
      <c r="D521" s="52" t="s">
        <v>114</v>
      </c>
      <c r="E521" s="53"/>
      <c r="F521" s="56"/>
      <c r="G521" s="180">
        <v>226</v>
      </c>
      <c r="H521" s="186"/>
      <c r="I521" s="615"/>
      <c r="J521" s="615"/>
      <c r="K521" s="43"/>
      <c r="L521" s="615"/>
      <c r="M521" s="1045" t="s">
        <v>115</v>
      </c>
      <c r="N521" s="1049" t="s">
        <v>116</v>
      </c>
      <c r="O521" s="1061" t="s">
        <v>884</v>
      </c>
      <c r="P521" s="1" t="str">
        <f t="shared" si="104"/>
        <v/>
      </c>
      <c r="Q521" s="1" t="str">
        <f t="shared" si="104"/>
        <v/>
      </c>
      <c r="R521" s="1" t="str">
        <f t="shared" si="104"/>
        <v/>
      </c>
      <c r="S521" s="1" t="str">
        <f t="shared" si="104"/>
        <v/>
      </c>
      <c r="T521" s="459" t="s">
        <v>1064</v>
      </c>
      <c r="U521" s="1026" t="s">
        <v>1065</v>
      </c>
      <c r="V521" s="175">
        <v>1</v>
      </c>
      <c r="W521" s="52" t="s">
        <v>114</v>
      </c>
      <c r="X521" s="274" t="s">
        <v>1064</v>
      </c>
      <c r="Y521" s="53"/>
      <c r="Z521" s="56"/>
      <c r="AA521" s="180">
        <v>226</v>
      </c>
      <c r="AB521" s="186"/>
      <c r="AC521" s="615"/>
      <c r="AD521" s="615"/>
      <c r="AE521" s="43" t="s">
        <v>92</v>
      </c>
      <c r="AF521" s="615" t="s">
        <v>92</v>
      </c>
      <c r="AG521" s="41" t="s">
        <v>115</v>
      </c>
      <c r="AH521" s="187" t="s">
        <v>116</v>
      </c>
      <c r="AI521" s="188" t="s">
        <v>884</v>
      </c>
      <c r="AJ521" s="1" t="s">
        <v>98</v>
      </c>
      <c r="AK521" s="1" t="s">
        <v>98</v>
      </c>
      <c r="AL521" s="1" t="s">
        <v>98</v>
      </c>
      <c r="AM521" s="1" t="s">
        <v>98</v>
      </c>
      <c r="AN521" s="187"/>
    </row>
    <row r="522" spans="1:40" s="125" customFormat="1" ht="25.5">
      <c r="A522" s="459" t="s">
        <v>1066</v>
      </c>
      <c r="B522" s="451" t="s">
        <v>1067</v>
      </c>
      <c r="C522" s="175">
        <v>1</v>
      </c>
      <c r="D522" s="52" t="s">
        <v>114</v>
      </c>
      <c r="E522" s="53"/>
      <c r="F522" s="56"/>
      <c r="G522" s="180">
        <v>383</v>
      </c>
      <c r="H522" s="186"/>
      <c r="I522" s="615"/>
      <c r="J522" s="615"/>
      <c r="K522" s="43"/>
      <c r="L522" s="615"/>
      <c r="M522" s="1045" t="s">
        <v>115</v>
      </c>
      <c r="N522" s="1049" t="s">
        <v>116</v>
      </c>
      <c r="O522" s="1061" t="s">
        <v>884</v>
      </c>
      <c r="P522" s="1" t="str">
        <f t="shared" si="104"/>
        <v/>
      </c>
      <c r="Q522" s="1" t="str">
        <f t="shared" si="104"/>
        <v/>
      </c>
      <c r="R522" s="1" t="str">
        <f t="shared" si="104"/>
        <v/>
      </c>
      <c r="S522" s="1" t="str">
        <f t="shared" si="104"/>
        <v/>
      </c>
      <c r="T522" s="459" t="s">
        <v>1066</v>
      </c>
      <c r="U522" s="451" t="s">
        <v>1067</v>
      </c>
      <c r="V522" s="175">
        <v>1</v>
      </c>
      <c r="W522" s="52" t="s">
        <v>114</v>
      </c>
      <c r="X522" s="274" t="s">
        <v>1066</v>
      </c>
      <c r="Y522" s="53"/>
      <c r="Z522" s="56"/>
      <c r="AA522" s="180">
        <v>383</v>
      </c>
      <c r="AB522" s="186"/>
      <c r="AC522" s="615"/>
      <c r="AD522" s="615"/>
      <c r="AE522" s="43" t="s">
        <v>92</v>
      </c>
      <c r="AF522" s="615" t="s">
        <v>92</v>
      </c>
      <c r="AG522" s="41" t="s">
        <v>115</v>
      </c>
      <c r="AH522" s="187" t="s">
        <v>116</v>
      </c>
      <c r="AI522" s="188" t="s">
        <v>884</v>
      </c>
      <c r="AJ522" s="1" t="s">
        <v>98</v>
      </c>
      <c r="AK522" s="1" t="s">
        <v>98</v>
      </c>
      <c r="AL522" s="1" t="s">
        <v>98</v>
      </c>
      <c r="AM522" s="1" t="s">
        <v>98</v>
      </c>
      <c r="AN522" s="187"/>
    </row>
    <row r="523" spans="1:40">
      <c r="A523" s="421" t="s">
        <v>1068</v>
      </c>
      <c r="B523" s="110" t="s">
        <v>1069</v>
      </c>
      <c r="C523" s="26">
        <v>1</v>
      </c>
      <c r="D523" s="177" t="s">
        <v>114</v>
      </c>
      <c r="E523" s="47"/>
      <c r="F523" s="21"/>
      <c r="G523" s="27">
        <v>284.06</v>
      </c>
      <c r="H523" s="108"/>
      <c r="I523" s="269"/>
      <c r="J523" s="269"/>
      <c r="K523" s="109"/>
      <c r="L523" s="269"/>
      <c r="M523" s="1045" t="s">
        <v>115</v>
      </c>
      <c r="N523" s="1049" t="s">
        <v>871</v>
      </c>
      <c r="O523" s="1059" t="s">
        <v>872</v>
      </c>
      <c r="P523" s="1" t="str">
        <f t="shared" si="104"/>
        <v/>
      </c>
      <c r="Q523" s="1" t="str">
        <f t="shared" si="104"/>
        <v/>
      </c>
      <c r="R523" s="1" t="str">
        <f t="shared" si="104"/>
        <v/>
      </c>
      <c r="S523" s="1" t="str">
        <f t="shared" si="104"/>
        <v/>
      </c>
      <c r="T523" s="421" t="s">
        <v>1068</v>
      </c>
      <c r="U523" s="110" t="s">
        <v>1069</v>
      </c>
      <c r="V523" s="26">
        <v>1</v>
      </c>
      <c r="W523" s="177" t="s">
        <v>114</v>
      </c>
      <c r="X523" s="104" t="s">
        <v>1068</v>
      </c>
      <c r="Y523" s="47"/>
      <c r="Z523" s="21"/>
      <c r="AA523" s="27">
        <v>284.06</v>
      </c>
      <c r="AB523" s="108"/>
      <c r="AC523" s="269"/>
      <c r="AD523" s="269"/>
      <c r="AE523" s="109" t="s">
        <v>92</v>
      </c>
      <c r="AF523" s="269" t="s">
        <v>92</v>
      </c>
      <c r="AG523" s="41" t="s">
        <v>115</v>
      </c>
      <c r="AH523" s="185" t="s">
        <v>871</v>
      </c>
      <c r="AI523" s="42" t="s">
        <v>872</v>
      </c>
      <c r="AJ523" s="1" t="s">
        <v>98</v>
      </c>
      <c r="AK523" s="1" t="s">
        <v>98</v>
      </c>
      <c r="AL523" s="1" t="s">
        <v>98</v>
      </c>
      <c r="AM523" s="1" t="s">
        <v>98</v>
      </c>
      <c r="AN523" s="185"/>
    </row>
    <row r="524" spans="1:40" s="860" customFormat="1" ht="20.100000000000001" customHeight="1">
      <c r="A524" s="1158" t="s">
        <v>3612</v>
      </c>
      <c r="B524" s="1159"/>
      <c r="C524" s="878"/>
      <c r="D524" s="879"/>
      <c r="E524" s="879"/>
      <c r="F524" s="880"/>
      <c r="G524" s="881"/>
      <c r="H524" s="893"/>
      <c r="I524" s="883"/>
      <c r="J524" s="883"/>
      <c r="K524" s="881"/>
      <c r="L524" s="869"/>
      <c r="M524" s="869"/>
      <c r="N524" s="1028"/>
      <c r="O524" s="869"/>
      <c r="P524" s="869"/>
      <c r="Q524" s="869"/>
      <c r="R524" s="869"/>
      <c r="S524" s="887"/>
      <c r="T524" s="894"/>
      <c r="U524" s="895"/>
      <c r="V524" s="896"/>
      <c r="W524" s="897"/>
      <c r="X524" s="898"/>
      <c r="Y524" s="897"/>
      <c r="Z524" s="899"/>
      <c r="AA524" s="900"/>
      <c r="AB524" s="896"/>
      <c r="AC524" s="900"/>
      <c r="AD524" s="900"/>
      <c r="AE524" s="901"/>
      <c r="AF524" s="902"/>
      <c r="AG524" s="858"/>
      <c r="AH524" s="859"/>
      <c r="AI524" s="859"/>
      <c r="AJ524" s="860" t="s">
        <v>98</v>
      </c>
      <c r="AK524" s="860" t="s">
        <v>98</v>
      </c>
      <c r="AL524" s="860" t="s">
        <v>98</v>
      </c>
      <c r="AM524" s="860" t="s">
        <v>98</v>
      </c>
      <c r="AN524" s="871"/>
    </row>
    <row r="525" spans="1:40" s="90" customFormat="1">
      <c r="A525" s="361" t="s">
        <v>1231</v>
      </c>
      <c r="B525" s="94" t="s">
        <v>1232</v>
      </c>
      <c r="C525" s="375">
        <v>1</v>
      </c>
      <c r="D525" s="154" t="s">
        <v>90</v>
      </c>
      <c r="E525" s="445">
        <v>1915.23</v>
      </c>
      <c r="F525" s="448">
        <f>rv_ms_eg</f>
        <v>0.17199999999999999</v>
      </c>
      <c r="G525" s="362">
        <f t="shared" ref="G525:G538" si="105">E525-(E525*F525)</f>
        <v>1585.81044</v>
      </c>
      <c r="H525" s="72" t="s">
        <v>1233</v>
      </c>
      <c r="I525" s="605">
        <v>93</v>
      </c>
      <c r="J525" s="91">
        <f>G525+I525</f>
        <v>1678.81044</v>
      </c>
      <c r="K525" s="606"/>
      <c r="L525" s="85">
        <v>0.6</v>
      </c>
      <c r="M525" s="1045" t="s">
        <v>1234</v>
      </c>
      <c r="N525" s="1046" t="s">
        <v>871</v>
      </c>
      <c r="O525" s="1055" t="s">
        <v>872</v>
      </c>
      <c r="P525" s="1">
        <f t="shared" si="95"/>
        <v>337.95922660997843</v>
      </c>
      <c r="Q525" s="1">
        <f t="shared" si="95"/>
        <v>175.63959287941714</v>
      </c>
      <c r="R525" s="1">
        <f t="shared" si="95"/>
        <v>127.56180774688552</v>
      </c>
      <c r="S525" s="1">
        <f t="shared" si="95"/>
        <v>110.0777248138327</v>
      </c>
      <c r="T525" s="361" t="s">
        <v>1231</v>
      </c>
      <c r="U525" s="94" t="s">
        <v>1232</v>
      </c>
      <c r="V525" s="375">
        <v>1</v>
      </c>
      <c r="W525" s="154" t="s">
        <v>90</v>
      </c>
      <c r="X525" s="154" t="s">
        <v>1231</v>
      </c>
      <c r="Y525" s="445">
        <v>1915.23</v>
      </c>
      <c r="Z525" s="448">
        <v>0.17199999999999999</v>
      </c>
      <c r="AA525" s="362">
        <v>1585.81044</v>
      </c>
      <c r="AB525" s="72" t="s">
        <v>1233</v>
      </c>
      <c r="AC525" s="605">
        <v>93</v>
      </c>
      <c r="AD525" s="91">
        <v>1678.81044</v>
      </c>
      <c r="AE525" s="606"/>
      <c r="AF525" s="85">
        <v>0.6</v>
      </c>
      <c r="AG525" s="41" t="s">
        <v>1234</v>
      </c>
      <c r="AH525" s="174" t="s">
        <v>871</v>
      </c>
      <c r="AI525" s="159" t="s">
        <v>872</v>
      </c>
      <c r="AJ525" s="1">
        <v>337.95922660997843</v>
      </c>
      <c r="AK525" s="1">
        <v>175.63959287941714</v>
      </c>
      <c r="AL525" s="1">
        <v>127.56180774688552</v>
      </c>
      <c r="AM525" s="1">
        <v>110.0777248138327</v>
      </c>
      <c r="AN525" s="185"/>
    </row>
    <row r="526" spans="1:40" s="90" customFormat="1">
      <c r="A526" s="358" t="s">
        <v>1235</v>
      </c>
      <c r="B526" s="110" t="s">
        <v>1236</v>
      </c>
      <c r="C526" s="49">
        <v>1</v>
      </c>
      <c r="D526" s="46" t="s">
        <v>90</v>
      </c>
      <c r="E526" s="53">
        <v>191.67</v>
      </c>
      <c r="F526" s="77">
        <f t="shared" ref="F526:F531" si="106">rv_ms_eg_cto</f>
        <v>0.17199999999999999</v>
      </c>
      <c r="G526" s="51">
        <f t="shared" si="105"/>
        <v>158.70275999999998</v>
      </c>
      <c r="H526" s="117"/>
      <c r="I526" s="616"/>
      <c r="J526" s="616"/>
      <c r="K526" s="118"/>
      <c r="L526" s="620"/>
      <c r="M526" s="1045" t="s">
        <v>1234</v>
      </c>
      <c r="N526" s="1047" t="s">
        <v>871</v>
      </c>
      <c r="O526" s="1056" t="s">
        <v>872</v>
      </c>
      <c r="P526" s="1" t="str">
        <f t="shared" si="95"/>
        <v/>
      </c>
      <c r="Q526" s="1" t="str">
        <f t="shared" si="95"/>
        <v/>
      </c>
      <c r="R526" s="1" t="str">
        <f t="shared" si="95"/>
        <v/>
      </c>
      <c r="S526" s="1" t="str">
        <f t="shared" si="95"/>
        <v/>
      </c>
      <c r="T526" s="358" t="s">
        <v>1235</v>
      </c>
      <c r="U526" s="110" t="s">
        <v>1236</v>
      </c>
      <c r="V526" s="49">
        <v>1</v>
      </c>
      <c r="W526" s="46" t="s">
        <v>90</v>
      </c>
      <c r="X526" s="104" t="s">
        <v>92</v>
      </c>
      <c r="Y526" s="53">
        <v>191.67</v>
      </c>
      <c r="Z526" s="77">
        <v>0.17199999999999999</v>
      </c>
      <c r="AA526" s="51">
        <v>158.70275999999998</v>
      </c>
      <c r="AB526" s="117"/>
      <c r="AC526" s="616"/>
      <c r="AD526" s="616"/>
      <c r="AE526" s="118"/>
      <c r="AF526" s="620"/>
      <c r="AG526" s="41" t="s">
        <v>1234</v>
      </c>
      <c r="AH526" s="174" t="s">
        <v>871</v>
      </c>
      <c r="AI526" s="159" t="s">
        <v>872</v>
      </c>
      <c r="AJ526" s="1" t="s">
        <v>98</v>
      </c>
      <c r="AK526" s="1" t="s">
        <v>98</v>
      </c>
      <c r="AL526" s="1" t="s">
        <v>98</v>
      </c>
      <c r="AM526" s="1" t="s">
        <v>98</v>
      </c>
      <c r="AN526" s="185"/>
    </row>
    <row r="527" spans="1:40" s="90" customFormat="1" ht="12.95" customHeight="1">
      <c r="A527" s="358" t="s">
        <v>1237</v>
      </c>
      <c r="B527" s="110" t="s">
        <v>1238</v>
      </c>
      <c r="C527" s="204">
        <v>1</v>
      </c>
      <c r="D527" s="46" t="s">
        <v>90</v>
      </c>
      <c r="E527" s="53">
        <v>383.33</v>
      </c>
      <c r="F527" s="77">
        <f t="shared" si="106"/>
        <v>0.17199999999999999</v>
      </c>
      <c r="G527" s="51">
        <f t="shared" si="105"/>
        <v>317.39724000000001</v>
      </c>
      <c r="H527" s="117"/>
      <c r="I527" s="616"/>
      <c r="J527" s="616"/>
      <c r="K527" s="118"/>
      <c r="L527" s="620"/>
      <c r="M527" s="1045" t="s">
        <v>1234</v>
      </c>
      <c r="N527" s="1047" t="s">
        <v>871</v>
      </c>
      <c r="O527" s="1056" t="s">
        <v>872</v>
      </c>
      <c r="P527" s="1" t="str">
        <f t="shared" si="95"/>
        <v/>
      </c>
      <c r="Q527" s="1" t="str">
        <f t="shared" si="95"/>
        <v/>
      </c>
      <c r="R527" s="1" t="str">
        <f t="shared" si="95"/>
        <v/>
      </c>
      <c r="S527" s="1" t="str">
        <f t="shared" si="95"/>
        <v/>
      </c>
      <c r="T527" s="358" t="s">
        <v>1237</v>
      </c>
      <c r="U527" s="110" t="s">
        <v>1238</v>
      </c>
      <c r="V527" s="204">
        <v>1</v>
      </c>
      <c r="W527" s="46" t="s">
        <v>90</v>
      </c>
      <c r="X527" s="104" t="s">
        <v>92</v>
      </c>
      <c r="Y527" s="53">
        <v>383.33</v>
      </c>
      <c r="Z527" s="77">
        <v>0.17199999999999999</v>
      </c>
      <c r="AA527" s="51">
        <v>317.39724000000001</v>
      </c>
      <c r="AB527" s="117"/>
      <c r="AC527" s="616"/>
      <c r="AD527" s="616"/>
      <c r="AE527" s="118"/>
      <c r="AF527" s="620"/>
      <c r="AG527" s="41" t="s">
        <v>1234</v>
      </c>
      <c r="AH527" s="174" t="s">
        <v>871</v>
      </c>
      <c r="AI527" s="159" t="s">
        <v>872</v>
      </c>
      <c r="AJ527" s="1" t="s">
        <v>98</v>
      </c>
      <c r="AK527" s="1" t="s">
        <v>98</v>
      </c>
      <c r="AL527" s="1" t="s">
        <v>98</v>
      </c>
      <c r="AM527" s="1" t="s">
        <v>98</v>
      </c>
      <c r="AN527" s="185"/>
    </row>
    <row r="528" spans="1:40" s="90" customFormat="1">
      <c r="A528" s="358" t="s">
        <v>1239</v>
      </c>
      <c r="B528" s="110" t="s">
        <v>1240</v>
      </c>
      <c r="C528" s="204">
        <v>1</v>
      </c>
      <c r="D528" s="46" t="s">
        <v>90</v>
      </c>
      <c r="E528" s="43">
        <v>191.67</v>
      </c>
      <c r="F528" s="77">
        <f t="shared" si="106"/>
        <v>0.17199999999999999</v>
      </c>
      <c r="G528" s="51">
        <f t="shared" si="105"/>
        <v>158.70275999999998</v>
      </c>
      <c r="H528" s="117"/>
      <c r="I528" s="616"/>
      <c r="J528" s="616"/>
      <c r="K528" s="118"/>
      <c r="L528" s="620"/>
      <c r="M528" s="1045" t="s">
        <v>1234</v>
      </c>
      <c r="N528" s="1047" t="s">
        <v>871</v>
      </c>
      <c r="O528" s="1056" t="s">
        <v>872</v>
      </c>
      <c r="P528" s="1" t="str">
        <f t="shared" si="95"/>
        <v/>
      </c>
      <c r="Q528" s="1" t="str">
        <f t="shared" si="95"/>
        <v/>
      </c>
      <c r="R528" s="1" t="str">
        <f t="shared" si="95"/>
        <v/>
      </c>
      <c r="S528" s="1" t="str">
        <f t="shared" si="95"/>
        <v/>
      </c>
      <c r="T528" s="358" t="s">
        <v>1239</v>
      </c>
      <c r="U528" s="110" t="s">
        <v>1240</v>
      </c>
      <c r="V528" s="204">
        <v>1</v>
      </c>
      <c r="W528" s="46" t="s">
        <v>90</v>
      </c>
      <c r="X528" s="104" t="s">
        <v>92</v>
      </c>
      <c r="Y528" s="43">
        <v>191.67</v>
      </c>
      <c r="Z528" s="77">
        <v>0.17199999999999999</v>
      </c>
      <c r="AA528" s="51">
        <v>158.70275999999998</v>
      </c>
      <c r="AB528" s="117"/>
      <c r="AC528" s="616"/>
      <c r="AD528" s="616"/>
      <c r="AE528" s="118"/>
      <c r="AF528" s="620"/>
      <c r="AG528" s="41" t="s">
        <v>1234</v>
      </c>
      <c r="AH528" s="174" t="s">
        <v>871</v>
      </c>
      <c r="AI528" s="159" t="s">
        <v>872</v>
      </c>
      <c r="AJ528" s="1" t="s">
        <v>98</v>
      </c>
      <c r="AK528" s="1" t="s">
        <v>98</v>
      </c>
      <c r="AL528" s="1" t="s">
        <v>98</v>
      </c>
      <c r="AM528" s="1" t="s">
        <v>98</v>
      </c>
      <c r="AN528" s="185"/>
    </row>
    <row r="529" spans="1:40" s="90" customFormat="1">
      <c r="A529" s="358" t="s">
        <v>1241</v>
      </c>
      <c r="B529" s="110" t="s">
        <v>1242</v>
      </c>
      <c r="C529" s="204">
        <v>1</v>
      </c>
      <c r="D529" s="46" t="s">
        <v>90</v>
      </c>
      <c r="E529" s="43">
        <v>575</v>
      </c>
      <c r="F529" s="77">
        <f t="shared" si="106"/>
        <v>0.17199999999999999</v>
      </c>
      <c r="G529" s="51">
        <f t="shared" si="105"/>
        <v>476.1</v>
      </c>
      <c r="H529" s="117"/>
      <c r="I529" s="616"/>
      <c r="J529" s="616"/>
      <c r="K529" s="118"/>
      <c r="L529" s="620"/>
      <c r="M529" s="1045" t="s">
        <v>1234</v>
      </c>
      <c r="N529" s="1047" t="s">
        <v>871</v>
      </c>
      <c r="O529" s="1056" t="s">
        <v>872</v>
      </c>
      <c r="P529" s="1" t="str">
        <f t="shared" ref="P529:S552" si="107">+IF($J529&lt;&gt;"",P$2*$J529,"")</f>
        <v/>
      </c>
      <c r="Q529" s="1" t="str">
        <f t="shared" si="107"/>
        <v/>
      </c>
      <c r="R529" s="1" t="str">
        <f t="shared" si="107"/>
        <v/>
      </c>
      <c r="S529" s="1" t="str">
        <f t="shared" si="107"/>
        <v/>
      </c>
      <c r="T529" s="358" t="s">
        <v>1241</v>
      </c>
      <c r="U529" s="110" t="s">
        <v>1242</v>
      </c>
      <c r="V529" s="204">
        <v>1</v>
      </c>
      <c r="W529" s="46" t="s">
        <v>90</v>
      </c>
      <c r="X529" s="104" t="s">
        <v>92</v>
      </c>
      <c r="Y529" s="43">
        <v>575</v>
      </c>
      <c r="Z529" s="77">
        <v>0.17199999999999999</v>
      </c>
      <c r="AA529" s="51">
        <v>476.1</v>
      </c>
      <c r="AB529" s="117"/>
      <c r="AC529" s="616"/>
      <c r="AD529" s="616"/>
      <c r="AE529" s="118"/>
      <c r="AF529" s="620"/>
      <c r="AG529" s="41" t="s">
        <v>1234</v>
      </c>
      <c r="AH529" s="174" t="s">
        <v>871</v>
      </c>
      <c r="AI529" s="159" t="s">
        <v>872</v>
      </c>
      <c r="AJ529" s="1" t="s">
        <v>98</v>
      </c>
      <c r="AK529" s="1" t="s">
        <v>98</v>
      </c>
      <c r="AL529" s="1" t="s">
        <v>98</v>
      </c>
      <c r="AM529" s="1" t="s">
        <v>98</v>
      </c>
      <c r="AN529" s="185"/>
    </row>
    <row r="530" spans="1:40" s="90" customFormat="1">
      <c r="A530" s="358" t="s">
        <v>1243</v>
      </c>
      <c r="B530" s="110" t="s">
        <v>1244</v>
      </c>
      <c r="C530" s="204">
        <v>1</v>
      </c>
      <c r="D530" s="46" t="s">
        <v>90</v>
      </c>
      <c r="E530" s="43">
        <v>1150</v>
      </c>
      <c r="F530" s="77">
        <f t="shared" si="106"/>
        <v>0.17199999999999999</v>
      </c>
      <c r="G530" s="51">
        <f t="shared" si="105"/>
        <v>952.2</v>
      </c>
      <c r="H530" s="117"/>
      <c r="I530" s="616"/>
      <c r="J530" s="616"/>
      <c r="K530" s="118"/>
      <c r="L530" s="620"/>
      <c r="M530" s="1045" t="s">
        <v>1234</v>
      </c>
      <c r="N530" s="1047" t="s">
        <v>871</v>
      </c>
      <c r="O530" s="1056" t="s">
        <v>872</v>
      </c>
      <c r="P530" s="1" t="str">
        <f t="shared" si="107"/>
        <v/>
      </c>
      <c r="Q530" s="1" t="str">
        <f t="shared" si="107"/>
        <v/>
      </c>
      <c r="R530" s="1" t="str">
        <f t="shared" si="107"/>
        <v/>
      </c>
      <c r="S530" s="1" t="str">
        <f t="shared" si="107"/>
        <v/>
      </c>
      <c r="T530" s="358" t="s">
        <v>1243</v>
      </c>
      <c r="U530" s="110" t="s">
        <v>1244</v>
      </c>
      <c r="V530" s="204">
        <v>1</v>
      </c>
      <c r="W530" s="46" t="s">
        <v>90</v>
      </c>
      <c r="X530" s="104" t="s">
        <v>92</v>
      </c>
      <c r="Y530" s="43">
        <v>1150</v>
      </c>
      <c r="Z530" s="77">
        <v>0.17199999999999999</v>
      </c>
      <c r="AA530" s="51">
        <v>952.2</v>
      </c>
      <c r="AB530" s="117"/>
      <c r="AC530" s="616"/>
      <c r="AD530" s="616"/>
      <c r="AE530" s="118"/>
      <c r="AF530" s="620"/>
      <c r="AG530" s="41" t="s">
        <v>1234</v>
      </c>
      <c r="AH530" s="174" t="s">
        <v>871</v>
      </c>
      <c r="AI530" s="159" t="s">
        <v>872</v>
      </c>
      <c r="AJ530" s="1" t="s">
        <v>98</v>
      </c>
      <c r="AK530" s="1" t="s">
        <v>98</v>
      </c>
      <c r="AL530" s="1" t="s">
        <v>98</v>
      </c>
      <c r="AM530" s="1" t="s">
        <v>98</v>
      </c>
      <c r="AN530" s="185"/>
    </row>
    <row r="531" spans="1:40" s="90" customFormat="1">
      <c r="A531" s="358" t="s">
        <v>1245</v>
      </c>
      <c r="B531" s="110" t="s">
        <v>1246</v>
      </c>
      <c r="C531" s="204">
        <v>1</v>
      </c>
      <c r="D531" s="46" t="s">
        <v>90</v>
      </c>
      <c r="E531" s="43">
        <v>2300</v>
      </c>
      <c r="F531" s="77">
        <f t="shared" si="106"/>
        <v>0.17199999999999999</v>
      </c>
      <c r="G531" s="51">
        <f t="shared" si="105"/>
        <v>1904.4</v>
      </c>
      <c r="H531" s="117"/>
      <c r="I531" s="616"/>
      <c r="J531" s="616"/>
      <c r="K531" s="118"/>
      <c r="L531" s="620"/>
      <c r="M531" s="1045" t="s">
        <v>1234</v>
      </c>
      <c r="N531" s="1047" t="s">
        <v>871</v>
      </c>
      <c r="O531" s="1056" t="s">
        <v>872</v>
      </c>
      <c r="P531" s="1" t="str">
        <f t="shared" si="107"/>
        <v/>
      </c>
      <c r="Q531" s="1" t="str">
        <f t="shared" si="107"/>
        <v/>
      </c>
      <c r="R531" s="1" t="str">
        <f t="shared" si="107"/>
        <v/>
      </c>
      <c r="S531" s="1" t="str">
        <f t="shared" si="107"/>
        <v/>
      </c>
      <c r="T531" s="358" t="s">
        <v>1245</v>
      </c>
      <c r="U531" s="110" t="s">
        <v>1246</v>
      </c>
      <c r="V531" s="204">
        <v>1</v>
      </c>
      <c r="W531" s="46" t="s">
        <v>90</v>
      </c>
      <c r="X531" s="104" t="s">
        <v>92</v>
      </c>
      <c r="Y531" s="43">
        <v>2300</v>
      </c>
      <c r="Z531" s="77">
        <v>0.17199999999999999</v>
      </c>
      <c r="AA531" s="51">
        <v>1904.4</v>
      </c>
      <c r="AB531" s="117"/>
      <c r="AC531" s="616"/>
      <c r="AD531" s="616"/>
      <c r="AE531" s="118"/>
      <c r="AF531" s="620"/>
      <c r="AG531" s="41" t="s">
        <v>1234</v>
      </c>
      <c r="AH531" s="174" t="s">
        <v>871</v>
      </c>
      <c r="AI531" s="159" t="s">
        <v>872</v>
      </c>
      <c r="AJ531" s="1" t="s">
        <v>98</v>
      </c>
      <c r="AK531" s="1" t="s">
        <v>98</v>
      </c>
      <c r="AL531" s="1" t="s">
        <v>98</v>
      </c>
      <c r="AM531" s="1" t="s">
        <v>98</v>
      </c>
      <c r="AN531" s="185"/>
    </row>
    <row r="532" spans="1:40" s="90" customFormat="1">
      <c r="A532" s="361" t="s">
        <v>1247</v>
      </c>
      <c r="B532" s="377" t="s">
        <v>1248</v>
      </c>
      <c r="C532" s="378">
        <v>1</v>
      </c>
      <c r="D532" s="379" t="s">
        <v>90</v>
      </c>
      <c r="E532" s="376">
        <v>3831.9</v>
      </c>
      <c r="F532" s="97">
        <f>rv_ms_hg</f>
        <v>0.17199999999999999</v>
      </c>
      <c r="G532" s="381">
        <f t="shared" si="105"/>
        <v>3172.8132000000001</v>
      </c>
      <c r="H532" s="72" t="s">
        <v>1233</v>
      </c>
      <c r="I532" s="605">
        <v>93</v>
      </c>
      <c r="J532" s="91">
        <f>G532+I532</f>
        <v>3265.8132000000001</v>
      </c>
      <c r="K532" s="606"/>
      <c r="L532" s="85">
        <v>0.6</v>
      </c>
      <c r="M532" s="1045" t="s">
        <v>1249</v>
      </c>
      <c r="N532" s="1047" t="s">
        <v>871</v>
      </c>
      <c r="O532" s="1056" t="s">
        <v>872</v>
      </c>
      <c r="P532" s="1">
        <f t="shared" si="107"/>
        <v>657.43676416776327</v>
      </c>
      <c r="Q532" s="1">
        <f t="shared" si="107"/>
        <v>341.67413258892202</v>
      </c>
      <c r="R532" s="1">
        <f t="shared" si="107"/>
        <v>248.14775130636014</v>
      </c>
      <c r="S532" s="1">
        <f t="shared" si="107"/>
        <v>214.13572262689908</v>
      </c>
      <c r="T532" s="361" t="s">
        <v>1247</v>
      </c>
      <c r="U532" s="377" t="s">
        <v>1248</v>
      </c>
      <c r="V532" s="378">
        <v>1</v>
      </c>
      <c r="W532" s="379" t="s">
        <v>90</v>
      </c>
      <c r="X532" s="380" t="s">
        <v>1247</v>
      </c>
      <c r="Y532" s="376">
        <v>3831.9</v>
      </c>
      <c r="Z532" s="97">
        <v>0.17199999999999999</v>
      </c>
      <c r="AA532" s="381">
        <v>3172.8132000000001</v>
      </c>
      <c r="AB532" s="72" t="s">
        <v>1233</v>
      </c>
      <c r="AC532" s="605">
        <v>93</v>
      </c>
      <c r="AD532" s="91">
        <v>3265.8132000000001</v>
      </c>
      <c r="AE532" s="606"/>
      <c r="AF532" s="85">
        <v>0.6</v>
      </c>
      <c r="AG532" s="41" t="s">
        <v>1249</v>
      </c>
      <c r="AH532" s="174" t="s">
        <v>871</v>
      </c>
      <c r="AI532" s="159" t="s">
        <v>872</v>
      </c>
      <c r="AJ532" s="1">
        <v>657.43676416776327</v>
      </c>
      <c r="AK532" s="1">
        <v>341.67413258892202</v>
      </c>
      <c r="AL532" s="1">
        <v>248.14775130636014</v>
      </c>
      <c r="AM532" s="1">
        <v>214.13572262689908</v>
      </c>
      <c r="AN532" s="185"/>
    </row>
    <row r="533" spans="1:40" s="90" customFormat="1">
      <c r="A533" s="359" t="s">
        <v>1250</v>
      </c>
      <c r="B533" s="360" t="s">
        <v>1251</v>
      </c>
      <c r="C533" s="204">
        <v>1</v>
      </c>
      <c r="D533" s="46" t="s">
        <v>90</v>
      </c>
      <c r="E533" s="504">
        <v>958.33</v>
      </c>
      <c r="F533" s="604">
        <f>rv_ms_hg_cto</f>
        <v>0.17199999999999999</v>
      </c>
      <c r="G533" s="180">
        <f t="shared" si="105"/>
        <v>793.49724000000003</v>
      </c>
      <c r="H533" s="117"/>
      <c r="I533" s="616"/>
      <c r="J533" s="616"/>
      <c r="K533" s="118"/>
      <c r="L533" s="620"/>
      <c r="M533" s="1045" t="s">
        <v>1249</v>
      </c>
      <c r="N533" s="1047" t="s">
        <v>871</v>
      </c>
      <c r="O533" s="1056" t="s">
        <v>872</v>
      </c>
      <c r="P533" s="1" t="str">
        <f t="shared" si="107"/>
        <v/>
      </c>
      <c r="Q533" s="1" t="str">
        <f t="shared" si="107"/>
        <v/>
      </c>
      <c r="R533" s="1" t="str">
        <f t="shared" si="107"/>
        <v/>
      </c>
      <c r="S533" s="1" t="str">
        <f t="shared" si="107"/>
        <v/>
      </c>
      <c r="T533" s="359" t="s">
        <v>1250</v>
      </c>
      <c r="U533" s="360" t="s">
        <v>1251</v>
      </c>
      <c r="V533" s="204">
        <v>1</v>
      </c>
      <c r="W533" s="46" t="s">
        <v>90</v>
      </c>
      <c r="X533" s="104"/>
      <c r="Y533" s="504">
        <v>958.33</v>
      </c>
      <c r="Z533" s="604">
        <v>0.17199999999999999</v>
      </c>
      <c r="AA533" s="180">
        <v>793.49724000000003</v>
      </c>
      <c r="AB533" s="117"/>
      <c r="AC533" s="616"/>
      <c r="AD533" s="616"/>
      <c r="AE533" s="118"/>
      <c r="AF533" s="620"/>
      <c r="AG533" s="41" t="s">
        <v>1249</v>
      </c>
      <c r="AH533" s="174" t="s">
        <v>871</v>
      </c>
      <c r="AI533" s="159" t="s">
        <v>872</v>
      </c>
      <c r="AJ533" s="1" t="s">
        <v>98</v>
      </c>
      <c r="AK533" s="1" t="s">
        <v>98</v>
      </c>
      <c r="AL533" s="1" t="s">
        <v>98</v>
      </c>
      <c r="AM533" s="1" t="s">
        <v>98</v>
      </c>
      <c r="AN533" s="185"/>
    </row>
    <row r="534" spans="1:40" s="90" customFormat="1">
      <c r="A534" s="359" t="s">
        <v>1252</v>
      </c>
      <c r="B534" s="360" t="s">
        <v>1253</v>
      </c>
      <c r="C534" s="204">
        <v>1</v>
      </c>
      <c r="D534" s="46" t="s">
        <v>90</v>
      </c>
      <c r="E534" s="43">
        <v>766.67</v>
      </c>
      <c r="F534" s="77">
        <f>rv_ms_hg_cto</f>
        <v>0.17199999999999999</v>
      </c>
      <c r="G534" s="51">
        <f t="shared" si="105"/>
        <v>634.80276000000003</v>
      </c>
      <c r="H534" s="117"/>
      <c r="I534" s="616"/>
      <c r="J534" s="616"/>
      <c r="K534" s="118"/>
      <c r="L534" s="620"/>
      <c r="M534" s="1045" t="s">
        <v>1249</v>
      </c>
      <c r="N534" s="1047" t="s">
        <v>871</v>
      </c>
      <c r="O534" s="1056" t="s">
        <v>872</v>
      </c>
      <c r="P534" s="1" t="str">
        <f t="shared" si="107"/>
        <v/>
      </c>
      <c r="Q534" s="1" t="str">
        <f t="shared" si="107"/>
        <v/>
      </c>
      <c r="R534" s="1" t="str">
        <f t="shared" si="107"/>
        <v/>
      </c>
      <c r="S534" s="1" t="str">
        <f t="shared" si="107"/>
        <v/>
      </c>
      <c r="T534" s="359" t="s">
        <v>1252</v>
      </c>
      <c r="U534" s="360" t="s">
        <v>1253</v>
      </c>
      <c r="V534" s="204">
        <v>1</v>
      </c>
      <c r="W534" s="46" t="s">
        <v>90</v>
      </c>
      <c r="X534" s="206"/>
      <c r="Y534" s="43">
        <v>766.67</v>
      </c>
      <c r="Z534" s="77">
        <v>0.17199999999999999</v>
      </c>
      <c r="AA534" s="51">
        <v>634.80276000000003</v>
      </c>
      <c r="AB534" s="117"/>
      <c r="AC534" s="616"/>
      <c r="AD534" s="616"/>
      <c r="AE534" s="118"/>
      <c r="AF534" s="620"/>
      <c r="AG534" s="41" t="s">
        <v>1249</v>
      </c>
      <c r="AH534" s="174" t="s">
        <v>871</v>
      </c>
      <c r="AI534" s="159" t="s">
        <v>872</v>
      </c>
      <c r="AJ534" s="1" t="s">
        <v>98</v>
      </c>
      <c r="AK534" s="1" t="s">
        <v>98</v>
      </c>
      <c r="AL534" s="1" t="s">
        <v>98</v>
      </c>
      <c r="AM534" s="1" t="s">
        <v>98</v>
      </c>
      <c r="AN534" s="185"/>
    </row>
    <row r="535" spans="1:40" s="90" customFormat="1">
      <c r="A535" s="359" t="s">
        <v>1254</v>
      </c>
      <c r="B535" s="360" t="s">
        <v>1255</v>
      </c>
      <c r="C535" s="204">
        <v>1</v>
      </c>
      <c r="D535" s="46" t="s">
        <v>90</v>
      </c>
      <c r="E535" s="43">
        <v>383.33</v>
      </c>
      <c r="F535" s="77">
        <f>rv_ms_hg_cto</f>
        <v>0.17199999999999999</v>
      </c>
      <c r="G535" s="51">
        <f t="shared" si="105"/>
        <v>317.39724000000001</v>
      </c>
      <c r="H535" s="117"/>
      <c r="I535" s="616"/>
      <c r="J535" s="616"/>
      <c r="K535" s="118"/>
      <c r="L535" s="620"/>
      <c r="M535" s="1045" t="s">
        <v>1249</v>
      </c>
      <c r="N535" s="1047" t="s">
        <v>871</v>
      </c>
      <c r="O535" s="1056" t="s">
        <v>872</v>
      </c>
      <c r="P535" s="1" t="str">
        <f t="shared" si="107"/>
        <v/>
      </c>
      <c r="Q535" s="1" t="str">
        <f t="shared" si="107"/>
        <v/>
      </c>
      <c r="R535" s="1" t="str">
        <f t="shared" si="107"/>
        <v/>
      </c>
      <c r="S535" s="1" t="str">
        <f t="shared" si="107"/>
        <v/>
      </c>
      <c r="T535" s="359" t="s">
        <v>1254</v>
      </c>
      <c r="U535" s="360" t="s">
        <v>1255</v>
      </c>
      <c r="V535" s="204">
        <v>1</v>
      </c>
      <c r="W535" s="46" t="s">
        <v>90</v>
      </c>
      <c r="X535" s="206"/>
      <c r="Y535" s="43">
        <v>383.33</v>
      </c>
      <c r="Z535" s="77">
        <v>0.17199999999999999</v>
      </c>
      <c r="AA535" s="51">
        <v>317.39724000000001</v>
      </c>
      <c r="AB535" s="117"/>
      <c r="AC535" s="616"/>
      <c r="AD535" s="616"/>
      <c r="AE535" s="118"/>
      <c r="AF535" s="620"/>
      <c r="AG535" s="41" t="s">
        <v>1249</v>
      </c>
      <c r="AH535" s="174" t="s">
        <v>871</v>
      </c>
      <c r="AI535" s="159" t="s">
        <v>872</v>
      </c>
      <c r="AJ535" s="1" t="s">
        <v>98</v>
      </c>
      <c r="AK535" s="1" t="s">
        <v>98</v>
      </c>
      <c r="AL535" s="1" t="s">
        <v>98</v>
      </c>
      <c r="AM535" s="1" t="s">
        <v>98</v>
      </c>
      <c r="AN535" s="185"/>
    </row>
    <row r="536" spans="1:40" s="90" customFormat="1">
      <c r="A536" s="359" t="s">
        <v>1256</v>
      </c>
      <c r="B536" s="360" t="s">
        <v>1257</v>
      </c>
      <c r="C536" s="204">
        <v>1</v>
      </c>
      <c r="D536" s="46" t="s">
        <v>90</v>
      </c>
      <c r="E536" s="43">
        <v>958.33</v>
      </c>
      <c r="F536" s="77">
        <f>rv_ms_hg_cto</f>
        <v>0.17199999999999999</v>
      </c>
      <c r="G536" s="51">
        <f t="shared" si="105"/>
        <v>793.49724000000003</v>
      </c>
      <c r="H536" s="117"/>
      <c r="I536" s="616"/>
      <c r="J536" s="616"/>
      <c r="K536" s="118"/>
      <c r="L536" s="620"/>
      <c r="M536" s="1045" t="s">
        <v>1249</v>
      </c>
      <c r="N536" s="1047" t="s">
        <v>871</v>
      </c>
      <c r="O536" s="1056" t="s">
        <v>872</v>
      </c>
      <c r="P536" s="1" t="str">
        <f t="shared" si="107"/>
        <v/>
      </c>
      <c r="Q536" s="1" t="str">
        <f t="shared" si="107"/>
        <v/>
      </c>
      <c r="R536" s="1" t="str">
        <f t="shared" si="107"/>
        <v/>
      </c>
      <c r="S536" s="1" t="str">
        <f t="shared" si="107"/>
        <v/>
      </c>
      <c r="T536" s="359" t="s">
        <v>1256</v>
      </c>
      <c r="U536" s="360" t="s">
        <v>1257</v>
      </c>
      <c r="V536" s="204">
        <v>1</v>
      </c>
      <c r="W536" s="46" t="s">
        <v>90</v>
      </c>
      <c r="X536" s="206"/>
      <c r="Y536" s="43">
        <v>958.33</v>
      </c>
      <c r="Z536" s="77">
        <v>0.17199999999999999</v>
      </c>
      <c r="AA536" s="51">
        <v>793.49724000000003</v>
      </c>
      <c r="AB536" s="117"/>
      <c r="AC536" s="616"/>
      <c r="AD536" s="616"/>
      <c r="AE536" s="118"/>
      <c r="AF536" s="620"/>
      <c r="AG536" s="41" t="s">
        <v>1249</v>
      </c>
      <c r="AH536" s="174" t="s">
        <v>871</v>
      </c>
      <c r="AI536" s="159" t="s">
        <v>872</v>
      </c>
      <c r="AJ536" s="1" t="s">
        <v>98</v>
      </c>
      <c r="AK536" s="1" t="s">
        <v>98</v>
      </c>
      <c r="AL536" s="1" t="s">
        <v>98</v>
      </c>
      <c r="AM536" s="1" t="s">
        <v>98</v>
      </c>
      <c r="AN536" s="185"/>
    </row>
    <row r="537" spans="1:40" s="90" customFormat="1">
      <c r="A537" s="359" t="s">
        <v>1258</v>
      </c>
      <c r="B537" s="360" t="s">
        <v>1259</v>
      </c>
      <c r="C537" s="204">
        <v>1</v>
      </c>
      <c r="D537" s="46" t="s">
        <v>90</v>
      </c>
      <c r="E537" s="43">
        <v>2108.33</v>
      </c>
      <c r="F537" s="77">
        <f>rv_ms_hg_cto</f>
        <v>0.17199999999999999</v>
      </c>
      <c r="G537" s="51">
        <f t="shared" si="105"/>
        <v>1745.69724</v>
      </c>
      <c r="H537" s="117"/>
      <c r="I537" s="616"/>
      <c r="J537" s="616"/>
      <c r="K537" s="118"/>
      <c r="L537" s="620"/>
      <c r="M537" s="1045" t="s">
        <v>1249</v>
      </c>
      <c r="N537" s="1047" t="s">
        <v>871</v>
      </c>
      <c r="O537" s="1056" t="s">
        <v>872</v>
      </c>
      <c r="P537" s="1" t="str">
        <f t="shared" si="107"/>
        <v/>
      </c>
      <c r="Q537" s="1" t="str">
        <f t="shared" si="107"/>
        <v/>
      </c>
      <c r="R537" s="1" t="str">
        <f t="shared" si="107"/>
        <v/>
      </c>
      <c r="S537" s="1" t="str">
        <f t="shared" si="107"/>
        <v/>
      </c>
      <c r="T537" s="359" t="s">
        <v>1258</v>
      </c>
      <c r="U537" s="360" t="s">
        <v>1259</v>
      </c>
      <c r="V537" s="204">
        <v>1</v>
      </c>
      <c r="W537" s="46" t="s">
        <v>90</v>
      </c>
      <c r="X537" s="206"/>
      <c r="Y537" s="43">
        <v>2108.33</v>
      </c>
      <c r="Z537" s="77">
        <v>0.17199999999999999</v>
      </c>
      <c r="AA537" s="51">
        <v>1745.69724</v>
      </c>
      <c r="AB537" s="117"/>
      <c r="AC537" s="616"/>
      <c r="AD537" s="616"/>
      <c r="AE537" s="118"/>
      <c r="AF537" s="620"/>
      <c r="AG537" s="41" t="s">
        <v>1249</v>
      </c>
      <c r="AH537" s="174" t="s">
        <v>871</v>
      </c>
      <c r="AI537" s="159" t="s">
        <v>872</v>
      </c>
      <c r="AJ537" s="1" t="s">
        <v>98</v>
      </c>
      <c r="AK537" s="1" t="s">
        <v>98</v>
      </c>
      <c r="AL537" s="1" t="s">
        <v>98</v>
      </c>
      <c r="AM537" s="1" t="s">
        <v>98</v>
      </c>
      <c r="AN537" s="185"/>
    </row>
    <row r="538" spans="1:40" s="127" customFormat="1">
      <c r="A538" s="457" t="s">
        <v>1233</v>
      </c>
      <c r="B538" s="79" t="s">
        <v>1260</v>
      </c>
      <c r="C538" s="80">
        <v>1</v>
      </c>
      <c r="D538" s="123" t="s">
        <v>114</v>
      </c>
      <c r="E538" s="601">
        <v>112.32</v>
      </c>
      <c r="F538" s="602">
        <f>rv_ms_eg</f>
        <v>0.17199999999999999</v>
      </c>
      <c r="G538" s="603">
        <f t="shared" si="105"/>
        <v>93.000959999999992</v>
      </c>
      <c r="H538" s="108"/>
      <c r="I538" s="126"/>
      <c r="J538" s="126"/>
      <c r="K538" s="109"/>
      <c r="L538" s="269"/>
      <c r="M538" s="1045" t="s">
        <v>115</v>
      </c>
      <c r="N538" s="1050" t="s">
        <v>116</v>
      </c>
      <c r="O538" s="1062" t="s">
        <v>884</v>
      </c>
      <c r="P538" s="1" t="str">
        <f t="shared" si="107"/>
        <v/>
      </c>
      <c r="Q538" s="1" t="str">
        <f t="shared" si="107"/>
        <v/>
      </c>
      <c r="R538" s="1" t="str">
        <f t="shared" si="107"/>
        <v/>
      </c>
      <c r="S538" s="1" t="str">
        <f t="shared" si="107"/>
        <v/>
      </c>
      <c r="T538" s="457" t="s">
        <v>1233</v>
      </c>
      <c r="U538" s="79" t="s">
        <v>1260</v>
      </c>
      <c r="V538" s="80">
        <v>1</v>
      </c>
      <c r="W538" s="123" t="s">
        <v>114</v>
      </c>
      <c r="X538" s="81" t="s">
        <v>1233</v>
      </c>
      <c r="Y538" s="601">
        <v>112.32</v>
      </c>
      <c r="Z538" s="602">
        <v>0.17199999999999999</v>
      </c>
      <c r="AA538" s="603">
        <v>93.000959999999992</v>
      </c>
      <c r="AB538" s="108"/>
      <c r="AC538" s="126"/>
      <c r="AD538" s="126"/>
      <c r="AE538" s="109" t="s">
        <v>92</v>
      </c>
      <c r="AF538" s="269" t="s">
        <v>92</v>
      </c>
      <c r="AG538" s="41" t="s">
        <v>115</v>
      </c>
      <c r="AH538" s="183" t="s">
        <v>116</v>
      </c>
      <c r="AI538" s="158" t="s">
        <v>884</v>
      </c>
      <c r="AJ538" s="1" t="s">
        <v>98</v>
      </c>
      <c r="AK538" s="1" t="s">
        <v>98</v>
      </c>
      <c r="AL538" s="1" t="s">
        <v>98</v>
      </c>
      <c r="AM538" s="1" t="s">
        <v>98</v>
      </c>
      <c r="AN538" s="183"/>
    </row>
    <row r="539" spans="1:40" s="90" customFormat="1">
      <c r="A539" s="421" t="s">
        <v>1261</v>
      </c>
      <c r="B539" s="110" t="s">
        <v>1262</v>
      </c>
      <c r="C539" s="26">
        <v>1</v>
      </c>
      <c r="D539" s="46" t="s">
        <v>114</v>
      </c>
      <c r="E539" s="47"/>
      <c r="F539" s="21"/>
      <c r="G539" s="145">
        <v>26</v>
      </c>
      <c r="H539" s="93"/>
      <c r="I539" s="270"/>
      <c r="J539" s="270"/>
      <c r="K539" s="121"/>
      <c r="L539" s="270"/>
      <c r="M539" s="1045" t="s">
        <v>115</v>
      </c>
      <c r="N539" s="1051" t="s">
        <v>116</v>
      </c>
      <c r="O539" s="1063" t="s">
        <v>884</v>
      </c>
      <c r="P539" s="1" t="str">
        <f t="shared" si="107"/>
        <v/>
      </c>
      <c r="Q539" s="1" t="str">
        <f t="shared" si="107"/>
        <v/>
      </c>
      <c r="R539" s="1" t="str">
        <f t="shared" si="107"/>
        <v/>
      </c>
      <c r="S539" s="1" t="str">
        <f t="shared" si="107"/>
        <v/>
      </c>
      <c r="T539" s="421" t="s">
        <v>1261</v>
      </c>
      <c r="U539" s="110" t="s">
        <v>1262</v>
      </c>
      <c r="V539" s="26">
        <v>1</v>
      </c>
      <c r="W539" s="46" t="s">
        <v>114</v>
      </c>
      <c r="X539" s="274" t="s">
        <v>1261</v>
      </c>
      <c r="Y539" s="47"/>
      <c r="Z539" s="21"/>
      <c r="AA539" s="145">
        <v>26</v>
      </c>
      <c r="AB539" s="93"/>
      <c r="AC539" s="270"/>
      <c r="AD539" s="270"/>
      <c r="AE539" s="121" t="s">
        <v>92</v>
      </c>
      <c r="AF539" s="270" t="s">
        <v>92</v>
      </c>
      <c r="AG539" s="41" t="s">
        <v>115</v>
      </c>
      <c r="AH539" s="207" t="s">
        <v>116</v>
      </c>
      <c r="AI539" s="14" t="s">
        <v>884</v>
      </c>
      <c r="AJ539" s="1" t="s">
        <v>98</v>
      </c>
      <c r="AK539" s="1" t="s">
        <v>98</v>
      </c>
      <c r="AL539" s="1" t="s">
        <v>98</v>
      </c>
      <c r="AM539" s="1" t="s">
        <v>98</v>
      </c>
      <c r="AN539" s="185"/>
    </row>
    <row r="540" spans="1:40" s="90" customFormat="1">
      <c r="A540" s="421" t="s">
        <v>1263</v>
      </c>
      <c r="B540" s="110" t="s">
        <v>1264</v>
      </c>
      <c r="C540" s="26">
        <v>1</v>
      </c>
      <c r="D540" s="46" t="s">
        <v>114</v>
      </c>
      <c r="E540" s="47"/>
      <c r="F540" s="21"/>
      <c r="G540" s="145">
        <v>51</v>
      </c>
      <c r="H540" s="93"/>
      <c r="I540" s="270"/>
      <c r="J540" s="270"/>
      <c r="K540" s="121"/>
      <c r="L540" s="270"/>
      <c r="M540" s="1045" t="s">
        <v>115</v>
      </c>
      <c r="N540" s="1051" t="s">
        <v>116</v>
      </c>
      <c r="O540" s="1063" t="s">
        <v>884</v>
      </c>
      <c r="P540" s="1" t="str">
        <f t="shared" si="107"/>
        <v/>
      </c>
      <c r="Q540" s="1" t="str">
        <f t="shared" si="107"/>
        <v/>
      </c>
      <c r="R540" s="1" t="str">
        <f t="shared" si="107"/>
        <v/>
      </c>
      <c r="S540" s="1" t="str">
        <f t="shared" si="107"/>
        <v/>
      </c>
      <c r="T540" s="421" t="s">
        <v>1263</v>
      </c>
      <c r="U540" s="110" t="s">
        <v>1264</v>
      </c>
      <c r="V540" s="26">
        <v>1</v>
      </c>
      <c r="W540" s="46" t="s">
        <v>114</v>
      </c>
      <c r="X540" s="274" t="s">
        <v>1263</v>
      </c>
      <c r="Y540" s="47"/>
      <c r="Z540" s="21"/>
      <c r="AA540" s="145">
        <v>51</v>
      </c>
      <c r="AB540" s="93"/>
      <c r="AC540" s="270"/>
      <c r="AD540" s="270"/>
      <c r="AE540" s="121" t="s">
        <v>92</v>
      </c>
      <c r="AF540" s="270" t="s">
        <v>92</v>
      </c>
      <c r="AG540" s="41" t="s">
        <v>115</v>
      </c>
      <c r="AH540" s="207" t="s">
        <v>116</v>
      </c>
      <c r="AI540" s="14" t="s">
        <v>884</v>
      </c>
      <c r="AJ540" s="1" t="s">
        <v>98</v>
      </c>
      <c r="AK540" s="1" t="s">
        <v>98</v>
      </c>
      <c r="AL540" s="1" t="s">
        <v>98</v>
      </c>
      <c r="AM540" s="1" t="s">
        <v>98</v>
      </c>
      <c r="AN540" s="185"/>
    </row>
    <row r="541" spans="1:40" s="90" customFormat="1">
      <c r="A541" s="421" t="s">
        <v>1265</v>
      </c>
      <c r="B541" s="110" t="s">
        <v>1266</v>
      </c>
      <c r="C541" s="26">
        <v>1</v>
      </c>
      <c r="D541" s="46" t="s">
        <v>114</v>
      </c>
      <c r="E541" s="47"/>
      <c r="F541" s="21"/>
      <c r="G541" s="145">
        <v>79</v>
      </c>
      <c r="H541" s="93"/>
      <c r="I541" s="270"/>
      <c r="J541" s="270"/>
      <c r="K541" s="121"/>
      <c r="L541" s="270"/>
      <c r="M541" s="1045" t="s">
        <v>115</v>
      </c>
      <c r="N541" s="1051" t="s">
        <v>116</v>
      </c>
      <c r="O541" s="1063" t="s">
        <v>884</v>
      </c>
      <c r="P541" s="1" t="str">
        <f t="shared" si="107"/>
        <v/>
      </c>
      <c r="Q541" s="1" t="str">
        <f t="shared" si="107"/>
        <v/>
      </c>
      <c r="R541" s="1" t="str">
        <f t="shared" si="107"/>
        <v/>
      </c>
      <c r="S541" s="1" t="str">
        <f t="shared" si="107"/>
        <v/>
      </c>
      <c r="T541" s="421" t="s">
        <v>1265</v>
      </c>
      <c r="U541" s="110" t="s">
        <v>1266</v>
      </c>
      <c r="V541" s="26">
        <v>1</v>
      </c>
      <c r="W541" s="46" t="s">
        <v>114</v>
      </c>
      <c r="X541" s="274" t="s">
        <v>1265</v>
      </c>
      <c r="Y541" s="47"/>
      <c r="Z541" s="21"/>
      <c r="AA541" s="145">
        <v>79</v>
      </c>
      <c r="AB541" s="93"/>
      <c r="AC541" s="270"/>
      <c r="AD541" s="270"/>
      <c r="AE541" s="121" t="s">
        <v>92</v>
      </c>
      <c r="AF541" s="270" t="s">
        <v>92</v>
      </c>
      <c r="AG541" s="41" t="s">
        <v>115</v>
      </c>
      <c r="AH541" s="207" t="s">
        <v>116</v>
      </c>
      <c r="AI541" s="14" t="s">
        <v>884</v>
      </c>
      <c r="AJ541" s="1" t="s">
        <v>98</v>
      </c>
      <c r="AK541" s="1" t="s">
        <v>98</v>
      </c>
      <c r="AL541" s="1" t="s">
        <v>98</v>
      </c>
      <c r="AM541" s="1" t="s">
        <v>98</v>
      </c>
      <c r="AN541" s="185"/>
    </row>
    <row r="542" spans="1:40" s="90" customFormat="1">
      <c r="A542" s="421" t="s">
        <v>1267</v>
      </c>
      <c r="B542" s="110" t="s">
        <v>1268</v>
      </c>
      <c r="C542" s="26">
        <v>1</v>
      </c>
      <c r="D542" s="46" t="s">
        <v>114</v>
      </c>
      <c r="E542" s="47"/>
      <c r="F542" s="21"/>
      <c r="G542" s="145">
        <v>42</v>
      </c>
      <c r="H542" s="93"/>
      <c r="I542" s="270"/>
      <c r="J542" s="270"/>
      <c r="K542" s="121"/>
      <c r="L542" s="270"/>
      <c r="M542" s="1045" t="s">
        <v>115</v>
      </c>
      <c r="N542" s="1051" t="s">
        <v>116</v>
      </c>
      <c r="O542" s="1063" t="s">
        <v>884</v>
      </c>
      <c r="P542" s="1" t="str">
        <f t="shared" si="107"/>
        <v/>
      </c>
      <c r="Q542" s="1" t="str">
        <f t="shared" si="107"/>
        <v/>
      </c>
      <c r="R542" s="1" t="str">
        <f t="shared" si="107"/>
        <v/>
      </c>
      <c r="S542" s="1" t="str">
        <f t="shared" si="107"/>
        <v/>
      </c>
      <c r="T542" s="421" t="s">
        <v>1267</v>
      </c>
      <c r="U542" s="110" t="s">
        <v>1269</v>
      </c>
      <c r="V542" s="26">
        <v>1</v>
      </c>
      <c r="W542" s="46" t="s">
        <v>114</v>
      </c>
      <c r="X542" s="274" t="s">
        <v>1267</v>
      </c>
      <c r="Y542" s="47"/>
      <c r="Z542" s="21"/>
      <c r="AA542" s="145">
        <v>42</v>
      </c>
      <c r="AB542" s="93"/>
      <c r="AC542" s="270"/>
      <c r="AD542" s="270"/>
      <c r="AE542" s="121" t="s">
        <v>92</v>
      </c>
      <c r="AF542" s="270" t="s">
        <v>92</v>
      </c>
      <c r="AG542" s="41" t="s">
        <v>115</v>
      </c>
      <c r="AH542" s="207" t="s">
        <v>116</v>
      </c>
      <c r="AI542" s="14" t="s">
        <v>884</v>
      </c>
      <c r="AJ542" s="1" t="s">
        <v>98</v>
      </c>
      <c r="AK542" s="1" t="s">
        <v>98</v>
      </c>
      <c r="AL542" s="1" t="s">
        <v>98</v>
      </c>
      <c r="AM542" s="1" t="s">
        <v>98</v>
      </c>
      <c r="AN542" s="185"/>
    </row>
    <row r="543" spans="1:40" s="90" customFormat="1">
      <c r="A543" s="421" t="s">
        <v>1270</v>
      </c>
      <c r="B543" s="110" t="s">
        <v>1271</v>
      </c>
      <c r="C543" s="26">
        <v>1</v>
      </c>
      <c r="D543" s="46" t="s">
        <v>114</v>
      </c>
      <c r="E543" s="47"/>
      <c r="F543" s="21"/>
      <c r="G543" s="145">
        <v>79</v>
      </c>
      <c r="H543" s="93"/>
      <c r="I543" s="270"/>
      <c r="J543" s="270"/>
      <c r="K543" s="121"/>
      <c r="L543" s="270"/>
      <c r="M543" s="1045" t="s">
        <v>115</v>
      </c>
      <c r="N543" s="1051" t="s">
        <v>116</v>
      </c>
      <c r="O543" s="1063" t="s">
        <v>884</v>
      </c>
      <c r="P543" s="1" t="str">
        <f t="shared" si="107"/>
        <v/>
      </c>
      <c r="Q543" s="1" t="str">
        <f t="shared" si="107"/>
        <v/>
      </c>
      <c r="R543" s="1" t="str">
        <f t="shared" si="107"/>
        <v/>
      </c>
      <c r="S543" s="1" t="str">
        <f t="shared" si="107"/>
        <v/>
      </c>
      <c r="T543" s="421" t="s">
        <v>1270</v>
      </c>
      <c r="U543" s="110" t="s">
        <v>1272</v>
      </c>
      <c r="V543" s="26">
        <v>1</v>
      </c>
      <c r="W543" s="46" t="s">
        <v>114</v>
      </c>
      <c r="X543" s="274" t="s">
        <v>1270</v>
      </c>
      <c r="Y543" s="47"/>
      <c r="Z543" s="21"/>
      <c r="AA543" s="145">
        <v>79</v>
      </c>
      <c r="AB543" s="93"/>
      <c r="AC543" s="270"/>
      <c r="AD543" s="270"/>
      <c r="AE543" s="121" t="s">
        <v>92</v>
      </c>
      <c r="AF543" s="270" t="s">
        <v>92</v>
      </c>
      <c r="AG543" s="41" t="s">
        <v>115</v>
      </c>
      <c r="AH543" s="207" t="s">
        <v>116</v>
      </c>
      <c r="AI543" s="14" t="s">
        <v>884</v>
      </c>
      <c r="AJ543" s="1" t="s">
        <v>98</v>
      </c>
      <c r="AK543" s="1" t="s">
        <v>98</v>
      </c>
      <c r="AL543" s="1" t="s">
        <v>98</v>
      </c>
      <c r="AM543" s="1" t="s">
        <v>98</v>
      </c>
      <c r="AN543" s="185"/>
    </row>
    <row r="544" spans="1:40" s="90" customFormat="1">
      <c r="A544" s="421" t="s">
        <v>1273</v>
      </c>
      <c r="B544" s="110" t="s">
        <v>1274</v>
      </c>
      <c r="C544" s="26">
        <v>1</v>
      </c>
      <c r="D544" s="46" t="s">
        <v>114</v>
      </c>
      <c r="E544" s="47"/>
      <c r="F544" s="21"/>
      <c r="G544" s="145">
        <v>100</v>
      </c>
      <c r="H544" s="93"/>
      <c r="I544" s="270"/>
      <c r="J544" s="270"/>
      <c r="K544" s="121"/>
      <c r="L544" s="270"/>
      <c r="M544" s="1045" t="s">
        <v>115</v>
      </c>
      <c r="N544" s="1051" t="s">
        <v>116</v>
      </c>
      <c r="O544" s="1063" t="s">
        <v>884</v>
      </c>
      <c r="P544" s="1" t="str">
        <f t="shared" si="107"/>
        <v/>
      </c>
      <c r="Q544" s="1" t="str">
        <f t="shared" si="107"/>
        <v/>
      </c>
      <c r="R544" s="1" t="str">
        <f t="shared" si="107"/>
        <v/>
      </c>
      <c r="S544" s="1" t="str">
        <f t="shared" si="107"/>
        <v/>
      </c>
      <c r="T544" s="421" t="s">
        <v>1273</v>
      </c>
      <c r="U544" s="110" t="s">
        <v>1275</v>
      </c>
      <c r="V544" s="26">
        <v>1</v>
      </c>
      <c r="W544" s="46" t="s">
        <v>114</v>
      </c>
      <c r="X544" s="274" t="s">
        <v>1273</v>
      </c>
      <c r="Y544" s="47"/>
      <c r="Z544" s="21"/>
      <c r="AA544" s="145">
        <v>100</v>
      </c>
      <c r="AB544" s="93"/>
      <c r="AC544" s="270"/>
      <c r="AD544" s="270"/>
      <c r="AE544" s="121" t="s">
        <v>92</v>
      </c>
      <c r="AF544" s="270" t="s">
        <v>92</v>
      </c>
      <c r="AG544" s="41" t="s">
        <v>115</v>
      </c>
      <c r="AH544" s="207" t="s">
        <v>116</v>
      </c>
      <c r="AI544" s="14" t="s">
        <v>884</v>
      </c>
      <c r="AJ544" s="1" t="s">
        <v>98</v>
      </c>
      <c r="AK544" s="1" t="s">
        <v>98</v>
      </c>
      <c r="AL544" s="1" t="s">
        <v>98</v>
      </c>
      <c r="AM544" s="1" t="s">
        <v>98</v>
      </c>
      <c r="AN544" s="185"/>
    </row>
    <row r="545" spans="1:40" s="90" customFormat="1">
      <c r="A545" s="421" t="s">
        <v>1276</v>
      </c>
      <c r="B545" s="110" t="s">
        <v>1277</v>
      </c>
      <c r="C545" s="26">
        <v>1</v>
      </c>
      <c r="D545" s="46" t="s">
        <v>114</v>
      </c>
      <c r="E545" s="47"/>
      <c r="F545" s="21"/>
      <c r="G545" s="145">
        <v>105</v>
      </c>
      <c r="H545" s="93"/>
      <c r="I545" s="270"/>
      <c r="J545" s="270"/>
      <c r="K545" s="121"/>
      <c r="L545" s="270"/>
      <c r="M545" s="1045" t="s">
        <v>115</v>
      </c>
      <c r="N545" s="1051" t="s">
        <v>116</v>
      </c>
      <c r="O545" s="1063" t="s">
        <v>884</v>
      </c>
      <c r="P545" s="1" t="str">
        <f t="shared" si="107"/>
        <v/>
      </c>
      <c r="Q545" s="1" t="str">
        <f t="shared" si="107"/>
        <v/>
      </c>
      <c r="R545" s="1" t="str">
        <f t="shared" si="107"/>
        <v/>
      </c>
      <c r="S545" s="1" t="str">
        <f t="shared" si="107"/>
        <v/>
      </c>
      <c r="T545" s="421" t="s">
        <v>1276</v>
      </c>
      <c r="U545" s="110" t="s">
        <v>1278</v>
      </c>
      <c r="V545" s="26">
        <v>1</v>
      </c>
      <c r="W545" s="46" t="s">
        <v>114</v>
      </c>
      <c r="X545" s="274" t="s">
        <v>1276</v>
      </c>
      <c r="Y545" s="47"/>
      <c r="Z545" s="21"/>
      <c r="AA545" s="145">
        <v>105</v>
      </c>
      <c r="AB545" s="93"/>
      <c r="AC545" s="270"/>
      <c r="AD545" s="270"/>
      <c r="AE545" s="121" t="s">
        <v>92</v>
      </c>
      <c r="AF545" s="270" t="s">
        <v>92</v>
      </c>
      <c r="AG545" s="41" t="s">
        <v>115</v>
      </c>
      <c r="AH545" s="207" t="s">
        <v>116</v>
      </c>
      <c r="AI545" s="14" t="s">
        <v>884</v>
      </c>
      <c r="AJ545" s="1" t="s">
        <v>98</v>
      </c>
      <c r="AK545" s="1" t="s">
        <v>98</v>
      </c>
      <c r="AL545" s="1" t="s">
        <v>98</v>
      </c>
      <c r="AM545" s="1" t="s">
        <v>98</v>
      </c>
      <c r="AN545" s="185"/>
    </row>
    <row r="546" spans="1:40" s="90" customFormat="1">
      <c r="A546" s="421" t="s">
        <v>1279</v>
      </c>
      <c r="B546" s="110" t="s">
        <v>1280</v>
      </c>
      <c r="C546" s="26">
        <v>1</v>
      </c>
      <c r="D546" s="46" t="s">
        <v>114</v>
      </c>
      <c r="E546" s="47"/>
      <c r="F546" s="21"/>
      <c r="G546" s="145">
        <v>32</v>
      </c>
      <c r="H546" s="93"/>
      <c r="I546" s="270"/>
      <c r="J546" s="270"/>
      <c r="K546" s="121"/>
      <c r="L546" s="270"/>
      <c r="M546" s="1045" t="s">
        <v>115</v>
      </c>
      <c r="N546" s="1051" t="s">
        <v>116</v>
      </c>
      <c r="O546" s="1063" t="s">
        <v>884</v>
      </c>
      <c r="P546" s="1" t="str">
        <f t="shared" si="107"/>
        <v/>
      </c>
      <c r="Q546" s="1" t="str">
        <f t="shared" si="107"/>
        <v/>
      </c>
      <c r="R546" s="1" t="str">
        <f t="shared" si="107"/>
        <v/>
      </c>
      <c r="S546" s="1" t="str">
        <f t="shared" si="107"/>
        <v/>
      </c>
      <c r="T546" s="421" t="s">
        <v>1279</v>
      </c>
      <c r="U546" s="110" t="s">
        <v>1280</v>
      </c>
      <c r="V546" s="26">
        <v>1</v>
      </c>
      <c r="W546" s="46" t="s">
        <v>114</v>
      </c>
      <c r="X546" s="274" t="s">
        <v>1279</v>
      </c>
      <c r="Y546" s="47"/>
      <c r="Z546" s="21"/>
      <c r="AA546" s="145">
        <v>32</v>
      </c>
      <c r="AB546" s="93"/>
      <c r="AC546" s="270"/>
      <c r="AD546" s="270"/>
      <c r="AE546" s="121" t="s">
        <v>92</v>
      </c>
      <c r="AF546" s="270" t="s">
        <v>92</v>
      </c>
      <c r="AG546" s="41" t="s">
        <v>115</v>
      </c>
      <c r="AH546" s="207" t="s">
        <v>116</v>
      </c>
      <c r="AI546" s="14" t="s">
        <v>884</v>
      </c>
      <c r="AJ546" s="1" t="s">
        <v>98</v>
      </c>
      <c r="AK546" s="1" t="s">
        <v>98</v>
      </c>
      <c r="AL546" s="1" t="s">
        <v>98</v>
      </c>
      <c r="AM546" s="1" t="s">
        <v>98</v>
      </c>
      <c r="AN546" s="185"/>
    </row>
    <row r="547" spans="1:40" s="90" customFormat="1">
      <c r="A547" s="421" t="s">
        <v>1281</v>
      </c>
      <c r="B547" s="110" t="s">
        <v>1282</v>
      </c>
      <c r="C547" s="26">
        <v>1</v>
      </c>
      <c r="D547" s="46" t="s">
        <v>114</v>
      </c>
      <c r="E547" s="47"/>
      <c r="F547" s="21"/>
      <c r="G547" s="145">
        <v>79</v>
      </c>
      <c r="H547" s="93"/>
      <c r="I547" s="270"/>
      <c r="J547" s="270"/>
      <c r="K547" s="121"/>
      <c r="L547" s="270"/>
      <c r="M547" s="1045" t="s">
        <v>115</v>
      </c>
      <c r="N547" s="1051" t="s">
        <v>116</v>
      </c>
      <c r="O547" s="1063" t="s">
        <v>884</v>
      </c>
      <c r="P547" s="1" t="str">
        <f t="shared" si="107"/>
        <v/>
      </c>
      <c r="Q547" s="1" t="str">
        <f t="shared" si="107"/>
        <v/>
      </c>
      <c r="R547" s="1" t="str">
        <f t="shared" si="107"/>
        <v/>
      </c>
      <c r="S547" s="1" t="str">
        <f t="shared" si="107"/>
        <v/>
      </c>
      <c r="T547" s="421" t="s">
        <v>1281</v>
      </c>
      <c r="U547" s="110" t="s">
        <v>1282</v>
      </c>
      <c r="V547" s="26">
        <v>1</v>
      </c>
      <c r="W547" s="46" t="s">
        <v>114</v>
      </c>
      <c r="X547" s="274" t="s">
        <v>1281</v>
      </c>
      <c r="Y547" s="47"/>
      <c r="Z547" s="21"/>
      <c r="AA547" s="145">
        <v>79</v>
      </c>
      <c r="AB547" s="93"/>
      <c r="AC547" s="270"/>
      <c r="AD547" s="270"/>
      <c r="AE547" s="121" t="s">
        <v>92</v>
      </c>
      <c r="AF547" s="270" t="s">
        <v>92</v>
      </c>
      <c r="AG547" s="41" t="s">
        <v>115</v>
      </c>
      <c r="AH547" s="207" t="s">
        <v>116</v>
      </c>
      <c r="AI547" s="14" t="s">
        <v>884</v>
      </c>
      <c r="AJ547" s="1" t="s">
        <v>98</v>
      </c>
      <c r="AK547" s="1" t="s">
        <v>98</v>
      </c>
      <c r="AL547" s="1" t="s">
        <v>98</v>
      </c>
      <c r="AM547" s="1" t="s">
        <v>98</v>
      </c>
      <c r="AN547" s="185"/>
    </row>
    <row r="548" spans="1:40" s="90" customFormat="1">
      <c r="A548" s="421" t="s">
        <v>1283</v>
      </c>
      <c r="B548" s="110" t="s">
        <v>1284</v>
      </c>
      <c r="C548" s="26">
        <v>1</v>
      </c>
      <c r="D548" s="46" t="s">
        <v>114</v>
      </c>
      <c r="E548" s="47"/>
      <c r="F548" s="21"/>
      <c r="G548" s="145">
        <v>105</v>
      </c>
      <c r="H548" s="93"/>
      <c r="I548" s="270"/>
      <c r="J548" s="270"/>
      <c r="K548" s="121"/>
      <c r="L548" s="270"/>
      <c r="M548" s="1045" t="s">
        <v>115</v>
      </c>
      <c r="N548" s="1051" t="s">
        <v>116</v>
      </c>
      <c r="O548" s="1063" t="s">
        <v>884</v>
      </c>
      <c r="P548" s="1" t="str">
        <f t="shared" si="107"/>
        <v/>
      </c>
      <c r="Q548" s="1" t="str">
        <f t="shared" si="107"/>
        <v/>
      </c>
      <c r="R548" s="1" t="str">
        <f t="shared" si="107"/>
        <v/>
      </c>
      <c r="S548" s="1" t="str">
        <f t="shared" si="107"/>
        <v/>
      </c>
      <c r="T548" s="421" t="s">
        <v>1283</v>
      </c>
      <c r="U548" s="110" t="s">
        <v>1284</v>
      </c>
      <c r="V548" s="26">
        <v>1</v>
      </c>
      <c r="W548" s="46" t="s">
        <v>114</v>
      </c>
      <c r="X548" s="274" t="s">
        <v>1283</v>
      </c>
      <c r="Y548" s="47"/>
      <c r="Z548" s="21"/>
      <c r="AA548" s="145">
        <v>105</v>
      </c>
      <c r="AB548" s="93"/>
      <c r="AC548" s="270"/>
      <c r="AD548" s="270"/>
      <c r="AE548" s="121" t="s">
        <v>92</v>
      </c>
      <c r="AF548" s="270" t="s">
        <v>92</v>
      </c>
      <c r="AG548" s="41" t="s">
        <v>115</v>
      </c>
      <c r="AH548" s="207" t="s">
        <v>116</v>
      </c>
      <c r="AI548" s="14" t="s">
        <v>884</v>
      </c>
      <c r="AJ548" s="1" t="s">
        <v>98</v>
      </c>
      <c r="AK548" s="1" t="s">
        <v>98</v>
      </c>
      <c r="AL548" s="1" t="s">
        <v>98</v>
      </c>
      <c r="AM548" s="1" t="s">
        <v>98</v>
      </c>
      <c r="AN548" s="185"/>
    </row>
    <row r="549" spans="1:40" s="90" customFormat="1">
      <c r="A549" s="421" t="s">
        <v>1285</v>
      </c>
      <c r="B549" s="110" t="s">
        <v>1286</v>
      </c>
      <c r="C549" s="26">
        <v>1</v>
      </c>
      <c r="D549" s="46" t="s">
        <v>114</v>
      </c>
      <c r="E549" s="47"/>
      <c r="F549" s="21"/>
      <c r="G549" s="145">
        <v>137</v>
      </c>
      <c r="H549" s="93"/>
      <c r="I549" s="270"/>
      <c r="J549" s="270"/>
      <c r="K549" s="121"/>
      <c r="L549" s="270"/>
      <c r="M549" s="1045" t="s">
        <v>115</v>
      </c>
      <c r="N549" s="1051" t="s">
        <v>116</v>
      </c>
      <c r="O549" s="1063" t="s">
        <v>884</v>
      </c>
      <c r="P549" s="1" t="str">
        <f t="shared" si="107"/>
        <v/>
      </c>
      <c r="Q549" s="1" t="str">
        <f t="shared" si="107"/>
        <v/>
      </c>
      <c r="R549" s="1" t="str">
        <f t="shared" si="107"/>
        <v/>
      </c>
      <c r="S549" s="1" t="str">
        <f t="shared" si="107"/>
        <v/>
      </c>
      <c r="T549" s="421" t="s">
        <v>1285</v>
      </c>
      <c r="U549" s="110" t="s">
        <v>1286</v>
      </c>
      <c r="V549" s="26">
        <v>1</v>
      </c>
      <c r="W549" s="46" t="s">
        <v>114</v>
      </c>
      <c r="X549" s="274" t="s">
        <v>1285</v>
      </c>
      <c r="Y549" s="47"/>
      <c r="Z549" s="21"/>
      <c r="AA549" s="145">
        <v>137</v>
      </c>
      <c r="AB549" s="93"/>
      <c r="AC549" s="270"/>
      <c r="AD549" s="270"/>
      <c r="AE549" s="121" t="s">
        <v>92</v>
      </c>
      <c r="AF549" s="270" t="s">
        <v>92</v>
      </c>
      <c r="AG549" s="41" t="s">
        <v>115</v>
      </c>
      <c r="AH549" s="207" t="s">
        <v>116</v>
      </c>
      <c r="AI549" s="14" t="s">
        <v>884</v>
      </c>
      <c r="AJ549" s="1" t="s">
        <v>98</v>
      </c>
      <c r="AK549" s="1" t="s">
        <v>98</v>
      </c>
      <c r="AL549" s="1" t="s">
        <v>98</v>
      </c>
      <c r="AM549" s="1" t="s">
        <v>98</v>
      </c>
      <c r="AN549" s="185"/>
    </row>
    <row r="550" spans="1:40" s="90" customFormat="1" ht="12.95" customHeight="1">
      <c r="A550" s="424" t="s">
        <v>1287</v>
      </c>
      <c r="B550" s="451" t="s">
        <v>1288</v>
      </c>
      <c r="C550" s="175">
        <v>1</v>
      </c>
      <c r="D550" s="52" t="s">
        <v>114</v>
      </c>
      <c r="E550" s="53"/>
      <c r="F550" s="56"/>
      <c r="G550" s="180">
        <v>326</v>
      </c>
      <c r="H550" s="268"/>
      <c r="I550" s="614"/>
      <c r="J550" s="614"/>
      <c r="K550" s="223"/>
      <c r="L550" s="614"/>
      <c r="M550" s="1045" t="s">
        <v>115</v>
      </c>
      <c r="N550" s="1051" t="s">
        <v>116</v>
      </c>
      <c r="O550" s="1064" t="s">
        <v>884</v>
      </c>
      <c r="P550" s="1" t="str">
        <f t="shared" si="107"/>
        <v/>
      </c>
      <c r="Q550" s="1" t="str">
        <f t="shared" si="107"/>
        <v/>
      </c>
      <c r="R550" s="1" t="str">
        <f t="shared" si="107"/>
        <v/>
      </c>
      <c r="S550" s="1" t="str">
        <f t="shared" si="107"/>
        <v/>
      </c>
      <c r="T550" s="424" t="s">
        <v>1287</v>
      </c>
      <c r="U550" s="451" t="s">
        <v>1288</v>
      </c>
      <c r="V550" s="175">
        <v>1</v>
      </c>
      <c r="W550" s="52" t="s">
        <v>114</v>
      </c>
      <c r="X550" s="274" t="s">
        <v>1287</v>
      </c>
      <c r="Y550" s="53"/>
      <c r="Z550" s="56"/>
      <c r="AA550" s="180">
        <v>326</v>
      </c>
      <c r="AB550" s="268"/>
      <c r="AC550" s="614"/>
      <c r="AD550" s="614"/>
      <c r="AE550" s="223" t="s">
        <v>92</v>
      </c>
      <c r="AF550" s="614" t="s">
        <v>92</v>
      </c>
      <c r="AG550" s="41" t="s">
        <v>115</v>
      </c>
      <c r="AH550" s="293" t="s">
        <v>116</v>
      </c>
      <c r="AI550" s="294" t="s">
        <v>884</v>
      </c>
      <c r="AJ550" s="1" t="s">
        <v>98</v>
      </c>
      <c r="AK550" s="1" t="s">
        <v>98</v>
      </c>
      <c r="AL550" s="1" t="s">
        <v>98</v>
      </c>
      <c r="AM550" s="1" t="s">
        <v>98</v>
      </c>
      <c r="AN550" s="185"/>
    </row>
    <row r="551" spans="1:40" s="90" customFormat="1">
      <c r="A551" s="421" t="s">
        <v>1289</v>
      </c>
      <c r="B551" s="110" t="s">
        <v>1290</v>
      </c>
      <c r="C551" s="26">
        <v>1</v>
      </c>
      <c r="D551" s="46" t="s">
        <v>114</v>
      </c>
      <c r="E551" s="47"/>
      <c r="F551" s="21"/>
      <c r="G551" s="145">
        <v>620</v>
      </c>
      <c r="H551" s="93"/>
      <c r="I551" s="270"/>
      <c r="J551" s="270"/>
      <c r="K551" s="121"/>
      <c r="L551" s="270"/>
      <c r="M551" s="1045" t="s">
        <v>115</v>
      </c>
      <c r="N551" s="1051" t="s">
        <v>116</v>
      </c>
      <c r="O551" s="1063" t="s">
        <v>884</v>
      </c>
      <c r="P551" s="1" t="str">
        <f t="shared" si="107"/>
        <v/>
      </c>
      <c r="Q551" s="1" t="str">
        <f t="shared" si="107"/>
        <v/>
      </c>
      <c r="R551" s="1" t="str">
        <f t="shared" si="107"/>
        <v/>
      </c>
      <c r="S551" s="1" t="str">
        <f t="shared" si="107"/>
        <v/>
      </c>
      <c r="T551" s="421" t="s">
        <v>1289</v>
      </c>
      <c r="U551" s="110" t="s">
        <v>1290</v>
      </c>
      <c r="V551" s="26">
        <v>1</v>
      </c>
      <c r="W551" s="46" t="s">
        <v>114</v>
      </c>
      <c r="X551" s="274" t="s">
        <v>1289</v>
      </c>
      <c r="Y551" s="47"/>
      <c r="Z551" s="21"/>
      <c r="AA551" s="145">
        <v>620</v>
      </c>
      <c r="AB551" s="93"/>
      <c r="AC551" s="270"/>
      <c r="AD551" s="270"/>
      <c r="AE551" s="121" t="s">
        <v>92</v>
      </c>
      <c r="AF551" s="270" t="s">
        <v>92</v>
      </c>
      <c r="AG551" s="41" t="s">
        <v>115</v>
      </c>
      <c r="AH551" s="207" t="s">
        <v>116</v>
      </c>
      <c r="AI551" s="14" t="s">
        <v>884</v>
      </c>
      <c r="AJ551" s="1" t="s">
        <v>98</v>
      </c>
      <c r="AK551" s="1" t="s">
        <v>98</v>
      </c>
      <c r="AL551" s="1" t="s">
        <v>98</v>
      </c>
      <c r="AM551" s="1" t="s">
        <v>98</v>
      </c>
      <c r="AN551" s="185"/>
    </row>
    <row r="552" spans="1:40" s="90" customFormat="1">
      <c r="A552" s="422" t="s">
        <v>1291</v>
      </c>
      <c r="B552" s="105" t="s">
        <v>1292</v>
      </c>
      <c r="C552" s="87">
        <v>1</v>
      </c>
      <c r="D552" s="205" t="s">
        <v>114</v>
      </c>
      <c r="E552" s="171"/>
      <c r="F552" s="102"/>
      <c r="G552" s="152">
        <v>480</v>
      </c>
      <c r="H552" s="262"/>
      <c r="I552" s="216"/>
      <c r="J552" s="216"/>
      <c r="K552" s="99"/>
      <c r="L552" s="216"/>
      <c r="M552" s="1045" t="s">
        <v>115</v>
      </c>
      <c r="N552" s="1049" t="s">
        <v>116</v>
      </c>
      <c r="O552" s="1059" t="s">
        <v>117</v>
      </c>
      <c r="P552" s="1" t="str">
        <f t="shared" si="107"/>
        <v/>
      </c>
      <c r="Q552" s="1" t="str">
        <f t="shared" si="107"/>
        <v/>
      </c>
      <c r="R552" s="1" t="str">
        <f t="shared" si="107"/>
        <v/>
      </c>
      <c r="S552" s="1" t="str">
        <f t="shared" si="107"/>
        <v/>
      </c>
      <c r="T552" s="422" t="s">
        <v>1291</v>
      </c>
      <c r="U552" s="105" t="s">
        <v>1292</v>
      </c>
      <c r="V552" s="87">
        <v>1</v>
      </c>
      <c r="W552" s="205" t="s">
        <v>114</v>
      </c>
      <c r="X552" s="453" t="s">
        <v>1291</v>
      </c>
      <c r="Y552" s="171"/>
      <c r="Z552" s="102"/>
      <c r="AA552" s="152">
        <v>480</v>
      </c>
      <c r="AB552" s="262"/>
      <c r="AC552" s="216"/>
      <c r="AD552" s="216"/>
      <c r="AE552" s="99" t="s">
        <v>92</v>
      </c>
      <c r="AF552" s="216" t="s">
        <v>92</v>
      </c>
      <c r="AG552" s="41" t="s">
        <v>115</v>
      </c>
      <c r="AH552" s="185" t="s">
        <v>116</v>
      </c>
      <c r="AI552" s="42" t="s">
        <v>117</v>
      </c>
      <c r="AJ552" s="1" t="s">
        <v>98</v>
      </c>
      <c r="AK552" s="1" t="s">
        <v>98</v>
      </c>
      <c r="AL552" s="1" t="s">
        <v>98</v>
      </c>
      <c r="AM552" s="1" t="s">
        <v>98</v>
      </c>
      <c r="AN552" s="185"/>
    </row>
    <row r="553" spans="1:40" s="860" customFormat="1" ht="20.100000000000001" customHeight="1">
      <c r="A553" s="1074" t="s">
        <v>3611</v>
      </c>
      <c r="B553" s="1080"/>
      <c r="C553" s="878"/>
      <c r="D553" s="879"/>
      <c r="E553" s="879"/>
      <c r="F553" s="880"/>
      <c r="G553" s="881"/>
      <c r="H553" s="893"/>
      <c r="I553" s="883"/>
      <c r="J553" s="883"/>
      <c r="K553" s="881"/>
      <c r="L553" s="869"/>
      <c r="M553" s="869"/>
      <c r="N553" s="1028"/>
      <c r="O553" s="869"/>
      <c r="P553" s="869"/>
      <c r="Q553" s="869"/>
      <c r="R553" s="869"/>
      <c r="S553" s="887"/>
      <c r="T553" s="894"/>
      <c r="U553" s="895"/>
      <c r="V553" s="896"/>
      <c r="W553" s="897"/>
      <c r="X553" s="898"/>
      <c r="Y553" s="897"/>
      <c r="Z553" s="899"/>
      <c r="AA553" s="900"/>
      <c r="AB553" s="896"/>
      <c r="AC553" s="900"/>
      <c r="AD553" s="900"/>
      <c r="AE553" s="901"/>
      <c r="AF553" s="902"/>
      <c r="AG553" s="858"/>
      <c r="AH553" s="859"/>
      <c r="AI553" s="859"/>
      <c r="AJ553" s="860" t="s">
        <v>98</v>
      </c>
      <c r="AK553" s="860" t="s">
        <v>98</v>
      </c>
      <c r="AL553" s="860" t="s">
        <v>98</v>
      </c>
      <c r="AM553" s="860" t="s">
        <v>98</v>
      </c>
      <c r="AN553" s="871"/>
    </row>
    <row r="554" spans="1:40">
      <c r="A554" s="464" t="s">
        <v>1070</v>
      </c>
      <c r="B554" s="94" t="s">
        <v>1071</v>
      </c>
      <c r="C554" s="95">
        <v>1</v>
      </c>
      <c r="D554" s="115" t="s">
        <v>90</v>
      </c>
      <c r="E554" s="445">
        <v>5414.63</v>
      </c>
      <c r="F554" s="97">
        <f>rv_mp_eg</f>
        <v>0.17199999999999999</v>
      </c>
      <c r="G554" s="96">
        <f t="shared" ref="G554:G583" si="108">E554-(E554*F554)</f>
        <v>4483.3136400000003</v>
      </c>
      <c r="H554" s="607" t="s">
        <v>1072</v>
      </c>
      <c r="I554" s="91">
        <v>94</v>
      </c>
      <c r="J554" s="91">
        <f>G554+I554</f>
        <v>4577.3136400000003</v>
      </c>
      <c r="K554" s="75" t="s">
        <v>92</v>
      </c>
      <c r="L554" s="91">
        <v>1.2</v>
      </c>
      <c r="M554" s="1045" t="s">
        <v>1073</v>
      </c>
      <c r="N554" s="1046" t="s">
        <v>871</v>
      </c>
      <c r="O554" s="1055" t="s">
        <v>872</v>
      </c>
      <c r="P554" s="1">
        <f t="shared" ref="P554:S557" si="109">+IF($J554&lt;&gt;"",P$2*$J554,"")</f>
        <v>921.45327481148229</v>
      </c>
      <c r="Q554" s="1">
        <f t="shared" si="109"/>
        <v>478.88521839964437</v>
      </c>
      <c r="R554" s="1">
        <f t="shared" si="109"/>
        <v>347.80007833575115</v>
      </c>
      <c r="S554" s="1">
        <f t="shared" si="109"/>
        <v>300.12934113664608</v>
      </c>
      <c r="T554" s="464" t="s">
        <v>1070</v>
      </c>
      <c r="U554" s="94" t="s">
        <v>1071</v>
      </c>
      <c r="V554" s="95">
        <v>1</v>
      </c>
      <c r="W554" s="115" t="s">
        <v>90</v>
      </c>
      <c r="X554" s="439" t="s">
        <v>1070</v>
      </c>
      <c r="Y554" s="445">
        <v>5414.63</v>
      </c>
      <c r="Z554" s="97">
        <v>0.17199999999999999</v>
      </c>
      <c r="AA554" s="96">
        <v>4483.3136400000003</v>
      </c>
      <c r="AB554" s="607" t="s">
        <v>1072</v>
      </c>
      <c r="AC554" s="91">
        <v>94</v>
      </c>
      <c r="AD554" s="91">
        <v>4577.3136400000003</v>
      </c>
      <c r="AE554" s="75" t="s">
        <v>92</v>
      </c>
      <c r="AF554" s="91">
        <v>1.2</v>
      </c>
      <c r="AG554" s="41" t="s">
        <v>1073</v>
      </c>
      <c r="AH554" s="174" t="s">
        <v>871</v>
      </c>
      <c r="AI554" s="159" t="s">
        <v>872</v>
      </c>
      <c r="AJ554" s="1">
        <v>921.45327481148229</v>
      </c>
      <c r="AK554" s="1">
        <v>478.88521839964437</v>
      </c>
      <c r="AL554" s="1">
        <v>347.80007833575115</v>
      </c>
      <c r="AM554" s="1">
        <v>300.12934113664608</v>
      </c>
      <c r="AN554" s="174"/>
    </row>
    <row r="555" spans="1:40">
      <c r="A555" s="421" t="s">
        <v>1074</v>
      </c>
      <c r="B555" s="110" t="s">
        <v>1075</v>
      </c>
      <c r="C555" s="26">
        <v>1</v>
      </c>
      <c r="D555" s="28" t="s">
        <v>90</v>
      </c>
      <c r="E555" s="47">
        <v>958.33</v>
      </c>
      <c r="F555" s="77">
        <f t="shared" ref="F555:F580" si="110">rv_mp_eg_cto</f>
        <v>0.17199999999999999</v>
      </c>
      <c r="G555" s="27">
        <f t="shared" si="108"/>
        <v>793.49724000000003</v>
      </c>
      <c r="H555" s="145"/>
      <c r="I555" s="76"/>
      <c r="J555" s="76"/>
      <c r="K555" s="16"/>
      <c r="L555" s="76"/>
      <c r="M555" s="1045" t="s">
        <v>1073</v>
      </c>
      <c r="N555" s="1047" t="s">
        <v>871</v>
      </c>
      <c r="O555" s="1056" t="s">
        <v>872</v>
      </c>
      <c r="P555" s="1" t="str">
        <f t="shared" si="109"/>
        <v/>
      </c>
      <c r="Q555" s="1" t="str">
        <f t="shared" si="109"/>
        <v/>
      </c>
      <c r="R555" s="1" t="str">
        <f t="shared" si="109"/>
        <v/>
      </c>
      <c r="S555" s="1" t="str">
        <f t="shared" si="109"/>
        <v/>
      </c>
      <c r="T555" s="421" t="s">
        <v>1074</v>
      </c>
      <c r="U555" s="110" t="s">
        <v>1075</v>
      </c>
      <c r="V555" s="26">
        <v>1</v>
      </c>
      <c r="W555" s="28" t="s">
        <v>90</v>
      </c>
      <c r="X555" s="435" t="s">
        <v>92</v>
      </c>
      <c r="Y555" s="47">
        <v>958.33</v>
      </c>
      <c r="Z555" s="77">
        <v>0.17199999999999999</v>
      </c>
      <c r="AA555" s="27">
        <v>793.49724000000003</v>
      </c>
      <c r="AB555" s="145"/>
      <c r="AC555" s="76"/>
      <c r="AD555" s="76"/>
      <c r="AE555" s="16" t="s">
        <v>92</v>
      </c>
      <c r="AF555" s="76" t="s">
        <v>92</v>
      </c>
      <c r="AG555" s="41" t="s">
        <v>1073</v>
      </c>
      <c r="AH555" s="174" t="s">
        <v>871</v>
      </c>
      <c r="AI555" s="159" t="s">
        <v>872</v>
      </c>
      <c r="AJ555" s="1" t="s">
        <v>98</v>
      </c>
      <c r="AK555" s="1" t="s">
        <v>98</v>
      </c>
      <c r="AL555" s="1" t="s">
        <v>98</v>
      </c>
      <c r="AM555" s="1" t="s">
        <v>98</v>
      </c>
      <c r="AN555" s="174"/>
    </row>
    <row r="556" spans="1:40">
      <c r="A556" s="421" t="s">
        <v>1076</v>
      </c>
      <c r="B556" s="110" t="s">
        <v>1077</v>
      </c>
      <c r="C556" s="26">
        <v>1</v>
      </c>
      <c r="D556" s="28" t="s">
        <v>90</v>
      </c>
      <c r="E556" s="47">
        <v>1916.67</v>
      </c>
      <c r="F556" s="77">
        <f t="shared" si="110"/>
        <v>0.17199999999999999</v>
      </c>
      <c r="G556" s="27">
        <f t="shared" si="108"/>
        <v>1587.0027600000001</v>
      </c>
      <c r="H556" s="145"/>
      <c r="I556" s="76"/>
      <c r="J556" s="76"/>
      <c r="K556" s="16"/>
      <c r="L556" s="76"/>
      <c r="M556" s="1045" t="s">
        <v>1073</v>
      </c>
      <c r="N556" s="1047" t="s">
        <v>871</v>
      </c>
      <c r="O556" s="1056" t="s">
        <v>872</v>
      </c>
      <c r="P556" s="1" t="str">
        <f t="shared" si="109"/>
        <v/>
      </c>
      <c r="Q556" s="1" t="str">
        <f t="shared" si="109"/>
        <v/>
      </c>
      <c r="R556" s="1" t="str">
        <f t="shared" si="109"/>
        <v/>
      </c>
      <c r="S556" s="1" t="str">
        <f t="shared" si="109"/>
        <v/>
      </c>
      <c r="T556" s="421" t="s">
        <v>1076</v>
      </c>
      <c r="U556" s="110" t="s">
        <v>1077</v>
      </c>
      <c r="V556" s="26">
        <v>1</v>
      </c>
      <c r="W556" s="28" t="s">
        <v>90</v>
      </c>
      <c r="X556" s="435" t="s">
        <v>92</v>
      </c>
      <c r="Y556" s="47">
        <v>1916.67</v>
      </c>
      <c r="Z556" s="77">
        <v>0.17199999999999999</v>
      </c>
      <c r="AA556" s="27">
        <v>1587.0027600000001</v>
      </c>
      <c r="AB556" s="145"/>
      <c r="AC556" s="76"/>
      <c r="AD556" s="76"/>
      <c r="AE556" s="16" t="s">
        <v>92</v>
      </c>
      <c r="AF556" s="76" t="s">
        <v>92</v>
      </c>
      <c r="AG556" s="41" t="s">
        <v>1073</v>
      </c>
      <c r="AH556" s="174" t="s">
        <v>871</v>
      </c>
      <c r="AI556" s="159" t="s">
        <v>872</v>
      </c>
      <c r="AJ556" s="1" t="s">
        <v>98</v>
      </c>
      <c r="AK556" s="1" t="s">
        <v>98</v>
      </c>
      <c r="AL556" s="1" t="s">
        <v>98</v>
      </c>
      <c r="AM556" s="1" t="s">
        <v>98</v>
      </c>
      <c r="AN556" s="174"/>
    </row>
    <row r="557" spans="1:40">
      <c r="A557" s="421" t="s">
        <v>1078</v>
      </c>
      <c r="B557" s="110" t="s">
        <v>1079</v>
      </c>
      <c r="C557" s="26">
        <v>1</v>
      </c>
      <c r="D557" s="28" t="s">
        <v>90</v>
      </c>
      <c r="E557" s="47">
        <v>5750</v>
      </c>
      <c r="F557" s="77">
        <f t="shared" si="110"/>
        <v>0.17199999999999999</v>
      </c>
      <c r="G557" s="27">
        <f t="shared" si="108"/>
        <v>4761</v>
      </c>
      <c r="H557" s="145"/>
      <c r="I557" s="76"/>
      <c r="J557" s="76"/>
      <c r="K557" s="16"/>
      <c r="L557" s="76"/>
      <c r="M557" s="1045" t="s">
        <v>1073</v>
      </c>
      <c r="N557" s="1047" t="s">
        <v>871</v>
      </c>
      <c r="O557" s="1056" t="s">
        <v>872</v>
      </c>
      <c r="P557" s="1" t="str">
        <f t="shared" si="109"/>
        <v/>
      </c>
      <c r="Q557" s="1" t="str">
        <f t="shared" si="109"/>
        <v/>
      </c>
      <c r="R557" s="1" t="str">
        <f t="shared" si="109"/>
        <v/>
      </c>
      <c r="S557" s="1" t="str">
        <f t="shared" si="109"/>
        <v/>
      </c>
      <c r="T557" s="421" t="s">
        <v>1078</v>
      </c>
      <c r="U557" s="110" t="s">
        <v>1079</v>
      </c>
      <c r="V557" s="26">
        <v>1</v>
      </c>
      <c r="W557" s="28" t="s">
        <v>90</v>
      </c>
      <c r="X557" s="435" t="s">
        <v>92</v>
      </c>
      <c r="Y557" s="47">
        <v>5750</v>
      </c>
      <c r="Z557" s="77">
        <v>0.17199999999999999</v>
      </c>
      <c r="AA557" s="27">
        <v>4761</v>
      </c>
      <c r="AB557" s="145"/>
      <c r="AC557" s="76"/>
      <c r="AD557" s="76"/>
      <c r="AE557" s="16" t="s">
        <v>92</v>
      </c>
      <c r="AF557" s="76" t="s">
        <v>92</v>
      </c>
      <c r="AG557" s="41" t="s">
        <v>1073</v>
      </c>
      <c r="AH557" s="174" t="s">
        <v>871</v>
      </c>
      <c r="AI557" s="159" t="s">
        <v>872</v>
      </c>
      <c r="AJ557" s="1" t="s">
        <v>98</v>
      </c>
      <c r="AK557" s="1" t="s">
        <v>98</v>
      </c>
      <c r="AL557" s="1" t="s">
        <v>98</v>
      </c>
      <c r="AM557" s="1" t="s">
        <v>98</v>
      </c>
      <c r="AN557" s="174"/>
    </row>
    <row r="558" spans="1:40">
      <c r="A558" s="421" t="s">
        <v>1080</v>
      </c>
      <c r="B558" s="110" t="s">
        <v>1081</v>
      </c>
      <c r="C558" s="26">
        <v>1</v>
      </c>
      <c r="D558" s="28" t="s">
        <v>90</v>
      </c>
      <c r="E558" s="47">
        <v>6708.33</v>
      </c>
      <c r="F558" s="77">
        <f t="shared" si="110"/>
        <v>0.17199999999999999</v>
      </c>
      <c r="G558" s="27">
        <f t="shared" si="108"/>
        <v>5554.4972399999997</v>
      </c>
      <c r="H558" s="145"/>
      <c r="I558" s="76"/>
      <c r="J558" s="76"/>
      <c r="K558" s="16"/>
      <c r="L558" s="76"/>
      <c r="M558" s="1045" t="s">
        <v>1073</v>
      </c>
      <c r="N558" s="1047" t="s">
        <v>871</v>
      </c>
      <c r="O558" s="1056" t="s">
        <v>872</v>
      </c>
      <c r="P558" s="1" t="str">
        <f t="shared" ref="P558:S577" si="111">+IF($J558&lt;&gt;"",P$2*$J558,"")</f>
        <v/>
      </c>
      <c r="Q558" s="1" t="str">
        <f t="shared" si="111"/>
        <v/>
      </c>
      <c r="R558" s="1" t="str">
        <f t="shared" si="111"/>
        <v/>
      </c>
      <c r="S558" s="1" t="str">
        <f t="shared" si="111"/>
        <v/>
      </c>
      <c r="T558" s="421" t="s">
        <v>1080</v>
      </c>
      <c r="U558" s="110" t="s">
        <v>1081</v>
      </c>
      <c r="V558" s="26">
        <v>1</v>
      </c>
      <c r="W558" s="28" t="s">
        <v>90</v>
      </c>
      <c r="X558" s="435" t="s">
        <v>92</v>
      </c>
      <c r="Y558" s="47">
        <v>6708.33</v>
      </c>
      <c r="Z558" s="77">
        <v>0.17199999999999999</v>
      </c>
      <c r="AA558" s="27">
        <v>5554.4972399999997</v>
      </c>
      <c r="AB558" s="145"/>
      <c r="AC558" s="76"/>
      <c r="AD558" s="76"/>
      <c r="AE558" s="16" t="s">
        <v>92</v>
      </c>
      <c r="AF558" s="76" t="s">
        <v>92</v>
      </c>
      <c r="AG558" s="41" t="s">
        <v>1073</v>
      </c>
      <c r="AH558" s="174" t="s">
        <v>871</v>
      </c>
      <c r="AI558" s="159" t="s">
        <v>872</v>
      </c>
      <c r="AJ558" s="1" t="s">
        <v>98</v>
      </c>
      <c r="AK558" s="1" t="s">
        <v>98</v>
      </c>
      <c r="AL558" s="1" t="s">
        <v>98</v>
      </c>
      <c r="AM558" s="1" t="s">
        <v>98</v>
      </c>
      <c r="AN558" s="174"/>
    </row>
    <row r="559" spans="1:40">
      <c r="A559" s="421" t="s">
        <v>1082</v>
      </c>
      <c r="B559" s="110" t="s">
        <v>1083</v>
      </c>
      <c r="C559" s="26">
        <v>1</v>
      </c>
      <c r="D559" s="28" t="s">
        <v>90</v>
      </c>
      <c r="E559" s="47">
        <v>287.5</v>
      </c>
      <c r="F559" s="77">
        <f t="shared" si="110"/>
        <v>0.17199999999999999</v>
      </c>
      <c r="G559" s="27">
        <f t="shared" si="108"/>
        <v>238.05</v>
      </c>
      <c r="H559" s="145"/>
      <c r="I559" s="76"/>
      <c r="J559" s="76"/>
      <c r="K559" s="16"/>
      <c r="L559" s="76"/>
      <c r="M559" s="1045" t="s">
        <v>1073</v>
      </c>
      <c r="N559" s="1047" t="s">
        <v>871</v>
      </c>
      <c r="O559" s="1056" t="s">
        <v>872</v>
      </c>
      <c r="P559" s="1" t="str">
        <f t="shared" si="111"/>
        <v/>
      </c>
      <c r="Q559" s="1" t="str">
        <f t="shared" si="111"/>
        <v/>
      </c>
      <c r="R559" s="1" t="str">
        <f t="shared" si="111"/>
        <v/>
      </c>
      <c r="S559" s="1" t="str">
        <f t="shared" si="111"/>
        <v/>
      </c>
      <c r="T559" s="421" t="s">
        <v>1082</v>
      </c>
      <c r="U559" s="110" t="s">
        <v>1083</v>
      </c>
      <c r="V559" s="26">
        <v>1</v>
      </c>
      <c r="W559" s="28" t="s">
        <v>90</v>
      </c>
      <c r="X559" s="435" t="s">
        <v>92</v>
      </c>
      <c r="Y559" s="47">
        <v>287.5</v>
      </c>
      <c r="Z559" s="77">
        <v>0.17199999999999999</v>
      </c>
      <c r="AA559" s="27">
        <v>238.05</v>
      </c>
      <c r="AB559" s="145"/>
      <c r="AC559" s="76"/>
      <c r="AD559" s="76"/>
      <c r="AE559" s="16" t="s">
        <v>92</v>
      </c>
      <c r="AF559" s="76" t="s">
        <v>92</v>
      </c>
      <c r="AG559" s="41" t="s">
        <v>1073</v>
      </c>
      <c r="AH559" s="174" t="s">
        <v>871</v>
      </c>
      <c r="AI559" s="159" t="s">
        <v>872</v>
      </c>
      <c r="AJ559" s="1" t="s">
        <v>98</v>
      </c>
      <c r="AK559" s="1" t="s">
        <v>98</v>
      </c>
      <c r="AL559" s="1" t="s">
        <v>98</v>
      </c>
      <c r="AM559" s="1" t="s">
        <v>98</v>
      </c>
      <c r="AN559" s="174"/>
    </row>
    <row r="560" spans="1:40">
      <c r="A560" s="421" t="s">
        <v>1084</v>
      </c>
      <c r="B560" s="110" t="s">
        <v>1085</v>
      </c>
      <c r="C560" s="26">
        <v>1</v>
      </c>
      <c r="D560" s="28" t="s">
        <v>90</v>
      </c>
      <c r="E560" s="47">
        <v>958.33</v>
      </c>
      <c r="F560" s="77">
        <f t="shared" si="110"/>
        <v>0.17199999999999999</v>
      </c>
      <c r="G560" s="27">
        <f t="shared" si="108"/>
        <v>793.49724000000003</v>
      </c>
      <c r="H560" s="145"/>
      <c r="I560" s="76"/>
      <c r="J560" s="76"/>
      <c r="K560" s="16"/>
      <c r="L560" s="76"/>
      <c r="M560" s="1045" t="s">
        <v>1073</v>
      </c>
      <c r="N560" s="1047" t="s">
        <v>871</v>
      </c>
      <c r="O560" s="1056" t="s">
        <v>872</v>
      </c>
      <c r="P560" s="1" t="str">
        <f t="shared" si="111"/>
        <v/>
      </c>
      <c r="Q560" s="1" t="str">
        <f t="shared" si="111"/>
        <v/>
      </c>
      <c r="R560" s="1" t="str">
        <f t="shared" si="111"/>
        <v/>
      </c>
      <c r="S560" s="1" t="str">
        <f t="shared" si="111"/>
        <v/>
      </c>
      <c r="T560" s="421" t="s">
        <v>1084</v>
      </c>
      <c r="U560" s="110" t="s">
        <v>1085</v>
      </c>
      <c r="V560" s="26">
        <v>1</v>
      </c>
      <c r="W560" s="28" t="s">
        <v>90</v>
      </c>
      <c r="X560" s="435" t="s">
        <v>92</v>
      </c>
      <c r="Y560" s="47">
        <v>958.33</v>
      </c>
      <c r="Z560" s="77">
        <v>0.17199999999999999</v>
      </c>
      <c r="AA560" s="27">
        <v>793.49724000000003</v>
      </c>
      <c r="AB560" s="145"/>
      <c r="AC560" s="76"/>
      <c r="AD560" s="76"/>
      <c r="AE560" s="16" t="s">
        <v>92</v>
      </c>
      <c r="AF560" s="76" t="s">
        <v>92</v>
      </c>
      <c r="AG560" s="41" t="s">
        <v>1073</v>
      </c>
      <c r="AH560" s="174" t="s">
        <v>871</v>
      </c>
      <c r="AI560" s="159" t="s">
        <v>872</v>
      </c>
      <c r="AJ560" s="1" t="s">
        <v>98</v>
      </c>
      <c r="AK560" s="1" t="s">
        <v>98</v>
      </c>
      <c r="AL560" s="1" t="s">
        <v>98</v>
      </c>
      <c r="AM560" s="1" t="s">
        <v>98</v>
      </c>
      <c r="AN560" s="174"/>
    </row>
    <row r="561" spans="1:40">
      <c r="A561" s="421" t="s">
        <v>1086</v>
      </c>
      <c r="B561" s="110" t="s">
        <v>1087</v>
      </c>
      <c r="C561" s="26">
        <v>1</v>
      </c>
      <c r="D561" s="28" t="s">
        <v>90</v>
      </c>
      <c r="E561" s="47">
        <v>2875</v>
      </c>
      <c r="F561" s="77">
        <f t="shared" si="110"/>
        <v>0.17199999999999999</v>
      </c>
      <c r="G561" s="27">
        <f t="shared" si="108"/>
        <v>2380.5</v>
      </c>
      <c r="H561" s="145"/>
      <c r="I561" s="76"/>
      <c r="J561" s="76"/>
      <c r="K561" s="16"/>
      <c r="L561" s="76"/>
      <c r="M561" s="1045" t="s">
        <v>1073</v>
      </c>
      <c r="N561" s="1047" t="s">
        <v>871</v>
      </c>
      <c r="O561" s="1056" t="s">
        <v>872</v>
      </c>
      <c r="P561" s="1" t="str">
        <f t="shared" si="111"/>
        <v/>
      </c>
      <c r="Q561" s="1" t="str">
        <f t="shared" si="111"/>
        <v/>
      </c>
      <c r="R561" s="1" t="str">
        <f t="shared" si="111"/>
        <v/>
      </c>
      <c r="S561" s="1" t="str">
        <f t="shared" si="111"/>
        <v/>
      </c>
      <c r="T561" s="421" t="s">
        <v>1086</v>
      </c>
      <c r="U561" s="110" t="s">
        <v>1087</v>
      </c>
      <c r="V561" s="26">
        <v>1</v>
      </c>
      <c r="W561" s="28" t="s">
        <v>90</v>
      </c>
      <c r="X561" s="435" t="s">
        <v>92</v>
      </c>
      <c r="Y561" s="47">
        <v>2875</v>
      </c>
      <c r="Z561" s="77">
        <v>0.17199999999999999</v>
      </c>
      <c r="AA561" s="27">
        <v>2380.5</v>
      </c>
      <c r="AB561" s="145"/>
      <c r="AC561" s="76"/>
      <c r="AD561" s="76"/>
      <c r="AE561" s="16" t="s">
        <v>92</v>
      </c>
      <c r="AF561" s="76" t="s">
        <v>92</v>
      </c>
      <c r="AG561" s="41" t="s">
        <v>1073</v>
      </c>
      <c r="AH561" s="174" t="s">
        <v>871</v>
      </c>
      <c r="AI561" s="159" t="s">
        <v>872</v>
      </c>
      <c r="AJ561" s="1" t="s">
        <v>98</v>
      </c>
      <c r="AK561" s="1" t="s">
        <v>98</v>
      </c>
      <c r="AL561" s="1" t="s">
        <v>98</v>
      </c>
      <c r="AM561" s="1" t="s">
        <v>98</v>
      </c>
      <c r="AN561" s="174"/>
    </row>
    <row r="562" spans="1:40">
      <c r="A562" s="421" t="s">
        <v>1088</v>
      </c>
      <c r="B562" s="110" t="s">
        <v>1089</v>
      </c>
      <c r="C562" s="26">
        <v>1</v>
      </c>
      <c r="D562" s="28" t="s">
        <v>90</v>
      </c>
      <c r="E562" s="47">
        <v>5750</v>
      </c>
      <c r="F562" s="77">
        <f t="shared" si="110"/>
        <v>0.17199999999999999</v>
      </c>
      <c r="G562" s="27">
        <f t="shared" si="108"/>
        <v>4761</v>
      </c>
      <c r="H562" s="145"/>
      <c r="I562" s="76"/>
      <c r="J562" s="76"/>
      <c r="K562" s="16"/>
      <c r="L562" s="76"/>
      <c r="M562" s="1045" t="s">
        <v>1073</v>
      </c>
      <c r="N562" s="1047" t="s">
        <v>871</v>
      </c>
      <c r="O562" s="1056" t="s">
        <v>872</v>
      </c>
      <c r="P562" s="1" t="str">
        <f t="shared" si="111"/>
        <v/>
      </c>
      <c r="Q562" s="1" t="str">
        <f t="shared" si="111"/>
        <v/>
      </c>
      <c r="R562" s="1" t="str">
        <f t="shared" si="111"/>
        <v/>
      </c>
      <c r="S562" s="1" t="str">
        <f t="shared" si="111"/>
        <v/>
      </c>
      <c r="T562" s="421" t="s">
        <v>1088</v>
      </c>
      <c r="U562" s="110" t="s">
        <v>1089</v>
      </c>
      <c r="V562" s="26">
        <v>1</v>
      </c>
      <c r="W562" s="28" t="s">
        <v>90</v>
      </c>
      <c r="X562" s="435" t="s">
        <v>92</v>
      </c>
      <c r="Y562" s="47">
        <v>5750</v>
      </c>
      <c r="Z562" s="77">
        <v>0.17199999999999999</v>
      </c>
      <c r="AA562" s="27">
        <v>4761</v>
      </c>
      <c r="AB562" s="145"/>
      <c r="AC562" s="76"/>
      <c r="AD562" s="76"/>
      <c r="AE562" s="16" t="s">
        <v>92</v>
      </c>
      <c r="AF562" s="76" t="s">
        <v>92</v>
      </c>
      <c r="AG562" s="41" t="s">
        <v>1073</v>
      </c>
      <c r="AH562" s="174" t="s">
        <v>871</v>
      </c>
      <c r="AI562" s="159" t="s">
        <v>872</v>
      </c>
      <c r="AJ562" s="1" t="s">
        <v>98</v>
      </c>
      <c r="AK562" s="1" t="s">
        <v>98</v>
      </c>
      <c r="AL562" s="1" t="s">
        <v>98</v>
      </c>
      <c r="AM562" s="1" t="s">
        <v>98</v>
      </c>
      <c r="AN562" s="174"/>
    </row>
    <row r="563" spans="1:40">
      <c r="A563" s="421" t="s">
        <v>1090</v>
      </c>
      <c r="B563" s="110" t="s">
        <v>1091</v>
      </c>
      <c r="C563" s="26">
        <v>1</v>
      </c>
      <c r="D563" s="28" t="s">
        <v>90</v>
      </c>
      <c r="E563" s="47">
        <v>9583.33</v>
      </c>
      <c r="F563" s="77">
        <f t="shared" si="110"/>
        <v>0.17199999999999999</v>
      </c>
      <c r="G563" s="27">
        <f t="shared" si="108"/>
        <v>7934.9972400000006</v>
      </c>
      <c r="H563" s="145"/>
      <c r="I563" s="76"/>
      <c r="J563" s="76"/>
      <c r="K563" s="16"/>
      <c r="L563" s="76"/>
      <c r="M563" s="1045" t="s">
        <v>1073</v>
      </c>
      <c r="N563" s="1047" t="s">
        <v>871</v>
      </c>
      <c r="O563" s="1056" t="s">
        <v>872</v>
      </c>
      <c r="P563" s="1" t="str">
        <f t="shared" si="111"/>
        <v/>
      </c>
      <c r="Q563" s="1" t="str">
        <f t="shared" si="111"/>
        <v/>
      </c>
      <c r="R563" s="1" t="str">
        <f t="shared" si="111"/>
        <v/>
      </c>
      <c r="S563" s="1" t="str">
        <f t="shared" si="111"/>
        <v/>
      </c>
      <c r="T563" s="421" t="s">
        <v>1090</v>
      </c>
      <c r="U563" s="110" t="s">
        <v>1091</v>
      </c>
      <c r="V563" s="26">
        <v>1</v>
      </c>
      <c r="W563" s="28" t="s">
        <v>90</v>
      </c>
      <c r="X563" s="435" t="s">
        <v>92</v>
      </c>
      <c r="Y563" s="47">
        <v>9583.33</v>
      </c>
      <c r="Z563" s="77">
        <v>0.17199999999999999</v>
      </c>
      <c r="AA563" s="27">
        <v>7934.9972400000006</v>
      </c>
      <c r="AB563" s="145"/>
      <c r="AC563" s="76"/>
      <c r="AD563" s="76"/>
      <c r="AE563" s="16" t="s">
        <v>92</v>
      </c>
      <c r="AF563" s="76" t="s">
        <v>92</v>
      </c>
      <c r="AG563" s="41" t="s">
        <v>1073</v>
      </c>
      <c r="AH563" s="174" t="s">
        <v>871</v>
      </c>
      <c r="AI563" s="159" t="s">
        <v>872</v>
      </c>
      <c r="AJ563" s="1" t="s">
        <v>98</v>
      </c>
      <c r="AK563" s="1" t="s">
        <v>98</v>
      </c>
      <c r="AL563" s="1" t="s">
        <v>98</v>
      </c>
      <c r="AM563" s="1" t="s">
        <v>98</v>
      </c>
      <c r="AN563" s="174"/>
    </row>
    <row r="564" spans="1:40">
      <c r="A564" s="421" t="s">
        <v>1092</v>
      </c>
      <c r="B564" s="110" t="s">
        <v>1093</v>
      </c>
      <c r="C564" s="26">
        <v>1</v>
      </c>
      <c r="D564" s="28" t="s">
        <v>90</v>
      </c>
      <c r="E564" s="47">
        <v>13416.67</v>
      </c>
      <c r="F564" s="77">
        <f t="shared" si="110"/>
        <v>0.17199999999999999</v>
      </c>
      <c r="G564" s="27">
        <f t="shared" si="108"/>
        <v>11109.002759999999</v>
      </c>
      <c r="H564" s="145"/>
      <c r="I564" s="76"/>
      <c r="J564" s="76"/>
      <c r="K564" s="16"/>
      <c r="L564" s="76"/>
      <c r="M564" s="1045" t="s">
        <v>1073</v>
      </c>
      <c r="N564" s="1047" t="s">
        <v>871</v>
      </c>
      <c r="O564" s="1056" t="s">
        <v>872</v>
      </c>
      <c r="P564" s="1" t="str">
        <f t="shared" si="111"/>
        <v/>
      </c>
      <c r="Q564" s="1" t="str">
        <f t="shared" si="111"/>
        <v/>
      </c>
      <c r="R564" s="1" t="str">
        <f t="shared" si="111"/>
        <v/>
      </c>
      <c r="S564" s="1" t="str">
        <f t="shared" si="111"/>
        <v/>
      </c>
      <c r="T564" s="421" t="s">
        <v>1092</v>
      </c>
      <c r="U564" s="110" t="s">
        <v>1093</v>
      </c>
      <c r="V564" s="26">
        <v>1</v>
      </c>
      <c r="W564" s="28" t="s">
        <v>90</v>
      </c>
      <c r="X564" s="435" t="s">
        <v>92</v>
      </c>
      <c r="Y564" s="47">
        <v>13416.67</v>
      </c>
      <c r="Z564" s="77">
        <v>0.17199999999999999</v>
      </c>
      <c r="AA564" s="27">
        <v>11109.002759999999</v>
      </c>
      <c r="AB564" s="145"/>
      <c r="AC564" s="76"/>
      <c r="AD564" s="76"/>
      <c r="AE564" s="16" t="s">
        <v>92</v>
      </c>
      <c r="AF564" s="76" t="s">
        <v>92</v>
      </c>
      <c r="AG564" s="41" t="s">
        <v>1073</v>
      </c>
      <c r="AH564" s="174" t="s">
        <v>871</v>
      </c>
      <c r="AI564" s="159" t="s">
        <v>872</v>
      </c>
      <c r="AJ564" s="1" t="s">
        <v>98</v>
      </c>
      <c r="AK564" s="1" t="s">
        <v>98</v>
      </c>
      <c r="AL564" s="1" t="s">
        <v>98</v>
      </c>
      <c r="AM564" s="1" t="s">
        <v>98</v>
      </c>
      <c r="AN564" s="174"/>
    </row>
    <row r="565" spans="1:40">
      <c r="A565" s="421" t="s">
        <v>1094</v>
      </c>
      <c r="B565" s="110" t="s">
        <v>1095</v>
      </c>
      <c r="C565" s="26">
        <v>1</v>
      </c>
      <c r="D565" s="28" t="s">
        <v>90</v>
      </c>
      <c r="E565" s="47">
        <v>191.67</v>
      </c>
      <c r="F565" s="77">
        <f t="shared" si="110"/>
        <v>0.17199999999999999</v>
      </c>
      <c r="G565" s="27">
        <f t="shared" si="108"/>
        <v>158.70275999999998</v>
      </c>
      <c r="H565" s="145"/>
      <c r="I565" s="76"/>
      <c r="J565" s="76"/>
      <c r="K565" s="16"/>
      <c r="L565" s="76"/>
      <c r="M565" s="1045" t="s">
        <v>1073</v>
      </c>
      <c r="N565" s="1047" t="s">
        <v>871</v>
      </c>
      <c r="O565" s="1056" t="s">
        <v>872</v>
      </c>
      <c r="P565" s="1" t="str">
        <f t="shared" si="111"/>
        <v/>
      </c>
      <c r="Q565" s="1" t="str">
        <f t="shared" si="111"/>
        <v/>
      </c>
      <c r="R565" s="1" t="str">
        <f t="shared" si="111"/>
        <v/>
      </c>
      <c r="S565" s="1" t="str">
        <f t="shared" si="111"/>
        <v/>
      </c>
      <c r="T565" s="421" t="s">
        <v>1094</v>
      </c>
      <c r="U565" s="110" t="s">
        <v>1095</v>
      </c>
      <c r="V565" s="26">
        <v>1</v>
      </c>
      <c r="W565" s="28" t="s">
        <v>90</v>
      </c>
      <c r="X565" s="435" t="s">
        <v>92</v>
      </c>
      <c r="Y565" s="47">
        <v>191.67</v>
      </c>
      <c r="Z565" s="77">
        <v>0.17199999999999999</v>
      </c>
      <c r="AA565" s="27">
        <v>158.70275999999998</v>
      </c>
      <c r="AB565" s="145"/>
      <c r="AC565" s="76"/>
      <c r="AD565" s="76"/>
      <c r="AE565" s="16" t="s">
        <v>92</v>
      </c>
      <c r="AF565" s="76" t="s">
        <v>92</v>
      </c>
      <c r="AG565" s="41" t="s">
        <v>1073</v>
      </c>
      <c r="AH565" s="174" t="s">
        <v>871</v>
      </c>
      <c r="AI565" s="159" t="s">
        <v>872</v>
      </c>
      <c r="AJ565" s="1" t="s">
        <v>98</v>
      </c>
      <c r="AK565" s="1" t="s">
        <v>98</v>
      </c>
      <c r="AL565" s="1" t="s">
        <v>98</v>
      </c>
      <c r="AM565" s="1" t="s">
        <v>98</v>
      </c>
      <c r="AN565" s="174"/>
    </row>
    <row r="566" spans="1:40">
      <c r="A566" s="421" t="s">
        <v>1096</v>
      </c>
      <c r="B566" s="110" t="s">
        <v>1097</v>
      </c>
      <c r="C566" s="26">
        <v>1</v>
      </c>
      <c r="D566" s="28" t="s">
        <v>90</v>
      </c>
      <c r="E566" s="47">
        <v>575</v>
      </c>
      <c r="F566" s="77">
        <f t="shared" si="110"/>
        <v>0.17199999999999999</v>
      </c>
      <c r="G566" s="27">
        <f t="shared" si="108"/>
        <v>476.1</v>
      </c>
      <c r="H566" s="145"/>
      <c r="I566" s="76"/>
      <c r="J566" s="76"/>
      <c r="K566" s="16"/>
      <c r="L566" s="76"/>
      <c r="M566" s="1045" t="s">
        <v>1073</v>
      </c>
      <c r="N566" s="1047" t="s">
        <v>871</v>
      </c>
      <c r="O566" s="1056" t="s">
        <v>872</v>
      </c>
      <c r="P566" s="1" t="str">
        <f t="shared" si="111"/>
        <v/>
      </c>
      <c r="Q566" s="1" t="str">
        <f t="shared" si="111"/>
        <v/>
      </c>
      <c r="R566" s="1" t="str">
        <f t="shared" si="111"/>
        <v/>
      </c>
      <c r="S566" s="1" t="str">
        <f t="shared" si="111"/>
        <v/>
      </c>
      <c r="T566" s="421" t="s">
        <v>1096</v>
      </c>
      <c r="U566" s="110" t="s">
        <v>1097</v>
      </c>
      <c r="V566" s="26">
        <v>1</v>
      </c>
      <c r="W566" s="28" t="s">
        <v>90</v>
      </c>
      <c r="X566" s="435" t="s">
        <v>92</v>
      </c>
      <c r="Y566" s="47">
        <v>575</v>
      </c>
      <c r="Z566" s="77">
        <v>0.17199999999999999</v>
      </c>
      <c r="AA566" s="27">
        <v>476.1</v>
      </c>
      <c r="AB566" s="145"/>
      <c r="AC566" s="76"/>
      <c r="AD566" s="76"/>
      <c r="AE566" s="16" t="s">
        <v>92</v>
      </c>
      <c r="AF566" s="76" t="s">
        <v>92</v>
      </c>
      <c r="AG566" s="41" t="s">
        <v>1073</v>
      </c>
      <c r="AH566" s="174" t="s">
        <v>871</v>
      </c>
      <c r="AI566" s="159" t="s">
        <v>872</v>
      </c>
      <c r="AJ566" s="1" t="s">
        <v>98</v>
      </c>
      <c r="AK566" s="1" t="s">
        <v>98</v>
      </c>
      <c r="AL566" s="1" t="s">
        <v>98</v>
      </c>
      <c r="AM566" s="1" t="s">
        <v>98</v>
      </c>
      <c r="AN566" s="174"/>
    </row>
    <row r="567" spans="1:40">
      <c r="A567" s="421" t="s">
        <v>1098</v>
      </c>
      <c r="B567" s="110" t="s">
        <v>1099</v>
      </c>
      <c r="C567" s="26">
        <v>1</v>
      </c>
      <c r="D567" s="28" t="s">
        <v>90</v>
      </c>
      <c r="E567" s="47">
        <v>1150</v>
      </c>
      <c r="F567" s="77">
        <f t="shared" si="110"/>
        <v>0.17199999999999999</v>
      </c>
      <c r="G567" s="27">
        <f t="shared" si="108"/>
        <v>952.2</v>
      </c>
      <c r="H567" s="145"/>
      <c r="I567" s="76"/>
      <c r="J567" s="76"/>
      <c r="K567" s="16"/>
      <c r="L567" s="76"/>
      <c r="M567" s="1045" t="s">
        <v>1073</v>
      </c>
      <c r="N567" s="1047" t="s">
        <v>871</v>
      </c>
      <c r="O567" s="1056" t="s">
        <v>872</v>
      </c>
      <c r="P567" s="1" t="str">
        <f t="shared" si="111"/>
        <v/>
      </c>
      <c r="Q567" s="1" t="str">
        <f t="shared" si="111"/>
        <v/>
      </c>
      <c r="R567" s="1" t="str">
        <f t="shared" si="111"/>
        <v/>
      </c>
      <c r="S567" s="1" t="str">
        <f t="shared" si="111"/>
        <v/>
      </c>
      <c r="T567" s="421" t="s">
        <v>1098</v>
      </c>
      <c r="U567" s="110" t="s">
        <v>1099</v>
      </c>
      <c r="V567" s="26">
        <v>1</v>
      </c>
      <c r="W567" s="28" t="s">
        <v>90</v>
      </c>
      <c r="X567" s="435" t="s">
        <v>92</v>
      </c>
      <c r="Y567" s="47">
        <v>1150</v>
      </c>
      <c r="Z567" s="77">
        <v>0.17199999999999999</v>
      </c>
      <c r="AA567" s="27">
        <v>952.2</v>
      </c>
      <c r="AB567" s="145"/>
      <c r="AC567" s="76"/>
      <c r="AD567" s="76"/>
      <c r="AE567" s="16" t="s">
        <v>92</v>
      </c>
      <c r="AF567" s="76" t="s">
        <v>92</v>
      </c>
      <c r="AG567" s="41" t="s">
        <v>1073</v>
      </c>
      <c r="AH567" s="174" t="s">
        <v>871</v>
      </c>
      <c r="AI567" s="159" t="s">
        <v>872</v>
      </c>
      <c r="AJ567" s="1" t="s">
        <v>98</v>
      </c>
      <c r="AK567" s="1" t="s">
        <v>98</v>
      </c>
      <c r="AL567" s="1" t="s">
        <v>98</v>
      </c>
      <c r="AM567" s="1" t="s">
        <v>98</v>
      </c>
      <c r="AN567" s="174"/>
    </row>
    <row r="568" spans="1:40">
      <c r="A568" s="421" t="s">
        <v>1100</v>
      </c>
      <c r="B568" s="110" t="s">
        <v>1101</v>
      </c>
      <c r="C568" s="26">
        <v>1</v>
      </c>
      <c r="D568" s="28" t="s">
        <v>90</v>
      </c>
      <c r="E568" s="47">
        <v>2300</v>
      </c>
      <c r="F568" s="77">
        <f t="shared" si="110"/>
        <v>0.17199999999999999</v>
      </c>
      <c r="G568" s="27">
        <f t="shared" si="108"/>
        <v>1904.4</v>
      </c>
      <c r="H568" s="145"/>
      <c r="I568" s="76"/>
      <c r="J568" s="76"/>
      <c r="K568" s="16"/>
      <c r="L568" s="76"/>
      <c r="M568" s="1045" t="s">
        <v>1073</v>
      </c>
      <c r="N568" s="1047" t="s">
        <v>871</v>
      </c>
      <c r="O568" s="1056" t="s">
        <v>872</v>
      </c>
      <c r="P568" s="1" t="str">
        <f t="shared" si="111"/>
        <v/>
      </c>
      <c r="Q568" s="1" t="str">
        <f t="shared" si="111"/>
        <v/>
      </c>
      <c r="R568" s="1" t="str">
        <f t="shared" si="111"/>
        <v/>
      </c>
      <c r="S568" s="1" t="str">
        <f t="shared" si="111"/>
        <v/>
      </c>
      <c r="T568" s="421" t="s">
        <v>1100</v>
      </c>
      <c r="U568" s="110" t="s">
        <v>1101</v>
      </c>
      <c r="V568" s="26">
        <v>1</v>
      </c>
      <c r="W568" s="28" t="s">
        <v>90</v>
      </c>
      <c r="X568" s="435" t="s">
        <v>92</v>
      </c>
      <c r="Y568" s="47">
        <v>2300</v>
      </c>
      <c r="Z568" s="77">
        <v>0.17199999999999999</v>
      </c>
      <c r="AA568" s="27">
        <v>1904.4</v>
      </c>
      <c r="AB568" s="145"/>
      <c r="AC568" s="76"/>
      <c r="AD568" s="76"/>
      <c r="AE568" s="16" t="s">
        <v>92</v>
      </c>
      <c r="AF568" s="76" t="s">
        <v>92</v>
      </c>
      <c r="AG568" s="41" t="s">
        <v>1073</v>
      </c>
      <c r="AH568" s="174" t="s">
        <v>871</v>
      </c>
      <c r="AI568" s="159" t="s">
        <v>872</v>
      </c>
      <c r="AJ568" s="1" t="s">
        <v>98</v>
      </c>
      <c r="AK568" s="1" t="s">
        <v>98</v>
      </c>
      <c r="AL568" s="1" t="s">
        <v>98</v>
      </c>
      <c r="AM568" s="1" t="s">
        <v>98</v>
      </c>
      <c r="AN568" s="174"/>
    </row>
    <row r="569" spans="1:40" s="90" customFormat="1">
      <c r="A569" s="421" t="s">
        <v>1102</v>
      </c>
      <c r="B569" s="105" t="s">
        <v>1103</v>
      </c>
      <c r="C569" s="87">
        <v>1</v>
      </c>
      <c r="D569" s="88" t="s">
        <v>90</v>
      </c>
      <c r="E569" s="47">
        <v>383</v>
      </c>
      <c r="F569" s="77">
        <f t="shared" si="110"/>
        <v>0.17199999999999999</v>
      </c>
      <c r="G569" s="27">
        <f t="shared" si="108"/>
        <v>317.12400000000002</v>
      </c>
      <c r="H569" s="152"/>
      <c r="I569" s="269"/>
      <c r="J569" s="269"/>
      <c r="K569" s="109"/>
      <c r="L569" s="269"/>
      <c r="M569" s="1045" t="s">
        <v>1073</v>
      </c>
      <c r="N569" s="1047" t="s">
        <v>871</v>
      </c>
      <c r="O569" s="1056" t="s">
        <v>872</v>
      </c>
      <c r="P569" s="1" t="str">
        <f t="shared" si="111"/>
        <v/>
      </c>
      <c r="Q569" s="1" t="str">
        <f t="shared" si="111"/>
        <v/>
      </c>
      <c r="R569" s="1" t="str">
        <f t="shared" si="111"/>
        <v/>
      </c>
      <c r="S569" s="1" t="str">
        <f t="shared" si="111"/>
        <v/>
      </c>
      <c r="T569" s="421" t="s">
        <v>1102</v>
      </c>
      <c r="U569" s="105" t="s">
        <v>1103</v>
      </c>
      <c r="V569" s="87">
        <v>1</v>
      </c>
      <c r="W569" s="88" t="s">
        <v>90</v>
      </c>
      <c r="X569" s="208" t="s">
        <v>92</v>
      </c>
      <c r="Y569" s="47">
        <v>383</v>
      </c>
      <c r="Z569" s="77">
        <v>0.17199999999999999</v>
      </c>
      <c r="AA569" s="27">
        <v>317.12400000000002</v>
      </c>
      <c r="AB569" s="152"/>
      <c r="AC569" s="269"/>
      <c r="AD569" s="269"/>
      <c r="AE569" s="109" t="s">
        <v>92</v>
      </c>
      <c r="AF569" s="269" t="s">
        <v>92</v>
      </c>
      <c r="AG569" s="41" t="s">
        <v>1073</v>
      </c>
      <c r="AH569" s="174" t="s">
        <v>871</v>
      </c>
      <c r="AI569" s="159" t="s">
        <v>872</v>
      </c>
      <c r="AJ569" s="1" t="s">
        <v>98</v>
      </c>
      <c r="AK569" s="1" t="s">
        <v>98</v>
      </c>
      <c r="AL569" s="1" t="s">
        <v>98</v>
      </c>
      <c r="AM569" s="1" t="s">
        <v>98</v>
      </c>
      <c r="AN569" s="183"/>
    </row>
    <row r="570" spans="1:40" s="90" customFormat="1">
      <c r="A570" s="421" t="s">
        <v>1104</v>
      </c>
      <c r="B570" s="105" t="s">
        <v>1105</v>
      </c>
      <c r="C570" s="87">
        <v>1</v>
      </c>
      <c r="D570" s="88" t="s">
        <v>90</v>
      </c>
      <c r="E570" s="47">
        <v>1341.67</v>
      </c>
      <c r="F570" s="77">
        <f t="shared" si="110"/>
        <v>0.17199999999999999</v>
      </c>
      <c r="G570" s="27">
        <f t="shared" si="108"/>
        <v>1110.9027600000002</v>
      </c>
      <c r="H570" s="152"/>
      <c r="I570" s="269"/>
      <c r="J570" s="269"/>
      <c r="K570" s="109"/>
      <c r="L570" s="269"/>
      <c r="M570" s="1045" t="s">
        <v>1073</v>
      </c>
      <c r="N570" s="1047" t="s">
        <v>871</v>
      </c>
      <c r="O570" s="1056" t="s">
        <v>872</v>
      </c>
      <c r="P570" s="1" t="str">
        <f t="shared" si="111"/>
        <v/>
      </c>
      <c r="Q570" s="1" t="str">
        <f t="shared" si="111"/>
        <v/>
      </c>
      <c r="R570" s="1" t="str">
        <f t="shared" si="111"/>
        <v/>
      </c>
      <c r="S570" s="1" t="str">
        <f t="shared" si="111"/>
        <v/>
      </c>
      <c r="T570" s="421" t="s">
        <v>1104</v>
      </c>
      <c r="U570" s="105" t="s">
        <v>1105</v>
      </c>
      <c r="V570" s="87">
        <v>1</v>
      </c>
      <c r="W570" s="88" t="s">
        <v>90</v>
      </c>
      <c r="X570" s="208" t="s">
        <v>92</v>
      </c>
      <c r="Y570" s="47">
        <v>1341.67</v>
      </c>
      <c r="Z570" s="77">
        <v>0.17199999999999999</v>
      </c>
      <c r="AA570" s="27">
        <v>1110.9027600000002</v>
      </c>
      <c r="AB570" s="152"/>
      <c r="AC570" s="269"/>
      <c r="AD570" s="269"/>
      <c r="AE570" s="109" t="s">
        <v>92</v>
      </c>
      <c r="AF570" s="269" t="s">
        <v>92</v>
      </c>
      <c r="AG570" s="41" t="s">
        <v>1073</v>
      </c>
      <c r="AH570" s="174" t="s">
        <v>871</v>
      </c>
      <c r="AI570" s="159" t="s">
        <v>872</v>
      </c>
      <c r="AJ570" s="1" t="s">
        <v>98</v>
      </c>
      <c r="AK570" s="1" t="s">
        <v>98</v>
      </c>
      <c r="AL570" s="1" t="s">
        <v>98</v>
      </c>
      <c r="AM570" s="1" t="s">
        <v>98</v>
      </c>
      <c r="AN570" s="183"/>
    </row>
    <row r="571" spans="1:40" s="90" customFormat="1">
      <c r="A571" s="421" t="s">
        <v>1106</v>
      </c>
      <c r="B571" s="105" t="s">
        <v>1107</v>
      </c>
      <c r="C571" s="87">
        <v>1</v>
      </c>
      <c r="D571" s="88" t="s">
        <v>90</v>
      </c>
      <c r="E571" s="171">
        <v>287.5</v>
      </c>
      <c r="F571" s="89">
        <f t="shared" si="110"/>
        <v>0.17199999999999999</v>
      </c>
      <c r="G571" s="108">
        <f t="shared" si="108"/>
        <v>238.05</v>
      </c>
      <c r="H571" s="262"/>
      <c r="I571" s="216"/>
      <c r="J571" s="216"/>
      <c r="K571" s="99"/>
      <c r="L571" s="216"/>
      <c r="M571" s="1045" t="s">
        <v>1073</v>
      </c>
      <c r="N571" s="1047" t="s">
        <v>871</v>
      </c>
      <c r="O571" s="1056" t="s">
        <v>872</v>
      </c>
      <c r="P571" s="1" t="str">
        <f t="shared" si="111"/>
        <v/>
      </c>
      <c r="Q571" s="1" t="str">
        <f t="shared" si="111"/>
        <v/>
      </c>
      <c r="R571" s="1" t="str">
        <f t="shared" si="111"/>
        <v/>
      </c>
      <c r="S571" s="1" t="str">
        <f t="shared" si="111"/>
        <v/>
      </c>
      <c r="T571" s="421" t="s">
        <v>1106</v>
      </c>
      <c r="U571" s="105" t="s">
        <v>1107</v>
      </c>
      <c r="V571" s="87">
        <v>1</v>
      </c>
      <c r="W571" s="88" t="s">
        <v>90</v>
      </c>
      <c r="X571" s="208" t="s">
        <v>92</v>
      </c>
      <c r="Y571" s="171">
        <v>287.5</v>
      </c>
      <c r="Z571" s="89">
        <v>0.17199999999999999</v>
      </c>
      <c r="AA571" s="108">
        <v>238.05</v>
      </c>
      <c r="AB571" s="262"/>
      <c r="AC571" s="216"/>
      <c r="AD571" s="216"/>
      <c r="AE571" s="99" t="s">
        <v>92</v>
      </c>
      <c r="AF571" s="216" t="s">
        <v>92</v>
      </c>
      <c r="AG571" s="41" t="s">
        <v>1073</v>
      </c>
      <c r="AH571" s="174" t="s">
        <v>871</v>
      </c>
      <c r="AI571" s="159" t="s">
        <v>872</v>
      </c>
      <c r="AJ571" s="1" t="s">
        <v>98</v>
      </c>
      <c r="AK571" s="1" t="s">
        <v>98</v>
      </c>
      <c r="AL571" s="1" t="s">
        <v>98</v>
      </c>
      <c r="AM571" s="1" t="s">
        <v>98</v>
      </c>
      <c r="AN571" s="217"/>
    </row>
    <row r="572" spans="1:40">
      <c r="A572" s="421" t="s">
        <v>1108</v>
      </c>
      <c r="B572" s="110" t="s">
        <v>1109</v>
      </c>
      <c r="C572" s="26">
        <v>1</v>
      </c>
      <c r="D572" s="28" t="s">
        <v>90</v>
      </c>
      <c r="E572" s="47">
        <v>2108.33</v>
      </c>
      <c r="F572" s="77">
        <f t="shared" si="110"/>
        <v>0.17199999999999999</v>
      </c>
      <c r="G572" s="27">
        <f t="shared" si="108"/>
        <v>1745.69724</v>
      </c>
      <c r="H572" s="145"/>
      <c r="I572" s="76"/>
      <c r="J572" s="76"/>
      <c r="K572" s="16"/>
      <c r="L572" s="76"/>
      <c r="M572" s="1045" t="s">
        <v>1073</v>
      </c>
      <c r="N572" s="1047" t="s">
        <v>871</v>
      </c>
      <c r="O572" s="1056" t="s">
        <v>872</v>
      </c>
      <c r="P572" s="1" t="str">
        <f t="shared" si="111"/>
        <v/>
      </c>
      <c r="Q572" s="1" t="str">
        <f t="shared" si="111"/>
        <v/>
      </c>
      <c r="R572" s="1" t="str">
        <f t="shared" si="111"/>
        <v/>
      </c>
      <c r="S572" s="1" t="str">
        <f t="shared" si="111"/>
        <v/>
      </c>
      <c r="T572" s="421" t="s">
        <v>1108</v>
      </c>
      <c r="U572" s="110" t="s">
        <v>1109</v>
      </c>
      <c r="V572" s="26">
        <v>1</v>
      </c>
      <c r="W572" s="28" t="s">
        <v>90</v>
      </c>
      <c r="X572" s="435" t="s">
        <v>92</v>
      </c>
      <c r="Y572" s="47">
        <v>2108.33</v>
      </c>
      <c r="Z572" s="77">
        <v>0.17199999999999999</v>
      </c>
      <c r="AA572" s="27">
        <v>1745.69724</v>
      </c>
      <c r="AB572" s="145"/>
      <c r="AC572" s="76"/>
      <c r="AD572" s="76"/>
      <c r="AE572" s="16" t="s">
        <v>92</v>
      </c>
      <c r="AF572" s="76" t="s">
        <v>92</v>
      </c>
      <c r="AG572" s="41" t="s">
        <v>1073</v>
      </c>
      <c r="AH572" s="174" t="s">
        <v>871</v>
      </c>
      <c r="AI572" s="159" t="s">
        <v>872</v>
      </c>
      <c r="AJ572" s="1" t="s">
        <v>98</v>
      </c>
      <c r="AK572" s="1" t="s">
        <v>98</v>
      </c>
      <c r="AL572" s="1" t="s">
        <v>98</v>
      </c>
      <c r="AM572" s="1" t="s">
        <v>98</v>
      </c>
      <c r="AN572" s="174"/>
    </row>
    <row r="573" spans="1:40">
      <c r="A573" s="421" t="s">
        <v>1110</v>
      </c>
      <c r="B573" s="110" t="s">
        <v>1111</v>
      </c>
      <c r="C573" s="26">
        <v>1</v>
      </c>
      <c r="D573" s="28" t="s">
        <v>90</v>
      </c>
      <c r="E573" s="47">
        <v>4791.67</v>
      </c>
      <c r="F573" s="77">
        <f t="shared" si="110"/>
        <v>0.17199999999999999</v>
      </c>
      <c r="G573" s="27">
        <f t="shared" si="108"/>
        <v>3967.5027600000003</v>
      </c>
      <c r="H573" s="145"/>
      <c r="I573" s="76"/>
      <c r="J573" s="76"/>
      <c r="K573" s="16"/>
      <c r="L573" s="76"/>
      <c r="M573" s="1045" t="s">
        <v>1073</v>
      </c>
      <c r="N573" s="1047" t="s">
        <v>871</v>
      </c>
      <c r="O573" s="1056" t="s">
        <v>872</v>
      </c>
      <c r="P573" s="1" t="str">
        <f t="shared" si="111"/>
        <v/>
      </c>
      <c r="Q573" s="1" t="str">
        <f t="shared" si="111"/>
        <v/>
      </c>
      <c r="R573" s="1" t="str">
        <f t="shared" si="111"/>
        <v/>
      </c>
      <c r="S573" s="1" t="str">
        <f t="shared" si="111"/>
        <v/>
      </c>
      <c r="T573" s="421" t="s">
        <v>1110</v>
      </c>
      <c r="U573" s="110" t="s">
        <v>1111</v>
      </c>
      <c r="V573" s="26">
        <v>1</v>
      </c>
      <c r="W573" s="28" t="s">
        <v>90</v>
      </c>
      <c r="X573" s="435" t="s">
        <v>92</v>
      </c>
      <c r="Y573" s="47">
        <v>4791.67</v>
      </c>
      <c r="Z573" s="77">
        <v>0.17199999999999999</v>
      </c>
      <c r="AA573" s="27">
        <v>3967.5027600000003</v>
      </c>
      <c r="AB573" s="145"/>
      <c r="AC573" s="76"/>
      <c r="AD573" s="76"/>
      <c r="AE573" s="16" t="s">
        <v>92</v>
      </c>
      <c r="AF573" s="76" t="s">
        <v>92</v>
      </c>
      <c r="AG573" s="41" t="s">
        <v>1073</v>
      </c>
      <c r="AH573" s="174" t="s">
        <v>871</v>
      </c>
      <c r="AI573" s="159" t="s">
        <v>872</v>
      </c>
      <c r="AJ573" s="1" t="s">
        <v>98</v>
      </c>
      <c r="AK573" s="1" t="s">
        <v>98</v>
      </c>
      <c r="AL573" s="1" t="s">
        <v>98</v>
      </c>
      <c r="AM573" s="1" t="s">
        <v>98</v>
      </c>
      <c r="AN573" s="174"/>
    </row>
    <row r="574" spans="1:40">
      <c r="A574" s="421" t="s">
        <v>1112</v>
      </c>
      <c r="B574" s="110" t="s">
        <v>1113</v>
      </c>
      <c r="C574" s="26">
        <v>1</v>
      </c>
      <c r="D574" s="28" t="s">
        <v>90</v>
      </c>
      <c r="E574" s="47">
        <v>4216.67</v>
      </c>
      <c r="F574" s="77">
        <f t="shared" si="110"/>
        <v>0.17199999999999999</v>
      </c>
      <c r="G574" s="27">
        <f t="shared" si="108"/>
        <v>3491.4027599999999</v>
      </c>
      <c r="H574" s="145"/>
      <c r="I574" s="76"/>
      <c r="J574" s="76"/>
      <c r="K574" s="16"/>
      <c r="L574" s="76"/>
      <c r="M574" s="1045" t="s">
        <v>1073</v>
      </c>
      <c r="N574" s="1047" t="s">
        <v>871</v>
      </c>
      <c r="O574" s="1056" t="s">
        <v>872</v>
      </c>
      <c r="P574" s="1" t="str">
        <f t="shared" si="111"/>
        <v/>
      </c>
      <c r="Q574" s="1" t="str">
        <f t="shared" si="111"/>
        <v/>
      </c>
      <c r="R574" s="1" t="str">
        <f t="shared" si="111"/>
        <v/>
      </c>
      <c r="S574" s="1" t="str">
        <f t="shared" si="111"/>
        <v/>
      </c>
      <c r="T574" s="421" t="s">
        <v>1112</v>
      </c>
      <c r="U574" s="110" t="s">
        <v>1113</v>
      </c>
      <c r="V574" s="26">
        <v>1</v>
      </c>
      <c r="W574" s="28" t="s">
        <v>90</v>
      </c>
      <c r="X574" s="435" t="s">
        <v>92</v>
      </c>
      <c r="Y574" s="47">
        <v>4216.67</v>
      </c>
      <c r="Z574" s="77">
        <v>0.17199999999999999</v>
      </c>
      <c r="AA574" s="27">
        <v>3491.4027599999999</v>
      </c>
      <c r="AB574" s="145"/>
      <c r="AC574" s="76"/>
      <c r="AD574" s="76"/>
      <c r="AE574" s="16" t="s">
        <v>92</v>
      </c>
      <c r="AF574" s="76" t="s">
        <v>92</v>
      </c>
      <c r="AG574" s="41" t="s">
        <v>1073</v>
      </c>
      <c r="AH574" s="174" t="s">
        <v>871</v>
      </c>
      <c r="AI574" s="159" t="s">
        <v>872</v>
      </c>
      <c r="AJ574" s="1" t="s">
        <v>98</v>
      </c>
      <c r="AK574" s="1" t="s">
        <v>98</v>
      </c>
      <c r="AL574" s="1" t="s">
        <v>98</v>
      </c>
      <c r="AM574" s="1" t="s">
        <v>98</v>
      </c>
      <c r="AN574" s="174"/>
    </row>
    <row r="575" spans="1:40">
      <c r="A575" s="421" t="s">
        <v>1114</v>
      </c>
      <c r="B575" s="110" t="s">
        <v>1115</v>
      </c>
      <c r="C575" s="26">
        <v>1</v>
      </c>
      <c r="D575" s="28" t="s">
        <v>90</v>
      </c>
      <c r="E575" s="47">
        <v>9008.33</v>
      </c>
      <c r="F575" s="77">
        <f t="shared" si="110"/>
        <v>0.17199999999999999</v>
      </c>
      <c r="G575" s="27">
        <f t="shared" si="108"/>
        <v>7458.8972400000002</v>
      </c>
      <c r="H575" s="145"/>
      <c r="I575" s="76"/>
      <c r="J575" s="76"/>
      <c r="K575" s="16"/>
      <c r="L575" s="76"/>
      <c r="M575" s="1045" t="s">
        <v>1073</v>
      </c>
      <c r="N575" s="1047" t="s">
        <v>871</v>
      </c>
      <c r="O575" s="1056" t="s">
        <v>872</v>
      </c>
      <c r="P575" s="1" t="str">
        <f t="shared" si="111"/>
        <v/>
      </c>
      <c r="Q575" s="1" t="str">
        <f t="shared" si="111"/>
        <v/>
      </c>
      <c r="R575" s="1" t="str">
        <f t="shared" si="111"/>
        <v/>
      </c>
      <c r="S575" s="1" t="str">
        <f t="shared" si="111"/>
        <v/>
      </c>
      <c r="T575" s="421" t="s">
        <v>1114</v>
      </c>
      <c r="U575" s="110" t="s">
        <v>1115</v>
      </c>
      <c r="V575" s="26">
        <v>1</v>
      </c>
      <c r="W575" s="28" t="s">
        <v>90</v>
      </c>
      <c r="X575" s="435" t="s">
        <v>92</v>
      </c>
      <c r="Y575" s="47">
        <v>9008.33</v>
      </c>
      <c r="Z575" s="77">
        <v>0.17199999999999999</v>
      </c>
      <c r="AA575" s="27">
        <v>7458.8972400000002</v>
      </c>
      <c r="AB575" s="145"/>
      <c r="AC575" s="76"/>
      <c r="AD575" s="76"/>
      <c r="AE575" s="16" t="s">
        <v>92</v>
      </c>
      <c r="AF575" s="76" t="s">
        <v>92</v>
      </c>
      <c r="AG575" s="41" t="s">
        <v>1073</v>
      </c>
      <c r="AH575" s="174" t="s">
        <v>871</v>
      </c>
      <c r="AI575" s="159" t="s">
        <v>872</v>
      </c>
      <c r="AJ575" s="1" t="s">
        <v>98</v>
      </c>
      <c r="AK575" s="1" t="s">
        <v>98</v>
      </c>
      <c r="AL575" s="1" t="s">
        <v>98</v>
      </c>
      <c r="AM575" s="1" t="s">
        <v>98</v>
      </c>
      <c r="AN575" s="174"/>
    </row>
    <row r="576" spans="1:40">
      <c r="A576" s="421" t="s">
        <v>1116</v>
      </c>
      <c r="B576" s="110" t="s">
        <v>1117</v>
      </c>
      <c r="C576" s="26">
        <v>1</v>
      </c>
      <c r="D576" s="28" t="s">
        <v>90</v>
      </c>
      <c r="E576" s="47">
        <v>5175</v>
      </c>
      <c r="F576" s="77">
        <f t="shared" si="110"/>
        <v>0.17199999999999999</v>
      </c>
      <c r="G576" s="27">
        <f t="shared" si="108"/>
        <v>4284.8999999999996</v>
      </c>
      <c r="H576" s="145"/>
      <c r="I576" s="76"/>
      <c r="J576" s="76"/>
      <c r="K576" s="16"/>
      <c r="L576" s="76"/>
      <c r="M576" s="1045" t="s">
        <v>1073</v>
      </c>
      <c r="N576" s="1047" t="s">
        <v>871</v>
      </c>
      <c r="O576" s="1056" t="s">
        <v>872</v>
      </c>
      <c r="P576" s="1" t="str">
        <f t="shared" si="111"/>
        <v/>
      </c>
      <c r="Q576" s="1" t="str">
        <f t="shared" si="111"/>
        <v/>
      </c>
      <c r="R576" s="1" t="str">
        <f t="shared" si="111"/>
        <v/>
      </c>
      <c r="S576" s="1" t="str">
        <f t="shared" si="111"/>
        <v/>
      </c>
      <c r="T576" s="421" t="s">
        <v>1116</v>
      </c>
      <c r="U576" s="110" t="s">
        <v>1117</v>
      </c>
      <c r="V576" s="26">
        <v>1</v>
      </c>
      <c r="W576" s="28" t="s">
        <v>90</v>
      </c>
      <c r="X576" s="435" t="s">
        <v>92</v>
      </c>
      <c r="Y576" s="47">
        <v>5175</v>
      </c>
      <c r="Z576" s="77">
        <v>0.17199999999999999</v>
      </c>
      <c r="AA576" s="27">
        <v>4284.8999999999996</v>
      </c>
      <c r="AB576" s="145"/>
      <c r="AC576" s="76"/>
      <c r="AD576" s="76"/>
      <c r="AE576" s="16" t="s">
        <v>92</v>
      </c>
      <c r="AF576" s="76" t="s">
        <v>92</v>
      </c>
      <c r="AG576" s="41" t="s">
        <v>1073</v>
      </c>
      <c r="AH576" s="174" t="s">
        <v>871</v>
      </c>
      <c r="AI576" s="159" t="s">
        <v>872</v>
      </c>
      <c r="AJ576" s="1" t="s">
        <v>98</v>
      </c>
      <c r="AK576" s="1" t="s">
        <v>98</v>
      </c>
      <c r="AL576" s="1" t="s">
        <v>98</v>
      </c>
      <c r="AM576" s="1" t="s">
        <v>98</v>
      </c>
      <c r="AN576" s="174"/>
    </row>
    <row r="577" spans="1:40">
      <c r="A577" s="421" t="s">
        <v>1118</v>
      </c>
      <c r="B577" s="110" t="s">
        <v>1119</v>
      </c>
      <c r="C577" s="26">
        <v>1</v>
      </c>
      <c r="D577" s="28" t="s">
        <v>90</v>
      </c>
      <c r="E577" s="47">
        <v>10925</v>
      </c>
      <c r="F577" s="77">
        <f t="shared" si="110"/>
        <v>0.17199999999999999</v>
      </c>
      <c r="G577" s="27">
        <f t="shared" si="108"/>
        <v>9045.9</v>
      </c>
      <c r="H577" s="145"/>
      <c r="I577" s="76"/>
      <c r="J577" s="76"/>
      <c r="K577" s="16"/>
      <c r="L577" s="76"/>
      <c r="M577" s="1045" t="s">
        <v>1073</v>
      </c>
      <c r="N577" s="1047" t="s">
        <v>871</v>
      </c>
      <c r="O577" s="1056" t="s">
        <v>872</v>
      </c>
      <c r="P577" s="1" t="str">
        <f t="shared" si="111"/>
        <v/>
      </c>
      <c r="Q577" s="1" t="str">
        <f t="shared" si="111"/>
        <v/>
      </c>
      <c r="R577" s="1" t="str">
        <f t="shared" si="111"/>
        <v/>
      </c>
      <c r="S577" s="1" t="str">
        <f t="shared" si="111"/>
        <v/>
      </c>
      <c r="T577" s="421" t="s">
        <v>1118</v>
      </c>
      <c r="U577" s="110" t="s">
        <v>1119</v>
      </c>
      <c r="V577" s="26">
        <v>1</v>
      </c>
      <c r="W577" s="28" t="s">
        <v>90</v>
      </c>
      <c r="X577" s="435" t="s">
        <v>92</v>
      </c>
      <c r="Y577" s="47">
        <v>10925</v>
      </c>
      <c r="Z577" s="77">
        <v>0.17199999999999999</v>
      </c>
      <c r="AA577" s="27">
        <v>9045.9</v>
      </c>
      <c r="AB577" s="145"/>
      <c r="AC577" s="76"/>
      <c r="AD577" s="76"/>
      <c r="AE577" s="16" t="s">
        <v>92</v>
      </c>
      <c r="AF577" s="76" t="s">
        <v>92</v>
      </c>
      <c r="AG577" s="41" t="s">
        <v>1073</v>
      </c>
      <c r="AH577" s="174" t="s">
        <v>871</v>
      </c>
      <c r="AI577" s="159" t="s">
        <v>872</v>
      </c>
      <c r="AJ577" s="1" t="s">
        <v>98</v>
      </c>
      <c r="AK577" s="1" t="s">
        <v>98</v>
      </c>
      <c r="AL577" s="1" t="s">
        <v>98</v>
      </c>
      <c r="AM577" s="1" t="s">
        <v>98</v>
      </c>
      <c r="AN577" s="174"/>
    </row>
    <row r="578" spans="1:40">
      <c r="A578" s="421" t="s">
        <v>1120</v>
      </c>
      <c r="B578" s="110" t="s">
        <v>1121</v>
      </c>
      <c r="C578" s="26">
        <v>1</v>
      </c>
      <c r="D578" s="28" t="s">
        <v>90</v>
      </c>
      <c r="E578" s="47">
        <v>1916.67</v>
      </c>
      <c r="F578" s="77">
        <f t="shared" si="110"/>
        <v>0.17199999999999999</v>
      </c>
      <c r="G578" s="27">
        <f t="shared" si="108"/>
        <v>1587.0027600000001</v>
      </c>
      <c r="H578" s="145"/>
      <c r="I578" s="76"/>
      <c r="J578" s="76"/>
      <c r="K578" s="16"/>
      <c r="L578" s="76"/>
      <c r="M578" s="1045" t="s">
        <v>1073</v>
      </c>
      <c r="N578" s="1047" t="s">
        <v>871</v>
      </c>
      <c r="O578" s="1056" t="s">
        <v>872</v>
      </c>
      <c r="P578" s="1" t="str">
        <f t="shared" ref="P578:S583" si="112">+IF($J578&lt;&gt;"",P$2*$J578,"")</f>
        <v/>
      </c>
      <c r="Q578" s="1" t="str">
        <f t="shared" si="112"/>
        <v/>
      </c>
      <c r="R578" s="1" t="str">
        <f t="shared" si="112"/>
        <v/>
      </c>
      <c r="S578" s="1" t="str">
        <f t="shared" si="112"/>
        <v/>
      </c>
      <c r="T578" s="421" t="s">
        <v>1120</v>
      </c>
      <c r="U578" s="110" t="s">
        <v>1121</v>
      </c>
      <c r="V578" s="26">
        <v>1</v>
      </c>
      <c r="W578" s="28" t="s">
        <v>90</v>
      </c>
      <c r="X578" s="435" t="s">
        <v>92</v>
      </c>
      <c r="Y578" s="47">
        <v>1916.67</v>
      </c>
      <c r="Z578" s="77">
        <v>0.17199999999999999</v>
      </c>
      <c r="AA578" s="27">
        <v>1587.0027600000001</v>
      </c>
      <c r="AB578" s="145"/>
      <c r="AC578" s="76"/>
      <c r="AD578" s="76"/>
      <c r="AE578" s="16" t="s">
        <v>92</v>
      </c>
      <c r="AF578" s="76" t="s">
        <v>92</v>
      </c>
      <c r="AG578" s="41" t="s">
        <v>1073</v>
      </c>
      <c r="AH578" s="174" t="s">
        <v>871</v>
      </c>
      <c r="AI578" s="159" t="s">
        <v>872</v>
      </c>
      <c r="AJ578" s="1" t="s">
        <v>98</v>
      </c>
      <c r="AK578" s="1" t="s">
        <v>98</v>
      </c>
      <c r="AL578" s="1" t="s">
        <v>98</v>
      </c>
      <c r="AM578" s="1" t="s">
        <v>98</v>
      </c>
      <c r="AN578" s="174"/>
    </row>
    <row r="579" spans="1:40">
      <c r="A579" s="421" t="s">
        <v>1122</v>
      </c>
      <c r="B579" s="110" t="s">
        <v>1123</v>
      </c>
      <c r="C579" s="26">
        <v>1</v>
      </c>
      <c r="D579" s="28" t="s">
        <v>90</v>
      </c>
      <c r="E579" s="47">
        <v>41.67</v>
      </c>
      <c r="F579" s="77">
        <f t="shared" si="110"/>
        <v>0.17199999999999999</v>
      </c>
      <c r="G579" s="27">
        <f t="shared" si="108"/>
        <v>34.502760000000002</v>
      </c>
      <c r="H579" s="145"/>
      <c r="I579" s="76"/>
      <c r="J579" s="76"/>
      <c r="K579" s="16"/>
      <c r="L579" s="76"/>
      <c r="M579" s="1045" t="s">
        <v>1073</v>
      </c>
      <c r="N579" s="1047" t="s">
        <v>871</v>
      </c>
      <c r="O579" s="1056" t="s">
        <v>872</v>
      </c>
      <c r="P579" s="1" t="str">
        <f t="shared" si="112"/>
        <v/>
      </c>
      <c r="Q579" s="1" t="str">
        <f t="shared" si="112"/>
        <v/>
      </c>
      <c r="R579" s="1" t="str">
        <f t="shared" si="112"/>
        <v/>
      </c>
      <c r="S579" s="1" t="str">
        <f t="shared" si="112"/>
        <v/>
      </c>
      <c r="T579" s="421" t="s">
        <v>1122</v>
      </c>
      <c r="U579" s="110" t="s">
        <v>1123</v>
      </c>
      <c r="V579" s="26">
        <v>1</v>
      </c>
      <c r="W579" s="28" t="s">
        <v>90</v>
      </c>
      <c r="X579" s="435" t="s">
        <v>92</v>
      </c>
      <c r="Y579" s="47">
        <v>41.67</v>
      </c>
      <c r="Z579" s="77">
        <v>0.17199999999999999</v>
      </c>
      <c r="AA579" s="27">
        <v>34.502760000000002</v>
      </c>
      <c r="AB579" s="145"/>
      <c r="AC579" s="76"/>
      <c r="AD579" s="76"/>
      <c r="AE579" s="16" t="s">
        <v>92</v>
      </c>
      <c r="AF579" s="76" t="s">
        <v>92</v>
      </c>
      <c r="AG579" s="41" t="s">
        <v>1073</v>
      </c>
      <c r="AH579" s="174" t="s">
        <v>871</v>
      </c>
      <c r="AI579" s="159" t="s">
        <v>872</v>
      </c>
      <c r="AJ579" s="1" t="s">
        <v>98</v>
      </c>
      <c r="AK579" s="1" t="s">
        <v>98</v>
      </c>
      <c r="AL579" s="1" t="s">
        <v>98</v>
      </c>
      <c r="AM579" s="1" t="s">
        <v>98</v>
      </c>
      <c r="AN579" s="174"/>
    </row>
    <row r="580" spans="1:40">
      <c r="A580" s="421" t="s">
        <v>1124</v>
      </c>
      <c r="B580" s="110" t="s">
        <v>1125</v>
      </c>
      <c r="C580" s="26">
        <v>1</v>
      </c>
      <c r="D580" s="28" t="s">
        <v>90</v>
      </c>
      <c r="E580" s="47">
        <v>132.5</v>
      </c>
      <c r="F580" s="77">
        <f t="shared" si="110"/>
        <v>0.17199999999999999</v>
      </c>
      <c r="G580" s="27">
        <f t="shared" si="108"/>
        <v>109.71000000000001</v>
      </c>
      <c r="H580" s="145"/>
      <c r="I580" s="76"/>
      <c r="J580" s="76"/>
      <c r="K580" s="16"/>
      <c r="L580" s="76"/>
      <c r="M580" s="1045" t="s">
        <v>1073</v>
      </c>
      <c r="N580" s="1047" t="s">
        <v>871</v>
      </c>
      <c r="O580" s="1056" t="s">
        <v>872</v>
      </c>
      <c r="P580" s="1" t="str">
        <f t="shared" si="112"/>
        <v/>
      </c>
      <c r="Q580" s="1" t="str">
        <f t="shared" si="112"/>
        <v/>
      </c>
      <c r="R580" s="1" t="str">
        <f t="shared" si="112"/>
        <v/>
      </c>
      <c r="S580" s="1" t="str">
        <f t="shared" si="112"/>
        <v/>
      </c>
      <c r="T580" s="421" t="s">
        <v>1124</v>
      </c>
      <c r="U580" s="110" t="s">
        <v>1125</v>
      </c>
      <c r="V580" s="26">
        <v>1</v>
      </c>
      <c r="W580" s="28" t="s">
        <v>90</v>
      </c>
      <c r="X580" s="435" t="s">
        <v>92</v>
      </c>
      <c r="Y580" s="47">
        <v>132.5</v>
      </c>
      <c r="Z580" s="77">
        <v>0.17199999999999999</v>
      </c>
      <c r="AA580" s="27">
        <v>109.71000000000001</v>
      </c>
      <c r="AB580" s="145"/>
      <c r="AC580" s="76"/>
      <c r="AD580" s="76"/>
      <c r="AE580" s="16" t="s">
        <v>92</v>
      </c>
      <c r="AF580" s="76" t="s">
        <v>92</v>
      </c>
      <c r="AG580" s="41" t="s">
        <v>1073</v>
      </c>
      <c r="AH580" s="174" t="s">
        <v>871</v>
      </c>
      <c r="AI580" s="159" t="s">
        <v>872</v>
      </c>
      <c r="AJ580" s="1" t="s">
        <v>98</v>
      </c>
      <c r="AK580" s="1" t="s">
        <v>98</v>
      </c>
      <c r="AL580" s="1" t="s">
        <v>98</v>
      </c>
      <c r="AM580" s="1" t="s">
        <v>98</v>
      </c>
      <c r="AN580" s="174"/>
    </row>
    <row r="581" spans="1:40">
      <c r="A581" s="421" t="s">
        <v>1126</v>
      </c>
      <c r="B581" s="110" t="s">
        <v>1127</v>
      </c>
      <c r="C581" s="26">
        <v>1</v>
      </c>
      <c r="D581" s="28" t="s">
        <v>90</v>
      </c>
      <c r="E581" s="428"/>
      <c r="F581" s="21"/>
      <c r="G581" s="27">
        <f t="shared" si="108"/>
        <v>0</v>
      </c>
      <c r="H581" s="145"/>
      <c r="I581" s="76"/>
      <c r="J581" s="76"/>
      <c r="K581" s="16"/>
      <c r="L581" s="76"/>
      <c r="M581" s="1045" t="s">
        <v>1073</v>
      </c>
      <c r="N581" s="1047" t="s">
        <v>871</v>
      </c>
      <c r="O581" s="1056" t="s">
        <v>872</v>
      </c>
      <c r="P581" s="1" t="str">
        <f t="shared" si="112"/>
        <v/>
      </c>
      <c r="Q581" s="1" t="str">
        <f t="shared" si="112"/>
        <v/>
      </c>
      <c r="R581" s="1" t="str">
        <f t="shared" si="112"/>
        <v/>
      </c>
      <c r="S581" s="1" t="str">
        <f t="shared" si="112"/>
        <v/>
      </c>
      <c r="T581" s="421" t="s">
        <v>1126</v>
      </c>
      <c r="U581" s="110" t="s">
        <v>1127</v>
      </c>
      <c r="V581" s="26">
        <v>1</v>
      </c>
      <c r="W581" s="28" t="s">
        <v>90</v>
      </c>
      <c r="X581" s="435" t="s">
        <v>92</v>
      </c>
      <c r="Y581" s="428"/>
      <c r="Z581" s="21"/>
      <c r="AA581" s="27">
        <v>0</v>
      </c>
      <c r="AB581" s="145"/>
      <c r="AC581" s="76"/>
      <c r="AD581" s="76"/>
      <c r="AE581" s="16" t="s">
        <v>92</v>
      </c>
      <c r="AF581" s="76" t="s">
        <v>92</v>
      </c>
      <c r="AG581" s="41" t="s">
        <v>1073</v>
      </c>
      <c r="AH581" s="174" t="s">
        <v>871</v>
      </c>
      <c r="AI581" s="159" t="s">
        <v>872</v>
      </c>
      <c r="AJ581" s="1" t="s">
        <v>98</v>
      </c>
      <c r="AK581" s="1" t="s">
        <v>98</v>
      </c>
      <c r="AL581" s="1" t="s">
        <v>98</v>
      </c>
      <c r="AM581" s="1" t="s">
        <v>98</v>
      </c>
      <c r="AN581" s="174"/>
    </row>
    <row r="582" spans="1:40">
      <c r="A582" s="421" t="s">
        <v>1128</v>
      </c>
      <c r="B582" s="110" t="s">
        <v>1129</v>
      </c>
      <c r="C582" s="26">
        <v>1</v>
      </c>
      <c r="D582" s="28" t="s">
        <v>90</v>
      </c>
      <c r="E582" s="428"/>
      <c r="F582" s="21"/>
      <c r="G582" s="27">
        <f t="shared" si="108"/>
        <v>0</v>
      </c>
      <c r="H582" s="145"/>
      <c r="I582" s="76"/>
      <c r="J582" s="76"/>
      <c r="K582" s="16"/>
      <c r="L582" s="76"/>
      <c r="M582" s="1045" t="s">
        <v>1073</v>
      </c>
      <c r="N582" s="1047" t="s">
        <v>871</v>
      </c>
      <c r="O582" s="1056" t="s">
        <v>872</v>
      </c>
      <c r="P582" s="1" t="str">
        <f t="shared" si="112"/>
        <v/>
      </c>
      <c r="Q582" s="1" t="str">
        <f t="shared" si="112"/>
        <v/>
      </c>
      <c r="R582" s="1" t="str">
        <f t="shared" si="112"/>
        <v/>
      </c>
      <c r="S582" s="1" t="str">
        <f t="shared" si="112"/>
        <v/>
      </c>
      <c r="T582" s="421" t="s">
        <v>1128</v>
      </c>
      <c r="U582" s="110" t="s">
        <v>1129</v>
      </c>
      <c r="V582" s="26">
        <v>1</v>
      </c>
      <c r="W582" s="28" t="s">
        <v>90</v>
      </c>
      <c r="X582" s="435" t="s">
        <v>92</v>
      </c>
      <c r="Y582" s="428"/>
      <c r="Z582" s="21"/>
      <c r="AA582" s="27">
        <v>0</v>
      </c>
      <c r="AB582" s="145"/>
      <c r="AC582" s="76"/>
      <c r="AD582" s="76"/>
      <c r="AE582" s="16" t="s">
        <v>92</v>
      </c>
      <c r="AF582" s="76" t="s">
        <v>92</v>
      </c>
      <c r="AG582" s="41" t="s">
        <v>1073</v>
      </c>
      <c r="AH582" s="174" t="s">
        <v>871</v>
      </c>
      <c r="AI582" s="159" t="s">
        <v>872</v>
      </c>
      <c r="AJ582" s="1" t="s">
        <v>98</v>
      </c>
      <c r="AK582" s="1" t="s">
        <v>98</v>
      </c>
      <c r="AL582" s="1" t="s">
        <v>98</v>
      </c>
      <c r="AM582" s="1" t="s">
        <v>98</v>
      </c>
      <c r="AN582" s="174"/>
    </row>
    <row r="583" spans="1:40">
      <c r="A583" s="421" t="s">
        <v>1130</v>
      </c>
      <c r="B583" s="110" t="s">
        <v>1131</v>
      </c>
      <c r="C583" s="26">
        <v>1</v>
      </c>
      <c r="D583" s="28" t="s">
        <v>90</v>
      </c>
      <c r="E583" s="47">
        <v>416.67</v>
      </c>
      <c r="F583" s="77">
        <f>rv_mp_eg_cto</f>
        <v>0.17199999999999999</v>
      </c>
      <c r="G583" s="27">
        <f t="shared" si="108"/>
        <v>345.00276000000002</v>
      </c>
      <c r="H583" s="145"/>
      <c r="I583" s="76"/>
      <c r="J583" s="76"/>
      <c r="K583" s="16"/>
      <c r="L583" s="76"/>
      <c r="M583" s="1045" t="s">
        <v>1073</v>
      </c>
      <c r="N583" s="1047" t="s">
        <v>871</v>
      </c>
      <c r="O583" s="1056" t="s">
        <v>872</v>
      </c>
      <c r="P583" s="1" t="str">
        <f t="shared" si="112"/>
        <v/>
      </c>
      <c r="Q583" s="1" t="str">
        <f t="shared" si="112"/>
        <v/>
      </c>
      <c r="R583" s="1" t="str">
        <f t="shared" si="112"/>
        <v/>
      </c>
      <c r="S583" s="1" t="str">
        <f t="shared" si="112"/>
        <v/>
      </c>
      <c r="T583" s="421" t="s">
        <v>1130</v>
      </c>
      <c r="U583" s="110" t="s">
        <v>1131</v>
      </c>
      <c r="V583" s="26">
        <v>1</v>
      </c>
      <c r="W583" s="28" t="s">
        <v>90</v>
      </c>
      <c r="X583" s="435" t="s">
        <v>92</v>
      </c>
      <c r="Y583" s="47">
        <v>416.67</v>
      </c>
      <c r="Z583" s="77">
        <v>0.17199999999999999</v>
      </c>
      <c r="AA583" s="27">
        <v>345.00276000000002</v>
      </c>
      <c r="AB583" s="145"/>
      <c r="AC583" s="76"/>
      <c r="AD583" s="76"/>
      <c r="AE583" s="16" t="s">
        <v>92</v>
      </c>
      <c r="AF583" s="76" t="s">
        <v>92</v>
      </c>
      <c r="AG583" s="41" t="s">
        <v>1073</v>
      </c>
      <c r="AH583" s="174" t="s">
        <v>871</v>
      </c>
      <c r="AI583" s="159" t="s">
        <v>872</v>
      </c>
      <c r="AJ583" s="1" t="s">
        <v>98</v>
      </c>
      <c r="AK583" s="1" t="s">
        <v>98</v>
      </c>
      <c r="AL583" s="1" t="s">
        <v>98</v>
      </c>
      <c r="AM583" s="1" t="s">
        <v>98</v>
      </c>
      <c r="AN583" s="174"/>
    </row>
    <row r="584" spans="1:40">
      <c r="A584" s="464" t="s">
        <v>1165</v>
      </c>
      <c r="B584" s="94" t="s">
        <v>1166</v>
      </c>
      <c r="C584" s="95">
        <v>1</v>
      </c>
      <c r="D584" s="115" t="s">
        <v>90</v>
      </c>
      <c r="E584" s="445">
        <v>5997.97</v>
      </c>
      <c r="F584" s="97">
        <f>rv_mp_eg</f>
        <v>0.17199999999999999</v>
      </c>
      <c r="G584" s="202">
        <f t="shared" ref="G584:G616" si="113">E584-(E584*F584)</f>
        <v>4966.31916</v>
      </c>
      <c r="H584" s="607" t="s">
        <v>1072</v>
      </c>
      <c r="I584" s="91">
        <f>mp_5pl</f>
        <v>94</v>
      </c>
      <c r="J584" s="91">
        <f>G584+I584</f>
        <v>5060.31916</v>
      </c>
      <c r="K584" s="75" t="s">
        <v>92</v>
      </c>
      <c r="L584" s="91">
        <v>1.2</v>
      </c>
      <c r="M584" s="1045" t="s">
        <v>1167</v>
      </c>
      <c r="N584" s="1047" t="s">
        <v>871</v>
      </c>
      <c r="O584" s="1056" t="s">
        <v>872</v>
      </c>
      <c r="P584" s="1">
        <f t="shared" ref="P584:S602" si="114">+IF($J584&lt;&gt;"",P$2*$J584,"")</f>
        <v>1018.6865109757453</v>
      </c>
      <c r="Q584" s="1">
        <f t="shared" si="114"/>
        <v>529.41795924399548</v>
      </c>
      <c r="R584" s="1">
        <f t="shared" si="114"/>
        <v>384.50050371726377</v>
      </c>
      <c r="S584" s="1">
        <f t="shared" si="114"/>
        <v>331.79947342038514</v>
      </c>
      <c r="T584" s="464" t="s">
        <v>1165</v>
      </c>
      <c r="U584" s="94" t="s">
        <v>1166</v>
      </c>
      <c r="V584" s="95">
        <v>1</v>
      </c>
      <c r="W584" s="115" t="s">
        <v>90</v>
      </c>
      <c r="X584" s="439" t="s">
        <v>1165</v>
      </c>
      <c r="Y584" s="445">
        <v>5997.97</v>
      </c>
      <c r="Z584" s="97">
        <v>0.17199999999999999</v>
      </c>
      <c r="AA584" s="202">
        <v>4966.31916</v>
      </c>
      <c r="AB584" s="607" t="s">
        <v>1072</v>
      </c>
      <c r="AC584" s="91">
        <v>94</v>
      </c>
      <c r="AD584" s="91">
        <v>5060.31916</v>
      </c>
      <c r="AE584" s="75" t="s">
        <v>92</v>
      </c>
      <c r="AF584" s="91">
        <v>1.2</v>
      </c>
      <c r="AG584" s="41" t="s">
        <v>1167</v>
      </c>
      <c r="AH584" s="174" t="s">
        <v>871</v>
      </c>
      <c r="AI584" s="159" t="s">
        <v>872</v>
      </c>
      <c r="AJ584" s="1">
        <v>1018.6865109757453</v>
      </c>
      <c r="AK584" s="1">
        <v>529.41795924399548</v>
      </c>
      <c r="AL584" s="1">
        <v>384.50050371726377</v>
      </c>
      <c r="AM584" s="1">
        <v>331.79947342038514</v>
      </c>
      <c r="AN584" s="174"/>
    </row>
    <row r="585" spans="1:40">
      <c r="A585" s="421" t="s">
        <v>1168</v>
      </c>
      <c r="B585" s="110" t="s">
        <v>1169</v>
      </c>
      <c r="C585" s="26">
        <v>1</v>
      </c>
      <c r="D585" s="28" t="s">
        <v>90</v>
      </c>
      <c r="E585" s="47">
        <v>958.33</v>
      </c>
      <c r="F585" s="77">
        <f t="shared" ref="F585:F610" si="115">rv_mp_eg_cto</f>
        <v>0.17199999999999999</v>
      </c>
      <c r="G585" s="27">
        <f t="shared" si="113"/>
        <v>793.49724000000003</v>
      </c>
      <c r="H585" s="27"/>
      <c r="I585" s="76"/>
      <c r="J585" s="76"/>
      <c r="K585" s="16"/>
      <c r="L585" s="76"/>
      <c r="M585" s="1045" t="s">
        <v>1167</v>
      </c>
      <c r="N585" s="1047" t="s">
        <v>871</v>
      </c>
      <c r="O585" s="1056" t="s">
        <v>872</v>
      </c>
      <c r="P585" s="1" t="str">
        <f t="shared" si="114"/>
        <v/>
      </c>
      <c r="Q585" s="1" t="str">
        <f t="shared" si="114"/>
        <v/>
      </c>
      <c r="R585" s="1" t="str">
        <f t="shared" si="114"/>
        <v/>
      </c>
      <c r="S585" s="1" t="str">
        <f t="shared" si="114"/>
        <v/>
      </c>
      <c r="T585" s="421" t="s">
        <v>1168</v>
      </c>
      <c r="U585" s="110" t="s">
        <v>1169</v>
      </c>
      <c r="V585" s="26">
        <v>1</v>
      </c>
      <c r="W585" s="28" t="s">
        <v>90</v>
      </c>
      <c r="X585" s="435" t="s">
        <v>92</v>
      </c>
      <c r="Y585" s="47">
        <v>958.33</v>
      </c>
      <c r="Z585" s="77">
        <v>0.17199999999999999</v>
      </c>
      <c r="AA585" s="27">
        <v>793.49724000000003</v>
      </c>
      <c r="AB585" s="27"/>
      <c r="AC585" s="76"/>
      <c r="AD585" s="76"/>
      <c r="AE585" s="16" t="s">
        <v>92</v>
      </c>
      <c r="AF585" s="76" t="s">
        <v>92</v>
      </c>
      <c r="AG585" s="41" t="s">
        <v>1167</v>
      </c>
      <c r="AH585" s="174" t="s">
        <v>871</v>
      </c>
      <c r="AI585" s="159" t="s">
        <v>872</v>
      </c>
      <c r="AJ585" s="1" t="s">
        <v>98</v>
      </c>
      <c r="AK585" s="1" t="s">
        <v>98</v>
      </c>
      <c r="AL585" s="1" t="s">
        <v>98</v>
      </c>
      <c r="AM585" s="1" t="s">
        <v>98</v>
      </c>
      <c r="AN585" s="174"/>
    </row>
    <row r="586" spans="1:40">
      <c r="A586" s="421" t="s">
        <v>1170</v>
      </c>
      <c r="B586" s="110" t="s">
        <v>1171</v>
      </c>
      <c r="C586" s="26">
        <v>1</v>
      </c>
      <c r="D586" s="28" t="s">
        <v>90</v>
      </c>
      <c r="E586" s="47">
        <v>1916.67</v>
      </c>
      <c r="F586" s="77">
        <f t="shared" si="115"/>
        <v>0.17199999999999999</v>
      </c>
      <c r="G586" s="27">
        <f t="shared" si="113"/>
        <v>1587.0027600000001</v>
      </c>
      <c r="H586" s="27"/>
      <c r="I586" s="76"/>
      <c r="J586" s="76"/>
      <c r="K586" s="16"/>
      <c r="L586" s="76"/>
      <c r="M586" s="1045" t="s">
        <v>1167</v>
      </c>
      <c r="N586" s="1047" t="s">
        <v>871</v>
      </c>
      <c r="O586" s="1056" t="s">
        <v>872</v>
      </c>
      <c r="P586" s="1" t="str">
        <f t="shared" si="114"/>
        <v/>
      </c>
      <c r="Q586" s="1" t="str">
        <f t="shared" si="114"/>
        <v/>
      </c>
      <c r="R586" s="1" t="str">
        <f t="shared" si="114"/>
        <v/>
      </c>
      <c r="S586" s="1" t="str">
        <f t="shared" si="114"/>
        <v/>
      </c>
      <c r="T586" s="421" t="s">
        <v>1170</v>
      </c>
      <c r="U586" s="110" t="s">
        <v>1171</v>
      </c>
      <c r="V586" s="26">
        <v>1</v>
      </c>
      <c r="W586" s="28" t="s">
        <v>90</v>
      </c>
      <c r="X586" s="435" t="s">
        <v>92</v>
      </c>
      <c r="Y586" s="47">
        <v>1916.67</v>
      </c>
      <c r="Z586" s="77">
        <v>0.17199999999999999</v>
      </c>
      <c r="AA586" s="27">
        <v>1587.0027600000001</v>
      </c>
      <c r="AB586" s="27"/>
      <c r="AC586" s="76"/>
      <c r="AD586" s="76"/>
      <c r="AE586" s="16" t="s">
        <v>92</v>
      </c>
      <c r="AF586" s="76" t="s">
        <v>92</v>
      </c>
      <c r="AG586" s="41" t="s">
        <v>1167</v>
      </c>
      <c r="AH586" s="174" t="s">
        <v>871</v>
      </c>
      <c r="AI586" s="159" t="s">
        <v>872</v>
      </c>
      <c r="AJ586" s="1" t="s">
        <v>98</v>
      </c>
      <c r="AK586" s="1" t="s">
        <v>98</v>
      </c>
      <c r="AL586" s="1" t="s">
        <v>98</v>
      </c>
      <c r="AM586" s="1" t="s">
        <v>98</v>
      </c>
      <c r="AN586" s="174"/>
    </row>
    <row r="587" spans="1:40">
      <c r="A587" s="421" t="s">
        <v>1172</v>
      </c>
      <c r="B587" s="110" t="s">
        <v>1173</v>
      </c>
      <c r="C587" s="26">
        <v>1</v>
      </c>
      <c r="D587" s="28" t="s">
        <v>90</v>
      </c>
      <c r="E587" s="47">
        <v>5750</v>
      </c>
      <c r="F587" s="77">
        <f t="shared" si="115"/>
        <v>0.17199999999999999</v>
      </c>
      <c r="G587" s="27">
        <f t="shared" si="113"/>
        <v>4761</v>
      </c>
      <c r="H587" s="27"/>
      <c r="I587" s="76"/>
      <c r="J587" s="76"/>
      <c r="K587" s="16"/>
      <c r="L587" s="76"/>
      <c r="M587" s="1045" t="s">
        <v>1167</v>
      </c>
      <c r="N587" s="1047" t="s">
        <v>871</v>
      </c>
      <c r="O587" s="1056" t="s">
        <v>872</v>
      </c>
      <c r="P587" s="1" t="str">
        <f t="shared" si="114"/>
        <v/>
      </c>
      <c r="Q587" s="1" t="str">
        <f t="shared" si="114"/>
        <v/>
      </c>
      <c r="R587" s="1" t="str">
        <f t="shared" si="114"/>
        <v/>
      </c>
      <c r="S587" s="1" t="str">
        <f t="shared" si="114"/>
        <v/>
      </c>
      <c r="T587" s="421" t="s">
        <v>1172</v>
      </c>
      <c r="U587" s="110" t="s">
        <v>1173</v>
      </c>
      <c r="V587" s="26">
        <v>1</v>
      </c>
      <c r="W587" s="28" t="s">
        <v>90</v>
      </c>
      <c r="X587" s="435" t="s">
        <v>92</v>
      </c>
      <c r="Y587" s="47">
        <v>5750</v>
      </c>
      <c r="Z587" s="77">
        <v>0.17199999999999999</v>
      </c>
      <c r="AA587" s="27">
        <v>4761</v>
      </c>
      <c r="AB587" s="27"/>
      <c r="AC587" s="76"/>
      <c r="AD587" s="76"/>
      <c r="AE587" s="16" t="s">
        <v>92</v>
      </c>
      <c r="AF587" s="76" t="s">
        <v>92</v>
      </c>
      <c r="AG587" s="41" t="s">
        <v>1167</v>
      </c>
      <c r="AH587" s="174" t="s">
        <v>871</v>
      </c>
      <c r="AI587" s="159" t="s">
        <v>872</v>
      </c>
      <c r="AJ587" s="1" t="s">
        <v>98</v>
      </c>
      <c r="AK587" s="1" t="s">
        <v>98</v>
      </c>
      <c r="AL587" s="1" t="s">
        <v>98</v>
      </c>
      <c r="AM587" s="1" t="s">
        <v>98</v>
      </c>
      <c r="AN587" s="174"/>
    </row>
    <row r="588" spans="1:40">
      <c r="A588" s="421" t="s">
        <v>1174</v>
      </c>
      <c r="B588" s="110" t="s">
        <v>1175</v>
      </c>
      <c r="C588" s="26">
        <v>1</v>
      </c>
      <c r="D588" s="28" t="s">
        <v>90</v>
      </c>
      <c r="E588" s="47">
        <v>6708.33</v>
      </c>
      <c r="F588" s="77">
        <f t="shared" si="115"/>
        <v>0.17199999999999999</v>
      </c>
      <c r="G588" s="27">
        <f t="shared" si="113"/>
        <v>5554.4972399999997</v>
      </c>
      <c r="H588" s="27"/>
      <c r="I588" s="76"/>
      <c r="J588" s="76"/>
      <c r="K588" s="16"/>
      <c r="L588" s="76"/>
      <c r="M588" s="1045" t="s">
        <v>1167</v>
      </c>
      <c r="N588" s="1047" t="s">
        <v>871</v>
      </c>
      <c r="O588" s="1056" t="s">
        <v>872</v>
      </c>
      <c r="P588" s="1" t="str">
        <f t="shared" si="114"/>
        <v/>
      </c>
      <c r="Q588" s="1" t="str">
        <f t="shared" si="114"/>
        <v/>
      </c>
      <c r="R588" s="1" t="str">
        <f t="shared" si="114"/>
        <v/>
      </c>
      <c r="S588" s="1" t="str">
        <f t="shared" si="114"/>
        <v/>
      </c>
      <c r="T588" s="421" t="s">
        <v>1174</v>
      </c>
      <c r="U588" s="110" t="s">
        <v>1175</v>
      </c>
      <c r="V588" s="26">
        <v>1</v>
      </c>
      <c r="W588" s="28" t="s">
        <v>90</v>
      </c>
      <c r="X588" s="435" t="s">
        <v>92</v>
      </c>
      <c r="Y588" s="47">
        <v>6708.33</v>
      </c>
      <c r="Z588" s="77">
        <v>0.17199999999999999</v>
      </c>
      <c r="AA588" s="27">
        <v>5554.4972399999997</v>
      </c>
      <c r="AB588" s="27"/>
      <c r="AC588" s="76"/>
      <c r="AD588" s="76"/>
      <c r="AE588" s="16" t="s">
        <v>92</v>
      </c>
      <c r="AF588" s="76" t="s">
        <v>92</v>
      </c>
      <c r="AG588" s="41" t="s">
        <v>1167</v>
      </c>
      <c r="AH588" s="174" t="s">
        <v>871</v>
      </c>
      <c r="AI588" s="159" t="s">
        <v>872</v>
      </c>
      <c r="AJ588" s="1" t="s">
        <v>98</v>
      </c>
      <c r="AK588" s="1" t="s">
        <v>98</v>
      </c>
      <c r="AL588" s="1" t="s">
        <v>98</v>
      </c>
      <c r="AM588" s="1" t="s">
        <v>98</v>
      </c>
      <c r="AN588" s="174"/>
    </row>
    <row r="589" spans="1:40">
      <c r="A589" s="421" t="s">
        <v>1176</v>
      </c>
      <c r="B589" s="110" t="s">
        <v>1177</v>
      </c>
      <c r="C589" s="26">
        <v>1</v>
      </c>
      <c r="D589" s="28" t="s">
        <v>90</v>
      </c>
      <c r="E589" s="47">
        <v>287.5</v>
      </c>
      <c r="F589" s="77">
        <f t="shared" si="115"/>
        <v>0.17199999999999999</v>
      </c>
      <c r="G589" s="27">
        <f t="shared" si="113"/>
        <v>238.05</v>
      </c>
      <c r="H589" s="27"/>
      <c r="I589" s="76"/>
      <c r="J589" s="76"/>
      <c r="K589" s="16"/>
      <c r="L589" s="76"/>
      <c r="M589" s="1045" t="s">
        <v>1167</v>
      </c>
      <c r="N589" s="1047" t="s">
        <v>871</v>
      </c>
      <c r="O589" s="1056" t="s">
        <v>872</v>
      </c>
      <c r="P589" s="1" t="str">
        <f t="shared" si="114"/>
        <v/>
      </c>
      <c r="Q589" s="1" t="str">
        <f t="shared" si="114"/>
        <v/>
      </c>
      <c r="R589" s="1" t="str">
        <f t="shared" si="114"/>
        <v/>
      </c>
      <c r="S589" s="1" t="str">
        <f t="shared" si="114"/>
        <v/>
      </c>
      <c r="T589" s="421" t="s">
        <v>1176</v>
      </c>
      <c r="U589" s="110" t="s">
        <v>1177</v>
      </c>
      <c r="V589" s="26">
        <v>1</v>
      </c>
      <c r="W589" s="28" t="s">
        <v>90</v>
      </c>
      <c r="X589" s="435" t="s">
        <v>92</v>
      </c>
      <c r="Y589" s="47">
        <v>287.5</v>
      </c>
      <c r="Z589" s="77">
        <v>0.17199999999999999</v>
      </c>
      <c r="AA589" s="27">
        <v>238.05</v>
      </c>
      <c r="AB589" s="27"/>
      <c r="AC589" s="76"/>
      <c r="AD589" s="76"/>
      <c r="AE589" s="16" t="s">
        <v>92</v>
      </c>
      <c r="AF589" s="76" t="s">
        <v>92</v>
      </c>
      <c r="AG589" s="41" t="s">
        <v>1167</v>
      </c>
      <c r="AH589" s="174" t="s">
        <v>871</v>
      </c>
      <c r="AI589" s="159" t="s">
        <v>872</v>
      </c>
      <c r="AJ589" s="1" t="s">
        <v>98</v>
      </c>
      <c r="AK589" s="1" t="s">
        <v>98</v>
      </c>
      <c r="AL589" s="1" t="s">
        <v>98</v>
      </c>
      <c r="AM589" s="1" t="s">
        <v>98</v>
      </c>
      <c r="AN589" s="174"/>
    </row>
    <row r="590" spans="1:40">
      <c r="A590" s="421" t="s">
        <v>1178</v>
      </c>
      <c r="B590" s="110" t="s">
        <v>1179</v>
      </c>
      <c r="C590" s="26">
        <v>1</v>
      </c>
      <c r="D590" s="28" t="s">
        <v>90</v>
      </c>
      <c r="E590" s="47">
        <v>958.33</v>
      </c>
      <c r="F590" s="77">
        <f t="shared" si="115"/>
        <v>0.17199999999999999</v>
      </c>
      <c r="G590" s="27">
        <f t="shared" si="113"/>
        <v>793.49724000000003</v>
      </c>
      <c r="H590" s="27"/>
      <c r="I590" s="76"/>
      <c r="J590" s="76"/>
      <c r="K590" s="16"/>
      <c r="L590" s="76"/>
      <c r="M590" s="1045" t="s">
        <v>1167</v>
      </c>
      <c r="N590" s="1047" t="s">
        <v>871</v>
      </c>
      <c r="O590" s="1056" t="s">
        <v>872</v>
      </c>
      <c r="P590" s="1" t="str">
        <f t="shared" si="114"/>
        <v/>
      </c>
      <c r="Q590" s="1" t="str">
        <f t="shared" si="114"/>
        <v/>
      </c>
      <c r="R590" s="1" t="str">
        <f t="shared" si="114"/>
        <v/>
      </c>
      <c r="S590" s="1" t="str">
        <f t="shared" si="114"/>
        <v/>
      </c>
      <c r="T590" s="421" t="s">
        <v>1178</v>
      </c>
      <c r="U590" s="110" t="s">
        <v>1179</v>
      </c>
      <c r="V590" s="26">
        <v>1</v>
      </c>
      <c r="W590" s="28" t="s">
        <v>90</v>
      </c>
      <c r="X590" s="435" t="s">
        <v>92</v>
      </c>
      <c r="Y590" s="47">
        <v>958.33</v>
      </c>
      <c r="Z590" s="77">
        <v>0.17199999999999999</v>
      </c>
      <c r="AA590" s="27">
        <v>793.49724000000003</v>
      </c>
      <c r="AB590" s="27"/>
      <c r="AC590" s="76"/>
      <c r="AD590" s="76"/>
      <c r="AE590" s="16" t="s">
        <v>92</v>
      </c>
      <c r="AF590" s="76" t="s">
        <v>92</v>
      </c>
      <c r="AG590" s="41" t="s">
        <v>1167</v>
      </c>
      <c r="AH590" s="174" t="s">
        <v>871</v>
      </c>
      <c r="AI590" s="159" t="s">
        <v>872</v>
      </c>
      <c r="AJ590" s="1" t="s">
        <v>98</v>
      </c>
      <c r="AK590" s="1" t="s">
        <v>98</v>
      </c>
      <c r="AL590" s="1" t="s">
        <v>98</v>
      </c>
      <c r="AM590" s="1" t="s">
        <v>98</v>
      </c>
      <c r="AN590" s="174"/>
    </row>
    <row r="591" spans="1:40">
      <c r="A591" s="421" t="s">
        <v>1180</v>
      </c>
      <c r="B591" s="110" t="s">
        <v>1181</v>
      </c>
      <c r="C591" s="26">
        <v>1</v>
      </c>
      <c r="D591" s="28" t="s">
        <v>90</v>
      </c>
      <c r="E591" s="47">
        <v>2875</v>
      </c>
      <c r="F591" s="77">
        <f t="shared" si="115"/>
        <v>0.17199999999999999</v>
      </c>
      <c r="G591" s="27">
        <f t="shared" si="113"/>
        <v>2380.5</v>
      </c>
      <c r="H591" s="27"/>
      <c r="I591" s="76"/>
      <c r="J591" s="76"/>
      <c r="K591" s="16"/>
      <c r="L591" s="76"/>
      <c r="M591" s="1045" t="s">
        <v>1167</v>
      </c>
      <c r="N591" s="1047" t="s">
        <v>871</v>
      </c>
      <c r="O591" s="1056" t="s">
        <v>872</v>
      </c>
      <c r="P591" s="1" t="str">
        <f t="shared" si="114"/>
        <v/>
      </c>
      <c r="Q591" s="1" t="str">
        <f t="shared" si="114"/>
        <v/>
      </c>
      <c r="R591" s="1" t="str">
        <f t="shared" si="114"/>
        <v/>
      </c>
      <c r="S591" s="1" t="str">
        <f t="shared" si="114"/>
        <v/>
      </c>
      <c r="T591" s="421" t="s">
        <v>1180</v>
      </c>
      <c r="U591" s="110" t="s">
        <v>1181</v>
      </c>
      <c r="V591" s="26">
        <v>1</v>
      </c>
      <c r="W591" s="28" t="s">
        <v>90</v>
      </c>
      <c r="X591" s="435" t="s">
        <v>92</v>
      </c>
      <c r="Y591" s="47">
        <v>2875</v>
      </c>
      <c r="Z591" s="77">
        <v>0.17199999999999999</v>
      </c>
      <c r="AA591" s="27">
        <v>2380.5</v>
      </c>
      <c r="AB591" s="27"/>
      <c r="AC591" s="76"/>
      <c r="AD591" s="76"/>
      <c r="AE591" s="16" t="s">
        <v>92</v>
      </c>
      <c r="AF591" s="76" t="s">
        <v>92</v>
      </c>
      <c r="AG591" s="41" t="s">
        <v>1167</v>
      </c>
      <c r="AH591" s="174" t="s">
        <v>871</v>
      </c>
      <c r="AI591" s="159" t="s">
        <v>872</v>
      </c>
      <c r="AJ591" s="1" t="s">
        <v>98</v>
      </c>
      <c r="AK591" s="1" t="s">
        <v>98</v>
      </c>
      <c r="AL591" s="1" t="s">
        <v>98</v>
      </c>
      <c r="AM591" s="1" t="s">
        <v>98</v>
      </c>
      <c r="AN591" s="174"/>
    </row>
    <row r="592" spans="1:40">
      <c r="A592" s="421" t="s">
        <v>1182</v>
      </c>
      <c r="B592" s="110" t="s">
        <v>1183</v>
      </c>
      <c r="C592" s="26">
        <v>1</v>
      </c>
      <c r="D592" s="28" t="s">
        <v>90</v>
      </c>
      <c r="E592" s="47">
        <v>5750</v>
      </c>
      <c r="F592" s="77">
        <f t="shared" si="115"/>
        <v>0.17199999999999999</v>
      </c>
      <c r="G592" s="27">
        <f t="shared" si="113"/>
        <v>4761</v>
      </c>
      <c r="H592" s="27"/>
      <c r="I592" s="76"/>
      <c r="J592" s="76"/>
      <c r="K592" s="16"/>
      <c r="L592" s="76"/>
      <c r="M592" s="1045" t="s">
        <v>1167</v>
      </c>
      <c r="N592" s="1047" t="s">
        <v>871</v>
      </c>
      <c r="O592" s="1056" t="s">
        <v>872</v>
      </c>
      <c r="P592" s="1" t="str">
        <f t="shared" si="114"/>
        <v/>
      </c>
      <c r="Q592" s="1" t="str">
        <f t="shared" si="114"/>
        <v/>
      </c>
      <c r="R592" s="1" t="str">
        <f t="shared" si="114"/>
        <v/>
      </c>
      <c r="S592" s="1" t="str">
        <f t="shared" si="114"/>
        <v/>
      </c>
      <c r="T592" s="421" t="s">
        <v>1182</v>
      </c>
      <c r="U592" s="110" t="s">
        <v>1183</v>
      </c>
      <c r="V592" s="26">
        <v>1</v>
      </c>
      <c r="W592" s="28" t="s">
        <v>90</v>
      </c>
      <c r="X592" s="435" t="s">
        <v>92</v>
      </c>
      <c r="Y592" s="47">
        <v>5750</v>
      </c>
      <c r="Z592" s="77">
        <v>0.17199999999999999</v>
      </c>
      <c r="AA592" s="27">
        <v>4761</v>
      </c>
      <c r="AB592" s="27"/>
      <c r="AC592" s="76"/>
      <c r="AD592" s="76"/>
      <c r="AE592" s="16" t="s">
        <v>92</v>
      </c>
      <c r="AF592" s="76" t="s">
        <v>92</v>
      </c>
      <c r="AG592" s="41" t="s">
        <v>1167</v>
      </c>
      <c r="AH592" s="174" t="s">
        <v>871</v>
      </c>
      <c r="AI592" s="159" t="s">
        <v>872</v>
      </c>
      <c r="AJ592" s="1" t="s">
        <v>98</v>
      </c>
      <c r="AK592" s="1" t="s">
        <v>98</v>
      </c>
      <c r="AL592" s="1" t="s">
        <v>98</v>
      </c>
      <c r="AM592" s="1" t="s">
        <v>98</v>
      </c>
      <c r="AN592" s="174"/>
    </row>
    <row r="593" spans="1:40">
      <c r="A593" s="421" t="s">
        <v>1184</v>
      </c>
      <c r="B593" s="110" t="s">
        <v>1185</v>
      </c>
      <c r="C593" s="26">
        <v>1</v>
      </c>
      <c r="D593" s="28" t="s">
        <v>90</v>
      </c>
      <c r="E593" s="47">
        <v>9583.33</v>
      </c>
      <c r="F593" s="77">
        <f t="shared" si="115"/>
        <v>0.17199999999999999</v>
      </c>
      <c r="G593" s="27">
        <f t="shared" si="113"/>
        <v>7934.9972400000006</v>
      </c>
      <c r="H593" s="27"/>
      <c r="I593" s="76"/>
      <c r="J593" s="76"/>
      <c r="K593" s="16"/>
      <c r="L593" s="76"/>
      <c r="M593" s="1045" t="s">
        <v>1167</v>
      </c>
      <c r="N593" s="1047" t="s">
        <v>871</v>
      </c>
      <c r="O593" s="1056" t="s">
        <v>872</v>
      </c>
      <c r="P593" s="1" t="str">
        <f t="shared" si="114"/>
        <v/>
      </c>
      <c r="Q593" s="1" t="str">
        <f t="shared" si="114"/>
        <v/>
      </c>
      <c r="R593" s="1" t="str">
        <f t="shared" si="114"/>
        <v/>
      </c>
      <c r="S593" s="1" t="str">
        <f t="shared" si="114"/>
        <v/>
      </c>
      <c r="T593" s="421" t="s">
        <v>1184</v>
      </c>
      <c r="U593" s="110" t="s">
        <v>1185</v>
      </c>
      <c r="V593" s="26">
        <v>1</v>
      </c>
      <c r="W593" s="28" t="s">
        <v>90</v>
      </c>
      <c r="X593" s="435" t="s">
        <v>92</v>
      </c>
      <c r="Y593" s="47">
        <v>9583.33</v>
      </c>
      <c r="Z593" s="77">
        <v>0.17199999999999999</v>
      </c>
      <c r="AA593" s="27">
        <v>7934.9972400000006</v>
      </c>
      <c r="AB593" s="27"/>
      <c r="AC593" s="76"/>
      <c r="AD593" s="76"/>
      <c r="AE593" s="16" t="s">
        <v>92</v>
      </c>
      <c r="AF593" s="76" t="s">
        <v>92</v>
      </c>
      <c r="AG593" s="41" t="s">
        <v>1167</v>
      </c>
      <c r="AH593" s="174" t="s">
        <v>871</v>
      </c>
      <c r="AI593" s="159" t="s">
        <v>872</v>
      </c>
      <c r="AJ593" s="1" t="s">
        <v>98</v>
      </c>
      <c r="AK593" s="1" t="s">
        <v>98</v>
      </c>
      <c r="AL593" s="1" t="s">
        <v>98</v>
      </c>
      <c r="AM593" s="1" t="s">
        <v>98</v>
      </c>
      <c r="AN593" s="174"/>
    </row>
    <row r="594" spans="1:40">
      <c r="A594" s="421" t="s">
        <v>1186</v>
      </c>
      <c r="B594" s="110" t="s">
        <v>1187</v>
      </c>
      <c r="C594" s="26">
        <v>1</v>
      </c>
      <c r="D594" s="28" t="s">
        <v>90</v>
      </c>
      <c r="E594" s="47">
        <v>13416.67</v>
      </c>
      <c r="F594" s="77">
        <f t="shared" si="115"/>
        <v>0.17199999999999999</v>
      </c>
      <c r="G594" s="27">
        <f t="shared" si="113"/>
        <v>11109.002759999999</v>
      </c>
      <c r="H594" s="27"/>
      <c r="I594" s="76"/>
      <c r="J594" s="76"/>
      <c r="K594" s="16"/>
      <c r="L594" s="76"/>
      <c r="M594" s="1045" t="s">
        <v>1167</v>
      </c>
      <c r="N594" s="1047" t="s">
        <v>871</v>
      </c>
      <c r="O594" s="1056" t="s">
        <v>872</v>
      </c>
      <c r="P594" s="1" t="str">
        <f t="shared" si="114"/>
        <v/>
      </c>
      <c r="Q594" s="1" t="str">
        <f t="shared" si="114"/>
        <v/>
      </c>
      <c r="R594" s="1" t="str">
        <f t="shared" si="114"/>
        <v/>
      </c>
      <c r="S594" s="1" t="str">
        <f t="shared" si="114"/>
        <v/>
      </c>
      <c r="T594" s="421" t="s">
        <v>1186</v>
      </c>
      <c r="U594" s="110" t="s">
        <v>1187</v>
      </c>
      <c r="V594" s="26">
        <v>1</v>
      </c>
      <c r="W594" s="28" t="s">
        <v>90</v>
      </c>
      <c r="X594" s="435" t="s">
        <v>92</v>
      </c>
      <c r="Y594" s="47">
        <v>13416.67</v>
      </c>
      <c r="Z594" s="77">
        <v>0.17199999999999999</v>
      </c>
      <c r="AA594" s="27">
        <v>11109.002759999999</v>
      </c>
      <c r="AB594" s="27"/>
      <c r="AC594" s="76"/>
      <c r="AD594" s="76"/>
      <c r="AE594" s="16" t="s">
        <v>92</v>
      </c>
      <c r="AF594" s="76" t="s">
        <v>92</v>
      </c>
      <c r="AG594" s="41" t="s">
        <v>1167</v>
      </c>
      <c r="AH594" s="174" t="s">
        <v>871</v>
      </c>
      <c r="AI594" s="159" t="s">
        <v>872</v>
      </c>
      <c r="AJ594" s="1" t="s">
        <v>98</v>
      </c>
      <c r="AK594" s="1" t="s">
        <v>98</v>
      </c>
      <c r="AL594" s="1" t="s">
        <v>98</v>
      </c>
      <c r="AM594" s="1" t="s">
        <v>98</v>
      </c>
      <c r="AN594" s="174"/>
    </row>
    <row r="595" spans="1:40">
      <c r="A595" s="421" t="s">
        <v>1188</v>
      </c>
      <c r="B595" s="110" t="s">
        <v>1189</v>
      </c>
      <c r="C595" s="26">
        <v>1</v>
      </c>
      <c r="D595" s="28" t="s">
        <v>90</v>
      </c>
      <c r="E595" s="47">
        <v>191.67</v>
      </c>
      <c r="F595" s="77">
        <f t="shared" si="115"/>
        <v>0.17199999999999999</v>
      </c>
      <c r="G595" s="27">
        <f t="shared" si="113"/>
        <v>158.70275999999998</v>
      </c>
      <c r="H595" s="27"/>
      <c r="I595" s="76"/>
      <c r="J595" s="76"/>
      <c r="K595" s="16"/>
      <c r="L595" s="76"/>
      <c r="M595" s="1045" t="s">
        <v>1167</v>
      </c>
      <c r="N595" s="1047" t="s">
        <v>871</v>
      </c>
      <c r="O595" s="1056" t="s">
        <v>872</v>
      </c>
      <c r="P595" s="1" t="str">
        <f t="shared" si="114"/>
        <v/>
      </c>
      <c r="Q595" s="1" t="str">
        <f t="shared" si="114"/>
        <v/>
      </c>
      <c r="R595" s="1" t="str">
        <f t="shared" si="114"/>
        <v/>
      </c>
      <c r="S595" s="1" t="str">
        <f t="shared" si="114"/>
        <v/>
      </c>
      <c r="T595" s="421" t="s">
        <v>1188</v>
      </c>
      <c r="U595" s="110" t="s">
        <v>1189</v>
      </c>
      <c r="V595" s="26">
        <v>1</v>
      </c>
      <c r="W595" s="28" t="s">
        <v>90</v>
      </c>
      <c r="X595" s="435" t="s">
        <v>92</v>
      </c>
      <c r="Y595" s="47">
        <v>191.67</v>
      </c>
      <c r="Z595" s="77">
        <v>0.17199999999999999</v>
      </c>
      <c r="AA595" s="27">
        <v>158.70275999999998</v>
      </c>
      <c r="AB595" s="27"/>
      <c r="AC595" s="76"/>
      <c r="AD595" s="76"/>
      <c r="AE595" s="16" t="s">
        <v>92</v>
      </c>
      <c r="AF595" s="76" t="s">
        <v>92</v>
      </c>
      <c r="AG595" s="41" t="s">
        <v>1167</v>
      </c>
      <c r="AH595" s="174" t="s">
        <v>871</v>
      </c>
      <c r="AI595" s="159" t="s">
        <v>872</v>
      </c>
      <c r="AJ595" s="1" t="s">
        <v>98</v>
      </c>
      <c r="AK595" s="1" t="s">
        <v>98</v>
      </c>
      <c r="AL595" s="1" t="s">
        <v>98</v>
      </c>
      <c r="AM595" s="1" t="s">
        <v>98</v>
      </c>
      <c r="AN595" s="174"/>
    </row>
    <row r="596" spans="1:40">
      <c r="A596" s="421" t="s">
        <v>1190</v>
      </c>
      <c r="B596" s="110" t="s">
        <v>1191</v>
      </c>
      <c r="C596" s="26">
        <v>1</v>
      </c>
      <c r="D596" s="28" t="s">
        <v>90</v>
      </c>
      <c r="E596" s="47">
        <v>575</v>
      </c>
      <c r="F596" s="77">
        <f t="shared" si="115"/>
        <v>0.17199999999999999</v>
      </c>
      <c r="G596" s="27">
        <f t="shared" si="113"/>
        <v>476.1</v>
      </c>
      <c r="H596" s="27"/>
      <c r="I596" s="76"/>
      <c r="J596" s="76"/>
      <c r="K596" s="16"/>
      <c r="L596" s="76"/>
      <c r="M596" s="1045" t="s">
        <v>1167</v>
      </c>
      <c r="N596" s="1047" t="s">
        <v>871</v>
      </c>
      <c r="O596" s="1056" t="s">
        <v>872</v>
      </c>
      <c r="P596" s="1" t="str">
        <f t="shared" si="114"/>
        <v/>
      </c>
      <c r="Q596" s="1" t="str">
        <f t="shared" si="114"/>
        <v/>
      </c>
      <c r="R596" s="1" t="str">
        <f t="shared" si="114"/>
        <v/>
      </c>
      <c r="S596" s="1" t="str">
        <f t="shared" si="114"/>
        <v/>
      </c>
      <c r="T596" s="421" t="s">
        <v>1190</v>
      </c>
      <c r="U596" s="110" t="s">
        <v>1191</v>
      </c>
      <c r="V596" s="26">
        <v>1</v>
      </c>
      <c r="W596" s="28" t="s">
        <v>90</v>
      </c>
      <c r="X596" s="435" t="s">
        <v>92</v>
      </c>
      <c r="Y596" s="47">
        <v>575</v>
      </c>
      <c r="Z596" s="77">
        <v>0.17199999999999999</v>
      </c>
      <c r="AA596" s="27">
        <v>476.1</v>
      </c>
      <c r="AB596" s="27"/>
      <c r="AC596" s="76"/>
      <c r="AD596" s="76"/>
      <c r="AE596" s="16" t="s">
        <v>92</v>
      </c>
      <c r="AF596" s="76" t="s">
        <v>92</v>
      </c>
      <c r="AG596" s="41" t="s">
        <v>1167</v>
      </c>
      <c r="AH596" s="174" t="s">
        <v>871</v>
      </c>
      <c r="AI596" s="159" t="s">
        <v>872</v>
      </c>
      <c r="AJ596" s="1" t="s">
        <v>98</v>
      </c>
      <c r="AK596" s="1" t="s">
        <v>98</v>
      </c>
      <c r="AL596" s="1" t="s">
        <v>98</v>
      </c>
      <c r="AM596" s="1" t="s">
        <v>98</v>
      </c>
      <c r="AN596" s="174"/>
    </row>
    <row r="597" spans="1:40">
      <c r="A597" s="421" t="s">
        <v>1192</v>
      </c>
      <c r="B597" s="110" t="s">
        <v>1193</v>
      </c>
      <c r="C597" s="26">
        <v>1</v>
      </c>
      <c r="D597" s="28" t="s">
        <v>90</v>
      </c>
      <c r="E597" s="47">
        <v>1150</v>
      </c>
      <c r="F597" s="77">
        <f t="shared" si="115"/>
        <v>0.17199999999999999</v>
      </c>
      <c r="G597" s="27">
        <f t="shared" si="113"/>
        <v>952.2</v>
      </c>
      <c r="H597" s="27"/>
      <c r="I597" s="76"/>
      <c r="J597" s="76"/>
      <c r="K597" s="16"/>
      <c r="L597" s="76"/>
      <c r="M597" s="1045" t="s">
        <v>1167</v>
      </c>
      <c r="N597" s="1047" t="s">
        <v>871</v>
      </c>
      <c r="O597" s="1056" t="s">
        <v>872</v>
      </c>
      <c r="P597" s="1" t="str">
        <f t="shared" si="114"/>
        <v/>
      </c>
      <c r="Q597" s="1" t="str">
        <f t="shared" si="114"/>
        <v/>
      </c>
      <c r="R597" s="1" t="str">
        <f t="shared" si="114"/>
        <v/>
      </c>
      <c r="S597" s="1" t="str">
        <f t="shared" si="114"/>
        <v/>
      </c>
      <c r="T597" s="421" t="s">
        <v>1192</v>
      </c>
      <c r="U597" s="110" t="s">
        <v>1193</v>
      </c>
      <c r="V597" s="26">
        <v>1</v>
      </c>
      <c r="W597" s="28" t="s">
        <v>90</v>
      </c>
      <c r="X597" s="435" t="s">
        <v>92</v>
      </c>
      <c r="Y597" s="47">
        <v>1150</v>
      </c>
      <c r="Z597" s="77">
        <v>0.17199999999999999</v>
      </c>
      <c r="AA597" s="27">
        <v>952.2</v>
      </c>
      <c r="AB597" s="27"/>
      <c r="AC597" s="76"/>
      <c r="AD597" s="76"/>
      <c r="AE597" s="16" t="s">
        <v>92</v>
      </c>
      <c r="AF597" s="76" t="s">
        <v>92</v>
      </c>
      <c r="AG597" s="41" t="s">
        <v>1167</v>
      </c>
      <c r="AH597" s="174" t="s">
        <v>871</v>
      </c>
      <c r="AI597" s="159" t="s">
        <v>872</v>
      </c>
      <c r="AJ597" s="1" t="s">
        <v>98</v>
      </c>
      <c r="AK597" s="1" t="s">
        <v>98</v>
      </c>
      <c r="AL597" s="1" t="s">
        <v>98</v>
      </c>
      <c r="AM597" s="1" t="s">
        <v>98</v>
      </c>
      <c r="AN597" s="174"/>
    </row>
    <row r="598" spans="1:40">
      <c r="A598" s="421" t="s">
        <v>1194</v>
      </c>
      <c r="B598" s="110" t="s">
        <v>1195</v>
      </c>
      <c r="C598" s="26">
        <v>1</v>
      </c>
      <c r="D598" s="28" t="s">
        <v>90</v>
      </c>
      <c r="E598" s="47">
        <v>2300</v>
      </c>
      <c r="F598" s="77">
        <f t="shared" si="115"/>
        <v>0.17199999999999999</v>
      </c>
      <c r="G598" s="27">
        <f t="shared" si="113"/>
        <v>1904.4</v>
      </c>
      <c r="H598" s="27"/>
      <c r="I598" s="76"/>
      <c r="J598" s="76"/>
      <c r="K598" s="16"/>
      <c r="L598" s="76"/>
      <c r="M598" s="1045" t="s">
        <v>1167</v>
      </c>
      <c r="N598" s="1047" t="s">
        <v>871</v>
      </c>
      <c r="O598" s="1056" t="s">
        <v>872</v>
      </c>
      <c r="P598" s="1" t="str">
        <f t="shared" si="114"/>
        <v/>
      </c>
      <c r="Q598" s="1" t="str">
        <f t="shared" si="114"/>
        <v/>
      </c>
      <c r="R598" s="1" t="str">
        <f t="shared" si="114"/>
        <v/>
      </c>
      <c r="S598" s="1" t="str">
        <f t="shared" si="114"/>
        <v/>
      </c>
      <c r="T598" s="421" t="s">
        <v>1194</v>
      </c>
      <c r="U598" s="110" t="s">
        <v>1195</v>
      </c>
      <c r="V598" s="26">
        <v>1</v>
      </c>
      <c r="W598" s="28" t="s">
        <v>90</v>
      </c>
      <c r="X598" s="435" t="s">
        <v>92</v>
      </c>
      <c r="Y598" s="47">
        <v>2300</v>
      </c>
      <c r="Z598" s="77">
        <v>0.17199999999999999</v>
      </c>
      <c r="AA598" s="27">
        <v>1904.4</v>
      </c>
      <c r="AB598" s="27"/>
      <c r="AC598" s="76"/>
      <c r="AD598" s="76"/>
      <c r="AE598" s="16" t="s">
        <v>92</v>
      </c>
      <c r="AF598" s="76" t="s">
        <v>92</v>
      </c>
      <c r="AG598" s="41" t="s">
        <v>1167</v>
      </c>
      <c r="AH598" s="174" t="s">
        <v>871</v>
      </c>
      <c r="AI598" s="159" t="s">
        <v>872</v>
      </c>
      <c r="AJ598" s="1" t="s">
        <v>98</v>
      </c>
      <c r="AK598" s="1" t="s">
        <v>98</v>
      </c>
      <c r="AL598" s="1" t="s">
        <v>98</v>
      </c>
      <c r="AM598" s="1" t="s">
        <v>98</v>
      </c>
      <c r="AN598" s="174"/>
    </row>
    <row r="599" spans="1:40" s="90" customFormat="1">
      <c r="A599" s="422" t="s">
        <v>1196</v>
      </c>
      <c r="B599" s="105" t="s">
        <v>1197</v>
      </c>
      <c r="C599" s="87">
        <v>1</v>
      </c>
      <c r="D599" s="88" t="s">
        <v>90</v>
      </c>
      <c r="E599" s="47">
        <v>383.33</v>
      </c>
      <c r="F599" s="77">
        <f t="shared" si="115"/>
        <v>0.17199999999999999</v>
      </c>
      <c r="G599" s="27">
        <f t="shared" si="113"/>
        <v>317.39724000000001</v>
      </c>
      <c r="H599" s="108"/>
      <c r="I599" s="269"/>
      <c r="J599" s="269"/>
      <c r="K599" s="109"/>
      <c r="L599" s="269"/>
      <c r="M599" s="1045" t="s">
        <v>1167</v>
      </c>
      <c r="N599" s="1047" t="s">
        <v>871</v>
      </c>
      <c r="O599" s="1056" t="s">
        <v>872</v>
      </c>
      <c r="P599" s="1" t="str">
        <f t="shared" si="114"/>
        <v/>
      </c>
      <c r="Q599" s="1" t="str">
        <f t="shared" si="114"/>
        <v/>
      </c>
      <c r="R599" s="1" t="str">
        <f t="shared" si="114"/>
        <v/>
      </c>
      <c r="S599" s="1" t="str">
        <f t="shared" si="114"/>
        <v/>
      </c>
      <c r="T599" s="422" t="s">
        <v>1196</v>
      </c>
      <c r="U599" s="105" t="s">
        <v>1197</v>
      </c>
      <c r="V599" s="87">
        <v>1</v>
      </c>
      <c r="W599" s="88" t="s">
        <v>90</v>
      </c>
      <c r="X599" s="208" t="s">
        <v>92</v>
      </c>
      <c r="Y599" s="47">
        <v>383.33</v>
      </c>
      <c r="Z599" s="77">
        <v>0.17199999999999999</v>
      </c>
      <c r="AA599" s="27">
        <v>317.39724000000001</v>
      </c>
      <c r="AB599" s="108"/>
      <c r="AC599" s="269"/>
      <c r="AD599" s="269"/>
      <c r="AE599" s="109" t="s">
        <v>92</v>
      </c>
      <c r="AF599" s="269" t="s">
        <v>92</v>
      </c>
      <c r="AG599" s="41" t="s">
        <v>1167</v>
      </c>
      <c r="AH599" s="174" t="s">
        <v>871</v>
      </c>
      <c r="AI599" s="159" t="s">
        <v>872</v>
      </c>
      <c r="AJ599" s="1" t="s">
        <v>98</v>
      </c>
      <c r="AK599" s="1" t="s">
        <v>98</v>
      </c>
      <c r="AL599" s="1" t="s">
        <v>98</v>
      </c>
      <c r="AM599" s="1" t="s">
        <v>98</v>
      </c>
      <c r="AN599" s="183"/>
    </row>
    <row r="600" spans="1:40" s="90" customFormat="1">
      <c r="A600" s="421" t="s">
        <v>1198</v>
      </c>
      <c r="B600" s="110" t="s">
        <v>1199</v>
      </c>
      <c r="C600" s="26">
        <v>1</v>
      </c>
      <c r="D600" s="28" t="s">
        <v>90</v>
      </c>
      <c r="E600" s="47">
        <v>1341.67</v>
      </c>
      <c r="F600" s="77">
        <f t="shared" si="115"/>
        <v>0.17199999999999999</v>
      </c>
      <c r="G600" s="27">
        <f t="shared" si="113"/>
        <v>1110.9027600000002</v>
      </c>
      <c r="H600" s="108"/>
      <c r="I600" s="269"/>
      <c r="J600" s="269"/>
      <c r="K600" s="109"/>
      <c r="L600" s="269"/>
      <c r="M600" s="1045" t="s">
        <v>1167</v>
      </c>
      <c r="N600" s="1047" t="s">
        <v>871</v>
      </c>
      <c r="O600" s="1056" t="s">
        <v>872</v>
      </c>
      <c r="P600" s="1" t="str">
        <f t="shared" si="114"/>
        <v/>
      </c>
      <c r="Q600" s="1" t="str">
        <f t="shared" si="114"/>
        <v/>
      </c>
      <c r="R600" s="1" t="str">
        <f t="shared" si="114"/>
        <v/>
      </c>
      <c r="S600" s="1" t="str">
        <f t="shared" si="114"/>
        <v/>
      </c>
      <c r="T600" s="421" t="s">
        <v>1198</v>
      </c>
      <c r="U600" s="110" t="s">
        <v>1199</v>
      </c>
      <c r="V600" s="26">
        <v>1</v>
      </c>
      <c r="W600" s="28" t="s">
        <v>90</v>
      </c>
      <c r="X600" s="435" t="s">
        <v>92</v>
      </c>
      <c r="Y600" s="47">
        <v>1341.67</v>
      </c>
      <c r="Z600" s="77">
        <v>0.17199999999999999</v>
      </c>
      <c r="AA600" s="27">
        <v>1110.9027600000002</v>
      </c>
      <c r="AB600" s="108"/>
      <c r="AC600" s="269"/>
      <c r="AD600" s="269"/>
      <c r="AE600" s="109" t="s">
        <v>92</v>
      </c>
      <c r="AF600" s="269" t="s">
        <v>92</v>
      </c>
      <c r="AG600" s="41" t="s">
        <v>1167</v>
      </c>
      <c r="AH600" s="174" t="s">
        <v>871</v>
      </c>
      <c r="AI600" s="159" t="s">
        <v>872</v>
      </c>
      <c r="AJ600" s="1" t="s">
        <v>98</v>
      </c>
      <c r="AK600" s="1" t="s">
        <v>98</v>
      </c>
      <c r="AL600" s="1" t="s">
        <v>98</v>
      </c>
      <c r="AM600" s="1" t="s">
        <v>98</v>
      </c>
      <c r="AN600" s="183"/>
    </row>
    <row r="601" spans="1:40" s="90" customFormat="1">
      <c r="A601" s="421" t="s">
        <v>1106</v>
      </c>
      <c r="B601" s="105" t="s">
        <v>1107</v>
      </c>
      <c r="C601" s="87">
        <v>1</v>
      </c>
      <c r="D601" s="88" t="s">
        <v>90</v>
      </c>
      <c r="E601" s="171">
        <v>287.5</v>
      </c>
      <c r="F601" s="89">
        <f t="shared" si="115"/>
        <v>0.17199999999999999</v>
      </c>
      <c r="G601" s="108">
        <f t="shared" si="113"/>
        <v>238.05</v>
      </c>
      <c r="H601" s="108"/>
      <c r="I601" s="216"/>
      <c r="J601" s="216"/>
      <c r="K601" s="99"/>
      <c r="L601" s="216"/>
      <c r="M601" s="1045" t="s">
        <v>1073</v>
      </c>
      <c r="N601" s="1047" t="s">
        <v>871</v>
      </c>
      <c r="O601" s="1066" t="s">
        <v>872</v>
      </c>
      <c r="P601" s="1" t="str">
        <f t="shared" si="114"/>
        <v/>
      </c>
      <c r="Q601" s="1" t="str">
        <f t="shared" si="114"/>
        <v/>
      </c>
      <c r="R601" s="1" t="str">
        <f t="shared" si="114"/>
        <v/>
      </c>
      <c r="S601" s="1" t="str">
        <f t="shared" si="114"/>
        <v/>
      </c>
      <c r="T601" s="421" t="s">
        <v>1106</v>
      </c>
      <c r="U601" s="105" t="s">
        <v>1107</v>
      </c>
      <c r="V601" s="87">
        <v>1</v>
      </c>
      <c r="W601" s="88" t="s">
        <v>90</v>
      </c>
      <c r="X601" s="208" t="s">
        <v>92</v>
      </c>
      <c r="Y601" s="171">
        <v>287.5</v>
      </c>
      <c r="Z601" s="89">
        <v>0.17199999999999999</v>
      </c>
      <c r="AA601" s="108">
        <v>238.05</v>
      </c>
      <c r="AB601" s="108"/>
      <c r="AC601" s="216"/>
      <c r="AD601" s="216"/>
      <c r="AE601" s="99" t="s">
        <v>92</v>
      </c>
      <c r="AF601" s="216" t="s">
        <v>92</v>
      </c>
      <c r="AG601" s="41" t="s">
        <v>1073</v>
      </c>
      <c r="AH601" s="174" t="s">
        <v>871</v>
      </c>
      <c r="AI601" s="174" t="s">
        <v>872</v>
      </c>
      <c r="AJ601" s="1" t="s">
        <v>98</v>
      </c>
      <c r="AK601" s="1" t="s">
        <v>98</v>
      </c>
      <c r="AL601" s="1" t="s">
        <v>98</v>
      </c>
      <c r="AM601" s="1" t="s">
        <v>98</v>
      </c>
      <c r="AN601" s="217"/>
    </row>
    <row r="602" spans="1:40" s="90" customFormat="1">
      <c r="A602" s="421" t="s">
        <v>1200</v>
      </c>
      <c r="B602" s="110" t="s">
        <v>1201</v>
      </c>
      <c r="C602" s="26">
        <v>1</v>
      </c>
      <c r="D602" s="28" t="s">
        <v>90</v>
      </c>
      <c r="E602" s="47">
        <v>2108.33</v>
      </c>
      <c r="F602" s="77">
        <f t="shared" si="115"/>
        <v>0.17199999999999999</v>
      </c>
      <c r="G602" s="27">
        <f t="shared" si="113"/>
        <v>1745.69724</v>
      </c>
      <c r="H602" s="108"/>
      <c r="I602" s="269"/>
      <c r="J602" s="269"/>
      <c r="K602" s="109"/>
      <c r="L602" s="269"/>
      <c r="M602" s="1045" t="s">
        <v>1167</v>
      </c>
      <c r="N602" s="1047" t="s">
        <v>871</v>
      </c>
      <c r="O602" s="1056" t="s">
        <v>872</v>
      </c>
      <c r="P602" s="1" t="str">
        <f t="shared" si="114"/>
        <v/>
      </c>
      <c r="Q602" s="1" t="str">
        <f t="shared" si="114"/>
        <v/>
      </c>
      <c r="R602" s="1" t="str">
        <f t="shared" si="114"/>
        <v/>
      </c>
      <c r="S602" s="1" t="str">
        <f t="shared" si="114"/>
        <v/>
      </c>
      <c r="T602" s="421" t="s">
        <v>1200</v>
      </c>
      <c r="U602" s="110" t="s">
        <v>1201</v>
      </c>
      <c r="V602" s="26">
        <v>1</v>
      </c>
      <c r="W602" s="28" t="s">
        <v>90</v>
      </c>
      <c r="X602" s="435" t="s">
        <v>92</v>
      </c>
      <c r="Y602" s="47">
        <v>2108.33</v>
      </c>
      <c r="Z602" s="77">
        <v>0.17199999999999999</v>
      </c>
      <c r="AA602" s="27">
        <v>1745.69724</v>
      </c>
      <c r="AB602" s="108"/>
      <c r="AC602" s="269"/>
      <c r="AD602" s="269"/>
      <c r="AE602" s="109" t="s">
        <v>92</v>
      </c>
      <c r="AF602" s="269" t="s">
        <v>92</v>
      </c>
      <c r="AG602" s="41" t="s">
        <v>1167</v>
      </c>
      <c r="AH602" s="174" t="s">
        <v>871</v>
      </c>
      <c r="AI602" s="159" t="s">
        <v>872</v>
      </c>
      <c r="AJ602" s="1" t="s">
        <v>98</v>
      </c>
      <c r="AK602" s="1" t="s">
        <v>98</v>
      </c>
      <c r="AL602" s="1" t="s">
        <v>98</v>
      </c>
      <c r="AM602" s="1" t="s">
        <v>98</v>
      </c>
      <c r="AN602" s="183"/>
    </row>
    <row r="603" spans="1:40" s="90" customFormat="1">
      <c r="A603" s="421" t="s">
        <v>1202</v>
      </c>
      <c r="B603" s="110" t="s">
        <v>1203</v>
      </c>
      <c r="C603" s="26">
        <v>1</v>
      </c>
      <c r="D603" s="28" t="s">
        <v>90</v>
      </c>
      <c r="E603" s="47">
        <v>4791.67</v>
      </c>
      <c r="F603" s="77">
        <f t="shared" si="115"/>
        <v>0.17199999999999999</v>
      </c>
      <c r="G603" s="27">
        <f t="shared" si="113"/>
        <v>3967.5027600000003</v>
      </c>
      <c r="H603" s="108"/>
      <c r="I603" s="269"/>
      <c r="J603" s="269"/>
      <c r="K603" s="109"/>
      <c r="L603" s="269"/>
      <c r="M603" s="1045" t="s">
        <v>1167</v>
      </c>
      <c r="N603" s="1047" t="s">
        <v>871</v>
      </c>
      <c r="O603" s="1056" t="s">
        <v>872</v>
      </c>
      <c r="P603" s="1" t="str">
        <f t="shared" ref="P603:S616" si="116">+IF($J603&lt;&gt;"",P$2*$J603,"")</f>
        <v/>
      </c>
      <c r="Q603" s="1" t="str">
        <f t="shared" si="116"/>
        <v/>
      </c>
      <c r="R603" s="1" t="str">
        <f t="shared" si="116"/>
        <v/>
      </c>
      <c r="S603" s="1" t="str">
        <f t="shared" si="116"/>
        <v/>
      </c>
      <c r="T603" s="421" t="s">
        <v>1202</v>
      </c>
      <c r="U603" s="110" t="s">
        <v>1203</v>
      </c>
      <c r="V603" s="26">
        <v>1</v>
      </c>
      <c r="W603" s="28" t="s">
        <v>90</v>
      </c>
      <c r="X603" s="435" t="s">
        <v>92</v>
      </c>
      <c r="Y603" s="47">
        <v>4791.67</v>
      </c>
      <c r="Z603" s="77">
        <v>0.17199999999999999</v>
      </c>
      <c r="AA603" s="27">
        <v>3967.5027600000003</v>
      </c>
      <c r="AB603" s="108"/>
      <c r="AC603" s="269"/>
      <c r="AD603" s="269"/>
      <c r="AE603" s="109" t="s">
        <v>92</v>
      </c>
      <c r="AF603" s="269" t="s">
        <v>92</v>
      </c>
      <c r="AG603" s="41" t="s">
        <v>1167</v>
      </c>
      <c r="AH603" s="174" t="s">
        <v>871</v>
      </c>
      <c r="AI603" s="159" t="s">
        <v>872</v>
      </c>
      <c r="AJ603" s="1" t="s">
        <v>98</v>
      </c>
      <c r="AK603" s="1" t="s">
        <v>98</v>
      </c>
      <c r="AL603" s="1" t="s">
        <v>98</v>
      </c>
      <c r="AM603" s="1" t="s">
        <v>98</v>
      </c>
      <c r="AN603" s="183"/>
    </row>
    <row r="604" spans="1:40" s="90" customFormat="1">
      <c r="A604" s="421" t="s">
        <v>1204</v>
      </c>
      <c r="B604" s="110" t="s">
        <v>1205</v>
      </c>
      <c r="C604" s="26">
        <v>1</v>
      </c>
      <c r="D604" s="28" t="s">
        <v>90</v>
      </c>
      <c r="E604" s="47">
        <v>4216.67</v>
      </c>
      <c r="F604" s="77">
        <f t="shared" si="115"/>
        <v>0.17199999999999999</v>
      </c>
      <c r="G604" s="27">
        <f t="shared" si="113"/>
        <v>3491.4027599999999</v>
      </c>
      <c r="H604" s="108"/>
      <c r="I604" s="269"/>
      <c r="J604" s="269"/>
      <c r="K604" s="109"/>
      <c r="L604" s="269"/>
      <c r="M604" s="1045" t="s">
        <v>1167</v>
      </c>
      <c r="N604" s="1047" t="s">
        <v>871</v>
      </c>
      <c r="O604" s="1056" t="s">
        <v>872</v>
      </c>
      <c r="P604" s="1" t="str">
        <f t="shared" si="116"/>
        <v/>
      </c>
      <c r="Q604" s="1" t="str">
        <f t="shared" si="116"/>
        <v/>
      </c>
      <c r="R604" s="1" t="str">
        <f t="shared" si="116"/>
        <v/>
      </c>
      <c r="S604" s="1" t="str">
        <f t="shared" si="116"/>
        <v/>
      </c>
      <c r="T604" s="421" t="s">
        <v>1204</v>
      </c>
      <c r="U604" s="110" t="s">
        <v>1205</v>
      </c>
      <c r="V604" s="26">
        <v>1</v>
      </c>
      <c r="W604" s="28" t="s">
        <v>90</v>
      </c>
      <c r="X604" s="435" t="s">
        <v>92</v>
      </c>
      <c r="Y604" s="47">
        <v>4216.67</v>
      </c>
      <c r="Z604" s="77">
        <v>0.17199999999999999</v>
      </c>
      <c r="AA604" s="27">
        <v>3491.4027599999999</v>
      </c>
      <c r="AB604" s="108"/>
      <c r="AC604" s="269"/>
      <c r="AD604" s="269"/>
      <c r="AE604" s="109" t="s">
        <v>92</v>
      </c>
      <c r="AF604" s="269" t="s">
        <v>92</v>
      </c>
      <c r="AG604" s="41" t="s">
        <v>1167</v>
      </c>
      <c r="AH604" s="174" t="s">
        <v>871</v>
      </c>
      <c r="AI604" s="159" t="s">
        <v>872</v>
      </c>
      <c r="AJ604" s="1" t="s">
        <v>98</v>
      </c>
      <c r="AK604" s="1" t="s">
        <v>98</v>
      </c>
      <c r="AL604" s="1" t="s">
        <v>98</v>
      </c>
      <c r="AM604" s="1" t="s">
        <v>98</v>
      </c>
      <c r="AN604" s="183"/>
    </row>
    <row r="605" spans="1:40" s="90" customFormat="1">
      <c r="A605" s="421" t="s">
        <v>1206</v>
      </c>
      <c r="B605" s="110" t="s">
        <v>1207</v>
      </c>
      <c r="C605" s="26">
        <v>1</v>
      </c>
      <c r="D605" s="28" t="s">
        <v>90</v>
      </c>
      <c r="E605" s="47">
        <v>9008.33</v>
      </c>
      <c r="F605" s="77">
        <f t="shared" si="115"/>
        <v>0.17199999999999999</v>
      </c>
      <c r="G605" s="27">
        <f t="shared" si="113"/>
        <v>7458.8972400000002</v>
      </c>
      <c r="H605" s="108"/>
      <c r="I605" s="269"/>
      <c r="J605" s="269"/>
      <c r="K605" s="109"/>
      <c r="L605" s="269"/>
      <c r="M605" s="1045" t="s">
        <v>1167</v>
      </c>
      <c r="N605" s="1047" t="s">
        <v>871</v>
      </c>
      <c r="O605" s="1056" t="s">
        <v>872</v>
      </c>
      <c r="P605" s="1" t="str">
        <f t="shared" si="116"/>
        <v/>
      </c>
      <c r="Q605" s="1" t="str">
        <f t="shared" si="116"/>
        <v/>
      </c>
      <c r="R605" s="1" t="str">
        <f t="shared" si="116"/>
        <v/>
      </c>
      <c r="S605" s="1" t="str">
        <f t="shared" si="116"/>
        <v/>
      </c>
      <c r="T605" s="421" t="s">
        <v>1206</v>
      </c>
      <c r="U605" s="110" t="s">
        <v>1207</v>
      </c>
      <c r="V605" s="26">
        <v>1</v>
      </c>
      <c r="W605" s="28" t="s">
        <v>90</v>
      </c>
      <c r="X605" s="435" t="s">
        <v>92</v>
      </c>
      <c r="Y605" s="47">
        <v>9008.33</v>
      </c>
      <c r="Z605" s="77">
        <v>0.17199999999999999</v>
      </c>
      <c r="AA605" s="27">
        <v>7458.8972400000002</v>
      </c>
      <c r="AB605" s="108"/>
      <c r="AC605" s="269"/>
      <c r="AD605" s="269"/>
      <c r="AE605" s="109" t="s">
        <v>92</v>
      </c>
      <c r="AF605" s="269" t="s">
        <v>92</v>
      </c>
      <c r="AG605" s="41" t="s">
        <v>1167</v>
      </c>
      <c r="AH605" s="174" t="s">
        <v>871</v>
      </c>
      <c r="AI605" s="159" t="s">
        <v>872</v>
      </c>
      <c r="AJ605" s="1" t="s">
        <v>98</v>
      </c>
      <c r="AK605" s="1" t="s">
        <v>98</v>
      </c>
      <c r="AL605" s="1" t="s">
        <v>98</v>
      </c>
      <c r="AM605" s="1" t="s">
        <v>98</v>
      </c>
      <c r="AN605" s="183"/>
    </row>
    <row r="606" spans="1:40" s="90" customFormat="1">
      <c r="A606" s="421" t="s">
        <v>1208</v>
      </c>
      <c r="B606" s="110" t="s">
        <v>1209</v>
      </c>
      <c r="C606" s="26">
        <v>1</v>
      </c>
      <c r="D606" s="28" t="s">
        <v>90</v>
      </c>
      <c r="E606" s="47">
        <v>5175</v>
      </c>
      <c r="F606" s="77">
        <f t="shared" si="115"/>
        <v>0.17199999999999999</v>
      </c>
      <c r="G606" s="27">
        <f t="shared" si="113"/>
        <v>4284.8999999999996</v>
      </c>
      <c r="H606" s="108"/>
      <c r="I606" s="269"/>
      <c r="J606" s="269"/>
      <c r="K606" s="109"/>
      <c r="L606" s="269"/>
      <c r="M606" s="1045" t="s">
        <v>1167</v>
      </c>
      <c r="N606" s="1047" t="s">
        <v>871</v>
      </c>
      <c r="O606" s="1056" t="s">
        <v>872</v>
      </c>
      <c r="P606" s="1" t="str">
        <f t="shared" si="116"/>
        <v/>
      </c>
      <c r="Q606" s="1" t="str">
        <f t="shared" si="116"/>
        <v/>
      </c>
      <c r="R606" s="1" t="str">
        <f t="shared" si="116"/>
        <v/>
      </c>
      <c r="S606" s="1" t="str">
        <f t="shared" si="116"/>
        <v/>
      </c>
      <c r="T606" s="421" t="s">
        <v>1208</v>
      </c>
      <c r="U606" s="110" t="s">
        <v>1209</v>
      </c>
      <c r="V606" s="26">
        <v>1</v>
      </c>
      <c r="W606" s="28" t="s">
        <v>90</v>
      </c>
      <c r="X606" s="435" t="s">
        <v>92</v>
      </c>
      <c r="Y606" s="47">
        <v>5175</v>
      </c>
      <c r="Z606" s="77">
        <v>0.17199999999999999</v>
      </c>
      <c r="AA606" s="27">
        <v>4284.8999999999996</v>
      </c>
      <c r="AB606" s="108"/>
      <c r="AC606" s="269"/>
      <c r="AD606" s="269"/>
      <c r="AE606" s="109" t="s">
        <v>92</v>
      </c>
      <c r="AF606" s="269" t="s">
        <v>92</v>
      </c>
      <c r="AG606" s="41" t="s">
        <v>1167</v>
      </c>
      <c r="AH606" s="174" t="s">
        <v>871</v>
      </c>
      <c r="AI606" s="159" t="s">
        <v>872</v>
      </c>
      <c r="AJ606" s="1" t="s">
        <v>98</v>
      </c>
      <c r="AK606" s="1" t="s">
        <v>98</v>
      </c>
      <c r="AL606" s="1" t="s">
        <v>98</v>
      </c>
      <c r="AM606" s="1" t="s">
        <v>98</v>
      </c>
      <c r="AN606" s="183"/>
    </row>
    <row r="607" spans="1:40" s="90" customFormat="1">
      <c r="A607" s="421" t="s">
        <v>1202</v>
      </c>
      <c r="B607" s="110" t="s">
        <v>1210</v>
      </c>
      <c r="C607" s="26">
        <v>1</v>
      </c>
      <c r="D607" s="28" t="s">
        <v>90</v>
      </c>
      <c r="E607" s="47">
        <v>10925</v>
      </c>
      <c r="F607" s="77">
        <f t="shared" si="115"/>
        <v>0.17199999999999999</v>
      </c>
      <c r="G607" s="27">
        <f t="shared" si="113"/>
        <v>9045.9</v>
      </c>
      <c r="H607" s="108"/>
      <c r="I607" s="269"/>
      <c r="J607" s="269"/>
      <c r="K607" s="109"/>
      <c r="L607" s="269"/>
      <c r="M607" s="1045" t="s">
        <v>1167</v>
      </c>
      <c r="N607" s="1047" t="s">
        <v>871</v>
      </c>
      <c r="O607" s="1056" t="s">
        <v>872</v>
      </c>
      <c r="P607" s="1" t="str">
        <f t="shared" si="116"/>
        <v/>
      </c>
      <c r="Q607" s="1" t="str">
        <f t="shared" si="116"/>
        <v/>
      </c>
      <c r="R607" s="1" t="str">
        <f t="shared" si="116"/>
        <v/>
      </c>
      <c r="S607" s="1" t="str">
        <f t="shared" si="116"/>
        <v/>
      </c>
      <c r="T607" s="421" t="s">
        <v>1202</v>
      </c>
      <c r="U607" s="110" t="s">
        <v>1210</v>
      </c>
      <c r="V607" s="26">
        <v>1</v>
      </c>
      <c r="W607" s="28" t="s">
        <v>90</v>
      </c>
      <c r="X607" s="435" t="s">
        <v>92</v>
      </c>
      <c r="Y607" s="47">
        <v>10925</v>
      </c>
      <c r="Z607" s="77">
        <v>0.17199999999999999</v>
      </c>
      <c r="AA607" s="27">
        <v>9045.9</v>
      </c>
      <c r="AB607" s="108"/>
      <c r="AC607" s="269"/>
      <c r="AD607" s="269"/>
      <c r="AE607" s="109" t="s">
        <v>92</v>
      </c>
      <c r="AF607" s="269" t="s">
        <v>92</v>
      </c>
      <c r="AG607" s="41" t="s">
        <v>1167</v>
      </c>
      <c r="AH607" s="174" t="s">
        <v>871</v>
      </c>
      <c r="AI607" s="159" t="s">
        <v>872</v>
      </c>
      <c r="AJ607" s="1" t="s">
        <v>98</v>
      </c>
      <c r="AK607" s="1" t="s">
        <v>98</v>
      </c>
      <c r="AL607" s="1" t="s">
        <v>98</v>
      </c>
      <c r="AM607" s="1" t="s">
        <v>98</v>
      </c>
      <c r="AN607" s="183"/>
    </row>
    <row r="608" spans="1:40">
      <c r="A608" s="421" t="s">
        <v>1211</v>
      </c>
      <c r="B608" s="110" t="s">
        <v>1212</v>
      </c>
      <c r="C608" s="26">
        <v>1</v>
      </c>
      <c r="D608" s="28" t="s">
        <v>90</v>
      </c>
      <c r="E608" s="47">
        <v>1916.67</v>
      </c>
      <c r="F608" s="77">
        <f t="shared" si="115"/>
        <v>0.17199999999999999</v>
      </c>
      <c r="G608" s="27">
        <f t="shared" si="113"/>
        <v>1587.0027600000001</v>
      </c>
      <c r="H608" s="27"/>
      <c r="I608" s="76"/>
      <c r="J608" s="76"/>
      <c r="K608" s="16"/>
      <c r="L608" s="76"/>
      <c r="M608" s="1045" t="s">
        <v>1167</v>
      </c>
      <c r="N608" s="1047" t="s">
        <v>871</v>
      </c>
      <c r="O608" s="1056" t="s">
        <v>872</v>
      </c>
      <c r="P608" s="1" t="str">
        <f t="shared" si="116"/>
        <v/>
      </c>
      <c r="Q608" s="1" t="str">
        <f t="shared" si="116"/>
        <v/>
      </c>
      <c r="R608" s="1" t="str">
        <f t="shared" si="116"/>
        <v/>
      </c>
      <c r="S608" s="1" t="str">
        <f t="shared" si="116"/>
        <v/>
      </c>
      <c r="T608" s="421" t="s">
        <v>1211</v>
      </c>
      <c r="U608" s="110" t="s">
        <v>1212</v>
      </c>
      <c r="V608" s="26">
        <v>1</v>
      </c>
      <c r="W608" s="28" t="s">
        <v>90</v>
      </c>
      <c r="X608" s="435" t="s">
        <v>92</v>
      </c>
      <c r="Y608" s="47">
        <v>1916.67</v>
      </c>
      <c r="Z608" s="77">
        <v>0.17199999999999999</v>
      </c>
      <c r="AA608" s="27">
        <v>1587.0027600000001</v>
      </c>
      <c r="AB608" s="27"/>
      <c r="AC608" s="76"/>
      <c r="AD608" s="76"/>
      <c r="AE608" s="16" t="s">
        <v>92</v>
      </c>
      <c r="AF608" s="76" t="s">
        <v>92</v>
      </c>
      <c r="AG608" s="41" t="s">
        <v>1167</v>
      </c>
      <c r="AH608" s="174" t="s">
        <v>871</v>
      </c>
      <c r="AI608" s="159" t="s">
        <v>872</v>
      </c>
      <c r="AJ608" s="1" t="s">
        <v>98</v>
      </c>
      <c r="AK608" s="1" t="s">
        <v>98</v>
      </c>
      <c r="AL608" s="1" t="s">
        <v>98</v>
      </c>
      <c r="AM608" s="1" t="s">
        <v>98</v>
      </c>
      <c r="AN608" s="174"/>
    </row>
    <row r="609" spans="1:40">
      <c r="A609" s="421" t="s">
        <v>1213</v>
      </c>
      <c r="B609" s="110" t="s">
        <v>1214</v>
      </c>
      <c r="C609" s="26">
        <v>1</v>
      </c>
      <c r="D609" s="28" t="s">
        <v>90</v>
      </c>
      <c r="E609" s="47">
        <v>41.67</v>
      </c>
      <c r="F609" s="77">
        <f t="shared" si="115"/>
        <v>0.17199999999999999</v>
      </c>
      <c r="G609" s="27">
        <f t="shared" si="113"/>
        <v>34.502760000000002</v>
      </c>
      <c r="H609" s="27"/>
      <c r="I609" s="76"/>
      <c r="J609" s="76"/>
      <c r="K609" s="16"/>
      <c r="L609" s="76"/>
      <c r="M609" s="1045" t="s">
        <v>1167</v>
      </c>
      <c r="N609" s="1047" t="s">
        <v>871</v>
      </c>
      <c r="O609" s="1056" t="s">
        <v>872</v>
      </c>
      <c r="P609" s="1" t="str">
        <f t="shared" si="116"/>
        <v/>
      </c>
      <c r="Q609" s="1" t="str">
        <f t="shared" si="116"/>
        <v/>
      </c>
      <c r="R609" s="1" t="str">
        <f t="shared" si="116"/>
        <v/>
      </c>
      <c r="S609" s="1" t="str">
        <f t="shared" si="116"/>
        <v/>
      </c>
      <c r="T609" s="421" t="s">
        <v>1213</v>
      </c>
      <c r="U609" s="110" t="s">
        <v>1214</v>
      </c>
      <c r="V609" s="26">
        <v>1</v>
      </c>
      <c r="W609" s="28" t="s">
        <v>90</v>
      </c>
      <c r="X609" s="435" t="s">
        <v>92</v>
      </c>
      <c r="Y609" s="47">
        <v>41.67</v>
      </c>
      <c r="Z609" s="77">
        <v>0.17199999999999999</v>
      </c>
      <c r="AA609" s="27">
        <v>34.502760000000002</v>
      </c>
      <c r="AB609" s="27"/>
      <c r="AC609" s="76"/>
      <c r="AD609" s="76"/>
      <c r="AE609" s="16" t="s">
        <v>92</v>
      </c>
      <c r="AF609" s="76" t="s">
        <v>92</v>
      </c>
      <c r="AG609" s="41" t="s">
        <v>1167</v>
      </c>
      <c r="AH609" s="174" t="s">
        <v>871</v>
      </c>
      <c r="AI609" s="159" t="s">
        <v>872</v>
      </c>
      <c r="AJ609" s="1" t="s">
        <v>98</v>
      </c>
      <c r="AK609" s="1" t="s">
        <v>98</v>
      </c>
      <c r="AL609" s="1" t="s">
        <v>98</v>
      </c>
      <c r="AM609" s="1" t="s">
        <v>98</v>
      </c>
      <c r="AN609" s="174"/>
    </row>
    <row r="610" spans="1:40">
      <c r="A610" s="421" t="s">
        <v>1215</v>
      </c>
      <c r="B610" s="110" t="s">
        <v>1216</v>
      </c>
      <c r="C610" s="26">
        <v>1</v>
      </c>
      <c r="D610" s="28" t="s">
        <v>90</v>
      </c>
      <c r="E610" s="47">
        <v>132.5</v>
      </c>
      <c r="F610" s="77">
        <f t="shared" si="115"/>
        <v>0.17199999999999999</v>
      </c>
      <c r="G610" s="27">
        <f t="shared" si="113"/>
        <v>109.71000000000001</v>
      </c>
      <c r="H610" s="27"/>
      <c r="I610" s="76"/>
      <c r="J610" s="76"/>
      <c r="K610" s="16"/>
      <c r="L610" s="76"/>
      <c r="M610" s="1045" t="s">
        <v>1167</v>
      </c>
      <c r="N610" s="1047" t="s">
        <v>871</v>
      </c>
      <c r="O610" s="1056" t="s">
        <v>872</v>
      </c>
      <c r="P610" s="1" t="str">
        <f t="shared" si="116"/>
        <v/>
      </c>
      <c r="Q610" s="1" t="str">
        <f t="shared" si="116"/>
        <v/>
      </c>
      <c r="R610" s="1" t="str">
        <f t="shared" si="116"/>
        <v/>
      </c>
      <c r="S610" s="1" t="str">
        <f t="shared" si="116"/>
        <v/>
      </c>
      <c r="T610" s="421" t="s">
        <v>1215</v>
      </c>
      <c r="U610" s="110" t="s">
        <v>1216</v>
      </c>
      <c r="V610" s="26">
        <v>1</v>
      </c>
      <c r="W610" s="28" t="s">
        <v>90</v>
      </c>
      <c r="X610" s="435" t="s">
        <v>92</v>
      </c>
      <c r="Y610" s="47">
        <v>132.5</v>
      </c>
      <c r="Z610" s="77">
        <v>0.17199999999999999</v>
      </c>
      <c r="AA610" s="27">
        <v>109.71000000000001</v>
      </c>
      <c r="AB610" s="27"/>
      <c r="AC610" s="76"/>
      <c r="AD610" s="76"/>
      <c r="AE610" s="16" t="s">
        <v>92</v>
      </c>
      <c r="AF610" s="76" t="s">
        <v>92</v>
      </c>
      <c r="AG610" s="41" t="s">
        <v>1167</v>
      </c>
      <c r="AH610" s="174" t="s">
        <v>871</v>
      </c>
      <c r="AI610" s="159" t="s">
        <v>872</v>
      </c>
      <c r="AJ610" s="1" t="s">
        <v>98</v>
      </c>
      <c r="AK610" s="1" t="s">
        <v>98</v>
      </c>
      <c r="AL610" s="1" t="s">
        <v>98</v>
      </c>
      <c r="AM610" s="1" t="s">
        <v>98</v>
      </c>
      <c r="AN610" s="174"/>
    </row>
    <row r="611" spans="1:40">
      <c r="A611" s="421" t="s">
        <v>1217</v>
      </c>
      <c r="B611" s="110" t="s">
        <v>1218</v>
      </c>
      <c r="C611" s="26">
        <v>1</v>
      </c>
      <c r="D611" s="28" t="s">
        <v>90</v>
      </c>
      <c r="E611" s="47"/>
      <c r="F611" s="21"/>
      <c r="G611" s="27">
        <f t="shared" si="113"/>
        <v>0</v>
      </c>
      <c r="H611" s="27"/>
      <c r="I611" s="76"/>
      <c r="J611" s="76"/>
      <c r="K611" s="16"/>
      <c r="L611" s="76"/>
      <c r="M611" s="1045" t="s">
        <v>1167</v>
      </c>
      <c r="N611" s="1047" t="s">
        <v>871</v>
      </c>
      <c r="O611" s="1056" t="s">
        <v>872</v>
      </c>
      <c r="P611" s="1" t="str">
        <f t="shared" si="116"/>
        <v/>
      </c>
      <c r="Q611" s="1" t="str">
        <f t="shared" si="116"/>
        <v/>
      </c>
      <c r="R611" s="1" t="str">
        <f t="shared" si="116"/>
        <v/>
      </c>
      <c r="S611" s="1" t="str">
        <f t="shared" si="116"/>
        <v/>
      </c>
      <c r="T611" s="421" t="s">
        <v>1217</v>
      </c>
      <c r="U611" s="110" t="s">
        <v>1218</v>
      </c>
      <c r="V611" s="26">
        <v>1</v>
      </c>
      <c r="W611" s="28" t="s">
        <v>90</v>
      </c>
      <c r="X611" s="435" t="s">
        <v>92</v>
      </c>
      <c r="Y611" s="47"/>
      <c r="Z611" s="21"/>
      <c r="AA611" s="27">
        <v>0</v>
      </c>
      <c r="AB611" s="27"/>
      <c r="AC611" s="76"/>
      <c r="AD611" s="76"/>
      <c r="AE611" s="16" t="s">
        <v>92</v>
      </c>
      <c r="AF611" s="76" t="s">
        <v>92</v>
      </c>
      <c r="AG611" s="41" t="s">
        <v>1167</v>
      </c>
      <c r="AH611" s="174" t="s">
        <v>871</v>
      </c>
      <c r="AI611" s="159" t="s">
        <v>872</v>
      </c>
      <c r="AJ611" s="1" t="s">
        <v>98</v>
      </c>
      <c r="AK611" s="1" t="s">
        <v>98</v>
      </c>
      <c r="AL611" s="1" t="s">
        <v>98</v>
      </c>
      <c r="AM611" s="1" t="s">
        <v>98</v>
      </c>
      <c r="AN611" s="174"/>
    </row>
    <row r="612" spans="1:40">
      <c r="A612" s="421" t="s">
        <v>1219</v>
      </c>
      <c r="B612" s="110" t="s">
        <v>1220</v>
      </c>
      <c r="C612" s="26">
        <v>1</v>
      </c>
      <c r="D612" s="28" t="s">
        <v>90</v>
      </c>
      <c r="E612" s="47"/>
      <c r="F612" s="21"/>
      <c r="G612" s="27">
        <f t="shared" si="113"/>
        <v>0</v>
      </c>
      <c r="H612" s="27"/>
      <c r="I612" s="76"/>
      <c r="J612" s="76"/>
      <c r="K612" s="16"/>
      <c r="L612" s="76"/>
      <c r="M612" s="1045" t="s">
        <v>1167</v>
      </c>
      <c r="N612" s="1047" t="s">
        <v>871</v>
      </c>
      <c r="O612" s="1056" t="s">
        <v>872</v>
      </c>
      <c r="P612" s="1" t="str">
        <f t="shared" si="116"/>
        <v/>
      </c>
      <c r="Q612" s="1" t="str">
        <f t="shared" si="116"/>
        <v/>
      </c>
      <c r="R612" s="1" t="str">
        <f t="shared" si="116"/>
        <v/>
      </c>
      <c r="S612" s="1" t="str">
        <f t="shared" si="116"/>
        <v/>
      </c>
      <c r="T612" s="421" t="s">
        <v>1219</v>
      </c>
      <c r="U612" s="110" t="s">
        <v>1220</v>
      </c>
      <c r="V612" s="26">
        <v>1</v>
      </c>
      <c r="W612" s="28" t="s">
        <v>90</v>
      </c>
      <c r="X612" s="435" t="s">
        <v>92</v>
      </c>
      <c r="Y612" s="47"/>
      <c r="Z612" s="21"/>
      <c r="AA612" s="27">
        <v>0</v>
      </c>
      <c r="AB612" s="27"/>
      <c r="AC612" s="76"/>
      <c r="AD612" s="76"/>
      <c r="AE612" s="16" t="s">
        <v>92</v>
      </c>
      <c r="AF612" s="76" t="s">
        <v>92</v>
      </c>
      <c r="AG612" s="41" t="s">
        <v>1167</v>
      </c>
      <c r="AH612" s="174" t="s">
        <v>871</v>
      </c>
      <c r="AI612" s="159" t="s">
        <v>872</v>
      </c>
      <c r="AJ612" s="1" t="s">
        <v>98</v>
      </c>
      <c r="AK612" s="1" t="s">
        <v>98</v>
      </c>
      <c r="AL612" s="1" t="s">
        <v>98</v>
      </c>
      <c r="AM612" s="1" t="s">
        <v>98</v>
      </c>
      <c r="AN612" s="174"/>
    </row>
    <row r="613" spans="1:40" s="90" customFormat="1">
      <c r="A613" s="422" t="s">
        <v>1221</v>
      </c>
      <c r="B613" s="189" t="s">
        <v>1222</v>
      </c>
      <c r="C613" s="204">
        <v>1</v>
      </c>
      <c r="D613" s="205" t="s">
        <v>90</v>
      </c>
      <c r="E613" s="43">
        <v>2683.33</v>
      </c>
      <c r="F613" s="102">
        <f>rv_apple_acc_mac</f>
        <v>0.09</v>
      </c>
      <c r="G613" s="186">
        <f t="shared" si="113"/>
        <v>2441.8303000000001</v>
      </c>
      <c r="H613" s="117"/>
      <c r="I613" s="616"/>
      <c r="J613" s="616"/>
      <c r="K613" s="118"/>
      <c r="L613" s="620">
        <v>0</v>
      </c>
      <c r="M613" s="1045" t="s">
        <v>1223</v>
      </c>
      <c r="N613" s="1047" t="s">
        <v>700</v>
      </c>
      <c r="O613" s="1059" t="s">
        <v>1224</v>
      </c>
      <c r="P613" s="1" t="str">
        <f t="shared" si="116"/>
        <v/>
      </c>
      <c r="Q613" s="1" t="str">
        <f t="shared" si="116"/>
        <v/>
      </c>
      <c r="R613" s="1" t="str">
        <f t="shared" si="116"/>
        <v/>
      </c>
      <c r="S613" s="1" t="str">
        <f t="shared" si="116"/>
        <v/>
      </c>
      <c r="T613" s="422" t="s">
        <v>1221</v>
      </c>
      <c r="U613" s="189" t="s">
        <v>1222</v>
      </c>
      <c r="V613" s="204">
        <v>1</v>
      </c>
      <c r="W613" s="205" t="s">
        <v>90</v>
      </c>
      <c r="X613" s="206" t="s">
        <v>1221</v>
      </c>
      <c r="Y613" s="43">
        <v>2683.33</v>
      </c>
      <c r="Z613" s="102">
        <v>0.09</v>
      </c>
      <c r="AA613" s="186">
        <v>2441.8303000000001</v>
      </c>
      <c r="AB613" s="117"/>
      <c r="AC613" s="616"/>
      <c r="AD613" s="616"/>
      <c r="AE613" s="118"/>
      <c r="AF613" s="620">
        <v>0</v>
      </c>
      <c r="AG613" s="41" t="s">
        <v>1223</v>
      </c>
      <c r="AH613" s="174" t="s">
        <v>700</v>
      </c>
      <c r="AI613" s="42" t="s">
        <v>1224</v>
      </c>
      <c r="AJ613" s="1" t="s">
        <v>98</v>
      </c>
      <c r="AK613" s="1" t="s">
        <v>98</v>
      </c>
      <c r="AL613" s="1" t="s">
        <v>98</v>
      </c>
      <c r="AM613" s="1" t="s">
        <v>98</v>
      </c>
      <c r="AN613" s="185"/>
    </row>
    <row r="614" spans="1:40" s="90" customFormat="1">
      <c r="A614" s="422" t="s">
        <v>1225</v>
      </c>
      <c r="B614" s="189" t="s">
        <v>1226</v>
      </c>
      <c r="C614" s="204">
        <v>1</v>
      </c>
      <c r="D614" s="205" t="s">
        <v>90</v>
      </c>
      <c r="E614" s="43">
        <v>4791.67</v>
      </c>
      <c r="F614" s="102">
        <f>rv_apple_acc_mac</f>
        <v>0.09</v>
      </c>
      <c r="G614" s="186">
        <f t="shared" si="113"/>
        <v>4360.4197000000004</v>
      </c>
      <c r="H614" s="117"/>
      <c r="I614" s="616"/>
      <c r="J614" s="616"/>
      <c r="K614" s="118"/>
      <c r="L614" s="620">
        <v>0</v>
      </c>
      <c r="M614" s="1045" t="s">
        <v>1223</v>
      </c>
      <c r="N614" s="1047" t="s">
        <v>700</v>
      </c>
      <c r="O614" s="1059" t="s">
        <v>1224</v>
      </c>
      <c r="P614" s="1" t="str">
        <f t="shared" si="116"/>
        <v/>
      </c>
      <c r="Q614" s="1" t="str">
        <f t="shared" si="116"/>
        <v/>
      </c>
      <c r="R614" s="1" t="str">
        <f t="shared" si="116"/>
        <v/>
      </c>
      <c r="S614" s="1" t="str">
        <f t="shared" si="116"/>
        <v/>
      </c>
      <c r="T614" s="422" t="s">
        <v>1225</v>
      </c>
      <c r="U614" s="189" t="s">
        <v>1226</v>
      </c>
      <c r="V614" s="204">
        <v>1</v>
      </c>
      <c r="W614" s="205" t="s">
        <v>90</v>
      </c>
      <c r="X614" s="206" t="s">
        <v>1225</v>
      </c>
      <c r="Y614" s="43">
        <v>4791.67</v>
      </c>
      <c r="Z614" s="102">
        <v>0.09</v>
      </c>
      <c r="AA614" s="186">
        <v>4360.4197000000004</v>
      </c>
      <c r="AB614" s="117"/>
      <c r="AC614" s="616"/>
      <c r="AD614" s="616"/>
      <c r="AE614" s="118"/>
      <c r="AF614" s="620">
        <v>0</v>
      </c>
      <c r="AG614" s="41" t="s">
        <v>1223</v>
      </c>
      <c r="AH614" s="174" t="s">
        <v>700</v>
      </c>
      <c r="AI614" s="42" t="s">
        <v>1224</v>
      </c>
      <c r="AJ614" s="1" t="s">
        <v>98</v>
      </c>
      <c r="AK614" s="1" t="s">
        <v>98</v>
      </c>
      <c r="AL614" s="1" t="s">
        <v>98</v>
      </c>
      <c r="AM614" s="1" t="s">
        <v>98</v>
      </c>
      <c r="AN614" s="185"/>
    </row>
    <row r="615" spans="1:40" s="90" customFormat="1">
      <c r="A615" s="422" t="s">
        <v>1227</v>
      </c>
      <c r="B615" s="189" t="s">
        <v>1228</v>
      </c>
      <c r="C615" s="204">
        <v>1</v>
      </c>
      <c r="D615" s="205" t="s">
        <v>90</v>
      </c>
      <c r="E615" s="43">
        <v>5750</v>
      </c>
      <c r="F615" s="102">
        <f>rv_apple_acc_mac</f>
        <v>0.09</v>
      </c>
      <c r="G615" s="186">
        <f t="shared" si="113"/>
        <v>5232.5</v>
      </c>
      <c r="H615" s="117"/>
      <c r="I615" s="616"/>
      <c r="J615" s="616"/>
      <c r="K615" s="118"/>
      <c r="L615" s="620">
        <v>0</v>
      </c>
      <c r="M615" s="1045" t="s">
        <v>1223</v>
      </c>
      <c r="N615" s="1047" t="s">
        <v>700</v>
      </c>
      <c r="O615" s="1059" t="s">
        <v>1224</v>
      </c>
      <c r="P615" s="1" t="str">
        <f t="shared" si="116"/>
        <v/>
      </c>
      <c r="Q615" s="1" t="str">
        <f t="shared" si="116"/>
        <v/>
      </c>
      <c r="R615" s="1" t="str">
        <f t="shared" si="116"/>
        <v/>
      </c>
      <c r="S615" s="1" t="str">
        <f t="shared" si="116"/>
        <v/>
      </c>
      <c r="T615" s="422" t="s">
        <v>1227</v>
      </c>
      <c r="U615" s="189" t="s">
        <v>1228</v>
      </c>
      <c r="V615" s="204">
        <v>1</v>
      </c>
      <c r="W615" s="205" t="s">
        <v>90</v>
      </c>
      <c r="X615" s="206" t="s">
        <v>1227</v>
      </c>
      <c r="Y615" s="43">
        <v>5750</v>
      </c>
      <c r="Z615" s="102">
        <v>0.09</v>
      </c>
      <c r="AA615" s="186">
        <v>5232.5</v>
      </c>
      <c r="AB615" s="117"/>
      <c r="AC615" s="616"/>
      <c r="AD615" s="616"/>
      <c r="AE615" s="118"/>
      <c r="AF615" s="620">
        <v>0</v>
      </c>
      <c r="AG615" s="41" t="s">
        <v>1223</v>
      </c>
      <c r="AH615" s="174" t="s">
        <v>700</v>
      </c>
      <c r="AI615" s="42" t="s">
        <v>1224</v>
      </c>
      <c r="AJ615" s="1" t="s">
        <v>98</v>
      </c>
      <c r="AK615" s="1" t="s">
        <v>98</v>
      </c>
      <c r="AL615" s="1" t="s">
        <v>98</v>
      </c>
      <c r="AM615" s="1" t="s">
        <v>98</v>
      </c>
      <c r="AN615" s="185"/>
    </row>
    <row r="616" spans="1:40" s="90" customFormat="1">
      <c r="A616" s="421" t="s">
        <v>1229</v>
      </c>
      <c r="B616" s="110" t="s">
        <v>1230</v>
      </c>
      <c r="C616" s="49">
        <v>1</v>
      </c>
      <c r="D616" s="46" t="s">
        <v>90</v>
      </c>
      <c r="E616" s="53">
        <v>666.67</v>
      </c>
      <c r="F616" s="21">
        <f>rv_apple_acc_mac</f>
        <v>0.09</v>
      </c>
      <c r="G616" s="51">
        <f t="shared" si="113"/>
        <v>606.66969999999992</v>
      </c>
      <c r="H616" s="117"/>
      <c r="I616" s="616"/>
      <c r="J616" s="616"/>
      <c r="K616" s="118"/>
      <c r="L616" s="620">
        <v>0</v>
      </c>
      <c r="M616" s="1045" t="s">
        <v>1223</v>
      </c>
      <c r="N616" s="1047" t="s">
        <v>700</v>
      </c>
      <c r="O616" s="1059" t="s">
        <v>1224</v>
      </c>
      <c r="P616" s="1" t="str">
        <f t="shared" si="116"/>
        <v/>
      </c>
      <c r="Q616" s="1" t="str">
        <f t="shared" si="116"/>
        <v/>
      </c>
      <c r="R616" s="1" t="str">
        <f t="shared" si="116"/>
        <v/>
      </c>
      <c r="S616" s="1" t="str">
        <f t="shared" si="116"/>
        <v/>
      </c>
      <c r="T616" s="421" t="s">
        <v>1229</v>
      </c>
      <c r="U616" s="110" t="s">
        <v>1230</v>
      </c>
      <c r="V616" s="49">
        <v>1</v>
      </c>
      <c r="W616" s="46" t="s">
        <v>90</v>
      </c>
      <c r="X616" s="104" t="s">
        <v>1229</v>
      </c>
      <c r="Y616" s="53">
        <v>666.67</v>
      </c>
      <c r="Z616" s="21">
        <v>0.09</v>
      </c>
      <c r="AA616" s="51">
        <v>606.66969999999992</v>
      </c>
      <c r="AB616" s="117"/>
      <c r="AC616" s="616"/>
      <c r="AD616" s="616"/>
      <c r="AE616" s="118"/>
      <c r="AF616" s="620">
        <v>0</v>
      </c>
      <c r="AG616" s="41" t="s">
        <v>1223</v>
      </c>
      <c r="AH616" s="174" t="s">
        <v>700</v>
      </c>
      <c r="AI616" s="42" t="s">
        <v>1224</v>
      </c>
      <c r="AJ616" s="1" t="s">
        <v>98</v>
      </c>
      <c r="AK616" s="1" t="s">
        <v>98</v>
      </c>
      <c r="AL616" s="1" t="s">
        <v>98</v>
      </c>
      <c r="AM616" s="1" t="s">
        <v>98</v>
      </c>
      <c r="AN616" s="185"/>
    </row>
    <row r="617" spans="1:40" s="127" customFormat="1">
      <c r="A617" s="457" t="s">
        <v>1072</v>
      </c>
      <c r="B617" s="79" t="s">
        <v>1132</v>
      </c>
      <c r="C617" s="80">
        <v>1</v>
      </c>
      <c r="D617" s="123" t="s">
        <v>114</v>
      </c>
      <c r="E617" s="601">
        <v>113.53</v>
      </c>
      <c r="F617" s="214">
        <v>0.17199999999999999</v>
      </c>
      <c r="G617" s="107">
        <f>E617-(E617*F617)</f>
        <v>94.002840000000006</v>
      </c>
      <c r="H617" s="152"/>
      <c r="I617" s="126"/>
      <c r="J617" s="126"/>
      <c r="K617" s="109"/>
      <c r="L617" s="269"/>
      <c r="M617" s="1045" t="s">
        <v>115</v>
      </c>
      <c r="N617" s="1047" t="s">
        <v>3673</v>
      </c>
      <c r="O617" s="1062" t="s">
        <v>884</v>
      </c>
      <c r="P617" s="1" t="str">
        <f t="shared" ref="P617:S631" si="117">+IF($J617&lt;&gt;"",P$2*$J617,"")</f>
        <v/>
      </c>
      <c r="Q617" s="1" t="str">
        <f t="shared" si="117"/>
        <v/>
      </c>
      <c r="R617" s="1" t="str">
        <f t="shared" si="117"/>
        <v/>
      </c>
      <c r="S617" s="1" t="str">
        <f t="shared" si="117"/>
        <v/>
      </c>
      <c r="T617" s="457" t="s">
        <v>1072</v>
      </c>
      <c r="U617" s="79" t="s">
        <v>1132</v>
      </c>
      <c r="V617" s="80">
        <v>1</v>
      </c>
      <c r="W617" s="123" t="s">
        <v>114</v>
      </c>
      <c r="X617" s="434" t="s">
        <v>1072</v>
      </c>
      <c r="Y617" s="601">
        <v>113.53</v>
      </c>
      <c r="Z617" s="214">
        <v>0.17199999999999999</v>
      </c>
      <c r="AA617" s="107">
        <v>94.002840000000006</v>
      </c>
      <c r="AB617" s="152"/>
      <c r="AC617" s="126"/>
      <c r="AD617" s="126"/>
      <c r="AE617" s="109" t="s">
        <v>92</v>
      </c>
      <c r="AF617" s="269" t="s">
        <v>92</v>
      </c>
      <c r="AG617" s="41" t="s">
        <v>115</v>
      </c>
      <c r="AH617" s="183" t="s">
        <v>116</v>
      </c>
      <c r="AI617" s="158" t="s">
        <v>884</v>
      </c>
      <c r="AJ617" s="1" t="s">
        <v>98</v>
      </c>
      <c r="AK617" s="1" t="s">
        <v>98</v>
      </c>
      <c r="AL617" s="1" t="s">
        <v>98</v>
      </c>
      <c r="AM617" s="1" t="s">
        <v>98</v>
      </c>
      <c r="AN617" s="183"/>
    </row>
    <row r="618" spans="1:40">
      <c r="A618" s="421" t="s">
        <v>1133</v>
      </c>
      <c r="B618" s="110" t="s">
        <v>1134</v>
      </c>
      <c r="C618" s="26">
        <v>1</v>
      </c>
      <c r="D618" s="46" t="s">
        <v>114</v>
      </c>
      <c r="E618" s="47"/>
      <c r="F618" s="21"/>
      <c r="G618" s="145">
        <v>30</v>
      </c>
      <c r="H618" s="145"/>
      <c r="I618" s="76"/>
      <c r="J618" s="76"/>
      <c r="K618" s="16"/>
      <c r="L618" s="76"/>
      <c r="M618" s="1045" t="s">
        <v>115</v>
      </c>
      <c r="N618" s="1047" t="s">
        <v>3673</v>
      </c>
      <c r="O618" s="1056" t="s">
        <v>884</v>
      </c>
      <c r="P618" s="1" t="str">
        <f t="shared" si="117"/>
        <v/>
      </c>
      <c r="Q618" s="1" t="str">
        <f t="shared" si="117"/>
        <v/>
      </c>
      <c r="R618" s="1" t="str">
        <f t="shared" si="117"/>
        <v/>
      </c>
      <c r="S618" s="1" t="str">
        <f t="shared" si="117"/>
        <v/>
      </c>
      <c r="T618" s="421" t="s">
        <v>1133</v>
      </c>
      <c r="U618" s="110" t="s">
        <v>1134</v>
      </c>
      <c r="V618" s="26">
        <v>1</v>
      </c>
      <c r="W618" s="46" t="s">
        <v>114</v>
      </c>
      <c r="X618" s="104" t="s">
        <v>1133</v>
      </c>
      <c r="Y618" s="47"/>
      <c r="Z618" s="21"/>
      <c r="AA618" s="145">
        <v>30</v>
      </c>
      <c r="AB618" s="145"/>
      <c r="AC618" s="76"/>
      <c r="AD618" s="76"/>
      <c r="AE618" s="16" t="s">
        <v>92</v>
      </c>
      <c r="AF618" s="76" t="s">
        <v>92</v>
      </c>
      <c r="AG618" s="41" t="s">
        <v>115</v>
      </c>
      <c r="AH618" s="174" t="s">
        <v>116</v>
      </c>
      <c r="AI618" s="159" t="s">
        <v>884</v>
      </c>
      <c r="AJ618" s="1" t="s">
        <v>98</v>
      </c>
      <c r="AK618" s="1" t="s">
        <v>98</v>
      </c>
      <c r="AL618" s="1" t="s">
        <v>98</v>
      </c>
      <c r="AM618" s="1" t="s">
        <v>98</v>
      </c>
      <c r="AN618" s="174"/>
    </row>
    <row r="619" spans="1:40">
      <c r="A619" s="421" t="s">
        <v>1135</v>
      </c>
      <c r="B619" s="110" t="s">
        <v>1136</v>
      </c>
      <c r="C619" s="26">
        <v>1</v>
      </c>
      <c r="D619" s="46" t="s">
        <v>114</v>
      </c>
      <c r="E619" s="47"/>
      <c r="F619" s="21"/>
      <c r="G619" s="145">
        <v>54</v>
      </c>
      <c r="H619" s="145"/>
      <c r="I619" s="76"/>
      <c r="J619" s="76"/>
      <c r="K619" s="16"/>
      <c r="L619" s="76"/>
      <c r="M619" s="1045" t="s">
        <v>115</v>
      </c>
      <c r="N619" s="1047" t="s">
        <v>3673</v>
      </c>
      <c r="O619" s="1056" t="s">
        <v>884</v>
      </c>
      <c r="P619" s="1" t="str">
        <f t="shared" si="117"/>
        <v/>
      </c>
      <c r="Q619" s="1" t="str">
        <f t="shared" si="117"/>
        <v/>
      </c>
      <c r="R619" s="1" t="str">
        <f t="shared" si="117"/>
        <v/>
      </c>
      <c r="S619" s="1" t="str">
        <f t="shared" si="117"/>
        <v/>
      </c>
      <c r="T619" s="421" t="s">
        <v>1135</v>
      </c>
      <c r="U619" s="110" t="s">
        <v>1136</v>
      </c>
      <c r="V619" s="26">
        <v>1</v>
      </c>
      <c r="W619" s="46" t="s">
        <v>114</v>
      </c>
      <c r="X619" s="104" t="s">
        <v>1135</v>
      </c>
      <c r="Y619" s="47"/>
      <c r="Z619" s="21"/>
      <c r="AA619" s="145">
        <v>54</v>
      </c>
      <c r="AB619" s="145"/>
      <c r="AC619" s="76"/>
      <c r="AD619" s="76"/>
      <c r="AE619" s="16" t="s">
        <v>92</v>
      </c>
      <c r="AF619" s="76" t="s">
        <v>92</v>
      </c>
      <c r="AG619" s="41" t="s">
        <v>115</v>
      </c>
      <c r="AH619" s="174" t="s">
        <v>116</v>
      </c>
      <c r="AI619" s="159" t="s">
        <v>884</v>
      </c>
      <c r="AJ619" s="1" t="s">
        <v>98</v>
      </c>
      <c r="AK619" s="1" t="s">
        <v>98</v>
      </c>
      <c r="AL619" s="1" t="s">
        <v>98</v>
      </c>
      <c r="AM619" s="1" t="s">
        <v>98</v>
      </c>
      <c r="AN619" s="174"/>
    </row>
    <row r="620" spans="1:40">
      <c r="A620" s="421" t="s">
        <v>1137</v>
      </c>
      <c r="B620" s="110" t="s">
        <v>1138</v>
      </c>
      <c r="C620" s="26">
        <v>1</v>
      </c>
      <c r="D620" s="46" t="s">
        <v>114</v>
      </c>
      <c r="E620" s="47"/>
      <c r="F620" s="21"/>
      <c r="G620" s="145">
        <v>85</v>
      </c>
      <c r="H620" s="145"/>
      <c r="I620" s="76"/>
      <c r="J620" s="76"/>
      <c r="K620" s="16"/>
      <c r="L620" s="76"/>
      <c r="M620" s="1045" t="s">
        <v>115</v>
      </c>
      <c r="N620" s="1047" t="s">
        <v>3673</v>
      </c>
      <c r="O620" s="1056" t="s">
        <v>884</v>
      </c>
      <c r="P620" s="1" t="str">
        <f t="shared" si="117"/>
        <v/>
      </c>
      <c r="Q620" s="1" t="str">
        <f t="shared" si="117"/>
        <v/>
      </c>
      <c r="R620" s="1" t="str">
        <f t="shared" si="117"/>
        <v/>
      </c>
      <c r="S620" s="1" t="str">
        <f t="shared" si="117"/>
        <v/>
      </c>
      <c r="T620" s="421" t="s">
        <v>1137</v>
      </c>
      <c r="U620" s="110" t="s">
        <v>1138</v>
      </c>
      <c r="V620" s="26">
        <v>1</v>
      </c>
      <c r="W620" s="46" t="s">
        <v>114</v>
      </c>
      <c r="X620" s="104" t="s">
        <v>1137</v>
      </c>
      <c r="Y620" s="47"/>
      <c r="Z620" s="21"/>
      <c r="AA620" s="145">
        <v>85</v>
      </c>
      <c r="AB620" s="145"/>
      <c r="AC620" s="76"/>
      <c r="AD620" s="76"/>
      <c r="AE620" s="16" t="s">
        <v>92</v>
      </c>
      <c r="AF620" s="76" t="s">
        <v>92</v>
      </c>
      <c r="AG620" s="41" t="s">
        <v>115</v>
      </c>
      <c r="AH620" s="174" t="s">
        <v>116</v>
      </c>
      <c r="AI620" s="159" t="s">
        <v>884</v>
      </c>
      <c r="AJ620" s="1" t="s">
        <v>98</v>
      </c>
      <c r="AK620" s="1" t="s">
        <v>98</v>
      </c>
      <c r="AL620" s="1" t="s">
        <v>98</v>
      </c>
      <c r="AM620" s="1" t="s">
        <v>98</v>
      </c>
      <c r="AN620" s="174"/>
    </row>
    <row r="621" spans="1:40">
      <c r="A621" s="421" t="s">
        <v>1139</v>
      </c>
      <c r="B621" s="110" t="s">
        <v>1140</v>
      </c>
      <c r="C621" s="26">
        <v>1</v>
      </c>
      <c r="D621" s="46" t="s">
        <v>114</v>
      </c>
      <c r="E621" s="47"/>
      <c r="F621" s="21"/>
      <c r="G621" s="145">
        <v>43</v>
      </c>
      <c r="H621" s="145"/>
      <c r="I621" s="76"/>
      <c r="J621" s="76"/>
      <c r="K621" s="16"/>
      <c r="L621" s="76"/>
      <c r="M621" s="1045" t="s">
        <v>115</v>
      </c>
      <c r="N621" s="1047" t="s">
        <v>3673</v>
      </c>
      <c r="O621" s="1056" t="s">
        <v>884</v>
      </c>
      <c r="P621" s="1" t="str">
        <f t="shared" si="117"/>
        <v/>
      </c>
      <c r="Q621" s="1" t="str">
        <f t="shared" si="117"/>
        <v/>
      </c>
      <c r="R621" s="1" t="str">
        <f t="shared" si="117"/>
        <v/>
      </c>
      <c r="S621" s="1" t="str">
        <f t="shared" si="117"/>
        <v/>
      </c>
      <c r="T621" s="421" t="s">
        <v>1139</v>
      </c>
      <c r="U621" s="110" t="s">
        <v>1141</v>
      </c>
      <c r="V621" s="26">
        <v>1</v>
      </c>
      <c r="W621" s="46" t="s">
        <v>114</v>
      </c>
      <c r="X621" s="104" t="s">
        <v>1139</v>
      </c>
      <c r="Y621" s="47"/>
      <c r="Z621" s="21"/>
      <c r="AA621" s="145">
        <v>43</v>
      </c>
      <c r="AB621" s="145"/>
      <c r="AC621" s="76"/>
      <c r="AD621" s="76"/>
      <c r="AE621" s="16" t="s">
        <v>92</v>
      </c>
      <c r="AF621" s="76" t="s">
        <v>92</v>
      </c>
      <c r="AG621" s="41" t="s">
        <v>115</v>
      </c>
      <c r="AH621" s="174" t="s">
        <v>116</v>
      </c>
      <c r="AI621" s="159" t="s">
        <v>884</v>
      </c>
      <c r="AJ621" s="1" t="s">
        <v>98</v>
      </c>
      <c r="AK621" s="1" t="s">
        <v>98</v>
      </c>
      <c r="AL621" s="1" t="s">
        <v>98</v>
      </c>
      <c r="AM621" s="1" t="s">
        <v>98</v>
      </c>
      <c r="AN621" s="174"/>
    </row>
    <row r="622" spans="1:40">
      <c r="A622" s="421" t="s">
        <v>1142</v>
      </c>
      <c r="B622" s="110" t="s">
        <v>1143</v>
      </c>
      <c r="C622" s="26">
        <v>1</v>
      </c>
      <c r="D622" s="46" t="s">
        <v>114</v>
      </c>
      <c r="E622" s="47"/>
      <c r="F622" s="21"/>
      <c r="G622" s="145">
        <v>80</v>
      </c>
      <c r="H622" s="145"/>
      <c r="I622" s="76"/>
      <c r="J622" s="76"/>
      <c r="K622" s="16"/>
      <c r="L622" s="76"/>
      <c r="M622" s="1045" t="s">
        <v>115</v>
      </c>
      <c r="N622" s="1047" t="s">
        <v>3673</v>
      </c>
      <c r="O622" s="1056" t="s">
        <v>884</v>
      </c>
      <c r="P622" s="1" t="str">
        <f t="shared" si="117"/>
        <v/>
      </c>
      <c r="Q622" s="1" t="str">
        <f t="shared" si="117"/>
        <v/>
      </c>
      <c r="R622" s="1" t="str">
        <f t="shared" si="117"/>
        <v/>
      </c>
      <c r="S622" s="1" t="str">
        <f t="shared" si="117"/>
        <v/>
      </c>
      <c r="T622" s="421" t="s">
        <v>1142</v>
      </c>
      <c r="U622" s="110" t="s">
        <v>1144</v>
      </c>
      <c r="V622" s="26">
        <v>1</v>
      </c>
      <c r="W622" s="46" t="s">
        <v>114</v>
      </c>
      <c r="X622" s="104" t="s">
        <v>1142</v>
      </c>
      <c r="Y622" s="47"/>
      <c r="Z622" s="21"/>
      <c r="AA622" s="145">
        <v>80</v>
      </c>
      <c r="AB622" s="145"/>
      <c r="AC622" s="76"/>
      <c r="AD622" s="76"/>
      <c r="AE622" s="16" t="s">
        <v>92</v>
      </c>
      <c r="AF622" s="76" t="s">
        <v>92</v>
      </c>
      <c r="AG622" s="41" t="s">
        <v>115</v>
      </c>
      <c r="AH622" s="174" t="s">
        <v>116</v>
      </c>
      <c r="AI622" s="159" t="s">
        <v>884</v>
      </c>
      <c r="AJ622" s="1" t="s">
        <v>98</v>
      </c>
      <c r="AK622" s="1" t="s">
        <v>98</v>
      </c>
      <c r="AL622" s="1" t="s">
        <v>98</v>
      </c>
      <c r="AM622" s="1" t="s">
        <v>98</v>
      </c>
      <c r="AN622" s="174"/>
    </row>
    <row r="623" spans="1:40">
      <c r="A623" s="421" t="s">
        <v>1145</v>
      </c>
      <c r="B623" s="110" t="s">
        <v>1146</v>
      </c>
      <c r="C623" s="26">
        <v>1</v>
      </c>
      <c r="D623" s="46" t="s">
        <v>114</v>
      </c>
      <c r="E623" s="47"/>
      <c r="F623" s="21"/>
      <c r="G623" s="145">
        <v>103</v>
      </c>
      <c r="H623" s="145"/>
      <c r="I623" s="76"/>
      <c r="J623" s="76"/>
      <c r="K623" s="16"/>
      <c r="L623" s="76"/>
      <c r="M623" s="1045" t="s">
        <v>115</v>
      </c>
      <c r="N623" s="1047" t="s">
        <v>3673</v>
      </c>
      <c r="O623" s="1056" t="s">
        <v>884</v>
      </c>
      <c r="P623" s="1" t="str">
        <f t="shared" si="117"/>
        <v/>
      </c>
      <c r="Q623" s="1" t="str">
        <f t="shared" si="117"/>
        <v/>
      </c>
      <c r="R623" s="1" t="str">
        <f t="shared" si="117"/>
        <v/>
      </c>
      <c r="S623" s="1" t="str">
        <f t="shared" si="117"/>
        <v/>
      </c>
      <c r="T623" s="421" t="s">
        <v>1145</v>
      </c>
      <c r="U623" s="110" t="s">
        <v>1147</v>
      </c>
      <c r="V623" s="26">
        <v>1</v>
      </c>
      <c r="W623" s="46" t="s">
        <v>114</v>
      </c>
      <c r="X623" s="104" t="s">
        <v>1145</v>
      </c>
      <c r="Y623" s="47"/>
      <c r="Z623" s="21"/>
      <c r="AA623" s="145">
        <v>103</v>
      </c>
      <c r="AB623" s="145"/>
      <c r="AC623" s="76"/>
      <c r="AD623" s="76"/>
      <c r="AE623" s="16" t="s">
        <v>92</v>
      </c>
      <c r="AF623" s="76" t="s">
        <v>92</v>
      </c>
      <c r="AG623" s="41" t="s">
        <v>115</v>
      </c>
      <c r="AH623" s="174" t="s">
        <v>116</v>
      </c>
      <c r="AI623" s="159" t="s">
        <v>884</v>
      </c>
      <c r="AJ623" s="1" t="s">
        <v>98</v>
      </c>
      <c r="AK623" s="1" t="s">
        <v>98</v>
      </c>
      <c r="AL623" s="1" t="s">
        <v>98</v>
      </c>
      <c r="AM623" s="1" t="s">
        <v>98</v>
      </c>
      <c r="AN623" s="174"/>
    </row>
    <row r="624" spans="1:40">
      <c r="A624" s="421" t="s">
        <v>1148</v>
      </c>
      <c r="B624" s="110" t="s">
        <v>1149</v>
      </c>
      <c r="C624" s="26">
        <v>1</v>
      </c>
      <c r="D624" s="46" t="s">
        <v>114</v>
      </c>
      <c r="E624" s="47"/>
      <c r="F624" s="21"/>
      <c r="G624" s="145">
        <v>111</v>
      </c>
      <c r="H624" s="145"/>
      <c r="I624" s="76"/>
      <c r="J624" s="76"/>
      <c r="K624" s="16"/>
      <c r="L624" s="76"/>
      <c r="M624" s="1045" t="s">
        <v>115</v>
      </c>
      <c r="N624" s="1047" t="s">
        <v>3673</v>
      </c>
      <c r="O624" s="1056" t="s">
        <v>884</v>
      </c>
      <c r="P624" s="1" t="str">
        <f t="shared" si="117"/>
        <v/>
      </c>
      <c r="Q624" s="1" t="str">
        <f t="shared" si="117"/>
        <v/>
      </c>
      <c r="R624" s="1" t="str">
        <f t="shared" si="117"/>
        <v/>
      </c>
      <c r="S624" s="1" t="str">
        <f t="shared" si="117"/>
        <v/>
      </c>
      <c r="T624" s="421" t="s">
        <v>1148</v>
      </c>
      <c r="U624" s="110" t="s">
        <v>1150</v>
      </c>
      <c r="V624" s="26">
        <v>1</v>
      </c>
      <c r="W624" s="46" t="s">
        <v>114</v>
      </c>
      <c r="X624" s="104" t="s">
        <v>1148</v>
      </c>
      <c r="Y624" s="47"/>
      <c r="Z624" s="21"/>
      <c r="AA624" s="145">
        <v>111</v>
      </c>
      <c r="AB624" s="145"/>
      <c r="AC624" s="76"/>
      <c r="AD624" s="76"/>
      <c r="AE624" s="16" t="s">
        <v>92</v>
      </c>
      <c r="AF624" s="76" t="s">
        <v>92</v>
      </c>
      <c r="AG624" s="41" t="s">
        <v>115</v>
      </c>
      <c r="AH624" s="174" t="s">
        <v>116</v>
      </c>
      <c r="AI624" s="159" t="s">
        <v>884</v>
      </c>
      <c r="AJ624" s="1" t="s">
        <v>98</v>
      </c>
      <c r="AK624" s="1" t="s">
        <v>98</v>
      </c>
      <c r="AL624" s="1" t="s">
        <v>98</v>
      </c>
      <c r="AM624" s="1" t="s">
        <v>98</v>
      </c>
      <c r="AN624" s="174"/>
    </row>
    <row r="625" spans="1:40">
      <c r="A625" s="421" t="s">
        <v>1151</v>
      </c>
      <c r="B625" s="110" t="s">
        <v>1152</v>
      </c>
      <c r="C625" s="26">
        <v>1</v>
      </c>
      <c r="D625" s="46" t="s">
        <v>114</v>
      </c>
      <c r="E625" s="47"/>
      <c r="F625" s="21"/>
      <c r="G625" s="145">
        <v>33</v>
      </c>
      <c r="H625" s="145"/>
      <c r="I625" s="76"/>
      <c r="J625" s="76"/>
      <c r="K625" s="16"/>
      <c r="L625" s="76"/>
      <c r="M625" s="1045" t="s">
        <v>115</v>
      </c>
      <c r="N625" s="1047" t="s">
        <v>3673</v>
      </c>
      <c r="O625" s="1056" t="s">
        <v>884</v>
      </c>
      <c r="P625" s="1" t="str">
        <f t="shared" si="117"/>
        <v/>
      </c>
      <c r="Q625" s="1" t="str">
        <f t="shared" si="117"/>
        <v/>
      </c>
      <c r="R625" s="1" t="str">
        <f t="shared" si="117"/>
        <v/>
      </c>
      <c r="S625" s="1" t="str">
        <f t="shared" si="117"/>
        <v/>
      </c>
      <c r="T625" s="421" t="s">
        <v>1151</v>
      </c>
      <c r="U625" s="110" t="s">
        <v>1152</v>
      </c>
      <c r="V625" s="26">
        <v>1</v>
      </c>
      <c r="W625" s="46" t="s">
        <v>114</v>
      </c>
      <c r="X625" s="104" t="s">
        <v>1151</v>
      </c>
      <c r="Y625" s="47"/>
      <c r="Z625" s="21"/>
      <c r="AA625" s="145">
        <v>33</v>
      </c>
      <c r="AB625" s="145"/>
      <c r="AC625" s="76"/>
      <c r="AD625" s="76"/>
      <c r="AE625" s="16" t="s">
        <v>92</v>
      </c>
      <c r="AF625" s="76" t="s">
        <v>92</v>
      </c>
      <c r="AG625" s="41" t="s">
        <v>115</v>
      </c>
      <c r="AH625" s="174" t="s">
        <v>116</v>
      </c>
      <c r="AI625" s="159" t="s">
        <v>884</v>
      </c>
      <c r="AJ625" s="1" t="s">
        <v>98</v>
      </c>
      <c r="AK625" s="1" t="s">
        <v>98</v>
      </c>
      <c r="AL625" s="1" t="s">
        <v>98</v>
      </c>
      <c r="AM625" s="1" t="s">
        <v>98</v>
      </c>
      <c r="AN625" s="174"/>
    </row>
    <row r="626" spans="1:40">
      <c r="A626" s="421" t="s">
        <v>1153</v>
      </c>
      <c r="B626" s="110" t="s">
        <v>1154</v>
      </c>
      <c r="C626" s="26">
        <v>1</v>
      </c>
      <c r="D626" s="46" t="s">
        <v>114</v>
      </c>
      <c r="E626" s="47"/>
      <c r="F626" s="21"/>
      <c r="G626" s="145">
        <v>81</v>
      </c>
      <c r="H626" s="145"/>
      <c r="I626" s="76"/>
      <c r="J626" s="76"/>
      <c r="K626" s="16"/>
      <c r="L626" s="76"/>
      <c r="M626" s="1045" t="s">
        <v>115</v>
      </c>
      <c r="N626" s="1047" t="s">
        <v>3673</v>
      </c>
      <c r="O626" s="1056" t="s">
        <v>884</v>
      </c>
      <c r="P626" s="1" t="str">
        <f t="shared" si="117"/>
        <v/>
      </c>
      <c r="Q626" s="1" t="str">
        <f t="shared" si="117"/>
        <v/>
      </c>
      <c r="R626" s="1" t="str">
        <f t="shared" si="117"/>
        <v/>
      </c>
      <c r="S626" s="1" t="str">
        <f t="shared" si="117"/>
        <v/>
      </c>
      <c r="T626" s="421" t="s">
        <v>1153</v>
      </c>
      <c r="U626" s="110" t="s">
        <v>1154</v>
      </c>
      <c r="V626" s="26">
        <v>1</v>
      </c>
      <c r="W626" s="46" t="s">
        <v>114</v>
      </c>
      <c r="X626" s="104" t="s">
        <v>1153</v>
      </c>
      <c r="Y626" s="47"/>
      <c r="Z626" s="21"/>
      <c r="AA626" s="145">
        <v>81</v>
      </c>
      <c r="AB626" s="145"/>
      <c r="AC626" s="76"/>
      <c r="AD626" s="76"/>
      <c r="AE626" s="16" t="s">
        <v>92</v>
      </c>
      <c r="AF626" s="76" t="s">
        <v>92</v>
      </c>
      <c r="AG626" s="41" t="s">
        <v>115</v>
      </c>
      <c r="AH626" s="174" t="s">
        <v>116</v>
      </c>
      <c r="AI626" s="159" t="s">
        <v>884</v>
      </c>
      <c r="AJ626" s="1" t="s">
        <v>98</v>
      </c>
      <c r="AK626" s="1" t="s">
        <v>98</v>
      </c>
      <c r="AL626" s="1" t="s">
        <v>98</v>
      </c>
      <c r="AM626" s="1" t="s">
        <v>98</v>
      </c>
      <c r="AN626" s="174"/>
    </row>
    <row r="627" spans="1:40">
      <c r="A627" s="421" t="s">
        <v>1155</v>
      </c>
      <c r="B627" s="110" t="s">
        <v>1156</v>
      </c>
      <c r="C627" s="26">
        <v>1</v>
      </c>
      <c r="D627" s="46" t="s">
        <v>114</v>
      </c>
      <c r="E627" s="47"/>
      <c r="F627" s="21"/>
      <c r="G627" s="145">
        <v>108</v>
      </c>
      <c r="H627" s="145"/>
      <c r="I627" s="76"/>
      <c r="J627" s="76"/>
      <c r="K627" s="16"/>
      <c r="L627" s="76"/>
      <c r="M627" s="1045" t="s">
        <v>115</v>
      </c>
      <c r="N627" s="1047" t="s">
        <v>3673</v>
      </c>
      <c r="O627" s="1056" t="s">
        <v>884</v>
      </c>
      <c r="P627" s="1" t="str">
        <f t="shared" si="117"/>
        <v/>
      </c>
      <c r="Q627" s="1" t="str">
        <f t="shared" si="117"/>
        <v/>
      </c>
      <c r="R627" s="1" t="str">
        <f t="shared" si="117"/>
        <v/>
      </c>
      <c r="S627" s="1" t="str">
        <f t="shared" si="117"/>
        <v/>
      </c>
      <c r="T627" s="421" t="s">
        <v>1155</v>
      </c>
      <c r="U627" s="110" t="s">
        <v>1156</v>
      </c>
      <c r="V627" s="26">
        <v>1</v>
      </c>
      <c r="W627" s="46" t="s">
        <v>114</v>
      </c>
      <c r="X627" s="104" t="s">
        <v>1155</v>
      </c>
      <c r="Y627" s="47"/>
      <c r="Z627" s="21"/>
      <c r="AA627" s="145">
        <v>108</v>
      </c>
      <c r="AB627" s="145"/>
      <c r="AC627" s="76"/>
      <c r="AD627" s="76"/>
      <c r="AE627" s="16" t="s">
        <v>92</v>
      </c>
      <c r="AF627" s="76" t="s">
        <v>92</v>
      </c>
      <c r="AG627" s="41" t="s">
        <v>115</v>
      </c>
      <c r="AH627" s="174" t="s">
        <v>116</v>
      </c>
      <c r="AI627" s="159" t="s">
        <v>884</v>
      </c>
      <c r="AJ627" s="1" t="s">
        <v>98</v>
      </c>
      <c r="AK627" s="1" t="s">
        <v>98</v>
      </c>
      <c r="AL627" s="1" t="s">
        <v>98</v>
      </c>
      <c r="AM627" s="1" t="s">
        <v>98</v>
      </c>
      <c r="AN627" s="174"/>
    </row>
    <row r="628" spans="1:40">
      <c r="A628" s="421" t="s">
        <v>1157</v>
      </c>
      <c r="B628" s="110" t="s">
        <v>1158</v>
      </c>
      <c r="C628" s="26">
        <v>1</v>
      </c>
      <c r="D628" s="46" t="s">
        <v>114</v>
      </c>
      <c r="E628" s="47"/>
      <c r="F628" s="21"/>
      <c r="G628" s="145">
        <v>143</v>
      </c>
      <c r="H628" s="145"/>
      <c r="I628" s="76"/>
      <c r="J628" s="76"/>
      <c r="K628" s="16"/>
      <c r="L628" s="76"/>
      <c r="M628" s="1045" t="s">
        <v>115</v>
      </c>
      <c r="N628" s="1047" t="s">
        <v>3673</v>
      </c>
      <c r="O628" s="1056" t="s">
        <v>884</v>
      </c>
      <c r="P628" s="1" t="str">
        <f t="shared" si="117"/>
        <v/>
      </c>
      <c r="Q628" s="1" t="str">
        <f t="shared" si="117"/>
        <v/>
      </c>
      <c r="R628" s="1" t="str">
        <f t="shared" si="117"/>
        <v/>
      </c>
      <c r="S628" s="1" t="str">
        <f t="shared" si="117"/>
        <v/>
      </c>
      <c r="T628" s="421" t="s">
        <v>1157</v>
      </c>
      <c r="U628" s="110" t="s">
        <v>1158</v>
      </c>
      <c r="V628" s="26">
        <v>1</v>
      </c>
      <c r="W628" s="46" t="s">
        <v>114</v>
      </c>
      <c r="X628" s="104" t="s">
        <v>1157</v>
      </c>
      <c r="Y628" s="47"/>
      <c r="Z628" s="21"/>
      <c r="AA628" s="145">
        <v>143</v>
      </c>
      <c r="AB628" s="145"/>
      <c r="AC628" s="76"/>
      <c r="AD628" s="76"/>
      <c r="AE628" s="16" t="s">
        <v>92</v>
      </c>
      <c r="AF628" s="76" t="s">
        <v>92</v>
      </c>
      <c r="AG628" s="41" t="s">
        <v>115</v>
      </c>
      <c r="AH628" s="174" t="s">
        <v>116</v>
      </c>
      <c r="AI628" s="159" t="s">
        <v>884</v>
      </c>
      <c r="AJ628" s="1" t="s">
        <v>98</v>
      </c>
      <c r="AK628" s="1" t="s">
        <v>98</v>
      </c>
      <c r="AL628" s="1" t="s">
        <v>98</v>
      </c>
      <c r="AM628" s="1" t="s">
        <v>98</v>
      </c>
      <c r="AN628" s="174"/>
    </row>
    <row r="629" spans="1:40" s="125" customFormat="1">
      <c r="A629" s="424" t="s">
        <v>1159</v>
      </c>
      <c r="B629" s="1026" t="s">
        <v>1160</v>
      </c>
      <c r="C629" s="175">
        <v>1</v>
      </c>
      <c r="D629" s="52" t="s">
        <v>114</v>
      </c>
      <c r="E629" s="53"/>
      <c r="F629" s="56"/>
      <c r="G629" s="180">
        <v>331</v>
      </c>
      <c r="H629" s="180"/>
      <c r="I629" s="178"/>
      <c r="J629" s="178"/>
      <c r="K629" s="53"/>
      <c r="L629" s="178"/>
      <c r="M629" s="1045" t="s">
        <v>115</v>
      </c>
      <c r="N629" s="1047" t="s">
        <v>3673</v>
      </c>
      <c r="O629" s="1057" t="s">
        <v>884</v>
      </c>
      <c r="P629" s="1" t="str">
        <f t="shared" si="117"/>
        <v/>
      </c>
      <c r="Q629" s="1" t="str">
        <f t="shared" si="117"/>
        <v/>
      </c>
      <c r="R629" s="1" t="str">
        <f t="shared" si="117"/>
        <v/>
      </c>
      <c r="S629" s="1" t="str">
        <f t="shared" si="117"/>
        <v/>
      </c>
      <c r="T629" s="424" t="s">
        <v>1159</v>
      </c>
      <c r="U629" s="1026" t="s">
        <v>1160</v>
      </c>
      <c r="V629" s="175">
        <v>1</v>
      </c>
      <c r="W629" s="52" t="s">
        <v>114</v>
      </c>
      <c r="X629" s="274" t="s">
        <v>1159</v>
      </c>
      <c r="Y629" s="53"/>
      <c r="Z629" s="56"/>
      <c r="AA629" s="180">
        <v>331</v>
      </c>
      <c r="AB629" s="180"/>
      <c r="AC629" s="178"/>
      <c r="AD629" s="178"/>
      <c r="AE629" s="53" t="s">
        <v>92</v>
      </c>
      <c r="AF629" s="178" t="s">
        <v>92</v>
      </c>
      <c r="AG629" s="41" t="s">
        <v>115</v>
      </c>
      <c r="AH629" s="182" t="s">
        <v>116</v>
      </c>
      <c r="AI629" s="179" t="s">
        <v>884</v>
      </c>
      <c r="AJ629" s="1" t="s">
        <v>98</v>
      </c>
      <c r="AK629" s="1" t="s">
        <v>98</v>
      </c>
      <c r="AL629" s="1" t="s">
        <v>98</v>
      </c>
      <c r="AM629" s="1" t="s">
        <v>98</v>
      </c>
      <c r="AN629" s="182"/>
    </row>
    <row r="630" spans="1:40">
      <c r="A630" s="421" t="s">
        <v>1161</v>
      </c>
      <c r="B630" s="110" t="s">
        <v>1162</v>
      </c>
      <c r="C630" s="26">
        <v>1</v>
      </c>
      <c r="D630" s="46" t="s">
        <v>114</v>
      </c>
      <c r="E630" s="47"/>
      <c r="F630" s="21"/>
      <c r="G630" s="145">
        <v>641</v>
      </c>
      <c r="H630" s="145"/>
      <c r="I630" s="76"/>
      <c r="J630" s="76"/>
      <c r="K630" s="16"/>
      <c r="L630" s="76"/>
      <c r="M630" s="1045" t="s">
        <v>115</v>
      </c>
      <c r="N630" s="1047" t="s">
        <v>3673</v>
      </c>
      <c r="O630" s="1056" t="s">
        <v>884</v>
      </c>
      <c r="P630" s="1" t="str">
        <f t="shared" si="117"/>
        <v/>
      </c>
      <c r="Q630" s="1" t="str">
        <f t="shared" si="117"/>
        <v/>
      </c>
      <c r="R630" s="1" t="str">
        <f t="shared" si="117"/>
        <v/>
      </c>
      <c r="S630" s="1" t="str">
        <f t="shared" si="117"/>
        <v/>
      </c>
      <c r="T630" s="421" t="s">
        <v>1161</v>
      </c>
      <c r="U630" s="110" t="s">
        <v>1162</v>
      </c>
      <c r="V630" s="26">
        <v>1</v>
      </c>
      <c r="W630" s="46" t="s">
        <v>114</v>
      </c>
      <c r="X630" s="104" t="s">
        <v>1161</v>
      </c>
      <c r="Y630" s="47"/>
      <c r="Z630" s="21"/>
      <c r="AA630" s="145">
        <v>641</v>
      </c>
      <c r="AB630" s="145"/>
      <c r="AC630" s="76"/>
      <c r="AD630" s="76"/>
      <c r="AE630" s="16" t="s">
        <v>92</v>
      </c>
      <c r="AF630" s="76" t="s">
        <v>92</v>
      </c>
      <c r="AG630" s="41" t="s">
        <v>115</v>
      </c>
      <c r="AH630" s="174" t="s">
        <v>116</v>
      </c>
      <c r="AI630" s="159" t="s">
        <v>884</v>
      </c>
      <c r="AJ630" s="1" t="s">
        <v>98</v>
      </c>
      <c r="AK630" s="1" t="s">
        <v>98</v>
      </c>
      <c r="AL630" s="1" t="s">
        <v>98</v>
      </c>
      <c r="AM630" s="1" t="s">
        <v>98</v>
      </c>
      <c r="AN630" s="174"/>
    </row>
    <row r="631" spans="1:40">
      <c r="A631" s="421" t="s">
        <v>1163</v>
      </c>
      <c r="B631" s="110" t="s">
        <v>1164</v>
      </c>
      <c r="C631" s="26">
        <v>1</v>
      </c>
      <c r="D631" s="123" t="s">
        <v>114</v>
      </c>
      <c r="E631" s="47"/>
      <c r="F631" s="21"/>
      <c r="G631" s="27">
        <v>1592.16</v>
      </c>
      <c r="H631" s="145"/>
      <c r="I631" s="76"/>
      <c r="J631" s="76"/>
      <c r="K631" s="16"/>
      <c r="L631" s="76"/>
      <c r="M631" s="1045" t="s">
        <v>115</v>
      </c>
      <c r="N631" s="1047" t="s">
        <v>3673</v>
      </c>
      <c r="O631" s="1056" t="s">
        <v>117</v>
      </c>
      <c r="P631" s="1" t="str">
        <f t="shared" si="117"/>
        <v/>
      </c>
      <c r="Q631" s="1" t="str">
        <f t="shared" si="117"/>
        <v/>
      </c>
      <c r="R631" s="1" t="str">
        <f t="shared" si="117"/>
        <v/>
      </c>
      <c r="S631" s="1" t="str">
        <f t="shared" si="117"/>
        <v/>
      </c>
      <c r="T631" s="421" t="s">
        <v>1163</v>
      </c>
      <c r="U631" s="110" t="s">
        <v>1164</v>
      </c>
      <c r="V631" s="26">
        <v>1</v>
      </c>
      <c r="W631" s="123" t="s">
        <v>114</v>
      </c>
      <c r="X631" s="104" t="s">
        <v>1163</v>
      </c>
      <c r="Y631" s="47"/>
      <c r="Z631" s="21"/>
      <c r="AA631" s="27">
        <v>1592.16</v>
      </c>
      <c r="AB631" s="145"/>
      <c r="AC631" s="76"/>
      <c r="AD631" s="76"/>
      <c r="AE631" s="16" t="s">
        <v>92</v>
      </c>
      <c r="AF631" s="76" t="s">
        <v>92</v>
      </c>
      <c r="AG631" s="41" t="s">
        <v>115</v>
      </c>
      <c r="AH631" s="174" t="s">
        <v>116</v>
      </c>
      <c r="AI631" s="159" t="s">
        <v>117</v>
      </c>
      <c r="AJ631" s="1" t="s">
        <v>98</v>
      </c>
      <c r="AK631" s="1" t="s">
        <v>98</v>
      </c>
      <c r="AL631" s="1" t="s">
        <v>98</v>
      </c>
      <c r="AM631" s="1" t="s">
        <v>98</v>
      </c>
      <c r="AN631" s="174"/>
    </row>
    <row r="632" spans="1:40" s="862" customFormat="1" ht="20.100000000000001" customHeight="1">
      <c r="A632" s="1074" t="s">
        <v>3684</v>
      </c>
      <c r="B632" s="1075" t="s">
        <v>3685</v>
      </c>
      <c r="C632" s="878"/>
      <c r="D632" s="879"/>
      <c r="E632" s="879"/>
      <c r="F632" s="880"/>
      <c r="G632" s="881"/>
      <c r="H632" s="893"/>
      <c r="I632" s="883"/>
      <c r="J632" s="883"/>
      <c r="K632" s="881"/>
      <c r="L632" s="869"/>
      <c r="M632" s="869"/>
      <c r="N632" s="1028"/>
      <c r="O632" s="869"/>
      <c r="P632" s="869"/>
      <c r="Q632" s="869"/>
      <c r="R632" s="869"/>
      <c r="S632" s="887"/>
      <c r="T632" s="848" t="s">
        <v>1293</v>
      </c>
      <c r="U632" s="849"/>
      <c r="V632" s="850"/>
      <c r="W632" s="851"/>
      <c r="X632" s="852"/>
      <c r="Y632" s="853"/>
      <c r="Z632" s="854"/>
      <c r="AA632" s="853"/>
      <c r="AB632" s="855"/>
      <c r="AC632" s="856"/>
      <c r="AD632" s="856"/>
      <c r="AE632" s="855"/>
      <c r="AF632" s="857"/>
      <c r="AG632" s="858"/>
      <c r="AH632" s="859"/>
      <c r="AI632" s="859"/>
      <c r="AJ632" s="860" t="s">
        <v>98</v>
      </c>
      <c r="AK632" s="860" t="s">
        <v>98</v>
      </c>
      <c r="AL632" s="860" t="s">
        <v>98</v>
      </c>
      <c r="AM632" s="860" t="s">
        <v>98</v>
      </c>
      <c r="AN632" s="861"/>
    </row>
    <row r="633" spans="1:40">
      <c r="A633" s="425" t="s">
        <v>1294</v>
      </c>
      <c r="B633" s="70" t="s">
        <v>1295</v>
      </c>
      <c r="C633" s="190">
        <v>1</v>
      </c>
      <c r="D633" s="191" t="s">
        <v>90</v>
      </c>
      <c r="E633" s="85">
        <v>536.91999999999996</v>
      </c>
      <c r="F633" s="192">
        <f>rv_ipm</f>
        <v>0.1065</v>
      </c>
      <c r="G633" s="201">
        <f>E633-(E633*F633)</f>
        <v>479.73801999999995</v>
      </c>
      <c r="H633" s="190" t="s">
        <v>1296</v>
      </c>
      <c r="I633" s="91">
        <v>25</v>
      </c>
      <c r="J633" s="194">
        <f>G633+I633</f>
        <v>504.73801999999995</v>
      </c>
      <c r="K633" s="194">
        <v>12</v>
      </c>
      <c r="L633" s="91">
        <v>0.25</v>
      </c>
      <c r="M633" s="1045" t="s">
        <v>1297</v>
      </c>
      <c r="N633" s="1046" t="s">
        <v>3672</v>
      </c>
      <c r="O633" s="1058" t="s">
        <v>95</v>
      </c>
      <c r="P633" s="1">
        <f t="shared" ref="P633:S649" si="118">+IF($J633&lt;&gt;"",P$2*$J633,"")</f>
        <v>101.6081785146939</v>
      </c>
      <c r="Q633" s="1">
        <f t="shared" si="118"/>
        <v>52.806426640736817</v>
      </c>
      <c r="R633" s="1">
        <f t="shared" si="118"/>
        <v>38.351735690769026</v>
      </c>
      <c r="S633" s="1">
        <f t="shared" si="118"/>
        <v>33.095108026990097</v>
      </c>
      <c r="T633" s="425" t="s">
        <v>1294</v>
      </c>
      <c r="U633" s="70" t="s">
        <v>1295</v>
      </c>
      <c r="V633" s="190">
        <v>1</v>
      </c>
      <c r="W633" s="191" t="s">
        <v>90</v>
      </c>
      <c r="X633" s="254" t="s">
        <v>1294</v>
      </c>
      <c r="Y633" s="85">
        <v>536.91999999999996</v>
      </c>
      <c r="Z633" s="192">
        <v>0.1065</v>
      </c>
      <c r="AA633" s="201">
        <v>479.73801999999995</v>
      </c>
      <c r="AB633" s="190" t="s">
        <v>1296</v>
      </c>
      <c r="AC633" s="91">
        <v>25</v>
      </c>
      <c r="AD633" s="194">
        <v>504.73801999999995</v>
      </c>
      <c r="AE633" s="194">
        <v>12</v>
      </c>
      <c r="AF633" s="91">
        <v>0.25</v>
      </c>
      <c r="AG633" s="41" t="s">
        <v>1297</v>
      </c>
      <c r="AH633" s="42" t="s">
        <v>1298</v>
      </c>
      <c r="AI633" s="42" t="s">
        <v>95</v>
      </c>
      <c r="AJ633" s="1">
        <v>101.6081785146939</v>
      </c>
      <c r="AK633" s="1">
        <v>52.806426640736817</v>
      </c>
      <c r="AL633" s="1">
        <v>38.351735690769026</v>
      </c>
      <c r="AM633" s="1">
        <v>33.095108026990097</v>
      </c>
      <c r="AN633" s="185"/>
    </row>
    <row r="634" spans="1:40">
      <c r="A634" s="425" t="s">
        <v>1299</v>
      </c>
      <c r="B634" s="70" t="s">
        <v>1300</v>
      </c>
      <c r="C634" s="190">
        <v>1</v>
      </c>
      <c r="D634" s="191" t="s">
        <v>90</v>
      </c>
      <c r="E634" s="85">
        <v>701.58</v>
      </c>
      <c r="F634" s="192">
        <f>rv_ipm</f>
        <v>0.1065</v>
      </c>
      <c r="G634" s="201">
        <f>E634-(E634*F634)</f>
        <v>626.86173000000008</v>
      </c>
      <c r="H634" s="190" t="s">
        <v>1296</v>
      </c>
      <c r="I634" s="91" cm="1">
        <f t="array" ref="I634">ipm_5pl</f>
        <v>25</v>
      </c>
      <c r="J634" s="194">
        <f>G634+I634</f>
        <v>651.86173000000008</v>
      </c>
      <c r="K634" s="194">
        <v>14</v>
      </c>
      <c r="L634" s="194">
        <v>0.25</v>
      </c>
      <c r="M634" s="1045" t="s">
        <v>1301</v>
      </c>
      <c r="N634" s="1047" t="s">
        <v>3672</v>
      </c>
      <c r="O634" s="1059" t="s">
        <v>95</v>
      </c>
      <c r="P634" s="1">
        <f t="shared" si="118"/>
        <v>131.22546827111859</v>
      </c>
      <c r="Q634" s="1">
        <f t="shared" si="118"/>
        <v>68.19872341922806</v>
      </c>
      <c r="R634" s="1">
        <f t="shared" si="118"/>
        <v>49.530702632402154</v>
      </c>
      <c r="S634" s="1">
        <f t="shared" si="118"/>
        <v>42.741845310188161</v>
      </c>
      <c r="T634" s="425" t="s">
        <v>1299</v>
      </c>
      <c r="U634" s="70" t="s">
        <v>1300</v>
      </c>
      <c r="V634" s="190">
        <v>1</v>
      </c>
      <c r="W634" s="191" t="s">
        <v>90</v>
      </c>
      <c r="X634" s="254" t="s">
        <v>1299</v>
      </c>
      <c r="Y634" s="85">
        <v>701.58</v>
      </c>
      <c r="Z634" s="192">
        <v>0.1065</v>
      </c>
      <c r="AA634" s="201">
        <v>626.86173000000008</v>
      </c>
      <c r="AB634" s="190" t="s">
        <v>1296</v>
      </c>
      <c r="AC634" s="91">
        <v>25</v>
      </c>
      <c r="AD634" s="194">
        <v>651.86173000000008</v>
      </c>
      <c r="AE634" s="194">
        <v>14</v>
      </c>
      <c r="AF634" s="194">
        <v>0.25</v>
      </c>
      <c r="AG634" s="41" t="s">
        <v>1301</v>
      </c>
      <c r="AH634" s="42" t="s">
        <v>1298</v>
      </c>
      <c r="AI634" s="42" t="s">
        <v>95</v>
      </c>
      <c r="AJ634" s="1">
        <v>131.22546827111859</v>
      </c>
      <c r="AK634" s="1">
        <v>68.19872341922806</v>
      </c>
      <c r="AL634" s="1">
        <v>49.530702632402154</v>
      </c>
      <c r="AM634" s="1">
        <v>42.741845310188161</v>
      </c>
      <c r="AN634" s="174"/>
    </row>
    <row r="635" spans="1:40">
      <c r="A635" s="425" t="s">
        <v>1302</v>
      </c>
      <c r="B635" s="70" t="s">
        <v>1303</v>
      </c>
      <c r="C635" s="190">
        <v>1</v>
      </c>
      <c r="D635" s="191" t="s">
        <v>90</v>
      </c>
      <c r="E635" s="85">
        <v>703.58</v>
      </c>
      <c r="F635" s="192">
        <f>rv_ipm</f>
        <v>0.1065</v>
      </c>
      <c r="G635" s="201">
        <f>E635-(E635*F635)</f>
        <v>628.64873</v>
      </c>
      <c r="H635" s="190" t="s">
        <v>1296</v>
      </c>
      <c r="I635" s="91">
        <f>ipm_5pl</f>
        <v>25</v>
      </c>
      <c r="J635" s="194">
        <f>G635+I635</f>
        <v>653.64873</v>
      </c>
      <c r="K635" s="194">
        <v>12</v>
      </c>
      <c r="L635" s="194">
        <v>0.25</v>
      </c>
      <c r="M635" s="1045" t="s">
        <v>1304</v>
      </c>
      <c r="N635" s="1047" t="s">
        <v>3672</v>
      </c>
      <c r="O635" s="1059" t="s">
        <v>95</v>
      </c>
      <c r="P635" s="1">
        <f t="shared" si="118"/>
        <v>131.58520700252174</v>
      </c>
      <c r="Q635" s="1">
        <f t="shared" si="118"/>
        <v>68.385681961417916</v>
      </c>
      <c r="R635" s="1">
        <f t="shared" si="118"/>
        <v>49.666485056082855</v>
      </c>
      <c r="S635" s="1">
        <f t="shared" si="118"/>
        <v>42.859016903570861</v>
      </c>
      <c r="T635" s="425" t="s">
        <v>1302</v>
      </c>
      <c r="U635" s="70" t="s">
        <v>1303</v>
      </c>
      <c r="V635" s="190">
        <v>1</v>
      </c>
      <c r="W635" s="191" t="s">
        <v>90</v>
      </c>
      <c r="X635" s="254" t="s">
        <v>1302</v>
      </c>
      <c r="Y635" s="85">
        <v>703.58</v>
      </c>
      <c r="Z635" s="192">
        <v>0.1065</v>
      </c>
      <c r="AA635" s="201">
        <v>628.64873</v>
      </c>
      <c r="AB635" s="190" t="s">
        <v>1296</v>
      </c>
      <c r="AC635" s="91">
        <v>25</v>
      </c>
      <c r="AD635" s="194">
        <v>653.64873</v>
      </c>
      <c r="AE635" s="194">
        <v>12</v>
      </c>
      <c r="AF635" s="194">
        <v>0.25</v>
      </c>
      <c r="AG635" s="41" t="s">
        <v>1304</v>
      </c>
      <c r="AH635" s="42" t="s">
        <v>1298</v>
      </c>
      <c r="AI635" s="42" t="s">
        <v>95</v>
      </c>
      <c r="AJ635" s="1">
        <v>131.58520700252174</v>
      </c>
      <c r="AK635" s="1">
        <v>68.385681961417916</v>
      </c>
      <c r="AL635" s="1">
        <v>49.666485056082855</v>
      </c>
      <c r="AM635" s="1">
        <v>42.859016903570861</v>
      </c>
      <c r="AN635" s="174"/>
    </row>
    <row r="636" spans="1:40">
      <c r="A636" s="425" t="s">
        <v>1305</v>
      </c>
      <c r="B636" s="70" t="s">
        <v>1306</v>
      </c>
      <c r="C636" s="190">
        <v>1</v>
      </c>
      <c r="D636" s="191" t="s">
        <v>90</v>
      </c>
      <c r="E636" s="85">
        <v>868.25</v>
      </c>
      <c r="F636" s="192">
        <f>rv_ipm</f>
        <v>0.1065</v>
      </c>
      <c r="G636" s="201">
        <f>E636-(E636*F636)</f>
        <v>775.78137500000003</v>
      </c>
      <c r="H636" s="190" t="s">
        <v>1296</v>
      </c>
      <c r="I636" s="91">
        <f>ipm_5pl</f>
        <v>25</v>
      </c>
      <c r="J636" s="194">
        <f>G636+I636</f>
        <v>800.78137500000003</v>
      </c>
      <c r="K636" s="194">
        <v>14</v>
      </c>
      <c r="L636" s="194">
        <v>0.25</v>
      </c>
      <c r="M636" s="1045" t="s">
        <v>1307</v>
      </c>
      <c r="N636" s="1047" t="s">
        <v>3672</v>
      </c>
      <c r="O636" s="1059" t="s">
        <v>95</v>
      </c>
      <c r="P636" s="1">
        <f t="shared" si="118"/>
        <v>161.20429545260342</v>
      </c>
      <c r="Q636" s="1">
        <f t="shared" si="118"/>
        <v>83.778913532620081</v>
      </c>
      <c r="R636" s="1">
        <f t="shared" si="118"/>
        <v>60.846130909834372</v>
      </c>
      <c r="S636" s="1">
        <f t="shared" si="118"/>
        <v>52.506340044735829</v>
      </c>
      <c r="T636" s="425" t="s">
        <v>1305</v>
      </c>
      <c r="U636" s="70" t="s">
        <v>1306</v>
      </c>
      <c r="V636" s="190">
        <v>1</v>
      </c>
      <c r="W636" s="191" t="s">
        <v>90</v>
      </c>
      <c r="X636" s="254" t="s">
        <v>1305</v>
      </c>
      <c r="Y636" s="85">
        <v>868.25</v>
      </c>
      <c r="Z636" s="192">
        <v>0.1065</v>
      </c>
      <c r="AA636" s="201">
        <v>775.78137500000003</v>
      </c>
      <c r="AB636" s="190" t="s">
        <v>1296</v>
      </c>
      <c r="AC636" s="91">
        <v>25</v>
      </c>
      <c r="AD636" s="194">
        <v>800.78137500000003</v>
      </c>
      <c r="AE636" s="194">
        <v>14</v>
      </c>
      <c r="AF636" s="194">
        <v>0.25</v>
      </c>
      <c r="AG636" s="41" t="s">
        <v>1307</v>
      </c>
      <c r="AH636" s="42" t="s">
        <v>1298</v>
      </c>
      <c r="AI636" s="42" t="s">
        <v>95</v>
      </c>
      <c r="AJ636" s="1">
        <v>161.20429545260342</v>
      </c>
      <c r="AK636" s="1">
        <v>83.778913532620081</v>
      </c>
      <c r="AL636" s="1">
        <v>60.846130909834372</v>
      </c>
      <c r="AM636" s="1">
        <v>52.506340044735829</v>
      </c>
      <c r="AN636" s="174"/>
    </row>
    <row r="637" spans="1:40" s="127" customFormat="1">
      <c r="A637" s="465" t="s">
        <v>1296</v>
      </c>
      <c r="B637" s="211" t="s">
        <v>1308</v>
      </c>
      <c r="C637" s="153">
        <v>1</v>
      </c>
      <c r="D637" s="212" t="s">
        <v>114</v>
      </c>
      <c r="E637" s="601">
        <v>27.98</v>
      </c>
      <c r="F637" s="214">
        <v>0.1065</v>
      </c>
      <c r="G637" s="107">
        <f>E637-(E637*F637)</f>
        <v>25.000129999999999</v>
      </c>
      <c r="H637" s="153"/>
      <c r="I637" s="219"/>
      <c r="J637" s="219"/>
      <c r="K637" s="220"/>
      <c r="L637" s="269"/>
      <c r="M637" s="1045" t="s">
        <v>115</v>
      </c>
      <c r="N637" s="1047" t="s">
        <v>3673</v>
      </c>
      <c r="O637" s="1062"/>
      <c r="P637" s="1" t="str">
        <f t="shared" si="118"/>
        <v/>
      </c>
      <c r="Q637" s="1" t="str">
        <f t="shared" si="118"/>
        <v/>
      </c>
      <c r="R637" s="1" t="str">
        <f t="shared" si="118"/>
        <v/>
      </c>
      <c r="S637" s="1" t="str">
        <f t="shared" si="118"/>
        <v/>
      </c>
      <c r="T637" s="465" t="s">
        <v>1296</v>
      </c>
      <c r="U637" s="211" t="s">
        <v>1308</v>
      </c>
      <c r="V637" s="153">
        <v>1</v>
      </c>
      <c r="W637" s="212" t="s">
        <v>114</v>
      </c>
      <c r="X637" s="440" t="s">
        <v>1296</v>
      </c>
      <c r="Y637" s="601">
        <v>27.98</v>
      </c>
      <c r="Z637" s="214">
        <v>0.1065</v>
      </c>
      <c r="AA637" s="107">
        <v>25.000129999999999</v>
      </c>
      <c r="AB637" s="153"/>
      <c r="AC637" s="219"/>
      <c r="AD637" s="219"/>
      <c r="AE637" s="220" t="s">
        <v>92</v>
      </c>
      <c r="AF637" s="269"/>
      <c r="AG637" s="41" t="s">
        <v>115</v>
      </c>
      <c r="AH637" s="183"/>
      <c r="AI637" s="158"/>
      <c r="AJ637" s="1" t="s">
        <v>98</v>
      </c>
      <c r="AK637" s="1" t="s">
        <v>98</v>
      </c>
      <c r="AL637" s="1" t="s">
        <v>98</v>
      </c>
      <c r="AM637" s="1" t="s">
        <v>98</v>
      </c>
      <c r="AN637" s="183"/>
    </row>
    <row r="638" spans="1:40">
      <c r="A638" s="421" t="s">
        <v>1309</v>
      </c>
      <c r="B638" s="110" t="s">
        <v>1310</v>
      </c>
      <c r="C638" s="26">
        <v>1</v>
      </c>
      <c r="D638" s="46" t="s">
        <v>114</v>
      </c>
      <c r="E638" s="47"/>
      <c r="F638" s="21"/>
      <c r="G638" s="145">
        <v>6</v>
      </c>
      <c r="H638" s="71"/>
      <c r="I638" s="76"/>
      <c r="J638" s="76"/>
      <c r="K638" s="16"/>
      <c r="L638" s="76"/>
      <c r="M638" s="1045" t="s">
        <v>115</v>
      </c>
      <c r="N638" s="1047" t="s">
        <v>3673</v>
      </c>
      <c r="O638" s="1056" t="s">
        <v>117</v>
      </c>
      <c r="P638" s="1" t="str">
        <f t="shared" si="118"/>
        <v/>
      </c>
      <c r="Q638" s="1" t="str">
        <f t="shared" si="118"/>
        <v/>
      </c>
      <c r="R638" s="1" t="str">
        <f t="shared" si="118"/>
        <v/>
      </c>
      <c r="S638" s="1" t="str">
        <f t="shared" si="118"/>
        <v/>
      </c>
      <c r="T638" s="421" t="s">
        <v>1309</v>
      </c>
      <c r="U638" s="110" t="s">
        <v>1310</v>
      </c>
      <c r="V638" s="26">
        <v>1</v>
      </c>
      <c r="W638" s="46" t="s">
        <v>114</v>
      </c>
      <c r="X638" s="104" t="s">
        <v>1309</v>
      </c>
      <c r="Y638" s="47"/>
      <c r="Z638" s="21"/>
      <c r="AA638" s="145">
        <v>6</v>
      </c>
      <c r="AB638" s="71"/>
      <c r="AC638" s="76"/>
      <c r="AD638" s="76"/>
      <c r="AE638" s="16" t="s">
        <v>92</v>
      </c>
      <c r="AF638" s="76" t="s">
        <v>92</v>
      </c>
      <c r="AG638" s="41" t="s">
        <v>115</v>
      </c>
      <c r="AH638" s="174" t="s">
        <v>116</v>
      </c>
      <c r="AI638" s="159" t="s">
        <v>117</v>
      </c>
      <c r="AJ638" s="1" t="s">
        <v>98</v>
      </c>
      <c r="AK638" s="1" t="s">
        <v>98</v>
      </c>
      <c r="AL638" s="1" t="s">
        <v>98</v>
      </c>
      <c r="AM638" s="1" t="s">
        <v>98</v>
      </c>
      <c r="AN638" s="174"/>
    </row>
    <row r="639" spans="1:40">
      <c r="A639" s="421" t="s">
        <v>1311</v>
      </c>
      <c r="B639" s="110" t="s">
        <v>1312</v>
      </c>
      <c r="C639" s="26">
        <v>1</v>
      </c>
      <c r="D639" s="46" t="s">
        <v>114</v>
      </c>
      <c r="E639" s="47"/>
      <c r="F639" s="21"/>
      <c r="G639" s="145">
        <v>8</v>
      </c>
      <c r="H639" s="71"/>
      <c r="I639" s="76"/>
      <c r="J639" s="76"/>
      <c r="K639" s="16"/>
      <c r="L639" s="76"/>
      <c r="M639" s="1045" t="s">
        <v>115</v>
      </c>
      <c r="N639" s="1047" t="s">
        <v>3673</v>
      </c>
      <c r="O639" s="1056" t="s">
        <v>117</v>
      </c>
      <c r="P639" s="1" t="str">
        <f t="shared" si="118"/>
        <v/>
      </c>
      <c r="Q639" s="1" t="str">
        <f t="shared" si="118"/>
        <v/>
      </c>
      <c r="R639" s="1" t="str">
        <f t="shared" si="118"/>
        <v/>
      </c>
      <c r="S639" s="1" t="str">
        <f t="shared" si="118"/>
        <v/>
      </c>
      <c r="T639" s="421" t="s">
        <v>1311</v>
      </c>
      <c r="U639" s="110" t="s">
        <v>1313</v>
      </c>
      <c r="V639" s="26">
        <v>1</v>
      </c>
      <c r="W639" s="46" t="s">
        <v>114</v>
      </c>
      <c r="X639" s="104" t="s">
        <v>1311</v>
      </c>
      <c r="Y639" s="47"/>
      <c r="Z639" s="21"/>
      <c r="AA639" s="145">
        <v>8</v>
      </c>
      <c r="AB639" s="71"/>
      <c r="AC639" s="76"/>
      <c r="AD639" s="76"/>
      <c r="AE639" s="16" t="s">
        <v>92</v>
      </c>
      <c r="AF639" s="76" t="s">
        <v>92</v>
      </c>
      <c r="AG639" s="41" t="s">
        <v>115</v>
      </c>
      <c r="AH639" s="174" t="s">
        <v>116</v>
      </c>
      <c r="AI639" s="159" t="s">
        <v>117</v>
      </c>
      <c r="AJ639" s="1" t="s">
        <v>98</v>
      </c>
      <c r="AK639" s="1" t="s">
        <v>98</v>
      </c>
      <c r="AL639" s="1" t="s">
        <v>98</v>
      </c>
      <c r="AM639" s="1" t="s">
        <v>98</v>
      </c>
      <c r="AN639" s="174"/>
    </row>
    <row r="640" spans="1:40">
      <c r="A640" s="421" t="s">
        <v>1314</v>
      </c>
      <c r="B640" s="110" t="s">
        <v>1315</v>
      </c>
      <c r="C640" s="26">
        <v>1</v>
      </c>
      <c r="D640" s="46" t="s">
        <v>114</v>
      </c>
      <c r="E640" s="47"/>
      <c r="F640" s="21"/>
      <c r="G640" s="145">
        <v>11</v>
      </c>
      <c r="H640" s="71"/>
      <c r="I640" s="76"/>
      <c r="J640" s="76"/>
      <c r="K640" s="16"/>
      <c r="L640" s="76"/>
      <c r="M640" s="1045" t="s">
        <v>115</v>
      </c>
      <c r="N640" s="1047" t="s">
        <v>3673</v>
      </c>
      <c r="O640" s="1056" t="s">
        <v>117</v>
      </c>
      <c r="P640" s="1" t="str">
        <f t="shared" si="118"/>
        <v/>
      </c>
      <c r="Q640" s="1" t="str">
        <f t="shared" si="118"/>
        <v/>
      </c>
      <c r="R640" s="1" t="str">
        <f t="shared" si="118"/>
        <v/>
      </c>
      <c r="S640" s="1" t="str">
        <f t="shared" si="118"/>
        <v/>
      </c>
      <c r="T640" s="421" t="s">
        <v>1314</v>
      </c>
      <c r="U640" s="110" t="s">
        <v>1316</v>
      </c>
      <c r="V640" s="26">
        <v>1</v>
      </c>
      <c r="W640" s="46" t="s">
        <v>114</v>
      </c>
      <c r="X640" s="104" t="s">
        <v>1314</v>
      </c>
      <c r="Y640" s="47"/>
      <c r="Z640" s="21"/>
      <c r="AA640" s="145">
        <v>11</v>
      </c>
      <c r="AB640" s="71"/>
      <c r="AC640" s="76"/>
      <c r="AD640" s="76"/>
      <c r="AE640" s="16" t="s">
        <v>92</v>
      </c>
      <c r="AF640" s="76" t="s">
        <v>92</v>
      </c>
      <c r="AG640" s="41" t="s">
        <v>115</v>
      </c>
      <c r="AH640" s="174" t="s">
        <v>116</v>
      </c>
      <c r="AI640" s="159" t="s">
        <v>117</v>
      </c>
      <c r="AJ640" s="1" t="s">
        <v>98</v>
      </c>
      <c r="AK640" s="1" t="s">
        <v>98</v>
      </c>
      <c r="AL640" s="1" t="s">
        <v>98</v>
      </c>
      <c r="AM640" s="1" t="s">
        <v>98</v>
      </c>
      <c r="AN640" s="174"/>
    </row>
    <row r="641" spans="1:40">
      <c r="A641" s="421" t="s">
        <v>1317</v>
      </c>
      <c r="B641" s="110" t="s">
        <v>1318</v>
      </c>
      <c r="C641" s="26">
        <v>1</v>
      </c>
      <c r="D641" s="46" t="s">
        <v>114</v>
      </c>
      <c r="E641" s="47"/>
      <c r="F641" s="21"/>
      <c r="G641" s="27">
        <v>94.63</v>
      </c>
      <c r="H641" s="71"/>
      <c r="I641" s="76"/>
      <c r="J641" s="76"/>
      <c r="K641" s="16"/>
      <c r="L641" s="76"/>
      <c r="M641" s="1045" t="s">
        <v>115</v>
      </c>
      <c r="N641" s="1047" t="s">
        <v>3673</v>
      </c>
      <c r="O641" s="1056" t="s">
        <v>117</v>
      </c>
      <c r="P641" s="1" t="str">
        <f t="shared" si="118"/>
        <v/>
      </c>
      <c r="Q641" s="1" t="str">
        <f t="shared" si="118"/>
        <v/>
      </c>
      <c r="R641" s="1" t="str">
        <f t="shared" si="118"/>
        <v/>
      </c>
      <c r="S641" s="1" t="str">
        <f t="shared" si="118"/>
        <v/>
      </c>
      <c r="T641" s="421" t="s">
        <v>1317</v>
      </c>
      <c r="U641" s="110" t="s">
        <v>1318</v>
      </c>
      <c r="V641" s="26">
        <v>1</v>
      </c>
      <c r="W641" s="46" t="s">
        <v>114</v>
      </c>
      <c r="X641" s="104" t="s">
        <v>1317</v>
      </c>
      <c r="Y641" s="47"/>
      <c r="Z641" s="21"/>
      <c r="AA641" s="27">
        <v>94.63</v>
      </c>
      <c r="AB641" s="71"/>
      <c r="AC641" s="76"/>
      <c r="AD641" s="76"/>
      <c r="AE641" s="16" t="s">
        <v>92</v>
      </c>
      <c r="AF641" s="76" t="s">
        <v>92</v>
      </c>
      <c r="AG641" s="41" t="s">
        <v>115</v>
      </c>
      <c r="AH641" s="174" t="s">
        <v>116</v>
      </c>
      <c r="AI641" s="159" t="s">
        <v>117</v>
      </c>
      <c r="AJ641" s="1" t="s">
        <v>98</v>
      </c>
      <c r="AK641" s="1" t="s">
        <v>98</v>
      </c>
      <c r="AL641" s="1" t="s">
        <v>98</v>
      </c>
      <c r="AM641" s="1" t="s">
        <v>98</v>
      </c>
      <c r="AN641" s="174"/>
    </row>
    <row r="642" spans="1:40" s="860" customFormat="1" ht="20.100000000000001" customHeight="1">
      <c r="A642" s="1074" t="s">
        <v>3682</v>
      </c>
      <c r="B642" s="1078" t="s">
        <v>3683</v>
      </c>
      <c r="C642" s="878"/>
      <c r="D642" s="879"/>
      <c r="E642" s="879"/>
      <c r="F642" s="880"/>
      <c r="G642" s="881"/>
      <c r="H642" s="893"/>
      <c r="I642" s="883"/>
      <c r="J642" s="883"/>
      <c r="K642" s="881"/>
      <c r="L642" s="869"/>
      <c r="M642" s="869"/>
      <c r="N642" s="1028"/>
      <c r="O642" s="869"/>
      <c r="P642" s="869"/>
      <c r="Q642" s="869"/>
      <c r="R642" s="869"/>
      <c r="S642" s="887"/>
      <c r="T642" s="848" t="s">
        <v>1319</v>
      </c>
      <c r="U642" s="863"/>
      <c r="V642" s="864"/>
      <c r="W642" s="865"/>
      <c r="X642" s="866"/>
      <c r="Y642" s="865"/>
      <c r="Z642" s="867"/>
      <c r="AA642" s="868"/>
      <c r="AB642" s="864"/>
      <c r="AC642" s="868"/>
      <c r="AD642" s="868"/>
      <c r="AE642" s="869"/>
      <c r="AF642" s="870"/>
      <c r="AG642" s="858"/>
      <c r="AH642" s="859"/>
      <c r="AI642" s="859"/>
      <c r="AJ642" s="860" t="s">
        <v>98</v>
      </c>
      <c r="AK642" s="860" t="s">
        <v>98</v>
      </c>
      <c r="AL642" s="860" t="s">
        <v>98</v>
      </c>
      <c r="AM642" s="860" t="s">
        <v>98</v>
      </c>
      <c r="AN642" s="871"/>
    </row>
    <row r="643" spans="1:40">
      <c r="A643" s="425" t="s">
        <v>1320</v>
      </c>
      <c r="B643" s="70" t="s">
        <v>1321</v>
      </c>
      <c r="C643" s="190">
        <v>1</v>
      </c>
      <c r="D643" s="191" t="s">
        <v>90</v>
      </c>
      <c r="E643" s="85">
        <v>353.58</v>
      </c>
      <c r="F643" s="192">
        <f>rv_ip97_hg</f>
        <v>0.1065</v>
      </c>
      <c r="G643" s="201">
        <f>E643-(E643*F643)</f>
        <v>315.92372999999998</v>
      </c>
      <c r="H643" s="190" t="s">
        <v>1322</v>
      </c>
      <c r="I643" s="91">
        <v>25</v>
      </c>
      <c r="J643" s="194">
        <f>G643+I643</f>
        <v>340.92372999999998</v>
      </c>
      <c r="K643" s="91">
        <v>12</v>
      </c>
      <c r="L643" s="194">
        <v>0.25</v>
      </c>
      <c r="M643" s="1045" t="s">
        <v>1323</v>
      </c>
      <c r="N643" s="1046" t="s">
        <v>3672</v>
      </c>
      <c r="O643" s="1058" t="s">
        <v>95</v>
      </c>
      <c r="P643" s="1">
        <f t="shared" si="118"/>
        <v>68.63092900696347</v>
      </c>
      <c r="Q643" s="1">
        <f t="shared" si="118"/>
        <v>35.667937078192303</v>
      </c>
      <c r="R643" s="1">
        <f t="shared" si="118"/>
        <v>25.904560911958058</v>
      </c>
      <c r="S643" s="1">
        <f t="shared" si="118"/>
        <v>22.35398806159759</v>
      </c>
      <c r="T643" s="425" t="s">
        <v>1320</v>
      </c>
      <c r="U643" s="70" t="s">
        <v>1321</v>
      </c>
      <c r="V643" s="190">
        <v>1</v>
      </c>
      <c r="W643" s="191" t="s">
        <v>90</v>
      </c>
      <c r="X643" s="254" t="s">
        <v>1320</v>
      </c>
      <c r="Y643" s="85">
        <v>353.58</v>
      </c>
      <c r="Z643" s="192">
        <v>0.1065</v>
      </c>
      <c r="AA643" s="201">
        <v>315.92372999999998</v>
      </c>
      <c r="AB643" s="190" t="s">
        <v>1322</v>
      </c>
      <c r="AC643" s="91">
        <v>25</v>
      </c>
      <c r="AD643" s="194">
        <v>340.92372999999998</v>
      </c>
      <c r="AE643" s="91">
        <v>12</v>
      </c>
      <c r="AF643" s="194">
        <v>0.25</v>
      </c>
      <c r="AG643" s="41" t="s">
        <v>1323</v>
      </c>
      <c r="AH643" s="42" t="s">
        <v>1298</v>
      </c>
      <c r="AI643" s="42" t="s">
        <v>95</v>
      </c>
      <c r="AJ643" s="1">
        <v>68.63092900696347</v>
      </c>
      <c r="AK643" s="1">
        <v>35.667937078192303</v>
      </c>
      <c r="AL643" s="1">
        <v>25.904560911958058</v>
      </c>
      <c r="AM643" s="1">
        <v>22.35398806159759</v>
      </c>
      <c r="AN643" s="174"/>
    </row>
    <row r="644" spans="1:40">
      <c r="A644" s="425" t="s">
        <v>1324</v>
      </c>
      <c r="B644" s="70" t="s">
        <v>1325</v>
      </c>
      <c r="C644" s="190">
        <v>1</v>
      </c>
      <c r="D644" s="191" t="s">
        <v>90</v>
      </c>
      <c r="E644" s="85">
        <v>518.25</v>
      </c>
      <c r="F644" s="192">
        <f>rv_ip97_hg</f>
        <v>0.1065</v>
      </c>
      <c r="G644" s="201">
        <f>E644-(E644*F644)</f>
        <v>463.056375</v>
      </c>
      <c r="H644" s="190" t="s">
        <v>1322</v>
      </c>
      <c r="I644" s="91">
        <v>25</v>
      </c>
      <c r="J644" s="194">
        <f>G644+I644</f>
        <v>488.056375</v>
      </c>
      <c r="K644" s="91">
        <v>14</v>
      </c>
      <c r="L644" s="194">
        <v>0.25</v>
      </c>
      <c r="M644" s="1045" t="s">
        <v>1326</v>
      </c>
      <c r="N644" s="1047" t="s">
        <v>3672</v>
      </c>
      <c r="O644" s="1059" t="s">
        <v>95</v>
      </c>
      <c r="P644" s="1">
        <f t="shared" si="118"/>
        <v>98.250017457045132</v>
      </c>
      <c r="Q644" s="1">
        <f t="shared" si="118"/>
        <v>51.061168649394475</v>
      </c>
      <c r="R644" s="1">
        <f t="shared" si="118"/>
        <v>37.084206765709574</v>
      </c>
      <c r="S644" s="1">
        <f t="shared" si="118"/>
        <v>32.001311202762558</v>
      </c>
      <c r="T644" s="425" t="s">
        <v>1324</v>
      </c>
      <c r="U644" s="70" t="s">
        <v>1325</v>
      </c>
      <c r="V644" s="190">
        <v>1</v>
      </c>
      <c r="W644" s="191" t="s">
        <v>90</v>
      </c>
      <c r="X644" s="254" t="s">
        <v>1324</v>
      </c>
      <c r="Y644" s="85">
        <v>518.25</v>
      </c>
      <c r="Z644" s="192">
        <v>0.1065</v>
      </c>
      <c r="AA644" s="201">
        <v>463.056375</v>
      </c>
      <c r="AB644" s="190" t="s">
        <v>1322</v>
      </c>
      <c r="AC644" s="91">
        <v>25</v>
      </c>
      <c r="AD644" s="194">
        <v>488.056375</v>
      </c>
      <c r="AE644" s="91">
        <v>14</v>
      </c>
      <c r="AF644" s="194">
        <v>0.25</v>
      </c>
      <c r="AG644" s="41" t="s">
        <v>1326</v>
      </c>
      <c r="AH644" s="42" t="s">
        <v>1298</v>
      </c>
      <c r="AI644" s="42" t="s">
        <v>95</v>
      </c>
      <c r="AJ644" s="1">
        <v>98.250017457045132</v>
      </c>
      <c r="AK644" s="1">
        <v>51.061168649394475</v>
      </c>
      <c r="AL644" s="1">
        <v>37.084206765709574</v>
      </c>
      <c r="AM644" s="1">
        <v>32.001311202762558</v>
      </c>
      <c r="AN644" s="174"/>
    </row>
    <row r="645" spans="1:40">
      <c r="A645" s="425" t="s">
        <v>1327</v>
      </c>
      <c r="B645" s="70" t="s">
        <v>1328</v>
      </c>
      <c r="C645" s="190">
        <v>1</v>
      </c>
      <c r="D645" s="191" t="s">
        <v>90</v>
      </c>
      <c r="E645" s="85">
        <v>495.25</v>
      </c>
      <c r="F645" s="192">
        <f>rv_ip97_hg</f>
        <v>0.1065</v>
      </c>
      <c r="G645" s="201">
        <f>E645-(E645*F645)</f>
        <v>442.505875</v>
      </c>
      <c r="H645" s="190" t="s">
        <v>1322</v>
      </c>
      <c r="I645" s="91">
        <v>25</v>
      </c>
      <c r="J645" s="194">
        <f>G645+I645</f>
        <v>467.505875</v>
      </c>
      <c r="K645" s="91">
        <v>12</v>
      </c>
      <c r="L645" s="194">
        <v>0.25</v>
      </c>
      <c r="M645" s="1045" t="s">
        <v>1329</v>
      </c>
      <c r="N645" s="1047" t="s">
        <v>3672</v>
      </c>
      <c r="O645" s="1059" t="s">
        <v>95</v>
      </c>
      <c r="P645" s="1">
        <f t="shared" si="118"/>
        <v>94.113022045908451</v>
      </c>
      <c r="Q645" s="1">
        <f t="shared" si="118"/>
        <v>48.911145414211077</v>
      </c>
      <c r="R645" s="1">
        <f t="shared" si="118"/>
        <v>35.52270889338137</v>
      </c>
      <c r="S645" s="1">
        <f t="shared" si="118"/>
        <v>30.653837878861456</v>
      </c>
      <c r="T645" s="425" t="s">
        <v>1327</v>
      </c>
      <c r="U645" s="70" t="s">
        <v>1328</v>
      </c>
      <c r="V645" s="190">
        <v>1</v>
      </c>
      <c r="W645" s="191" t="s">
        <v>90</v>
      </c>
      <c r="X645" s="254" t="s">
        <v>1327</v>
      </c>
      <c r="Y645" s="85">
        <v>495.25</v>
      </c>
      <c r="Z645" s="192">
        <v>0.1065</v>
      </c>
      <c r="AA645" s="201">
        <v>442.505875</v>
      </c>
      <c r="AB645" s="190" t="s">
        <v>1322</v>
      </c>
      <c r="AC645" s="91">
        <v>25</v>
      </c>
      <c r="AD645" s="194">
        <v>467.505875</v>
      </c>
      <c r="AE645" s="91">
        <v>12</v>
      </c>
      <c r="AF645" s="194">
        <v>0.25</v>
      </c>
      <c r="AG645" s="41" t="s">
        <v>1329</v>
      </c>
      <c r="AH645" s="42" t="s">
        <v>1298</v>
      </c>
      <c r="AI645" s="42" t="s">
        <v>95</v>
      </c>
      <c r="AJ645" s="1">
        <v>94.113022045908451</v>
      </c>
      <c r="AK645" s="1">
        <v>48.911145414211077</v>
      </c>
      <c r="AL645" s="1">
        <v>35.52270889338137</v>
      </c>
      <c r="AM645" s="1">
        <v>30.653837878861456</v>
      </c>
      <c r="AN645" s="174"/>
    </row>
    <row r="646" spans="1:40">
      <c r="A646" s="425" t="s">
        <v>1330</v>
      </c>
      <c r="B646" s="70" t="s">
        <v>1331</v>
      </c>
      <c r="C646" s="190">
        <v>1</v>
      </c>
      <c r="D646" s="191" t="s">
        <v>90</v>
      </c>
      <c r="E646" s="85">
        <v>659.92</v>
      </c>
      <c r="F646" s="192">
        <f>rv_ip97_hg</f>
        <v>0.1065</v>
      </c>
      <c r="G646" s="201">
        <f>E646-(E646*F646)</f>
        <v>589.63851999999997</v>
      </c>
      <c r="H646" s="190" t="s">
        <v>1322</v>
      </c>
      <c r="I646" s="91">
        <v>25</v>
      </c>
      <c r="J646" s="194">
        <f>G646+I646</f>
        <v>614.63851999999997</v>
      </c>
      <c r="K646" s="91">
        <v>14</v>
      </c>
      <c r="L646" s="194">
        <v>0.25</v>
      </c>
      <c r="M646" s="1045" t="s">
        <v>1332</v>
      </c>
      <c r="N646" s="1047" t="s">
        <v>3672</v>
      </c>
      <c r="O646" s="1059" t="s">
        <v>95</v>
      </c>
      <c r="P646" s="1">
        <f t="shared" si="118"/>
        <v>123.7321104959901</v>
      </c>
      <c r="Q646" s="1">
        <f t="shared" si="118"/>
        <v>64.304376985413242</v>
      </c>
      <c r="R646" s="1">
        <f t="shared" si="118"/>
        <v>46.702354747132887</v>
      </c>
      <c r="S646" s="1">
        <f t="shared" si="118"/>
        <v>40.30116102002642</v>
      </c>
      <c r="T646" s="425" t="s">
        <v>1330</v>
      </c>
      <c r="U646" s="70" t="s">
        <v>1331</v>
      </c>
      <c r="V646" s="190">
        <v>1</v>
      </c>
      <c r="W646" s="191" t="s">
        <v>90</v>
      </c>
      <c r="X646" s="254" t="s">
        <v>1330</v>
      </c>
      <c r="Y646" s="85">
        <v>659.92</v>
      </c>
      <c r="Z646" s="192">
        <v>0.1065</v>
      </c>
      <c r="AA646" s="201">
        <v>589.63851999999997</v>
      </c>
      <c r="AB646" s="190" t="s">
        <v>1322</v>
      </c>
      <c r="AC646" s="91">
        <v>25</v>
      </c>
      <c r="AD646" s="194">
        <v>614.63851999999997</v>
      </c>
      <c r="AE646" s="91">
        <v>14</v>
      </c>
      <c r="AF646" s="194">
        <v>0.25</v>
      </c>
      <c r="AG646" s="41" t="s">
        <v>1332</v>
      </c>
      <c r="AH646" s="42" t="s">
        <v>1298</v>
      </c>
      <c r="AI646" s="42" t="s">
        <v>95</v>
      </c>
      <c r="AJ646" s="1">
        <v>123.7321104959901</v>
      </c>
      <c r="AK646" s="1">
        <v>64.304376985413242</v>
      </c>
      <c r="AL646" s="1">
        <v>46.702354747132887</v>
      </c>
      <c r="AM646" s="1">
        <v>40.30116102002642</v>
      </c>
      <c r="AN646" s="174"/>
    </row>
    <row r="647" spans="1:40">
      <c r="A647" s="457" t="s">
        <v>1322</v>
      </c>
      <c r="B647" s="79" t="s">
        <v>1333</v>
      </c>
      <c r="C647" s="80">
        <v>1</v>
      </c>
      <c r="D647" s="123" t="s">
        <v>114</v>
      </c>
      <c r="E647" s="601">
        <v>27.98</v>
      </c>
      <c r="F647" s="214">
        <v>0.1065</v>
      </c>
      <c r="G647" s="107">
        <f>E647-(E647*F647)</f>
        <v>25.000129999999999</v>
      </c>
      <c r="H647" s="80"/>
      <c r="I647" s="216"/>
      <c r="J647" s="216"/>
      <c r="K647" s="16"/>
      <c r="L647" s="76"/>
      <c r="M647" s="1045" t="s">
        <v>115</v>
      </c>
      <c r="N647" s="1047" t="s">
        <v>3673</v>
      </c>
      <c r="O647" s="1063" t="s">
        <v>117</v>
      </c>
      <c r="P647" s="1" t="str">
        <f t="shared" si="118"/>
        <v/>
      </c>
      <c r="Q647" s="1" t="str">
        <f t="shared" si="118"/>
        <v/>
      </c>
      <c r="R647" s="1" t="str">
        <f t="shared" si="118"/>
        <v/>
      </c>
      <c r="S647" s="1" t="str">
        <f t="shared" si="118"/>
        <v/>
      </c>
      <c r="T647" s="457" t="s">
        <v>1322</v>
      </c>
      <c r="U647" s="79" t="s">
        <v>1334</v>
      </c>
      <c r="V647" s="80">
        <v>1</v>
      </c>
      <c r="W647" s="123" t="s">
        <v>114</v>
      </c>
      <c r="X647" s="122" t="s">
        <v>1322</v>
      </c>
      <c r="Y647" s="601">
        <v>27.98</v>
      </c>
      <c r="Z647" s="214">
        <v>0.1065</v>
      </c>
      <c r="AA647" s="107">
        <v>25.000129999999999</v>
      </c>
      <c r="AB647" s="80"/>
      <c r="AC647" s="216"/>
      <c r="AD647" s="216"/>
      <c r="AE647" s="16" t="s">
        <v>92</v>
      </c>
      <c r="AF647" s="76" t="s">
        <v>92</v>
      </c>
      <c r="AG647" s="41" t="s">
        <v>115</v>
      </c>
      <c r="AH647" s="174" t="s">
        <v>116</v>
      </c>
      <c r="AI647" s="14" t="s">
        <v>117</v>
      </c>
      <c r="AJ647" s="1" t="s">
        <v>98</v>
      </c>
      <c r="AK647" s="1" t="s">
        <v>98</v>
      </c>
      <c r="AL647" s="1" t="s">
        <v>98</v>
      </c>
      <c r="AM647" s="1" t="s">
        <v>98</v>
      </c>
      <c r="AN647" s="217"/>
    </row>
    <row r="648" spans="1:40">
      <c r="A648" s="421" t="s">
        <v>1335</v>
      </c>
      <c r="B648" s="110" t="s">
        <v>1336</v>
      </c>
      <c r="C648" s="26">
        <v>1</v>
      </c>
      <c r="D648" s="46" t="s">
        <v>114</v>
      </c>
      <c r="E648" s="47"/>
      <c r="F648" s="21"/>
      <c r="G648" s="145">
        <v>6</v>
      </c>
      <c r="H648" s="71"/>
      <c r="I648" s="76"/>
      <c r="J648" s="76"/>
      <c r="K648" s="16"/>
      <c r="L648" s="76"/>
      <c r="M648" s="1045" t="s">
        <v>115</v>
      </c>
      <c r="N648" s="1047" t="s">
        <v>3673</v>
      </c>
      <c r="O648" s="1056" t="s">
        <v>117</v>
      </c>
      <c r="P648" s="1" t="str">
        <f t="shared" si="118"/>
        <v/>
      </c>
      <c r="Q648" s="1" t="str">
        <f t="shared" si="118"/>
        <v/>
      </c>
      <c r="R648" s="1" t="str">
        <f t="shared" si="118"/>
        <v/>
      </c>
      <c r="S648" s="1" t="str">
        <f t="shared" si="118"/>
        <v/>
      </c>
      <c r="T648" s="421" t="s">
        <v>1335</v>
      </c>
      <c r="U648" s="110" t="s">
        <v>1337</v>
      </c>
      <c r="V648" s="26">
        <v>1</v>
      </c>
      <c r="W648" s="46" t="s">
        <v>114</v>
      </c>
      <c r="X648" s="104" t="s">
        <v>1335</v>
      </c>
      <c r="Y648" s="47"/>
      <c r="Z648" s="21"/>
      <c r="AA648" s="145">
        <v>6</v>
      </c>
      <c r="AB648" s="71"/>
      <c r="AC648" s="76"/>
      <c r="AD648" s="76"/>
      <c r="AE648" s="16" t="s">
        <v>92</v>
      </c>
      <c r="AF648" s="76" t="s">
        <v>92</v>
      </c>
      <c r="AG648" s="41" t="s">
        <v>115</v>
      </c>
      <c r="AH648" s="174" t="s">
        <v>116</v>
      </c>
      <c r="AI648" s="159" t="s">
        <v>117</v>
      </c>
      <c r="AJ648" s="1" t="s">
        <v>98</v>
      </c>
      <c r="AK648" s="1" t="s">
        <v>98</v>
      </c>
      <c r="AL648" s="1" t="s">
        <v>98</v>
      </c>
      <c r="AM648" s="1" t="s">
        <v>98</v>
      </c>
      <c r="AN648" s="174"/>
    </row>
    <row r="649" spans="1:40">
      <c r="A649" s="421" t="s">
        <v>1338</v>
      </c>
      <c r="B649" s="110" t="s">
        <v>1339</v>
      </c>
      <c r="C649" s="26">
        <v>1</v>
      </c>
      <c r="D649" s="46" t="s">
        <v>114</v>
      </c>
      <c r="E649" s="429"/>
      <c r="F649" s="21"/>
      <c r="G649" s="145">
        <v>8</v>
      </c>
      <c r="H649" s="71"/>
      <c r="I649" s="76"/>
      <c r="J649" s="76"/>
      <c r="K649" s="16"/>
      <c r="L649" s="76"/>
      <c r="M649" s="1045" t="s">
        <v>115</v>
      </c>
      <c r="N649" s="1047" t="s">
        <v>3673</v>
      </c>
      <c r="O649" s="1056" t="s">
        <v>117</v>
      </c>
      <c r="P649" s="1" t="str">
        <f t="shared" si="118"/>
        <v/>
      </c>
      <c r="Q649" s="1" t="str">
        <f t="shared" si="118"/>
        <v/>
      </c>
      <c r="R649" s="1" t="str">
        <f t="shared" si="118"/>
        <v/>
      </c>
      <c r="S649" s="1" t="str">
        <f t="shared" si="118"/>
        <v/>
      </c>
      <c r="T649" s="421" t="s">
        <v>1338</v>
      </c>
      <c r="U649" s="110" t="s">
        <v>1340</v>
      </c>
      <c r="V649" s="26">
        <v>1</v>
      </c>
      <c r="W649" s="46" t="s">
        <v>114</v>
      </c>
      <c r="X649" s="104" t="s">
        <v>1338</v>
      </c>
      <c r="Y649" s="429"/>
      <c r="Z649" s="21"/>
      <c r="AA649" s="145">
        <v>8</v>
      </c>
      <c r="AB649" s="71"/>
      <c r="AC649" s="76"/>
      <c r="AD649" s="76"/>
      <c r="AE649" s="16" t="s">
        <v>92</v>
      </c>
      <c r="AF649" s="76" t="s">
        <v>92</v>
      </c>
      <c r="AG649" s="41" t="s">
        <v>115</v>
      </c>
      <c r="AH649" s="174" t="s">
        <v>116</v>
      </c>
      <c r="AI649" s="159" t="s">
        <v>117</v>
      </c>
      <c r="AJ649" s="1" t="s">
        <v>98</v>
      </c>
      <c r="AK649" s="1" t="s">
        <v>98</v>
      </c>
      <c r="AL649" s="1" t="s">
        <v>98</v>
      </c>
      <c r="AM649" s="1" t="s">
        <v>98</v>
      </c>
      <c r="AN649" s="174"/>
    </row>
    <row r="650" spans="1:40">
      <c r="A650" s="421" t="s">
        <v>1341</v>
      </c>
      <c r="B650" s="110" t="s">
        <v>1342</v>
      </c>
      <c r="C650" s="26">
        <v>1</v>
      </c>
      <c r="D650" s="46" t="s">
        <v>114</v>
      </c>
      <c r="E650" s="47"/>
      <c r="F650" s="21"/>
      <c r="G650" s="145">
        <v>11</v>
      </c>
      <c r="H650" s="71"/>
      <c r="I650" s="76"/>
      <c r="J650" s="76"/>
      <c r="K650" s="16"/>
      <c r="L650" s="76"/>
      <c r="M650" s="1045" t="s">
        <v>115</v>
      </c>
      <c r="N650" s="1047" t="s">
        <v>3673</v>
      </c>
      <c r="O650" s="1056" t="s">
        <v>117</v>
      </c>
      <c r="P650" s="1" t="str">
        <f t="shared" ref="P650:S669" si="119">+IF($J650&lt;&gt;"",P$2*$J650,"")</f>
        <v/>
      </c>
      <c r="Q650" s="1" t="str">
        <f t="shared" si="119"/>
        <v/>
      </c>
      <c r="R650" s="1" t="str">
        <f t="shared" si="119"/>
        <v/>
      </c>
      <c r="S650" s="1" t="str">
        <f t="shared" si="119"/>
        <v/>
      </c>
      <c r="T650" s="421" t="s">
        <v>1341</v>
      </c>
      <c r="U650" s="110" t="s">
        <v>1343</v>
      </c>
      <c r="V650" s="26">
        <v>1</v>
      </c>
      <c r="W650" s="46" t="s">
        <v>114</v>
      </c>
      <c r="X650" s="104" t="s">
        <v>1341</v>
      </c>
      <c r="Y650" s="47"/>
      <c r="Z650" s="21"/>
      <c r="AA650" s="145">
        <v>11</v>
      </c>
      <c r="AB650" s="71"/>
      <c r="AC650" s="76"/>
      <c r="AD650" s="76"/>
      <c r="AE650" s="16" t="s">
        <v>92</v>
      </c>
      <c r="AF650" s="76" t="s">
        <v>92</v>
      </c>
      <c r="AG650" s="41" t="s">
        <v>115</v>
      </c>
      <c r="AH650" s="174" t="s">
        <v>116</v>
      </c>
      <c r="AI650" s="159" t="s">
        <v>117</v>
      </c>
      <c r="AJ650" s="1" t="s">
        <v>98</v>
      </c>
      <c r="AK650" s="1" t="s">
        <v>98</v>
      </c>
      <c r="AL650" s="1" t="s">
        <v>98</v>
      </c>
      <c r="AM650" s="1" t="s">
        <v>98</v>
      </c>
      <c r="AN650" s="174"/>
    </row>
    <row r="651" spans="1:40">
      <c r="A651" s="421" t="s">
        <v>1344</v>
      </c>
      <c r="B651" s="110" t="s">
        <v>1345</v>
      </c>
      <c r="C651" s="26">
        <v>1</v>
      </c>
      <c r="D651" s="46" t="s">
        <v>114</v>
      </c>
      <c r="E651" s="47"/>
      <c r="F651" s="21"/>
      <c r="G651" s="27">
        <v>94.63</v>
      </c>
      <c r="H651" s="71"/>
      <c r="I651" s="76"/>
      <c r="J651" s="76"/>
      <c r="K651" s="16"/>
      <c r="L651" s="76"/>
      <c r="M651" s="1045" t="s">
        <v>115</v>
      </c>
      <c r="N651" s="1047" t="s">
        <v>3673</v>
      </c>
      <c r="O651" s="1056" t="s">
        <v>117</v>
      </c>
      <c r="P651" s="1" t="str">
        <f t="shared" si="119"/>
        <v/>
      </c>
      <c r="Q651" s="1" t="str">
        <f t="shared" si="119"/>
        <v/>
      </c>
      <c r="R651" s="1" t="str">
        <f t="shared" si="119"/>
        <v/>
      </c>
      <c r="S651" s="1" t="str">
        <f t="shared" si="119"/>
        <v/>
      </c>
      <c r="T651" s="421" t="s">
        <v>1344</v>
      </c>
      <c r="U651" s="110" t="s">
        <v>1345</v>
      </c>
      <c r="V651" s="26">
        <v>1</v>
      </c>
      <c r="W651" s="46" t="s">
        <v>114</v>
      </c>
      <c r="X651" s="104" t="s">
        <v>1344</v>
      </c>
      <c r="Y651" s="47"/>
      <c r="Z651" s="21"/>
      <c r="AA651" s="27">
        <v>94.63</v>
      </c>
      <c r="AB651" s="71"/>
      <c r="AC651" s="76"/>
      <c r="AD651" s="76"/>
      <c r="AE651" s="16" t="s">
        <v>92</v>
      </c>
      <c r="AF651" s="76" t="s">
        <v>92</v>
      </c>
      <c r="AG651" s="41" t="s">
        <v>115</v>
      </c>
      <c r="AH651" s="174" t="s">
        <v>116</v>
      </c>
      <c r="AI651" s="159" t="s">
        <v>117</v>
      </c>
      <c r="AJ651" s="1" t="s">
        <v>98</v>
      </c>
      <c r="AK651" s="1" t="s">
        <v>98</v>
      </c>
      <c r="AL651" s="1" t="s">
        <v>98</v>
      </c>
      <c r="AM651" s="1" t="s">
        <v>98</v>
      </c>
      <c r="AN651" s="174"/>
    </row>
    <row r="652" spans="1:40" s="860" customFormat="1" ht="20.100000000000001" customHeight="1">
      <c r="A652" s="1074" t="s">
        <v>3681</v>
      </c>
      <c r="B652" s="1081" t="s">
        <v>3680</v>
      </c>
      <c r="C652" s="878"/>
      <c r="D652" s="879"/>
      <c r="E652" s="879"/>
      <c r="F652" s="880"/>
      <c r="G652" s="881"/>
      <c r="H652" s="893"/>
      <c r="I652" s="883"/>
      <c r="J652" s="883"/>
      <c r="K652" s="881"/>
      <c r="L652" s="869"/>
      <c r="M652" s="869"/>
      <c r="N652" s="1028"/>
      <c r="O652" s="869"/>
      <c r="P652" s="869"/>
      <c r="Q652" s="869"/>
      <c r="R652" s="869"/>
      <c r="S652" s="887"/>
      <c r="T652" s="848" t="s">
        <v>1346</v>
      </c>
      <c r="U652" s="849"/>
      <c r="V652" s="872"/>
      <c r="W652" s="873"/>
      <c r="X652" s="874"/>
      <c r="Y652" s="873"/>
      <c r="Z652" s="875"/>
      <c r="AA652" s="876"/>
      <c r="AB652" s="872"/>
      <c r="AC652" s="876"/>
      <c r="AD652" s="876"/>
      <c r="AE652" s="876"/>
      <c r="AF652" s="877"/>
      <c r="AG652" s="858"/>
      <c r="AH652" s="859"/>
      <c r="AI652" s="859"/>
      <c r="AJ652" s="860" t="s">
        <v>98</v>
      </c>
      <c r="AK652" s="860" t="s">
        <v>98</v>
      </c>
      <c r="AL652" s="860" t="s">
        <v>98</v>
      </c>
      <c r="AM652" s="860" t="s">
        <v>98</v>
      </c>
      <c r="AN652" s="871"/>
    </row>
    <row r="653" spans="1:40">
      <c r="A653" s="425" t="s">
        <v>1347</v>
      </c>
      <c r="B653" s="70" t="s">
        <v>1348</v>
      </c>
      <c r="C653" s="190">
        <v>1</v>
      </c>
      <c r="D653" s="191" t="s">
        <v>90</v>
      </c>
      <c r="E653" s="253">
        <v>478.58</v>
      </c>
      <c r="F653" s="192">
        <f>rv_ip97_hg</f>
        <v>0.1065</v>
      </c>
      <c r="G653" s="201">
        <f>E653-(E653*F653)</f>
        <v>427.61122999999998</v>
      </c>
      <c r="H653" s="190" t="s">
        <v>1322</v>
      </c>
      <c r="I653" s="194">
        <v>25</v>
      </c>
      <c r="J653" s="194">
        <f>G653+I653</f>
        <v>452.61122999999998</v>
      </c>
      <c r="K653" s="91">
        <v>12</v>
      </c>
      <c r="L653" s="194">
        <v>0.25</v>
      </c>
      <c r="M653" s="1045" t="s">
        <v>1349</v>
      </c>
      <c r="N653" s="1052"/>
      <c r="O653" s="1058"/>
      <c r="P653" s="1">
        <f t="shared" si="119"/>
        <v>91.114599719662849</v>
      </c>
      <c r="Q653" s="1">
        <f t="shared" si="119"/>
        <v>47.352845965058592</v>
      </c>
      <c r="R653" s="1">
        <f t="shared" si="119"/>
        <v>34.390962392002628</v>
      </c>
      <c r="S653" s="1">
        <f t="shared" si="119"/>
        <v>29.677212648016614</v>
      </c>
      <c r="T653" s="425" t="s">
        <v>1347</v>
      </c>
      <c r="U653" s="70" t="s">
        <v>1348</v>
      </c>
      <c r="V653" s="190">
        <v>1</v>
      </c>
      <c r="W653" s="191" t="s">
        <v>90</v>
      </c>
      <c r="X653" s="254" t="s">
        <v>1347</v>
      </c>
      <c r="Y653" s="253">
        <v>478.58</v>
      </c>
      <c r="Z653" s="192">
        <v>0.1065</v>
      </c>
      <c r="AA653" s="201">
        <v>427.61122999999998</v>
      </c>
      <c r="AB653" s="190" t="s">
        <v>1322</v>
      </c>
      <c r="AC653" s="194">
        <v>25</v>
      </c>
      <c r="AD653" s="194">
        <v>452.61122999999998</v>
      </c>
      <c r="AE653" s="91">
        <v>12</v>
      </c>
      <c r="AF653" s="194">
        <v>0.25</v>
      </c>
      <c r="AG653" s="41" t="s">
        <v>1349</v>
      </c>
      <c r="AH653" s="42"/>
      <c r="AI653" s="42"/>
      <c r="AJ653" s="1">
        <v>91.114599719662849</v>
      </c>
      <c r="AK653" s="1">
        <v>47.352845965058592</v>
      </c>
      <c r="AL653" s="1">
        <v>34.390962392002628</v>
      </c>
      <c r="AM653" s="1">
        <v>29.677212648016614</v>
      </c>
      <c r="AN653" s="174"/>
    </row>
    <row r="654" spans="1:40">
      <c r="A654" s="425" t="s">
        <v>1350</v>
      </c>
      <c r="B654" s="70" t="s">
        <v>1351</v>
      </c>
      <c r="C654" s="190">
        <v>1</v>
      </c>
      <c r="D654" s="191" t="s">
        <v>90</v>
      </c>
      <c r="E654" s="253">
        <v>643.25</v>
      </c>
      <c r="F654" s="192">
        <f>rv_ip97_hg</f>
        <v>0.1065</v>
      </c>
      <c r="G654" s="201">
        <f>E654-(E654*F654)</f>
        <v>574.743875</v>
      </c>
      <c r="H654" s="190" t="s">
        <v>1322</v>
      </c>
      <c r="I654" s="194">
        <v>25</v>
      </c>
      <c r="J654" s="194">
        <f>G654+I654</f>
        <v>599.743875</v>
      </c>
      <c r="K654" s="91">
        <v>12</v>
      </c>
      <c r="L654" s="194">
        <v>0.25</v>
      </c>
      <c r="M654" s="1045" t="s">
        <v>1352</v>
      </c>
      <c r="N654" s="1053"/>
      <c r="O654" s="1059"/>
      <c r="P654" s="1">
        <f t="shared" si="119"/>
        <v>120.73368816974451</v>
      </c>
      <c r="Q654" s="1">
        <f t="shared" si="119"/>
        <v>62.746077536260763</v>
      </c>
      <c r="R654" s="1">
        <f t="shared" si="119"/>
        <v>45.570608245754144</v>
      </c>
      <c r="S654" s="1">
        <f t="shared" si="119"/>
        <v>39.324535789181581</v>
      </c>
      <c r="T654" s="425" t="s">
        <v>1350</v>
      </c>
      <c r="U654" s="70" t="s">
        <v>1351</v>
      </c>
      <c r="V654" s="190">
        <v>1</v>
      </c>
      <c r="W654" s="191" t="s">
        <v>90</v>
      </c>
      <c r="X654" s="254" t="s">
        <v>1350</v>
      </c>
      <c r="Y654" s="253">
        <v>643.25</v>
      </c>
      <c r="Z654" s="192">
        <v>0.1065</v>
      </c>
      <c r="AA654" s="201">
        <v>574.743875</v>
      </c>
      <c r="AB654" s="190" t="s">
        <v>1322</v>
      </c>
      <c r="AC654" s="194">
        <v>25</v>
      </c>
      <c r="AD654" s="194">
        <v>599.743875</v>
      </c>
      <c r="AE654" s="91">
        <v>12</v>
      </c>
      <c r="AF654" s="194">
        <v>0.25</v>
      </c>
      <c r="AG654" s="41" t="s">
        <v>1352</v>
      </c>
      <c r="AH654" s="42"/>
      <c r="AI654" s="42"/>
      <c r="AJ654" s="1">
        <v>120.73368816974451</v>
      </c>
      <c r="AK654" s="1">
        <v>62.746077536260763</v>
      </c>
      <c r="AL654" s="1">
        <v>45.570608245754144</v>
      </c>
      <c r="AM654" s="1">
        <v>39.324535789181581</v>
      </c>
      <c r="AN654" s="174"/>
    </row>
    <row r="655" spans="1:40">
      <c r="A655" s="425" t="s">
        <v>1353</v>
      </c>
      <c r="B655" s="70" t="s">
        <v>1354</v>
      </c>
      <c r="C655" s="190">
        <v>1</v>
      </c>
      <c r="D655" s="191" t="s">
        <v>90</v>
      </c>
      <c r="E655" s="253">
        <v>645.25</v>
      </c>
      <c r="F655" s="192">
        <f>rv_ip97_hg</f>
        <v>0.1065</v>
      </c>
      <c r="G655" s="201">
        <f>E655-(E655*F655)</f>
        <v>576.53087500000004</v>
      </c>
      <c r="H655" s="190" t="s">
        <v>1322</v>
      </c>
      <c r="I655" s="194">
        <v>25</v>
      </c>
      <c r="J655" s="194">
        <f>G655+I655</f>
        <v>601.53087500000004</v>
      </c>
      <c r="K655" s="91">
        <v>14</v>
      </c>
      <c r="L655" s="194">
        <v>0.25</v>
      </c>
      <c r="M655" s="1045" t="s">
        <v>1355</v>
      </c>
      <c r="N655" s="1053"/>
      <c r="O655" s="1059"/>
      <c r="P655" s="1">
        <f t="shared" si="119"/>
        <v>121.09342690114771</v>
      </c>
      <c r="Q655" s="1">
        <f t="shared" si="119"/>
        <v>62.933036078450627</v>
      </c>
      <c r="R655" s="1">
        <f t="shared" si="119"/>
        <v>45.70639066943486</v>
      </c>
      <c r="S655" s="1">
        <f t="shared" si="119"/>
        <v>39.441707382564289</v>
      </c>
      <c r="T655" s="425" t="s">
        <v>1353</v>
      </c>
      <c r="U655" s="70" t="s">
        <v>1354</v>
      </c>
      <c r="V655" s="190">
        <v>1</v>
      </c>
      <c r="W655" s="191" t="s">
        <v>90</v>
      </c>
      <c r="X655" s="254" t="s">
        <v>1353</v>
      </c>
      <c r="Y655" s="253">
        <v>645.25</v>
      </c>
      <c r="Z655" s="192">
        <v>0.1065</v>
      </c>
      <c r="AA655" s="201">
        <v>576.53087500000004</v>
      </c>
      <c r="AB655" s="190" t="s">
        <v>1322</v>
      </c>
      <c r="AC655" s="194">
        <v>25</v>
      </c>
      <c r="AD655" s="194">
        <v>601.53087500000004</v>
      </c>
      <c r="AE655" s="91">
        <v>14</v>
      </c>
      <c r="AF655" s="194">
        <v>0.25</v>
      </c>
      <c r="AG655" s="41" t="s">
        <v>1355</v>
      </c>
      <c r="AH655" s="42"/>
      <c r="AI655" s="42"/>
      <c r="AJ655" s="1">
        <v>121.09342690114771</v>
      </c>
      <c r="AK655" s="1">
        <v>62.933036078450627</v>
      </c>
      <c r="AL655" s="1">
        <v>45.70639066943486</v>
      </c>
      <c r="AM655" s="1">
        <v>39.441707382564289</v>
      </c>
      <c r="AN655" s="174"/>
    </row>
    <row r="656" spans="1:40">
      <c r="A656" s="425" t="s">
        <v>1356</v>
      </c>
      <c r="B656" s="70" t="s">
        <v>1357</v>
      </c>
      <c r="C656" s="190">
        <v>1</v>
      </c>
      <c r="D656" s="191" t="s">
        <v>90</v>
      </c>
      <c r="E656" s="253">
        <v>809.92</v>
      </c>
      <c r="F656" s="192">
        <f>rv_ip97_hg</f>
        <v>0.1065</v>
      </c>
      <c r="G656" s="201">
        <f>E656-(E656*F656)</f>
        <v>723.66351999999995</v>
      </c>
      <c r="H656" s="190" t="s">
        <v>1322</v>
      </c>
      <c r="I656" s="194">
        <v>25</v>
      </c>
      <c r="J656" s="194">
        <f>G656+I656</f>
        <v>748.66351999999995</v>
      </c>
      <c r="K656" s="91">
        <v>14</v>
      </c>
      <c r="L656" s="194">
        <v>0.25</v>
      </c>
      <c r="M656" s="1045" t="s">
        <v>1358</v>
      </c>
      <c r="N656" s="1053"/>
      <c r="O656" s="1059"/>
      <c r="P656" s="1">
        <f t="shared" si="119"/>
        <v>150.71251535122937</v>
      </c>
      <c r="Q656" s="1">
        <f t="shared" si="119"/>
        <v>78.326267649652792</v>
      </c>
      <c r="R656" s="1">
        <f t="shared" si="119"/>
        <v>56.88603652318637</v>
      </c>
      <c r="S656" s="1">
        <f t="shared" si="119"/>
        <v>49.089030523729249</v>
      </c>
      <c r="T656" s="425" t="s">
        <v>1356</v>
      </c>
      <c r="U656" s="70" t="s">
        <v>1357</v>
      </c>
      <c r="V656" s="190">
        <v>1</v>
      </c>
      <c r="W656" s="191" t="s">
        <v>90</v>
      </c>
      <c r="X656" s="254" t="s">
        <v>1356</v>
      </c>
      <c r="Y656" s="253">
        <v>809.92</v>
      </c>
      <c r="Z656" s="192">
        <v>0.1065</v>
      </c>
      <c r="AA656" s="201">
        <v>723.66351999999995</v>
      </c>
      <c r="AB656" s="190" t="s">
        <v>1322</v>
      </c>
      <c r="AC656" s="194">
        <v>25</v>
      </c>
      <c r="AD656" s="194">
        <v>748.66351999999995</v>
      </c>
      <c r="AE656" s="91">
        <v>14</v>
      </c>
      <c r="AF656" s="194">
        <v>0.25</v>
      </c>
      <c r="AG656" s="41" t="s">
        <v>1358</v>
      </c>
      <c r="AH656" s="42"/>
      <c r="AI656" s="42"/>
      <c r="AJ656" s="1">
        <v>150.71251535122937</v>
      </c>
      <c r="AK656" s="1">
        <v>78.326267649652792</v>
      </c>
      <c r="AL656" s="1">
        <v>56.88603652318637</v>
      </c>
      <c r="AM656" s="1">
        <v>49.089030523729249</v>
      </c>
      <c r="AN656" s="174"/>
    </row>
    <row r="657" spans="1:40">
      <c r="A657" s="457" t="s">
        <v>1322</v>
      </c>
      <c r="B657" s="79" t="s">
        <v>1333</v>
      </c>
      <c r="C657" s="80">
        <v>1</v>
      </c>
      <c r="D657" s="123" t="s">
        <v>114</v>
      </c>
      <c r="E657" s="601">
        <v>27.98</v>
      </c>
      <c r="F657" s="214">
        <v>0.1065</v>
      </c>
      <c r="G657" s="107">
        <f>E657-(E657*F657)</f>
        <v>25.000129999999999</v>
      </c>
      <c r="H657" s="80"/>
      <c r="I657" s="216"/>
      <c r="J657" s="216"/>
      <c r="K657" s="16"/>
      <c r="L657" s="76"/>
      <c r="M657" s="1045" t="s">
        <v>115</v>
      </c>
      <c r="N657" s="1047" t="s">
        <v>3673</v>
      </c>
      <c r="O657" s="1063" t="s">
        <v>117</v>
      </c>
      <c r="P657" s="1" t="str">
        <f t="shared" si="119"/>
        <v/>
      </c>
      <c r="Q657" s="1" t="str">
        <f t="shared" si="119"/>
        <v/>
      </c>
      <c r="R657" s="1" t="str">
        <f t="shared" si="119"/>
        <v/>
      </c>
      <c r="S657" s="1" t="str">
        <f t="shared" si="119"/>
        <v/>
      </c>
      <c r="T657" s="457" t="s">
        <v>1322</v>
      </c>
      <c r="U657" s="79" t="s">
        <v>1334</v>
      </c>
      <c r="V657" s="80">
        <v>1</v>
      </c>
      <c r="W657" s="123" t="s">
        <v>114</v>
      </c>
      <c r="X657" s="122" t="s">
        <v>1322</v>
      </c>
      <c r="Y657" s="601">
        <v>27.98</v>
      </c>
      <c r="Z657" s="214">
        <v>0.1065</v>
      </c>
      <c r="AA657" s="107">
        <v>25.000129999999999</v>
      </c>
      <c r="AB657" s="80"/>
      <c r="AC657" s="216"/>
      <c r="AD657" s="216"/>
      <c r="AE657" s="16" t="s">
        <v>92</v>
      </c>
      <c r="AF657" s="76" t="s">
        <v>92</v>
      </c>
      <c r="AG657" s="41" t="s">
        <v>115</v>
      </c>
      <c r="AH657" s="174" t="s">
        <v>116</v>
      </c>
      <c r="AI657" s="14" t="s">
        <v>117</v>
      </c>
      <c r="AJ657" s="1" t="s">
        <v>98</v>
      </c>
      <c r="AK657" s="1" t="s">
        <v>98</v>
      </c>
      <c r="AL657" s="1" t="s">
        <v>98</v>
      </c>
      <c r="AM657" s="1" t="s">
        <v>98</v>
      </c>
      <c r="AN657" s="217"/>
    </row>
    <row r="658" spans="1:40">
      <c r="A658" s="421" t="s">
        <v>1335</v>
      </c>
      <c r="B658" s="110" t="s">
        <v>1336</v>
      </c>
      <c r="C658" s="26">
        <v>1</v>
      </c>
      <c r="D658" s="46" t="s">
        <v>114</v>
      </c>
      <c r="E658" s="47"/>
      <c r="F658" s="21"/>
      <c r="G658" s="145">
        <v>6</v>
      </c>
      <c r="H658" s="71"/>
      <c r="I658" s="76"/>
      <c r="J658" s="76"/>
      <c r="K658" s="16"/>
      <c r="L658" s="76"/>
      <c r="M658" s="1045" t="s">
        <v>115</v>
      </c>
      <c r="N658" s="1047" t="s">
        <v>3673</v>
      </c>
      <c r="O658" s="1056" t="s">
        <v>117</v>
      </c>
      <c r="P658" s="1" t="str">
        <f t="shared" si="119"/>
        <v/>
      </c>
      <c r="Q658" s="1" t="str">
        <f t="shared" si="119"/>
        <v/>
      </c>
      <c r="R658" s="1" t="str">
        <f t="shared" si="119"/>
        <v/>
      </c>
      <c r="S658" s="1" t="str">
        <f t="shared" si="119"/>
        <v/>
      </c>
      <c r="T658" s="421" t="s">
        <v>1335</v>
      </c>
      <c r="U658" s="110" t="s">
        <v>1337</v>
      </c>
      <c r="V658" s="26">
        <v>1</v>
      </c>
      <c r="W658" s="46" t="s">
        <v>114</v>
      </c>
      <c r="X658" s="104" t="s">
        <v>1335</v>
      </c>
      <c r="Y658" s="47"/>
      <c r="Z658" s="21"/>
      <c r="AA658" s="145">
        <v>6</v>
      </c>
      <c r="AB658" s="71"/>
      <c r="AC658" s="76"/>
      <c r="AD658" s="76"/>
      <c r="AE658" s="16" t="s">
        <v>92</v>
      </c>
      <c r="AF658" s="76" t="s">
        <v>92</v>
      </c>
      <c r="AG658" s="41" t="s">
        <v>115</v>
      </c>
      <c r="AH658" s="174" t="s">
        <v>116</v>
      </c>
      <c r="AI658" s="159" t="s">
        <v>117</v>
      </c>
      <c r="AJ658" s="1" t="s">
        <v>98</v>
      </c>
      <c r="AK658" s="1" t="s">
        <v>98</v>
      </c>
      <c r="AL658" s="1" t="s">
        <v>98</v>
      </c>
      <c r="AM658" s="1" t="s">
        <v>98</v>
      </c>
      <c r="AN658" s="174"/>
    </row>
    <row r="659" spans="1:40">
      <c r="A659" s="421" t="s">
        <v>1338</v>
      </c>
      <c r="B659" s="110" t="s">
        <v>1339</v>
      </c>
      <c r="C659" s="26">
        <v>1</v>
      </c>
      <c r="D659" s="46" t="s">
        <v>114</v>
      </c>
      <c r="E659" s="429"/>
      <c r="F659" s="21"/>
      <c r="G659" s="145">
        <v>8</v>
      </c>
      <c r="H659" s="71"/>
      <c r="I659" s="76"/>
      <c r="J659" s="76"/>
      <c r="K659" s="16"/>
      <c r="L659" s="76"/>
      <c r="M659" s="1045" t="s">
        <v>115</v>
      </c>
      <c r="N659" s="1047" t="s">
        <v>3673</v>
      </c>
      <c r="O659" s="1056" t="s">
        <v>117</v>
      </c>
      <c r="P659" s="1" t="str">
        <f t="shared" si="119"/>
        <v/>
      </c>
      <c r="Q659" s="1" t="str">
        <f t="shared" si="119"/>
        <v/>
      </c>
      <c r="R659" s="1" t="str">
        <f t="shared" si="119"/>
        <v/>
      </c>
      <c r="S659" s="1" t="str">
        <f t="shared" si="119"/>
        <v/>
      </c>
      <c r="T659" s="421" t="s">
        <v>1338</v>
      </c>
      <c r="U659" s="110" t="s">
        <v>1340</v>
      </c>
      <c r="V659" s="26">
        <v>1</v>
      </c>
      <c r="W659" s="46" t="s">
        <v>114</v>
      </c>
      <c r="X659" s="104" t="s">
        <v>1338</v>
      </c>
      <c r="Y659" s="429"/>
      <c r="Z659" s="21"/>
      <c r="AA659" s="145">
        <v>8</v>
      </c>
      <c r="AB659" s="71"/>
      <c r="AC659" s="76"/>
      <c r="AD659" s="76"/>
      <c r="AE659" s="16" t="s">
        <v>92</v>
      </c>
      <c r="AF659" s="76" t="s">
        <v>92</v>
      </c>
      <c r="AG659" s="41" t="s">
        <v>115</v>
      </c>
      <c r="AH659" s="174" t="s">
        <v>116</v>
      </c>
      <c r="AI659" s="159" t="s">
        <v>117</v>
      </c>
      <c r="AJ659" s="1" t="s">
        <v>98</v>
      </c>
      <c r="AK659" s="1" t="s">
        <v>98</v>
      </c>
      <c r="AL659" s="1" t="s">
        <v>98</v>
      </c>
      <c r="AM659" s="1" t="s">
        <v>98</v>
      </c>
      <c r="AN659" s="174"/>
    </row>
    <row r="660" spans="1:40">
      <c r="A660" s="421" t="s">
        <v>1341</v>
      </c>
      <c r="B660" s="110" t="s">
        <v>1342</v>
      </c>
      <c r="C660" s="26">
        <v>1</v>
      </c>
      <c r="D660" s="46" t="s">
        <v>114</v>
      </c>
      <c r="E660" s="47"/>
      <c r="F660" s="21"/>
      <c r="G660" s="145">
        <v>11</v>
      </c>
      <c r="H660" s="71"/>
      <c r="I660" s="76"/>
      <c r="J660" s="76"/>
      <c r="K660" s="16"/>
      <c r="L660" s="76"/>
      <c r="M660" s="1045" t="s">
        <v>115</v>
      </c>
      <c r="N660" s="1047" t="s">
        <v>3673</v>
      </c>
      <c r="O660" s="1056" t="s">
        <v>117</v>
      </c>
      <c r="P660" s="1" t="str">
        <f t="shared" si="119"/>
        <v/>
      </c>
      <c r="Q660" s="1" t="str">
        <f t="shared" si="119"/>
        <v/>
      </c>
      <c r="R660" s="1" t="str">
        <f t="shared" si="119"/>
        <v/>
      </c>
      <c r="S660" s="1" t="str">
        <f t="shared" si="119"/>
        <v/>
      </c>
      <c r="T660" s="421" t="s">
        <v>1341</v>
      </c>
      <c r="U660" s="110" t="s">
        <v>1343</v>
      </c>
      <c r="V660" s="26">
        <v>1</v>
      </c>
      <c r="W660" s="46" t="s">
        <v>114</v>
      </c>
      <c r="X660" s="104" t="s">
        <v>1341</v>
      </c>
      <c r="Y660" s="47"/>
      <c r="Z660" s="21"/>
      <c r="AA660" s="145">
        <v>11</v>
      </c>
      <c r="AB660" s="71"/>
      <c r="AC660" s="76"/>
      <c r="AD660" s="76"/>
      <c r="AE660" s="16" t="s">
        <v>92</v>
      </c>
      <c r="AF660" s="76" t="s">
        <v>92</v>
      </c>
      <c r="AG660" s="41" t="s">
        <v>115</v>
      </c>
      <c r="AH660" s="174" t="s">
        <v>116</v>
      </c>
      <c r="AI660" s="159" t="s">
        <v>117</v>
      </c>
      <c r="AJ660" s="1" t="s">
        <v>98</v>
      </c>
      <c r="AK660" s="1" t="s">
        <v>98</v>
      </c>
      <c r="AL660" s="1" t="s">
        <v>98</v>
      </c>
      <c r="AM660" s="1" t="s">
        <v>98</v>
      </c>
      <c r="AN660" s="174"/>
    </row>
    <row r="661" spans="1:40">
      <c r="A661" s="421" t="s">
        <v>1344</v>
      </c>
      <c r="B661" s="110" t="s">
        <v>1345</v>
      </c>
      <c r="C661" s="26">
        <v>1</v>
      </c>
      <c r="D661" s="46" t="s">
        <v>114</v>
      </c>
      <c r="E661" s="47"/>
      <c r="F661" s="21"/>
      <c r="G661" s="27">
        <v>94.63</v>
      </c>
      <c r="H661" s="71"/>
      <c r="I661" s="76"/>
      <c r="J661" s="76"/>
      <c r="K661" s="16"/>
      <c r="L661" s="76"/>
      <c r="M661" s="1045" t="s">
        <v>115</v>
      </c>
      <c r="N661" s="1047" t="s">
        <v>3673</v>
      </c>
      <c r="O661" s="1056" t="s">
        <v>117</v>
      </c>
      <c r="P661" s="1" t="str">
        <f t="shared" si="119"/>
        <v/>
      </c>
      <c r="Q661" s="1" t="str">
        <f t="shared" si="119"/>
        <v/>
      </c>
      <c r="R661" s="1" t="str">
        <f t="shared" si="119"/>
        <v/>
      </c>
      <c r="S661" s="1" t="str">
        <f t="shared" si="119"/>
        <v/>
      </c>
      <c r="T661" s="421" t="s">
        <v>1344</v>
      </c>
      <c r="U661" s="110" t="s">
        <v>1345</v>
      </c>
      <c r="V661" s="26">
        <v>1</v>
      </c>
      <c r="W661" s="46" t="s">
        <v>114</v>
      </c>
      <c r="X661" s="104" t="s">
        <v>1344</v>
      </c>
      <c r="Y661" s="47"/>
      <c r="Z661" s="21"/>
      <c r="AA661" s="27">
        <v>94.63</v>
      </c>
      <c r="AB661" s="71"/>
      <c r="AC661" s="76"/>
      <c r="AD661" s="76"/>
      <c r="AE661" s="16" t="s">
        <v>92</v>
      </c>
      <c r="AF661" s="76" t="s">
        <v>92</v>
      </c>
      <c r="AG661" s="41" t="s">
        <v>115</v>
      </c>
      <c r="AH661" s="174" t="s">
        <v>116</v>
      </c>
      <c r="AI661" s="159" t="s">
        <v>117</v>
      </c>
      <c r="AJ661" s="1" t="s">
        <v>98</v>
      </c>
      <c r="AK661" s="1" t="s">
        <v>98</v>
      </c>
      <c r="AL661" s="1" t="s">
        <v>98</v>
      </c>
      <c r="AM661" s="1" t="s">
        <v>98</v>
      </c>
      <c r="AN661" s="174"/>
    </row>
    <row r="662" spans="1:40" s="860" customFormat="1" ht="20.100000000000001" customHeight="1">
      <c r="A662" s="1074" t="s">
        <v>3679</v>
      </c>
      <c r="B662" s="1075" t="s">
        <v>3678</v>
      </c>
      <c r="C662" s="878"/>
      <c r="D662" s="879"/>
      <c r="E662" s="879"/>
      <c r="F662" s="880"/>
      <c r="G662" s="881"/>
      <c r="H662" s="893"/>
      <c r="I662" s="883"/>
      <c r="J662" s="883"/>
      <c r="K662" s="881"/>
      <c r="L662" s="869"/>
      <c r="M662" s="869"/>
      <c r="N662" s="1028"/>
      <c r="O662" s="869"/>
      <c r="P662" s="869"/>
      <c r="Q662" s="869"/>
      <c r="R662" s="869"/>
      <c r="S662" s="887"/>
      <c r="T662" s="848" t="s">
        <v>1359</v>
      </c>
      <c r="U662" s="849"/>
      <c r="V662" s="878"/>
      <c r="W662" s="879"/>
      <c r="X662" s="878"/>
      <c r="Y662" s="879"/>
      <c r="Z662" s="880"/>
      <c r="AA662" s="881"/>
      <c r="AB662" s="882"/>
      <c r="AC662" s="883"/>
      <c r="AD662" s="883"/>
      <c r="AE662" s="881"/>
      <c r="AF662" s="884"/>
      <c r="AG662" s="858"/>
      <c r="AH662" s="871"/>
      <c r="AI662" s="885"/>
      <c r="AJ662" s="860" t="s">
        <v>98</v>
      </c>
      <c r="AK662" s="860" t="s">
        <v>98</v>
      </c>
      <c r="AL662" s="860" t="s">
        <v>98</v>
      </c>
      <c r="AM662" s="860" t="s">
        <v>98</v>
      </c>
      <c r="AN662" s="871"/>
    </row>
    <row r="663" spans="1:40">
      <c r="A663" s="387" t="s">
        <v>1360</v>
      </c>
      <c r="B663" s="70" t="s">
        <v>1361</v>
      </c>
      <c r="C663" s="71">
        <v>1</v>
      </c>
      <c r="D663" s="83" t="s">
        <v>90</v>
      </c>
      <c r="E663" s="85">
        <v>645.25</v>
      </c>
      <c r="F663" s="103">
        <f>rv_ipp105</f>
        <v>0.1065</v>
      </c>
      <c r="G663" s="111">
        <f>E663-(E663*F663)</f>
        <v>576.53087500000004</v>
      </c>
      <c r="H663" s="71" t="s">
        <v>1362</v>
      </c>
      <c r="I663" s="91">
        <v>25</v>
      </c>
      <c r="J663" s="91">
        <f>G663+I663</f>
        <v>601.53087500000004</v>
      </c>
      <c r="K663" s="75">
        <v>12</v>
      </c>
      <c r="L663" s="91">
        <v>0.25</v>
      </c>
      <c r="M663" s="1045" t="s">
        <v>1363</v>
      </c>
      <c r="N663" s="1046" t="s">
        <v>3672</v>
      </c>
      <c r="O663" s="1055" t="s">
        <v>95</v>
      </c>
      <c r="P663" s="1">
        <f t="shared" si="119"/>
        <v>121.09342690114771</v>
      </c>
      <c r="Q663" s="1">
        <f t="shared" si="119"/>
        <v>62.933036078450627</v>
      </c>
      <c r="R663" s="1">
        <f t="shared" si="119"/>
        <v>45.70639066943486</v>
      </c>
      <c r="S663" s="1">
        <f t="shared" si="119"/>
        <v>39.441707382564289</v>
      </c>
      <c r="T663" s="387" t="s">
        <v>1360</v>
      </c>
      <c r="U663" s="70" t="s">
        <v>1361</v>
      </c>
      <c r="V663" s="71">
        <v>1</v>
      </c>
      <c r="W663" s="83" t="s">
        <v>90</v>
      </c>
      <c r="X663" s="84" t="s">
        <v>1360</v>
      </c>
      <c r="Y663" s="85">
        <v>645.25</v>
      </c>
      <c r="Z663" s="103">
        <v>0.1065</v>
      </c>
      <c r="AA663" s="111">
        <v>576.53087500000004</v>
      </c>
      <c r="AB663" s="71" t="s">
        <v>1362</v>
      </c>
      <c r="AC663" s="91">
        <v>25</v>
      </c>
      <c r="AD663" s="91">
        <v>601.53087500000004</v>
      </c>
      <c r="AE663" s="75">
        <v>12</v>
      </c>
      <c r="AF663" s="91">
        <v>0.25</v>
      </c>
      <c r="AG663" s="41" t="s">
        <v>1363</v>
      </c>
      <c r="AH663" s="174" t="s">
        <v>1298</v>
      </c>
      <c r="AI663" s="159" t="s">
        <v>95</v>
      </c>
      <c r="AJ663" s="1">
        <v>121.09342690114771</v>
      </c>
      <c r="AK663" s="1">
        <v>62.933036078450627</v>
      </c>
      <c r="AL663" s="1">
        <v>45.70639066943486</v>
      </c>
      <c r="AM663" s="1">
        <v>39.441707382564289</v>
      </c>
      <c r="AN663" s="174"/>
    </row>
    <row r="664" spans="1:40">
      <c r="A664" s="387" t="s">
        <v>1364</v>
      </c>
      <c r="B664" s="70" t="s">
        <v>1365</v>
      </c>
      <c r="C664" s="71">
        <v>1</v>
      </c>
      <c r="D664" s="83" t="s">
        <v>90</v>
      </c>
      <c r="E664" s="85">
        <v>809.92</v>
      </c>
      <c r="F664" s="103">
        <f>rv_ipp105</f>
        <v>0.1065</v>
      </c>
      <c r="G664" s="111">
        <f>E664-(E664*F664)</f>
        <v>723.66351999999995</v>
      </c>
      <c r="H664" s="71" t="s">
        <v>1362</v>
      </c>
      <c r="I664" s="91">
        <f>ipa_5pl</f>
        <v>25</v>
      </c>
      <c r="J664" s="91">
        <f>G664+I664</f>
        <v>748.66351999999995</v>
      </c>
      <c r="K664" s="75">
        <v>14</v>
      </c>
      <c r="L664" s="91">
        <v>0.25</v>
      </c>
      <c r="M664" s="1045" t="s">
        <v>1366</v>
      </c>
      <c r="N664" s="1047" t="s">
        <v>3672</v>
      </c>
      <c r="O664" s="1056" t="s">
        <v>95</v>
      </c>
      <c r="P664" s="1">
        <f t="shared" si="119"/>
        <v>150.71251535122937</v>
      </c>
      <c r="Q664" s="1">
        <f t="shared" si="119"/>
        <v>78.326267649652792</v>
      </c>
      <c r="R664" s="1">
        <f t="shared" si="119"/>
        <v>56.88603652318637</v>
      </c>
      <c r="S664" s="1">
        <f t="shared" si="119"/>
        <v>49.089030523729249</v>
      </c>
      <c r="T664" s="387" t="s">
        <v>1364</v>
      </c>
      <c r="U664" s="70" t="s">
        <v>1365</v>
      </c>
      <c r="V664" s="71">
        <v>1</v>
      </c>
      <c r="W664" s="83" t="s">
        <v>90</v>
      </c>
      <c r="X664" s="597" t="s">
        <v>1364</v>
      </c>
      <c r="Y664" s="85">
        <v>809.92</v>
      </c>
      <c r="Z664" s="103">
        <v>0.1065</v>
      </c>
      <c r="AA664" s="111">
        <v>723.66351999999995</v>
      </c>
      <c r="AB664" s="71" t="s">
        <v>1362</v>
      </c>
      <c r="AC664" s="91">
        <v>25</v>
      </c>
      <c r="AD664" s="91">
        <v>748.66351999999995</v>
      </c>
      <c r="AE664" s="75">
        <v>14</v>
      </c>
      <c r="AF664" s="91">
        <v>0.25</v>
      </c>
      <c r="AG664" s="41" t="s">
        <v>1366</v>
      </c>
      <c r="AH664" s="174" t="s">
        <v>1298</v>
      </c>
      <c r="AI664" s="159" t="s">
        <v>95</v>
      </c>
      <c r="AJ664" s="1">
        <v>150.71251535122937</v>
      </c>
      <c r="AK664" s="1">
        <v>78.326267649652792</v>
      </c>
      <c r="AL664" s="1">
        <v>56.88603652318637</v>
      </c>
      <c r="AM664" s="1">
        <v>49.089030523729249</v>
      </c>
      <c r="AN664" s="174"/>
    </row>
    <row r="665" spans="1:40">
      <c r="A665" s="387" t="s">
        <v>1367</v>
      </c>
      <c r="B665" s="70" t="s">
        <v>1368</v>
      </c>
      <c r="C665" s="71">
        <v>1</v>
      </c>
      <c r="D665" s="83" t="s">
        <v>90</v>
      </c>
      <c r="E665" s="85">
        <v>811.92</v>
      </c>
      <c r="F665" s="103">
        <f>rv_ipp105</f>
        <v>0.1065</v>
      </c>
      <c r="G665" s="111">
        <f>E665-(E665*F665)</f>
        <v>725.45051999999998</v>
      </c>
      <c r="H665" s="71" t="s">
        <v>1362</v>
      </c>
      <c r="I665" s="91">
        <f>ipa_5pl</f>
        <v>25</v>
      </c>
      <c r="J665" s="91">
        <f>G665+I665</f>
        <v>750.45051999999998</v>
      </c>
      <c r="K665" s="75">
        <v>12</v>
      </c>
      <c r="L665" s="91">
        <v>0.25</v>
      </c>
      <c r="M665" s="1045" t="s">
        <v>1369</v>
      </c>
      <c r="N665" s="1047" t="s">
        <v>3672</v>
      </c>
      <c r="O665" s="1056" t="s">
        <v>95</v>
      </c>
      <c r="P665" s="1">
        <f t="shared" si="119"/>
        <v>151.07225408263255</v>
      </c>
      <c r="Q665" s="1">
        <f t="shared" si="119"/>
        <v>78.513226191842662</v>
      </c>
      <c r="R665" s="1">
        <f t="shared" si="119"/>
        <v>57.021818946867086</v>
      </c>
      <c r="S665" s="1">
        <f t="shared" si="119"/>
        <v>49.206202117111957</v>
      </c>
      <c r="T665" s="387" t="s">
        <v>1367</v>
      </c>
      <c r="U665" s="70" t="s">
        <v>1368</v>
      </c>
      <c r="V665" s="71">
        <v>1</v>
      </c>
      <c r="W665" s="83" t="s">
        <v>90</v>
      </c>
      <c r="X665" s="597" t="s">
        <v>1367</v>
      </c>
      <c r="Y665" s="85">
        <v>811.92</v>
      </c>
      <c r="Z665" s="103">
        <v>0.1065</v>
      </c>
      <c r="AA665" s="111">
        <v>725.45051999999998</v>
      </c>
      <c r="AB665" s="71" t="s">
        <v>1362</v>
      </c>
      <c r="AC665" s="91">
        <v>25</v>
      </c>
      <c r="AD665" s="91">
        <v>750.45051999999998</v>
      </c>
      <c r="AE665" s="75">
        <v>12</v>
      </c>
      <c r="AF665" s="91">
        <v>0.25</v>
      </c>
      <c r="AG665" s="41" t="s">
        <v>1369</v>
      </c>
      <c r="AH665" s="174" t="s">
        <v>1298</v>
      </c>
      <c r="AI665" s="159" t="s">
        <v>95</v>
      </c>
      <c r="AJ665" s="1">
        <v>151.07225408263255</v>
      </c>
      <c r="AK665" s="1">
        <v>78.513226191842662</v>
      </c>
      <c r="AL665" s="1">
        <v>57.021818946867086</v>
      </c>
      <c r="AM665" s="1">
        <v>49.206202117111957</v>
      </c>
      <c r="AN665" s="174"/>
    </row>
    <row r="666" spans="1:40">
      <c r="A666" s="387" t="s">
        <v>1370</v>
      </c>
      <c r="B666" s="70" t="s">
        <v>1371</v>
      </c>
      <c r="C666" s="71">
        <v>1</v>
      </c>
      <c r="D666" s="83" t="s">
        <v>90</v>
      </c>
      <c r="E666" s="85">
        <v>976.58</v>
      </c>
      <c r="F666" s="103">
        <f>rv_ipp105</f>
        <v>0.1065</v>
      </c>
      <c r="G666" s="111">
        <f>E666-(E666*F666)</f>
        <v>872.57423000000006</v>
      </c>
      <c r="H666" s="71" t="s">
        <v>1362</v>
      </c>
      <c r="I666" s="91">
        <f>ipa_5pl</f>
        <v>25</v>
      </c>
      <c r="J666" s="91">
        <f>G666+I666</f>
        <v>897.57423000000006</v>
      </c>
      <c r="K666" s="75">
        <v>14</v>
      </c>
      <c r="L666" s="91">
        <v>0.25</v>
      </c>
      <c r="M666" s="1045" t="s">
        <v>1372</v>
      </c>
      <c r="N666" s="1047" t="s">
        <v>3672</v>
      </c>
      <c r="O666" s="1056" t="s">
        <v>95</v>
      </c>
      <c r="P666" s="1">
        <f t="shared" si="119"/>
        <v>180.68954383905722</v>
      </c>
      <c r="Q666" s="1">
        <f t="shared" si="119"/>
        <v>93.905522970333891</v>
      </c>
      <c r="R666" s="1">
        <f t="shared" si="119"/>
        <v>68.200785888500207</v>
      </c>
      <c r="S666" s="1">
        <f t="shared" si="119"/>
        <v>58.852939400310014</v>
      </c>
      <c r="T666" s="387" t="s">
        <v>1370</v>
      </c>
      <c r="U666" s="70" t="s">
        <v>1371</v>
      </c>
      <c r="V666" s="71">
        <v>1</v>
      </c>
      <c r="W666" s="83" t="s">
        <v>90</v>
      </c>
      <c r="X666" s="597" t="s">
        <v>1370</v>
      </c>
      <c r="Y666" s="85">
        <v>976.58</v>
      </c>
      <c r="Z666" s="103">
        <v>0.1065</v>
      </c>
      <c r="AA666" s="111">
        <v>872.57423000000006</v>
      </c>
      <c r="AB666" s="71" t="s">
        <v>1362</v>
      </c>
      <c r="AC666" s="91">
        <v>25</v>
      </c>
      <c r="AD666" s="91">
        <v>897.57423000000006</v>
      </c>
      <c r="AE666" s="75">
        <v>14</v>
      </c>
      <c r="AF666" s="91">
        <v>0.25</v>
      </c>
      <c r="AG666" s="41" t="s">
        <v>1372</v>
      </c>
      <c r="AH666" s="174" t="s">
        <v>1298</v>
      </c>
      <c r="AI666" s="159" t="s">
        <v>95</v>
      </c>
      <c r="AJ666" s="1">
        <v>180.68954383905722</v>
      </c>
      <c r="AK666" s="1">
        <v>93.905522970333891</v>
      </c>
      <c r="AL666" s="1">
        <v>68.200785888500207</v>
      </c>
      <c r="AM666" s="1">
        <v>58.852939400310014</v>
      </c>
      <c r="AN666" s="174"/>
    </row>
    <row r="667" spans="1:40" s="129" customFormat="1">
      <c r="A667" s="465" t="s">
        <v>1362</v>
      </c>
      <c r="B667" s="211" t="s">
        <v>1373</v>
      </c>
      <c r="C667" s="153">
        <v>1</v>
      </c>
      <c r="D667" s="212" t="s">
        <v>114</v>
      </c>
      <c r="E667" s="601">
        <v>27.98</v>
      </c>
      <c r="F667" s="214">
        <v>0.1065</v>
      </c>
      <c r="G667" s="107">
        <f>E667-(E667*F667)</f>
        <v>25.000129999999999</v>
      </c>
      <c r="H667" s="80"/>
      <c r="I667" s="450"/>
      <c r="J667" s="76"/>
      <c r="K667" s="16"/>
      <c r="L667" s="76"/>
      <c r="M667" s="1045" t="s">
        <v>115</v>
      </c>
      <c r="N667" s="1047" t="s">
        <v>3673</v>
      </c>
      <c r="O667" s="1056" t="s">
        <v>117</v>
      </c>
      <c r="P667" s="1" t="str">
        <f t="shared" si="119"/>
        <v/>
      </c>
      <c r="Q667" s="1" t="str">
        <f t="shared" si="119"/>
        <v/>
      </c>
      <c r="R667" s="1" t="str">
        <f t="shared" si="119"/>
        <v/>
      </c>
      <c r="S667" s="1" t="str">
        <f t="shared" si="119"/>
        <v/>
      </c>
      <c r="T667" s="465" t="s">
        <v>1362</v>
      </c>
      <c r="U667" s="211" t="s">
        <v>1374</v>
      </c>
      <c r="V667" s="153">
        <v>1</v>
      </c>
      <c r="W667" s="212" t="s">
        <v>114</v>
      </c>
      <c r="X667" s="440" t="s">
        <v>1362</v>
      </c>
      <c r="Y667" s="601">
        <v>27.98</v>
      </c>
      <c r="Z667" s="214">
        <v>0.1065</v>
      </c>
      <c r="AA667" s="107">
        <v>25.000129999999999</v>
      </c>
      <c r="AB667" s="80"/>
      <c r="AC667" s="450"/>
      <c r="AD667" s="76"/>
      <c r="AE667" s="16"/>
      <c r="AF667" s="76"/>
      <c r="AG667" s="41" t="s">
        <v>115</v>
      </c>
      <c r="AH667" s="174" t="s">
        <v>116</v>
      </c>
      <c r="AI667" s="159" t="s">
        <v>117</v>
      </c>
      <c r="AJ667" s="1" t="s">
        <v>98</v>
      </c>
      <c r="AK667" s="1" t="s">
        <v>98</v>
      </c>
      <c r="AL667" s="1" t="s">
        <v>98</v>
      </c>
      <c r="AM667" s="1" t="s">
        <v>98</v>
      </c>
      <c r="AN667" s="174"/>
    </row>
    <row r="668" spans="1:40" s="203" customFormat="1">
      <c r="A668" s="421" t="s">
        <v>1375</v>
      </c>
      <c r="B668" s="110" t="s">
        <v>1376</v>
      </c>
      <c r="C668" s="26">
        <v>1</v>
      </c>
      <c r="D668" s="46" t="s">
        <v>114</v>
      </c>
      <c r="E668" s="210"/>
      <c r="F668" s="161"/>
      <c r="G668" s="145">
        <v>6</v>
      </c>
      <c r="H668" s="93"/>
      <c r="I668" s="270"/>
      <c r="J668" s="270"/>
      <c r="K668" s="121"/>
      <c r="L668" s="270"/>
      <c r="M668" s="1045" t="s">
        <v>115</v>
      </c>
      <c r="N668" s="1047" t="s">
        <v>3673</v>
      </c>
      <c r="O668" s="1063" t="s">
        <v>117</v>
      </c>
      <c r="P668" s="1" t="str">
        <f t="shared" si="119"/>
        <v/>
      </c>
      <c r="Q668" s="1" t="str">
        <f t="shared" si="119"/>
        <v/>
      </c>
      <c r="R668" s="1" t="str">
        <f t="shared" si="119"/>
        <v/>
      </c>
      <c r="S668" s="1" t="str">
        <f t="shared" si="119"/>
        <v/>
      </c>
      <c r="T668" s="421" t="s">
        <v>1375</v>
      </c>
      <c r="U668" s="110" t="s">
        <v>1376</v>
      </c>
      <c r="V668" s="26">
        <v>1</v>
      </c>
      <c r="W668" s="46" t="s">
        <v>114</v>
      </c>
      <c r="X668" s="104" t="s">
        <v>1375</v>
      </c>
      <c r="Y668" s="210"/>
      <c r="Z668" s="161"/>
      <c r="AA668" s="145">
        <v>6</v>
      </c>
      <c r="AB668" s="93"/>
      <c r="AC668" s="270"/>
      <c r="AD668" s="270"/>
      <c r="AE668" s="121" t="s">
        <v>92</v>
      </c>
      <c r="AF668" s="270" t="s">
        <v>92</v>
      </c>
      <c r="AG668" s="41" t="s">
        <v>115</v>
      </c>
      <c r="AH668" s="207" t="s">
        <v>116</v>
      </c>
      <c r="AI668" s="14" t="s">
        <v>117</v>
      </c>
      <c r="AJ668" s="1" t="s">
        <v>98</v>
      </c>
      <c r="AK668" s="1" t="s">
        <v>98</v>
      </c>
      <c r="AL668" s="1" t="s">
        <v>98</v>
      </c>
      <c r="AM668" s="1" t="s">
        <v>98</v>
      </c>
      <c r="AN668" s="207"/>
    </row>
    <row r="669" spans="1:40" s="203" customFormat="1">
      <c r="A669" s="421" t="s">
        <v>1377</v>
      </c>
      <c r="B669" s="110" t="s">
        <v>1378</v>
      </c>
      <c r="C669" s="26">
        <v>1</v>
      </c>
      <c r="D669" s="46" t="s">
        <v>114</v>
      </c>
      <c r="E669" s="44"/>
      <c r="F669" s="161"/>
      <c r="G669" s="145">
        <v>8</v>
      </c>
      <c r="H669" s="93"/>
      <c r="I669" s="270"/>
      <c r="J669" s="270"/>
      <c r="K669" s="121"/>
      <c r="L669" s="270"/>
      <c r="M669" s="1045" t="s">
        <v>115</v>
      </c>
      <c r="N669" s="1047" t="s">
        <v>3673</v>
      </c>
      <c r="O669" s="1063" t="s">
        <v>117</v>
      </c>
      <c r="P669" s="1" t="str">
        <f t="shared" si="119"/>
        <v/>
      </c>
      <c r="Q669" s="1" t="str">
        <f t="shared" si="119"/>
        <v/>
      </c>
      <c r="R669" s="1" t="str">
        <f t="shared" si="119"/>
        <v/>
      </c>
      <c r="S669" s="1" t="str">
        <f t="shared" si="119"/>
        <v/>
      </c>
      <c r="T669" s="421" t="s">
        <v>1377</v>
      </c>
      <c r="U669" s="110" t="s">
        <v>1379</v>
      </c>
      <c r="V669" s="26">
        <v>1</v>
      </c>
      <c r="W669" s="46" t="s">
        <v>114</v>
      </c>
      <c r="X669" s="104" t="s">
        <v>1377</v>
      </c>
      <c r="Y669" s="44"/>
      <c r="Z669" s="161"/>
      <c r="AA669" s="145">
        <v>8</v>
      </c>
      <c r="AB669" s="93"/>
      <c r="AC669" s="270"/>
      <c r="AD669" s="270"/>
      <c r="AE669" s="121" t="s">
        <v>92</v>
      </c>
      <c r="AF669" s="270" t="s">
        <v>92</v>
      </c>
      <c r="AG669" s="41" t="s">
        <v>115</v>
      </c>
      <c r="AH669" s="207" t="s">
        <v>116</v>
      </c>
      <c r="AI669" s="14" t="s">
        <v>117</v>
      </c>
      <c r="AJ669" s="1" t="s">
        <v>98</v>
      </c>
      <c r="AK669" s="1" t="s">
        <v>98</v>
      </c>
      <c r="AL669" s="1" t="s">
        <v>98</v>
      </c>
      <c r="AM669" s="1" t="s">
        <v>98</v>
      </c>
      <c r="AN669" s="207"/>
    </row>
    <row r="670" spans="1:40" s="203" customFormat="1">
      <c r="A670" s="421" t="s">
        <v>1380</v>
      </c>
      <c r="B670" s="110" t="s">
        <v>1381</v>
      </c>
      <c r="C670" s="26">
        <v>1</v>
      </c>
      <c r="D670" s="46" t="s">
        <v>114</v>
      </c>
      <c r="E670" s="44"/>
      <c r="F670" s="161"/>
      <c r="G670" s="145">
        <v>11</v>
      </c>
      <c r="H670" s="93"/>
      <c r="I670" s="270"/>
      <c r="J670" s="270"/>
      <c r="K670" s="121"/>
      <c r="L670" s="270"/>
      <c r="M670" s="1045" t="s">
        <v>115</v>
      </c>
      <c r="N670" s="1047" t="s">
        <v>3673</v>
      </c>
      <c r="O670" s="1063" t="s">
        <v>117</v>
      </c>
      <c r="P670" s="1" t="str">
        <f t="shared" ref="P670:S694" si="120">+IF($J670&lt;&gt;"",P$2*$J670,"")</f>
        <v/>
      </c>
      <c r="Q670" s="1" t="str">
        <f t="shared" si="120"/>
        <v/>
      </c>
      <c r="R670" s="1" t="str">
        <f t="shared" si="120"/>
        <v/>
      </c>
      <c r="S670" s="1" t="str">
        <f t="shared" si="120"/>
        <v/>
      </c>
      <c r="T670" s="421" t="s">
        <v>1380</v>
      </c>
      <c r="U670" s="110" t="s">
        <v>1382</v>
      </c>
      <c r="V670" s="26">
        <v>1</v>
      </c>
      <c r="W670" s="46" t="s">
        <v>114</v>
      </c>
      <c r="X670" s="104" t="s">
        <v>1380</v>
      </c>
      <c r="Y670" s="44"/>
      <c r="Z670" s="161"/>
      <c r="AA670" s="145">
        <v>11</v>
      </c>
      <c r="AB670" s="93"/>
      <c r="AC670" s="270"/>
      <c r="AD670" s="270"/>
      <c r="AE670" s="121" t="s">
        <v>92</v>
      </c>
      <c r="AF670" s="270" t="s">
        <v>92</v>
      </c>
      <c r="AG670" s="41" t="s">
        <v>115</v>
      </c>
      <c r="AH670" s="207" t="s">
        <v>116</v>
      </c>
      <c r="AI670" s="14" t="s">
        <v>117</v>
      </c>
      <c r="AJ670" s="1" t="s">
        <v>98</v>
      </c>
      <c r="AK670" s="1" t="s">
        <v>98</v>
      </c>
      <c r="AL670" s="1" t="s">
        <v>98</v>
      </c>
      <c r="AM670" s="1" t="s">
        <v>98</v>
      </c>
      <c r="AN670" s="207"/>
    </row>
    <row r="671" spans="1:40" s="203" customFormat="1">
      <c r="A671" s="421" t="s">
        <v>1383</v>
      </c>
      <c r="B671" s="110" t="s">
        <v>1384</v>
      </c>
      <c r="C671" s="26">
        <v>1</v>
      </c>
      <c r="D671" s="46" t="s">
        <v>114</v>
      </c>
      <c r="E671" s="47"/>
      <c r="F671" s="21"/>
      <c r="G671" s="27">
        <v>94.63</v>
      </c>
      <c r="H671" s="93"/>
      <c r="I671" s="270"/>
      <c r="J671" s="270"/>
      <c r="K671" s="121"/>
      <c r="L671" s="270"/>
      <c r="M671" s="1045" t="s">
        <v>115</v>
      </c>
      <c r="N671" s="1047" t="s">
        <v>3673</v>
      </c>
      <c r="O671" s="1063" t="s">
        <v>117</v>
      </c>
      <c r="P671" s="1" t="str">
        <f t="shared" si="120"/>
        <v/>
      </c>
      <c r="Q671" s="1" t="str">
        <f t="shared" si="120"/>
        <v/>
      </c>
      <c r="R671" s="1" t="str">
        <f t="shared" si="120"/>
        <v/>
      </c>
      <c r="S671" s="1" t="str">
        <f t="shared" si="120"/>
        <v/>
      </c>
      <c r="T671" s="421" t="s">
        <v>1383</v>
      </c>
      <c r="U671" s="110" t="s">
        <v>1384</v>
      </c>
      <c r="V671" s="26">
        <v>1</v>
      </c>
      <c r="W671" s="46" t="s">
        <v>114</v>
      </c>
      <c r="X671" s="104" t="s">
        <v>1383</v>
      </c>
      <c r="Y671" s="47"/>
      <c r="Z671" s="21"/>
      <c r="AA671" s="27">
        <v>94.63</v>
      </c>
      <c r="AB671" s="93"/>
      <c r="AC671" s="270"/>
      <c r="AD671" s="270"/>
      <c r="AE671" s="121" t="s">
        <v>92</v>
      </c>
      <c r="AF671" s="270" t="s">
        <v>92</v>
      </c>
      <c r="AG671" s="41" t="s">
        <v>115</v>
      </c>
      <c r="AH671" s="207" t="s">
        <v>116</v>
      </c>
      <c r="AI671" s="14" t="s">
        <v>117</v>
      </c>
      <c r="AJ671" s="1" t="s">
        <v>98</v>
      </c>
      <c r="AK671" s="1" t="s">
        <v>98</v>
      </c>
      <c r="AL671" s="1" t="s">
        <v>98</v>
      </c>
      <c r="AM671" s="1" t="s">
        <v>98</v>
      </c>
      <c r="AN671" s="207"/>
    </row>
    <row r="672" spans="1:40" s="890" customFormat="1" ht="20.100000000000001" customHeight="1">
      <c r="A672" s="1074" t="s">
        <v>3677</v>
      </c>
      <c r="B672" s="1075" t="s">
        <v>3675</v>
      </c>
      <c r="C672" s="878"/>
      <c r="D672" s="879"/>
      <c r="E672" s="879"/>
      <c r="F672" s="880"/>
      <c r="G672" s="881"/>
      <c r="H672" s="893"/>
      <c r="I672" s="883"/>
      <c r="J672" s="883"/>
      <c r="K672" s="881"/>
      <c r="L672" s="869"/>
      <c r="M672" s="869"/>
      <c r="N672" s="1028"/>
      <c r="O672" s="869"/>
      <c r="P672" s="869"/>
      <c r="Q672" s="869"/>
      <c r="R672" s="869"/>
      <c r="S672" s="887"/>
      <c r="T672" s="848" t="s">
        <v>1385</v>
      </c>
      <c r="U672" s="849"/>
      <c r="V672" s="878"/>
      <c r="W672" s="879"/>
      <c r="X672" s="878"/>
      <c r="Y672" s="879"/>
      <c r="Z672" s="880"/>
      <c r="AA672" s="881"/>
      <c r="AB672" s="886"/>
      <c r="AC672" s="869"/>
      <c r="AD672" s="869"/>
      <c r="AE672" s="886"/>
      <c r="AF672" s="887"/>
      <c r="AG672" s="858"/>
      <c r="AH672" s="888"/>
      <c r="AI672" s="889"/>
      <c r="AJ672" s="860" t="s">
        <v>98</v>
      </c>
      <c r="AK672" s="860" t="s">
        <v>98</v>
      </c>
      <c r="AL672" s="860" t="s">
        <v>98</v>
      </c>
      <c r="AM672" s="860" t="s">
        <v>98</v>
      </c>
      <c r="AN672" s="888"/>
    </row>
    <row r="673" spans="1:48" s="129" customFormat="1">
      <c r="A673" s="425" t="s">
        <v>1386</v>
      </c>
      <c r="B673" s="596" t="s">
        <v>1387</v>
      </c>
      <c r="C673" s="71">
        <v>1</v>
      </c>
      <c r="D673" s="101" t="s">
        <v>90</v>
      </c>
      <c r="E673" s="85">
        <v>876.58</v>
      </c>
      <c r="F673" s="103">
        <f>rv_ipp105</f>
        <v>0.1065</v>
      </c>
      <c r="G673" s="101">
        <f t="shared" ref="G673:G681" si="121">E673-(E673*F673)</f>
        <v>783.22423000000003</v>
      </c>
      <c r="H673" s="71" t="s">
        <v>1388</v>
      </c>
      <c r="I673" s="91">
        <v>25</v>
      </c>
      <c r="J673" s="91">
        <f t="shared" ref="J673:J680" si="122">G673+I673</f>
        <v>808.22423000000003</v>
      </c>
      <c r="K673" s="75">
        <v>14</v>
      </c>
      <c r="L673" s="91">
        <v>0.25</v>
      </c>
      <c r="M673" s="1045" t="s">
        <v>1389</v>
      </c>
      <c r="N673" s="1046" t="s">
        <v>3672</v>
      </c>
      <c r="O673" s="1055" t="s">
        <v>95</v>
      </c>
      <c r="P673" s="1">
        <f t="shared" si="120"/>
        <v>162.70260726889771</v>
      </c>
      <c r="Q673" s="1">
        <f t="shared" si="120"/>
        <v>84.557595860840848</v>
      </c>
      <c r="R673" s="1">
        <f t="shared" si="120"/>
        <v>61.411664704464549</v>
      </c>
      <c r="S673" s="1">
        <f t="shared" si="120"/>
        <v>52.994359731174789</v>
      </c>
      <c r="T673" s="425" t="s">
        <v>1386</v>
      </c>
      <c r="U673" s="596" t="s">
        <v>1387</v>
      </c>
      <c r="V673" s="71">
        <v>1</v>
      </c>
      <c r="W673" s="101" t="s">
        <v>90</v>
      </c>
      <c r="X673" s="101" t="s">
        <v>1386</v>
      </c>
      <c r="Y673" s="85">
        <v>876.58</v>
      </c>
      <c r="Z673" s="103">
        <v>0.1065</v>
      </c>
      <c r="AA673" s="101">
        <v>783.22423000000003</v>
      </c>
      <c r="AB673" s="71" t="s">
        <v>1388</v>
      </c>
      <c r="AC673" s="91">
        <v>25</v>
      </c>
      <c r="AD673" s="91">
        <v>808.22423000000003</v>
      </c>
      <c r="AE673" s="75">
        <v>14</v>
      </c>
      <c r="AF673" s="91">
        <v>0.25</v>
      </c>
      <c r="AG673" s="41" t="s">
        <v>1389</v>
      </c>
      <c r="AH673" s="174" t="s">
        <v>1298</v>
      </c>
      <c r="AI673" s="159" t="s">
        <v>95</v>
      </c>
      <c r="AJ673" s="1">
        <v>162.70260726889771</v>
      </c>
      <c r="AK673" s="1">
        <v>84.557595860840848</v>
      </c>
      <c r="AL673" s="1">
        <v>61.411664704464549</v>
      </c>
      <c r="AM673" s="1">
        <v>52.994359731174789</v>
      </c>
      <c r="AN673" s="174"/>
    </row>
    <row r="674" spans="1:48" s="195" customFormat="1">
      <c r="A674" s="425" t="s">
        <v>1390</v>
      </c>
      <c r="B674" s="455" t="s">
        <v>1391</v>
      </c>
      <c r="C674" s="190">
        <v>1</v>
      </c>
      <c r="D674" s="191" t="s">
        <v>90</v>
      </c>
      <c r="E674" s="85">
        <v>984.92</v>
      </c>
      <c r="F674" s="192">
        <f>rv_ipp11</f>
        <v>0.1065</v>
      </c>
      <c r="G674" s="201">
        <f t="shared" si="121"/>
        <v>880.02602000000002</v>
      </c>
      <c r="H674" s="71" t="s">
        <v>1388</v>
      </c>
      <c r="I674" s="194">
        <v>25</v>
      </c>
      <c r="J674" s="194">
        <f t="shared" si="122"/>
        <v>905.02602000000002</v>
      </c>
      <c r="K674" s="75">
        <v>14</v>
      </c>
      <c r="L674" s="194">
        <v>0.25</v>
      </c>
      <c r="M674" s="1045" t="s">
        <v>1392</v>
      </c>
      <c r="N674" s="1047" t="s">
        <v>3672</v>
      </c>
      <c r="O674" s="1056" t="s">
        <v>95</v>
      </c>
      <c r="P674" s="1">
        <f t="shared" si="120"/>
        <v>182.18965434900852</v>
      </c>
      <c r="Q674" s="1">
        <f t="shared" si="120"/>
        <v>94.685140091265609</v>
      </c>
      <c r="R674" s="1">
        <f t="shared" si="120"/>
        <v>68.766998595248779</v>
      </c>
      <c r="S674" s="1">
        <f t="shared" si="120"/>
        <v>59.341544944715885</v>
      </c>
      <c r="T674" s="425" t="s">
        <v>1390</v>
      </c>
      <c r="U674" s="455" t="s">
        <v>1391</v>
      </c>
      <c r="V674" s="190">
        <v>1</v>
      </c>
      <c r="W674" s="191" t="s">
        <v>90</v>
      </c>
      <c r="X674" s="84" t="s">
        <v>1390</v>
      </c>
      <c r="Y674" s="85">
        <v>984.92</v>
      </c>
      <c r="Z674" s="192">
        <v>0.1065</v>
      </c>
      <c r="AA674" s="201">
        <v>880.02602000000002</v>
      </c>
      <c r="AB674" s="71" t="s">
        <v>1388</v>
      </c>
      <c r="AC674" s="194">
        <v>25</v>
      </c>
      <c r="AD674" s="194">
        <v>905.02602000000002</v>
      </c>
      <c r="AE674" s="75">
        <v>14</v>
      </c>
      <c r="AF674" s="194">
        <v>0.25</v>
      </c>
      <c r="AG674" s="41" t="s">
        <v>1392</v>
      </c>
      <c r="AH674" s="174" t="s">
        <v>1298</v>
      </c>
      <c r="AI674" s="159" t="s">
        <v>95</v>
      </c>
      <c r="AJ674" s="1">
        <v>182.18965434900852</v>
      </c>
      <c r="AK674" s="1">
        <v>94.685140091265609</v>
      </c>
      <c r="AL674" s="1">
        <v>68.766998595248779</v>
      </c>
      <c r="AM674" s="1">
        <v>59.341544944715885</v>
      </c>
      <c r="AN674" s="174"/>
    </row>
    <row r="675" spans="1:48" s="195" customFormat="1">
      <c r="A675" s="425" t="s">
        <v>1393</v>
      </c>
      <c r="B675" s="455" t="s">
        <v>1394</v>
      </c>
      <c r="C675" s="71">
        <v>1</v>
      </c>
      <c r="D675" s="83" t="s">
        <v>90</v>
      </c>
      <c r="E675" s="85">
        <v>1193.25</v>
      </c>
      <c r="F675" s="103">
        <f>rv_ipp11</f>
        <v>0.1065</v>
      </c>
      <c r="G675" s="111">
        <f t="shared" si="121"/>
        <v>1066.1688750000001</v>
      </c>
      <c r="H675" s="71" t="s">
        <v>1388</v>
      </c>
      <c r="I675" s="194">
        <v>25</v>
      </c>
      <c r="J675" s="91">
        <f t="shared" si="122"/>
        <v>1091.1688750000001</v>
      </c>
      <c r="K675" s="75">
        <v>14</v>
      </c>
      <c r="L675" s="91">
        <v>0.25</v>
      </c>
      <c r="M675" s="1045" t="s">
        <v>1395</v>
      </c>
      <c r="N675" s="1047" t="s">
        <v>3672</v>
      </c>
      <c r="O675" s="1056" t="s">
        <v>95</v>
      </c>
      <c r="P675" s="1">
        <f t="shared" si="120"/>
        <v>219.66183930562181</v>
      </c>
      <c r="Q675" s="1">
        <f t="shared" si="120"/>
        <v>114.15967663847243</v>
      </c>
      <c r="R675" s="1">
        <f t="shared" si="120"/>
        <v>82.910774757950264</v>
      </c>
      <c r="S675" s="1">
        <f t="shared" si="120"/>
        <v>71.546723969425287</v>
      </c>
      <c r="T675" s="425" t="s">
        <v>1393</v>
      </c>
      <c r="U675" s="455" t="s">
        <v>1394</v>
      </c>
      <c r="V675" s="71">
        <v>1</v>
      </c>
      <c r="W675" s="83" t="s">
        <v>90</v>
      </c>
      <c r="X675" s="84" t="s">
        <v>1393</v>
      </c>
      <c r="Y675" s="85">
        <v>1193.25</v>
      </c>
      <c r="Z675" s="103">
        <v>0.1065</v>
      </c>
      <c r="AA675" s="111">
        <v>1066.1688750000001</v>
      </c>
      <c r="AB675" s="71" t="s">
        <v>1388</v>
      </c>
      <c r="AC675" s="194">
        <v>25</v>
      </c>
      <c r="AD675" s="91">
        <v>1091.1688750000001</v>
      </c>
      <c r="AE675" s="75">
        <v>14</v>
      </c>
      <c r="AF675" s="91">
        <v>0.25</v>
      </c>
      <c r="AG675" s="41" t="s">
        <v>1395</v>
      </c>
      <c r="AH675" s="174" t="s">
        <v>1298</v>
      </c>
      <c r="AI675" s="159" t="s">
        <v>95</v>
      </c>
      <c r="AJ675" s="1">
        <v>219.66183930562181</v>
      </c>
      <c r="AK675" s="1">
        <v>114.15967663847243</v>
      </c>
      <c r="AL675" s="1">
        <v>82.910774757950264</v>
      </c>
      <c r="AM675" s="1">
        <v>71.546723969425287</v>
      </c>
      <c r="AN675" s="174"/>
    </row>
    <row r="676" spans="1:48" s="195" customFormat="1">
      <c r="A676" s="425" t="s">
        <v>1396</v>
      </c>
      <c r="B676" s="455" t="s">
        <v>1397</v>
      </c>
      <c r="C676" s="71">
        <v>1</v>
      </c>
      <c r="D676" s="83" t="s">
        <v>90</v>
      </c>
      <c r="E676" s="85">
        <v>1609.92</v>
      </c>
      <c r="F676" s="103">
        <f>rv_ipp12</f>
        <v>0.1065</v>
      </c>
      <c r="G676" s="111">
        <f t="shared" si="121"/>
        <v>1438.46352</v>
      </c>
      <c r="H676" s="71" t="s">
        <v>1388</v>
      </c>
      <c r="I676" s="194">
        <v>25</v>
      </c>
      <c r="J676" s="91">
        <f t="shared" si="122"/>
        <v>1463.46352</v>
      </c>
      <c r="K676" s="75">
        <v>14</v>
      </c>
      <c r="L676" s="91">
        <v>0.25</v>
      </c>
      <c r="M676" s="1045" t="s">
        <v>1398</v>
      </c>
      <c r="N676" s="1047" t="s">
        <v>3672</v>
      </c>
      <c r="O676" s="1056" t="s">
        <v>95</v>
      </c>
      <c r="P676" s="1">
        <f t="shared" si="120"/>
        <v>294.60800791250546</v>
      </c>
      <c r="Q676" s="1">
        <f t="shared" si="120"/>
        <v>153.10968452559703</v>
      </c>
      <c r="R676" s="1">
        <f t="shared" si="120"/>
        <v>111.19900599547162</v>
      </c>
      <c r="S676" s="1">
        <f t="shared" si="120"/>
        <v>95.957667876811001</v>
      </c>
      <c r="T676" s="425" t="s">
        <v>1396</v>
      </c>
      <c r="U676" s="455" t="s">
        <v>1397</v>
      </c>
      <c r="V676" s="71">
        <v>1</v>
      </c>
      <c r="W676" s="83" t="s">
        <v>90</v>
      </c>
      <c r="X676" s="84" t="s">
        <v>1396</v>
      </c>
      <c r="Y676" s="85">
        <v>1609.92</v>
      </c>
      <c r="Z676" s="103">
        <v>0.1065</v>
      </c>
      <c r="AA676" s="111">
        <v>1438.46352</v>
      </c>
      <c r="AB676" s="71" t="s">
        <v>1388</v>
      </c>
      <c r="AC676" s="194">
        <v>25</v>
      </c>
      <c r="AD676" s="91">
        <v>1463.46352</v>
      </c>
      <c r="AE676" s="75">
        <v>14</v>
      </c>
      <c r="AF676" s="91">
        <v>0.25</v>
      </c>
      <c r="AG676" s="41" t="s">
        <v>1398</v>
      </c>
      <c r="AH676" s="174" t="s">
        <v>1298</v>
      </c>
      <c r="AI676" s="159" t="s">
        <v>95</v>
      </c>
      <c r="AJ676" s="1">
        <v>294.60800791250546</v>
      </c>
      <c r="AK676" s="1">
        <v>153.10968452559703</v>
      </c>
      <c r="AL676" s="1">
        <v>111.19900599547162</v>
      </c>
      <c r="AM676" s="1">
        <v>95.957667876811001</v>
      </c>
      <c r="AN676" s="174"/>
      <c r="AO676" s="196"/>
      <c r="AP676" s="198"/>
      <c r="AQ676" s="199"/>
      <c r="AR676" s="199"/>
      <c r="AS676" s="200"/>
      <c r="AT676" s="200"/>
      <c r="AU676" s="197"/>
      <c r="AV676" s="83"/>
    </row>
    <row r="677" spans="1:48" s="195" customFormat="1">
      <c r="A677" s="425" t="s">
        <v>1399</v>
      </c>
      <c r="B677" s="455" t="s">
        <v>1400</v>
      </c>
      <c r="C677" s="71">
        <v>1</v>
      </c>
      <c r="D677" s="83" t="s">
        <v>90</v>
      </c>
      <c r="E677" s="85">
        <v>1043.25</v>
      </c>
      <c r="F677" s="103">
        <f>rv_ipp11</f>
        <v>0.1065</v>
      </c>
      <c r="G677" s="111">
        <f t="shared" si="121"/>
        <v>932.14387499999998</v>
      </c>
      <c r="H677" s="71" t="s">
        <v>1388</v>
      </c>
      <c r="I677" s="194">
        <v>25</v>
      </c>
      <c r="J677" s="91">
        <f t="shared" si="122"/>
        <v>957.14387499999998</v>
      </c>
      <c r="K677" s="75">
        <v>14</v>
      </c>
      <c r="L677" s="91">
        <v>0.25</v>
      </c>
      <c r="M677" s="1045" t="s">
        <v>1401</v>
      </c>
      <c r="N677" s="1047" t="s">
        <v>3672</v>
      </c>
      <c r="O677" s="1056" t="s">
        <v>95</v>
      </c>
      <c r="P677" s="1">
        <f t="shared" si="120"/>
        <v>192.68143445038254</v>
      </c>
      <c r="Q677" s="1">
        <f t="shared" si="120"/>
        <v>100.13778597423288</v>
      </c>
      <c r="R677" s="1">
        <f t="shared" si="120"/>
        <v>72.727092981896774</v>
      </c>
      <c r="S677" s="1">
        <f t="shared" si="120"/>
        <v>62.758854465722457</v>
      </c>
      <c r="T677" s="425" t="s">
        <v>1399</v>
      </c>
      <c r="U677" s="455" t="s">
        <v>1400</v>
      </c>
      <c r="V677" s="71">
        <v>1</v>
      </c>
      <c r="W677" s="83" t="s">
        <v>90</v>
      </c>
      <c r="X677" s="84" t="s">
        <v>1399</v>
      </c>
      <c r="Y677" s="85">
        <v>1043.25</v>
      </c>
      <c r="Z677" s="103">
        <v>0.1065</v>
      </c>
      <c r="AA677" s="111">
        <v>932.14387499999998</v>
      </c>
      <c r="AB677" s="71" t="s">
        <v>1388</v>
      </c>
      <c r="AC677" s="194">
        <v>25</v>
      </c>
      <c r="AD677" s="91">
        <v>957.14387499999998</v>
      </c>
      <c r="AE677" s="75">
        <v>14</v>
      </c>
      <c r="AF677" s="91">
        <v>0.25</v>
      </c>
      <c r="AG677" s="41" t="s">
        <v>1401</v>
      </c>
      <c r="AH677" s="174" t="s">
        <v>1298</v>
      </c>
      <c r="AI677" s="159" t="s">
        <v>95</v>
      </c>
      <c r="AJ677" s="1">
        <v>192.68143445038254</v>
      </c>
      <c r="AK677" s="1">
        <v>100.13778597423288</v>
      </c>
      <c r="AL677" s="1">
        <v>72.727092981896774</v>
      </c>
      <c r="AM677" s="1">
        <v>62.758854465722457</v>
      </c>
      <c r="AN677" s="174"/>
    </row>
    <row r="678" spans="1:48" s="195" customFormat="1">
      <c r="A678" s="425" t="s">
        <v>1402</v>
      </c>
      <c r="B678" s="455" t="s">
        <v>1403</v>
      </c>
      <c r="C678" s="71">
        <v>1</v>
      </c>
      <c r="D678" s="83" t="s">
        <v>90</v>
      </c>
      <c r="E678" s="85">
        <v>1151.58</v>
      </c>
      <c r="F678" s="103">
        <f>rv_ipp11</f>
        <v>0.1065</v>
      </c>
      <c r="G678" s="111">
        <f t="shared" si="121"/>
        <v>1028.9367299999999</v>
      </c>
      <c r="H678" s="71" t="s">
        <v>1388</v>
      </c>
      <c r="I678" s="194">
        <v>25</v>
      </c>
      <c r="J678" s="91">
        <f t="shared" si="122"/>
        <v>1053.9367299999999</v>
      </c>
      <c r="K678" s="75">
        <v>14</v>
      </c>
      <c r="L678" s="91">
        <v>0.25</v>
      </c>
      <c r="M678" s="1045" t="s">
        <v>1404</v>
      </c>
      <c r="N678" s="1047" t="s">
        <v>3672</v>
      </c>
      <c r="O678" s="1056" t="s">
        <v>95</v>
      </c>
      <c r="P678" s="1">
        <f t="shared" si="120"/>
        <v>212.16668283683632</v>
      </c>
      <c r="Q678" s="1">
        <f t="shared" si="120"/>
        <v>110.26439541194668</v>
      </c>
      <c r="R678" s="1">
        <f t="shared" si="120"/>
        <v>80.081747960562595</v>
      </c>
      <c r="S678" s="1">
        <f t="shared" si="120"/>
        <v>69.105453821296635</v>
      </c>
      <c r="T678" s="425" t="s">
        <v>1402</v>
      </c>
      <c r="U678" s="455" t="s">
        <v>1403</v>
      </c>
      <c r="V678" s="71">
        <v>1</v>
      </c>
      <c r="W678" s="83" t="s">
        <v>90</v>
      </c>
      <c r="X678" s="84" t="s">
        <v>1402</v>
      </c>
      <c r="Y678" s="85">
        <v>1151.58</v>
      </c>
      <c r="Z678" s="103">
        <v>0.1065</v>
      </c>
      <c r="AA678" s="111">
        <v>1028.9367299999999</v>
      </c>
      <c r="AB678" s="71" t="s">
        <v>1388</v>
      </c>
      <c r="AC678" s="194">
        <v>25</v>
      </c>
      <c r="AD678" s="91">
        <v>1053.9367299999999</v>
      </c>
      <c r="AE678" s="75">
        <v>14</v>
      </c>
      <c r="AF678" s="91">
        <v>0.25</v>
      </c>
      <c r="AG678" s="41" t="s">
        <v>1404</v>
      </c>
      <c r="AH678" s="174" t="s">
        <v>1298</v>
      </c>
      <c r="AI678" s="159" t="s">
        <v>95</v>
      </c>
      <c r="AJ678" s="1">
        <v>212.16668283683632</v>
      </c>
      <c r="AK678" s="1">
        <v>110.26439541194668</v>
      </c>
      <c r="AL678" s="1">
        <v>80.081747960562595</v>
      </c>
      <c r="AM678" s="1">
        <v>69.105453821296635</v>
      </c>
      <c r="AN678" s="174"/>
    </row>
    <row r="679" spans="1:48" s="195" customFormat="1">
      <c r="A679" s="425" t="s">
        <v>1405</v>
      </c>
      <c r="B679" s="455" t="s">
        <v>1406</v>
      </c>
      <c r="C679" s="71">
        <v>1</v>
      </c>
      <c r="D679" s="83" t="s">
        <v>90</v>
      </c>
      <c r="E679" s="85">
        <v>1359.92</v>
      </c>
      <c r="F679" s="103">
        <f>rv_ipp11</f>
        <v>0.1065</v>
      </c>
      <c r="G679" s="111">
        <f t="shared" si="121"/>
        <v>1215.08852</v>
      </c>
      <c r="H679" s="71" t="s">
        <v>1388</v>
      </c>
      <c r="I679" s="194">
        <v>25</v>
      </c>
      <c r="J679" s="91">
        <f t="shared" si="122"/>
        <v>1240.08852</v>
      </c>
      <c r="K679" s="75">
        <v>14</v>
      </c>
      <c r="L679" s="91">
        <v>0.25</v>
      </c>
      <c r="M679" s="1045" t="s">
        <v>1407</v>
      </c>
      <c r="N679" s="1047" t="s">
        <v>3672</v>
      </c>
      <c r="O679" s="1056" t="s">
        <v>95</v>
      </c>
      <c r="P679" s="1">
        <f t="shared" si="120"/>
        <v>249.64066648710667</v>
      </c>
      <c r="Q679" s="1">
        <f t="shared" si="120"/>
        <v>129.73986675186447</v>
      </c>
      <c r="R679" s="1">
        <f t="shared" si="120"/>
        <v>94.226203035382483</v>
      </c>
      <c r="S679" s="1">
        <f t="shared" si="120"/>
        <v>81.311218703972955</v>
      </c>
      <c r="T679" s="425" t="s">
        <v>1405</v>
      </c>
      <c r="U679" s="455" t="s">
        <v>1406</v>
      </c>
      <c r="V679" s="71">
        <v>1</v>
      </c>
      <c r="W679" s="83" t="s">
        <v>90</v>
      </c>
      <c r="X679" s="84" t="s">
        <v>1405</v>
      </c>
      <c r="Y679" s="85">
        <v>1359.92</v>
      </c>
      <c r="Z679" s="103">
        <v>0.1065</v>
      </c>
      <c r="AA679" s="111">
        <v>1215.08852</v>
      </c>
      <c r="AB679" s="71" t="s">
        <v>1388</v>
      </c>
      <c r="AC679" s="194">
        <v>25</v>
      </c>
      <c r="AD679" s="91">
        <v>1240.08852</v>
      </c>
      <c r="AE679" s="75">
        <v>14</v>
      </c>
      <c r="AF679" s="91">
        <v>0.25</v>
      </c>
      <c r="AG679" s="41" t="s">
        <v>1407</v>
      </c>
      <c r="AH679" s="174" t="s">
        <v>1298</v>
      </c>
      <c r="AI679" s="159" t="s">
        <v>95</v>
      </c>
      <c r="AJ679" s="1">
        <v>249.64066648710667</v>
      </c>
      <c r="AK679" s="1">
        <v>129.73986675186447</v>
      </c>
      <c r="AL679" s="1">
        <v>94.226203035382483</v>
      </c>
      <c r="AM679" s="1">
        <v>81.311218703972955</v>
      </c>
      <c r="AN679" s="174"/>
    </row>
    <row r="680" spans="1:48" s="195" customFormat="1">
      <c r="A680" s="425" t="s">
        <v>1408</v>
      </c>
      <c r="B680" s="455" t="s">
        <v>1409</v>
      </c>
      <c r="C680" s="71">
        <v>1</v>
      </c>
      <c r="D680" s="83" t="s">
        <v>90</v>
      </c>
      <c r="E680" s="85">
        <v>1776.58</v>
      </c>
      <c r="F680" s="103">
        <f>rv_ipp12</f>
        <v>0.1065</v>
      </c>
      <c r="G680" s="111">
        <f t="shared" si="121"/>
        <v>1587.3742299999999</v>
      </c>
      <c r="H680" s="71" t="s">
        <v>1388</v>
      </c>
      <c r="I680" s="194">
        <v>25</v>
      </c>
      <c r="J680" s="91">
        <f t="shared" si="122"/>
        <v>1612.3742299999999</v>
      </c>
      <c r="K680" s="75">
        <v>14</v>
      </c>
      <c r="L680" s="91">
        <v>0.25</v>
      </c>
      <c r="M680" s="1045" t="s">
        <v>1410</v>
      </c>
      <c r="N680" s="1047" t="s">
        <v>3672</v>
      </c>
      <c r="O680" s="1056" t="s">
        <v>95</v>
      </c>
      <c r="P680" s="1">
        <f t="shared" si="120"/>
        <v>324.58503640033325</v>
      </c>
      <c r="Q680" s="1">
        <f t="shared" si="120"/>
        <v>168.68893984627812</v>
      </c>
      <c r="R680" s="1">
        <f t="shared" si="120"/>
        <v>122.51375536078545</v>
      </c>
      <c r="S680" s="1">
        <f t="shared" si="120"/>
        <v>105.72157675339176</v>
      </c>
      <c r="T680" s="425" t="s">
        <v>1408</v>
      </c>
      <c r="U680" s="455" t="s">
        <v>1409</v>
      </c>
      <c r="V680" s="71">
        <v>1</v>
      </c>
      <c r="W680" s="83" t="s">
        <v>90</v>
      </c>
      <c r="X680" s="84" t="s">
        <v>1408</v>
      </c>
      <c r="Y680" s="85">
        <v>1776.58</v>
      </c>
      <c r="Z680" s="103">
        <v>0.1065</v>
      </c>
      <c r="AA680" s="111">
        <v>1587.3742299999999</v>
      </c>
      <c r="AB680" s="71" t="s">
        <v>1388</v>
      </c>
      <c r="AC680" s="194">
        <v>25</v>
      </c>
      <c r="AD680" s="91">
        <v>1612.3742299999999</v>
      </c>
      <c r="AE680" s="75">
        <v>14</v>
      </c>
      <c r="AF680" s="91">
        <v>0.25</v>
      </c>
      <c r="AG680" s="41" t="s">
        <v>1410</v>
      </c>
      <c r="AH680" s="174" t="s">
        <v>1298</v>
      </c>
      <c r="AI680" s="159" t="s">
        <v>95</v>
      </c>
      <c r="AJ680" s="1">
        <v>324.58503640033325</v>
      </c>
      <c r="AK680" s="1">
        <v>168.68893984627812</v>
      </c>
      <c r="AL680" s="1">
        <v>122.51375536078545</v>
      </c>
      <c r="AM680" s="1">
        <v>105.72157675339176</v>
      </c>
      <c r="AN680" s="174"/>
    </row>
    <row r="681" spans="1:48" s="129" customFormat="1">
      <c r="A681" s="457" t="s">
        <v>1388</v>
      </c>
      <c r="B681" s="79" t="s">
        <v>1411</v>
      </c>
      <c r="C681" s="80">
        <v>1</v>
      </c>
      <c r="D681" s="123" t="s">
        <v>114</v>
      </c>
      <c r="E681" s="601">
        <v>27.98</v>
      </c>
      <c r="F681" s="214">
        <f>rv_ipp11</f>
        <v>0.1065</v>
      </c>
      <c r="G681" s="107">
        <f t="shared" si="121"/>
        <v>25.000129999999999</v>
      </c>
      <c r="H681" s="107"/>
      <c r="I681" s="128"/>
      <c r="J681" s="128"/>
      <c r="K681" s="16"/>
      <c r="L681" s="76"/>
      <c r="M681" s="1045" t="s">
        <v>115</v>
      </c>
      <c r="N681" s="1047" t="s">
        <v>3673</v>
      </c>
      <c r="O681" s="1056" t="s">
        <v>117</v>
      </c>
      <c r="P681" s="1" t="str">
        <f t="shared" si="120"/>
        <v/>
      </c>
      <c r="Q681" s="1" t="str">
        <f t="shared" si="120"/>
        <v/>
      </c>
      <c r="R681" s="1" t="str">
        <f t="shared" si="120"/>
        <v/>
      </c>
      <c r="S681" s="1" t="str">
        <f t="shared" si="120"/>
        <v/>
      </c>
      <c r="T681" s="457" t="s">
        <v>1388</v>
      </c>
      <c r="U681" s="79" t="s">
        <v>1412</v>
      </c>
      <c r="V681" s="80">
        <v>1</v>
      </c>
      <c r="W681" s="123" t="s">
        <v>114</v>
      </c>
      <c r="X681" s="122" t="s">
        <v>1388</v>
      </c>
      <c r="Y681" s="601">
        <v>27.98</v>
      </c>
      <c r="Z681" s="214">
        <v>0.1065</v>
      </c>
      <c r="AA681" s="107">
        <v>25.000129999999999</v>
      </c>
      <c r="AB681" s="107"/>
      <c r="AC681" s="128"/>
      <c r="AD681" s="128"/>
      <c r="AE681" s="16" t="s">
        <v>92</v>
      </c>
      <c r="AF681" s="76" t="s">
        <v>92</v>
      </c>
      <c r="AG681" s="41" t="s">
        <v>115</v>
      </c>
      <c r="AH681" s="174" t="s">
        <v>116</v>
      </c>
      <c r="AI681" s="159" t="s">
        <v>117</v>
      </c>
      <c r="AJ681" s="1" t="s">
        <v>98</v>
      </c>
      <c r="AK681" s="1" t="s">
        <v>98</v>
      </c>
      <c r="AL681" s="1" t="s">
        <v>98</v>
      </c>
      <c r="AM681" s="1" t="s">
        <v>98</v>
      </c>
      <c r="AN681" s="174"/>
    </row>
    <row r="682" spans="1:48">
      <c r="A682" s="421" t="s">
        <v>1413</v>
      </c>
      <c r="B682" s="110" t="s">
        <v>1414</v>
      </c>
      <c r="C682" s="26">
        <v>1</v>
      </c>
      <c r="D682" s="46" t="s">
        <v>114</v>
      </c>
      <c r="E682" s="47"/>
      <c r="F682" s="21"/>
      <c r="G682" s="145">
        <v>6</v>
      </c>
      <c r="H682" s="145"/>
      <c r="I682" s="76"/>
      <c r="J682" s="76"/>
      <c r="K682" s="16"/>
      <c r="L682" s="76"/>
      <c r="M682" s="1045" t="s">
        <v>115</v>
      </c>
      <c r="N682" s="1047" t="s">
        <v>3673</v>
      </c>
      <c r="O682" s="1056" t="s">
        <v>117</v>
      </c>
      <c r="P682" s="1" t="str">
        <f t="shared" si="120"/>
        <v/>
      </c>
      <c r="Q682" s="1" t="str">
        <f t="shared" si="120"/>
        <v/>
      </c>
      <c r="R682" s="1" t="str">
        <f t="shared" si="120"/>
        <v/>
      </c>
      <c r="S682" s="1" t="str">
        <f t="shared" si="120"/>
        <v/>
      </c>
      <c r="T682" s="421" t="s">
        <v>1413</v>
      </c>
      <c r="U682" s="110" t="s">
        <v>1414</v>
      </c>
      <c r="V682" s="26">
        <v>1</v>
      </c>
      <c r="W682" s="46" t="s">
        <v>114</v>
      </c>
      <c r="X682" s="104" t="s">
        <v>1413</v>
      </c>
      <c r="Y682" s="47"/>
      <c r="Z682" s="21"/>
      <c r="AA682" s="145">
        <v>6</v>
      </c>
      <c r="AB682" s="145"/>
      <c r="AC682" s="76"/>
      <c r="AD682" s="76"/>
      <c r="AE682" s="16" t="s">
        <v>92</v>
      </c>
      <c r="AF682" s="76" t="s">
        <v>92</v>
      </c>
      <c r="AG682" s="41" t="s">
        <v>115</v>
      </c>
      <c r="AH682" s="174" t="s">
        <v>116</v>
      </c>
      <c r="AI682" s="159" t="s">
        <v>117</v>
      </c>
      <c r="AJ682" s="1" t="s">
        <v>98</v>
      </c>
      <c r="AK682" s="1" t="s">
        <v>98</v>
      </c>
      <c r="AL682" s="1" t="s">
        <v>98</v>
      </c>
      <c r="AM682" s="1" t="s">
        <v>98</v>
      </c>
      <c r="AN682" s="174"/>
    </row>
    <row r="683" spans="1:48">
      <c r="A683" s="421" t="s">
        <v>1415</v>
      </c>
      <c r="B683" s="110" t="s">
        <v>1416</v>
      </c>
      <c r="C683" s="26">
        <v>1</v>
      </c>
      <c r="D683" s="46" t="s">
        <v>114</v>
      </c>
      <c r="E683" s="47"/>
      <c r="F683" s="21"/>
      <c r="G683" s="145">
        <v>8</v>
      </c>
      <c r="H683" s="145"/>
      <c r="I683" s="76"/>
      <c r="J683" s="76"/>
      <c r="K683" s="16"/>
      <c r="L683" s="76"/>
      <c r="M683" s="1045" t="s">
        <v>115</v>
      </c>
      <c r="N683" s="1047" t="s">
        <v>3673</v>
      </c>
      <c r="O683" s="1056" t="s">
        <v>117</v>
      </c>
      <c r="P683" s="1" t="str">
        <f t="shared" si="120"/>
        <v/>
      </c>
      <c r="Q683" s="1" t="str">
        <f t="shared" si="120"/>
        <v/>
      </c>
      <c r="R683" s="1" t="str">
        <f t="shared" si="120"/>
        <v/>
      </c>
      <c r="S683" s="1" t="str">
        <f t="shared" si="120"/>
        <v/>
      </c>
      <c r="T683" s="421" t="s">
        <v>1415</v>
      </c>
      <c r="U683" s="110" t="s">
        <v>1417</v>
      </c>
      <c r="V683" s="26">
        <v>1</v>
      </c>
      <c r="W683" s="46" t="s">
        <v>114</v>
      </c>
      <c r="X683" s="104" t="s">
        <v>1415</v>
      </c>
      <c r="Y683" s="47"/>
      <c r="Z683" s="21"/>
      <c r="AA683" s="145">
        <v>8</v>
      </c>
      <c r="AB683" s="145"/>
      <c r="AC683" s="76"/>
      <c r="AD683" s="76"/>
      <c r="AE683" s="16" t="s">
        <v>92</v>
      </c>
      <c r="AF683" s="76" t="s">
        <v>92</v>
      </c>
      <c r="AG683" s="41" t="s">
        <v>115</v>
      </c>
      <c r="AH683" s="174" t="s">
        <v>116</v>
      </c>
      <c r="AI683" s="159" t="s">
        <v>117</v>
      </c>
      <c r="AJ683" s="1" t="s">
        <v>98</v>
      </c>
      <c r="AK683" s="1" t="s">
        <v>98</v>
      </c>
      <c r="AL683" s="1" t="s">
        <v>98</v>
      </c>
      <c r="AM683" s="1" t="s">
        <v>98</v>
      </c>
      <c r="AN683" s="174"/>
    </row>
    <row r="684" spans="1:48">
      <c r="A684" s="421" t="s">
        <v>1418</v>
      </c>
      <c r="B684" s="110" t="s">
        <v>1419</v>
      </c>
      <c r="C684" s="26">
        <v>1</v>
      </c>
      <c r="D684" s="46" t="s">
        <v>114</v>
      </c>
      <c r="E684" s="47"/>
      <c r="F684" s="21"/>
      <c r="G684" s="145">
        <v>11</v>
      </c>
      <c r="H684" s="145"/>
      <c r="I684" s="76"/>
      <c r="J684" s="76"/>
      <c r="K684" s="16"/>
      <c r="L684" s="76"/>
      <c r="M684" s="1045" t="s">
        <v>115</v>
      </c>
      <c r="N684" s="1047" t="s">
        <v>3673</v>
      </c>
      <c r="O684" s="1056" t="s">
        <v>117</v>
      </c>
      <c r="P684" s="1" t="str">
        <f t="shared" si="120"/>
        <v/>
      </c>
      <c r="Q684" s="1" t="str">
        <f t="shared" si="120"/>
        <v/>
      </c>
      <c r="R684" s="1" t="str">
        <f t="shared" si="120"/>
        <v/>
      </c>
      <c r="S684" s="1" t="str">
        <f t="shared" si="120"/>
        <v/>
      </c>
      <c r="T684" s="421" t="s">
        <v>1418</v>
      </c>
      <c r="U684" s="110" t="s">
        <v>1420</v>
      </c>
      <c r="V684" s="26">
        <v>1</v>
      </c>
      <c r="W684" s="46" t="s">
        <v>114</v>
      </c>
      <c r="X684" s="104" t="s">
        <v>1418</v>
      </c>
      <c r="Y684" s="47"/>
      <c r="Z684" s="21"/>
      <c r="AA684" s="145">
        <v>11</v>
      </c>
      <c r="AB684" s="145"/>
      <c r="AC684" s="76"/>
      <c r="AD684" s="76"/>
      <c r="AE684" s="16" t="s">
        <v>92</v>
      </c>
      <c r="AF684" s="76" t="s">
        <v>92</v>
      </c>
      <c r="AG684" s="41" t="s">
        <v>115</v>
      </c>
      <c r="AH684" s="174" t="s">
        <v>116</v>
      </c>
      <c r="AI684" s="159" t="s">
        <v>117</v>
      </c>
      <c r="AJ684" s="1" t="s">
        <v>98</v>
      </c>
      <c r="AK684" s="1" t="s">
        <v>98</v>
      </c>
      <c r="AL684" s="1" t="s">
        <v>98</v>
      </c>
      <c r="AM684" s="1" t="s">
        <v>98</v>
      </c>
      <c r="AN684" s="174"/>
    </row>
    <row r="685" spans="1:48">
      <c r="A685" s="422" t="s">
        <v>1421</v>
      </c>
      <c r="B685" s="105" t="s">
        <v>1422</v>
      </c>
      <c r="C685" s="26">
        <v>1</v>
      </c>
      <c r="D685" s="46" t="s">
        <v>114</v>
      </c>
      <c r="E685" s="47"/>
      <c r="F685" s="21"/>
      <c r="G685" s="27">
        <v>94.63</v>
      </c>
      <c r="H685" s="145"/>
      <c r="I685" s="76"/>
      <c r="J685" s="76"/>
      <c r="K685" s="16"/>
      <c r="L685" s="76"/>
      <c r="M685" s="1045" t="s">
        <v>115</v>
      </c>
      <c r="N685" s="1047" t="s">
        <v>3673</v>
      </c>
      <c r="O685" s="1056" t="s">
        <v>117</v>
      </c>
      <c r="P685" s="1" t="str">
        <f t="shared" si="120"/>
        <v/>
      </c>
      <c r="Q685" s="1" t="str">
        <f t="shared" si="120"/>
        <v/>
      </c>
      <c r="R685" s="1" t="str">
        <f t="shared" si="120"/>
        <v/>
      </c>
      <c r="S685" s="1" t="str">
        <f t="shared" si="120"/>
        <v/>
      </c>
      <c r="T685" s="422" t="s">
        <v>1421</v>
      </c>
      <c r="U685" s="105" t="s">
        <v>1422</v>
      </c>
      <c r="V685" s="26">
        <v>1</v>
      </c>
      <c r="W685" s="46" t="s">
        <v>114</v>
      </c>
      <c r="X685" s="104" t="s">
        <v>1421</v>
      </c>
      <c r="Y685" s="47"/>
      <c r="Z685" s="21"/>
      <c r="AA685" s="27">
        <v>94.63</v>
      </c>
      <c r="AB685" s="145"/>
      <c r="AC685" s="76"/>
      <c r="AD685" s="76"/>
      <c r="AE685" s="16" t="s">
        <v>92</v>
      </c>
      <c r="AF685" s="76" t="s">
        <v>92</v>
      </c>
      <c r="AG685" s="41" t="s">
        <v>115</v>
      </c>
      <c r="AH685" s="174" t="s">
        <v>116</v>
      </c>
      <c r="AI685" s="159" t="s">
        <v>117</v>
      </c>
      <c r="AJ685" s="1" t="s">
        <v>98</v>
      </c>
      <c r="AK685" s="1" t="s">
        <v>98</v>
      </c>
      <c r="AL685" s="1" t="s">
        <v>98</v>
      </c>
      <c r="AM685" s="1" t="s">
        <v>98</v>
      </c>
      <c r="AN685" s="174"/>
    </row>
    <row r="686" spans="1:48" s="860" customFormat="1" ht="20.100000000000001" customHeight="1">
      <c r="A686" s="1076" t="s">
        <v>3676</v>
      </c>
      <c r="B686" s="1077" t="s">
        <v>3675</v>
      </c>
      <c r="C686" s="878"/>
      <c r="D686" s="879"/>
      <c r="E686" s="879"/>
      <c r="F686" s="880"/>
      <c r="G686" s="881"/>
      <c r="H686" s="893"/>
      <c r="I686" s="883"/>
      <c r="J686" s="883"/>
      <c r="K686" s="881"/>
      <c r="L686" s="869"/>
      <c r="M686" s="869"/>
      <c r="N686" s="1028"/>
      <c r="O686" s="869"/>
      <c r="P686" s="869"/>
      <c r="Q686" s="869"/>
      <c r="R686" s="869"/>
      <c r="S686" s="887"/>
      <c r="T686" s="891" t="s">
        <v>1423</v>
      </c>
      <c r="U686" s="892"/>
      <c r="V686" s="878"/>
      <c r="W686" s="879"/>
      <c r="X686" s="878"/>
      <c r="Y686" s="879"/>
      <c r="Z686" s="880"/>
      <c r="AA686" s="881"/>
      <c r="AB686" s="893"/>
      <c r="AC686" s="883"/>
      <c r="AD686" s="883"/>
      <c r="AE686" s="881"/>
      <c r="AF686" s="883"/>
      <c r="AG686" s="858"/>
      <c r="AH686" s="871"/>
      <c r="AI686" s="885"/>
      <c r="AJ686" s="860" t="s">
        <v>98</v>
      </c>
      <c r="AK686" s="860" t="s">
        <v>98</v>
      </c>
      <c r="AL686" s="860" t="s">
        <v>98</v>
      </c>
      <c r="AM686" s="860" t="s">
        <v>98</v>
      </c>
      <c r="AN686" s="871"/>
    </row>
    <row r="687" spans="1:48" s="195" customFormat="1">
      <c r="A687" s="425" t="s">
        <v>1424</v>
      </c>
      <c r="B687" s="100" t="s">
        <v>1425</v>
      </c>
      <c r="C687" s="71">
        <v>1</v>
      </c>
      <c r="D687" s="72" t="s">
        <v>90</v>
      </c>
      <c r="E687" s="85">
        <v>1209.92</v>
      </c>
      <c r="F687" s="103">
        <f t="shared" ref="F687:F695" si="123">rv_ipp12</f>
        <v>0.1065</v>
      </c>
      <c r="G687" s="111">
        <f t="shared" ref="G687:G695" si="124">E687-(E687*F687)</f>
        <v>1081.0635200000002</v>
      </c>
      <c r="H687" s="71" t="s">
        <v>1426</v>
      </c>
      <c r="I687" s="194">
        <v>25</v>
      </c>
      <c r="J687" s="91">
        <f t="shared" ref="J687:J694" si="125">G687+I687</f>
        <v>1106.0635200000002</v>
      </c>
      <c r="K687" s="75">
        <v>14</v>
      </c>
      <c r="L687" s="91">
        <v>0.25</v>
      </c>
      <c r="M687" s="1045" t="s">
        <v>1427</v>
      </c>
      <c r="N687" s="1046" t="s">
        <v>3672</v>
      </c>
      <c r="O687" s="1055" t="s">
        <v>95</v>
      </c>
      <c r="P687" s="1">
        <f t="shared" si="120"/>
        <v>222.66026163186743</v>
      </c>
      <c r="Q687" s="1">
        <f t="shared" si="120"/>
        <v>115.71797608762493</v>
      </c>
      <c r="R687" s="1">
        <f t="shared" si="120"/>
        <v>84.042521259329007</v>
      </c>
      <c r="S687" s="1">
        <f t="shared" si="120"/>
        <v>72.523349200270133</v>
      </c>
      <c r="T687" s="425" t="s">
        <v>1424</v>
      </c>
      <c r="U687" s="100" t="s">
        <v>1425</v>
      </c>
      <c r="V687" s="71">
        <v>1</v>
      </c>
      <c r="W687" s="72" t="s">
        <v>90</v>
      </c>
      <c r="X687" s="197" t="s">
        <v>1424</v>
      </c>
      <c r="Y687" s="85">
        <v>1209.92</v>
      </c>
      <c r="Z687" s="103">
        <v>0.1065</v>
      </c>
      <c r="AA687" s="111">
        <v>1081.0635200000002</v>
      </c>
      <c r="AB687" s="71" t="s">
        <v>1426</v>
      </c>
      <c r="AC687" s="194">
        <v>25</v>
      </c>
      <c r="AD687" s="91">
        <v>1106.0635200000002</v>
      </c>
      <c r="AE687" s="75">
        <v>14</v>
      </c>
      <c r="AF687" s="91">
        <v>0.25</v>
      </c>
      <c r="AG687" s="41" t="s">
        <v>1427</v>
      </c>
      <c r="AH687" s="174" t="s">
        <v>1298</v>
      </c>
      <c r="AI687" s="159" t="s">
        <v>95</v>
      </c>
      <c r="AJ687" s="1">
        <v>222.66026163186743</v>
      </c>
      <c r="AK687" s="1">
        <v>115.71797608762493</v>
      </c>
      <c r="AL687" s="1">
        <v>84.042521259329007</v>
      </c>
      <c r="AM687" s="1">
        <v>72.523349200270133</v>
      </c>
      <c r="AN687" s="174"/>
    </row>
    <row r="688" spans="1:48" s="195" customFormat="1">
      <c r="A688" s="425" t="s">
        <v>1428</v>
      </c>
      <c r="B688" s="100" t="s">
        <v>1429</v>
      </c>
      <c r="C688" s="71">
        <v>1</v>
      </c>
      <c r="D688" s="83" t="s">
        <v>90</v>
      </c>
      <c r="E688" s="85">
        <v>1318.25</v>
      </c>
      <c r="F688" s="103">
        <f t="shared" si="123"/>
        <v>0.1065</v>
      </c>
      <c r="G688" s="111">
        <f t="shared" si="124"/>
        <v>1177.8563750000001</v>
      </c>
      <c r="H688" s="71" t="s">
        <v>1426</v>
      </c>
      <c r="I688" s="194">
        <v>25</v>
      </c>
      <c r="J688" s="91">
        <f t="shared" si="125"/>
        <v>1202.8563750000001</v>
      </c>
      <c r="K688" s="75">
        <v>14</v>
      </c>
      <c r="L688" s="91">
        <v>0.25</v>
      </c>
      <c r="M688" s="1045" t="s">
        <v>1430</v>
      </c>
      <c r="N688" s="1047" t="s">
        <v>3672</v>
      </c>
      <c r="O688" s="1056" t="s">
        <v>95</v>
      </c>
      <c r="P688" s="1">
        <f t="shared" si="120"/>
        <v>242.1455100183212</v>
      </c>
      <c r="Q688" s="1">
        <f t="shared" si="120"/>
        <v>125.84458552533873</v>
      </c>
      <c r="R688" s="1">
        <f t="shared" si="120"/>
        <v>91.397176237994827</v>
      </c>
      <c r="S688" s="1">
        <f t="shared" si="120"/>
        <v>78.869948555844317</v>
      </c>
      <c r="T688" s="425" t="s">
        <v>1428</v>
      </c>
      <c r="U688" s="100" t="s">
        <v>1429</v>
      </c>
      <c r="V688" s="71">
        <v>1</v>
      </c>
      <c r="W688" s="83" t="s">
        <v>90</v>
      </c>
      <c r="X688" s="254" t="s">
        <v>1428</v>
      </c>
      <c r="Y688" s="85">
        <v>1318.25</v>
      </c>
      <c r="Z688" s="103">
        <v>0.1065</v>
      </c>
      <c r="AA688" s="111">
        <v>1177.8563750000001</v>
      </c>
      <c r="AB688" s="71" t="s">
        <v>1426</v>
      </c>
      <c r="AC688" s="194">
        <v>25</v>
      </c>
      <c r="AD688" s="91">
        <v>1202.8563750000001</v>
      </c>
      <c r="AE688" s="75">
        <v>14</v>
      </c>
      <c r="AF688" s="91">
        <v>0.25</v>
      </c>
      <c r="AG688" s="41" t="s">
        <v>1430</v>
      </c>
      <c r="AH688" s="14" t="s">
        <v>1298</v>
      </c>
      <c r="AI688" s="159" t="s">
        <v>95</v>
      </c>
      <c r="AJ688" s="1">
        <v>242.1455100183212</v>
      </c>
      <c r="AK688" s="1">
        <v>125.84458552533873</v>
      </c>
      <c r="AL688" s="1">
        <v>91.397176237994827</v>
      </c>
      <c r="AM688" s="1">
        <v>78.869948555844317</v>
      </c>
      <c r="AN688" s="207"/>
    </row>
    <row r="689" spans="1:40" s="195" customFormat="1">
      <c r="A689" s="425" t="s">
        <v>1431</v>
      </c>
      <c r="B689" s="100" t="s">
        <v>1432</v>
      </c>
      <c r="C689" s="71">
        <v>1</v>
      </c>
      <c r="D689" s="83" t="s">
        <v>90</v>
      </c>
      <c r="E689" s="85">
        <v>1526.58</v>
      </c>
      <c r="F689" s="103">
        <f t="shared" si="123"/>
        <v>0.1065</v>
      </c>
      <c r="G689" s="111">
        <f t="shared" si="124"/>
        <v>1363.9992299999999</v>
      </c>
      <c r="H689" s="71" t="s">
        <v>1426</v>
      </c>
      <c r="I689" s="194">
        <v>25</v>
      </c>
      <c r="J689" s="91">
        <f t="shared" si="125"/>
        <v>1388.9992299999999</v>
      </c>
      <c r="K689" s="75">
        <v>14</v>
      </c>
      <c r="L689" s="91">
        <v>0.25</v>
      </c>
      <c r="M689" s="1045" t="s">
        <v>1433</v>
      </c>
      <c r="N689" s="1047" t="s">
        <v>3672</v>
      </c>
      <c r="O689" s="1056" t="s">
        <v>95</v>
      </c>
      <c r="P689" s="1">
        <f t="shared" si="120"/>
        <v>279.61769497493447</v>
      </c>
      <c r="Q689" s="1">
        <f t="shared" si="120"/>
        <v>145.31912207254553</v>
      </c>
      <c r="R689" s="1">
        <f t="shared" si="120"/>
        <v>105.5409524006963</v>
      </c>
      <c r="S689" s="1">
        <f t="shared" si="120"/>
        <v>91.075127580553712</v>
      </c>
      <c r="T689" s="425" t="s">
        <v>1431</v>
      </c>
      <c r="U689" s="100" t="s">
        <v>1432</v>
      </c>
      <c r="V689" s="71">
        <v>1</v>
      </c>
      <c r="W689" s="83" t="s">
        <v>90</v>
      </c>
      <c r="X689" s="254" t="s">
        <v>1431</v>
      </c>
      <c r="Y689" s="85">
        <v>1526.58</v>
      </c>
      <c r="Z689" s="103">
        <v>0.1065</v>
      </c>
      <c r="AA689" s="111">
        <v>1363.9992299999999</v>
      </c>
      <c r="AB689" s="71" t="s">
        <v>1426</v>
      </c>
      <c r="AC689" s="194">
        <v>25</v>
      </c>
      <c r="AD689" s="91">
        <v>1388.9992299999999</v>
      </c>
      <c r="AE689" s="75">
        <v>14</v>
      </c>
      <c r="AF689" s="91">
        <v>0.25</v>
      </c>
      <c r="AG689" s="41" t="s">
        <v>1433</v>
      </c>
      <c r="AH689" s="14" t="s">
        <v>1298</v>
      </c>
      <c r="AI689" s="159" t="s">
        <v>95</v>
      </c>
      <c r="AJ689" s="1">
        <v>279.61769497493447</v>
      </c>
      <c r="AK689" s="1">
        <v>145.31912207254553</v>
      </c>
      <c r="AL689" s="1">
        <v>105.5409524006963</v>
      </c>
      <c r="AM689" s="1">
        <v>91.075127580553712</v>
      </c>
      <c r="AN689" s="207"/>
    </row>
    <row r="690" spans="1:40" s="195" customFormat="1">
      <c r="A690" s="425" t="s">
        <v>1434</v>
      </c>
      <c r="B690" s="100" t="s">
        <v>1435</v>
      </c>
      <c r="C690" s="71">
        <v>1</v>
      </c>
      <c r="D690" s="83" t="s">
        <v>90</v>
      </c>
      <c r="E690" s="85">
        <v>1943.25</v>
      </c>
      <c r="F690" s="103">
        <f t="shared" si="123"/>
        <v>0.1065</v>
      </c>
      <c r="G690" s="111">
        <f t="shared" si="124"/>
        <v>1736.2938750000001</v>
      </c>
      <c r="H690" s="71" t="s">
        <v>1426</v>
      </c>
      <c r="I690" s="194">
        <v>25</v>
      </c>
      <c r="J690" s="91">
        <f t="shared" si="125"/>
        <v>1761.2938750000001</v>
      </c>
      <c r="K690" s="75">
        <v>14</v>
      </c>
      <c r="L690" s="91">
        <v>0.25</v>
      </c>
      <c r="M690" s="1045" t="s">
        <v>1436</v>
      </c>
      <c r="N690" s="1047" t="s">
        <v>3672</v>
      </c>
      <c r="O690" s="1056" t="s">
        <v>95</v>
      </c>
      <c r="P690" s="1">
        <f t="shared" si="120"/>
        <v>354.56386358181811</v>
      </c>
      <c r="Q690" s="1">
        <f t="shared" si="120"/>
        <v>184.26912995967015</v>
      </c>
      <c r="R690" s="1">
        <f t="shared" si="120"/>
        <v>133.8291836382177</v>
      </c>
      <c r="S690" s="1">
        <f t="shared" si="120"/>
        <v>115.48607148793944</v>
      </c>
      <c r="T690" s="425" t="s">
        <v>1434</v>
      </c>
      <c r="U690" s="100" t="s">
        <v>1435</v>
      </c>
      <c r="V690" s="71">
        <v>1</v>
      </c>
      <c r="W690" s="83" t="s">
        <v>90</v>
      </c>
      <c r="X690" s="254" t="s">
        <v>1434</v>
      </c>
      <c r="Y690" s="85">
        <v>1943.25</v>
      </c>
      <c r="Z690" s="103">
        <v>0.1065</v>
      </c>
      <c r="AA690" s="111">
        <v>1736.2938750000001</v>
      </c>
      <c r="AB690" s="71" t="s">
        <v>1426</v>
      </c>
      <c r="AC690" s="194">
        <v>25</v>
      </c>
      <c r="AD690" s="91">
        <v>1761.2938750000001</v>
      </c>
      <c r="AE690" s="75">
        <v>14</v>
      </c>
      <c r="AF690" s="91">
        <v>0.25</v>
      </c>
      <c r="AG690" s="41" t="s">
        <v>1436</v>
      </c>
      <c r="AH690" s="14" t="s">
        <v>1298</v>
      </c>
      <c r="AI690" s="159" t="s">
        <v>95</v>
      </c>
      <c r="AJ690" s="1">
        <v>354.56386358181811</v>
      </c>
      <c r="AK690" s="1">
        <v>184.26912995967015</v>
      </c>
      <c r="AL690" s="1">
        <v>133.8291836382177</v>
      </c>
      <c r="AM690" s="1">
        <v>115.48607148793944</v>
      </c>
      <c r="AN690" s="207"/>
    </row>
    <row r="691" spans="1:40" s="195" customFormat="1">
      <c r="A691" s="425" t="s">
        <v>1437</v>
      </c>
      <c r="B691" s="100" t="s">
        <v>1438</v>
      </c>
      <c r="C691" s="71">
        <v>1</v>
      </c>
      <c r="D691" s="83" t="s">
        <v>90</v>
      </c>
      <c r="E691" s="85">
        <v>1376.58</v>
      </c>
      <c r="F691" s="103">
        <f t="shared" si="123"/>
        <v>0.1065</v>
      </c>
      <c r="G691" s="111">
        <f t="shared" si="124"/>
        <v>1229.97423</v>
      </c>
      <c r="H691" s="71" t="s">
        <v>1426</v>
      </c>
      <c r="I691" s="194">
        <v>25</v>
      </c>
      <c r="J691" s="91">
        <f t="shared" si="125"/>
        <v>1254.97423</v>
      </c>
      <c r="K691" s="75">
        <v>14</v>
      </c>
      <c r="L691" s="91">
        <v>0.25</v>
      </c>
      <c r="M691" s="1045" t="s">
        <v>1439</v>
      </c>
      <c r="N691" s="1047" t="s">
        <v>3672</v>
      </c>
      <c r="O691" s="1056" t="s">
        <v>95</v>
      </c>
      <c r="P691" s="1">
        <f t="shared" si="120"/>
        <v>252.63729011969525</v>
      </c>
      <c r="Q691" s="1">
        <f t="shared" si="120"/>
        <v>131.297231408306</v>
      </c>
      <c r="R691" s="1">
        <f t="shared" si="120"/>
        <v>95.357270624642837</v>
      </c>
      <c r="S691" s="1">
        <f t="shared" si="120"/>
        <v>82.28725807685089</v>
      </c>
      <c r="T691" s="425" t="s">
        <v>1437</v>
      </c>
      <c r="U691" s="100" t="s">
        <v>1438</v>
      </c>
      <c r="V691" s="71">
        <v>1</v>
      </c>
      <c r="W691" s="83" t="s">
        <v>90</v>
      </c>
      <c r="X691" s="254" t="s">
        <v>1437</v>
      </c>
      <c r="Y691" s="85">
        <v>1376.58</v>
      </c>
      <c r="Z691" s="103">
        <v>0.1065</v>
      </c>
      <c r="AA691" s="111">
        <v>1229.97423</v>
      </c>
      <c r="AB691" s="71" t="s">
        <v>1426</v>
      </c>
      <c r="AC691" s="194">
        <v>25</v>
      </c>
      <c r="AD691" s="91">
        <v>1254.97423</v>
      </c>
      <c r="AE691" s="75">
        <v>14</v>
      </c>
      <c r="AF691" s="91">
        <v>0.25</v>
      </c>
      <c r="AG691" s="41" t="s">
        <v>1439</v>
      </c>
      <c r="AH691" s="14" t="s">
        <v>1298</v>
      </c>
      <c r="AI691" s="159" t="s">
        <v>95</v>
      </c>
      <c r="AJ691" s="1">
        <v>252.63729011969525</v>
      </c>
      <c r="AK691" s="1">
        <v>131.297231408306</v>
      </c>
      <c r="AL691" s="1">
        <v>95.357270624642837</v>
      </c>
      <c r="AM691" s="1">
        <v>82.28725807685089</v>
      </c>
      <c r="AN691" s="207"/>
    </row>
    <row r="692" spans="1:40" s="195" customFormat="1">
      <c r="A692" s="425" t="s">
        <v>1440</v>
      </c>
      <c r="B692" s="100" t="s">
        <v>1441</v>
      </c>
      <c r="C692" s="71">
        <v>1</v>
      </c>
      <c r="D692" s="83" t="s">
        <v>90</v>
      </c>
      <c r="E692" s="85">
        <v>1484.92</v>
      </c>
      <c r="F692" s="103">
        <f t="shared" si="123"/>
        <v>0.1065</v>
      </c>
      <c r="G692" s="111">
        <f t="shared" si="124"/>
        <v>1326.77602</v>
      </c>
      <c r="H692" s="71" t="s">
        <v>1426</v>
      </c>
      <c r="I692" s="194">
        <v>25</v>
      </c>
      <c r="J692" s="91">
        <f t="shared" si="125"/>
        <v>1351.77602</v>
      </c>
      <c r="K692" s="75">
        <v>14</v>
      </c>
      <c r="L692" s="91">
        <v>0.25</v>
      </c>
      <c r="M692" s="1045" t="s">
        <v>1442</v>
      </c>
      <c r="N692" s="1054" t="s">
        <v>1298</v>
      </c>
      <c r="O692" s="1056" t="s">
        <v>95</v>
      </c>
      <c r="P692" s="1">
        <f t="shared" si="120"/>
        <v>272.12433719980606</v>
      </c>
      <c r="Q692" s="1">
        <f t="shared" si="120"/>
        <v>141.42477563873075</v>
      </c>
      <c r="R692" s="1">
        <f t="shared" si="120"/>
        <v>102.71260451542706</v>
      </c>
      <c r="S692" s="1">
        <f t="shared" si="120"/>
        <v>88.634443290391985</v>
      </c>
      <c r="T692" s="425" t="s">
        <v>1440</v>
      </c>
      <c r="U692" s="100" t="s">
        <v>1441</v>
      </c>
      <c r="V692" s="71">
        <v>1</v>
      </c>
      <c r="W692" s="83" t="s">
        <v>90</v>
      </c>
      <c r="X692" s="254" t="s">
        <v>1440</v>
      </c>
      <c r="Y692" s="85">
        <v>1484.92</v>
      </c>
      <c r="Z692" s="103">
        <v>0.1065</v>
      </c>
      <c r="AA692" s="111">
        <v>1326.77602</v>
      </c>
      <c r="AB692" s="71" t="s">
        <v>1426</v>
      </c>
      <c r="AC692" s="194">
        <v>25</v>
      </c>
      <c r="AD692" s="91">
        <v>1351.77602</v>
      </c>
      <c r="AE692" s="75">
        <v>14</v>
      </c>
      <c r="AF692" s="91">
        <v>0.25</v>
      </c>
      <c r="AG692" s="41" t="s">
        <v>1442</v>
      </c>
      <c r="AH692" s="14" t="s">
        <v>1298</v>
      </c>
      <c r="AI692" s="159" t="s">
        <v>95</v>
      </c>
      <c r="AJ692" s="1">
        <v>272.12433719980606</v>
      </c>
      <c r="AK692" s="1">
        <v>141.42477563873075</v>
      </c>
      <c r="AL692" s="1">
        <v>102.71260451542706</v>
      </c>
      <c r="AM692" s="1">
        <v>88.634443290391985</v>
      </c>
      <c r="AN692" s="207"/>
    </row>
    <row r="693" spans="1:40" s="195" customFormat="1">
      <c r="A693" s="425" t="s">
        <v>1443</v>
      </c>
      <c r="B693" s="100" t="s">
        <v>1444</v>
      </c>
      <c r="C693" s="71">
        <v>1</v>
      </c>
      <c r="D693" s="83" t="s">
        <v>90</v>
      </c>
      <c r="E693" s="85">
        <v>1693.25</v>
      </c>
      <c r="F693" s="103">
        <f t="shared" si="123"/>
        <v>0.1065</v>
      </c>
      <c r="G693" s="111">
        <f t="shared" si="124"/>
        <v>1512.9188750000001</v>
      </c>
      <c r="H693" s="71" t="s">
        <v>1426</v>
      </c>
      <c r="I693" s="194">
        <v>25</v>
      </c>
      <c r="J693" s="91">
        <f t="shared" si="125"/>
        <v>1537.9188750000001</v>
      </c>
      <c r="K693" s="75">
        <v>14</v>
      </c>
      <c r="L693" s="91">
        <v>0.25</v>
      </c>
      <c r="M693" s="1045" t="s">
        <v>1445</v>
      </c>
      <c r="N693" s="1054" t="s">
        <v>1298</v>
      </c>
      <c r="O693" s="1056" t="s">
        <v>95</v>
      </c>
      <c r="P693" s="1">
        <f t="shared" si="120"/>
        <v>309.59652215641938</v>
      </c>
      <c r="Q693" s="1">
        <f t="shared" si="120"/>
        <v>160.89931218593759</v>
      </c>
      <c r="R693" s="1">
        <f t="shared" si="120"/>
        <v>116.85638067812855</v>
      </c>
      <c r="S693" s="1">
        <f t="shared" si="120"/>
        <v>100.83962231510139</v>
      </c>
      <c r="T693" s="425" t="s">
        <v>1443</v>
      </c>
      <c r="U693" s="100" t="s">
        <v>1444</v>
      </c>
      <c r="V693" s="71">
        <v>1</v>
      </c>
      <c r="W693" s="83" t="s">
        <v>90</v>
      </c>
      <c r="X693" s="254" t="s">
        <v>1443</v>
      </c>
      <c r="Y693" s="85">
        <v>1693.25</v>
      </c>
      <c r="Z693" s="103">
        <v>0.1065</v>
      </c>
      <c r="AA693" s="111">
        <v>1512.9188750000001</v>
      </c>
      <c r="AB693" s="71" t="s">
        <v>1426</v>
      </c>
      <c r="AC693" s="194">
        <v>25</v>
      </c>
      <c r="AD693" s="91">
        <v>1537.9188750000001</v>
      </c>
      <c r="AE693" s="75">
        <v>14</v>
      </c>
      <c r="AF693" s="91">
        <v>0.25</v>
      </c>
      <c r="AG693" s="41" t="s">
        <v>1445</v>
      </c>
      <c r="AH693" s="14" t="s">
        <v>1298</v>
      </c>
      <c r="AI693" s="159" t="s">
        <v>95</v>
      </c>
      <c r="AJ693" s="1">
        <v>309.59652215641938</v>
      </c>
      <c r="AK693" s="1">
        <v>160.89931218593759</v>
      </c>
      <c r="AL693" s="1">
        <v>116.85638067812855</v>
      </c>
      <c r="AM693" s="1">
        <v>100.83962231510139</v>
      </c>
      <c r="AN693" s="207"/>
    </row>
    <row r="694" spans="1:40" s="195" customFormat="1">
      <c r="A694" s="425" t="s">
        <v>1446</v>
      </c>
      <c r="B694" s="100" t="s">
        <v>1447</v>
      </c>
      <c r="C694" s="71">
        <v>1</v>
      </c>
      <c r="D694" s="83" t="s">
        <v>90</v>
      </c>
      <c r="E694" s="85">
        <v>2105.75</v>
      </c>
      <c r="F694" s="103">
        <f t="shared" si="123"/>
        <v>0.1065</v>
      </c>
      <c r="G694" s="111">
        <f t="shared" si="124"/>
        <v>1881.487625</v>
      </c>
      <c r="H694" s="71" t="s">
        <v>1426</v>
      </c>
      <c r="I694" s="194">
        <v>25</v>
      </c>
      <c r="J694" s="91">
        <f t="shared" si="125"/>
        <v>1906.487625</v>
      </c>
      <c r="K694" s="75">
        <v>14</v>
      </c>
      <c r="L694" s="91">
        <v>0.25</v>
      </c>
      <c r="M694" s="1045" t="s">
        <v>1448</v>
      </c>
      <c r="N694" s="1047" t="s">
        <v>1298</v>
      </c>
      <c r="O694" s="1056" t="s">
        <v>95</v>
      </c>
      <c r="P694" s="1">
        <f t="shared" si="120"/>
        <v>383.79263550832729</v>
      </c>
      <c r="Q694" s="1">
        <f t="shared" si="120"/>
        <v>199.45951151259632</v>
      </c>
      <c r="R694" s="1">
        <f t="shared" si="120"/>
        <v>144.86150556227562</v>
      </c>
      <c r="S694" s="1">
        <f t="shared" si="120"/>
        <v>125.00626345028417</v>
      </c>
      <c r="T694" s="425" t="s">
        <v>1446</v>
      </c>
      <c r="U694" s="100" t="s">
        <v>1447</v>
      </c>
      <c r="V694" s="71">
        <v>1</v>
      </c>
      <c r="W694" s="83" t="s">
        <v>90</v>
      </c>
      <c r="X694" s="254" t="s">
        <v>1446</v>
      </c>
      <c r="Y694" s="85">
        <v>2105.75</v>
      </c>
      <c r="Z694" s="103">
        <v>0.1065</v>
      </c>
      <c r="AA694" s="111">
        <v>1881.487625</v>
      </c>
      <c r="AB694" s="71" t="s">
        <v>1426</v>
      </c>
      <c r="AC694" s="194">
        <v>25</v>
      </c>
      <c r="AD694" s="91">
        <v>1906.487625</v>
      </c>
      <c r="AE694" s="75">
        <v>14</v>
      </c>
      <c r="AF694" s="91">
        <v>0.25</v>
      </c>
      <c r="AG694" s="41" t="s">
        <v>1448</v>
      </c>
      <c r="AH694" s="174" t="s">
        <v>1298</v>
      </c>
      <c r="AI694" s="159" t="s">
        <v>95</v>
      </c>
      <c r="AJ694" s="1">
        <v>383.79263550832729</v>
      </c>
      <c r="AK694" s="1">
        <v>199.45951151259632</v>
      </c>
      <c r="AL694" s="1">
        <v>144.86150556227562</v>
      </c>
      <c r="AM694" s="1">
        <v>125.00626345028417</v>
      </c>
      <c r="AN694" s="207"/>
    </row>
    <row r="695" spans="1:40" s="129" customFormat="1">
      <c r="A695" s="466" t="s">
        <v>1426</v>
      </c>
      <c r="B695" s="79" t="s">
        <v>1449</v>
      </c>
      <c r="C695" s="80">
        <v>1</v>
      </c>
      <c r="D695" s="123" t="s">
        <v>114</v>
      </c>
      <c r="E695" s="601">
        <v>27.98</v>
      </c>
      <c r="F695" s="214">
        <f t="shared" si="123"/>
        <v>0.1065</v>
      </c>
      <c r="G695" s="107">
        <f t="shared" si="124"/>
        <v>25.000129999999999</v>
      </c>
      <c r="H695" s="107"/>
      <c r="I695" s="76"/>
      <c r="J695" s="128"/>
      <c r="K695" s="16"/>
      <c r="L695" s="76"/>
      <c r="M695" s="1045" t="s">
        <v>115</v>
      </c>
      <c r="N695" s="1047" t="s">
        <v>3673</v>
      </c>
      <c r="O695" s="1063" t="s">
        <v>117</v>
      </c>
      <c r="P695" s="1" t="str">
        <f t="shared" ref="P695:R699" si="126">+IF($AD695&lt;&gt;"",P$2*$AD695,"")</f>
        <v/>
      </c>
      <c r="Q695" s="1" t="str">
        <f t="shared" si="126"/>
        <v/>
      </c>
      <c r="R695" s="1" t="str">
        <f t="shared" si="126"/>
        <v/>
      </c>
      <c r="S695" s="1"/>
      <c r="T695" s="466" t="s">
        <v>1426</v>
      </c>
      <c r="U695" s="79" t="s">
        <v>1450</v>
      </c>
      <c r="V695" s="80">
        <v>1</v>
      </c>
      <c r="W695" s="123" t="s">
        <v>114</v>
      </c>
      <c r="X695" s="122" t="s">
        <v>1426</v>
      </c>
      <c r="Y695" s="601">
        <v>27.98</v>
      </c>
      <c r="Z695" s="214">
        <v>0.1065</v>
      </c>
      <c r="AA695" s="107">
        <v>25.000129999999999</v>
      </c>
      <c r="AB695" s="107"/>
      <c r="AC695" s="76"/>
      <c r="AD695" s="128"/>
      <c r="AE695" s="16" t="s">
        <v>92</v>
      </c>
      <c r="AF695" s="76" t="s">
        <v>92</v>
      </c>
      <c r="AG695" s="41" t="s">
        <v>115</v>
      </c>
      <c r="AH695" s="157" t="s">
        <v>116</v>
      </c>
      <c r="AI695" s="14" t="s">
        <v>117</v>
      </c>
      <c r="AJ695" s="1" t="s">
        <v>98</v>
      </c>
      <c r="AK695" s="1" t="s">
        <v>98</v>
      </c>
      <c r="AL695" s="1" t="s">
        <v>98</v>
      </c>
      <c r="AM695" s="1"/>
      <c r="AN695" s="207"/>
    </row>
    <row r="696" spans="1:40">
      <c r="A696" s="421" t="s">
        <v>1451</v>
      </c>
      <c r="B696" s="110" t="s">
        <v>1452</v>
      </c>
      <c r="C696" s="26">
        <v>1</v>
      </c>
      <c r="D696" s="46" t="s">
        <v>114</v>
      </c>
      <c r="E696" s="47"/>
      <c r="F696" s="21"/>
      <c r="G696" s="145">
        <v>6</v>
      </c>
      <c r="H696" s="145"/>
      <c r="I696" s="76"/>
      <c r="J696" s="76"/>
      <c r="K696" s="16"/>
      <c r="L696" s="76"/>
      <c r="M696" s="1045" t="s">
        <v>115</v>
      </c>
      <c r="N696" s="1047" t="s">
        <v>3673</v>
      </c>
      <c r="O696" s="1063" t="s">
        <v>117</v>
      </c>
      <c r="P696" s="1" t="str">
        <f t="shared" si="126"/>
        <v/>
      </c>
      <c r="Q696" s="1" t="str">
        <f t="shared" si="126"/>
        <v/>
      </c>
      <c r="R696" s="1" t="str">
        <f t="shared" si="126"/>
        <v/>
      </c>
      <c r="S696" s="1" t="str">
        <f>+IF($AD695&lt;&gt;"",S$2*$AD695,"")</f>
        <v/>
      </c>
      <c r="T696" s="421" t="s">
        <v>1451</v>
      </c>
      <c r="U696" s="110" t="s">
        <v>1452</v>
      </c>
      <c r="V696" s="26">
        <v>1</v>
      </c>
      <c r="W696" s="46" t="s">
        <v>114</v>
      </c>
      <c r="X696" s="104" t="s">
        <v>1451</v>
      </c>
      <c r="Y696" s="47"/>
      <c r="Z696" s="21"/>
      <c r="AA696" s="145">
        <v>6</v>
      </c>
      <c r="AB696" s="145"/>
      <c r="AC696" s="76"/>
      <c r="AD696" s="76"/>
      <c r="AE696" s="16" t="s">
        <v>92</v>
      </c>
      <c r="AF696" s="76" t="s">
        <v>92</v>
      </c>
      <c r="AG696" s="41" t="s">
        <v>115</v>
      </c>
      <c r="AH696" s="157" t="s">
        <v>116</v>
      </c>
      <c r="AI696" s="14" t="s">
        <v>117</v>
      </c>
      <c r="AJ696" s="1" t="s">
        <v>98</v>
      </c>
      <c r="AK696" s="1" t="s">
        <v>98</v>
      </c>
      <c r="AL696" s="1" t="s">
        <v>98</v>
      </c>
      <c r="AM696" s="1" t="s">
        <v>98</v>
      </c>
      <c r="AN696" s="207"/>
    </row>
    <row r="697" spans="1:40">
      <c r="A697" s="421" t="s">
        <v>1453</v>
      </c>
      <c r="B697" s="110" t="s">
        <v>1454</v>
      </c>
      <c r="C697" s="26">
        <v>1</v>
      </c>
      <c r="D697" s="46" t="s">
        <v>114</v>
      </c>
      <c r="E697" s="47"/>
      <c r="F697" s="21"/>
      <c r="G697" s="145">
        <v>8</v>
      </c>
      <c r="H697" s="145"/>
      <c r="I697" s="76"/>
      <c r="J697" s="76"/>
      <c r="K697" s="16"/>
      <c r="L697" s="76"/>
      <c r="M697" s="1045" t="s">
        <v>115</v>
      </c>
      <c r="N697" s="1047" t="s">
        <v>3673</v>
      </c>
      <c r="O697" s="1063" t="s">
        <v>117</v>
      </c>
      <c r="P697" s="1" t="str">
        <f t="shared" si="126"/>
        <v/>
      </c>
      <c r="Q697" s="1" t="str">
        <f t="shared" si="126"/>
        <v/>
      </c>
      <c r="R697" s="1" t="str">
        <f t="shared" si="126"/>
        <v/>
      </c>
      <c r="S697" s="1" t="str">
        <f>+IF($AD696&lt;&gt;"",S$2*$AD696,"")</f>
        <v/>
      </c>
      <c r="T697" s="421" t="s">
        <v>1453</v>
      </c>
      <c r="U697" s="110" t="s">
        <v>1455</v>
      </c>
      <c r="V697" s="26">
        <v>1</v>
      </c>
      <c r="W697" s="46" t="s">
        <v>114</v>
      </c>
      <c r="X697" s="104" t="s">
        <v>1453</v>
      </c>
      <c r="Y697" s="47"/>
      <c r="Z697" s="21"/>
      <c r="AA697" s="145">
        <v>8</v>
      </c>
      <c r="AB697" s="145"/>
      <c r="AC697" s="76"/>
      <c r="AD697" s="76"/>
      <c r="AE697" s="16" t="s">
        <v>92</v>
      </c>
      <c r="AF697" s="76" t="s">
        <v>92</v>
      </c>
      <c r="AG697" s="41" t="s">
        <v>115</v>
      </c>
      <c r="AH697" s="157" t="s">
        <v>116</v>
      </c>
      <c r="AI697" s="14" t="s">
        <v>117</v>
      </c>
      <c r="AJ697" s="1" t="s">
        <v>98</v>
      </c>
      <c r="AK697" s="1" t="s">
        <v>98</v>
      </c>
      <c r="AL697" s="1" t="s">
        <v>98</v>
      </c>
      <c r="AM697" s="1" t="s">
        <v>98</v>
      </c>
      <c r="AN697" s="207"/>
    </row>
    <row r="698" spans="1:40">
      <c r="A698" s="421" t="s">
        <v>1456</v>
      </c>
      <c r="B698" s="110" t="s">
        <v>1457</v>
      </c>
      <c r="C698" s="26">
        <v>1</v>
      </c>
      <c r="D698" s="46" t="s">
        <v>114</v>
      </c>
      <c r="E698" s="47"/>
      <c r="F698" s="21"/>
      <c r="G698" s="145">
        <v>11</v>
      </c>
      <c r="H698" s="145"/>
      <c r="I698" s="76"/>
      <c r="J698" s="76"/>
      <c r="K698" s="16"/>
      <c r="L698" s="76"/>
      <c r="M698" s="1045" t="s">
        <v>115</v>
      </c>
      <c r="N698" s="1047" t="s">
        <v>3673</v>
      </c>
      <c r="O698" s="1063" t="s">
        <v>117</v>
      </c>
      <c r="P698" s="1" t="str">
        <f t="shared" si="126"/>
        <v/>
      </c>
      <c r="Q698" s="1" t="str">
        <f t="shared" si="126"/>
        <v/>
      </c>
      <c r="R698" s="1" t="str">
        <f t="shared" si="126"/>
        <v/>
      </c>
      <c r="S698" s="1" t="str">
        <f>+IF($AD697&lt;&gt;"",S$2*$AD697,"")</f>
        <v/>
      </c>
      <c r="T698" s="421" t="s">
        <v>1456</v>
      </c>
      <c r="U698" s="110" t="s">
        <v>1457</v>
      </c>
      <c r="V698" s="26">
        <v>1</v>
      </c>
      <c r="W698" s="46" t="s">
        <v>114</v>
      </c>
      <c r="X698" s="104" t="s">
        <v>1456</v>
      </c>
      <c r="Y698" s="47"/>
      <c r="Z698" s="21"/>
      <c r="AA698" s="145">
        <v>11</v>
      </c>
      <c r="AB698" s="145"/>
      <c r="AC698" s="76"/>
      <c r="AD698" s="76"/>
      <c r="AE698" s="16" t="s">
        <v>92</v>
      </c>
      <c r="AF698" s="76" t="s">
        <v>92</v>
      </c>
      <c r="AG698" s="41" t="s">
        <v>115</v>
      </c>
      <c r="AH698" s="157" t="s">
        <v>116</v>
      </c>
      <c r="AI698" s="14" t="s">
        <v>117</v>
      </c>
      <c r="AJ698" s="1" t="s">
        <v>98</v>
      </c>
      <c r="AK698" s="1" t="s">
        <v>98</v>
      </c>
      <c r="AL698" s="1" t="s">
        <v>98</v>
      </c>
      <c r="AM698" s="1" t="s">
        <v>98</v>
      </c>
      <c r="AN698" s="207"/>
    </row>
    <row r="699" spans="1:40">
      <c r="A699" s="422" t="s">
        <v>1458</v>
      </c>
      <c r="B699" s="105" t="s">
        <v>1459</v>
      </c>
      <c r="C699" s="26">
        <v>1</v>
      </c>
      <c r="D699" s="46" t="s">
        <v>114</v>
      </c>
      <c r="E699" s="47"/>
      <c r="F699" s="21"/>
      <c r="G699" s="27">
        <v>94.63</v>
      </c>
      <c r="H699" s="145"/>
      <c r="I699" s="76"/>
      <c r="J699" s="76"/>
      <c r="K699" s="16"/>
      <c r="L699" s="76"/>
      <c r="M699" s="1045" t="s">
        <v>115</v>
      </c>
      <c r="N699" s="1047" t="s">
        <v>3673</v>
      </c>
      <c r="O699" s="1063" t="s">
        <v>117</v>
      </c>
      <c r="P699" s="1" t="str">
        <f t="shared" si="126"/>
        <v/>
      </c>
      <c r="Q699" s="1" t="str">
        <f t="shared" si="126"/>
        <v/>
      </c>
      <c r="R699" s="1" t="str">
        <f t="shared" si="126"/>
        <v/>
      </c>
      <c r="S699" s="1" t="str">
        <f>+IF($AD698&lt;&gt;"",S$2*$AD698,"")</f>
        <v/>
      </c>
      <c r="T699" s="422" t="s">
        <v>1458</v>
      </c>
      <c r="U699" s="105" t="s">
        <v>1459</v>
      </c>
      <c r="V699" s="26">
        <v>1</v>
      </c>
      <c r="W699" s="46" t="s">
        <v>114</v>
      </c>
      <c r="X699" s="104" t="s">
        <v>1458</v>
      </c>
      <c r="Y699" s="47"/>
      <c r="Z699" s="21"/>
      <c r="AA699" s="27">
        <v>94.63</v>
      </c>
      <c r="AB699" s="145"/>
      <c r="AC699" s="76"/>
      <c r="AD699" s="76"/>
      <c r="AE699" s="16" t="s">
        <v>92</v>
      </c>
      <c r="AF699" s="76" t="s">
        <v>92</v>
      </c>
      <c r="AG699" s="41" t="s">
        <v>115</v>
      </c>
      <c r="AH699" s="157" t="s">
        <v>116</v>
      </c>
      <c r="AI699" s="14" t="s">
        <v>117</v>
      </c>
      <c r="AJ699" s="1" t="s">
        <v>98</v>
      </c>
      <c r="AK699" s="1" t="s">
        <v>98</v>
      </c>
      <c r="AL699" s="1" t="s">
        <v>98</v>
      </c>
      <c r="AM699" s="1" t="s">
        <v>98</v>
      </c>
      <c r="AN699" s="207"/>
    </row>
    <row r="700" spans="1:40" ht="15.75">
      <c r="A700" s="1031"/>
      <c r="B700" s="1031"/>
      <c r="C700" s="46"/>
      <c r="F700" s="173"/>
      <c r="G700" s="1"/>
      <c r="H700" s="165"/>
      <c r="I700" s="160"/>
      <c r="J700" s="160"/>
      <c r="K700" s="1"/>
      <c r="L700" s="123"/>
      <c r="M700" s="165"/>
      <c r="N700" s="590"/>
      <c r="O700" s="165"/>
      <c r="P700" s="1"/>
      <c r="Q700" s="1"/>
      <c r="R700" s="1"/>
      <c r="S700" s="1069"/>
      <c r="T700" s="1163" t="s">
        <v>1460</v>
      </c>
      <c r="U700" s="1164"/>
      <c r="W700" s="47"/>
      <c r="X700" s="1"/>
      <c r="Y700" s="22"/>
      <c r="Z700" s="173"/>
      <c r="AA700" s="22"/>
      <c r="AB700" s="165"/>
      <c r="AC700" s="609"/>
      <c r="AD700" s="609"/>
      <c r="AE700" s="1"/>
      <c r="AF700" s="209"/>
      <c r="AG700" s="163"/>
      <c r="AH700" s="165"/>
      <c r="AJ700" s="1" t="s">
        <v>98</v>
      </c>
      <c r="AK700" s="1" t="s">
        <v>98</v>
      </c>
      <c r="AL700" s="1" t="s">
        <v>98</v>
      </c>
      <c r="AM700" s="1" t="s">
        <v>98</v>
      </c>
      <c r="AN700" s="1"/>
    </row>
    <row r="701" spans="1:40">
      <c r="A701" s="732"/>
      <c r="B701" s="732"/>
      <c r="C701" s="1032"/>
      <c r="D701" s="365"/>
      <c r="E701" s="733"/>
      <c r="F701" s="366"/>
      <c r="G701" s="1033"/>
      <c r="H701" s="1034"/>
      <c r="I701" s="1035"/>
      <c r="J701" s="1035"/>
      <c r="K701" s="1"/>
      <c r="L701" s="123"/>
      <c r="M701" s="1036"/>
      <c r="N701" s="1037"/>
      <c r="O701" s="310"/>
      <c r="P701" s="1"/>
      <c r="Q701" s="1"/>
      <c r="R701" s="1"/>
      <c r="S701" s="1069"/>
      <c r="T701" s="732" t="s">
        <v>1461</v>
      </c>
      <c r="U701" s="363" t="s">
        <v>1462</v>
      </c>
      <c r="V701" s="364">
        <v>1</v>
      </c>
      <c r="W701" s="365" t="s">
        <v>90</v>
      </c>
      <c r="X701" s="441" t="s">
        <v>1461</v>
      </c>
      <c r="Y701" s="374">
        <v>165.83</v>
      </c>
      <c r="Z701" s="366">
        <v>0.17599999999999999</v>
      </c>
      <c r="AA701" s="367">
        <v>136.64392000000001</v>
      </c>
      <c r="AB701" s="315"/>
      <c r="AC701" s="314"/>
      <c r="AD701" s="314"/>
      <c r="AE701" s="1"/>
      <c r="AF701" s="209"/>
      <c r="AG701" s="311" t="s">
        <v>115</v>
      </c>
      <c r="AH701" s="310" t="s">
        <v>116</v>
      </c>
      <c r="AI701" s="412" t="s">
        <v>117</v>
      </c>
      <c r="AJ701" s="1" t="s">
        <v>98</v>
      </c>
      <c r="AK701" s="1" t="s">
        <v>98</v>
      </c>
      <c r="AL701" s="1" t="s">
        <v>98</v>
      </c>
      <c r="AM701" s="1" t="s">
        <v>98</v>
      </c>
      <c r="AN701" s="1"/>
    </row>
    <row r="702" spans="1:40" s="203" customFormat="1">
      <c r="A702" s="732"/>
      <c r="B702" s="732"/>
      <c r="C702" s="1032"/>
      <c r="D702" s="365"/>
      <c r="E702" s="733"/>
      <c r="F702" s="366"/>
      <c r="G702" s="1033"/>
      <c r="H702" s="1038"/>
      <c r="I702" s="1038"/>
      <c r="J702" s="1038"/>
      <c r="L702" s="834"/>
      <c r="M702" s="1036"/>
      <c r="N702" s="1037"/>
      <c r="O702" s="310"/>
      <c r="P702" s="397"/>
      <c r="Q702" s="397"/>
      <c r="R702" s="398"/>
      <c r="S702" s="1069"/>
      <c r="T702" s="732" t="s">
        <v>1463</v>
      </c>
      <c r="U702" s="363" t="s">
        <v>1464</v>
      </c>
      <c r="V702" s="364">
        <v>1</v>
      </c>
      <c r="W702" s="365" t="s">
        <v>90</v>
      </c>
      <c r="X702" s="441" t="s">
        <v>1463</v>
      </c>
      <c r="Y702" s="374">
        <v>190.83</v>
      </c>
      <c r="Z702" s="366">
        <v>0.17599999999999999</v>
      </c>
      <c r="AA702" s="367">
        <v>157.24392</v>
      </c>
      <c r="AB702" s="393"/>
      <c r="AC702" s="394"/>
      <c r="AD702" s="394"/>
      <c r="AF702" s="454"/>
      <c r="AG702" s="311" t="s">
        <v>115</v>
      </c>
      <c r="AH702" s="310" t="s">
        <v>116</v>
      </c>
      <c r="AI702" s="412" t="s">
        <v>117</v>
      </c>
      <c r="AJ702" s="397"/>
      <c r="AK702" s="397"/>
      <c r="AL702" s="398"/>
      <c r="AM702" s="1" t="s">
        <v>98</v>
      </c>
    </row>
    <row r="703" spans="1:40" s="396" customFormat="1" ht="12.95" customHeight="1">
      <c r="A703" s="1039"/>
      <c r="B703" s="1030"/>
      <c r="C703" s="1040"/>
      <c r="D703" s="370"/>
      <c r="E703" s="1041"/>
      <c r="F703" s="366"/>
      <c r="G703" s="1042"/>
      <c r="H703" s="1038"/>
      <c r="I703" s="1038"/>
      <c r="J703" s="1038"/>
      <c r="K703" s="1043"/>
      <c r="L703" s="1038"/>
      <c r="M703" s="1036"/>
      <c r="N703" s="1037"/>
      <c r="O703" s="310"/>
      <c r="P703" s="400"/>
      <c r="Q703" s="400"/>
      <c r="R703" s="401"/>
      <c r="S703" s="1070"/>
      <c r="T703" s="1029" t="s">
        <v>1465</v>
      </c>
      <c r="U703" s="368" t="s">
        <v>1466</v>
      </c>
      <c r="V703" s="369">
        <v>1</v>
      </c>
      <c r="W703" s="370" t="s">
        <v>90</v>
      </c>
      <c r="X703" s="441" t="s">
        <v>1465</v>
      </c>
      <c r="Y703" s="446">
        <v>232.5</v>
      </c>
      <c r="Z703" s="366">
        <v>0.17599999999999999</v>
      </c>
      <c r="AA703" s="408">
        <v>191.58</v>
      </c>
      <c r="AB703" s="393"/>
      <c r="AC703" s="394"/>
      <c r="AD703" s="394"/>
      <c r="AE703" s="395" t="s">
        <v>92</v>
      </c>
      <c r="AF703" s="394" t="s">
        <v>92</v>
      </c>
      <c r="AG703" s="311" t="s">
        <v>115</v>
      </c>
      <c r="AH703" s="310" t="s">
        <v>116</v>
      </c>
      <c r="AI703" s="412" t="s">
        <v>117</v>
      </c>
      <c r="AJ703" s="400"/>
      <c r="AK703" s="400"/>
      <c r="AL703" s="401"/>
      <c r="AM703" s="399"/>
    </row>
    <row r="704" spans="1:40" s="312" customFormat="1" ht="12.95" customHeight="1">
      <c r="A704" s="1030"/>
      <c r="B704" s="1030"/>
      <c r="C704" s="1040"/>
      <c r="D704" s="370"/>
      <c r="E704" s="1041"/>
      <c r="F704" s="366"/>
      <c r="G704" s="1042"/>
      <c r="H704" s="1034"/>
      <c r="I704" s="1035"/>
      <c r="J704" s="1035"/>
      <c r="K704" s="1044"/>
      <c r="L704" s="1042"/>
      <c r="M704" s="1036"/>
      <c r="N704" s="1037"/>
      <c r="O704" s="310"/>
      <c r="P704" s="1"/>
      <c r="Q704" s="1"/>
      <c r="R704" s="1"/>
      <c r="S704" s="1071"/>
      <c r="T704" s="1030" t="s">
        <v>1467</v>
      </c>
      <c r="U704" s="371" t="s">
        <v>1468</v>
      </c>
      <c r="V704" s="369">
        <v>1</v>
      </c>
      <c r="W704" s="370" t="s">
        <v>90</v>
      </c>
      <c r="X704" s="442" t="s">
        <v>1467</v>
      </c>
      <c r="Y704" s="446">
        <v>207.5</v>
      </c>
      <c r="Z704" s="366">
        <v>0.17599999999999999</v>
      </c>
      <c r="AA704" s="408">
        <v>170.98000000000002</v>
      </c>
      <c r="AB704" s="315"/>
      <c r="AC704" s="314"/>
      <c r="AD704" s="314"/>
      <c r="AE704" s="313" t="s">
        <v>92</v>
      </c>
      <c r="AF704" s="408" t="s">
        <v>92</v>
      </c>
      <c r="AG704" s="311" t="s">
        <v>115</v>
      </c>
      <c r="AH704" s="310" t="s">
        <v>116</v>
      </c>
      <c r="AI704" s="412" t="s">
        <v>117</v>
      </c>
      <c r="AJ704" s="1" t="s">
        <v>98</v>
      </c>
      <c r="AK704" s="1" t="s">
        <v>98</v>
      </c>
      <c r="AL704" s="1" t="s">
        <v>98</v>
      </c>
      <c r="AM704" s="402"/>
    </row>
    <row r="705" spans="1:40" s="312" customFormat="1" ht="12.95" customHeight="1">
      <c r="A705" s="732"/>
      <c r="B705" s="732"/>
      <c r="C705" s="1032"/>
      <c r="D705" s="365"/>
      <c r="E705" s="733"/>
      <c r="F705" s="366"/>
      <c r="G705" s="1033"/>
      <c r="H705" s="1034"/>
      <c r="I705" s="1035"/>
      <c r="J705" s="1035"/>
      <c r="K705" s="1044"/>
      <c r="L705" s="1042"/>
      <c r="M705" s="1036"/>
      <c r="N705" s="1037"/>
      <c r="O705" s="310"/>
      <c r="P705" s="1"/>
      <c r="Q705" s="1"/>
      <c r="R705" s="1"/>
      <c r="S705" s="1069"/>
      <c r="T705" s="732" t="s">
        <v>1469</v>
      </c>
      <c r="U705" s="355" t="s">
        <v>1470</v>
      </c>
      <c r="V705" s="364">
        <v>1</v>
      </c>
      <c r="W705" s="365" t="s">
        <v>90</v>
      </c>
      <c r="X705" s="441" t="s">
        <v>1469</v>
      </c>
      <c r="Y705" s="374">
        <v>290.83</v>
      </c>
      <c r="Z705" s="366">
        <v>0.17599999999999999</v>
      </c>
      <c r="AA705" s="367">
        <v>239.64391999999998</v>
      </c>
      <c r="AB705" s="315"/>
      <c r="AC705" s="314"/>
      <c r="AD705" s="314"/>
      <c r="AE705" s="313" t="s">
        <v>92</v>
      </c>
      <c r="AF705" s="408" t="s">
        <v>92</v>
      </c>
      <c r="AG705" s="311" t="s">
        <v>115</v>
      </c>
      <c r="AH705" s="310" t="s">
        <v>116</v>
      </c>
      <c r="AI705" s="412" t="s">
        <v>117</v>
      </c>
      <c r="AJ705" s="1" t="s">
        <v>98</v>
      </c>
      <c r="AK705" s="1" t="s">
        <v>98</v>
      </c>
      <c r="AL705" s="1" t="s">
        <v>98</v>
      </c>
      <c r="AM705" s="1" t="s">
        <v>98</v>
      </c>
    </row>
    <row r="706" spans="1:40" s="312" customFormat="1" ht="12.95" customHeight="1">
      <c r="A706" s="732"/>
      <c r="B706" s="732"/>
      <c r="C706" s="1032"/>
      <c r="D706" s="365"/>
      <c r="E706" s="733"/>
      <c r="F706" s="366"/>
      <c r="G706" s="1033"/>
      <c r="H706" s="1034"/>
      <c r="I706" s="1035"/>
      <c r="J706" s="1035"/>
      <c r="K706" s="1044"/>
      <c r="L706" s="1042"/>
      <c r="M706" s="1036"/>
      <c r="N706" s="1037"/>
      <c r="O706" s="310"/>
      <c r="P706" s="1"/>
      <c r="Q706" s="1"/>
      <c r="R706" s="1"/>
      <c r="S706" s="1069"/>
      <c r="T706" s="732" t="s">
        <v>1471</v>
      </c>
      <c r="U706" s="355" t="s">
        <v>1472</v>
      </c>
      <c r="V706" s="364">
        <v>1</v>
      </c>
      <c r="W706" s="365" t="s">
        <v>90</v>
      </c>
      <c r="X706" s="441" t="s">
        <v>1471</v>
      </c>
      <c r="Y706" s="374">
        <v>74.16</v>
      </c>
      <c r="Z706" s="366">
        <v>0.16500000000000001</v>
      </c>
      <c r="AA706" s="367">
        <v>61.923599999999993</v>
      </c>
      <c r="AB706" s="315"/>
      <c r="AC706" s="314"/>
      <c r="AD706" s="314"/>
      <c r="AE706" s="313" t="s">
        <v>92</v>
      </c>
      <c r="AF706" s="408" t="s">
        <v>92</v>
      </c>
      <c r="AG706" s="311" t="s">
        <v>115</v>
      </c>
      <c r="AH706" s="310" t="s">
        <v>116</v>
      </c>
      <c r="AI706" s="412" t="s">
        <v>117</v>
      </c>
      <c r="AJ706" s="1" t="s">
        <v>98</v>
      </c>
      <c r="AK706" s="1" t="s">
        <v>98</v>
      </c>
      <c r="AL706" s="1" t="s">
        <v>98</v>
      </c>
      <c r="AM706" s="1" t="s">
        <v>98</v>
      </c>
    </row>
    <row r="707" spans="1:40" s="312" customFormat="1" ht="12.95" customHeight="1">
      <c r="A707" s="732"/>
      <c r="B707" s="732"/>
      <c r="C707" s="1032"/>
      <c r="D707" s="365"/>
      <c r="E707" s="733"/>
      <c r="F707" s="366"/>
      <c r="G707" s="1033"/>
      <c r="H707" s="1034"/>
      <c r="I707" s="1035"/>
      <c r="J707" s="1035"/>
      <c r="K707" s="1044"/>
      <c r="L707" s="1042"/>
      <c r="M707" s="1036"/>
      <c r="N707" s="1037"/>
      <c r="O707" s="310"/>
      <c r="P707" s="1"/>
      <c r="Q707" s="1"/>
      <c r="R707" s="1"/>
      <c r="S707" s="1069"/>
      <c r="T707" s="732" t="s">
        <v>1473</v>
      </c>
      <c r="U707" s="355" t="s">
        <v>1474</v>
      </c>
      <c r="V707" s="364">
        <v>1</v>
      </c>
      <c r="W707" s="365" t="s">
        <v>90</v>
      </c>
      <c r="X707" s="441" t="s">
        <v>1473</v>
      </c>
      <c r="Y707" s="374">
        <v>149</v>
      </c>
      <c r="Z707" s="366">
        <v>0.17199999999999999</v>
      </c>
      <c r="AA707" s="367">
        <v>123.372</v>
      </c>
      <c r="AB707" s="315"/>
      <c r="AC707" s="314"/>
      <c r="AD707" s="314"/>
      <c r="AE707" s="313" t="s">
        <v>92</v>
      </c>
      <c r="AF707" s="408" t="s">
        <v>92</v>
      </c>
      <c r="AG707" s="311" t="s">
        <v>115</v>
      </c>
      <c r="AH707" s="310" t="s">
        <v>116</v>
      </c>
      <c r="AI707" s="412" t="s">
        <v>117</v>
      </c>
      <c r="AJ707" s="1" t="s">
        <v>98</v>
      </c>
      <c r="AK707" s="1" t="s">
        <v>98</v>
      </c>
      <c r="AL707" s="1" t="s">
        <v>98</v>
      </c>
      <c r="AM707" s="1" t="s">
        <v>98</v>
      </c>
    </row>
    <row r="708" spans="1:40" s="312" customFormat="1" ht="12.95" customHeight="1">
      <c r="A708" s="732"/>
      <c r="B708" s="732"/>
      <c r="C708" s="1032"/>
      <c r="D708" s="365"/>
      <c r="E708" s="733"/>
      <c r="F708" s="366"/>
      <c r="G708" s="1033"/>
      <c r="H708" s="1034"/>
      <c r="I708" s="1035"/>
      <c r="J708" s="1035"/>
      <c r="K708" s="1044"/>
      <c r="L708" s="1042"/>
      <c r="M708" s="1036"/>
      <c r="N708" s="1037"/>
      <c r="O708" s="310"/>
      <c r="P708" s="1"/>
      <c r="Q708" s="1"/>
      <c r="R708" s="1"/>
      <c r="S708" s="1069"/>
      <c r="T708" s="732" t="s">
        <v>1475</v>
      </c>
      <c r="U708" s="355" t="s">
        <v>1476</v>
      </c>
      <c r="V708" s="364">
        <v>1</v>
      </c>
      <c r="W708" s="365" t="s">
        <v>90</v>
      </c>
      <c r="X708" s="441" t="s">
        <v>1475</v>
      </c>
      <c r="Y708" s="374">
        <v>290.83</v>
      </c>
      <c r="Z708" s="366">
        <v>0.17199999999999999</v>
      </c>
      <c r="AA708" s="367">
        <v>240.80723999999998</v>
      </c>
      <c r="AB708" s="315"/>
      <c r="AC708" s="314"/>
      <c r="AD708" s="314"/>
      <c r="AE708" s="313" t="s">
        <v>92</v>
      </c>
      <c r="AF708" s="408" t="s">
        <v>92</v>
      </c>
      <c r="AG708" s="311" t="s">
        <v>115</v>
      </c>
      <c r="AH708" s="310" t="s">
        <v>116</v>
      </c>
      <c r="AI708" s="412" t="s">
        <v>117</v>
      </c>
      <c r="AJ708" s="1" t="s">
        <v>98</v>
      </c>
      <c r="AK708" s="1" t="s">
        <v>98</v>
      </c>
      <c r="AL708" s="1" t="s">
        <v>98</v>
      </c>
      <c r="AM708" s="1" t="s">
        <v>98</v>
      </c>
    </row>
    <row r="709" spans="1:40" s="312" customFormat="1" ht="12.95" customHeight="1">
      <c r="A709" s="732"/>
      <c r="B709" s="732"/>
      <c r="C709" s="1032"/>
      <c r="D709" s="365"/>
      <c r="E709" s="733"/>
      <c r="F709" s="366"/>
      <c r="G709" s="1033"/>
      <c r="H709" s="1034"/>
      <c r="I709" s="1035"/>
      <c r="J709" s="1035"/>
      <c r="K709" s="1044"/>
      <c r="L709" s="1042"/>
      <c r="M709" s="1036"/>
      <c r="N709" s="1037"/>
      <c r="O709" s="310"/>
      <c r="P709" s="1"/>
      <c r="Q709" s="1"/>
      <c r="R709" s="1"/>
      <c r="S709" s="1069"/>
      <c r="T709" s="732" t="s">
        <v>1477</v>
      </c>
      <c r="U709" s="355" t="s">
        <v>1478</v>
      </c>
      <c r="V709" s="364">
        <v>1</v>
      </c>
      <c r="W709" s="365" t="s">
        <v>90</v>
      </c>
      <c r="X709" s="441" t="s">
        <v>1477</v>
      </c>
      <c r="Y709" s="374">
        <v>149.16999999999999</v>
      </c>
      <c r="Z709" s="366">
        <v>0.17199999999999999</v>
      </c>
      <c r="AA709" s="367">
        <v>123.51275999999999</v>
      </c>
      <c r="AB709" s="315"/>
      <c r="AC709" s="314"/>
      <c r="AD709" s="314"/>
      <c r="AE709" s="313" t="s">
        <v>92</v>
      </c>
      <c r="AF709" s="408" t="s">
        <v>92</v>
      </c>
      <c r="AG709" s="311" t="s">
        <v>115</v>
      </c>
      <c r="AH709" s="310" t="s">
        <v>116</v>
      </c>
      <c r="AI709" s="412" t="s">
        <v>117</v>
      </c>
      <c r="AJ709" s="1" t="s">
        <v>98</v>
      </c>
      <c r="AK709" s="1" t="s">
        <v>98</v>
      </c>
      <c r="AL709" s="1" t="s">
        <v>98</v>
      </c>
      <c r="AM709" s="1" t="s">
        <v>98</v>
      </c>
    </row>
    <row r="710" spans="1:40" s="312" customFormat="1" ht="12.95" customHeight="1">
      <c r="A710" s="732"/>
      <c r="B710" s="732"/>
      <c r="C710" s="1032"/>
      <c r="D710" s="365"/>
      <c r="E710" s="733"/>
      <c r="F710" s="366"/>
      <c r="G710" s="1033"/>
      <c r="H710" s="1034"/>
      <c r="I710" s="1035"/>
      <c r="J710" s="1035"/>
      <c r="K710" s="1044"/>
      <c r="L710" s="1042"/>
      <c r="M710" s="1036"/>
      <c r="N710" s="1037"/>
      <c r="O710" s="310"/>
      <c r="P710" s="1"/>
      <c r="Q710" s="1"/>
      <c r="R710" s="1"/>
      <c r="S710" s="1069"/>
      <c r="T710" s="732" t="s">
        <v>1479</v>
      </c>
      <c r="U710" s="355" t="s">
        <v>1480</v>
      </c>
      <c r="V710" s="364">
        <v>1</v>
      </c>
      <c r="W710" s="365" t="s">
        <v>90</v>
      </c>
      <c r="X710" s="441" t="s">
        <v>1479</v>
      </c>
      <c r="Y710" s="374">
        <v>115.83</v>
      </c>
      <c r="Z710" s="366">
        <v>0.1065</v>
      </c>
      <c r="AA710" s="367">
        <v>103.494105</v>
      </c>
      <c r="AB710" s="315"/>
      <c r="AC710" s="314"/>
      <c r="AD710" s="314"/>
      <c r="AE710" s="313" t="s">
        <v>92</v>
      </c>
      <c r="AF710" s="408" t="s">
        <v>92</v>
      </c>
      <c r="AG710" s="311" t="s">
        <v>115</v>
      </c>
      <c r="AH710" s="310" t="s">
        <v>116</v>
      </c>
      <c r="AI710" s="412" t="s">
        <v>117</v>
      </c>
      <c r="AJ710" s="1" t="s">
        <v>98</v>
      </c>
      <c r="AK710" s="1" t="s">
        <v>98</v>
      </c>
      <c r="AL710" s="1" t="s">
        <v>98</v>
      </c>
      <c r="AM710" s="1" t="s">
        <v>98</v>
      </c>
    </row>
    <row r="711" spans="1:40">
      <c r="A711" s="146"/>
      <c r="C711" s="46"/>
      <c r="F711" s="173"/>
      <c r="G711" s="1"/>
      <c r="H711" s="165"/>
      <c r="I711" s="160"/>
      <c r="J711" s="160"/>
      <c r="K711" s="1"/>
      <c r="L711" s="123"/>
      <c r="M711" s="1"/>
      <c r="N711" s="590"/>
      <c r="O711" s="165"/>
      <c r="P711" s="165"/>
      <c r="Q711" s="165"/>
      <c r="R711" s="165"/>
      <c r="S711" s="1072"/>
      <c r="T711" s="146"/>
    </row>
    <row r="712" spans="1:40">
      <c r="C712" s="46"/>
      <c r="F712" s="173"/>
      <c r="G712" s="1"/>
      <c r="H712" s="165"/>
      <c r="I712" s="160"/>
      <c r="J712" s="160"/>
      <c r="K712" s="1"/>
      <c r="L712" s="123"/>
      <c r="M712" s="1"/>
      <c r="N712" s="590"/>
      <c r="O712" s="165"/>
      <c r="P712" s="165"/>
      <c r="Q712" s="165"/>
      <c r="R712" s="165"/>
      <c r="S712" s="1" t="str">
        <f>+IF('4 - Services'!$Z5&lt;&gt;"",S$2*'4 - Services'!$Z5,"")</f>
        <v/>
      </c>
      <c r="V712" s="46"/>
      <c r="W712" s="46"/>
      <c r="X712" s="1"/>
      <c r="Y712" s="1"/>
      <c r="Z712" s="173"/>
      <c r="AA712" s="1"/>
      <c r="AB712" s="165"/>
      <c r="AC712" s="1"/>
      <c r="AD712" s="1"/>
      <c r="AE712" s="1"/>
      <c r="AF712" s="46"/>
      <c r="AG712" s="1"/>
      <c r="AH712" s="165"/>
      <c r="AI712" s="165"/>
      <c r="AJ712" s="165"/>
      <c r="AK712" s="165"/>
      <c r="AL712" s="165"/>
      <c r="AM712" s="165"/>
      <c r="AN712" s="165"/>
    </row>
    <row r="713" spans="1:40">
      <c r="C713" s="46"/>
      <c r="F713" s="173"/>
      <c r="G713" s="1"/>
      <c r="H713" s="165"/>
      <c r="I713" s="160"/>
      <c r="J713" s="160"/>
      <c r="K713" s="1"/>
      <c r="L713" s="123"/>
      <c r="M713" s="1"/>
      <c r="N713" s="590"/>
      <c r="O713" s="165"/>
      <c r="P713" s="165"/>
      <c r="Q713" s="165"/>
      <c r="R713" s="165"/>
      <c r="S713" s="165"/>
      <c r="V713" s="46"/>
      <c r="W713" s="46"/>
      <c r="X713" s="1"/>
      <c r="Y713" s="1"/>
      <c r="Z713" s="173"/>
      <c r="AA713" s="1"/>
      <c r="AB713" s="165"/>
      <c r="AC713" s="1"/>
      <c r="AD713" s="1"/>
      <c r="AE713" s="1"/>
      <c r="AF713" s="46"/>
      <c r="AG713" s="1"/>
      <c r="AH713" s="165"/>
      <c r="AI713" s="165"/>
      <c r="AJ713" s="165"/>
      <c r="AK713" s="165"/>
      <c r="AL713" s="165"/>
      <c r="AM713" s="165"/>
      <c r="AN713" s="165"/>
    </row>
    <row r="714" spans="1:40">
      <c r="C714" s="46"/>
      <c r="F714" s="173"/>
      <c r="G714" s="1"/>
      <c r="H714" s="165"/>
      <c r="I714" s="160"/>
      <c r="J714" s="160"/>
      <c r="K714" s="1"/>
      <c r="L714" s="123"/>
      <c r="M714" s="1"/>
      <c r="N714" s="590"/>
      <c r="O714" s="165"/>
      <c r="P714" s="165"/>
      <c r="Q714" s="165"/>
      <c r="R714" s="165"/>
      <c r="S714" s="165"/>
      <c r="V714" s="46"/>
      <c r="W714" s="46"/>
      <c r="X714" s="1"/>
      <c r="Y714" s="1"/>
      <c r="Z714" s="173"/>
      <c r="AA714" s="1"/>
      <c r="AB714" s="165"/>
      <c r="AC714" s="1"/>
      <c r="AD714" s="1"/>
      <c r="AE714" s="1"/>
      <c r="AF714" s="46"/>
      <c r="AG714" s="1"/>
      <c r="AH714" s="165"/>
      <c r="AI714" s="165"/>
      <c r="AJ714" s="165"/>
      <c r="AK714" s="165"/>
      <c r="AL714" s="165"/>
      <c r="AM714" s="165"/>
      <c r="AN714" s="165"/>
    </row>
    <row r="715" spans="1:40">
      <c r="C715" s="46"/>
      <c r="F715" s="173"/>
      <c r="G715" s="1"/>
      <c r="H715" s="165"/>
      <c r="I715" s="160"/>
      <c r="J715" s="160"/>
      <c r="K715" s="1"/>
      <c r="L715" s="123"/>
      <c r="M715" s="1"/>
      <c r="N715" s="590"/>
      <c r="O715" s="165"/>
      <c r="P715" s="165"/>
      <c r="Q715" s="165"/>
      <c r="R715" s="165"/>
      <c r="S715" s="165"/>
      <c r="V715" s="46"/>
      <c r="W715" s="46"/>
      <c r="X715" s="1"/>
      <c r="Y715" s="1"/>
      <c r="Z715" s="173"/>
      <c r="AA715" s="1"/>
      <c r="AB715" s="165"/>
      <c r="AC715" s="1"/>
      <c r="AD715" s="1"/>
      <c r="AE715" s="1"/>
      <c r="AF715" s="46"/>
      <c r="AG715" s="1"/>
      <c r="AH715" s="165"/>
      <c r="AI715" s="165"/>
      <c r="AJ715" s="165"/>
      <c r="AK715" s="165"/>
      <c r="AL715" s="165"/>
      <c r="AM715" s="165"/>
      <c r="AN715" s="165"/>
    </row>
    <row r="716" spans="1:40">
      <c r="C716" s="46"/>
      <c r="F716" s="173"/>
      <c r="G716" s="1"/>
      <c r="H716" s="165"/>
      <c r="I716" s="160"/>
      <c r="J716" s="160"/>
      <c r="K716" s="1"/>
      <c r="L716" s="123"/>
      <c r="M716" s="1"/>
      <c r="N716" s="590"/>
      <c r="O716" s="165"/>
      <c r="P716" s="165"/>
      <c r="Q716" s="165"/>
      <c r="R716" s="165"/>
      <c r="S716" s="165"/>
      <c r="V716" s="46"/>
      <c r="W716" s="46"/>
      <c r="X716" s="1"/>
      <c r="Y716" s="1"/>
      <c r="Z716" s="173"/>
      <c r="AA716" s="1"/>
      <c r="AB716" s="165"/>
      <c r="AC716" s="1"/>
      <c r="AD716" s="1"/>
      <c r="AE716" s="1"/>
      <c r="AF716" s="46"/>
      <c r="AG716" s="1"/>
      <c r="AH716" s="165"/>
      <c r="AI716" s="165"/>
      <c r="AJ716" s="165"/>
      <c r="AK716" s="165"/>
      <c r="AL716" s="165"/>
      <c r="AM716" s="165"/>
      <c r="AN716" s="165"/>
    </row>
    <row r="717" spans="1:40">
      <c r="C717" s="46"/>
      <c r="F717" s="173"/>
      <c r="G717" s="1"/>
      <c r="H717" s="165"/>
      <c r="I717" s="160"/>
      <c r="J717" s="160"/>
      <c r="K717" s="1"/>
      <c r="L717" s="123"/>
      <c r="M717" s="1"/>
      <c r="N717" s="590"/>
      <c r="O717" s="165"/>
      <c r="P717" s="165"/>
      <c r="Q717" s="165"/>
      <c r="R717" s="165"/>
      <c r="S717" s="165"/>
      <c r="V717" s="46"/>
      <c r="W717" s="46"/>
      <c r="X717" s="1"/>
      <c r="Y717" s="1"/>
      <c r="Z717" s="173"/>
      <c r="AA717" s="1"/>
      <c r="AB717" s="165"/>
      <c r="AC717" s="1"/>
      <c r="AD717" s="1"/>
      <c r="AE717" s="1"/>
      <c r="AF717" s="46"/>
      <c r="AG717" s="1"/>
      <c r="AH717" s="165"/>
      <c r="AI717" s="165"/>
      <c r="AJ717" s="165"/>
      <c r="AK717" s="165"/>
      <c r="AL717" s="165"/>
      <c r="AM717" s="165"/>
      <c r="AN717" s="165"/>
    </row>
    <row r="718" spans="1:40">
      <c r="C718" s="46"/>
      <c r="F718" s="173"/>
      <c r="G718" s="1"/>
      <c r="H718" s="165"/>
      <c r="I718" s="160"/>
      <c r="J718" s="160"/>
      <c r="K718" s="1"/>
      <c r="L718" s="123"/>
      <c r="M718" s="1"/>
      <c r="N718" s="590"/>
      <c r="O718" s="165"/>
      <c r="P718" s="165"/>
      <c r="Q718" s="165"/>
      <c r="R718" s="165"/>
      <c r="S718" s="165"/>
      <c r="V718" s="46"/>
      <c r="W718" s="46"/>
      <c r="X718" s="1"/>
      <c r="Y718" s="1"/>
      <c r="Z718" s="173"/>
      <c r="AA718" s="1"/>
      <c r="AB718" s="165"/>
      <c r="AC718" s="1"/>
      <c r="AD718" s="1"/>
      <c r="AE718" s="1"/>
      <c r="AF718" s="46"/>
      <c r="AG718" s="1"/>
      <c r="AH718" s="165"/>
      <c r="AI718" s="165"/>
      <c r="AJ718" s="165"/>
      <c r="AK718" s="165"/>
      <c r="AL718" s="165"/>
      <c r="AM718" s="165"/>
      <c r="AN718" s="165"/>
    </row>
    <row r="719" spans="1:40">
      <c r="C719" s="46"/>
      <c r="F719" s="173"/>
      <c r="G719" s="1"/>
      <c r="H719" s="165"/>
      <c r="I719" s="160"/>
      <c r="J719" s="160"/>
      <c r="K719" s="1"/>
      <c r="L719" s="123"/>
      <c r="M719" s="1"/>
      <c r="N719" s="590"/>
      <c r="O719" s="165"/>
      <c r="P719" s="165"/>
      <c r="Q719" s="165"/>
      <c r="R719" s="165"/>
      <c r="S719" s="165"/>
      <c r="V719" s="46"/>
      <c r="W719" s="46"/>
      <c r="X719" s="1"/>
      <c r="Y719" s="1"/>
      <c r="Z719" s="173"/>
      <c r="AA719" s="1"/>
      <c r="AB719" s="165"/>
      <c r="AC719" s="1"/>
      <c r="AD719" s="1"/>
      <c r="AE719" s="1"/>
      <c r="AF719" s="46"/>
      <c r="AG719" s="1"/>
      <c r="AH719" s="165"/>
      <c r="AI719" s="165"/>
      <c r="AJ719" s="165"/>
      <c r="AK719" s="165"/>
      <c r="AL719" s="165"/>
      <c r="AM719" s="165"/>
      <c r="AN719" s="165"/>
    </row>
    <row r="720" spans="1:40">
      <c r="C720" s="46"/>
      <c r="F720" s="173"/>
      <c r="G720" s="1"/>
      <c r="H720" s="165"/>
      <c r="I720" s="160"/>
      <c r="J720" s="160"/>
      <c r="K720" s="1"/>
      <c r="L720" s="123"/>
      <c r="M720" s="1"/>
      <c r="N720" s="590"/>
      <c r="O720" s="165"/>
      <c r="P720" s="165"/>
      <c r="Q720" s="165"/>
      <c r="R720" s="165"/>
      <c r="S720" s="165"/>
      <c r="V720" s="46"/>
      <c r="W720" s="46"/>
      <c r="X720" s="1"/>
      <c r="Y720" s="1"/>
      <c r="Z720" s="173"/>
      <c r="AA720" s="1"/>
      <c r="AB720" s="165"/>
      <c r="AC720" s="1"/>
      <c r="AD720" s="1"/>
      <c r="AE720" s="1"/>
      <c r="AF720" s="46"/>
      <c r="AG720" s="1"/>
      <c r="AH720" s="165"/>
      <c r="AI720" s="165"/>
      <c r="AJ720" s="165"/>
      <c r="AK720" s="165"/>
      <c r="AL720" s="165"/>
      <c r="AM720" s="165"/>
      <c r="AN720" s="165"/>
    </row>
    <row r="721" spans="3:40">
      <c r="C721" s="46"/>
      <c r="F721" s="173"/>
      <c r="G721" s="1"/>
      <c r="H721" s="165"/>
      <c r="I721" s="160"/>
      <c r="J721" s="160"/>
      <c r="K721" s="1"/>
      <c r="L721" s="123"/>
      <c r="M721" s="1"/>
      <c r="N721" s="590"/>
      <c r="O721" s="165"/>
      <c r="P721" s="165"/>
      <c r="Q721" s="165"/>
      <c r="R721" s="165"/>
      <c r="S721" s="165"/>
      <c r="V721" s="46"/>
      <c r="W721" s="46"/>
      <c r="X721" s="1"/>
      <c r="Y721" s="1"/>
      <c r="Z721" s="173"/>
      <c r="AA721" s="1"/>
      <c r="AB721" s="165"/>
      <c r="AC721" s="1"/>
      <c r="AD721" s="1"/>
      <c r="AE721" s="1"/>
      <c r="AF721" s="46"/>
      <c r="AG721" s="1"/>
      <c r="AH721" s="165"/>
      <c r="AI721" s="165"/>
      <c r="AJ721" s="165"/>
      <c r="AK721" s="165"/>
      <c r="AL721" s="165"/>
      <c r="AM721" s="165"/>
      <c r="AN721" s="165"/>
    </row>
    <row r="722" spans="3:40">
      <c r="C722" s="46"/>
      <c r="F722" s="173"/>
      <c r="G722" s="1"/>
      <c r="H722" s="165"/>
      <c r="I722" s="160"/>
      <c r="J722" s="160"/>
      <c r="K722" s="1"/>
      <c r="L722" s="123"/>
      <c r="M722" s="1"/>
      <c r="N722" s="590"/>
      <c r="O722" s="165"/>
      <c r="P722" s="165"/>
      <c r="Q722" s="165"/>
      <c r="R722" s="165"/>
      <c r="S722" s="165"/>
      <c r="V722" s="46"/>
      <c r="W722" s="46"/>
      <c r="X722" s="1"/>
      <c r="Y722" s="1"/>
      <c r="Z722" s="173"/>
      <c r="AA722" s="1"/>
      <c r="AB722" s="165"/>
      <c r="AC722" s="1"/>
      <c r="AD722" s="1"/>
      <c r="AE722" s="1"/>
      <c r="AF722" s="46"/>
      <c r="AG722" s="1"/>
      <c r="AH722" s="165"/>
      <c r="AI722" s="165"/>
      <c r="AJ722" s="165"/>
      <c r="AK722" s="165"/>
      <c r="AL722" s="165"/>
      <c r="AM722" s="165"/>
      <c r="AN722" s="165"/>
    </row>
    <row r="723" spans="3:40">
      <c r="C723" s="46"/>
      <c r="F723" s="173"/>
      <c r="G723" s="1"/>
      <c r="H723" s="165"/>
      <c r="I723" s="160"/>
      <c r="J723" s="160"/>
      <c r="K723" s="1"/>
      <c r="L723" s="123"/>
      <c r="M723" s="1"/>
      <c r="N723" s="590"/>
      <c r="O723" s="165"/>
      <c r="P723" s="165"/>
      <c r="Q723" s="165"/>
      <c r="R723" s="165"/>
      <c r="S723" s="165"/>
      <c r="V723" s="46"/>
      <c r="W723" s="46"/>
      <c r="X723" s="1"/>
      <c r="Y723" s="1"/>
      <c r="Z723" s="173"/>
      <c r="AA723" s="1"/>
      <c r="AB723" s="165"/>
      <c r="AC723" s="1"/>
      <c r="AD723" s="1"/>
      <c r="AE723" s="1"/>
      <c r="AF723" s="46"/>
      <c r="AG723" s="1"/>
      <c r="AH723" s="165"/>
      <c r="AI723" s="165"/>
      <c r="AJ723" s="165"/>
      <c r="AK723" s="165"/>
      <c r="AL723" s="165"/>
      <c r="AM723" s="165"/>
      <c r="AN723" s="165"/>
    </row>
    <row r="724" spans="3:40" ht="15" customHeight="1">
      <c r="C724" s="46"/>
      <c r="F724" s="173"/>
      <c r="G724" s="1"/>
      <c r="H724" s="165"/>
      <c r="I724" s="160"/>
      <c r="J724" s="160"/>
      <c r="K724" s="1"/>
      <c r="L724" s="123"/>
      <c r="M724" s="1"/>
      <c r="N724" s="590"/>
      <c r="O724" s="165"/>
      <c r="P724" s="165"/>
      <c r="Q724" s="165"/>
      <c r="R724" s="165"/>
      <c r="S724" s="165"/>
      <c r="V724" s="46"/>
      <c r="W724" s="46"/>
      <c r="X724" s="1"/>
      <c r="Y724" s="1"/>
      <c r="Z724" s="173"/>
      <c r="AA724" s="1"/>
      <c r="AB724" s="165"/>
      <c r="AC724" s="1"/>
      <c r="AD724" s="1"/>
      <c r="AE724" s="1"/>
      <c r="AF724" s="46"/>
      <c r="AG724" s="1"/>
      <c r="AH724" s="165"/>
      <c r="AI724" s="165"/>
      <c r="AJ724" s="165"/>
      <c r="AK724" s="165"/>
      <c r="AL724" s="165"/>
      <c r="AM724" s="165"/>
      <c r="AN724" s="165"/>
    </row>
    <row r="725" spans="3:40">
      <c r="C725" s="46"/>
      <c r="F725" s="173"/>
      <c r="G725" s="1"/>
      <c r="H725" s="165"/>
      <c r="I725" s="160"/>
      <c r="J725" s="160"/>
      <c r="K725" s="1"/>
      <c r="L725" s="123"/>
      <c r="M725" s="1"/>
      <c r="N725" s="590"/>
      <c r="O725" s="165"/>
      <c r="P725" s="165"/>
      <c r="Q725" s="165"/>
      <c r="R725" s="165"/>
      <c r="S725" s="165"/>
      <c r="V725" s="46"/>
      <c r="W725" s="46"/>
      <c r="X725" s="1"/>
      <c r="Y725" s="1"/>
      <c r="Z725" s="173"/>
      <c r="AA725" s="1"/>
      <c r="AB725" s="165"/>
      <c r="AC725" s="1"/>
      <c r="AD725" s="1"/>
      <c r="AE725" s="1"/>
      <c r="AF725" s="46"/>
      <c r="AG725" s="1"/>
      <c r="AH725" s="165"/>
      <c r="AI725" s="165"/>
      <c r="AJ725" s="165"/>
      <c r="AK725" s="165"/>
      <c r="AL725" s="165"/>
      <c r="AM725" s="165"/>
      <c r="AN725" s="165"/>
    </row>
    <row r="726" spans="3:40">
      <c r="C726" s="46"/>
      <c r="F726" s="173"/>
      <c r="G726" s="1"/>
      <c r="H726" s="165"/>
      <c r="I726" s="160"/>
      <c r="J726" s="160"/>
      <c r="K726" s="1"/>
      <c r="L726" s="123"/>
      <c r="M726" s="1"/>
      <c r="N726" s="590"/>
      <c r="O726" s="165"/>
      <c r="P726" s="165"/>
      <c r="Q726" s="165"/>
      <c r="R726" s="165"/>
      <c r="S726" s="165"/>
      <c r="V726" s="46"/>
      <c r="W726" s="46"/>
      <c r="X726" s="1"/>
      <c r="Y726" s="1"/>
      <c r="Z726" s="173"/>
      <c r="AA726" s="1"/>
      <c r="AB726" s="165"/>
      <c r="AC726" s="1"/>
      <c r="AD726" s="1"/>
      <c r="AE726" s="1"/>
      <c r="AF726" s="46"/>
      <c r="AG726" s="1"/>
      <c r="AH726" s="165"/>
      <c r="AI726" s="165"/>
      <c r="AJ726" s="165"/>
      <c r="AK726" s="165"/>
      <c r="AL726" s="165"/>
      <c r="AM726" s="165"/>
      <c r="AN726" s="165"/>
    </row>
    <row r="727" spans="3:40">
      <c r="C727" s="46"/>
      <c r="F727" s="173"/>
      <c r="G727" s="1"/>
      <c r="H727" s="165"/>
      <c r="I727" s="160"/>
      <c r="J727" s="160"/>
      <c r="K727" s="1"/>
      <c r="L727" s="123"/>
      <c r="M727" s="1"/>
      <c r="N727" s="590"/>
      <c r="O727" s="165"/>
      <c r="P727" s="165"/>
      <c r="Q727" s="165"/>
      <c r="R727" s="165"/>
      <c r="S727" s="165"/>
      <c r="V727" s="46"/>
      <c r="W727" s="46"/>
      <c r="X727" s="1"/>
      <c r="Y727" s="1"/>
      <c r="Z727" s="173"/>
      <c r="AA727" s="1"/>
      <c r="AB727" s="165"/>
      <c r="AC727" s="1"/>
      <c r="AD727" s="1"/>
      <c r="AE727" s="1"/>
      <c r="AF727" s="46"/>
      <c r="AG727" s="1"/>
      <c r="AH727" s="165"/>
      <c r="AI727" s="165"/>
      <c r="AJ727" s="165"/>
      <c r="AK727" s="165"/>
      <c r="AL727" s="165"/>
      <c r="AM727" s="165"/>
      <c r="AN727" s="165"/>
    </row>
    <row r="728" spans="3:40">
      <c r="C728" s="46"/>
      <c r="F728" s="173"/>
      <c r="G728" s="1"/>
      <c r="H728" s="165"/>
      <c r="I728" s="160"/>
      <c r="J728" s="160"/>
      <c r="K728" s="1"/>
      <c r="L728" s="123"/>
      <c r="M728" s="1"/>
      <c r="N728" s="590"/>
      <c r="O728" s="165"/>
      <c r="P728" s="165"/>
      <c r="Q728" s="165"/>
      <c r="R728" s="165"/>
      <c r="S728" s="165"/>
      <c r="V728" s="46"/>
      <c r="W728" s="46"/>
      <c r="X728" s="1"/>
      <c r="Y728" s="1"/>
      <c r="Z728" s="173"/>
      <c r="AA728" s="1"/>
      <c r="AB728" s="165"/>
      <c r="AC728" s="1"/>
      <c r="AD728" s="1"/>
      <c r="AE728" s="1"/>
      <c r="AF728" s="46"/>
      <c r="AG728" s="1"/>
      <c r="AH728" s="165"/>
      <c r="AI728" s="165"/>
      <c r="AJ728" s="165"/>
      <c r="AK728" s="165"/>
      <c r="AL728" s="165"/>
      <c r="AM728" s="165"/>
      <c r="AN728" s="165"/>
    </row>
    <row r="729" spans="3:40">
      <c r="C729" s="46"/>
      <c r="F729" s="173"/>
      <c r="G729" s="1"/>
      <c r="H729" s="165"/>
      <c r="I729" s="160"/>
      <c r="J729" s="160"/>
      <c r="K729" s="1"/>
      <c r="L729" s="123"/>
      <c r="M729" s="1"/>
      <c r="N729" s="590"/>
      <c r="O729" s="165"/>
      <c r="P729" s="165"/>
      <c r="Q729" s="165"/>
      <c r="R729" s="165"/>
      <c r="S729" s="165"/>
      <c r="V729" s="46"/>
      <c r="W729" s="46"/>
      <c r="X729" s="1"/>
      <c r="Y729" s="1"/>
      <c r="Z729" s="173"/>
      <c r="AA729" s="1"/>
      <c r="AB729" s="165"/>
      <c r="AC729" s="1"/>
      <c r="AD729" s="1"/>
      <c r="AE729" s="1"/>
      <c r="AF729" s="46"/>
      <c r="AG729" s="1"/>
      <c r="AH729" s="165"/>
      <c r="AI729" s="165"/>
      <c r="AJ729" s="165"/>
      <c r="AK729" s="165"/>
      <c r="AL729" s="165"/>
      <c r="AM729" s="165"/>
      <c r="AN729" s="165"/>
    </row>
    <row r="730" spans="3:40">
      <c r="C730" s="46"/>
      <c r="F730" s="173"/>
      <c r="G730" s="1"/>
      <c r="H730" s="165"/>
      <c r="I730" s="160"/>
      <c r="J730" s="160"/>
      <c r="K730" s="1"/>
      <c r="L730" s="123"/>
      <c r="M730" s="1"/>
      <c r="N730" s="590"/>
      <c r="O730" s="165"/>
      <c r="P730" s="165"/>
      <c r="Q730" s="165"/>
      <c r="R730" s="165"/>
      <c r="S730" s="165"/>
      <c r="V730" s="46"/>
      <c r="W730" s="46"/>
      <c r="X730" s="1"/>
      <c r="Y730" s="1"/>
      <c r="Z730" s="173"/>
      <c r="AA730" s="1"/>
      <c r="AB730" s="165"/>
      <c r="AC730" s="1"/>
      <c r="AD730" s="1"/>
      <c r="AE730" s="1"/>
      <c r="AF730" s="46"/>
      <c r="AG730" s="1"/>
      <c r="AH730" s="165"/>
      <c r="AI730" s="165"/>
      <c r="AJ730" s="165"/>
      <c r="AK730" s="165"/>
      <c r="AL730" s="165"/>
      <c r="AM730" s="165"/>
      <c r="AN730" s="165"/>
    </row>
    <row r="731" spans="3:40">
      <c r="C731" s="46"/>
      <c r="F731" s="173"/>
      <c r="G731" s="1"/>
      <c r="H731" s="165"/>
      <c r="I731" s="160"/>
      <c r="J731" s="160"/>
      <c r="K731" s="1"/>
      <c r="L731" s="123"/>
      <c r="M731" s="1"/>
      <c r="N731" s="590"/>
      <c r="O731" s="165"/>
      <c r="P731" s="165"/>
      <c r="Q731" s="165"/>
      <c r="R731" s="165"/>
      <c r="S731" s="165"/>
      <c r="V731" s="46"/>
      <c r="W731" s="46"/>
      <c r="X731" s="1"/>
      <c r="Y731" s="1"/>
      <c r="Z731" s="173"/>
      <c r="AA731" s="1"/>
      <c r="AB731" s="165"/>
      <c r="AC731" s="1"/>
      <c r="AD731" s="1"/>
      <c r="AE731" s="1"/>
      <c r="AF731" s="46"/>
      <c r="AG731" s="1"/>
      <c r="AH731" s="165"/>
      <c r="AI731" s="165"/>
      <c r="AJ731" s="165"/>
      <c r="AK731" s="165"/>
      <c r="AL731" s="165"/>
      <c r="AM731" s="165"/>
      <c r="AN731" s="165"/>
    </row>
    <row r="732" spans="3:40">
      <c r="C732" s="46"/>
      <c r="F732" s="173"/>
      <c r="G732" s="1"/>
      <c r="H732" s="165"/>
      <c r="I732" s="160"/>
      <c r="J732" s="160"/>
      <c r="K732" s="1"/>
      <c r="L732" s="123"/>
      <c r="M732" s="1"/>
      <c r="N732" s="590"/>
      <c r="O732" s="165"/>
      <c r="P732" s="165"/>
      <c r="Q732" s="165"/>
      <c r="R732" s="165"/>
      <c r="S732" s="165"/>
      <c r="V732" s="46"/>
      <c r="W732" s="46"/>
      <c r="X732" s="1"/>
      <c r="Y732" s="1"/>
      <c r="Z732" s="173"/>
      <c r="AA732" s="1"/>
      <c r="AB732" s="165"/>
      <c r="AC732" s="1"/>
      <c r="AD732" s="1"/>
      <c r="AE732" s="1"/>
      <c r="AF732" s="46"/>
      <c r="AG732" s="1"/>
      <c r="AH732" s="165"/>
      <c r="AI732" s="165"/>
      <c r="AJ732" s="165"/>
      <c r="AK732" s="165"/>
      <c r="AL732" s="165"/>
      <c r="AM732" s="165"/>
      <c r="AN732" s="165"/>
    </row>
    <row r="733" spans="3:40">
      <c r="C733" s="46"/>
      <c r="F733" s="173"/>
      <c r="G733" s="1"/>
      <c r="H733" s="165"/>
      <c r="I733" s="160"/>
      <c r="J733" s="160"/>
      <c r="K733" s="1"/>
      <c r="L733" s="123"/>
      <c r="M733" s="1"/>
      <c r="N733" s="590"/>
      <c r="O733" s="165"/>
      <c r="P733" s="165"/>
      <c r="Q733" s="165"/>
      <c r="R733" s="165"/>
      <c r="S733" s="165"/>
      <c r="V733" s="46"/>
      <c r="W733" s="46"/>
      <c r="X733" s="1"/>
      <c r="Y733" s="1"/>
      <c r="Z733" s="173"/>
      <c r="AA733" s="1"/>
      <c r="AB733" s="165"/>
      <c r="AC733" s="1"/>
      <c r="AD733" s="1"/>
      <c r="AE733" s="1"/>
      <c r="AF733" s="46"/>
      <c r="AG733" s="1"/>
      <c r="AH733" s="165"/>
      <c r="AI733" s="165"/>
      <c r="AJ733" s="165"/>
      <c r="AK733" s="165"/>
      <c r="AL733" s="165"/>
      <c r="AM733" s="165"/>
      <c r="AN733" s="165"/>
    </row>
    <row r="734" spans="3:40">
      <c r="C734" s="46"/>
      <c r="F734" s="173"/>
      <c r="G734" s="1"/>
      <c r="H734" s="165"/>
      <c r="I734" s="160"/>
      <c r="J734" s="160"/>
      <c r="K734" s="1"/>
      <c r="L734" s="123"/>
      <c r="M734" s="1"/>
      <c r="N734" s="590"/>
      <c r="O734" s="165"/>
      <c r="P734" s="165"/>
      <c r="Q734" s="165"/>
      <c r="R734" s="165"/>
      <c r="S734" s="165"/>
      <c r="V734" s="46"/>
      <c r="W734" s="46"/>
      <c r="X734" s="1"/>
      <c r="Y734" s="1"/>
      <c r="Z734" s="173"/>
      <c r="AA734" s="1"/>
      <c r="AB734" s="165"/>
      <c r="AC734" s="1"/>
      <c r="AD734" s="1"/>
      <c r="AE734" s="1"/>
      <c r="AF734" s="46"/>
      <c r="AG734" s="1"/>
      <c r="AH734" s="165"/>
      <c r="AI734" s="165"/>
      <c r="AJ734" s="165"/>
      <c r="AK734" s="165"/>
      <c r="AL734" s="165"/>
      <c r="AM734" s="165"/>
      <c r="AN734" s="165"/>
    </row>
    <row r="735" spans="3:40">
      <c r="C735" s="46"/>
      <c r="F735" s="173"/>
      <c r="G735" s="1"/>
      <c r="H735" s="165"/>
      <c r="I735" s="160"/>
      <c r="J735" s="160"/>
      <c r="K735" s="1"/>
      <c r="L735" s="123"/>
      <c r="M735" s="1"/>
      <c r="N735" s="590"/>
      <c r="O735" s="165"/>
      <c r="P735" s="165"/>
      <c r="Q735" s="165"/>
      <c r="R735" s="165"/>
      <c r="S735" s="165"/>
      <c r="V735" s="46"/>
      <c r="W735" s="46"/>
      <c r="X735" s="1"/>
      <c r="Y735" s="1"/>
      <c r="Z735" s="173"/>
      <c r="AA735" s="1"/>
      <c r="AB735" s="165"/>
      <c r="AC735" s="1"/>
      <c r="AD735" s="1"/>
      <c r="AE735" s="1"/>
      <c r="AF735" s="46"/>
      <c r="AG735" s="1"/>
      <c r="AH735" s="165"/>
      <c r="AI735" s="165"/>
      <c r="AJ735" s="165"/>
      <c r="AK735" s="165"/>
      <c r="AL735" s="165"/>
      <c r="AM735" s="165"/>
      <c r="AN735" s="165"/>
    </row>
    <row r="736" spans="3:40">
      <c r="C736" s="46"/>
      <c r="F736" s="173"/>
      <c r="G736" s="1"/>
      <c r="H736" s="165"/>
      <c r="I736" s="160"/>
      <c r="J736" s="160"/>
      <c r="K736" s="1"/>
      <c r="L736" s="123"/>
      <c r="M736" s="1"/>
      <c r="N736" s="590"/>
      <c r="O736" s="165"/>
      <c r="P736" s="165"/>
      <c r="Q736" s="165"/>
      <c r="R736" s="165"/>
      <c r="S736" s="165"/>
      <c r="V736" s="46"/>
      <c r="W736" s="46"/>
      <c r="X736" s="1"/>
      <c r="Y736" s="1"/>
      <c r="Z736" s="173"/>
      <c r="AA736" s="1"/>
      <c r="AB736" s="165"/>
      <c r="AC736" s="1"/>
      <c r="AD736" s="1"/>
      <c r="AE736" s="1"/>
      <c r="AF736" s="46"/>
      <c r="AG736" s="1"/>
      <c r="AH736" s="165"/>
      <c r="AI736" s="165"/>
      <c r="AJ736" s="165"/>
      <c r="AK736" s="165"/>
      <c r="AL736" s="165"/>
      <c r="AM736" s="165"/>
      <c r="AN736" s="165"/>
    </row>
    <row r="737" spans="3:40">
      <c r="C737" s="46"/>
      <c r="F737" s="173"/>
      <c r="G737" s="1"/>
      <c r="H737" s="165"/>
      <c r="I737" s="160"/>
      <c r="J737" s="160"/>
      <c r="K737" s="1"/>
      <c r="L737" s="123"/>
      <c r="M737" s="1"/>
      <c r="N737" s="590"/>
      <c r="O737" s="165"/>
      <c r="P737" s="165"/>
      <c r="Q737" s="165"/>
      <c r="R737" s="165"/>
      <c r="S737" s="165"/>
      <c r="V737" s="46"/>
      <c r="W737" s="46"/>
      <c r="X737" s="1"/>
      <c r="Y737" s="1"/>
      <c r="Z737" s="173"/>
      <c r="AA737" s="1"/>
      <c r="AB737" s="165"/>
      <c r="AC737" s="1"/>
      <c r="AD737" s="1"/>
      <c r="AE737" s="1"/>
      <c r="AF737" s="46"/>
      <c r="AG737" s="1"/>
      <c r="AH737" s="165"/>
      <c r="AI737" s="165"/>
      <c r="AJ737" s="165"/>
      <c r="AK737" s="165"/>
      <c r="AL737" s="165"/>
      <c r="AM737" s="165"/>
      <c r="AN737" s="165"/>
    </row>
    <row r="738" spans="3:40">
      <c r="C738" s="46"/>
      <c r="F738" s="173"/>
      <c r="G738" s="1"/>
      <c r="H738" s="165"/>
      <c r="I738" s="160"/>
      <c r="J738" s="160"/>
      <c r="K738" s="1"/>
      <c r="L738" s="123"/>
      <c r="M738" s="1"/>
      <c r="N738" s="590"/>
      <c r="O738" s="165"/>
      <c r="P738" s="165"/>
      <c r="Q738" s="165"/>
      <c r="R738" s="165"/>
      <c r="S738" s="165"/>
      <c r="V738" s="46"/>
      <c r="W738" s="46"/>
      <c r="X738" s="1"/>
      <c r="Y738" s="1"/>
      <c r="Z738" s="173"/>
      <c r="AA738" s="1"/>
      <c r="AB738" s="165"/>
      <c r="AC738" s="1"/>
      <c r="AD738" s="1"/>
      <c r="AE738" s="1"/>
      <c r="AF738" s="46"/>
      <c r="AG738" s="1"/>
      <c r="AH738" s="165"/>
      <c r="AI738" s="165"/>
      <c r="AJ738" s="165"/>
      <c r="AK738" s="165"/>
      <c r="AL738" s="165"/>
      <c r="AM738" s="165"/>
      <c r="AN738" s="165"/>
    </row>
    <row r="739" spans="3:40">
      <c r="C739" s="46"/>
      <c r="F739" s="173"/>
      <c r="G739" s="1"/>
      <c r="H739" s="165"/>
      <c r="I739" s="160"/>
      <c r="J739" s="160"/>
      <c r="K739" s="1"/>
      <c r="L739" s="123"/>
      <c r="M739" s="1"/>
      <c r="N739" s="590"/>
      <c r="O739" s="165"/>
      <c r="P739" s="165"/>
      <c r="Q739" s="165"/>
      <c r="R739" s="165"/>
      <c r="S739" s="165"/>
      <c r="V739" s="46"/>
      <c r="W739" s="46"/>
      <c r="X739" s="1"/>
      <c r="Y739" s="1"/>
      <c r="Z739" s="173"/>
      <c r="AA739" s="1"/>
      <c r="AB739" s="165"/>
      <c r="AC739" s="1"/>
      <c r="AD739" s="1"/>
      <c r="AE739" s="1"/>
      <c r="AF739" s="46"/>
      <c r="AG739" s="1"/>
      <c r="AH739" s="165"/>
      <c r="AI739" s="165"/>
      <c r="AJ739" s="165"/>
      <c r="AK739" s="165"/>
      <c r="AL739" s="165"/>
      <c r="AM739" s="165"/>
      <c r="AN739" s="165"/>
    </row>
    <row r="740" spans="3:40">
      <c r="C740" s="46"/>
      <c r="F740" s="173"/>
      <c r="G740" s="1"/>
      <c r="H740" s="165"/>
      <c r="I740" s="160"/>
      <c r="J740" s="160"/>
      <c r="K740" s="1"/>
      <c r="L740" s="123"/>
      <c r="M740" s="1"/>
      <c r="N740" s="590"/>
      <c r="O740" s="165"/>
      <c r="P740" s="165"/>
      <c r="Q740" s="165"/>
      <c r="R740" s="165"/>
      <c r="S740" s="165"/>
      <c r="V740" s="46"/>
      <c r="W740" s="46"/>
      <c r="X740" s="1"/>
      <c r="Y740" s="1"/>
      <c r="Z740" s="173"/>
      <c r="AA740" s="1"/>
      <c r="AB740" s="165"/>
      <c r="AC740" s="1"/>
      <c r="AD740" s="1"/>
      <c r="AE740" s="1"/>
      <c r="AF740" s="46"/>
      <c r="AG740" s="1"/>
      <c r="AH740" s="165"/>
      <c r="AI740" s="165"/>
      <c r="AJ740" s="165"/>
      <c r="AK740" s="165"/>
      <c r="AL740" s="165"/>
      <c r="AM740" s="165"/>
      <c r="AN740" s="165"/>
    </row>
    <row r="741" spans="3:40">
      <c r="C741" s="46"/>
      <c r="F741" s="173"/>
      <c r="G741" s="1"/>
      <c r="H741" s="165"/>
      <c r="I741" s="160"/>
      <c r="J741" s="160"/>
      <c r="K741" s="1"/>
      <c r="L741" s="123"/>
      <c r="M741" s="1"/>
      <c r="N741" s="590"/>
      <c r="O741" s="165"/>
      <c r="P741" s="165"/>
      <c r="Q741" s="165"/>
      <c r="R741" s="165"/>
      <c r="S741" s="165"/>
      <c r="V741" s="46"/>
      <c r="W741" s="46"/>
      <c r="X741" s="1"/>
      <c r="Y741" s="1"/>
      <c r="Z741" s="173"/>
      <c r="AA741" s="1"/>
      <c r="AB741" s="165"/>
      <c r="AC741" s="1"/>
      <c r="AD741" s="1"/>
      <c r="AE741" s="1"/>
      <c r="AF741" s="46"/>
      <c r="AG741" s="1"/>
      <c r="AH741" s="165"/>
      <c r="AI741" s="165"/>
      <c r="AJ741" s="165"/>
      <c r="AK741" s="165"/>
      <c r="AL741" s="165"/>
      <c r="AM741" s="165"/>
      <c r="AN741" s="165"/>
    </row>
    <row r="742" spans="3:40">
      <c r="C742" s="46"/>
      <c r="F742" s="173"/>
      <c r="G742" s="1"/>
      <c r="H742" s="165"/>
      <c r="I742" s="160"/>
      <c r="J742" s="160"/>
      <c r="K742" s="1"/>
      <c r="L742" s="123"/>
      <c r="M742" s="1"/>
      <c r="N742" s="590"/>
      <c r="O742" s="165"/>
      <c r="P742" s="165"/>
      <c r="Q742" s="165"/>
      <c r="R742" s="165"/>
      <c r="S742" s="165"/>
      <c r="V742" s="46"/>
      <c r="W742" s="46"/>
      <c r="X742" s="1"/>
      <c r="Y742" s="1"/>
      <c r="Z742" s="173"/>
      <c r="AA742" s="1"/>
      <c r="AB742" s="165"/>
      <c r="AC742" s="1"/>
      <c r="AD742" s="1"/>
      <c r="AE742" s="1"/>
      <c r="AF742" s="46"/>
      <c r="AG742" s="1"/>
      <c r="AH742" s="165"/>
      <c r="AI742" s="165"/>
      <c r="AJ742" s="165"/>
      <c r="AK742" s="165"/>
      <c r="AL742" s="165"/>
      <c r="AM742" s="165"/>
      <c r="AN742" s="165"/>
    </row>
    <row r="743" spans="3:40">
      <c r="C743" s="46"/>
      <c r="F743" s="173"/>
      <c r="G743" s="1"/>
      <c r="H743" s="165"/>
      <c r="I743" s="160"/>
      <c r="J743" s="160"/>
      <c r="K743" s="1"/>
      <c r="L743" s="123"/>
      <c r="M743" s="1"/>
      <c r="N743" s="590"/>
      <c r="O743" s="165"/>
      <c r="P743" s="165"/>
      <c r="Q743" s="165"/>
      <c r="R743" s="165"/>
      <c r="S743" s="165"/>
      <c r="V743" s="46"/>
      <c r="W743" s="46"/>
      <c r="X743" s="1"/>
      <c r="Y743" s="1"/>
      <c r="Z743" s="173"/>
      <c r="AA743" s="1"/>
      <c r="AB743" s="165"/>
      <c r="AC743" s="1"/>
      <c r="AD743" s="1"/>
      <c r="AE743" s="1"/>
      <c r="AF743" s="46"/>
      <c r="AG743" s="1"/>
      <c r="AH743" s="165"/>
      <c r="AI743" s="165"/>
      <c r="AJ743" s="165"/>
      <c r="AK743" s="165"/>
      <c r="AL743" s="165"/>
      <c r="AM743" s="165"/>
      <c r="AN743" s="165"/>
    </row>
    <row r="744" spans="3:40">
      <c r="C744" s="46"/>
      <c r="F744" s="173"/>
      <c r="G744" s="1"/>
      <c r="H744" s="165"/>
      <c r="I744" s="160"/>
      <c r="J744" s="160"/>
      <c r="K744" s="1"/>
      <c r="L744" s="123"/>
      <c r="M744" s="1"/>
      <c r="N744" s="590"/>
      <c r="O744" s="165"/>
      <c r="P744" s="165"/>
      <c r="Q744" s="165"/>
      <c r="R744" s="165"/>
      <c r="S744" s="165"/>
      <c r="V744" s="46"/>
      <c r="W744" s="46"/>
      <c r="X744" s="1"/>
      <c r="Y744" s="1"/>
      <c r="Z744" s="173"/>
      <c r="AA744" s="1"/>
      <c r="AB744" s="165"/>
      <c r="AC744" s="1"/>
      <c r="AD744" s="1"/>
      <c r="AE744" s="1"/>
      <c r="AF744" s="46"/>
      <c r="AG744" s="1"/>
      <c r="AH744" s="165"/>
      <c r="AI744" s="165"/>
      <c r="AJ744" s="165"/>
      <c r="AK744" s="165"/>
      <c r="AL744" s="165"/>
      <c r="AM744" s="165"/>
      <c r="AN744" s="165"/>
    </row>
    <row r="745" spans="3:40">
      <c r="C745" s="46"/>
      <c r="F745" s="173"/>
      <c r="G745" s="1"/>
      <c r="H745" s="165"/>
      <c r="I745" s="160"/>
      <c r="J745" s="160"/>
      <c r="K745" s="1"/>
      <c r="L745" s="123"/>
      <c r="M745" s="1"/>
      <c r="N745" s="590"/>
      <c r="O745" s="165"/>
      <c r="P745" s="165"/>
      <c r="Q745" s="165"/>
      <c r="R745" s="165"/>
      <c r="S745" s="165"/>
      <c r="V745" s="46"/>
      <c r="W745" s="46"/>
      <c r="X745" s="1"/>
      <c r="Y745" s="1"/>
      <c r="Z745" s="173"/>
      <c r="AA745" s="1"/>
      <c r="AB745" s="165"/>
      <c r="AC745" s="1"/>
      <c r="AD745" s="1"/>
      <c r="AE745" s="1"/>
      <c r="AF745" s="46"/>
      <c r="AG745" s="1"/>
      <c r="AH745" s="165"/>
      <c r="AI745" s="165"/>
      <c r="AJ745" s="165"/>
      <c r="AK745" s="165"/>
      <c r="AL745" s="165"/>
      <c r="AM745" s="165"/>
      <c r="AN745" s="165"/>
    </row>
    <row r="746" spans="3:40">
      <c r="C746" s="46"/>
      <c r="F746" s="173"/>
      <c r="G746" s="1"/>
      <c r="H746" s="165"/>
      <c r="I746" s="160"/>
      <c r="J746" s="160"/>
      <c r="K746" s="1"/>
      <c r="L746" s="123"/>
      <c r="M746" s="1"/>
      <c r="N746" s="590"/>
      <c r="O746" s="165"/>
      <c r="P746" s="165"/>
      <c r="Q746" s="165"/>
      <c r="R746" s="165"/>
      <c r="S746" s="165"/>
      <c r="V746" s="46"/>
      <c r="W746" s="46"/>
      <c r="X746" s="1"/>
      <c r="Y746" s="1"/>
      <c r="Z746" s="173"/>
      <c r="AA746" s="1"/>
      <c r="AB746" s="165"/>
      <c r="AC746" s="1"/>
      <c r="AD746" s="1"/>
      <c r="AE746" s="1"/>
      <c r="AF746" s="46"/>
      <c r="AG746" s="1"/>
      <c r="AH746" s="165"/>
      <c r="AI746" s="165"/>
      <c r="AJ746" s="165"/>
      <c r="AK746" s="165"/>
      <c r="AL746" s="165"/>
      <c r="AM746" s="165"/>
      <c r="AN746" s="165"/>
    </row>
    <row r="747" spans="3:40">
      <c r="C747" s="46"/>
      <c r="F747" s="173"/>
      <c r="G747" s="1"/>
      <c r="H747" s="165"/>
      <c r="I747" s="160"/>
      <c r="J747" s="160"/>
      <c r="K747" s="1"/>
      <c r="L747" s="123"/>
      <c r="M747" s="1"/>
      <c r="N747" s="590"/>
      <c r="O747" s="165"/>
      <c r="P747" s="165"/>
      <c r="Q747" s="165"/>
      <c r="R747" s="165"/>
      <c r="S747" s="165"/>
      <c r="V747" s="46"/>
      <c r="W747" s="46"/>
      <c r="X747" s="1"/>
      <c r="Y747" s="1"/>
      <c r="Z747" s="173"/>
      <c r="AA747" s="1"/>
      <c r="AB747" s="165"/>
      <c r="AC747" s="1"/>
      <c r="AD747" s="1"/>
      <c r="AE747" s="1"/>
      <c r="AF747" s="46"/>
      <c r="AG747" s="1"/>
      <c r="AH747" s="165"/>
      <c r="AI747" s="165"/>
      <c r="AJ747" s="165"/>
      <c r="AK747" s="165"/>
      <c r="AL747" s="165"/>
      <c r="AM747" s="165"/>
      <c r="AN747" s="165"/>
    </row>
    <row r="748" spans="3:40">
      <c r="C748" s="46"/>
      <c r="F748" s="173"/>
      <c r="G748" s="1"/>
      <c r="H748" s="165"/>
      <c r="I748" s="160"/>
      <c r="J748" s="160"/>
      <c r="K748" s="1"/>
      <c r="L748" s="123"/>
      <c r="M748" s="1"/>
      <c r="N748" s="590"/>
      <c r="O748" s="165"/>
      <c r="P748" s="165"/>
      <c r="Q748" s="165"/>
      <c r="R748" s="165"/>
      <c r="S748" s="165"/>
      <c r="V748" s="46"/>
      <c r="W748" s="46"/>
      <c r="X748" s="1"/>
      <c r="Y748" s="1"/>
      <c r="Z748" s="173"/>
      <c r="AA748" s="1"/>
      <c r="AB748" s="165"/>
      <c r="AC748" s="1"/>
      <c r="AD748" s="1"/>
      <c r="AE748" s="1"/>
      <c r="AF748" s="46"/>
      <c r="AG748" s="1"/>
      <c r="AH748" s="165"/>
      <c r="AI748" s="165"/>
      <c r="AJ748" s="165"/>
      <c r="AK748" s="165"/>
      <c r="AL748" s="165"/>
      <c r="AM748" s="165"/>
      <c r="AN748" s="165"/>
    </row>
    <row r="749" spans="3:40">
      <c r="C749" s="46"/>
      <c r="F749" s="173"/>
      <c r="G749" s="1"/>
      <c r="H749" s="165"/>
      <c r="I749" s="160"/>
      <c r="J749" s="160"/>
      <c r="K749" s="1"/>
      <c r="L749" s="123"/>
      <c r="M749" s="1"/>
      <c r="N749" s="590"/>
      <c r="O749" s="165"/>
      <c r="P749" s="165"/>
      <c r="Q749" s="165"/>
      <c r="R749" s="165"/>
      <c r="S749" s="165"/>
      <c r="V749" s="46"/>
      <c r="W749" s="46"/>
      <c r="X749" s="1"/>
      <c r="Y749" s="1"/>
      <c r="Z749" s="173"/>
      <c r="AA749" s="1"/>
      <c r="AB749" s="165"/>
      <c r="AC749" s="1"/>
      <c r="AD749" s="1"/>
      <c r="AE749" s="1"/>
      <c r="AF749" s="46"/>
      <c r="AG749" s="1"/>
      <c r="AH749" s="165"/>
      <c r="AI749" s="165"/>
      <c r="AJ749" s="165"/>
      <c r="AK749" s="165"/>
      <c r="AL749" s="165"/>
      <c r="AM749" s="165"/>
      <c r="AN749" s="165"/>
    </row>
    <row r="750" spans="3:40">
      <c r="C750" s="46"/>
      <c r="F750" s="173"/>
      <c r="G750" s="1"/>
      <c r="H750" s="165"/>
      <c r="I750" s="160"/>
      <c r="J750" s="160"/>
      <c r="K750" s="1"/>
      <c r="L750" s="123"/>
      <c r="M750" s="1"/>
      <c r="N750" s="590"/>
      <c r="O750" s="165"/>
      <c r="P750" s="165"/>
      <c r="Q750" s="165"/>
      <c r="R750" s="165"/>
      <c r="S750" s="165"/>
      <c r="V750" s="46"/>
      <c r="W750" s="46"/>
      <c r="X750" s="1"/>
      <c r="Y750" s="1"/>
      <c r="Z750" s="173"/>
      <c r="AA750" s="1"/>
      <c r="AB750" s="165"/>
      <c r="AC750" s="1"/>
      <c r="AD750" s="1"/>
      <c r="AE750" s="1"/>
      <c r="AF750" s="46"/>
      <c r="AG750" s="1"/>
      <c r="AH750" s="165"/>
      <c r="AI750" s="165"/>
      <c r="AJ750" s="165"/>
      <c r="AK750" s="165"/>
      <c r="AL750" s="165"/>
      <c r="AM750" s="165"/>
      <c r="AN750" s="165"/>
    </row>
    <row r="751" spans="3:40">
      <c r="C751" s="46"/>
      <c r="F751" s="173"/>
      <c r="G751" s="1"/>
      <c r="H751" s="165"/>
      <c r="I751" s="160"/>
      <c r="J751" s="160"/>
      <c r="K751" s="1"/>
      <c r="L751" s="123"/>
      <c r="M751" s="1"/>
      <c r="N751" s="590"/>
      <c r="O751" s="165"/>
      <c r="P751" s="165"/>
      <c r="Q751" s="165"/>
      <c r="R751" s="165"/>
      <c r="S751" s="165"/>
      <c r="V751" s="46"/>
      <c r="W751" s="46"/>
      <c r="X751" s="1"/>
      <c r="Y751" s="1"/>
      <c r="Z751" s="173"/>
      <c r="AA751" s="1"/>
      <c r="AB751" s="165"/>
      <c r="AC751" s="1"/>
      <c r="AD751" s="1"/>
      <c r="AE751" s="1"/>
      <c r="AF751" s="46"/>
      <c r="AG751" s="1"/>
      <c r="AH751" s="165"/>
      <c r="AI751" s="165"/>
      <c r="AJ751" s="165"/>
      <c r="AK751" s="165"/>
      <c r="AL751" s="165"/>
      <c r="AM751" s="165"/>
      <c r="AN751" s="165"/>
    </row>
    <row r="752" spans="3:40">
      <c r="C752" s="46"/>
      <c r="F752" s="173"/>
      <c r="G752" s="1"/>
      <c r="H752" s="165"/>
      <c r="I752" s="160"/>
      <c r="J752" s="160"/>
      <c r="K752" s="1"/>
      <c r="L752" s="123"/>
      <c r="M752" s="1"/>
      <c r="N752" s="590"/>
      <c r="O752" s="165"/>
      <c r="P752" s="165"/>
      <c r="Q752" s="165"/>
      <c r="R752" s="165"/>
      <c r="S752" s="165"/>
      <c r="V752" s="46"/>
      <c r="W752" s="46"/>
      <c r="X752" s="1"/>
      <c r="Y752" s="1"/>
      <c r="Z752" s="173"/>
      <c r="AA752" s="1"/>
      <c r="AB752" s="165"/>
      <c r="AC752" s="1"/>
      <c r="AD752" s="1"/>
      <c r="AE752" s="1"/>
      <c r="AF752" s="46"/>
      <c r="AG752" s="1"/>
      <c r="AH752" s="165"/>
      <c r="AI752" s="165"/>
      <c r="AJ752" s="165"/>
      <c r="AK752" s="165"/>
      <c r="AL752" s="165"/>
      <c r="AM752" s="165"/>
      <c r="AN752" s="165"/>
    </row>
    <row r="753" spans="3:40">
      <c r="C753" s="46"/>
      <c r="F753" s="173"/>
      <c r="G753" s="1"/>
      <c r="H753" s="165"/>
      <c r="I753" s="160"/>
      <c r="J753" s="160"/>
      <c r="K753" s="1"/>
      <c r="L753" s="123"/>
      <c r="M753" s="1"/>
      <c r="N753" s="590"/>
      <c r="O753" s="165"/>
      <c r="P753" s="165"/>
      <c r="Q753" s="165"/>
      <c r="R753" s="165"/>
      <c r="S753" s="165"/>
      <c r="V753" s="46"/>
      <c r="W753" s="46"/>
      <c r="X753" s="1"/>
      <c r="Y753" s="1"/>
      <c r="Z753" s="173"/>
      <c r="AA753" s="1"/>
      <c r="AB753" s="165"/>
      <c r="AC753" s="1"/>
      <c r="AD753" s="1"/>
      <c r="AE753" s="1"/>
      <c r="AF753" s="46"/>
      <c r="AG753" s="1"/>
      <c r="AH753" s="165"/>
      <c r="AI753" s="165"/>
      <c r="AJ753" s="165"/>
      <c r="AK753" s="165"/>
      <c r="AL753" s="165"/>
      <c r="AM753" s="165"/>
      <c r="AN753" s="165"/>
    </row>
    <row r="754" spans="3:40">
      <c r="C754" s="46"/>
      <c r="F754" s="173"/>
      <c r="G754" s="1"/>
      <c r="H754" s="165"/>
      <c r="I754" s="160"/>
      <c r="J754" s="160"/>
      <c r="K754" s="1"/>
      <c r="L754" s="123"/>
      <c r="M754" s="1"/>
      <c r="N754" s="590"/>
      <c r="O754" s="165"/>
      <c r="P754" s="165"/>
      <c r="Q754" s="165"/>
      <c r="R754" s="165"/>
      <c r="S754" s="165"/>
      <c r="V754" s="46"/>
      <c r="W754" s="46"/>
      <c r="X754" s="1"/>
      <c r="Y754" s="1"/>
      <c r="Z754" s="173"/>
      <c r="AA754" s="1"/>
      <c r="AB754" s="165"/>
      <c r="AC754" s="1"/>
      <c r="AD754" s="1"/>
      <c r="AE754" s="1"/>
      <c r="AF754" s="46"/>
      <c r="AG754" s="1"/>
      <c r="AH754" s="165"/>
      <c r="AI754" s="165"/>
      <c r="AJ754" s="165"/>
      <c r="AK754" s="165"/>
      <c r="AL754" s="165"/>
      <c r="AM754" s="165"/>
      <c r="AN754" s="165"/>
    </row>
    <row r="755" spans="3:40">
      <c r="C755" s="46"/>
      <c r="F755" s="173"/>
      <c r="G755" s="1"/>
      <c r="H755" s="165"/>
      <c r="I755" s="160"/>
      <c r="J755" s="160"/>
      <c r="K755" s="1"/>
      <c r="L755" s="123"/>
      <c r="M755" s="1"/>
      <c r="N755" s="590"/>
      <c r="O755" s="165"/>
      <c r="P755" s="165"/>
      <c r="Q755" s="165"/>
      <c r="R755" s="165"/>
      <c r="S755" s="165"/>
      <c r="V755" s="46"/>
      <c r="W755" s="46"/>
      <c r="X755" s="1"/>
      <c r="Y755" s="1"/>
      <c r="Z755" s="173"/>
      <c r="AA755" s="1"/>
      <c r="AB755" s="165"/>
      <c r="AC755" s="1"/>
      <c r="AD755" s="1"/>
      <c r="AE755" s="1"/>
      <c r="AF755" s="46"/>
      <c r="AG755" s="1"/>
      <c r="AH755" s="165"/>
      <c r="AI755" s="165"/>
      <c r="AJ755" s="165"/>
      <c r="AK755" s="165"/>
      <c r="AL755" s="165"/>
      <c r="AM755" s="165"/>
      <c r="AN755" s="165"/>
    </row>
    <row r="756" spans="3:40">
      <c r="C756" s="46"/>
      <c r="F756" s="173"/>
      <c r="G756" s="1"/>
      <c r="H756" s="165"/>
      <c r="I756" s="160"/>
      <c r="J756" s="160"/>
      <c r="K756" s="1"/>
      <c r="L756" s="123"/>
      <c r="M756" s="1"/>
      <c r="N756" s="590"/>
      <c r="O756" s="165"/>
      <c r="P756" s="165"/>
      <c r="Q756" s="165"/>
      <c r="R756" s="165"/>
      <c r="S756" s="165"/>
      <c r="V756" s="46"/>
      <c r="W756" s="46"/>
      <c r="X756" s="1"/>
      <c r="Y756" s="1"/>
      <c r="Z756" s="173"/>
      <c r="AA756" s="1"/>
      <c r="AB756" s="165"/>
      <c r="AC756" s="1"/>
      <c r="AD756" s="1"/>
      <c r="AE756" s="1"/>
      <c r="AF756" s="46"/>
      <c r="AG756" s="1"/>
      <c r="AH756" s="165"/>
      <c r="AI756" s="165"/>
      <c r="AJ756" s="165"/>
      <c r="AK756" s="165"/>
      <c r="AL756" s="165"/>
      <c r="AM756" s="165"/>
      <c r="AN756" s="165"/>
    </row>
    <row r="757" spans="3:40">
      <c r="C757" s="46"/>
      <c r="F757" s="173"/>
      <c r="G757" s="1"/>
      <c r="H757" s="165"/>
      <c r="I757" s="160"/>
      <c r="J757" s="160"/>
      <c r="K757" s="1"/>
      <c r="L757" s="123"/>
      <c r="M757" s="1"/>
      <c r="N757" s="590"/>
      <c r="O757" s="165"/>
      <c r="P757" s="165"/>
      <c r="Q757" s="165"/>
      <c r="R757" s="165"/>
      <c r="S757" s="165"/>
      <c r="V757" s="46"/>
      <c r="W757" s="46"/>
      <c r="X757" s="1"/>
      <c r="Y757" s="1"/>
      <c r="Z757" s="173"/>
      <c r="AA757" s="1"/>
      <c r="AB757" s="165"/>
      <c r="AC757" s="1"/>
      <c r="AD757" s="1"/>
      <c r="AE757" s="1"/>
      <c r="AF757" s="46"/>
      <c r="AG757" s="1"/>
      <c r="AH757" s="165"/>
      <c r="AI757" s="165"/>
      <c r="AJ757" s="165"/>
      <c r="AK757" s="165"/>
      <c r="AL757" s="165"/>
      <c r="AM757" s="165"/>
      <c r="AN757" s="165"/>
    </row>
    <row r="758" spans="3:40">
      <c r="C758" s="46"/>
      <c r="F758" s="173"/>
      <c r="G758" s="1"/>
      <c r="H758" s="165"/>
      <c r="I758" s="160"/>
      <c r="J758" s="160"/>
      <c r="K758" s="1"/>
      <c r="L758" s="123"/>
      <c r="M758" s="1"/>
      <c r="N758" s="590"/>
      <c r="O758" s="165"/>
      <c r="P758" s="165"/>
      <c r="Q758" s="165"/>
      <c r="R758" s="165"/>
      <c r="S758" s="165"/>
      <c r="V758" s="46"/>
      <c r="W758" s="46"/>
      <c r="X758" s="1"/>
      <c r="Y758" s="1"/>
      <c r="Z758" s="173"/>
      <c r="AA758" s="1"/>
      <c r="AB758" s="165"/>
      <c r="AC758" s="1"/>
      <c r="AD758" s="1"/>
      <c r="AE758" s="1"/>
      <c r="AF758" s="46"/>
      <c r="AG758" s="1"/>
      <c r="AH758" s="165"/>
      <c r="AI758" s="165"/>
      <c r="AJ758" s="165"/>
      <c r="AK758" s="165"/>
      <c r="AL758" s="165"/>
      <c r="AM758" s="165"/>
      <c r="AN758" s="165"/>
    </row>
    <row r="759" spans="3:40">
      <c r="C759" s="46"/>
      <c r="F759" s="173"/>
      <c r="G759" s="1"/>
      <c r="H759" s="165"/>
      <c r="I759" s="160"/>
      <c r="J759" s="160"/>
      <c r="K759" s="1"/>
      <c r="L759" s="123"/>
      <c r="M759" s="1"/>
      <c r="N759" s="590"/>
      <c r="O759" s="165"/>
      <c r="P759" s="165"/>
      <c r="Q759" s="165"/>
      <c r="R759" s="165"/>
      <c r="S759" s="165"/>
      <c r="V759" s="46"/>
      <c r="W759" s="46"/>
      <c r="X759" s="1"/>
      <c r="Y759" s="1"/>
      <c r="Z759" s="173"/>
      <c r="AA759" s="1"/>
      <c r="AB759" s="165"/>
      <c r="AC759" s="1"/>
      <c r="AD759" s="1"/>
      <c r="AE759" s="1"/>
      <c r="AF759" s="46"/>
      <c r="AG759" s="1"/>
      <c r="AH759" s="165"/>
      <c r="AI759" s="165"/>
      <c r="AJ759" s="165"/>
      <c r="AK759" s="165"/>
      <c r="AL759" s="165"/>
      <c r="AM759" s="165"/>
      <c r="AN759" s="165"/>
    </row>
    <row r="760" spans="3:40">
      <c r="C760" s="46"/>
      <c r="F760" s="173"/>
      <c r="G760" s="1"/>
      <c r="H760" s="165"/>
      <c r="I760" s="160"/>
      <c r="J760" s="160"/>
      <c r="K760" s="1"/>
      <c r="L760" s="123"/>
      <c r="M760" s="1"/>
      <c r="N760" s="590"/>
      <c r="O760" s="165"/>
      <c r="P760" s="165"/>
      <c r="Q760" s="165"/>
      <c r="R760" s="165"/>
      <c r="S760" s="165"/>
      <c r="V760" s="46"/>
      <c r="W760" s="46"/>
      <c r="X760" s="1"/>
      <c r="Y760" s="1"/>
      <c r="Z760" s="173"/>
      <c r="AA760" s="1"/>
      <c r="AB760" s="165"/>
      <c r="AC760" s="1"/>
      <c r="AD760" s="1"/>
      <c r="AE760" s="1"/>
      <c r="AF760" s="46"/>
      <c r="AG760" s="1"/>
      <c r="AH760" s="165"/>
      <c r="AI760" s="165"/>
      <c r="AJ760" s="165"/>
      <c r="AK760" s="165"/>
      <c r="AL760" s="165"/>
      <c r="AM760" s="165"/>
      <c r="AN760" s="165"/>
    </row>
    <row r="761" spans="3:40">
      <c r="C761" s="46"/>
      <c r="F761" s="173"/>
      <c r="G761" s="1"/>
      <c r="H761" s="165"/>
      <c r="I761" s="160"/>
      <c r="J761" s="160"/>
      <c r="K761" s="1"/>
      <c r="L761" s="123"/>
      <c r="M761" s="1"/>
      <c r="N761" s="590"/>
      <c r="O761" s="165"/>
      <c r="P761" s="165"/>
      <c r="Q761" s="165"/>
      <c r="R761" s="165"/>
      <c r="S761" s="165"/>
      <c r="V761" s="46"/>
      <c r="W761" s="46"/>
      <c r="X761" s="1"/>
      <c r="Y761" s="1"/>
      <c r="Z761" s="173"/>
      <c r="AA761" s="1"/>
      <c r="AB761" s="165"/>
      <c r="AC761" s="1"/>
      <c r="AD761" s="1"/>
      <c r="AE761" s="1"/>
      <c r="AF761" s="46"/>
      <c r="AG761" s="1"/>
      <c r="AH761" s="165"/>
      <c r="AI761" s="165"/>
      <c r="AJ761" s="165"/>
      <c r="AK761" s="165"/>
      <c r="AL761" s="165"/>
      <c r="AM761" s="165"/>
      <c r="AN761" s="165"/>
    </row>
    <row r="762" spans="3:40">
      <c r="C762" s="46"/>
      <c r="F762" s="173"/>
      <c r="G762" s="1"/>
      <c r="H762" s="165"/>
      <c r="I762" s="160"/>
      <c r="J762" s="160"/>
      <c r="K762" s="1"/>
      <c r="L762" s="123"/>
      <c r="M762" s="1"/>
      <c r="N762" s="590"/>
      <c r="O762" s="165"/>
      <c r="P762" s="165"/>
      <c r="Q762" s="165"/>
      <c r="R762" s="165"/>
      <c r="S762" s="165"/>
      <c r="V762" s="46"/>
      <c r="W762" s="46"/>
      <c r="X762" s="1"/>
      <c r="Y762" s="1"/>
      <c r="Z762" s="173"/>
      <c r="AA762" s="1"/>
      <c r="AB762" s="165"/>
      <c r="AC762" s="1"/>
      <c r="AD762" s="1"/>
      <c r="AE762" s="1"/>
      <c r="AF762" s="46"/>
      <c r="AG762" s="1"/>
      <c r="AH762" s="165"/>
      <c r="AI762" s="165"/>
      <c r="AJ762" s="165"/>
      <c r="AK762" s="165"/>
      <c r="AL762" s="165"/>
      <c r="AM762" s="165"/>
      <c r="AN762" s="165"/>
    </row>
    <row r="763" spans="3:40">
      <c r="C763" s="46"/>
      <c r="F763" s="173"/>
      <c r="G763" s="1"/>
      <c r="H763" s="165"/>
      <c r="I763" s="160"/>
      <c r="J763" s="160"/>
      <c r="K763" s="1"/>
      <c r="L763" s="123"/>
      <c r="M763" s="1"/>
      <c r="N763" s="590"/>
      <c r="O763" s="165"/>
      <c r="P763" s="165"/>
      <c r="Q763" s="165"/>
      <c r="R763" s="165"/>
      <c r="S763" s="165"/>
      <c r="V763" s="46"/>
      <c r="W763" s="46"/>
      <c r="X763" s="1"/>
      <c r="Y763" s="1"/>
      <c r="Z763" s="173"/>
      <c r="AA763" s="1"/>
      <c r="AB763" s="165"/>
      <c r="AC763" s="1"/>
      <c r="AD763" s="1"/>
      <c r="AE763" s="1"/>
      <c r="AF763" s="46"/>
      <c r="AG763" s="1"/>
      <c r="AH763" s="165"/>
      <c r="AI763" s="165"/>
      <c r="AJ763" s="165"/>
      <c r="AK763" s="165"/>
      <c r="AL763" s="165"/>
      <c r="AM763" s="165"/>
      <c r="AN763" s="165"/>
    </row>
    <row r="764" spans="3:40">
      <c r="C764" s="46"/>
      <c r="F764" s="173"/>
      <c r="G764" s="1"/>
      <c r="H764" s="165"/>
      <c r="I764" s="160"/>
      <c r="J764" s="160"/>
      <c r="K764" s="1"/>
      <c r="L764" s="123"/>
      <c r="M764" s="1"/>
      <c r="N764" s="590"/>
      <c r="O764" s="165"/>
      <c r="P764" s="165"/>
      <c r="Q764" s="165"/>
      <c r="R764" s="165"/>
      <c r="S764" s="165"/>
      <c r="V764" s="46"/>
      <c r="W764" s="46"/>
      <c r="X764" s="1"/>
      <c r="Y764" s="1"/>
      <c r="Z764" s="173"/>
      <c r="AA764" s="1"/>
      <c r="AB764" s="165"/>
      <c r="AC764" s="1"/>
      <c r="AD764" s="1"/>
      <c r="AE764" s="1"/>
      <c r="AF764" s="46"/>
      <c r="AG764" s="1"/>
      <c r="AH764" s="165"/>
      <c r="AI764" s="165"/>
      <c r="AJ764" s="165"/>
      <c r="AK764" s="165"/>
      <c r="AL764" s="165"/>
      <c r="AM764" s="165"/>
      <c r="AN764" s="165"/>
    </row>
    <row r="765" spans="3:40">
      <c r="C765" s="46"/>
      <c r="F765" s="173"/>
      <c r="G765" s="1"/>
      <c r="H765" s="165"/>
      <c r="I765" s="160"/>
      <c r="J765" s="160"/>
      <c r="K765" s="1"/>
      <c r="L765" s="123"/>
      <c r="M765" s="1"/>
      <c r="N765" s="590"/>
      <c r="O765" s="165"/>
      <c r="P765" s="165"/>
      <c r="Q765" s="165"/>
      <c r="R765" s="165"/>
      <c r="S765" s="165"/>
      <c r="V765" s="46"/>
      <c r="W765" s="46"/>
      <c r="X765" s="1"/>
      <c r="Y765" s="1"/>
      <c r="Z765" s="173"/>
      <c r="AA765" s="1"/>
      <c r="AB765" s="165"/>
      <c r="AC765" s="1"/>
      <c r="AD765" s="1"/>
      <c r="AE765" s="1"/>
      <c r="AF765" s="46"/>
      <c r="AG765" s="1"/>
      <c r="AH765" s="165"/>
      <c r="AI765" s="165"/>
      <c r="AJ765" s="165"/>
      <c r="AK765" s="165"/>
      <c r="AL765" s="165"/>
      <c r="AM765" s="165"/>
      <c r="AN765" s="165"/>
    </row>
    <row r="766" spans="3:40">
      <c r="C766" s="46"/>
      <c r="F766" s="173"/>
      <c r="G766" s="1"/>
      <c r="H766" s="165"/>
      <c r="I766" s="160"/>
      <c r="J766" s="160"/>
      <c r="K766" s="1"/>
      <c r="L766" s="123"/>
      <c r="M766" s="1"/>
      <c r="N766" s="590"/>
      <c r="O766" s="165"/>
      <c r="P766" s="165"/>
      <c r="Q766" s="165"/>
      <c r="R766" s="165"/>
      <c r="S766" s="165"/>
      <c r="V766" s="46"/>
      <c r="W766" s="46"/>
      <c r="X766" s="1"/>
      <c r="Y766" s="1"/>
      <c r="Z766" s="173"/>
      <c r="AA766" s="1"/>
      <c r="AB766" s="165"/>
      <c r="AC766" s="1"/>
      <c r="AD766" s="1"/>
      <c r="AE766" s="1"/>
      <c r="AF766" s="46"/>
      <c r="AG766" s="1"/>
      <c r="AH766" s="165"/>
      <c r="AI766" s="165"/>
      <c r="AJ766" s="165"/>
      <c r="AK766" s="165"/>
      <c r="AL766" s="165"/>
      <c r="AM766" s="165"/>
      <c r="AN766" s="165"/>
    </row>
    <row r="767" spans="3:40">
      <c r="C767" s="46"/>
      <c r="F767" s="173"/>
      <c r="G767" s="1"/>
      <c r="H767" s="165"/>
      <c r="I767" s="160"/>
      <c r="J767" s="160"/>
      <c r="K767" s="1"/>
      <c r="L767" s="123"/>
      <c r="M767" s="1"/>
      <c r="N767" s="590"/>
      <c r="O767" s="165"/>
      <c r="P767" s="165"/>
      <c r="Q767" s="165"/>
      <c r="R767" s="165"/>
      <c r="S767" s="165"/>
      <c r="V767" s="46"/>
      <c r="W767" s="46"/>
      <c r="X767" s="1"/>
      <c r="Y767" s="1"/>
      <c r="Z767" s="173"/>
      <c r="AA767" s="1"/>
      <c r="AB767" s="165"/>
      <c r="AC767" s="1"/>
      <c r="AD767" s="1"/>
      <c r="AE767" s="1"/>
      <c r="AF767" s="46"/>
      <c r="AG767" s="1"/>
      <c r="AH767" s="165"/>
      <c r="AI767" s="165"/>
      <c r="AJ767" s="165"/>
      <c r="AK767" s="165"/>
      <c r="AL767" s="165"/>
      <c r="AM767" s="165"/>
      <c r="AN767" s="165"/>
    </row>
    <row r="768" spans="3:40">
      <c r="C768" s="46"/>
      <c r="F768" s="173"/>
      <c r="G768" s="1"/>
      <c r="H768" s="165"/>
      <c r="I768" s="160"/>
      <c r="J768" s="160"/>
      <c r="K768" s="1"/>
      <c r="L768" s="123"/>
      <c r="M768" s="1"/>
      <c r="N768" s="590"/>
      <c r="O768" s="165"/>
      <c r="P768" s="165"/>
      <c r="Q768" s="165"/>
      <c r="R768" s="165"/>
      <c r="S768" s="165"/>
      <c r="V768" s="46"/>
      <c r="W768" s="46"/>
      <c r="X768" s="1"/>
      <c r="Y768" s="1"/>
      <c r="Z768" s="173"/>
      <c r="AA768" s="1"/>
      <c r="AB768" s="165"/>
      <c r="AC768" s="1"/>
      <c r="AD768" s="1"/>
      <c r="AE768" s="1"/>
      <c r="AF768" s="46"/>
      <c r="AG768" s="1"/>
      <c r="AH768" s="165"/>
      <c r="AI768" s="165"/>
      <c r="AJ768" s="165"/>
      <c r="AK768" s="165"/>
      <c r="AL768" s="165"/>
      <c r="AM768" s="165"/>
      <c r="AN768" s="165"/>
    </row>
    <row r="769" spans="3:40">
      <c r="C769" s="46"/>
      <c r="F769" s="173"/>
      <c r="G769" s="1"/>
      <c r="H769" s="165"/>
      <c r="I769" s="160"/>
      <c r="J769" s="160"/>
      <c r="K769" s="1"/>
      <c r="L769" s="123"/>
      <c r="M769" s="1"/>
      <c r="N769" s="590"/>
      <c r="O769" s="165"/>
      <c r="P769" s="165"/>
      <c r="Q769" s="165"/>
      <c r="R769" s="165"/>
      <c r="S769" s="165"/>
      <c r="V769" s="46"/>
      <c r="W769" s="46"/>
      <c r="X769" s="1"/>
      <c r="Y769" s="1"/>
      <c r="Z769" s="173"/>
      <c r="AA769" s="1"/>
      <c r="AB769" s="165"/>
      <c r="AC769" s="1"/>
      <c r="AD769" s="1"/>
      <c r="AE769" s="1"/>
      <c r="AF769" s="46"/>
      <c r="AG769" s="1"/>
      <c r="AH769" s="165"/>
      <c r="AI769" s="165"/>
      <c r="AJ769" s="165"/>
      <c r="AK769" s="165"/>
      <c r="AL769" s="165"/>
      <c r="AM769" s="165"/>
      <c r="AN769" s="165"/>
    </row>
    <row r="770" spans="3:40">
      <c r="C770" s="46"/>
      <c r="F770" s="173"/>
      <c r="G770" s="1"/>
      <c r="H770" s="165"/>
      <c r="I770" s="160"/>
      <c r="J770" s="160"/>
      <c r="K770" s="1"/>
      <c r="L770" s="123"/>
      <c r="M770" s="1"/>
      <c r="N770" s="590"/>
      <c r="O770" s="165"/>
      <c r="P770" s="165"/>
      <c r="Q770" s="165"/>
      <c r="R770" s="165"/>
      <c r="S770" s="165"/>
      <c r="V770" s="46"/>
      <c r="W770" s="46"/>
      <c r="X770" s="1"/>
      <c r="Y770" s="1"/>
      <c r="Z770" s="173"/>
      <c r="AA770" s="1"/>
      <c r="AB770" s="165"/>
      <c r="AC770" s="1"/>
      <c r="AD770" s="1"/>
      <c r="AE770" s="1"/>
      <c r="AF770" s="46"/>
      <c r="AG770" s="1"/>
      <c r="AH770" s="165"/>
      <c r="AI770" s="165"/>
      <c r="AJ770" s="165"/>
      <c r="AK770" s="165"/>
      <c r="AL770" s="165"/>
      <c r="AM770" s="165"/>
      <c r="AN770" s="165"/>
    </row>
    <row r="771" spans="3:40">
      <c r="C771" s="46"/>
      <c r="F771" s="173"/>
      <c r="G771" s="1"/>
      <c r="H771" s="165"/>
      <c r="I771" s="160"/>
      <c r="J771" s="160"/>
      <c r="K771" s="1"/>
      <c r="L771" s="123"/>
      <c r="M771" s="1"/>
      <c r="N771" s="590"/>
      <c r="O771" s="165"/>
      <c r="P771" s="165"/>
      <c r="Q771" s="165"/>
      <c r="R771" s="165"/>
      <c r="S771" s="165"/>
      <c r="V771" s="46"/>
      <c r="W771" s="46"/>
      <c r="X771" s="1"/>
      <c r="Y771" s="1"/>
      <c r="Z771" s="173"/>
      <c r="AA771" s="1"/>
      <c r="AB771" s="165"/>
      <c r="AC771" s="1"/>
      <c r="AD771" s="1"/>
      <c r="AE771" s="1"/>
      <c r="AF771" s="46"/>
      <c r="AG771" s="1"/>
      <c r="AH771" s="165"/>
      <c r="AI771" s="165"/>
      <c r="AJ771" s="165"/>
      <c r="AK771" s="165"/>
      <c r="AL771" s="165"/>
      <c r="AM771" s="165"/>
      <c r="AN771" s="165"/>
    </row>
    <row r="772" spans="3:40">
      <c r="C772" s="46"/>
      <c r="F772" s="173"/>
      <c r="G772" s="1"/>
      <c r="H772" s="165"/>
      <c r="I772" s="160"/>
      <c r="J772" s="160"/>
      <c r="K772" s="1"/>
      <c r="L772" s="123"/>
      <c r="M772" s="1"/>
      <c r="N772" s="590"/>
      <c r="O772" s="165"/>
      <c r="P772" s="165"/>
      <c r="Q772" s="165"/>
      <c r="R772" s="165"/>
      <c r="S772" s="165"/>
      <c r="V772" s="46"/>
      <c r="W772" s="46"/>
      <c r="X772" s="1"/>
      <c r="Y772" s="1"/>
      <c r="Z772" s="173"/>
      <c r="AA772" s="1"/>
      <c r="AB772" s="165"/>
      <c r="AC772" s="1"/>
      <c r="AD772" s="1"/>
      <c r="AE772" s="1"/>
      <c r="AF772" s="46"/>
      <c r="AG772" s="1"/>
      <c r="AH772" s="165"/>
      <c r="AI772" s="165"/>
      <c r="AJ772" s="165"/>
      <c r="AK772" s="165"/>
      <c r="AL772" s="165"/>
      <c r="AM772" s="165"/>
      <c r="AN772" s="165"/>
    </row>
    <row r="773" spans="3:40">
      <c r="C773" s="46"/>
      <c r="F773" s="173"/>
      <c r="G773" s="1"/>
      <c r="H773" s="165"/>
      <c r="I773" s="160"/>
      <c r="J773" s="160"/>
      <c r="K773" s="1"/>
      <c r="L773" s="123"/>
      <c r="M773" s="1"/>
      <c r="N773" s="590"/>
      <c r="O773" s="165"/>
      <c r="P773" s="165"/>
      <c r="Q773" s="165"/>
      <c r="R773" s="165"/>
      <c r="S773" s="165"/>
      <c r="V773" s="46"/>
      <c r="W773" s="46"/>
      <c r="X773" s="1"/>
      <c r="Y773" s="1"/>
      <c r="Z773" s="173"/>
      <c r="AA773" s="1"/>
      <c r="AB773" s="165"/>
      <c r="AC773" s="1"/>
      <c r="AD773" s="1"/>
      <c r="AE773" s="1"/>
      <c r="AF773" s="46"/>
      <c r="AG773" s="1"/>
      <c r="AH773" s="165"/>
      <c r="AI773" s="165"/>
      <c r="AJ773" s="165"/>
      <c r="AK773" s="165"/>
      <c r="AL773" s="165"/>
      <c r="AM773" s="165"/>
      <c r="AN773" s="165"/>
    </row>
    <row r="774" spans="3:40">
      <c r="C774" s="46"/>
      <c r="F774" s="173"/>
      <c r="G774" s="1"/>
      <c r="H774" s="165"/>
      <c r="I774" s="160"/>
      <c r="J774" s="160"/>
      <c r="K774" s="1"/>
      <c r="L774" s="123"/>
      <c r="M774" s="1"/>
      <c r="N774" s="590"/>
      <c r="O774" s="165"/>
      <c r="P774" s="165"/>
      <c r="Q774" s="165"/>
      <c r="R774" s="165"/>
      <c r="S774" s="165"/>
      <c r="V774" s="46"/>
      <c r="W774" s="46"/>
      <c r="X774" s="1"/>
      <c r="Y774" s="1"/>
      <c r="Z774" s="173"/>
      <c r="AA774" s="1"/>
      <c r="AB774" s="165"/>
      <c r="AC774" s="1"/>
      <c r="AD774" s="1"/>
      <c r="AE774" s="1"/>
      <c r="AF774" s="46"/>
      <c r="AG774" s="1"/>
      <c r="AH774" s="165"/>
      <c r="AI774" s="165"/>
      <c r="AJ774" s="165"/>
      <c r="AK774" s="165"/>
      <c r="AL774" s="165"/>
      <c r="AM774" s="165"/>
      <c r="AN774" s="165"/>
    </row>
    <row r="775" spans="3:40">
      <c r="C775" s="46"/>
      <c r="F775" s="173"/>
      <c r="G775" s="1"/>
      <c r="H775" s="165"/>
      <c r="I775" s="160"/>
      <c r="J775" s="160"/>
      <c r="K775" s="1"/>
      <c r="L775" s="123"/>
      <c r="M775" s="1"/>
      <c r="N775" s="590"/>
      <c r="O775" s="165"/>
      <c r="P775" s="165"/>
      <c r="Q775" s="165"/>
      <c r="R775" s="165"/>
      <c r="S775" s="165"/>
      <c r="V775" s="46"/>
      <c r="W775" s="46"/>
      <c r="X775" s="1"/>
      <c r="Y775" s="1"/>
      <c r="Z775" s="173"/>
      <c r="AA775" s="1"/>
      <c r="AB775" s="165"/>
      <c r="AC775" s="1"/>
      <c r="AD775" s="1"/>
      <c r="AE775" s="1"/>
      <c r="AF775" s="46"/>
      <c r="AG775" s="1"/>
      <c r="AH775" s="165"/>
      <c r="AI775" s="165"/>
      <c r="AJ775" s="165"/>
      <c r="AK775" s="165"/>
      <c r="AL775" s="165"/>
      <c r="AM775" s="165"/>
      <c r="AN775" s="165"/>
    </row>
    <row r="776" spans="3:40">
      <c r="C776" s="46"/>
      <c r="F776" s="173"/>
      <c r="G776" s="1"/>
      <c r="H776" s="165"/>
      <c r="I776" s="160"/>
      <c r="J776" s="160"/>
      <c r="K776" s="1"/>
      <c r="L776" s="123"/>
      <c r="M776" s="1"/>
      <c r="N776" s="590"/>
      <c r="O776" s="165"/>
      <c r="P776" s="165"/>
      <c r="Q776" s="165"/>
      <c r="R776" s="165"/>
      <c r="S776" s="165"/>
      <c r="V776" s="46"/>
      <c r="W776" s="46"/>
      <c r="X776" s="1"/>
      <c r="Y776" s="1"/>
      <c r="Z776" s="173"/>
      <c r="AA776" s="1"/>
      <c r="AB776" s="165"/>
      <c r="AC776" s="1"/>
      <c r="AD776" s="1"/>
      <c r="AE776" s="1"/>
      <c r="AF776" s="46"/>
      <c r="AG776" s="1"/>
      <c r="AH776" s="165"/>
      <c r="AI776" s="165"/>
      <c r="AJ776" s="165"/>
      <c r="AK776" s="165"/>
      <c r="AL776" s="165"/>
      <c r="AM776" s="165"/>
      <c r="AN776" s="165"/>
    </row>
    <row r="777" spans="3:40">
      <c r="C777" s="46"/>
      <c r="F777" s="173"/>
      <c r="G777" s="1"/>
      <c r="H777" s="165"/>
      <c r="I777" s="160"/>
      <c r="J777" s="160"/>
      <c r="K777" s="1"/>
      <c r="L777" s="123"/>
      <c r="M777" s="1"/>
      <c r="N777" s="590"/>
      <c r="O777" s="165"/>
      <c r="P777" s="165"/>
      <c r="Q777" s="165"/>
      <c r="R777" s="165"/>
      <c r="S777" s="165"/>
      <c r="V777" s="46"/>
      <c r="W777" s="46"/>
      <c r="X777" s="1"/>
      <c r="Y777" s="1"/>
      <c r="Z777" s="173"/>
      <c r="AA777" s="1"/>
      <c r="AB777" s="165"/>
      <c r="AC777" s="1"/>
      <c r="AD777" s="1"/>
      <c r="AE777" s="1"/>
      <c r="AF777" s="46"/>
      <c r="AG777" s="1"/>
      <c r="AH777" s="165"/>
      <c r="AI777" s="165"/>
      <c r="AJ777" s="165"/>
      <c r="AK777" s="165"/>
      <c r="AL777" s="165"/>
      <c r="AM777" s="165"/>
      <c r="AN777" s="165"/>
    </row>
    <row r="778" spans="3:40">
      <c r="C778" s="46"/>
      <c r="F778" s="173"/>
      <c r="G778" s="1"/>
      <c r="H778" s="165"/>
      <c r="I778" s="160"/>
      <c r="J778" s="160"/>
      <c r="K778" s="1"/>
      <c r="L778" s="123"/>
      <c r="M778" s="1"/>
      <c r="N778" s="590"/>
      <c r="O778" s="165"/>
      <c r="P778" s="165"/>
      <c r="Q778" s="165"/>
      <c r="R778" s="165"/>
      <c r="S778" s="165"/>
      <c r="V778" s="46"/>
      <c r="W778" s="46"/>
      <c r="X778" s="1"/>
      <c r="Y778" s="1"/>
      <c r="Z778" s="173"/>
      <c r="AA778" s="1"/>
      <c r="AB778" s="165"/>
      <c r="AC778" s="1"/>
      <c r="AD778" s="1"/>
      <c r="AE778" s="1"/>
      <c r="AF778" s="46"/>
      <c r="AG778" s="1"/>
      <c r="AH778" s="165"/>
      <c r="AI778" s="165"/>
      <c r="AJ778" s="165"/>
      <c r="AK778" s="165"/>
      <c r="AL778" s="165"/>
      <c r="AM778" s="165"/>
      <c r="AN778" s="165"/>
    </row>
    <row r="779" spans="3:40">
      <c r="C779" s="46"/>
      <c r="F779" s="173"/>
      <c r="G779" s="1"/>
      <c r="H779" s="165"/>
      <c r="I779" s="160"/>
      <c r="J779" s="160"/>
      <c r="K779" s="1"/>
      <c r="L779" s="123"/>
      <c r="M779" s="1"/>
      <c r="N779" s="590"/>
      <c r="O779" s="165"/>
      <c r="P779" s="165"/>
      <c r="Q779" s="165"/>
      <c r="R779" s="165"/>
      <c r="S779" s="165"/>
      <c r="V779" s="46"/>
      <c r="W779" s="46"/>
      <c r="X779" s="1"/>
      <c r="Y779" s="1"/>
      <c r="Z779" s="173"/>
      <c r="AA779" s="1"/>
      <c r="AB779" s="165"/>
      <c r="AC779" s="1"/>
      <c r="AD779" s="1"/>
      <c r="AE779" s="1"/>
      <c r="AF779" s="46"/>
      <c r="AG779" s="1"/>
      <c r="AH779" s="165"/>
      <c r="AI779" s="165"/>
      <c r="AJ779" s="165"/>
      <c r="AK779" s="165"/>
      <c r="AL779" s="165"/>
      <c r="AM779" s="165"/>
      <c r="AN779" s="165"/>
    </row>
    <row r="780" spans="3:40">
      <c r="C780" s="46"/>
      <c r="F780" s="173"/>
      <c r="G780" s="1"/>
      <c r="H780" s="165"/>
      <c r="I780" s="160"/>
      <c r="J780" s="160"/>
      <c r="K780" s="1"/>
      <c r="L780" s="123"/>
      <c r="M780" s="1"/>
      <c r="N780" s="590"/>
      <c r="O780" s="165"/>
      <c r="P780" s="165"/>
      <c r="Q780" s="165"/>
      <c r="R780" s="165"/>
      <c r="S780" s="165"/>
      <c r="V780" s="46"/>
      <c r="W780" s="46"/>
      <c r="X780" s="1"/>
      <c r="Y780" s="1"/>
      <c r="Z780" s="173"/>
      <c r="AA780" s="1"/>
      <c r="AB780" s="165"/>
      <c r="AC780" s="1"/>
      <c r="AD780" s="1"/>
      <c r="AE780" s="1"/>
      <c r="AF780" s="46"/>
      <c r="AG780" s="1"/>
      <c r="AH780" s="165"/>
      <c r="AI780" s="165"/>
      <c r="AJ780" s="165"/>
      <c r="AK780" s="165"/>
      <c r="AL780" s="165"/>
      <c r="AM780" s="165"/>
      <c r="AN780" s="165"/>
    </row>
    <row r="781" spans="3:40">
      <c r="C781" s="46"/>
      <c r="F781" s="173"/>
      <c r="G781" s="1"/>
      <c r="H781" s="165"/>
      <c r="I781" s="160"/>
      <c r="J781" s="160"/>
      <c r="K781" s="1"/>
      <c r="L781" s="123"/>
      <c r="M781" s="1"/>
      <c r="N781" s="590"/>
      <c r="O781" s="165"/>
      <c r="P781" s="165"/>
      <c r="Q781" s="165"/>
      <c r="R781" s="165"/>
      <c r="S781" s="165"/>
      <c r="V781" s="46"/>
      <c r="W781" s="46"/>
      <c r="X781" s="1"/>
      <c r="Y781" s="1"/>
      <c r="Z781" s="173"/>
      <c r="AA781" s="1"/>
      <c r="AB781" s="165"/>
      <c r="AC781" s="1"/>
      <c r="AD781" s="1"/>
      <c r="AE781" s="1"/>
      <c r="AF781" s="46"/>
      <c r="AG781" s="1"/>
      <c r="AH781" s="165"/>
      <c r="AI781" s="165"/>
      <c r="AJ781" s="165"/>
      <c r="AK781" s="165"/>
      <c r="AL781" s="165"/>
      <c r="AM781" s="165"/>
      <c r="AN781" s="165"/>
    </row>
    <row r="782" spans="3:40">
      <c r="C782" s="46"/>
      <c r="F782" s="173"/>
      <c r="G782" s="1"/>
      <c r="H782" s="165"/>
      <c r="I782" s="160"/>
      <c r="J782" s="160"/>
      <c r="K782" s="1"/>
      <c r="L782" s="123"/>
      <c r="M782" s="1"/>
      <c r="N782" s="590"/>
      <c r="O782" s="165"/>
      <c r="P782" s="165"/>
      <c r="Q782" s="165"/>
      <c r="R782" s="165"/>
      <c r="S782" s="165"/>
      <c r="V782" s="46"/>
      <c r="W782" s="46"/>
      <c r="X782" s="1"/>
      <c r="Y782" s="1"/>
      <c r="Z782" s="173"/>
      <c r="AA782" s="1"/>
      <c r="AB782" s="165"/>
      <c r="AC782" s="1"/>
      <c r="AD782" s="1"/>
      <c r="AE782" s="1"/>
      <c r="AF782" s="46"/>
      <c r="AG782" s="1"/>
      <c r="AH782" s="165"/>
      <c r="AI782" s="165"/>
      <c r="AJ782" s="165"/>
      <c r="AK782" s="165"/>
      <c r="AL782" s="165"/>
      <c r="AM782" s="165"/>
      <c r="AN782" s="165"/>
    </row>
    <row r="783" spans="3:40">
      <c r="C783" s="46"/>
      <c r="F783" s="173"/>
      <c r="G783" s="1"/>
      <c r="H783" s="165"/>
      <c r="I783" s="160"/>
      <c r="J783" s="160"/>
      <c r="K783" s="1"/>
      <c r="L783" s="123"/>
      <c r="M783" s="1"/>
      <c r="N783" s="590"/>
      <c r="O783" s="165"/>
      <c r="P783" s="165"/>
      <c r="Q783" s="165"/>
      <c r="R783" s="165"/>
      <c r="S783" s="165"/>
      <c r="V783" s="46"/>
      <c r="W783" s="46"/>
      <c r="X783" s="1"/>
      <c r="Y783" s="1"/>
      <c r="Z783" s="173"/>
      <c r="AA783" s="1"/>
      <c r="AB783" s="165"/>
      <c r="AC783" s="1"/>
      <c r="AD783" s="1"/>
      <c r="AE783" s="1"/>
      <c r="AF783" s="46"/>
      <c r="AG783" s="1"/>
      <c r="AH783" s="165"/>
      <c r="AI783" s="165"/>
      <c r="AJ783" s="165"/>
      <c r="AK783" s="165"/>
      <c r="AL783" s="165"/>
      <c r="AM783" s="165"/>
      <c r="AN783" s="165"/>
    </row>
    <row r="784" spans="3:40">
      <c r="C784" s="46"/>
      <c r="F784" s="173"/>
      <c r="G784" s="1"/>
      <c r="H784" s="165"/>
      <c r="I784" s="160"/>
      <c r="J784" s="160"/>
      <c r="K784" s="1"/>
      <c r="L784" s="123"/>
      <c r="M784" s="1"/>
      <c r="N784" s="590"/>
      <c r="O784" s="165"/>
      <c r="P784" s="165"/>
      <c r="Q784" s="165"/>
      <c r="R784" s="165"/>
      <c r="S784" s="165"/>
      <c r="V784" s="46"/>
      <c r="W784" s="46"/>
      <c r="X784" s="1"/>
      <c r="Y784" s="1"/>
      <c r="Z784" s="173"/>
      <c r="AA784" s="1"/>
      <c r="AB784" s="165"/>
      <c r="AC784" s="1"/>
      <c r="AD784" s="1"/>
      <c r="AE784" s="1"/>
      <c r="AF784" s="46"/>
      <c r="AG784" s="1"/>
      <c r="AH784" s="165"/>
      <c r="AI784" s="165"/>
      <c r="AJ784" s="165"/>
      <c r="AK784" s="165"/>
      <c r="AL784" s="165"/>
      <c r="AM784" s="165"/>
      <c r="AN784" s="165"/>
    </row>
    <row r="785" spans="3:40">
      <c r="C785" s="46"/>
      <c r="F785" s="173"/>
      <c r="G785" s="1"/>
      <c r="H785" s="165"/>
      <c r="I785" s="160"/>
      <c r="J785" s="160"/>
      <c r="K785" s="1"/>
      <c r="L785" s="123"/>
      <c r="M785" s="1"/>
      <c r="N785" s="590"/>
      <c r="O785" s="165"/>
      <c r="P785" s="165"/>
      <c r="Q785" s="165"/>
      <c r="R785" s="165"/>
      <c r="S785" s="165"/>
      <c r="V785" s="46"/>
      <c r="W785" s="46"/>
      <c r="X785" s="1"/>
      <c r="Y785" s="1"/>
      <c r="Z785" s="173"/>
      <c r="AA785" s="1"/>
      <c r="AB785" s="165"/>
      <c r="AC785" s="1"/>
      <c r="AD785" s="1"/>
      <c r="AE785" s="1"/>
      <c r="AF785" s="46"/>
      <c r="AG785" s="1"/>
      <c r="AH785" s="165"/>
      <c r="AI785" s="165"/>
      <c r="AJ785" s="165"/>
      <c r="AK785" s="165"/>
      <c r="AL785" s="165"/>
      <c r="AM785" s="165"/>
      <c r="AN785" s="165"/>
    </row>
    <row r="786" spans="3:40">
      <c r="C786" s="46"/>
      <c r="F786" s="173"/>
      <c r="G786" s="1"/>
      <c r="H786" s="165"/>
      <c r="I786" s="160"/>
      <c r="J786" s="160"/>
      <c r="K786" s="1"/>
      <c r="L786" s="123"/>
      <c r="M786" s="1"/>
      <c r="N786" s="590"/>
      <c r="O786" s="165"/>
      <c r="P786" s="165"/>
      <c r="Q786" s="165"/>
      <c r="R786" s="165"/>
      <c r="S786" s="165"/>
      <c r="V786" s="46"/>
      <c r="W786" s="46"/>
      <c r="X786" s="1"/>
      <c r="Y786" s="1"/>
      <c r="Z786" s="173"/>
      <c r="AA786" s="1"/>
      <c r="AB786" s="165"/>
      <c r="AC786" s="1"/>
      <c r="AD786" s="1"/>
      <c r="AE786" s="1"/>
      <c r="AF786" s="46"/>
      <c r="AG786" s="1"/>
      <c r="AH786" s="165"/>
      <c r="AI786" s="165"/>
      <c r="AJ786" s="165"/>
      <c r="AK786" s="165"/>
      <c r="AL786" s="165"/>
      <c r="AM786" s="165"/>
      <c r="AN786" s="165"/>
    </row>
    <row r="787" spans="3:40">
      <c r="C787" s="46"/>
      <c r="F787" s="173"/>
      <c r="G787" s="1"/>
      <c r="H787" s="165"/>
      <c r="I787" s="160"/>
      <c r="J787" s="160"/>
      <c r="K787" s="1"/>
      <c r="L787" s="123"/>
      <c r="M787" s="1"/>
      <c r="N787" s="590"/>
      <c r="O787" s="165"/>
      <c r="P787" s="165"/>
      <c r="Q787" s="165"/>
      <c r="R787" s="165"/>
      <c r="S787" s="165"/>
      <c r="V787" s="46"/>
      <c r="W787" s="46"/>
      <c r="X787" s="1"/>
      <c r="Y787" s="1"/>
      <c r="Z787" s="173"/>
      <c r="AA787" s="1"/>
      <c r="AB787" s="165"/>
      <c r="AC787" s="1"/>
      <c r="AD787" s="1"/>
      <c r="AE787" s="1"/>
      <c r="AF787" s="46"/>
      <c r="AG787" s="1"/>
      <c r="AH787" s="165"/>
      <c r="AI787" s="165"/>
      <c r="AJ787" s="165"/>
      <c r="AK787" s="165"/>
      <c r="AL787" s="165"/>
      <c r="AM787" s="165"/>
      <c r="AN787" s="165"/>
    </row>
    <row r="788" spans="3:40">
      <c r="C788" s="46"/>
      <c r="F788" s="173"/>
      <c r="G788" s="1"/>
      <c r="H788" s="165"/>
      <c r="I788" s="160"/>
      <c r="J788" s="160"/>
      <c r="K788" s="1"/>
      <c r="L788" s="123"/>
      <c r="M788" s="1"/>
      <c r="N788" s="590"/>
      <c r="O788" s="165"/>
      <c r="P788" s="165"/>
      <c r="Q788" s="165"/>
      <c r="R788" s="165"/>
      <c r="S788" s="165"/>
      <c r="V788" s="46"/>
      <c r="W788" s="46"/>
      <c r="X788" s="1"/>
      <c r="Y788" s="1"/>
      <c r="Z788" s="173"/>
      <c r="AA788" s="1"/>
      <c r="AB788" s="165"/>
      <c r="AC788" s="1"/>
      <c r="AD788" s="1"/>
      <c r="AE788" s="1"/>
      <c r="AF788" s="46"/>
      <c r="AG788" s="1"/>
      <c r="AH788" s="165"/>
      <c r="AI788" s="165"/>
      <c r="AJ788" s="165"/>
      <c r="AK788" s="165"/>
      <c r="AL788" s="165"/>
      <c r="AM788" s="165"/>
      <c r="AN788" s="165"/>
    </row>
    <row r="789" spans="3:40">
      <c r="C789" s="46"/>
      <c r="F789" s="173"/>
      <c r="G789" s="1"/>
      <c r="H789" s="165"/>
      <c r="I789" s="160"/>
      <c r="J789" s="160"/>
      <c r="K789" s="1"/>
      <c r="L789" s="123"/>
      <c r="M789" s="1"/>
      <c r="N789" s="590"/>
      <c r="O789" s="165"/>
      <c r="P789" s="165"/>
      <c r="Q789" s="165"/>
      <c r="R789" s="165"/>
      <c r="S789" s="165"/>
      <c r="V789" s="46"/>
      <c r="W789" s="46"/>
      <c r="X789" s="1"/>
      <c r="Y789" s="1"/>
      <c r="Z789" s="173"/>
      <c r="AA789" s="1"/>
      <c r="AB789" s="165"/>
      <c r="AC789" s="1"/>
      <c r="AD789" s="1"/>
      <c r="AE789" s="1"/>
      <c r="AF789" s="46"/>
      <c r="AG789" s="1"/>
      <c r="AH789" s="165"/>
      <c r="AI789" s="165"/>
      <c r="AJ789" s="165"/>
      <c r="AK789" s="165"/>
      <c r="AL789" s="165"/>
      <c r="AM789" s="165"/>
      <c r="AN789" s="165"/>
    </row>
    <row r="790" spans="3:40">
      <c r="C790" s="46"/>
      <c r="F790" s="173"/>
      <c r="G790" s="1"/>
      <c r="H790" s="165"/>
      <c r="I790" s="160"/>
      <c r="J790" s="160"/>
      <c r="K790" s="1"/>
      <c r="L790" s="123"/>
      <c r="M790" s="1"/>
      <c r="N790" s="590"/>
      <c r="O790" s="165"/>
      <c r="P790" s="165"/>
      <c r="Q790" s="165"/>
      <c r="R790" s="165"/>
      <c r="S790" s="165"/>
      <c r="V790" s="46"/>
      <c r="W790" s="46"/>
      <c r="X790" s="1"/>
      <c r="Y790" s="1"/>
      <c r="Z790" s="173"/>
      <c r="AA790" s="1"/>
      <c r="AB790" s="165"/>
      <c r="AC790" s="1"/>
      <c r="AD790" s="1"/>
      <c r="AE790" s="1"/>
      <c r="AF790" s="46"/>
      <c r="AG790" s="1"/>
      <c r="AH790" s="165"/>
      <c r="AI790" s="165"/>
      <c r="AJ790" s="165"/>
      <c r="AK790" s="165"/>
      <c r="AL790" s="165"/>
      <c r="AM790" s="165"/>
      <c r="AN790" s="165"/>
    </row>
    <row r="791" spans="3:40">
      <c r="C791" s="46"/>
      <c r="F791" s="173"/>
      <c r="G791" s="1"/>
      <c r="H791" s="165"/>
      <c r="I791" s="160"/>
      <c r="J791" s="160"/>
      <c r="K791" s="1"/>
      <c r="L791" s="123"/>
      <c r="M791" s="1"/>
      <c r="N791" s="590"/>
      <c r="O791" s="165"/>
      <c r="P791" s="165"/>
      <c r="Q791" s="165"/>
      <c r="R791" s="165"/>
      <c r="S791" s="165"/>
      <c r="V791" s="46"/>
      <c r="W791" s="46"/>
      <c r="X791" s="1"/>
      <c r="Y791" s="1"/>
      <c r="Z791" s="173"/>
      <c r="AA791" s="1"/>
      <c r="AB791" s="165"/>
      <c r="AC791" s="1"/>
      <c r="AD791" s="1"/>
      <c r="AE791" s="1"/>
      <c r="AF791" s="46"/>
      <c r="AG791" s="1"/>
      <c r="AH791" s="165"/>
      <c r="AI791" s="165"/>
      <c r="AJ791" s="165"/>
      <c r="AK791" s="165"/>
      <c r="AL791" s="165"/>
      <c r="AM791" s="165"/>
      <c r="AN791" s="165"/>
    </row>
    <row r="792" spans="3:40">
      <c r="C792" s="46"/>
      <c r="F792" s="173"/>
      <c r="G792" s="1"/>
      <c r="H792" s="165"/>
      <c r="I792" s="160"/>
      <c r="J792" s="160"/>
      <c r="K792" s="1"/>
      <c r="L792" s="123"/>
      <c r="M792" s="1"/>
      <c r="N792" s="590"/>
      <c r="O792" s="165"/>
      <c r="P792" s="165"/>
      <c r="Q792" s="165"/>
      <c r="R792" s="165"/>
      <c r="S792" s="165"/>
      <c r="V792" s="46"/>
      <c r="W792" s="46"/>
      <c r="X792" s="1"/>
      <c r="Y792" s="1"/>
      <c r="Z792" s="173"/>
      <c r="AA792" s="1"/>
      <c r="AB792" s="165"/>
      <c r="AC792" s="1"/>
      <c r="AD792" s="1"/>
      <c r="AE792" s="1"/>
      <c r="AF792" s="46"/>
      <c r="AG792" s="1"/>
      <c r="AH792" s="165"/>
      <c r="AI792" s="165"/>
      <c r="AJ792" s="165"/>
      <c r="AK792" s="165"/>
      <c r="AL792" s="165"/>
      <c r="AM792" s="165"/>
      <c r="AN792" s="165"/>
    </row>
    <row r="793" spans="3:40">
      <c r="C793" s="46"/>
      <c r="F793" s="173"/>
      <c r="G793" s="1"/>
      <c r="H793" s="165"/>
      <c r="I793" s="160"/>
      <c r="J793" s="160"/>
      <c r="K793" s="1"/>
      <c r="L793" s="123"/>
      <c r="M793" s="1"/>
      <c r="N793" s="590"/>
      <c r="O793" s="165"/>
      <c r="P793" s="165"/>
      <c r="Q793" s="165"/>
      <c r="R793" s="165"/>
      <c r="S793" s="165"/>
      <c r="V793" s="46"/>
      <c r="W793" s="46"/>
      <c r="X793" s="1"/>
      <c r="Y793" s="1"/>
      <c r="Z793" s="173"/>
      <c r="AA793" s="1"/>
      <c r="AB793" s="165"/>
      <c r="AC793" s="1"/>
      <c r="AD793" s="1"/>
      <c r="AE793" s="1"/>
      <c r="AF793" s="46"/>
      <c r="AG793" s="1"/>
      <c r="AH793" s="165"/>
      <c r="AI793" s="165"/>
      <c r="AJ793" s="165"/>
      <c r="AK793" s="165"/>
      <c r="AL793" s="165"/>
      <c r="AM793" s="165"/>
      <c r="AN793" s="165"/>
    </row>
    <row r="794" spans="3:40">
      <c r="C794" s="46"/>
      <c r="F794" s="173"/>
      <c r="G794" s="1"/>
      <c r="H794" s="165"/>
      <c r="I794" s="160"/>
      <c r="J794" s="160"/>
      <c r="K794" s="1"/>
      <c r="L794" s="123"/>
      <c r="M794" s="1"/>
      <c r="N794" s="590"/>
      <c r="O794" s="165"/>
      <c r="P794" s="165"/>
      <c r="Q794" s="165"/>
      <c r="R794" s="165"/>
      <c r="S794" s="165"/>
      <c r="V794" s="46"/>
      <c r="W794" s="46"/>
      <c r="X794" s="1"/>
      <c r="Y794" s="1"/>
      <c r="Z794" s="173"/>
      <c r="AA794" s="1"/>
      <c r="AB794" s="165"/>
      <c r="AC794" s="1"/>
      <c r="AD794" s="1"/>
      <c r="AE794" s="1"/>
      <c r="AF794" s="46"/>
      <c r="AG794" s="1"/>
      <c r="AH794" s="165"/>
      <c r="AI794" s="165"/>
      <c r="AJ794" s="165"/>
      <c r="AK794" s="165"/>
      <c r="AL794" s="165"/>
      <c r="AM794" s="165"/>
      <c r="AN794" s="165"/>
    </row>
    <row r="795" spans="3:40">
      <c r="C795" s="46"/>
      <c r="F795" s="173"/>
      <c r="G795" s="1"/>
      <c r="H795" s="165"/>
      <c r="I795" s="160"/>
      <c r="J795" s="160"/>
      <c r="K795" s="1"/>
      <c r="L795" s="123"/>
      <c r="M795" s="1"/>
      <c r="N795" s="590"/>
      <c r="O795" s="165"/>
      <c r="P795" s="165"/>
      <c r="Q795" s="165"/>
      <c r="R795" s="165"/>
      <c r="S795" s="165"/>
      <c r="V795" s="46"/>
      <c r="W795" s="46"/>
      <c r="X795" s="1"/>
      <c r="Y795" s="1"/>
      <c r="Z795" s="173"/>
      <c r="AA795" s="1"/>
      <c r="AB795" s="165"/>
      <c r="AC795" s="1"/>
      <c r="AD795" s="1"/>
      <c r="AE795" s="1"/>
      <c r="AF795" s="46"/>
      <c r="AG795" s="1"/>
      <c r="AH795" s="165"/>
      <c r="AI795" s="165"/>
      <c r="AJ795" s="165"/>
      <c r="AK795" s="165"/>
      <c r="AL795" s="165"/>
      <c r="AM795" s="165"/>
      <c r="AN795" s="165"/>
    </row>
    <row r="796" spans="3:40">
      <c r="C796" s="46"/>
      <c r="F796" s="173"/>
      <c r="G796" s="1"/>
      <c r="H796" s="165"/>
      <c r="I796" s="160"/>
      <c r="J796" s="160"/>
      <c r="K796" s="1"/>
      <c r="L796" s="123"/>
      <c r="M796" s="1"/>
      <c r="N796" s="590"/>
      <c r="O796" s="165"/>
      <c r="P796" s="165"/>
      <c r="Q796" s="165"/>
      <c r="R796" s="165"/>
      <c r="S796" s="165"/>
      <c r="V796" s="46"/>
      <c r="W796" s="46"/>
      <c r="X796" s="1"/>
      <c r="Y796" s="1"/>
      <c r="Z796" s="173"/>
      <c r="AA796" s="1"/>
      <c r="AB796" s="165"/>
      <c r="AC796" s="1"/>
      <c r="AD796" s="1"/>
      <c r="AE796" s="1"/>
      <c r="AF796" s="46"/>
      <c r="AG796" s="1"/>
      <c r="AH796" s="165"/>
      <c r="AI796" s="165"/>
      <c r="AJ796" s="165"/>
      <c r="AK796" s="165"/>
      <c r="AL796" s="165"/>
      <c r="AM796" s="165"/>
      <c r="AN796" s="165"/>
    </row>
    <row r="797" spans="3:40">
      <c r="C797" s="46"/>
      <c r="F797" s="173"/>
      <c r="G797" s="1"/>
      <c r="H797" s="165"/>
      <c r="I797" s="160"/>
      <c r="J797" s="160"/>
      <c r="K797" s="1"/>
      <c r="L797" s="123"/>
      <c r="M797" s="1"/>
      <c r="N797" s="590"/>
      <c r="O797" s="165"/>
      <c r="P797" s="165"/>
      <c r="Q797" s="165"/>
      <c r="R797" s="165"/>
      <c r="S797" s="165"/>
      <c r="V797" s="46"/>
      <c r="W797" s="46"/>
      <c r="X797" s="1"/>
      <c r="Y797" s="1"/>
      <c r="Z797" s="173"/>
      <c r="AA797" s="1"/>
      <c r="AB797" s="165"/>
      <c r="AC797" s="1"/>
      <c r="AD797" s="1"/>
      <c r="AE797" s="1"/>
      <c r="AF797" s="46"/>
      <c r="AG797" s="1"/>
      <c r="AH797" s="165"/>
      <c r="AI797" s="165"/>
      <c r="AJ797" s="165"/>
      <c r="AK797" s="165"/>
      <c r="AL797" s="165"/>
      <c r="AM797" s="165"/>
      <c r="AN797" s="165"/>
    </row>
    <row r="798" spans="3:40">
      <c r="C798" s="46"/>
      <c r="F798" s="173"/>
      <c r="G798" s="1"/>
      <c r="H798" s="165"/>
      <c r="I798" s="160"/>
      <c r="J798" s="160"/>
      <c r="K798" s="1"/>
      <c r="L798" s="123"/>
      <c r="M798" s="1"/>
      <c r="N798" s="590"/>
      <c r="O798" s="165"/>
      <c r="P798" s="165"/>
      <c r="Q798" s="165"/>
      <c r="R798" s="165"/>
      <c r="S798" s="165"/>
      <c r="V798" s="46"/>
      <c r="W798" s="46"/>
      <c r="X798" s="1"/>
      <c r="Y798" s="1"/>
      <c r="Z798" s="173"/>
      <c r="AA798" s="1"/>
      <c r="AB798" s="165"/>
      <c r="AC798" s="1"/>
      <c r="AD798" s="1"/>
      <c r="AE798" s="1"/>
      <c r="AF798" s="46"/>
      <c r="AG798" s="1"/>
      <c r="AH798" s="165"/>
      <c r="AI798" s="165"/>
      <c r="AJ798" s="165"/>
      <c r="AK798" s="165"/>
      <c r="AL798" s="165"/>
      <c r="AM798" s="165"/>
      <c r="AN798" s="165"/>
    </row>
    <row r="799" spans="3:40">
      <c r="C799" s="46"/>
      <c r="F799" s="173"/>
      <c r="G799" s="1"/>
      <c r="H799" s="165"/>
      <c r="I799" s="160"/>
      <c r="J799" s="160"/>
      <c r="K799" s="1"/>
      <c r="L799" s="123"/>
      <c r="M799" s="1"/>
      <c r="N799" s="590"/>
      <c r="O799" s="165"/>
      <c r="P799" s="165"/>
      <c r="Q799" s="165"/>
      <c r="R799" s="165"/>
      <c r="S799" s="165"/>
      <c r="V799" s="46"/>
      <c r="W799" s="46"/>
      <c r="X799" s="1"/>
      <c r="Y799" s="1"/>
      <c r="Z799" s="173"/>
      <c r="AA799" s="1"/>
      <c r="AB799" s="165"/>
      <c r="AC799" s="1"/>
      <c r="AD799" s="1"/>
      <c r="AE799" s="1"/>
      <c r="AF799" s="46"/>
      <c r="AG799" s="1"/>
      <c r="AH799" s="165"/>
      <c r="AI799" s="165"/>
      <c r="AJ799" s="165"/>
      <c r="AK799" s="165"/>
      <c r="AL799" s="165"/>
      <c r="AM799" s="165"/>
      <c r="AN799" s="165"/>
    </row>
    <row r="800" spans="3:40">
      <c r="C800" s="46"/>
      <c r="F800" s="173"/>
      <c r="G800" s="1"/>
      <c r="H800" s="165"/>
      <c r="I800" s="160"/>
      <c r="J800" s="160"/>
      <c r="K800" s="1"/>
      <c r="L800" s="123"/>
      <c r="M800" s="1"/>
      <c r="N800" s="590"/>
      <c r="O800" s="165"/>
      <c r="P800" s="165"/>
      <c r="Q800" s="165"/>
      <c r="R800" s="165"/>
      <c r="S800" s="165"/>
      <c r="V800" s="46"/>
      <c r="W800" s="46"/>
      <c r="X800" s="1"/>
      <c r="Y800" s="1"/>
      <c r="Z800" s="173"/>
      <c r="AA800" s="1"/>
      <c r="AB800" s="165"/>
      <c r="AC800" s="1"/>
      <c r="AD800" s="1"/>
      <c r="AE800" s="1"/>
      <c r="AF800" s="46"/>
      <c r="AG800" s="1"/>
      <c r="AH800" s="165"/>
      <c r="AI800" s="165"/>
      <c r="AJ800" s="165"/>
      <c r="AK800" s="165"/>
      <c r="AL800" s="165"/>
      <c r="AM800" s="165"/>
      <c r="AN800" s="165"/>
    </row>
    <row r="801" spans="3:40">
      <c r="C801" s="46"/>
      <c r="F801" s="173"/>
      <c r="G801" s="1"/>
      <c r="H801" s="165"/>
      <c r="I801" s="160"/>
      <c r="J801" s="160"/>
      <c r="K801" s="1"/>
      <c r="L801" s="123"/>
      <c r="M801" s="1"/>
      <c r="N801" s="590"/>
      <c r="O801" s="165"/>
      <c r="P801" s="165"/>
      <c r="Q801" s="165"/>
      <c r="R801" s="165"/>
      <c r="S801" s="165"/>
      <c r="V801" s="46"/>
      <c r="W801" s="46"/>
      <c r="X801" s="1"/>
      <c r="Y801" s="1"/>
      <c r="Z801" s="173"/>
      <c r="AA801" s="1"/>
      <c r="AB801" s="165"/>
      <c r="AC801" s="1"/>
      <c r="AD801" s="1"/>
      <c r="AE801" s="1"/>
      <c r="AF801" s="46"/>
      <c r="AG801" s="1"/>
      <c r="AH801" s="165"/>
      <c r="AI801" s="165"/>
      <c r="AJ801" s="165"/>
      <c r="AK801" s="165"/>
      <c r="AL801" s="165"/>
      <c r="AM801" s="165"/>
      <c r="AN801" s="165"/>
    </row>
    <row r="802" spans="3:40">
      <c r="C802" s="46"/>
      <c r="F802" s="173"/>
      <c r="G802" s="1"/>
      <c r="H802" s="165"/>
      <c r="I802" s="160"/>
      <c r="J802" s="160"/>
      <c r="K802" s="1"/>
      <c r="L802" s="123"/>
      <c r="M802" s="1"/>
      <c r="N802" s="590"/>
      <c r="O802" s="165"/>
      <c r="P802" s="165"/>
      <c r="Q802" s="165"/>
      <c r="R802" s="165"/>
      <c r="S802" s="165"/>
      <c r="V802" s="46"/>
      <c r="W802" s="46"/>
      <c r="X802" s="1"/>
      <c r="Y802" s="1"/>
      <c r="Z802" s="173"/>
      <c r="AA802" s="1"/>
      <c r="AB802" s="165"/>
      <c r="AC802" s="1"/>
      <c r="AD802" s="1"/>
      <c r="AE802" s="1"/>
      <c r="AF802" s="46"/>
      <c r="AG802" s="1"/>
      <c r="AH802" s="165"/>
      <c r="AI802" s="165"/>
      <c r="AJ802" s="165"/>
      <c r="AK802" s="165"/>
      <c r="AL802" s="165"/>
      <c r="AM802" s="165"/>
      <c r="AN802" s="165"/>
    </row>
    <row r="803" spans="3:40">
      <c r="C803" s="46"/>
      <c r="F803" s="173"/>
      <c r="G803" s="1"/>
      <c r="H803" s="165"/>
      <c r="I803" s="160"/>
      <c r="J803" s="160"/>
      <c r="K803" s="1"/>
      <c r="L803" s="123"/>
      <c r="M803" s="1"/>
      <c r="N803" s="590"/>
      <c r="O803" s="165"/>
      <c r="P803" s="165"/>
      <c r="Q803" s="165"/>
      <c r="R803" s="165"/>
      <c r="S803" s="165"/>
      <c r="V803" s="46"/>
      <c r="W803" s="46"/>
      <c r="X803" s="1"/>
      <c r="Y803" s="1"/>
      <c r="Z803" s="173"/>
      <c r="AA803" s="1"/>
      <c r="AB803" s="165"/>
      <c r="AC803" s="1"/>
      <c r="AD803" s="1"/>
      <c r="AE803" s="1"/>
      <c r="AF803" s="46"/>
      <c r="AG803" s="1"/>
      <c r="AH803" s="165"/>
      <c r="AI803" s="165"/>
      <c r="AJ803" s="165"/>
      <c r="AK803" s="165"/>
      <c r="AL803" s="165"/>
      <c r="AM803" s="165"/>
      <c r="AN803" s="165"/>
    </row>
    <row r="804" spans="3:40">
      <c r="C804" s="46"/>
      <c r="F804" s="173"/>
      <c r="G804" s="1"/>
      <c r="H804" s="165"/>
      <c r="I804" s="160"/>
      <c r="J804" s="160"/>
      <c r="K804" s="1"/>
      <c r="L804" s="123"/>
      <c r="M804" s="1"/>
      <c r="N804" s="590"/>
      <c r="O804" s="165"/>
      <c r="P804" s="165"/>
      <c r="Q804" s="165"/>
      <c r="R804" s="165"/>
      <c r="S804" s="165"/>
      <c r="V804" s="46"/>
      <c r="W804" s="46"/>
      <c r="X804" s="1"/>
      <c r="Y804" s="1"/>
      <c r="Z804" s="173"/>
      <c r="AA804" s="1"/>
      <c r="AB804" s="165"/>
      <c r="AC804" s="1"/>
      <c r="AD804" s="1"/>
      <c r="AE804" s="1"/>
      <c r="AF804" s="46"/>
      <c r="AG804" s="1"/>
      <c r="AH804" s="165"/>
      <c r="AI804" s="165"/>
      <c r="AJ804" s="165"/>
      <c r="AK804" s="165"/>
      <c r="AL804" s="165"/>
      <c r="AM804" s="165"/>
      <c r="AN804" s="165"/>
    </row>
    <row r="805" spans="3:40">
      <c r="C805" s="46"/>
      <c r="F805" s="173"/>
      <c r="G805" s="1"/>
      <c r="H805" s="165"/>
      <c r="I805" s="160"/>
      <c r="J805" s="160"/>
      <c r="K805" s="1"/>
      <c r="L805" s="123"/>
      <c r="M805" s="1"/>
      <c r="N805" s="590"/>
      <c r="O805" s="165"/>
      <c r="P805" s="165"/>
      <c r="Q805" s="165"/>
      <c r="R805" s="165"/>
      <c r="S805" s="165"/>
      <c r="V805" s="46"/>
      <c r="W805" s="46"/>
      <c r="X805" s="1"/>
      <c r="Y805" s="1"/>
      <c r="Z805" s="173"/>
      <c r="AA805" s="1"/>
      <c r="AB805" s="165"/>
      <c r="AC805" s="1"/>
      <c r="AD805" s="1"/>
      <c r="AE805" s="1"/>
      <c r="AF805" s="46"/>
      <c r="AG805" s="1"/>
      <c r="AH805" s="165"/>
      <c r="AI805" s="165"/>
      <c r="AJ805" s="165"/>
      <c r="AK805" s="165"/>
      <c r="AL805" s="165"/>
      <c r="AM805" s="165"/>
      <c r="AN805" s="165"/>
    </row>
    <row r="806" spans="3:40">
      <c r="C806" s="46"/>
      <c r="F806" s="173"/>
      <c r="G806" s="1"/>
      <c r="H806" s="165"/>
      <c r="I806" s="160"/>
      <c r="J806" s="160"/>
      <c r="K806" s="1"/>
      <c r="L806" s="123"/>
      <c r="M806" s="1"/>
      <c r="N806" s="590"/>
      <c r="O806" s="165"/>
      <c r="P806" s="165"/>
      <c r="Q806" s="165"/>
      <c r="R806" s="165"/>
      <c r="S806" s="165"/>
      <c r="V806" s="46"/>
      <c r="W806" s="46"/>
      <c r="X806" s="1"/>
      <c r="Y806" s="1"/>
      <c r="Z806" s="173"/>
      <c r="AA806" s="1"/>
      <c r="AB806" s="165"/>
      <c r="AC806" s="1"/>
      <c r="AD806" s="1"/>
      <c r="AE806" s="1"/>
      <c r="AF806" s="46"/>
      <c r="AG806" s="1"/>
      <c r="AH806" s="165"/>
      <c r="AI806" s="165"/>
      <c r="AJ806" s="165"/>
      <c r="AK806" s="165"/>
      <c r="AL806" s="165"/>
      <c r="AM806" s="165"/>
      <c r="AN806" s="165"/>
    </row>
    <row r="807" spans="3:40">
      <c r="C807" s="46"/>
      <c r="F807" s="173"/>
      <c r="G807" s="1"/>
      <c r="H807" s="165"/>
      <c r="I807" s="160"/>
      <c r="J807" s="160"/>
      <c r="K807" s="1"/>
      <c r="L807" s="123"/>
      <c r="M807" s="1"/>
      <c r="N807" s="590"/>
      <c r="O807" s="165"/>
      <c r="P807" s="165"/>
      <c r="Q807" s="165"/>
      <c r="R807" s="165"/>
      <c r="S807" s="165"/>
      <c r="V807" s="46"/>
      <c r="W807" s="46"/>
      <c r="X807" s="1"/>
      <c r="Y807" s="1"/>
      <c r="Z807" s="173"/>
      <c r="AA807" s="1"/>
      <c r="AB807" s="165"/>
      <c r="AC807" s="1"/>
      <c r="AD807" s="1"/>
      <c r="AE807" s="1"/>
      <c r="AF807" s="46"/>
      <c r="AG807" s="1"/>
      <c r="AH807" s="165"/>
      <c r="AI807" s="165"/>
      <c r="AJ807" s="165"/>
      <c r="AK807" s="165"/>
      <c r="AL807" s="165"/>
      <c r="AM807" s="165"/>
      <c r="AN807" s="165"/>
    </row>
    <row r="808" spans="3:40">
      <c r="C808" s="46"/>
      <c r="F808" s="173"/>
      <c r="G808" s="1"/>
      <c r="H808" s="165"/>
      <c r="I808" s="160"/>
      <c r="J808" s="160"/>
      <c r="K808" s="1"/>
      <c r="L808" s="123"/>
      <c r="M808" s="1"/>
      <c r="N808" s="590"/>
      <c r="O808" s="165"/>
      <c r="P808" s="165"/>
      <c r="Q808" s="165"/>
      <c r="R808" s="165"/>
      <c r="S808" s="165"/>
      <c r="V808" s="46"/>
      <c r="W808" s="46"/>
      <c r="X808" s="1"/>
      <c r="Y808" s="1"/>
      <c r="Z808" s="173"/>
      <c r="AA808" s="1"/>
      <c r="AB808" s="165"/>
      <c r="AC808" s="1"/>
      <c r="AD808" s="1"/>
      <c r="AE808" s="1"/>
      <c r="AF808" s="46"/>
      <c r="AG808" s="1"/>
      <c r="AH808" s="165"/>
      <c r="AI808" s="165"/>
      <c r="AJ808" s="165"/>
      <c r="AK808" s="165"/>
      <c r="AL808" s="165"/>
      <c r="AM808" s="165"/>
      <c r="AN808" s="165"/>
    </row>
    <row r="809" spans="3:40">
      <c r="C809" s="46"/>
      <c r="F809" s="173"/>
      <c r="G809" s="1"/>
      <c r="H809" s="165"/>
      <c r="I809" s="160"/>
      <c r="J809" s="160"/>
      <c r="K809" s="1"/>
      <c r="L809" s="123"/>
      <c r="M809" s="1"/>
      <c r="N809" s="590"/>
      <c r="O809" s="165"/>
      <c r="P809" s="165"/>
      <c r="Q809" s="165"/>
      <c r="R809" s="165"/>
      <c r="S809" s="165"/>
      <c r="V809" s="46"/>
      <c r="W809" s="46"/>
      <c r="X809" s="1"/>
      <c r="Y809" s="1"/>
      <c r="Z809" s="173"/>
      <c r="AA809" s="1"/>
      <c r="AB809" s="165"/>
      <c r="AC809" s="1"/>
      <c r="AD809" s="1"/>
      <c r="AE809" s="1"/>
      <c r="AF809" s="46"/>
      <c r="AG809" s="1"/>
      <c r="AH809" s="165"/>
      <c r="AI809" s="165"/>
      <c r="AJ809" s="165"/>
      <c r="AK809" s="165"/>
      <c r="AL809" s="165"/>
      <c r="AM809" s="165"/>
      <c r="AN809" s="165"/>
    </row>
    <row r="810" spans="3:40">
      <c r="C810" s="46"/>
      <c r="F810" s="173"/>
      <c r="G810" s="1"/>
      <c r="H810" s="165"/>
      <c r="I810" s="160"/>
      <c r="J810" s="160"/>
      <c r="K810" s="1"/>
      <c r="L810" s="123"/>
      <c r="M810" s="1"/>
      <c r="N810" s="590"/>
      <c r="O810" s="165"/>
      <c r="P810" s="165"/>
      <c r="Q810" s="165"/>
      <c r="R810" s="165"/>
      <c r="S810" s="165"/>
      <c r="V810" s="46"/>
      <c r="W810" s="46"/>
      <c r="X810" s="1"/>
      <c r="Y810" s="1"/>
      <c r="Z810" s="173"/>
      <c r="AA810" s="1"/>
      <c r="AB810" s="165"/>
      <c r="AC810" s="1"/>
      <c r="AD810" s="1"/>
      <c r="AE810" s="1"/>
      <c r="AF810" s="46"/>
      <c r="AG810" s="1"/>
      <c r="AH810" s="165"/>
      <c r="AI810" s="165"/>
      <c r="AJ810" s="165"/>
      <c r="AK810" s="165"/>
      <c r="AL810" s="165"/>
      <c r="AM810" s="165"/>
      <c r="AN810" s="165"/>
    </row>
    <row r="811" spans="3:40">
      <c r="C811" s="46"/>
      <c r="F811" s="173"/>
      <c r="G811" s="1"/>
      <c r="H811" s="165"/>
      <c r="I811" s="160"/>
      <c r="J811" s="160"/>
      <c r="K811" s="1"/>
      <c r="L811" s="123"/>
      <c r="M811" s="1"/>
      <c r="N811" s="590"/>
      <c r="O811" s="165"/>
      <c r="P811" s="165"/>
      <c r="Q811" s="165"/>
      <c r="R811" s="165"/>
      <c r="S811" s="165"/>
      <c r="V811" s="46"/>
      <c r="W811" s="46"/>
      <c r="X811" s="1"/>
      <c r="Y811" s="1"/>
      <c r="Z811" s="173"/>
      <c r="AA811" s="1"/>
      <c r="AB811" s="165"/>
      <c r="AC811" s="1"/>
      <c r="AD811" s="1"/>
      <c r="AE811" s="1"/>
      <c r="AF811" s="46"/>
      <c r="AG811" s="1"/>
      <c r="AH811" s="165"/>
      <c r="AI811" s="165"/>
      <c r="AJ811" s="165"/>
      <c r="AK811" s="165"/>
      <c r="AL811" s="165"/>
      <c r="AM811" s="165"/>
      <c r="AN811" s="165"/>
    </row>
    <row r="812" spans="3:40">
      <c r="C812" s="46"/>
      <c r="F812" s="173"/>
      <c r="G812" s="1"/>
      <c r="H812" s="165"/>
      <c r="I812" s="160"/>
      <c r="J812" s="160"/>
      <c r="K812" s="1"/>
      <c r="L812" s="123"/>
      <c r="M812" s="1"/>
      <c r="N812" s="590"/>
      <c r="O812" s="165"/>
      <c r="P812" s="165"/>
      <c r="Q812" s="165"/>
      <c r="R812" s="165"/>
      <c r="S812" s="165"/>
      <c r="V812" s="46"/>
      <c r="W812" s="46"/>
      <c r="X812" s="1"/>
      <c r="Y812" s="1"/>
      <c r="Z812" s="173"/>
      <c r="AA812" s="1"/>
      <c r="AB812" s="165"/>
      <c r="AC812" s="1"/>
      <c r="AD812" s="1"/>
      <c r="AE812" s="1"/>
      <c r="AF812" s="46"/>
      <c r="AG812" s="1"/>
      <c r="AH812" s="165"/>
      <c r="AI812" s="165"/>
      <c r="AJ812" s="165"/>
      <c r="AK812" s="165"/>
      <c r="AL812" s="165"/>
      <c r="AM812" s="165"/>
      <c r="AN812" s="165"/>
    </row>
    <row r="813" spans="3:40">
      <c r="C813" s="46"/>
      <c r="F813" s="173"/>
      <c r="G813" s="1"/>
      <c r="H813" s="165"/>
      <c r="I813" s="160"/>
      <c r="J813" s="160"/>
      <c r="K813" s="1"/>
      <c r="L813" s="123"/>
      <c r="M813" s="1"/>
      <c r="N813" s="590"/>
      <c r="O813" s="165"/>
      <c r="P813" s="165"/>
      <c r="Q813" s="165"/>
      <c r="R813" s="165"/>
      <c r="S813" s="165"/>
      <c r="V813" s="46"/>
      <c r="W813" s="46"/>
      <c r="X813" s="1"/>
      <c r="Y813" s="1"/>
      <c r="Z813" s="173"/>
      <c r="AA813" s="1"/>
      <c r="AB813" s="165"/>
      <c r="AC813" s="1"/>
      <c r="AD813" s="1"/>
      <c r="AE813" s="1"/>
      <c r="AF813" s="46"/>
      <c r="AG813" s="1"/>
      <c r="AH813" s="165"/>
      <c r="AI813" s="165"/>
      <c r="AJ813" s="165"/>
      <c r="AK813" s="165"/>
      <c r="AL813" s="165"/>
      <c r="AM813" s="165"/>
      <c r="AN813" s="165"/>
    </row>
    <row r="814" spans="3:40">
      <c r="C814" s="46"/>
      <c r="F814" s="173"/>
      <c r="G814" s="1"/>
      <c r="H814" s="165"/>
      <c r="I814" s="160"/>
      <c r="J814" s="160"/>
      <c r="K814" s="1"/>
      <c r="L814" s="123"/>
      <c r="M814" s="1"/>
      <c r="N814" s="590"/>
      <c r="O814" s="165"/>
      <c r="P814" s="165"/>
      <c r="Q814" s="165"/>
      <c r="R814" s="165"/>
      <c r="S814" s="165"/>
      <c r="V814" s="46"/>
      <c r="W814" s="46"/>
      <c r="X814" s="1"/>
      <c r="Y814" s="1"/>
      <c r="Z814" s="173"/>
      <c r="AA814" s="1"/>
      <c r="AB814" s="165"/>
      <c r="AC814" s="1"/>
      <c r="AD814" s="1"/>
      <c r="AE814" s="1"/>
      <c r="AF814" s="46"/>
      <c r="AG814" s="1"/>
      <c r="AH814" s="165"/>
      <c r="AI814" s="165"/>
      <c r="AJ814" s="165"/>
      <c r="AK814" s="165"/>
      <c r="AL814" s="165"/>
      <c r="AM814" s="165"/>
      <c r="AN814" s="165"/>
    </row>
    <row r="815" spans="3:40">
      <c r="C815" s="46"/>
      <c r="F815" s="173"/>
      <c r="G815" s="1"/>
      <c r="H815" s="165"/>
      <c r="I815" s="160"/>
      <c r="J815" s="160"/>
      <c r="K815" s="1"/>
      <c r="L815" s="123"/>
      <c r="M815" s="1"/>
      <c r="N815" s="590"/>
      <c r="O815" s="165"/>
      <c r="P815" s="165"/>
      <c r="Q815" s="165"/>
      <c r="R815" s="165"/>
      <c r="S815" s="165"/>
      <c r="V815" s="46"/>
      <c r="W815" s="46"/>
      <c r="X815" s="1"/>
      <c r="Y815" s="1"/>
      <c r="Z815" s="173"/>
      <c r="AA815" s="1"/>
      <c r="AB815" s="165"/>
      <c r="AC815" s="1"/>
      <c r="AD815" s="1"/>
      <c r="AE815" s="1"/>
      <c r="AF815" s="46"/>
      <c r="AG815" s="1"/>
      <c r="AH815" s="165"/>
      <c r="AI815" s="165"/>
      <c r="AJ815" s="165"/>
      <c r="AK815" s="165"/>
      <c r="AL815" s="165"/>
      <c r="AM815" s="165"/>
      <c r="AN815" s="165"/>
    </row>
    <row r="816" spans="3:40">
      <c r="C816" s="46"/>
      <c r="F816" s="173"/>
      <c r="G816" s="1"/>
      <c r="H816" s="165"/>
      <c r="I816" s="160"/>
      <c r="J816" s="160"/>
      <c r="K816" s="1"/>
      <c r="L816" s="123"/>
      <c r="M816" s="1"/>
      <c r="N816" s="590"/>
      <c r="O816" s="165"/>
      <c r="P816" s="165"/>
      <c r="Q816" s="165"/>
      <c r="R816" s="165"/>
      <c r="S816" s="165"/>
      <c r="V816" s="46"/>
      <c r="W816" s="46"/>
      <c r="X816" s="1"/>
      <c r="Y816" s="1"/>
      <c r="Z816" s="173"/>
      <c r="AA816" s="1"/>
      <c r="AB816" s="165"/>
      <c r="AC816" s="1"/>
      <c r="AD816" s="1"/>
      <c r="AE816" s="1"/>
      <c r="AF816" s="46"/>
      <c r="AG816" s="1"/>
      <c r="AH816" s="165"/>
      <c r="AI816" s="165"/>
      <c r="AJ816" s="165"/>
      <c r="AK816" s="165"/>
      <c r="AL816" s="165"/>
      <c r="AM816" s="165"/>
      <c r="AN816" s="165"/>
    </row>
    <row r="817" spans="3:40">
      <c r="C817" s="46"/>
      <c r="F817" s="173"/>
      <c r="G817" s="1"/>
      <c r="H817" s="165"/>
      <c r="I817" s="160"/>
      <c r="J817" s="160"/>
      <c r="K817" s="1"/>
      <c r="L817" s="123"/>
      <c r="M817" s="1"/>
      <c r="N817" s="590"/>
      <c r="O817" s="165"/>
      <c r="P817" s="165"/>
      <c r="Q817" s="165"/>
      <c r="R817" s="165"/>
      <c r="S817" s="165"/>
      <c r="V817" s="46"/>
      <c r="W817" s="46"/>
      <c r="X817" s="1"/>
      <c r="Y817" s="1"/>
      <c r="Z817" s="173"/>
      <c r="AA817" s="1"/>
      <c r="AB817" s="165"/>
      <c r="AC817" s="1"/>
      <c r="AD817" s="1"/>
      <c r="AE817" s="1"/>
      <c r="AF817" s="46"/>
      <c r="AG817" s="1"/>
      <c r="AH817" s="165"/>
      <c r="AI817" s="165"/>
      <c r="AJ817" s="165"/>
      <c r="AK817" s="165"/>
      <c r="AL817" s="165"/>
      <c r="AM817" s="165"/>
      <c r="AN817" s="165"/>
    </row>
    <row r="818" spans="3:40">
      <c r="C818" s="46"/>
      <c r="F818" s="173"/>
      <c r="G818" s="1"/>
      <c r="H818" s="165"/>
      <c r="I818" s="160"/>
      <c r="J818" s="160"/>
      <c r="K818" s="1"/>
      <c r="L818" s="123"/>
      <c r="M818" s="1"/>
      <c r="N818" s="590"/>
      <c r="O818" s="165"/>
      <c r="P818" s="165"/>
      <c r="Q818" s="165"/>
      <c r="R818" s="165"/>
      <c r="S818" s="165"/>
      <c r="V818" s="46"/>
      <c r="W818" s="46"/>
      <c r="X818" s="1"/>
      <c r="Y818" s="1"/>
      <c r="Z818" s="173"/>
      <c r="AA818" s="1"/>
      <c r="AB818" s="165"/>
      <c r="AC818" s="1"/>
      <c r="AD818" s="1"/>
      <c r="AE818" s="1"/>
      <c r="AF818" s="46"/>
      <c r="AG818" s="1"/>
      <c r="AH818" s="165"/>
      <c r="AI818" s="165"/>
      <c r="AJ818" s="165"/>
      <c r="AK818" s="165"/>
      <c r="AL818" s="165"/>
      <c r="AM818" s="165"/>
      <c r="AN818" s="165"/>
    </row>
    <row r="819" spans="3:40">
      <c r="C819" s="46"/>
      <c r="F819" s="173"/>
      <c r="G819" s="1"/>
      <c r="H819" s="165"/>
      <c r="I819" s="160"/>
      <c r="J819" s="160"/>
      <c r="K819" s="1"/>
      <c r="L819" s="123"/>
      <c r="M819" s="1"/>
      <c r="N819" s="590"/>
      <c r="O819" s="165"/>
      <c r="P819" s="165"/>
      <c r="Q819" s="165"/>
      <c r="R819" s="165"/>
      <c r="S819" s="165"/>
      <c r="V819" s="46"/>
      <c r="W819" s="46"/>
      <c r="X819" s="1"/>
      <c r="Y819" s="1"/>
      <c r="Z819" s="173"/>
      <c r="AA819" s="1"/>
      <c r="AB819" s="165"/>
      <c r="AC819" s="1"/>
      <c r="AD819" s="1"/>
      <c r="AE819" s="1"/>
      <c r="AF819" s="46"/>
      <c r="AG819" s="1"/>
      <c r="AH819" s="165"/>
      <c r="AI819" s="165"/>
      <c r="AJ819" s="165"/>
      <c r="AK819" s="165"/>
      <c r="AL819" s="165"/>
      <c r="AM819" s="165"/>
      <c r="AN819" s="165"/>
    </row>
    <row r="820" spans="3:40">
      <c r="C820" s="46"/>
      <c r="F820" s="173"/>
      <c r="G820" s="1"/>
      <c r="H820" s="165"/>
      <c r="I820" s="160"/>
      <c r="J820" s="160"/>
      <c r="K820" s="1"/>
      <c r="L820" s="123"/>
      <c r="M820" s="1"/>
      <c r="N820" s="590"/>
      <c r="O820" s="165"/>
      <c r="P820" s="165"/>
      <c r="Q820" s="165"/>
      <c r="R820" s="165"/>
      <c r="S820" s="165"/>
      <c r="V820" s="46"/>
      <c r="W820" s="46"/>
      <c r="X820" s="1"/>
      <c r="Y820" s="1"/>
      <c r="Z820" s="173"/>
      <c r="AA820" s="1"/>
      <c r="AB820" s="165"/>
      <c r="AC820" s="1"/>
      <c r="AD820" s="1"/>
      <c r="AE820" s="1"/>
      <c r="AF820" s="46"/>
      <c r="AG820" s="1"/>
      <c r="AH820" s="165"/>
      <c r="AI820" s="165"/>
      <c r="AJ820" s="165"/>
      <c r="AK820" s="165"/>
      <c r="AL820" s="165"/>
      <c r="AM820" s="165"/>
      <c r="AN820" s="165"/>
    </row>
    <row r="821" spans="3:40">
      <c r="C821" s="46"/>
      <c r="F821" s="173"/>
      <c r="G821" s="1"/>
      <c r="H821" s="165"/>
      <c r="I821" s="160"/>
      <c r="J821" s="160"/>
      <c r="K821" s="1"/>
      <c r="L821" s="123"/>
      <c r="M821" s="1"/>
      <c r="N821" s="590"/>
      <c r="O821" s="165"/>
      <c r="P821" s="165"/>
      <c r="Q821" s="165"/>
      <c r="R821" s="165"/>
      <c r="S821" s="165"/>
      <c r="V821" s="46"/>
      <c r="W821" s="46"/>
      <c r="X821" s="1"/>
      <c r="Y821" s="1"/>
      <c r="Z821" s="173"/>
      <c r="AA821" s="1"/>
      <c r="AB821" s="165"/>
      <c r="AC821" s="1"/>
      <c r="AD821" s="1"/>
      <c r="AE821" s="1"/>
      <c r="AF821" s="46"/>
      <c r="AG821" s="1"/>
      <c r="AH821" s="165"/>
      <c r="AI821" s="165"/>
      <c r="AJ821" s="165"/>
      <c r="AK821" s="165"/>
      <c r="AL821" s="165"/>
      <c r="AM821" s="165"/>
      <c r="AN821" s="165"/>
    </row>
    <row r="822" spans="3:40">
      <c r="C822" s="46"/>
      <c r="F822" s="173"/>
      <c r="G822" s="1"/>
      <c r="H822" s="165"/>
      <c r="I822" s="160"/>
      <c r="J822" s="160"/>
      <c r="K822" s="1"/>
      <c r="L822" s="123"/>
      <c r="M822" s="1"/>
      <c r="N822" s="590"/>
      <c r="O822" s="165"/>
      <c r="P822" s="165"/>
      <c r="Q822" s="165"/>
      <c r="R822" s="165"/>
      <c r="S822" s="165"/>
      <c r="V822" s="46"/>
      <c r="W822" s="46"/>
      <c r="X822" s="1"/>
      <c r="Y822" s="1"/>
      <c r="Z822" s="173"/>
      <c r="AA822" s="1"/>
      <c r="AB822" s="165"/>
      <c r="AC822" s="1"/>
      <c r="AD822" s="1"/>
      <c r="AE822" s="1"/>
      <c r="AF822" s="46"/>
      <c r="AG822" s="1"/>
      <c r="AH822" s="165"/>
      <c r="AI822" s="165"/>
      <c r="AJ822" s="165"/>
      <c r="AK822" s="165"/>
      <c r="AL822" s="165"/>
      <c r="AM822" s="165"/>
      <c r="AN822" s="165"/>
    </row>
    <row r="823" spans="3:40">
      <c r="C823" s="46"/>
      <c r="F823" s="173"/>
      <c r="G823" s="1"/>
      <c r="H823" s="165"/>
      <c r="I823" s="160"/>
      <c r="J823" s="160"/>
      <c r="K823" s="1"/>
      <c r="L823" s="123"/>
      <c r="M823" s="1"/>
      <c r="N823" s="590"/>
      <c r="O823" s="165"/>
      <c r="P823" s="165"/>
      <c r="Q823" s="165"/>
      <c r="R823" s="165"/>
      <c r="S823" s="165"/>
      <c r="V823" s="46"/>
      <c r="W823" s="46"/>
      <c r="X823" s="1"/>
      <c r="Y823" s="1"/>
      <c r="Z823" s="173"/>
      <c r="AA823" s="1"/>
      <c r="AB823" s="165"/>
      <c r="AC823" s="1"/>
      <c r="AD823" s="1"/>
      <c r="AE823" s="1"/>
      <c r="AF823" s="46"/>
      <c r="AG823" s="1"/>
      <c r="AH823" s="165"/>
      <c r="AI823" s="165"/>
      <c r="AJ823" s="165"/>
      <c r="AK823" s="165"/>
      <c r="AL823" s="165"/>
      <c r="AM823" s="165"/>
      <c r="AN823" s="165"/>
    </row>
    <row r="824" spans="3:40">
      <c r="C824" s="46"/>
      <c r="F824" s="173"/>
      <c r="G824" s="1"/>
      <c r="H824" s="165"/>
      <c r="I824" s="160"/>
      <c r="J824" s="160"/>
      <c r="K824" s="1"/>
      <c r="L824" s="123"/>
      <c r="M824" s="1"/>
      <c r="N824" s="590"/>
      <c r="O824" s="165"/>
      <c r="P824" s="165"/>
      <c r="Q824" s="165"/>
      <c r="R824" s="165"/>
      <c r="S824" s="165"/>
      <c r="V824" s="46"/>
      <c r="W824" s="46"/>
      <c r="X824" s="1"/>
      <c r="Y824" s="1"/>
      <c r="Z824" s="173"/>
      <c r="AA824" s="1"/>
      <c r="AB824" s="165"/>
      <c r="AC824" s="1"/>
      <c r="AD824" s="1"/>
      <c r="AE824" s="1"/>
      <c r="AF824" s="46"/>
      <c r="AG824" s="1"/>
      <c r="AH824" s="165"/>
      <c r="AI824" s="165"/>
      <c r="AJ824" s="165"/>
      <c r="AK824" s="165"/>
      <c r="AL824" s="165"/>
      <c r="AM824" s="165"/>
      <c r="AN824" s="165"/>
    </row>
    <row r="825" spans="3:40">
      <c r="C825" s="46"/>
      <c r="F825" s="173"/>
      <c r="G825" s="1"/>
      <c r="H825" s="165"/>
      <c r="I825" s="160"/>
      <c r="J825" s="160"/>
      <c r="K825" s="1"/>
      <c r="L825" s="123"/>
      <c r="M825" s="1"/>
      <c r="N825" s="590"/>
      <c r="O825" s="165"/>
      <c r="P825" s="165"/>
      <c r="Q825" s="165"/>
      <c r="R825" s="165"/>
      <c r="S825" s="165"/>
      <c r="V825" s="46"/>
      <c r="W825" s="46"/>
      <c r="X825" s="1"/>
      <c r="Y825" s="1"/>
      <c r="Z825" s="173"/>
      <c r="AA825" s="1"/>
      <c r="AB825" s="165"/>
      <c r="AC825" s="1"/>
      <c r="AD825" s="1"/>
      <c r="AE825" s="1"/>
      <c r="AF825" s="46"/>
      <c r="AG825" s="1"/>
      <c r="AH825" s="165"/>
      <c r="AI825" s="165"/>
      <c r="AJ825" s="165"/>
      <c r="AK825" s="165"/>
      <c r="AL825" s="165"/>
      <c r="AM825" s="165"/>
      <c r="AN825" s="165"/>
    </row>
    <row r="826" spans="3:40">
      <c r="C826" s="46"/>
      <c r="F826" s="173"/>
      <c r="G826" s="1"/>
      <c r="H826" s="165"/>
      <c r="I826" s="160"/>
      <c r="J826" s="160"/>
      <c r="K826" s="1"/>
      <c r="L826" s="123"/>
      <c r="M826" s="1"/>
      <c r="N826" s="590"/>
      <c r="O826" s="165"/>
      <c r="P826" s="165"/>
      <c r="Q826" s="165"/>
      <c r="R826" s="165"/>
      <c r="S826" s="165"/>
      <c r="V826" s="46"/>
      <c r="W826" s="46"/>
      <c r="X826" s="1"/>
      <c r="Y826" s="1"/>
      <c r="Z826" s="173"/>
      <c r="AA826" s="1"/>
      <c r="AB826" s="165"/>
      <c r="AC826" s="1"/>
      <c r="AD826" s="1"/>
      <c r="AE826" s="1"/>
      <c r="AF826" s="46"/>
      <c r="AG826" s="1"/>
      <c r="AH826" s="165"/>
      <c r="AI826" s="165"/>
      <c r="AJ826" s="165"/>
      <c r="AK826" s="165"/>
      <c r="AL826" s="165"/>
      <c r="AM826" s="165"/>
      <c r="AN826" s="165"/>
    </row>
    <row r="827" spans="3:40">
      <c r="C827" s="46"/>
      <c r="F827" s="173"/>
      <c r="G827" s="1"/>
      <c r="H827" s="165"/>
      <c r="I827" s="160"/>
      <c r="J827" s="160"/>
      <c r="K827" s="1"/>
      <c r="L827" s="123"/>
      <c r="M827" s="1"/>
      <c r="N827" s="590"/>
      <c r="O827" s="165"/>
      <c r="P827" s="165"/>
      <c r="Q827" s="165"/>
      <c r="R827" s="165"/>
      <c r="S827" s="165"/>
      <c r="V827" s="46"/>
      <c r="W827" s="46"/>
      <c r="X827" s="1"/>
      <c r="Y827" s="1"/>
      <c r="Z827" s="173"/>
      <c r="AA827" s="1"/>
      <c r="AB827" s="165"/>
      <c r="AC827" s="1"/>
      <c r="AD827" s="1"/>
      <c r="AE827" s="1"/>
      <c r="AF827" s="46"/>
      <c r="AG827" s="1"/>
      <c r="AH827" s="165"/>
      <c r="AI827" s="165"/>
      <c r="AJ827" s="165"/>
      <c r="AK827" s="165"/>
      <c r="AL827" s="165"/>
      <c r="AM827" s="165"/>
      <c r="AN827" s="165"/>
    </row>
    <row r="828" spans="3:40">
      <c r="C828" s="46"/>
      <c r="F828" s="173"/>
      <c r="G828" s="1"/>
      <c r="H828" s="165"/>
      <c r="I828" s="160"/>
      <c r="J828" s="160"/>
      <c r="K828" s="1"/>
      <c r="L828" s="123"/>
      <c r="M828" s="1"/>
      <c r="N828" s="590"/>
      <c r="O828" s="165"/>
      <c r="P828" s="165"/>
      <c r="Q828" s="165"/>
      <c r="R828" s="165"/>
      <c r="S828" s="165"/>
      <c r="V828" s="46"/>
      <c r="W828" s="46"/>
      <c r="X828" s="1"/>
      <c r="Y828" s="1"/>
      <c r="Z828" s="173"/>
      <c r="AA828" s="1"/>
      <c r="AB828" s="165"/>
      <c r="AC828" s="1"/>
      <c r="AD828" s="1"/>
      <c r="AE828" s="1"/>
      <c r="AF828" s="46"/>
      <c r="AG828" s="1"/>
      <c r="AH828" s="165"/>
      <c r="AI828" s="165"/>
      <c r="AJ828" s="165"/>
      <c r="AK828" s="165"/>
      <c r="AL828" s="165"/>
      <c r="AM828" s="165"/>
      <c r="AN828" s="165"/>
    </row>
    <row r="829" spans="3:40">
      <c r="C829" s="46"/>
      <c r="F829" s="173"/>
      <c r="G829" s="1"/>
      <c r="H829" s="165"/>
      <c r="I829" s="160"/>
      <c r="J829" s="160"/>
      <c r="K829" s="1"/>
      <c r="L829" s="123"/>
      <c r="M829" s="1"/>
      <c r="N829" s="590"/>
      <c r="O829" s="165"/>
      <c r="P829" s="165"/>
      <c r="Q829" s="165"/>
      <c r="R829" s="165"/>
      <c r="S829" s="165"/>
      <c r="V829" s="46"/>
      <c r="W829" s="46"/>
      <c r="X829" s="1"/>
      <c r="Y829" s="1"/>
      <c r="Z829" s="173"/>
      <c r="AA829" s="1"/>
      <c r="AB829" s="165"/>
      <c r="AC829" s="1"/>
      <c r="AD829" s="1"/>
      <c r="AE829" s="1"/>
      <c r="AF829" s="46"/>
      <c r="AG829" s="1"/>
      <c r="AH829" s="165"/>
      <c r="AI829" s="165"/>
      <c r="AJ829" s="165"/>
      <c r="AK829" s="165"/>
      <c r="AL829" s="165"/>
      <c r="AM829" s="165"/>
      <c r="AN829" s="165"/>
    </row>
    <row r="830" spans="3:40">
      <c r="C830" s="46"/>
      <c r="F830" s="173"/>
      <c r="G830" s="1"/>
      <c r="H830" s="165"/>
      <c r="I830" s="160"/>
      <c r="J830" s="160"/>
      <c r="K830" s="1"/>
      <c r="L830" s="123"/>
      <c r="M830" s="1"/>
      <c r="N830" s="590"/>
      <c r="O830" s="165"/>
      <c r="P830" s="165"/>
      <c r="Q830" s="165"/>
      <c r="R830" s="165"/>
      <c r="S830" s="165"/>
      <c r="V830" s="46"/>
      <c r="W830" s="46"/>
      <c r="X830" s="1"/>
      <c r="Y830" s="1"/>
      <c r="Z830" s="173"/>
      <c r="AA830" s="1"/>
      <c r="AB830" s="165"/>
      <c r="AC830" s="1"/>
      <c r="AD830" s="1"/>
      <c r="AE830" s="1"/>
      <c r="AF830" s="46"/>
      <c r="AG830" s="1"/>
      <c r="AH830" s="165"/>
      <c r="AI830" s="165"/>
      <c r="AJ830" s="165"/>
      <c r="AK830" s="165"/>
      <c r="AL830" s="165"/>
      <c r="AM830" s="165"/>
      <c r="AN830" s="165"/>
    </row>
    <row r="831" spans="3:40">
      <c r="C831" s="46"/>
      <c r="F831" s="173"/>
      <c r="G831" s="1"/>
      <c r="H831" s="165"/>
      <c r="I831" s="160"/>
      <c r="J831" s="160"/>
      <c r="K831" s="1"/>
      <c r="L831" s="123"/>
      <c r="M831" s="1"/>
      <c r="N831" s="590"/>
      <c r="O831" s="165"/>
      <c r="P831" s="165"/>
      <c r="Q831" s="165"/>
      <c r="R831" s="165"/>
      <c r="S831" s="165"/>
      <c r="V831" s="46"/>
      <c r="W831" s="46"/>
      <c r="X831" s="1"/>
      <c r="Y831" s="1"/>
      <c r="Z831" s="173"/>
      <c r="AA831" s="1"/>
      <c r="AB831" s="165"/>
      <c r="AC831" s="1"/>
      <c r="AD831" s="1"/>
      <c r="AE831" s="1"/>
      <c r="AF831" s="46"/>
      <c r="AG831" s="1"/>
      <c r="AH831" s="165"/>
      <c r="AI831" s="165"/>
      <c r="AJ831" s="165"/>
      <c r="AK831" s="165"/>
      <c r="AL831" s="165"/>
      <c r="AM831" s="165"/>
      <c r="AN831" s="165"/>
    </row>
    <row r="832" spans="3:40">
      <c r="C832" s="46"/>
      <c r="F832" s="173"/>
      <c r="G832" s="1"/>
      <c r="H832" s="165"/>
      <c r="I832" s="160"/>
      <c r="J832" s="160"/>
      <c r="K832" s="1"/>
      <c r="L832" s="123"/>
      <c r="M832" s="1"/>
      <c r="N832" s="590"/>
      <c r="O832" s="165"/>
      <c r="P832" s="165"/>
      <c r="Q832" s="165"/>
      <c r="R832" s="165"/>
      <c r="S832" s="165"/>
      <c r="V832" s="46"/>
      <c r="W832" s="46"/>
      <c r="X832" s="1"/>
      <c r="Y832" s="1"/>
      <c r="Z832" s="173"/>
      <c r="AA832" s="1"/>
      <c r="AB832" s="165"/>
      <c r="AC832" s="1"/>
      <c r="AD832" s="1"/>
      <c r="AE832" s="1"/>
      <c r="AF832" s="46"/>
      <c r="AG832" s="1"/>
      <c r="AH832" s="165"/>
      <c r="AI832" s="165"/>
      <c r="AJ832" s="165"/>
      <c r="AK832" s="165"/>
      <c r="AL832" s="165"/>
      <c r="AM832" s="165"/>
      <c r="AN832" s="165"/>
    </row>
    <row r="833" spans="3:40">
      <c r="C833" s="46"/>
      <c r="F833" s="173"/>
      <c r="G833" s="1"/>
      <c r="H833" s="165"/>
      <c r="I833" s="160"/>
      <c r="J833" s="160"/>
      <c r="K833" s="1"/>
      <c r="L833" s="123"/>
      <c r="M833" s="1"/>
      <c r="N833" s="590"/>
      <c r="O833" s="165"/>
      <c r="P833" s="165"/>
      <c r="Q833" s="165"/>
      <c r="R833" s="165"/>
      <c r="S833" s="165"/>
      <c r="V833" s="46"/>
      <c r="W833" s="46"/>
      <c r="X833" s="1"/>
      <c r="Y833" s="1"/>
      <c r="Z833" s="173"/>
      <c r="AA833" s="1"/>
      <c r="AB833" s="165"/>
      <c r="AC833" s="1"/>
      <c r="AD833" s="1"/>
      <c r="AE833" s="1"/>
      <c r="AF833" s="46"/>
      <c r="AG833" s="1"/>
      <c r="AH833" s="165"/>
      <c r="AI833" s="165"/>
      <c r="AJ833" s="165"/>
      <c r="AK833" s="165"/>
      <c r="AL833" s="165"/>
      <c r="AM833" s="165"/>
      <c r="AN833" s="165"/>
    </row>
    <row r="834" spans="3:40">
      <c r="C834" s="46"/>
      <c r="F834" s="173"/>
      <c r="G834" s="1"/>
      <c r="H834" s="165"/>
      <c r="I834" s="160"/>
      <c r="J834" s="160"/>
      <c r="K834" s="1"/>
      <c r="L834" s="123"/>
      <c r="M834" s="1"/>
      <c r="N834" s="590"/>
      <c r="O834" s="165"/>
      <c r="P834" s="165"/>
      <c r="Q834" s="165"/>
      <c r="R834" s="165"/>
      <c r="S834" s="165"/>
      <c r="V834" s="46"/>
      <c r="W834" s="46"/>
      <c r="X834" s="1"/>
      <c r="Y834" s="1"/>
      <c r="Z834" s="173"/>
      <c r="AA834" s="1"/>
      <c r="AB834" s="165"/>
      <c r="AC834" s="1"/>
      <c r="AD834" s="1"/>
      <c r="AE834" s="1"/>
      <c r="AF834" s="46"/>
      <c r="AG834" s="1"/>
      <c r="AH834" s="165"/>
      <c r="AI834" s="165"/>
      <c r="AJ834" s="165"/>
      <c r="AK834" s="165"/>
      <c r="AL834" s="165"/>
      <c r="AM834" s="165"/>
      <c r="AN834" s="165"/>
    </row>
    <row r="835" spans="3:40">
      <c r="C835" s="46"/>
      <c r="F835" s="173"/>
      <c r="G835" s="1"/>
      <c r="H835" s="165"/>
      <c r="I835" s="160"/>
      <c r="J835" s="160"/>
      <c r="K835" s="1"/>
      <c r="L835" s="123"/>
      <c r="M835" s="1"/>
      <c r="N835" s="590"/>
      <c r="O835" s="165"/>
      <c r="P835" s="165"/>
      <c r="Q835" s="165"/>
      <c r="R835" s="165"/>
      <c r="S835" s="165"/>
      <c r="V835" s="46"/>
      <c r="W835" s="46"/>
      <c r="X835" s="1"/>
      <c r="Y835" s="1"/>
      <c r="Z835" s="173"/>
      <c r="AA835" s="1"/>
      <c r="AB835" s="165"/>
      <c r="AC835" s="1"/>
      <c r="AD835" s="1"/>
      <c r="AE835" s="1"/>
      <c r="AF835" s="46"/>
      <c r="AG835" s="1"/>
      <c r="AH835" s="165"/>
      <c r="AI835" s="165"/>
      <c r="AJ835" s="165"/>
      <c r="AK835" s="165"/>
      <c r="AL835" s="165"/>
      <c r="AM835" s="165"/>
      <c r="AN835" s="165"/>
    </row>
    <row r="836" spans="3:40">
      <c r="C836" s="46"/>
      <c r="F836" s="173"/>
      <c r="G836" s="1"/>
      <c r="H836" s="165"/>
      <c r="I836" s="160"/>
      <c r="J836" s="160"/>
      <c r="K836" s="1"/>
      <c r="L836" s="123"/>
      <c r="M836" s="1"/>
      <c r="N836" s="590"/>
      <c r="O836" s="165"/>
      <c r="P836" s="165"/>
      <c r="Q836" s="165"/>
      <c r="R836" s="165"/>
      <c r="S836" s="165"/>
      <c r="V836" s="46"/>
      <c r="W836" s="46"/>
      <c r="X836" s="1"/>
      <c r="Y836" s="1"/>
      <c r="Z836" s="173"/>
      <c r="AA836" s="1"/>
      <c r="AB836" s="165"/>
      <c r="AC836" s="1"/>
      <c r="AD836" s="1"/>
      <c r="AE836" s="1"/>
      <c r="AF836" s="46"/>
      <c r="AG836" s="1"/>
      <c r="AH836" s="165"/>
      <c r="AI836" s="165"/>
      <c r="AJ836" s="165"/>
      <c r="AK836" s="165"/>
      <c r="AL836" s="165"/>
      <c r="AM836" s="165"/>
      <c r="AN836" s="165"/>
    </row>
    <row r="837" spans="3:40">
      <c r="C837" s="46"/>
      <c r="F837" s="173"/>
      <c r="G837" s="1"/>
      <c r="H837" s="165"/>
      <c r="I837" s="160"/>
      <c r="J837" s="160"/>
      <c r="K837" s="1"/>
      <c r="L837" s="123"/>
      <c r="M837" s="1"/>
      <c r="N837" s="590"/>
      <c r="O837" s="165"/>
      <c r="P837" s="165"/>
      <c r="Q837" s="165"/>
      <c r="R837" s="165"/>
      <c r="S837" s="165"/>
      <c r="V837" s="46"/>
      <c r="W837" s="46"/>
      <c r="X837" s="1"/>
      <c r="Y837" s="1"/>
      <c r="Z837" s="173"/>
      <c r="AA837" s="1"/>
      <c r="AB837" s="165"/>
      <c r="AC837" s="1"/>
      <c r="AD837" s="1"/>
      <c r="AE837" s="1"/>
      <c r="AF837" s="46"/>
      <c r="AG837" s="1"/>
      <c r="AH837" s="165"/>
      <c r="AI837" s="165"/>
      <c r="AJ837" s="165"/>
      <c r="AK837" s="165"/>
      <c r="AL837" s="165"/>
      <c r="AM837" s="165"/>
      <c r="AN837" s="165"/>
    </row>
    <row r="838" spans="3:40">
      <c r="C838" s="46"/>
      <c r="F838" s="173"/>
      <c r="G838" s="1"/>
      <c r="H838" s="165"/>
      <c r="I838" s="160"/>
      <c r="J838" s="160"/>
      <c r="K838" s="1"/>
      <c r="L838" s="123"/>
      <c r="M838" s="1"/>
      <c r="N838" s="590"/>
      <c r="O838" s="165"/>
      <c r="P838" s="165"/>
      <c r="Q838" s="165"/>
      <c r="R838" s="165"/>
      <c r="S838" s="165"/>
      <c r="V838" s="46"/>
      <c r="W838" s="46"/>
      <c r="X838" s="1"/>
      <c r="Y838" s="1"/>
      <c r="Z838" s="173"/>
      <c r="AA838" s="1"/>
      <c r="AB838" s="165"/>
      <c r="AC838" s="1"/>
      <c r="AD838" s="1"/>
      <c r="AE838" s="1"/>
      <c r="AF838" s="46"/>
      <c r="AG838" s="1"/>
      <c r="AH838" s="165"/>
      <c r="AI838" s="165"/>
      <c r="AJ838" s="165"/>
      <c r="AK838" s="165"/>
      <c r="AL838" s="165"/>
      <c r="AM838" s="165"/>
      <c r="AN838" s="165"/>
    </row>
    <row r="839" spans="3:40">
      <c r="C839" s="46"/>
      <c r="F839" s="173"/>
      <c r="G839" s="1"/>
      <c r="H839" s="165"/>
      <c r="I839" s="160"/>
      <c r="J839" s="160"/>
      <c r="K839" s="1"/>
      <c r="L839" s="123"/>
      <c r="M839" s="1"/>
      <c r="N839" s="590"/>
      <c r="O839" s="165"/>
      <c r="P839" s="165"/>
      <c r="Q839" s="165"/>
      <c r="R839" s="165"/>
      <c r="S839" s="165"/>
      <c r="V839" s="46"/>
      <c r="W839" s="46"/>
      <c r="X839" s="1"/>
      <c r="Y839" s="1"/>
      <c r="Z839" s="173"/>
      <c r="AA839" s="1"/>
      <c r="AB839" s="165"/>
      <c r="AC839" s="1"/>
      <c r="AD839" s="1"/>
      <c r="AE839" s="1"/>
      <c r="AF839" s="46"/>
      <c r="AG839" s="1"/>
      <c r="AH839" s="165"/>
      <c r="AI839" s="165"/>
      <c r="AJ839" s="165"/>
      <c r="AK839" s="165"/>
      <c r="AL839" s="165"/>
      <c r="AM839" s="165"/>
      <c r="AN839" s="165"/>
    </row>
    <row r="840" spans="3:40">
      <c r="C840" s="46"/>
      <c r="F840" s="173"/>
      <c r="G840" s="1"/>
      <c r="H840" s="165"/>
      <c r="I840" s="160"/>
      <c r="J840" s="160"/>
      <c r="K840" s="1"/>
      <c r="L840" s="123"/>
      <c r="M840" s="1"/>
      <c r="N840" s="590"/>
      <c r="O840" s="165"/>
      <c r="P840" s="165"/>
      <c r="Q840" s="165"/>
      <c r="R840" s="165"/>
      <c r="S840" s="165"/>
      <c r="V840" s="46"/>
      <c r="W840" s="46"/>
      <c r="X840" s="1"/>
      <c r="Y840" s="1"/>
      <c r="Z840" s="173"/>
      <c r="AA840" s="1"/>
      <c r="AB840" s="165"/>
      <c r="AC840" s="1"/>
      <c r="AD840" s="1"/>
      <c r="AE840" s="1"/>
      <c r="AF840" s="46"/>
      <c r="AG840" s="1"/>
      <c r="AH840" s="165"/>
      <c r="AI840" s="165"/>
      <c r="AJ840" s="165"/>
      <c r="AK840" s="165"/>
      <c r="AL840" s="165"/>
      <c r="AM840" s="165"/>
      <c r="AN840" s="165"/>
    </row>
    <row r="841" spans="3:40">
      <c r="C841" s="46"/>
      <c r="F841" s="173"/>
      <c r="G841" s="1"/>
      <c r="H841" s="165"/>
      <c r="I841" s="160"/>
      <c r="J841" s="160"/>
      <c r="K841" s="1"/>
      <c r="L841" s="123"/>
      <c r="M841" s="1"/>
      <c r="N841" s="590"/>
      <c r="O841" s="165"/>
      <c r="P841" s="165"/>
      <c r="Q841" s="165"/>
      <c r="R841" s="165"/>
      <c r="S841" s="165"/>
      <c r="V841" s="46"/>
      <c r="W841" s="46"/>
      <c r="X841" s="1"/>
      <c r="Y841" s="1"/>
      <c r="Z841" s="173"/>
      <c r="AA841" s="1"/>
      <c r="AB841" s="165"/>
      <c r="AC841" s="1"/>
      <c r="AD841" s="1"/>
      <c r="AE841" s="1"/>
      <c r="AF841" s="46"/>
      <c r="AG841" s="1"/>
      <c r="AH841" s="165"/>
      <c r="AI841" s="165"/>
      <c r="AJ841" s="165"/>
      <c r="AK841" s="165"/>
      <c r="AL841" s="165"/>
      <c r="AM841" s="165"/>
      <c r="AN841" s="165"/>
    </row>
    <row r="842" spans="3:40">
      <c r="C842" s="46"/>
      <c r="F842" s="173"/>
      <c r="G842" s="1"/>
      <c r="H842" s="165"/>
      <c r="I842" s="160"/>
      <c r="J842" s="160"/>
      <c r="K842" s="1"/>
      <c r="L842" s="123"/>
      <c r="M842" s="1"/>
      <c r="N842" s="590"/>
      <c r="O842" s="165"/>
      <c r="P842" s="165"/>
      <c r="Q842" s="165"/>
      <c r="R842" s="165"/>
      <c r="S842" s="165"/>
      <c r="V842" s="46"/>
      <c r="W842" s="46"/>
      <c r="X842" s="1"/>
      <c r="Y842" s="1"/>
      <c r="Z842" s="173"/>
      <c r="AA842" s="1"/>
      <c r="AB842" s="165"/>
      <c r="AC842" s="1"/>
      <c r="AD842" s="1"/>
      <c r="AE842" s="1"/>
      <c r="AF842" s="46"/>
      <c r="AG842" s="1"/>
      <c r="AH842" s="165"/>
      <c r="AI842" s="165"/>
      <c r="AJ842" s="165"/>
      <c r="AK842" s="165"/>
      <c r="AL842" s="165"/>
      <c r="AM842" s="165"/>
      <c r="AN842" s="165"/>
    </row>
    <row r="843" spans="3:40">
      <c r="C843" s="46"/>
      <c r="F843" s="173"/>
      <c r="G843" s="1"/>
      <c r="H843" s="165"/>
      <c r="I843" s="160"/>
      <c r="J843" s="160"/>
      <c r="K843" s="1"/>
      <c r="L843" s="123"/>
      <c r="M843" s="1"/>
      <c r="N843" s="590"/>
      <c r="O843" s="165"/>
      <c r="P843" s="165"/>
      <c r="Q843" s="165"/>
      <c r="R843" s="165"/>
      <c r="S843" s="165"/>
      <c r="V843" s="46"/>
      <c r="W843" s="46"/>
      <c r="X843" s="1"/>
      <c r="Y843" s="1"/>
      <c r="Z843" s="173"/>
      <c r="AA843" s="1"/>
      <c r="AB843" s="165"/>
      <c r="AC843" s="1"/>
      <c r="AD843" s="1"/>
      <c r="AE843" s="1"/>
      <c r="AF843" s="46"/>
      <c r="AG843" s="1"/>
      <c r="AH843" s="165"/>
      <c r="AI843" s="165"/>
      <c r="AJ843" s="165"/>
      <c r="AK843" s="165"/>
      <c r="AL843" s="165"/>
      <c r="AM843" s="165"/>
      <c r="AN843" s="165"/>
    </row>
    <row r="844" spans="3:40">
      <c r="C844" s="46"/>
      <c r="F844" s="173"/>
      <c r="G844" s="1"/>
      <c r="H844" s="165"/>
      <c r="I844" s="160"/>
      <c r="J844" s="160"/>
      <c r="K844" s="1"/>
      <c r="L844" s="123"/>
      <c r="M844" s="1"/>
      <c r="N844" s="590"/>
      <c r="O844" s="165"/>
      <c r="P844" s="165"/>
      <c r="Q844" s="165"/>
      <c r="R844" s="165"/>
      <c r="S844" s="165"/>
      <c r="V844" s="46"/>
      <c r="W844" s="46"/>
      <c r="X844" s="1"/>
      <c r="Y844" s="1"/>
      <c r="Z844" s="173"/>
      <c r="AA844" s="1"/>
      <c r="AB844" s="165"/>
      <c r="AC844" s="1"/>
      <c r="AD844" s="1"/>
      <c r="AE844" s="1"/>
      <c r="AF844" s="46"/>
      <c r="AG844" s="1"/>
      <c r="AH844" s="165"/>
      <c r="AI844" s="165"/>
      <c r="AJ844" s="165"/>
      <c r="AK844" s="165"/>
      <c r="AL844" s="165"/>
      <c r="AM844" s="165"/>
      <c r="AN844" s="165"/>
    </row>
    <row r="845" spans="3:40">
      <c r="C845" s="46"/>
      <c r="F845" s="173"/>
      <c r="G845" s="1"/>
      <c r="H845" s="165"/>
      <c r="I845" s="160"/>
      <c r="J845" s="160"/>
      <c r="K845" s="1"/>
      <c r="L845" s="123"/>
      <c r="M845" s="1"/>
      <c r="N845" s="590"/>
      <c r="O845" s="165"/>
      <c r="P845" s="165"/>
      <c r="Q845" s="165"/>
      <c r="R845" s="165"/>
      <c r="S845" s="165"/>
      <c r="V845" s="46"/>
      <c r="W845" s="46"/>
      <c r="X845" s="1"/>
      <c r="Y845" s="1"/>
      <c r="Z845" s="173"/>
      <c r="AA845" s="1"/>
      <c r="AB845" s="165"/>
      <c r="AC845" s="1"/>
      <c r="AD845" s="1"/>
      <c r="AE845" s="1"/>
      <c r="AF845" s="46"/>
      <c r="AG845" s="1"/>
      <c r="AH845" s="165"/>
      <c r="AI845" s="165"/>
      <c r="AJ845" s="165"/>
      <c r="AK845" s="165"/>
      <c r="AL845" s="165"/>
      <c r="AM845" s="165"/>
      <c r="AN845" s="165"/>
    </row>
    <row r="846" spans="3:40">
      <c r="C846" s="46"/>
      <c r="F846" s="173"/>
      <c r="G846" s="1"/>
      <c r="H846" s="165"/>
      <c r="I846" s="160"/>
      <c r="J846" s="160"/>
      <c r="K846" s="1"/>
      <c r="L846" s="123"/>
      <c r="M846" s="1"/>
      <c r="N846" s="590"/>
      <c r="O846" s="165"/>
      <c r="P846" s="165"/>
      <c r="Q846" s="165"/>
      <c r="R846" s="165"/>
      <c r="S846" s="165"/>
      <c r="V846" s="46"/>
      <c r="W846" s="46"/>
      <c r="X846" s="1"/>
      <c r="Y846" s="1"/>
      <c r="Z846" s="173"/>
      <c r="AA846" s="1"/>
      <c r="AB846" s="165"/>
      <c r="AC846" s="1"/>
      <c r="AD846" s="1"/>
      <c r="AE846" s="1"/>
      <c r="AF846" s="46"/>
      <c r="AG846" s="1"/>
      <c r="AH846" s="165"/>
      <c r="AI846" s="165"/>
      <c r="AJ846" s="165"/>
      <c r="AK846" s="165"/>
      <c r="AL846" s="165"/>
      <c r="AM846" s="165"/>
      <c r="AN846" s="165"/>
    </row>
    <row r="847" spans="3:40">
      <c r="C847" s="46"/>
      <c r="F847" s="173"/>
      <c r="G847" s="1"/>
      <c r="H847" s="165"/>
      <c r="I847" s="160"/>
      <c r="J847" s="160"/>
      <c r="K847" s="1"/>
      <c r="L847" s="123"/>
      <c r="M847" s="1"/>
      <c r="N847" s="590"/>
      <c r="O847" s="165"/>
      <c r="P847" s="165"/>
      <c r="Q847" s="165"/>
      <c r="R847" s="165"/>
      <c r="S847" s="165"/>
      <c r="V847" s="46"/>
      <c r="W847" s="46"/>
      <c r="X847" s="1"/>
      <c r="Y847" s="1"/>
      <c r="Z847" s="173"/>
      <c r="AA847" s="1"/>
      <c r="AB847" s="165"/>
      <c r="AC847" s="1"/>
      <c r="AD847" s="1"/>
      <c r="AE847" s="1"/>
      <c r="AF847" s="46"/>
      <c r="AG847" s="1"/>
      <c r="AH847" s="165"/>
      <c r="AI847" s="165"/>
      <c r="AJ847" s="165"/>
      <c r="AK847" s="165"/>
      <c r="AL847" s="165"/>
      <c r="AM847" s="165"/>
      <c r="AN847" s="165"/>
    </row>
    <row r="848" spans="3:40">
      <c r="C848" s="46"/>
      <c r="F848" s="173"/>
      <c r="G848" s="1"/>
      <c r="H848" s="165"/>
      <c r="I848" s="160"/>
      <c r="J848" s="160"/>
      <c r="K848" s="1"/>
      <c r="L848" s="123"/>
      <c r="M848" s="1"/>
      <c r="N848" s="590"/>
      <c r="O848" s="165"/>
      <c r="P848" s="165"/>
      <c r="Q848" s="165"/>
      <c r="R848" s="165"/>
      <c r="S848" s="165"/>
      <c r="V848" s="46"/>
      <c r="W848" s="46"/>
      <c r="X848" s="1"/>
      <c r="Y848" s="1"/>
      <c r="Z848" s="173"/>
      <c r="AA848" s="1"/>
      <c r="AB848" s="165"/>
      <c r="AC848" s="1"/>
      <c r="AD848" s="1"/>
      <c r="AE848" s="1"/>
      <c r="AF848" s="46"/>
      <c r="AG848" s="1"/>
      <c r="AH848" s="165"/>
      <c r="AI848" s="165"/>
      <c r="AJ848" s="165"/>
      <c r="AK848" s="165"/>
      <c r="AL848" s="165"/>
      <c r="AM848" s="165"/>
      <c r="AN848" s="165"/>
    </row>
    <row r="849" spans="3:40">
      <c r="C849" s="46"/>
      <c r="F849" s="173"/>
      <c r="G849" s="1"/>
      <c r="H849" s="165"/>
      <c r="I849" s="160"/>
      <c r="J849" s="160"/>
      <c r="K849" s="1"/>
      <c r="L849" s="123"/>
      <c r="M849" s="1"/>
      <c r="N849" s="590"/>
      <c r="O849" s="165"/>
      <c r="P849" s="165"/>
      <c r="Q849" s="165"/>
      <c r="R849" s="165"/>
      <c r="S849" s="165"/>
      <c r="V849" s="46"/>
      <c r="W849" s="46"/>
      <c r="X849" s="1"/>
      <c r="Y849" s="1"/>
      <c r="Z849" s="173"/>
      <c r="AA849" s="1"/>
      <c r="AB849" s="165"/>
      <c r="AC849" s="1"/>
      <c r="AD849" s="1"/>
      <c r="AE849" s="1"/>
      <c r="AF849" s="46"/>
      <c r="AG849" s="1"/>
      <c r="AH849" s="165"/>
      <c r="AI849" s="165"/>
      <c r="AJ849" s="165"/>
      <c r="AK849" s="165"/>
      <c r="AL849" s="165"/>
      <c r="AM849" s="165"/>
      <c r="AN849" s="165"/>
    </row>
    <row r="850" spans="3:40">
      <c r="C850" s="46"/>
      <c r="F850" s="173"/>
      <c r="G850" s="1"/>
      <c r="H850" s="165"/>
      <c r="I850" s="160"/>
      <c r="J850" s="160"/>
      <c r="K850" s="1"/>
      <c r="L850" s="123"/>
      <c r="M850" s="1"/>
      <c r="N850" s="590"/>
      <c r="O850" s="165"/>
      <c r="P850" s="165"/>
      <c r="Q850" s="165"/>
      <c r="R850" s="165"/>
      <c r="S850" s="165"/>
      <c r="V850" s="46"/>
      <c r="W850" s="46"/>
      <c r="X850" s="1"/>
      <c r="Y850" s="1"/>
      <c r="Z850" s="173"/>
      <c r="AA850" s="1"/>
      <c r="AB850" s="165"/>
      <c r="AC850" s="1"/>
      <c r="AD850" s="1"/>
      <c r="AE850" s="1"/>
      <c r="AF850" s="46"/>
      <c r="AG850" s="1"/>
      <c r="AH850" s="165"/>
      <c r="AI850" s="165"/>
      <c r="AJ850" s="165"/>
      <c r="AK850" s="165"/>
      <c r="AL850" s="165"/>
      <c r="AM850" s="165"/>
      <c r="AN850" s="165"/>
    </row>
    <row r="851" spans="3:40">
      <c r="C851" s="46"/>
      <c r="F851" s="173"/>
      <c r="G851" s="1"/>
      <c r="H851" s="165"/>
      <c r="I851" s="160"/>
      <c r="J851" s="160"/>
      <c r="K851" s="1"/>
      <c r="L851" s="123"/>
      <c r="M851" s="1"/>
      <c r="N851" s="590"/>
      <c r="O851" s="165"/>
      <c r="P851" s="165"/>
      <c r="Q851" s="165"/>
      <c r="R851" s="165"/>
      <c r="S851" s="165"/>
      <c r="V851" s="46"/>
      <c r="W851" s="46"/>
      <c r="X851" s="1"/>
      <c r="Y851" s="1"/>
      <c r="Z851" s="173"/>
      <c r="AA851" s="1"/>
      <c r="AB851" s="165"/>
      <c r="AC851" s="1"/>
      <c r="AD851" s="1"/>
      <c r="AE851" s="1"/>
      <c r="AF851" s="46"/>
      <c r="AG851" s="1"/>
      <c r="AH851" s="165"/>
      <c r="AI851" s="165"/>
      <c r="AJ851" s="165"/>
      <c r="AK851" s="165"/>
      <c r="AL851" s="165"/>
      <c r="AM851" s="165"/>
      <c r="AN851" s="165"/>
    </row>
    <row r="852" spans="3:40">
      <c r="C852" s="46"/>
      <c r="F852" s="173"/>
      <c r="G852" s="1"/>
      <c r="H852" s="165"/>
      <c r="I852" s="160"/>
      <c r="J852" s="160"/>
      <c r="K852" s="1"/>
      <c r="L852" s="123"/>
      <c r="M852" s="1"/>
      <c r="N852" s="590"/>
      <c r="O852" s="165"/>
      <c r="P852" s="165"/>
      <c r="Q852" s="165"/>
      <c r="R852" s="165"/>
      <c r="S852" s="165"/>
      <c r="V852" s="46"/>
      <c r="W852" s="46"/>
      <c r="X852" s="1"/>
      <c r="Y852" s="1"/>
      <c r="Z852" s="173"/>
      <c r="AA852" s="1"/>
      <c r="AB852" s="165"/>
      <c r="AC852" s="1"/>
      <c r="AD852" s="1"/>
      <c r="AE852" s="1"/>
      <c r="AF852" s="46"/>
      <c r="AG852" s="1"/>
      <c r="AH852" s="165"/>
      <c r="AI852" s="165"/>
      <c r="AJ852" s="165"/>
      <c r="AK852" s="165"/>
      <c r="AL852" s="165"/>
      <c r="AM852" s="165"/>
      <c r="AN852" s="165"/>
    </row>
    <row r="853" spans="3:40">
      <c r="C853" s="46"/>
      <c r="F853" s="173"/>
      <c r="G853" s="1"/>
      <c r="H853" s="165"/>
      <c r="I853" s="160"/>
      <c r="J853" s="160"/>
      <c r="K853" s="1"/>
      <c r="L853" s="123"/>
      <c r="M853" s="1"/>
      <c r="N853" s="590"/>
      <c r="O853" s="165"/>
      <c r="P853" s="165"/>
      <c r="Q853" s="165"/>
      <c r="R853" s="165"/>
      <c r="S853" s="165"/>
      <c r="V853" s="46"/>
      <c r="W853" s="46"/>
      <c r="X853" s="1"/>
      <c r="Y853" s="1"/>
      <c r="Z853" s="173"/>
      <c r="AA853" s="1"/>
      <c r="AB853" s="165"/>
      <c r="AC853" s="1"/>
      <c r="AD853" s="1"/>
      <c r="AE853" s="1"/>
      <c r="AF853" s="46"/>
      <c r="AG853" s="1"/>
      <c r="AH853" s="165"/>
      <c r="AI853" s="165"/>
      <c r="AJ853" s="165"/>
      <c r="AK853" s="165"/>
      <c r="AL853" s="165"/>
      <c r="AM853" s="165"/>
      <c r="AN853" s="165"/>
    </row>
    <row r="854" spans="3:40">
      <c r="C854" s="46"/>
      <c r="F854" s="173"/>
      <c r="G854" s="1"/>
      <c r="H854" s="165"/>
      <c r="I854" s="160"/>
      <c r="J854" s="160"/>
      <c r="K854" s="1"/>
      <c r="L854" s="123"/>
      <c r="M854" s="1"/>
      <c r="N854" s="590"/>
      <c r="O854" s="165"/>
      <c r="P854" s="165"/>
      <c r="Q854" s="165"/>
      <c r="R854" s="165"/>
      <c r="S854" s="165"/>
      <c r="V854" s="46"/>
      <c r="W854" s="46"/>
      <c r="X854" s="1"/>
      <c r="Y854" s="1"/>
      <c r="Z854" s="173"/>
      <c r="AA854" s="1"/>
      <c r="AB854" s="165"/>
      <c r="AC854" s="1"/>
      <c r="AD854" s="1"/>
      <c r="AE854" s="1"/>
      <c r="AF854" s="46"/>
      <c r="AG854" s="1"/>
      <c r="AH854" s="165"/>
      <c r="AI854" s="165"/>
      <c r="AJ854" s="165"/>
      <c r="AK854" s="165"/>
      <c r="AL854" s="165"/>
      <c r="AM854" s="165"/>
      <c r="AN854" s="165"/>
    </row>
    <row r="855" spans="3:40">
      <c r="C855" s="46"/>
      <c r="F855" s="173"/>
      <c r="G855" s="1"/>
      <c r="H855" s="165"/>
      <c r="I855" s="160"/>
      <c r="J855" s="160"/>
      <c r="K855" s="1"/>
      <c r="L855" s="123"/>
      <c r="M855" s="1"/>
      <c r="N855" s="590"/>
      <c r="O855" s="165"/>
      <c r="P855" s="165"/>
      <c r="Q855" s="165"/>
      <c r="R855" s="165"/>
      <c r="S855" s="165"/>
      <c r="V855" s="46"/>
      <c r="W855" s="46"/>
      <c r="X855" s="1"/>
      <c r="Y855" s="1"/>
      <c r="Z855" s="173"/>
      <c r="AA855" s="1"/>
      <c r="AB855" s="165"/>
      <c r="AC855" s="1"/>
      <c r="AD855" s="1"/>
      <c r="AE855" s="1"/>
      <c r="AF855" s="46"/>
      <c r="AG855" s="1"/>
      <c r="AH855" s="165"/>
      <c r="AI855" s="165"/>
      <c r="AJ855" s="165"/>
      <c r="AK855" s="165"/>
      <c r="AL855" s="165"/>
      <c r="AM855" s="165"/>
      <c r="AN855" s="165"/>
    </row>
    <row r="856" spans="3:40">
      <c r="C856" s="46"/>
      <c r="F856" s="173"/>
      <c r="G856" s="1"/>
      <c r="H856" s="165"/>
      <c r="I856" s="160"/>
      <c r="J856" s="160"/>
      <c r="K856" s="1"/>
      <c r="L856" s="123"/>
      <c r="M856" s="1"/>
      <c r="N856" s="590"/>
      <c r="O856" s="165"/>
      <c r="P856" s="165"/>
      <c r="Q856" s="165"/>
      <c r="R856" s="165"/>
      <c r="S856" s="165"/>
      <c r="V856" s="46"/>
      <c r="W856" s="46"/>
      <c r="X856" s="1"/>
      <c r="Y856" s="1"/>
      <c r="Z856" s="173"/>
      <c r="AA856" s="1"/>
      <c r="AB856" s="165"/>
      <c r="AC856" s="1"/>
      <c r="AD856" s="1"/>
      <c r="AE856" s="1"/>
      <c r="AF856" s="46"/>
      <c r="AG856" s="1"/>
      <c r="AH856" s="165"/>
      <c r="AI856" s="165"/>
      <c r="AJ856" s="165"/>
      <c r="AK856" s="165"/>
      <c r="AL856" s="165"/>
      <c r="AM856" s="165"/>
      <c r="AN856" s="165"/>
    </row>
    <row r="857" spans="3:40">
      <c r="C857" s="46"/>
      <c r="F857" s="173"/>
      <c r="G857" s="1"/>
      <c r="H857" s="165"/>
      <c r="I857" s="160"/>
      <c r="J857" s="160"/>
      <c r="K857" s="1"/>
      <c r="L857" s="123"/>
      <c r="M857" s="1"/>
      <c r="N857" s="590"/>
      <c r="O857" s="165"/>
      <c r="P857" s="165"/>
      <c r="Q857" s="165"/>
      <c r="R857" s="165"/>
      <c r="S857" s="165"/>
      <c r="V857" s="46"/>
      <c r="W857" s="46"/>
      <c r="X857" s="1"/>
      <c r="Y857" s="1"/>
      <c r="Z857" s="173"/>
      <c r="AA857" s="1"/>
      <c r="AB857" s="165"/>
      <c r="AC857" s="1"/>
      <c r="AD857" s="1"/>
      <c r="AE857" s="1"/>
      <c r="AF857" s="46"/>
      <c r="AG857" s="1"/>
      <c r="AH857" s="165"/>
      <c r="AI857" s="165"/>
      <c r="AJ857" s="165"/>
      <c r="AK857" s="165"/>
      <c r="AL857" s="165"/>
      <c r="AM857" s="165"/>
      <c r="AN857" s="165"/>
    </row>
    <row r="858" spans="3:40">
      <c r="C858" s="46"/>
      <c r="F858" s="173"/>
      <c r="G858" s="1"/>
      <c r="H858" s="165"/>
      <c r="I858" s="160"/>
      <c r="J858" s="160"/>
      <c r="K858" s="1"/>
      <c r="L858" s="123"/>
      <c r="M858" s="1"/>
      <c r="N858" s="590"/>
      <c r="O858" s="165"/>
      <c r="P858" s="165"/>
      <c r="Q858" s="165"/>
      <c r="R858" s="165"/>
      <c r="S858" s="165"/>
      <c r="V858" s="46"/>
      <c r="W858" s="46"/>
      <c r="X858" s="1"/>
      <c r="Y858" s="1"/>
      <c r="Z858" s="173"/>
      <c r="AA858" s="1"/>
      <c r="AB858" s="165"/>
      <c r="AC858" s="1"/>
      <c r="AD858" s="1"/>
      <c r="AE858" s="1"/>
      <c r="AF858" s="46"/>
      <c r="AG858" s="1"/>
      <c r="AH858" s="165"/>
      <c r="AI858" s="165"/>
      <c r="AJ858" s="165"/>
      <c r="AK858" s="165"/>
      <c r="AL858" s="165"/>
      <c r="AM858" s="165"/>
      <c r="AN858" s="165"/>
    </row>
    <row r="859" spans="3:40">
      <c r="C859" s="46"/>
      <c r="F859" s="173"/>
      <c r="G859" s="1"/>
      <c r="H859" s="165"/>
      <c r="I859" s="160"/>
      <c r="J859" s="160"/>
      <c r="K859" s="1"/>
      <c r="L859" s="123"/>
      <c r="M859" s="1"/>
      <c r="N859" s="590"/>
      <c r="O859" s="165"/>
      <c r="P859" s="165"/>
      <c r="Q859" s="165"/>
      <c r="R859" s="165"/>
      <c r="S859" s="165"/>
      <c r="V859" s="46"/>
      <c r="W859" s="46"/>
      <c r="X859" s="1"/>
      <c r="Y859" s="1"/>
      <c r="Z859" s="173"/>
      <c r="AA859" s="1"/>
      <c r="AB859" s="165"/>
      <c r="AC859" s="1"/>
      <c r="AD859" s="1"/>
      <c r="AE859" s="1"/>
      <c r="AF859" s="46"/>
      <c r="AG859" s="1"/>
      <c r="AH859" s="165"/>
      <c r="AI859" s="165"/>
      <c r="AJ859" s="165"/>
      <c r="AK859" s="165"/>
      <c r="AL859" s="165"/>
      <c r="AM859" s="165"/>
      <c r="AN859" s="165"/>
    </row>
    <row r="860" spans="3:40">
      <c r="C860" s="46"/>
      <c r="F860" s="173"/>
      <c r="G860" s="1"/>
      <c r="H860" s="165"/>
      <c r="I860" s="160"/>
      <c r="J860" s="160"/>
      <c r="K860" s="1"/>
      <c r="L860" s="123"/>
      <c r="M860" s="1"/>
      <c r="N860" s="590"/>
      <c r="O860" s="165"/>
      <c r="P860" s="165"/>
      <c r="Q860" s="165"/>
      <c r="R860" s="165"/>
      <c r="S860" s="165"/>
      <c r="V860" s="46"/>
      <c r="W860" s="46"/>
      <c r="X860" s="1"/>
      <c r="Y860" s="1"/>
      <c r="Z860" s="173"/>
      <c r="AA860" s="1"/>
      <c r="AB860" s="165"/>
      <c r="AC860" s="1"/>
      <c r="AD860" s="1"/>
      <c r="AE860" s="1"/>
      <c r="AF860" s="46"/>
      <c r="AG860" s="1"/>
      <c r="AH860" s="165"/>
      <c r="AI860" s="165"/>
      <c r="AJ860" s="165"/>
      <c r="AK860" s="165"/>
      <c r="AL860" s="165"/>
      <c r="AM860" s="165"/>
      <c r="AN860" s="165"/>
    </row>
    <row r="861" spans="3:40">
      <c r="C861" s="46"/>
      <c r="F861" s="173"/>
      <c r="G861" s="1"/>
      <c r="H861" s="165"/>
      <c r="I861" s="160"/>
      <c r="J861" s="160"/>
      <c r="K861" s="1"/>
      <c r="L861" s="123"/>
      <c r="M861" s="1"/>
      <c r="N861" s="590"/>
      <c r="O861" s="165"/>
      <c r="P861" s="165"/>
      <c r="Q861" s="165"/>
      <c r="R861" s="165"/>
      <c r="S861" s="165"/>
      <c r="V861" s="46"/>
      <c r="W861" s="46"/>
      <c r="X861" s="1"/>
      <c r="Y861" s="1"/>
      <c r="Z861" s="173"/>
      <c r="AA861" s="1"/>
      <c r="AB861" s="165"/>
      <c r="AC861" s="1"/>
      <c r="AD861" s="1"/>
      <c r="AE861" s="1"/>
      <c r="AF861" s="46"/>
      <c r="AG861" s="1"/>
      <c r="AH861" s="165"/>
      <c r="AI861" s="165"/>
      <c r="AJ861" s="165"/>
      <c r="AK861" s="165"/>
      <c r="AL861" s="165"/>
      <c r="AM861" s="165"/>
      <c r="AN861" s="165"/>
    </row>
    <row r="862" spans="3:40">
      <c r="C862" s="46"/>
      <c r="F862" s="173"/>
      <c r="G862" s="1"/>
      <c r="H862" s="165"/>
      <c r="I862" s="160"/>
      <c r="J862" s="160"/>
      <c r="K862" s="1"/>
      <c r="L862" s="123"/>
      <c r="M862" s="1"/>
      <c r="N862" s="590"/>
      <c r="O862" s="165"/>
      <c r="P862" s="165"/>
      <c r="Q862" s="165"/>
      <c r="R862" s="165"/>
      <c r="S862" s="165"/>
      <c r="V862" s="46"/>
      <c r="W862" s="46"/>
      <c r="X862" s="1"/>
      <c r="Y862" s="1"/>
      <c r="Z862" s="173"/>
      <c r="AA862" s="1"/>
      <c r="AB862" s="165"/>
      <c r="AC862" s="1"/>
      <c r="AD862" s="1"/>
      <c r="AE862" s="1"/>
      <c r="AF862" s="46"/>
      <c r="AG862" s="1"/>
      <c r="AH862" s="165"/>
      <c r="AI862" s="165"/>
      <c r="AJ862" s="165"/>
      <c r="AK862" s="165"/>
      <c r="AL862" s="165"/>
      <c r="AM862" s="165"/>
      <c r="AN862" s="165"/>
    </row>
    <row r="863" spans="3:40">
      <c r="C863" s="46"/>
      <c r="F863" s="173"/>
      <c r="G863" s="1"/>
      <c r="H863" s="165"/>
      <c r="I863" s="160"/>
      <c r="J863" s="160"/>
      <c r="K863" s="1"/>
      <c r="L863" s="123"/>
      <c r="M863" s="1"/>
      <c r="N863" s="590"/>
      <c r="O863" s="165"/>
      <c r="P863" s="165"/>
      <c r="Q863" s="165"/>
      <c r="R863" s="165"/>
      <c r="S863" s="165"/>
      <c r="V863" s="46"/>
      <c r="W863" s="46"/>
      <c r="X863" s="1"/>
      <c r="Y863" s="1"/>
      <c r="Z863" s="173"/>
      <c r="AA863" s="1"/>
      <c r="AB863" s="165"/>
      <c r="AC863" s="1"/>
      <c r="AD863" s="1"/>
      <c r="AE863" s="1"/>
      <c r="AF863" s="46"/>
      <c r="AG863" s="1"/>
      <c r="AH863" s="165"/>
      <c r="AI863" s="165"/>
      <c r="AJ863" s="165"/>
      <c r="AK863" s="165"/>
      <c r="AL863" s="165"/>
      <c r="AM863" s="165"/>
      <c r="AN863" s="165"/>
    </row>
    <row r="864" spans="3:40">
      <c r="C864" s="46"/>
      <c r="F864" s="173"/>
      <c r="G864" s="1"/>
      <c r="H864" s="165"/>
      <c r="I864" s="160"/>
      <c r="J864" s="160"/>
      <c r="K864" s="1"/>
      <c r="L864" s="123"/>
      <c r="M864" s="1"/>
      <c r="N864" s="590"/>
      <c r="O864" s="165"/>
      <c r="P864" s="165"/>
      <c r="Q864" s="165"/>
      <c r="R864" s="165"/>
      <c r="S864" s="165"/>
      <c r="V864" s="46"/>
      <c r="W864" s="46"/>
      <c r="X864" s="1"/>
      <c r="Y864" s="1"/>
      <c r="Z864" s="173"/>
      <c r="AA864" s="1"/>
      <c r="AB864" s="165"/>
      <c r="AC864" s="1"/>
      <c r="AD864" s="1"/>
      <c r="AE864" s="1"/>
      <c r="AF864" s="46"/>
      <c r="AG864" s="1"/>
      <c r="AH864" s="165"/>
      <c r="AI864" s="165"/>
      <c r="AJ864" s="165"/>
      <c r="AK864" s="165"/>
      <c r="AL864" s="165"/>
      <c r="AM864" s="165"/>
      <c r="AN864" s="165"/>
    </row>
    <row r="865" spans="3:40">
      <c r="C865" s="46"/>
      <c r="F865" s="173"/>
      <c r="G865" s="1"/>
      <c r="H865" s="165"/>
      <c r="I865" s="160"/>
      <c r="J865" s="160"/>
      <c r="K865" s="1"/>
      <c r="L865" s="123"/>
      <c r="M865" s="1"/>
      <c r="N865" s="590"/>
      <c r="O865" s="165"/>
      <c r="P865" s="165"/>
      <c r="Q865" s="165"/>
      <c r="R865" s="165"/>
      <c r="S865" s="165"/>
      <c r="V865" s="46"/>
      <c r="W865" s="46"/>
      <c r="X865" s="1"/>
      <c r="Y865" s="1"/>
      <c r="Z865" s="173"/>
      <c r="AA865" s="1"/>
      <c r="AB865" s="165"/>
      <c r="AC865" s="1"/>
      <c r="AD865" s="1"/>
      <c r="AE865" s="1"/>
      <c r="AF865" s="46"/>
      <c r="AG865" s="1"/>
      <c r="AH865" s="165"/>
      <c r="AI865" s="165"/>
      <c r="AJ865" s="165"/>
      <c r="AK865" s="165"/>
      <c r="AL865" s="165"/>
      <c r="AM865" s="165"/>
      <c r="AN865" s="165"/>
    </row>
    <row r="866" spans="3:40">
      <c r="C866" s="46"/>
      <c r="F866" s="173"/>
      <c r="G866" s="1"/>
      <c r="H866" s="165"/>
      <c r="I866" s="160"/>
      <c r="J866" s="160"/>
      <c r="K866" s="1"/>
      <c r="L866" s="123"/>
      <c r="M866" s="1"/>
      <c r="N866" s="590"/>
      <c r="O866" s="165"/>
      <c r="P866" s="165"/>
      <c r="Q866" s="165"/>
      <c r="R866" s="165"/>
      <c r="S866" s="165"/>
      <c r="V866" s="46"/>
      <c r="W866" s="46"/>
      <c r="X866" s="1"/>
      <c r="Y866" s="1"/>
      <c r="Z866" s="173"/>
      <c r="AA866" s="1"/>
      <c r="AB866" s="165"/>
      <c r="AC866" s="1"/>
      <c r="AD866" s="1"/>
      <c r="AE866" s="1"/>
      <c r="AF866" s="46"/>
      <c r="AG866" s="1"/>
      <c r="AH866" s="165"/>
      <c r="AI866" s="165"/>
      <c r="AJ866" s="165"/>
      <c r="AK866" s="165"/>
      <c r="AL866" s="165"/>
      <c r="AM866" s="165"/>
      <c r="AN866" s="165"/>
    </row>
    <row r="867" spans="3:40">
      <c r="C867" s="46"/>
      <c r="F867" s="173"/>
      <c r="G867" s="1"/>
      <c r="H867" s="165"/>
      <c r="I867" s="160"/>
      <c r="J867" s="160"/>
      <c r="K867" s="1"/>
      <c r="L867" s="123"/>
      <c r="M867" s="1"/>
      <c r="N867" s="590"/>
      <c r="O867" s="165"/>
      <c r="P867" s="165"/>
      <c r="Q867" s="165"/>
      <c r="R867" s="165"/>
      <c r="S867" s="165"/>
      <c r="V867" s="46"/>
      <c r="W867" s="46"/>
      <c r="X867" s="1"/>
      <c r="Y867" s="1"/>
      <c r="Z867" s="173"/>
      <c r="AA867" s="1"/>
      <c r="AB867" s="165"/>
      <c r="AC867" s="1"/>
      <c r="AD867" s="1"/>
      <c r="AE867" s="1"/>
      <c r="AF867" s="46"/>
      <c r="AG867" s="1"/>
      <c r="AH867" s="165"/>
      <c r="AI867" s="165"/>
      <c r="AJ867" s="165"/>
      <c r="AK867" s="165"/>
      <c r="AL867" s="165"/>
      <c r="AM867" s="165"/>
      <c r="AN867" s="165"/>
    </row>
    <row r="868" spans="3:40">
      <c r="C868" s="46"/>
      <c r="F868" s="173"/>
      <c r="G868" s="1"/>
      <c r="H868" s="165"/>
      <c r="I868" s="160"/>
      <c r="J868" s="160"/>
      <c r="K868" s="1"/>
      <c r="L868" s="123"/>
      <c r="M868" s="1"/>
      <c r="N868" s="590"/>
      <c r="O868" s="165"/>
      <c r="P868" s="165"/>
      <c r="Q868" s="165"/>
      <c r="R868" s="165"/>
      <c r="S868" s="165"/>
      <c r="V868" s="46"/>
      <c r="W868" s="46"/>
      <c r="X868" s="1"/>
      <c r="Y868" s="1"/>
      <c r="Z868" s="173"/>
      <c r="AA868" s="1"/>
      <c r="AB868" s="165"/>
      <c r="AC868" s="1"/>
      <c r="AD868" s="1"/>
      <c r="AE868" s="1"/>
      <c r="AF868" s="46"/>
      <c r="AG868" s="1"/>
      <c r="AH868" s="165"/>
      <c r="AI868" s="165"/>
      <c r="AJ868" s="165"/>
      <c r="AK868" s="165"/>
      <c r="AL868" s="165"/>
      <c r="AM868" s="165"/>
      <c r="AN868" s="165"/>
    </row>
    <row r="869" spans="3:40">
      <c r="C869" s="46"/>
      <c r="F869" s="173"/>
      <c r="G869" s="1"/>
      <c r="H869" s="165"/>
      <c r="I869" s="160"/>
      <c r="J869" s="160"/>
      <c r="K869" s="1"/>
      <c r="L869" s="123"/>
      <c r="M869" s="1"/>
      <c r="N869" s="590"/>
      <c r="O869" s="165"/>
      <c r="P869" s="165"/>
      <c r="Q869" s="165"/>
      <c r="R869" s="165"/>
      <c r="S869" s="165"/>
      <c r="V869" s="46"/>
      <c r="W869" s="46"/>
      <c r="X869" s="1"/>
      <c r="Y869" s="1"/>
      <c r="Z869" s="173"/>
      <c r="AA869" s="1"/>
      <c r="AB869" s="165"/>
      <c r="AC869" s="1"/>
      <c r="AD869" s="1"/>
      <c r="AE869" s="1"/>
      <c r="AF869" s="46"/>
      <c r="AG869" s="1"/>
      <c r="AH869" s="165"/>
      <c r="AI869" s="165"/>
      <c r="AJ869" s="165"/>
      <c r="AK869" s="165"/>
      <c r="AL869" s="165"/>
      <c r="AM869" s="165"/>
      <c r="AN869" s="165"/>
    </row>
    <row r="870" spans="3:40">
      <c r="C870" s="46"/>
      <c r="F870" s="173"/>
      <c r="G870" s="1"/>
      <c r="H870" s="165"/>
      <c r="I870" s="160"/>
      <c r="J870" s="160"/>
      <c r="K870" s="1"/>
      <c r="L870" s="123"/>
      <c r="M870" s="1"/>
      <c r="N870" s="590"/>
      <c r="O870" s="165"/>
      <c r="P870" s="165"/>
      <c r="Q870" s="165"/>
      <c r="R870" s="165"/>
      <c r="S870" s="165"/>
      <c r="V870" s="46"/>
      <c r="W870" s="46"/>
      <c r="X870" s="1"/>
      <c r="Y870" s="1"/>
      <c r="Z870" s="173"/>
      <c r="AA870" s="1"/>
      <c r="AB870" s="165"/>
      <c r="AC870" s="1"/>
      <c r="AD870" s="1"/>
      <c r="AE870" s="1"/>
      <c r="AF870" s="46"/>
      <c r="AG870" s="1"/>
      <c r="AH870" s="165"/>
      <c r="AI870" s="165"/>
      <c r="AJ870" s="165"/>
      <c r="AK870" s="165"/>
      <c r="AL870" s="165"/>
      <c r="AM870" s="165"/>
      <c r="AN870" s="165"/>
    </row>
    <row r="871" spans="3:40">
      <c r="C871" s="46"/>
      <c r="F871" s="173"/>
      <c r="G871" s="1"/>
      <c r="H871" s="165"/>
      <c r="I871" s="160"/>
      <c r="J871" s="160"/>
      <c r="K871" s="1"/>
      <c r="L871" s="123"/>
      <c r="M871" s="1"/>
      <c r="N871" s="590"/>
      <c r="O871" s="165"/>
      <c r="P871" s="165"/>
      <c r="Q871" s="165"/>
      <c r="R871" s="165"/>
      <c r="S871" s="165"/>
      <c r="V871" s="46"/>
      <c r="W871" s="46"/>
      <c r="X871" s="1"/>
      <c r="Y871" s="1"/>
      <c r="Z871" s="173"/>
      <c r="AA871" s="1"/>
      <c r="AB871" s="165"/>
      <c r="AC871" s="1"/>
      <c r="AD871" s="1"/>
      <c r="AE871" s="1"/>
      <c r="AF871" s="46"/>
      <c r="AG871" s="1"/>
      <c r="AH871" s="165"/>
      <c r="AI871" s="165"/>
      <c r="AJ871" s="165"/>
      <c r="AK871" s="165"/>
      <c r="AL871" s="165"/>
      <c r="AM871" s="165"/>
      <c r="AN871" s="165"/>
    </row>
    <row r="872" spans="3:40">
      <c r="C872" s="46"/>
      <c r="F872" s="173"/>
      <c r="G872" s="1"/>
      <c r="H872" s="165"/>
      <c r="I872" s="160"/>
      <c r="J872" s="160"/>
      <c r="K872" s="1"/>
      <c r="L872" s="123"/>
      <c r="M872" s="1"/>
      <c r="N872" s="590"/>
      <c r="O872" s="165"/>
      <c r="P872" s="165"/>
      <c r="Q872" s="165"/>
      <c r="R872" s="165"/>
      <c r="S872" s="165"/>
      <c r="V872" s="46"/>
      <c r="W872" s="46"/>
      <c r="X872" s="1"/>
      <c r="Y872" s="1"/>
      <c r="Z872" s="173"/>
      <c r="AA872" s="1"/>
      <c r="AB872" s="165"/>
      <c r="AC872" s="1"/>
      <c r="AD872" s="1"/>
      <c r="AE872" s="1"/>
      <c r="AF872" s="46"/>
      <c r="AG872" s="1"/>
      <c r="AH872" s="165"/>
      <c r="AI872" s="165"/>
      <c r="AJ872" s="165"/>
      <c r="AK872" s="165"/>
      <c r="AL872" s="165"/>
      <c r="AM872" s="165"/>
      <c r="AN872" s="165"/>
    </row>
    <row r="873" spans="3:40">
      <c r="C873" s="46"/>
      <c r="F873" s="173"/>
      <c r="G873" s="1"/>
      <c r="H873" s="165"/>
      <c r="I873" s="160"/>
      <c r="J873" s="160"/>
      <c r="K873" s="1"/>
      <c r="L873" s="123"/>
      <c r="M873" s="1"/>
      <c r="N873" s="590"/>
      <c r="O873" s="165"/>
      <c r="P873" s="165"/>
      <c r="Q873" s="165"/>
      <c r="R873" s="165"/>
      <c r="S873" s="165"/>
      <c r="V873" s="46"/>
      <c r="W873" s="46"/>
      <c r="X873" s="1"/>
      <c r="Y873" s="1"/>
      <c r="Z873" s="173"/>
      <c r="AA873" s="1"/>
      <c r="AB873" s="165"/>
      <c r="AC873" s="1"/>
      <c r="AD873" s="1"/>
      <c r="AE873" s="1"/>
      <c r="AF873" s="46"/>
      <c r="AG873" s="1"/>
      <c r="AH873" s="165"/>
      <c r="AI873" s="165"/>
      <c r="AJ873" s="165"/>
      <c r="AK873" s="165"/>
      <c r="AL873" s="165"/>
      <c r="AM873" s="165"/>
      <c r="AN873" s="165"/>
    </row>
    <row r="874" spans="3:40">
      <c r="C874" s="46"/>
      <c r="F874" s="173"/>
      <c r="G874" s="1"/>
      <c r="H874" s="165"/>
      <c r="I874" s="160"/>
      <c r="J874" s="160"/>
      <c r="K874" s="1"/>
      <c r="L874" s="123"/>
      <c r="M874" s="1"/>
      <c r="N874" s="590"/>
      <c r="O874" s="165"/>
      <c r="P874" s="165"/>
      <c r="Q874" s="165"/>
      <c r="R874" s="165"/>
      <c r="S874" s="165"/>
      <c r="V874" s="46"/>
      <c r="W874" s="46"/>
      <c r="X874" s="1"/>
      <c r="Y874" s="1"/>
      <c r="Z874" s="173"/>
      <c r="AA874" s="1"/>
      <c r="AB874" s="165"/>
      <c r="AC874" s="1"/>
      <c r="AD874" s="1"/>
      <c r="AE874" s="1"/>
      <c r="AF874" s="46"/>
      <c r="AG874" s="1"/>
      <c r="AH874" s="165"/>
      <c r="AI874" s="165"/>
      <c r="AJ874" s="165"/>
      <c r="AK874" s="165"/>
      <c r="AL874" s="165"/>
      <c r="AM874" s="165"/>
      <c r="AN874" s="165"/>
    </row>
    <row r="875" spans="3:40">
      <c r="C875" s="46"/>
      <c r="F875" s="173"/>
      <c r="G875" s="1"/>
      <c r="H875" s="165"/>
      <c r="I875" s="160"/>
      <c r="J875" s="160"/>
      <c r="K875" s="1"/>
      <c r="L875" s="123"/>
      <c r="M875" s="1"/>
      <c r="N875" s="590"/>
      <c r="O875" s="165"/>
      <c r="P875" s="165"/>
      <c r="Q875" s="165"/>
      <c r="R875" s="165"/>
      <c r="S875" s="165"/>
      <c r="V875" s="46"/>
      <c r="W875" s="46"/>
      <c r="X875" s="1"/>
      <c r="Y875" s="1"/>
      <c r="Z875" s="173"/>
      <c r="AA875" s="1"/>
      <c r="AB875" s="165"/>
      <c r="AC875" s="1"/>
      <c r="AD875" s="1"/>
      <c r="AE875" s="1"/>
      <c r="AF875" s="46"/>
      <c r="AG875" s="1"/>
      <c r="AH875" s="165"/>
      <c r="AI875" s="165"/>
      <c r="AJ875" s="165"/>
      <c r="AK875" s="165"/>
      <c r="AL875" s="165"/>
      <c r="AM875" s="165"/>
      <c r="AN875" s="165"/>
    </row>
    <row r="876" spans="3:40">
      <c r="C876" s="46"/>
      <c r="F876" s="173"/>
      <c r="G876" s="1"/>
      <c r="H876" s="165"/>
      <c r="I876" s="160"/>
      <c r="J876" s="160"/>
      <c r="K876" s="1"/>
      <c r="L876" s="123"/>
      <c r="M876" s="1"/>
      <c r="N876" s="590"/>
      <c r="O876" s="165"/>
      <c r="P876" s="165"/>
      <c r="Q876" s="165"/>
      <c r="R876" s="165"/>
      <c r="S876" s="165"/>
      <c r="V876" s="46"/>
      <c r="W876" s="46"/>
      <c r="X876" s="1"/>
      <c r="Y876" s="1"/>
      <c r="Z876" s="173"/>
      <c r="AA876" s="1"/>
      <c r="AB876" s="165"/>
      <c r="AC876" s="1"/>
      <c r="AD876" s="1"/>
      <c r="AE876" s="1"/>
      <c r="AF876" s="46"/>
      <c r="AG876" s="1"/>
      <c r="AH876" s="165"/>
      <c r="AI876" s="165"/>
      <c r="AJ876" s="165"/>
      <c r="AK876" s="165"/>
      <c r="AL876" s="165"/>
      <c r="AM876" s="165"/>
      <c r="AN876" s="165"/>
    </row>
    <row r="877" spans="3:40">
      <c r="C877" s="46"/>
      <c r="F877" s="173"/>
      <c r="G877" s="1"/>
      <c r="H877" s="165"/>
      <c r="I877" s="160"/>
      <c r="J877" s="160"/>
      <c r="K877" s="1"/>
      <c r="L877" s="123"/>
      <c r="M877" s="1"/>
      <c r="N877" s="590"/>
      <c r="O877" s="165"/>
      <c r="P877" s="165"/>
      <c r="Q877" s="165"/>
      <c r="R877" s="165"/>
      <c r="S877" s="165"/>
      <c r="V877" s="46"/>
      <c r="W877" s="46"/>
      <c r="X877" s="1"/>
      <c r="Y877" s="1"/>
      <c r="Z877" s="173"/>
      <c r="AA877" s="1"/>
      <c r="AB877" s="165"/>
      <c r="AC877" s="1"/>
      <c r="AD877" s="1"/>
      <c r="AE877" s="1"/>
      <c r="AF877" s="46"/>
      <c r="AG877" s="1"/>
      <c r="AH877" s="165"/>
      <c r="AI877" s="165"/>
      <c r="AJ877" s="165"/>
      <c r="AK877" s="165"/>
      <c r="AL877" s="165"/>
      <c r="AM877" s="165"/>
      <c r="AN877" s="165"/>
    </row>
    <row r="878" spans="3:40">
      <c r="C878" s="46"/>
      <c r="F878" s="173"/>
      <c r="G878" s="1"/>
      <c r="H878" s="165"/>
      <c r="I878" s="160"/>
      <c r="J878" s="160"/>
      <c r="K878" s="1"/>
      <c r="L878" s="123"/>
      <c r="M878" s="1"/>
      <c r="N878" s="590"/>
      <c r="O878" s="165"/>
      <c r="P878" s="165"/>
      <c r="Q878" s="165"/>
      <c r="R878" s="165"/>
      <c r="S878" s="165"/>
      <c r="V878" s="46"/>
      <c r="W878" s="46"/>
      <c r="X878" s="1"/>
      <c r="Y878" s="1"/>
      <c r="Z878" s="173"/>
      <c r="AA878" s="1"/>
      <c r="AB878" s="165"/>
      <c r="AC878" s="1"/>
      <c r="AD878" s="1"/>
      <c r="AE878" s="1"/>
      <c r="AF878" s="46"/>
      <c r="AG878" s="1"/>
      <c r="AH878" s="165"/>
      <c r="AI878" s="165"/>
      <c r="AJ878" s="165"/>
      <c r="AK878" s="165"/>
      <c r="AL878" s="165"/>
      <c r="AM878" s="165"/>
      <c r="AN878" s="165"/>
    </row>
    <row r="879" spans="3:40">
      <c r="C879" s="46"/>
      <c r="F879" s="173"/>
      <c r="G879" s="1"/>
      <c r="H879" s="165"/>
      <c r="I879" s="160"/>
      <c r="J879" s="160"/>
      <c r="K879" s="1"/>
      <c r="L879" s="123"/>
      <c r="M879" s="1"/>
      <c r="N879" s="590"/>
      <c r="O879" s="165"/>
      <c r="P879" s="165"/>
      <c r="Q879" s="165"/>
      <c r="R879" s="165"/>
      <c r="S879" s="165"/>
      <c r="V879" s="46"/>
      <c r="W879" s="46"/>
      <c r="X879" s="1"/>
      <c r="Y879" s="1"/>
      <c r="Z879" s="173"/>
      <c r="AA879" s="1"/>
      <c r="AB879" s="165"/>
      <c r="AC879" s="1"/>
      <c r="AD879" s="1"/>
      <c r="AE879" s="1"/>
      <c r="AF879" s="46"/>
      <c r="AG879" s="1"/>
      <c r="AH879" s="165"/>
      <c r="AI879" s="165"/>
      <c r="AJ879" s="165"/>
      <c r="AK879" s="165"/>
      <c r="AL879" s="165"/>
      <c r="AM879" s="165"/>
      <c r="AN879" s="165"/>
    </row>
    <row r="880" spans="3:40">
      <c r="C880" s="46"/>
      <c r="F880" s="173"/>
      <c r="G880" s="1"/>
      <c r="H880" s="165"/>
      <c r="I880" s="160"/>
      <c r="J880" s="160"/>
      <c r="K880" s="1"/>
      <c r="L880" s="123"/>
      <c r="M880" s="1"/>
      <c r="N880" s="590"/>
      <c r="O880" s="165"/>
      <c r="P880" s="165"/>
      <c r="Q880" s="165"/>
      <c r="R880" s="165"/>
      <c r="S880" s="165"/>
      <c r="V880" s="46"/>
      <c r="W880" s="46"/>
      <c r="X880" s="1"/>
      <c r="Y880" s="1"/>
      <c r="Z880" s="173"/>
      <c r="AA880" s="1"/>
      <c r="AB880" s="165"/>
      <c r="AC880" s="1"/>
      <c r="AD880" s="1"/>
      <c r="AE880" s="1"/>
      <c r="AF880" s="46"/>
      <c r="AG880" s="1"/>
      <c r="AH880" s="165"/>
      <c r="AI880" s="165"/>
      <c r="AJ880" s="165"/>
      <c r="AK880" s="165"/>
      <c r="AL880" s="165"/>
      <c r="AM880" s="165"/>
      <c r="AN880" s="165"/>
    </row>
    <row r="881" spans="3:40">
      <c r="C881" s="46"/>
      <c r="F881" s="173"/>
      <c r="G881" s="1"/>
      <c r="H881" s="165"/>
      <c r="I881" s="160"/>
      <c r="J881" s="160"/>
      <c r="K881" s="1"/>
      <c r="L881" s="123"/>
      <c r="M881" s="1"/>
      <c r="N881" s="590"/>
      <c r="O881" s="165"/>
      <c r="P881" s="165"/>
      <c r="Q881" s="165"/>
      <c r="R881" s="165"/>
      <c r="S881" s="165"/>
      <c r="V881" s="46"/>
      <c r="W881" s="46"/>
      <c r="X881" s="1"/>
      <c r="Y881" s="1"/>
      <c r="Z881" s="173"/>
      <c r="AA881" s="1"/>
      <c r="AB881" s="165"/>
      <c r="AC881" s="1"/>
      <c r="AD881" s="1"/>
      <c r="AE881" s="1"/>
      <c r="AF881" s="46"/>
      <c r="AG881" s="1"/>
      <c r="AH881" s="165"/>
      <c r="AI881" s="165"/>
      <c r="AJ881" s="165"/>
      <c r="AK881" s="165"/>
      <c r="AL881" s="165"/>
      <c r="AM881" s="165"/>
      <c r="AN881" s="165"/>
    </row>
    <row r="882" spans="3:40">
      <c r="C882" s="46"/>
      <c r="F882" s="173"/>
      <c r="G882" s="1"/>
      <c r="H882" s="165"/>
      <c r="I882" s="160"/>
      <c r="J882" s="160"/>
      <c r="K882" s="1"/>
      <c r="L882" s="123"/>
      <c r="M882" s="1"/>
      <c r="N882" s="590"/>
      <c r="O882" s="165"/>
      <c r="P882" s="165"/>
      <c r="Q882" s="165"/>
      <c r="R882" s="165"/>
      <c r="S882" s="165"/>
      <c r="V882" s="46"/>
      <c r="W882" s="46"/>
      <c r="X882" s="1"/>
      <c r="Y882" s="1"/>
      <c r="Z882" s="173"/>
      <c r="AA882" s="1"/>
      <c r="AB882" s="165"/>
      <c r="AC882" s="1"/>
      <c r="AD882" s="1"/>
      <c r="AE882" s="1"/>
      <c r="AF882" s="46"/>
      <c r="AG882" s="1"/>
      <c r="AH882" s="165"/>
      <c r="AI882" s="165"/>
      <c r="AJ882" s="165"/>
      <c r="AK882" s="165"/>
      <c r="AL882" s="165"/>
      <c r="AM882" s="165"/>
      <c r="AN882" s="165"/>
    </row>
    <row r="883" spans="3:40">
      <c r="C883" s="46"/>
      <c r="F883" s="173"/>
      <c r="G883" s="1"/>
      <c r="H883" s="165"/>
      <c r="I883" s="160"/>
      <c r="J883" s="160"/>
      <c r="K883" s="1"/>
      <c r="L883" s="123"/>
      <c r="M883" s="1"/>
      <c r="N883" s="590"/>
      <c r="O883" s="165"/>
      <c r="P883" s="165"/>
      <c r="Q883" s="165"/>
      <c r="R883" s="165"/>
      <c r="S883" s="165"/>
      <c r="V883" s="46"/>
      <c r="W883" s="46"/>
      <c r="X883" s="1"/>
      <c r="Y883" s="1"/>
      <c r="Z883" s="173"/>
      <c r="AA883" s="1"/>
      <c r="AB883" s="165"/>
      <c r="AC883" s="1"/>
      <c r="AD883" s="1"/>
      <c r="AE883" s="1"/>
      <c r="AF883" s="46"/>
      <c r="AG883" s="1"/>
      <c r="AH883" s="165"/>
      <c r="AI883" s="165"/>
      <c r="AJ883" s="165"/>
      <c r="AK883" s="165"/>
      <c r="AL883" s="165"/>
      <c r="AM883" s="165"/>
      <c r="AN883" s="165"/>
    </row>
    <row r="884" spans="3:40">
      <c r="C884" s="46"/>
      <c r="F884" s="173"/>
      <c r="G884" s="1"/>
      <c r="H884" s="165"/>
      <c r="I884" s="160"/>
      <c r="J884" s="160"/>
      <c r="K884" s="1"/>
      <c r="L884" s="123"/>
      <c r="M884" s="1"/>
      <c r="N884" s="590"/>
      <c r="O884" s="165"/>
      <c r="P884" s="165"/>
      <c r="Q884" s="165"/>
      <c r="R884" s="165"/>
      <c r="S884" s="165"/>
      <c r="V884" s="46"/>
      <c r="W884" s="46"/>
      <c r="X884" s="1"/>
      <c r="Y884" s="1"/>
      <c r="Z884" s="173"/>
      <c r="AA884" s="1"/>
      <c r="AB884" s="165"/>
      <c r="AC884" s="1"/>
      <c r="AD884" s="1"/>
      <c r="AE884" s="1"/>
      <c r="AF884" s="46"/>
      <c r="AG884" s="1"/>
      <c r="AH884" s="165"/>
      <c r="AI884" s="165"/>
      <c r="AJ884" s="165"/>
      <c r="AK884" s="165"/>
      <c r="AL884" s="165"/>
      <c r="AM884" s="165"/>
      <c r="AN884" s="165"/>
    </row>
    <row r="885" spans="3:40">
      <c r="C885" s="46"/>
      <c r="F885" s="173"/>
      <c r="G885" s="1"/>
      <c r="H885" s="165"/>
      <c r="I885" s="160"/>
      <c r="J885" s="160"/>
      <c r="K885" s="1"/>
      <c r="L885" s="123"/>
      <c r="M885" s="1"/>
      <c r="N885" s="590"/>
      <c r="O885" s="165"/>
      <c r="P885" s="165"/>
      <c r="Q885" s="165"/>
      <c r="R885" s="165"/>
      <c r="S885" s="165"/>
      <c r="V885" s="46"/>
      <c r="W885" s="46"/>
      <c r="X885" s="1"/>
      <c r="Y885" s="1"/>
      <c r="Z885" s="173"/>
      <c r="AA885" s="1"/>
      <c r="AB885" s="165"/>
      <c r="AC885" s="1"/>
      <c r="AD885" s="1"/>
      <c r="AE885" s="1"/>
      <c r="AF885" s="46"/>
      <c r="AG885" s="1"/>
      <c r="AH885" s="165"/>
      <c r="AI885" s="165"/>
      <c r="AJ885" s="165"/>
      <c r="AK885" s="165"/>
      <c r="AL885" s="165"/>
      <c r="AM885" s="165"/>
      <c r="AN885" s="165"/>
    </row>
    <row r="886" spans="3:40">
      <c r="C886" s="46"/>
      <c r="F886" s="173"/>
      <c r="G886" s="1"/>
      <c r="H886" s="165"/>
      <c r="I886" s="160"/>
      <c r="J886" s="160"/>
      <c r="K886" s="1"/>
      <c r="L886" s="123"/>
      <c r="M886" s="1"/>
      <c r="N886" s="590"/>
      <c r="O886" s="165"/>
      <c r="P886" s="165"/>
      <c r="Q886" s="165"/>
      <c r="R886" s="165"/>
      <c r="S886" s="165"/>
      <c r="V886" s="46"/>
      <c r="W886" s="46"/>
      <c r="X886" s="1"/>
      <c r="Y886" s="1"/>
      <c r="Z886" s="173"/>
      <c r="AA886" s="1"/>
      <c r="AB886" s="165"/>
      <c r="AC886" s="1"/>
      <c r="AD886" s="1"/>
      <c r="AE886" s="1"/>
      <c r="AF886" s="46"/>
      <c r="AG886" s="1"/>
      <c r="AH886" s="165"/>
      <c r="AI886" s="165"/>
      <c r="AJ886" s="165"/>
      <c r="AK886" s="165"/>
      <c r="AL886" s="165"/>
      <c r="AM886" s="165"/>
      <c r="AN886" s="165"/>
    </row>
    <row r="887" spans="3:40">
      <c r="C887" s="46"/>
      <c r="F887" s="173"/>
      <c r="G887" s="1"/>
      <c r="H887" s="165"/>
      <c r="I887" s="160"/>
      <c r="J887" s="160"/>
      <c r="K887" s="1"/>
      <c r="L887" s="123"/>
      <c r="M887" s="1"/>
      <c r="N887" s="590"/>
      <c r="O887" s="165"/>
      <c r="P887" s="165"/>
      <c r="Q887" s="165"/>
      <c r="R887" s="165"/>
      <c r="S887" s="165"/>
      <c r="V887" s="46"/>
      <c r="W887" s="46"/>
      <c r="X887" s="1"/>
      <c r="Y887" s="1"/>
      <c r="Z887" s="173"/>
      <c r="AA887" s="1"/>
      <c r="AB887" s="165"/>
      <c r="AC887" s="1"/>
      <c r="AD887" s="1"/>
      <c r="AE887" s="1"/>
      <c r="AF887" s="46"/>
      <c r="AG887" s="1"/>
      <c r="AH887" s="165"/>
      <c r="AI887" s="165"/>
      <c r="AJ887" s="165"/>
      <c r="AK887" s="165"/>
      <c r="AL887" s="165"/>
      <c r="AM887" s="165"/>
      <c r="AN887" s="165"/>
    </row>
    <row r="888" spans="3:40">
      <c r="C888" s="46"/>
      <c r="F888" s="173"/>
      <c r="G888" s="1"/>
      <c r="H888" s="165"/>
      <c r="I888" s="160"/>
      <c r="J888" s="160"/>
      <c r="K888" s="1"/>
      <c r="L888" s="123"/>
      <c r="M888" s="1"/>
      <c r="N888" s="590"/>
      <c r="O888" s="165"/>
      <c r="P888" s="165"/>
      <c r="Q888" s="165"/>
      <c r="R888" s="165"/>
      <c r="S888" s="165"/>
      <c r="V888" s="46"/>
      <c r="W888" s="46"/>
      <c r="X888" s="1"/>
      <c r="Y888" s="1"/>
      <c r="Z888" s="173"/>
      <c r="AA888" s="1"/>
      <c r="AB888" s="165"/>
      <c r="AC888" s="1"/>
      <c r="AD888" s="1"/>
      <c r="AE888" s="1"/>
      <c r="AF888" s="46"/>
      <c r="AG888" s="1"/>
      <c r="AH888" s="165"/>
      <c r="AI888" s="165"/>
      <c r="AJ888" s="165"/>
      <c r="AK888" s="165"/>
      <c r="AL888" s="165"/>
      <c r="AM888" s="165"/>
      <c r="AN888" s="165"/>
    </row>
    <row r="889" spans="3:40">
      <c r="C889" s="46"/>
      <c r="F889" s="173"/>
      <c r="G889" s="1"/>
      <c r="H889" s="165"/>
      <c r="I889" s="160"/>
      <c r="J889" s="160"/>
      <c r="K889" s="1"/>
      <c r="L889" s="123"/>
      <c r="M889" s="1"/>
      <c r="N889" s="590"/>
      <c r="O889" s="165"/>
      <c r="P889" s="165"/>
      <c r="Q889" s="165"/>
      <c r="R889" s="165"/>
      <c r="S889" s="165"/>
      <c r="V889" s="46"/>
      <c r="W889" s="46"/>
      <c r="X889" s="1"/>
      <c r="Y889" s="1"/>
      <c r="Z889" s="173"/>
      <c r="AA889" s="1"/>
      <c r="AB889" s="165"/>
      <c r="AC889" s="1"/>
      <c r="AD889" s="1"/>
      <c r="AE889" s="1"/>
      <c r="AF889" s="46"/>
      <c r="AG889" s="1"/>
      <c r="AH889" s="165"/>
      <c r="AI889" s="165"/>
      <c r="AJ889" s="165"/>
      <c r="AK889" s="165"/>
      <c r="AL889" s="165"/>
      <c r="AM889" s="165"/>
      <c r="AN889" s="165"/>
    </row>
    <row r="890" spans="3:40">
      <c r="C890" s="46"/>
      <c r="F890" s="173"/>
      <c r="G890" s="1"/>
      <c r="H890" s="165"/>
      <c r="I890" s="160"/>
      <c r="J890" s="160"/>
      <c r="K890" s="1"/>
      <c r="L890" s="123"/>
      <c r="M890" s="1"/>
      <c r="N890" s="590"/>
      <c r="O890" s="165"/>
      <c r="P890" s="165"/>
      <c r="Q890" s="165"/>
      <c r="R890" s="165"/>
      <c r="S890" s="165"/>
      <c r="V890" s="46"/>
      <c r="W890" s="46"/>
      <c r="X890" s="1"/>
      <c r="Y890" s="1"/>
      <c r="Z890" s="173"/>
      <c r="AA890" s="1"/>
      <c r="AB890" s="165"/>
      <c r="AC890" s="1"/>
      <c r="AD890" s="1"/>
      <c r="AE890" s="1"/>
      <c r="AF890" s="46"/>
      <c r="AG890" s="1"/>
      <c r="AH890" s="165"/>
      <c r="AI890" s="165"/>
      <c r="AJ890" s="165"/>
      <c r="AK890" s="165"/>
      <c r="AL890" s="165"/>
      <c r="AM890" s="165"/>
      <c r="AN890" s="165"/>
    </row>
    <row r="891" spans="3:40">
      <c r="C891" s="46"/>
      <c r="F891" s="173"/>
      <c r="G891" s="1"/>
      <c r="H891" s="165"/>
      <c r="I891" s="160"/>
      <c r="J891" s="160"/>
      <c r="K891" s="1"/>
      <c r="L891" s="123"/>
      <c r="M891" s="1"/>
      <c r="N891" s="590"/>
      <c r="O891" s="165"/>
      <c r="P891" s="165"/>
      <c r="Q891" s="165"/>
      <c r="R891" s="165"/>
      <c r="S891" s="165"/>
      <c r="V891" s="46"/>
      <c r="W891" s="46"/>
      <c r="X891" s="1"/>
      <c r="Y891" s="1"/>
      <c r="Z891" s="173"/>
      <c r="AA891" s="1"/>
      <c r="AB891" s="165"/>
      <c r="AC891" s="1"/>
      <c r="AD891" s="1"/>
      <c r="AE891" s="1"/>
      <c r="AF891" s="46"/>
      <c r="AG891" s="1"/>
      <c r="AH891" s="165"/>
      <c r="AI891" s="165"/>
      <c r="AJ891" s="165"/>
      <c r="AK891" s="165"/>
      <c r="AL891" s="165"/>
      <c r="AM891" s="165"/>
      <c r="AN891" s="165"/>
    </row>
    <row r="892" spans="3:40">
      <c r="C892" s="46"/>
      <c r="F892" s="173"/>
      <c r="G892" s="1"/>
      <c r="H892" s="165"/>
      <c r="I892" s="160"/>
      <c r="J892" s="160"/>
      <c r="K892" s="1"/>
      <c r="L892" s="123"/>
      <c r="M892" s="1"/>
      <c r="N892" s="590"/>
      <c r="O892" s="165"/>
      <c r="P892" s="165"/>
      <c r="Q892" s="165"/>
      <c r="R892" s="165"/>
      <c r="S892" s="165"/>
      <c r="V892" s="46"/>
      <c r="W892" s="46"/>
      <c r="X892" s="1"/>
      <c r="Y892" s="1"/>
      <c r="Z892" s="173"/>
      <c r="AA892" s="1"/>
      <c r="AB892" s="165"/>
      <c r="AC892" s="1"/>
      <c r="AD892" s="1"/>
      <c r="AE892" s="1"/>
      <c r="AF892" s="46"/>
      <c r="AG892" s="1"/>
      <c r="AH892" s="165"/>
      <c r="AI892" s="165"/>
      <c r="AJ892" s="165"/>
      <c r="AK892" s="165"/>
      <c r="AL892" s="165"/>
      <c r="AM892" s="165"/>
      <c r="AN892" s="165"/>
    </row>
    <row r="893" spans="3:40">
      <c r="C893" s="46"/>
      <c r="F893" s="173"/>
      <c r="G893" s="1"/>
      <c r="H893" s="165"/>
      <c r="I893" s="160"/>
      <c r="J893" s="160"/>
      <c r="K893" s="1"/>
      <c r="L893" s="123"/>
      <c r="M893" s="1"/>
      <c r="N893" s="590"/>
      <c r="O893" s="165"/>
      <c r="P893" s="165"/>
      <c r="Q893" s="165"/>
      <c r="R893" s="165"/>
      <c r="S893" s="165"/>
      <c r="V893" s="46"/>
      <c r="W893" s="46"/>
      <c r="X893" s="1"/>
      <c r="Y893" s="1"/>
      <c r="Z893" s="173"/>
      <c r="AA893" s="1"/>
      <c r="AB893" s="165"/>
      <c r="AC893" s="1"/>
      <c r="AD893" s="1"/>
      <c r="AE893" s="1"/>
      <c r="AF893" s="46"/>
      <c r="AG893" s="1"/>
      <c r="AH893" s="165"/>
      <c r="AI893" s="165"/>
      <c r="AJ893" s="165"/>
      <c r="AK893" s="165"/>
      <c r="AL893" s="165"/>
      <c r="AM893" s="165"/>
      <c r="AN893" s="165"/>
    </row>
    <row r="894" spans="3:40">
      <c r="C894" s="46"/>
      <c r="F894" s="173"/>
      <c r="G894" s="1"/>
      <c r="H894" s="165"/>
      <c r="I894" s="160"/>
      <c r="J894" s="160"/>
      <c r="K894" s="1"/>
      <c r="L894" s="123"/>
      <c r="M894" s="1"/>
      <c r="N894" s="590"/>
      <c r="O894" s="165"/>
      <c r="P894" s="165"/>
      <c r="Q894" s="165"/>
      <c r="R894" s="165"/>
      <c r="S894" s="165"/>
      <c r="V894" s="46"/>
      <c r="W894" s="46"/>
      <c r="X894" s="1"/>
      <c r="Y894" s="1"/>
      <c r="Z894" s="173"/>
      <c r="AA894" s="1"/>
      <c r="AB894" s="165"/>
      <c r="AC894" s="1"/>
      <c r="AD894" s="1"/>
      <c r="AE894" s="1"/>
      <c r="AF894" s="46"/>
      <c r="AG894" s="1"/>
      <c r="AH894" s="165"/>
      <c r="AI894" s="165"/>
      <c r="AJ894" s="165"/>
      <c r="AK894" s="165"/>
      <c r="AL894" s="165"/>
      <c r="AM894" s="165"/>
      <c r="AN894" s="165"/>
    </row>
    <row r="895" spans="3:40">
      <c r="C895" s="46"/>
      <c r="F895" s="173"/>
      <c r="G895" s="1"/>
      <c r="H895" s="165"/>
      <c r="I895" s="160"/>
      <c r="J895" s="160"/>
      <c r="K895" s="1"/>
      <c r="L895" s="123"/>
      <c r="M895" s="1"/>
      <c r="N895" s="590"/>
      <c r="O895" s="165"/>
      <c r="P895" s="165"/>
      <c r="Q895" s="165"/>
      <c r="R895" s="165"/>
      <c r="S895" s="165"/>
      <c r="V895" s="46"/>
      <c r="W895" s="46"/>
      <c r="X895" s="1"/>
      <c r="Y895" s="1"/>
      <c r="Z895" s="173"/>
      <c r="AA895" s="1"/>
      <c r="AB895" s="165"/>
      <c r="AC895" s="1"/>
      <c r="AD895" s="1"/>
      <c r="AE895" s="1"/>
      <c r="AF895" s="46"/>
      <c r="AG895" s="1"/>
      <c r="AH895" s="165"/>
      <c r="AI895" s="165"/>
      <c r="AJ895" s="165"/>
      <c r="AK895" s="165"/>
      <c r="AL895" s="165"/>
      <c r="AM895" s="165"/>
      <c r="AN895" s="165"/>
    </row>
    <row r="896" spans="3:40">
      <c r="C896" s="46"/>
      <c r="F896" s="173"/>
      <c r="G896" s="1"/>
      <c r="H896" s="165"/>
      <c r="I896" s="160"/>
      <c r="J896" s="160"/>
      <c r="K896" s="1"/>
      <c r="L896" s="123"/>
      <c r="M896" s="1"/>
      <c r="N896" s="590"/>
      <c r="O896" s="165"/>
      <c r="P896" s="165"/>
      <c r="Q896" s="165"/>
      <c r="R896" s="165"/>
      <c r="S896" s="165"/>
      <c r="V896" s="46"/>
      <c r="W896" s="46"/>
      <c r="X896" s="1"/>
      <c r="Y896" s="1"/>
      <c r="Z896" s="173"/>
      <c r="AA896" s="1"/>
      <c r="AB896" s="165"/>
      <c r="AC896" s="1"/>
      <c r="AD896" s="1"/>
      <c r="AE896" s="1"/>
      <c r="AF896" s="46"/>
      <c r="AG896" s="1"/>
      <c r="AH896" s="165"/>
      <c r="AI896" s="165"/>
      <c r="AJ896" s="165"/>
      <c r="AK896" s="165"/>
      <c r="AL896" s="165"/>
      <c r="AM896" s="165"/>
      <c r="AN896" s="165"/>
    </row>
    <row r="897" spans="3:40">
      <c r="C897" s="46"/>
      <c r="F897" s="173"/>
      <c r="G897" s="1"/>
      <c r="H897" s="165"/>
      <c r="I897" s="160"/>
      <c r="J897" s="160"/>
      <c r="K897" s="1"/>
      <c r="L897" s="123"/>
      <c r="M897" s="1"/>
      <c r="N897" s="590"/>
      <c r="O897" s="165"/>
      <c r="P897" s="165"/>
      <c r="Q897" s="165"/>
      <c r="R897" s="165"/>
      <c r="S897" s="165"/>
      <c r="V897" s="46"/>
      <c r="W897" s="46"/>
      <c r="X897" s="1"/>
      <c r="Y897" s="1"/>
      <c r="Z897" s="173"/>
      <c r="AA897" s="1"/>
      <c r="AB897" s="165"/>
      <c r="AC897" s="1"/>
      <c r="AD897" s="1"/>
      <c r="AE897" s="1"/>
      <c r="AF897" s="46"/>
      <c r="AG897" s="1"/>
      <c r="AH897" s="165"/>
      <c r="AI897" s="165"/>
      <c r="AJ897" s="165"/>
      <c r="AK897" s="165"/>
      <c r="AL897" s="165"/>
      <c r="AM897" s="165"/>
      <c r="AN897" s="165"/>
    </row>
    <row r="898" spans="3:40">
      <c r="C898" s="46"/>
      <c r="F898" s="173"/>
      <c r="G898" s="1"/>
      <c r="H898" s="165"/>
      <c r="I898" s="160"/>
      <c r="J898" s="160"/>
      <c r="K898" s="1"/>
      <c r="L898" s="123"/>
      <c r="M898" s="1"/>
      <c r="N898" s="590"/>
      <c r="O898" s="165"/>
      <c r="P898" s="165"/>
      <c r="Q898" s="165"/>
      <c r="R898" s="165"/>
      <c r="S898" s="165"/>
      <c r="V898" s="46"/>
      <c r="W898" s="46"/>
      <c r="X898" s="1"/>
      <c r="Y898" s="1"/>
      <c r="Z898" s="173"/>
      <c r="AA898" s="1"/>
      <c r="AB898" s="165"/>
      <c r="AC898" s="1"/>
      <c r="AD898" s="1"/>
      <c r="AE898" s="1"/>
      <c r="AF898" s="46"/>
      <c r="AG898" s="1"/>
      <c r="AH898" s="165"/>
      <c r="AI898" s="165"/>
      <c r="AJ898" s="165"/>
      <c r="AK898" s="165"/>
      <c r="AL898" s="165"/>
      <c r="AM898" s="165"/>
      <c r="AN898" s="165"/>
    </row>
    <row r="899" spans="3:40">
      <c r="C899" s="46"/>
      <c r="F899" s="173"/>
      <c r="G899" s="1"/>
      <c r="H899" s="165"/>
      <c r="I899" s="160"/>
      <c r="J899" s="160"/>
      <c r="K899" s="1"/>
      <c r="L899" s="123"/>
      <c r="M899" s="1"/>
      <c r="N899" s="590"/>
      <c r="O899" s="165"/>
      <c r="P899" s="165"/>
      <c r="Q899" s="165"/>
      <c r="R899" s="165"/>
      <c r="S899" s="165"/>
      <c r="V899" s="46"/>
      <c r="W899" s="46"/>
      <c r="X899" s="1"/>
      <c r="Y899" s="1"/>
      <c r="Z899" s="173"/>
      <c r="AA899" s="1"/>
      <c r="AB899" s="165"/>
      <c r="AC899" s="1"/>
      <c r="AD899" s="1"/>
      <c r="AE899" s="1"/>
      <c r="AF899" s="46"/>
      <c r="AG899" s="1"/>
      <c r="AH899" s="165"/>
      <c r="AI899" s="165"/>
      <c r="AJ899" s="165"/>
      <c r="AK899" s="165"/>
      <c r="AL899" s="165"/>
      <c r="AM899" s="165"/>
      <c r="AN899" s="165"/>
    </row>
    <row r="900" spans="3:40">
      <c r="C900" s="46"/>
      <c r="F900" s="173"/>
      <c r="G900" s="1"/>
      <c r="H900" s="165"/>
      <c r="I900" s="160"/>
      <c r="J900" s="160"/>
      <c r="K900" s="1"/>
      <c r="L900" s="123"/>
      <c r="M900" s="1"/>
      <c r="N900" s="590"/>
      <c r="O900" s="165"/>
      <c r="P900" s="165"/>
      <c r="Q900" s="165"/>
      <c r="R900" s="165"/>
      <c r="S900" s="165"/>
      <c r="V900" s="46"/>
      <c r="W900" s="46"/>
      <c r="X900" s="1"/>
      <c r="Y900" s="1"/>
      <c r="Z900" s="173"/>
      <c r="AA900" s="1"/>
      <c r="AB900" s="165"/>
      <c r="AC900" s="1"/>
      <c r="AD900" s="1"/>
      <c r="AE900" s="1"/>
      <c r="AF900" s="46"/>
      <c r="AG900" s="1"/>
      <c r="AH900" s="165"/>
      <c r="AI900" s="165"/>
      <c r="AJ900" s="165"/>
      <c r="AK900" s="165"/>
      <c r="AL900" s="165"/>
      <c r="AM900" s="165"/>
      <c r="AN900" s="165"/>
    </row>
    <row r="901" spans="3:40">
      <c r="C901" s="46"/>
      <c r="F901" s="173"/>
      <c r="G901" s="1"/>
      <c r="H901" s="165"/>
      <c r="I901" s="160"/>
      <c r="J901" s="160"/>
      <c r="K901" s="1"/>
      <c r="L901" s="123"/>
      <c r="M901" s="1"/>
      <c r="N901" s="590"/>
      <c r="O901" s="165"/>
      <c r="P901" s="165"/>
      <c r="Q901" s="165"/>
      <c r="R901" s="165"/>
      <c r="S901" s="165"/>
      <c r="V901" s="46"/>
      <c r="W901" s="46"/>
      <c r="X901" s="1"/>
      <c r="Y901" s="1"/>
      <c r="Z901" s="173"/>
      <c r="AA901" s="1"/>
      <c r="AB901" s="165"/>
      <c r="AC901" s="1"/>
      <c r="AD901" s="1"/>
      <c r="AE901" s="1"/>
      <c r="AF901" s="46"/>
      <c r="AG901" s="1"/>
      <c r="AH901" s="165"/>
      <c r="AI901" s="165"/>
      <c r="AJ901" s="165"/>
      <c r="AK901" s="165"/>
      <c r="AL901" s="165"/>
      <c r="AM901" s="165"/>
      <c r="AN901" s="165"/>
    </row>
    <row r="902" spans="3:40">
      <c r="C902" s="46"/>
      <c r="F902" s="173"/>
      <c r="G902" s="1"/>
      <c r="H902" s="165"/>
      <c r="I902" s="160"/>
      <c r="J902" s="160"/>
      <c r="K902" s="1"/>
      <c r="L902" s="123"/>
      <c r="M902" s="1"/>
      <c r="N902" s="590"/>
      <c r="O902" s="165"/>
      <c r="P902" s="165"/>
      <c r="Q902" s="165"/>
      <c r="R902" s="165"/>
      <c r="S902" s="165"/>
      <c r="V902" s="46"/>
      <c r="W902" s="46"/>
      <c r="X902" s="1"/>
      <c r="Y902" s="1"/>
      <c r="Z902" s="173"/>
      <c r="AA902" s="1"/>
      <c r="AB902" s="165"/>
      <c r="AC902" s="1"/>
      <c r="AD902" s="1"/>
      <c r="AE902" s="1"/>
      <c r="AF902" s="46"/>
      <c r="AG902" s="1"/>
      <c r="AH902" s="165"/>
      <c r="AI902" s="165"/>
      <c r="AJ902" s="165"/>
      <c r="AK902" s="165"/>
      <c r="AL902" s="165"/>
      <c r="AM902" s="165"/>
      <c r="AN902" s="165"/>
    </row>
    <row r="903" spans="3:40">
      <c r="C903" s="46"/>
      <c r="F903" s="173"/>
      <c r="G903" s="1"/>
      <c r="H903" s="165"/>
      <c r="I903" s="160"/>
      <c r="J903" s="160"/>
      <c r="K903" s="1"/>
      <c r="L903" s="123"/>
      <c r="M903" s="1"/>
      <c r="N903" s="590"/>
      <c r="O903" s="165"/>
      <c r="P903" s="165"/>
      <c r="Q903" s="165"/>
      <c r="R903" s="165"/>
      <c r="S903" s="165"/>
      <c r="V903" s="46"/>
      <c r="W903" s="46"/>
      <c r="X903" s="1"/>
      <c r="Y903" s="1"/>
      <c r="Z903" s="173"/>
      <c r="AA903" s="1"/>
      <c r="AB903" s="165"/>
      <c r="AC903" s="1"/>
      <c r="AD903" s="1"/>
      <c r="AE903" s="1"/>
      <c r="AF903" s="46"/>
      <c r="AG903" s="1"/>
      <c r="AH903" s="165"/>
      <c r="AI903" s="165"/>
      <c r="AJ903" s="165"/>
      <c r="AK903" s="165"/>
      <c r="AL903" s="165"/>
      <c r="AM903" s="165"/>
      <c r="AN903" s="165"/>
    </row>
    <row r="904" spans="3:40">
      <c r="C904" s="46"/>
      <c r="F904" s="173"/>
      <c r="G904" s="1"/>
      <c r="H904" s="165"/>
      <c r="I904" s="160"/>
      <c r="J904" s="160"/>
      <c r="K904" s="1"/>
      <c r="L904" s="123"/>
      <c r="M904" s="1"/>
      <c r="N904" s="590"/>
      <c r="O904" s="165"/>
      <c r="P904" s="165"/>
      <c r="Q904" s="165"/>
      <c r="R904" s="165"/>
      <c r="S904" s="165"/>
      <c r="V904" s="46"/>
      <c r="W904" s="46"/>
      <c r="X904" s="1"/>
      <c r="Y904" s="1"/>
      <c r="Z904" s="173"/>
      <c r="AA904" s="1"/>
      <c r="AB904" s="165"/>
      <c r="AC904" s="1"/>
      <c r="AD904" s="1"/>
      <c r="AE904" s="1"/>
      <c r="AF904" s="46"/>
      <c r="AG904" s="1"/>
      <c r="AH904" s="165"/>
      <c r="AI904" s="165"/>
      <c r="AJ904" s="165"/>
      <c r="AK904" s="165"/>
      <c r="AL904" s="165"/>
      <c r="AM904" s="165"/>
      <c r="AN904" s="165"/>
    </row>
    <row r="905" spans="3:40">
      <c r="C905" s="46"/>
      <c r="F905" s="173"/>
      <c r="G905" s="1"/>
      <c r="H905" s="165"/>
      <c r="I905" s="160"/>
      <c r="J905" s="160"/>
      <c r="K905" s="1"/>
      <c r="L905" s="123"/>
      <c r="M905" s="1"/>
      <c r="N905" s="590"/>
      <c r="O905" s="165"/>
      <c r="P905" s="165"/>
      <c r="Q905" s="165"/>
      <c r="R905" s="165"/>
      <c r="S905" s="165"/>
      <c r="V905" s="46"/>
      <c r="W905" s="46"/>
      <c r="X905" s="1"/>
      <c r="Y905" s="1"/>
      <c r="Z905" s="173"/>
      <c r="AA905" s="1"/>
      <c r="AB905" s="165"/>
      <c r="AC905" s="1"/>
      <c r="AD905" s="1"/>
      <c r="AE905" s="1"/>
      <c r="AF905" s="46"/>
      <c r="AG905" s="1"/>
      <c r="AH905" s="165"/>
      <c r="AI905" s="165"/>
      <c r="AJ905" s="165"/>
      <c r="AK905" s="165"/>
      <c r="AL905" s="165"/>
      <c r="AM905" s="165"/>
      <c r="AN905" s="165"/>
    </row>
    <row r="906" spans="3:40">
      <c r="C906" s="46"/>
      <c r="F906" s="173"/>
      <c r="G906" s="1"/>
      <c r="H906" s="165"/>
      <c r="I906" s="160"/>
      <c r="J906" s="160"/>
      <c r="K906" s="1"/>
      <c r="L906" s="123"/>
      <c r="M906" s="1"/>
      <c r="N906" s="590"/>
      <c r="O906" s="165"/>
      <c r="P906" s="165"/>
      <c r="Q906" s="165"/>
      <c r="R906" s="165"/>
      <c r="S906" s="165"/>
      <c r="V906" s="46"/>
      <c r="W906" s="46"/>
      <c r="X906" s="1"/>
      <c r="Y906" s="1"/>
      <c r="Z906" s="173"/>
      <c r="AA906" s="1"/>
      <c r="AB906" s="165"/>
      <c r="AC906" s="1"/>
      <c r="AD906" s="1"/>
      <c r="AE906" s="1"/>
      <c r="AF906" s="46"/>
      <c r="AG906" s="1"/>
      <c r="AH906" s="165"/>
      <c r="AI906" s="165"/>
      <c r="AJ906" s="165"/>
      <c r="AK906" s="165"/>
      <c r="AL906" s="165"/>
      <c r="AM906" s="165"/>
      <c r="AN906" s="165"/>
    </row>
    <row r="907" spans="3:40">
      <c r="C907" s="46"/>
      <c r="F907" s="173"/>
      <c r="G907" s="1"/>
      <c r="H907" s="165"/>
      <c r="I907" s="160"/>
      <c r="J907" s="160"/>
      <c r="K907" s="1"/>
      <c r="L907" s="123"/>
      <c r="M907" s="1"/>
      <c r="N907" s="590"/>
      <c r="O907" s="165"/>
      <c r="P907" s="165"/>
      <c r="Q907" s="165"/>
      <c r="R907" s="165"/>
      <c r="S907" s="165"/>
      <c r="V907" s="46"/>
      <c r="W907" s="46"/>
      <c r="X907" s="1"/>
      <c r="Y907" s="1"/>
      <c r="Z907" s="173"/>
      <c r="AA907" s="1"/>
      <c r="AB907" s="165"/>
      <c r="AC907" s="1"/>
      <c r="AD907" s="1"/>
      <c r="AE907" s="1"/>
      <c r="AF907" s="46"/>
      <c r="AG907" s="1"/>
      <c r="AH907" s="165"/>
      <c r="AI907" s="165"/>
      <c r="AJ907" s="165"/>
      <c r="AK907" s="165"/>
      <c r="AL907" s="165"/>
      <c r="AM907" s="165"/>
      <c r="AN907" s="165"/>
    </row>
    <row r="908" spans="3:40">
      <c r="C908" s="46"/>
      <c r="F908" s="173"/>
      <c r="G908" s="1"/>
      <c r="H908" s="165"/>
      <c r="I908" s="160"/>
      <c r="J908" s="160"/>
      <c r="K908" s="1"/>
      <c r="L908" s="123"/>
      <c r="M908" s="1"/>
      <c r="N908" s="590"/>
      <c r="O908" s="165"/>
      <c r="P908" s="165"/>
      <c r="Q908" s="165"/>
      <c r="R908" s="165"/>
      <c r="S908" s="165"/>
      <c r="V908" s="46"/>
      <c r="W908" s="46"/>
      <c r="X908" s="1"/>
      <c r="Y908" s="1"/>
      <c r="Z908" s="173"/>
      <c r="AA908" s="1"/>
      <c r="AB908" s="165"/>
      <c r="AC908" s="1"/>
      <c r="AD908" s="1"/>
      <c r="AE908" s="1"/>
      <c r="AF908" s="46"/>
      <c r="AG908" s="1"/>
      <c r="AH908" s="165"/>
      <c r="AI908" s="165"/>
      <c r="AJ908" s="165"/>
      <c r="AK908" s="165"/>
      <c r="AL908" s="165"/>
      <c r="AM908" s="165"/>
      <c r="AN908" s="165"/>
    </row>
    <row r="909" spans="3:40">
      <c r="C909" s="46"/>
      <c r="F909" s="173"/>
      <c r="G909" s="1"/>
      <c r="H909" s="165"/>
      <c r="I909" s="160"/>
      <c r="J909" s="160"/>
      <c r="K909" s="1"/>
      <c r="L909" s="123"/>
      <c r="M909" s="1"/>
      <c r="N909" s="590"/>
      <c r="O909" s="165"/>
      <c r="P909" s="165"/>
      <c r="Q909" s="165"/>
      <c r="R909" s="165"/>
      <c r="S909" s="165"/>
      <c r="V909" s="46"/>
      <c r="W909" s="46"/>
      <c r="X909" s="1"/>
      <c r="Y909" s="1"/>
      <c r="Z909" s="173"/>
      <c r="AA909" s="1"/>
      <c r="AB909" s="165"/>
      <c r="AC909" s="1"/>
      <c r="AD909" s="1"/>
      <c r="AE909" s="1"/>
      <c r="AF909" s="46"/>
      <c r="AG909" s="1"/>
      <c r="AH909" s="165"/>
      <c r="AI909" s="165"/>
      <c r="AJ909" s="165"/>
      <c r="AK909" s="165"/>
      <c r="AL909" s="165"/>
      <c r="AM909" s="165"/>
      <c r="AN909" s="165"/>
    </row>
    <row r="910" spans="3:40">
      <c r="C910" s="46"/>
      <c r="F910" s="173"/>
      <c r="G910" s="1"/>
      <c r="H910" s="165"/>
      <c r="I910" s="160"/>
      <c r="J910" s="160"/>
      <c r="K910" s="1"/>
      <c r="L910" s="123"/>
      <c r="M910" s="1"/>
      <c r="N910" s="590"/>
      <c r="O910" s="165"/>
      <c r="P910" s="165"/>
      <c r="Q910" s="165"/>
      <c r="R910" s="165"/>
      <c r="S910" s="165"/>
      <c r="V910" s="46"/>
      <c r="W910" s="46"/>
      <c r="X910" s="1"/>
      <c r="Y910" s="1"/>
      <c r="Z910" s="173"/>
      <c r="AA910" s="1"/>
      <c r="AB910" s="165"/>
      <c r="AC910" s="1"/>
      <c r="AD910" s="1"/>
      <c r="AE910" s="1"/>
      <c r="AF910" s="46"/>
      <c r="AG910" s="1"/>
      <c r="AH910" s="165"/>
      <c r="AI910" s="165"/>
      <c r="AJ910" s="165"/>
      <c r="AK910" s="165"/>
      <c r="AL910" s="165"/>
      <c r="AM910" s="165"/>
      <c r="AN910" s="165"/>
    </row>
    <row r="911" spans="3:40">
      <c r="C911" s="46"/>
      <c r="F911" s="173"/>
      <c r="G911" s="1"/>
      <c r="H911" s="165"/>
      <c r="I911" s="160"/>
      <c r="J911" s="160"/>
      <c r="K911" s="1"/>
      <c r="L911" s="123"/>
      <c r="M911" s="1"/>
      <c r="N911" s="590"/>
      <c r="O911" s="165"/>
      <c r="P911" s="165"/>
      <c r="Q911" s="165"/>
      <c r="R911" s="165"/>
      <c r="S911" s="165"/>
      <c r="V911" s="46"/>
      <c r="W911" s="46"/>
      <c r="X911" s="1"/>
      <c r="Y911" s="1"/>
      <c r="Z911" s="173"/>
      <c r="AA911" s="1"/>
      <c r="AB911" s="165"/>
      <c r="AC911" s="1"/>
      <c r="AD911" s="1"/>
      <c r="AE911" s="1"/>
      <c r="AF911" s="46"/>
      <c r="AG911" s="1"/>
      <c r="AH911" s="165"/>
      <c r="AI911" s="165"/>
      <c r="AJ911" s="165"/>
      <c r="AK911" s="165"/>
      <c r="AL911" s="165"/>
      <c r="AM911" s="165"/>
      <c r="AN911" s="165"/>
    </row>
    <row r="912" spans="3:40">
      <c r="C912" s="46"/>
      <c r="F912" s="173"/>
      <c r="G912" s="1"/>
      <c r="H912" s="165"/>
      <c r="I912" s="160"/>
      <c r="J912" s="160"/>
      <c r="K912" s="1"/>
      <c r="L912" s="123"/>
      <c r="M912" s="1"/>
      <c r="N912" s="590"/>
      <c r="O912" s="165"/>
      <c r="P912" s="165"/>
      <c r="Q912" s="165"/>
      <c r="R912" s="165"/>
      <c r="S912" s="165"/>
      <c r="V912" s="46"/>
      <c r="W912" s="46"/>
      <c r="X912" s="1"/>
      <c r="Y912" s="1"/>
      <c r="Z912" s="173"/>
      <c r="AA912" s="1"/>
      <c r="AB912" s="165"/>
      <c r="AC912" s="1"/>
      <c r="AD912" s="1"/>
      <c r="AE912" s="1"/>
      <c r="AF912" s="46"/>
      <c r="AG912" s="1"/>
      <c r="AH912" s="165"/>
      <c r="AI912" s="165"/>
      <c r="AJ912" s="165"/>
      <c r="AK912" s="165"/>
      <c r="AL912" s="165"/>
      <c r="AM912" s="165"/>
      <c r="AN912" s="165"/>
    </row>
    <row r="913" spans="3:40">
      <c r="C913" s="46"/>
      <c r="F913" s="173"/>
      <c r="G913" s="1"/>
      <c r="H913" s="165"/>
      <c r="I913" s="160"/>
      <c r="J913" s="160"/>
      <c r="K913" s="1"/>
      <c r="L913" s="123"/>
      <c r="M913" s="1"/>
      <c r="N913" s="590"/>
      <c r="O913" s="165"/>
      <c r="P913" s="165"/>
      <c r="Q913" s="165"/>
      <c r="R913" s="165"/>
      <c r="S913" s="165"/>
      <c r="V913" s="46"/>
      <c r="W913" s="46"/>
      <c r="X913" s="1"/>
      <c r="Y913" s="1"/>
      <c r="Z913" s="173"/>
      <c r="AA913" s="1"/>
      <c r="AB913" s="165"/>
      <c r="AC913" s="1"/>
      <c r="AD913" s="1"/>
      <c r="AE913" s="1"/>
      <c r="AF913" s="46"/>
      <c r="AG913" s="1"/>
      <c r="AH913" s="165"/>
      <c r="AI913" s="165"/>
      <c r="AJ913" s="165"/>
      <c r="AK913" s="165"/>
      <c r="AL913" s="165"/>
      <c r="AM913" s="165"/>
      <c r="AN913" s="165"/>
    </row>
    <row r="914" spans="3:40">
      <c r="C914" s="46"/>
      <c r="F914" s="173"/>
      <c r="G914" s="1"/>
      <c r="H914" s="165"/>
      <c r="I914" s="160"/>
      <c r="J914" s="160"/>
      <c r="K914" s="1"/>
      <c r="L914" s="123"/>
      <c r="M914" s="1"/>
      <c r="N914" s="590"/>
      <c r="O914" s="165"/>
      <c r="P914" s="165"/>
      <c r="Q914" s="165"/>
      <c r="R914" s="165"/>
      <c r="S914" s="165"/>
      <c r="V914" s="46"/>
      <c r="W914" s="46"/>
      <c r="X914" s="1"/>
      <c r="Y914" s="1"/>
      <c r="Z914" s="173"/>
      <c r="AA914" s="1"/>
      <c r="AB914" s="165"/>
      <c r="AC914" s="1"/>
      <c r="AD914" s="1"/>
      <c r="AE914" s="1"/>
      <c r="AF914" s="46"/>
      <c r="AG914" s="1"/>
      <c r="AH914" s="165"/>
      <c r="AI914" s="165"/>
      <c r="AJ914" s="165"/>
      <c r="AK914" s="165"/>
      <c r="AL914" s="165"/>
      <c r="AM914" s="165"/>
      <c r="AN914" s="165"/>
    </row>
    <row r="915" spans="3:40">
      <c r="C915" s="46"/>
      <c r="F915" s="173"/>
      <c r="G915" s="1"/>
      <c r="H915" s="165"/>
      <c r="I915" s="160"/>
      <c r="J915" s="160"/>
      <c r="K915" s="1"/>
      <c r="L915" s="123"/>
      <c r="M915" s="1"/>
      <c r="N915" s="590"/>
      <c r="O915" s="165"/>
      <c r="P915" s="165"/>
      <c r="Q915" s="165"/>
      <c r="R915" s="165"/>
      <c r="S915" s="165"/>
      <c r="V915" s="46"/>
      <c r="W915" s="46"/>
      <c r="X915" s="1"/>
      <c r="Y915" s="1"/>
      <c r="Z915" s="173"/>
      <c r="AA915" s="1"/>
      <c r="AB915" s="165"/>
      <c r="AC915" s="1"/>
      <c r="AD915" s="1"/>
      <c r="AE915" s="1"/>
      <c r="AF915" s="46"/>
      <c r="AG915" s="1"/>
      <c r="AH915" s="165"/>
      <c r="AI915" s="165"/>
      <c r="AJ915" s="165"/>
      <c r="AK915" s="165"/>
      <c r="AL915" s="165"/>
      <c r="AM915" s="165"/>
      <c r="AN915" s="165"/>
    </row>
    <row r="916" spans="3:40">
      <c r="C916" s="46"/>
      <c r="F916" s="173"/>
      <c r="G916" s="1"/>
      <c r="H916" s="165"/>
      <c r="I916" s="160"/>
      <c r="J916" s="160"/>
      <c r="K916" s="1"/>
      <c r="L916" s="123"/>
      <c r="M916" s="1"/>
      <c r="N916" s="590"/>
      <c r="O916" s="165"/>
      <c r="P916" s="165"/>
      <c r="Q916" s="165"/>
      <c r="R916" s="165"/>
      <c r="S916" s="165"/>
      <c r="V916" s="46"/>
      <c r="W916" s="46"/>
      <c r="X916" s="1"/>
      <c r="Y916" s="1"/>
      <c r="Z916" s="173"/>
      <c r="AA916" s="1"/>
      <c r="AB916" s="165"/>
      <c r="AC916" s="1"/>
      <c r="AD916" s="1"/>
      <c r="AE916" s="1"/>
      <c r="AF916" s="46"/>
      <c r="AG916" s="1"/>
      <c r="AH916" s="165"/>
      <c r="AI916" s="165"/>
      <c r="AJ916" s="165"/>
      <c r="AK916" s="165"/>
      <c r="AL916" s="165"/>
      <c r="AM916" s="165"/>
      <c r="AN916" s="165"/>
    </row>
    <row r="917" spans="3:40">
      <c r="C917" s="46"/>
      <c r="F917" s="173"/>
      <c r="G917" s="1"/>
      <c r="H917" s="165"/>
      <c r="I917" s="160"/>
      <c r="J917" s="160"/>
      <c r="K917" s="1"/>
      <c r="L917" s="123"/>
      <c r="M917" s="1"/>
      <c r="N917" s="590"/>
      <c r="O917" s="165"/>
      <c r="P917" s="165"/>
      <c r="Q917" s="165"/>
      <c r="R917" s="165"/>
      <c r="S917" s="165"/>
      <c r="V917" s="46"/>
      <c r="W917" s="46"/>
      <c r="X917" s="1"/>
      <c r="Y917" s="1"/>
      <c r="Z917" s="173"/>
      <c r="AA917" s="1"/>
      <c r="AB917" s="165"/>
      <c r="AC917" s="1"/>
      <c r="AD917" s="1"/>
      <c r="AE917" s="1"/>
      <c r="AF917" s="46"/>
      <c r="AG917" s="1"/>
      <c r="AH917" s="165"/>
      <c r="AI917" s="165"/>
      <c r="AJ917" s="165"/>
      <c r="AK917" s="165"/>
      <c r="AL917" s="165"/>
      <c r="AM917" s="165"/>
      <c r="AN917" s="165"/>
    </row>
    <row r="918" spans="3:40">
      <c r="C918" s="46"/>
      <c r="F918" s="173"/>
      <c r="G918" s="1"/>
      <c r="H918" s="165"/>
      <c r="I918" s="160"/>
      <c r="J918" s="160"/>
      <c r="K918" s="1"/>
      <c r="L918" s="123"/>
      <c r="M918" s="1"/>
      <c r="N918" s="590"/>
      <c r="O918" s="165"/>
      <c r="P918" s="165"/>
      <c r="Q918" s="165"/>
      <c r="R918" s="165"/>
      <c r="S918" s="165"/>
      <c r="V918" s="46"/>
      <c r="W918" s="46"/>
      <c r="X918" s="1"/>
      <c r="Y918" s="1"/>
      <c r="Z918" s="173"/>
      <c r="AA918" s="1"/>
      <c r="AB918" s="165"/>
      <c r="AC918" s="1"/>
      <c r="AD918" s="1"/>
      <c r="AE918" s="1"/>
      <c r="AF918" s="46"/>
      <c r="AG918" s="1"/>
      <c r="AH918" s="165"/>
      <c r="AI918" s="165"/>
      <c r="AJ918" s="165"/>
      <c r="AK918" s="165"/>
      <c r="AL918" s="165"/>
      <c r="AM918" s="165"/>
      <c r="AN918" s="165"/>
    </row>
    <row r="919" spans="3:40">
      <c r="C919" s="46"/>
      <c r="F919" s="173"/>
      <c r="G919" s="1"/>
      <c r="H919" s="165"/>
      <c r="I919" s="160"/>
      <c r="J919" s="160"/>
      <c r="K919" s="1"/>
      <c r="L919" s="123"/>
      <c r="M919" s="1"/>
      <c r="N919" s="590"/>
      <c r="O919" s="165"/>
      <c r="P919" s="165"/>
      <c r="Q919" s="165"/>
      <c r="R919" s="165"/>
      <c r="S919" s="165"/>
      <c r="V919" s="46"/>
      <c r="W919" s="46"/>
      <c r="X919" s="1"/>
      <c r="Y919" s="1"/>
      <c r="Z919" s="173"/>
      <c r="AA919" s="1"/>
      <c r="AB919" s="165"/>
      <c r="AC919" s="1"/>
      <c r="AD919" s="1"/>
      <c r="AE919" s="1"/>
      <c r="AF919" s="46"/>
      <c r="AG919" s="1"/>
      <c r="AH919" s="165"/>
      <c r="AI919" s="165"/>
      <c r="AJ919" s="165"/>
      <c r="AK919" s="165"/>
      <c r="AL919" s="165"/>
      <c r="AM919" s="165"/>
      <c r="AN919" s="165"/>
    </row>
    <row r="920" spans="3:40">
      <c r="C920" s="46"/>
      <c r="F920" s="173"/>
      <c r="G920" s="1"/>
      <c r="H920" s="165"/>
      <c r="I920" s="160"/>
      <c r="J920" s="160"/>
      <c r="K920" s="1"/>
      <c r="L920" s="123"/>
      <c r="M920" s="1"/>
      <c r="N920" s="590"/>
      <c r="O920" s="165"/>
      <c r="P920" s="165"/>
      <c r="Q920" s="165"/>
      <c r="R920" s="165"/>
      <c r="S920" s="165"/>
      <c r="V920" s="46"/>
      <c r="W920" s="46"/>
      <c r="X920" s="1"/>
      <c r="Y920" s="1"/>
      <c r="Z920" s="173"/>
      <c r="AA920" s="1"/>
      <c r="AB920" s="165"/>
      <c r="AC920" s="1"/>
      <c r="AD920" s="1"/>
      <c r="AE920" s="1"/>
      <c r="AF920" s="46"/>
      <c r="AG920" s="1"/>
      <c r="AH920" s="165"/>
      <c r="AI920" s="165"/>
      <c r="AJ920" s="165"/>
      <c r="AK920" s="165"/>
      <c r="AL920" s="165"/>
      <c r="AM920" s="165"/>
      <c r="AN920" s="165"/>
    </row>
    <row r="921" spans="3:40">
      <c r="C921" s="46"/>
      <c r="F921" s="173"/>
      <c r="G921" s="1"/>
      <c r="H921" s="165"/>
      <c r="I921" s="160"/>
      <c r="J921" s="160"/>
      <c r="K921" s="1"/>
      <c r="L921" s="123"/>
      <c r="M921" s="1"/>
      <c r="N921" s="590"/>
      <c r="O921" s="165"/>
      <c r="P921" s="165"/>
      <c r="Q921" s="165"/>
      <c r="R921" s="165"/>
      <c r="S921" s="165"/>
      <c r="V921" s="46"/>
      <c r="W921" s="46"/>
      <c r="X921" s="1"/>
      <c r="Y921" s="1"/>
      <c r="Z921" s="173"/>
      <c r="AA921" s="1"/>
      <c r="AB921" s="165"/>
      <c r="AC921" s="1"/>
      <c r="AD921" s="1"/>
      <c r="AE921" s="1"/>
      <c r="AF921" s="46"/>
      <c r="AG921" s="1"/>
      <c r="AH921" s="165"/>
      <c r="AI921" s="165"/>
      <c r="AJ921" s="165"/>
      <c r="AK921" s="165"/>
      <c r="AL921" s="165"/>
      <c r="AM921" s="165"/>
      <c r="AN921" s="165"/>
    </row>
    <row r="922" spans="3:40">
      <c r="C922" s="46"/>
      <c r="F922" s="173"/>
      <c r="G922" s="1"/>
      <c r="H922" s="165"/>
      <c r="I922" s="160"/>
      <c r="J922" s="160"/>
      <c r="K922" s="1"/>
      <c r="L922" s="123"/>
      <c r="M922" s="1"/>
      <c r="N922" s="590"/>
      <c r="O922" s="165"/>
      <c r="P922" s="165"/>
      <c r="Q922" s="165"/>
      <c r="R922" s="165"/>
      <c r="S922" s="165"/>
      <c r="V922" s="46"/>
      <c r="W922" s="46"/>
      <c r="X922" s="1"/>
      <c r="Y922" s="1"/>
      <c r="Z922" s="173"/>
      <c r="AA922" s="1"/>
      <c r="AB922" s="165"/>
      <c r="AC922" s="1"/>
      <c r="AD922" s="1"/>
      <c r="AE922" s="1"/>
      <c r="AF922" s="46"/>
      <c r="AG922" s="1"/>
      <c r="AH922" s="165"/>
      <c r="AI922" s="165"/>
      <c r="AJ922" s="165"/>
      <c r="AK922" s="165"/>
      <c r="AL922" s="165"/>
      <c r="AM922" s="165"/>
      <c r="AN922" s="165"/>
    </row>
    <row r="923" spans="3:40">
      <c r="C923" s="46"/>
      <c r="F923" s="173"/>
      <c r="G923" s="1"/>
      <c r="H923" s="165"/>
      <c r="I923" s="160"/>
      <c r="J923" s="160"/>
      <c r="K923" s="1"/>
      <c r="L923" s="123"/>
      <c r="M923" s="1"/>
      <c r="N923" s="590"/>
      <c r="O923" s="165"/>
      <c r="P923" s="165"/>
      <c r="Q923" s="165"/>
      <c r="R923" s="165"/>
      <c r="S923" s="165"/>
      <c r="V923" s="46"/>
      <c r="W923" s="46"/>
      <c r="X923" s="1"/>
      <c r="Y923" s="1"/>
      <c r="Z923" s="173"/>
      <c r="AA923" s="1"/>
      <c r="AB923" s="165"/>
      <c r="AC923" s="1"/>
      <c r="AD923" s="1"/>
      <c r="AE923" s="1"/>
      <c r="AF923" s="46"/>
      <c r="AG923" s="1"/>
      <c r="AH923" s="165"/>
      <c r="AI923" s="165"/>
      <c r="AJ923" s="165"/>
      <c r="AK923" s="165"/>
      <c r="AL923" s="165"/>
      <c r="AM923" s="165"/>
      <c r="AN923" s="165"/>
    </row>
    <row r="924" spans="3:40">
      <c r="C924" s="46"/>
      <c r="F924" s="173"/>
      <c r="G924" s="1"/>
      <c r="H924" s="165"/>
      <c r="I924" s="160"/>
      <c r="J924" s="160"/>
      <c r="K924" s="1"/>
      <c r="L924" s="123"/>
      <c r="M924" s="1"/>
      <c r="N924" s="590"/>
      <c r="O924" s="165"/>
      <c r="P924" s="165"/>
      <c r="Q924" s="165"/>
      <c r="R924" s="165"/>
      <c r="S924" s="165"/>
      <c r="V924" s="46"/>
      <c r="W924" s="46"/>
      <c r="X924" s="1"/>
      <c r="Y924" s="1"/>
      <c r="Z924" s="173"/>
      <c r="AA924" s="1"/>
      <c r="AB924" s="165"/>
      <c r="AC924" s="1"/>
      <c r="AD924" s="1"/>
      <c r="AE924" s="1"/>
      <c r="AF924" s="46"/>
      <c r="AG924" s="1"/>
      <c r="AH924" s="165"/>
      <c r="AI924" s="165"/>
      <c r="AJ924" s="165"/>
      <c r="AK924" s="165"/>
      <c r="AL924" s="165"/>
      <c r="AM924" s="165"/>
      <c r="AN924" s="165"/>
    </row>
    <row r="925" spans="3:40">
      <c r="C925" s="46"/>
      <c r="F925" s="173"/>
      <c r="G925" s="1"/>
      <c r="H925" s="165"/>
      <c r="I925" s="160"/>
      <c r="J925" s="160"/>
      <c r="K925" s="1"/>
      <c r="L925" s="123"/>
      <c r="M925" s="1"/>
      <c r="N925" s="590"/>
      <c r="O925" s="165"/>
      <c r="P925" s="165"/>
      <c r="Q925" s="165"/>
      <c r="R925" s="165"/>
      <c r="S925" s="165"/>
      <c r="V925" s="46"/>
      <c r="W925" s="46"/>
      <c r="X925" s="1"/>
      <c r="Y925" s="1"/>
      <c r="Z925" s="173"/>
      <c r="AA925" s="1"/>
      <c r="AB925" s="165"/>
      <c r="AC925" s="1"/>
      <c r="AD925" s="1"/>
      <c r="AE925" s="1"/>
      <c r="AF925" s="46"/>
      <c r="AG925" s="1"/>
      <c r="AH925" s="165"/>
      <c r="AI925" s="165"/>
      <c r="AJ925" s="165"/>
      <c r="AK925" s="165"/>
      <c r="AL925" s="165"/>
      <c r="AM925" s="165"/>
      <c r="AN925" s="165"/>
    </row>
    <row r="926" spans="3:40">
      <c r="C926" s="46"/>
      <c r="F926" s="173"/>
      <c r="G926" s="1"/>
      <c r="H926" s="165"/>
      <c r="I926" s="160"/>
      <c r="J926" s="160"/>
      <c r="K926" s="1"/>
      <c r="L926" s="123"/>
      <c r="M926" s="1"/>
      <c r="N926" s="590"/>
      <c r="O926" s="165"/>
      <c r="P926" s="165"/>
      <c r="Q926" s="165"/>
      <c r="R926" s="165"/>
      <c r="S926" s="165"/>
      <c r="V926" s="46"/>
      <c r="W926" s="46"/>
      <c r="X926" s="1"/>
      <c r="Y926" s="1"/>
      <c r="Z926" s="173"/>
      <c r="AA926" s="1"/>
      <c r="AB926" s="165"/>
      <c r="AC926" s="1"/>
      <c r="AD926" s="1"/>
      <c r="AE926" s="1"/>
      <c r="AF926" s="46"/>
      <c r="AG926" s="1"/>
      <c r="AH926" s="165"/>
      <c r="AI926" s="165"/>
      <c r="AJ926" s="165"/>
      <c r="AK926" s="165"/>
      <c r="AL926" s="165"/>
      <c r="AM926" s="165"/>
      <c r="AN926" s="165"/>
    </row>
    <row r="927" spans="3:40">
      <c r="C927" s="46"/>
      <c r="F927" s="173"/>
      <c r="G927" s="1"/>
      <c r="H927" s="165"/>
      <c r="I927" s="160"/>
      <c r="J927" s="160"/>
      <c r="K927" s="1"/>
      <c r="L927" s="123"/>
      <c r="M927" s="1"/>
      <c r="N927" s="590"/>
      <c r="O927" s="165"/>
      <c r="P927" s="165"/>
      <c r="Q927" s="165"/>
      <c r="R927" s="165"/>
      <c r="S927" s="165"/>
      <c r="V927" s="46"/>
      <c r="W927" s="46"/>
      <c r="X927" s="1"/>
      <c r="Y927" s="1"/>
      <c r="Z927" s="173"/>
      <c r="AA927" s="1"/>
      <c r="AB927" s="165"/>
      <c r="AC927" s="1"/>
      <c r="AD927" s="1"/>
      <c r="AE927" s="1"/>
      <c r="AF927" s="46"/>
      <c r="AG927" s="1"/>
      <c r="AH927" s="165"/>
      <c r="AI927" s="165"/>
      <c r="AJ927" s="165"/>
      <c r="AK927" s="165"/>
      <c r="AL927" s="165"/>
      <c r="AM927" s="165"/>
      <c r="AN927" s="165"/>
    </row>
    <row r="928" spans="3:40">
      <c r="C928" s="46"/>
      <c r="F928" s="173"/>
      <c r="G928" s="1"/>
      <c r="H928" s="165"/>
      <c r="I928" s="160"/>
      <c r="J928" s="160"/>
      <c r="K928" s="1"/>
      <c r="L928" s="123"/>
      <c r="M928" s="1"/>
      <c r="N928" s="590"/>
      <c r="O928" s="165"/>
      <c r="P928" s="165"/>
      <c r="Q928" s="165"/>
      <c r="R928" s="165"/>
      <c r="S928" s="165"/>
      <c r="V928" s="46"/>
      <c r="W928" s="46"/>
      <c r="X928" s="1"/>
      <c r="Y928" s="1"/>
      <c r="Z928" s="173"/>
      <c r="AA928" s="1"/>
      <c r="AB928" s="165"/>
      <c r="AC928" s="1"/>
      <c r="AD928" s="1"/>
      <c r="AE928" s="1"/>
      <c r="AF928" s="46"/>
      <c r="AG928" s="1"/>
      <c r="AH928" s="165"/>
      <c r="AI928" s="165"/>
      <c r="AJ928" s="165"/>
      <c r="AK928" s="165"/>
      <c r="AL928" s="165"/>
      <c r="AM928" s="165"/>
      <c r="AN928" s="165"/>
    </row>
    <row r="929" spans="3:40">
      <c r="C929" s="46"/>
      <c r="F929" s="173"/>
      <c r="G929" s="1"/>
      <c r="H929" s="165"/>
      <c r="I929" s="160"/>
      <c r="J929" s="160"/>
      <c r="K929" s="1"/>
      <c r="L929" s="123"/>
      <c r="M929" s="1"/>
      <c r="N929" s="590"/>
      <c r="O929" s="165"/>
      <c r="P929" s="165"/>
      <c r="Q929" s="165"/>
      <c r="R929" s="165"/>
      <c r="S929" s="165"/>
      <c r="V929" s="46"/>
      <c r="W929" s="46"/>
      <c r="X929" s="1"/>
      <c r="Y929" s="1"/>
      <c r="Z929" s="173"/>
      <c r="AA929" s="1"/>
      <c r="AB929" s="165"/>
      <c r="AC929" s="1"/>
      <c r="AD929" s="1"/>
      <c r="AE929" s="1"/>
      <c r="AF929" s="46"/>
      <c r="AG929" s="1"/>
      <c r="AH929" s="165"/>
      <c r="AI929" s="165"/>
      <c r="AJ929" s="165"/>
      <c r="AK929" s="165"/>
      <c r="AL929" s="165"/>
      <c r="AM929" s="165"/>
      <c r="AN929" s="165"/>
    </row>
    <row r="930" spans="3:40">
      <c r="C930" s="46"/>
      <c r="F930" s="173"/>
      <c r="G930" s="1"/>
      <c r="H930" s="165"/>
      <c r="I930" s="160"/>
      <c r="J930" s="160"/>
      <c r="K930" s="1"/>
      <c r="L930" s="123"/>
      <c r="M930" s="1"/>
      <c r="N930" s="590"/>
      <c r="O930" s="165"/>
      <c r="P930" s="165"/>
      <c r="Q930" s="165"/>
      <c r="R930" s="165"/>
      <c r="S930" s="165"/>
      <c r="V930" s="46"/>
      <c r="W930" s="46"/>
      <c r="X930" s="1"/>
      <c r="Y930" s="1"/>
      <c r="Z930" s="173"/>
      <c r="AA930" s="1"/>
      <c r="AB930" s="165"/>
      <c r="AC930" s="1"/>
      <c r="AD930" s="1"/>
      <c r="AE930" s="1"/>
      <c r="AF930" s="46"/>
      <c r="AG930" s="1"/>
      <c r="AH930" s="165"/>
      <c r="AI930" s="165"/>
      <c r="AJ930" s="165"/>
      <c r="AK930" s="165"/>
      <c r="AL930" s="165"/>
      <c r="AM930" s="165"/>
      <c r="AN930" s="165"/>
    </row>
    <row r="931" spans="3:40">
      <c r="C931" s="46"/>
      <c r="F931" s="173"/>
      <c r="G931" s="1"/>
      <c r="H931" s="165"/>
      <c r="I931" s="160"/>
      <c r="J931" s="160"/>
      <c r="K931" s="1"/>
      <c r="L931" s="123"/>
      <c r="M931" s="1"/>
      <c r="N931" s="590"/>
      <c r="O931" s="165"/>
      <c r="P931" s="165"/>
      <c r="Q931" s="165"/>
      <c r="R931" s="165"/>
      <c r="S931" s="165"/>
      <c r="V931" s="46"/>
      <c r="W931" s="46"/>
      <c r="X931" s="1"/>
      <c r="Y931" s="1"/>
      <c r="Z931" s="173"/>
      <c r="AA931" s="1"/>
      <c r="AB931" s="165"/>
      <c r="AC931" s="1"/>
      <c r="AD931" s="1"/>
      <c r="AE931" s="1"/>
      <c r="AF931" s="46"/>
      <c r="AG931" s="1"/>
      <c r="AH931" s="165"/>
      <c r="AI931" s="165"/>
      <c r="AJ931" s="165"/>
      <c r="AK931" s="165"/>
      <c r="AL931" s="165"/>
      <c r="AM931" s="165"/>
      <c r="AN931" s="165"/>
    </row>
    <row r="932" spans="3:40">
      <c r="C932" s="46"/>
      <c r="F932" s="173"/>
      <c r="G932" s="1"/>
      <c r="H932" s="165"/>
      <c r="I932" s="160"/>
      <c r="J932" s="160"/>
      <c r="K932" s="1"/>
      <c r="L932" s="123"/>
      <c r="M932" s="1"/>
      <c r="N932" s="590"/>
      <c r="O932" s="165"/>
      <c r="P932" s="165"/>
      <c r="Q932" s="165"/>
      <c r="R932" s="165"/>
      <c r="S932" s="165"/>
      <c r="V932" s="46"/>
      <c r="W932" s="46"/>
      <c r="X932" s="1"/>
      <c r="Y932" s="1"/>
      <c r="Z932" s="173"/>
      <c r="AA932" s="1"/>
      <c r="AB932" s="165"/>
      <c r="AC932" s="1"/>
      <c r="AD932" s="1"/>
      <c r="AE932" s="1"/>
      <c r="AF932" s="46"/>
      <c r="AG932" s="1"/>
      <c r="AH932" s="165"/>
      <c r="AI932" s="165"/>
      <c r="AJ932" s="165"/>
      <c r="AK932" s="165"/>
      <c r="AL932" s="165"/>
      <c r="AM932" s="165"/>
      <c r="AN932" s="165"/>
    </row>
    <row r="933" spans="3:40">
      <c r="C933" s="46"/>
      <c r="F933" s="173"/>
      <c r="G933" s="1"/>
      <c r="H933" s="165"/>
      <c r="I933" s="160"/>
      <c r="J933" s="160"/>
      <c r="K933" s="1"/>
      <c r="L933" s="123"/>
      <c r="M933" s="1"/>
      <c r="N933" s="590"/>
      <c r="O933" s="165"/>
      <c r="P933" s="165"/>
      <c r="Q933" s="165"/>
      <c r="R933" s="165"/>
      <c r="S933" s="165"/>
      <c r="V933" s="46"/>
      <c r="W933" s="46"/>
      <c r="X933" s="1"/>
      <c r="Y933" s="1"/>
      <c r="Z933" s="173"/>
      <c r="AA933" s="1"/>
      <c r="AB933" s="165"/>
      <c r="AC933" s="1"/>
      <c r="AD933" s="1"/>
      <c r="AE933" s="1"/>
      <c r="AF933" s="46"/>
      <c r="AG933" s="1"/>
      <c r="AH933" s="165"/>
      <c r="AI933" s="165"/>
      <c r="AJ933" s="165"/>
      <c r="AK933" s="165"/>
      <c r="AL933" s="165"/>
      <c r="AM933" s="165"/>
      <c r="AN933" s="165"/>
    </row>
    <row r="934" spans="3:40">
      <c r="C934" s="46"/>
      <c r="F934" s="173"/>
      <c r="G934" s="1"/>
      <c r="H934" s="165"/>
      <c r="I934" s="160"/>
      <c r="J934" s="160"/>
      <c r="K934" s="1"/>
      <c r="L934" s="123"/>
      <c r="M934" s="1"/>
      <c r="N934" s="590"/>
      <c r="O934" s="165"/>
      <c r="P934" s="165"/>
      <c r="Q934" s="165"/>
      <c r="R934" s="165"/>
      <c r="S934" s="165"/>
      <c r="V934" s="46"/>
      <c r="W934" s="46"/>
      <c r="X934" s="1"/>
      <c r="Y934" s="1"/>
      <c r="Z934" s="173"/>
      <c r="AA934" s="1"/>
      <c r="AB934" s="165"/>
      <c r="AC934" s="1"/>
      <c r="AD934" s="1"/>
      <c r="AE934" s="1"/>
      <c r="AF934" s="46"/>
      <c r="AG934" s="1"/>
      <c r="AH934" s="165"/>
      <c r="AI934" s="165"/>
      <c r="AJ934" s="165"/>
      <c r="AK934" s="165"/>
      <c r="AL934" s="165"/>
      <c r="AM934" s="165"/>
      <c r="AN934" s="165"/>
    </row>
    <row r="935" spans="3:40">
      <c r="C935" s="46"/>
      <c r="F935" s="173"/>
      <c r="G935" s="1"/>
      <c r="H935" s="165"/>
      <c r="I935" s="160"/>
      <c r="J935" s="160"/>
      <c r="K935" s="1"/>
      <c r="L935" s="123"/>
      <c r="M935" s="1"/>
      <c r="N935" s="590"/>
      <c r="O935" s="165"/>
      <c r="P935" s="165"/>
      <c r="Q935" s="165"/>
      <c r="R935" s="165"/>
      <c r="S935" s="165"/>
      <c r="V935" s="46"/>
      <c r="W935" s="46"/>
      <c r="X935" s="1"/>
      <c r="Y935" s="1"/>
      <c r="Z935" s="173"/>
      <c r="AA935" s="1"/>
      <c r="AB935" s="165"/>
      <c r="AC935" s="1"/>
      <c r="AD935" s="1"/>
      <c r="AE935" s="1"/>
      <c r="AF935" s="46"/>
      <c r="AG935" s="1"/>
      <c r="AH935" s="165"/>
      <c r="AI935" s="165"/>
      <c r="AJ935" s="165"/>
      <c r="AK935" s="165"/>
      <c r="AL935" s="165"/>
      <c r="AM935" s="165"/>
      <c r="AN935" s="165"/>
    </row>
    <row r="936" spans="3:40">
      <c r="C936" s="46"/>
      <c r="F936" s="173"/>
      <c r="G936" s="1"/>
      <c r="H936" s="165"/>
      <c r="I936" s="160"/>
      <c r="J936" s="160"/>
      <c r="K936" s="1"/>
      <c r="L936" s="123"/>
      <c r="M936" s="1"/>
      <c r="N936" s="590"/>
      <c r="O936" s="165"/>
      <c r="P936" s="165"/>
      <c r="Q936" s="165"/>
      <c r="R936" s="165"/>
      <c r="S936" s="165"/>
      <c r="V936" s="46"/>
      <c r="W936" s="46"/>
      <c r="X936" s="1"/>
      <c r="Y936" s="1"/>
      <c r="Z936" s="173"/>
      <c r="AA936" s="1"/>
      <c r="AB936" s="165"/>
      <c r="AC936" s="1"/>
      <c r="AD936" s="1"/>
      <c r="AE936" s="1"/>
      <c r="AF936" s="46"/>
      <c r="AG936" s="1"/>
      <c r="AH936" s="165"/>
      <c r="AI936" s="165"/>
      <c r="AJ936" s="165"/>
      <c r="AK936" s="165"/>
      <c r="AL936" s="165"/>
      <c r="AM936" s="165"/>
      <c r="AN936" s="165"/>
    </row>
    <row r="937" spans="3:40">
      <c r="C937" s="46"/>
      <c r="F937" s="173"/>
      <c r="G937" s="1"/>
      <c r="H937" s="165"/>
      <c r="I937" s="160"/>
      <c r="J937" s="160"/>
      <c r="K937" s="1"/>
      <c r="L937" s="123"/>
      <c r="M937" s="1"/>
      <c r="N937" s="590"/>
      <c r="O937" s="165"/>
      <c r="P937" s="165"/>
      <c r="Q937" s="165"/>
      <c r="R937" s="165"/>
      <c r="S937" s="165"/>
      <c r="V937" s="46"/>
      <c r="W937" s="46"/>
      <c r="X937" s="1"/>
      <c r="Y937" s="1"/>
      <c r="Z937" s="173"/>
      <c r="AA937" s="1"/>
      <c r="AB937" s="165"/>
      <c r="AC937" s="1"/>
      <c r="AD937" s="1"/>
      <c r="AE937" s="1"/>
      <c r="AF937" s="46"/>
      <c r="AG937" s="1"/>
      <c r="AH937" s="165"/>
      <c r="AI937" s="165"/>
      <c r="AJ937" s="165"/>
      <c r="AK937" s="165"/>
      <c r="AL937" s="165"/>
      <c r="AM937" s="165"/>
      <c r="AN937" s="165"/>
    </row>
    <row r="938" spans="3:40">
      <c r="C938" s="46"/>
      <c r="F938" s="173"/>
      <c r="G938" s="1"/>
      <c r="H938" s="165"/>
      <c r="I938" s="160"/>
      <c r="J938" s="160"/>
      <c r="K938" s="1"/>
      <c r="L938" s="123"/>
      <c r="M938" s="1"/>
      <c r="N938" s="590"/>
      <c r="O938" s="165"/>
      <c r="P938" s="165"/>
      <c r="Q938" s="165"/>
      <c r="R938" s="165"/>
      <c r="S938" s="165"/>
      <c r="V938" s="46"/>
      <c r="W938" s="46"/>
      <c r="X938" s="1"/>
      <c r="Y938" s="1"/>
      <c r="Z938" s="173"/>
      <c r="AA938" s="1"/>
      <c r="AB938" s="165"/>
      <c r="AC938" s="1"/>
      <c r="AD938" s="1"/>
      <c r="AE938" s="1"/>
      <c r="AF938" s="46"/>
      <c r="AG938" s="1"/>
      <c r="AH938" s="165"/>
      <c r="AI938" s="165"/>
      <c r="AJ938" s="165"/>
      <c r="AK938" s="165"/>
      <c r="AL938" s="165"/>
      <c r="AM938" s="165"/>
      <c r="AN938" s="165"/>
    </row>
    <row r="939" spans="3:40">
      <c r="C939" s="46"/>
      <c r="F939" s="173"/>
      <c r="G939" s="1"/>
      <c r="H939" s="165"/>
      <c r="I939" s="160"/>
      <c r="J939" s="160"/>
      <c r="K939" s="1"/>
      <c r="L939" s="123"/>
      <c r="M939" s="1"/>
      <c r="N939" s="590"/>
      <c r="O939" s="165"/>
      <c r="P939" s="165"/>
      <c r="Q939" s="165"/>
      <c r="R939" s="165"/>
      <c r="S939" s="165"/>
      <c r="V939" s="46"/>
      <c r="W939" s="46"/>
      <c r="X939" s="1"/>
      <c r="Y939" s="1"/>
      <c r="Z939" s="173"/>
      <c r="AA939" s="1"/>
      <c r="AB939" s="165"/>
      <c r="AC939" s="1"/>
      <c r="AD939" s="1"/>
      <c r="AE939" s="1"/>
      <c r="AF939" s="46"/>
      <c r="AG939" s="1"/>
      <c r="AH939" s="165"/>
      <c r="AI939" s="165"/>
      <c r="AJ939" s="165"/>
      <c r="AK939" s="165"/>
      <c r="AL939" s="165"/>
      <c r="AM939" s="165"/>
      <c r="AN939" s="165"/>
    </row>
    <row r="940" spans="3:40">
      <c r="C940" s="46"/>
      <c r="F940" s="173"/>
      <c r="G940" s="1"/>
      <c r="H940" s="165"/>
      <c r="I940" s="160"/>
      <c r="J940" s="160"/>
      <c r="K940" s="1"/>
      <c r="L940" s="123"/>
      <c r="M940" s="1"/>
      <c r="N940" s="590"/>
      <c r="O940" s="165"/>
      <c r="P940" s="165"/>
      <c r="Q940" s="165"/>
      <c r="R940" s="165"/>
      <c r="S940" s="165"/>
      <c r="V940" s="46"/>
      <c r="W940" s="46"/>
      <c r="X940" s="1"/>
      <c r="Y940" s="1"/>
      <c r="Z940" s="173"/>
      <c r="AA940" s="1"/>
      <c r="AB940" s="165"/>
      <c r="AC940" s="1"/>
      <c r="AD940" s="1"/>
      <c r="AE940" s="1"/>
      <c r="AF940" s="46"/>
      <c r="AG940" s="1"/>
      <c r="AH940" s="165"/>
      <c r="AI940" s="165"/>
      <c r="AJ940" s="165"/>
      <c r="AK940" s="165"/>
      <c r="AL940" s="165"/>
      <c r="AM940" s="165"/>
      <c r="AN940" s="165"/>
    </row>
    <row r="941" spans="3:40">
      <c r="C941" s="46"/>
      <c r="F941" s="173"/>
      <c r="G941" s="1"/>
      <c r="H941" s="165"/>
      <c r="I941" s="160"/>
      <c r="J941" s="160"/>
      <c r="K941" s="1"/>
      <c r="L941" s="123"/>
      <c r="M941" s="1"/>
      <c r="N941" s="590"/>
      <c r="O941" s="165"/>
      <c r="P941" s="165"/>
      <c r="Q941" s="165"/>
      <c r="R941" s="165"/>
      <c r="S941" s="165"/>
      <c r="V941" s="46"/>
      <c r="W941" s="46"/>
      <c r="X941" s="1"/>
      <c r="Y941" s="1"/>
      <c r="Z941" s="173"/>
      <c r="AA941" s="1"/>
      <c r="AB941" s="165"/>
      <c r="AC941" s="1"/>
      <c r="AD941" s="1"/>
      <c r="AE941" s="1"/>
      <c r="AF941" s="46"/>
      <c r="AG941" s="1"/>
      <c r="AH941" s="165"/>
      <c r="AI941" s="165"/>
      <c r="AJ941" s="165"/>
      <c r="AK941" s="165"/>
      <c r="AL941" s="165"/>
      <c r="AM941" s="165"/>
      <c r="AN941" s="165"/>
    </row>
    <row r="942" spans="3:40">
      <c r="C942" s="46"/>
      <c r="F942" s="173"/>
      <c r="G942" s="1"/>
      <c r="H942" s="165"/>
      <c r="I942" s="160"/>
      <c r="J942" s="160"/>
      <c r="K942" s="1"/>
      <c r="L942" s="123"/>
      <c r="M942" s="1"/>
      <c r="N942" s="590"/>
      <c r="O942" s="165"/>
      <c r="P942" s="165"/>
      <c r="Q942" s="165"/>
      <c r="R942" s="165"/>
      <c r="S942" s="165"/>
      <c r="V942" s="46"/>
      <c r="W942" s="46"/>
      <c r="X942" s="1"/>
      <c r="Y942" s="1"/>
      <c r="Z942" s="173"/>
      <c r="AA942" s="1"/>
      <c r="AB942" s="165"/>
      <c r="AC942" s="1"/>
      <c r="AD942" s="1"/>
      <c r="AE942" s="1"/>
      <c r="AF942" s="46"/>
      <c r="AG942" s="1"/>
      <c r="AH942" s="165"/>
      <c r="AI942" s="165"/>
      <c r="AJ942" s="165"/>
      <c r="AK942" s="165"/>
      <c r="AL942" s="165"/>
      <c r="AM942" s="165"/>
      <c r="AN942" s="165"/>
    </row>
    <row r="943" spans="3:40">
      <c r="C943" s="46"/>
      <c r="F943" s="173"/>
      <c r="G943" s="1"/>
      <c r="H943" s="165"/>
      <c r="I943" s="160"/>
      <c r="J943" s="160"/>
      <c r="K943" s="1"/>
      <c r="L943" s="123"/>
      <c r="M943" s="1"/>
      <c r="N943" s="590"/>
      <c r="O943" s="165"/>
      <c r="P943" s="165"/>
      <c r="Q943" s="165"/>
      <c r="R943" s="165"/>
      <c r="S943" s="165"/>
      <c r="V943" s="46"/>
      <c r="W943" s="46"/>
      <c r="X943" s="1"/>
      <c r="Y943" s="1"/>
      <c r="Z943" s="173"/>
      <c r="AA943" s="1"/>
      <c r="AB943" s="165"/>
      <c r="AC943" s="1"/>
      <c r="AD943" s="1"/>
      <c r="AE943" s="1"/>
      <c r="AF943" s="46"/>
      <c r="AG943" s="1"/>
      <c r="AH943" s="165"/>
      <c r="AI943" s="165"/>
      <c r="AJ943" s="165"/>
      <c r="AK943" s="165"/>
      <c r="AL943" s="165"/>
      <c r="AM943" s="165"/>
      <c r="AN943" s="165"/>
    </row>
    <row r="944" spans="3:40">
      <c r="C944" s="46"/>
      <c r="F944" s="173"/>
      <c r="G944" s="1"/>
      <c r="H944" s="165"/>
      <c r="I944" s="160"/>
      <c r="J944" s="160"/>
      <c r="K944" s="1"/>
      <c r="L944" s="123"/>
      <c r="M944" s="1"/>
      <c r="N944" s="590"/>
      <c r="O944" s="165"/>
      <c r="P944" s="165"/>
      <c r="Q944" s="165"/>
      <c r="R944" s="165"/>
      <c r="S944" s="165"/>
      <c r="V944" s="46"/>
      <c r="W944" s="46"/>
      <c r="X944" s="1"/>
      <c r="Y944" s="1"/>
      <c r="Z944" s="173"/>
      <c r="AA944" s="1"/>
      <c r="AB944" s="165"/>
      <c r="AC944" s="1"/>
      <c r="AD944" s="1"/>
      <c r="AE944" s="1"/>
      <c r="AF944" s="46"/>
      <c r="AG944" s="1"/>
      <c r="AH944" s="165"/>
      <c r="AI944" s="165"/>
      <c r="AJ944" s="165"/>
      <c r="AK944" s="165"/>
      <c r="AL944" s="165"/>
      <c r="AM944" s="165"/>
      <c r="AN944" s="165"/>
    </row>
    <row r="945" spans="3:40">
      <c r="C945" s="46"/>
      <c r="F945" s="173"/>
      <c r="G945" s="1"/>
      <c r="H945" s="165"/>
      <c r="I945" s="160"/>
      <c r="J945" s="160"/>
      <c r="K945" s="1"/>
      <c r="L945" s="123"/>
      <c r="M945" s="1"/>
      <c r="N945" s="590"/>
      <c r="O945" s="165"/>
      <c r="P945" s="165"/>
      <c r="Q945" s="165"/>
      <c r="R945" s="165"/>
      <c r="S945" s="165"/>
      <c r="V945" s="46"/>
      <c r="W945" s="46"/>
      <c r="X945" s="1"/>
      <c r="Y945" s="1"/>
      <c r="Z945" s="173"/>
      <c r="AA945" s="1"/>
      <c r="AB945" s="165"/>
      <c r="AC945" s="1"/>
      <c r="AD945" s="1"/>
      <c r="AE945" s="1"/>
      <c r="AF945" s="46"/>
      <c r="AG945" s="1"/>
      <c r="AH945" s="165"/>
      <c r="AI945" s="165"/>
      <c r="AJ945" s="165"/>
      <c r="AK945" s="165"/>
      <c r="AL945" s="165"/>
      <c r="AM945" s="165"/>
      <c r="AN945" s="165"/>
    </row>
    <row r="946" spans="3:40">
      <c r="C946" s="46"/>
      <c r="F946" s="173"/>
      <c r="G946" s="1"/>
      <c r="H946" s="165"/>
      <c r="I946" s="160"/>
      <c r="J946" s="160"/>
      <c r="K946" s="1"/>
      <c r="L946" s="123"/>
      <c r="M946" s="1"/>
      <c r="N946" s="590"/>
      <c r="O946" s="165"/>
      <c r="P946" s="165"/>
      <c r="Q946" s="165"/>
      <c r="R946" s="165"/>
      <c r="S946" s="165"/>
      <c r="V946" s="46"/>
      <c r="W946" s="46"/>
      <c r="X946" s="1"/>
      <c r="Y946" s="1"/>
      <c r="Z946" s="173"/>
      <c r="AA946" s="1"/>
      <c r="AB946" s="165"/>
      <c r="AC946" s="1"/>
      <c r="AD946" s="1"/>
      <c r="AE946" s="1"/>
      <c r="AF946" s="46"/>
      <c r="AG946" s="1"/>
      <c r="AH946" s="165"/>
      <c r="AI946" s="165"/>
      <c r="AJ946" s="165"/>
      <c r="AK946" s="165"/>
      <c r="AL946" s="165"/>
      <c r="AM946" s="165"/>
      <c r="AN946" s="165"/>
    </row>
    <row r="947" spans="3:40">
      <c r="C947" s="46"/>
      <c r="F947" s="173"/>
      <c r="G947" s="1"/>
      <c r="H947" s="165"/>
      <c r="I947" s="160"/>
      <c r="J947" s="160"/>
      <c r="K947" s="1"/>
      <c r="L947" s="123"/>
      <c r="M947" s="1"/>
      <c r="N947" s="590"/>
      <c r="O947" s="165"/>
      <c r="P947" s="165"/>
      <c r="Q947" s="165"/>
      <c r="R947" s="165"/>
      <c r="S947" s="165"/>
      <c r="V947" s="46"/>
      <c r="W947" s="46"/>
      <c r="X947" s="1"/>
      <c r="Y947" s="1"/>
      <c r="Z947" s="173"/>
      <c r="AA947" s="1"/>
      <c r="AB947" s="165"/>
      <c r="AC947" s="1"/>
      <c r="AD947" s="1"/>
      <c r="AE947" s="1"/>
      <c r="AF947" s="46"/>
      <c r="AG947" s="1"/>
      <c r="AH947" s="165"/>
      <c r="AI947" s="165"/>
      <c r="AJ947" s="165"/>
      <c r="AK947" s="165"/>
      <c r="AL947" s="165"/>
      <c r="AM947" s="165"/>
      <c r="AN947" s="165"/>
    </row>
    <row r="948" spans="3:40">
      <c r="C948" s="46"/>
      <c r="F948" s="173"/>
      <c r="G948" s="1"/>
      <c r="H948" s="165"/>
      <c r="I948" s="160"/>
      <c r="J948" s="160"/>
      <c r="K948" s="1"/>
      <c r="L948" s="123"/>
      <c r="M948" s="1"/>
      <c r="N948" s="590"/>
      <c r="O948" s="165"/>
      <c r="P948" s="165"/>
      <c r="Q948" s="165"/>
      <c r="R948" s="165"/>
      <c r="S948" s="165"/>
      <c r="V948" s="46"/>
      <c r="W948" s="46"/>
      <c r="X948" s="1"/>
      <c r="Y948" s="1"/>
      <c r="Z948" s="173"/>
      <c r="AA948" s="1"/>
      <c r="AB948" s="165"/>
      <c r="AC948" s="1"/>
      <c r="AD948" s="1"/>
      <c r="AE948" s="1"/>
      <c r="AF948" s="46"/>
      <c r="AG948" s="1"/>
      <c r="AH948" s="165"/>
      <c r="AI948" s="165"/>
      <c r="AJ948" s="165"/>
      <c r="AK948" s="165"/>
      <c r="AL948" s="165"/>
      <c r="AM948" s="165"/>
      <c r="AN948" s="165"/>
    </row>
    <row r="949" spans="3:40">
      <c r="C949" s="46"/>
      <c r="F949" s="173"/>
      <c r="G949" s="1"/>
      <c r="H949" s="165"/>
      <c r="I949" s="160"/>
      <c r="J949" s="160"/>
      <c r="K949" s="1"/>
      <c r="L949" s="123"/>
      <c r="M949" s="1"/>
      <c r="N949" s="590"/>
      <c r="O949" s="165"/>
      <c r="P949" s="165"/>
      <c r="Q949" s="165"/>
      <c r="R949" s="165"/>
      <c r="S949" s="165"/>
      <c r="V949" s="46"/>
      <c r="W949" s="46"/>
      <c r="X949" s="1"/>
      <c r="Y949" s="1"/>
      <c r="Z949" s="173"/>
      <c r="AA949" s="1"/>
      <c r="AB949" s="165"/>
      <c r="AC949" s="1"/>
      <c r="AD949" s="1"/>
      <c r="AE949" s="1"/>
      <c r="AF949" s="46"/>
      <c r="AG949" s="1"/>
      <c r="AH949" s="165"/>
      <c r="AI949" s="165"/>
      <c r="AJ949" s="165"/>
      <c r="AK949" s="165"/>
      <c r="AL949" s="165"/>
      <c r="AM949" s="165"/>
      <c r="AN949" s="165"/>
    </row>
    <row r="950" spans="3:40">
      <c r="C950" s="46"/>
      <c r="F950" s="173"/>
      <c r="G950" s="1"/>
      <c r="H950" s="165"/>
      <c r="I950" s="160"/>
      <c r="J950" s="160"/>
      <c r="K950" s="1"/>
      <c r="L950" s="123"/>
      <c r="M950" s="1"/>
      <c r="N950" s="590"/>
      <c r="O950" s="165"/>
      <c r="P950" s="165"/>
      <c r="Q950" s="165"/>
      <c r="R950" s="165"/>
      <c r="S950" s="165"/>
      <c r="V950" s="46"/>
      <c r="W950" s="46"/>
      <c r="X950" s="1"/>
      <c r="Y950" s="1"/>
      <c r="Z950" s="173"/>
      <c r="AA950" s="1"/>
      <c r="AB950" s="165"/>
      <c r="AC950" s="1"/>
      <c r="AD950" s="1"/>
      <c r="AE950" s="1"/>
      <c r="AF950" s="46"/>
      <c r="AG950" s="1"/>
      <c r="AH950" s="165"/>
      <c r="AI950" s="165"/>
      <c r="AJ950" s="165"/>
      <c r="AK950" s="165"/>
      <c r="AL950" s="165"/>
      <c r="AM950" s="165"/>
      <c r="AN950" s="165"/>
    </row>
    <row r="951" spans="3:40">
      <c r="C951" s="46"/>
      <c r="F951" s="173"/>
      <c r="G951" s="1"/>
      <c r="H951" s="165"/>
      <c r="I951" s="160"/>
      <c r="J951" s="160"/>
      <c r="K951" s="1"/>
      <c r="L951" s="123"/>
      <c r="M951" s="1"/>
      <c r="N951" s="590"/>
      <c r="O951" s="165"/>
      <c r="P951" s="165"/>
      <c r="Q951" s="165"/>
      <c r="R951" s="165"/>
      <c r="S951" s="165"/>
      <c r="V951" s="46"/>
      <c r="W951" s="46"/>
      <c r="X951" s="1"/>
      <c r="Y951" s="1"/>
      <c r="Z951" s="173"/>
      <c r="AA951" s="1"/>
      <c r="AB951" s="165"/>
      <c r="AC951" s="1"/>
      <c r="AD951" s="1"/>
      <c r="AE951" s="1"/>
      <c r="AF951" s="46"/>
      <c r="AG951" s="1"/>
      <c r="AH951" s="165"/>
      <c r="AI951" s="165"/>
      <c r="AJ951" s="165"/>
      <c r="AK951" s="165"/>
      <c r="AL951" s="165"/>
      <c r="AM951" s="165"/>
      <c r="AN951" s="165"/>
    </row>
    <row r="952" spans="3:40">
      <c r="C952" s="46"/>
      <c r="F952" s="173"/>
      <c r="G952" s="1"/>
      <c r="H952" s="165"/>
      <c r="I952" s="160"/>
      <c r="J952" s="160"/>
      <c r="K952" s="1"/>
      <c r="L952" s="123"/>
      <c r="M952" s="1"/>
      <c r="N952" s="590"/>
      <c r="O952" s="165"/>
      <c r="P952" s="165"/>
      <c r="Q952" s="165"/>
      <c r="R952" s="165"/>
      <c r="S952" s="165"/>
      <c r="V952" s="46"/>
      <c r="W952" s="46"/>
      <c r="X952" s="1"/>
      <c r="Y952" s="1"/>
      <c r="Z952" s="173"/>
      <c r="AA952" s="1"/>
      <c r="AB952" s="165"/>
      <c r="AC952" s="1"/>
      <c r="AD952" s="1"/>
      <c r="AE952" s="1"/>
      <c r="AF952" s="46"/>
      <c r="AG952" s="1"/>
      <c r="AH952" s="165"/>
      <c r="AI952" s="165"/>
      <c r="AJ952" s="165"/>
      <c r="AK952" s="165"/>
      <c r="AL952" s="165"/>
      <c r="AM952" s="165"/>
      <c r="AN952" s="165"/>
    </row>
    <row r="953" spans="3:40">
      <c r="C953" s="46"/>
      <c r="F953" s="173"/>
      <c r="G953" s="1"/>
      <c r="H953" s="165"/>
      <c r="I953" s="160"/>
      <c r="J953" s="160"/>
      <c r="K953" s="1"/>
      <c r="L953" s="123"/>
      <c r="M953" s="1"/>
      <c r="N953" s="590"/>
      <c r="O953" s="165"/>
      <c r="P953" s="165"/>
      <c r="Q953" s="165"/>
      <c r="R953" s="165"/>
      <c r="S953" s="165"/>
      <c r="V953" s="46"/>
      <c r="W953" s="46"/>
      <c r="X953" s="1"/>
      <c r="Y953" s="1"/>
      <c r="Z953" s="173"/>
      <c r="AA953" s="1"/>
      <c r="AB953" s="165"/>
      <c r="AC953" s="1"/>
      <c r="AD953" s="1"/>
      <c r="AE953" s="1"/>
      <c r="AF953" s="46"/>
      <c r="AG953" s="1"/>
      <c r="AH953" s="165"/>
      <c r="AI953" s="165"/>
      <c r="AJ953" s="165"/>
      <c r="AK953" s="165"/>
      <c r="AL953" s="165"/>
      <c r="AM953" s="165"/>
      <c r="AN953" s="165"/>
    </row>
    <row r="954" spans="3:40">
      <c r="C954" s="46"/>
      <c r="F954" s="173"/>
      <c r="G954" s="1"/>
      <c r="H954" s="165"/>
      <c r="I954" s="160"/>
      <c r="J954" s="160"/>
      <c r="K954" s="1"/>
      <c r="L954" s="123"/>
      <c r="M954" s="1"/>
      <c r="N954" s="590"/>
      <c r="O954" s="165"/>
      <c r="P954" s="165"/>
      <c r="Q954" s="165"/>
      <c r="R954" s="165"/>
      <c r="S954" s="165"/>
      <c r="V954" s="46"/>
      <c r="W954" s="46"/>
      <c r="X954" s="1"/>
      <c r="Y954" s="1"/>
      <c r="Z954" s="173"/>
      <c r="AA954" s="1"/>
      <c r="AB954" s="165"/>
      <c r="AC954" s="1"/>
      <c r="AD954" s="1"/>
      <c r="AE954" s="1"/>
      <c r="AF954" s="46"/>
      <c r="AG954" s="1"/>
      <c r="AH954" s="165"/>
      <c r="AI954" s="165"/>
      <c r="AJ954" s="165"/>
      <c r="AK954" s="165"/>
      <c r="AL954" s="165"/>
      <c r="AM954" s="165"/>
      <c r="AN954" s="165"/>
    </row>
    <row r="955" spans="3:40">
      <c r="C955" s="46"/>
      <c r="F955" s="173"/>
      <c r="G955" s="1"/>
      <c r="H955" s="165"/>
      <c r="I955" s="160"/>
      <c r="J955" s="160"/>
      <c r="K955" s="1"/>
      <c r="L955" s="123"/>
      <c r="M955" s="1"/>
      <c r="N955" s="590"/>
      <c r="O955" s="165"/>
      <c r="P955" s="165"/>
      <c r="Q955" s="165"/>
      <c r="R955" s="165"/>
      <c r="S955" s="165"/>
      <c r="V955" s="46"/>
      <c r="W955" s="46"/>
      <c r="X955" s="1"/>
      <c r="Y955" s="1"/>
      <c r="Z955" s="173"/>
      <c r="AA955" s="1"/>
      <c r="AB955" s="165"/>
      <c r="AC955" s="1"/>
      <c r="AD955" s="1"/>
      <c r="AE955" s="1"/>
      <c r="AF955" s="46"/>
      <c r="AG955" s="1"/>
      <c r="AH955" s="165"/>
      <c r="AI955" s="165"/>
      <c r="AJ955" s="165"/>
      <c r="AK955" s="165"/>
      <c r="AL955" s="165"/>
      <c r="AM955" s="165"/>
      <c r="AN955" s="165"/>
    </row>
    <row r="956" spans="3:40">
      <c r="C956" s="46"/>
      <c r="F956" s="173"/>
      <c r="G956" s="1"/>
      <c r="H956" s="165"/>
      <c r="I956" s="160"/>
      <c r="J956" s="160"/>
      <c r="K956" s="1"/>
      <c r="L956" s="123"/>
      <c r="M956" s="1"/>
      <c r="N956" s="590"/>
      <c r="O956" s="165"/>
      <c r="P956" s="165"/>
      <c r="Q956" s="165"/>
      <c r="R956" s="165"/>
      <c r="S956" s="165"/>
      <c r="V956" s="46"/>
      <c r="W956" s="46"/>
      <c r="X956" s="1"/>
      <c r="Y956" s="1"/>
      <c r="Z956" s="173"/>
      <c r="AA956" s="1"/>
      <c r="AB956" s="165"/>
      <c r="AC956" s="1"/>
      <c r="AD956" s="1"/>
      <c r="AE956" s="1"/>
      <c r="AF956" s="46"/>
      <c r="AG956" s="1"/>
      <c r="AH956" s="165"/>
      <c r="AI956" s="165"/>
      <c r="AJ956" s="165"/>
      <c r="AK956" s="165"/>
      <c r="AL956" s="165"/>
      <c r="AM956" s="165"/>
      <c r="AN956" s="165"/>
    </row>
    <row r="957" spans="3:40">
      <c r="C957" s="46"/>
      <c r="F957" s="173"/>
      <c r="G957" s="1"/>
      <c r="H957" s="165"/>
      <c r="I957" s="160"/>
      <c r="J957" s="160"/>
      <c r="K957" s="1"/>
      <c r="L957" s="123"/>
      <c r="M957" s="1"/>
      <c r="N957" s="590"/>
      <c r="O957" s="165"/>
      <c r="P957" s="165"/>
      <c r="Q957" s="165"/>
      <c r="R957" s="165"/>
      <c r="S957" s="165"/>
      <c r="V957" s="46"/>
      <c r="W957" s="46"/>
      <c r="X957" s="1"/>
      <c r="Y957" s="1"/>
      <c r="Z957" s="173"/>
      <c r="AA957" s="1"/>
      <c r="AB957" s="165"/>
      <c r="AC957" s="1"/>
      <c r="AD957" s="1"/>
      <c r="AE957" s="1"/>
      <c r="AF957" s="46"/>
      <c r="AG957" s="1"/>
      <c r="AH957" s="165"/>
      <c r="AI957" s="165"/>
      <c r="AJ957" s="165"/>
      <c r="AK957" s="165"/>
      <c r="AL957" s="165"/>
      <c r="AM957" s="165"/>
      <c r="AN957" s="165"/>
    </row>
    <row r="958" spans="3:40">
      <c r="C958" s="46"/>
      <c r="F958" s="173"/>
      <c r="G958" s="1"/>
      <c r="H958" s="165"/>
      <c r="I958" s="160"/>
      <c r="J958" s="160"/>
      <c r="K958" s="1"/>
      <c r="L958" s="123"/>
      <c r="M958" s="1"/>
      <c r="N958" s="590"/>
      <c r="O958" s="165"/>
      <c r="P958" s="165"/>
      <c r="Q958" s="165"/>
      <c r="R958" s="165"/>
      <c r="S958" s="165"/>
      <c r="V958" s="46"/>
      <c r="W958" s="46"/>
      <c r="X958" s="1"/>
      <c r="Y958" s="1"/>
      <c r="Z958" s="173"/>
      <c r="AA958" s="1"/>
      <c r="AB958" s="165"/>
      <c r="AC958" s="1"/>
      <c r="AD958" s="1"/>
      <c r="AE958" s="1"/>
      <c r="AF958" s="46"/>
      <c r="AG958" s="1"/>
      <c r="AH958" s="165"/>
      <c r="AI958" s="165"/>
      <c r="AJ958" s="165"/>
      <c r="AK958" s="165"/>
      <c r="AL958" s="165"/>
      <c r="AM958" s="165"/>
      <c r="AN958" s="165"/>
    </row>
    <row r="959" spans="3:40">
      <c r="C959" s="46"/>
      <c r="F959" s="173"/>
      <c r="G959" s="1"/>
      <c r="H959" s="165"/>
      <c r="I959" s="160"/>
      <c r="J959" s="160"/>
      <c r="K959" s="1"/>
      <c r="L959" s="123"/>
      <c r="M959" s="1"/>
      <c r="N959" s="590"/>
      <c r="O959" s="165"/>
      <c r="P959" s="165"/>
      <c r="Q959" s="165"/>
      <c r="R959" s="165"/>
      <c r="S959" s="165"/>
      <c r="V959" s="46"/>
      <c r="W959" s="46"/>
      <c r="X959" s="1"/>
      <c r="Y959" s="1"/>
      <c r="Z959" s="173"/>
      <c r="AA959" s="1"/>
      <c r="AB959" s="165"/>
      <c r="AC959" s="1"/>
      <c r="AD959" s="1"/>
      <c r="AE959" s="1"/>
      <c r="AF959" s="46"/>
      <c r="AG959" s="1"/>
      <c r="AH959" s="165"/>
      <c r="AI959" s="165"/>
      <c r="AJ959" s="165"/>
      <c r="AK959" s="165"/>
      <c r="AL959" s="165"/>
      <c r="AM959" s="165"/>
      <c r="AN959" s="165"/>
    </row>
    <row r="960" spans="3:40">
      <c r="C960" s="46"/>
      <c r="F960" s="173"/>
      <c r="G960" s="1"/>
      <c r="H960" s="165"/>
      <c r="I960" s="160"/>
      <c r="J960" s="160"/>
      <c r="K960" s="1"/>
      <c r="L960" s="123"/>
      <c r="M960" s="1"/>
      <c r="N960" s="590"/>
      <c r="O960" s="165"/>
      <c r="P960" s="165"/>
      <c r="Q960" s="165"/>
      <c r="R960" s="165"/>
      <c r="S960" s="165"/>
      <c r="V960" s="46"/>
      <c r="W960" s="46"/>
      <c r="X960" s="1"/>
      <c r="Y960" s="1"/>
      <c r="Z960" s="173"/>
      <c r="AA960" s="1"/>
      <c r="AB960" s="165"/>
      <c r="AC960" s="1"/>
      <c r="AD960" s="1"/>
      <c r="AE960" s="1"/>
      <c r="AF960" s="46"/>
      <c r="AG960" s="1"/>
      <c r="AH960" s="165"/>
      <c r="AI960" s="165"/>
      <c r="AJ960" s="165"/>
      <c r="AK960" s="165"/>
      <c r="AL960" s="165"/>
      <c r="AM960" s="165"/>
      <c r="AN960" s="165"/>
    </row>
    <row r="961" spans="3:40">
      <c r="C961" s="46"/>
      <c r="F961" s="173"/>
      <c r="G961" s="1"/>
      <c r="H961" s="165"/>
      <c r="I961" s="160"/>
      <c r="J961" s="160"/>
      <c r="K961" s="1"/>
      <c r="L961" s="123"/>
      <c r="M961" s="1"/>
      <c r="N961" s="590"/>
      <c r="O961" s="165"/>
      <c r="P961" s="165"/>
      <c r="Q961" s="165"/>
      <c r="R961" s="165"/>
      <c r="S961" s="165"/>
      <c r="V961" s="46"/>
      <c r="W961" s="46"/>
      <c r="X961" s="1"/>
      <c r="Y961" s="1"/>
      <c r="Z961" s="173"/>
      <c r="AA961" s="1"/>
      <c r="AB961" s="165"/>
      <c r="AC961" s="1"/>
      <c r="AD961" s="1"/>
      <c r="AE961" s="1"/>
      <c r="AF961" s="46"/>
      <c r="AG961" s="1"/>
      <c r="AH961" s="165"/>
      <c r="AI961" s="165"/>
      <c r="AJ961" s="165"/>
      <c r="AK961" s="165"/>
      <c r="AL961" s="165"/>
      <c r="AM961" s="165"/>
      <c r="AN961" s="165"/>
    </row>
    <row r="962" spans="3:40">
      <c r="C962" s="46"/>
      <c r="F962" s="173"/>
      <c r="G962" s="1"/>
      <c r="H962" s="165"/>
      <c r="I962" s="160"/>
      <c r="J962" s="160"/>
      <c r="K962" s="1"/>
      <c r="L962" s="123"/>
      <c r="M962" s="1"/>
      <c r="N962" s="590"/>
      <c r="O962" s="165"/>
      <c r="P962" s="165"/>
      <c r="Q962" s="165"/>
      <c r="R962" s="165"/>
      <c r="S962" s="165"/>
      <c r="V962" s="46"/>
      <c r="W962" s="46"/>
      <c r="X962" s="1"/>
      <c r="Y962" s="1"/>
      <c r="Z962" s="173"/>
      <c r="AA962" s="1"/>
      <c r="AB962" s="165"/>
      <c r="AC962" s="1"/>
      <c r="AD962" s="1"/>
      <c r="AE962" s="1"/>
      <c r="AF962" s="46"/>
      <c r="AG962" s="1"/>
      <c r="AH962" s="165"/>
      <c r="AI962" s="165"/>
      <c r="AJ962" s="165"/>
      <c r="AK962" s="165"/>
      <c r="AL962" s="165"/>
      <c r="AM962" s="165"/>
      <c r="AN962" s="165"/>
    </row>
    <row r="963" spans="3:40">
      <c r="C963" s="46"/>
      <c r="F963" s="173"/>
      <c r="G963" s="1"/>
      <c r="H963" s="165"/>
      <c r="I963" s="160"/>
      <c r="J963" s="160"/>
      <c r="K963" s="1"/>
      <c r="L963" s="123"/>
      <c r="M963" s="1"/>
      <c r="N963" s="590"/>
      <c r="O963" s="165"/>
      <c r="P963" s="165"/>
      <c r="Q963" s="165"/>
      <c r="R963" s="165"/>
      <c r="S963" s="165"/>
      <c r="V963" s="46"/>
      <c r="W963" s="46"/>
      <c r="X963" s="1"/>
      <c r="Y963" s="1"/>
      <c r="Z963" s="173"/>
      <c r="AA963" s="1"/>
      <c r="AB963" s="165"/>
      <c r="AC963" s="1"/>
      <c r="AD963" s="1"/>
      <c r="AE963" s="1"/>
      <c r="AF963" s="46"/>
      <c r="AG963" s="1"/>
      <c r="AH963" s="165"/>
      <c r="AI963" s="165"/>
      <c r="AJ963" s="165"/>
      <c r="AK963" s="165"/>
      <c r="AL963" s="165"/>
      <c r="AM963" s="165"/>
      <c r="AN963" s="165"/>
    </row>
    <row r="964" spans="3:40">
      <c r="C964" s="46"/>
      <c r="F964" s="173"/>
      <c r="G964" s="1"/>
      <c r="H964" s="165"/>
      <c r="I964" s="160"/>
      <c r="J964" s="160"/>
      <c r="K964" s="1"/>
      <c r="L964" s="123"/>
      <c r="M964" s="1"/>
      <c r="N964" s="590"/>
      <c r="O964" s="165"/>
      <c r="P964" s="165"/>
      <c r="Q964" s="165"/>
      <c r="R964" s="165"/>
      <c r="S964" s="165"/>
      <c r="V964" s="46"/>
      <c r="W964" s="46"/>
      <c r="X964" s="1"/>
      <c r="Y964" s="1"/>
      <c r="Z964" s="173"/>
      <c r="AA964" s="1"/>
      <c r="AB964" s="165"/>
      <c r="AC964" s="1"/>
      <c r="AD964" s="1"/>
      <c r="AE964" s="1"/>
      <c r="AF964" s="46"/>
      <c r="AG964" s="1"/>
      <c r="AH964" s="165"/>
      <c r="AI964" s="165"/>
      <c r="AJ964" s="165"/>
      <c r="AK964" s="165"/>
      <c r="AL964" s="165"/>
      <c r="AM964" s="165"/>
      <c r="AN964" s="165"/>
    </row>
    <row r="965" spans="3:40">
      <c r="C965" s="46"/>
      <c r="F965" s="173"/>
      <c r="G965" s="1"/>
      <c r="H965" s="165"/>
      <c r="I965" s="160"/>
      <c r="J965" s="160"/>
      <c r="K965" s="1"/>
      <c r="L965" s="123"/>
      <c r="M965" s="1"/>
      <c r="N965" s="590"/>
      <c r="O965" s="165"/>
      <c r="P965" s="165"/>
      <c r="Q965" s="165"/>
      <c r="R965" s="165"/>
      <c r="S965" s="165"/>
      <c r="V965" s="46"/>
      <c r="W965" s="46"/>
      <c r="X965" s="1"/>
      <c r="Y965" s="1"/>
      <c r="Z965" s="173"/>
      <c r="AA965" s="1"/>
      <c r="AB965" s="165"/>
      <c r="AC965" s="1"/>
      <c r="AD965" s="1"/>
      <c r="AE965" s="1"/>
      <c r="AF965" s="46"/>
      <c r="AG965" s="1"/>
      <c r="AH965" s="165"/>
      <c r="AI965" s="165"/>
      <c r="AJ965" s="165"/>
      <c r="AK965" s="165"/>
      <c r="AL965" s="165"/>
      <c r="AM965" s="165"/>
      <c r="AN965" s="165"/>
    </row>
    <row r="966" spans="3:40">
      <c r="C966" s="46"/>
      <c r="F966" s="173"/>
      <c r="G966" s="1"/>
      <c r="H966" s="165"/>
      <c r="I966" s="160"/>
      <c r="J966" s="160"/>
      <c r="K966" s="1"/>
      <c r="L966" s="123"/>
      <c r="M966" s="1"/>
      <c r="N966" s="590"/>
      <c r="O966" s="165"/>
      <c r="P966" s="165"/>
      <c r="Q966" s="165"/>
      <c r="R966" s="165"/>
      <c r="S966" s="165"/>
      <c r="V966" s="46"/>
      <c r="W966" s="46"/>
      <c r="X966" s="1"/>
      <c r="Y966" s="1"/>
      <c r="Z966" s="173"/>
      <c r="AA966" s="1"/>
      <c r="AB966" s="165"/>
      <c r="AC966" s="1"/>
      <c r="AD966" s="1"/>
      <c r="AE966" s="1"/>
      <c r="AF966" s="46"/>
      <c r="AG966" s="1"/>
      <c r="AH966" s="165"/>
      <c r="AI966" s="165"/>
      <c r="AJ966" s="165"/>
      <c r="AK966" s="165"/>
      <c r="AL966" s="165"/>
      <c r="AM966" s="165"/>
      <c r="AN966" s="165"/>
    </row>
    <row r="967" spans="3:40">
      <c r="C967" s="46"/>
      <c r="F967" s="173"/>
      <c r="G967" s="1"/>
      <c r="H967" s="165"/>
      <c r="I967" s="160"/>
      <c r="J967" s="160"/>
      <c r="K967" s="1"/>
      <c r="L967" s="123"/>
      <c r="M967" s="1"/>
      <c r="N967" s="590"/>
      <c r="O967" s="165"/>
      <c r="P967" s="165"/>
      <c r="Q967" s="165"/>
      <c r="R967" s="165"/>
      <c r="S967" s="165"/>
      <c r="V967" s="46"/>
      <c r="W967" s="46"/>
      <c r="X967" s="1"/>
      <c r="Y967" s="1"/>
      <c r="Z967" s="173"/>
      <c r="AA967" s="1"/>
      <c r="AB967" s="165"/>
      <c r="AC967" s="1"/>
      <c r="AD967" s="1"/>
      <c r="AE967" s="1"/>
      <c r="AF967" s="46"/>
      <c r="AG967" s="1"/>
      <c r="AH967" s="165"/>
      <c r="AI967" s="165"/>
      <c r="AJ967" s="165"/>
      <c r="AK967" s="165"/>
      <c r="AL967" s="165"/>
      <c r="AM967" s="165"/>
      <c r="AN967" s="165"/>
    </row>
    <row r="968" spans="3:40">
      <c r="C968" s="46"/>
      <c r="F968" s="173"/>
      <c r="G968" s="1"/>
      <c r="H968" s="165"/>
      <c r="I968" s="160"/>
      <c r="J968" s="160"/>
      <c r="K968" s="1"/>
      <c r="L968" s="123"/>
      <c r="M968" s="1"/>
      <c r="N968" s="590"/>
      <c r="O968" s="165"/>
      <c r="P968" s="165"/>
      <c r="Q968" s="165"/>
      <c r="R968" s="165"/>
      <c r="S968" s="165"/>
      <c r="V968" s="46"/>
      <c r="W968" s="46"/>
      <c r="X968" s="1"/>
      <c r="Y968" s="1"/>
      <c r="Z968" s="173"/>
      <c r="AA968" s="1"/>
      <c r="AB968" s="165"/>
      <c r="AC968" s="1"/>
      <c r="AD968" s="1"/>
      <c r="AE968" s="1"/>
      <c r="AF968" s="46"/>
      <c r="AG968" s="1"/>
      <c r="AH968" s="165"/>
      <c r="AI968" s="165"/>
      <c r="AJ968" s="165"/>
      <c r="AK968" s="165"/>
      <c r="AL968" s="165"/>
      <c r="AM968" s="165"/>
      <c r="AN968" s="165"/>
    </row>
    <row r="969" spans="3:40">
      <c r="C969" s="46"/>
      <c r="F969" s="173"/>
      <c r="G969" s="1"/>
      <c r="H969" s="165"/>
      <c r="I969" s="160"/>
      <c r="J969" s="160"/>
      <c r="K969" s="1"/>
      <c r="L969" s="123"/>
      <c r="M969" s="1"/>
      <c r="N969" s="590"/>
      <c r="O969" s="165"/>
      <c r="P969" s="165"/>
      <c r="Q969" s="165"/>
      <c r="R969" s="165"/>
      <c r="S969" s="165"/>
      <c r="V969" s="46"/>
      <c r="W969" s="46"/>
      <c r="X969" s="1"/>
      <c r="Y969" s="1"/>
      <c r="Z969" s="173"/>
      <c r="AA969" s="1"/>
      <c r="AB969" s="165"/>
      <c r="AC969" s="1"/>
      <c r="AD969" s="1"/>
      <c r="AE969" s="1"/>
      <c r="AF969" s="46"/>
      <c r="AG969" s="1"/>
      <c r="AH969" s="165"/>
      <c r="AI969" s="165"/>
      <c r="AJ969" s="165"/>
      <c r="AK969" s="165"/>
      <c r="AL969" s="165"/>
      <c r="AM969" s="165"/>
      <c r="AN969" s="165"/>
    </row>
    <row r="970" spans="3:40">
      <c r="C970" s="46"/>
      <c r="F970" s="173"/>
      <c r="G970" s="1"/>
      <c r="H970" s="165"/>
      <c r="I970" s="160"/>
      <c r="J970" s="160"/>
      <c r="K970" s="1"/>
      <c r="L970" s="123"/>
      <c r="M970" s="1"/>
      <c r="N970" s="590"/>
      <c r="O970" s="165"/>
      <c r="P970" s="165"/>
      <c r="Q970" s="165"/>
      <c r="R970" s="165"/>
      <c r="S970" s="165"/>
      <c r="V970" s="46"/>
      <c r="W970" s="46"/>
      <c r="X970" s="1"/>
      <c r="Y970" s="1"/>
      <c r="Z970" s="173"/>
      <c r="AA970" s="1"/>
      <c r="AB970" s="165"/>
      <c r="AC970" s="1"/>
      <c r="AD970" s="1"/>
      <c r="AE970" s="1"/>
      <c r="AF970" s="46"/>
      <c r="AG970" s="1"/>
      <c r="AH970" s="165"/>
      <c r="AI970" s="165"/>
      <c r="AJ970" s="165"/>
      <c r="AK970" s="165"/>
      <c r="AL970" s="165"/>
      <c r="AM970" s="165"/>
      <c r="AN970" s="165"/>
    </row>
    <row r="971" spans="3:40">
      <c r="C971" s="46"/>
      <c r="F971" s="173"/>
      <c r="G971" s="1"/>
      <c r="H971" s="165"/>
      <c r="I971" s="160"/>
      <c r="J971" s="160"/>
      <c r="K971" s="1"/>
      <c r="L971" s="123"/>
      <c r="M971" s="1"/>
      <c r="N971" s="590"/>
      <c r="O971" s="165"/>
      <c r="P971" s="165"/>
      <c r="Q971" s="165"/>
      <c r="R971" s="165"/>
      <c r="S971" s="165"/>
      <c r="V971" s="46"/>
      <c r="W971" s="46"/>
      <c r="X971" s="1"/>
      <c r="Y971" s="1"/>
      <c r="Z971" s="173"/>
      <c r="AA971" s="1"/>
      <c r="AB971" s="165"/>
      <c r="AC971" s="1"/>
      <c r="AD971" s="1"/>
      <c r="AE971" s="1"/>
      <c r="AF971" s="46"/>
      <c r="AG971" s="1"/>
      <c r="AH971" s="165"/>
      <c r="AI971" s="165"/>
      <c r="AJ971" s="165"/>
      <c r="AK971" s="165"/>
      <c r="AL971" s="165"/>
      <c r="AM971" s="165"/>
      <c r="AN971" s="165"/>
    </row>
    <row r="972" spans="3:40">
      <c r="C972" s="46"/>
      <c r="F972" s="173"/>
      <c r="G972" s="1"/>
      <c r="H972" s="165"/>
      <c r="I972" s="160"/>
      <c r="J972" s="160"/>
      <c r="K972" s="1"/>
      <c r="L972" s="123"/>
      <c r="M972" s="1"/>
      <c r="N972" s="590"/>
      <c r="O972" s="165"/>
      <c r="P972" s="165"/>
      <c r="Q972" s="165"/>
      <c r="R972" s="165"/>
      <c r="S972" s="165"/>
      <c r="V972" s="46"/>
      <c r="W972" s="46"/>
      <c r="X972" s="1"/>
      <c r="Y972" s="1"/>
      <c r="Z972" s="173"/>
      <c r="AA972" s="1"/>
      <c r="AB972" s="165"/>
      <c r="AC972" s="1"/>
      <c r="AD972" s="1"/>
      <c r="AE972" s="1"/>
      <c r="AF972" s="46"/>
      <c r="AG972" s="1"/>
      <c r="AH972" s="165"/>
      <c r="AI972" s="165"/>
      <c r="AJ972" s="165"/>
      <c r="AK972" s="165"/>
      <c r="AL972" s="165"/>
      <c r="AM972" s="165"/>
      <c r="AN972" s="165"/>
    </row>
    <row r="973" spans="3:40">
      <c r="C973" s="46"/>
      <c r="F973" s="173"/>
      <c r="G973" s="1"/>
      <c r="H973" s="165"/>
      <c r="I973" s="160"/>
      <c r="J973" s="160"/>
      <c r="K973" s="1"/>
      <c r="L973" s="123"/>
      <c r="M973" s="1"/>
      <c r="N973" s="590"/>
      <c r="O973" s="165"/>
      <c r="P973" s="165"/>
      <c r="Q973" s="165"/>
      <c r="R973" s="165"/>
      <c r="S973" s="165"/>
      <c r="V973" s="46"/>
      <c r="W973" s="46"/>
      <c r="X973" s="1"/>
      <c r="Y973" s="1"/>
      <c r="Z973" s="173"/>
      <c r="AA973" s="1"/>
      <c r="AB973" s="165"/>
      <c r="AC973" s="1"/>
      <c r="AD973" s="1"/>
      <c r="AE973" s="1"/>
      <c r="AF973" s="46"/>
      <c r="AG973" s="1"/>
      <c r="AH973" s="165"/>
      <c r="AI973" s="165"/>
      <c r="AJ973" s="165"/>
      <c r="AK973" s="165"/>
      <c r="AL973" s="165"/>
      <c r="AM973" s="165"/>
      <c r="AN973" s="165"/>
    </row>
    <row r="974" spans="3:40">
      <c r="C974" s="46"/>
      <c r="F974" s="173"/>
      <c r="G974" s="1"/>
      <c r="H974" s="165"/>
      <c r="I974" s="160"/>
      <c r="J974" s="160"/>
      <c r="K974" s="1"/>
      <c r="L974" s="123"/>
      <c r="M974" s="1"/>
      <c r="N974" s="590"/>
      <c r="O974" s="165"/>
      <c r="P974" s="165"/>
      <c r="Q974" s="165"/>
      <c r="R974" s="165"/>
      <c r="S974" s="165"/>
      <c r="V974" s="46"/>
      <c r="W974" s="46"/>
      <c r="X974" s="1"/>
      <c r="Y974" s="1"/>
      <c r="Z974" s="173"/>
      <c r="AA974" s="1"/>
      <c r="AB974" s="165"/>
      <c r="AC974" s="1"/>
      <c r="AD974" s="1"/>
      <c r="AE974" s="1"/>
      <c r="AF974" s="46"/>
      <c r="AG974" s="1"/>
      <c r="AH974" s="165"/>
      <c r="AI974" s="165"/>
      <c r="AJ974" s="165"/>
      <c r="AK974" s="165"/>
      <c r="AL974" s="165"/>
      <c r="AM974" s="165"/>
      <c r="AN974" s="165"/>
    </row>
    <row r="975" spans="3:40">
      <c r="C975" s="46"/>
      <c r="F975" s="173"/>
      <c r="G975" s="1"/>
      <c r="H975" s="165"/>
      <c r="I975" s="160"/>
      <c r="J975" s="160"/>
      <c r="K975" s="1"/>
      <c r="L975" s="123"/>
      <c r="M975" s="1"/>
      <c r="N975" s="590"/>
      <c r="O975" s="165"/>
      <c r="P975" s="165"/>
      <c r="Q975" s="165"/>
      <c r="R975" s="165"/>
      <c r="S975" s="165"/>
      <c r="V975" s="46"/>
      <c r="W975" s="46"/>
      <c r="X975" s="1"/>
      <c r="Y975" s="1"/>
      <c r="Z975" s="173"/>
      <c r="AA975" s="1"/>
      <c r="AB975" s="165"/>
      <c r="AC975" s="1"/>
      <c r="AD975" s="1"/>
      <c r="AE975" s="1"/>
      <c r="AF975" s="46"/>
      <c r="AG975" s="1"/>
      <c r="AH975" s="165"/>
      <c r="AI975" s="165"/>
      <c r="AJ975" s="165"/>
      <c r="AK975" s="165"/>
      <c r="AL975" s="165"/>
      <c r="AM975" s="165"/>
      <c r="AN975" s="165"/>
    </row>
    <row r="976" spans="3:40">
      <c r="C976" s="46"/>
      <c r="F976" s="173"/>
      <c r="G976" s="1"/>
      <c r="H976" s="165"/>
      <c r="I976" s="160"/>
      <c r="J976" s="160"/>
      <c r="K976" s="1"/>
      <c r="L976" s="123"/>
      <c r="M976" s="1"/>
      <c r="N976" s="590"/>
      <c r="O976" s="165"/>
      <c r="P976" s="165"/>
      <c r="Q976" s="165"/>
      <c r="R976" s="165"/>
      <c r="S976" s="165"/>
      <c r="V976" s="46"/>
      <c r="W976" s="46"/>
      <c r="X976" s="1"/>
      <c r="Y976" s="1"/>
      <c r="Z976" s="173"/>
      <c r="AA976" s="1"/>
      <c r="AB976" s="165"/>
      <c r="AC976" s="1"/>
      <c r="AD976" s="1"/>
      <c r="AE976" s="1"/>
      <c r="AF976" s="46"/>
      <c r="AG976" s="1"/>
      <c r="AH976" s="165"/>
      <c r="AI976" s="165"/>
      <c r="AJ976" s="165"/>
      <c r="AK976" s="165"/>
      <c r="AL976" s="165"/>
      <c r="AM976" s="165"/>
      <c r="AN976" s="165"/>
    </row>
    <row r="977" spans="3:40">
      <c r="C977" s="46"/>
      <c r="F977" s="173"/>
      <c r="G977" s="1"/>
      <c r="H977" s="165"/>
      <c r="I977" s="160"/>
      <c r="J977" s="160"/>
      <c r="K977" s="1"/>
      <c r="L977" s="123"/>
      <c r="M977" s="1"/>
      <c r="N977" s="590"/>
      <c r="O977" s="165"/>
      <c r="P977" s="165"/>
      <c r="Q977" s="165"/>
      <c r="R977" s="165"/>
      <c r="S977" s="165"/>
      <c r="V977" s="46"/>
      <c r="W977" s="46"/>
      <c r="X977" s="1"/>
      <c r="Y977" s="1"/>
      <c r="Z977" s="173"/>
      <c r="AA977" s="1"/>
      <c r="AB977" s="165"/>
      <c r="AC977" s="1"/>
      <c r="AD977" s="1"/>
      <c r="AE977" s="1"/>
      <c r="AF977" s="46"/>
      <c r="AG977" s="1"/>
      <c r="AH977" s="165"/>
      <c r="AI977" s="165"/>
      <c r="AJ977" s="165"/>
      <c r="AK977" s="165"/>
      <c r="AL977" s="165"/>
      <c r="AM977" s="165"/>
      <c r="AN977" s="165"/>
    </row>
    <row r="978" spans="3:40">
      <c r="C978" s="46"/>
      <c r="F978" s="173"/>
      <c r="G978" s="1"/>
      <c r="H978" s="165"/>
      <c r="I978" s="160"/>
      <c r="J978" s="160"/>
      <c r="K978" s="1"/>
      <c r="L978" s="123"/>
      <c r="M978" s="1"/>
      <c r="N978" s="590"/>
      <c r="O978" s="165"/>
      <c r="P978" s="165"/>
      <c r="Q978" s="165"/>
      <c r="R978" s="165"/>
      <c r="S978" s="165"/>
      <c r="V978" s="46"/>
      <c r="W978" s="46"/>
      <c r="X978" s="1"/>
      <c r="Y978" s="1"/>
      <c r="Z978" s="173"/>
      <c r="AA978" s="1"/>
      <c r="AB978" s="165"/>
      <c r="AC978" s="1"/>
      <c r="AD978" s="1"/>
      <c r="AE978" s="1"/>
      <c r="AF978" s="46"/>
      <c r="AG978" s="1"/>
      <c r="AH978" s="165"/>
      <c r="AI978" s="165"/>
      <c r="AJ978" s="165"/>
      <c r="AK978" s="165"/>
      <c r="AL978" s="165"/>
      <c r="AM978" s="165"/>
      <c r="AN978" s="165"/>
    </row>
    <row r="979" spans="3:40">
      <c r="C979" s="46"/>
      <c r="F979" s="173"/>
      <c r="G979" s="1"/>
      <c r="H979" s="165"/>
      <c r="I979" s="160"/>
      <c r="J979" s="160"/>
      <c r="K979" s="1"/>
      <c r="L979" s="123"/>
      <c r="M979" s="1"/>
      <c r="N979" s="590"/>
      <c r="O979" s="165"/>
      <c r="P979" s="165"/>
      <c r="Q979" s="165"/>
      <c r="R979" s="165"/>
      <c r="S979" s="165"/>
      <c r="V979" s="46"/>
      <c r="W979" s="46"/>
      <c r="X979" s="1"/>
      <c r="Y979" s="1"/>
      <c r="Z979" s="173"/>
      <c r="AA979" s="1"/>
      <c r="AB979" s="165"/>
      <c r="AC979" s="1"/>
      <c r="AD979" s="1"/>
      <c r="AE979" s="1"/>
      <c r="AF979" s="46"/>
      <c r="AG979" s="1"/>
      <c r="AH979" s="165"/>
      <c r="AI979" s="165"/>
      <c r="AJ979" s="165"/>
      <c r="AK979" s="165"/>
      <c r="AL979" s="165"/>
      <c r="AM979" s="165"/>
      <c r="AN979" s="165"/>
    </row>
    <row r="980" spans="3:40">
      <c r="C980" s="46"/>
      <c r="F980" s="173"/>
      <c r="G980" s="1"/>
      <c r="H980" s="165"/>
      <c r="I980" s="160"/>
      <c r="J980" s="160"/>
      <c r="K980" s="1"/>
      <c r="L980" s="123"/>
      <c r="M980" s="1"/>
      <c r="N980" s="590"/>
      <c r="O980" s="165"/>
      <c r="P980" s="165"/>
      <c r="Q980" s="165"/>
      <c r="R980" s="165"/>
      <c r="S980" s="165"/>
      <c r="V980" s="46"/>
      <c r="W980" s="46"/>
      <c r="X980" s="1"/>
      <c r="Y980" s="1"/>
      <c r="Z980" s="173"/>
      <c r="AA980" s="1"/>
      <c r="AB980" s="165"/>
      <c r="AC980" s="1"/>
      <c r="AD980" s="1"/>
      <c r="AE980" s="1"/>
      <c r="AF980" s="46"/>
      <c r="AG980" s="1"/>
      <c r="AH980" s="165"/>
      <c r="AI980" s="165"/>
      <c r="AJ980" s="165"/>
      <c r="AK980" s="165"/>
      <c r="AL980" s="165"/>
      <c r="AM980" s="165"/>
      <c r="AN980" s="165"/>
    </row>
    <row r="981" spans="3:40">
      <c r="C981" s="46"/>
      <c r="F981" s="173"/>
      <c r="G981" s="1"/>
      <c r="H981" s="165"/>
      <c r="I981" s="160"/>
      <c r="J981" s="160"/>
      <c r="K981" s="1"/>
      <c r="L981" s="123"/>
      <c r="M981" s="1"/>
      <c r="N981" s="590"/>
      <c r="O981" s="165"/>
      <c r="P981" s="165"/>
      <c r="Q981" s="165"/>
      <c r="R981" s="165"/>
      <c r="S981" s="165"/>
      <c r="V981" s="46"/>
      <c r="W981" s="46"/>
      <c r="X981" s="1"/>
      <c r="Y981" s="1"/>
      <c r="Z981" s="173"/>
      <c r="AA981" s="1"/>
      <c r="AB981" s="165"/>
      <c r="AC981" s="1"/>
      <c r="AD981" s="1"/>
      <c r="AE981" s="1"/>
      <c r="AF981" s="46"/>
      <c r="AG981" s="1"/>
      <c r="AH981" s="165"/>
      <c r="AI981" s="165"/>
      <c r="AJ981" s="165"/>
      <c r="AK981" s="165"/>
      <c r="AL981" s="165"/>
      <c r="AM981" s="165"/>
      <c r="AN981" s="165"/>
    </row>
    <row r="982" spans="3:40">
      <c r="C982" s="46"/>
      <c r="F982" s="173"/>
      <c r="G982" s="1"/>
      <c r="H982" s="165"/>
      <c r="I982" s="160"/>
      <c r="J982" s="160"/>
      <c r="K982" s="1"/>
      <c r="L982" s="123"/>
      <c r="M982" s="1"/>
      <c r="N982" s="590"/>
      <c r="O982" s="165"/>
      <c r="P982" s="165"/>
      <c r="Q982" s="165"/>
      <c r="R982" s="165"/>
      <c r="S982" s="165"/>
      <c r="V982" s="46"/>
      <c r="W982" s="46"/>
      <c r="X982" s="1"/>
      <c r="Y982" s="1"/>
      <c r="Z982" s="173"/>
      <c r="AA982" s="1"/>
      <c r="AB982" s="165"/>
      <c r="AC982" s="1"/>
      <c r="AD982" s="1"/>
      <c r="AE982" s="1"/>
      <c r="AF982" s="46"/>
      <c r="AG982" s="1"/>
      <c r="AH982" s="165"/>
      <c r="AI982" s="165"/>
      <c r="AJ982" s="165"/>
      <c r="AK982" s="165"/>
      <c r="AL982" s="165"/>
      <c r="AM982" s="165"/>
      <c r="AN982" s="165"/>
    </row>
    <row r="983" spans="3:40">
      <c r="C983" s="46"/>
      <c r="F983" s="173"/>
      <c r="G983" s="1"/>
      <c r="H983" s="165"/>
      <c r="I983" s="160"/>
      <c r="J983" s="160"/>
      <c r="K983" s="1"/>
      <c r="L983" s="123"/>
      <c r="M983" s="1"/>
      <c r="N983" s="590"/>
      <c r="O983" s="165"/>
      <c r="P983" s="165"/>
      <c r="Q983" s="165"/>
      <c r="R983" s="165"/>
      <c r="S983" s="165"/>
      <c r="V983" s="46"/>
      <c r="W983" s="46"/>
      <c r="X983" s="1"/>
      <c r="Y983" s="1"/>
      <c r="Z983" s="173"/>
      <c r="AA983" s="1"/>
      <c r="AB983" s="165"/>
      <c r="AC983" s="1"/>
      <c r="AD983" s="1"/>
      <c r="AE983" s="1"/>
      <c r="AF983" s="46"/>
      <c r="AG983" s="1"/>
      <c r="AH983" s="165"/>
      <c r="AI983" s="165"/>
      <c r="AJ983" s="165"/>
      <c r="AK983" s="165"/>
      <c r="AL983" s="165"/>
      <c r="AM983" s="165"/>
      <c r="AN983" s="165"/>
    </row>
    <row r="984" spans="3:40">
      <c r="C984" s="46"/>
      <c r="F984" s="173"/>
      <c r="G984" s="1"/>
      <c r="H984" s="165"/>
      <c r="I984" s="160"/>
      <c r="J984" s="160"/>
      <c r="K984" s="1"/>
      <c r="L984" s="123"/>
      <c r="M984" s="1"/>
      <c r="N984" s="590"/>
      <c r="O984" s="165"/>
      <c r="P984" s="165"/>
      <c r="Q984" s="165"/>
      <c r="R984" s="165"/>
      <c r="S984" s="165"/>
      <c r="V984" s="46"/>
      <c r="W984" s="46"/>
      <c r="X984" s="1"/>
      <c r="Y984" s="1"/>
      <c r="Z984" s="173"/>
      <c r="AA984" s="1"/>
      <c r="AB984" s="165"/>
      <c r="AC984" s="1"/>
      <c r="AD984" s="1"/>
      <c r="AE984" s="1"/>
      <c r="AF984" s="46"/>
      <c r="AG984" s="1"/>
      <c r="AH984" s="165"/>
      <c r="AI984" s="165"/>
      <c r="AJ984" s="165"/>
      <c r="AK984" s="165"/>
      <c r="AL984" s="165"/>
      <c r="AM984" s="165"/>
      <c r="AN984" s="165"/>
    </row>
    <row r="985" spans="3:40">
      <c r="C985" s="46"/>
      <c r="F985" s="173"/>
      <c r="G985" s="1"/>
      <c r="H985" s="165"/>
      <c r="I985" s="160"/>
      <c r="J985" s="160"/>
      <c r="K985" s="1"/>
      <c r="L985" s="123"/>
      <c r="M985" s="1"/>
      <c r="N985" s="590"/>
      <c r="O985" s="165"/>
      <c r="P985" s="165"/>
      <c r="Q985" s="165"/>
      <c r="R985" s="165"/>
      <c r="S985" s="165"/>
      <c r="V985" s="46"/>
      <c r="W985" s="46"/>
      <c r="X985" s="1"/>
      <c r="Y985" s="1"/>
      <c r="Z985" s="173"/>
      <c r="AA985" s="1"/>
      <c r="AB985" s="165"/>
      <c r="AC985" s="1"/>
      <c r="AD985" s="1"/>
      <c r="AE985" s="1"/>
      <c r="AF985" s="46"/>
      <c r="AG985" s="1"/>
      <c r="AH985" s="165"/>
      <c r="AI985" s="165"/>
      <c r="AJ985" s="165"/>
      <c r="AK985" s="165"/>
      <c r="AL985" s="165"/>
      <c r="AM985" s="165"/>
      <c r="AN985" s="165"/>
    </row>
    <row r="986" spans="3:40">
      <c r="C986" s="46"/>
      <c r="F986" s="173"/>
      <c r="G986" s="1"/>
      <c r="H986" s="165"/>
      <c r="I986" s="160"/>
      <c r="J986" s="160"/>
      <c r="K986" s="1"/>
      <c r="L986" s="123"/>
      <c r="M986" s="1"/>
      <c r="N986" s="590"/>
      <c r="O986" s="165"/>
      <c r="P986" s="165"/>
      <c r="Q986" s="165"/>
      <c r="R986" s="165"/>
      <c r="S986" s="165"/>
      <c r="V986" s="46"/>
      <c r="W986" s="46"/>
      <c r="X986" s="1"/>
      <c r="Y986" s="1"/>
      <c r="Z986" s="173"/>
      <c r="AA986" s="1"/>
      <c r="AB986" s="165"/>
      <c r="AC986" s="1"/>
      <c r="AD986" s="1"/>
      <c r="AE986" s="1"/>
      <c r="AF986" s="46"/>
      <c r="AG986" s="1"/>
      <c r="AH986" s="165"/>
      <c r="AI986" s="165"/>
      <c r="AJ986" s="165"/>
      <c r="AK986" s="165"/>
      <c r="AL986" s="165"/>
      <c r="AM986" s="165"/>
      <c r="AN986" s="165"/>
    </row>
    <row r="987" spans="3:40">
      <c r="C987" s="46"/>
      <c r="F987" s="173"/>
      <c r="G987" s="1"/>
      <c r="H987" s="165"/>
      <c r="I987" s="160"/>
      <c r="J987" s="160"/>
      <c r="K987" s="1"/>
      <c r="L987" s="123"/>
      <c r="M987" s="1"/>
      <c r="N987" s="590"/>
      <c r="O987" s="165"/>
      <c r="P987" s="165"/>
      <c r="Q987" s="165"/>
      <c r="R987" s="165"/>
      <c r="S987" s="165"/>
      <c r="V987" s="46"/>
      <c r="W987" s="46"/>
      <c r="X987" s="1"/>
      <c r="Y987" s="1"/>
      <c r="Z987" s="173"/>
      <c r="AA987" s="1"/>
      <c r="AB987" s="165"/>
      <c r="AC987" s="1"/>
      <c r="AD987" s="1"/>
      <c r="AE987" s="1"/>
      <c r="AF987" s="46"/>
      <c r="AG987" s="1"/>
      <c r="AH987" s="165"/>
      <c r="AI987" s="165"/>
      <c r="AJ987" s="165"/>
      <c r="AK987" s="165"/>
      <c r="AL987" s="165"/>
      <c r="AM987" s="165"/>
      <c r="AN987" s="165"/>
    </row>
    <row r="988" spans="3:40">
      <c r="C988" s="46"/>
      <c r="F988" s="173"/>
      <c r="G988" s="1"/>
      <c r="H988" s="165"/>
      <c r="I988" s="160"/>
      <c r="J988" s="160"/>
      <c r="K988" s="1"/>
      <c r="L988" s="123"/>
      <c r="M988" s="1"/>
      <c r="N988" s="590"/>
      <c r="O988" s="165"/>
      <c r="P988" s="165"/>
      <c r="Q988" s="165"/>
      <c r="R988" s="165"/>
      <c r="S988" s="165"/>
      <c r="V988" s="46"/>
      <c r="W988" s="46"/>
      <c r="X988" s="1"/>
      <c r="Y988" s="1"/>
      <c r="Z988" s="173"/>
      <c r="AA988" s="1"/>
      <c r="AB988" s="165"/>
      <c r="AC988" s="1"/>
      <c r="AD988" s="1"/>
      <c r="AE988" s="1"/>
      <c r="AF988" s="46"/>
      <c r="AG988" s="1"/>
      <c r="AH988" s="165"/>
      <c r="AI988" s="165"/>
      <c r="AJ988" s="165"/>
      <c r="AK988" s="165"/>
      <c r="AL988" s="165"/>
      <c r="AM988" s="165"/>
      <c r="AN988" s="165"/>
    </row>
    <row r="989" spans="3:40">
      <c r="C989" s="46"/>
      <c r="F989" s="173"/>
      <c r="G989" s="1"/>
      <c r="H989" s="165"/>
      <c r="I989" s="160"/>
      <c r="J989" s="160"/>
      <c r="K989" s="1"/>
      <c r="L989" s="123"/>
      <c r="M989" s="1"/>
      <c r="N989" s="590"/>
      <c r="O989" s="165"/>
      <c r="P989" s="165"/>
      <c r="Q989" s="165"/>
      <c r="R989" s="165"/>
      <c r="S989" s="165"/>
      <c r="V989" s="46"/>
      <c r="W989" s="46"/>
      <c r="X989" s="1"/>
      <c r="Y989" s="1"/>
      <c r="Z989" s="173"/>
      <c r="AA989" s="1"/>
      <c r="AB989" s="165"/>
      <c r="AC989" s="1"/>
      <c r="AD989" s="1"/>
      <c r="AE989" s="1"/>
      <c r="AF989" s="46"/>
      <c r="AG989" s="1"/>
      <c r="AH989" s="165"/>
      <c r="AI989" s="165"/>
      <c r="AJ989" s="165"/>
      <c r="AK989" s="165"/>
      <c r="AL989" s="165"/>
      <c r="AM989" s="165"/>
      <c r="AN989" s="165"/>
    </row>
    <row r="990" spans="3:40">
      <c r="C990" s="46"/>
      <c r="F990" s="173"/>
      <c r="G990" s="1"/>
      <c r="H990" s="165"/>
      <c r="I990" s="160"/>
      <c r="J990" s="160"/>
      <c r="K990" s="1"/>
      <c r="L990" s="123"/>
      <c r="M990" s="1"/>
      <c r="N990" s="590"/>
      <c r="O990" s="165"/>
      <c r="P990" s="165"/>
      <c r="Q990" s="165"/>
      <c r="R990" s="165"/>
      <c r="S990" s="165"/>
      <c r="V990" s="46"/>
      <c r="W990" s="46"/>
      <c r="X990" s="1"/>
      <c r="Y990" s="1"/>
      <c r="Z990" s="173"/>
      <c r="AA990" s="1"/>
      <c r="AB990" s="165"/>
      <c r="AC990" s="1"/>
      <c r="AD990" s="1"/>
      <c r="AE990" s="1"/>
      <c r="AF990" s="46"/>
      <c r="AG990" s="1"/>
      <c r="AH990" s="165"/>
      <c r="AI990" s="165"/>
      <c r="AJ990" s="165"/>
      <c r="AK990" s="165"/>
      <c r="AL990" s="165"/>
      <c r="AM990" s="165"/>
      <c r="AN990" s="165"/>
    </row>
    <row r="991" spans="3:40">
      <c r="C991" s="46"/>
      <c r="F991" s="173"/>
      <c r="G991" s="1"/>
      <c r="H991" s="165"/>
      <c r="I991" s="160"/>
      <c r="J991" s="160"/>
      <c r="K991" s="1"/>
      <c r="L991" s="123"/>
      <c r="M991" s="1"/>
      <c r="N991" s="590"/>
      <c r="O991" s="165"/>
      <c r="P991" s="165"/>
      <c r="Q991" s="165"/>
      <c r="R991" s="165"/>
      <c r="S991" s="165"/>
      <c r="V991" s="46"/>
      <c r="W991" s="46"/>
      <c r="X991" s="1"/>
      <c r="Y991" s="1"/>
      <c r="Z991" s="173"/>
      <c r="AA991" s="1"/>
      <c r="AB991" s="165"/>
      <c r="AC991" s="1"/>
      <c r="AD991" s="1"/>
      <c r="AE991" s="1"/>
      <c r="AF991" s="46"/>
      <c r="AG991" s="1"/>
      <c r="AH991" s="165"/>
      <c r="AI991" s="165"/>
      <c r="AJ991" s="165"/>
      <c r="AK991" s="165"/>
      <c r="AL991" s="165"/>
      <c r="AM991" s="165"/>
      <c r="AN991" s="165"/>
    </row>
    <row r="992" spans="3:40">
      <c r="C992" s="46"/>
      <c r="F992" s="173"/>
      <c r="G992" s="1"/>
      <c r="H992" s="165"/>
      <c r="I992" s="160"/>
      <c r="J992" s="160"/>
      <c r="K992" s="1"/>
      <c r="L992" s="123"/>
      <c r="M992" s="1"/>
      <c r="N992" s="590"/>
      <c r="O992" s="165"/>
      <c r="P992" s="165"/>
      <c r="Q992" s="165"/>
      <c r="R992" s="165"/>
      <c r="S992" s="165"/>
      <c r="V992" s="46"/>
      <c r="W992" s="46"/>
      <c r="X992" s="1"/>
      <c r="Y992" s="1"/>
      <c r="Z992" s="173"/>
      <c r="AA992" s="1"/>
      <c r="AB992" s="165"/>
      <c r="AC992" s="1"/>
      <c r="AD992" s="1"/>
      <c r="AE992" s="1"/>
      <c r="AF992" s="46"/>
      <c r="AG992" s="1"/>
      <c r="AH992" s="165"/>
      <c r="AI992" s="165"/>
      <c r="AJ992" s="165"/>
      <c r="AK992" s="165"/>
      <c r="AL992" s="165"/>
      <c r="AM992" s="165"/>
      <c r="AN992" s="165"/>
    </row>
    <row r="993" spans="3:40">
      <c r="C993" s="46"/>
      <c r="F993" s="173"/>
      <c r="G993" s="1"/>
      <c r="H993" s="165"/>
      <c r="I993" s="160"/>
      <c r="J993" s="160"/>
      <c r="K993" s="1"/>
      <c r="L993" s="123"/>
      <c r="M993" s="1"/>
      <c r="N993" s="590"/>
      <c r="O993" s="165"/>
      <c r="P993" s="165"/>
      <c r="Q993" s="165"/>
      <c r="R993" s="165"/>
      <c r="S993" s="165"/>
      <c r="V993" s="46"/>
      <c r="W993" s="46"/>
      <c r="X993" s="1"/>
      <c r="Y993" s="1"/>
      <c r="Z993" s="173"/>
      <c r="AA993" s="1"/>
      <c r="AB993" s="165"/>
      <c r="AC993" s="1"/>
      <c r="AD993" s="1"/>
      <c r="AE993" s="1"/>
      <c r="AF993" s="46"/>
      <c r="AG993" s="1"/>
      <c r="AH993" s="165"/>
      <c r="AI993" s="165"/>
      <c r="AJ993" s="165"/>
      <c r="AK993" s="165"/>
      <c r="AL993" s="165"/>
      <c r="AM993" s="165"/>
      <c r="AN993" s="165"/>
    </row>
    <row r="994" spans="3:40">
      <c r="C994" s="46"/>
      <c r="F994" s="173"/>
      <c r="G994" s="1"/>
      <c r="H994" s="165"/>
      <c r="I994" s="160"/>
      <c r="J994" s="160"/>
      <c r="K994" s="1"/>
      <c r="L994" s="123"/>
      <c r="M994" s="1"/>
      <c r="N994" s="590"/>
      <c r="O994" s="165"/>
      <c r="P994" s="165"/>
      <c r="Q994" s="165"/>
      <c r="R994" s="165"/>
      <c r="S994" s="165"/>
      <c r="V994" s="46"/>
      <c r="W994" s="46"/>
      <c r="X994" s="1"/>
      <c r="Y994" s="1"/>
      <c r="Z994" s="173"/>
      <c r="AA994" s="1"/>
      <c r="AB994" s="165"/>
      <c r="AC994" s="1"/>
      <c r="AD994" s="1"/>
      <c r="AE994" s="1"/>
      <c r="AF994" s="46"/>
      <c r="AG994" s="1"/>
      <c r="AH994" s="165"/>
      <c r="AI994" s="165"/>
      <c r="AJ994" s="165"/>
      <c r="AK994" s="165"/>
      <c r="AL994" s="165"/>
      <c r="AM994" s="165"/>
      <c r="AN994" s="165"/>
    </row>
    <row r="995" spans="3:40">
      <c r="C995" s="46"/>
      <c r="F995" s="173"/>
      <c r="G995" s="1"/>
      <c r="H995" s="165"/>
      <c r="I995" s="160"/>
      <c r="J995" s="160"/>
      <c r="K995" s="1"/>
      <c r="L995" s="123"/>
      <c r="M995" s="1"/>
      <c r="N995" s="590"/>
      <c r="O995" s="165"/>
      <c r="P995" s="165"/>
      <c r="Q995" s="165"/>
      <c r="R995" s="165"/>
      <c r="S995" s="165"/>
      <c r="V995" s="46"/>
      <c r="W995" s="46"/>
      <c r="X995" s="1"/>
      <c r="Y995" s="1"/>
      <c r="Z995" s="173"/>
      <c r="AA995" s="1"/>
      <c r="AB995" s="165"/>
      <c r="AC995" s="1"/>
      <c r="AD995" s="1"/>
      <c r="AE995" s="1"/>
      <c r="AF995" s="46"/>
      <c r="AG995" s="1"/>
      <c r="AH995" s="165"/>
      <c r="AI995" s="165"/>
      <c r="AJ995" s="165"/>
      <c r="AK995" s="165"/>
      <c r="AL995" s="165"/>
      <c r="AM995" s="165"/>
      <c r="AN995" s="165"/>
    </row>
    <row r="996" spans="3:40">
      <c r="C996" s="46"/>
      <c r="F996" s="173"/>
      <c r="G996" s="1"/>
      <c r="H996" s="165"/>
      <c r="I996" s="160"/>
      <c r="J996" s="160"/>
      <c r="K996" s="1"/>
      <c r="L996" s="123"/>
      <c r="M996" s="1"/>
      <c r="N996" s="590"/>
      <c r="O996" s="165"/>
      <c r="P996" s="165"/>
      <c r="Q996" s="165"/>
      <c r="R996" s="165"/>
      <c r="S996" s="165"/>
      <c r="V996" s="46"/>
      <c r="W996" s="46"/>
      <c r="X996" s="1"/>
      <c r="Y996" s="1"/>
      <c r="Z996" s="173"/>
      <c r="AA996" s="1"/>
      <c r="AB996" s="165"/>
      <c r="AC996" s="1"/>
      <c r="AD996" s="1"/>
      <c r="AE996" s="1"/>
      <c r="AF996" s="46"/>
      <c r="AG996" s="1"/>
      <c r="AH996" s="165"/>
      <c r="AI996" s="165"/>
      <c r="AJ996" s="165"/>
      <c r="AK996" s="165"/>
      <c r="AL996" s="165"/>
      <c r="AM996" s="165"/>
      <c r="AN996" s="165"/>
    </row>
    <row r="997" spans="3:40">
      <c r="C997" s="46"/>
      <c r="F997" s="173"/>
      <c r="G997" s="1"/>
      <c r="H997" s="165"/>
      <c r="I997" s="160"/>
      <c r="J997" s="160"/>
      <c r="K997" s="1"/>
      <c r="L997" s="123"/>
      <c r="M997" s="1"/>
      <c r="N997" s="590"/>
      <c r="O997" s="165"/>
      <c r="P997" s="165"/>
      <c r="Q997" s="165"/>
      <c r="R997" s="165"/>
      <c r="S997" s="165"/>
      <c r="V997" s="46"/>
      <c r="W997" s="46"/>
      <c r="X997" s="1"/>
      <c r="Y997" s="1"/>
      <c r="Z997" s="173"/>
      <c r="AA997" s="1"/>
      <c r="AB997" s="165"/>
      <c r="AC997" s="1"/>
      <c r="AD997" s="1"/>
      <c r="AE997" s="1"/>
      <c r="AF997" s="46"/>
      <c r="AG997" s="1"/>
      <c r="AH997" s="165"/>
      <c r="AI997" s="165"/>
      <c r="AJ997" s="165"/>
      <c r="AK997" s="165"/>
      <c r="AL997" s="165"/>
      <c r="AM997" s="165"/>
      <c r="AN997" s="165"/>
    </row>
    <row r="998" spans="3:40">
      <c r="C998" s="46"/>
      <c r="F998" s="173"/>
      <c r="G998" s="1"/>
      <c r="H998" s="165"/>
      <c r="I998" s="160"/>
      <c r="J998" s="160"/>
      <c r="K998" s="1"/>
      <c r="L998" s="123"/>
      <c r="M998" s="1"/>
      <c r="N998" s="590"/>
      <c r="O998" s="165"/>
      <c r="P998" s="165"/>
      <c r="Q998" s="165"/>
      <c r="R998" s="165"/>
      <c r="S998" s="165"/>
      <c r="V998" s="46"/>
      <c r="W998" s="46"/>
      <c r="X998" s="1"/>
      <c r="Y998" s="1"/>
      <c r="Z998" s="173"/>
      <c r="AA998" s="1"/>
      <c r="AB998" s="165"/>
      <c r="AC998" s="1"/>
      <c r="AD998" s="1"/>
      <c r="AE998" s="1"/>
      <c r="AF998" s="46"/>
      <c r="AG998" s="1"/>
      <c r="AH998" s="165"/>
      <c r="AI998" s="165"/>
      <c r="AJ998" s="165"/>
      <c r="AK998" s="165"/>
      <c r="AL998" s="165"/>
      <c r="AM998" s="165"/>
      <c r="AN998" s="165"/>
    </row>
    <row r="999" spans="3:40">
      <c r="C999" s="46"/>
      <c r="F999" s="173"/>
      <c r="G999" s="1"/>
      <c r="H999" s="165"/>
      <c r="I999" s="160"/>
      <c r="J999" s="160"/>
      <c r="K999" s="1"/>
      <c r="L999" s="123"/>
      <c r="M999" s="1"/>
      <c r="N999" s="590"/>
      <c r="O999" s="165"/>
      <c r="P999" s="165"/>
      <c r="Q999" s="165"/>
      <c r="R999" s="165"/>
      <c r="S999" s="165"/>
      <c r="V999" s="46"/>
      <c r="W999" s="46"/>
      <c r="X999" s="1"/>
      <c r="Y999" s="1"/>
      <c r="Z999" s="173"/>
      <c r="AA999" s="1"/>
      <c r="AB999" s="165"/>
      <c r="AC999" s="1"/>
      <c r="AD999" s="1"/>
      <c r="AE999" s="1"/>
      <c r="AF999" s="46"/>
      <c r="AG999" s="1"/>
      <c r="AH999" s="165"/>
      <c r="AI999" s="165"/>
      <c r="AJ999" s="165"/>
      <c r="AK999" s="165"/>
      <c r="AL999" s="165"/>
      <c r="AM999" s="165"/>
      <c r="AN999" s="165"/>
    </row>
    <row r="1000" spans="3:40">
      <c r="C1000" s="46"/>
      <c r="F1000" s="173"/>
      <c r="G1000" s="1"/>
      <c r="H1000" s="165"/>
      <c r="I1000" s="160"/>
      <c r="J1000" s="160"/>
      <c r="K1000" s="1"/>
      <c r="L1000" s="123"/>
      <c r="M1000" s="1"/>
      <c r="N1000" s="590"/>
      <c r="O1000" s="165"/>
      <c r="P1000" s="165"/>
      <c r="Q1000" s="165"/>
      <c r="R1000" s="165"/>
      <c r="S1000" s="165"/>
      <c r="V1000" s="46"/>
      <c r="W1000" s="46"/>
      <c r="X1000" s="1"/>
      <c r="Y1000" s="1"/>
      <c r="Z1000" s="173"/>
      <c r="AA1000" s="1"/>
      <c r="AB1000" s="165"/>
      <c r="AC1000" s="1"/>
      <c r="AD1000" s="1"/>
      <c r="AE1000" s="1"/>
      <c r="AF1000" s="46"/>
      <c r="AG1000" s="1"/>
      <c r="AH1000" s="165"/>
      <c r="AI1000" s="165"/>
      <c r="AJ1000" s="165"/>
      <c r="AK1000" s="165"/>
      <c r="AL1000" s="165"/>
      <c r="AM1000" s="165"/>
      <c r="AN1000" s="165"/>
    </row>
    <row r="1001" spans="3:40">
      <c r="C1001" s="46"/>
      <c r="F1001" s="173"/>
      <c r="G1001" s="1"/>
      <c r="H1001" s="165"/>
      <c r="I1001" s="160"/>
      <c r="J1001" s="160"/>
      <c r="K1001" s="1"/>
      <c r="L1001" s="123"/>
      <c r="M1001" s="1"/>
      <c r="N1001" s="590"/>
      <c r="O1001" s="165"/>
      <c r="P1001" s="165"/>
      <c r="Q1001" s="165"/>
      <c r="R1001" s="165"/>
      <c r="S1001" s="165"/>
      <c r="V1001" s="46"/>
      <c r="W1001" s="46"/>
      <c r="X1001" s="1"/>
      <c r="Y1001" s="1"/>
      <c r="Z1001" s="173"/>
      <c r="AA1001" s="1"/>
      <c r="AB1001" s="165"/>
      <c r="AC1001" s="1"/>
      <c r="AD1001" s="1"/>
      <c r="AE1001" s="1"/>
      <c r="AF1001" s="46"/>
      <c r="AG1001" s="1"/>
      <c r="AH1001" s="165"/>
      <c r="AI1001" s="165"/>
      <c r="AJ1001" s="165"/>
      <c r="AK1001" s="165"/>
      <c r="AL1001" s="165"/>
      <c r="AM1001" s="165"/>
      <c r="AN1001" s="165"/>
    </row>
    <row r="1002" spans="3:40">
      <c r="C1002" s="46"/>
      <c r="F1002" s="173"/>
      <c r="G1002" s="1"/>
      <c r="H1002" s="165"/>
      <c r="I1002" s="160"/>
      <c r="J1002" s="160"/>
      <c r="K1002" s="1"/>
      <c r="L1002" s="123"/>
      <c r="M1002" s="1"/>
      <c r="N1002" s="590"/>
      <c r="O1002" s="165"/>
      <c r="P1002" s="165"/>
      <c r="Q1002" s="165"/>
      <c r="R1002" s="165"/>
      <c r="S1002" s="165"/>
      <c r="V1002" s="46"/>
      <c r="W1002" s="46"/>
      <c r="X1002" s="1"/>
      <c r="Y1002" s="1"/>
      <c r="Z1002" s="173"/>
      <c r="AA1002" s="1"/>
      <c r="AB1002" s="165"/>
      <c r="AC1002" s="1"/>
      <c r="AD1002" s="1"/>
      <c r="AE1002" s="1"/>
      <c r="AF1002" s="46"/>
      <c r="AG1002" s="1"/>
      <c r="AH1002" s="165"/>
      <c r="AI1002" s="165"/>
      <c r="AJ1002" s="165"/>
      <c r="AK1002" s="165"/>
      <c r="AL1002" s="165"/>
      <c r="AM1002" s="165"/>
      <c r="AN1002" s="165"/>
    </row>
    <row r="1003" spans="3:40">
      <c r="C1003" s="46"/>
      <c r="F1003" s="173"/>
      <c r="G1003" s="1"/>
      <c r="H1003" s="165"/>
      <c r="I1003" s="160"/>
      <c r="J1003" s="160"/>
      <c r="K1003" s="1"/>
      <c r="L1003" s="123"/>
      <c r="M1003" s="1"/>
      <c r="N1003" s="590"/>
      <c r="O1003" s="165"/>
      <c r="P1003" s="165"/>
      <c r="Q1003" s="165"/>
      <c r="R1003" s="165"/>
      <c r="S1003" s="165"/>
      <c r="V1003" s="46"/>
      <c r="W1003" s="46"/>
      <c r="X1003" s="1"/>
      <c r="Y1003" s="1"/>
      <c r="Z1003" s="173"/>
      <c r="AA1003" s="1"/>
      <c r="AB1003" s="165"/>
      <c r="AC1003" s="1"/>
      <c r="AD1003" s="1"/>
      <c r="AE1003" s="1"/>
      <c r="AF1003" s="46"/>
      <c r="AG1003" s="1"/>
      <c r="AH1003" s="165"/>
      <c r="AI1003" s="165"/>
      <c r="AJ1003" s="165"/>
      <c r="AK1003" s="165"/>
      <c r="AL1003" s="165"/>
      <c r="AM1003" s="165"/>
      <c r="AN1003" s="165"/>
    </row>
    <row r="1004" spans="3:40">
      <c r="C1004" s="46"/>
      <c r="F1004" s="173"/>
      <c r="G1004" s="1"/>
      <c r="H1004" s="165"/>
      <c r="I1004" s="160"/>
      <c r="J1004" s="160"/>
      <c r="K1004" s="1"/>
      <c r="L1004" s="123"/>
      <c r="M1004" s="1"/>
      <c r="N1004" s="590"/>
      <c r="O1004" s="165"/>
      <c r="P1004" s="165"/>
      <c r="Q1004" s="165"/>
      <c r="R1004" s="165"/>
      <c r="S1004" s="165"/>
      <c r="V1004" s="46"/>
      <c r="W1004" s="46"/>
      <c r="X1004" s="1"/>
      <c r="Y1004" s="1"/>
      <c r="Z1004" s="173"/>
      <c r="AA1004" s="1"/>
      <c r="AB1004" s="165"/>
      <c r="AC1004" s="1"/>
      <c r="AD1004" s="1"/>
      <c r="AE1004" s="1"/>
      <c r="AF1004" s="46"/>
      <c r="AG1004" s="1"/>
      <c r="AH1004" s="165"/>
      <c r="AI1004" s="165"/>
      <c r="AJ1004" s="165"/>
      <c r="AK1004" s="165"/>
      <c r="AL1004" s="165"/>
      <c r="AM1004" s="165"/>
      <c r="AN1004" s="165"/>
    </row>
    <row r="1005" spans="3:40">
      <c r="C1005" s="46"/>
      <c r="F1005" s="173"/>
      <c r="G1005" s="1"/>
      <c r="H1005" s="165"/>
      <c r="I1005" s="160"/>
      <c r="J1005" s="160"/>
      <c r="K1005" s="1"/>
      <c r="L1005" s="123"/>
      <c r="M1005" s="1"/>
      <c r="N1005" s="590"/>
      <c r="O1005" s="165"/>
      <c r="P1005" s="165"/>
      <c r="Q1005" s="165"/>
      <c r="R1005" s="165"/>
      <c r="S1005" s="165"/>
      <c r="V1005" s="46"/>
      <c r="W1005" s="46"/>
      <c r="X1005" s="1"/>
      <c r="Y1005" s="1"/>
      <c r="Z1005" s="173"/>
      <c r="AA1005" s="1"/>
      <c r="AB1005" s="165"/>
      <c r="AC1005" s="1"/>
      <c r="AD1005" s="1"/>
      <c r="AE1005" s="1"/>
      <c r="AF1005" s="46"/>
      <c r="AG1005" s="1"/>
      <c r="AH1005" s="165"/>
      <c r="AI1005" s="165"/>
      <c r="AJ1005" s="165"/>
      <c r="AK1005" s="165"/>
      <c r="AL1005" s="165"/>
      <c r="AM1005" s="165"/>
      <c r="AN1005" s="165"/>
    </row>
    <row r="1006" spans="3:40">
      <c r="C1006" s="46"/>
      <c r="F1006" s="173"/>
      <c r="G1006" s="1"/>
      <c r="H1006" s="165"/>
      <c r="I1006" s="160"/>
      <c r="J1006" s="160"/>
      <c r="K1006" s="1"/>
      <c r="L1006" s="123"/>
      <c r="M1006" s="1"/>
      <c r="N1006" s="590"/>
      <c r="O1006" s="165"/>
      <c r="P1006" s="165"/>
      <c r="Q1006" s="165"/>
      <c r="R1006" s="165"/>
      <c r="S1006" s="165"/>
      <c r="V1006" s="46"/>
      <c r="W1006" s="46"/>
      <c r="X1006" s="1"/>
      <c r="Y1006" s="1"/>
      <c r="Z1006" s="173"/>
      <c r="AA1006" s="1"/>
      <c r="AB1006" s="165"/>
      <c r="AC1006" s="1"/>
      <c r="AD1006" s="1"/>
      <c r="AE1006" s="1"/>
      <c r="AF1006" s="46"/>
      <c r="AG1006" s="1"/>
      <c r="AH1006" s="165"/>
      <c r="AI1006" s="165"/>
      <c r="AJ1006" s="165"/>
      <c r="AK1006" s="165"/>
      <c r="AL1006" s="165"/>
      <c r="AM1006" s="165"/>
      <c r="AN1006" s="165"/>
    </row>
    <row r="1007" spans="3:40">
      <c r="C1007" s="46"/>
      <c r="F1007" s="173"/>
      <c r="G1007" s="1"/>
      <c r="H1007" s="165"/>
      <c r="I1007" s="160"/>
      <c r="J1007" s="160"/>
      <c r="K1007" s="1"/>
      <c r="L1007" s="123"/>
      <c r="M1007" s="1"/>
      <c r="N1007" s="590"/>
      <c r="O1007" s="165"/>
      <c r="P1007" s="165"/>
      <c r="Q1007" s="165"/>
      <c r="R1007" s="165"/>
      <c r="S1007" s="165"/>
      <c r="V1007" s="46"/>
      <c r="W1007" s="46"/>
      <c r="X1007" s="1"/>
      <c r="Y1007" s="1"/>
      <c r="Z1007" s="173"/>
      <c r="AA1007" s="1"/>
      <c r="AB1007" s="165"/>
      <c r="AC1007" s="1"/>
      <c r="AD1007" s="1"/>
      <c r="AE1007" s="1"/>
      <c r="AF1007" s="46"/>
      <c r="AG1007" s="1"/>
      <c r="AH1007" s="165"/>
      <c r="AI1007" s="165"/>
      <c r="AJ1007" s="165"/>
      <c r="AK1007" s="165"/>
      <c r="AL1007" s="165"/>
      <c r="AM1007" s="165"/>
      <c r="AN1007" s="165"/>
    </row>
    <row r="1008" spans="3:40">
      <c r="C1008" s="46"/>
      <c r="F1008" s="173"/>
      <c r="G1008" s="1"/>
      <c r="H1008" s="165"/>
      <c r="I1008" s="160"/>
      <c r="J1008" s="160"/>
      <c r="K1008" s="1"/>
      <c r="L1008" s="123"/>
      <c r="M1008" s="1"/>
      <c r="N1008" s="590"/>
      <c r="O1008" s="165"/>
      <c r="P1008" s="165"/>
      <c r="Q1008" s="165"/>
      <c r="R1008" s="165"/>
      <c r="S1008" s="165"/>
      <c r="V1008" s="46"/>
      <c r="W1008" s="46"/>
      <c r="X1008" s="1"/>
      <c r="Y1008" s="1"/>
      <c r="Z1008" s="173"/>
      <c r="AA1008" s="1"/>
      <c r="AB1008" s="165"/>
      <c r="AC1008" s="1"/>
      <c r="AD1008" s="1"/>
      <c r="AE1008" s="1"/>
      <c r="AF1008" s="46"/>
      <c r="AG1008" s="1"/>
      <c r="AH1008" s="165"/>
      <c r="AI1008" s="165"/>
      <c r="AJ1008" s="165"/>
      <c r="AK1008" s="165"/>
      <c r="AL1008" s="165"/>
      <c r="AM1008" s="165"/>
      <c r="AN1008" s="165"/>
    </row>
    <row r="1009" spans="3:40">
      <c r="C1009" s="46"/>
      <c r="F1009" s="173"/>
      <c r="G1009" s="1"/>
      <c r="H1009" s="165"/>
      <c r="I1009" s="160"/>
      <c r="J1009" s="160"/>
      <c r="K1009" s="1"/>
      <c r="L1009" s="123"/>
      <c r="M1009" s="1"/>
      <c r="N1009" s="590"/>
      <c r="O1009" s="165"/>
      <c r="P1009" s="165"/>
      <c r="Q1009" s="165"/>
      <c r="R1009" s="165"/>
      <c r="S1009" s="165"/>
      <c r="V1009" s="46"/>
      <c r="W1009" s="46"/>
      <c r="X1009" s="1"/>
      <c r="Y1009" s="1"/>
      <c r="Z1009" s="173"/>
      <c r="AA1009" s="1"/>
      <c r="AB1009" s="165"/>
      <c r="AC1009" s="1"/>
      <c r="AD1009" s="1"/>
      <c r="AE1009" s="1"/>
      <c r="AF1009" s="46"/>
      <c r="AG1009" s="1"/>
      <c r="AH1009" s="165"/>
      <c r="AI1009" s="165"/>
      <c r="AJ1009" s="165"/>
      <c r="AK1009" s="165"/>
      <c r="AL1009" s="165"/>
      <c r="AM1009" s="165"/>
      <c r="AN1009" s="165"/>
    </row>
    <row r="1010" spans="3:40">
      <c r="C1010" s="46"/>
      <c r="F1010" s="173"/>
      <c r="G1010" s="1"/>
      <c r="H1010" s="165"/>
      <c r="I1010" s="160"/>
      <c r="J1010" s="160"/>
      <c r="K1010" s="1"/>
      <c r="L1010" s="123"/>
      <c r="M1010" s="1"/>
      <c r="N1010" s="590"/>
      <c r="O1010" s="165"/>
      <c r="P1010" s="165"/>
      <c r="Q1010" s="165"/>
      <c r="R1010" s="165"/>
      <c r="S1010" s="165"/>
      <c r="V1010" s="46"/>
      <c r="W1010" s="46"/>
      <c r="X1010" s="1"/>
      <c r="Y1010" s="1"/>
      <c r="Z1010" s="173"/>
      <c r="AA1010" s="1"/>
      <c r="AB1010" s="165"/>
      <c r="AC1010" s="1"/>
      <c r="AD1010" s="1"/>
      <c r="AE1010" s="1"/>
      <c r="AF1010" s="46"/>
      <c r="AG1010" s="1"/>
      <c r="AH1010" s="165"/>
      <c r="AI1010" s="165"/>
      <c r="AJ1010" s="165"/>
      <c r="AK1010" s="165"/>
      <c r="AL1010" s="165"/>
      <c r="AM1010" s="165"/>
      <c r="AN1010" s="165"/>
    </row>
    <row r="1011" spans="3:40">
      <c r="C1011" s="46"/>
      <c r="F1011" s="173"/>
      <c r="G1011" s="1"/>
      <c r="H1011" s="165"/>
      <c r="I1011" s="160"/>
      <c r="J1011" s="160"/>
      <c r="K1011" s="1"/>
      <c r="L1011" s="123"/>
      <c r="M1011" s="1"/>
      <c r="N1011" s="590"/>
      <c r="O1011" s="165"/>
      <c r="P1011" s="165"/>
      <c r="Q1011" s="165"/>
      <c r="R1011" s="165"/>
      <c r="S1011" s="165"/>
      <c r="V1011" s="46"/>
      <c r="W1011" s="46"/>
      <c r="X1011" s="1"/>
      <c r="Y1011" s="1"/>
      <c r="Z1011" s="173"/>
      <c r="AA1011" s="1"/>
      <c r="AB1011" s="165"/>
      <c r="AC1011" s="1"/>
      <c r="AD1011" s="1"/>
      <c r="AE1011" s="1"/>
      <c r="AF1011" s="46"/>
      <c r="AG1011" s="1"/>
      <c r="AH1011" s="165"/>
      <c r="AI1011" s="165"/>
      <c r="AJ1011" s="165"/>
      <c r="AK1011" s="165"/>
      <c r="AL1011" s="165"/>
      <c r="AM1011" s="165"/>
      <c r="AN1011" s="165"/>
    </row>
    <row r="1012" spans="3:40">
      <c r="C1012" s="46"/>
      <c r="F1012" s="173"/>
      <c r="G1012" s="1"/>
      <c r="H1012" s="165"/>
      <c r="I1012" s="160"/>
      <c r="J1012" s="160"/>
      <c r="K1012" s="1"/>
      <c r="L1012" s="123"/>
      <c r="M1012" s="1"/>
      <c r="N1012" s="590"/>
      <c r="O1012" s="165"/>
      <c r="P1012" s="165"/>
      <c r="Q1012" s="165"/>
      <c r="R1012" s="165"/>
      <c r="S1012" s="165"/>
      <c r="V1012" s="46"/>
      <c r="W1012" s="46"/>
      <c r="X1012" s="1"/>
      <c r="Y1012" s="1"/>
      <c r="Z1012" s="173"/>
      <c r="AA1012" s="1"/>
      <c r="AB1012" s="165"/>
      <c r="AC1012" s="1"/>
      <c r="AD1012" s="1"/>
      <c r="AE1012" s="1"/>
      <c r="AF1012" s="46"/>
      <c r="AG1012" s="1"/>
      <c r="AH1012" s="165"/>
      <c r="AI1012" s="165"/>
      <c r="AJ1012" s="165"/>
      <c r="AK1012" s="165"/>
      <c r="AL1012" s="165"/>
      <c r="AM1012" s="165"/>
      <c r="AN1012" s="165"/>
    </row>
    <row r="1013" spans="3:40">
      <c r="C1013" s="46"/>
      <c r="F1013" s="173"/>
      <c r="G1013" s="1"/>
      <c r="H1013" s="165"/>
      <c r="I1013" s="160"/>
      <c r="J1013" s="160"/>
      <c r="K1013" s="1"/>
      <c r="L1013" s="123"/>
      <c r="M1013" s="1"/>
      <c r="N1013" s="590"/>
      <c r="O1013" s="165"/>
      <c r="P1013" s="165"/>
      <c r="Q1013" s="165"/>
      <c r="R1013" s="165"/>
      <c r="S1013" s="165"/>
      <c r="V1013" s="46"/>
      <c r="W1013" s="46"/>
      <c r="X1013" s="1"/>
      <c r="Y1013" s="1"/>
      <c r="Z1013" s="173"/>
      <c r="AA1013" s="1"/>
      <c r="AB1013" s="165"/>
      <c r="AC1013" s="1"/>
      <c r="AD1013" s="1"/>
      <c r="AE1013" s="1"/>
      <c r="AF1013" s="46"/>
      <c r="AG1013" s="1"/>
      <c r="AH1013" s="165"/>
      <c r="AI1013" s="165"/>
      <c r="AJ1013" s="165"/>
      <c r="AK1013" s="165"/>
      <c r="AL1013" s="165"/>
      <c r="AM1013" s="165"/>
      <c r="AN1013" s="165"/>
    </row>
    <row r="1014" spans="3:40">
      <c r="C1014" s="46"/>
      <c r="F1014" s="173"/>
      <c r="G1014" s="1"/>
      <c r="H1014" s="165"/>
      <c r="I1014" s="160"/>
      <c r="J1014" s="160"/>
      <c r="K1014" s="1"/>
      <c r="L1014" s="123"/>
      <c r="M1014" s="1"/>
      <c r="N1014" s="590"/>
      <c r="O1014" s="165"/>
      <c r="P1014" s="165"/>
      <c r="Q1014" s="165"/>
      <c r="R1014" s="165"/>
      <c r="S1014" s="165"/>
      <c r="V1014" s="46"/>
      <c r="W1014" s="46"/>
      <c r="X1014" s="1"/>
      <c r="Y1014" s="1"/>
      <c r="Z1014" s="173"/>
      <c r="AA1014" s="1"/>
      <c r="AB1014" s="165"/>
      <c r="AC1014" s="1"/>
      <c r="AD1014" s="1"/>
      <c r="AE1014" s="1"/>
      <c r="AF1014" s="46"/>
      <c r="AG1014" s="1"/>
      <c r="AH1014" s="165"/>
      <c r="AI1014" s="165"/>
      <c r="AJ1014" s="165"/>
      <c r="AK1014" s="165"/>
      <c r="AL1014" s="165"/>
      <c r="AM1014" s="165"/>
      <c r="AN1014" s="165"/>
    </row>
    <row r="1015" spans="3:40">
      <c r="C1015" s="46"/>
      <c r="F1015" s="173"/>
      <c r="G1015" s="1"/>
      <c r="H1015" s="165"/>
      <c r="I1015" s="160"/>
      <c r="J1015" s="160"/>
      <c r="K1015" s="1"/>
      <c r="L1015" s="123"/>
      <c r="M1015" s="1"/>
      <c r="N1015" s="590"/>
      <c r="O1015" s="165"/>
      <c r="P1015" s="165"/>
      <c r="Q1015" s="165"/>
      <c r="R1015" s="165"/>
      <c r="S1015" s="165"/>
      <c r="V1015" s="46"/>
      <c r="W1015" s="46"/>
      <c r="X1015" s="1"/>
      <c r="Y1015" s="1"/>
      <c r="Z1015" s="173"/>
      <c r="AA1015" s="1"/>
      <c r="AB1015" s="165"/>
      <c r="AC1015" s="1"/>
      <c r="AD1015" s="1"/>
      <c r="AE1015" s="1"/>
      <c r="AF1015" s="46"/>
      <c r="AG1015" s="1"/>
      <c r="AH1015" s="165"/>
      <c r="AI1015" s="165"/>
      <c r="AJ1015" s="165"/>
      <c r="AK1015" s="165"/>
      <c r="AL1015" s="165"/>
      <c r="AM1015" s="165"/>
      <c r="AN1015" s="165"/>
    </row>
    <row r="1016" spans="3:40">
      <c r="C1016" s="46"/>
      <c r="F1016" s="173"/>
      <c r="G1016" s="1"/>
      <c r="H1016" s="165"/>
      <c r="I1016" s="160"/>
      <c r="J1016" s="160"/>
      <c r="K1016" s="1"/>
      <c r="L1016" s="123"/>
      <c r="M1016" s="1"/>
      <c r="N1016" s="590"/>
      <c r="O1016" s="165"/>
      <c r="P1016" s="165"/>
      <c r="Q1016" s="165"/>
      <c r="R1016" s="165"/>
      <c r="S1016" s="165"/>
      <c r="V1016" s="46"/>
      <c r="W1016" s="46"/>
      <c r="X1016" s="1"/>
      <c r="Y1016" s="1"/>
      <c r="Z1016" s="173"/>
      <c r="AA1016" s="1"/>
      <c r="AB1016" s="165"/>
      <c r="AC1016" s="1"/>
      <c r="AD1016" s="1"/>
      <c r="AE1016" s="1"/>
      <c r="AF1016" s="46"/>
      <c r="AG1016" s="1"/>
      <c r="AH1016" s="165"/>
      <c r="AI1016" s="165"/>
      <c r="AJ1016" s="165"/>
      <c r="AK1016" s="165"/>
      <c r="AL1016" s="165"/>
      <c r="AM1016" s="165"/>
      <c r="AN1016" s="165"/>
    </row>
    <row r="1017" spans="3:40">
      <c r="C1017" s="46"/>
      <c r="F1017" s="173"/>
      <c r="G1017" s="1"/>
      <c r="H1017" s="165"/>
      <c r="I1017" s="160"/>
      <c r="J1017" s="160"/>
      <c r="K1017" s="1"/>
      <c r="L1017" s="123"/>
      <c r="M1017" s="1"/>
      <c r="N1017" s="590"/>
      <c r="O1017" s="165"/>
      <c r="P1017" s="165"/>
      <c r="Q1017" s="165"/>
      <c r="R1017" s="165"/>
      <c r="S1017" s="165"/>
      <c r="V1017" s="46"/>
      <c r="W1017" s="46"/>
      <c r="X1017" s="1"/>
      <c r="Y1017" s="1"/>
      <c r="Z1017" s="173"/>
      <c r="AA1017" s="1"/>
      <c r="AB1017" s="165"/>
      <c r="AC1017" s="1"/>
      <c r="AD1017" s="1"/>
      <c r="AE1017" s="1"/>
      <c r="AF1017" s="46"/>
      <c r="AG1017" s="1"/>
      <c r="AH1017" s="165"/>
      <c r="AI1017" s="165"/>
      <c r="AJ1017" s="165"/>
      <c r="AK1017" s="165"/>
      <c r="AL1017" s="165"/>
      <c r="AM1017" s="165"/>
      <c r="AN1017" s="165"/>
    </row>
    <row r="1018" spans="3:40">
      <c r="C1018" s="46"/>
      <c r="F1018" s="173"/>
      <c r="G1018" s="1"/>
      <c r="H1018" s="165"/>
      <c r="I1018" s="160"/>
      <c r="J1018" s="160"/>
      <c r="K1018" s="1"/>
      <c r="L1018" s="123"/>
      <c r="M1018" s="1"/>
      <c r="N1018" s="590"/>
      <c r="O1018" s="165"/>
      <c r="P1018" s="165"/>
      <c r="Q1018" s="165"/>
      <c r="R1018" s="165"/>
      <c r="S1018" s="165"/>
      <c r="V1018" s="46"/>
      <c r="W1018" s="46"/>
      <c r="X1018" s="1"/>
      <c r="Y1018" s="1"/>
      <c r="Z1018" s="173"/>
      <c r="AA1018" s="1"/>
      <c r="AB1018" s="165"/>
      <c r="AC1018" s="1"/>
      <c r="AD1018" s="1"/>
      <c r="AE1018" s="1"/>
      <c r="AF1018" s="46"/>
      <c r="AG1018" s="1"/>
      <c r="AH1018" s="165"/>
      <c r="AI1018" s="165"/>
      <c r="AJ1018" s="165"/>
      <c r="AK1018" s="165"/>
      <c r="AL1018" s="165"/>
      <c r="AM1018" s="165"/>
      <c r="AN1018" s="165"/>
    </row>
    <row r="1019" spans="3:40">
      <c r="C1019" s="46"/>
      <c r="F1019" s="173"/>
      <c r="G1019" s="1"/>
      <c r="H1019" s="165"/>
      <c r="I1019" s="160"/>
      <c r="J1019" s="160"/>
      <c r="K1019" s="1"/>
      <c r="L1019" s="123"/>
      <c r="M1019" s="1"/>
      <c r="N1019" s="590"/>
      <c r="O1019" s="165"/>
      <c r="P1019" s="165"/>
      <c r="Q1019" s="165"/>
      <c r="R1019" s="165"/>
      <c r="S1019" s="165"/>
      <c r="V1019" s="46"/>
      <c r="W1019" s="46"/>
      <c r="X1019" s="1"/>
      <c r="Y1019" s="1"/>
      <c r="Z1019" s="173"/>
      <c r="AA1019" s="1"/>
      <c r="AB1019" s="165"/>
      <c r="AC1019" s="1"/>
      <c r="AD1019" s="1"/>
      <c r="AE1019" s="1"/>
      <c r="AF1019" s="46"/>
      <c r="AG1019" s="1"/>
      <c r="AH1019" s="165"/>
      <c r="AI1019" s="165"/>
      <c r="AJ1019" s="165"/>
      <c r="AK1019" s="165"/>
      <c r="AL1019" s="165"/>
      <c r="AM1019" s="165"/>
      <c r="AN1019" s="165"/>
    </row>
    <row r="1020" spans="3:40">
      <c r="C1020" s="46"/>
      <c r="F1020" s="173"/>
      <c r="G1020" s="1"/>
      <c r="H1020" s="165"/>
      <c r="I1020" s="160"/>
      <c r="J1020" s="160"/>
      <c r="K1020" s="1"/>
      <c r="L1020" s="123"/>
      <c r="M1020" s="1"/>
      <c r="N1020" s="590"/>
      <c r="O1020" s="165"/>
      <c r="P1020" s="165"/>
      <c r="Q1020" s="165"/>
      <c r="R1020" s="165"/>
      <c r="S1020" s="165"/>
      <c r="V1020" s="46"/>
      <c r="W1020" s="46"/>
      <c r="X1020" s="1"/>
      <c r="Y1020" s="1"/>
      <c r="Z1020" s="173"/>
      <c r="AA1020" s="1"/>
      <c r="AB1020" s="165"/>
      <c r="AC1020" s="1"/>
      <c r="AD1020" s="1"/>
      <c r="AE1020" s="1"/>
      <c r="AF1020" s="46"/>
      <c r="AG1020" s="1"/>
      <c r="AH1020" s="165"/>
      <c r="AI1020" s="165"/>
      <c r="AJ1020" s="165"/>
      <c r="AK1020" s="165"/>
      <c r="AL1020" s="165"/>
      <c r="AM1020" s="165"/>
      <c r="AN1020" s="165"/>
    </row>
    <row r="1021" spans="3:40">
      <c r="C1021" s="46"/>
      <c r="F1021" s="173"/>
      <c r="G1021" s="1"/>
      <c r="H1021" s="165"/>
      <c r="I1021" s="160"/>
      <c r="J1021" s="160"/>
      <c r="K1021" s="1"/>
      <c r="L1021" s="123"/>
      <c r="M1021" s="1"/>
      <c r="N1021" s="590"/>
      <c r="O1021" s="165"/>
      <c r="P1021" s="165"/>
      <c r="Q1021" s="165"/>
      <c r="R1021" s="165"/>
      <c r="S1021" s="165"/>
      <c r="V1021" s="46"/>
      <c r="W1021" s="46"/>
      <c r="X1021" s="1"/>
      <c r="Y1021" s="1"/>
      <c r="Z1021" s="173"/>
      <c r="AA1021" s="1"/>
      <c r="AB1021" s="165"/>
      <c r="AC1021" s="1"/>
      <c r="AD1021" s="1"/>
      <c r="AE1021" s="1"/>
      <c r="AF1021" s="46"/>
      <c r="AG1021" s="1"/>
      <c r="AH1021" s="165"/>
      <c r="AI1021" s="165"/>
      <c r="AJ1021" s="165"/>
      <c r="AK1021" s="165"/>
      <c r="AL1021" s="165"/>
      <c r="AM1021" s="165"/>
      <c r="AN1021" s="165"/>
    </row>
    <row r="1022" spans="3:40">
      <c r="C1022" s="46"/>
      <c r="F1022" s="173"/>
      <c r="G1022" s="1"/>
      <c r="H1022" s="165"/>
      <c r="I1022" s="160"/>
      <c r="J1022" s="160"/>
      <c r="K1022" s="1"/>
      <c r="L1022" s="123"/>
      <c r="M1022" s="1"/>
      <c r="N1022" s="590"/>
      <c r="O1022" s="165"/>
      <c r="P1022" s="165"/>
      <c r="Q1022" s="165"/>
      <c r="R1022" s="165"/>
      <c r="S1022" s="165"/>
      <c r="V1022" s="46"/>
      <c r="W1022" s="46"/>
      <c r="X1022" s="1"/>
      <c r="Y1022" s="1"/>
      <c r="Z1022" s="173"/>
      <c r="AA1022" s="1"/>
      <c r="AB1022" s="165"/>
      <c r="AC1022" s="1"/>
      <c r="AD1022" s="1"/>
      <c r="AE1022" s="1"/>
      <c r="AF1022" s="46"/>
      <c r="AG1022" s="1"/>
      <c r="AH1022" s="165"/>
      <c r="AI1022" s="165"/>
      <c r="AJ1022" s="165"/>
      <c r="AK1022" s="165"/>
      <c r="AL1022" s="165"/>
      <c r="AM1022" s="165"/>
      <c r="AN1022" s="165"/>
    </row>
    <row r="1023" spans="3:40">
      <c r="C1023" s="46"/>
      <c r="F1023" s="173"/>
      <c r="G1023" s="1"/>
      <c r="H1023" s="165"/>
      <c r="I1023" s="160"/>
      <c r="J1023" s="160"/>
      <c r="K1023" s="1"/>
      <c r="L1023" s="123"/>
      <c r="M1023" s="1"/>
      <c r="N1023" s="590"/>
      <c r="O1023" s="165"/>
      <c r="P1023" s="165"/>
      <c r="Q1023" s="165"/>
      <c r="R1023" s="165"/>
      <c r="S1023" s="165"/>
      <c r="V1023" s="46"/>
      <c r="W1023" s="46"/>
      <c r="X1023" s="1"/>
      <c r="Y1023" s="1"/>
      <c r="Z1023" s="173"/>
      <c r="AA1023" s="1"/>
      <c r="AB1023" s="165"/>
      <c r="AC1023" s="1"/>
      <c r="AD1023" s="1"/>
      <c r="AE1023" s="1"/>
      <c r="AF1023" s="46"/>
      <c r="AG1023" s="1"/>
      <c r="AH1023" s="165"/>
      <c r="AI1023" s="165"/>
      <c r="AJ1023" s="165"/>
      <c r="AK1023" s="165"/>
      <c r="AL1023" s="165"/>
      <c r="AM1023" s="165"/>
      <c r="AN1023" s="165"/>
    </row>
    <row r="1024" spans="3:40">
      <c r="C1024" s="46"/>
      <c r="F1024" s="173"/>
      <c r="G1024" s="1"/>
      <c r="H1024" s="165"/>
      <c r="I1024" s="160"/>
      <c r="J1024" s="160"/>
      <c r="K1024" s="1"/>
      <c r="L1024" s="123"/>
      <c r="M1024" s="1"/>
      <c r="N1024" s="590"/>
      <c r="O1024" s="165"/>
      <c r="P1024" s="165"/>
      <c r="Q1024" s="165"/>
      <c r="R1024" s="165"/>
      <c r="S1024" s="165"/>
      <c r="V1024" s="46"/>
      <c r="W1024" s="46"/>
      <c r="X1024" s="1"/>
      <c r="Y1024" s="1"/>
      <c r="Z1024" s="173"/>
      <c r="AA1024" s="1"/>
      <c r="AB1024" s="165"/>
      <c r="AC1024" s="1"/>
      <c r="AD1024" s="1"/>
      <c r="AE1024" s="1"/>
      <c r="AF1024" s="46"/>
      <c r="AG1024" s="1"/>
      <c r="AH1024" s="165"/>
      <c r="AI1024" s="165"/>
      <c r="AJ1024" s="165"/>
      <c r="AK1024" s="165"/>
      <c r="AL1024" s="165"/>
      <c r="AM1024" s="165"/>
      <c r="AN1024" s="165"/>
    </row>
    <row r="1025" spans="3:40">
      <c r="C1025" s="46"/>
      <c r="F1025" s="173"/>
      <c r="G1025" s="1"/>
      <c r="H1025" s="165"/>
      <c r="I1025" s="160"/>
      <c r="J1025" s="160"/>
      <c r="K1025" s="1"/>
      <c r="L1025" s="123"/>
      <c r="M1025" s="1"/>
      <c r="N1025" s="590"/>
      <c r="O1025" s="165"/>
      <c r="P1025" s="165"/>
      <c r="Q1025" s="165"/>
      <c r="R1025" s="165"/>
      <c r="S1025" s="165"/>
      <c r="V1025" s="46"/>
      <c r="W1025" s="46"/>
      <c r="X1025" s="1"/>
      <c r="Y1025" s="1"/>
      <c r="Z1025" s="173"/>
      <c r="AA1025" s="1"/>
      <c r="AB1025" s="165"/>
      <c r="AC1025" s="1"/>
      <c r="AD1025" s="1"/>
      <c r="AE1025" s="1"/>
      <c r="AF1025" s="46"/>
      <c r="AG1025" s="1"/>
      <c r="AH1025" s="165"/>
      <c r="AI1025" s="165"/>
      <c r="AJ1025" s="165"/>
      <c r="AK1025" s="165"/>
      <c r="AL1025" s="165"/>
      <c r="AM1025" s="165"/>
      <c r="AN1025" s="165"/>
    </row>
    <row r="1026" spans="3:40">
      <c r="C1026" s="46"/>
      <c r="F1026" s="173"/>
      <c r="G1026" s="1"/>
      <c r="H1026" s="165"/>
      <c r="I1026" s="160"/>
      <c r="J1026" s="160"/>
      <c r="K1026" s="1"/>
      <c r="L1026" s="123"/>
      <c r="M1026" s="1"/>
      <c r="N1026" s="590"/>
      <c r="O1026" s="165"/>
      <c r="P1026" s="165"/>
      <c r="Q1026" s="165"/>
      <c r="R1026" s="165"/>
      <c r="S1026" s="165"/>
      <c r="V1026" s="46"/>
      <c r="W1026" s="46"/>
      <c r="X1026" s="1"/>
      <c r="Y1026" s="1"/>
      <c r="Z1026" s="173"/>
      <c r="AA1026" s="1"/>
      <c r="AB1026" s="165"/>
      <c r="AC1026" s="1"/>
      <c r="AD1026" s="1"/>
      <c r="AE1026" s="1"/>
      <c r="AF1026" s="46"/>
      <c r="AG1026" s="1"/>
      <c r="AH1026" s="165"/>
      <c r="AI1026" s="165"/>
      <c r="AJ1026" s="165"/>
      <c r="AK1026" s="165"/>
      <c r="AL1026" s="165"/>
      <c r="AM1026" s="165"/>
      <c r="AN1026" s="165"/>
    </row>
    <row r="1027" spans="3:40">
      <c r="C1027" s="46"/>
      <c r="F1027" s="173"/>
      <c r="G1027" s="1"/>
      <c r="H1027" s="165"/>
      <c r="I1027" s="160"/>
      <c r="J1027" s="160"/>
      <c r="K1027" s="1"/>
      <c r="L1027" s="123"/>
      <c r="M1027" s="1"/>
      <c r="N1027" s="590"/>
      <c r="O1027" s="165"/>
      <c r="P1027" s="165"/>
      <c r="Q1027" s="165"/>
      <c r="R1027" s="165"/>
      <c r="S1027" s="165"/>
      <c r="V1027" s="46"/>
      <c r="W1027" s="46"/>
      <c r="X1027" s="1"/>
      <c r="Y1027" s="1"/>
      <c r="Z1027" s="173"/>
      <c r="AA1027" s="1"/>
      <c r="AB1027" s="165"/>
      <c r="AC1027" s="1"/>
      <c r="AD1027" s="1"/>
      <c r="AE1027" s="1"/>
      <c r="AF1027" s="46"/>
      <c r="AG1027" s="1"/>
      <c r="AH1027" s="165"/>
      <c r="AI1027" s="165"/>
      <c r="AJ1027" s="165"/>
      <c r="AK1027" s="165"/>
      <c r="AL1027" s="165"/>
      <c r="AM1027" s="165"/>
      <c r="AN1027" s="165"/>
    </row>
    <row r="1028" spans="3:40">
      <c r="C1028" s="46"/>
      <c r="F1028" s="173"/>
      <c r="G1028" s="1"/>
      <c r="H1028" s="165"/>
      <c r="I1028" s="160"/>
      <c r="J1028" s="160"/>
      <c r="K1028" s="1"/>
      <c r="L1028" s="123"/>
      <c r="M1028" s="1"/>
      <c r="N1028" s="590"/>
      <c r="O1028" s="165"/>
      <c r="P1028" s="165"/>
      <c r="Q1028" s="165"/>
      <c r="R1028" s="165"/>
      <c r="S1028" s="165"/>
      <c r="V1028" s="46"/>
      <c r="W1028" s="46"/>
      <c r="X1028" s="1"/>
      <c r="Y1028" s="1"/>
      <c r="Z1028" s="173"/>
      <c r="AA1028" s="1"/>
      <c r="AB1028" s="165"/>
      <c r="AC1028" s="1"/>
      <c r="AD1028" s="1"/>
      <c r="AE1028" s="1"/>
      <c r="AF1028" s="46"/>
      <c r="AG1028" s="1"/>
      <c r="AH1028" s="165"/>
      <c r="AI1028" s="165"/>
      <c r="AJ1028" s="165"/>
      <c r="AK1028" s="165"/>
      <c r="AL1028" s="165"/>
      <c r="AM1028" s="165"/>
      <c r="AN1028" s="165"/>
    </row>
    <row r="1029" spans="3:40">
      <c r="C1029" s="46"/>
      <c r="F1029" s="173"/>
      <c r="G1029" s="1"/>
      <c r="H1029" s="165"/>
      <c r="I1029" s="160"/>
      <c r="J1029" s="160"/>
      <c r="K1029" s="1"/>
      <c r="L1029" s="123"/>
      <c r="M1029" s="1"/>
      <c r="N1029" s="590"/>
      <c r="O1029" s="165"/>
      <c r="P1029" s="165"/>
      <c r="Q1029" s="165"/>
      <c r="R1029" s="165"/>
      <c r="S1029" s="165"/>
      <c r="V1029" s="46"/>
      <c r="W1029" s="46"/>
      <c r="X1029" s="1"/>
      <c r="Y1029" s="1"/>
      <c r="Z1029" s="173"/>
      <c r="AA1029" s="1"/>
      <c r="AB1029" s="165"/>
      <c r="AC1029" s="1"/>
      <c r="AD1029" s="1"/>
      <c r="AE1029" s="1"/>
      <c r="AF1029" s="46"/>
      <c r="AG1029" s="1"/>
      <c r="AH1029" s="165"/>
      <c r="AI1029" s="165"/>
      <c r="AJ1029" s="165"/>
      <c r="AK1029" s="165"/>
      <c r="AL1029" s="165"/>
      <c r="AM1029" s="165"/>
      <c r="AN1029" s="165"/>
    </row>
    <row r="1030" spans="3:40">
      <c r="C1030" s="46"/>
      <c r="F1030" s="173"/>
      <c r="G1030" s="1"/>
      <c r="H1030" s="165"/>
      <c r="I1030" s="160"/>
      <c r="J1030" s="160"/>
      <c r="K1030" s="1"/>
      <c r="L1030" s="123"/>
      <c r="M1030" s="1"/>
      <c r="N1030" s="590"/>
      <c r="O1030" s="165"/>
      <c r="P1030" s="165"/>
      <c r="Q1030" s="165"/>
      <c r="R1030" s="165"/>
      <c r="S1030" s="165"/>
      <c r="V1030" s="46"/>
      <c r="W1030" s="46"/>
      <c r="X1030" s="1"/>
      <c r="Y1030" s="1"/>
      <c r="Z1030" s="173"/>
      <c r="AA1030" s="1"/>
      <c r="AB1030" s="165"/>
      <c r="AC1030" s="1"/>
      <c r="AD1030" s="1"/>
      <c r="AE1030" s="1"/>
      <c r="AF1030" s="46"/>
      <c r="AG1030" s="1"/>
      <c r="AH1030" s="165"/>
      <c r="AI1030" s="165"/>
      <c r="AJ1030" s="165"/>
      <c r="AK1030" s="165"/>
      <c r="AL1030" s="165"/>
      <c r="AM1030" s="165"/>
      <c r="AN1030" s="165"/>
    </row>
    <row r="1031" spans="3:40">
      <c r="C1031" s="46"/>
      <c r="F1031" s="173"/>
      <c r="G1031" s="1"/>
      <c r="H1031" s="165"/>
      <c r="I1031" s="160"/>
      <c r="J1031" s="160"/>
      <c r="K1031" s="1"/>
      <c r="L1031" s="123"/>
      <c r="M1031" s="1"/>
      <c r="N1031" s="590"/>
      <c r="O1031" s="165"/>
      <c r="P1031" s="165"/>
      <c r="Q1031" s="165"/>
      <c r="R1031" s="165"/>
      <c r="S1031" s="165"/>
      <c r="V1031" s="46"/>
      <c r="W1031" s="46"/>
      <c r="X1031" s="1"/>
      <c r="Y1031" s="1"/>
      <c r="Z1031" s="173"/>
      <c r="AA1031" s="1"/>
      <c r="AB1031" s="165"/>
      <c r="AC1031" s="1"/>
      <c r="AD1031" s="1"/>
      <c r="AE1031" s="1"/>
      <c r="AF1031" s="46"/>
      <c r="AG1031" s="1"/>
      <c r="AH1031" s="165"/>
      <c r="AI1031" s="165"/>
      <c r="AJ1031" s="165"/>
      <c r="AK1031" s="165"/>
      <c r="AL1031" s="165"/>
      <c r="AM1031" s="165"/>
      <c r="AN1031" s="165"/>
    </row>
    <row r="1032" spans="3:40">
      <c r="C1032" s="46"/>
      <c r="F1032" s="173"/>
      <c r="G1032" s="1"/>
      <c r="H1032" s="165"/>
      <c r="I1032" s="160"/>
      <c r="J1032" s="160"/>
      <c r="K1032" s="1"/>
      <c r="L1032" s="123"/>
      <c r="M1032" s="1"/>
      <c r="N1032" s="590"/>
      <c r="O1032" s="165"/>
      <c r="P1032" s="165"/>
      <c r="Q1032" s="165"/>
      <c r="R1032" s="165"/>
      <c r="S1032" s="165"/>
      <c r="V1032" s="46"/>
      <c r="W1032" s="46"/>
      <c r="X1032" s="1"/>
      <c r="Y1032" s="1"/>
      <c r="Z1032" s="173"/>
      <c r="AA1032" s="1"/>
      <c r="AB1032" s="165"/>
      <c r="AC1032" s="1"/>
      <c r="AD1032" s="1"/>
      <c r="AE1032" s="1"/>
      <c r="AF1032" s="46"/>
      <c r="AG1032" s="1"/>
      <c r="AH1032" s="165"/>
      <c r="AI1032" s="165"/>
      <c r="AJ1032" s="165"/>
      <c r="AK1032" s="165"/>
      <c r="AL1032" s="165"/>
      <c r="AM1032" s="165"/>
      <c r="AN1032" s="165"/>
    </row>
    <row r="1033" spans="3:40">
      <c r="C1033" s="46"/>
      <c r="F1033" s="173"/>
      <c r="G1033" s="1"/>
      <c r="H1033" s="165"/>
      <c r="I1033" s="160"/>
      <c r="J1033" s="160"/>
      <c r="K1033" s="1"/>
      <c r="L1033" s="123"/>
      <c r="M1033" s="1"/>
      <c r="N1033" s="590"/>
      <c r="O1033" s="165"/>
      <c r="P1033" s="165"/>
      <c r="Q1033" s="165"/>
      <c r="R1033" s="165"/>
      <c r="S1033" s="165"/>
      <c r="V1033" s="46"/>
      <c r="W1033" s="46"/>
      <c r="X1033" s="1"/>
      <c r="Y1033" s="1"/>
      <c r="Z1033" s="173"/>
      <c r="AA1033" s="1"/>
      <c r="AB1033" s="165"/>
      <c r="AC1033" s="1"/>
      <c r="AD1033" s="1"/>
      <c r="AE1033" s="1"/>
      <c r="AF1033" s="46"/>
      <c r="AG1033" s="1"/>
      <c r="AH1033" s="165"/>
      <c r="AI1033" s="165"/>
      <c r="AJ1033" s="165"/>
      <c r="AK1033" s="165"/>
      <c r="AL1033" s="165"/>
      <c r="AM1033" s="165"/>
      <c r="AN1033" s="165"/>
    </row>
    <row r="1034" spans="3:40">
      <c r="C1034" s="46"/>
      <c r="F1034" s="173"/>
      <c r="G1034" s="1"/>
      <c r="H1034" s="165"/>
      <c r="I1034" s="160"/>
      <c r="J1034" s="160"/>
      <c r="K1034" s="1"/>
      <c r="L1034" s="123"/>
      <c r="M1034" s="1"/>
      <c r="N1034" s="590"/>
      <c r="O1034" s="165"/>
      <c r="P1034" s="165"/>
      <c r="Q1034" s="165"/>
      <c r="R1034" s="165"/>
      <c r="S1034" s="165"/>
      <c r="V1034" s="46"/>
      <c r="W1034" s="46"/>
      <c r="X1034" s="1"/>
      <c r="Y1034" s="1"/>
      <c r="Z1034" s="173"/>
      <c r="AA1034" s="1"/>
      <c r="AB1034" s="165"/>
      <c r="AC1034" s="1"/>
      <c r="AD1034" s="1"/>
      <c r="AE1034" s="1"/>
      <c r="AF1034" s="46"/>
      <c r="AG1034" s="1"/>
      <c r="AH1034" s="165"/>
      <c r="AI1034" s="165"/>
      <c r="AJ1034" s="165"/>
      <c r="AK1034" s="165"/>
      <c r="AL1034" s="165"/>
      <c r="AM1034" s="165"/>
      <c r="AN1034" s="165"/>
    </row>
    <row r="1035" spans="3:40">
      <c r="C1035" s="46"/>
      <c r="F1035" s="173"/>
      <c r="G1035" s="1"/>
      <c r="H1035" s="165"/>
      <c r="I1035" s="160"/>
      <c r="J1035" s="160"/>
      <c r="K1035" s="1"/>
      <c r="L1035" s="123"/>
      <c r="M1035" s="1"/>
      <c r="N1035" s="590"/>
      <c r="O1035" s="165"/>
      <c r="P1035" s="165"/>
      <c r="Q1035" s="165"/>
      <c r="R1035" s="165"/>
      <c r="S1035" s="165"/>
      <c r="V1035" s="46"/>
      <c r="W1035" s="46"/>
      <c r="X1035" s="1"/>
      <c r="Y1035" s="1"/>
      <c r="Z1035" s="173"/>
      <c r="AA1035" s="1"/>
      <c r="AB1035" s="165"/>
      <c r="AC1035" s="1"/>
      <c r="AD1035" s="1"/>
      <c r="AE1035" s="1"/>
      <c r="AF1035" s="46"/>
      <c r="AG1035" s="1"/>
      <c r="AH1035" s="165"/>
      <c r="AI1035" s="165"/>
      <c r="AJ1035" s="165"/>
      <c r="AK1035" s="165"/>
      <c r="AL1035" s="165"/>
      <c r="AM1035" s="165"/>
      <c r="AN1035" s="165"/>
    </row>
    <row r="1036" spans="3:40">
      <c r="C1036" s="46"/>
      <c r="F1036" s="173"/>
      <c r="G1036" s="1"/>
      <c r="H1036" s="165"/>
      <c r="I1036" s="160"/>
      <c r="J1036" s="160"/>
      <c r="K1036" s="1"/>
      <c r="L1036" s="123"/>
      <c r="M1036" s="1"/>
      <c r="N1036" s="590"/>
      <c r="O1036" s="165"/>
      <c r="P1036" s="165"/>
      <c r="Q1036" s="165"/>
      <c r="R1036" s="165"/>
      <c r="S1036" s="165"/>
      <c r="V1036" s="46"/>
      <c r="W1036" s="46"/>
      <c r="X1036" s="1"/>
      <c r="Y1036" s="1"/>
      <c r="Z1036" s="173"/>
      <c r="AA1036" s="1"/>
      <c r="AB1036" s="165"/>
      <c r="AC1036" s="1"/>
      <c r="AD1036" s="1"/>
      <c r="AE1036" s="1"/>
      <c r="AF1036" s="46"/>
      <c r="AG1036" s="1"/>
      <c r="AH1036" s="165"/>
      <c r="AI1036" s="165"/>
      <c r="AJ1036" s="165"/>
      <c r="AK1036" s="165"/>
      <c r="AL1036" s="165"/>
      <c r="AM1036" s="165"/>
      <c r="AN1036" s="165"/>
    </row>
    <row r="1037" spans="3:40">
      <c r="C1037" s="46"/>
      <c r="F1037" s="173"/>
      <c r="G1037" s="1"/>
      <c r="H1037" s="165"/>
      <c r="I1037" s="160"/>
      <c r="J1037" s="160"/>
      <c r="K1037" s="1"/>
      <c r="L1037" s="123"/>
      <c r="M1037" s="1"/>
      <c r="N1037" s="590"/>
      <c r="O1037" s="165"/>
      <c r="P1037" s="165"/>
      <c r="Q1037" s="165"/>
      <c r="R1037" s="165"/>
      <c r="S1037" s="165"/>
      <c r="V1037" s="46"/>
      <c r="W1037" s="46"/>
      <c r="X1037" s="1"/>
      <c r="Y1037" s="1"/>
      <c r="Z1037" s="173"/>
      <c r="AA1037" s="1"/>
      <c r="AB1037" s="165"/>
      <c r="AC1037" s="1"/>
      <c r="AD1037" s="1"/>
      <c r="AE1037" s="1"/>
      <c r="AF1037" s="46"/>
      <c r="AG1037" s="1"/>
      <c r="AH1037" s="165"/>
      <c r="AI1037" s="165"/>
      <c r="AJ1037" s="165"/>
      <c r="AK1037" s="165"/>
      <c r="AL1037" s="165"/>
      <c r="AM1037" s="165"/>
      <c r="AN1037" s="165"/>
    </row>
    <row r="1038" spans="3:40">
      <c r="C1038" s="46"/>
      <c r="F1038" s="173"/>
      <c r="G1038" s="1"/>
      <c r="H1038" s="165"/>
      <c r="I1038" s="160"/>
      <c r="J1038" s="160"/>
      <c r="K1038" s="1"/>
      <c r="L1038" s="123"/>
      <c r="M1038" s="1"/>
      <c r="N1038" s="590"/>
      <c r="O1038" s="165"/>
      <c r="P1038" s="165"/>
      <c r="Q1038" s="165"/>
      <c r="R1038" s="165"/>
      <c r="S1038" s="165"/>
      <c r="V1038" s="46"/>
      <c r="W1038" s="46"/>
      <c r="X1038" s="1"/>
      <c r="Y1038" s="1"/>
      <c r="Z1038" s="173"/>
      <c r="AA1038" s="1"/>
      <c r="AB1038" s="165"/>
      <c r="AC1038" s="1"/>
      <c r="AD1038" s="1"/>
      <c r="AE1038" s="1"/>
      <c r="AF1038" s="46"/>
      <c r="AG1038" s="1"/>
      <c r="AH1038" s="165"/>
      <c r="AI1038" s="165"/>
      <c r="AJ1038" s="165"/>
      <c r="AK1038" s="165"/>
      <c r="AL1038" s="165"/>
      <c r="AM1038" s="165"/>
      <c r="AN1038" s="165"/>
    </row>
    <row r="1039" spans="3:40">
      <c r="C1039" s="46"/>
      <c r="F1039" s="173"/>
      <c r="G1039" s="1"/>
      <c r="H1039" s="165"/>
      <c r="I1039" s="160"/>
      <c r="J1039" s="160"/>
      <c r="K1039" s="1"/>
      <c r="L1039" s="123"/>
      <c r="M1039" s="1"/>
      <c r="N1039" s="590"/>
      <c r="O1039" s="165"/>
      <c r="P1039" s="165"/>
      <c r="Q1039" s="165"/>
      <c r="R1039" s="165"/>
      <c r="S1039" s="165"/>
      <c r="V1039" s="46"/>
      <c r="W1039" s="46"/>
      <c r="X1039" s="1"/>
      <c r="Y1039" s="1"/>
      <c r="Z1039" s="173"/>
      <c r="AA1039" s="1"/>
      <c r="AB1039" s="165"/>
      <c r="AC1039" s="1"/>
      <c r="AD1039" s="1"/>
      <c r="AE1039" s="1"/>
      <c r="AF1039" s="46"/>
      <c r="AG1039" s="1"/>
      <c r="AH1039" s="165"/>
      <c r="AI1039" s="165"/>
      <c r="AJ1039" s="165"/>
      <c r="AK1039" s="165"/>
      <c r="AL1039" s="165"/>
      <c r="AM1039" s="165"/>
      <c r="AN1039" s="165"/>
    </row>
    <row r="1040" spans="3:40">
      <c r="C1040" s="46"/>
      <c r="F1040" s="173"/>
      <c r="G1040" s="1"/>
      <c r="H1040" s="165"/>
      <c r="I1040" s="160"/>
      <c r="J1040" s="160"/>
      <c r="K1040" s="1"/>
      <c r="L1040" s="123"/>
      <c r="M1040" s="1"/>
      <c r="N1040" s="590"/>
      <c r="O1040" s="165"/>
      <c r="P1040" s="165"/>
      <c r="Q1040" s="165"/>
      <c r="R1040" s="165"/>
      <c r="S1040" s="165"/>
      <c r="V1040" s="46"/>
      <c r="W1040" s="46"/>
      <c r="X1040" s="1"/>
      <c r="Y1040" s="1"/>
      <c r="Z1040" s="173"/>
      <c r="AA1040" s="1"/>
      <c r="AB1040" s="165"/>
      <c r="AC1040" s="1"/>
      <c r="AD1040" s="1"/>
      <c r="AE1040" s="1"/>
      <c r="AF1040" s="46"/>
      <c r="AG1040" s="1"/>
      <c r="AH1040" s="165"/>
      <c r="AI1040" s="165"/>
      <c r="AJ1040" s="165"/>
      <c r="AK1040" s="165"/>
      <c r="AL1040" s="165"/>
      <c r="AM1040" s="165"/>
      <c r="AN1040" s="165"/>
    </row>
    <row r="1041" spans="3:40">
      <c r="C1041" s="46"/>
      <c r="F1041" s="173"/>
      <c r="G1041" s="1"/>
      <c r="H1041" s="165"/>
      <c r="I1041" s="160"/>
      <c r="J1041" s="160"/>
      <c r="K1041" s="1"/>
      <c r="L1041" s="123"/>
      <c r="M1041" s="1"/>
      <c r="N1041" s="590"/>
      <c r="O1041" s="165"/>
      <c r="P1041" s="165"/>
      <c r="Q1041" s="165"/>
      <c r="R1041" s="165"/>
      <c r="S1041" s="165"/>
      <c r="V1041" s="46"/>
      <c r="W1041" s="46"/>
      <c r="X1041" s="1"/>
      <c r="Y1041" s="1"/>
      <c r="Z1041" s="173"/>
      <c r="AA1041" s="1"/>
      <c r="AB1041" s="165"/>
      <c r="AC1041" s="1"/>
      <c r="AD1041" s="1"/>
      <c r="AE1041" s="1"/>
      <c r="AF1041" s="46"/>
      <c r="AG1041" s="1"/>
      <c r="AH1041" s="165"/>
      <c r="AI1041" s="165"/>
      <c r="AJ1041" s="165"/>
      <c r="AK1041" s="165"/>
      <c r="AL1041" s="165"/>
      <c r="AM1041" s="165"/>
      <c r="AN1041" s="165"/>
    </row>
    <row r="1042" spans="3:40">
      <c r="C1042" s="46"/>
      <c r="F1042" s="173"/>
      <c r="G1042" s="1"/>
      <c r="H1042" s="165"/>
      <c r="I1042" s="160"/>
      <c r="J1042" s="160"/>
      <c r="K1042" s="1"/>
      <c r="L1042" s="123"/>
      <c r="M1042" s="1"/>
      <c r="N1042" s="590"/>
      <c r="O1042" s="165"/>
      <c r="P1042" s="165"/>
      <c r="Q1042" s="165"/>
      <c r="R1042" s="165"/>
      <c r="S1042" s="165"/>
      <c r="V1042" s="46"/>
      <c r="W1042" s="46"/>
      <c r="X1042" s="1"/>
      <c r="Y1042" s="1"/>
      <c r="Z1042" s="173"/>
      <c r="AA1042" s="1"/>
      <c r="AB1042" s="165"/>
      <c r="AC1042" s="1"/>
      <c r="AD1042" s="1"/>
      <c r="AE1042" s="1"/>
      <c r="AF1042" s="46"/>
      <c r="AG1042" s="1"/>
      <c r="AH1042" s="165"/>
      <c r="AI1042" s="165"/>
      <c r="AJ1042" s="165"/>
      <c r="AK1042" s="165"/>
      <c r="AL1042" s="165"/>
      <c r="AM1042" s="165"/>
      <c r="AN1042" s="165"/>
    </row>
    <row r="1043" spans="3:40">
      <c r="C1043" s="46"/>
      <c r="F1043" s="173"/>
      <c r="G1043" s="1"/>
      <c r="H1043" s="165"/>
      <c r="I1043" s="160"/>
      <c r="J1043" s="160"/>
      <c r="K1043" s="1"/>
      <c r="L1043" s="123"/>
      <c r="M1043" s="1"/>
      <c r="N1043" s="590"/>
      <c r="O1043" s="165"/>
      <c r="P1043" s="165"/>
      <c r="Q1043" s="165"/>
      <c r="R1043" s="165"/>
      <c r="S1043" s="165"/>
      <c r="V1043" s="46"/>
      <c r="W1043" s="46"/>
      <c r="X1043" s="1"/>
      <c r="Y1043" s="1"/>
      <c r="Z1043" s="173"/>
      <c r="AA1043" s="1"/>
      <c r="AB1043" s="165"/>
      <c r="AC1043" s="1"/>
      <c r="AD1043" s="1"/>
      <c r="AE1043" s="1"/>
      <c r="AF1043" s="46"/>
      <c r="AG1043" s="1"/>
      <c r="AH1043" s="165"/>
      <c r="AI1043" s="165"/>
      <c r="AJ1043" s="165"/>
      <c r="AK1043" s="165"/>
      <c r="AL1043" s="165"/>
      <c r="AM1043" s="165"/>
      <c r="AN1043" s="165"/>
    </row>
    <row r="1044" spans="3:40">
      <c r="C1044" s="46"/>
      <c r="F1044" s="173"/>
      <c r="G1044" s="1"/>
      <c r="H1044" s="165"/>
      <c r="I1044" s="160"/>
      <c r="J1044" s="160"/>
      <c r="K1044" s="1"/>
      <c r="L1044" s="123"/>
      <c r="M1044" s="1"/>
      <c r="N1044" s="590"/>
      <c r="O1044" s="165"/>
      <c r="P1044" s="165"/>
      <c r="Q1044" s="165"/>
      <c r="R1044" s="165"/>
      <c r="S1044" s="165"/>
      <c r="V1044" s="46"/>
      <c r="W1044" s="46"/>
      <c r="X1044" s="1"/>
      <c r="Y1044" s="1"/>
      <c r="Z1044" s="173"/>
      <c r="AA1044" s="1"/>
      <c r="AB1044" s="165"/>
      <c r="AC1044" s="1"/>
      <c r="AD1044" s="1"/>
      <c r="AE1044" s="1"/>
      <c r="AF1044" s="46"/>
      <c r="AG1044" s="1"/>
      <c r="AH1044" s="165"/>
      <c r="AI1044" s="165"/>
      <c r="AJ1044" s="165"/>
      <c r="AK1044" s="165"/>
      <c r="AL1044" s="165"/>
      <c r="AM1044" s="165"/>
      <c r="AN1044" s="165"/>
    </row>
    <row r="1045" spans="3:40">
      <c r="C1045" s="46"/>
      <c r="F1045" s="173"/>
      <c r="G1045" s="1"/>
      <c r="H1045" s="165"/>
      <c r="I1045" s="160"/>
      <c r="J1045" s="160"/>
      <c r="K1045" s="1"/>
      <c r="L1045" s="123"/>
      <c r="M1045" s="1"/>
      <c r="N1045" s="590"/>
      <c r="O1045" s="165"/>
      <c r="P1045" s="165"/>
      <c r="Q1045" s="165"/>
      <c r="R1045" s="165"/>
      <c r="S1045" s="165"/>
      <c r="V1045" s="46"/>
      <c r="W1045" s="46"/>
      <c r="X1045" s="1"/>
      <c r="Y1045" s="1"/>
      <c r="Z1045" s="173"/>
      <c r="AA1045" s="1"/>
      <c r="AB1045" s="165"/>
      <c r="AC1045" s="1"/>
      <c r="AD1045" s="1"/>
      <c r="AE1045" s="1"/>
      <c r="AF1045" s="46"/>
      <c r="AG1045" s="1"/>
      <c r="AH1045" s="165"/>
      <c r="AI1045" s="165"/>
      <c r="AJ1045" s="165"/>
      <c r="AK1045" s="165"/>
      <c r="AL1045" s="165"/>
      <c r="AM1045" s="165"/>
      <c r="AN1045" s="165"/>
    </row>
    <row r="1046" spans="3:40">
      <c r="C1046" s="46"/>
      <c r="F1046" s="173"/>
      <c r="G1046" s="1"/>
      <c r="H1046" s="165"/>
      <c r="I1046" s="160"/>
      <c r="J1046" s="160"/>
      <c r="K1046" s="1"/>
      <c r="L1046" s="123"/>
      <c r="M1046" s="1"/>
      <c r="N1046" s="590"/>
      <c r="O1046" s="165"/>
      <c r="P1046" s="165"/>
      <c r="Q1046" s="165"/>
      <c r="R1046" s="165"/>
      <c r="S1046" s="165"/>
      <c r="V1046" s="46"/>
      <c r="W1046" s="46"/>
      <c r="X1046" s="1"/>
      <c r="Y1046" s="1"/>
      <c r="Z1046" s="173"/>
      <c r="AA1046" s="1"/>
      <c r="AB1046" s="165"/>
      <c r="AC1046" s="1"/>
      <c r="AD1046" s="1"/>
      <c r="AE1046" s="1"/>
      <c r="AF1046" s="46"/>
      <c r="AG1046" s="1"/>
      <c r="AH1046" s="165"/>
      <c r="AI1046" s="165"/>
      <c r="AJ1046" s="165"/>
      <c r="AK1046" s="165"/>
      <c r="AL1046" s="165"/>
      <c r="AM1046" s="165"/>
      <c r="AN1046" s="165"/>
    </row>
    <row r="1047" spans="3:40">
      <c r="C1047" s="46"/>
      <c r="F1047" s="173"/>
      <c r="G1047" s="1"/>
      <c r="H1047" s="165"/>
      <c r="I1047" s="160"/>
      <c r="J1047" s="160"/>
      <c r="K1047" s="1"/>
      <c r="L1047" s="123"/>
      <c r="M1047" s="1"/>
      <c r="N1047" s="590"/>
      <c r="O1047" s="165"/>
      <c r="P1047" s="165"/>
      <c r="Q1047" s="165"/>
      <c r="R1047" s="165"/>
      <c r="S1047" s="165"/>
      <c r="V1047" s="46"/>
      <c r="W1047" s="46"/>
      <c r="X1047" s="1"/>
      <c r="Y1047" s="1"/>
      <c r="Z1047" s="173"/>
      <c r="AA1047" s="1"/>
      <c r="AB1047" s="165"/>
      <c r="AC1047" s="1"/>
      <c r="AD1047" s="1"/>
      <c r="AE1047" s="1"/>
      <c r="AF1047" s="46"/>
      <c r="AG1047" s="1"/>
      <c r="AH1047" s="165"/>
      <c r="AI1047" s="165"/>
      <c r="AJ1047" s="165"/>
      <c r="AK1047" s="165"/>
      <c r="AL1047" s="165"/>
      <c r="AM1047" s="165"/>
      <c r="AN1047" s="165"/>
    </row>
    <row r="1048" spans="3:40">
      <c r="C1048" s="46"/>
      <c r="F1048" s="173"/>
      <c r="G1048" s="1"/>
      <c r="H1048" s="165"/>
      <c r="I1048" s="160"/>
      <c r="J1048" s="160"/>
      <c r="K1048" s="1"/>
      <c r="L1048" s="123"/>
      <c r="M1048" s="1"/>
      <c r="N1048" s="590"/>
      <c r="O1048" s="165"/>
      <c r="P1048" s="165"/>
      <c r="Q1048" s="165"/>
      <c r="R1048" s="165"/>
      <c r="S1048" s="165"/>
      <c r="V1048" s="46"/>
      <c r="W1048" s="46"/>
      <c r="X1048" s="1"/>
      <c r="Y1048" s="1"/>
      <c r="Z1048" s="173"/>
      <c r="AA1048" s="1"/>
      <c r="AB1048" s="165"/>
      <c r="AC1048" s="1"/>
      <c r="AD1048" s="1"/>
      <c r="AE1048" s="1"/>
      <c r="AF1048" s="46"/>
      <c r="AG1048" s="1"/>
      <c r="AH1048" s="165"/>
      <c r="AI1048" s="165"/>
      <c r="AJ1048" s="165"/>
      <c r="AK1048" s="165"/>
      <c r="AL1048" s="165"/>
      <c r="AM1048" s="165"/>
      <c r="AN1048" s="165"/>
    </row>
    <row r="1049" spans="3:40">
      <c r="C1049" s="46"/>
      <c r="F1049" s="173"/>
      <c r="G1049" s="1"/>
      <c r="H1049" s="165"/>
      <c r="I1049" s="160"/>
      <c r="J1049" s="160"/>
      <c r="K1049" s="1"/>
      <c r="L1049" s="123"/>
      <c r="M1049" s="1"/>
      <c r="N1049" s="590"/>
      <c r="O1049" s="165"/>
      <c r="P1049" s="165"/>
      <c r="Q1049" s="165"/>
      <c r="R1049" s="165"/>
      <c r="S1049" s="165"/>
      <c r="V1049" s="46"/>
      <c r="W1049" s="46"/>
      <c r="X1049" s="1"/>
      <c r="Y1049" s="1"/>
      <c r="Z1049" s="173"/>
      <c r="AA1049" s="1"/>
      <c r="AB1049" s="165"/>
      <c r="AC1049" s="1"/>
      <c r="AD1049" s="1"/>
      <c r="AE1049" s="1"/>
      <c r="AF1049" s="46"/>
      <c r="AG1049" s="1"/>
      <c r="AH1049" s="165"/>
      <c r="AI1049" s="165"/>
      <c r="AJ1049" s="165"/>
      <c r="AK1049" s="165"/>
      <c r="AL1049" s="165"/>
      <c r="AM1049" s="165"/>
      <c r="AN1049" s="165"/>
    </row>
    <row r="1050" spans="3:40">
      <c r="C1050" s="46"/>
      <c r="F1050" s="173"/>
      <c r="G1050" s="1"/>
      <c r="H1050" s="165"/>
      <c r="I1050" s="160"/>
      <c r="J1050" s="160"/>
      <c r="K1050" s="1"/>
      <c r="L1050" s="123"/>
      <c r="M1050" s="1"/>
      <c r="N1050" s="590"/>
      <c r="O1050" s="165"/>
      <c r="P1050" s="165"/>
      <c r="Q1050" s="165"/>
      <c r="R1050" s="165"/>
      <c r="S1050" s="165"/>
      <c r="V1050" s="46"/>
      <c r="W1050" s="46"/>
      <c r="X1050" s="1"/>
      <c r="Y1050" s="1"/>
      <c r="Z1050" s="173"/>
      <c r="AA1050" s="1"/>
      <c r="AB1050" s="165"/>
      <c r="AC1050" s="1"/>
      <c r="AD1050" s="1"/>
      <c r="AE1050" s="1"/>
      <c r="AF1050" s="46"/>
      <c r="AG1050" s="1"/>
      <c r="AH1050" s="165"/>
      <c r="AI1050" s="165"/>
      <c r="AJ1050" s="165"/>
      <c r="AK1050" s="165"/>
      <c r="AL1050" s="165"/>
      <c r="AM1050" s="165"/>
      <c r="AN1050" s="165"/>
    </row>
    <row r="1051" spans="3:40">
      <c r="C1051" s="46"/>
      <c r="F1051" s="173"/>
      <c r="G1051" s="1"/>
      <c r="H1051" s="165"/>
      <c r="I1051" s="160"/>
      <c r="J1051" s="160"/>
      <c r="K1051" s="1"/>
      <c r="L1051" s="123"/>
      <c r="M1051" s="1"/>
      <c r="N1051" s="590"/>
      <c r="O1051" s="165"/>
      <c r="P1051" s="165"/>
      <c r="Q1051" s="165"/>
      <c r="R1051" s="165"/>
      <c r="S1051" s="165"/>
      <c r="V1051" s="46"/>
      <c r="W1051" s="46"/>
      <c r="X1051" s="1"/>
      <c r="Y1051" s="1"/>
      <c r="Z1051" s="173"/>
      <c r="AA1051" s="1"/>
      <c r="AB1051" s="165"/>
      <c r="AC1051" s="1"/>
      <c r="AD1051" s="1"/>
      <c r="AE1051" s="1"/>
      <c r="AF1051" s="46"/>
      <c r="AG1051" s="1"/>
      <c r="AH1051" s="165"/>
      <c r="AI1051" s="165"/>
      <c r="AJ1051" s="165"/>
      <c r="AK1051" s="165"/>
      <c r="AL1051" s="165"/>
      <c r="AM1051" s="165"/>
      <c r="AN1051" s="165"/>
    </row>
    <row r="1052" spans="3:40">
      <c r="C1052" s="46"/>
      <c r="F1052" s="173"/>
      <c r="G1052" s="1"/>
      <c r="H1052" s="165"/>
      <c r="I1052" s="160"/>
      <c r="J1052" s="160"/>
      <c r="K1052" s="1"/>
      <c r="L1052" s="123"/>
      <c r="M1052" s="1"/>
      <c r="N1052" s="590"/>
      <c r="O1052" s="165"/>
      <c r="P1052" s="165"/>
      <c r="Q1052" s="165"/>
      <c r="R1052" s="165"/>
      <c r="S1052" s="165"/>
      <c r="V1052" s="46"/>
      <c r="W1052" s="46"/>
      <c r="X1052" s="1"/>
      <c r="Y1052" s="1"/>
      <c r="Z1052" s="173"/>
      <c r="AA1052" s="1"/>
      <c r="AB1052" s="165"/>
      <c r="AC1052" s="1"/>
      <c r="AD1052" s="1"/>
      <c r="AE1052" s="1"/>
      <c r="AF1052" s="46"/>
      <c r="AG1052" s="1"/>
      <c r="AH1052" s="165"/>
      <c r="AI1052" s="165"/>
      <c r="AJ1052" s="165"/>
      <c r="AK1052" s="165"/>
      <c r="AL1052" s="165"/>
      <c r="AM1052" s="165"/>
      <c r="AN1052" s="165"/>
    </row>
    <row r="1053" spans="3:40">
      <c r="C1053" s="46"/>
      <c r="F1053" s="173"/>
      <c r="G1053" s="1"/>
      <c r="H1053" s="165"/>
      <c r="I1053" s="160"/>
      <c r="J1053" s="160"/>
      <c r="K1053" s="1"/>
      <c r="L1053" s="123"/>
      <c r="M1053" s="1"/>
      <c r="N1053" s="590"/>
      <c r="O1053" s="165"/>
      <c r="P1053" s="165"/>
      <c r="Q1053" s="165"/>
      <c r="R1053" s="165"/>
      <c r="S1053" s="165"/>
      <c r="V1053" s="46"/>
      <c r="W1053" s="46"/>
      <c r="X1053" s="1"/>
      <c r="Y1053" s="1"/>
      <c r="Z1053" s="173"/>
      <c r="AA1053" s="1"/>
      <c r="AB1053" s="165"/>
      <c r="AC1053" s="1"/>
      <c r="AD1053" s="1"/>
      <c r="AE1053" s="1"/>
      <c r="AF1053" s="46"/>
      <c r="AG1053" s="1"/>
      <c r="AH1053" s="165"/>
      <c r="AI1053" s="165"/>
      <c r="AJ1053" s="165"/>
      <c r="AK1053" s="165"/>
      <c r="AL1053" s="165"/>
      <c r="AM1053" s="165"/>
      <c r="AN1053" s="165"/>
    </row>
    <row r="1054" spans="3:40">
      <c r="C1054" s="46"/>
      <c r="F1054" s="173"/>
      <c r="G1054" s="1"/>
      <c r="H1054" s="165"/>
      <c r="I1054" s="160"/>
      <c r="J1054" s="160"/>
      <c r="K1054" s="1"/>
      <c r="L1054" s="123"/>
      <c r="M1054" s="1"/>
      <c r="N1054" s="590"/>
      <c r="O1054" s="165"/>
      <c r="P1054" s="165"/>
      <c r="Q1054" s="165"/>
      <c r="R1054" s="165"/>
      <c r="S1054" s="165"/>
      <c r="V1054" s="46"/>
      <c r="W1054" s="46"/>
      <c r="X1054" s="1"/>
      <c r="Y1054" s="1"/>
      <c r="Z1054" s="173"/>
      <c r="AA1054" s="1"/>
      <c r="AB1054" s="165"/>
      <c r="AC1054" s="1"/>
      <c r="AD1054" s="1"/>
      <c r="AE1054" s="1"/>
      <c r="AF1054" s="46"/>
      <c r="AG1054" s="1"/>
      <c r="AH1054" s="165"/>
      <c r="AI1054" s="165"/>
      <c r="AJ1054" s="165"/>
      <c r="AK1054" s="165"/>
      <c r="AL1054" s="165"/>
      <c r="AM1054" s="165"/>
      <c r="AN1054" s="165"/>
    </row>
    <row r="1055" spans="3:40">
      <c r="C1055" s="46"/>
      <c r="F1055" s="173"/>
      <c r="G1055" s="1"/>
      <c r="H1055" s="165"/>
      <c r="I1055" s="160"/>
      <c r="J1055" s="160"/>
      <c r="K1055" s="1"/>
      <c r="L1055" s="123"/>
      <c r="M1055" s="1"/>
      <c r="N1055" s="590"/>
      <c r="O1055" s="165"/>
      <c r="P1055" s="165"/>
      <c r="Q1055" s="165"/>
      <c r="R1055" s="165"/>
      <c r="S1055" s="165"/>
      <c r="V1055" s="46"/>
      <c r="W1055" s="46"/>
      <c r="X1055" s="1"/>
      <c r="Y1055" s="1"/>
      <c r="Z1055" s="173"/>
      <c r="AA1055" s="1"/>
      <c r="AB1055" s="165"/>
      <c r="AC1055" s="1"/>
      <c r="AD1055" s="1"/>
      <c r="AE1055" s="1"/>
      <c r="AF1055" s="46"/>
      <c r="AG1055" s="1"/>
      <c r="AH1055" s="165"/>
      <c r="AI1055" s="165"/>
      <c r="AJ1055" s="165"/>
      <c r="AK1055" s="165"/>
      <c r="AL1055" s="165"/>
      <c r="AM1055" s="165"/>
      <c r="AN1055" s="165"/>
    </row>
    <row r="1056" spans="3:40">
      <c r="C1056" s="46"/>
      <c r="F1056" s="173"/>
      <c r="G1056" s="1"/>
      <c r="H1056" s="165"/>
      <c r="I1056" s="160"/>
      <c r="J1056" s="160"/>
      <c r="K1056" s="1"/>
      <c r="L1056" s="123"/>
      <c r="M1056" s="1"/>
      <c r="N1056" s="590"/>
      <c r="O1056" s="165"/>
      <c r="P1056" s="165"/>
      <c r="Q1056" s="165"/>
      <c r="R1056" s="165"/>
      <c r="S1056" s="165"/>
      <c r="V1056" s="46"/>
      <c r="W1056" s="46"/>
      <c r="X1056" s="1"/>
      <c r="Y1056" s="1"/>
      <c r="Z1056" s="173"/>
      <c r="AA1056" s="1"/>
      <c r="AB1056" s="165"/>
      <c r="AC1056" s="1"/>
      <c r="AD1056" s="1"/>
      <c r="AE1056" s="1"/>
      <c r="AF1056" s="46"/>
      <c r="AG1056" s="1"/>
      <c r="AH1056" s="165"/>
      <c r="AI1056" s="165"/>
      <c r="AJ1056" s="165"/>
      <c r="AK1056" s="165"/>
      <c r="AL1056" s="165"/>
      <c r="AM1056" s="165"/>
      <c r="AN1056" s="165"/>
    </row>
    <row r="1057" spans="3:40">
      <c r="C1057" s="46"/>
      <c r="F1057" s="173"/>
      <c r="G1057" s="1"/>
      <c r="H1057" s="165"/>
      <c r="I1057" s="160"/>
      <c r="J1057" s="160"/>
      <c r="K1057" s="1"/>
      <c r="L1057" s="123"/>
      <c r="M1057" s="1"/>
      <c r="N1057" s="590"/>
      <c r="O1057" s="165"/>
      <c r="P1057" s="165"/>
      <c r="Q1057" s="165"/>
      <c r="R1057" s="165"/>
      <c r="S1057" s="165"/>
      <c r="V1057" s="46"/>
      <c r="W1057" s="46"/>
      <c r="X1057" s="1"/>
      <c r="Y1057" s="1"/>
      <c r="Z1057" s="173"/>
      <c r="AA1057" s="1"/>
      <c r="AB1057" s="165"/>
      <c r="AC1057" s="1"/>
      <c r="AD1057" s="1"/>
      <c r="AE1057" s="1"/>
      <c r="AF1057" s="46"/>
      <c r="AG1057" s="1"/>
      <c r="AH1057" s="165"/>
      <c r="AI1057" s="165"/>
      <c r="AJ1057" s="165"/>
      <c r="AK1057" s="165"/>
      <c r="AL1057" s="165"/>
      <c r="AM1057" s="165"/>
      <c r="AN1057" s="165"/>
    </row>
    <row r="1058" spans="3:40">
      <c r="C1058" s="46"/>
      <c r="F1058" s="173"/>
      <c r="G1058" s="1"/>
      <c r="H1058" s="165"/>
      <c r="I1058" s="160"/>
      <c r="J1058" s="160"/>
      <c r="K1058" s="1"/>
      <c r="L1058" s="123"/>
      <c r="M1058" s="1"/>
      <c r="N1058" s="590"/>
      <c r="O1058" s="165"/>
      <c r="P1058" s="165"/>
      <c r="Q1058" s="165"/>
      <c r="R1058" s="165"/>
      <c r="S1058" s="165"/>
      <c r="V1058" s="46"/>
      <c r="W1058" s="46"/>
      <c r="X1058" s="1"/>
      <c r="Y1058" s="1"/>
      <c r="Z1058" s="173"/>
      <c r="AA1058" s="1"/>
      <c r="AB1058" s="165"/>
      <c r="AC1058" s="1"/>
      <c r="AD1058" s="1"/>
      <c r="AE1058" s="1"/>
      <c r="AF1058" s="46"/>
      <c r="AG1058" s="1"/>
      <c r="AH1058" s="165"/>
      <c r="AI1058" s="165"/>
      <c r="AJ1058" s="165"/>
      <c r="AK1058" s="165"/>
      <c r="AL1058" s="165"/>
      <c r="AM1058" s="165"/>
      <c r="AN1058" s="165"/>
    </row>
    <row r="1059" spans="3:40">
      <c r="C1059" s="46"/>
      <c r="F1059" s="173"/>
      <c r="G1059" s="1"/>
      <c r="H1059" s="165"/>
      <c r="I1059" s="160"/>
      <c r="J1059" s="160"/>
      <c r="K1059" s="1"/>
      <c r="L1059" s="123"/>
      <c r="M1059" s="1"/>
      <c r="N1059" s="590"/>
      <c r="O1059" s="165"/>
      <c r="P1059" s="165"/>
      <c r="Q1059" s="165"/>
      <c r="R1059" s="165"/>
      <c r="S1059" s="165"/>
      <c r="V1059" s="46"/>
      <c r="W1059" s="46"/>
      <c r="X1059" s="1"/>
      <c r="Y1059" s="1"/>
      <c r="Z1059" s="173"/>
      <c r="AA1059" s="1"/>
      <c r="AB1059" s="165"/>
      <c r="AC1059" s="1"/>
      <c r="AD1059" s="1"/>
      <c r="AE1059" s="1"/>
      <c r="AF1059" s="46"/>
      <c r="AG1059" s="1"/>
      <c r="AH1059" s="165"/>
      <c r="AI1059" s="165"/>
      <c r="AJ1059" s="165"/>
      <c r="AK1059" s="165"/>
      <c r="AL1059" s="165"/>
      <c r="AM1059" s="165"/>
      <c r="AN1059" s="165"/>
    </row>
    <row r="1060" spans="3:40">
      <c r="C1060" s="46"/>
      <c r="F1060" s="173"/>
      <c r="G1060" s="1"/>
      <c r="H1060" s="165"/>
      <c r="I1060" s="160"/>
      <c r="J1060" s="160"/>
      <c r="K1060" s="1"/>
      <c r="L1060" s="123"/>
      <c r="M1060" s="1"/>
      <c r="N1060" s="590"/>
      <c r="O1060" s="165"/>
      <c r="P1060" s="165"/>
      <c r="Q1060" s="165"/>
      <c r="R1060" s="165"/>
      <c r="S1060" s="165"/>
      <c r="V1060" s="46"/>
      <c r="W1060" s="46"/>
      <c r="X1060" s="1"/>
      <c r="Y1060" s="1"/>
      <c r="Z1060" s="173"/>
      <c r="AA1060" s="1"/>
      <c r="AB1060" s="165"/>
      <c r="AC1060" s="1"/>
      <c r="AD1060" s="1"/>
      <c r="AE1060" s="1"/>
      <c r="AF1060" s="46"/>
      <c r="AG1060" s="1"/>
      <c r="AH1060" s="165"/>
      <c r="AI1060" s="165"/>
      <c r="AJ1060" s="165"/>
      <c r="AK1060" s="165"/>
      <c r="AL1060" s="165"/>
      <c r="AM1060" s="165"/>
      <c r="AN1060" s="165"/>
    </row>
    <row r="1061" spans="3:40">
      <c r="C1061" s="46"/>
      <c r="F1061" s="173"/>
      <c r="G1061" s="1"/>
      <c r="H1061" s="165"/>
      <c r="I1061" s="160"/>
      <c r="J1061" s="160"/>
      <c r="K1061" s="1"/>
      <c r="L1061" s="123"/>
      <c r="M1061" s="1"/>
      <c r="N1061" s="590"/>
      <c r="O1061" s="165"/>
      <c r="P1061" s="165"/>
      <c r="Q1061" s="165"/>
      <c r="R1061" s="165"/>
      <c r="S1061" s="165"/>
      <c r="V1061" s="46"/>
      <c r="W1061" s="46"/>
      <c r="X1061" s="1"/>
      <c r="Y1061" s="1"/>
      <c r="Z1061" s="173"/>
      <c r="AA1061" s="1"/>
      <c r="AB1061" s="165"/>
      <c r="AC1061" s="1"/>
      <c r="AD1061" s="1"/>
      <c r="AE1061" s="1"/>
      <c r="AF1061" s="46"/>
      <c r="AG1061" s="1"/>
      <c r="AH1061" s="165"/>
      <c r="AI1061" s="165"/>
      <c r="AJ1061" s="165"/>
      <c r="AK1061" s="165"/>
      <c r="AL1061" s="165"/>
      <c r="AM1061" s="165"/>
      <c r="AN1061" s="165"/>
    </row>
    <row r="1062" spans="3:40">
      <c r="C1062" s="46"/>
      <c r="F1062" s="173"/>
      <c r="G1062" s="1"/>
      <c r="H1062" s="165"/>
      <c r="I1062" s="160"/>
      <c r="J1062" s="160"/>
      <c r="K1062" s="1"/>
      <c r="L1062" s="123"/>
      <c r="M1062" s="1"/>
      <c r="N1062" s="590"/>
      <c r="O1062" s="165"/>
      <c r="P1062" s="165"/>
      <c r="Q1062" s="165"/>
      <c r="R1062" s="165"/>
      <c r="S1062" s="165"/>
      <c r="V1062" s="46"/>
      <c r="W1062" s="46"/>
      <c r="X1062" s="1"/>
      <c r="Y1062" s="1"/>
      <c r="Z1062" s="173"/>
      <c r="AA1062" s="1"/>
      <c r="AB1062" s="165"/>
      <c r="AC1062" s="1"/>
      <c r="AD1062" s="1"/>
      <c r="AE1062" s="1"/>
      <c r="AF1062" s="46"/>
      <c r="AG1062" s="1"/>
      <c r="AH1062" s="165"/>
      <c r="AI1062" s="165"/>
      <c r="AJ1062" s="165"/>
      <c r="AK1062" s="165"/>
      <c r="AL1062" s="165"/>
      <c r="AM1062" s="165"/>
      <c r="AN1062" s="165"/>
    </row>
    <row r="1063" spans="3:40">
      <c r="C1063" s="46"/>
      <c r="F1063" s="173"/>
      <c r="G1063" s="1"/>
      <c r="H1063" s="165"/>
      <c r="I1063" s="160"/>
      <c r="J1063" s="160"/>
      <c r="K1063" s="1"/>
      <c r="L1063" s="123"/>
      <c r="M1063" s="1"/>
      <c r="N1063" s="590"/>
      <c r="O1063" s="165"/>
      <c r="P1063" s="165"/>
      <c r="Q1063" s="165"/>
      <c r="R1063" s="165"/>
      <c r="S1063" s="165"/>
      <c r="V1063" s="46"/>
      <c r="W1063" s="46"/>
      <c r="X1063" s="1"/>
      <c r="Y1063" s="1"/>
      <c r="Z1063" s="173"/>
      <c r="AA1063" s="1"/>
      <c r="AB1063" s="165"/>
      <c r="AC1063" s="1"/>
      <c r="AD1063" s="1"/>
      <c r="AE1063" s="1"/>
      <c r="AF1063" s="46"/>
      <c r="AG1063" s="1"/>
      <c r="AH1063" s="165"/>
      <c r="AI1063" s="165"/>
      <c r="AJ1063" s="165"/>
      <c r="AK1063" s="165"/>
      <c r="AL1063" s="165"/>
      <c r="AM1063" s="165"/>
      <c r="AN1063" s="165"/>
    </row>
    <row r="1064" spans="3:40">
      <c r="C1064" s="46"/>
      <c r="F1064" s="173"/>
      <c r="G1064" s="1"/>
      <c r="H1064" s="165"/>
      <c r="I1064" s="160"/>
      <c r="J1064" s="160"/>
      <c r="K1064" s="1"/>
      <c r="L1064" s="123"/>
      <c r="M1064" s="1"/>
      <c r="N1064" s="590"/>
      <c r="O1064" s="165"/>
      <c r="P1064" s="165"/>
      <c r="Q1064" s="165"/>
      <c r="R1064" s="165"/>
      <c r="S1064" s="165"/>
      <c r="V1064" s="46"/>
      <c r="W1064" s="46"/>
      <c r="X1064" s="1"/>
      <c r="Y1064" s="1"/>
      <c r="Z1064" s="173"/>
      <c r="AA1064" s="1"/>
      <c r="AB1064" s="165"/>
      <c r="AC1064" s="1"/>
      <c r="AD1064" s="1"/>
      <c r="AE1064" s="1"/>
      <c r="AF1064" s="46"/>
      <c r="AG1064" s="1"/>
      <c r="AH1064" s="165"/>
      <c r="AI1064" s="165"/>
      <c r="AJ1064" s="165"/>
      <c r="AK1064" s="165"/>
      <c r="AL1064" s="165"/>
      <c r="AM1064" s="165"/>
      <c r="AN1064" s="165"/>
    </row>
    <row r="1065" spans="3:40">
      <c r="C1065" s="46"/>
      <c r="F1065" s="173"/>
      <c r="G1065" s="1"/>
      <c r="H1065" s="165"/>
      <c r="I1065" s="160"/>
      <c r="J1065" s="160"/>
      <c r="K1065" s="1"/>
      <c r="L1065" s="123"/>
      <c r="M1065" s="1"/>
      <c r="N1065" s="590"/>
      <c r="O1065" s="165"/>
      <c r="P1065" s="165"/>
      <c r="Q1065" s="165"/>
      <c r="R1065" s="165"/>
      <c r="S1065" s="165"/>
      <c r="V1065" s="46"/>
      <c r="W1065" s="46"/>
      <c r="X1065" s="1"/>
      <c r="Y1065" s="1"/>
      <c r="Z1065" s="173"/>
      <c r="AA1065" s="1"/>
      <c r="AB1065" s="165"/>
      <c r="AC1065" s="1"/>
      <c r="AD1065" s="1"/>
      <c r="AE1065" s="1"/>
      <c r="AF1065" s="46"/>
      <c r="AG1065" s="1"/>
      <c r="AH1065" s="165"/>
      <c r="AI1065" s="165"/>
      <c r="AJ1065" s="165"/>
      <c r="AK1065" s="165"/>
      <c r="AL1065" s="165"/>
      <c r="AM1065" s="165"/>
      <c r="AN1065" s="165"/>
    </row>
    <row r="1066" spans="3:40">
      <c r="C1066" s="46"/>
      <c r="F1066" s="173"/>
      <c r="G1066" s="1"/>
      <c r="H1066" s="165"/>
      <c r="I1066" s="160"/>
      <c r="J1066" s="160"/>
      <c r="K1066" s="1"/>
      <c r="L1066" s="123"/>
      <c r="M1066" s="1"/>
      <c r="N1066" s="590"/>
      <c r="O1066" s="165"/>
      <c r="P1066" s="165"/>
      <c r="Q1066" s="165"/>
      <c r="R1066" s="165"/>
      <c r="S1066" s="165"/>
      <c r="V1066" s="46"/>
      <c r="W1066" s="46"/>
      <c r="X1066" s="1"/>
      <c r="Y1066" s="1"/>
      <c r="Z1066" s="173"/>
      <c r="AA1066" s="1"/>
      <c r="AB1066" s="165"/>
      <c r="AC1066" s="1"/>
      <c r="AD1066" s="1"/>
      <c r="AE1066" s="1"/>
      <c r="AF1066" s="46"/>
      <c r="AG1066" s="1"/>
      <c r="AH1066" s="165"/>
      <c r="AI1066" s="165"/>
      <c r="AJ1066" s="165"/>
      <c r="AK1066" s="165"/>
      <c r="AL1066" s="165"/>
      <c r="AM1066" s="165"/>
      <c r="AN1066" s="165"/>
    </row>
    <row r="1067" spans="3:40">
      <c r="C1067" s="46"/>
      <c r="F1067" s="173"/>
      <c r="G1067" s="1"/>
      <c r="H1067" s="165"/>
      <c r="I1067" s="160"/>
      <c r="J1067" s="160"/>
      <c r="K1067" s="1"/>
      <c r="L1067" s="123"/>
      <c r="M1067" s="1"/>
      <c r="N1067" s="590"/>
      <c r="O1067" s="165"/>
      <c r="P1067" s="165"/>
      <c r="Q1067" s="165"/>
      <c r="R1067" s="165"/>
      <c r="S1067" s="165"/>
      <c r="V1067" s="46"/>
      <c r="W1067" s="46"/>
      <c r="X1067" s="1"/>
      <c r="Y1067" s="1"/>
      <c r="Z1067" s="173"/>
      <c r="AA1067" s="1"/>
      <c r="AB1067" s="165"/>
      <c r="AC1067" s="1"/>
      <c r="AD1067" s="1"/>
      <c r="AE1067" s="1"/>
      <c r="AF1067" s="46"/>
      <c r="AG1067" s="1"/>
      <c r="AH1067" s="165"/>
      <c r="AI1067" s="165"/>
      <c r="AJ1067" s="165"/>
      <c r="AK1067" s="165"/>
      <c r="AL1067" s="165"/>
      <c r="AM1067" s="165"/>
      <c r="AN1067" s="165"/>
    </row>
    <row r="1068" spans="3:40">
      <c r="C1068" s="46"/>
      <c r="F1068" s="173"/>
      <c r="G1068" s="1"/>
      <c r="H1068" s="165"/>
      <c r="I1068" s="160"/>
      <c r="J1068" s="160"/>
      <c r="K1068" s="1"/>
      <c r="L1068" s="123"/>
      <c r="M1068" s="1"/>
      <c r="N1068" s="590"/>
      <c r="O1068" s="165"/>
      <c r="P1068" s="165"/>
      <c r="Q1068" s="165"/>
      <c r="R1068" s="165"/>
      <c r="S1068" s="165"/>
      <c r="V1068" s="46"/>
      <c r="W1068" s="46"/>
      <c r="X1068" s="1"/>
      <c r="Y1068" s="1"/>
      <c r="Z1068" s="173"/>
      <c r="AA1068" s="1"/>
      <c r="AB1068" s="165"/>
      <c r="AC1068" s="1"/>
      <c r="AD1068" s="1"/>
      <c r="AE1068" s="1"/>
      <c r="AF1068" s="46"/>
      <c r="AG1068" s="1"/>
      <c r="AH1068" s="165"/>
      <c r="AI1068" s="165"/>
      <c r="AJ1068" s="165"/>
      <c r="AK1068" s="165"/>
      <c r="AL1068" s="165"/>
      <c r="AM1068" s="165"/>
      <c r="AN1068" s="165"/>
    </row>
    <row r="1069" spans="3:40">
      <c r="C1069" s="46"/>
      <c r="F1069" s="173"/>
      <c r="G1069" s="1"/>
      <c r="H1069" s="165"/>
      <c r="I1069" s="160"/>
      <c r="J1069" s="160"/>
      <c r="K1069" s="1"/>
      <c r="L1069" s="123"/>
      <c r="M1069" s="1"/>
      <c r="N1069" s="590"/>
      <c r="O1069" s="165"/>
      <c r="P1069" s="165"/>
      <c r="Q1069" s="165"/>
      <c r="R1069" s="165"/>
      <c r="S1069" s="165"/>
      <c r="V1069" s="46"/>
      <c r="W1069" s="46"/>
      <c r="X1069" s="1"/>
      <c r="Y1069" s="1"/>
      <c r="Z1069" s="173"/>
      <c r="AA1069" s="1"/>
      <c r="AB1069" s="165"/>
      <c r="AC1069" s="1"/>
      <c r="AD1069" s="1"/>
      <c r="AE1069" s="1"/>
      <c r="AF1069" s="46"/>
      <c r="AG1069" s="1"/>
      <c r="AH1069" s="165"/>
      <c r="AI1069" s="165"/>
      <c r="AJ1069" s="165"/>
      <c r="AK1069" s="165"/>
      <c r="AL1069" s="165"/>
      <c r="AM1069" s="165"/>
      <c r="AN1069" s="165"/>
    </row>
    <row r="1070" spans="3:40">
      <c r="C1070" s="46"/>
      <c r="F1070" s="173"/>
      <c r="G1070" s="1"/>
      <c r="H1070" s="165"/>
      <c r="I1070" s="160"/>
      <c r="J1070" s="160"/>
      <c r="K1070" s="1"/>
      <c r="L1070" s="123"/>
      <c r="M1070" s="1"/>
      <c r="N1070" s="590"/>
      <c r="O1070" s="165"/>
      <c r="P1070" s="165"/>
      <c r="Q1070" s="165"/>
      <c r="R1070" s="165"/>
      <c r="S1070" s="165"/>
      <c r="V1070" s="46"/>
      <c r="W1070" s="46"/>
      <c r="X1070" s="1"/>
      <c r="Y1070" s="1"/>
      <c r="Z1070" s="173"/>
      <c r="AA1070" s="1"/>
      <c r="AB1070" s="165"/>
      <c r="AC1070" s="1"/>
      <c r="AD1070" s="1"/>
      <c r="AE1070" s="1"/>
      <c r="AF1070" s="46"/>
      <c r="AG1070" s="1"/>
      <c r="AH1070" s="165"/>
      <c r="AI1070" s="165"/>
      <c r="AJ1070" s="165"/>
      <c r="AK1070" s="165"/>
      <c r="AL1070" s="165"/>
      <c r="AM1070" s="165"/>
      <c r="AN1070" s="165"/>
    </row>
    <row r="1071" spans="3:40">
      <c r="C1071" s="46"/>
      <c r="F1071" s="173"/>
      <c r="G1071" s="1"/>
      <c r="H1071" s="165"/>
      <c r="I1071" s="160"/>
      <c r="J1071" s="160"/>
      <c r="K1071" s="1"/>
      <c r="L1071" s="123"/>
      <c r="M1071" s="1"/>
      <c r="N1071" s="590"/>
      <c r="O1071" s="165"/>
      <c r="P1071" s="165"/>
      <c r="Q1071" s="165"/>
      <c r="R1071" s="165"/>
      <c r="S1071" s="165"/>
      <c r="V1071" s="46"/>
      <c r="W1071" s="46"/>
      <c r="X1071" s="1"/>
      <c r="Y1071" s="1"/>
      <c r="Z1071" s="173"/>
      <c r="AA1071" s="1"/>
      <c r="AB1071" s="165"/>
      <c r="AC1071" s="1"/>
      <c r="AD1071" s="1"/>
      <c r="AE1071" s="1"/>
      <c r="AF1071" s="46"/>
      <c r="AG1071" s="1"/>
      <c r="AH1071" s="165"/>
      <c r="AI1071" s="165"/>
      <c r="AJ1071" s="165"/>
      <c r="AK1071" s="165"/>
      <c r="AL1071" s="165"/>
      <c r="AM1071" s="165"/>
      <c r="AN1071" s="165"/>
    </row>
    <row r="1072" spans="3:40">
      <c r="C1072" s="46"/>
      <c r="F1072" s="173"/>
      <c r="G1072" s="1"/>
      <c r="H1072" s="165"/>
      <c r="I1072" s="160"/>
      <c r="J1072" s="160"/>
      <c r="K1072" s="1"/>
      <c r="L1072" s="123"/>
      <c r="M1072" s="1"/>
      <c r="N1072" s="590"/>
      <c r="O1072" s="165"/>
      <c r="P1072" s="165"/>
      <c r="Q1072" s="165"/>
      <c r="R1072" s="165"/>
      <c r="S1072" s="165"/>
      <c r="V1072" s="46"/>
      <c r="W1072" s="46"/>
      <c r="X1072" s="1"/>
      <c r="Y1072" s="1"/>
      <c r="Z1072" s="173"/>
      <c r="AA1072" s="1"/>
      <c r="AB1072" s="165"/>
      <c r="AC1072" s="1"/>
      <c r="AD1072" s="1"/>
      <c r="AE1072" s="1"/>
      <c r="AF1072" s="46"/>
      <c r="AG1072" s="1"/>
      <c r="AH1072" s="165"/>
      <c r="AI1072" s="165"/>
      <c r="AJ1072" s="165"/>
      <c r="AK1072" s="165"/>
      <c r="AL1072" s="165"/>
      <c r="AM1072" s="165"/>
      <c r="AN1072" s="165"/>
    </row>
    <row r="1073" spans="3:40">
      <c r="C1073" s="46"/>
      <c r="F1073" s="173"/>
      <c r="G1073" s="1"/>
      <c r="H1073" s="165"/>
      <c r="I1073" s="160"/>
      <c r="J1073" s="160"/>
      <c r="K1073" s="1"/>
      <c r="L1073" s="123"/>
      <c r="M1073" s="1"/>
      <c r="N1073" s="590"/>
      <c r="O1073" s="165"/>
      <c r="P1073" s="165"/>
      <c r="Q1073" s="165"/>
      <c r="R1073" s="165"/>
      <c r="S1073" s="165"/>
      <c r="V1073" s="46"/>
      <c r="W1073" s="46"/>
      <c r="X1073" s="1"/>
      <c r="Y1073" s="1"/>
      <c r="Z1073" s="173"/>
      <c r="AA1073" s="1"/>
      <c r="AB1073" s="165"/>
      <c r="AC1073" s="1"/>
      <c r="AD1073" s="1"/>
      <c r="AE1073" s="1"/>
      <c r="AF1073" s="46"/>
      <c r="AG1073" s="1"/>
      <c r="AH1073" s="165"/>
      <c r="AI1073" s="165"/>
      <c r="AJ1073" s="165"/>
      <c r="AK1073" s="165"/>
      <c r="AL1073" s="165"/>
      <c r="AM1073" s="165"/>
      <c r="AN1073" s="165"/>
    </row>
    <row r="1074" spans="3:40">
      <c r="C1074" s="46"/>
      <c r="F1074" s="173"/>
      <c r="G1074" s="1"/>
      <c r="H1074" s="165"/>
      <c r="I1074" s="160"/>
      <c r="J1074" s="160"/>
      <c r="K1074" s="1"/>
      <c r="L1074" s="123"/>
      <c r="M1074" s="1"/>
      <c r="N1074" s="590"/>
      <c r="O1074" s="165"/>
      <c r="P1074" s="165"/>
      <c r="Q1074" s="165"/>
      <c r="R1074" s="165"/>
      <c r="S1074" s="165"/>
      <c r="V1074" s="46"/>
      <c r="W1074" s="46"/>
      <c r="X1074" s="1"/>
      <c r="Y1074" s="1"/>
      <c r="Z1074" s="173"/>
      <c r="AA1074" s="1"/>
      <c r="AB1074" s="165"/>
      <c r="AC1074" s="1"/>
      <c r="AD1074" s="1"/>
      <c r="AE1074" s="1"/>
      <c r="AF1074" s="46"/>
      <c r="AG1074" s="1"/>
      <c r="AH1074" s="165"/>
      <c r="AI1074" s="165"/>
      <c r="AJ1074" s="165"/>
      <c r="AK1074" s="165"/>
      <c r="AL1074" s="165"/>
      <c r="AM1074" s="165"/>
      <c r="AN1074" s="165"/>
    </row>
    <row r="1075" spans="3:40">
      <c r="C1075" s="46"/>
      <c r="F1075" s="173"/>
      <c r="G1075" s="1"/>
      <c r="H1075" s="165"/>
      <c r="I1075" s="160"/>
      <c r="J1075" s="160"/>
      <c r="K1075" s="1"/>
      <c r="L1075" s="123"/>
      <c r="M1075" s="1"/>
      <c r="N1075" s="590"/>
      <c r="O1075" s="165"/>
      <c r="P1075" s="165"/>
      <c r="Q1075" s="165"/>
      <c r="R1075" s="165"/>
      <c r="S1075" s="165"/>
      <c r="V1075" s="46"/>
      <c r="W1075" s="46"/>
      <c r="X1075" s="1"/>
      <c r="Y1075" s="1"/>
      <c r="Z1075" s="173"/>
      <c r="AA1075" s="1"/>
      <c r="AB1075" s="165"/>
      <c r="AC1075" s="1"/>
      <c r="AD1075" s="1"/>
      <c r="AE1075" s="1"/>
      <c r="AF1075" s="46"/>
      <c r="AG1075" s="1"/>
      <c r="AH1075" s="165"/>
      <c r="AI1075" s="165"/>
      <c r="AJ1075" s="165"/>
      <c r="AK1075" s="165"/>
      <c r="AL1075" s="165"/>
      <c r="AM1075" s="165"/>
      <c r="AN1075" s="165"/>
    </row>
    <row r="1076" spans="3:40">
      <c r="C1076" s="46"/>
      <c r="F1076" s="173"/>
      <c r="G1076" s="1"/>
      <c r="H1076" s="165"/>
      <c r="I1076" s="160"/>
      <c r="J1076" s="160"/>
      <c r="K1076" s="1"/>
      <c r="L1076" s="123"/>
      <c r="M1076" s="1"/>
      <c r="N1076" s="590"/>
      <c r="O1076" s="165"/>
      <c r="P1076" s="165"/>
      <c r="Q1076" s="165"/>
      <c r="R1076" s="165"/>
      <c r="S1076" s="165"/>
      <c r="V1076" s="46"/>
      <c r="W1076" s="46"/>
      <c r="X1076" s="1"/>
      <c r="Y1076" s="1"/>
      <c r="Z1076" s="173"/>
      <c r="AA1076" s="1"/>
      <c r="AB1076" s="165"/>
      <c r="AC1076" s="1"/>
      <c r="AD1076" s="1"/>
      <c r="AE1076" s="1"/>
      <c r="AF1076" s="46"/>
      <c r="AG1076" s="1"/>
      <c r="AH1076" s="165"/>
      <c r="AI1076" s="165"/>
      <c r="AJ1076" s="165"/>
      <c r="AK1076" s="165"/>
      <c r="AL1076" s="165"/>
      <c r="AM1076" s="165"/>
      <c r="AN1076" s="165"/>
    </row>
    <row r="1077" spans="3:40">
      <c r="C1077" s="46"/>
      <c r="F1077" s="173"/>
      <c r="G1077" s="1"/>
      <c r="H1077" s="165"/>
      <c r="I1077" s="160"/>
      <c r="J1077" s="160"/>
      <c r="K1077" s="1"/>
      <c r="L1077" s="123"/>
      <c r="M1077" s="1"/>
      <c r="N1077" s="590"/>
      <c r="O1077" s="165"/>
      <c r="P1077" s="165"/>
      <c r="Q1077" s="165"/>
      <c r="R1077" s="165"/>
      <c r="S1077" s="165"/>
      <c r="V1077" s="46"/>
      <c r="W1077" s="46"/>
      <c r="X1077" s="1"/>
      <c r="Y1077" s="1"/>
      <c r="Z1077" s="173"/>
      <c r="AA1077" s="1"/>
      <c r="AB1077" s="165"/>
      <c r="AC1077" s="1"/>
      <c r="AD1077" s="1"/>
      <c r="AE1077" s="1"/>
      <c r="AF1077" s="46"/>
      <c r="AG1077" s="1"/>
      <c r="AH1077" s="165"/>
      <c r="AI1077" s="165"/>
      <c r="AJ1077" s="165"/>
      <c r="AK1077" s="165"/>
      <c r="AL1077" s="165"/>
      <c r="AM1077" s="165"/>
      <c r="AN1077" s="165"/>
    </row>
    <row r="1078" spans="3:40">
      <c r="C1078" s="46"/>
      <c r="F1078" s="173"/>
      <c r="G1078" s="1"/>
      <c r="H1078" s="165"/>
      <c r="I1078" s="160"/>
      <c r="J1078" s="160"/>
      <c r="K1078" s="1"/>
      <c r="L1078" s="123"/>
      <c r="M1078" s="1"/>
      <c r="N1078" s="590"/>
      <c r="O1078" s="165"/>
      <c r="P1078" s="165"/>
      <c r="Q1078" s="165"/>
      <c r="R1078" s="165"/>
      <c r="S1078" s="165"/>
      <c r="V1078" s="46"/>
      <c r="W1078" s="46"/>
      <c r="X1078" s="1"/>
      <c r="Y1078" s="1"/>
      <c r="Z1078" s="173"/>
      <c r="AA1078" s="1"/>
      <c r="AB1078" s="165"/>
      <c r="AC1078" s="1"/>
      <c r="AD1078" s="1"/>
      <c r="AE1078" s="1"/>
      <c r="AF1078" s="46"/>
      <c r="AG1078" s="1"/>
      <c r="AH1078" s="165"/>
      <c r="AI1078" s="165"/>
      <c r="AJ1078" s="165"/>
      <c r="AK1078" s="165"/>
      <c r="AL1078" s="165"/>
      <c r="AM1078" s="165"/>
      <c r="AN1078" s="165"/>
    </row>
    <row r="1079" spans="3:40">
      <c r="C1079" s="46"/>
      <c r="F1079" s="173"/>
      <c r="G1079" s="1"/>
      <c r="H1079" s="165"/>
      <c r="I1079" s="160"/>
      <c r="J1079" s="160"/>
      <c r="K1079" s="1"/>
      <c r="L1079" s="123"/>
      <c r="M1079" s="1"/>
      <c r="N1079" s="590"/>
      <c r="O1079" s="165"/>
      <c r="P1079" s="165"/>
      <c r="Q1079" s="165"/>
      <c r="R1079" s="165"/>
      <c r="S1079" s="165"/>
      <c r="V1079" s="46"/>
      <c r="W1079" s="46"/>
      <c r="X1079" s="1"/>
      <c r="Y1079" s="1"/>
      <c r="Z1079" s="173"/>
      <c r="AA1079" s="1"/>
      <c r="AB1079" s="165"/>
      <c r="AC1079" s="1"/>
      <c r="AD1079" s="1"/>
      <c r="AE1079" s="1"/>
      <c r="AF1079" s="46"/>
      <c r="AG1079" s="1"/>
      <c r="AH1079" s="165"/>
      <c r="AI1079" s="165"/>
      <c r="AJ1079" s="165"/>
      <c r="AK1079" s="165"/>
      <c r="AL1079" s="165"/>
      <c r="AM1079" s="165"/>
      <c r="AN1079" s="165"/>
    </row>
    <row r="1080" spans="3:40">
      <c r="C1080" s="46"/>
      <c r="F1080" s="173"/>
      <c r="G1080" s="1"/>
      <c r="H1080" s="165"/>
      <c r="I1080" s="160"/>
      <c r="J1080" s="160"/>
      <c r="K1080" s="1"/>
      <c r="L1080" s="123"/>
      <c r="M1080" s="1"/>
      <c r="N1080" s="590"/>
      <c r="O1080" s="165"/>
      <c r="P1080" s="165"/>
      <c r="Q1080" s="165"/>
      <c r="R1080" s="165"/>
      <c r="S1080" s="165"/>
      <c r="V1080" s="46"/>
      <c r="W1080" s="46"/>
      <c r="X1080" s="1"/>
      <c r="Y1080" s="1"/>
      <c r="Z1080" s="173"/>
      <c r="AA1080" s="1"/>
      <c r="AB1080" s="165"/>
      <c r="AC1080" s="1"/>
      <c r="AD1080" s="1"/>
      <c r="AE1080" s="1"/>
      <c r="AF1080" s="46"/>
      <c r="AG1080" s="1"/>
      <c r="AH1080" s="165"/>
      <c r="AI1080" s="165"/>
      <c r="AJ1080" s="165"/>
      <c r="AK1080" s="165"/>
      <c r="AL1080" s="165"/>
      <c r="AM1080" s="165"/>
      <c r="AN1080" s="165"/>
    </row>
    <row r="1081" spans="3:40">
      <c r="C1081" s="46"/>
      <c r="F1081" s="173"/>
      <c r="G1081" s="1"/>
      <c r="H1081" s="165"/>
      <c r="I1081" s="160"/>
      <c r="J1081" s="160"/>
      <c r="K1081" s="1"/>
      <c r="L1081" s="123"/>
      <c r="M1081" s="1"/>
      <c r="N1081" s="590"/>
      <c r="O1081" s="165"/>
      <c r="P1081" s="165"/>
      <c r="Q1081" s="165"/>
      <c r="R1081" s="165"/>
      <c r="S1081" s="165"/>
      <c r="V1081" s="46"/>
      <c r="W1081" s="46"/>
      <c r="X1081" s="1"/>
      <c r="Y1081" s="1"/>
      <c r="Z1081" s="173"/>
      <c r="AA1081" s="1"/>
      <c r="AB1081" s="165"/>
      <c r="AC1081" s="1"/>
      <c r="AD1081" s="1"/>
      <c r="AE1081" s="1"/>
      <c r="AF1081" s="46"/>
      <c r="AG1081" s="1"/>
      <c r="AH1081" s="165"/>
      <c r="AI1081" s="165"/>
      <c r="AJ1081" s="165"/>
      <c r="AK1081" s="165"/>
      <c r="AL1081" s="165"/>
      <c r="AM1081" s="165"/>
      <c r="AN1081" s="165"/>
    </row>
    <row r="1082" spans="3:40">
      <c r="C1082" s="46"/>
      <c r="F1082" s="173"/>
      <c r="G1082" s="1"/>
      <c r="H1082" s="165"/>
      <c r="I1082" s="160"/>
      <c r="J1082" s="160"/>
      <c r="K1082" s="1"/>
      <c r="L1082" s="123"/>
      <c r="M1082" s="1"/>
      <c r="N1082" s="590"/>
      <c r="O1082" s="165"/>
      <c r="P1082" s="165"/>
      <c r="Q1082" s="165"/>
      <c r="R1082" s="165"/>
      <c r="S1082" s="165"/>
      <c r="V1082" s="46"/>
      <c r="W1082" s="46"/>
      <c r="X1082" s="1"/>
      <c r="Y1082" s="1"/>
      <c r="Z1082" s="173"/>
      <c r="AA1082" s="1"/>
      <c r="AB1082" s="165"/>
      <c r="AC1082" s="1"/>
      <c r="AD1082" s="1"/>
      <c r="AE1082" s="1"/>
      <c r="AF1082" s="46"/>
      <c r="AG1082" s="1"/>
      <c r="AH1082" s="165"/>
      <c r="AI1082" s="165"/>
      <c r="AJ1082" s="165"/>
      <c r="AK1082" s="165"/>
      <c r="AL1082" s="165"/>
      <c r="AM1082" s="165"/>
      <c r="AN1082" s="165"/>
    </row>
    <row r="1083" spans="3:40">
      <c r="C1083" s="46"/>
      <c r="F1083" s="173"/>
      <c r="G1083" s="1"/>
      <c r="H1083" s="165"/>
      <c r="I1083" s="160"/>
      <c r="J1083" s="160"/>
      <c r="K1083" s="1"/>
      <c r="L1083" s="123"/>
      <c r="M1083" s="1"/>
      <c r="N1083" s="590"/>
      <c r="O1083" s="165"/>
      <c r="P1083" s="165"/>
      <c r="Q1083" s="165"/>
      <c r="R1083" s="165"/>
      <c r="S1083" s="165"/>
      <c r="V1083" s="46"/>
      <c r="W1083" s="46"/>
      <c r="X1083" s="1"/>
      <c r="Y1083" s="1"/>
      <c r="Z1083" s="173"/>
      <c r="AA1083" s="1"/>
      <c r="AB1083" s="165"/>
      <c r="AC1083" s="1"/>
      <c r="AD1083" s="1"/>
      <c r="AE1083" s="1"/>
      <c r="AF1083" s="46"/>
      <c r="AG1083" s="1"/>
      <c r="AH1083" s="165"/>
      <c r="AI1083" s="165"/>
      <c r="AJ1083" s="165"/>
      <c r="AK1083" s="165"/>
      <c r="AL1083" s="165"/>
      <c r="AM1083" s="165"/>
      <c r="AN1083" s="165"/>
    </row>
    <row r="1084" spans="3:40">
      <c r="C1084" s="46"/>
      <c r="F1084" s="173"/>
      <c r="G1084" s="1"/>
      <c r="H1084" s="165"/>
      <c r="I1084" s="160"/>
      <c r="J1084" s="160"/>
      <c r="K1084" s="1"/>
      <c r="L1084" s="123"/>
      <c r="M1084" s="1"/>
      <c r="N1084" s="590"/>
      <c r="O1084" s="165"/>
      <c r="P1084" s="165"/>
      <c r="Q1084" s="165"/>
      <c r="R1084" s="165"/>
      <c r="S1084" s="165"/>
      <c r="V1084" s="46"/>
      <c r="W1084" s="46"/>
      <c r="X1084" s="1"/>
      <c r="Y1084" s="1"/>
      <c r="Z1084" s="173"/>
      <c r="AA1084" s="1"/>
      <c r="AB1084" s="165"/>
      <c r="AC1084" s="1"/>
      <c r="AD1084" s="1"/>
      <c r="AE1084" s="1"/>
      <c r="AF1084" s="46"/>
      <c r="AG1084" s="1"/>
      <c r="AH1084" s="165"/>
      <c r="AI1084" s="165"/>
      <c r="AJ1084" s="165"/>
      <c r="AK1084" s="165"/>
      <c r="AL1084" s="165"/>
      <c r="AM1084" s="165"/>
      <c r="AN1084" s="165"/>
    </row>
    <row r="1085" spans="3:40">
      <c r="C1085" s="46"/>
      <c r="F1085" s="173"/>
      <c r="G1085" s="1"/>
      <c r="H1085" s="165"/>
      <c r="I1085" s="160"/>
      <c r="J1085" s="160"/>
      <c r="K1085" s="1"/>
      <c r="L1085" s="123"/>
      <c r="M1085" s="1"/>
      <c r="N1085" s="590"/>
      <c r="O1085" s="165"/>
      <c r="P1085" s="165"/>
      <c r="Q1085" s="165"/>
      <c r="R1085" s="165"/>
      <c r="S1085" s="165"/>
      <c r="V1085" s="46"/>
      <c r="W1085" s="46"/>
      <c r="X1085" s="1"/>
      <c r="Y1085" s="1"/>
      <c r="Z1085" s="173"/>
      <c r="AA1085" s="1"/>
      <c r="AB1085" s="165"/>
      <c r="AC1085" s="1"/>
      <c r="AD1085" s="1"/>
      <c r="AE1085" s="1"/>
      <c r="AF1085" s="46"/>
      <c r="AG1085" s="1"/>
      <c r="AH1085" s="165"/>
      <c r="AI1085" s="165"/>
      <c r="AJ1085" s="165"/>
      <c r="AK1085" s="165"/>
      <c r="AL1085" s="165"/>
      <c r="AM1085" s="165"/>
      <c r="AN1085" s="165"/>
    </row>
    <row r="1086" spans="3:40">
      <c r="C1086" s="46"/>
      <c r="F1086" s="173"/>
      <c r="G1086" s="1"/>
      <c r="H1086" s="165"/>
      <c r="I1086" s="160"/>
      <c r="J1086" s="160"/>
      <c r="K1086" s="1"/>
      <c r="L1086" s="123"/>
      <c r="M1086" s="1"/>
      <c r="N1086" s="590"/>
      <c r="O1086" s="165"/>
      <c r="P1086" s="165"/>
      <c r="Q1086" s="165"/>
      <c r="R1086" s="165"/>
      <c r="S1086" s="165"/>
      <c r="V1086" s="46"/>
      <c r="W1086" s="46"/>
      <c r="X1086" s="1"/>
      <c r="Y1086" s="1"/>
      <c r="Z1086" s="173"/>
      <c r="AA1086" s="1"/>
      <c r="AB1086" s="165"/>
      <c r="AC1086" s="1"/>
      <c r="AD1086" s="1"/>
      <c r="AE1086" s="1"/>
      <c r="AF1086" s="46"/>
      <c r="AG1086" s="1"/>
      <c r="AH1086" s="165"/>
      <c r="AI1086" s="165"/>
      <c r="AJ1086" s="165"/>
      <c r="AK1086" s="165"/>
      <c r="AL1086" s="165"/>
      <c r="AM1086" s="165"/>
      <c r="AN1086" s="165"/>
    </row>
    <row r="1087" spans="3:40">
      <c r="C1087" s="46"/>
      <c r="F1087" s="173"/>
      <c r="G1087" s="1"/>
      <c r="H1087" s="165"/>
      <c r="I1087" s="160"/>
      <c r="J1087" s="160"/>
      <c r="K1087" s="1"/>
      <c r="L1087" s="123"/>
      <c r="M1087" s="1"/>
      <c r="N1087" s="590"/>
      <c r="O1087" s="165"/>
      <c r="P1087" s="165"/>
      <c r="Q1087" s="165"/>
      <c r="R1087" s="165"/>
      <c r="S1087" s="165"/>
      <c r="V1087" s="46"/>
      <c r="W1087" s="46"/>
      <c r="X1087" s="1"/>
      <c r="Y1087" s="1"/>
      <c r="Z1087" s="173"/>
      <c r="AA1087" s="1"/>
      <c r="AB1087" s="165"/>
      <c r="AC1087" s="1"/>
      <c r="AD1087" s="1"/>
      <c r="AE1087" s="1"/>
      <c r="AF1087" s="46"/>
      <c r="AG1087" s="1"/>
      <c r="AH1087" s="165"/>
      <c r="AI1087" s="165"/>
      <c r="AJ1087" s="165"/>
      <c r="AK1087" s="165"/>
      <c r="AL1087" s="165"/>
      <c r="AM1087" s="165"/>
      <c r="AN1087" s="165"/>
    </row>
    <row r="1088" spans="3:40">
      <c r="C1088" s="46"/>
      <c r="F1088" s="173"/>
      <c r="G1088" s="1"/>
      <c r="H1088" s="165"/>
      <c r="I1088" s="160"/>
      <c r="J1088" s="160"/>
      <c r="K1088" s="1"/>
      <c r="L1088" s="123"/>
      <c r="M1088" s="1"/>
      <c r="N1088" s="590"/>
      <c r="O1088" s="165"/>
      <c r="P1088" s="165"/>
      <c r="Q1088" s="165"/>
      <c r="R1088" s="165"/>
      <c r="S1088" s="165"/>
      <c r="V1088" s="46"/>
      <c r="W1088" s="46"/>
      <c r="X1088" s="1"/>
      <c r="Y1088" s="1"/>
      <c r="Z1088" s="173"/>
      <c r="AA1088" s="1"/>
      <c r="AB1088" s="165"/>
      <c r="AC1088" s="1"/>
      <c r="AD1088" s="1"/>
      <c r="AE1088" s="1"/>
      <c r="AF1088" s="46"/>
      <c r="AG1088" s="1"/>
      <c r="AH1088" s="165"/>
      <c r="AI1088" s="165"/>
      <c r="AJ1088" s="165"/>
      <c r="AK1088" s="165"/>
      <c r="AL1088" s="165"/>
      <c r="AM1088" s="165"/>
      <c r="AN1088" s="165"/>
    </row>
    <row r="1089" spans="3:40">
      <c r="C1089" s="46"/>
      <c r="F1089" s="173"/>
      <c r="G1089" s="1"/>
      <c r="H1089" s="165"/>
      <c r="I1089" s="160"/>
      <c r="J1089" s="160"/>
      <c r="K1089" s="1"/>
      <c r="L1089" s="123"/>
      <c r="M1089" s="1"/>
      <c r="N1089" s="590"/>
      <c r="O1089" s="165"/>
      <c r="P1089" s="165"/>
      <c r="Q1089" s="165"/>
      <c r="R1089" s="165"/>
      <c r="S1089" s="165"/>
      <c r="V1089" s="46"/>
      <c r="W1089" s="46"/>
      <c r="X1089" s="1"/>
      <c r="Y1089" s="1"/>
      <c r="Z1089" s="173"/>
      <c r="AA1089" s="1"/>
      <c r="AB1089" s="165"/>
      <c r="AC1089" s="1"/>
      <c r="AD1089" s="1"/>
      <c r="AE1089" s="1"/>
      <c r="AF1089" s="46"/>
      <c r="AG1089" s="1"/>
      <c r="AH1089" s="165"/>
      <c r="AI1089" s="165"/>
      <c r="AJ1089" s="165"/>
      <c r="AK1089" s="165"/>
      <c r="AL1089" s="165"/>
      <c r="AM1089" s="165"/>
      <c r="AN1089" s="165"/>
    </row>
    <row r="1090" spans="3:40">
      <c r="C1090" s="46"/>
      <c r="F1090" s="173"/>
      <c r="G1090" s="1"/>
      <c r="H1090" s="165"/>
      <c r="I1090" s="160"/>
      <c r="J1090" s="160"/>
      <c r="K1090" s="1"/>
      <c r="L1090" s="123"/>
      <c r="M1090" s="1"/>
      <c r="N1090" s="590"/>
      <c r="O1090" s="165"/>
      <c r="P1090" s="165"/>
      <c r="Q1090" s="165"/>
      <c r="R1090" s="165"/>
      <c r="S1090" s="165"/>
      <c r="V1090" s="46"/>
      <c r="W1090" s="46"/>
      <c r="X1090" s="1"/>
      <c r="Y1090" s="1"/>
      <c r="Z1090" s="173"/>
      <c r="AA1090" s="1"/>
      <c r="AB1090" s="165"/>
      <c r="AC1090" s="1"/>
      <c r="AD1090" s="1"/>
      <c r="AE1090" s="1"/>
      <c r="AF1090" s="46"/>
      <c r="AG1090" s="1"/>
      <c r="AH1090" s="165"/>
      <c r="AI1090" s="165"/>
      <c r="AJ1090" s="165"/>
      <c r="AK1090" s="165"/>
      <c r="AL1090" s="165"/>
      <c r="AM1090" s="165"/>
      <c r="AN1090" s="165"/>
    </row>
    <row r="1091" spans="3:40">
      <c r="C1091" s="46"/>
      <c r="F1091" s="173"/>
      <c r="G1091" s="1"/>
      <c r="H1091" s="165"/>
      <c r="I1091" s="160"/>
      <c r="J1091" s="160"/>
      <c r="K1091" s="1"/>
      <c r="L1091" s="123"/>
      <c r="M1091" s="1"/>
      <c r="N1091" s="590"/>
      <c r="O1091" s="165"/>
      <c r="P1091" s="165"/>
      <c r="Q1091" s="165"/>
      <c r="R1091" s="165"/>
      <c r="S1091" s="165"/>
      <c r="V1091" s="46"/>
      <c r="W1091" s="46"/>
      <c r="X1091" s="1"/>
      <c r="Y1091" s="1"/>
      <c r="Z1091" s="173"/>
      <c r="AA1091" s="1"/>
      <c r="AB1091" s="165"/>
      <c r="AC1091" s="1"/>
      <c r="AD1091" s="1"/>
      <c r="AE1091" s="1"/>
      <c r="AF1091" s="46"/>
      <c r="AG1091" s="1"/>
      <c r="AH1091" s="165"/>
      <c r="AI1091" s="165"/>
      <c r="AJ1091" s="165"/>
      <c r="AK1091" s="165"/>
      <c r="AL1091" s="165"/>
      <c r="AM1091" s="165"/>
      <c r="AN1091" s="165"/>
    </row>
    <row r="1092" spans="3:40">
      <c r="C1092" s="46"/>
      <c r="F1092" s="173"/>
      <c r="G1092" s="1"/>
      <c r="H1092" s="165"/>
      <c r="I1092" s="160"/>
      <c r="J1092" s="160"/>
      <c r="K1092" s="1"/>
      <c r="L1092" s="123"/>
      <c r="M1092" s="1"/>
      <c r="N1092" s="590"/>
      <c r="O1092" s="165"/>
      <c r="P1092" s="165"/>
      <c r="Q1092" s="165"/>
      <c r="R1092" s="165"/>
      <c r="S1092" s="165"/>
      <c r="V1092" s="46"/>
      <c r="W1092" s="46"/>
      <c r="X1092" s="1"/>
      <c r="Y1092" s="1"/>
      <c r="Z1092" s="173"/>
      <c r="AA1092" s="1"/>
      <c r="AB1092" s="165"/>
      <c r="AC1092" s="1"/>
      <c r="AD1092" s="1"/>
      <c r="AE1092" s="1"/>
      <c r="AF1092" s="46"/>
      <c r="AG1092" s="1"/>
      <c r="AH1092" s="165"/>
      <c r="AI1092" s="165"/>
      <c r="AJ1092" s="165"/>
      <c r="AK1092" s="165"/>
      <c r="AL1092" s="165"/>
      <c r="AM1092" s="165"/>
      <c r="AN1092" s="165"/>
    </row>
    <row r="1093" spans="3:40">
      <c r="C1093" s="46"/>
      <c r="F1093" s="173"/>
      <c r="G1093" s="1"/>
      <c r="H1093" s="165"/>
      <c r="I1093" s="160"/>
      <c r="J1093" s="160"/>
      <c r="K1093" s="1"/>
      <c r="L1093" s="123"/>
      <c r="M1093" s="1"/>
      <c r="N1093" s="590"/>
      <c r="O1093" s="165"/>
      <c r="P1093" s="165"/>
      <c r="Q1093" s="165"/>
      <c r="R1093" s="165"/>
      <c r="S1093" s="165"/>
      <c r="V1093" s="46"/>
      <c r="W1093" s="46"/>
      <c r="X1093" s="1"/>
      <c r="Y1093" s="1"/>
      <c r="Z1093" s="173"/>
      <c r="AA1093" s="1"/>
      <c r="AB1093" s="165"/>
      <c r="AC1093" s="1"/>
      <c r="AD1093" s="1"/>
      <c r="AE1093" s="1"/>
      <c r="AF1093" s="46"/>
      <c r="AG1093" s="1"/>
      <c r="AH1093" s="165"/>
      <c r="AI1093" s="165"/>
      <c r="AJ1093" s="165"/>
      <c r="AK1093" s="165"/>
      <c r="AL1093" s="165"/>
      <c r="AM1093" s="165"/>
      <c r="AN1093" s="165"/>
    </row>
    <row r="1094" spans="3:40">
      <c r="C1094" s="46"/>
      <c r="F1094" s="173"/>
      <c r="G1094" s="1"/>
      <c r="H1094" s="165"/>
      <c r="I1094" s="160"/>
      <c r="J1094" s="160"/>
      <c r="K1094" s="1"/>
      <c r="L1094" s="123"/>
      <c r="M1094" s="1"/>
      <c r="N1094" s="590"/>
      <c r="O1094" s="165"/>
      <c r="P1094" s="165"/>
      <c r="Q1094" s="165"/>
      <c r="R1094" s="165"/>
      <c r="S1094" s="165"/>
      <c r="V1094" s="46"/>
      <c r="W1094" s="46"/>
      <c r="X1094" s="1"/>
      <c r="Y1094" s="1"/>
      <c r="Z1094" s="173"/>
      <c r="AA1094" s="1"/>
      <c r="AB1094" s="165"/>
      <c r="AC1094" s="1"/>
      <c r="AD1094" s="1"/>
      <c r="AE1094" s="1"/>
      <c r="AF1094" s="46"/>
      <c r="AG1094" s="1"/>
      <c r="AH1094" s="165"/>
      <c r="AI1094" s="165"/>
      <c r="AJ1094" s="165"/>
      <c r="AK1094" s="165"/>
      <c r="AL1094" s="165"/>
      <c r="AM1094" s="165"/>
      <c r="AN1094" s="165"/>
    </row>
    <row r="1095" spans="3:40">
      <c r="C1095" s="46"/>
      <c r="F1095" s="173"/>
      <c r="G1095" s="1"/>
      <c r="H1095" s="165"/>
      <c r="I1095" s="160"/>
      <c r="J1095" s="160"/>
      <c r="K1095" s="1"/>
      <c r="L1095" s="123"/>
      <c r="M1095" s="1"/>
      <c r="N1095" s="590"/>
      <c r="O1095" s="165"/>
      <c r="P1095" s="165"/>
      <c r="Q1095" s="165"/>
      <c r="R1095" s="165"/>
      <c r="S1095" s="165"/>
      <c r="V1095" s="46"/>
      <c r="W1095" s="46"/>
      <c r="X1095" s="1"/>
      <c r="Y1095" s="1"/>
      <c r="Z1095" s="173"/>
      <c r="AA1095" s="1"/>
      <c r="AB1095" s="165"/>
      <c r="AC1095" s="1"/>
      <c r="AD1095" s="1"/>
      <c r="AE1095" s="1"/>
      <c r="AF1095" s="46"/>
      <c r="AG1095" s="1"/>
      <c r="AH1095" s="165"/>
      <c r="AI1095" s="165"/>
      <c r="AJ1095" s="165"/>
      <c r="AK1095" s="165"/>
      <c r="AL1095" s="165"/>
      <c r="AM1095" s="165"/>
      <c r="AN1095" s="165"/>
    </row>
    <row r="1096" spans="3:40">
      <c r="C1096" s="46"/>
      <c r="F1096" s="173"/>
      <c r="G1096" s="1"/>
      <c r="H1096" s="165"/>
      <c r="I1096" s="160"/>
      <c r="J1096" s="160"/>
      <c r="K1096" s="1"/>
      <c r="L1096" s="123"/>
      <c r="M1096" s="1"/>
      <c r="N1096" s="590"/>
      <c r="O1096" s="165"/>
      <c r="P1096" s="165"/>
      <c r="Q1096" s="165"/>
      <c r="R1096" s="165"/>
      <c r="S1096" s="165"/>
      <c r="V1096" s="46"/>
      <c r="W1096" s="46"/>
      <c r="X1096" s="1"/>
      <c r="Y1096" s="1"/>
      <c r="Z1096" s="173"/>
      <c r="AA1096" s="1"/>
      <c r="AB1096" s="165"/>
      <c r="AC1096" s="1"/>
      <c r="AD1096" s="1"/>
      <c r="AE1096" s="1"/>
      <c r="AF1096" s="46"/>
      <c r="AG1096" s="1"/>
      <c r="AH1096" s="165"/>
      <c r="AI1096" s="165"/>
      <c r="AJ1096" s="165"/>
      <c r="AK1096" s="165"/>
      <c r="AL1096" s="165"/>
      <c r="AM1096" s="165"/>
      <c r="AN1096" s="165"/>
    </row>
    <row r="1097" spans="3:40">
      <c r="C1097" s="46"/>
      <c r="F1097" s="173"/>
      <c r="G1097" s="1"/>
      <c r="H1097" s="165"/>
      <c r="I1097" s="160"/>
      <c r="J1097" s="160"/>
      <c r="K1097" s="1"/>
      <c r="L1097" s="123"/>
      <c r="M1097" s="1"/>
      <c r="N1097" s="590"/>
      <c r="O1097" s="165"/>
      <c r="P1097" s="165"/>
      <c r="Q1097" s="165"/>
      <c r="R1097" s="165"/>
      <c r="S1097" s="165"/>
      <c r="V1097" s="46"/>
      <c r="W1097" s="46"/>
      <c r="X1097" s="1"/>
      <c r="Y1097" s="1"/>
      <c r="Z1097" s="173"/>
      <c r="AA1097" s="1"/>
      <c r="AB1097" s="165"/>
      <c r="AC1097" s="1"/>
      <c r="AD1097" s="1"/>
      <c r="AE1097" s="1"/>
      <c r="AF1097" s="46"/>
      <c r="AG1097" s="1"/>
      <c r="AH1097" s="165"/>
      <c r="AI1097" s="165"/>
      <c r="AJ1097" s="165"/>
      <c r="AK1097" s="165"/>
      <c r="AL1097" s="165"/>
      <c r="AM1097" s="165"/>
      <c r="AN1097" s="165"/>
    </row>
    <row r="1098" spans="3:40">
      <c r="C1098" s="46"/>
      <c r="F1098" s="173"/>
      <c r="G1098" s="1"/>
      <c r="H1098" s="165"/>
      <c r="I1098" s="160"/>
      <c r="J1098" s="160"/>
      <c r="K1098" s="1"/>
      <c r="L1098" s="123"/>
      <c r="M1098" s="1"/>
      <c r="N1098" s="590"/>
      <c r="O1098" s="165"/>
      <c r="P1098" s="165"/>
      <c r="Q1098" s="165"/>
      <c r="R1098" s="165"/>
      <c r="S1098" s="165"/>
      <c r="V1098" s="46"/>
      <c r="W1098" s="46"/>
      <c r="X1098" s="1"/>
      <c r="Y1098" s="1"/>
      <c r="Z1098" s="173"/>
      <c r="AA1098" s="1"/>
      <c r="AB1098" s="165"/>
      <c r="AC1098" s="1"/>
      <c r="AD1098" s="1"/>
      <c r="AE1098" s="1"/>
      <c r="AF1098" s="46"/>
      <c r="AG1098" s="1"/>
      <c r="AH1098" s="165"/>
      <c r="AI1098" s="165"/>
      <c r="AJ1098" s="165"/>
      <c r="AK1098" s="165"/>
      <c r="AL1098" s="165"/>
      <c r="AM1098" s="165"/>
      <c r="AN1098" s="165"/>
    </row>
    <row r="1099" spans="3:40">
      <c r="C1099" s="46"/>
      <c r="F1099" s="173"/>
      <c r="G1099" s="1"/>
      <c r="H1099" s="165"/>
      <c r="I1099" s="160"/>
      <c r="J1099" s="160"/>
      <c r="K1099" s="1"/>
      <c r="L1099" s="123"/>
      <c r="M1099" s="1"/>
      <c r="N1099" s="590"/>
      <c r="O1099" s="165"/>
      <c r="P1099" s="165"/>
      <c r="Q1099" s="165"/>
      <c r="R1099" s="165"/>
      <c r="S1099" s="165"/>
      <c r="V1099" s="46"/>
      <c r="W1099" s="46"/>
      <c r="X1099" s="1"/>
      <c r="Y1099" s="1"/>
      <c r="Z1099" s="173"/>
      <c r="AA1099" s="1"/>
      <c r="AB1099" s="165"/>
      <c r="AC1099" s="1"/>
      <c r="AD1099" s="1"/>
      <c r="AE1099" s="1"/>
      <c r="AF1099" s="46"/>
      <c r="AG1099" s="1"/>
      <c r="AH1099" s="165"/>
      <c r="AI1099" s="165"/>
      <c r="AJ1099" s="165"/>
      <c r="AK1099" s="165"/>
      <c r="AL1099" s="165"/>
      <c r="AM1099" s="165"/>
      <c r="AN1099" s="165"/>
    </row>
    <row r="1100" spans="3:40">
      <c r="C1100" s="46"/>
      <c r="F1100" s="173"/>
      <c r="G1100" s="1"/>
      <c r="H1100" s="165"/>
      <c r="I1100" s="160"/>
      <c r="J1100" s="160"/>
      <c r="K1100" s="1"/>
      <c r="L1100" s="123"/>
      <c r="M1100" s="1"/>
      <c r="N1100" s="590"/>
      <c r="O1100" s="165"/>
      <c r="P1100" s="165"/>
      <c r="Q1100" s="165"/>
      <c r="R1100" s="165"/>
      <c r="S1100" s="165"/>
      <c r="V1100" s="46"/>
      <c r="W1100" s="46"/>
      <c r="X1100" s="1"/>
      <c r="Y1100" s="1"/>
      <c r="Z1100" s="173"/>
      <c r="AA1100" s="1"/>
      <c r="AB1100" s="165"/>
      <c r="AC1100" s="1"/>
      <c r="AD1100" s="1"/>
      <c r="AE1100" s="1"/>
      <c r="AF1100" s="46"/>
      <c r="AG1100" s="1"/>
      <c r="AH1100" s="165"/>
      <c r="AI1100" s="165"/>
      <c r="AJ1100" s="165"/>
      <c r="AK1100" s="165"/>
      <c r="AL1100" s="165"/>
      <c r="AM1100" s="165"/>
      <c r="AN1100" s="165"/>
    </row>
    <row r="1101" spans="3:40">
      <c r="C1101" s="46"/>
      <c r="F1101" s="173"/>
      <c r="G1101" s="1"/>
      <c r="H1101" s="165"/>
      <c r="I1101" s="160"/>
      <c r="J1101" s="160"/>
      <c r="K1101" s="1"/>
      <c r="L1101" s="123"/>
      <c r="M1101" s="1"/>
      <c r="N1101" s="590"/>
      <c r="O1101" s="165"/>
      <c r="P1101" s="165"/>
      <c r="Q1101" s="165"/>
      <c r="R1101" s="165"/>
      <c r="S1101" s="165"/>
      <c r="V1101" s="46"/>
      <c r="W1101" s="46"/>
      <c r="X1101" s="1"/>
      <c r="Y1101" s="1"/>
      <c r="Z1101" s="173"/>
      <c r="AA1101" s="1"/>
      <c r="AB1101" s="165"/>
      <c r="AC1101" s="1"/>
      <c r="AD1101" s="1"/>
      <c r="AE1101" s="1"/>
      <c r="AF1101" s="46"/>
      <c r="AG1101" s="1"/>
      <c r="AH1101" s="165"/>
      <c r="AI1101" s="165"/>
      <c r="AJ1101" s="165"/>
      <c r="AK1101" s="165"/>
      <c r="AL1101" s="165"/>
      <c r="AM1101" s="165"/>
      <c r="AN1101" s="165"/>
    </row>
    <row r="1102" spans="3:40">
      <c r="C1102" s="46"/>
      <c r="F1102" s="173"/>
      <c r="G1102" s="1"/>
      <c r="H1102" s="165"/>
      <c r="I1102" s="160"/>
      <c r="J1102" s="160"/>
      <c r="K1102" s="1"/>
      <c r="L1102" s="123"/>
      <c r="M1102" s="1"/>
      <c r="N1102" s="590"/>
      <c r="O1102" s="165"/>
      <c r="P1102" s="165"/>
      <c r="Q1102" s="165"/>
      <c r="R1102" s="165"/>
      <c r="S1102" s="165"/>
      <c r="V1102" s="46"/>
      <c r="W1102" s="46"/>
      <c r="X1102" s="1"/>
      <c r="Y1102" s="1"/>
      <c r="Z1102" s="173"/>
      <c r="AA1102" s="1"/>
      <c r="AB1102" s="165"/>
      <c r="AC1102" s="1"/>
      <c r="AD1102" s="1"/>
      <c r="AE1102" s="1"/>
      <c r="AF1102" s="46"/>
      <c r="AG1102" s="1"/>
      <c r="AH1102" s="165"/>
      <c r="AI1102" s="165"/>
      <c r="AJ1102" s="165"/>
      <c r="AK1102" s="165"/>
      <c r="AL1102" s="165"/>
      <c r="AM1102" s="165"/>
      <c r="AN1102" s="165"/>
    </row>
    <row r="1103" spans="3:40">
      <c r="C1103" s="46"/>
      <c r="F1103" s="173"/>
      <c r="G1103" s="1"/>
      <c r="H1103" s="165"/>
      <c r="I1103" s="160"/>
      <c r="J1103" s="160"/>
      <c r="K1103" s="1"/>
      <c r="L1103" s="123"/>
      <c r="M1103" s="1"/>
      <c r="N1103" s="590"/>
      <c r="O1103" s="165"/>
      <c r="P1103" s="165"/>
      <c r="Q1103" s="165"/>
      <c r="R1103" s="165"/>
      <c r="S1103" s="165"/>
      <c r="V1103" s="46"/>
      <c r="W1103" s="46"/>
      <c r="X1103" s="1"/>
      <c r="Y1103" s="1"/>
      <c r="Z1103" s="173"/>
      <c r="AA1103" s="1"/>
      <c r="AB1103" s="165"/>
      <c r="AC1103" s="1"/>
      <c r="AD1103" s="1"/>
      <c r="AE1103" s="1"/>
      <c r="AF1103" s="46"/>
      <c r="AG1103" s="1"/>
      <c r="AH1103" s="165"/>
      <c r="AI1103" s="165"/>
      <c r="AJ1103" s="165"/>
      <c r="AK1103" s="165"/>
      <c r="AL1103" s="165"/>
      <c r="AM1103" s="165"/>
      <c r="AN1103" s="165"/>
    </row>
    <row r="1104" spans="3:40">
      <c r="C1104" s="46"/>
      <c r="F1104" s="173"/>
      <c r="G1104" s="1"/>
      <c r="H1104" s="165"/>
      <c r="I1104" s="160"/>
      <c r="J1104" s="160"/>
      <c r="K1104" s="1"/>
      <c r="L1104" s="123"/>
      <c r="M1104" s="1"/>
      <c r="N1104" s="590"/>
      <c r="O1104" s="165"/>
      <c r="P1104" s="165"/>
      <c r="Q1104" s="165"/>
      <c r="R1104" s="165"/>
      <c r="S1104" s="165"/>
      <c r="V1104" s="46"/>
      <c r="W1104" s="46"/>
      <c r="X1104" s="1"/>
      <c r="Y1104" s="1"/>
      <c r="Z1104" s="173"/>
      <c r="AA1104" s="1"/>
      <c r="AB1104" s="165"/>
      <c r="AC1104" s="1"/>
      <c r="AD1104" s="1"/>
      <c r="AE1104" s="1"/>
      <c r="AF1104" s="46"/>
      <c r="AG1104" s="1"/>
      <c r="AH1104" s="165"/>
      <c r="AI1104" s="165"/>
      <c r="AJ1104" s="165"/>
      <c r="AK1104" s="165"/>
      <c r="AL1104" s="165"/>
      <c r="AM1104" s="165"/>
      <c r="AN1104" s="165"/>
    </row>
    <row r="1105" spans="3:40">
      <c r="C1105" s="46"/>
      <c r="F1105" s="173"/>
      <c r="G1105" s="1"/>
      <c r="H1105" s="165"/>
      <c r="I1105" s="160"/>
      <c r="J1105" s="160"/>
      <c r="K1105" s="1"/>
      <c r="L1105" s="123"/>
      <c r="M1105" s="1"/>
      <c r="N1105" s="590"/>
      <c r="O1105" s="165"/>
      <c r="P1105" s="165"/>
      <c r="Q1105" s="165"/>
      <c r="R1105" s="165"/>
      <c r="S1105" s="165"/>
      <c r="V1105" s="46"/>
      <c r="W1105" s="46"/>
      <c r="X1105" s="1"/>
      <c r="Y1105" s="1"/>
      <c r="Z1105" s="173"/>
      <c r="AA1105" s="1"/>
      <c r="AB1105" s="165"/>
      <c r="AC1105" s="1"/>
      <c r="AD1105" s="1"/>
      <c r="AE1105" s="1"/>
      <c r="AF1105" s="46"/>
      <c r="AG1105" s="1"/>
      <c r="AH1105" s="165"/>
      <c r="AI1105" s="165"/>
      <c r="AJ1105" s="165"/>
      <c r="AK1105" s="165"/>
      <c r="AL1105" s="165"/>
      <c r="AM1105" s="165"/>
      <c r="AN1105" s="165"/>
    </row>
    <row r="1106" spans="3:40">
      <c r="C1106" s="46"/>
      <c r="F1106" s="173"/>
      <c r="G1106" s="1"/>
      <c r="H1106" s="165"/>
      <c r="I1106" s="160"/>
      <c r="J1106" s="160"/>
      <c r="K1106" s="1"/>
      <c r="L1106" s="123"/>
      <c r="M1106" s="1"/>
      <c r="N1106" s="590"/>
      <c r="O1106" s="165"/>
      <c r="P1106" s="165"/>
      <c r="Q1106" s="165"/>
      <c r="R1106" s="165"/>
      <c r="S1106" s="165"/>
      <c r="V1106" s="46"/>
      <c r="W1106" s="46"/>
      <c r="X1106" s="1"/>
      <c r="Y1106" s="1"/>
      <c r="Z1106" s="173"/>
      <c r="AA1106" s="1"/>
      <c r="AB1106" s="165"/>
      <c r="AC1106" s="1"/>
      <c r="AD1106" s="1"/>
      <c r="AE1106" s="1"/>
      <c r="AF1106" s="46"/>
      <c r="AG1106" s="1"/>
      <c r="AH1106" s="165"/>
      <c r="AI1106" s="165"/>
      <c r="AJ1106" s="165"/>
      <c r="AK1106" s="165"/>
      <c r="AL1106" s="165"/>
      <c r="AM1106" s="165"/>
      <c r="AN1106" s="165"/>
    </row>
    <row r="1107" spans="3:40">
      <c r="C1107" s="46"/>
      <c r="F1107" s="173"/>
      <c r="G1107" s="1"/>
      <c r="H1107" s="165"/>
      <c r="I1107" s="160"/>
      <c r="J1107" s="160"/>
      <c r="K1107" s="1"/>
      <c r="L1107" s="123"/>
      <c r="M1107" s="1"/>
      <c r="N1107" s="590"/>
      <c r="O1107" s="165"/>
      <c r="P1107" s="165"/>
      <c r="Q1107" s="165"/>
      <c r="R1107" s="165"/>
      <c r="S1107" s="165"/>
      <c r="V1107" s="46"/>
      <c r="W1107" s="46"/>
      <c r="X1107" s="1"/>
      <c r="Y1107" s="1"/>
      <c r="Z1107" s="173"/>
      <c r="AA1107" s="1"/>
      <c r="AB1107" s="165"/>
      <c r="AC1107" s="1"/>
      <c r="AD1107" s="1"/>
      <c r="AE1107" s="1"/>
      <c r="AF1107" s="46"/>
      <c r="AG1107" s="1"/>
      <c r="AH1107" s="165"/>
      <c r="AI1107" s="165"/>
      <c r="AJ1107" s="165"/>
      <c r="AK1107" s="165"/>
      <c r="AL1107" s="165"/>
      <c r="AM1107" s="165"/>
      <c r="AN1107" s="165"/>
    </row>
    <row r="1108" spans="3:40">
      <c r="C1108" s="46"/>
      <c r="F1108" s="173"/>
      <c r="G1108" s="1"/>
      <c r="H1108" s="165"/>
      <c r="I1108" s="160"/>
      <c r="J1108" s="160"/>
      <c r="K1108" s="1"/>
      <c r="L1108" s="123"/>
      <c r="M1108" s="1"/>
      <c r="N1108" s="590"/>
      <c r="O1108" s="165"/>
      <c r="P1108" s="165"/>
      <c r="Q1108" s="165"/>
      <c r="R1108" s="165"/>
      <c r="S1108" s="165"/>
      <c r="V1108" s="46"/>
      <c r="W1108" s="46"/>
      <c r="X1108" s="1"/>
      <c r="Y1108" s="1"/>
      <c r="Z1108" s="173"/>
      <c r="AA1108" s="1"/>
      <c r="AB1108" s="165"/>
      <c r="AC1108" s="1"/>
      <c r="AD1108" s="1"/>
      <c r="AE1108" s="1"/>
      <c r="AF1108" s="46"/>
      <c r="AG1108" s="1"/>
      <c r="AH1108" s="165"/>
      <c r="AI1108" s="165"/>
      <c r="AJ1108" s="165"/>
      <c r="AK1108" s="165"/>
      <c r="AL1108" s="165"/>
      <c r="AM1108" s="165"/>
      <c r="AN1108" s="165"/>
    </row>
    <row r="1109" spans="3:40">
      <c r="C1109" s="46"/>
      <c r="F1109" s="173"/>
      <c r="G1109" s="1"/>
      <c r="H1109" s="165"/>
      <c r="I1109" s="160"/>
      <c r="J1109" s="160"/>
      <c r="K1109" s="1"/>
      <c r="L1109" s="123"/>
      <c r="M1109" s="1"/>
      <c r="N1109" s="590"/>
      <c r="O1109" s="165"/>
      <c r="P1109" s="165"/>
      <c r="Q1109" s="165"/>
      <c r="R1109" s="165"/>
      <c r="S1109" s="165"/>
      <c r="V1109" s="46"/>
      <c r="W1109" s="46"/>
      <c r="X1109" s="1"/>
      <c r="Y1109" s="1"/>
      <c r="Z1109" s="173"/>
      <c r="AA1109" s="1"/>
      <c r="AB1109" s="165"/>
      <c r="AC1109" s="1"/>
      <c r="AD1109" s="1"/>
      <c r="AE1109" s="1"/>
      <c r="AF1109" s="46"/>
      <c r="AG1109" s="1"/>
      <c r="AH1109" s="165"/>
      <c r="AI1109" s="165"/>
      <c r="AJ1109" s="165"/>
      <c r="AK1109" s="165"/>
      <c r="AL1109" s="165"/>
      <c r="AM1109" s="165"/>
      <c r="AN1109" s="165"/>
    </row>
    <row r="1110" spans="3:40">
      <c r="C1110" s="46"/>
      <c r="F1110" s="173"/>
      <c r="G1110" s="1"/>
      <c r="H1110" s="165"/>
      <c r="I1110" s="160"/>
      <c r="J1110" s="160"/>
      <c r="K1110" s="1"/>
      <c r="L1110" s="123"/>
      <c r="M1110" s="1"/>
      <c r="N1110" s="590"/>
      <c r="O1110" s="165"/>
      <c r="P1110" s="165"/>
      <c r="Q1110" s="165"/>
      <c r="R1110" s="165"/>
      <c r="S1110" s="165"/>
      <c r="V1110" s="46"/>
      <c r="W1110" s="46"/>
      <c r="X1110" s="1"/>
      <c r="Y1110" s="1"/>
      <c r="Z1110" s="173"/>
      <c r="AA1110" s="1"/>
      <c r="AB1110" s="165"/>
      <c r="AC1110" s="1"/>
      <c r="AD1110" s="1"/>
      <c r="AE1110" s="1"/>
      <c r="AF1110" s="46"/>
      <c r="AG1110" s="1"/>
      <c r="AH1110" s="165"/>
      <c r="AI1110" s="165"/>
      <c r="AJ1110" s="165"/>
      <c r="AK1110" s="165"/>
      <c r="AL1110" s="165"/>
      <c r="AM1110" s="165"/>
      <c r="AN1110" s="165"/>
    </row>
    <row r="1111" spans="3:40">
      <c r="C1111" s="46"/>
      <c r="F1111" s="173"/>
      <c r="G1111" s="1"/>
      <c r="H1111" s="165"/>
      <c r="I1111" s="160"/>
      <c r="J1111" s="160"/>
      <c r="K1111" s="1"/>
      <c r="L1111" s="123"/>
      <c r="M1111" s="1"/>
      <c r="N1111" s="590"/>
      <c r="O1111" s="165"/>
      <c r="P1111" s="165"/>
      <c r="Q1111" s="165"/>
      <c r="R1111" s="165"/>
      <c r="S1111" s="165"/>
      <c r="V1111" s="46"/>
      <c r="W1111" s="46"/>
      <c r="X1111" s="1"/>
      <c r="Y1111" s="1"/>
      <c r="Z1111" s="173"/>
      <c r="AA1111" s="1"/>
      <c r="AB1111" s="165"/>
      <c r="AC1111" s="1"/>
      <c r="AD1111" s="1"/>
      <c r="AE1111" s="1"/>
      <c r="AF1111" s="46"/>
      <c r="AG1111" s="1"/>
      <c r="AH1111" s="165"/>
      <c r="AI1111" s="165"/>
      <c r="AJ1111" s="165"/>
      <c r="AK1111" s="165"/>
      <c r="AL1111" s="165"/>
      <c r="AM1111" s="165"/>
      <c r="AN1111" s="165"/>
    </row>
    <row r="1112" spans="3:40">
      <c r="C1112" s="46"/>
      <c r="F1112" s="173"/>
      <c r="G1112" s="1"/>
      <c r="H1112" s="165"/>
      <c r="I1112" s="160"/>
      <c r="J1112" s="160"/>
      <c r="K1112" s="1"/>
      <c r="L1112" s="123"/>
      <c r="M1112" s="1"/>
      <c r="N1112" s="590"/>
      <c r="O1112" s="165"/>
      <c r="P1112" s="165"/>
      <c r="Q1112" s="165"/>
      <c r="R1112" s="165"/>
      <c r="S1112" s="165"/>
      <c r="V1112" s="46"/>
      <c r="W1112" s="46"/>
      <c r="X1112" s="1"/>
      <c r="Y1112" s="1"/>
      <c r="Z1112" s="173"/>
      <c r="AA1112" s="1"/>
      <c r="AB1112" s="165"/>
      <c r="AC1112" s="1"/>
      <c r="AD1112" s="1"/>
      <c r="AE1112" s="1"/>
      <c r="AF1112" s="46"/>
      <c r="AG1112" s="1"/>
      <c r="AH1112" s="165"/>
      <c r="AI1112" s="165"/>
      <c r="AJ1112" s="165"/>
      <c r="AK1112" s="165"/>
      <c r="AL1112" s="165"/>
      <c r="AM1112" s="165"/>
      <c r="AN1112" s="165"/>
    </row>
    <row r="1113" spans="3:40">
      <c r="C1113" s="46"/>
      <c r="F1113" s="173"/>
      <c r="G1113" s="1"/>
      <c r="H1113" s="165"/>
      <c r="I1113" s="160"/>
      <c r="J1113" s="160"/>
      <c r="K1113" s="1"/>
      <c r="L1113" s="123"/>
      <c r="M1113" s="1"/>
      <c r="N1113" s="590"/>
      <c r="O1113" s="165"/>
      <c r="P1113" s="165"/>
      <c r="Q1113" s="165"/>
      <c r="R1113" s="165"/>
      <c r="S1113" s="165"/>
      <c r="V1113" s="46"/>
      <c r="W1113" s="46"/>
      <c r="X1113" s="1"/>
      <c r="Y1113" s="1"/>
      <c r="Z1113" s="173"/>
      <c r="AA1113" s="1"/>
      <c r="AB1113" s="165"/>
      <c r="AC1113" s="1"/>
      <c r="AD1113" s="1"/>
      <c r="AE1113" s="1"/>
      <c r="AF1113" s="46"/>
      <c r="AG1113" s="1"/>
      <c r="AH1113" s="165"/>
      <c r="AI1113" s="165"/>
      <c r="AJ1113" s="165"/>
      <c r="AK1113" s="165"/>
      <c r="AL1113" s="165"/>
      <c r="AM1113" s="165"/>
      <c r="AN1113" s="165"/>
    </row>
    <row r="1114" spans="3:40">
      <c r="C1114" s="46"/>
      <c r="F1114" s="173"/>
      <c r="G1114" s="1"/>
      <c r="H1114" s="165"/>
      <c r="I1114" s="160"/>
      <c r="J1114" s="160"/>
      <c r="K1114" s="1"/>
      <c r="L1114" s="123"/>
      <c r="M1114" s="1"/>
      <c r="N1114" s="590"/>
      <c r="O1114" s="165"/>
      <c r="P1114" s="165"/>
      <c r="Q1114" s="165"/>
      <c r="R1114" s="165"/>
      <c r="S1114" s="165"/>
      <c r="V1114" s="46"/>
      <c r="W1114" s="46"/>
      <c r="X1114" s="1"/>
      <c r="Y1114" s="1"/>
      <c r="Z1114" s="173"/>
      <c r="AA1114" s="1"/>
      <c r="AB1114" s="165"/>
      <c r="AC1114" s="1"/>
      <c r="AD1114" s="1"/>
      <c r="AE1114" s="1"/>
      <c r="AF1114" s="46"/>
      <c r="AG1114" s="1"/>
      <c r="AH1114" s="165"/>
      <c r="AI1114" s="165"/>
      <c r="AJ1114" s="165"/>
      <c r="AK1114" s="165"/>
      <c r="AL1114" s="165"/>
      <c r="AM1114" s="165"/>
      <c r="AN1114" s="165"/>
    </row>
    <row r="1115" spans="3:40">
      <c r="C1115" s="46"/>
      <c r="F1115" s="173"/>
      <c r="G1115" s="1"/>
      <c r="H1115" s="165"/>
      <c r="I1115" s="160"/>
      <c r="J1115" s="160"/>
      <c r="K1115" s="1"/>
      <c r="L1115" s="123"/>
      <c r="M1115" s="1"/>
      <c r="N1115" s="590"/>
      <c r="O1115" s="165"/>
      <c r="P1115" s="165"/>
      <c r="Q1115" s="165"/>
      <c r="R1115" s="165"/>
      <c r="S1115" s="165"/>
      <c r="V1115" s="46"/>
      <c r="W1115" s="46"/>
      <c r="X1115" s="1"/>
      <c r="Y1115" s="1"/>
      <c r="Z1115" s="173"/>
      <c r="AA1115" s="1"/>
      <c r="AB1115" s="165"/>
      <c r="AC1115" s="1"/>
      <c r="AD1115" s="1"/>
      <c r="AE1115" s="1"/>
      <c r="AF1115" s="46"/>
      <c r="AG1115" s="1"/>
      <c r="AH1115" s="165"/>
      <c r="AI1115" s="165"/>
      <c r="AJ1115" s="165"/>
      <c r="AK1115" s="165"/>
      <c r="AL1115" s="165"/>
      <c r="AM1115" s="165"/>
      <c r="AN1115" s="165"/>
    </row>
    <row r="1116" spans="3:40">
      <c r="C1116" s="46"/>
      <c r="F1116" s="173"/>
      <c r="G1116" s="1"/>
      <c r="H1116" s="165"/>
      <c r="I1116" s="160"/>
      <c r="J1116" s="160"/>
      <c r="K1116" s="1"/>
      <c r="L1116" s="123"/>
      <c r="M1116" s="1"/>
      <c r="N1116" s="590"/>
      <c r="O1116" s="165"/>
      <c r="P1116" s="165"/>
      <c r="Q1116" s="165"/>
      <c r="R1116" s="165"/>
      <c r="S1116" s="165"/>
      <c r="V1116" s="46"/>
      <c r="W1116" s="46"/>
      <c r="X1116" s="1"/>
      <c r="Y1116" s="1"/>
      <c r="Z1116" s="173"/>
      <c r="AA1116" s="1"/>
      <c r="AB1116" s="165"/>
      <c r="AC1116" s="1"/>
      <c r="AD1116" s="1"/>
      <c r="AE1116" s="1"/>
      <c r="AF1116" s="46"/>
      <c r="AG1116" s="1"/>
      <c r="AH1116" s="165"/>
      <c r="AI1116" s="165"/>
      <c r="AJ1116" s="165"/>
      <c r="AK1116" s="165"/>
      <c r="AL1116" s="165"/>
      <c r="AM1116" s="165"/>
      <c r="AN1116" s="165"/>
    </row>
    <row r="1117" spans="3:40">
      <c r="C1117" s="46"/>
      <c r="F1117" s="173"/>
      <c r="G1117" s="1"/>
      <c r="H1117" s="165"/>
      <c r="I1117" s="160"/>
      <c r="J1117" s="160"/>
      <c r="K1117" s="1"/>
      <c r="L1117" s="123"/>
      <c r="M1117" s="1"/>
      <c r="N1117" s="590"/>
      <c r="O1117" s="165"/>
      <c r="P1117" s="165"/>
      <c r="Q1117" s="165"/>
      <c r="R1117" s="165"/>
      <c r="S1117" s="165"/>
      <c r="V1117" s="46"/>
      <c r="W1117" s="46"/>
      <c r="X1117" s="1"/>
      <c r="Y1117" s="1"/>
      <c r="Z1117" s="173"/>
      <c r="AA1117" s="1"/>
      <c r="AB1117" s="165"/>
      <c r="AC1117" s="1"/>
      <c r="AD1117" s="1"/>
      <c r="AE1117" s="1"/>
      <c r="AF1117" s="46"/>
      <c r="AG1117" s="1"/>
      <c r="AH1117" s="165"/>
      <c r="AI1117" s="165"/>
      <c r="AJ1117" s="165"/>
      <c r="AK1117" s="165"/>
      <c r="AL1117" s="165"/>
      <c r="AM1117" s="165"/>
      <c r="AN1117" s="165"/>
    </row>
    <row r="1118" spans="3:40">
      <c r="C1118" s="46"/>
      <c r="F1118" s="173"/>
      <c r="G1118" s="1"/>
      <c r="H1118" s="165"/>
      <c r="I1118" s="160"/>
      <c r="J1118" s="160"/>
      <c r="K1118" s="1"/>
      <c r="L1118" s="123"/>
      <c r="M1118" s="1"/>
      <c r="N1118" s="590"/>
      <c r="O1118" s="165"/>
      <c r="P1118" s="165"/>
      <c r="Q1118" s="165"/>
      <c r="R1118" s="165"/>
      <c r="S1118" s="165"/>
      <c r="V1118" s="46"/>
      <c r="W1118" s="46"/>
      <c r="X1118" s="1"/>
      <c r="Y1118" s="1"/>
      <c r="Z1118" s="173"/>
      <c r="AA1118" s="1"/>
      <c r="AB1118" s="165"/>
      <c r="AC1118" s="1"/>
      <c r="AD1118" s="1"/>
      <c r="AE1118" s="1"/>
      <c r="AF1118" s="46"/>
      <c r="AG1118" s="1"/>
      <c r="AH1118" s="165"/>
      <c r="AI1118" s="165"/>
      <c r="AJ1118" s="165"/>
      <c r="AK1118" s="165"/>
      <c r="AL1118" s="165"/>
      <c r="AM1118" s="165"/>
      <c r="AN1118" s="165"/>
    </row>
    <row r="1119" spans="3:40">
      <c r="C1119" s="46"/>
      <c r="F1119" s="173"/>
      <c r="G1119" s="1"/>
      <c r="H1119" s="165"/>
      <c r="I1119" s="160"/>
      <c r="J1119" s="160"/>
      <c r="K1119" s="1"/>
      <c r="L1119" s="123"/>
      <c r="M1119" s="1"/>
      <c r="N1119" s="590"/>
      <c r="O1119" s="165"/>
      <c r="P1119" s="165"/>
      <c r="Q1119" s="165"/>
      <c r="R1119" s="165"/>
      <c r="S1119" s="165"/>
      <c r="V1119" s="46"/>
      <c r="W1119" s="46"/>
      <c r="X1119" s="1"/>
      <c r="Y1119" s="1"/>
      <c r="Z1119" s="173"/>
      <c r="AA1119" s="1"/>
      <c r="AB1119" s="165"/>
      <c r="AC1119" s="1"/>
      <c r="AD1119" s="1"/>
      <c r="AE1119" s="1"/>
      <c r="AF1119" s="46"/>
      <c r="AG1119" s="1"/>
      <c r="AH1119" s="165"/>
      <c r="AI1119" s="165"/>
      <c r="AJ1119" s="165"/>
      <c r="AK1119" s="165"/>
      <c r="AL1119" s="165"/>
      <c r="AM1119" s="165"/>
      <c r="AN1119" s="165"/>
    </row>
    <row r="1120" spans="3:40">
      <c r="C1120" s="46"/>
      <c r="F1120" s="173"/>
      <c r="G1120" s="1"/>
      <c r="H1120" s="165"/>
      <c r="I1120" s="160"/>
      <c r="J1120" s="160"/>
      <c r="K1120" s="1"/>
      <c r="L1120" s="123"/>
      <c r="M1120" s="1"/>
      <c r="N1120" s="590"/>
      <c r="O1120" s="165"/>
      <c r="P1120" s="165"/>
      <c r="Q1120" s="165"/>
      <c r="R1120" s="165"/>
      <c r="S1120" s="165"/>
      <c r="V1120" s="46"/>
      <c r="W1120" s="46"/>
      <c r="X1120" s="1"/>
      <c r="Y1120" s="1"/>
      <c r="Z1120" s="173"/>
      <c r="AA1120" s="1"/>
      <c r="AB1120" s="165"/>
      <c r="AC1120" s="1"/>
      <c r="AD1120" s="1"/>
      <c r="AE1120" s="1"/>
      <c r="AF1120" s="46"/>
      <c r="AG1120" s="1"/>
      <c r="AH1120" s="165"/>
      <c r="AI1120" s="165"/>
      <c r="AJ1120" s="165"/>
      <c r="AK1120" s="165"/>
      <c r="AL1120" s="165"/>
      <c r="AM1120" s="165"/>
      <c r="AN1120" s="165"/>
    </row>
    <row r="1121" spans="3:40">
      <c r="C1121" s="46"/>
      <c r="F1121" s="173"/>
      <c r="G1121" s="1"/>
      <c r="H1121" s="165"/>
      <c r="I1121" s="160"/>
      <c r="J1121" s="160"/>
      <c r="K1121" s="1"/>
      <c r="L1121" s="123"/>
      <c r="M1121" s="1"/>
      <c r="N1121" s="590"/>
      <c r="O1121" s="165"/>
      <c r="P1121" s="165"/>
      <c r="Q1121" s="165"/>
      <c r="R1121" s="165"/>
      <c r="S1121" s="165"/>
      <c r="V1121" s="46"/>
      <c r="W1121" s="46"/>
      <c r="X1121" s="1"/>
      <c r="Y1121" s="1"/>
      <c r="Z1121" s="173"/>
      <c r="AA1121" s="1"/>
      <c r="AB1121" s="165"/>
      <c r="AC1121" s="1"/>
      <c r="AD1121" s="1"/>
      <c r="AE1121" s="1"/>
      <c r="AF1121" s="46"/>
      <c r="AG1121" s="1"/>
      <c r="AH1121" s="165"/>
      <c r="AI1121" s="165"/>
      <c r="AJ1121" s="165"/>
      <c r="AK1121" s="165"/>
      <c r="AL1121" s="165"/>
      <c r="AM1121" s="165"/>
      <c r="AN1121" s="165"/>
    </row>
    <row r="1122" spans="3:40">
      <c r="C1122" s="46"/>
      <c r="F1122" s="173"/>
      <c r="G1122" s="1"/>
      <c r="H1122" s="165"/>
      <c r="I1122" s="160"/>
      <c r="J1122" s="160"/>
      <c r="K1122" s="1"/>
      <c r="L1122" s="123"/>
      <c r="M1122" s="1"/>
      <c r="N1122" s="590"/>
      <c r="O1122" s="165"/>
      <c r="P1122" s="165"/>
      <c r="Q1122" s="165"/>
      <c r="R1122" s="165"/>
      <c r="S1122" s="165"/>
      <c r="V1122" s="46"/>
      <c r="W1122" s="46"/>
      <c r="X1122" s="1"/>
      <c r="Y1122" s="1"/>
      <c r="Z1122" s="173"/>
      <c r="AA1122" s="1"/>
      <c r="AB1122" s="165"/>
      <c r="AC1122" s="1"/>
      <c r="AD1122" s="1"/>
      <c r="AE1122" s="1"/>
      <c r="AF1122" s="46"/>
      <c r="AG1122" s="1"/>
      <c r="AH1122" s="165"/>
      <c r="AI1122" s="165"/>
      <c r="AJ1122" s="165"/>
      <c r="AK1122" s="165"/>
      <c r="AL1122" s="165"/>
      <c r="AM1122" s="165"/>
      <c r="AN1122" s="165"/>
    </row>
    <row r="1123" spans="3:40">
      <c r="C1123" s="46"/>
      <c r="F1123" s="173"/>
      <c r="G1123" s="1"/>
      <c r="H1123" s="165"/>
      <c r="I1123" s="160"/>
      <c r="J1123" s="160"/>
      <c r="K1123" s="1"/>
      <c r="L1123" s="123"/>
      <c r="M1123" s="1"/>
      <c r="N1123" s="590"/>
      <c r="O1123" s="165"/>
      <c r="P1123" s="165"/>
      <c r="Q1123" s="165"/>
      <c r="R1123" s="165"/>
      <c r="S1123" s="165"/>
      <c r="V1123" s="46"/>
      <c r="W1123" s="46"/>
      <c r="X1123" s="1"/>
      <c r="Y1123" s="1"/>
      <c r="Z1123" s="173"/>
      <c r="AA1123" s="1"/>
      <c r="AB1123" s="165"/>
      <c r="AC1123" s="1"/>
      <c r="AD1123" s="1"/>
      <c r="AE1123" s="1"/>
      <c r="AF1123" s="46"/>
      <c r="AG1123" s="1"/>
      <c r="AH1123" s="165"/>
      <c r="AI1123" s="165"/>
      <c r="AJ1123" s="165"/>
      <c r="AK1123" s="165"/>
      <c r="AL1123" s="165"/>
      <c r="AM1123" s="165"/>
      <c r="AN1123" s="165"/>
    </row>
    <row r="1124" spans="3:40">
      <c r="C1124" s="46"/>
      <c r="F1124" s="173"/>
      <c r="G1124" s="1"/>
      <c r="H1124" s="165"/>
      <c r="I1124" s="160"/>
      <c r="J1124" s="160"/>
      <c r="K1124" s="1"/>
      <c r="L1124" s="123"/>
      <c r="M1124" s="1"/>
      <c r="N1124" s="590"/>
      <c r="O1124" s="165"/>
      <c r="P1124" s="165"/>
      <c r="Q1124" s="165"/>
      <c r="R1124" s="165"/>
      <c r="S1124" s="165"/>
      <c r="V1124" s="46"/>
      <c r="W1124" s="46"/>
      <c r="X1124" s="1"/>
      <c r="Y1124" s="1"/>
      <c r="Z1124" s="173"/>
      <c r="AA1124" s="1"/>
      <c r="AB1124" s="165"/>
      <c r="AC1124" s="1"/>
      <c r="AD1124" s="1"/>
      <c r="AE1124" s="1"/>
      <c r="AF1124" s="46"/>
      <c r="AG1124" s="1"/>
      <c r="AH1124" s="165"/>
      <c r="AI1124" s="165"/>
      <c r="AJ1124" s="165"/>
      <c r="AK1124" s="165"/>
      <c r="AL1124" s="165"/>
      <c r="AM1124" s="165"/>
      <c r="AN1124" s="165"/>
    </row>
    <row r="1125" spans="3:40">
      <c r="C1125" s="46"/>
      <c r="F1125" s="173"/>
      <c r="G1125" s="1"/>
      <c r="H1125" s="165"/>
      <c r="I1125" s="160"/>
      <c r="J1125" s="160"/>
      <c r="K1125" s="1"/>
      <c r="L1125" s="123"/>
      <c r="M1125" s="1"/>
      <c r="N1125" s="590"/>
      <c r="O1125" s="165"/>
      <c r="P1125" s="165"/>
      <c r="Q1125" s="165"/>
      <c r="R1125" s="165"/>
      <c r="S1125" s="165"/>
      <c r="V1125" s="46"/>
      <c r="W1125" s="46"/>
      <c r="X1125" s="1"/>
      <c r="Y1125" s="1"/>
      <c r="Z1125" s="173"/>
      <c r="AA1125" s="1"/>
      <c r="AB1125" s="165"/>
      <c r="AC1125" s="1"/>
      <c r="AD1125" s="1"/>
      <c r="AE1125" s="1"/>
      <c r="AF1125" s="46"/>
      <c r="AG1125" s="1"/>
      <c r="AH1125" s="165"/>
      <c r="AI1125" s="165"/>
      <c r="AJ1125" s="165"/>
      <c r="AK1125" s="165"/>
      <c r="AL1125" s="165"/>
      <c r="AM1125" s="165"/>
      <c r="AN1125" s="165"/>
    </row>
    <row r="1126" spans="3:40">
      <c r="C1126" s="46"/>
      <c r="F1126" s="173"/>
      <c r="G1126" s="1"/>
      <c r="H1126" s="165"/>
      <c r="I1126" s="160"/>
      <c r="J1126" s="160"/>
      <c r="K1126" s="1"/>
      <c r="L1126" s="123"/>
      <c r="M1126" s="1"/>
      <c r="N1126" s="590"/>
      <c r="O1126" s="165"/>
      <c r="P1126" s="165"/>
      <c r="Q1126" s="165"/>
      <c r="R1126" s="165"/>
      <c r="S1126" s="165"/>
      <c r="V1126" s="46"/>
      <c r="W1126" s="46"/>
      <c r="X1126" s="1"/>
      <c r="Y1126" s="1"/>
      <c r="Z1126" s="173"/>
      <c r="AA1126" s="1"/>
      <c r="AB1126" s="165"/>
      <c r="AC1126" s="1"/>
      <c r="AD1126" s="1"/>
      <c r="AE1126" s="1"/>
      <c r="AF1126" s="46"/>
      <c r="AG1126" s="1"/>
      <c r="AH1126" s="165"/>
      <c r="AI1126" s="165"/>
      <c r="AJ1126" s="165"/>
      <c r="AK1126" s="165"/>
      <c r="AL1126" s="165"/>
      <c r="AM1126" s="165"/>
      <c r="AN1126" s="165"/>
    </row>
    <row r="1127" spans="3:40">
      <c r="C1127" s="46"/>
      <c r="F1127" s="173"/>
      <c r="G1127" s="1"/>
      <c r="H1127" s="165"/>
      <c r="I1127" s="160"/>
      <c r="J1127" s="160"/>
      <c r="K1127" s="1"/>
      <c r="L1127" s="123"/>
      <c r="M1127" s="1"/>
      <c r="N1127" s="590"/>
      <c r="O1127" s="165"/>
      <c r="P1127" s="165"/>
      <c r="Q1127" s="165"/>
      <c r="R1127" s="165"/>
      <c r="S1127" s="165"/>
      <c r="V1127" s="46"/>
      <c r="W1127" s="46"/>
      <c r="X1127" s="1"/>
      <c r="Y1127" s="1"/>
      <c r="Z1127" s="173"/>
      <c r="AA1127" s="1"/>
      <c r="AB1127" s="165"/>
      <c r="AC1127" s="1"/>
      <c r="AD1127" s="1"/>
      <c r="AE1127" s="1"/>
      <c r="AF1127" s="46"/>
      <c r="AG1127" s="1"/>
      <c r="AH1127" s="165"/>
      <c r="AI1127" s="165"/>
      <c r="AJ1127" s="165"/>
      <c r="AK1127" s="165"/>
      <c r="AL1127" s="165"/>
      <c r="AM1127" s="165"/>
      <c r="AN1127" s="165"/>
    </row>
    <row r="1128" spans="3:40">
      <c r="C1128" s="46"/>
      <c r="F1128" s="173"/>
      <c r="G1128" s="1"/>
      <c r="H1128" s="165"/>
      <c r="I1128" s="160"/>
      <c r="J1128" s="160"/>
      <c r="K1128" s="1"/>
      <c r="L1128" s="123"/>
      <c r="M1128" s="1"/>
      <c r="N1128" s="590"/>
      <c r="O1128" s="165"/>
      <c r="P1128" s="165"/>
      <c r="Q1128" s="165"/>
      <c r="R1128" s="165"/>
      <c r="S1128" s="165"/>
      <c r="V1128" s="46"/>
      <c r="W1128" s="46"/>
      <c r="X1128" s="1"/>
      <c r="Y1128" s="1"/>
      <c r="Z1128" s="173"/>
      <c r="AA1128" s="1"/>
      <c r="AB1128" s="165"/>
      <c r="AC1128" s="1"/>
      <c r="AD1128" s="1"/>
      <c r="AE1128" s="1"/>
      <c r="AF1128" s="46"/>
      <c r="AG1128" s="1"/>
      <c r="AH1128" s="165"/>
      <c r="AI1128" s="165"/>
      <c r="AJ1128" s="165"/>
      <c r="AK1128" s="165"/>
      <c r="AL1128" s="165"/>
      <c r="AM1128" s="165"/>
      <c r="AN1128" s="165"/>
    </row>
    <row r="1129" spans="3:40">
      <c r="C1129" s="46"/>
      <c r="F1129" s="173"/>
      <c r="G1129" s="1"/>
      <c r="H1129" s="165"/>
      <c r="I1129" s="160"/>
      <c r="J1129" s="160"/>
      <c r="K1129" s="1"/>
      <c r="L1129" s="123"/>
      <c r="M1129" s="1"/>
      <c r="N1129" s="590"/>
      <c r="O1129" s="165"/>
      <c r="P1129" s="165"/>
      <c r="Q1129" s="165"/>
      <c r="R1129" s="165"/>
      <c r="S1129" s="165"/>
      <c r="V1129" s="46"/>
      <c r="W1129" s="46"/>
      <c r="X1129" s="1"/>
      <c r="Y1129" s="1"/>
      <c r="Z1129" s="173"/>
      <c r="AA1129" s="1"/>
      <c r="AB1129" s="165"/>
      <c r="AC1129" s="1"/>
      <c r="AD1129" s="1"/>
      <c r="AE1129" s="1"/>
      <c r="AF1129" s="46"/>
      <c r="AG1129" s="1"/>
      <c r="AH1129" s="165"/>
      <c r="AI1129" s="165"/>
      <c r="AJ1129" s="165"/>
      <c r="AK1129" s="165"/>
      <c r="AL1129" s="165"/>
      <c r="AM1129" s="165"/>
      <c r="AN1129" s="165"/>
    </row>
    <row r="1130" spans="3:40">
      <c r="C1130" s="46"/>
      <c r="F1130" s="173"/>
      <c r="G1130" s="1"/>
      <c r="H1130" s="165"/>
      <c r="I1130" s="160"/>
      <c r="J1130" s="160"/>
      <c r="K1130" s="1"/>
      <c r="L1130" s="123"/>
      <c r="M1130" s="1"/>
      <c r="N1130" s="590"/>
      <c r="O1130" s="165"/>
      <c r="P1130" s="165"/>
      <c r="Q1130" s="165"/>
      <c r="R1130" s="165"/>
      <c r="S1130" s="165"/>
      <c r="V1130" s="46"/>
      <c r="W1130" s="46"/>
      <c r="X1130" s="1"/>
      <c r="Y1130" s="1"/>
      <c r="Z1130" s="173"/>
      <c r="AA1130" s="1"/>
      <c r="AB1130" s="165"/>
      <c r="AC1130" s="1"/>
      <c r="AD1130" s="1"/>
      <c r="AE1130" s="1"/>
      <c r="AF1130" s="46"/>
      <c r="AG1130" s="1"/>
      <c r="AH1130" s="165"/>
      <c r="AI1130" s="165"/>
      <c r="AJ1130" s="165"/>
      <c r="AK1130" s="165"/>
      <c r="AL1130" s="165"/>
      <c r="AM1130" s="165"/>
      <c r="AN1130" s="165"/>
    </row>
    <row r="1131" spans="3:40">
      <c r="C1131" s="46"/>
      <c r="F1131" s="173"/>
      <c r="G1131" s="1"/>
      <c r="H1131" s="165"/>
      <c r="I1131" s="160"/>
      <c r="J1131" s="160"/>
      <c r="K1131" s="1"/>
      <c r="L1131" s="123"/>
      <c r="M1131" s="1"/>
      <c r="N1131" s="590"/>
      <c r="O1131" s="165"/>
      <c r="P1131" s="165"/>
      <c r="Q1131" s="165"/>
      <c r="R1131" s="165"/>
      <c r="S1131" s="165"/>
      <c r="V1131" s="46"/>
      <c r="W1131" s="46"/>
      <c r="X1131" s="1"/>
      <c r="Y1131" s="1"/>
      <c r="Z1131" s="173"/>
      <c r="AA1131" s="1"/>
      <c r="AB1131" s="165"/>
      <c r="AC1131" s="1"/>
      <c r="AD1131" s="1"/>
      <c r="AE1131" s="1"/>
      <c r="AF1131" s="46"/>
      <c r="AG1131" s="1"/>
      <c r="AH1131" s="165"/>
      <c r="AI1131" s="165"/>
      <c r="AJ1131" s="165"/>
      <c r="AK1131" s="165"/>
      <c r="AL1131" s="165"/>
      <c r="AM1131" s="165"/>
      <c r="AN1131" s="165"/>
    </row>
    <row r="1132" spans="3:40">
      <c r="C1132" s="46"/>
      <c r="F1132" s="173"/>
      <c r="G1132" s="1"/>
      <c r="H1132" s="165"/>
      <c r="I1132" s="160"/>
      <c r="J1132" s="160"/>
      <c r="K1132" s="1"/>
      <c r="L1132" s="123"/>
      <c r="M1132" s="1"/>
      <c r="N1132" s="590"/>
      <c r="O1132" s="165"/>
      <c r="P1132" s="165"/>
      <c r="Q1132" s="165"/>
      <c r="R1132" s="165"/>
      <c r="S1132" s="165"/>
      <c r="V1132" s="46"/>
      <c r="W1132" s="46"/>
      <c r="X1132" s="1"/>
      <c r="Y1132" s="1"/>
      <c r="Z1132" s="173"/>
      <c r="AA1132" s="1"/>
      <c r="AB1132" s="165"/>
      <c r="AC1132" s="1"/>
      <c r="AD1132" s="1"/>
      <c r="AE1132" s="1"/>
      <c r="AF1132" s="46"/>
      <c r="AG1132" s="1"/>
      <c r="AH1132" s="165"/>
      <c r="AI1132" s="165"/>
      <c r="AJ1132" s="165"/>
      <c r="AK1132" s="165"/>
      <c r="AL1132" s="165"/>
      <c r="AM1132" s="165"/>
      <c r="AN1132" s="165"/>
    </row>
    <row r="1133" spans="3:40">
      <c r="C1133" s="46"/>
      <c r="F1133" s="173"/>
      <c r="G1133" s="1"/>
      <c r="H1133" s="165"/>
      <c r="I1133" s="160"/>
      <c r="J1133" s="160"/>
      <c r="K1133" s="1"/>
      <c r="L1133" s="123"/>
      <c r="M1133" s="1"/>
      <c r="N1133" s="590"/>
      <c r="O1133" s="165"/>
      <c r="P1133" s="165"/>
      <c r="Q1133" s="165"/>
      <c r="R1133" s="165"/>
      <c r="S1133" s="165"/>
      <c r="V1133" s="46"/>
      <c r="W1133" s="46"/>
      <c r="X1133" s="1"/>
      <c r="Y1133" s="1"/>
      <c r="Z1133" s="173"/>
      <c r="AA1133" s="1"/>
      <c r="AB1133" s="165"/>
      <c r="AC1133" s="1"/>
      <c r="AD1133" s="1"/>
      <c r="AE1133" s="1"/>
      <c r="AF1133" s="46"/>
      <c r="AG1133" s="1"/>
      <c r="AH1133" s="165"/>
      <c r="AI1133" s="165"/>
      <c r="AJ1133" s="165"/>
      <c r="AK1133" s="165"/>
      <c r="AL1133" s="165"/>
      <c r="AM1133" s="165"/>
      <c r="AN1133" s="165"/>
    </row>
    <row r="1134" spans="3:40">
      <c r="C1134" s="46"/>
      <c r="F1134" s="173"/>
      <c r="G1134" s="1"/>
      <c r="H1134" s="165"/>
      <c r="I1134" s="160"/>
      <c r="J1134" s="160"/>
      <c r="K1134" s="1"/>
      <c r="L1134" s="123"/>
      <c r="M1134" s="1"/>
      <c r="N1134" s="590"/>
      <c r="O1134" s="165"/>
      <c r="P1134" s="165"/>
      <c r="Q1134" s="165"/>
      <c r="R1134" s="165"/>
      <c r="S1134" s="165"/>
      <c r="V1134" s="46"/>
      <c r="W1134" s="46"/>
      <c r="X1134" s="1"/>
      <c r="Y1134" s="1"/>
      <c r="Z1134" s="173"/>
      <c r="AA1134" s="1"/>
      <c r="AB1134" s="165"/>
      <c r="AC1134" s="1"/>
      <c r="AD1134" s="1"/>
      <c r="AE1134" s="1"/>
      <c r="AF1134" s="46"/>
      <c r="AG1134" s="1"/>
      <c r="AH1134" s="165"/>
      <c r="AI1134" s="165"/>
      <c r="AJ1134" s="165"/>
      <c r="AK1134" s="165"/>
      <c r="AL1134" s="165"/>
      <c r="AM1134" s="165"/>
      <c r="AN1134" s="165"/>
    </row>
    <row r="1135" spans="3:40">
      <c r="C1135" s="46"/>
      <c r="F1135" s="173"/>
      <c r="G1135" s="1"/>
      <c r="H1135" s="165"/>
      <c r="I1135" s="160"/>
      <c r="J1135" s="160"/>
      <c r="K1135" s="1"/>
      <c r="L1135" s="123"/>
      <c r="M1135" s="1"/>
      <c r="N1135" s="590"/>
      <c r="O1135" s="165"/>
      <c r="P1135" s="165"/>
      <c r="Q1135" s="165"/>
      <c r="R1135" s="165"/>
      <c r="S1135" s="165"/>
      <c r="V1135" s="46"/>
      <c r="W1135" s="46"/>
      <c r="X1135" s="1"/>
      <c r="Y1135" s="1"/>
      <c r="Z1135" s="173"/>
      <c r="AA1135" s="1"/>
      <c r="AB1135" s="165"/>
      <c r="AC1135" s="1"/>
      <c r="AD1135" s="1"/>
      <c r="AE1135" s="1"/>
      <c r="AF1135" s="46"/>
      <c r="AG1135" s="1"/>
      <c r="AH1135" s="165"/>
      <c r="AI1135" s="165"/>
      <c r="AJ1135" s="165"/>
      <c r="AK1135" s="165"/>
      <c r="AL1135" s="165"/>
      <c r="AM1135" s="165"/>
      <c r="AN1135" s="165"/>
    </row>
    <row r="1136" spans="3:40">
      <c r="C1136" s="46"/>
      <c r="F1136" s="173"/>
      <c r="G1136" s="1"/>
      <c r="H1136" s="165"/>
      <c r="I1136" s="160"/>
      <c r="J1136" s="160"/>
      <c r="K1136" s="1"/>
      <c r="L1136" s="123"/>
      <c r="M1136" s="1"/>
      <c r="N1136" s="590"/>
      <c r="O1136" s="165"/>
      <c r="P1136" s="165"/>
      <c r="Q1136" s="165"/>
      <c r="R1136" s="165"/>
      <c r="S1136" s="165"/>
      <c r="V1136" s="46"/>
      <c r="W1136" s="46"/>
      <c r="X1136" s="1"/>
      <c r="Y1136" s="1"/>
      <c r="Z1136" s="173"/>
      <c r="AA1136" s="1"/>
      <c r="AB1136" s="165"/>
      <c r="AC1136" s="1"/>
      <c r="AD1136" s="1"/>
      <c r="AE1136" s="1"/>
      <c r="AF1136" s="46"/>
      <c r="AG1136" s="1"/>
      <c r="AH1136" s="165"/>
      <c r="AI1136" s="165"/>
      <c r="AJ1136" s="165"/>
      <c r="AK1136" s="165"/>
      <c r="AL1136" s="165"/>
      <c r="AM1136" s="165"/>
      <c r="AN1136" s="165"/>
    </row>
    <row r="1137" spans="3:40">
      <c r="C1137" s="46"/>
      <c r="F1137" s="173"/>
      <c r="G1137" s="1"/>
      <c r="H1137" s="165"/>
      <c r="I1137" s="160"/>
      <c r="J1137" s="160"/>
      <c r="K1137" s="1"/>
      <c r="L1137" s="123"/>
      <c r="M1137" s="1"/>
      <c r="N1137" s="590"/>
      <c r="O1137" s="165"/>
      <c r="P1137" s="165"/>
      <c r="Q1137" s="165"/>
      <c r="R1137" s="165"/>
      <c r="S1137" s="165"/>
      <c r="V1137" s="46"/>
      <c r="W1137" s="46"/>
      <c r="X1137" s="1"/>
      <c r="Y1137" s="1"/>
      <c r="Z1137" s="173"/>
      <c r="AA1137" s="1"/>
      <c r="AB1137" s="165"/>
      <c r="AC1137" s="1"/>
      <c r="AD1137" s="1"/>
      <c r="AE1137" s="1"/>
      <c r="AF1137" s="46"/>
      <c r="AG1137" s="1"/>
      <c r="AH1137" s="165"/>
      <c r="AI1137" s="165"/>
      <c r="AJ1137" s="165"/>
      <c r="AK1137" s="165"/>
      <c r="AL1137" s="165"/>
      <c r="AM1137" s="165"/>
      <c r="AN1137" s="165"/>
    </row>
    <row r="1138" spans="3:40">
      <c r="C1138" s="46"/>
      <c r="F1138" s="173"/>
      <c r="G1138" s="1"/>
      <c r="H1138" s="165"/>
      <c r="I1138" s="160"/>
      <c r="J1138" s="160"/>
      <c r="K1138" s="1"/>
      <c r="L1138" s="123"/>
      <c r="M1138" s="1"/>
      <c r="N1138" s="590"/>
      <c r="O1138" s="165"/>
      <c r="P1138" s="165"/>
      <c r="Q1138" s="165"/>
      <c r="R1138" s="165"/>
      <c r="S1138" s="165"/>
      <c r="V1138" s="46"/>
      <c r="W1138" s="46"/>
      <c r="X1138" s="1"/>
      <c r="Y1138" s="1"/>
      <c r="Z1138" s="173"/>
      <c r="AA1138" s="1"/>
      <c r="AB1138" s="165"/>
      <c r="AC1138" s="1"/>
      <c r="AD1138" s="1"/>
      <c r="AE1138" s="1"/>
      <c r="AF1138" s="46"/>
      <c r="AG1138" s="1"/>
      <c r="AH1138" s="165"/>
      <c r="AI1138" s="165"/>
      <c r="AJ1138" s="165"/>
      <c r="AK1138" s="165"/>
      <c r="AL1138" s="165"/>
      <c r="AM1138" s="165"/>
      <c r="AN1138" s="165"/>
    </row>
    <row r="1139" spans="3:40">
      <c r="C1139" s="46"/>
      <c r="F1139" s="173"/>
      <c r="G1139" s="1"/>
      <c r="H1139" s="165"/>
      <c r="I1139" s="160"/>
      <c r="J1139" s="160"/>
      <c r="K1139" s="1"/>
      <c r="L1139" s="123"/>
      <c r="M1139" s="1"/>
      <c r="N1139" s="590"/>
      <c r="O1139" s="165"/>
      <c r="P1139" s="165"/>
      <c r="Q1139" s="165"/>
      <c r="R1139" s="165"/>
      <c r="S1139" s="165"/>
      <c r="V1139" s="46"/>
      <c r="W1139" s="46"/>
      <c r="X1139" s="1"/>
      <c r="Y1139" s="1"/>
      <c r="Z1139" s="173"/>
      <c r="AA1139" s="1"/>
      <c r="AB1139" s="165"/>
      <c r="AC1139" s="1"/>
      <c r="AD1139" s="1"/>
      <c r="AE1139" s="1"/>
      <c r="AF1139" s="46"/>
      <c r="AG1139" s="1"/>
      <c r="AH1139" s="165"/>
      <c r="AI1139" s="165"/>
      <c r="AJ1139" s="165"/>
      <c r="AK1139" s="165"/>
      <c r="AL1139" s="165"/>
      <c r="AM1139" s="165"/>
      <c r="AN1139" s="165"/>
    </row>
    <row r="1140" spans="3:40">
      <c r="C1140" s="46"/>
      <c r="F1140" s="173"/>
      <c r="G1140" s="1"/>
      <c r="H1140" s="165"/>
      <c r="I1140" s="160"/>
      <c r="J1140" s="160"/>
      <c r="K1140" s="1"/>
      <c r="L1140" s="123"/>
      <c r="M1140" s="1"/>
      <c r="N1140" s="590"/>
      <c r="O1140" s="165"/>
      <c r="P1140" s="165"/>
      <c r="Q1140" s="165"/>
      <c r="R1140" s="165"/>
      <c r="S1140" s="165"/>
      <c r="V1140" s="46"/>
      <c r="W1140" s="46"/>
      <c r="X1140" s="1"/>
      <c r="Y1140" s="1"/>
      <c r="Z1140" s="173"/>
      <c r="AA1140" s="1"/>
      <c r="AB1140" s="165"/>
      <c r="AC1140" s="1"/>
      <c r="AD1140" s="1"/>
      <c r="AE1140" s="1"/>
      <c r="AF1140" s="46"/>
      <c r="AG1140" s="1"/>
      <c r="AH1140" s="165"/>
      <c r="AI1140" s="165"/>
      <c r="AJ1140" s="165"/>
      <c r="AK1140" s="165"/>
      <c r="AL1140" s="165"/>
      <c r="AM1140" s="165"/>
      <c r="AN1140" s="165"/>
    </row>
    <row r="1141" spans="3:40">
      <c r="C1141" s="46"/>
      <c r="F1141" s="173"/>
      <c r="G1141" s="1"/>
      <c r="H1141" s="165"/>
      <c r="I1141" s="160"/>
      <c r="J1141" s="160"/>
      <c r="K1141" s="1"/>
      <c r="L1141" s="123"/>
      <c r="M1141" s="1"/>
      <c r="N1141" s="590"/>
      <c r="O1141" s="165"/>
      <c r="P1141" s="165"/>
      <c r="Q1141" s="165"/>
      <c r="R1141" s="165"/>
      <c r="S1141" s="165"/>
      <c r="V1141" s="46"/>
      <c r="W1141" s="46"/>
      <c r="X1141" s="1"/>
      <c r="Y1141" s="1"/>
      <c r="Z1141" s="173"/>
      <c r="AA1141" s="1"/>
      <c r="AB1141" s="165"/>
      <c r="AC1141" s="1"/>
      <c r="AD1141" s="1"/>
      <c r="AE1141" s="1"/>
      <c r="AF1141" s="46"/>
      <c r="AG1141" s="1"/>
      <c r="AH1141" s="165"/>
      <c r="AI1141" s="165"/>
      <c r="AJ1141" s="165"/>
      <c r="AK1141" s="165"/>
      <c r="AL1141" s="165"/>
      <c r="AM1141" s="165"/>
      <c r="AN1141" s="165"/>
    </row>
    <row r="1142" spans="3:40">
      <c r="C1142" s="46"/>
      <c r="F1142" s="173"/>
      <c r="G1142" s="1"/>
      <c r="H1142" s="165"/>
      <c r="I1142" s="160"/>
      <c r="J1142" s="160"/>
      <c r="K1142" s="1"/>
      <c r="L1142" s="123"/>
      <c r="M1142" s="1"/>
      <c r="N1142" s="590"/>
      <c r="O1142" s="165"/>
      <c r="P1142" s="165"/>
      <c r="Q1142" s="165"/>
      <c r="R1142" s="165"/>
      <c r="S1142" s="165"/>
      <c r="V1142" s="46"/>
      <c r="W1142" s="46"/>
      <c r="X1142" s="1"/>
      <c r="Y1142" s="1"/>
      <c r="Z1142" s="173"/>
      <c r="AA1142" s="1"/>
      <c r="AB1142" s="165"/>
      <c r="AC1142" s="1"/>
      <c r="AD1142" s="1"/>
      <c r="AE1142" s="1"/>
      <c r="AF1142" s="46"/>
      <c r="AG1142" s="1"/>
      <c r="AH1142" s="165"/>
      <c r="AI1142" s="165"/>
      <c r="AJ1142" s="165"/>
      <c r="AK1142" s="165"/>
      <c r="AL1142" s="165"/>
      <c r="AM1142" s="165"/>
      <c r="AN1142" s="165"/>
    </row>
    <row r="1143" spans="3:40">
      <c r="C1143" s="46"/>
      <c r="F1143" s="173"/>
      <c r="G1143" s="1"/>
      <c r="H1143" s="165"/>
      <c r="I1143" s="160"/>
      <c r="J1143" s="160"/>
      <c r="K1143" s="1"/>
      <c r="L1143" s="123"/>
      <c r="M1143" s="1"/>
      <c r="N1143" s="590"/>
      <c r="O1143" s="165"/>
      <c r="P1143" s="165"/>
      <c r="Q1143" s="165"/>
      <c r="R1143" s="165"/>
      <c r="S1143" s="165"/>
      <c r="V1143" s="46"/>
      <c r="W1143" s="46"/>
      <c r="X1143" s="1"/>
      <c r="Y1143" s="1"/>
      <c r="Z1143" s="173"/>
      <c r="AA1143" s="1"/>
      <c r="AB1143" s="165"/>
      <c r="AC1143" s="1"/>
      <c r="AD1143" s="1"/>
      <c r="AE1143" s="1"/>
      <c r="AF1143" s="46"/>
      <c r="AG1143" s="1"/>
      <c r="AH1143" s="165"/>
      <c r="AI1143" s="165"/>
      <c r="AJ1143" s="165"/>
      <c r="AK1143" s="165"/>
      <c r="AL1143" s="165"/>
      <c r="AM1143" s="165"/>
      <c r="AN1143" s="165"/>
    </row>
    <row r="1144" spans="3:40">
      <c r="C1144" s="46"/>
      <c r="F1144" s="173"/>
      <c r="G1144" s="1"/>
      <c r="H1144" s="165"/>
      <c r="I1144" s="160"/>
      <c r="J1144" s="160"/>
      <c r="K1144" s="1"/>
      <c r="L1144" s="123"/>
      <c r="M1144" s="1"/>
      <c r="N1144" s="590"/>
      <c r="O1144" s="165"/>
      <c r="P1144" s="165"/>
      <c r="Q1144" s="165"/>
      <c r="R1144" s="165"/>
      <c r="S1144" s="165"/>
      <c r="V1144" s="46"/>
      <c r="W1144" s="46"/>
      <c r="X1144" s="1"/>
      <c r="Y1144" s="1"/>
      <c r="Z1144" s="173"/>
      <c r="AA1144" s="1"/>
      <c r="AB1144" s="165"/>
      <c r="AC1144" s="1"/>
      <c r="AD1144" s="1"/>
      <c r="AE1144" s="1"/>
      <c r="AF1144" s="46"/>
      <c r="AG1144" s="1"/>
      <c r="AH1144" s="165"/>
      <c r="AI1144" s="165"/>
      <c r="AJ1144" s="165"/>
      <c r="AK1144" s="165"/>
      <c r="AL1144" s="165"/>
      <c r="AM1144" s="165"/>
      <c r="AN1144" s="165"/>
    </row>
    <row r="1145" spans="3:40">
      <c r="C1145" s="46"/>
      <c r="F1145" s="173"/>
      <c r="G1145" s="1"/>
      <c r="H1145" s="165"/>
      <c r="I1145" s="160"/>
      <c r="J1145" s="160"/>
      <c r="K1145" s="1"/>
      <c r="L1145" s="123"/>
      <c r="M1145" s="1"/>
      <c r="N1145" s="590"/>
      <c r="O1145" s="165"/>
      <c r="P1145" s="165"/>
      <c r="Q1145" s="165"/>
      <c r="R1145" s="165"/>
      <c r="S1145" s="165"/>
      <c r="V1145" s="46"/>
      <c r="W1145" s="46"/>
      <c r="X1145" s="1"/>
      <c r="Y1145" s="1"/>
      <c r="Z1145" s="173"/>
      <c r="AA1145" s="1"/>
      <c r="AB1145" s="165"/>
      <c r="AC1145" s="1"/>
      <c r="AD1145" s="1"/>
      <c r="AE1145" s="1"/>
      <c r="AF1145" s="46"/>
      <c r="AG1145" s="1"/>
      <c r="AH1145" s="165"/>
      <c r="AI1145" s="165"/>
      <c r="AJ1145" s="165"/>
      <c r="AK1145" s="165"/>
      <c r="AL1145" s="165"/>
      <c r="AM1145" s="165"/>
      <c r="AN1145" s="165"/>
    </row>
    <row r="1146" spans="3:40">
      <c r="C1146" s="46"/>
      <c r="F1146" s="173"/>
      <c r="G1146" s="1"/>
      <c r="H1146" s="165"/>
      <c r="I1146" s="160"/>
      <c r="J1146" s="160"/>
      <c r="K1146" s="1"/>
      <c r="L1146" s="123"/>
      <c r="M1146" s="1"/>
      <c r="N1146" s="590"/>
      <c r="O1146" s="165"/>
      <c r="P1146" s="165"/>
      <c r="Q1146" s="165"/>
      <c r="R1146" s="165"/>
      <c r="S1146" s="165"/>
      <c r="V1146" s="46"/>
      <c r="W1146" s="46"/>
      <c r="X1146" s="1"/>
      <c r="Y1146" s="1"/>
      <c r="Z1146" s="173"/>
      <c r="AA1146" s="1"/>
      <c r="AB1146" s="165"/>
      <c r="AC1146" s="1"/>
      <c r="AD1146" s="1"/>
      <c r="AE1146" s="1"/>
      <c r="AF1146" s="46"/>
      <c r="AG1146" s="1"/>
      <c r="AH1146" s="165"/>
      <c r="AI1146" s="165"/>
      <c r="AJ1146" s="165"/>
      <c r="AK1146" s="165"/>
      <c r="AL1146" s="165"/>
      <c r="AM1146" s="165"/>
      <c r="AN1146" s="165"/>
    </row>
    <row r="1147" spans="3:40">
      <c r="C1147" s="46"/>
      <c r="F1147" s="173"/>
      <c r="G1147" s="1"/>
      <c r="H1147" s="165"/>
      <c r="I1147" s="160"/>
      <c r="J1147" s="160"/>
      <c r="K1147" s="1"/>
      <c r="L1147" s="123"/>
      <c r="M1147" s="1"/>
      <c r="N1147" s="590"/>
      <c r="O1147" s="165"/>
      <c r="P1147" s="165"/>
      <c r="Q1147" s="165"/>
      <c r="R1147" s="165"/>
      <c r="S1147" s="165"/>
      <c r="V1147" s="46"/>
      <c r="W1147" s="46"/>
      <c r="X1147" s="1"/>
      <c r="Y1147" s="1"/>
      <c r="Z1147" s="173"/>
      <c r="AA1147" s="1"/>
      <c r="AB1147" s="165"/>
      <c r="AC1147" s="1"/>
      <c r="AD1147" s="1"/>
      <c r="AE1147" s="1"/>
      <c r="AF1147" s="46"/>
      <c r="AG1147" s="1"/>
      <c r="AH1147" s="165"/>
      <c r="AI1147" s="165"/>
      <c r="AJ1147" s="165"/>
      <c r="AK1147" s="165"/>
      <c r="AL1147" s="165"/>
      <c r="AM1147" s="165"/>
      <c r="AN1147" s="165"/>
    </row>
    <row r="1148" spans="3:40">
      <c r="C1148" s="46"/>
      <c r="F1148" s="173"/>
      <c r="G1148" s="1"/>
      <c r="H1148" s="165"/>
      <c r="I1148" s="160"/>
      <c r="J1148" s="160"/>
      <c r="K1148" s="1"/>
      <c r="L1148" s="123"/>
      <c r="M1148" s="1"/>
      <c r="N1148" s="590"/>
      <c r="O1148" s="165"/>
      <c r="P1148" s="165"/>
      <c r="Q1148" s="165"/>
      <c r="R1148" s="165"/>
      <c r="S1148" s="165"/>
      <c r="V1148" s="46"/>
      <c r="W1148" s="46"/>
      <c r="X1148" s="1"/>
      <c r="Y1148" s="1"/>
      <c r="Z1148" s="173"/>
      <c r="AA1148" s="1"/>
      <c r="AB1148" s="165"/>
      <c r="AC1148" s="1"/>
      <c r="AD1148" s="1"/>
      <c r="AE1148" s="1"/>
      <c r="AF1148" s="46"/>
      <c r="AG1148" s="1"/>
      <c r="AH1148" s="165"/>
      <c r="AI1148" s="165"/>
      <c r="AJ1148" s="165"/>
      <c r="AK1148" s="165"/>
      <c r="AL1148" s="165"/>
      <c r="AM1148" s="165"/>
      <c r="AN1148" s="165"/>
    </row>
    <row r="1149" spans="3:40">
      <c r="C1149" s="46"/>
      <c r="F1149" s="173"/>
      <c r="G1149" s="1"/>
      <c r="H1149" s="165"/>
      <c r="I1149" s="160"/>
      <c r="J1149" s="160"/>
      <c r="K1149" s="1"/>
      <c r="L1149" s="123"/>
      <c r="M1149" s="1"/>
      <c r="N1149" s="590"/>
      <c r="O1149" s="165"/>
      <c r="P1149" s="165"/>
      <c r="Q1149" s="165"/>
      <c r="R1149" s="165"/>
      <c r="S1149" s="165"/>
      <c r="V1149" s="46"/>
      <c r="W1149" s="46"/>
      <c r="X1149" s="1"/>
      <c r="Y1149" s="1"/>
      <c r="Z1149" s="173"/>
      <c r="AA1149" s="1"/>
      <c r="AB1149" s="165"/>
      <c r="AC1149" s="1"/>
      <c r="AD1149" s="1"/>
      <c r="AE1149" s="1"/>
      <c r="AF1149" s="46"/>
      <c r="AG1149" s="1"/>
      <c r="AH1149" s="165"/>
      <c r="AI1149" s="165"/>
      <c r="AJ1149" s="165"/>
      <c r="AK1149" s="165"/>
      <c r="AL1149" s="165"/>
      <c r="AM1149" s="165"/>
      <c r="AN1149" s="165"/>
    </row>
    <row r="1150" spans="3:40">
      <c r="C1150" s="46"/>
      <c r="F1150" s="173"/>
      <c r="G1150" s="1"/>
      <c r="H1150" s="165"/>
      <c r="I1150" s="160"/>
      <c r="J1150" s="160"/>
      <c r="K1150" s="1"/>
      <c r="L1150" s="123"/>
      <c r="M1150" s="1"/>
      <c r="N1150" s="590"/>
      <c r="O1150" s="165"/>
      <c r="P1150" s="165"/>
      <c r="Q1150" s="165"/>
      <c r="R1150" s="165"/>
      <c r="S1150" s="165"/>
      <c r="V1150" s="46"/>
      <c r="W1150" s="46"/>
      <c r="X1150" s="1"/>
      <c r="Y1150" s="1"/>
      <c r="Z1150" s="173"/>
      <c r="AA1150" s="1"/>
      <c r="AB1150" s="165"/>
      <c r="AC1150" s="1"/>
      <c r="AD1150" s="1"/>
      <c r="AE1150" s="1"/>
      <c r="AF1150" s="46"/>
      <c r="AG1150" s="1"/>
      <c r="AH1150" s="165"/>
      <c r="AI1150" s="165"/>
      <c r="AJ1150" s="165"/>
      <c r="AK1150" s="165"/>
      <c r="AL1150" s="165"/>
      <c r="AM1150" s="165"/>
      <c r="AN1150" s="165"/>
    </row>
    <row r="1151" spans="3:40">
      <c r="C1151" s="46"/>
      <c r="F1151" s="173"/>
      <c r="G1151" s="1"/>
      <c r="H1151" s="165"/>
      <c r="I1151" s="160"/>
      <c r="J1151" s="160"/>
      <c r="K1151" s="1"/>
      <c r="L1151" s="123"/>
      <c r="M1151" s="1"/>
      <c r="N1151" s="590"/>
      <c r="O1151" s="165"/>
      <c r="P1151" s="165"/>
      <c r="Q1151" s="165"/>
      <c r="R1151" s="165"/>
      <c r="S1151" s="165"/>
      <c r="V1151" s="46"/>
      <c r="W1151" s="46"/>
      <c r="X1151" s="1"/>
      <c r="Y1151" s="1"/>
      <c r="Z1151" s="173"/>
      <c r="AA1151" s="1"/>
      <c r="AB1151" s="165"/>
      <c r="AC1151" s="1"/>
      <c r="AD1151" s="1"/>
      <c r="AE1151" s="1"/>
      <c r="AF1151" s="46"/>
      <c r="AG1151" s="1"/>
      <c r="AH1151" s="165"/>
      <c r="AI1151" s="165"/>
      <c r="AJ1151" s="165"/>
      <c r="AK1151" s="165"/>
      <c r="AL1151" s="165"/>
      <c r="AM1151" s="165"/>
      <c r="AN1151" s="165"/>
    </row>
    <row r="1152" spans="3:40">
      <c r="C1152" s="46"/>
      <c r="F1152" s="173"/>
      <c r="G1152" s="1"/>
      <c r="H1152" s="165"/>
      <c r="I1152" s="160"/>
      <c r="J1152" s="160"/>
      <c r="K1152" s="1"/>
      <c r="L1152" s="123"/>
      <c r="M1152" s="1"/>
      <c r="N1152" s="590"/>
      <c r="O1152" s="165"/>
      <c r="P1152" s="165"/>
      <c r="Q1152" s="165"/>
      <c r="R1152" s="165"/>
      <c r="S1152" s="165"/>
      <c r="V1152" s="46"/>
      <c r="W1152" s="46"/>
      <c r="X1152" s="1"/>
      <c r="Y1152" s="1"/>
      <c r="Z1152" s="173"/>
      <c r="AA1152" s="1"/>
      <c r="AB1152" s="165"/>
      <c r="AC1152" s="1"/>
      <c r="AD1152" s="1"/>
      <c r="AE1152" s="1"/>
      <c r="AF1152" s="46"/>
      <c r="AG1152" s="1"/>
      <c r="AH1152" s="165"/>
      <c r="AI1152" s="165"/>
      <c r="AJ1152" s="165"/>
      <c r="AK1152" s="165"/>
      <c r="AL1152" s="165"/>
      <c r="AM1152" s="165"/>
      <c r="AN1152" s="165"/>
    </row>
    <row r="1153" spans="3:40">
      <c r="C1153" s="46"/>
      <c r="F1153" s="173"/>
      <c r="G1153" s="1"/>
      <c r="H1153" s="165"/>
      <c r="I1153" s="160"/>
      <c r="J1153" s="160"/>
      <c r="K1153" s="1"/>
      <c r="L1153" s="123"/>
      <c r="M1153" s="1"/>
      <c r="N1153" s="590"/>
      <c r="O1153" s="165"/>
      <c r="P1153" s="165"/>
      <c r="Q1153" s="165"/>
      <c r="R1153" s="165"/>
      <c r="S1153" s="165"/>
      <c r="V1153" s="46"/>
      <c r="W1153" s="46"/>
      <c r="X1153" s="1"/>
      <c r="Y1153" s="1"/>
      <c r="Z1153" s="173"/>
      <c r="AA1153" s="1"/>
      <c r="AB1153" s="165"/>
      <c r="AC1153" s="1"/>
      <c r="AD1153" s="1"/>
      <c r="AE1153" s="1"/>
      <c r="AF1153" s="46"/>
      <c r="AG1153" s="1"/>
      <c r="AH1153" s="165"/>
      <c r="AI1153" s="165"/>
      <c r="AJ1153" s="165"/>
      <c r="AK1153" s="165"/>
      <c r="AL1153" s="165"/>
      <c r="AM1153" s="165"/>
      <c r="AN1153" s="165"/>
    </row>
    <row r="1154" spans="3:40">
      <c r="C1154" s="46"/>
      <c r="F1154" s="173"/>
      <c r="G1154" s="1"/>
      <c r="H1154" s="165"/>
      <c r="I1154" s="160"/>
      <c r="J1154" s="160"/>
      <c r="K1154" s="1"/>
      <c r="L1154" s="123"/>
      <c r="M1154" s="1"/>
      <c r="N1154" s="590"/>
      <c r="O1154" s="165"/>
      <c r="P1154" s="165"/>
      <c r="Q1154" s="165"/>
      <c r="R1154" s="165"/>
      <c r="S1154" s="165"/>
      <c r="V1154" s="46"/>
      <c r="W1154" s="46"/>
      <c r="X1154" s="1"/>
      <c r="Y1154" s="1"/>
      <c r="Z1154" s="173"/>
      <c r="AA1154" s="1"/>
      <c r="AB1154" s="165"/>
      <c r="AC1154" s="1"/>
      <c r="AD1154" s="1"/>
      <c r="AE1154" s="1"/>
      <c r="AF1154" s="46"/>
      <c r="AG1154" s="1"/>
      <c r="AH1154" s="165"/>
      <c r="AI1154" s="165"/>
      <c r="AJ1154" s="165"/>
      <c r="AK1154" s="165"/>
      <c r="AL1154" s="165"/>
      <c r="AM1154" s="165"/>
      <c r="AN1154" s="165"/>
    </row>
    <row r="1155" spans="3:40">
      <c r="C1155" s="46"/>
      <c r="F1155" s="173"/>
      <c r="G1155" s="1"/>
      <c r="H1155" s="165"/>
      <c r="I1155" s="160"/>
      <c r="J1155" s="160"/>
      <c r="K1155" s="1"/>
      <c r="L1155" s="123"/>
      <c r="M1155" s="1"/>
      <c r="N1155" s="590"/>
      <c r="O1155" s="165"/>
      <c r="P1155" s="165"/>
      <c r="Q1155" s="165"/>
      <c r="R1155" s="165"/>
      <c r="S1155" s="165"/>
      <c r="V1155" s="46"/>
      <c r="W1155" s="46"/>
      <c r="X1155" s="1"/>
      <c r="Y1155" s="1"/>
      <c r="Z1155" s="173"/>
      <c r="AA1155" s="1"/>
      <c r="AB1155" s="165"/>
      <c r="AC1155" s="1"/>
      <c r="AD1155" s="1"/>
      <c r="AE1155" s="1"/>
      <c r="AF1155" s="46"/>
      <c r="AG1155" s="1"/>
      <c r="AH1155" s="165"/>
      <c r="AI1155" s="165"/>
      <c r="AJ1155" s="165"/>
      <c r="AK1155" s="165"/>
      <c r="AL1155" s="165"/>
      <c r="AM1155" s="165"/>
      <c r="AN1155" s="165"/>
    </row>
    <row r="1156" spans="3:40">
      <c r="C1156" s="46"/>
      <c r="F1156" s="173"/>
      <c r="G1156" s="1"/>
      <c r="H1156" s="165"/>
      <c r="I1156" s="160"/>
      <c r="J1156" s="160"/>
      <c r="K1156" s="1"/>
      <c r="L1156" s="123"/>
      <c r="M1156" s="1"/>
      <c r="N1156" s="590"/>
      <c r="O1156" s="165"/>
      <c r="P1156" s="165"/>
      <c r="Q1156" s="165"/>
      <c r="R1156" s="165"/>
      <c r="S1156" s="165"/>
      <c r="V1156" s="46"/>
      <c r="W1156" s="46"/>
      <c r="X1156" s="1"/>
      <c r="Y1156" s="1"/>
      <c r="Z1156" s="173"/>
      <c r="AA1156" s="1"/>
      <c r="AB1156" s="165"/>
      <c r="AC1156" s="1"/>
      <c r="AD1156" s="1"/>
      <c r="AE1156" s="1"/>
      <c r="AF1156" s="46"/>
      <c r="AG1156" s="1"/>
      <c r="AH1156" s="165"/>
      <c r="AI1156" s="165"/>
      <c r="AJ1156" s="165"/>
      <c r="AK1156" s="165"/>
      <c r="AL1156" s="165"/>
      <c r="AM1156" s="165"/>
      <c r="AN1156" s="165"/>
    </row>
    <row r="1157" spans="3:40">
      <c r="C1157" s="46"/>
      <c r="F1157" s="173"/>
      <c r="G1157" s="1"/>
      <c r="H1157" s="165"/>
      <c r="I1157" s="160"/>
      <c r="J1157" s="160"/>
      <c r="K1157" s="1"/>
      <c r="L1157" s="123"/>
      <c r="M1157" s="1"/>
      <c r="N1157" s="590"/>
      <c r="O1157" s="165"/>
      <c r="P1157" s="165"/>
      <c r="Q1157" s="165"/>
      <c r="R1157" s="165"/>
      <c r="S1157" s="165"/>
      <c r="V1157" s="46"/>
      <c r="W1157" s="46"/>
      <c r="X1157" s="1"/>
      <c r="Y1157" s="1"/>
      <c r="Z1157" s="173"/>
      <c r="AA1157" s="1"/>
      <c r="AB1157" s="165"/>
      <c r="AC1157" s="1"/>
      <c r="AD1157" s="1"/>
      <c r="AE1157" s="1"/>
      <c r="AF1157" s="46"/>
      <c r="AG1157" s="1"/>
      <c r="AH1157" s="165"/>
      <c r="AI1157" s="165"/>
      <c r="AJ1157" s="165"/>
      <c r="AK1157" s="165"/>
      <c r="AL1157" s="165"/>
      <c r="AM1157" s="165"/>
      <c r="AN1157" s="165"/>
    </row>
    <row r="1158" spans="3:40">
      <c r="C1158" s="46"/>
      <c r="F1158" s="173"/>
      <c r="G1158" s="1"/>
      <c r="H1158" s="165"/>
      <c r="I1158" s="160"/>
      <c r="J1158" s="160"/>
      <c r="K1158" s="1"/>
      <c r="L1158" s="123"/>
      <c r="M1158" s="1"/>
      <c r="N1158" s="590"/>
      <c r="O1158" s="165"/>
      <c r="P1158" s="165"/>
      <c r="Q1158" s="165"/>
      <c r="R1158" s="165"/>
      <c r="S1158" s="165"/>
      <c r="V1158" s="46"/>
      <c r="W1158" s="46"/>
      <c r="X1158" s="1"/>
      <c r="Y1158" s="1"/>
      <c r="Z1158" s="173"/>
      <c r="AA1158" s="1"/>
      <c r="AB1158" s="165"/>
      <c r="AC1158" s="1"/>
      <c r="AD1158" s="1"/>
      <c r="AE1158" s="1"/>
      <c r="AF1158" s="46"/>
      <c r="AG1158" s="1"/>
      <c r="AH1158" s="165"/>
      <c r="AI1158" s="165"/>
      <c r="AJ1158" s="165"/>
      <c r="AK1158" s="165"/>
      <c r="AL1158" s="165"/>
      <c r="AM1158" s="165"/>
      <c r="AN1158" s="165"/>
    </row>
    <row r="1159" spans="3:40">
      <c r="C1159" s="46"/>
      <c r="F1159" s="173"/>
      <c r="G1159" s="1"/>
      <c r="H1159" s="165"/>
      <c r="I1159" s="160"/>
      <c r="J1159" s="160"/>
      <c r="K1159" s="1"/>
      <c r="L1159" s="123"/>
      <c r="M1159" s="1"/>
      <c r="N1159" s="590"/>
      <c r="O1159" s="165"/>
      <c r="P1159" s="165"/>
      <c r="Q1159" s="165"/>
      <c r="R1159" s="165"/>
      <c r="S1159" s="165"/>
      <c r="V1159" s="46"/>
      <c r="W1159" s="46"/>
      <c r="X1159" s="1"/>
      <c r="Y1159" s="1"/>
      <c r="Z1159" s="173"/>
      <c r="AA1159" s="1"/>
      <c r="AB1159" s="165"/>
      <c r="AC1159" s="1"/>
      <c r="AD1159" s="1"/>
      <c r="AE1159" s="1"/>
      <c r="AF1159" s="46"/>
      <c r="AG1159" s="1"/>
      <c r="AH1159" s="165"/>
      <c r="AI1159" s="165"/>
      <c r="AJ1159" s="165"/>
      <c r="AK1159" s="165"/>
      <c r="AL1159" s="165"/>
      <c r="AM1159" s="165"/>
      <c r="AN1159" s="165"/>
    </row>
    <row r="1160" spans="3:40">
      <c r="C1160" s="46"/>
      <c r="F1160" s="173"/>
      <c r="G1160" s="1"/>
      <c r="H1160" s="165"/>
      <c r="I1160" s="160"/>
      <c r="J1160" s="160"/>
      <c r="K1160" s="1"/>
      <c r="L1160" s="123"/>
      <c r="M1160" s="1"/>
      <c r="N1160" s="590"/>
      <c r="O1160" s="165"/>
      <c r="P1160" s="165"/>
      <c r="Q1160" s="165"/>
      <c r="R1160" s="165"/>
      <c r="S1160" s="165"/>
      <c r="V1160" s="46"/>
      <c r="W1160" s="46"/>
      <c r="X1160" s="1"/>
      <c r="Y1160" s="1"/>
      <c r="Z1160" s="173"/>
      <c r="AA1160" s="1"/>
      <c r="AB1160" s="165"/>
      <c r="AC1160" s="1"/>
      <c r="AD1160" s="1"/>
      <c r="AE1160" s="1"/>
      <c r="AF1160" s="46"/>
      <c r="AG1160" s="1"/>
      <c r="AH1160" s="165"/>
      <c r="AI1160" s="165"/>
      <c r="AJ1160" s="165"/>
      <c r="AK1160" s="165"/>
      <c r="AL1160" s="165"/>
      <c r="AM1160" s="165"/>
      <c r="AN1160" s="165"/>
    </row>
    <row r="1161" spans="3:40">
      <c r="C1161" s="46"/>
      <c r="F1161" s="173"/>
      <c r="G1161" s="1"/>
      <c r="H1161" s="165"/>
      <c r="I1161" s="160"/>
      <c r="J1161" s="160"/>
      <c r="K1161" s="1"/>
      <c r="L1161" s="123"/>
      <c r="M1161" s="1"/>
      <c r="N1161" s="590"/>
      <c r="O1161" s="165"/>
      <c r="P1161" s="165"/>
      <c r="Q1161" s="165"/>
      <c r="R1161" s="165"/>
      <c r="S1161" s="165"/>
      <c r="V1161" s="46"/>
      <c r="W1161" s="46"/>
      <c r="X1161" s="1"/>
      <c r="Y1161" s="1"/>
      <c r="Z1161" s="173"/>
      <c r="AA1161" s="1"/>
      <c r="AB1161" s="165"/>
      <c r="AC1161" s="1"/>
      <c r="AD1161" s="1"/>
      <c r="AE1161" s="1"/>
      <c r="AF1161" s="46"/>
      <c r="AG1161" s="1"/>
      <c r="AH1161" s="165"/>
      <c r="AI1161" s="165"/>
      <c r="AJ1161" s="165"/>
      <c r="AK1161" s="165"/>
      <c r="AL1161" s="165"/>
      <c r="AM1161" s="165"/>
      <c r="AN1161" s="165"/>
    </row>
    <row r="1162" spans="3:40">
      <c r="C1162" s="46"/>
      <c r="F1162" s="173"/>
      <c r="G1162" s="1"/>
      <c r="H1162" s="165"/>
      <c r="I1162" s="160"/>
      <c r="J1162" s="160"/>
      <c r="K1162" s="1"/>
      <c r="L1162" s="123"/>
      <c r="M1162" s="1"/>
      <c r="N1162" s="590"/>
      <c r="O1162" s="165"/>
      <c r="P1162" s="165"/>
      <c r="Q1162" s="165"/>
      <c r="R1162" s="165"/>
      <c r="S1162" s="165"/>
      <c r="V1162" s="46"/>
      <c r="W1162" s="46"/>
      <c r="X1162" s="1"/>
      <c r="Y1162" s="1"/>
      <c r="Z1162" s="173"/>
      <c r="AA1162" s="1"/>
      <c r="AB1162" s="165"/>
      <c r="AC1162" s="1"/>
      <c r="AD1162" s="1"/>
      <c r="AE1162" s="1"/>
      <c r="AF1162" s="46"/>
      <c r="AG1162" s="1"/>
      <c r="AH1162" s="165"/>
      <c r="AI1162" s="165"/>
      <c r="AJ1162" s="165"/>
      <c r="AK1162" s="165"/>
      <c r="AL1162" s="165"/>
      <c r="AM1162" s="165"/>
      <c r="AN1162" s="165"/>
    </row>
    <row r="1163" spans="3:40">
      <c r="C1163" s="46"/>
      <c r="F1163" s="173"/>
      <c r="G1163" s="1"/>
      <c r="H1163" s="165"/>
      <c r="I1163" s="160"/>
      <c r="J1163" s="160"/>
      <c r="K1163" s="1"/>
      <c r="L1163" s="123"/>
      <c r="M1163" s="1"/>
      <c r="N1163" s="590"/>
      <c r="O1163" s="165"/>
      <c r="P1163" s="165"/>
      <c r="Q1163" s="165"/>
      <c r="R1163" s="165"/>
      <c r="S1163" s="165"/>
      <c r="V1163" s="46"/>
      <c r="W1163" s="46"/>
      <c r="X1163" s="1"/>
      <c r="Y1163" s="1"/>
      <c r="Z1163" s="173"/>
      <c r="AA1163" s="1"/>
      <c r="AB1163" s="165"/>
      <c r="AC1163" s="1"/>
      <c r="AD1163" s="1"/>
      <c r="AE1163" s="1"/>
      <c r="AF1163" s="46"/>
      <c r="AG1163" s="1"/>
      <c r="AH1163" s="165"/>
      <c r="AI1163" s="165"/>
      <c r="AJ1163" s="165"/>
      <c r="AK1163" s="165"/>
      <c r="AL1163" s="165"/>
      <c r="AM1163" s="165"/>
      <c r="AN1163" s="165"/>
    </row>
    <row r="1164" spans="3:40">
      <c r="C1164" s="46"/>
      <c r="F1164" s="173"/>
      <c r="G1164" s="1"/>
      <c r="H1164" s="165"/>
      <c r="I1164" s="160"/>
      <c r="J1164" s="160"/>
      <c r="K1164" s="1"/>
      <c r="L1164" s="123"/>
      <c r="M1164" s="1"/>
      <c r="N1164" s="590"/>
      <c r="O1164" s="165"/>
      <c r="P1164" s="165"/>
      <c r="Q1164" s="165"/>
      <c r="R1164" s="165"/>
      <c r="S1164" s="165"/>
      <c r="V1164" s="46"/>
      <c r="W1164" s="46"/>
      <c r="X1164" s="1"/>
      <c r="Y1164" s="1"/>
      <c r="Z1164" s="173"/>
      <c r="AA1164" s="1"/>
      <c r="AB1164" s="165"/>
      <c r="AC1164" s="1"/>
      <c r="AD1164" s="1"/>
      <c r="AE1164" s="1"/>
      <c r="AF1164" s="46"/>
      <c r="AG1164" s="1"/>
      <c r="AH1164" s="165"/>
      <c r="AI1164" s="165"/>
      <c r="AJ1164" s="165"/>
      <c r="AK1164" s="165"/>
      <c r="AL1164" s="165"/>
      <c r="AM1164" s="165"/>
      <c r="AN1164" s="165"/>
    </row>
    <row r="1165" spans="3:40">
      <c r="C1165" s="46"/>
      <c r="F1165" s="173"/>
      <c r="G1165" s="1"/>
      <c r="H1165" s="165"/>
      <c r="I1165" s="160"/>
      <c r="J1165" s="160"/>
      <c r="K1165" s="1"/>
      <c r="L1165" s="123"/>
      <c r="M1165" s="1"/>
      <c r="N1165" s="590"/>
      <c r="O1165" s="165"/>
      <c r="P1165" s="165"/>
      <c r="Q1165" s="165"/>
      <c r="R1165" s="165"/>
      <c r="S1165" s="165"/>
      <c r="V1165" s="46"/>
      <c r="W1165" s="46"/>
      <c r="X1165" s="1"/>
      <c r="Y1165" s="1"/>
      <c r="Z1165" s="173"/>
      <c r="AA1165" s="1"/>
      <c r="AB1165" s="165"/>
      <c r="AC1165" s="1"/>
      <c r="AD1165" s="1"/>
      <c r="AE1165" s="1"/>
      <c r="AF1165" s="46"/>
      <c r="AG1165" s="1"/>
      <c r="AH1165" s="165"/>
      <c r="AI1165" s="165"/>
      <c r="AJ1165" s="165"/>
      <c r="AK1165" s="165"/>
      <c r="AL1165" s="165"/>
      <c r="AM1165" s="165"/>
      <c r="AN1165" s="165"/>
    </row>
    <row r="1166" spans="3:40">
      <c r="C1166" s="46"/>
      <c r="F1166" s="173"/>
      <c r="G1166" s="1"/>
      <c r="H1166" s="165"/>
      <c r="I1166" s="160"/>
      <c r="J1166" s="160"/>
      <c r="K1166" s="1"/>
      <c r="L1166" s="123"/>
      <c r="M1166" s="1"/>
      <c r="N1166" s="590"/>
      <c r="O1166" s="165"/>
      <c r="P1166" s="165"/>
      <c r="Q1166" s="165"/>
      <c r="R1166" s="165"/>
      <c r="S1166" s="165"/>
      <c r="V1166" s="46"/>
      <c r="W1166" s="46"/>
      <c r="X1166" s="1"/>
      <c r="Y1166" s="1"/>
      <c r="Z1166" s="173"/>
      <c r="AA1166" s="1"/>
      <c r="AB1166" s="165"/>
      <c r="AC1166" s="1"/>
      <c r="AD1166" s="1"/>
      <c r="AE1166" s="1"/>
      <c r="AF1166" s="46"/>
      <c r="AG1166" s="1"/>
      <c r="AH1166" s="165"/>
      <c r="AI1166" s="165"/>
      <c r="AJ1166" s="165"/>
      <c r="AK1166" s="165"/>
      <c r="AL1166" s="165"/>
      <c r="AM1166" s="165"/>
      <c r="AN1166" s="165"/>
    </row>
    <row r="1167" spans="3:40">
      <c r="C1167" s="46"/>
      <c r="F1167" s="173"/>
      <c r="G1167" s="1"/>
      <c r="H1167" s="165"/>
      <c r="I1167" s="160"/>
      <c r="J1167" s="160"/>
      <c r="K1167" s="1"/>
      <c r="L1167" s="123"/>
      <c r="M1167" s="1"/>
      <c r="N1167" s="590"/>
      <c r="O1167" s="165"/>
      <c r="P1167" s="165"/>
      <c r="Q1167" s="165"/>
      <c r="R1167" s="165"/>
      <c r="S1167" s="165"/>
      <c r="V1167" s="46"/>
      <c r="W1167" s="46"/>
      <c r="X1167" s="1"/>
      <c r="Y1167" s="1"/>
      <c r="Z1167" s="173"/>
      <c r="AA1167" s="1"/>
      <c r="AB1167" s="165"/>
      <c r="AC1167" s="1"/>
      <c r="AD1167" s="1"/>
      <c r="AE1167" s="1"/>
      <c r="AF1167" s="46"/>
      <c r="AG1167" s="1"/>
      <c r="AH1167" s="165"/>
      <c r="AI1167" s="165"/>
      <c r="AJ1167" s="165"/>
      <c r="AK1167" s="165"/>
      <c r="AL1167" s="165"/>
      <c r="AM1167" s="165"/>
      <c r="AN1167" s="165"/>
    </row>
    <row r="1168" spans="3:40">
      <c r="C1168" s="46"/>
      <c r="F1168" s="173"/>
      <c r="G1168" s="1"/>
      <c r="H1168" s="165"/>
      <c r="I1168" s="160"/>
      <c r="J1168" s="160"/>
      <c r="K1168" s="1"/>
      <c r="L1168" s="123"/>
      <c r="M1168" s="1"/>
      <c r="N1168" s="590"/>
      <c r="O1168" s="165"/>
      <c r="P1168" s="165"/>
      <c r="Q1168" s="165"/>
      <c r="R1168" s="165"/>
      <c r="S1168" s="165"/>
      <c r="V1168" s="46"/>
      <c r="W1168" s="46"/>
      <c r="X1168" s="1"/>
      <c r="Y1168" s="1"/>
      <c r="Z1168" s="173"/>
      <c r="AA1168" s="1"/>
      <c r="AB1168" s="165"/>
      <c r="AC1168" s="1"/>
      <c r="AD1168" s="1"/>
      <c r="AE1168" s="1"/>
      <c r="AF1168" s="46"/>
      <c r="AG1168" s="1"/>
      <c r="AH1168" s="165"/>
      <c r="AI1168" s="165"/>
      <c r="AJ1168" s="165"/>
      <c r="AK1168" s="165"/>
      <c r="AL1168" s="165"/>
      <c r="AM1168" s="165"/>
      <c r="AN1168" s="165"/>
    </row>
    <row r="1169" spans="3:40">
      <c r="C1169" s="46"/>
      <c r="F1169" s="173"/>
      <c r="G1169" s="1"/>
      <c r="H1169" s="165"/>
      <c r="I1169" s="160"/>
      <c r="J1169" s="160"/>
      <c r="K1169" s="1"/>
      <c r="L1169" s="123"/>
      <c r="M1169" s="1"/>
      <c r="N1169" s="590"/>
      <c r="O1169" s="165"/>
      <c r="P1169" s="165"/>
      <c r="Q1169" s="165"/>
      <c r="R1169" s="165"/>
      <c r="S1169" s="165"/>
      <c r="V1169" s="46"/>
      <c r="W1169" s="46"/>
      <c r="X1169" s="1"/>
      <c r="Y1169" s="1"/>
      <c r="Z1169" s="173"/>
      <c r="AA1169" s="1"/>
      <c r="AB1169" s="165"/>
      <c r="AC1169" s="1"/>
      <c r="AD1169" s="1"/>
      <c r="AE1169" s="1"/>
      <c r="AF1169" s="46"/>
      <c r="AG1169" s="1"/>
      <c r="AH1169" s="165"/>
      <c r="AI1169" s="165"/>
      <c r="AJ1169" s="165"/>
      <c r="AK1169" s="165"/>
      <c r="AL1169" s="165"/>
      <c r="AM1169" s="165"/>
      <c r="AN1169" s="165"/>
    </row>
    <row r="1170" spans="3:40">
      <c r="C1170" s="46"/>
      <c r="F1170" s="173"/>
      <c r="G1170" s="1"/>
      <c r="H1170" s="165"/>
      <c r="I1170" s="160"/>
      <c r="J1170" s="160"/>
      <c r="K1170" s="1"/>
      <c r="L1170" s="123"/>
      <c r="M1170" s="1"/>
      <c r="N1170" s="590"/>
      <c r="O1170" s="165"/>
      <c r="P1170" s="165"/>
      <c r="Q1170" s="165"/>
      <c r="R1170" s="165"/>
      <c r="S1170" s="165"/>
      <c r="V1170" s="46"/>
      <c r="W1170" s="46"/>
      <c r="X1170" s="1"/>
      <c r="Y1170" s="1"/>
      <c r="Z1170" s="173"/>
      <c r="AA1170" s="1"/>
      <c r="AB1170" s="165"/>
      <c r="AC1170" s="1"/>
      <c r="AD1170" s="1"/>
      <c r="AE1170" s="1"/>
      <c r="AF1170" s="46"/>
      <c r="AG1170" s="1"/>
      <c r="AH1170" s="165"/>
      <c r="AI1170" s="165"/>
      <c r="AJ1170" s="165"/>
      <c r="AK1170" s="165"/>
      <c r="AL1170" s="165"/>
      <c r="AM1170" s="165"/>
      <c r="AN1170" s="165"/>
    </row>
    <row r="1171" spans="3:40">
      <c r="C1171" s="46"/>
      <c r="F1171" s="173"/>
      <c r="G1171" s="1"/>
      <c r="H1171" s="165"/>
      <c r="I1171" s="160"/>
      <c r="J1171" s="160"/>
      <c r="K1171" s="1"/>
      <c r="L1171" s="123"/>
      <c r="M1171" s="1"/>
      <c r="N1171" s="590"/>
      <c r="O1171" s="165"/>
      <c r="P1171" s="165"/>
      <c r="Q1171" s="165"/>
      <c r="R1171" s="165"/>
      <c r="S1171" s="165"/>
      <c r="V1171" s="46"/>
      <c r="W1171" s="46"/>
      <c r="X1171" s="1"/>
      <c r="Y1171" s="1"/>
      <c r="Z1171" s="173"/>
      <c r="AA1171" s="1"/>
      <c r="AB1171" s="165"/>
      <c r="AC1171" s="1"/>
      <c r="AD1171" s="1"/>
      <c r="AE1171" s="1"/>
      <c r="AF1171" s="46"/>
      <c r="AG1171" s="1"/>
      <c r="AH1171" s="165"/>
      <c r="AI1171" s="165"/>
      <c r="AJ1171" s="165"/>
      <c r="AK1171" s="165"/>
      <c r="AL1171" s="165"/>
      <c r="AM1171" s="165"/>
      <c r="AN1171" s="165"/>
    </row>
    <row r="1172" spans="3:40">
      <c r="C1172" s="46"/>
      <c r="F1172" s="173"/>
      <c r="G1172" s="1"/>
      <c r="H1172" s="165"/>
      <c r="I1172" s="160"/>
      <c r="J1172" s="160"/>
      <c r="K1172" s="1"/>
      <c r="L1172" s="123"/>
      <c r="M1172" s="1"/>
      <c r="N1172" s="590"/>
      <c r="O1172" s="165"/>
      <c r="P1172" s="165"/>
      <c r="Q1172" s="165"/>
      <c r="R1172" s="165"/>
      <c r="S1172" s="165"/>
      <c r="V1172" s="46"/>
      <c r="W1172" s="46"/>
      <c r="X1172" s="1"/>
      <c r="Y1172" s="1"/>
      <c r="Z1172" s="173"/>
      <c r="AA1172" s="1"/>
      <c r="AB1172" s="165"/>
      <c r="AC1172" s="1"/>
      <c r="AD1172" s="1"/>
      <c r="AE1172" s="1"/>
      <c r="AF1172" s="46"/>
      <c r="AG1172" s="1"/>
      <c r="AH1172" s="165"/>
      <c r="AI1172" s="165"/>
      <c r="AJ1172" s="165"/>
      <c r="AK1172" s="165"/>
      <c r="AL1172" s="165"/>
      <c r="AM1172" s="165"/>
      <c r="AN1172" s="165"/>
    </row>
    <row r="1173" spans="3:40">
      <c r="C1173" s="46"/>
      <c r="F1173" s="173"/>
      <c r="G1173" s="1"/>
      <c r="H1173" s="165"/>
      <c r="I1173" s="160"/>
      <c r="J1173" s="160"/>
      <c r="K1173" s="1"/>
      <c r="L1173" s="123"/>
      <c r="M1173" s="1"/>
      <c r="N1173" s="590"/>
      <c r="O1173" s="165"/>
      <c r="P1173" s="165"/>
      <c r="Q1173" s="165"/>
      <c r="R1173" s="165"/>
      <c r="S1173" s="165"/>
      <c r="V1173" s="46"/>
      <c r="W1173" s="46"/>
      <c r="X1173" s="1"/>
      <c r="Y1173" s="1"/>
      <c r="Z1173" s="173"/>
      <c r="AA1173" s="1"/>
      <c r="AB1173" s="165"/>
      <c r="AC1173" s="1"/>
      <c r="AD1173" s="1"/>
      <c r="AE1173" s="1"/>
      <c r="AF1173" s="46"/>
      <c r="AG1173" s="1"/>
      <c r="AH1173" s="165"/>
      <c r="AI1173" s="165"/>
      <c r="AJ1173" s="165"/>
      <c r="AK1173" s="165"/>
      <c r="AL1173" s="165"/>
      <c r="AM1173" s="165"/>
      <c r="AN1173" s="165"/>
    </row>
    <row r="1174" spans="3:40">
      <c r="C1174" s="46"/>
      <c r="F1174" s="173"/>
      <c r="G1174" s="1"/>
      <c r="H1174" s="165"/>
      <c r="I1174" s="160"/>
      <c r="J1174" s="160"/>
      <c r="K1174" s="1"/>
      <c r="L1174" s="123"/>
      <c r="M1174" s="1"/>
      <c r="N1174" s="590"/>
      <c r="O1174" s="165"/>
      <c r="P1174" s="165"/>
      <c r="Q1174" s="165"/>
      <c r="R1174" s="165"/>
      <c r="S1174" s="165"/>
      <c r="V1174" s="46"/>
      <c r="W1174" s="46"/>
      <c r="X1174" s="1"/>
      <c r="Y1174" s="1"/>
      <c r="Z1174" s="173"/>
      <c r="AA1174" s="1"/>
      <c r="AB1174" s="165"/>
      <c r="AC1174" s="1"/>
      <c r="AD1174" s="1"/>
      <c r="AE1174" s="1"/>
      <c r="AF1174" s="46"/>
      <c r="AG1174" s="1"/>
      <c r="AH1174" s="165"/>
      <c r="AI1174" s="165"/>
      <c r="AJ1174" s="165"/>
      <c r="AK1174" s="165"/>
      <c r="AL1174" s="165"/>
      <c r="AM1174" s="165"/>
      <c r="AN1174" s="165"/>
    </row>
    <row r="1175" spans="3:40">
      <c r="C1175" s="46"/>
      <c r="F1175" s="173"/>
      <c r="G1175" s="1"/>
      <c r="H1175" s="165"/>
      <c r="I1175" s="160"/>
      <c r="J1175" s="160"/>
      <c r="K1175" s="1"/>
      <c r="L1175" s="123"/>
      <c r="M1175" s="1"/>
      <c r="N1175" s="590"/>
      <c r="O1175" s="165"/>
      <c r="P1175" s="165"/>
      <c r="Q1175" s="165"/>
      <c r="R1175" s="165"/>
      <c r="S1175" s="165"/>
      <c r="V1175" s="46"/>
      <c r="W1175" s="46"/>
      <c r="X1175" s="1"/>
      <c r="Y1175" s="1"/>
      <c r="Z1175" s="173"/>
      <c r="AA1175" s="1"/>
      <c r="AB1175" s="165"/>
      <c r="AC1175" s="1"/>
      <c r="AD1175" s="1"/>
      <c r="AE1175" s="1"/>
      <c r="AF1175" s="46"/>
      <c r="AG1175" s="1"/>
      <c r="AH1175" s="165"/>
      <c r="AI1175" s="165"/>
      <c r="AJ1175" s="165"/>
      <c r="AK1175" s="165"/>
      <c r="AL1175" s="165"/>
      <c r="AM1175" s="165"/>
      <c r="AN1175" s="165"/>
    </row>
    <row r="1176" spans="3:40">
      <c r="C1176" s="46"/>
      <c r="F1176" s="173"/>
      <c r="G1176" s="1"/>
      <c r="H1176" s="165"/>
      <c r="I1176" s="160"/>
      <c r="J1176" s="160"/>
      <c r="K1176" s="1"/>
      <c r="L1176" s="123"/>
      <c r="M1176" s="1"/>
      <c r="N1176" s="590"/>
      <c r="O1176" s="165"/>
      <c r="P1176" s="165"/>
      <c r="Q1176" s="165"/>
      <c r="R1176" s="165"/>
      <c r="S1176" s="165"/>
      <c r="V1176" s="46"/>
      <c r="W1176" s="46"/>
      <c r="X1176" s="1"/>
      <c r="Y1176" s="1"/>
      <c r="Z1176" s="173"/>
      <c r="AA1176" s="1"/>
      <c r="AB1176" s="165"/>
      <c r="AC1176" s="1"/>
      <c r="AD1176" s="1"/>
      <c r="AE1176" s="1"/>
      <c r="AF1176" s="46"/>
      <c r="AG1176" s="1"/>
      <c r="AH1176" s="165"/>
      <c r="AI1176" s="165"/>
      <c r="AJ1176" s="165"/>
      <c r="AK1176" s="165"/>
      <c r="AL1176" s="165"/>
      <c r="AM1176" s="165"/>
      <c r="AN1176" s="165"/>
    </row>
    <row r="1177" spans="3:40">
      <c r="C1177" s="46"/>
      <c r="F1177" s="173"/>
      <c r="G1177" s="1"/>
      <c r="H1177" s="165"/>
      <c r="I1177" s="160"/>
      <c r="J1177" s="160"/>
      <c r="K1177" s="1"/>
      <c r="L1177" s="123"/>
      <c r="M1177" s="1"/>
      <c r="N1177" s="590"/>
      <c r="O1177" s="165"/>
      <c r="P1177" s="165"/>
      <c r="Q1177" s="165"/>
      <c r="R1177" s="165"/>
      <c r="S1177" s="165"/>
      <c r="V1177" s="46"/>
      <c r="W1177" s="46"/>
      <c r="X1177" s="1"/>
      <c r="Y1177" s="1"/>
      <c r="Z1177" s="173"/>
      <c r="AA1177" s="1"/>
      <c r="AB1177" s="165"/>
      <c r="AC1177" s="1"/>
      <c r="AD1177" s="1"/>
      <c r="AE1177" s="1"/>
      <c r="AF1177" s="46"/>
      <c r="AG1177" s="1"/>
      <c r="AH1177" s="165"/>
      <c r="AI1177" s="165"/>
      <c r="AJ1177" s="165"/>
      <c r="AK1177" s="165"/>
      <c r="AL1177" s="165"/>
      <c r="AM1177" s="165"/>
      <c r="AN1177" s="165"/>
    </row>
    <row r="1178" spans="3:40">
      <c r="C1178" s="46"/>
      <c r="F1178" s="173"/>
      <c r="G1178" s="1"/>
      <c r="H1178" s="165"/>
      <c r="I1178" s="160"/>
      <c r="J1178" s="160"/>
      <c r="K1178" s="1"/>
      <c r="L1178" s="123"/>
      <c r="M1178" s="1"/>
      <c r="N1178" s="590"/>
      <c r="O1178" s="165"/>
      <c r="P1178" s="165"/>
      <c r="Q1178" s="165"/>
      <c r="R1178" s="165"/>
      <c r="S1178" s="165"/>
      <c r="V1178" s="46"/>
      <c r="W1178" s="46"/>
      <c r="X1178" s="1"/>
      <c r="Y1178" s="1"/>
      <c r="Z1178" s="173"/>
      <c r="AA1178" s="1"/>
      <c r="AB1178" s="165"/>
      <c r="AC1178" s="1"/>
      <c r="AD1178" s="1"/>
      <c r="AE1178" s="1"/>
      <c r="AF1178" s="46"/>
      <c r="AG1178" s="1"/>
      <c r="AH1178" s="165"/>
      <c r="AI1178" s="165"/>
      <c r="AJ1178" s="165"/>
      <c r="AK1178" s="165"/>
      <c r="AL1178" s="165"/>
      <c r="AM1178" s="165"/>
      <c r="AN1178" s="165"/>
    </row>
    <row r="1179" spans="3:40">
      <c r="C1179" s="46"/>
      <c r="F1179" s="173"/>
      <c r="G1179" s="1"/>
      <c r="H1179" s="165"/>
      <c r="I1179" s="160"/>
      <c r="J1179" s="160"/>
      <c r="K1179" s="1"/>
      <c r="L1179" s="123"/>
      <c r="M1179" s="1"/>
      <c r="N1179" s="590"/>
      <c r="O1179" s="165"/>
      <c r="P1179" s="165"/>
      <c r="Q1179" s="165"/>
      <c r="R1179" s="165"/>
      <c r="S1179" s="165"/>
      <c r="V1179" s="46"/>
      <c r="W1179" s="46"/>
      <c r="X1179" s="1"/>
      <c r="Y1179" s="1"/>
      <c r="Z1179" s="173"/>
      <c r="AA1179" s="1"/>
      <c r="AB1179" s="165"/>
      <c r="AC1179" s="1"/>
      <c r="AD1179" s="1"/>
      <c r="AE1179" s="1"/>
      <c r="AF1179" s="46"/>
      <c r="AG1179" s="1"/>
      <c r="AH1179" s="165"/>
      <c r="AI1179" s="165"/>
      <c r="AJ1179" s="165"/>
      <c r="AK1179" s="165"/>
      <c r="AL1179" s="165"/>
      <c r="AM1179" s="165"/>
      <c r="AN1179" s="165"/>
    </row>
    <row r="1180" spans="3:40">
      <c r="C1180" s="46"/>
      <c r="F1180" s="173"/>
      <c r="G1180" s="1"/>
      <c r="H1180" s="165"/>
      <c r="I1180" s="160"/>
      <c r="J1180" s="160"/>
      <c r="K1180" s="1"/>
      <c r="L1180" s="123"/>
      <c r="M1180" s="1"/>
      <c r="N1180" s="590"/>
      <c r="O1180" s="165"/>
      <c r="P1180" s="165"/>
      <c r="Q1180" s="165"/>
      <c r="R1180" s="165"/>
      <c r="S1180" s="165"/>
      <c r="V1180" s="46"/>
      <c r="W1180" s="46"/>
      <c r="X1180" s="1"/>
      <c r="Y1180" s="1"/>
      <c r="Z1180" s="173"/>
      <c r="AA1180" s="1"/>
      <c r="AB1180" s="165"/>
      <c r="AC1180" s="1"/>
      <c r="AD1180" s="1"/>
      <c r="AE1180" s="1"/>
      <c r="AF1180" s="46"/>
      <c r="AG1180" s="1"/>
      <c r="AH1180" s="165"/>
      <c r="AI1180" s="165"/>
      <c r="AJ1180" s="165"/>
      <c r="AK1180" s="165"/>
      <c r="AL1180" s="165"/>
      <c r="AM1180" s="165"/>
      <c r="AN1180" s="165"/>
    </row>
    <row r="1181" spans="3:40">
      <c r="C1181" s="46"/>
      <c r="F1181" s="173"/>
      <c r="G1181" s="1"/>
      <c r="H1181" s="165"/>
      <c r="I1181" s="160"/>
      <c r="J1181" s="160"/>
      <c r="K1181" s="1"/>
      <c r="L1181" s="123"/>
      <c r="M1181" s="1"/>
      <c r="N1181" s="590"/>
      <c r="O1181" s="165"/>
      <c r="P1181" s="165"/>
      <c r="Q1181" s="165"/>
      <c r="R1181" s="165"/>
      <c r="S1181" s="165"/>
      <c r="V1181" s="46"/>
      <c r="W1181" s="46"/>
      <c r="X1181" s="1"/>
      <c r="Y1181" s="1"/>
      <c r="Z1181" s="173"/>
      <c r="AA1181" s="1"/>
      <c r="AB1181" s="165"/>
      <c r="AC1181" s="1"/>
      <c r="AD1181" s="1"/>
      <c r="AE1181" s="1"/>
      <c r="AF1181" s="46"/>
      <c r="AG1181" s="1"/>
      <c r="AH1181" s="165"/>
      <c r="AI1181" s="165"/>
      <c r="AJ1181" s="165"/>
      <c r="AK1181" s="165"/>
      <c r="AL1181" s="165"/>
      <c r="AM1181" s="165"/>
      <c r="AN1181" s="165"/>
    </row>
    <row r="1182" spans="3:40">
      <c r="C1182" s="46"/>
      <c r="F1182" s="173"/>
      <c r="G1182" s="1"/>
      <c r="H1182" s="165"/>
      <c r="I1182" s="160"/>
      <c r="J1182" s="160"/>
      <c r="K1182" s="1"/>
      <c r="L1182" s="123"/>
      <c r="M1182" s="1"/>
      <c r="N1182" s="590"/>
      <c r="O1182" s="165"/>
      <c r="P1182" s="165"/>
      <c r="Q1182" s="165"/>
      <c r="R1182" s="165"/>
      <c r="S1182" s="165"/>
      <c r="V1182" s="46"/>
      <c r="W1182" s="46"/>
      <c r="X1182" s="1"/>
      <c r="Y1182" s="1"/>
      <c r="Z1182" s="173"/>
      <c r="AA1182" s="1"/>
      <c r="AB1182" s="165"/>
      <c r="AC1182" s="1"/>
      <c r="AD1182" s="1"/>
      <c r="AE1182" s="1"/>
      <c r="AF1182" s="46"/>
      <c r="AG1182" s="1"/>
      <c r="AH1182" s="165"/>
      <c r="AI1182" s="165"/>
      <c r="AJ1182" s="165"/>
      <c r="AK1182" s="165"/>
      <c r="AL1182" s="165"/>
      <c r="AM1182" s="165"/>
      <c r="AN1182" s="165"/>
    </row>
    <row r="1183" spans="3:40">
      <c r="C1183" s="46"/>
      <c r="F1183" s="173"/>
      <c r="G1183" s="1"/>
      <c r="H1183" s="165"/>
      <c r="I1183" s="160"/>
      <c r="J1183" s="160"/>
      <c r="K1183" s="1"/>
      <c r="L1183" s="123"/>
      <c r="M1183" s="1"/>
      <c r="N1183" s="590"/>
      <c r="O1183" s="165"/>
      <c r="P1183" s="165"/>
      <c r="Q1183" s="165"/>
      <c r="R1183" s="165"/>
      <c r="S1183" s="165"/>
      <c r="V1183" s="46"/>
      <c r="W1183" s="46"/>
      <c r="X1183" s="1"/>
      <c r="Y1183" s="1"/>
      <c r="Z1183" s="173"/>
      <c r="AA1183" s="1"/>
      <c r="AB1183" s="165"/>
      <c r="AC1183" s="1"/>
      <c r="AD1183" s="1"/>
      <c r="AE1183" s="1"/>
      <c r="AF1183" s="46"/>
      <c r="AG1183" s="1"/>
      <c r="AH1183" s="165"/>
      <c r="AI1183" s="165"/>
      <c r="AJ1183" s="165"/>
      <c r="AK1183" s="165"/>
      <c r="AL1183" s="165"/>
      <c r="AM1183" s="165"/>
      <c r="AN1183" s="165"/>
    </row>
    <row r="1184" spans="3:40">
      <c r="C1184" s="46"/>
      <c r="F1184" s="173"/>
      <c r="G1184" s="1"/>
      <c r="H1184" s="165"/>
      <c r="I1184" s="160"/>
      <c r="J1184" s="160"/>
      <c r="K1184" s="1"/>
      <c r="L1184" s="123"/>
      <c r="M1184" s="1"/>
      <c r="N1184" s="590"/>
      <c r="O1184" s="165"/>
      <c r="P1184" s="165"/>
      <c r="Q1184" s="165"/>
      <c r="R1184" s="165"/>
      <c r="S1184" s="165"/>
      <c r="V1184" s="46"/>
      <c r="W1184" s="46"/>
      <c r="X1184" s="1"/>
      <c r="Y1184" s="1"/>
      <c r="Z1184" s="173"/>
      <c r="AA1184" s="1"/>
      <c r="AB1184" s="165"/>
      <c r="AC1184" s="1"/>
      <c r="AD1184" s="1"/>
      <c r="AE1184" s="1"/>
      <c r="AF1184" s="46"/>
      <c r="AG1184" s="1"/>
      <c r="AH1184" s="165"/>
      <c r="AI1184" s="165"/>
      <c r="AJ1184" s="165"/>
      <c r="AK1184" s="165"/>
      <c r="AL1184" s="165"/>
      <c r="AM1184" s="165"/>
      <c r="AN1184" s="165"/>
    </row>
    <row r="1185" spans="3:40">
      <c r="C1185" s="46"/>
      <c r="F1185" s="173"/>
      <c r="G1185" s="1"/>
      <c r="H1185" s="165"/>
      <c r="I1185" s="160"/>
      <c r="J1185" s="160"/>
      <c r="K1185" s="1"/>
      <c r="L1185" s="123"/>
      <c r="M1185" s="1"/>
      <c r="N1185" s="590"/>
      <c r="O1185" s="165"/>
      <c r="P1185" s="165"/>
      <c r="Q1185" s="165"/>
      <c r="R1185" s="165"/>
      <c r="S1185" s="165"/>
      <c r="V1185" s="46"/>
      <c r="W1185" s="46"/>
      <c r="X1185" s="1"/>
      <c r="Y1185" s="1"/>
      <c r="Z1185" s="173"/>
      <c r="AA1185" s="1"/>
      <c r="AB1185" s="165"/>
      <c r="AC1185" s="1"/>
      <c r="AD1185" s="1"/>
      <c r="AE1185" s="1"/>
      <c r="AF1185" s="46"/>
      <c r="AG1185" s="1"/>
      <c r="AH1185" s="165"/>
      <c r="AI1185" s="165"/>
      <c r="AJ1185" s="165"/>
      <c r="AK1185" s="165"/>
      <c r="AL1185" s="165"/>
      <c r="AM1185" s="165"/>
      <c r="AN1185" s="165"/>
    </row>
    <row r="1186" spans="3:40">
      <c r="C1186" s="46"/>
      <c r="F1186" s="173"/>
      <c r="G1186" s="1"/>
      <c r="H1186" s="165"/>
      <c r="I1186" s="160"/>
      <c r="J1186" s="160"/>
      <c r="K1186" s="1"/>
      <c r="L1186" s="123"/>
      <c r="M1186" s="1"/>
      <c r="N1186" s="590"/>
      <c r="O1186" s="165"/>
      <c r="P1186" s="165"/>
      <c r="Q1186" s="165"/>
      <c r="R1186" s="165"/>
      <c r="S1186" s="165"/>
      <c r="V1186" s="46"/>
      <c r="W1186" s="46"/>
      <c r="X1186" s="1"/>
      <c r="Y1186" s="1"/>
      <c r="Z1186" s="173"/>
      <c r="AA1186" s="1"/>
      <c r="AB1186" s="165"/>
      <c r="AC1186" s="1"/>
      <c r="AD1186" s="1"/>
      <c r="AE1186" s="1"/>
      <c r="AF1186" s="46"/>
      <c r="AG1186" s="1"/>
      <c r="AH1186" s="165"/>
      <c r="AI1186" s="165"/>
      <c r="AJ1186" s="165"/>
      <c r="AK1186" s="165"/>
      <c r="AL1186" s="165"/>
      <c r="AM1186" s="165"/>
      <c r="AN1186" s="165"/>
    </row>
    <row r="1187" spans="3:40">
      <c r="C1187" s="46"/>
      <c r="F1187" s="173"/>
      <c r="G1187" s="1"/>
      <c r="H1187" s="165"/>
      <c r="I1187" s="160"/>
      <c r="J1187" s="160"/>
      <c r="K1187" s="1"/>
      <c r="L1187" s="123"/>
      <c r="M1187" s="1"/>
      <c r="N1187" s="590"/>
      <c r="O1187" s="165"/>
      <c r="P1187" s="165"/>
      <c r="Q1187" s="165"/>
      <c r="R1187" s="165"/>
      <c r="S1187" s="165"/>
      <c r="V1187" s="46"/>
      <c r="W1187" s="46"/>
      <c r="X1187" s="1"/>
      <c r="Y1187" s="1"/>
      <c r="Z1187" s="173"/>
      <c r="AA1187" s="1"/>
      <c r="AB1187" s="165"/>
      <c r="AC1187" s="1"/>
      <c r="AD1187" s="1"/>
      <c r="AE1187" s="1"/>
      <c r="AF1187" s="46"/>
      <c r="AG1187" s="1"/>
      <c r="AH1187" s="165"/>
      <c r="AI1187" s="165"/>
      <c r="AJ1187" s="165"/>
      <c r="AK1187" s="165"/>
      <c r="AL1187" s="165"/>
      <c r="AM1187" s="165"/>
      <c r="AN1187" s="165"/>
    </row>
    <row r="1188" spans="3:40">
      <c r="C1188" s="46"/>
      <c r="F1188" s="173"/>
      <c r="G1188" s="1"/>
      <c r="H1188" s="165"/>
      <c r="I1188" s="160"/>
      <c r="J1188" s="160"/>
      <c r="K1188" s="1"/>
      <c r="L1188" s="123"/>
      <c r="M1188" s="1"/>
      <c r="N1188" s="590"/>
      <c r="O1188" s="165"/>
      <c r="P1188" s="165"/>
      <c r="Q1188" s="165"/>
      <c r="R1188" s="165"/>
      <c r="S1188" s="165"/>
      <c r="V1188" s="46"/>
      <c r="W1188" s="46"/>
      <c r="X1188" s="1"/>
      <c r="Y1188" s="1"/>
      <c r="Z1188" s="173"/>
      <c r="AA1188" s="1"/>
      <c r="AB1188" s="165"/>
      <c r="AC1188" s="1"/>
      <c r="AD1188" s="1"/>
      <c r="AE1188" s="1"/>
      <c r="AF1188" s="46"/>
      <c r="AG1188" s="1"/>
      <c r="AH1188" s="165"/>
      <c r="AI1188" s="165"/>
      <c r="AJ1188" s="165"/>
      <c r="AK1188" s="165"/>
      <c r="AL1188" s="165"/>
      <c r="AM1188" s="165"/>
      <c r="AN1188" s="165"/>
    </row>
    <row r="1189" spans="3:40">
      <c r="C1189" s="46"/>
      <c r="F1189" s="173"/>
      <c r="G1189" s="1"/>
      <c r="H1189" s="165"/>
      <c r="I1189" s="160"/>
      <c r="J1189" s="160"/>
      <c r="K1189" s="1"/>
      <c r="L1189" s="123"/>
      <c r="M1189" s="1"/>
      <c r="N1189" s="590"/>
      <c r="O1189" s="165"/>
      <c r="P1189" s="165"/>
      <c r="Q1189" s="165"/>
      <c r="R1189" s="165"/>
      <c r="S1189" s="165"/>
      <c r="V1189" s="46"/>
      <c r="W1189" s="46"/>
      <c r="X1189" s="1"/>
      <c r="Y1189" s="1"/>
      <c r="Z1189" s="173"/>
      <c r="AA1189" s="1"/>
      <c r="AB1189" s="165"/>
      <c r="AC1189" s="1"/>
      <c r="AD1189" s="1"/>
      <c r="AE1189" s="1"/>
      <c r="AF1189" s="46"/>
      <c r="AG1189" s="1"/>
      <c r="AH1189" s="165"/>
      <c r="AI1189" s="165"/>
      <c r="AJ1189" s="165"/>
      <c r="AK1189" s="165"/>
      <c r="AL1189" s="165"/>
      <c r="AM1189" s="165"/>
      <c r="AN1189" s="165"/>
    </row>
    <row r="1190" spans="3:40">
      <c r="C1190" s="46"/>
      <c r="F1190" s="173"/>
      <c r="G1190" s="1"/>
      <c r="H1190" s="165"/>
      <c r="I1190" s="160"/>
      <c r="J1190" s="160"/>
      <c r="K1190" s="1"/>
      <c r="L1190" s="123"/>
      <c r="M1190" s="1"/>
      <c r="N1190" s="590"/>
      <c r="O1190" s="165"/>
      <c r="P1190" s="165"/>
      <c r="Q1190" s="165"/>
      <c r="R1190" s="165"/>
      <c r="S1190" s="165"/>
      <c r="V1190" s="46"/>
      <c r="W1190" s="46"/>
      <c r="X1190" s="1"/>
      <c r="Y1190" s="1"/>
      <c r="Z1190" s="173"/>
      <c r="AA1190" s="1"/>
      <c r="AB1190" s="165"/>
      <c r="AC1190" s="1"/>
      <c r="AD1190" s="1"/>
      <c r="AE1190" s="1"/>
      <c r="AF1190" s="46"/>
      <c r="AG1190" s="1"/>
      <c r="AH1190" s="165"/>
      <c r="AI1190" s="165"/>
      <c r="AJ1190" s="165"/>
      <c r="AK1190" s="165"/>
      <c r="AL1190" s="165"/>
      <c r="AM1190" s="165"/>
      <c r="AN1190" s="165"/>
    </row>
    <row r="1191" spans="3:40">
      <c r="C1191" s="46"/>
      <c r="F1191" s="173"/>
      <c r="G1191" s="1"/>
      <c r="H1191" s="165"/>
      <c r="I1191" s="160"/>
      <c r="J1191" s="160"/>
      <c r="K1191" s="1"/>
      <c r="L1191" s="123"/>
      <c r="M1191" s="1"/>
      <c r="N1191" s="590"/>
      <c r="O1191" s="165"/>
      <c r="P1191" s="165"/>
      <c r="Q1191" s="165"/>
      <c r="R1191" s="165"/>
      <c r="S1191" s="165"/>
      <c r="V1191" s="46"/>
      <c r="W1191" s="46"/>
      <c r="X1191" s="1"/>
      <c r="Y1191" s="1"/>
      <c r="Z1191" s="173"/>
      <c r="AA1191" s="1"/>
      <c r="AB1191" s="165"/>
      <c r="AC1191" s="1"/>
      <c r="AD1191" s="1"/>
      <c r="AE1191" s="1"/>
      <c r="AF1191" s="46"/>
      <c r="AG1191" s="1"/>
      <c r="AH1191" s="165"/>
      <c r="AI1191" s="165"/>
      <c r="AJ1191" s="165"/>
      <c r="AK1191" s="165"/>
      <c r="AL1191" s="165"/>
      <c r="AM1191" s="165"/>
      <c r="AN1191" s="165"/>
    </row>
    <row r="1192" spans="3:40">
      <c r="C1192" s="46"/>
      <c r="F1192" s="173"/>
      <c r="G1192" s="1"/>
      <c r="H1192" s="165"/>
      <c r="I1192" s="160"/>
      <c r="J1192" s="160"/>
      <c r="K1192" s="1"/>
      <c r="L1192" s="123"/>
      <c r="M1192" s="1"/>
      <c r="N1192" s="590"/>
      <c r="O1192" s="165"/>
      <c r="P1192" s="165"/>
      <c r="Q1192" s="165"/>
      <c r="R1192" s="165"/>
      <c r="S1192" s="165"/>
      <c r="V1192" s="46"/>
      <c r="W1192" s="46"/>
      <c r="X1192" s="1"/>
      <c r="Y1192" s="1"/>
      <c r="Z1192" s="173"/>
      <c r="AA1192" s="1"/>
      <c r="AB1192" s="165"/>
      <c r="AC1192" s="1"/>
      <c r="AD1192" s="1"/>
      <c r="AE1192" s="1"/>
      <c r="AF1192" s="46"/>
      <c r="AG1192" s="1"/>
      <c r="AH1192" s="165"/>
      <c r="AI1192" s="165"/>
      <c r="AJ1192" s="165"/>
      <c r="AK1192" s="165"/>
      <c r="AL1192" s="165"/>
      <c r="AM1192" s="165"/>
      <c r="AN1192" s="165"/>
    </row>
    <row r="1193" spans="3:40">
      <c r="C1193" s="46"/>
      <c r="F1193" s="173"/>
      <c r="G1193" s="1"/>
      <c r="H1193" s="165"/>
      <c r="I1193" s="160"/>
      <c r="J1193" s="160"/>
      <c r="K1193" s="1"/>
      <c r="L1193" s="123"/>
      <c r="M1193" s="1"/>
      <c r="N1193" s="590"/>
      <c r="O1193" s="165"/>
      <c r="P1193" s="165"/>
      <c r="Q1193" s="165"/>
      <c r="R1193" s="165"/>
      <c r="S1193" s="165"/>
      <c r="V1193" s="46"/>
      <c r="W1193" s="46"/>
      <c r="X1193" s="1"/>
      <c r="Y1193" s="1"/>
      <c r="Z1193" s="173"/>
      <c r="AA1193" s="1"/>
      <c r="AB1193" s="165"/>
      <c r="AC1193" s="1"/>
      <c r="AD1193" s="1"/>
      <c r="AE1193" s="1"/>
      <c r="AF1193" s="46"/>
      <c r="AG1193" s="1"/>
      <c r="AH1193" s="165"/>
      <c r="AI1193" s="165"/>
      <c r="AJ1193" s="165"/>
      <c r="AK1193" s="165"/>
      <c r="AL1193" s="165"/>
      <c r="AM1193" s="165"/>
      <c r="AN1193" s="165"/>
    </row>
    <row r="1194" spans="3:40">
      <c r="C1194" s="46"/>
      <c r="F1194" s="173"/>
      <c r="G1194" s="1"/>
      <c r="H1194" s="165"/>
      <c r="I1194" s="160"/>
      <c r="J1194" s="160"/>
      <c r="K1194" s="1"/>
      <c r="L1194" s="123"/>
      <c r="M1194" s="1"/>
      <c r="N1194" s="590"/>
      <c r="O1194" s="165"/>
      <c r="P1194" s="165"/>
      <c r="Q1194" s="165"/>
      <c r="R1194" s="165"/>
      <c r="S1194" s="165"/>
      <c r="V1194" s="46"/>
      <c r="W1194" s="46"/>
      <c r="X1194" s="1"/>
      <c r="Y1194" s="1"/>
      <c r="Z1194" s="173"/>
      <c r="AA1194" s="1"/>
      <c r="AB1194" s="165"/>
      <c r="AC1194" s="1"/>
      <c r="AD1194" s="1"/>
      <c r="AE1194" s="1"/>
      <c r="AF1194" s="46"/>
      <c r="AG1194" s="1"/>
      <c r="AH1194" s="165"/>
      <c r="AI1194" s="165"/>
      <c r="AJ1194" s="165"/>
      <c r="AK1194" s="165"/>
      <c r="AL1194" s="165"/>
      <c r="AM1194" s="165"/>
      <c r="AN1194" s="165"/>
    </row>
    <row r="1195" spans="3:40">
      <c r="C1195" s="46"/>
      <c r="F1195" s="173"/>
      <c r="G1195" s="1"/>
      <c r="H1195" s="165"/>
      <c r="I1195" s="160"/>
      <c r="J1195" s="160"/>
      <c r="K1195" s="1"/>
      <c r="L1195" s="123"/>
      <c r="M1195" s="1"/>
      <c r="N1195" s="590"/>
      <c r="O1195" s="165"/>
      <c r="P1195" s="165"/>
      <c r="Q1195" s="165"/>
      <c r="R1195" s="165"/>
      <c r="S1195" s="165"/>
      <c r="V1195" s="46"/>
      <c r="W1195" s="46"/>
      <c r="X1195" s="1"/>
      <c r="Y1195" s="1"/>
      <c r="Z1195" s="173"/>
      <c r="AA1195" s="1"/>
      <c r="AB1195" s="165"/>
      <c r="AC1195" s="1"/>
      <c r="AD1195" s="1"/>
      <c r="AE1195" s="1"/>
      <c r="AF1195" s="46"/>
      <c r="AG1195" s="1"/>
      <c r="AH1195" s="165"/>
      <c r="AI1195" s="165"/>
      <c r="AJ1195" s="165"/>
      <c r="AK1195" s="165"/>
      <c r="AL1195" s="165"/>
      <c r="AM1195" s="165"/>
      <c r="AN1195" s="165"/>
    </row>
    <row r="1196" spans="3:40">
      <c r="C1196" s="46"/>
      <c r="F1196" s="173"/>
      <c r="G1196" s="1"/>
      <c r="H1196" s="165"/>
      <c r="I1196" s="160"/>
      <c r="J1196" s="160"/>
      <c r="K1196" s="1"/>
      <c r="L1196" s="123"/>
      <c r="M1196" s="1"/>
      <c r="N1196" s="590"/>
      <c r="O1196" s="165"/>
      <c r="P1196" s="165"/>
      <c r="Q1196" s="165"/>
      <c r="R1196" s="165"/>
      <c r="S1196" s="165"/>
      <c r="V1196" s="46"/>
      <c r="W1196" s="46"/>
      <c r="X1196" s="1"/>
      <c r="Y1196" s="1"/>
      <c r="Z1196" s="173"/>
      <c r="AA1196" s="1"/>
      <c r="AB1196" s="165"/>
      <c r="AC1196" s="1"/>
      <c r="AD1196" s="1"/>
      <c r="AE1196" s="1"/>
      <c r="AF1196" s="46"/>
      <c r="AG1196" s="1"/>
      <c r="AH1196" s="165"/>
      <c r="AI1196" s="165"/>
      <c r="AJ1196" s="165"/>
      <c r="AK1196" s="165"/>
      <c r="AL1196" s="165"/>
      <c r="AM1196" s="165"/>
      <c r="AN1196" s="165"/>
    </row>
    <row r="1197" spans="3:40">
      <c r="C1197" s="46"/>
      <c r="F1197" s="173"/>
      <c r="G1197" s="1"/>
      <c r="H1197" s="165"/>
      <c r="I1197" s="160"/>
      <c r="J1197" s="160"/>
      <c r="K1197" s="1"/>
      <c r="L1197" s="123"/>
      <c r="M1197" s="1"/>
      <c r="N1197" s="590"/>
      <c r="O1197" s="165"/>
      <c r="P1197" s="165"/>
      <c r="Q1197" s="165"/>
      <c r="R1197" s="165"/>
      <c r="S1197" s="165"/>
      <c r="V1197" s="46"/>
      <c r="W1197" s="46"/>
      <c r="X1197" s="1"/>
      <c r="Y1197" s="1"/>
      <c r="Z1197" s="173"/>
      <c r="AA1197" s="1"/>
      <c r="AB1197" s="165"/>
      <c r="AC1197" s="1"/>
      <c r="AD1197" s="1"/>
      <c r="AE1197" s="1"/>
      <c r="AF1197" s="46"/>
      <c r="AG1197" s="1"/>
      <c r="AH1197" s="165"/>
      <c r="AI1197" s="165"/>
      <c r="AJ1197" s="165"/>
      <c r="AK1197" s="165"/>
      <c r="AL1197" s="165"/>
      <c r="AM1197" s="165"/>
      <c r="AN1197" s="165"/>
    </row>
    <row r="1198" spans="3:40">
      <c r="C1198" s="46"/>
      <c r="F1198" s="173"/>
      <c r="G1198" s="1"/>
      <c r="H1198" s="165"/>
      <c r="I1198" s="160"/>
      <c r="J1198" s="160"/>
      <c r="K1198" s="1"/>
      <c r="L1198" s="123"/>
      <c r="M1198" s="1"/>
      <c r="N1198" s="590"/>
      <c r="O1198" s="165"/>
      <c r="P1198" s="165"/>
      <c r="Q1198" s="165"/>
      <c r="R1198" s="165"/>
      <c r="S1198" s="165"/>
      <c r="V1198" s="46"/>
      <c r="W1198" s="46"/>
      <c r="X1198" s="1"/>
      <c r="Y1198" s="1"/>
      <c r="Z1198" s="173"/>
      <c r="AA1198" s="1"/>
      <c r="AB1198" s="165"/>
      <c r="AC1198" s="1"/>
      <c r="AD1198" s="1"/>
      <c r="AE1198" s="1"/>
      <c r="AF1198" s="46"/>
      <c r="AG1198" s="1"/>
      <c r="AH1198" s="165"/>
      <c r="AI1198" s="165"/>
      <c r="AJ1198" s="165"/>
      <c r="AK1198" s="165"/>
      <c r="AL1198" s="165"/>
      <c r="AM1198" s="165"/>
      <c r="AN1198" s="165"/>
    </row>
    <row r="1199" spans="3:40">
      <c r="C1199" s="46"/>
      <c r="F1199" s="173"/>
      <c r="G1199" s="1"/>
      <c r="H1199" s="165"/>
      <c r="I1199" s="160"/>
      <c r="J1199" s="160"/>
      <c r="K1199" s="1"/>
      <c r="L1199" s="123"/>
      <c r="M1199" s="1"/>
      <c r="N1199" s="590"/>
      <c r="O1199" s="165"/>
      <c r="P1199" s="165"/>
      <c r="Q1199" s="165"/>
      <c r="R1199" s="165"/>
      <c r="S1199" s="165"/>
      <c r="V1199" s="46"/>
      <c r="W1199" s="46"/>
      <c r="X1199" s="1"/>
      <c r="Y1199" s="1"/>
      <c r="Z1199" s="173"/>
      <c r="AA1199" s="1"/>
      <c r="AB1199" s="165"/>
      <c r="AC1199" s="1"/>
      <c r="AD1199" s="1"/>
      <c r="AE1199" s="1"/>
      <c r="AF1199" s="46"/>
      <c r="AG1199" s="1"/>
      <c r="AH1199" s="165"/>
      <c r="AI1199" s="165"/>
      <c r="AJ1199" s="165"/>
      <c r="AK1199" s="165"/>
      <c r="AL1199" s="165"/>
      <c r="AM1199" s="165"/>
      <c r="AN1199" s="165"/>
    </row>
    <row r="1200" spans="3:40">
      <c r="C1200" s="46"/>
      <c r="F1200" s="173"/>
      <c r="G1200" s="1"/>
      <c r="H1200" s="165"/>
      <c r="I1200" s="160"/>
      <c r="J1200" s="160"/>
      <c r="K1200" s="1"/>
      <c r="L1200" s="123"/>
      <c r="M1200" s="1"/>
      <c r="N1200" s="590"/>
      <c r="O1200" s="165"/>
      <c r="P1200" s="165"/>
      <c r="Q1200" s="165"/>
      <c r="R1200" s="165"/>
      <c r="S1200" s="165"/>
      <c r="V1200" s="46"/>
      <c r="W1200" s="46"/>
      <c r="X1200" s="1"/>
      <c r="Y1200" s="1"/>
      <c r="Z1200" s="173"/>
      <c r="AA1200" s="1"/>
      <c r="AB1200" s="165"/>
      <c r="AC1200" s="1"/>
      <c r="AD1200" s="1"/>
      <c r="AE1200" s="1"/>
      <c r="AF1200" s="46"/>
      <c r="AG1200" s="1"/>
      <c r="AH1200" s="165"/>
      <c r="AI1200" s="165"/>
      <c r="AJ1200" s="165"/>
      <c r="AK1200" s="165"/>
      <c r="AL1200" s="165"/>
      <c r="AM1200" s="165"/>
      <c r="AN1200" s="165"/>
    </row>
    <row r="1201" spans="3:40">
      <c r="C1201" s="46"/>
      <c r="F1201" s="173"/>
      <c r="G1201" s="1"/>
      <c r="H1201" s="165"/>
      <c r="I1201" s="160"/>
      <c r="J1201" s="160"/>
      <c r="K1201" s="1"/>
      <c r="L1201" s="123"/>
      <c r="M1201" s="1"/>
      <c r="N1201" s="590"/>
      <c r="O1201" s="165"/>
      <c r="P1201" s="165"/>
      <c r="Q1201" s="165"/>
      <c r="R1201" s="165"/>
      <c r="S1201" s="165"/>
      <c r="V1201" s="46"/>
      <c r="W1201" s="46"/>
      <c r="X1201" s="1"/>
      <c r="Y1201" s="1"/>
      <c r="Z1201" s="173"/>
      <c r="AA1201" s="1"/>
      <c r="AB1201" s="165"/>
      <c r="AC1201" s="1"/>
      <c r="AD1201" s="1"/>
      <c r="AE1201" s="1"/>
      <c r="AF1201" s="46"/>
      <c r="AG1201" s="1"/>
      <c r="AH1201" s="165"/>
      <c r="AI1201" s="165"/>
      <c r="AJ1201" s="165"/>
      <c r="AK1201" s="165"/>
      <c r="AL1201" s="165"/>
      <c r="AM1201" s="165"/>
      <c r="AN1201" s="165"/>
    </row>
    <row r="1202" spans="3:40">
      <c r="C1202" s="46"/>
      <c r="F1202" s="173"/>
      <c r="G1202" s="1"/>
      <c r="H1202" s="165"/>
      <c r="I1202" s="160"/>
      <c r="J1202" s="160"/>
      <c r="K1202" s="1"/>
      <c r="L1202" s="123"/>
      <c r="M1202" s="1"/>
      <c r="N1202" s="590"/>
      <c r="O1202" s="165"/>
      <c r="P1202" s="165"/>
      <c r="Q1202" s="165"/>
      <c r="R1202" s="165"/>
      <c r="S1202" s="165"/>
      <c r="V1202" s="46"/>
      <c r="W1202" s="46"/>
      <c r="X1202" s="1"/>
      <c r="Y1202" s="1"/>
      <c r="Z1202" s="173"/>
      <c r="AA1202" s="1"/>
      <c r="AB1202" s="165"/>
      <c r="AC1202" s="1"/>
      <c r="AD1202" s="1"/>
      <c r="AE1202" s="1"/>
      <c r="AF1202" s="46"/>
      <c r="AG1202" s="1"/>
      <c r="AH1202" s="165"/>
      <c r="AI1202" s="165"/>
      <c r="AJ1202" s="165"/>
      <c r="AK1202" s="165"/>
      <c r="AL1202" s="165"/>
      <c r="AM1202" s="165"/>
      <c r="AN1202" s="165"/>
    </row>
    <row r="1203" spans="3:40">
      <c r="C1203" s="46"/>
      <c r="F1203" s="173"/>
      <c r="G1203" s="1"/>
      <c r="H1203" s="165"/>
      <c r="I1203" s="160"/>
      <c r="J1203" s="160"/>
      <c r="K1203" s="1"/>
      <c r="L1203" s="123"/>
      <c r="M1203" s="1"/>
      <c r="N1203" s="590"/>
      <c r="O1203" s="165"/>
      <c r="P1203" s="165"/>
      <c r="Q1203" s="165"/>
      <c r="R1203" s="165"/>
      <c r="S1203" s="165"/>
      <c r="V1203" s="46"/>
      <c r="W1203" s="46"/>
      <c r="X1203" s="1"/>
      <c r="Y1203" s="1"/>
      <c r="Z1203" s="173"/>
      <c r="AA1203" s="1"/>
      <c r="AB1203" s="165"/>
      <c r="AC1203" s="1"/>
      <c r="AD1203" s="1"/>
      <c r="AE1203" s="1"/>
      <c r="AF1203" s="46"/>
      <c r="AG1203" s="1"/>
      <c r="AH1203" s="165"/>
      <c r="AI1203" s="165"/>
      <c r="AJ1203" s="165"/>
      <c r="AK1203" s="165"/>
      <c r="AL1203" s="165"/>
      <c r="AM1203" s="165"/>
      <c r="AN1203" s="165"/>
    </row>
    <row r="1204" spans="3:40">
      <c r="C1204" s="46"/>
      <c r="F1204" s="173"/>
      <c r="G1204" s="1"/>
      <c r="H1204" s="165"/>
      <c r="I1204" s="160"/>
      <c r="J1204" s="160"/>
      <c r="K1204" s="1"/>
      <c r="L1204" s="123"/>
      <c r="M1204" s="1"/>
      <c r="N1204" s="590"/>
      <c r="O1204" s="165"/>
      <c r="P1204" s="165"/>
      <c r="Q1204" s="165"/>
      <c r="R1204" s="165"/>
      <c r="S1204" s="165"/>
      <c r="V1204" s="46"/>
      <c r="W1204" s="46"/>
      <c r="X1204" s="1"/>
      <c r="Y1204" s="1"/>
      <c r="Z1204" s="173"/>
      <c r="AA1204" s="1"/>
      <c r="AB1204" s="165"/>
      <c r="AC1204" s="1"/>
      <c r="AD1204" s="1"/>
      <c r="AE1204" s="1"/>
      <c r="AF1204" s="46"/>
      <c r="AG1204" s="1"/>
      <c r="AH1204" s="165"/>
      <c r="AI1204" s="165"/>
      <c r="AJ1204" s="165"/>
      <c r="AK1204" s="165"/>
      <c r="AL1204" s="165"/>
      <c r="AM1204" s="165"/>
      <c r="AN1204" s="165"/>
    </row>
    <row r="1205" spans="3:40">
      <c r="C1205" s="46"/>
      <c r="F1205" s="173"/>
      <c r="G1205" s="1"/>
      <c r="H1205" s="165"/>
      <c r="I1205" s="160"/>
      <c r="J1205" s="160"/>
      <c r="K1205" s="1"/>
      <c r="L1205" s="123"/>
      <c r="M1205" s="1"/>
      <c r="N1205" s="590"/>
      <c r="O1205" s="165"/>
      <c r="P1205" s="165"/>
      <c r="Q1205" s="165"/>
      <c r="R1205" s="165"/>
      <c r="S1205" s="165"/>
      <c r="V1205" s="46"/>
      <c r="W1205" s="46"/>
      <c r="X1205" s="1"/>
      <c r="Y1205" s="1"/>
      <c r="Z1205" s="173"/>
      <c r="AA1205" s="1"/>
      <c r="AB1205" s="165"/>
      <c r="AC1205" s="1"/>
      <c r="AD1205" s="1"/>
      <c r="AE1205" s="1"/>
      <c r="AF1205" s="46"/>
      <c r="AG1205" s="1"/>
      <c r="AH1205" s="165"/>
      <c r="AI1205" s="165"/>
      <c r="AJ1205" s="165"/>
      <c r="AK1205" s="165"/>
      <c r="AL1205" s="165"/>
      <c r="AM1205" s="165"/>
      <c r="AN1205" s="165"/>
    </row>
    <row r="1206" spans="3:40">
      <c r="C1206" s="46"/>
      <c r="F1206" s="173"/>
      <c r="G1206" s="1"/>
      <c r="H1206" s="165"/>
      <c r="I1206" s="160"/>
      <c r="J1206" s="160"/>
      <c r="K1206" s="1"/>
      <c r="L1206" s="123"/>
      <c r="M1206" s="1"/>
      <c r="N1206" s="590"/>
      <c r="O1206" s="165"/>
      <c r="P1206" s="165"/>
      <c r="Q1206" s="165"/>
      <c r="R1206" s="165"/>
      <c r="S1206" s="165"/>
      <c r="V1206" s="46"/>
      <c r="W1206" s="46"/>
      <c r="X1206" s="1"/>
      <c r="Y1206" s="1"/>
      <c r="Z1206" s="173"/>
      <c r="AA1206" s="1"/>
      <c r="AB1206" s="165"/>
      <c r="AC1206" s="1"/>
      <c r="AD1206" s="1"/>
      <c r="AE1206" s="1"/>
      <c r="AF1206" s="46"/>
      <c r="AG1206" s="1"/>
      <c r="AH1206" s="165"/>
      <c r="AI1206" s="165"/>
      <c r="AJ1206" s="165"/>
      <c r="AK1206" s="165"/>
      <c r="AL1206" s="165"/>
      <c r="AM1206" s="165"/>
      <c r="AN1206" s="165"/>
    </row>
    <row r="1207" spans="3:40">
      <c r="C1207" s="46"/>
      <c r="F1207" s="173"/>
      <c r="G1207" s="1"/>
      <c r="H1207" s="165"/>
      <c r="I1207" s="160"/>
      <c r="J1207" s="160"/>
      <c r="K1207" s="1"/>
      <c r="L1207" s="123"/>
      <c r="M1207" s="1"/>
      <c r="N1207" s="590"/>
      <c r="O1207" s="165"/>
      <c r="P1207" s="165"/>
      <c r="Q1207" s="165"/>
      <c r="R1207" s="165"/>
      <c r="S1207" s="165"/>
      <c r="V1207" s="46"/>
      <c r="W1207" s="46"/>
      <c r="X1207" s="1"/>
      <c r="Y1207" s="1"/>
      <c r="Z1207" s="173"/>
      <c r="AA1207" s="1"/>
      <c r="AB1207" s="165"/>
      <c r="AC1207" s="1"/>
      <c r="AD1207" s="1"/>
      <c r="AE1207" s="1"/>
      <c r="AF1207" s="46"/>
      <c r="AG1207" s="1"/>
      <c r="AH1207" s="165"/>
      <c r="AI1207" s="165"/>
      <c r="AJ1207" s="165"/>
      <c r="AK1207" s="165"/>
      <c r="AL1207" s="165"/>
      <c r="AM1207" s="165"/>
      <c r="AN1207" s="165"/>
    </row>
    <row r="1208" spans="3:40">
      <c r="C1208" s="46"/>
      <c r="F1208" s="173"/>
      <c r="G1208" s="1"/>
      <c r="H1208" s="165"/>
      <c r="I1208" s="160"/>
      <c r="J1208" s="160"/>
      <c r="K1208" s="1"/>
      <c r="L1208" s="123"/>
      <c r="M1208" s="1"/>
      <c r="N1208" s="590"/>
      <c r="O1208" s="165"/>
      <c r="P1208" s="165"/>
      <c r="Q1208" s="165"/>
      <c r="R1208" s="165"/>
      <c r="S1208" s="165"/>
      <c r="V1208" s="46"/>
      <c r="W1208" s="46"/>
      <c r="X1208" s="1"/>
      <c r="Y1208" s="1"/>
      <c r="Z1208" s="173"/>
      <c r="AA1208" s="1"/>
      <c r="AB1208" s="165"/>
      <c r="AC1208" s="1"/>
      <c r="AD1208" s="1"/>
      <c r="AE1208" s="1"/>
      <c r="AF1208" s="46"/>
      <c r="AG1208" s="1"/>
      <c r="AH1208" s="165"/>
      <c r="AI1208" s="165"/>
      <c r="AJ1208" s="165"/>
      <c r="AK1208" s="165"/>
      <c r="AL1208" s="165"/>
      <c r="AM1208" s="165"/>
      <c r="AN1208" s="165"/>
    </row>
    <row r="1209" spans="3:40">
      <c r="C1209" s="46"/>
      <c r="F1209" s="173"/>
      <c r="G1209" s="1"/>
      <c r="H1209" s="165"/>
      <c r="I1209" s="160"/>
      <c r="J1209" s="160"/>
      <c r="K1209" s="1"/>
      <c r="L1209" s="123"/>
      <c r="M1209" s="1"/>
      <c r="N1209" s="590"/>
      <c r="O1209" s="165"/>
      <c r="P1209" s="165"/>
      <c r="Q1209" s="165"/>
      <c r="R1209" s="165"/>
      <c r="S1209" s="165"/>
      <c r="V1209" s="46"/>
      <c r="W1209" s="46"/>
      <c r="X1209" s="1"/>
      <c r="Y1209" s="1"/>
      <c r="Z1209" s="173"/>
      <c r="AA1209" s="1"/>
      <c r="AB1209" s="165"/>
      <c r="AC1209" s="1"/>
      <c r="AD1209" s="1"/>
      <c r="AE1209" s="1"/>
      <c r="AF1209" s="46"/>
      <c r="AG1209" s="1"/>
      <c r="AH1209" s="165"/>
      <c r="AI1209" s="165"/>
      <c r="AJ1209" s="165"/>
      <c r="AK1209" s="165"/>
      <c r="AL1209" s="165"/>
      <c r="AM1209" s="165"/>
      <c r="AN1209" s="165"/>
    </row>
    <row r="1210" spans="3:40">
      <c r="C1210" s="46"/>
      <c r="F1210" s="173"/>
      <c r="G1210" s="1"/>
      <c r="H1210" s="165"/>
      <c r="I1210" s="160"/>
      <c r="J1210" s="160"/>
      <c r="K1210" s="1"/>
      <c r="L1210" s="123"/>
      <c r="M1210" s="1"/>
      <c r="N1210" s="590"/>
      <c r="O1210" s="165"/>
      <c r="P1210" s="165"/>
      <c r="Q1210" s="165"/>
      <c r="R1210" s="165"/>
      <c r="S1210" s="165"/>
      <c r="V1210" s="46"/>
      <c r="W1210" s="46"/>
      <c r="X1210" s="1"/>
      <c r="Y1210" s="1"/>
      <c r="Z1210" s="173"/>
      <c r="AA1210" s="1"/>
      <c r="AB1210" s="165"/>
      <c r="AC1210" s="1"/>
      <c r="AD1210" s="1"/>
      <c r="AE1210" s="1"/>
      <c r="AF1210" s="46"/>
      <c r="AG1210" s="1"/>
      <c r="AH1210" s="165"/>
      <c r="AI1210" s="165"/>
      <c r="AJ1210" s="165"/>
      <c r="AK1210" s="165"/>
      <c r="AL1210" s="165"/>
      <c r="AM1210" s="165"/>
      <c r="AN1210" s="165"/>
    </row>
    <row r="1211" spans="3:40">
      <c r="C1211" s="46"/>
      <c r="F1211" s="173"/>
      <c r="G1211" s="1"/>
      <c r="H1211" s="165"/>
      <c r="I1211" s="160"/>
      <c r="J1211" s="160"/>
      <c r="K1211" s="1"/>
      <c r="L1211" s="123"/>
      <c r="M1211" s="1"/>
      <c r="N1211" s="590"/>
      <c r="O1211" s="165"/>
      <c r="P1211" s="165"/>
      <c r="Q1211" s="165"/>
      <c r="R1211" s="165"/>
      <c r="S1211" s="165"/>
      <c r="V1211" s="46"/>
      <c r="W1211" s="46"/>
      <c r="X1211" s="1"/>
      <c r="Y1211" s="1"/>
      <c r="Z1211" s="173"/>
      <c r="AA1211" s="1"/>
      <c r="AB1211" s="165"/>
      <c r="AC1211" s="1"/>
      <c r="AD1211" s="1"/>
      <c r="AE1211" s="1"/>
      <c r="AF1211" s="46"/>
      <c r="AG1211" s="1"/>
      <c r="AH1211" s="165"/>
      <c r="AI1211" s="165"/>
      <c r="AJ1211" s="165"/>
      <c r="AK1211" s="165"/>
      <c r="AL1211" s="165"/>
      <c r="AM1211" s="165"/>
      <c r="AN1211" s="165"/>
    </row>
    <row r="1212" spans="3:40">
      <c r="C1212" s="46"/>
      <c r="F1212" s="173"/>
      <c r="G1212" s="1"/>
      <c r="H1212" s="165"/>
      <c r="I1212" s="160"/>
      <c r="J1212" s="160"/>
      <c r="K1212" s="1"/>
      <c r="L1212" s="123"/>
      <c r="M1212" s="1"/>
      <c r="N1212" s="590"/>
      <c r="O1212" s="165"/>
      <c r="P1212" s="165"/>
      <c r="Q1212" s="165"/>
      <c r="R1212" s="165"/>
      <c r="S1212" s="165"/>
      <c r="V1212" s="46"/>
      <c r="W1212" s="46"/>
      <c r="X1212" s="1"/>
      <c r="Y1212" s="1"/>
      <c r="Z1212" s="173"/>
      <c r="AA1212" s="1"/>
      <c r="AB1212" s="165"/>
      <c r="AC1212" s="1"/>
      <c r="AD1212" s="1"/>
      <c r="AE1212" s="1"/>
      <c r="AF1212" s="46"/>
      <c r="AG1212" s="1"/>
      <c r="AH1212" s="165"/>
      <c r="AI1212" s="165"/>
      <c r="AJ1212" s="165"/>
      <c r="AK1212" s="165"/>
      <c r="AL1212" s="165"/>
      <c r="AM1212" s="165"/>
      <c r="AN1212" s="165"/>
    </row>
    <row r="1213" spans="3:40">
      <c r="C1213" s="46"/>
      <c r="F1213" s="173"/>
      <c r="G1213" s="1"/>
      <c r="H1213" s="165"/>
      <c r="I1213" s="160"/>
      <c r="J1213" s="160"/>
      <c r="K1213" s="1"/>
      <c r="L1213" s="123"/>
      <c r="M1213" s="1"/>
      <c r="N1213" s="590"/>
      <c r="O1213" s="165"/>
      <c r="P1213" s="165"/>
      <c r="Q1213" s="165"/>
      <c r="R1213" s="165"/>
      <c r="S1213" s="165"/>
      <c r="V1213" s="46"/>
      <c r="W1213" s="46"/>
      <c r="X1213" s="1"/>
      <c r="Y1213" s="1"/>
      <c r="Z1213" s="173"/>
      <c r="AA1213" s="1"/>
      <c r="AB1213" s="165"/>
      <c r="AC1213" s="1"/>
      <c r="AD1213" s="1"/>
      <c r="AE1213" s="1"/>
      <c r="AF1213" s="46"/>
      <c r="AG1213" s="1"/>
      <c r="AH1213" s="165"/>
      <c r="AI1213" s="165"/>
      <c r="AJ1213" s="165"/>
      <c r="AK1213" s="165"/>
      <c r="AL1213" s="165"/>
      <c r="AM1213" s="165"/>
      <c r="AN1213" s="165"/>
    </row>
    <row r="1214" spans="3:40">
      <c r="C1214" s="46"/>
      <c r="F1214" s="173"/>
      <c r="G1214" s="1"/>
      <c r="H1214" s="165"/>
      <c r="I1214" s="160"/>
      <c r="J1214" s="160"/>
      <c r="K1214" s="1"/>
      <c r="L1214" s="123"/>
      <c r="M1214" s="1"/>
      <c r="N1214" s="590"/>
      <c r="O1214" s="165"/>
      <c r="P1214" s="165"/>
      <c r="Q1214" s="165"/>
      <c r="R1214" s="165"/>
      <c r="S1214" s="165"/>
      <c r="V1214" s="46"/>
      <c r="W1214" s="46"/>
      <c r="X1214" s="1"/>
      <c r="Y1214" s="1"/>
      <c r="Z1214" s="173"/>
      <c r="AA1214" s="1"/>
      <c r="AB1214" s="165"/>
      <c r="AC1214" s="1"/>
      <c r="AD1214" s="1"/>
      <c r="AE1214" s="1"/>
      <c r="AF1214" s="46"/>
      <c r="AG1214" s="1"/>
      <c r="AH1214" s="165"/>
      <c r="AI1214" s="165"/>
      <c r="AJ1214" s="165"/>
      <c r="AK1214" s="165"/>
      <c r="AL1214" s="165"/>
      <c r="AM1214" s="165"/>
      <c r="AN1214" s="165"/>
    </row>
    <row r="1215" spans="3:40">
      <c r="C1215" s="46"/>
      <c r="F1215" s="173"/>
      <c r="G1215" s="1"/>
      <c r="H1215" s="165"/>
      <c r="I1215" s="160"/>
      <c r="J1215" s="160"/>
      <c r="K1215" s="1"/>
      <c r="L1215" s="123"/>
      <c r="M1215" s="1"/>
      <c r="N1215" s="590"/>
      <c r="O1215" s="165"/>
      <c r="P1215" s="165"/>
      <c r="Q1215" s="165"/>
      <c r="R1215" s="165"/>
      <c r="S1215" s="165"/>
      <c r="V1215" s="46"/>
      <c r="W1215" s="46"/>
      <c r="X1215" s="1"/>
      <c r="Y1215" s="1"/>
      <c r="Z1215" s="173"/>
      <c r="AA1215" s="1"/>
      <c r="AB1215" s="165"/>
      <c r="AC1215" s="1"/>
      <c r="AD1215" s="1"/>
      <c r="AE1215" s="1"/>
      <c r="AF1215" s="46"/>
      <c r="AG1215" s="1"/>
      <c r="AH1215" s="165"/>
      <c r="AI1215" s="165"/>
      <c r="AJ1215" s="165"/>
      <c r="AK1215" s="165"/>
      <c r="AL1215" s="165"/>
      <c r="AM1215" s="165"/>
      <c r="AN1215" s="165"/>
    </row>
    <row r="1216" spans="3:40">
      <c r="C1216" s="46"/>
      <c r="F1216" s="173"/>
      <c r="G1216" s="1"/>
      <c r="H1216" s="165"/>
      <c r="I1216" s="160"/>
      <c r="J1216" s="160"/>
      <c r="K1216" s="1"/>
      <c r="L1216" s="123"/>
      <c r="M1216" s="1"/>
      <c r="N1216" s="590"/>
      <c r="O1216" s="165"/>
      <c r="P1216" s="165"/>
      <c r="Q1216" s="165"/>
      <c r="R1216" s="165"/>
      <c r="S1216" s="165"/>
      <c r="V1216" s="46"/>
      <c r="W1216" s="46"/>
      <c r="X1216" s="1"/>
      <c r="Y1216" s="1"/>
      <c r="Z1216" s="173"/>
      <c r="AA1216" s="1"/>
      <c r="AB1216" s="165"/>
      <c r="AC1216" s="1"/>
      <c r="AD1216" s="1"/>
      <c r="AE1216" s="1"/>
      <c r="AF1216" s="46"/>
      <c r="AG1216" s="1"/>
      <c r="AH1216" s="165"/>
      <c r="AI1216" s="165"/>
      <c r="AJ1216" s="165"/>
      <c r="AK1216" s="165"/>
      <c r="AL1216" s="165"/>
      <c r="AM1216" s="165"/>
      <c r="AN1216" s="165"/>
    </row>
    <row r="1217" spans="3:40">
      <c r="C1217" s="46"/>
      <c r="F1217" s="173"/>
      <c r="G1217" s="1"/>
      <c r="H1217" s="165"/>
      <c r="I1217" s="160"/>
      <c r="J1217" s="160"/>
      <c r="K1217" s="1"/>
      <c r="L1217" s="123"/>
      <c r="M1217" s="1"/>
      <c r="N1217" s="590"/>
      <c r="O1217" s="165"/>
      <c r="P1217" s="165"/>
      <c r="Q1217" s="165"/>
      <c r="R1217" s="165"/>
      <c r="S1217" s="165"/>
      <c r="V1217" s="46"/>
      <c r="W1217" s="46"/>
      <c r="X1217" s="1"/>
      <c r="Y1217" s="1"/>
      <c r="Z1217" s="173"/>
      <c r="AA1217" s="1"/>
      <c r="AB1217" s="165"/>
      <c r="AC1217" s="1"/>
      <c r="AD1217" s="1"/>
      <c r="AE1217" s="1"/>
      <c r="AF1217" s="46"/>
      <c r="AG1217" s="1"/>
      <c r="AH1217" s="165"/>
      <c r="AI1217" s="165"/>
      <c r="AJ1217" s="165"/>
      <c r="AK1217" s="165"/>
      <c r="AL1217" s="165"/>
      <c r="AM1217" s="165"/>
      <c r="AN1217" s="165"/>
    </row>
    <row r="1218" spans="3:40">
      <c r="C1218" s="46"/>
      <c r="F1218" s="173"/>
      <c r="G1218" s="1"/>
      <c r="H1218" s="165"/>
      <c r="I1218" s="160"/>
      <c r="J1218" s="160"/>
      <c r="K1218" s="1"/>
      <c r="L1218" s="123"/>
      <c r="M1218" s="1"/>
      <c r="N1218" s="590"/>
      <c r="O1218" s="165"/>
      <c r="P1218" s="165"/>
      <c r="Q1218" s="165"/>
      <c r="R1218" s="165"/>
      <c r="S1218" s="165"/>
      <c r="V1218" s="46"/>
      <c r="W1218" s="46"/>
      <c r="X1218" s="1"/>
      <c r="Y1218" s="1"/>
      <c r="Z1218" s="173"/>
      <c r="AA1218" s="1"/>
      <c r="AB1218" s="165"/>
      <c r="AC1218" s="1"/>
      <c r="AD1218" s="1"/>
      <c r="AE1218" s="1"/>
      <c r="AF1218" s="46"/>
      <c r="AG1218" s="1"/>
      <c r="AH1218" s="165"/>
      <c r="AI1218" s="165"/>
      <c r="AJ1218" s="165"/>
      <c r="AK1218" s="165"/>
      <c r="AL1218" s="165"/>
      <c r="AM1218" s="165"/>
      <c r="AN1218" s="165"/>
    </row>
    <row r="1219" spans="3:40">
      <c r="C1219" s="46"/>
      <c r="F1219" s="173"/>
      <c r="G1219" s="1"/>
      <c r="H1219" s="165"/>
      <c r="I1219" s="160"/>
      <c r="J1219" s="160"/>
      <c r="K1219" s="1"/>
      <c r="L1219" s="123"/>
      <c r="M1219" s="1"/>
      <c r="N1219" s="590"/>
      <c r="O1219" s="165"/>
      <c r="P1219" s="165"/>
      <c r="Q1219" s="165"/>
      <c r="R1219" s="165"/>
      <c r="S1219" s="165"/>
      <c r="V1219" s="46"/>
      <c r="W1219" s="46"/>
      <c r="X1219" s="1"/>
      <c r="Y1219" s="1"/>
      <c r="Z1219" s="173"/>
      <c r="AA1219" s="1"/>
      <c r="AB1219" s="165"/>
      <c r="AC1219" s="1"/>
      <c r="AD1219" s="1"/>
      <c r="AE1219" s="1"/>
      <c r="AF1219" s="46"/>
      <c r="AG1219" s="1"/>
      <c r="AH1219" s="165"/>
      <c r="AI1219" s="165"/>
      <c r="AJ1219" s="165"/>
      <c r="AK1219" s="165"/>
      <c r="AL1219" s="165"/>
      <c r="AM1219" s="165"/>
      <c r="AN1219" s="165"/>
    </row>
    <row r="1220" spans="3:40">
      <c r="C1220" s="46"/>
      <c r="F1220" s="173"/>
      <c r="G1220" s="1"/>
      <c r="H1220" s="165"/>
      <c r="I1220" s="160"/>
      <c r="J1220" s="160"/>
      <c r="K1220" s="1"/>
      <c r="L1220" s="123"/>
      <c r="M1220" s="1"/>
      <c r="N1220" s="590"/>
      <c r="O1220" s="165"/>
      <c r="P1220" s="165"/>
      <c r="Q1220" s="165"/>
      <c r="R1220" s="165"/>
      <c r="S1220" s="165"/>
      <c r="V1220" s="46"/>
      <c r="W1220" s="46"/>
      <c r="X1220" s="1"/>
      <c r="Y1220" s="1"/>
      <c r="Z1220" s="173"/>
      <c r="AA1220" s="1"/>
      <c r="AB1220" s="165"/>
      <c r="AC1220" s="1"/>
      <c r="AD1220" s="1"/>
      <c r="AE1220" s="1"/>
      <c r="AF1220" s="46"/>
      <c r="AG1220" s="1"/>
      <c r="AH1220" s="165"/>
      <c r="AI1220" s="165"/>
      <c r="AJ1220" s="165"/>
      <c r="AK1220" s="165"/>
      <c r="AL1220" s="165"/>
      <c r="AM1220" s="165"/>
      <c r="AN1220" s="165"/>
    </row>
    <row r="1221" spans="3:40">
      <c r="C1221" s="46"/>
      <c r="F1221" s="173"/>
      <c r="G1221" s="1"/>
      <c r="H1221" s="165"/>
      <c r="I1221" s="160"/>
      <c r="J1221" s="160"/>
      <c r="K1221" s="1"/>
      <c r="L1221" s="123"/>
      <c r="M1221" s="1"/>
      <c r="N1221" s="590"/>
      <c r="O1221" s="165"/>
      <c r="P1221" s="165"/>
      <c r="Q1221" s="165"/>
      <c r="R1221" s="165"/>
      <c r="S1221" s="165"/>
      <c r="V1221" s="46"/>
      <c r="W1221" s="46"/>
      <c r="X1221" s="1"/>
      <c r="Y1221" s="1"/>
      <c r="Z1221" s="173"/>
      <c r="AA1221" s="1"/>
      <c r="AB1221" s="165"/>
      <c r="AC1221" s="1"/>
      <c r="AD1221" s="1"/>
      <c r="AE1221" s="1"/>
      <c r="AF1221" s="46"/>
      <c r="AG1221" s="1"/>
      <c r="AH1221" s="165"/>
      <c r="AI1221" s="165"/>
      <c r="AJ1221" s="165"/>
      <c r="AK1221" s="165"/>
      <c r="AL1221" s="165"/>
      <c r="AM1221" s="165"/>
      <c r="AN1221" s="165"/>
    </row>
    <row r="1222" spans="3:40">
      <c r="C1222" s="46"/>
      <c r="F1222" s="173"/>
      <c r="G1222" s="1"/>
      <c r="H1222" s="165"/>
      <c r="I1222" s="160"/>
      <c r="J1222" s="160"/>
      <c r="K1222" s="1"/>
      <c r="L1222" s="123"/>
      <c r="M1222" s="1"/>
      <c r="N1222" s="590"/>
      <c r="O1222" s="165"/>
      <c r="P1222" s="165"/>
      <c r="Q1222" s="165"/>
      <c r="R1222" s="165"/>
      <c r="S1222" s="165"/>
      <c r="V1222" s="46"/>
      <c r="W1222" s="46"/>
      <c r="X1222" s="1"/>
      <c r="Y1222" s="1"/>
      <c r="Z1222" s="173"/>
      <c r="AA1222" s="1"/>
      <c r="AB1222" s="165"/>
      <c r="AC1222" s="1"/>
      <c r="AD1222" s="1"/>
      <c r="AE1222" s="1"/>
      <c r="AF1222" s="46"/>
      <c r="AG1222" s="1"/>
      <c r="AH1222" s="165"/>
      <c r="AI1222" s="165"/>
      <c r="AJ1222" s="165"/>
      <c r="AK1222" s="165"/>
      <c r="AL1222" s="165"/>
      <c r="AM1222" s="165"/>
      <c r="AN1222" s="165"/>
    </row>
    <row r="1223" spans="3:40">
      <c r="C1223" s="46"/>
      <c r="F1223" s="173"/>
      <c r="G1223" s="1"/>
      <c r="H1223" s="165"/>
      <c r="I1223" s="160"/>
      <c r="J1223" s="160"/>
      <c r="K1223" s="1"/>
      <c r="L1223" s="123"/>
      <c r="M1223" s="1"/>
      <c r="N1223" s="590"/>
      <c r="O1223" s="165"/>
      <c r="P1223" s="165"/>
      <c r="Q1223" s="165"/>
      <c r="R1223" s="165"/>
      <c r="S1223" s="165"/>
      <c r="V1223" s="46"/>
      <c r="W1223" s="46"/>
      <c r="X1223" s="1"/>
      <c r="Y1223" s="1"/>
      <c r="Z1223" s="173"/>
      <c r="AA1223" s="1"/>
      <c r="AB1223" s="165"/>
      <c r="AC1223" s="1"/>
      <c r="AD1223" s="1"/>
      <c r="AE1223" s="1"/>
      <c r="AF1223" s="46"/>
      <c r="AG1223" s="1"/>
      <c r="AH1223" s="165"/>
      <c r="AI1223" s="165"/>
      <c r="AJ1223" s="165"/>
      <c r="AK1223" s="165"/>
      <c r="AL1223" s="165"/>
      <c r="AM1223" s="165"/>
      <c r="AN1223" s="165"/>
    </row>
    <row r="1224" spans="3:40">
      <c r="C1224" s="46"/>
      <c r="F1224" s="173"/>
      <c r="G1224" s="1"/>
      <c r="H1224" s="165"/>
      <c r="I1224" s="160"/>
      <c r="J1224" s="160"/>
      <c r="K1224" s="1"/>
      <c r="L1224" s="123"/>
      <c r="M1224" s="1"/>
      <c r="N1224" s="590"/>
      <c r="O1224" s="165"/>
      <c r="P1224" s="165"/>
      <c r="Q1224" s="165"/>
      <c r="R1224" s="165"/>
      <c r="S1224" s="165"/>
      <c r="V1224" s="46"/>
      <c r="W1224" s="46"/>
      <c r="X1224" s="1"/>
      <c r="Y1224" s="1"/>
      <c r="Z1224" s="173"/>
      <c r="AA1224" s="1"/>
      <c r="AB1224" s="165"/>
      <c r="AC1224" s="1"/>
      <c r="AD1224" s="1"/>
      <c r="AE1224" s="1"/>
      <c r="AF1224" s="46"/>
      <c r="AG1224" s="1"/>
      <c r="AH1224" s="165"/>
      <c r="AI1224" s="165"/>
      <c r="AJ1224" s="165"/>
      <c r="AK1224" s="165"/>
      <c r="AL1224" s="165"/>
      <c r="AM1224" s="165"/>
      <c r="AN1224" s="165"/>
    </row>
    <row r="1225" spans="3:40">
      <c r="C1225" s="46"/>
      <c r="F1225" s="173"/>
      <c r="G1225" s="1"/>
      <c r="H1225" s="165"/>
      <c r="I1225" s="160"/>
      <c r="J1225" s="160"/>
      <c r="K1225" s="1"/>
      <c r="L1225" s="123"/>
      <c r="M1225" s="1"/>
      <c r="N1225" s="590"/>
      <c r="O1225" s="165"/>
      <c r="P1225" s="165"/>
      <c r="Q1225" s="165"/>
      <c r="R1225" s="165"/>
      <c r="S1225" s="165"/>
      <c r="V1225" s="46"/>
      <c r="W1225" s="46"/>
      <c r="X1225" s="1"/>
      <c r="Y1225" s="1"/>
      <c r="Z1225" s="173"/>
      <c r="AA1225" s="1"/>
      <c r="AB1225" s="165"/>
      <c r="AC1225" s="1"/>
      <c r="AD1225" s="1"/>
      <c r="AE1225" s="1"/>
      <c r="AF1225" s="46"/>
      <c r="AG1225" s="1"/>
      <c r="AH1225" s="165"/>
      <c r="AI1225" s="165"/>
      <c r="AJ1225" s="165"/>
      <c r="AK1225" s="165"/>
      <c r="AL1225" s="165"/>
      <c r="AM1225" s="165"/>
      <c r="AN1225" s="165"/>
    </row>
    <row r="1226" spans="3:40">
      <c r="C1226" s="46"/>
      <c r="F1226" s="173"/>
      <c r="G1226" s="1"/>
      <c r="H1226" s="165"/>
      <c r="I1226" s="160"/>
      <c r="J1226" s="160"/>
      <c r="K1226" s="1"/>
      <c r="L1226" s="123"/>
      <c r="M1226" s="1"/>
      <c r="N1226" s="590"/>
      <c r="O1226" s="165"/>
      <c r="P1226" s="165"/>
      <c r="Q1226" s="165"/>
      <c r="R1226" s="165"/>
      <c r="S1226" s="165"/>
      <c r="V1226" s="46"/>
      <c r="W1226" s="46"/>
      <c r="X1226" s="1"/>
      <c r="Y1226" s="1"/>
      <c r="Z1226" s="173"/>
      <c r="AA1226" s="1"/>
      <c r="AB1226" s="165"/>
      <c r="AC1226" s="1"/>
      <c r="AD1226" s="1"/>
      <c r="AE1226" s="1"/>
      <c r="AF1226" s="46"/>
      <c r="AG1226" s="1"/>
      <c r="AH1226" s="165"/>
      <c r="AI1226" s="165"/>
      <c r="AJ1226" s="165"/>
      <c r="AK1226" s="165"/>
      <c r="AL1226" s="165"/>
      <c r="AM1226" s="165"/>
      <c r="AN1226" s="165"/>
    </row>
    <row r="1227" spans="3:40">
      <c r="C1227" s="46"/>
      <c r="F1227" s="173"/>
      <c r="G1227" s="1"/>
      <c r="H1227" s="165"/>
      <c r="I1227" s="160"/>
      <c r="J1227" s="160"/>
      <c r="K1227" s="1"/>
      <c r="L1227" s="123"/>
      <c r="M1227" s="1"/>
      <c r="N1227" s="590"/>
      <c r="O1227" s="165"/>
      <c r="P1227" s="165"/>
      <c r="Q1227" s="165"/>
      <c r="R1227" s="165"/>
      <c r="S1227" s="165"/>
      <c r="V1227" s="46"/>
      <c r="W1227" s="46"/>
      <c r="X1227" s="1"/>
      <c r="Y1227" s="1"/>
      <c r="Z1227" s="173"/>
      <c r="AA1227" s="1"/>
      <c r="AB1227" s="165"/>
      <c r="AC1227" s="1"/>
      <c r="AD1227" s="1"/>
      <c r="AE1227" s="1"/>
      <c r="AF1227" s="46"/>
      <c r="AG1227" s="1"/>
      <c r="AH1227" s="165"/>
      <c r="AI1227" s="165"/>
      <c r="AJ1227" s="165"/>
      <c r="AK1227" s="165"/>
      <c r="AL1227" s="165"/>
      <c r="AM1227" s="165"/>
      <c r="AN1227" s="165"/>
    </row>
    <row r="1228" spans="3:40">
      <c r="C1228" s="46"/>
      <c r="F1228" s="173"/>
      <c r="G1228" s="1"/>
      <c r="H1228" s="165"/>
      <c r="I1228" s="160"/>
      <c r="J1228" s="160"/>
      <c r="K1228" s="1"/>
      <c r="L1228" s="123"/>
      <c r="M1228" s="1"/>
      <c r="N1228" s="590"/>
      <c r="O1228" s="165"/>
      <c r="P1228" s="165"/>
      <c r="Q1228" s="165"/>
      <c r="R1228" s="165"/>
      <c r="S1228" s="165"/>
      <c r="V1228" s="46"/>
      <c r="W1228" s="46"/>
      <c r="X1228" s="1"/>
      <c r="Y1228" s="1"/>
      <c r="Z1228" s="173"/>
      <c r="AA1228" s="1"/>
      <c r="AB1228" s="165"/>
      <c r="AC1228" s="1"/>
      <c r="AD1228" s="1"/>
      <c r="AE1228" s="1"/>
      <c r="AF1228" s="46"/>
      <c r="AG1228" s="1"/>
      <c r="AH1228" s="165"/>
      <c r="AI1228" s="165"/>
      <c r="AJ1228" s="165"/>
      <c r="AK1228" s="165"/>
      <c r="AL1228" s="165"/>
      <c r="AM1228" s="165"/>
      <c r="AN1228" s="165"/>
    </row>
    <row r="1229" spans="3:40">
      <c r="C1229" s="46"/>
      <c r="F1229" s="173"/>
      <c r="G1229" s="1"/>
      <c r="H1229" s="165"/>
      <c r="I1229" s="160"/>
      <c r="J1229" s="160"/>
      <c r="K1229" s="1"/>
      <c r="L1229" s="123"/>
      <c r="M1229" s="1"/>
      <c r="N1229" s="590"/>
      <c r="O1229" s="165"/>
      <c r="P1229" s="165"/>
      <c r="Q1229" s="165"/>
      <c r="R1229" s="165"/>
      <c r="S1229" s="165"/>
      <c r="V1229" s="46"/>
      <c r="W1229" s="46"/>
      <c r="X1229" s="1"/>
      <c r="Y1229" s="1"/>
      <c r="Z1229" s="173"/>
      <c r="AA1229" s="1"/>
      <c r="AB1229" s="165"/>
      <c r="AC1229" s="1"/>
      <c r="AD1229" s="1"/>
      <c r="AE1229" s="1"/>
      <c r="AF1229" s="46"/>
      <c r="AG1229" s="1"/>
      <c r="AH1229" s="165"/>
      <c r="AI1229" s="165"/>
      <c r="AJ1229" s="165"/>
      <c r="AK1229" s="165"/>
      <c r="AL1229" s="165"/>
      <c r="AM1229" s="165"/>
      <c r="AN1229" s="165"/>
    </row>
    <row r="1230" spans="3:40">
      <c r="C1230" s="46"/>
      <c r="F1230" s="173"/>
      <c r="G1230" s="1"/>
      <c r="H1230" s="165"/>
      <c r="I1230" s="160"/>
      <c r="J1230" s="160"/>
      <c r="K1230" s="1"/>
      <c r="L1230" s="123"/>
      <c r="M1230" s="1"/>
      <c r="N1230" s="590"/>
      <c r="O1230" s="165"/>
      <c r="P1230" s="165"/>
      <c r="Q1230" s="165"/>
      <c r="R1230" s="165"/>
      <c r="S1230" s="165"/>
      <c r="V1230" s="46"/>
      <c r="W1230" s="46"/>
      <c r="X1230" s="1"/>
      <c r="Y1230" s="1"/>
      <c r="Z1230" s="173"/>
      <c r="AA1230" s="1"/>
      <c r="AB1230" s="165"/>
      <c r="AC1230" s="1"/>
      <c r="AD1230" s="1"/>
      <c r="AE1230" s="1"/>
      <c r="AF1230" s="46"/>
      <c r="AG1230" s="1"/>
      <c r="AH1230" s="165"/>
      <c r="AI1230" s="165"/>
      <c r="AJ1230" s="165"/>
      <c r="AK1230" s="165"/>
      <c r="AL1230" s="165"/>
      <c r="AM1230" s="165"/>
      <c r="AN1230" s="165"/>
    </row>
    <row r="1231" spans="3:40">
      <c r="C1231" s="46"/>
      <c r="F1231" s="173"/>
      <c r="G1231" s="1"/>
      <c r="H1231" s="165"/>
      <c r="I1231" s="160"/>
      <c r="J1231" s="160"/>
      <c r="K1231" s="1"/>
      <c r="L1231" s="123"/>
      <c r="M1231" s="1"/>
      <c r="N1231" s="590"/>
      <c r="O1231" s="165"/>
      <c r="P1231" s="165"/>
      <c r="Q1231" s="165"/>
      <c r="R1231" s="165"/>
      <c r="S1231" s="165"/>
      <c r="V1231" s="46"/>
      <c r="W1231" s="46"/>
      <c r="X1231" s="1"/>
      <c r="Y1231" s="1"/>
      <c r="Z1231" s="173"/>
      <c r="AA1231" s="1"/>
      <c r="AB1231" s="165"/>
      <c r="AC1231" s="1"/>
      <c r="AD1231" s="1"/>
      <c r="AE1231" s="1"/>
      <c r="AF1231" s="46"/>
      <c r="AG1231" s="1"/>
      <c r="AH1231" s="165"/>
      <c r="AI1231" s="165"/>
      <c r="AJ1231" s="165"/>
      <c r="AK1231" s="165"/>
      <c r="AL1231" s="165"/>
      <c r="AM1231" s="165"/>
      <c r="AN1231" s="165"/>
    </row>
    <row r="1232" spans="3:40">
      <c r="C1232" s="46"/>
      <c r="F1232" s="173"/>
      <c r="G1232" s="1"/>
      <c r="H1232" s="165"/>
      <c r="I1232" s="160"/>
      <c r="J1232" s="160"/>
      <c r="K1232" s="1"/>
      <c r="L1232" s="123"/>
      <c r="M1232" s="1"/>
      <c r="N1232" s="590"/>
      <c r="O1232" s="165"/>
      <c r="P1232" s="165"/>
      <c r="Q1232" s="165"/>
      <c r="R1232" s="165"/>
      <c r="S1232" s="165"/>
      <c r="V1232" s="46"/>
      <c r="W1232" s="46"/>
      <c r="X1232" s="1"/>
      <c r="Y1232" s="1"/>
      <c r="Z1232" s="173"/>
      <c r="AA1232" s="1"/>
      <c r="AB1232" s="165"/>
      <c r="AC1232" s="1"/>
      <c r="AD1232" s="1"/>
      <c r="AE1232" s="1"/>
      <c r="AF1232" s="46"/>
      <c r="AG1232" s="1"/>
      <c r="AH1232" s="165"/>
      <c r="AI1232" s="165"/>
      <c r="AJ1232" s="165"/>
      <c r="AK1232" s="165"/>
      <c r="AL1232" s="165"/>
      <c r="AM1232" s="165"/>
      <c r="AN1232" s="165"/>
    </row>
    <row r="1233" spans="3:40">
      <c r="C1233" s="46"/>
      <c r="F1233" s="173"/>
      <c r="G1233" s="1"/>
      <c r="H1233" s="165"/>
      <c r="I1233" s="160"/>
      <c r="J1233" s="160"/>
      <c r="K1233" s="1"/>
      <c r="L1233" s="123"/>
      <c r="M1233" s="1"/>
      <c r="N1233" s="590"/>
      <c r="O1233" s="165"/>
      <c r="P1233" s="165"/>
      <c r="Q1233" s="165"/>
      <c r="R1233" s="165"/>
      <c r="S1233" s="165"/>
      <c r="V1233" s="46"/>
      <c r="W1233" s="46"/>
      <c r="X1233" s="1"/>
      <c r="Y1233" s="1"/>
      <c r="Z1233" s="173"/>
      <c r="AA1233" s="1"/>
      <c r="AB1233" s="165"/>
      <c r="AC1233" s="1"/>
      <c r="AD1233" s="1"/>
      <c r="AE1233" s="1"/>
      <c r="AF1233" s="46"/>
      <c r="AG1233" s="1"/>
      <c r="AH1233" s="165"/>
      <c r="AI1233" s="165"/>
      <c r="AJ1233" s="165"/>
      <c r="AK1233" s="165"/>
      <c r="AL1233" s="165"/>
      <c r="AM1233" s="165"/>
      <c r="AN1233" s="165"/>
    </row>
    <row r="1234" spans="3:40">
      <c r="C1234" s="46"/>
      <c r="F1234" s="173"/>
      <c r="G1234" s="1"/>
      <c r="H1234" s="165"/>
      <c r="I1234" s="160"/>
      <c r="J1234" s="160"/>
      <c r="K1234" s="1"/>
      <c r="L1234" s="123"/>
      <c r="M1234" s="1"/>
      <c r="N1234" s="590"/>
      <c r="O1234" s="165"/>
      <c r="P1234" s="165"/>
      <c r="Q1234" s="165"/>
      <c r="R1234" s="165"/>
      <c r="S1234" s="165"/>
      <c r="V1234" s="46"/>
      <c r="W1234" s="46"/>
      <c r="X1234" s="1"/>
      <c r="Y1234" s="1"/>
      <c r="Z1234" s="173"/>
      <c r="AA1234" s="1"/>
      <c r="AB1234" s="165"/>
      <c r="AC1234" s="1"/>
      <c r="AD1234" s="1"/>
      <c r="AE1234" s="1"/>
      <c r="AF1234" s="46"/>
      <c r="AG1234" s="1"/>
      <c r="AH1234" s="165"/>
      <c r="AI1234" s="165"/>
      <c r="AJ1234" s="165"/>
      <c r="AK1234" s="165"/>
      <c r="AL1234" s="165"/>
      <c r="AM1234" s="165"/>
      <c r="AN1234" s="165"/>
    </row>
    <row r="1235" spans="3:40">
      <c r="C1235" s="46"/>
      <c r="F1235" s="173"/>
      <c r="G1235" s="1"/>
      <c r="H1235" s="165"/>
      <c r="I1235" s="160"/>
      <c r="J1235" s="160"/>
      <c r="K1235" s="1"/>
      <c r="L1235" s="123"/>
      <c r="M1235" s="1"/>
      <c r="N1235" s="590"/>
      <c r="O1235" s="165"/>
      <c r="P1235" s="165"/>
      <c r="Q1235" s="165"/>
      <c r="R1235" s="165"/>
      <c r="S1235" s="165"/>
      <c r="V1235" s="46"/>
      <c r="W1235" s="46"/>
      <c r="X1235" s="1"/>
      <c r="Y1235" s="1"/>
      <c r="Z1235" s="173"/>
      <c r="AA1235" s="1"/>
      <c r="AB1235" s="165"/>
      <c r="AC1235" s="1"/>
      <c r="AD1235" s="1"/>
      <c r="AE1235" s="1"/>
      <c r="AF1235" s="46"/>
      <c r="AG1235" s="1"/>
      <c r="AH1235" s="165"/>
      <c r="AI1235" s="165"/>
      <c r="AJ1235" s="165"/>
      <c r="AK1235" s="165"/>
      <c r="AL1235" s="165"/>
      <c r="AM1235" s="165"/>
      <c r="AN1235" s="165"/>
    </row>
    <row r="1236" spans="3:40">
      <c r="C1236" s="46"/>
      <c r="F1236" s="173"/>
      <c r="G1236" s="1"/>
      <c r="H1236" s="165"/>
      <c r="I1236" s="160"/>
      <c r="J1236" s="160"/>
      <c r="K1236" s="1"/>
      <c r="L1236" s="123"/>
      <c r="M1236" s="1"/>
      <c r="N1236" s="590"/>
      <c r="O1236" s="165"/>
      <c r="P1236" s="165"/>
      <c r="Q1236" s="165"/>
      <c r="R1236" s="165"/>
      <c r="S1236" s="165"/>
      <c r="V1236" s="46"/>
      <c r="W1236" s="46"/>
      <c r="X1236" s="1"/>
      <c r="Y1236" s="1"/>
      <c r="Z1236" s="173"/>
      <c r="AA1236" s="1"/>
      <c r="AB1236" s="165"/>
      <c r="AC1236" s="1"/>
      <c r="AD1236" s="1"/>
      <c r="AE1236" s="1"/>
      <c r="AF1236" s="46"/>
      <c r="AG1236" s="1"/>
      <c r="AH1236" s="165"/>
      <c r="AI1236" s="165"/>
      <c r="AJ1236" s="165"/>
      <c r="AK1236" s="165"/>
      <c r="AL1236" s="165"/>
      <c r="AM1236" s="165"/>
      <c r="AN1236" s="165"/>
    </row>
    <row r="1237" spans="3:40">
      <c r="C1237" s="46"/>
      <c r="F1237" s="173"/>
      <c r="G1237" s="1"/>
      <c r="H1237" s="165"/>
      <c r="I1237" s="160"/>
      <c r="J1237" s="160"/>
      <c r="K1237" s="1"/>
      <c r="L1237" s="123"/>
      <c r="M1237" s="1"/>
      <c r="N1237" s="590"/>
      <c r="O1237" s="165"/>
      <c r="P1237" s="165"/>
      <c r="Q1237" s="165"/>
      <c r="R1237" s="165"/>
      <c r="S1237" s="165"/>
      <c r="V1237" s="46"/>
      <c r="W1237" s="46"/>
      <c r="X1237" s="1"/>
      <c r="Y1237" s="1"/>
      <c r="Z1237" s="173"/>
      <c r="AA1237" s="1"/>
      <c r="AB1237" s="165"/>
      <c r="AC1237" s="1"/>
      <c r="AD1237" s="1"/>
      <c r="AE1237" s="1"/>
      <c r="AF1237" s="46"/>
      <c r="AG1237" s="1"/>
      <c r="AH1237" s="165"/>
      <c r="AI1237" s="165"/>
      <c r="AJ1237" s="165"/>
      <c r="AK1237" s="165"/>
      <c r="AL1237" s="165"/>
      <c r="AM1237" s="165"/>
      <c r="AN1237" s="165"/>
    </row>
    <row r="1238" spans="3:40">
      <c r="C1238" s="46"/>
      <c r="F1238" s="173"/>
      <c r="G1238" s="1"/>
      <c r="H1238" s="165"/>
      <c r="I1238" s="160"/>
      <c r="J1238" s="160"/>
      <c r="K1238" s="1"/>
      <c r="L1238" s="123"/>
      <c r="M1238" s="1"/>
      <c r="N1238" s="590"/>
      <c r="O1238" s="165"/>
      <c r="P1238" s="165"/>
      <c r="Q1238" s="165"/>
      <c r="R1238" s="165"/>
      <c r="S1238" s="165"/>
      <c r="V1238" s="46"/>
      <c r="W1238" s="46"/>
      <c r="X1238" s="1"/>
      <c r="Y1238" s="1"/>
      <c r="Z1238" s="173"/>
      <c r="AA1238" s="1"/>
      <c r="AB1238" s="165"/>
      <c r="AC1238" s="1"/>
      <c r="AD1238" s="1"/>
      <c r="AE1238" s="1"/>
      <c r="AF1238" s="46"/>
      <c r="AG1238" s="1"/>
      <c r="AH1238" s="165"/>
      <c r="AI1238" s="165"/>
      <c r="AJ1238" s="165"/>
      <c r="AK1238" s="165"/>
      <c r="AL1238" s="165"/>
      <c r="AM1238" s="165"/>
      <c r="AN1238" s="165"/>
    </row>
    <row r="1239" spans="3:40">
      <c r="C1239" s="46"/>
      <c r="F1239" s="173"/>
      <c r="G1239" s="1"/>
      <c r="H1239" s="165"/>
      <c r="I1239" s="160"/>
      <c r="J1239" s="160"/>
      <c r="K1239" s="1"/>
      <c r="L1239" s="123"/>
      <c r="M1239" s="1"/>
      <c r="N1239" s="590"/>
      <c r="O1239" s="165"/>
      <c r="P1239" s="165"/>
      <c r="Q1239" s="165"/>
      <c r="R1239" s="165"/>
      <c r="S1239" s="165"/>
      <c r="V1239" s="46"/>
      <c r="W1239" s="46"/>
      <c r="X1239" s="1"/>
      <c r="Y1239" s="1"/>
      <c r="Z1239" s="173"/>
      <c r="AA1239" s="1"/>
      <c r="AB1239" s="165"/>
      <c r="AC1239" s="1"/>
      <c r="AD1239" s="1"/>
      <c r="AE1239" s="1"/>
      <c r="AF1239" s="46"/>
      <c r="AG1239" s="1"/>
      <c r="AH1239" s="165"/>
      <c r="AI1239" s="165"/>
      <c r="AJ1239" s="165"/>
      <c r="AK1239" s="165"/>
      <c r="AL1239" s="165"/>
      <c r="AM1239" s="165"/>
      <c r="AN1239" s="165"/>
    </row>
    <row r="1240" spans="3:40">
      <c r="C1240" s="46"/>
      <c r="F1240" s="173"/>
      <c r="G1240" s="1"/>
      <c r="H1240" s="165"/>
      <c r="I1240" s="160"/>
      <c r="J1240" s="160"/>
      <c r="K1240" s="1"/>
      <c r="L1240" s="123"/>
      <c r="M1240" s="1"/>
      <c r="N1240" s="590"/>
      <c r="O1240" s="165"/>
      <c r="P1240" s="165"/>
      <c r="Q1240" s="165"/>
      <c r="R1240" s="165"/>
      <c r="S1240" s="165"/>
      <c r="V1240" s="46"/>
      <c r="W1240" s="46"/>
      <c r="X1240" s="1"/>
      <c r="Y1240" s="1"/>
      <c r="Z1240" s="173"/>
      <c r="AA1240" s="1"/>
      <c r="AB1240" s="165"/>
      <c r="AC1240" s="1"/>
      <c r="AD1240" s="1"/>
      <c r="AE1240" s="1"/>
      <c r="AF1240" s="46"/>
      <c r="AG1240" s="1"/>
      <c r="AH1240" s="165"/>
      <c r="AI1240" s="165"/>
      <c r="AJ1240" s="165"/>
      <c r="AK1240" s="165"/>
      <c r="AL1240" s="165"/>
      <c r="AM1240" s="165"/>
      <c r="AN1240" s="165"/>
    </row>
    <row r="1241" spans="3:40">
      <c r="C1241" s="46"/>
      <c r="F1241" s="173"/>
      <c r="G1241" s="1"/>
      <c r="H1241" s="165"/>
      <c r="I1241" s="160"/>
      <c r="J1241" s="160"/>
      <c r="K1241" s="1"/>
      <c r="L1241" s="123"/>
      <c r="M1241" s="1"/>
      <c r="N1241" s="590"/>
      <c r="O1241" s="165"/>
      <c r="P1241" s="165"/>
      <c r="Q1241" s="165"/>
      <c r="R1241" s="165"/>
      <c r="S1241" s="165"/>
      <c r="V1241" s="46"/>
      <c r="W1241" s="46"/>
      <c r="X1241" s="1"/>
      <c r="Y1241" s="1"/>
      <c r="Z1241" s="173"/>
      <c r="AA1241" s="1"/>
      <c r="AB1241" s="165"/>
      <c r="AC1241" s="1"/>
      <c r="AD1241" s="1"/>
      <c r="AE1241" s="1"/>
      <c r="AF1241" s="46"/>
      <c r="AG1241" s="1"/>
      <c r="AH1241" s="165"/>
      <c r="AI1241" s="165"/>
      <c r="AJ1241" s="165"/>
      <c r="AK1241" s="165"/>
      <c r="AL1241" s="165"/>
      <c r="AM1241" s="165"/>
      <c r="AN1241" s="165"/>
    </row>
    <row r="1242" spans="3:40">
      <c r="C1242" s="46"/>
      <c r="F1242" s="173"/>
      <c r="G1242" s="1"/>
      <c r="H1242" s="165"/>
      <c r="I1242" s="160"/>
      <c r="J1242" s="160"/>
      <c r="K1242" s="1"/>
      <c r="L1242" s="123"/>
      <c r="M1242" s="1"/>
      <c r="N1242" s="590"/>
      <c r="O1242" s="165"/>
      <c r="P1242" s="165"/>
      <c r="Q1242" s="165"/>
      <c r="R1242" s="165"/>
      <c r="S1242" s="165"/>
      <c r="V1242" s="46"/>
      <c r="W1242" s="46"/>
      <c r="X1242" s="1"/>
      <c r="Y1242" s="1"/>
      <c r="Z1242" s="173"/>
      <c r="AA1242" s="1"/>
      <c r="AB1242" s="165"/>
      <c r="AC1242" s="1"/>
      <c r="AD1242" s="1"/>
      <c r="AE1242" s="1"/>
      <c r="AF1242" s="46"/>
      <c r="AG1242" s="1"/>
      <c r="AH1242" s="165"/>
      <c r="AI1242" s="165"/>
      <c r="AJ1242" s="165"/>
      <c r="AK1242" s="165"/>
      <c r="AL1242" s="165"/>
      <c r="AM1242" s="165"/>
      <c r="AN1242" s="165"/>
    </row>
    <row r="1243" spans="3:40">
      <c r="C1243" s="46"/>
      <c r="F1243" s="173"/>
      <c r="G1243" s="1"/>
      <c r="H1243" s="165"/>
      <c r="I1243" s="160"/>
      <c r="J1243" s="160"/>
      <c r="K1243" s="1"/>
      <c r="L1243" s="123"/>
      <c r="M1243" s="1"/>
      <c r="N1243" s="590"/>
      <c r="O1243" s="165"/>
      <c r="P1243" s="165"/>
      <c r="Q1243" s="165"/>
      <c r="R1243" s="165"/>
      <c r="S1243" s="165"/>
      <c r="V1243" s="46"/>
      <c r="W1243" s="46"/>
      <c r="X1243" s="1"/>
      <c r="Y1243" s="1"/>
      <c r="Z1243" s="173"/>
      <c r="AA1243" s="1"/>
      <c r="AB1243" s="165"/>
      <c r="AC1243" s="1"/>
      <c r="AD1243" s="1"/>
      <c r="AE1243" s="1"/>
      <c r="AF1243" s="46"/>
      <c r="AG1243" s="1"/>
      <c r="AH1243" s="165"/>
      <c r="AI1243" s="165"/>
      <c r="AJ1243" s="165"/>
      <c r="AK1243" s="165"/>
      <c r="AL1243" s="165"/>
      <c r="AM1243" s="165"/>
      <c r="AN1243" s="165"/>
    </row>
    <row r="1244" spans="3:40">
      <c r="C1244" s="46"/>
      <c r="F1244" s="173"/>
      <c r="G1244" s="1"/>
      <c r="H1244" s="165"/>
      <c r="I1244" s="160"/>
      <c r="J1244" s="160"/>
      <c r="K1244" s="1"/>
      <c r="L1244" s="123"/>
      <c r="M1244" s="1"/>
      <c r="N1244" s="590"/>
      <c r="O1244" s="165"/>
      <c r="P1244" s="165"/>
      <c r="Q1244" s="165"/>
      <c r="R1244" s="165"/>
      <c r="S1244" s="165"/>
      <c r="V1244" s="46"/>
      <c r="W1244" s="46"/>
      <c r="X1244" s="1"/>
      <c r="Y1244" s="1"/>
      <c r="Z1244" s="173"/>
      <c r="AA1244" s="1"/>
      <c r="AB1244" s="165"/>
      <c r="AC1244" s="1"/>
      <c r="AD1244" s="1"/>
      <c r="AE1244" s="1"/>
      <c r="AF1244" s="46"/>
      <c r="AG1244" s="1"/>
      <c r="AH1244" s="165"/>
      <c r="AI1244" s="165"/>
      <c r="AJ1244" s="165"/>
      <c r="AK1244" s="165"/>
      <c r="AL1244" s="165"/>
      <c r="AM1244" s="165"/>
      <c r="AN1244" s="165"/>
    </row>
    <row r="1245" spans="3:40">
      <c r="C1245" s="46"/>
      <c r="F1245" s="173"/>
      <c r="G1245" s="1"/>
      <c r="H1245" s="165"/>
      <c r="I1245" s="160"/>
      <c r="J1245" s="160"/>
      <c r="K1245" s="1"/>
      <c r="L1245" s="123"/>
      <c r="M1245" s="1"/>
      <c r="N1245" s="590"/>
      <c r="O1245" s="165"/>
      <c r="P1245" s="165"/>
      <c r="Q1245" s="165"/>
      <c r="R1245" s="165"/>
      <c r="S1245" s="165"/>
      <c r="V1245" s="46"/>
      <c r="W1245" s="46"/>
      <c r="X1245" s="1"/>
      <c r="Y1245" s="1"/>
      <c r="Z1245" s="173"/>
      <c r="AA1245" s="1"/>
      <c r="AB1245" s="165"/>
      <c r="AC1245" s="1"/>
      <c r="AD1245" s="1"/>
      <c r="AE1245" s="1"/>
      <c r="AF1245" s="46"/>
      <c r="AG1245" s="1"/>
      <c r="AH1245" s="165"/>
      <c r="AI1245" s="165"/>
      <c r="AJ1245" s="165"/>
      <c r="AK1245" s="165"/>
      <c r="AL1245" s="165"/>
      <c r="AM1245" s="165"/>
      <c r="AN1245" s="165"/>
    </row>
    <row r="1246" spans="3:40">
      <c r="C1246" s="46"/>
      <c r="F1246" s="173"/>
      <c r="G1246" s="1"/>
      <c r="H1246" s="165"/>
      <c r="I1246" s="160"/>
      <c r="J1246" s="160"/>
      <c r="K1246" s="1"/>
      <c r="L1246" s="123"/>
      <c r="M1246" s="1"/>
      <c r="N1246" s="590"/>
      <c r="O1246" s="165"/>
      <c r="P1246" s="165"/>
      <c r="Q1246" s="165"/>
      <c r="R1246" s="165"/>
      <c r="S1246" s="165"/>
      <c r="V1246" s="46"/>
      <c r="W1246" s="46"/>
      <c r="X1246" s="1"/>
      <c r="Y1246" s="1"/>
      <c r="Z1246" s="173"/>
      <c r="AA1246" s="1"/>
      <c r="AB1246" s="165"/>
      <c r="AC1246" s="1"/>
      <c r="AD1246" s="1"/>
      <c r="AE1246" s="1"/>
      <c r="AF1246" s="46"/>
      <c r="AG1246" s="1"/>
      <c r="AH1246" s="165"/>
      <c r="AI1246" s="165"/>
      <c r="AJ1246" s="165"/>
      <c r="AK1246" s="165"/>
      <c r="AL1246" s="165"/>
      <c r="AM1246" s="165"/>
      <c r="AN1246" s="165"/>
    </row>
    <row r="1247" spans="3:40">
      <c r="C1247" s="46"/>
      <c r="F1247" s="173"/>
      <c r="G1247" s="1"/>
      <c r="H1247" s="165"/>
      <c r="I1247" s="160"/>
      <c r="J1247" s="160"/>
      <c r="K1247" s="1"/>
      <c r="L1247" s="123"/>
      <c r="M1247" s="1"/>
      <c r="N1247" s="590"/>
      <c r="O1247" s="165"/>
      <c r="P1247" s="165"/>
      <c r="Q1247" s="165"/>
      <c r="R1247" s="165"/>
      <c r="S1247" s="165"/>
      <c r="V1247" s="46"/>
      <c r="W1247" s="46"/>
      <c r="X1247" s="1"/>
      <c r="Y1247" s="1"/>
      <c r="Z1247" s="173"/>
      <c r="AA1247" s="1"/>
      <c r="AB1247" s="165"/>
      <c r="AC1247" s="1"/>
      <c r="AD1247" s="1"/>
      <c r="AE1247" s="1"/>
      <c r="AF1247" s="46"/>
      <c r="AG1247" s="1"/>
      <c r="AH1247" s="165"/>
      <c r="AI1247" s="165"/>
      <c r="AJ1247" s="165"/>
      <c r="AK1247" s="165"/>
      <c r="AL1247" s="165"/>
      <c r="AM1247" s="165"/>
      <c r="AN1247" s="165"/>
    </row>
    <row r="1248" spans="3:40">
      <c r="C1248" s="46"/>
      <c r="F1248" s="173"/>
      <c r="G1248" s="1"/>
      <c r="H1248" s="165"/>
      <c r="I1248" s="160"/>
      <c r="J1248" s="160"/>
      <c r="K1248" s="1"/>
      <c r="L1248" s="123"/>
      <c r="M1248" s="1"/>
      <c r="N1248" s="590"/>
      <c r="O1248" s="165"/>
      <c r="P1248" s="165"/>
      <c r="Q1248" s="165"/>
      <c r="R1248" s="165"/>
      <c r="S1248" s="165"/>
      <c r="V1248" s="46"/>
      <c r="W1248" s="46"/>
      <c r="X1248" s="1"/>
      <c r="Y1248" s="1"/>
      <c r="Z1248" s="173"/>
      <c r="AA1248" s="1"/>
      <c r="AB1248" s="165"/>
      <c r="AC1248" s="1"/>
      <c r="AD1248" s="1"/>
      <c r="AE1248" s="1"/>
      <c r="AF1248" s="46"/>
      <c r="AG1248" s="1"/>
      <c r="AH1248" s="165"/>
      <c r="AI1248" s="165"/>
      <c r="AJ1248" s="165"/>
      <c r="AK1248" s="165"/>
      <c r="AL1248" s="165"/>
      <c r="AM1248" s="165"/>
      <c r="AN1248" s="165"/>
    </row>
    <row r="1249" spans="3:40">
      <c r="C1249" s="46"/>
      <c r="F1249" s="173"/>
      <c r="G1249" s="1"/>
      <c r="H1249" s="165"/>
      <c r="I1249" s="160"/>
      <c r="J1249" s="160"/>
      <c r="K1249" s="1"/>
      <c r="L1249" s="123"/>
      <c r="M1249" s="1"/>
      <c r="N1249" s="590"/>
      <c r="O1249" s="165"/>
      <c r="P1249" s="165"/>
      <c r="Q1249" s="165"/>
      <c r="R1249" s="165"/>
      <c r="S1249" s="165"/>
      <c r="V1249" s="46"/>
      <c r="W1249" s="46"/>
      <c r="X1249" s="1"/>
      <c r="Y1249" s="1"/>
      <c r="Z1249" s="173"/>
      <c r="AA1249" s="1"/>
      <c r="AB1249" s="165"/>
      <c r="AC1249" s="1"/>
      <c r="AD1249" s="1"/>
      <c r="AE1249" s="1"/>
      <c r="AF1249" s="46"/>
      <c r="AG1249" s="1"/>
      <c r="AH1249" s="165"/>
      <c r="AI1249" s="165"/>
      <c r="AJ1249" s="165"/>
      <c r="AK1249" s="165"/>
      <c r="AL1249" s="165"/>
      <c r="AM1249" s="165"/>
      <c r="AN1249" s="165"/>
    </row>
    <row r="1250" spans="3:40">
      <c r="C1250" s="46"/>
      <c r="F1250" s="173"/>
      <c r="G1250" s="1"/>
      <c r="H1250" s="165"/>
      <c r="I1250" s="160"/>
      <c r="J1250" s="160"/>
      <c r="K1250" s="1"/>
      <c r="L1250" s="123"/>
      <c r="M1250" s="1"/>
      <c r="N1250" s="590"/>
      <c r="O1250" s="165"/>
      <c r="P1250" s="165"/>
      <c r="Q1250" s="165"/>
      <c r="R1250" s="165"/>
      <c r="S1250" s="165"/>
      <c r="V1250" s="46"/>
      <c r="W1250" s="46"/>
      <c r="X1250" s="1"/>
      <c r="Y1250" s="1"/>
      <c r="Z1250" s="173"/>
      <c r="AA1250" s="1"/>
      <c r="AB1250" s="165"/>
      <c r="AC1250" s="1"/>
      <c r="AD1250" s="1"/>
      <c r="AE1250" s="1"/>
      <c r="AF1250" s="46"/>
      <c r="AG1250" s="1"/>
      <c r="AH1250" s="165"/>
      <c r="AI1250" s="165"/>
      <c r="AJ1250" s="165"/>
      <c r="AK1250" s="165"/>
      <c r="AL1250" s="165"/>
      <c r="AM1250" s="165"/>
      <c r="AN1250" s="165"/>
    </row>
    <row r="1251" spans="3:40">
      <c r="C1251" s="46"/>
      <c r="F1251" s="173"/>
      <c r="G1251" s="1"/>
      <c r="H1251" s="165"/>
      <c r="I1251" s="160"/>
      <c r="J1251" s="160"/>
      <c r="K1251" s="1"/>
      <c r="L1251" s="123"/>
      <c r="M1251" s="1"/>
      <c r="N1251" s="590"/>
      <c r="O1251" s="165"/>
      <c r="P1251" s="165"/>
      <c r="Q1251" s="165"/>
      <c r="R1251" s="165"/>
      <c r="S1251" s="165"/>
      <c r="V1251" s="46"/>
      <c r="W1251" s="46"/>
      <c r="X1251" s="1"/>
      <c r="Y1251" s="1"/>
      <c r="Z1251" s="173"/>
      <c r="AA1251" s="1"/>
      <c r="AB1251" s="165"/>
      <c r="AC1251" s="1"/>
      <c r="AD1251" s="1"/>
      <c r="AE1251" s="1"/>
      <c r="AF1251" s="46"/>
      <c r="AG1251" s="1"/>
      <c r="AH1251" s="165"/>
      <c r="AI1251" s="165"/>
      <c r="AJ1251" s="165"/>
      <c r="AK1251" s="165"/>
      <c r="AL1251" s="165"/>
      <c r="AM1251" s="165"/>
      <c r="AN1251" s="165"/>
    </row>
    <row r="1252" spans="3:40">
      <c r="C1252" s="46"/>
      <c r="F1252" s="173"/>
      <c r="G1252" s="1"/>
      <c r="H1252" s="165"/>
      <c r="I1252" s="160"/>
      <c r="J1252" s="160"/>
      <c r="K1252" s="1"/>
      <c r="L1252" s="123"/>
      <c r="M1252" s="1"/>
      <c r="N1252" s="590"/>
      <c r="O1252" s="165"/>
      <c r="P1252" s="165"/>
      <c r="Q1252" s="165"/>
      <c r="R1252" s="165"/>
      <c r="S1252" s="165"/>
      <c r="V1252" s="46"/>
      <c r="W1252" s="46"/>
      <c r="X1252" s="1"/>
      <c r="Y1252" s="1"/>
      <c r="Z1252" s="173"/>
      <c r="AA1252" s="1"/>
      <c r="AB1252" s="165"/>
      <c r="AC1252" s="1"/>
      <c r="AD1252" s="1"/>
      <c r="AE1252" s="1"/>
      <c r="AF1252" s="46"/>
      <c r="AG1252" s="1"/>
      <c r="AH1252" s="165"/>
      <c r="AI1252" s="165"/>
      <c r="AJ1252" s="165"/>
      <c r="AK1252" s="165"/>
      <c r="AL1252" s="165"/>
      <c r="AM1252" s="165"/>
      <c r="AN1252" s="165"/>
    </row>
    <row r="1253" spans="3:40">
      <c r="C1253" s="46"/>
      <c r="F1253" s="173"/>
      <c r="G1253" s="1"/>
      <c r="H1253" s="165"/>
      <c r="I1253" s="160"/>
      <c r="J1253" s="160"/>
      <c r="K1253" s="1"/>
      <c r="L1253" s="123"/>
      <c r="M1253" s="1"/>
      <c r="N1253" s="590"/>
      <c r="O1253" s="165"/>
      <c r="P1253" s="165"/>
      <c r="Q1253" s="165"/>
      <c r="R1253" s="165"/>
      <c r="S1253" s="165"/>
      <c r="V1253" s="46"/>
      <c r="W1253" s="46"/>
      <c r="X1253" s="1"/>
      <c r="Y1253" s="1"/>
      <c r="Z1253" s="173"/>
      <c r="AA1253" s="1"/>
      <c r="AB1253" s="165"/>
      <c r="AC1253" s="1"/>
      <c r="AD1253" s="1"/>
      <c r="AE1253" s="1"/>
      <c r="AF1253" s="46"/>
      <c r="AG1253" s="1"/>
      <c r="AH1253" s="165"/>
      <c r="AI1253" s="165"/>
      <c r="AJ1253" s="165"/>
      <c r="AK1253" s="165"/>
      <c r="AL1253" s="165"/>
      <c r="AM1253" s="165"/>
      <c r="AN1253" s="165"/>
    </row>
    <row r="1254" spans="3:40">
      <c r="C1254" s="46"/>
      <c r="F1254" s="173"/>
      <c r="G1254" s="1"/>
      <c r="H1254" s="165"/>
      <c r="I1254" s="160"/>
      <c r="J1254" s="160"/>
      <c r="K1254" s="1"/>
      <c r="L1254" s="123"/>
      <c r="M1254" s="1"/>
      <c r="N1254" s="590"/>
      <c r="O1254" s="165"/>
      <c r="P1254" s="165"/>
      <c r="Q1254" s="165"/>
      <c r="R1254" s="165"/>
      <c r="S1254" s="165"/>
      <c r="V1254" s="46"/>
      <c r="W1254" s="46"/>
      <c r="X1254" s="1"/>
      <c r="Y1254" s="1"/>
      <c r="Z1254" s="173"/>
      <c r="AA1254" s="1"/>
      <c r="AB1254" s="165"/>
      <c r="AC1254" s="1"/>
      <c r="AD1254" s="1"/>
      <c r="AE1254" s="1"/>
      <c r="AF1254" s="46"/>
      <c r="AG1254" s="1"/>
      <c r="AH1254" s="165"/>
      <c r="AI1254" s="165"/>
      <c r="AJ1254" s="165"/>
      <c r="AK1254" s="165"/>
      <c r="AL1254" s="165"/>
      <c r="AM1254" s="165"/>
      <c r="AN1254" s="165"/>
    </row>
    <row r="1255" spans="3:40">
      <c r="C1255" s="46"/>
      <c r="F1255" s="173"/>
      <c r="G1255" s="1"/>
      <c r="H1255" s="165"/>
      <c r="I1255" s="160"/>
      <c r="J1255" s="160"/>
      <c r="K1255" s="1"/>
      <c r="L1255" s="123"/>
      <c r="M1255" s="1"/>
      <c r="N1255" s="590"/>
      <c r="O1255" s="165"/>
      <c r="P1255" s="165"/>
      <c r="Q1255" s="165"/>
      <c r="R1255" s="165"/>
      <c r="S1255" s="165"/>
      <c r="V1255" s="46"/>
      <c r="W1255" s="46"/>
      <c r="X1255" s="1"/>
      <c r="Y1255" s="1"/>
      <c r="Z1255" s="173"/>
      <c r="AA1255" s="1"/>
      <c r="AB1255" s="165"/>
      <c r="AC1255" s="1"/>
      <c r="AD1255" s="1"/>
      <c r="AE1255" s="1"/>
      <c r="AF1255" s="46"/>
      <c r="AG1255" s="1"/>
      <c r="AH1255" s="165"/>
      <c r="AI1255" s="165"/>
      <c r="AJ1255" s="165"/>
      <c r="AK1255" s="165"/>
      <c r="AL1255" s="165"/>
      <c r="AM1255" s="165"/>
      <c r="AN1255" s="165"/>
    </row>
    <row r="1256" spans="3:40">
      <c r="C1256" s="46"/>
      <c r="F1256" s="173"/>
      <c r="G1256" s="1"/>
      <c r="H1256" s="165"/>
      <c r="I1256" s="160"/>
      <c r="J1256" s="160"/>
      <c r="K1256" s="1"/>
      <c r="L1256" s="123"/>
      <c r="M1256" s="1"/>
      <c r="N1256" s="590"/>
      <c r="O1256" s="165"/>
      <c r="P1256" s="165"/>
      <c r="Q1256" s="165"/>
      <c r="R1256" s="165"/>
      <c r="S1256" s="165"/>
      <c r="V1256" s="46"/>
      <c r="W1256" s="46"/>
      <c r="X1256" s="1"/>
      <c r="Y1256" s="1"/>
      <c r="Z1256" s="173"/>
      <c r="AA1256" s="1"/>
      <c r="AB1256" s="165"/>
      <c r="AC1256" s="1"/>
      <c r="AD1256" s="1"/>
      <c r="AE1256" s="1"/>
      <c r="AF1256" s="46"/>
      <c r="AG1256" s="1"/>
      <c r="AH1256" s="165"/>
      <c r="AI1256" s="165"/>
      <c r="AJ1256" s="165"/>
      <c r="AK1256" s="165"/>
      <c r="AL1256" s="165"/>
      <c r="AM1256" s="165"/>
      <c r="AN1256" s="165"/>
    </row>
    <row r="1257" spans="3:40">
      <c r="C1257" s="46"/>
      <c r="F1257" s="173"/>
      <c r="G1257" s="1"/>
      <c r="H1257" s="165"/>
      <c r="I1257" s="160"/>
      <c r="J1257" s="160"/>
      <c r="K1257" s="1"/>
      <c r="L1257" s="123"/>
      <c r="M1257" s="1"/>
      <c r="N1257" s="590"/>
      <c r="O1257" s="165"/>
      <c r="P1257" s="165"/>
      <c r="Q1257" s="165"/>
      <c r="R1257" s="165"/>
      <c r="S1257" s="165"/>
      <c r="V1257" s="46"/>
      <c r="W1257" s="46"/>
      <c r="X1257" s="1"/>
      <c r="Y1257" s="1"/>
      <c r="Z1257" s="173"/>
      <c r="AA1257" s="1"/>
      <c r="AB1257" s="165"/>
      <c r="AC1257" s="1"/>
      <c r="AD1257" s="1"/>
      <c r="AE1257" s="1"/>
      <c r="AF1257" s="46"/>
      <c r="AG1257" s="1"/>
      <c r="AH1257" s="165"/>
      <c r="AI1257" s="165"/>
      <c r="AJ1257" s="165"/>
      <c r="AK1257" s="165"/>
      <c r="AL1257" s="165"/>
      <c r="AM1257" s="165"/>
      <c r="AN1257" s="165"/>
    </row>
    <row r="1258" spans="3:40">
      <c r="C1258" s="46"/>
      <c r="F1258" s="173"/>
      <c r="G1258" s="1"/>
      <c r="H1258" s="165"/>
      <c r="I1258" s="160"/>
      <c r="J1258" s="160"/>
      <c r="K1258" s="1"/>
      <c r="L1258" s="123"/>
      <c r="M1258" s="1"/>
      <c r="N1258" s="590"/>
      <c r="O1258" s="165"/>
      <c r="P1258" s="165"/>
      <c r="Q1258" s="165"/>
      <c r="R1258" s="165"/>
      <c r="S1258" s="165"/>
      <c r="V1258" s="46"/>
      <c r="W1258" s="46"/>
      <c r="X1258" s="1"/>
      <c r="Y1258" s="1"/>
      <c r="Z1258" s="173"/>
      <c r="AA1258" s="1"/>
      <c r="AB1258" s="165"/>
      <c r="AC1258" s="1"/>
      <c r="AD1258" s="1"/>
      <c r="AE1258" s="1"/>
      <c r="AF1258" s="46"/>
      <c r="AG1258" s="1"/>
      <c r="AH1258" s="165"/>
      <c r="AI1258" s="165"/>
      <c r="AJ1258" s="165"/>
      <c r="AK1258" s="165"/>
      <c r="AL1258" s="165"/>
      <c r="AM1258" s="165"/>
      <c r="AN1258" s="165"/>
    </row>
    <row r="1259" spans="3:40">
      <c r="C1259" s="46"/>
      <c r="F1259" s="173"/>
      <c r="G1259" s="1"/>
      <c r="H1259" s="165"/>
      <c r="I1259" s="160"/>
      <c r="J1259" s="160"/>
      <c r="K1259" s="1"/>
      <c r="L1259" s="123"/>
      <c r="M1259" s="1"/>
      <c r="N1259" s="590"/>
      <c r="O1259" s="165"/>
      <c r="P1259" s="165"/>
      <c r="Q1259" s="165"/>
      <c r="R1259" s="165"/>
      <c r="S1259" s="165"/>
      <c r="V1259" s="46"/>
      <c r="W1259" s="46"/>
      <c r="X1259" s="1"/>
      <c r="Y1259" s="1"/>
      <c r="Z1259" s="173"/>
      <c r="AA1259" s="1"/>
      <c r="AB1259" s="165"/>
      <c r="AC1259" s="1"/>
      <c r="AD1259" s="1"/>
      <c r="AE1259" s="1"/>
      <c r="AF1259" s="46"/>
      <c r="AG1259" s="1"/>
      <c r="AH1259" s="165"/>
      <c r="AI1259" s="165"/>
      <c r="AJ1259" s="165"/>
      <c r="AK1259" s="165"/>
      <c r="AL1259" s="165"/>
      <c r="AM1259" s="165"/>
      <c r="AN1259" s="165"/>
    </row>
    <row r="1260" spans="3:40">
      <c r="C1260" s="46"/>
      <c r="F1260" s="173"/>
      <c r="G1260" s="1"/>
      <c r="H1260" s="165"/>
      <c r="I1260" s="160"/>
      <c r="J1260" s="160"/>
      <c r="K1260" s="1"/>
      <c r="L1260" s="123"/>
      <c r="M1260" s="1"/>
      <c r="N1260" s="590"/>
      <c r="O1260" s="165"/>
      <c r="P1260" s="165"/>
      <c r="Q1260" s="165"/>
      <c r="R1260" s="165"/>
      <c r="S1260" s="165"/>
      <c r="V1260" s="46"/>
      <c r="W1260" s="46"/>
      <c r="X1260" s="1"/>
      <c r="Y1260" s="1"/>
      <c r="Z1260" s="173"/>
      <c r="AA1260" s="1"/>
      <c r="AB1260" s="165"/>
      <c r="AC1260" s="1"/>
      <c r="AD1260" s="1"/>
      <c r="AE1260" s="1"/>
      <c r="AF1260" s="46"/>
      <c r="AG1260" s="1"/>
      <c r="AH1260" s="165"/>
      <c r="AI1260" s="165"/>
      <c r="AJ1260" s="165"/>
      <c r="AK1260" s="165"/>
      <c r="AL1260" s="165"/>
      <c r="AM1260" s="165"/>
      <c r="AN1260" s="165"/>
    </row>
    <row r="1261" spans="3:40">
      <c r="C1261" s="46"/>
      <c r="F1261" s="173"/>
      <c r="G1261" s="1"/>
      <c r="H1261" s="165"/>
      <c r="I1261" s="160"/>
      <c r="J1261" s="160"/>
      <c r="K1261" s="1"/>
      <c r="L1261" s="123"/>
      <c r="M1261" s="1"/>
      <c r="N1261" s="590"/>
      <c r="O1261" s="165"/>
      <c r="P1261" s="165"/>
      <c r="Q1261" s="165"/>
      <c r="R1261" s="165"/>
      <c r="S1261" s="165"/>
      <c r="V1261" s="46"/>
      <c r="W1261" s="46"/>
      <c r="X1261" s="1"/>
      <c r="Y1261" s="1"/>
      <c r="Z1261" s="173"/>
      <c r="AA1261" s="1"/>
      <c r="AB1261" s="165"/>
      <c r="AC1261" s="1"/>
      <c r="AD1261" s="1"/>
      <c r="AE1261" s="1"/>
      <c r="AF1261" s="46"/>
      <c r="AG1261" s="1"/>
      <c r="AH1261" s="165"/>
      <c r="AI1261" s="165"/>
      <c r="AJ1261" s="165"/>
      <c r="AK1261" s="165"/>
      <c r="AL1261" s="165"/>
      <c r="AM1261" s="165"/>
      <c r="AN1261" s="165"/>
    </row>
    <row r="1262" spans="3:40">
      <c r="C1262" s="46"/>
      <c r="F1262" s="173"/>
      <c r="G1262" s="1"/>
      <c r="H1262" s="165"/>
      <c r="I1262" s="160"/>
      <c r="J1262" s="160"/>
      <c r="K1262" s="1"/>
      <c r="L1262" s="123"/>
      <c r="M1262" s="1"/>
      <c r="N1262" s="590"/>
      <c r="O1262" s="165"/>
      <c r="P1262" s="165"/>
      <c r="Q1262" s="165"/>
      <c r="R1262" s="165"/>
      <c r="S1262" s="165"/>
      <c r="V1262" s="46"/>
      <c r="W1262" s="46"/>
      <c r="X1262" s="1"/>
      <c r="Y1262" s="1"/>
      <c r="Z1262" s="173"/>
      <c r="AA1262" s="1"/>
      <c r="AB1262" s="165"/>
      <c r="AC1262" s="1"/>
      <c r="AD1262" s="1"/>
      <c r="AE1262" s="1"/>
      <c r="AF1262" s="46"/>
      <c r="AG1262" s="1"/>
      <c r="AH1262" s="165"/>
      <c r="AI1262" s="165"/>
      <c r="AJ1262" s="165"/>
      <c r="AK1262" s="165"/>
      <c r="AL1262" s="165"/>
      <c r="AM1262" s="165"/>
      <c r="AN1262" s="165"/>
    </row>
    <row r="1263" spans="3:40">
      <c r="C1263" s="46"/>
      <c r="F1263" s="173"/>
      <c r="G1263" s="1"/>
      <c r="H1263" s="165"/>
      <c r="I1263" s="160"/>
      <c r="J1263" s="160"/>
      <c r="K1263" s="1"/>
      <c r="L1263" s="123"/>
      <c r="M1263" s="1"/>
      <c r="N1263" s="590"/>
      <c r="O1263" s="165"/>
      <c r="P1263" s="165"/>
      <c r="Q1263" s="165"/>
      <c r="R1263" s="165"/>
      <c r="S1263" s="165"/>
      <c r="V1263" s="46"/>
      <c r="W1263" s="46"/>
      <c r="X1263" s="1"/>
      <c r="Y1263" s="1"/>
      <c r="Z1263" s="173"/>
      <c r="AA1263" s="1"/>
      <c r="AB1263" s="165"/>
      <c r="AC1263" s="1"/>
      <c r="AD1263" s="1"/>
      <c r="AE1263" s="1"/>
      <c r="AF1263" s="46"/>
      <c r="AG1263" s="1"/>
      <c r="AH1263" s="165"/>
      <c r="AI1263" s="165"/>
      <c r="AJ1263" s="165"/>
      <c r="AK1263" s="165"/>
      <c r="AL1263" s="165"/>
      <c r="AM1263" s="165"/>
      <c r="AN1263" s="165"/>
    </row>
    <row r="1264" spans="3:40">
      <c r="C1264" s="46"/>
      <c r="F1264" s="173"/>
      <c r="G1264" s="1"/>
      <c r="H1264" s="165"/>
      <c r="I1264" s="160"/>
      <c r="J1264" s="160"/>
      <c r="K1264" s="1"/>
      <c r="L1264" s="123"/>
      <c r="M1264" s="1"/>
      <c r="N1264" s="590"/>
      <c r="O1264" s="165"/>
      <c r="P1264" s="165"/>
      <c r="Q1264" s="165"/>
      <c r="R1264" s="165"/>
      <c r="S1264" s="165"/>
      <c r="V1264" s="46"/>
      <c r="W1264" s="46"/>
      <c r="X1264" s="1"/>
      <c r="Y1264" s="1"/>
      <c r="Z1264" s="173"/>
      <c r="AA1264" s="1"/>
      <c r="AB1264" s="165"/>
      <c r="AC1264" s="1"/>
      <c r="AD1264" s="1"/>
      <c r="AE1264" s="1"/>
      <c r="AF1264" s="46"/>
      <c r="AG1264" s="1"/>
      <c r="AH1264" s="165"/>
      <c r="AI1264" s="165"/>
      <c r="AJ1264" s="165"/>
      <c r="AK1264" s="165"/>
      <c r="AL1264" s="165"/>
      <c r="AM1264" s="165"/>
      <c r="AN1264" s="165"/>
    </row>
    <row r="1265" spans="3:40">
      <c r="C1265" s="46"/>
      <c r="F1265" s="173"/>
      <c r="G1265" s="1"/>
      <c r="H1265" s="165"/>
      <c r="I1265" s="160"/>
      <c r="J1265" s="160"/>
      <c r="K1265" s="1"/>
      <c r="L1265" s="123"/>
      <c r="M1265" s="1"/>
      <c r="N1265" s="590"/>
      <c r="O1265" s="165"/>
      <c r="P1265" s="165"/>
      <c r="Q1265" s="165"/>
      <c r="R1265" s="165"/>
      <c r="S1265" s="165"/>
      <c r="V1265" s="46"/>
      <c r="W1265" s="46"/>
      <c r="X1265" s="1"/>
      <c r="Y1265" s="1"/>
      <c r="Z1265" s="173"/>
      <c r="AA1265" s="1"/>
      <c r="AB1265" s="165"/>
      <c r="AC1265" s="1"/>
      <c r="AD1265" s="1"/>
      <c r="AE1265" s="1"/>
      <c r="AF1265" s="46"/>
      <c r="AG1265" s="1"/>
      <c r="AH1265" s="165"/>
      <c r="AI1265" s="165"/>
      <c r="AJ1265" s="165"/>
      <c r="AK1265" s="165"/>
      <c r="AL1265" s="165"/>
      <c r="AM1265" s="165"/>
      <c r="AN1265" s="165"/>
    </row>
    <row r="1266" spans="3:40">
      <c r="C1266" s="46"/>
      <c r="F1266" s="173"/>
      <c r="G1266" s="1"/>
      <c r="H1266" s="165"/>
      <c r="I1266" s="160"/>
      <c r="J1266" s="160"/>
      <c r="K1266" s="1"/>
      <c r="L1266" s="123"/>
      <c r="M1266" s="1"/>
      <c r="N1266" s="590"/>
      <c r="O1266" s="165"/>
      <c r="P1266" s="165"/>
      <c r="Q1266" s="165"/>
      <c r="R1266" s="165"/>
      <c r="S1266" s="165"/>
      <c r="V1266" s="46"/>
      <c r="W1266" s="46"/>
      <c r="X1266" s="1"/>
      <c r="Y1266" s="1"/>
      <c r="Z1266" s="173"/>
      <c r="AA1266" s="1"/>
      <c r="AB1266" s="165"/>
      <c r="AC1266" s="1"/>
      <c r="AD1266" s="1"/>
      <c r="AE1266" s="1"/>
      <c r="AF1266" s="46"/>
      <c r="AG1266" s="1"/>
      <c r="AH1266" s="165"/>
      <c r="AI1266" s="165"/>
      <c r="AJ1266" s="165"/>
      <c r="AK1266" s="165"/>
      <c r="AL1266" s="165"/>
      <c r="AM1266" s="165"/>
      <c r="AN1266" s="165"/>
    </row>
    <row r="1267" spans="3:40">
      <c r="C1267" s="46"/>
      <c r="F1267" s="173"/>
      <c r="G1267" s="1"/>
      <c r="H1267" s="165"/>
      <c r="I1267" s="160"/>
      <c r="J1267" s="160"/>
      <c r="K1267" s="1"/>
      <c r="L1267" s="123"/>
      <c r="M1267" s="1"/>
      <c r="N1267" s="590"/>
      <c r="O1267" s="165"/>
      <c r="P1267" s="165"/>
      <c r="Q1267" s="165"/>
      <c r="R1267" s="165"/>
      <c r="S1267" s="165"/>
      <c r="V1267" s="46"/>
      <c r="W1267" s="46"/>
      <c r="X1267" s="1"/>
      <c r="Y1267" s="1"/>
      <c r="Z1267" s="173"/>
      <c r="AA1267" s="1"/>
      <c r="AB1267" s="165"/>
      <c r="AC1267" s="1"/>
      <c r="AD1267" s="1"/>
      <c r="AE1267" s="1"/>
      <c r="AF1267" s="46"/>
      <c r="AG1267" s="1"/>
      <c r="AH1267" s="165"/>
      <c r="AI1267" s="165"/>
      <c r="AJ1267" s="165"/>
      <c r="AK1267" s="165"/>
      <c r="AL1267" s="165"/>
      <c r="AM1267" s="165"/>
      <c r="AN1267" s="165"/>
    </row>
    <row r="1268" spans="3:40">
      <c r="C1268" s="46"/>
      <c r="F1268" s="173"/>
      <c r="G1268" s="1"/>
      <c r="H1268" s="165"/>
      <c r="I1268" s="160"/>
      <c r="J1268" s="160"/>
      <c r="K1268" s="1"/>
      <c r="L1268" s="123"/>
      <c r="M1268" s="1"/>
      <c r="N1268" s="590"/>
      <c r="O1268" s="165"/>
      <c r="P1268" s="165"/>
      <c r="Q1268" s="165"/>
      <c r="R1268" s="165"/>
      <c r="S1268" s="165"/>
      <c r="V1268" s="46"/>
      <c r="W1268" s="46"/>
      <c r="X1268" s="1"/>
      <c r="Y1268" s="1"/>
      <c r="Z1268" s="173"/>
      <c r="AA1268" s="1"/>
      <c r="AB1268" s="165"/>
      <c r="AC1268" s="1"/>
      <c r="AD1268" s="1"/>
      <c r="AE1268" s="1"/>
      <c r="AF1268" s="46"/>
      <c r="AG1268" s="1"/>
      <c r="AH1268" s="165"/>
      <c r="AI1268" s="165"/>
      <c r="AJ1268" s="165"/>
      <c r="AK1268" s="165"/>
      <c r="AL1268" s="165"/>
      <c r="AM1268" s="165"/>
      <c r="AN1268" s="165"/>
    </row>
    <row r="1269" spans="3:40">
      <c r="C1269" s="46"/>
      <c r="F1269" s="173"/>
      <c r="G1269" s="1"/>
      <c r="H1269" s="165"/>
      <c r="I1269" s="160"/>
      <c r="J1269" s="160"/>
      <c r="K1269" s="1"/>
      <c r="L1269" s="123"/>
      <c r="M1269" s="1"/>
      <c r="N1269" s="590"/>
      <c r="O1269" s="165"/>
      <c r="P1269" s="165"/>
      <c r="Q1269" s="165"/>
      <c r="R1269" s="165"/>
      <c r="S1269" s="165"/>
      <c r="V1269" s="46"/>
      <c r="W1269" s="46"/>
      <c r="X1269" s="1"/>
      <c r="Y1269" s="1"/>
      <c r="Z1269" s="173"/>
      <c r="AA1269" s="1"/>
      <c r="AB1269" s="165"/>
      <c r="AC1269" s="1"/>
      <c r="AD1269" s="1"/>
      <c r="AE1269" s="1"/>
      <c r="AF1269" s="46"/>
      <c r="AG1269" s="1"/>
      <c r="AH1269" s="165"/>
      <c r="AI1269" s="165"/>
      <c r="AJ1269" s="165"/>
      <c r="AK1269" s="165"/>
      <c r="AL1269" s="165"/>
      <c r="AM1269" s="165"/>
      <c r="AN1269" s="165"/>
    </row>
    <row r="1270" spans="3:40">
      <c r="C1270" s="46"/>
      <c r="F1270" s="173"/>
      <c r="G1270" s="1"/>
      <c r="H1270" s="165"/>
      <c r="I1270" s="160"/>
      <c r="J1270" s="160"/>
      <c r="K1270" s="1"/>
      <c r="L1270" s="123"/>
      <c r="M1270" s="1"/>
      <c r="N1270" s="590"/>
      <c r="O1270" s="165"/>
      <c r="P1270" s="165"/>
      <c r="Q1270" s="165"/>
      <c r="R1270" s="165"/>
      <c r="S1270" s="165"/>
      <c r="V1270" s="46"/>
      <c r="W1270" s="46"/>
      <c r="X1270" s="1"/>
      <c r="Y1270" s="1"/>
      <c r="Z1270" s="173"/>
      <c r="AA1270" s="1"/>
      <c r="AB1270" s="165"/>
      <c r="AC1270" s="1"/>
      <c r="AD1270" s="1"/>
      <c r="AE1270" s="1"/>
      <c r="AF1270" s="46"/>
      <c r="AG1270" s="1"/>
      <c r="AH1270" s="165"/>
      <c r="AI1270" s="165"/>
      <c r="AJ1270" s="165"/>
      <c r="AK1270" s="165"/>
      <c r="AL1270" s="165"/>
      <c r="AM1270" s="165"/>
      <c r="AN1270" s="165"/>
    </row>
    <row r="1271" spans="3:40">
      <c r="C1271" s="46"/>
      <c r="F1271" s="173"/>
      <c r="G1271" s="1"/>
      <c r="H1271" s="165"/>
      <c r="I1271" s="160"/>
      <c r="J1271" s="160"/>
      <c r="K1271" s="1"/>
      <c r="L1271" s="123"/>
      <c r="M1271" s="1"/>
      <c r="N1271" s="590"/>
      <c r="O1271" s="165"/>
      <c r="P1271" s="165"/>
      <c r="Q1271" s="165"/>
      <c r="R1271" s="165"/>
      <c r="S1271" s="165"/>
      <c r="V1271" s="46"/>
      <c r="W1271" s="46"/>
      <c r="X1271" s="1"/>
      <c r="Y1271" s="1"/>
      <c r="Z1271" s="173"/>
      <c r="AA1271" s="1"/>
      <c r="AB1271" s="165"/>
      <c r="AC1271" s="1"/>
      <c r="AD1271" s="1"/>
      <c r="AE1271" s="1"/>
      <c r="AF1271" s="46"/>
      <c r="AG1271" s="1"/>
      <c r="AH1271" s="165"/>
      <c r="AI1271" s="165"/>
      <c r="AJ1271" s="165"/>
      <c r="AK1271" s="165"/>
      <c r="AL1271" s="165"/>
      <c r="AM1271" s="165"/>
      <c r="AN1271" s="165"/>
    </row>
    <row r="1272" spans="3:40">
      <c r="C1272" s="46"/>
      <c r="F1272" s="173"/>
      <c r="G1272" s="1"/>
      <c r="H1272" s="165"/>
      <c r="I1272" s="160"/>
      <c r="J1272" s="160"/>
      <c r="K1272" s="1"/>
      <c r="L1272" s="123"/>
      <c r="M1272" s="1"/>
      <c r="N1272" s="590"/>
      <c r="O1272" s="165"/>
      <c r="P1272" s="165"/>
      <c r="Q1272" s="165"/>
      <c r="R1272" s="165"/>
      <c r="S1272" s="165"/>
      <c r="V1272" s="46"/>
      <c r="W1272" s="46"/>
      <c r="X1272" s="1"/>
      <c r="Y1272" s="1"/>
      <c r="Z1272" s="173"/>
      <c r="AA1272" s="1"/>
      <c r="AB1272" s="165"/>
      <c r="AC1272" s="1"/>
      <c r="AD1272" s="1"/>
      <c r="AE1272" s="1"/>
      <c r="AF1272" s="46"/>
      <c r="AG1272" s="1"/>
      <c r="AH1272" s="165"/>
      <c r="AI1272" s="165"/>
      <c r="AJ1272" s="165"/>
      <c r="AK1272" s="165"/>
      <c r="AL1272" s="165"/>
      <c r="AM1272" s="165"/>
      <c r="AN1272" s="165"/>
    </row>
    <row r="1273" spans="3:40">
      <c r="C1273" s="46"/>
      <c r="F1273" s="173"/>
      <c r="G1273" s="1"/>
      <c r="H1273" s="165"/>
      <c r="I1273" s="160"/>
      <c r="J1273" s="160"/>
      <c r="K1273" s="1"/>
      <c r="L1273" s="123"/>
      <c r="M1273" s="1"/>
      <c r="N1273" s="590"/>
      <c r="O1273" s="165"/>
      <c r="P1273" s="165"/>
      <c r="Q1273" s="165"/>
      <c r="R1273" s="165"/>
      <c r="S1273" s="165"/>
      <c r="V1273" s="46"/>
      <c r="W1273" s="46"/>
      <c r="X1273" s="1"/>
      <c r="Y1273" s="1"/>
      <c r="Z1273" s="173"/>
      <c r="AA1273" s="1"/>
      <c r="AB1273" s="165"/>
      <c r="AC1273" s="1"/>
      <c r="AD1273" s="1"/>
      <c r="AE1273" s="1"/>
      <c r="AF1273" s="46"/>
      <c r="AG1273" s="1"/>
      <c r="AH1273" s="165"/>
      <c r="AI1273" s="165"/>
      <c r="AJ1273" s="165"/>
      <c r="AK1273" s="165"/>
      <c r="AL1273" s="165"/>
      <c r="AM1273" s="165"/>
      <c r="AN1273" s="165"/>
    </row>
    <row r="1274" spans="3:40">
      <c r="C1274" s="46"/>
      <c r="F1274" s="173"/>
      <c r="G1274" s="1"/>
      <c r="H1274" s="165"/>
      <c r="I1274" s="160"/>
      <c r="J1274" s="160"/>
      <c r="K1274" s="1"/>
      <c r="L1274" s="123"/>
      <c r="M1274" s="1"/>
      <c r="N1274" s="590"/>
      <c r="O1274" s="165"/>
      <c r="P1274" s="165"/>
      <c r="Q1274" s="165"/>
      <c r="R1274" s="165"/>
      <c r="S1274" s="165"/>
      <c r="V1274" s="46"/>
      <c r="W1274" s="46"/>
      <c r="X1274" s="1"/>
      <c r="Y1274" s="1"/>
      <c r="Z1274" s="173"/>
      <c r="AA1274" s="1"/>
      <c r="AB1274" s="165"/>
      <c r="AC1274" s="1"/>
      <c r="AD1274" s="1"/>
      <c r="AE1274" s="1"/>
      <c r="AF1274" s="46"/>
      <c r="AG1274" s="1"/>
      <c r="AH1274" s="165"/>
      <c r="AI1274" s="165"/>
      <c r="AJ1274" s="165"/>
      <c r="AK1274" s="165"/>
      <c r="AL1274" s="165"/>
      <c r="AM1274" s="165"/>
      <c r="AN1274" s="165"/>
    </row>
    <row r="1275" spans="3:40">
      <c r="C1275" s="46"/>
      <c r="F1275" s="173"/>
      <c r="G1275" s="1"/>
      <c r="H1275" s="165"/>
      <c r="I1275" s="160"/>
      <c r="J1275" s="160"/>
      <c r="K1275" s="1"/>
      <c r="L1275" s="123"/>
      <c r="M1275" s="1"/>
      <c r="N1275" s="590"/>
      <c r="O1275" s="165"/>
      <c r="P1275" s="165"/>
      <c r="Q1275" s="165"/>
      <c r="R1275" s="165"/>
      <c r="S1275" s="165"/>
      <c r="V1275" s="46"/>
      <c r="W1275" s="46"/>
      <c r="X1275" s="1"/>
      <c r="Y1275" s="1"/>
      <c r="Z1275" s="173"/>
      <c r="AA1275" s="1"/>
      <c r="AB1275" s="165"/>
      <c r="AC1275" s="1"/>
      <c r="AD1275" s="1"/>
      <c r="AE1275" s="1"/>
      <c r="AF1275" s="46"/>
      <c r="AG1275" s="1"/>
      <c r="AH1275" s="165"/>
      <c r="AI1275" s="165"/>
      <c r="AJ1275" s="165"/>
      <c r="AK1275" s="165"/>
      <c r="AL1275" s="165"/>
      <c r="AM1275" s="165"/>
      <c r="AN1275" s="165"/>
    </row>
    <row r="1276" spans="3:40">
      <c r="C1276" s="46"/>
      <c r="F1276" s="173"/>
      <c r="G1276" s="1"/>
      <c r="H1276" s="165"/>
      <c r="I1276" s="160"/>
      <c r="J1276" s="160"/>
      <c r="K1276" s="1"/>
      <c r="L1276" s="123"/>
      <c r="M1276" s="1"/>
      <c r="N1276" s="590"/>
      <c r="O1276" s="165"/>
      <c r="P1276" s="165"/>
      <c r="Q1276" s="165"/>
      <c r="R1276" s="165"/>
      <c r="S1276" s="165"/>
      <c r="V1276" s="46"/>
      <c r="W1276" s="46"/>
      <c r="X1276" s="1"/>
      <c r="Y1276" s="1"/>
      <c r="Z1276" s="173"/>
      <c r="AA1276" s="1"/>
      <c r="AB1276" s="165"/>
      <c r="AC1276" s="1"/>
      <c r="AD1276" s="1"/>
      <c r="AE1276" s="1"/>
      <c r="AF1276" s="46"/>
      <c r="AG1276" s="1"/>
      <c r="AH1276" s="165"/>
      <c r="AI1276" s="165"/>
      <c r="AJ1276" s="165"/>
      <c r="AK1276" s="165"/>
      <c r="AL1276" s="165"/>
      <c r="AM1276" s="165"/>
      <c r="AN1276" s="165"/>
    </row>
    <row r="1277" spans="3:40">
      <c r="C1277" s="46"/>
      <c r="F1277" s="173"/>
      <c r="G1277" s="1"/>
      <c r="H1277" s="165"/>
      <c r="I1277" s="160"/>
      <c r="J1277" s="160"/>
      <c r="K1277" s="1"/>
      <c r="L1277" s="123"/>
      <c r="M1277" s="1"/>
      <c r="N1277" s="590"/>
      <c r="O1277" s="165"/>
      <c r="P1277" s="165"/>
      <c r="Q1277" s="165"/>
      <c r="R1277" s="165"/>
      <c r="S1277" s="165"/>
      <c r="V1277" s="46"/>
      <c r="W1277" s="46"/>
      <c r="X1277" s="1"/>
      <c r="Y1277" s="1"/>
      <c r="Z1277" s="173"/>
      <c r="AA1277" s="1"/>
      <c r="AB1277" s="165"/>
      <c r="AC1277" s="1"/>
      <c r="AD1277" s="1"/>
      <c r="AE1277" s="1"/>
      <c r="AF1277" s="46"/>
      <c r="AG1277" s="1"/>
      <c r="AH1277" s="165"/>
      <c r="AI1277" s="165"/>
      <c r="AJ1277" s="165"/>
      <c r="AK1277" s="165"/>
      <c r="AL1277" s="165"/>
      <c r="AM1277" s="165"/>
      <c r="AN1277" s="165"/>
    </row>
    <row r="1278" spans="3:40">
      <c r="C1278" s="46"/>
      <c r="F1278" s="173"/>
      <c r="G1278" s="1"/>
      <c r="H1278" s="165"/>
      <c r="I1278" s="160"/>
      <c r="J1278" s="160"/>
      <c r="K1278" s="1"/>
      <c r="L1278" s="123"/>
      <c r="M1278" s="1"/>
      <c r="N1278" s="590"/>
      <c r="O1278" s="165"/>
      <c r="P1278" s="165"/>
      <c r="Q1278" s="165"/>
      <c r="R1278" s="165"/>
      <c r="S1278" s="165"/>
      <c r="V1278" s="46"/>
      <c r="W1278" s="46"/>
      <c r="X1278" s="1"/>
      <c r="Y1278" s="1"/>
      <c r="Z1278" s="173"/>
      <c r="AA1278" s="1"/>
      <c r="AB1278" s="165"/>
      <c r="AC1278" s="1"/>
      <c r="AD1278" s="1"/>
      <c r="AE1278" s="1"/>
      <c r="AF1278" s="46"/>
      <c r="AG1278" s="1"/>
      <c r="AH1278" s="165"/>
      <c r="AI1278" s="165"/>
      <c r="AJ1278" s="165"/>
      <c r="AK1278" s="165"/>
      <c r="AL1278" s="165"/>
      <c r="AM1278" s="165"/>
      <c r="AN1278" s="165"/>
    </row>
    <row r="1279" spans="3:40">
      <c r="C1279" s="46"/>
      <c r="F1279" s="173"/>
      <c r="G1279" s="1"/>
      <c r="H1279" s="165"/>
      <c r="I1279" s="160"/>
      <c r="J1279" s="160"/>
      <c r="K1279" s="1"/>
      <c r="L1279" s="123"/>
      <c r="M1279" s="1"/>
      <c r="N1279" s="590"/>
      <c r="O1279" s="165"/>
      <c r="P1279" s="165"/>
      <c r="Q1279" s="165"/>
      <c r="R1279" s="165"/>
      <c r="S1279" s="165"/>
      <c r="V1279" s="46"/>
      <c r="W1279" s="46"/>
      <c r="X1279" s="1"/>
      <c r="Y1279" s="1"/>
      <c r="Z1279" s="173"/>
      <c r="AA1279" s="1"/>
      <c r="AB1279" s="165"/>
      <c r="AC1279" s="1"/>
      <c r="AD1279" s="1"/>
      <c r="AE1279" s="1"/>
      <c r="AF1279" s="46"/>
      <c r="AG1279" s="1"/>
      <c r="AH1279" s="165"/>
      <c r="AI1279" s="165"/>
      <c r="AJ1279" s="165"/>
      <c r="AK1279" s="165"/>
      <c r="AL1279" s="165"/>
      <c r="AM1279" s="165"/>
      <c r="AN1279" s="165"/>
    </row>
    <row r="1280" spans="3:40">
      <c r="C1280" s="46"/>
      <c r="F1280" s="173"/>
      <c r="G1280" s="1"/>
      <c r="H1280" s="165"/>
      <c r="I1280" s="160"/>
      <c r="J1280" s="160"/>
      <c r="K1280" s="1"/>
      <c r="L1280" s="123"/>
      <c r="M1280" s="1"/>
      <c r="N1280" s="590"/>
      <c r="O1280" s="165"/>
      <c r="P1280" s="165"/>
      <c r="Q1280" s="165"/>
      <c r="R1280" s="165"/>
      <c r="S1280" s="165"/>
      <c r="V1280" s="46"/>
      <c r="W1280" s="46"/>
      <c r="X1280" s="1"/>
      <c r="Y1280" s="1"/>
      <c r="Z1280" s="173"/>
      <c r="AA1280" s="1"/>
      <c r="AB1280" s="165"/>
      <c r="AC1280" s="1"/>
      <c r="AD1280" s="1"/>
      <c r="AE1280" s="1"/>
      <c r="AF1280" s="46"/>
      <c r="AG1280" s="1"/>
      <c r="AH1280" s="165"/>
      <c r="AI1280" s="165"/>
      <c r="AJ1280" s="165"/>
      <c r="AK1280" s="165"/>
      <c r="AL1280" s="165"/>
      <c r="AM1280" s="165"/>
      <c r="AN1280" s="165"/>
    </row>
    <row r="1281" spans="3:40">
      <c r="C1281" s="46"/>
      <c r="F1281" s="173"/>
      <c r="G1281" s="1"/>
      <c r="H1281" s="165"/>
      <c r="I1281" s="160"/>
      <c r="J1281" s="160"/>
      <c r="K1281" s="1"/>
      <c r="L1281" s="123"/>
      <c r="M1281" s="1"/>
      <c r="N1281" s="590"/>
      <c r="O1281" s="165"/>
      <c r="P1281" s="165"/>
      <c r="Q1281" s="165"/>
      <c r="R1281" s="165"/>
      <c r="S1281" s="165"/>
      <c r="V1281" s="46"/>
      <c r="W1281" s="46"/>
      <c r="X1281" s="1"/>
      <c r="Y1281" s="1"/>
      <c r="Z1281" s="173"/>
      <c r="AA1281" s="1"/>
      <c r="AB1281" s="165"/>
      <c r="AC1281" s="1"/>
      <c r="AD1281" s="1"/>
      <c r="AE1281" s="1"/>
      <c r="AF1281" s="46"/>
      <c r="AG1281" s="1"/>
      <c r="AH1281" s="165"/>
      <c r="AI1281" s="165"/>
      <c r="AJ1281" s="165"/>
      <c r="AK1281" s="165"/>
      <c r="AL1281" s="165"/>
      <c r="AM1281" s="165"/>
      <c r="AN1281" s="165"/>
    </row>
    <row r="1282" spans="3:40">
      <c r="C1282" s="46"/>
      <c r="F1282" s="173"/>
      <c r="G1282" s="1"/>
      <c r="H1282" s="165"/>
      <c r="I1282" s="160"/>
      <c r="J1282" s="160"/>
      <c r="K1282" s="1"/>
      <c r="L1282" s="123"/>
      <c r="M1282" s="1"/>
      <c r="N1282" s="590"/>
      <c r="O1282" s="165"/>
      <c r="P1282" s="165"/>
      <c r="Q1282" s="165"/>
      <c r="R1282" s="165"/>
      <c r="S1282" s="165"/>
      <c r="V1282" s="46"/>
      <c r="W1282" s="46"/>
      <c r="X1282" s="1"/>
      <c r="Y1282" s="1"/>
      <c r="Z1282" s="173"/>
      <c r="AA1282" s="1"/>
      <c r="AB1282" s="165"/>
      <c r="AC1282" s="1"/>
      <c r="AD1282" s="1"/>
      <c r="AE1282" s="1"/>
      <c r="AF1282" s="46"/>
      <c r="AG1282" s="1"/>
      <c r="AH1282" s="165"/>
      <c r="AI1282" s="165"/>
      <c r="AJ1282" s="165"/>
      <c r="AK1282" s="165"/>
      <c r="AL1282" s="165"/>
      <c r="AM1282" s="165"/>
      <c r="AN1282" s="165"/>
    </row>
    <row r="1283" spans="3:40">
      <c r="C1283" s="46"/>
      <c r="F1283" s="173"/>
      <c r="G1283" s="1"/>
      <c r="H1283" s="165"/>
      <c r="I1283" s="160"/>
      <c r="J1283" s="160"/>
      <c r="K1283" s="1"/>
      <c r="L1283" s="123"/>
      <c r="M1283" s="1"/>
      <c r="N1283" s="590"/>
      <c r="O1283" s="165"/>
      <c r="P1283" s="165"/>
      <c r="Q1283" s="165"/>
      <c r="R1283" s="165"/>
      <c r="S1283" s="165"/>
      <c r="V1283" s="46"/>
      <c r="W1283" s="46"/>
      <c r="X1283" s="1"/>
      <c r="Y1283" s="1"/>
      <c r="Z1283" s="173"/>
      <c r="AA1283" s="1"/>
      <c r="AB1283" s="165"/>
      <c r="AC1283" s="1"/>
      <c r="AD1283" s="1"/>
      <c r="AE1283" s="1"/>
      <c r="AF1283" s="46"/>
      <c r="AG1283" s="1"/>
      <c r="AH1283" s="165"/>
      <c r="AI1283" s="165"/>
      <c r="AJ1283" s="165"/>
      <c r="AK1283" s="165"/>
      <c r="AL1283" s="165"/>
      <c r="AM1283" s="165"/>
      <c r="AN1283" s="165"/>
    </row>
    <row r="1284" spans="3:40">
      <c r="C1284" s="46"/>
      <c r="F1284" s="173"/>
      <c r="G1284" s="1"/>
      <c r="H1284" s="165"/>
      <c r="I1284" s="160"/>
      <c r="J1284" s="160"/>
      <c r="K1284" s="1"/>
      <c r="L1284" s="123"/>
      <c r="M1284" s="1"/>
      <c r="N1284" s="590"/>
      <c r="O1284" s="165"/>
      <c r="P1284" s="165"/>
      <c r="Q1284" s="165"/>
      <c r="R1284" s="165"/>
      <c r="S1284" s="165"/>
      <c r="V1284" s="46"/>
      <c r="W1284" s="46"/>
      <c r="X1284" s="1"/>
      <c r="Y1284" s="1"/>
      <c r="Z1284" s="173"/>
      <c r="AA1284" s="1"/>
      <c r="AB1284" s="165"/>
      <c r="AC1284" s="1"/>
      <c r="AD1284" s="1"/>
      <c r="AE1284" s="1"/>
      <c r="AF1284" s="46"/>
      <c r="AG1284" s="1"/>
      <c r="AH1284" s="165"/>
      <c r="AI1284" s="165"/>
      <c r="AJ1284" s="165"/>
      <c r="AK1284" s="165"/>
      <c r="AL1284" s="165"/>
      <c r="AM1284" s="165"/>
      <c r="AN1284" s="165"/>
    </row>
    <row r="1285" spans="3:40">
      <c r="C1285" s="46"/>
      <c r="F1285" s="173"/>
      <c r="G1285" s="1"/>
      <c r="H1285" s="165"/>
      <c r="I1285" s="160"/>
      <c r="J1285" s="160"/>
      <c r="K1285" s="1"/>
      <c r="L1285" s="123"/>
      <c r="M1285" s="1"/>
      <c r="N1285" s="590"/>
      <c r="O1285" s="165"/>
      <c r="P1285" s="165"/>
      <c r="Q1285" s="165"/>
      <c r="R1285" s="165"/>
      <c r="S1285" s="165"/>
      <c r="V1285" s="46"/>
      <c r="W1285" s="46"/>
      <c r="X1285" s="1"/>
      <c r="Y1285" s="1"/>
      <c r="Z1285" s="173"/>
      <c r="AA1285" s="1"/>
      <c r="AB1285" s="165"/>
      <c r="AC1285" s="1"/>
      <c r="AD1285" s="1"/>
      <c r="AE1285" s="1"/>
      <c r="AF1285" s="46"/>
      <c r="AG1285" s="1"/>
      <c r="AH1285" s="165"/>
      <c r="AI1285" s="165"/>
      <c r="AJ1285" s="165"/>
      <c r="AK1285" s="165"/>
      <c r="AL1285" s="165"/>
      <c r="AM1285" s="165"/>
      <c r="AN1285" s="165"/>
    </row>
    <row r="1286" spans="3:40">
      <c r="C1286" s="46"/>
      <c r="F1286" s="173"/>
      <c r="G1286" s="1"/>
      <c r="H1286" s="165"/>
      <c r="I1286" s="160"/>
      <c r="J1286" s="160"/>
      <c r="K1286" s="1"/>
      <c r="L1286" s="123"/>
      <c r="M1286" s="1"/>
      <c r="N1286" s="590"/>
      <c r="O1286" s="165"/>
      <c r="P1286" s="165"/>
      <c r="Q1286" s="165"/>
      <c r="R1286" s="165"/>
      <c r="S1286" s="165"/>
      <c r="V1286" s="46"/>
      <c r="W1286" s="46"/>
      <c r="X1286" s="1"/>
      <c r="Y1286" s="1"/>
      <c r="Z1286" s="173"/>
      <c r="AA1286" s="1"/>
      <c r="AB1286" s="165"/>
      <c r="AC1286" s="1"/>
      <c r="AD1286" s="1"/>
      <c r="AE1286" s="1"/>
      <c r="AF1286" s="46"/>
      <c r="AG1286" s="1"/>
      <c r="AH1286" s="165"/>
      <c r="AI1286" s="165"/>
      <c r="AJ1286" s="165"/>
      <c r="AK1286" s="165"/>
      <c r="AL1286" s="165"/>
      <c r="AM1286" s="165"/>
      <c r="AN1286" s="165"/>
    </row>
    <row r="1287" spans="3:40">
      <c r="C1287" s="46"/>
      <c r="F1287" s="173"/>
      <c r="G1287" s="1"/>
      <c r="H1287" s="165"/>
      <c r="I1287" s="160"/>
      <c r="J1287" s="160"/>
      <c r="K1287" s="1"/>
      <c r="L1287" s="123"/>
      <c r="M1287" s="1"/>
      <c r="N1287" s="590"/>
      <c r="O1287" s="165"/>
      <c r="P1287" s="165"/>
      <c r="Q1287" s="165"/>
      <c r="R1287" s="165"/>
      <c r="S1287" s="165"/>
      <c r="V1287" s="46"/>
      <c r="W1287" s="46"/>
      <c r="X1287" s="1"/>
      <c r="Y1287" s="1"/>
      <c r="Z1287" s="173"/>
      <c r="AA1287" s="1"/>
      <c r="AB1287" s="165"/>
      <c r="AC1287" s="1"/>
      <c r="AD1287" s="1"/>
      <c r="AE1287" s="1"/>
      <c r="AF1287" s="46"/>
      <c r="AG1287" s="1"/>
      <c r="AH1287" s="165"/>
      <c r="AI1287" s="165"/>
      <c r="AJ1287" s="165"/>
      <c r="AK1287" s="165"/>
      <c r="AL1287" s="165"/>
      <c r="AM1287" s="165"/>
      <c r="AN1287" s="165"/>
    </row>
    <row r="1288" spans="3:40">
      <c r="C1288" s="46"/>
      <c r="F1288" s="173"/>
      <c r="G1288" s="1"/>
      <c r="H1288" s="165"/>
      <c r="I1288" s="160"/>
      <c r="J1288" s="160"/>
      <c r="K1288" s="1"/>
      <c r="L1288" s="123"/>
      <c r="M1288" s="1"/>
      <c r="N1288" s="590"/>
      <c r="O1288" s="165"/>
      <c r="P1288" s="165"/>
      <c r="Q1288" s="165"/>
      <c r="R1288" s="165"/>
      <c r="S1288" s="165"/>
      <c r="V1288" s="46"/>
      <c r="W1288" s="46"/>
      <c r="X1288" s="1"/>
      <c r="Y1288" s="1"/>
      <c r="Z1288" s="173"/>
      <c r="AA1288" s="1"/>
      <c r="AB1288" s="165"/>
      <c r="AC1288" s="1"/>
      <c r="AD1288" s="1"/>
      <c r="AE1288" s="1"/>
      <c r="AF1288" s="46"/>
      <c r="AG1288" s="1"/>
      <c r="AH1288" s="165"/>
      <c r="AI1288" s="165"/>
      <c r="AJ1288" s="165"/>
      <c r="AK1288" s="165"/>
      <c r="AL1288" s="165"/>
      <c r="AM1288" s="165"/>
      <c r="AN1288" s="165"/>
    </row>
    <row r="1289" spans="3:40">
      <c r="C1289" s="46"/>
      <c r="F1289" s="173"/>
      <c r="G1289" s="1"/>
      <c r="H1289" s="165"/>
      <c r="I1289" s="160"/>
      <c r="J1289" s="160"/>
      <c r="K1289" s="1"/>
      <c r="L1289" s="123"/>
      <c r="M1289" s="1"/>
      <c r="N1289" s="590"/>
      <c r="O1289" s="165"/>
      <c r="P1289" s="165"/>
      <c r="Q1289" s="165"/>
      <c r="R1289" s="165"/>
      <c r="S1289" s="165"/>
      <c r="V1289" s="46"/>
      <c r="W1289" s="46"/>
      <c r="X1289" s="1"/>
      <c r="Y1289" s="1"/>
      <c r="Z1289" s="173"/>
      <c r="AA1289" s="1"/>
      <c r="AB1289" s="165"/>
      <c r="AC1289" s="1"/>
      <c r="AD1289" s="1"/>
      <c r="AE1289" s="1"/>
      <c r="AF1289" s="46"/>
      <c r="AG1289" s="1"/>
      <c r="AH1289" s="165"/>
      <c r="AI1289" s="165"/>
      <c r="AJ1289" s="165"/>
      <c r="AK1289" s="165"/>
      <c r="AL1289" s="165"/>
      <c r="AM1289" s="165"/>
      <c r="AN1289" s="165"/>
    </row>
    <row r="1290" spans="3:40">
      <c r="C1290" s="46"/>
      <c r="F1290" s="173"/>
      <c r="G1290" s="1"/>
      <c r="H1290" s="165"/>
      <c r="I1290" s="160"/>
      <c r="J1290" s="160"/>
      <c r="K1290" s="1"/>
      <c r="L1290" s="123"/>
      <c r="M1290" s="1"/>
      <c r="N1290" s="590"/>
      <c r="O1290" s="165"/>
      <c r="P1290" s="165"/>
      <c r="Q1290" s="165"/>
      <c r="R1290" s="165"/>
      <c r="S1290" s="165"/>
      <c r="V1290" s="46"/>
      <c r="W1290" s="46"/>
      <c r="X1290" s="1"/>
      <c r="Y1290" s="1"/>
      <c r="Z1290" s="173"/>
      <c r="AA1290" s="1"/>
      <c r="AB1290" s="165"/>
      <c r="AC1290" s="1"/>
      <c r="AD1290" s="1"/>
      <c r="AE1290" s="1"/>
      <c r="AF1290" s="46"/>
      <c r="AG1290" s="1"/>
      <c r="AH1290" s="165"/>
      <c r="AI1290" s="165"/>
      <c r="AJ1290" s="165"/>
      <c r="AK1290" s="165"/>
      <c r="AL1290" s="165"/>
      <c r="AM1290" s="165"/>
      <c r="AN1290" s="165"/>
    </row>
    <row r="1291" spans="3:40">
      <c r="C1291" s="46"/>
      <c r="F1291" s="173"/>
      <c r="G1291" s="1"/>
      <c r="H1291" s="165"/>
      <c r="I1291" s="160"/>
      <c r="J1291" s="160"/>
      <c r="K1291" s="1"/>
      <c r="L1291" s="123"/>
      <c r="M1291" s="1"/>
      <c r="N1291" s="590"/>
      <c r="O1291" s="165"/>
      <c r="P1291" s="165"/>
      <c r="Q1291" s="165"/>
      <c r="R1291" s="165"/>
      <c r="S1291" s="165"/>
      <c r="V1291" s="46"/>
      <c r="W1291" s="46"/>
      <c r="X1291" s="1"/>
      <c r="Y1291" s="1"/>
      <c r="Z1291" s="173"/>
      <c r="AA1291" s="1"/>
      <c r="AB1291" s="165"/>
      <c r="AC1291" s="1"/>
      <c r="AD1291" s="1"/>
      <c r="AE1291" s="1"/>
      <c r="AF1291" s="46"/>
      <c r="AG1291" s="1"/>
      <c r="AH1291" s="165"/>
      <c r="AI1291" s="165"/>
      <c r="AJ1291" s="165"/>
      <c r="AK1291" s="165"/>
      <c r="AL1291" s="165"/>
      <c r="AM1291" s="165"/>
      <c r="AN1291" s="165"/>
    </row>
    <row r="1292" spans="3:40">
      <c r="C1292" s="46"/>
      <c r="F1292" s="173"/>
      <c r="G1292" s="1"/>
      <c r="H1292" s="165"/>
      <c r="I1292" s="160"/>
      <c r="J1292" s="160"/>
      <c r="K1292" s="1"/>
      <c r="L1292" s="123"/>
      <c r="M1292" s="1"/>
      <c r="N1292" s="590"/>
      <c r="O1292" s="165"/>
      <c r="P1292" s="165"/>
      <c r="Q1292" s="165"/>
      <c r="R1292" s="165"/>
      <c r="S1292" s="165"/>
      <c r="V1292" s="46"/>
      <c r="W1292" s="46"/>
      <c r="X1292" s="1"/>
      <c r="Y1292" s="1"/>
      <c r="Z1292" s="173"/>
      <c r="AA1292" s="1"/>
      <c r="AB1292" s="165"/>
      <c r="AC1292" s="1"/>
      <c r="AD1292" s="1"/>
      <c r="AE1292" s="1"/>
      <c r="AF1292" s="46"/>
      <c r="AG1292" s="1"/>
      <c r="AH1292" s="165"/>
      <c r="AI1292" s="165"/>
      <c r="AJ1292" s="165"/>
      <c r="AK1292" s="165"/>
      <c r="AL1292" s="165"/>
      <c r="AM1292" s="165"/>
      <c r="AN1292" s="165"/>
    </row>
    <row r="1293" spans="3:40">
      <c r="C1293" s="46"/>
      <c r="F1293" s="173"/>
      <c r="G1293" s="1"/>
      <c r="H1293" s="165"/>
      <c r="I1293" s="160"/>
      <c r="J1293" s="160"/>
      <c r="K1293" s="1"/>
      <c r="L1293" s="123"/>
      <c r="M1293" s="1"/>
      <c r="N1293" s="590"/>
      <c r="O1293" s="165"/>
      <c r="P1293" s="165"/>
      <c r="Q1293" s="165"/>
      <c r="R1293" s="165"/>
      <c r="S1293" s="165"/>
      <c r="V1293" s="46"/>
      <c r="W1293" s="46"/>
      <c r="X1293" s="1"/>
      <c r="Y1293" s="1"/>
      <c r="Z1293" s="173"/>
      <c r="AA1293" s="1"/>
      <c r="AB1293" s="165"/>
      <c r="AC1293" s="1"/>
      <c r="AD1293" s="1"/>
      <c r="AE1293" s="1"/>
      <c r="AF1293" s="46"/>
      <c r="AG1293" s="1"/>
      <c r="AH1293" s="165"/>
      <c r="AI1293" s="165"/>
      <c r="AJ1293" s="165"/>
      <c r="AK1293" s="165"/>
      <c r="AL1293" s="165"/>
      <c r="AM1293" s="165"/>
      <c r="AN1293" s="165"/>
    </row>
    <row r="1294" spans="3:40">
      <c r="C1294" s="46"/>
      <c r="F1294" s="173"/>
      <c r="G1294" s="1"/>
      <c r="H1294" s="165"/>
      <c r="I1294" s="160"/>
      <c r="J1294" s="160"/>
      <c r="K1294" s="1"/>
      <c r="L1294" s="123"/>
      <c r="M1294" s="1"/>
      <c r="N1294" s="590"/>
      <c r="O1294" s="165"/>
      <c r="P1294" s="165"/>
      <c r="Q1294" s="165"/>
      <c r="R1294" s="165"/>
      <c r="S1294" s="165"/>
      <c r="V1294" s="46"/>
      <c r="W1294" s="46"/>
      <c r="X1294" s="1"/>
      <c r="Y1294" s="1"/>
      <c r="Z1294" s="173"/>
      <c r="AA1294" s="1"/>
      <c r="AB1294" s="165"/>
      <c r="AC1294" s="1"/>
      <c r="AD1294" s="1"/>
      <c r="AE1294" s="1"/>
      <c r="AF1294" s="46"/>
      <c r="AG1294" s="1"/>
      <c r="AH1294" s="165"/>
      <c r="AI1294" s="165"/>
      <c r="AJ1294" s="165"/>
      <c r="AK1294" s="165"/>
      <c r="AL1294" s="165"/>
      <c r="AM1294" s="165"/>
      <c r="AN1294" s="165"/>
    </row>
    <row r="1295" spans="3:40">
      <c r="C1295" s="46"/>
      <c r="F1295" s="173"/>
      <c r="G1295" s="1"/>
      <c r="H1295" s="165"/>
      <c r="I1295" s="160"/>
      <c r="J1295" s="160"/>
      <c r="K1295" s="1"/>
      <c r="L1295" s="123"/>
      <c r="M1295" s="1"/>
      <c r="N1295" s="590"/>
      <c r="O1295" s="165"/>
      <c r="P1295" s="165"/>
      <c r="Q1295" s="165"/>
      <c r="R1295" s="165"/>
      <c r="S1295" s="165"/>
      <c r="V1295" s="46"/>
      <c r="W1295" s="46"/>
      <c r="X1295" s="1"/>
      <c r="Y1295" s="1"/>
      <c r="Z1295" s="173"/>
      <c r="AA1295" s="1"/>
      <c r="AB1295" s="165"/>
      <c r="AC1295" s="1"/>
      <c r="AD1295" s="1"/>
      <c r="AE1295" s="1"/>
      <c r="AF1295" s="46"/>
      <c r="AG1295" s="1"/>
      <c r="AH1295" s="165"/>
      <c r="AI1295" s="165"/>
      <c r="AJ1295" s="165"/>
      <c r="AK1295" s="165"/>
      <c r="AL1295" s="165"/>
      <c r="AM1295" s="165"/>
      <c r="AN1295" s="165"/>
    </row>
    <row r="1296" spans="3:40">
      <c r="C1296" s="46"/>
      <c r="F1296" s="173"/>
      <c r="G1296" s="1"/>
      <c r="H1296" s="165"/>
      <c r="I1296" s="160"/>
      <c r="J1296" s="160"/>
      <c r="K1296" s="1"/>
      <c r="L1296" s="123"/>
      <c r="M1296" s="1"/>
      <c r="N1296" s="590"/>
      <c r="O1296" s="165"/>
      <c r="P1296" s="165"/>
      <c r="Q1296" s="165"/>
      <c r="R1296" s="165"/>
      <c r="S1296" s="165"/>
      <c r="V1296" s="46"/>
      <c r="W1296" s="46"/>
      <c r="X1296" s="1"/>
      <c r="Y1296" s="1"/>
      <c r="Z1296" s="173"/>
      <c r="AA1296" s="1"/>
      <c r="AB1296" s="165"/>
      <c r="AC1296" s="1"/>
      <c r="AD1296" s="1"/>
      <c r="AE1296" s="1"/>
      <c r="AF1296" s="46"/>
      <c r="AG1296" s="1"/>
      <c r="AH1296" s="165"/>
      <c r="AI1296" s="165"/>
      <c r="AJ1296" s="165"/>
      <c r="AK1296" s="165"/>
      <c r="AL1296" s="165"/>
      <c r="AM1296" s="165"/>
      <c r="AN1296" s="165"/>
    </row>
    <row r="1297" spans="3:40">
      <c r="C1297" s="46"/>
      <c r="F1297" s="173"/>
      <c r="G1297" s="1"/>
      <c r="H1297" s="165"/>
      <c r="I1297" s="160"/>
      <c r="J1297" s="160"/>
      <c r="K1297" s="1"/>
      <c r="L1297" s="123"/>
      <c r="M1297" s="1"/>
      <c r="N1297" s="590"/>
      <c r="O1297" s="165"/>
      <c r="P1297" s="165"/>
      <c r="Q1297" s="165"/>
      <c r="R1297" s="165"/>
      <c r="S1297" s="165"/>
      <c r="V1297" s="46"/>
      <c r="W1297" s="46"/>
      <c r="X1297" s="1"/>
      <c r="Y1297" s="1"/>
      <c r="Z1297" s="173"/>
      <c r="AA1297" s="1"/>
      <c r="AB1297" s="165"/>
      <c r="AC1297" s="1"/>
      <c r="AD1297" s="1"/>
      <c r="AE1297" s="1"/>
      <c r="AF1297" s="46"/>
      <c r="AG1297" s="1"/>
      <c r="AH1297" s="165"/>
      <c r="AI1297" s="165"/>
      <c r="AJ1297" s="165"/>
      <c r="AK1297" s="165"/>
      <c r="AL1297" s="165"/>
      <c r="AM1297" s="165"/>
      <c r="AN1297" s="165"/>
    </row>
    <row r="1298" spans="3:40">
      <c r="C1298" s="46"/>
      <c r="F1298" s="173"/>
      <c r="G1298" s="1"/>
      <c r="H1298" s="165"/>
      <c r="I1298" s="160"/>
      <c r="J1298" s="160"/>
      <c r="K1298" s="1"/>
      <c r="L1298" s="123"/>
      <c r="M1298" s="1"/>
      <c r="N1298" s="590"/>
      <c r="O1298" s="165"/>
      <c r="P1298" s="165"/>
      <c r="Q1298" s="165"/>
      <c r="R1298" s="165"/>
      <c r="S1298" s="165"/>
      <c r="V1298" s="46"/>
      <c r="W1298" s="46"/>
      <c r="X1298" s="1"/>
      <c r="Y1298" s="1"/>
      <c r="Z1298" s="173"/>
      <c r="AA1298" s="1"/>
      <c r="AB1298" s="165"/>
      <c r="AC1298" s="1"/>
      <c r="AD1298" s="1"/>
      <c r="AE1298" s="1"/>
      <c r="AF1298" s="46"/>
      <c r="AG1298" s="1"/>
      <c r="AH1298" s="165"/>
      <c r="AI1298" s="165"/>
      <c r="AJ1298" s="165"/>
      <c r="AK1298" s="165"/>
      <c r="AL1298" s="165"/>
      <c r="AM1298" s="165"/>
      <c r="AN1298" s="165"/>
    </row>
    <row r="1299" spans="3:40">
      <c r="C1299" s="46"/>
      <c r="F1299" s="173"/>
      <c r="G1299" s="1"/>
      <c r="H1299" s="165"/>
      <c r="I1299" s="160"/>
      <c r="J1299" s="160"/>
      <c r="K1299" s="1"/>
      <c r="L1299" s="123"/>
      <c r="M1299" s="1"/>
      <c r="N1299" s="590"/>
      <c r="O1299" s="165"/>
      <c r="P1299" s="165"/>
      <c r="Q1299" s="165"/>
      <c r="R1299" s="165"/>
      <c r="S1299" s="165"/>
      <c r="V1299" s="46"/>
      <c r="W1299" s="46"/>
      <c r="X1299" s="1"/>
      <c r="Y1299" s="1"/>
      <c r="Z1299" s="173"/>
      <c r="AA1299" s="1"/>
      <c r="AB1299" s="165"/>
      <c r="AC1299" s="1"/>
      <c r="AD1299" s="1"/>
      <c r="AE1299" s="1"/>
      <c r="AF1299" s="46"/>
      <c r="AG1299" s="1"/>
      <c r="AH1299" s="165"/>
      <c r="AI1299" s="165"/>
      <c r="AJ1299" s="165"/>
      <c r="AK1299" s="165"/>
      <c r="AL1299" s="165"/>
      <c r="AM1299" s="165"/>
      <c r="AN1299" s="165"/>
    </row>
    <row r="1300" spans="3:40">
      <c r="C1300" s="46"/>
      <c r="F1300" s="173"/>
      <c r="G1300" s="1"/>
      <c r="H1300" s="165"/>
      <c r="I1300" s="160"/>
      <c r="J1300" s="160"/>
      <c r="K1300" s="1"/>
      <c r="L1300" s="123"/>
      <c r="M1300" s="1"/>
      <c r="N1300" s="590"/>
      <c r="O1300" s="165"/>
      <c r="P1300" s="165"/>
      <c r="Q1300" s="165"/>
      <c r="R1300" s="165"/>
      <c r="S1300" s="165"/>
      <c r="V1300" s="46"/>
      <c r="W1300" s="46"/>
      <c r="X1300" s="1"/>
      <c r="Y1300" s="1"/>
      <c r="Z1300" s="173"/>
      <c r="AA1300" s="1"/>
      <c r="AB1300" s="165"/>
      <c r="AC1300" s="1"/>
      <c r="AD1300" s="1"/>
      <c r="AE1300" s="1"/>
      <c r="AF1300" s="46"/>
      <c r="AG1300" s="1"/>
      <c r="AH1300" s="165"/>
      <c r="AI1300" s="165"/>
      <c r="AJ1300" s="165"/>
      <c r="AK1300" s="165"/>
      <c r="AL1300" s="165"/>
      <c r="AM1300" s="165"/>
      <c r="AN1300" s="165"/>
    </row>
    <row r="1301" spans="3:40">
      <c r="C1301" s="46"/>
      <c r="F1301" s="173"/>
      <c r="G1301" s="1"/>
      <c r="H1301" s="165"/>
      <c r="I1301" s="160"/>
      <c r="J1301" s="160"/>
      <c r="K1301" s="1"/>
      <c r="L1301" s="123"/>
      <c r="M1301" s="1"/>
      <c r="N1301" s="590"/>
      <c r="O1301" s="165"/>
      <c r="P1301" s="165"/>
      <c r="Q1301" s="165"/>
      <c r="R1301" s="165"/>
      <c r="S1301" s="165"/>
      <c r="V1301" s="46"/>
      <c r="W1301" s="46"/>
      <c r="X1301" s="1"/>
      <c r="Y1301" s="1"/>
      <c r="Z1301" s="173"/>
      <c r="AA1301" s="1"/>
      <c r="AB1301" s="165"/>
      <c r="AC1301" s="1"/>
      <c r="AD1301" s="1"/>
      <c r="AE1301" s="1"/>
      <c r="AF1301" s="46"/>
      <c r="AG1301" s="1"/>
      <c r="AH1301" s="165"/>
      <c r="AI1301" s="165"/>
      <c r="AJ1301" s="165"/>
      <c r="AK1301" s="165"/>
      <c r="AL1301" s="165"/>
      <c r="AM1301" s="165"/>
      <c r="AN1301" s="165"/>
    </row>
    <row r="1302" spans="3:40">
      <c r="C1302" s="46"/>
      <c r="F1302" s="173"/>
      <c r="G1302" s="1"/>
      <c r="H1302" s="165"/>
      <c r="I1302" s="160"/>
      <c r="J1302" s="160"/>
      <c r="K1302" s="1"/>
      <c r="L1302" s="123"/>
      <c r="M1302" s="1"/>
      <c r="N1302" s="590"/>
      <c r="O1302" s="165"/>
      <c r="P1302" s="165"/>
      <c r="Q1302" s="165"/>
      <c r="R1302" s="165"/>
      <c r="S1302" s="165"/>
      <c r="V1302" s="46"/>
      <c r="W1302" s="46"/>
      <c r="X1302" s="1"/>
      <c r="Y1302" s="1"/>
      <c r="Z1302" s="173"/>
      <c r="AA1302" s="1"/>
      <c r="AB1302" s="165"/>
      <c r="AC1302" s="1"/>
      <c r="AD1302" s="1"/>
      <c r="AE1302" s="1"/>
      <c r="AF1302" s="46"/>
      <c r="AG1302" s="1"/>
      <c r="AH1302" s="165"/>
      <c r="AI1302" s="165"/>
      <c r="AJ1302" s="165"/>
      <c r="AK1302" s="165"/>
      <c r="AL1302" s="165"/>
      <c r="AM1302" s="165"/>
      <c r="AN1302" s="165"/>
    </row>
    <row r="1303" spans="3:40">
      <c r="C1303" s="46"/>
      <c r="F1303" s="173"/>
      <c r="G1303" s="1"/>
      <c r="H1303" s="165"/>
      <c r="I1303" s="160"/>
      <c r="J1303" s="160"/>
      <c r="K1303" s="1"/>
      <c r="L1303" s="123"/>
      <c r="M1303" s="1"/>
      <c r="N1303" s="590"/>
      <c r="O1303" s="165"/>
      <c r="P1303" s="165"/>
      <c r="Q1303" s="165"/>
      <c r="R1303" s="165"/>
      <c r="S1303" s="165"/>
      <c r="V1303" s="46"/>
      <c r="W1303" s="46"/>
      <c r="X1303" s="1"/>
      <c r="Y1303" s="1"/>
      <c r="Z1303" s="173"/>
      <c r="AA1303" s="1"/>
      <c r="AB1303" s="165"/>
      <c r="AC1303" s="1"/>
      <c r="AD1303" s="1"/>
      <c r="AE1303" s="1"/>
      <c r="AF1303" s="46"/>
      <c r="AG1303" s="1"/>
      <c r="AH1303" s="165"/>
      <c r="AI1303" s="165"/>
      <c r="AJ1303" s="165"/>
      <c r="AK1303" s="165"/>
      <c r="AL1303" s="165"/>
      <c r="AM1303" s="165"/>
      <c r="AN1303" s="165"/>
    </row>
    <row r="1304" spans="3:40">
      <c r="C1304" s="46"/>
      <c r="F1304" s="173"/>
      <c r="G1304" s="1"/>
      <c r="H1304" s="165"/>
      <c r="I1304" s="160"/>
      <c r="J1304" s="160"/>
      <c r="K1304" s="1"/>
      <c r="L1304" s="123"/>
      <c r="M1304" s="1"/>
      <c r="N1304" s="590"/>
      <c r="O1304" s="165"/>
      <c r="P1304" s="165"/>
      <c r="Q1304" s="165"/>
      <c r="R1304" s="165"/>
      <c r="S1304" s="165"/>
      <c r="V1304" s="46"/>
      <c r="W1304" s="46"/>
      <c r="X1304" s="1"/>
      <c r="Y1304" s="1"/>
      <c r="Z1304" s="173"/>
      <c r="AA1304" s="1"/>
      <c r="AB1304" s="165"/>
      <c r="AC1304" s="1"/>
      <c r="AD1304" s="1"/>
      <c r="AE1304" s="1"/>
      <c r="AF1304" s="46"/>
      <c r="AG1304" s="1"/>
      <c r="AH1304" s="165"/>
      <c r="AI1304" s="165"/>
      <c r="AJ1304" s="165"/>
      <c r="AK1304" s="165"/>
      <c r="AL1304" s="165"/>
      <c r="AM1304" s="165"/>
      <c r="AN1304" s="165"/>
    </row>
    <row r="1305" spans="3:40">
      <c r="C1305" s="46"/>
      <c r="F1305" s="173"/>
      <c r="G1305" s="1"/>
      <c r="H1305" s="165"/>
      <c r="I1305" s="160"/>
      <c r="J1305" s="160"/>
      <c r="K1305" s="1"/>
      <c r="L1305" s="123"/>
      <c r="M1305" s="1"/>
      <c r="N1305" s="590"/>
      <c r="O1305" s="165"/>
      <c r="P1305" s="165"/>
      <c r="Q1305" s="165"/>
      <c r="R1305" s="165"/>
      <c r="S1305" s="165"/>
      <c r="V1305" s="46"/>
      <c r="W1305" s="46"/>
      <c r="X1305" s="1"/>
      <c r="Y1305" s="1"/>
      <c r="Z1305" s="173"/>
      <c r="AA1305" s="1"/>
      <c r="AB1305" s="165"/>
      <c r="AC1305" s="1"/>
      <c r="AD1305" s="1"/>
      <c r="AE1305" s="1"/>
      <c r="AF1305" s="46"/>
      <c r="AG1305" s="1"/>
      <c r="AH1305" s="165"/>
      <c r="AI1305" s="165"/>
      <c r="AJ1305" s="165"/>
      <c r="AK1305" s="165"/>
      <c r="AL1305" s="165"/>
      <c r="AM1305" s="165"/>
      <c r="AN1305" s="165"/>
    </row>
    <row r="1306" spans="3:40">
      <c r="C1306" s="46"/>
      <c r="F1306" s="173"/>
      <c r="G1306" s="1"/>
      <c r="H1306" s="165"/>
      <c r="I1306" s="160"/>
      <c r="J1306" s="160"/>
      <c r="K1306" s="1"/>
      <c r="L1306" s="123"/>
      <c r="M1306" s="1"/>
      <c r="N1306" s="590"/>
      <c r="O1306" s="165"/>
      <c r="P1306" s="165"/>
      <c r="Q1306" s="165"/>
      <c r="R1306" s="165"/>
      <c r="S1306" s="165"/>
      <c r="V1306" s="46"/>
      <c r="W1306" s="46"/>
      <c r="X1306" s="1"/>
      <c r="Y1306" s="1"/>
      <c r="Z1306" s="173"/>
      <c r="AA1306" s="1"/>
      <c r="AB1306" s="165"/>
      <c r="AC1306" s="1"/>
      <c r="AD1306" s="1"/>
      <c r="AE1306" s="1"/>
      <c r="AF1306" s="46"/>
      <c r="AG1306" s="1"/>
      <c r="AH1306" s="165"/>
      <c r="AI1306" s="165"/>
      <c r="AJ1306" s="165"/>
      <c r="AK1306" s="165"/>
      <c r="AL1306" s="165"/>
      <c r="AM1306" s="165"/>
      <c r="AN1306" s="165"/>
    </row>
    <row r="1307" spans="3:40">
      <c r="C1307" s="46"/>
      <c r="F1307" s="173"/>
      <c r="G1307" s="1"/>
      <c r="H1307" s="165"/>
      <c r="I1307" s="160"/>
      <c r="J1307" s="160"/>
      <c r="K1307" s="1"/>
      <c r="L1307" s="123"/>
      <c r="M1307" s="1"/>
      <c r="N1307" s="590"/>
      <c r="O1307" s="165"/>
      <c r="P1307" s="165"/>
      <c r="Q1307" s="165"/>
      <c r="R1307" s="165"/>
      <c r="S1307" s="165"/>
      <c r="V1307" s="46"/>
      <c r="W1307" s="46"/>
      <c r="X1307" s="1"/>
      <c r="Y1307" s="1"/>
      <c r="Z1307" s="173"/>
      <c r="AA1307" s="1"/>
      <c r="AB1307" s="165"/>
      <c r="AC1307" s="1"/>
      <c r="AD1307" s="1"/>
      <c r="AE1307" s="1"/>
      <c r="AF1307" s="46"/>
      <c r="AG1307" s="1"/>
      <c r="AH1307" s="165"/>
      <c r="AI1307" s="165"/>
      <c r="AJ1307" s="165"/>
      <c r="AK1307" s="165"/>
      <c r="AL1307" s="165"/>
      <c r="AM1307" s="165"/>
      <c r="AN1307" s="165"/>
    </row>
    <row r="1308" spans="3:40">
      <c r="C1308" s="46"/>
      <c r="F1308" s="173"/>
      <c r="G1308" s="1"/>
      <c r="H1308" s="165"/>
      <c r="I1308" s="160"/>
      <c r="J1308" s="160"/>
      <c r="K1308" s="1"/>
      <c r="L1308" s="123"/>
      <c r="M1308" s="1"/>
      <c r="N1308" s="590"/>
      <c r="O1308" s="165"/>
      <c r="P1308" s="165"/>
      <c r="Q1308" s="165"/>
      <c r="R1308" s="165"/>
      <c r="S1308" s="165"/>
      <c r="V1308" s="46"/>
      <c r="W1308" s="46"/>
      <c r="X1308" s="1"/>
      <c r="Y1308" s="1"/>
      <c r="Z1308" s="173"/>
      <c r="AA1308" s="1"/>
      <c r="AB1308" s="165"/>
      <c r="AC1308" s="1"/>
      <c r="AD1308" s="1"/>
      <c r="AE1308" s="1"/>
      <c r="AF1308" s="46"/>
      <c r="AG1308" s="1"/>
      <c r="AH1308" s="165"/>
      <c r="AI1308" s="165"/>
      <c r="AJ1308" s="165"/>
      <c r="AK1308" s="165"/>
      <c r="AL1308" s="165"/>
      <c r="AM1308" s="165"/>
      <c r="AN1308" s="165"/>
    </row>
    <row r="1309" spans="3:40">
      <c r="C1309" s="46"/>
      <c r="F1309" s="173"/>
      <c r="G1309" s="1"/>
      <c r="H1309" s="165"/>
      <c r="I1309" s="160"/>
      <c r="J1309" s="160"/>
      <c r="K1309" s="1"/>
      <c r="L1309" s="123"/>
      <c r="M1309" s="1"/>
      <c r="N1309" s="590"/>
      <c r="O1309" s="165"/>
      <c r="P1309" s="165"/>
      <c r="Q1309" s="165"/>
      <c r="R1309" s="165"/>
      <c r="S1309" s="165"/>
      <c r="V1309" s="46"/>
      <c r="W1309" s="46"/>
      <c r="X1309" s="1"/>
      <c r="Y1309" s="1"/>
      <c r="Z1309" s="173"/>
      <c r="AA1309" s="1"/>
      <c r="AB1309" s="165"/>
      <c r="AC1309" s="1"/>
      <c r="AD1309" s="1"/>
      <c r="AE1309" s="1"/>
      <c r="AF1309" s="46"/>
      <c r="AG1309" s="1"/>
      <c r="AH1309" s="165"/>
      <c r="AI1309" s="165"/>
      <c r="AJ1309" s="165"/>
      <c r="AK1309" s="165"/>
      <c r="AL1309" s="165"/>
      <c r="AM1309" s="165"/>
      <c r="AN1309" s="165"/>
    </row>
    <row r="1310" spans="3:40">
      <c r="C1310" s="46"/>
      <c r="F1310" s="173"/>
      <c r="G1310" s="1"/>
      <c r="H1310" s="165"/>
      <c r="I1310" s="160"/>
      <c r="J1310" s="160"/>
      <c r="K1310" s="1"/>
      <c r="L1310" s="123"/>
      <c r="M1310" s="1"/>
      <c r="N1310" s="590"/>
      <c r="O1310" s="165"/>
      <c r="P1310" s="165"/>
      <c r="Q1310" s="165"/>
      <c r="R1310" s="165"/>
      <c r="S1310" s="165"/>
      <c r="V1310" s="46"/>
      <c r="W1310" s="46"/>
      <c r="X1310" s="1"/>
      <c r="Y1310" s="1"/>
      <c r="Z1310" s="173"/>
      <c r="AA1310" s="1"/>
      <c r="AB1310" s="165"/>
      <c r="AC1310" s="1"/>
      <c r="AD1310" s="1"/>
      <c r="AE1310" s="1"/>
      <c r="AF1310" s="46"/>
      <c r="AG1310" s="1"/>
      <c r="AH1310" s="165"/>
      <c r="AI1310" s="165"/>
      <c r="AJ1310" s="165"/>
      <c r="AK1310" s="165"/>
      <c r="AL1310" s="165"/>
      <c r="AM1310" s="165"/>
      <c r="AN1310" s="165"/>
    </row>
    <row r="1311" spans="3:40">
      <c r="C1311" s="46"/>
      <c r="F1311" s="173"/>
      <c r="G1311" s="1"/>
      <c r="H1311" s="165"/>
      <c r="I1311" s="160"/>
      <c r="J1311" s="160"/>
      <c r="K1311" s="1"/>
      <c r="L1311" s="123"/>
      <c r="M1311" s="1"/>
      <c r="N1311" s="590"/>
      <c r="O1311" s="165"/>
      <c r="P1311" s="165"/>
      <c r="Q1311" s="165"/>
      <c r="R1311" s="165"/>
      <c r="S1311" s="165"/>
      <c r="V1311" s="46"/>
      <c r="W1311" s="46"/>
      <c r="X1311" s="1"/>
      <c r="Y1311" s="1"/>
      <c r="Z1311" s="173"/>
      <c r="AA1311" s="1"/>
      <c r="AB1311" s="165"/>
      <c r="AC1311" s="1"/>
      <c r="AD1311" s="1"/>
      <c r="AE1311" s="1"/>
      <c r="AF1311" s="46"/>
      <c r="AG1311" s="1"/>
      <c r="AH1311" s="165"/>
      <c r="AI1311" s="165"/>
      <c r="AJ1311" s="165"/>
      <c r="AK1311" s="165"/>
      <c r="AL1311" s="165"/>
      <c r="AM1311" s="165"/>
      <c r="AN1311" s="165"/>
    </row>
    <row r="1312" spans="3:40">
      <c r="C1312" s="46"/>
      <c r="F1312" s="173"/>
      <c r="G1312" s="1"/>
      <c r="H1312" s="165"/>
      <c r="I1312" s="160"/>
      <c r="J1312" s="160"/>
      <c r="K1312" s="1"/>
      <c r="L1312" s="123"/>
      <c r="M1312" s="1"/>
      <c r="N1312" s="590"/>
      <c r="O1312" s="165"/>
      <c r="P1312" s="165"/>
      <c r="Q1312" s="165"/>
      <c r="R1312" s="165"/>
      <c r="S1312" s="165"/>
      <c r="V1312" s="46"/>
      <c r="W1312" s="46"/>
      <c r="X1312" s="1"/>
      <c r="Y1312" s="1"/>
      <c r="Z1312" s="173"/>
      <c r="AA1312" s="1"/>
      <c r="AB1312" s="165"/>
      <c r="AC1312" s="1"/>
      <c r="AD1312" s="1"/>
      <c r="AE1312" s="1"/>
      <c r="AF1312" s="46"/>
      <c r="AG1312" s="1"/>
      <c r="AH1312" s="165"/>
      <c r="AI1312" s="165"/>
      <c r="AJ1312" s="165"/>
      <c r="AK1312" s="165"/>
      <c r="AL1312" s="165"/>
      <c r="AM1312" s="165"/>
      <c r="AN1312" s="165"/>
    </row>
    <row r="1313" spans="3:40">
      <c r="C1313" s="46"/>
      <c r="F1313" s="173"/>
      <c r="G1313" s="1"/>
      <c r="H1313" s="165"/>
      <c r="I1313" s="160"/>
      <c r="J1313" s="160"/>
      <c r="K1313" s="1"/>
      <c r="L1313" s="123"/>
      <c r="M1313" s="1"/>
      <c r="N1313" s="590"/>
      <c r="O1313" s="165"/>
      <c r="P1313" s="165"/>
      <c r="Q1313" s="165"/>
      <c r="R1313" s="165"/>
      <c r="S1313" s="165"/>
      <c r="V1313" s="46"/>
      <c r="W1313" s="46"/>
      <c r="X1313" s="1"/>
      <c r="Y1313" s="1"/>
      <c r="Z1313" s="173"/>
      <c r="AA1313" s="1"/>
      <c r="AB1313" s="165"/>
      <c r="AC1313" s="1"/>
      <c r="AD1313" s="1"/>
      <c r="AE1313" s="1"/>
      <c r="AF1313" s="46"/>
      <c r="AG1313" s="1"/>
      <c r="AH1313" s="165"/>
      <c r="AI1313" s="165"/>
      <c r="AJ1313" s="165"/>
      <c r="AK1313" s="165"/>
      <c r="AL1313" s="165"/>
      <c r="AM1313" s="165"/>
      <c r="AN1313" s="165"/>
    </row>
    <row r="1314" spans="3:40">
      <c r="C1314" s="46"/>
      <c r="F1314" s="173"/>
      <c r="G1314" s="1"/>
      <c r="H1314" s="165"/>
      <c r="I1314" s="160"/>
      <c r="J1314" s="160"/>
      <c r="K1314" s="1"/>
      <c r="L1314" s="123"/>
      <c r="M1314" s="1"/>
      <c r="N1314" s="590"/>
      <c r="O1314" s="165"/>
      <c r="P1314" s="165"/>
      <c r="Q1314" s="165"/>
      <c r="R1314" s="165"/>
      <c r="S1314" s="165"/>
      <c r="V1314" s="46"/>
      <c r="W1314" s="46"/>
      <c r="X1314" s="1"/>
      <c r="Y1314" s="1"/>
      <c r="Z1314" s="173"/>
      <c r="AA1314" s="1"/>
      <c r="AB1314" s="165"/>
      <c r="AC1314" s="1"/>
      <c r="AD1314" s="1"/>
      <c r="AE1314" s="1"/>
      <c r="AF1314" s="46"/>
      <c r="AG1314" s="1"/>
      <c r="AH1314" s="165"/>
      <c r="AI1314" s="165"/>
      <c r="AJ1314" s="165"/>
      <c r="AK1314" s="165"/>
      <c r="AL1314" s="165"/>
      <c r="AM1314" s="165"/>
      <c r="AN1314" s="165"/>
    </row>
    <row r="1315" spans="3:40">
      <c r="C1315" s="46"/>
      <c r="F1315" s="173"/>
      <c r="G1315" s="1"/>
      <c r="H1315" s="165"/>
      <c r="I1315" s="160"/>
      <c r="J1315" s="160"/>
      <c r="K1315" s="1"/>
      <c r="L1315" s="123"/>
      <c r="M1315" s="1"/>
      <c r="N1315" s="590"/>
      <c r="O1315" s="165"/>
      <c r="P1315" s="165"/>
      <c r="Q1315" s="165"/>
      <c r="R1315" s="165"/>
      <c r="S1315" s="165"/>
      <c r="V1315" s="46"/>
      <c r="W1315" s="46"/>
      <c r="X1315" s="1"/>
      <c r="Y1315" s="1"/>
      <c r="Z1315" s="173"/>
      <c r="AA1315" s="1"/>
      <c r="AB1315" s="165"/>
      <c r="AC1315" s="1"/>
      <c r="AD1315" s="1"/>
      <c r="AE1315" s="1"/>
      <c r="AF1315" s="46"/>
      <c r="AG1315" s="1"/>
      <c r="AH1315" s="165"/>
      <c r="AI1315" s="165"/>
      <c r="AJ1315" s="165"/>
      <c r="AK1315" s="165"/>
      <c r="AL1315" s="165"/>
      <c r="AM1315" s="165"/>
      <c r="AN1315" s="165"/>
    </row>
    <row r="1316" spans="3:40">
      <c r="C1316" s="46"/>
      <c r="F1316" s="173"/>
      <c r="G1316" s="1"/>
      <c r="H1316" s="165"/>
      <c r="I1316" s="160"/>
      <c r="J1316" s="160"/>
      <c r="K1316" s="1"/>
      <c r="L1316" s="123"/>
      <c r="M1316" s="1"/>
      <c r="N1316" s="590"/>
      <c r="O1316" s="165"/>
      <c r="P1316" s="165"/>
      <c r="Q1316" s="165"/>
      <c r="R1316" s="165"/>
      <c r="S1316" s="165"/>
      <c r="V1316" s="46"/>
      <c r="W1316" s="46"/>
      <c r="X1316" s="1"/>
      <c r="Y1316" s="1"/>
      <c r="Z1316" s="173"/>
      <c r="AA1316" s="1"/>
      <c r="AB1316" s="165"/>
      <c r="AC1316" s="1"/>
      <c r="AD1316" s="1"/>
      <c r="AE1316" s="1"/>
      <c r="AF1316" s="46"/>
      <c r="AG1316" s="1"/>
      <c r="AH1316" s="165"/>
      <c r="AI1316" s="165"/>
      <c r="AJ1316" s="165"/>
      <c r="AK1316" s="165"/>
      <c r="AL1316" s="165"/>
      <c r="AM1316" s="165"/>
      <c r="AN1316" s="165"/>
    </row>
    <row r="1317" spans="3:40">
      <c r="C1317" s="46"/>
      <c r="F1317" s="173"/>
      <c r="G1317" s="1"/>
      <c r="H1317" s="165"/>
      <c r="I1317" s="160"/>
      <c r="J1317" s="160"/>
      <c r="K1317" s="1"/>
      <c r="L1317" s="123"/>
      <c r="M1317" s="1"/>
      <c r="N1317" s="590"/>
      <c r="O1317" s="165"/>
      <c r="P1317" s="165"/>
      <c r="Q1317" s="165"/>
      <c r="R1317" s="165"/>
      <c r="S1317" s="165"/>
      <c r="V1317" s="46"/>
      <c r="W1317" s="46"/>
      <c r="X1317" s="1"/>
      <c r="Y1317" s="1"/>
      <c r="Z1317" s="173"/>
      <c r="AA1317" s="1"/>
      <c r="AB1317" s="165"/>
      <c r="AC1317" s="1"/>
      <c r="AD1317" s="1"/>
      <c r="AE1317" s="1"/>
      <c r="AF1317" s="46"/>
      <c r="AG1317" s="1"/>
      <c r="AH1317" s="165"/>
      <c r="AI1317" s="165"/>
      <c r="AJ1317" s="165"/>
      <c r="AK1317" s="165"/>
      <c r="AL1317" s="165"/>
      <c r="AM1317" s="165"/>
      <c r="AN1317" s="165"/>
    </row>
    <row r="1318" spans="3:40">
      <c r="C1318" s="46"/>
      <c r="F1318" s="173"/>
      <c r="G1318" s="1"/>
      <c r="H1318" s="165"/>
      <c r="I1318" s="160"/>
      <c r="J1318" s="160"/>
      <c r="K1318" s="1"/>
      <c r="L1318" s="123"/>
      <c r="M1318" s="1"/>
      <c r="N1318" s="590"/>
      <c r="O1318" s="165"/>
      <c r="P1318" s="165"/>
      <c r="Q1318" s="165"/>
      <c r="R1318" s="165"/>
      <c r="S1318" s="165"/>
      <c r="V1318" s="46"/>
      <c r="W1318" s="46"/>
      <c r="X1318" s="1"/>
      <c r="Y1318" s="1"/>
      <c r="Z1318" s="173"/>
      <c r="AA1318" s="1"/>
      <c r="AB1318" s="165"/>
      <c r="AC1318" s="1"/>
      <c r="AD1318" s="1"/>
      <c r="AE1318" s="1"/>
      <c r="AF1318" s="46"/>
      <c r="AG1318" s="1"/>
      <c r="AH1318" s="165"/>
      <c r="AI1318" s="165"/>
      <c r="AJ1318" s="165"/>
      <c r="AK1318" s="165"/>
      <c r="AL1318" s="165"/>
      <c r="AM1318" s="165"/>
      <c r="AN1318" s="165"/>
    </row>
    <row r="1319" spans="3:40">
      <c r="C1319" s="46"/>
      <c r="F1319" s="173"/>
      <c r="G1319" s="1"/>
      <c r="H1319" s="165"/>
      <c r="I1319" s="160"/>
      <c r="J1319" s="160"/>
      <c r="K1319" s="1"/>
      <c r="L1319" s="123"/>
      <c r="M1319" s="1"/>
      <c r="N1319" s="590"/>
      <c r="O1319" s="165"/>
      <c r="P1319" s="165"/>
      <c r="Q1319" s="165"/>
      <c r="R1319" s="165"/>
      <c r="S1319" s="165"/>
      <c r="V1319" s="46"/>
      <c r="W1319" s="46"/>
      <c r="X1319" s="1"/>
      <c r="Y1319" s="1"/>
      <c r="Z1319" s="173"/>
      <c r="AA1319" s="1"/>
      <c r="AB1319" s="165"/>
      <c r="AC1319" s="1"/>
      <c r="AD1319" s="1"/>
      <c r="AE1319" s="1"/>
      <c r="AF1319" s="46"/>
      <c r="AG1319" s="1"/>
      <c r="AH1319" s="165"/>
      <c r="AI1319" s="165"/>
      <c r="AJ1319" s="165"/>
      <c r="AK1319" s="165"/>
      <c r="AL1319" s="165"/>
      <c r="AM1319" s="165"/>
      <c r="AN1319" s="165"/>
    </row>
    <row r="1320" spans="3:40">
      <c r="C1320" s="46"/>
      <c r="F1320" s="173"/>
      <c r="G1320" s="1"/>
      <c r="H1320" s="165"/>
      <c r="I1320" s="160"/>
      <c r="J1320" s="160"/>
      <c r="K1320" s="1"/>
      <c r="L1320" s="123"/>
      <c r="M1320" s="1"/>
      <c r="N1320" s="590"/>
      <c r="O1320" s="165"/>
      <c r="P1320" s="165"/>
      <c r="Q1320" s="165"/>
      <c r="R1320" s="165"/>
      <c r="S1320" s="165"/>
      <c r="V1320" s="46"/>
      <c r="W1320" s="46"/>
      <c r="X1320" s="1"/>
      <c r="Y1320" s="1"/>
      <c r="Z1320" s="173"/>
      <c r="AA1320" s="1"/>
      <c r="AB1320" s="165"/>
      <c r="AC1320" s="1"/>
      <c r="AD1320" s="1"/>
      <c r="AE1320" s="1"/>
      <c r="AF1320" s="46"/>
      <c r="AG1320" s="1"/>
      <c r="AH1320" s="165"/>
      <c r="AI1320" s="165"/>
      <c r="AJ1320" s="165"/>
      <c r="AK1320" s="165"/>
      <c r="AL1320" s="165"/>
      <c r="AM1320" s="165"/>
      <c r="AN1320" s="165"/>
    </row>
    <row r="1321" spans="3:40">
      <c r="C1321" s="46"/>
      <c r="F1321" s="173"/>
      <c r="G1321" s="1"/>
      <c r="H1321" s="165"/>
      <c r="I1321" s="160"/>
      <c r="J1321" s="160"/>
      <c r="K1321" s="1"/>
      <c r="L1321" s="123"/>
      <c r="M1321" s="1"/>
      <c r="N1321" s="590"/>
      <c r="O1321" s="165"/>
      <c r="P1321" s="165"/>
      <c r="Q1321" s="165"/>
      <c r="R1321" s="165"/>
      <c r="S1321" s="165"/>
      <c r="V1321" s="46"/>
      <c r="W1321" s="46"/>
      <c r="X1321" s="1"/>
      <c r="Y1321" s="1"/>
      <c r="Z1321" s="173"/>
      <c r="AA1321" s="1"/>
      <c r="AB1321" s="165"/>
      <c r="AC1321" s="1"/>
      <c r="AD1321" s="1"/>
      <c r="AE1321" s="1"/>
      <c r="AF1321" s="46"/>
      <c r="AG1321" s="1"/>
      <c r="AH1321" s="165"/>
      <c r="AI1321" s="165"/>
      <c r="AJ1321" s="165"/>
      <c r="AK1321" s="165"/>
      <c r="AL1321" s="165"/>
      <c r="AM1321" s="165"/>
      <c r="AN1321" s="165"/>
    </row>
    <row r="1322" spans="3:40">
      <c r="C1322" s="46"/>
      <c r="F1322" s="173"/>
      <c r="G1322" s="1"/>
      <c r="H1322" s="165"/>
      <c r="I1322" s="160"/>
      <c r="J1322" s="160"/>
      <c r="K1322" s="1"/>
      <c r="L1322" s="123"/>
      <c r="M1322" s="1"/>
      <c r="N1322" s="590"/>
      <c r="O1322" s="165"/>
      <c r="P1322" s="165"/>
      <c r="Q1322" s="165"/>
      <c r="R1322" s="165"/>
      <c r="S1322" s="165"/>
      <c r="V1322" s="46"/>
      <c r="W1322" s="46"/>
      <c r="X1322" s="1"/>
      <c r="Y1322" s="1"/>
      <c r="Z1322" s="173"/>
      <c r="AA1322" s="1"/>
      <c r="AB1322" s="165"/>
      <c r="AC1322" s="1"/>
      <c r="AD1322" s="1"/>
      <c r="AE1322" s="1"/>
      <c r="AF1322" s="46"/>
      <c r="AG1322" s="1"/>
      <c r="AH1322" s="165"/>
      <c r="AI1322" s="165"/>
      <c r="AJ1322" s="165"/>
      <c r="AK1322" s="165"/>
      <c r="AL1322" s="165"/>
      <c r="AM1322" s="165"/>
      <c r="AN1322" s="165"/>
    </row>
    <row r="1323" spans="3:40">
      <c r="C1323" s="46"/>
      <c r="F1323" s="173"/>
      <c r="G1323" s="1"/>
      <c r="H1323" s="165"/>
      <c r="I1323" s="160"/>
      <c r="J1323" s="160"/>
      <c r="K1323" s="1"/>
      <c r="L1323" s="123"/>
      <c r="M1323" s="1"/>
      <c r="N1323" s="590"/>
      <c r="O1323" s="165"/>
      <c r="P1323" s="165"/>
      <c r="Q1323" s="165"/>
      <c r="R1323" s="165"/>
      <c r="S1323" s="165"/>
      <c r="V1323" s="46"/>
      <c r="W1323" s="46"/>
      <c r="X1323" s="1"/>
      <c r="Y1323" s="1"/>
      <c r="Z1323" s="173"/>
      <c r="AA1323" s="1"/>
      <c r="AB1323" s="165"/>
      <c r="AC1323" s="1"/>
      <c r="AD1323" s="1"/>
      <c r="AE1323" s="1"/>
      <c r="AF1323" s="46"/>
      <c r="AG1323" s="1"/>
      <c r="AH1323" s="165"/>
      <c r="AI1323" s="165"/>
      <c r="AJ1323" s="165"/>
      <c r="AK1323" s="165"/>
      <c r="AL1323" s="165"/>
      <c r="AM1323" s="165"/>
      <c r="AN1323" s="165"/>
    </row>
    <row r="1324" spans="3:40">
      <c r="C1324" s="46"/>
      <c r="F1324" s="173"/>
      <c r="G1324" s="1"/>
      <c r="H1324" s="165"/>
      <c r="I1324" s="160"/>
      <c r="J1324" s="160"/>
      <c r="K1324" s="1"/>
      <c r="L1324" s="123"/>
      <c r="M1324" s="1"/>
      <c r="N1324" s="590"/>
      <c r="O1324" s="165"/>
      <c r="P1324" s="165"/>
      <c r="Q1324" s="165"/>
      <c r="R1324" s="165"/>
      <c r="S1324" s="165"/>
      <c r="V1324" s="46"/>
      <c r="W1324" s="46"/>
      <c r="X1324" s="1"/>
      <c r="Y1324" s="1"/>
      <c r="Z1324" s="173"/>
      <c r="AA1324" s="1"/>
      <c r="AB1324" s="165"/>
      <c r="AC1324" s="1"/>
      <c r="AD1324" s="1"/>
      <c r="AE1324" s="1"/>
      <c r="AF1324" s="46"/>
      <c r="AG1324" s="1"/>
      <c r="AH1324" s="165"/>
      <c r="AI1324" s="165"/>
      <c r="AJ1324" s="165"/>
      <c r="AK1324" s="165"/>
      <c r="AL1324" s="165"/>
      <c r="AM1324" s="165"/>
      <c r="AN1324" s="165"/>
    </row>
    <row r="1325" spans="3:40">
      <c r="C1325" s="46"/>
      <c r="F1325" s="173"/>
      <c r="G1325" s="1"/>
      <c r="H1325" s="165"/>
      <c r="I1325" s="160"/>
      <c r="J1325" s="160"/>
      <c r="K1325" s="1"/>
      <c r="L1325" s="123"/>
      <c r="M1325" s="1"/>
      <c r="N1325" s="590"/>
      <c r="O1325" s="165"/>
      <c r="P1325" s="165"/>
      <c r="Q1325" s="165"/>
      <c r="R1325" s="165"/>
      <c r="S1325" s="165"/>
      <c r="V1325" s="46"/>
      <c r="W1325" s="46"/>
      <c r="X1325" s="1"/>
      <c r="Y1325" s="1"/>
      <c r="Z1325" s="173"/>
      <c r="AA1325" s="1"/>
      <c r="AB1325" s="165"/>
      <c r="AC1325" s="1"/>
      <c r="AD1325" s="1"/>
      <c r="AE1325" s="1"/>
      <c r="AF1325" s="46"/>
      <c r="AG1325" s="1"/>
      <c r="AH1325" s="165"/>
      <c r="AI1325" s="165"/>
      <c r="AJ1325" s="165"/>
      <c r="AK1325" s="165"/>
      <c r="AL1325" s="165"/>
      <c r="AM1325" s="165"/>
      <c r="AN1325" s="165"/>
    </row>
    <row r="1326" spans="3:40">
      <c r="C1326" s="46"/>
      <c r="F1326" s="173"/>
      <c r="G1326" s="1"/>
      <c r="H1326" s="165"/>
      <c r="I1326" s="160"/>
      <c r="J1326" s="160"/>
      <c r="K1326" s="1"/>
      <c r="L1326" s="123"/>
      <c r="M1326" s="1"/>
      <c r="N1326" s="590"/>
      <c r="O1326" s="165"/>
      <c r="P1326" s="165"/>
      <c r="Q1326" s="165"/>
      <c r="R1326" s="165"/>
      <c r="S1326" s="165"/>
      <c r="V1326" s="46"/>
      <c r="W1326" s="46"/>
      <c r="X1326" s="1"/>
      <c r="Y1326" s="1"/>
      <c r="Z1326" s="173"/>
      <c r="AA1326" s="1"/>
      <c r="AB1326" s="165"/>
      <c r="AC1326" s="1"/>
      <c r="AD1326" s="1"/>
      <c r="AE1326" s="1"/>
      <c r="AF1326" s="46"/>
      <c r="AG1326" s="1"/>
      <c r="AH1326" s="165"/>
      <c r="AI1326" s="165"/>
      <c r="AJ1326" s="165"/>
      <c r="AK1326" s="165"/>
      <c r="AL1326" s="165"/>
      <c r="AM1326" s="165"/>
      <c r="AN1326" s="165"/>
    </row>
    <row r="1327" spans="3:40">
      <c r="C1327" s="46"/>
      <c r="F1327" s="173"/>
      <c r="G1327" s="1"/>
      <c r="H1327" s="165"/>
      <c r="I1327" s="160"/>
      <c r="J1327" s="160"/>
      <c r="K1327" s="1"/>
      <c r="L1327" s="123"/>
      <c r="M1327" s="1"/>
      <c r="N1327" s="590"/>
      <c r="O1327" s="165"/>
      <c r="P1327" s="165"/>
      <c r="Q1327" s="165"/>
      <c r="R1327" s="165"/>
      <c r="S1327" s="165"/>
      <c r="V1327" s="46"/>
      <c r="W1327" s="46"/>
      <c r="X1327" s="1"/>
      <c r="Y1327" s="1"/>
      <c r="Z1327" s="173"/>
      <c r="AA1327" s="1"/>
      <c r="AB1327" s="165"/>
      <c r="AC1327" s="1"/>
      <c r="AD1327" s="1"/>
      <c r="AE1327" s="1"/>
      <c r="AF1327" s="46"/>
      <c r="AG1327" s="1"/>
      <c r="AH1327" s="165"/>
      <c r="AI1327" s="165"/>
      <c r="AJ1327" s="165"/>
      <c r="AK1327" s="165"/>
      <c r="AL1327" s="165"/>
      <c r="AM1327" s="165"/>
      <c r="AN1327" s="165"/>
    </row>
    <row r="1328" spans="3:40">
      <c r="C1328" s="46"/>
      <c r="F1328" s="173"/>
      <c r="G1328" s="1"/>
      <c r="H1328" s="165"/>
      <c r="I1328" s="160"/>
      <c r="J1328" s="160"/>
      <c r="K1328" s="1"/>
      <c r="L1328" s="123"/>
      <c r="M1328" s="1"/>
      <c r="N1328" s="590"/>
      <c r="O1328" s="165"/>
      <c r="P1328" s="165"/>
      <c r="Q1328" s="165"/>
      <c r="R1328" s="165"/>
      <c r="S1328" s="165"/>
      <c r="V1328" s="46"/>
      <c r="W1328" s="46"/>
      <c r="X1328" s="1"/>
      <c r="Y1328" s="1"/>
      <c r="Z1328" s="173"/>
      <c r="AA1328" s="1"/>
      <c r="AB1328" s="165"/>
      <c r="AC1328" s="1"/>
      <c r="AD1328" s="1"/>
      <c r="AE1328" s="1"/>
      <c r="AF1328" s="46"/>
      <c r="AG1328" s="1"/>
      <c r="AH1328" s="165"/>
      <c r="AI1328" s="165"/>
      <c r="AJ1328" s="165"/>
      <c r="AK1328" s="165"/>
      <c r="AL1328" s="165"/>
      <c r="AM1328" s="165"/>
      <c r="AN1328" s="165"/>
    </row>
    <row r="1329" spans="3:40">
      <c r="C1329" s="46"/>
      <c r="F1329" s="173"/>
      <c r="G1329" s="1"/>
      <c r="H1329" s="165"/>
      <c r="I1329" s="160"/>
      <c r="J1329" s="160"/>
      <c r="K1329" s="1"/>
      <c r="L1329" s="123"/>
      <c r="M1329" s="1"/>
      <c r="N1329" s="590"/>
      <c r="O1329" s="165"/>
      <c r="P1329" s="165"/>
      <c r="Q1329" s="165"/>
      <c r="R1329" s="165"/>
      <c r="S1329" s="165"/>
      <c r="V1329" s="46"/>
      <c r="W1329" s="46"/>
      <c r="X1329" s="1"/>
      <c r="Y1329" s="1"/>
      <c r="Z1329" s="173"/>
      <c r="AA1329" s="1"/>
      <c r="AB1329" s="165"/>
      <c r="AC1329" s="1"/>
      <c r="AD1329" s="1"/>
      <c r="AE1329" s="1"/>
      <c r="AF1329" s="46"/>
      <c r="AG1329" s="1"/>
      <c r="AH1329" s="165"/>
      <c r="AI1329" s="165"/>
      <c r="AJ1329" s="165"/>
      <c r="AK1329" s="165"/>
      <c r="AL1329" s="165"/>
      <c r="AM1329" s="165"/>
      <c r="AN1329" s="165"/>
    </row>
    <row r="1330" spans="3:40">
      <c r="C1330" s="46"/>
      <c r="F1330" s="173"/>
      <c r="G1330" s="1"/>
      <c r="H1330" s="165"/>
      <c r="I1330" s="160"/>
      <c r="J1330" s="160"/>
      <c r="K1330" s="1"/>
      <c r="L1330" s="123"/>
      <c r="M1330" s="1"/>
      <c r="N1330" s="590"/>
      <c r="O1330" s="165"/>
      <c r="P1330" s="165"/>
      <c r="Q1330" s="165"/>
      <c r="R1330" s="165"/>
      <c r="S1330" s="165"/>
      <c r="V1330" s="46"/>
      <c r="W1330" s="46"/>
      <c r="X1330" s="1"/>
      <c r="Y1330" s="1"/>
      <c r="Z1330" s="173"/>
      <c r="AA1330" s="1"/>
      <c r="AB1330" s="165"/>
      <c r="AC1330" s="1"/>
      <c r="AD1330" s="1"/>
      <c r="AE1330" s="1"/>
      <c r="AF1330" s="46"/>
      <c r="AG1330" s="1"/>
      <c r="AH1330" s="165"/>
      <c r="AI1330" s="165"/>
      <c r="AJ1330" s="165"/>
      <c r="AK1330" s="165"/>
      <c r="AL1330" s="165"/>
      <c r="AM1330" s="165"/>
      <c r="AN1330" s="165"/>
    </row>
    <row r="1331" spans="3:40">
      <c r="C1331" s="46"/>
      <c r="F1331" s="173"/>
      <c r="G1331" s="1"/>
      <c r="H1331" s="165"/>
      <c r="I1331" s="160"/>
      <c r="J1331" s="160"/>
      <c r="K1331" s="1"/>
      <c r="L1331" s="123"/>
      <c r="M1331" s="1"/>
      <c r="N1331" s="590"/>
      <c r="O1331" s="165"/>
      <c r="P1331" s="165"/>
      <c r="Q1331" s="165"/>
      <c r="R1331" s="165"/>
      <c r="S1331" s="165"/>
      <c r="V1331" s="46"/>
      <c r="W1331" s="46"/>
      <c r="X1331" s="1"/>
      <c r="Y1331" s="1"/>
      <c r="Z1331" s="173"/>
      <c r="AA1331" s="1"/>
      <c r="AB1331" s="165"/>
      <c r="AC1331" s="1"/>
      <c r="AD1331" s="1"/>
      <c r="AE1331" s="1"/>
      <c r="AF1331" s="46"/>
      <c r="AG1331" s="1"/>
      <c r="AH1331" s="165"/>
      <c r="AI1331" s="165"/>
      <c r="AJ1331" s="165"/>
      <c r="AK1331" s="165"/>
      <c r="AL1331" s="165"/>
      <c r="AM1331" s="165"/>
      <c r="AN1331" s="165"/>
    </row>
    <row r="1332" spans="3:40">
      <c r="C1332" s="46"/>
      <c r="F1332" s="173"/>
      <c r="G1332" s="1"/>
      <c r="H1332" s="165"/>
      <c r="I1332" s="160"/>
      <c r="J1332" s="160"/>
      <c r="K1332" s="1"/>
      <c r="L1332" s="123"/>
      <c r="M1332" s="1"/>
      <c r="N1332" s="590"/>
      <c r="O1332" s="165"/>
      <c r="P1332" s="165"/>
      <c r="Q1332" s="165"/>
      <c r="R1332" s="165"/>
      <c r="S1332" s="165"/>
      <c r="V1332" s="46"/>
      <c r="W1332" s="46"/>
      <c r="X1332" s="1"/>
      <c r="Y1332" s="1"/>
      <c r="Z1332" s="173"/>
      <c r="AA1332" s="1"/>
      <c r="AB1332" s="165"/>
      <c r="AC1332" s="1"/>
      <c r="AD1332" s="1"/>
      <c r="AE1332" s="1"/>
      <c r="AF1332" s="46"/>
      <c r="AG1332" s="1"/>
      <c r="AH1332" s="165"/>
      <c r="AI1332" s="165"/>
      <c r="AJ1332" s="165"/>
      <c r="AK1332" s="165"/>
      <c r="AL1332" s="165"/>
      <c r="AM1332" s="165"/>
      <c r="AN1332" s="165"/>
    </row>
    <row r="1333" spans="3:40">
      <c r="C1333" s="46"/>
      <c r="F1333" s="173"/>
      <c r="G1333" s="1"/>
      <c r="H1333" s="165"/>
      <c r="I1333" s="160"/>
      <c r="J1333" s="160"/>
      <c r="K1333" s="1"/>
      <c r="L1333" s="123"/>
      <c r="M1333" s="1"/>
      <c r="N1333" s="590"/>
      <c r="O1333" s="165"/>
      <c r="P1333" s="165"/>
      <c r="Q1333" s="165"/>
      <c r="R1333" s="165"/>
      <c r="S1333" s="165"/>
      <c r="V1333" s="46"/>
      <c r="W1333" s="46"/>
      <c r="X1333" s="1"/>
      <c r="Y1333" s="1"/>
      <c r="Z1333" s="173"/>
      <c r="AA1333" s="1"/>
      <c r="AB1333" s="165"/>
      <c r="AC1333" s="1"/>
      <c r="AD1333" s="1"/>
      <c r="AE1333" s="1"/>
      <c r="AF1333" s="46"/>
      <c r="AG1333" s="1"/>
      <c r="AH1333" s="165"/>
      <c r="AI1333" s="165"/>
      <c r="AJ1333" s="165"/>
      <c r="AK1333" s="165"/>
      <c r="AL1333" s="165"/>
      <c r="AM1333" s="165"/>
      <c r="AN1333" s="165"/>
    </row>
    <row r="1334" spans="3:40">
      <c r="C1334" s="46"/>
      <c r="F1334" s="173"/>
      <c r="G1334" s="1"/>
      <c r="H1334" s="165"/>
      <c r="I1334" s="160"/>
      <c r="J1334" s="160"/>
      <c r="K1334" s="1"/>
      <c r="L1334" s="123"/>
      <c r="M1334" s="1"/>
      <c r="N1334" s="590"/>
      <c r="O1334" s="165"/>
      <c r="P1334" s="165"/>
      <c r="Q1334" s="165"/>
      <c r="R1334" s="165"/>
      <c r="S1334" s="165"/>
      <c r="V1334" s="46"/>
      <c r="W1334" s="46"/>
      <c r="X1334" s="1"/>
      <c r="Y1334" s="1"/>
      <c r="Z1334" s="173"/>
      <c r="AA1334" s="1"/>
      <c r="AB1334" s="165"/>
      <c r="AC1334" s="1"/>
      <c r="AD1334" s="1"/>
      <c r="AE1334" s="1"/>
      <c r="AF1334" s="46"/>
      <c r="AG1334" s="1"/>
      <c r="AH1334" s="165"/>
      <c r="AI1334" s="165"/>
      <c r="AJ1334" s="165"/>
      <c r="AK1334" s="165"/>
      <c r="AL1334" s="165"/>
      <c r="AM1334" s="165"/>
      <c r="AN1334" s="165"/>
    </row>
    <row r="1335" spans="3:40">
      <c r="C1335" s="46"/>
      <c r="F1335" s="173"/>
      <c r="G1335" s="1"/>
      <c r="H1335" s="165"/>
      <c r="I1335" s="160"/>
      <c r="J1335" s="160"/>
      <c r="K1335" s="1"/>
      <c r="L1335" s="123"/>
      <c r="M1335" s="1"/>
      <c r="N1335" s="590"/>
      <c r="O1335" s="165"/>
      <c r="P1335" s="165"/>
      <c r="Q1335" s="165"/>
      <c r="R1335" s="165"/>
      <c r="S1335" s="165"/>
      <c r="V1335" s="46"/>
      <c r="W1335" s="46"/>
      <c r="X1335" s="1"/>
      <c r="Y1335" s="1"/>
      <c r="Z1335" s="173"/>
      <c r="AA1335" s="1"/>
      <c r="AB1335" s="165"/>
      <c r="AC1335" s="1"/>
      <c r="AD1335" s="1"/>
      <c r="AE1335" s="1"/>
      <c r="AF1335" s="46"/>
      <c r="AG1335" s="1"/>
      <c r="AH1335" s="165"/>
      <c r="AI1335" s="165"/>
      <c r="AJ1335" s="165"/>
      <c r="AK1335" s="165"/>
      <c r="AL1335" s="165"/>
      <c r="AM1335" s="165"/>
      <c r="AN1335" s="165"/>
    </row>
    <row r="1336" spans="3:40">
      <c r="C1336" s="46"/>
      <c r="F1336" s="173"/>
      <c r="G1336" s="1"/>
      <c r="H1336" s="165"/>
      <c r="I1336" s="160"/>
      <c r="J1336" s="160"/>
      <c r="K1336" s="1"/>
      <c r="L1336" s="123"/>
      <c r="M1336" s="1"/>
      <c r="N1336" s="590"/>
      <c r="O1336" s="165"/>
      <c r="P1336" s="165"/>
      <c r="Q1336" s="165"/>
      <c r="R1336" s="165"/>
      <c r="S1336" s="165"/>
      <c r="V1336" s="46"/>
      <c r="W1336" s="46"/>
      <c r="X1336" s="1"/>
      <c r="Y1336" s="1"/>
      <c r="Z1336" s="173"/>
      <c r="AA1336" s="1"/>
      <c r="AB1336" s="165"/>
      <c r="AC1336" s="1"/>
      <c r="AD1336" s="1"/>
      <c r="AE1336" s="1"/>
      <c r="AF1336" s="46"/>
      <c r="AG1336" s="1"/>
      <c r="AH1336" s="165"/>
      <c r="AI1336" s="165"/>
      <c r="AJ1336" s="165"/>
      <c r="AK1336" s="165"/>
      <c r="AL1336" s="165"/>
      <c r="AM1336" s="165"/>
      <c r="AN1336" s="165"/>
    </row>
    <row r="1337" spans="3:40">
      <c r="C1337" s="46"/>
      <c r="F1337" s="173"/>
      <c r="G1337" s="1"/>
      <c r="H1337" s="165"/>
      <c r="I1337" s="160"/>
      <c r="J1337" s="160"/>
      <c r="K1337" s="1"/>
      <c r="L1337" s="123"/>
      <c r="M1337" s="1"/>
      <c r="N1337" s="590"/>
      <c r="O1337" s="165"/>
      <c r="P1337" s="165"/>
      <c r="Q1337" s="165"/>
      <c r="R1337" s="165"/>
      <c r="S1337" s="165"/>
      <c r="V1337" s="46"/>
      <c r="W1337" s="46"/>
      <c r="X1337" s="1"/>
      <c r="Y1337" s="1"/>
      <c r="Z1337" s="173"/>
      <c r="AA1337" s="1"/>
      <c r="AB1337" s="165"/>
      <c r="AC1337" s="1"/>
      <c r="AD1337" s="1"/>
      <c r="AE1337" s="1"/>
      <c r="AF1337" s="46"/>
      <c r="AG1337" s="1"/>
      <c r="AH1337" s="165"/>
      <c r="AI1337" s="165"/>
      <c r="AJ1337" s="165"/>
      <c r="AK1337" s="165"/>
      <c r="AL1337" s="165"/>
      <c r="AM1337" s="165"/>
      <c r="AN1337" s="165"/>
    </row>
    <row r="1338" spans="3:40">
      <c r="C1338" s="46"/>
      <c r="F1338" s="173"/>
      <c r="G1338" s="1"/>
      <c r="H1338" s="165"/>
      <c r="I1338" s="160"/>
      <c r="J1338" s="160"/>
      <c r="K1338" s="1"/>
      <c r="L1338" s="123"/>
      <c r="M1338" s="1"/>
      <c r="N1338" s="590"/>
      <c r="O1338" s="165"/>
      <c r="P1338" s="165"/>
      <c r="Q1338" s="165"/>
      <c r="R1338" s="165"/>
      <c r="S1338" s="165"/>
      <c r="V1338" s="46"/>
      <c r="W1338" s="46"/>
      <c r="X1338" s="1"/>
      <c r="Y1338" s="1"/>
      <c r="Z1338" s="173"/>
      <c r="AA1338" s="1"/>
      <c r="AB1338" s="165"/>
      <c r="AC1338" s="1"/>
      <c r="AD1338" s="1"/>
      <c r="AE1338" s="1"/>
      <c r="AF1338" s="46"/>
      <c r="AG1338" s="1"/>
      <c r="AH1338" s="165"/>
      <c r="AI1338" s="165"/>
      <c r="AJ1338" s="165"/>
      <c r="AK1338" s="165"/>
      <c r="AL1338" s="165"/>
      <c r="AM1338" s="165"/>
      <c r="AN1338" s="165"/>
    </row>
    <row r="1339" spans="3:40">
      <c r="C1339" s="46"/>
      <c r="F1339" s="173"/>
      <c r="G1339" s="1"/>
      <c r="H1339" s="165"/>
      <c r="I1339" s="160"/>
      <c r="J1339" s="160"/>
      <c r="K1339" s="1"/>
      <c r="L1339" s="123"/>
      <c r="M1339" s="1"/>
      <c r="N1339" s="590"/>
      <c r="O1339" s="165"/>
      <c r="P1339" s="165"/>
      <c r="Q1339" s="165"/>
      <c r="R1339" s="165"/>
      <c r="S1339" s="165"/>
      <c r="V1339" s="46"/>
      <c r="W1339" s="46"/>
      <c r="X1339" s="1"/>
      <c r="Y1339" s="1"/>
      <c r="Z1339" s="173"/>
      <c r="AA1339" s="1"/>
      <c r="AB1339" s="165"/>
      <c r="AC1339" s="1"/>
      <c r="AD1339" s="1"/>
      <c r="AE1339" s="1"/>
      <c r="AF1339" s="46"/>
      <c r="AG1339" s="1"/>
      <c r="AH1339" s="165"/>
      <c r="AI1339" s="165"/>
      <c r="AJ1339" s="165"/>
      <c r="AK1339" s="165"/>
      <c r="AL1339" s="165"/>
      <c r="AM1339" s="165"/>
      <c r="AN1339" s="165"/>
    </row>
    <row r="1340" spans="3:40">
      <c r="C1340" s="46"/>
      <c r="F1340" s="173"/>
      <c r="G1340" s="1"/>
      <c r="H1340" s="165"/>
      <c r="I1340" s="160"/>
      <c r="J1340" s="160"/>
      <c r="K1340" s="1"/>
      <c r="L1340" s="123"/>
      <c r="M1340" s="1"/>
      <c r="N1340" s="590"/>
      <c r="O1340" s="165"/>
      <c r="P1340" s="165"/>
      <c r="Q1340" s="165"/>
      <c r="R1340" s="165"/>
      <c r="S1340" s="165"/>
      <c r="V1340" s="46"/>
      <c r="W1340" s="46"/>
      <c r="X1340" s="1"/>
      <c r="Y1340" s="1"/>
      <c r="Z1340" s="173"/>
      <c r="AA1340" s="1"/>
      <c r="AB1340" s="165"/>
      <c r="AC1340" s="1"/>
      <c r="AD1340" s="1"/>
      <c r="AE1340" s="1"/>
      <c r="AF1340" s="46"/>
      <c r="AG1340" s="1"/>
      <c r="AH1340" s="165"/>
      <c r="AI1340" s="165"/>
      <c r="AJ1340" s="165"/>
      <c r="AK1340" s="165"/>
      <c r="AL1340" s="165"/>
      <c r="AM1340" s="165"/>
      <c r="AN1340" s="165"/>
    </row>
    <row r="1341" spans="3:40">
      <c r="C1341" s="46"/>
      <c r="F1341" s="173"/>
      <c r="G1341" s="1"/>
      <c r="H1341" s="165"/>
      <c r="I1341" s="160"/>
      <c r="J1341" s="160"/>
      <c r="K1341" s="1"/>
      <c r="L1341" s="123"/>
      <c r="M1341" s="1"/>
      <c r="N1341" s="590"/>
      <c r="O1341" s="165"/>
      <c r="P1341" s="165"/>
      <c r="Q1341" s="165"/>
      <c r="R1341" s="165"/>
      <c r="S1341" s="165"/>
      <c r="V1341" s="46"/>
      <c r="W1341" s="46"/>
      <c r="X1341" s="1"/>
      <c r="Y1341" s="1"/>
      <c r="Z1341" s="173"/>
      <c r="AA1341" s="1"/>
      <c r="AB1341" s="165"/>
      <c r="AC1341" s="1"/>
      <c r="AD1341" s="1"/>
      <c r="AE1341" s="1"/>
      <c r="AF1341" s="46"/>
      <c r="AG1341" s="1"/>
      <c r="AH1341" s="165"/>
      <c r="AI1341" s="165"/>
      <c r="AJ1341" s="165"/>
      <c r="AK1341" s="165"/>
      <c r="AL1341" s="165"/>
      <c r="AM1341" s="165"/>
      <c r="AN1341" s="165"/>
    </row>
    <row r="1342" spans="3:40">
      <c r="C1342" s="46"/>
      <c r="F1342" s="173"/>
      <c r="G1342" s="1"/>
      <c r="H1342" s="165"/>
      <c r="I1342" s="160"/>
      <c r="J1342" s="160"/>
      <c r="K1342" s="1"/>
      <c r="L1342" s="123"/>
      <c r="M1342" s="1"/>
      <c r="N1342" s="590"/>
      <c r="O1342" s="165"/>
      <c r="P1342" s="165"/>
      <c r="Q1342" s="165"/>
      <c r="R1342" s="165"/>
      <c r="S1342" s="165"/>
      <c r="V1342" s="46"/>
      <c r="W1342" s="46"/>
      <c r="X1342" s="1"/>
      <c r="Y1342" s="1"/>
      <c r="Z1342" s="173"/>
      <c r="AA1342" s="1"/>
      <c r="AB1342" s="165"/>
      <c r="AC1342" s="1"/>
      <c r="AD1342" s="1"/>
      <c r="AE1342" s="1"/>
      <c r="AF1342" s="46"/>
      <c r="AG1342" s="1"/>
      <c r="AH1342" s="165"/>
      <c r="AI1342" s="165"/>
      <c r="AJ1342" s="165"/>
      <c r="AK1342" s="165"/>
      <c r="AL1342" s="165"/>
      <c r="AM1342" s="165"/>
      <c r="AN1342" s="165"/>
    </row>
    <row r="1343" spans="3:40">
      <c r="C1343" s="46"/>
      <c r="F1343" s="173"/>
      <c r="G1343" s="1"/>
      <c r="H1343" s="165"/>
      <c r="I1343" s="160"/>
      <c r="J1343" s="160"/>
      <c r="K1343" s="1"/>
      <c r="L1343" s="123"/>
      <c r="M1343" s="1"/>
      <c r="N1343" s="590"/>
      <c r="O1343" s="165"/>
      <c r="P1343" s="165"/>
      <c r="Q1343" s="165"/>
      <c r="R1343" s="165"/>
      <c r="S1343" s="165"/>
      <c r="V1343" s="46"/>
      <c r="W1343" s="46"/>
      <c r="X1343" s="1"/>
      <c r="Y1343" s="1"/>
      <c r="Z1343" s="173"/>
      <c r="AA1343" s="1"/>
      <c r="AB1343" s="165"/>
      <c r="AC1343" s="1"/>
      <c r="AD1343" s="1"/>
      <c r="AE1343" s="1"/>
      <c r="AF1343" s="46"/>
      <c r="AG1343" s="1"/>
      <c r="AH1343" s="165"/>
      <c r="AI1343" s="165"/>
      <c r="AJ1343" s="165"/>
      <c r="AK1343" s="165"/>
      <c r="AL1343" s="165"/>
      <c r="AM1343" s="165"/>
      <c r="AN1343" s="165"/>
    </row>
    <row r="1344" spans="3:40">
      <c r="C1344" s="46"/>
      <c r="F1344" s="173"/>
      <c r="G1344" s="1"/>
      <c r="H1344" s="165"/>
      <c r="I1344" s="160"/>
      <c r="J1344" s="160"/>
      <c r="K1344" s="1"/>
      <c r="L1344" s="123"/>
      <c r="M1344" s="1"/>
      <c r="N1344" s="590"/>
      <c r="O1344" s="165"/>
      <c r="P1344" s="165"/>
      <c r="Q1344" s="165"/>
      <c r="R1344" s="165"/>
      <c r="S1344" s="165"/>
      <c r="V1344" s="46"/>
      <c r="W1344" s="46"/>
      <c r="X1344" s="1"/>
      <c r="Y1344" s="1"/>
      <c r="Z1344" s="173"/>
      <c r="AA1344" s="1"/>
      <c r="AB1344" s="165"/>
      <c r="AC1344" s="1"/>
      <c r="AD1344" s="1"/>
      <c r="AE1344" s="1"/>
      <c r="AF1344" s="46"/>
      <c r="AG1344" s="1"/>
      <c r="AH1344" s="165"/>
      <c r="AI1344" s="165"/>
      <c r="AJ1344" s="165"/>
      <c r="AK1344" s="165"/>
      <c r="AL1344" s="165"/>
      <c r="AM1344" s="165"/>
      <c r="AN1344" s="165"/>
    </row>
    <row r="1345" spans="3:40">
      <c r="C1345" s="46"/>
      <c r="F1345" s="173"/>
      <c r="G1345" s="1"/>
      <c r="H1345" s="165"/>
      <c r="I1345" s="160"/>
      <c r="J1345" s="160"/>
      <c r="K1345" s="1"/>
      <c r="L1345" s="123"/>
      <c r="M1345" s="1"/>
      <c r="N1345" s="590"/>
      <c r="O1345" s="165"/>
      <c r="P1345" s="165"/>
      <c r="Q1345" s="165"/>
      <c r="R1345" s="165"/>
      <c r="S1345" s="165"/>
      <c r="V1345" s="46"/>
      <c r="W1345" s="46"/>
      <c r="X1345" s="1"/>
      <c r="Y1345" s="1"/>
      <c r="Z1345" s="173"/>
      <c r="AA1345" s="1"/>
      <c r="AB1345" s="165"/>
      <c r="AC1345" s="1"/>
      <c r="AD1345" s="1"/>
      <c r="AE1345" s="1"/>
      <c r="AF1345" s="46"/>
      <c r="AG1345" s="1"/>
      <c r="AH1345" s="165"/>
      <c r="AI1345" s="165"/>
      <c r="AJ1345" s="165"/>
      <c r="AK1345" s="165"/>
      <c r="AL1345" s="165"/>
      <c r="AM1345" s="165"/>
      <c r="AN1345" s="165"/>
    </row>
    <row r="1346" spans="3:40">
      <c r="C1346" s="46"/>
      <c r="F1346" s="173"/>
      <c r="G1346" s="1"/>
      <c r="H1346" s="165"/>
      <c r="I1346" s="160"/>
      <c r="J1346" s="160"/>
      <c r="K1346" s="1"/>
      <c r="L1346" s="123"/>
      <c r="M1346" s="1"/>
      <c r="N1346" s="590"/>
      <c r="O1346" s="165"/>
      <c r="P1346" s="165"/>
      <c r="Q1346" s="165"/>
      <c r="R1346" s="165"/>
      <c r="S1346" s="165"/>
      <c r="V1346" s="46"/>
      <c r="W1346" s="46"/>
      <c r="X1346" s="1"/>
      <c r="Y1346" s="1"/>
      <c r="Z1346" s="173"/>
      <c r="AA1346" s="1"/>
      <c r="AB1346" s="165"/>
      <c r="AC1346" s="1"/>
      <c r="AD1346" s="1"/>
      <c r="AE1346" s="1"/>
      <c r="AF1346" s="46"/>
      <c r="AG1346" s="1"/>
      <c r="AH1346" s="165"/>
      <c r="AI1346" s="165"/>
      <c r="AJ1346" s="165"/>
      <c r="AK1346" s="165"/>
      <c r="AL1346" s="165"/>
      <c r="AM1346" s="165"/>
      <c r="AN1346" s="165"/>
    </row>
    <row r="1347" spans="3:40">
      <c r="C1347" s="46"/>
      <c r="F1347" s="173"/>
      <c r="G1347" s="1"/>
      <c r="H1347" s="165"/>
      <c r="I1347" s="160"/>
      <c r="J1347" s="160"/>
      <c r="K1347" s="1"/>
      <c r="L1347" s="123"/>
      <c r="M1347" s="1"/>
      <c r="N1347" s="590"/>
      <c r="O1347" s="165"/>
      <c r="P1347" s="165"/>
      <c r="Q1347" s="165"/>
      <c r="R1347" s="165"/>
      <c r="S1347" s="165"/>
      <c r="V1347" s="46"/>
      <c r="W1347" s="46"/>
      <c r="X1347" s="1"/>
      <c r="Y1347" s="1"/>
      <c r="Z1347" s="173"/>
      <c r="AA1347" s="1"/>
      <c r="AB1347" s="165"/>
      <c r="AC1347" s="1"/>
      <c r="AD1347" s="1"/>
      <c r="AE1347" s="1"/>
      <c r="AF1347" s="46"/>
      <c r="AG1347" s="1"/>
      <c r="AH1347" s="165"/>
      <c r="AI1347" s="165"/>
      <c r="AJ1347" s="165"/>
      <c r="AK1347" s="165"/>
      <c r="AL1347" s="165"/>
      <c r="AM1347" s="165"/>
      <c r="AN1347" s="165"/>
    </row>
    <row r="1348" spans="3:40">
      <c r="C1348" s="46"/>
      <c r="F1348" s="173"/>
      <c r="G1348" s="1"/>
      <c r="H1348" s="165"/>
      <c r="I1348" s="160"/>
      <c r="J1348" s="160"/>
      <c r="K1348" s="1"/>
      <c r="L1348" s="123"/>
      <c r="M1348" s="1"/>
      <c r="N1348" s="590"/>
      <c r="O1348" s="165"/>
      <c r="P1348" s="165"/>
      <c r="Q1348" s="165"/>
      <c r="R1348" s="165"/>
      <c r="S1348" s="165"/>
      <c r="V1348" s="46"/>
      <c r="W1348" s="46"/>
      <c r="X1348" s="1"/>
      <c r="Y1348" s="1"/>
      <c r="Z1348" s="173"/>
      <c r="AA1348" s="1"/>
      <c r="AB1348" s="165"/>
      <c r="AC1348" s="1"/>
      <c r="AD1348" s="1"/>
      <c r="AE1348" s="1"/>
      <c r="AF1348" s="46"/>
      <c r="AG1348" s="1"/>
      <c r="AH1348" s="165"/>
      <c r="AI1348" s="165"/>
      <c r="AJ1348" s="165"/>
      <c r="AK1348" s="165"/>
      <c r="AL1348" s="165"/>
      <c r="AM1348" s="165"/>
      <c r="AN1348" s="165"/>
    </row>
    <row r="1349" spans="3:40">
      <c r="C1349" s="46"/>
      <c r="F1349" s="173"/>
      <c r="G1349" s="1"/>
      <c r="H1349" s="165"/>
      <c r="I1349" s="160"/>
      <c r="J1349" s="160"/>
      <c r="K1349" s="1"/>
      <c r="L1349" s="123"/>
      <c r="M1349" s="1"/>
      <c r="N1349" s="590"/>
      <c r="O1349" s="165"/>
      <c r="P1349" s="165"/>
      <c r="Q1349" s="165"/>
      <c r="R1349" s="165"/>
      <c r="S1349" s="165"/>
      <c r="V1349" s="46"/>
      <c r="W1349" s="46"/>
      <c r="X1349" s="1"/>
      <c r="Y1349" s="1"/>
      <c r="Z1349" s="173"/>
      <c r="AA1349" s="1"/>
      <c r="AB1349" s="165"/>
      <c r="AC1349" s="1"/>
      <c r="AD1349" s="1"/>
      <c r="AE1349" s="1"/>
      <c r="AF1349" s="46"/>
      <c r="AG1349" s="1"/>
      <c r="AH1349" s="165"/>
      <c r="AI1349" s="165"/>
      <c r="AJ1349" s="165"/>
      <c r="AK1349" s="165"/>
      <c r="AL1349" s="165"/>
      <c r="AM1349" s="165"/>
      <c r="AN1349" s="165"/>
    </row>
    <row r="1350" spans="3:40">
      <c r="C1350" s="46"/>
      <c r="F1350" s="173"/>
      <c r="G1350" s="1"/>
      <c r="H1350" s="165"/>
      <c r="I1350" s="160"/>
      <c r="J1350" s="160"/>
      <c r="K1350" s="1"/>
      <c r="L1350" s="123"/>
      <c r="M1350" s="1"/>
      <c r="N1350" s="590"/>
      <c r="O1350" s="165"/>
      <c r="P1350" s="165"/>
      <c r="Q1350" s="165"/>
      <c r="R1350" s="165"/>
      <c r="S1350" s="165"/>
      <c r="V1350" s="46"/>
      <c r="W1350" s="46"/>
      <c r="X1350" s="1"/>
      <c r="Y1350" s="1"/>
      <c r="Z1350" s="173"/>
      <c r="AA1350" s="1"/>
      <c r="AB1350" s="165"/>
      <c r="AC1350" s="1"/>
      <c r="AD1350" s="1"/>
      <c r="AE1350" s="1"/>
      <c r="AF1350" s="46"/>
      <c r="AG1350" s="1"/>
      <c r="AH1350" s="165"/>
      <c r="AI1350" s="165"/>
      <c r="AJ1350" s="165"/>
      <c r="AK1350" s="165"/>
      <c r="AL1350" s="165"/>
      <c r="AM1350" s="165"/>
      <c r="AN1350" s="165"/>
    </row>
    <row r="1351" spans="3:40">
      <c r="C1351" s="46"/>
      <c r="F1351" s="173"/>
      <c r="G1351" s="1"/>
      <c r="H1351" s="165"/>
      <c r="I1351" s="160"/>
      <c r="J1351" s="160"/>
      <c r="K1351" s="1"/>
      <c r="L1351" s="123"/>
      <c r="M1351" s="1"/>
      <c r="N1351" s="590"/>
      <c r="O1351" s="165"/>
      <c r="P1351" s="165"/>
      <c r="Q1351" s="165"/>
      <c r="R1351" s="165"/>
      <c r="S1351" s="165"/>
      <c r="V1351" s="46"/>
      <c r="W1351" s="46"/>
      <c r="X1351" s="1"/>
      <c r="Y1351" s="1"/>
      <c r="Z1351" s="173"/>
      <c r="AA1351" s="1"/>
      <c r="AB1351" s="165"/>
      <c r="AC1351" s="1"/>
      <c r="AD1351" s="1"/>
      <c r="AE1351" s="1"/>
      <c r="AF1351" s="46"/>
      <c r="AG1351" s="1"/>
      <c r="AH1351" s="165"/>
      <c r="AI1351" s="165"/>
      <c r="AJ1351" s="165"/>
      <c r="AK1351" s="165"/>
      <c r="AL1351" s="165"/>
      <c r="AM1351" s="165"/>
      <c r="AN1351" s="165"/>
    </row>
    <row r="1352" spans="3:40">
      <c r="C1352" s="46"/>
      <c r="F1352" s="173"/>
      <c r="G1352" s="1"/>
      <c r="H1352" s="165"/>
      <c r="I1352" s="160"/>
      <c r="J1352" s="160"/>
      <c r="K1352" s="1"/>
      <c r="L1352" s="123"/>
      <c r="M1352" s="1"/>
      <c r="N1352" s="590"/>
      <c r="O1352" s="165"/>
      <c r="P1352" s="165"/>
      <c r="Q1352" s="165"/>
      <c r="R1352" s="165"/>
      <c r="S1352" s="165"/>
      <c r="V1352" s="46"/>
      <c r="W1352" s="46"/>
      <c r="X1352" s="1"/>
      <c r="Y1352" s="1"/>
      <c r="Z1352" s="173"/>
      <c r="AA1352" s="1"/>
      <c r="AB1352" s="165"/>
      <c r="AC1352" s="1"/>
      <c r="AD1352" s="1"/>
      <c r="AE1352" s="1"/>
      <c r="AF1352" s="46"/>
      <c r="AG1352" s="1"/>
      <c r="AH1352" s="165"/>
      <c r="AI1352" s="165"/>
      <c r="AJ1352" s="165"/>
      <c r="AK1352" s="165"/>
      <c r="AL1352" s="165"/>
      <c r="AM1352" s="165"/>
      <c r="AN1352" s="165"/>
    </row>
    <row r="1353" spans="3:40">
      <c r="C1353" s="46"/>
      <c r="F1353" s="173"/>
      <c r="G1353" s="1"/>
      <c r="H1353" s="165"/>
      <c r="I1353" s="160"/>
      <c r="J1353" s="160"/>
      <c r="K1353" s="1"/>
      <c r="L1353" s="123"/>
      <c r="M1353" s="1"/>
      <c r="N1353" s="590"/>
      <c r="O1353" s="165"/>
      <c r="P1353" s="165"/>
      <c r="Q1353" s="165"/>
      <c r="R1353" s="165"/>
      <c r="S1353" s="165"/>
      <c r="V1353" s="46"/>
      <c r="W1353" s="46"/>
      <c r="X1353" s="1"/>
      <c r="Y1353" s="1"/>
      <c r="Z1353" s="173"/>
      <c r="AA1353" s="1"/>
      <c r="AB1353" s="165"/>
      <c r="AC1353" s="1"/>
      <c r="AD1353" s="1"/>
      <c r="AE1353" s="1"/>
      <c r="AF1353" s="46"/>
      <c r="AG1353" s="1"/>
      <c r="AH1353" s="165"/>
      <c r="AI1353" s="165"/>
      <c r="AJ1353" s="165"/>
      <c r="AK1353" s="165"/>
      <c r="AL1353" s="165"/>
      <c r="AM1353" s="165"/>
      <c r="AN1353" s="165"/>
    </row>
    <row r="1354" spans="3:40">
      <c r="C1354" s="46"/>
      <c r="F1354" s="173"/>
      <c r="G1354" s="1"/>
      <c r="H1354" s="165"/>
      <c r="I1354" s="160"/>
      <c r="J1354" s="160"/>
      <c r="K1354" s="1"/>
      <c r="L1354" s="123"/>
      <c r="M1354" s="1"/>
      <c r="N1354" s="590"/>
      <c r="O1354" s="165"/>
      <c r="P1354" s="165"/>
      <c r="Q1354" s="165"/>
      <c r="R1354" s="165"/>
      <c r="S1354" s="165"/>
      <c r="V1354" s="46"/>
      <c r="W1354" s="46"/>
      <c r="X1354" s="1"/>
      <c r="Y1354" s="1"/>
      <c r="Z1354" s="173"/>
      <c r="AA1354" s="1"/>
      <c r="AB1354" s="165"/>
      <c r="AC1354" s="1"/>
      <c r="AD1354" s="1"/>
      <c r="AE1354" s="1"/>
      <c r="AF1354" s="46"/>
      <c r="AG1354" s="1"/>
      <c r="AH1354" s="165"/>
      <c r="AI1354" s="165"/>
      <c r="AJ1354" s="165"/>
      <c r="AK1354" s="165"/>
      <c r="AL1354" s="165"/>
      <c r="AM1354" s="165"/>
      <c r="AN1354" s="165"/>
    </row>
    <row r="1355" spans="3:40">
      <c r="C1355" s="46"/>
      <c r="F1355" s="173"/>
      <c r="G1355" s="1"/>
      <c r="H1355" s="165"/>
      <c r="I1355" s="160"/>
      <c r="J1355" s="160"/>
      <c r="K1355" s="1"/>
      <c r="L1355" s="123"/>
      <c r="M1355" s="1"/>
      <c r="N1355" s="590"/>
      <c r="O1355" s="165"/>
      <c r="P1355" s="165"/>
      <c r="Q1355" s="165"/>
      <c r="R1355" s="165"/>
      <c r="S1355" s="165"/>
      <c r="V1355" s="46"/>
      <c r="W1355" s="46"/>
      <c r="X1355" s="1"/>
      <c r="Y1355" s="1"/>
      <c r="Z1355" s="173"/>
      <c r="AA1355" s="1"/>
      <c r="AB1355" s="165"/>
      <c r="AC1355" s="1"/>
      <c r="AD1355" s="1"/>
      <c r="AE1355" s="1"/>
      <c r="AF1355" s="46"/>
      <c r="AG1355" s="1"/>
      <c r="AH1355" s="165"/>
      <c r="AI1355" s="165"/>
      <c r="AJ1355" s="165"/>
      <c r="AK1355" s="165"/>
      <c r="AL1355" s="165"/>
      <c r="AM1355" s="165"/>
      <c r="AN1355" s="165"/>
    </row>
    <row r="1356" spans="3:40">
      <c r="C1356" s="46"/>
      <c r="F1356" s="173"/>
      <c r="G1356" s="1"/>
      <c r="H1356" s="165"/>
      <c r="I1356" s="160"/>
      <c r="J1356" s="160"/>
      <c r="K1356" s="1"/>
      <c r="L1356" s="123"/>
      <c r="M1356" s="1"/>
      <c r="N1356" s="590"/>
      <c r="O1356" s="165"/>
      <c r="P1356" s="165"/>
      <c r="Q1356" s="165"/>
      <c r="R1356" s="165"/>
      <c r="S1356" s="165"/>
      <c r="V1356" s="46"/>
      <c r="W1356" s="46"/>
      <c r="X1356" s="1"/>
      <c r="Y1356" s="1"/>
      <c r="Z1356" s="173"/>
      <c r="AA1356" s="1"/>
      <c r="AB1356" s="165"/>
      <c r="AC1356" s="1"/>
      <c r="AD1356" s="1"/>
      <c r="AE1356" s="1"/>
      <c r="AF1356" s="46"/>
      <c r="AG1356" s="1"/>
      <c r="AH1356" s="165"/>
      <c r="AI1356" s="165"/>
      <c r="AJ1356" s="165"/>
      <c r="AK1356" s="165"/>
      <c r="AL1356" s="165"/>
      <c r="AM1356" s="165"/>
      <c r="AN1356" s="165"/>
    </row>
    <row r="1357" spans="3:40">
      <c r="C1357" s="46"/>
      <c r="F1357" s="173"/>
      <c r="G1357" s="1"/>
      <c r="H1357" s="165"/>
      <c r="I1357" s="160"/>
      <c r="J1357" s="160"/>
      <c r="K1357" s="1"/>
      <c r="L1357" s="123"/>
      <c r="M1357" s="1"/>
      <c r="N1357" s="590"/>
      <c r="O1357" s="165"/>
      <c r="P1357" s="165"/>
      <c r="Q1357" s="165"/>
      <c r="R1357" s="165"/>
      <c r="S1357" s="165"/>
      <c r="V1357" s="46"/>
      <c r="W1357" s="46"/>
      <c r="X1357" s="1"/>
      <c r="Y1357" s="1"/>
      <c r="Z1357" s="173"/>
      <c r="AA1357" s="1"/>
      <c r="AB1357" s="165"/>
      <c r="AC1357" s="1"/>
      <c r="AD1357" s="1"/>
      <c r="AE1357" s="1"/>
      <c r="AF1357" s="46"/>
      <c r="AG1357" s="1"/>
      <c r="AH1357" s="165"/>
      <c r="AI1357" s="165"/>
      <c r="AJ1357" s="165"/>
      <c r="AK1357" s="165"/>
      <c r="AL1357" s="165"/>
      <c r="AM1357" s="165"/>
      <c r="AN1357" s="165"/>
    </row>
    <row r="1358" spans="3:40">
      <c r="C1358" s="46"/>
      <c r="F1358" s="173"/>
      <c r="G1358" s="1"/>
      <c r="H1358" s="165"/>
      <c r="I1358" s="160"/>
      <c r="J1358" s="160"/>
      <c r="K1358" s="1"/>
      <c r="L1358" s="123"/>
      <c r="M1358" s="1"/>
      <c r="N1358" s="590"/>
      <c r="O1358" s="165"/>
      <c r="P1358" s="165"/>
      <c r="Q1358" s="165"/>
      <c r="R1358" s="165"/>
      <c r="S1358" s="165"/>
      <c r="V1358" s="46"/>
      <c r="W1358" s="46"/>
      <c r="X1358" s="1"/>
      <c r="Y1358" s="1"/>
      <c r="Z1358" s="173"/>
      <c r="AA1358" s="1"/>
      <c r="AB1358" s="165"/>
      <c r="AC1358" s="1"/>
      <c r="AD1358" s="1"/>
      <c r="AE1358" s="1"/>
      <c r="AF1358" s="46"/>
      <c r="AG1358" s="1"/>
      <c r="AH1358" s="165"/>
      <c r="AI1358" s="165"/>
      <c r="AJ1358" s="165"/>
      <c r="AK1358" s="165"/>
      <c r="AL1358" s="165"/>
      <c r="AM1358" s="165"/>
      <c r="AN1358" s="165"/>
    </row>
    <row r="1359" spans="3:40">
      <c r="C1359" s="46"/>
      <c r="F1359" s="173"/>
      <c r="G1359" s="1"/>
      <c r="H1359" s="165"/>
      <c r="I1359" s="160"/>
      <c r="J1359" s="160"/>
      <c r="K1359" s="1"/>
      <c r="L1359" s="123"/>
      <c r="M1359" s="1"/>
      <c r="N1359" s="590"/>
      <c r="O1359" s="165"/>
      <c r="P1359" s="165"/>
      <c r="Q1359" s="165"/>
      <c r="R1359" s="165"/>
      <c r="S1359" s="165"/>
      <c r="V1359" s="46"/>
      <c r="W1359" s="46"/>
      <c r="X1359" s="1"/>
      <c r="Y1359" s="1"/>
      <c r="Z1359" s="173"/>
      <c r="AA1359" s="1"/>
      <c r="AB1359" s="165"/>
      <c r="AC1359" s="1"/>
      <c r="AD1359" s="1"/>
      <c r="AE1359" s="1"/>
      <c r="AF1359" s="46"/>
      <c r="AG1359" s="1"/>
      <c r="AH1359" s="165"/>
      <c r="AI1359" s="165"/>
      <c r="AJ1359" s="165"/>
      <c r="AK1359" s="165"/>
      <c r="AL1359" s="165"/>
      <c r="AM1359" s="165"/>
      <c r="AN1359" s="165"/>
    </row>
    <row r="1360" spans="3:40">
      <c r="C1360" s="46"/>
      <c r="F1360" s="173"/>
      <c r="G1360" s="1"/>
      <c r="H1360" s="165"/>
      <c r="I1360" s="160"/>
      <c r="J1360" s="160"/>
      <c r="K1360" s="1"/>
      <c r="L1360" s="123"/>
      <c r="M1360" s="1"/>
      <c r="N1360" s="590"/>
      <c r="O1360" s="165"/>
      <c r="P1360" s="165"/>
      <c r="Q1360" s="165"/>
      <c r="R1360" s="165"/>
      <c r="S1360" s="165"/>
      <c r="V1360" s="46"/>
      <c r="W1360" s="46"/>
      <c r="X1360" s="1"/>
      <c r="Y1360" s="1"/>
      <c r="Z1360" s="173"/>
      <c r="AA1360" s="1"/>
      <c r="AB1360" s="165"/>
      <c r="AC1360" s="1"/>
      <c r="AD1360" s="1"/>
      <c r="AE1360" s="1"/>
      <c r="AF1360" s="46"/>
      <c r="AG1360" s="1"/>
      <c r="AH1360" s="165"/>
      <c r="AI1360" s="165"/>
      <c r="AJ1360" s="165"/>
      <c r="AK1360" s="165"/>
      <c r="AL1360" s="165"/>
      <c r="AM1360" s="165"/>
      <c r="AN1360" s="165"/>
    </row>
    <row r="1361" spans="3:40">
      <c r="C1361" s="46"/>
      <c r="F1361" s="173"/>
      <c r="G1361" s="1"/>
      <c r="H1361" s="165"/>
      <c r="I1361" s="160"/>
      <c r="J1361" s="160"/>
      <c r="K1361" s="1"/>
      <c r="L1361" s="123"/>
      <c r="M1361" s="1"/>
      <c r="N1361" s="590"/>
      <c r="O1361" s="165"/>
      <c r="P1361" s="165"/>
      <c r="Q1361" s="165"/>
      <c r="R1361" s="165"/>
      <c r="S1361" s="165"/>
      <c r="V1361" s="46"/>
      <c r="W1361" s="46"/>
      <c r="X1361" s="1"/>
      <c r="Y1361" s="1"/>
      <c r="Z1361" s="173"/>
      <c r="AA1361" s="1"/>
      <c r="AB1361" s="165"/>
      <c r="AC1361" s="1"/>
      <c r="AD1361" s="1"/>
      <c r="AE1361" s="1"/>
      <c r="AF1361" s="46"/>
      <c r="AG1361" s="1"/>
      <c r="AH1361" s="165"/>
      <c r="AI1361" s="165"/>
      <c r="AJ1361" s="165"/>
      <c r="AK1361" s="165"/>
      <c r="AL1361" s="165"/>
      <c r="AM1361" s="165"/>
      <c r="AN1361" s="165"/>
    </row>
    <row r="1362" spans="3:40">
      <c r="C1362" s="46"/>
      <c r="F1362" s="173"/>
      <c r="G1362" s="1"/>
      <c r="H1362" s="165"/>
      <c r="I1362" s="160"/>
      <c r="J1362" s="160"/>
      <c r="K1362" s="1"/>
      <c r="L1362" s="123"/>
      <c r="M1362" s="1"/>
      <c r="N1362" s="590"/>
      <c r="O1362" s="165"/>
      <c r="P1362" s="165"/>
      <c r="Q1362" s="165"/>
      <c r="R1362" s="165"/>
      <c r="S1362" s="165"/>
      <c r="V1362" s="46"/>
      <c r="W1362" s="46"/>
      <c r="X1362" s="1"/>
      <c r="Y1362" s="1"/>
      <c r="Z1362" s="173"/>
      <c r="AA1362" s="1"/>
      <c r="AB1362" s="165"/>
      <c r="AC1362" s="1"/>
      <c r="AD1362" s="1"/>
      <c r="AE1362" s="1"/>
      <c r="AF1362" s="46"/>
      <c r="AG1362" s="1"/>
      <c r="AH1362" s="165"/>
      <c r="AI1362" s="165"/>
      <c r="AJ1362" s="165"/>
      <c r="AK1362" s="165"/>
      <c r="AL1362" s="165"/>
      <c r="AM1362" s="165"/>
      <c r="AN1362" s="165"/>
    </row>
    <row r="1363" spans="3:40">
      <c r="C1363" s="46"/>
      <c r="F1363" s="173"/>
      <c r="G1363" s="1"/>
      <c r="H1363" s="165"/>
      <c r="I1363" s="160"/>
      <c r="J1363" s="160"/>
      <c r="K1363" s="1"/>
      <c r="L1363" s="123"/>
      <c r="M1363" s="1"/>
      <c r="N1363" s="590"/>
      <c r="O1363" s="165"/>
      <c r="P1363" s="165"/>
      <c r="Q1363" s="165"/>
      <c r="R1363" s="165"/>
      <c r="S1363" s="165"/>
      <c r="V1363" s="46"/>
      <c r="W1363" s="46"/>
      <c r="X1363" s="1"/>
      <c r="Y1363" s="1"/>
      <c r="Z1363" s="173"/>
      <c r="AA1363" s="1"/>
      <c r="AB1363" s="165"/>
      <c r="AC1363" s="1"/>
      <c r="AD1363" s="1"/>
      <c r="AE1363" s="1"/>
      <c r="AF1363" s="46"/>
      <c r="AG1363" s="1"/>
      <c r="AH1363" s="165"/>
      <c r="AI1363" s="165"/>
      <c r="AJ1363" s="165"/>
      <c r="AK1363" s="165"/>
      <c r="AL1363" s="165"/>
      <c r="AM1363" s="165"/>
      <c r="AN1363" s="165"/>
    </row>
    <row r="1364" spans="3:40">
      <c r="C1364" s="46"/>
      <c r="F1364" s="173"/>
      <c r="G1364" s="1"/>
      <c r="H1364" s="165"/>
      <c r="I1364" s="160"/>
      <c r="J1364" s="160"/>
      <c r="K1364" s="1"/>
      <c r="L1364" s="123"/>
      <c r="M1364" s="1"/>
      <c r="N1364" s="590"/>
      <c r="O1364" s="165"/>
      <c r="P1364" s="165"/>
      <c r="Q1364" s="165"/>
      <c r="R1364" s="165"/>
      <c r="S1364" s="165"/>
      <c r="V1364" s="46"/>
      <c r="W1364" s="46"/>
      <c r="X1364" s="1"/>
      <c r="Y1364" s="1"/>
      <c r="Z1364" s="173"/>
      <c r="AA1364" s="1"/>
      <c r="AB1364" s="165"/>
      <c r="AC1364" s="1"/>
      <c r="AD1364" s="1"/>
      <c r="AE1364" s="1"/>
      <c r="AF1364" s="46"/>
      <c r="AG1364" s="1"/>
      <c r="AH1364" s="165"/>
      <c r="AI1364" s="165"/>
      <c r="AJ1364" s="165"/>
      <c r="AK1364" s="165"/>
      <c r="AL1364" s="165"/>
      <c r="AM1364" s="165"/>
      <c r="AN1364" s="165"/>
    </row>
    <row r="1365" spans="3:40">
      <c r="C1365" s="46"/>
      <c r="F1365" s="173"/>
      <c r="G1365" s="1"/>
      <c r="H1365" s="165"/>
      <c r="I1365" s="160"/>
      <c r="J1365" s="160"/>
      <c r="K1365" s="1"/>
      <c r="L1365" s="123"/>
      <c r="M1365" s="1"/>
      <c r="N1365" s="590"/>
      <c r="O1365" s="165"/>
      <c r="P1365" s="165"/>
      <c r="Q1365" s="165"/>
      <c r="R1365" s="165"/>
      <c r="S1365" s="165"/>
      <c r="V1365" s="46"/>
      <c r="W1365" s="46"/>
      <c r="X1365" s="1"/>
      <c r="Y1365" s="1"/>
      <c r="Z1365" s="173"/>
      <c r="AA1365" s="1"/>
      <c r="AB1365" s="165"/>
      <c r="AC1365" s="1"/>
      <c r="AD1365" s="1"/>
      <c r="AE1365" s="1"/>
      <c r="AF1365" s="46"/>
      <c r="AG1365" s="1"/>
      <c r="AH1365" s="165"/>
      <c r="AI1365" s="165"/>
      <c r="AJ1365" s="165"/>
      <c r="AK1365" s="165"/>
      <c r="AL1365" s="165"/>
      <c r="AM1365" s="165"/>
      <c r="AN1365" s="165"/>
    </row>
    <row r="1366" spans="3:40">
      <c r="C1366" s="46"/>
      <c r="F1366" s="173"/>
      <c r="G1366" s="1"/>
      <c r="H1366" s="165"/>
      <c r="I1366" s="160"/>
      <c r="J1366" s="160"/>
      <c r="K1366" s="1"/>
      <c r="L1366" s="123"/>
      <c r="M1366" s="1"/>
      <c r="N1366" s="590"/>
      <c r="O1366" s="165"/>
      <c r="P1366" s="165"/>
      <c r="Q1366" s="165"/>
      <c r="R1366" s="165"/>
      <c r="S1366" s="165"/>
      <c r="V1366" s="46"/>
      <c r="W1366" s="46"/>
      <c r="X1366" s="1"/>
      <c r="Y1366" s="1"/>
      <c r="Z1366" s="173"/>
      <c r="AA1366" s="1"/>
      <c r="AB1366" s="165"/>
      <c r="AC1366" s="1"/>
      <c r="AD1366" s="1"/>
      <c r="AE1366" s="1"/>
      <c r="AF1366" s="46"/>
      <c r="AG1366" s="1"/>
      <c r="AH1366" s="165"/>
      <c r="AI1366" s="165"/>
      <c r="AJ1366" s="165"/>
      <c r="AK1366" s="165"/>
      <c r="AL1366" s="165"/>
      <c r="AM1366" s="165"/>
      <c r="AN1366" s="165"/>
    </row>
    <row r="1367" spans="3:40">
      <c r="C1367" s="46"/>
      <c r="F1367" s="173"/>
      <c r="G1367" s="1"/>
      <c r="H1367" s="165"/>
      <c r="I1367" s="160"/>
      <c r="J1367" s="160"/>
      <c r="K1367" s="1"/>
      <c r="L1367" s="123"/>
      <c r="M1367" s="1"/>
      <c r="N1367" s="590"/>
      <c r="O1367" s="165"/>
      <c r="P1367" s="165"/>
      <c r="Q1367" s="165"/>
      <c r="R1367" s="165"/>
      <c r="S1367" s="165"/>
      <c r="V1367" s="46"/>
      <c r="W1367" s="46"/>
      <c r="X1367" s="1"/>
      <c r="Y1367" s="1"/>
      <c r="Z1367" s="173"/>
      <c r="AA1367" s="1"/>
      <c r="AB1367" s="165"/>
      <c r="AC1367" s="1"/>
      <c r="AD1367" s="1"/>
      <c r="AE1367" s="1"/>
      <c r="AF1367" s="46"/>
      <c r="AG1367" s="1"/>
      <c r="AH1367" s="165"/>
      <c r="AI1367" s="165"/>
      <c r="AJ1367" s="165"/>
      <c r="AK1367" s="165"/>
      <c r="AL1367" s="165"/>
      <c r="AM1367" s="165"/>
      <c r="AN1367" s="165"/>
    </row>
    <row r="1368" spans="3:40">
      <c r="C1368" s="46"/>
      <c r="F1368" s="173"/>
      <c r="G1368" s="1"/>
      <c r="H1368" s="165"/>
      <c r="I1368" s="160"/>
      <c r="J1368" s="160"/>
      <c r="K1368" s="1"/>
      <c r="L1368" s="123"/>
      <c r="M1368" s="1"/>
      <c r="N1368" s="590"/>
      <c r="O1368" s="165"/>
      <c r="P1368" s="165"/>
      <c r="Q1368" s="165"/>
      <c r="R1368" s="165"/>
      <c r="S1368" s="165"/>
      <c r="V1368" s="46"/>
      <c r="W1368" s="46"/>
      <c r="X1368" s="1"/>
      <c r="Y1368" s="1"/>
      <c r="Z1368" s="173"/>
      <c r="AA1368" s="1"/>
      <c r="AB1368" s="165"/>
      <c r="AC1368" s="1"/>
      <c r="AD1368" s="1"/>
      <c r="AE1368" s="1"/>
      <c r="AF1368" s="46"/>
      <c r="AG1368" s="1"/>
      <c r="AH1368" s="165"/>
      <c r="AI1368" s="165"/>
      <c r="AJ1368" s="165"/>
      <c r="AK1368" s="165"/>
      <c r="AL1368" s="165"/>
      <c r="AM1368" s="165"/>
      <c r="AN1368" s="165"/>
    </row>
    <row r="1369" spans="3:40">
      <c r="C1369" s="46"/>
      <c r="F1369" s="173"/>
      <c r="G1369" s="1"/>
      <c r="H1369" s="165"/>
      <c r="I1369" s="160"/>
      <c r="J1369" s="160"/>
      <c r="K1369" s="1"/>
      <c r="L1369" s="123"/>
      <c r="M1369" s="1"/>
      <c r="N1369" s="590"/>
      <c r="O1369" s="165"/>
      <c r="P1369" s="165"/>
      <c r="Q1369" s="165"/>
      <c r="R1369" s="165"/>
      <c r="S1369" s="165"/>
      <c r="V1369" s="46"/>
      <c r="W1369" s="46"/>
      <c r="X1369" s="1"/>
      <c r="Y1369" s="1"/>
      <c r="Z1369" s="173"/>
      <c r="AA1369" s="1"/>
      <c r="AB1369" s="165"/>
      <c r="AC1369" s="1"/>
      <c r="AD1369" s="1"/>
      <c r="AE1369" s="1"/>
      <c r="AF1369" s="46"/>
      <c r="AG1369" s="1"/>
      <c r="AH1369" s="165"/>
      <c r="AI1369" s="165"/>
      <c r="AJ1369" s="165"/>
      <c r="AK1369" s="165"/>
      <c r="AL1369" s="165"/>
      <c r="AM1369" s="165"/>
      <c r="AN1369" s="165"/>
    </row>
    <row r="1370" spans="3:40">
      <c r="C1370" s="46"/>
      <c r="F1370" s="173"/>
      <c r="G1370" s="1"/>
      <c r="H1370" s="165"/>
      <c r="I1370" s="160"/>
      <c r="J1370" s="160"/>
      <c r="K1370" s="1"/>
      <c r="L1370" s="123"/>
      <c r="M1370" s="1"/>
      <c r="N1370" s="590"/>
      <c r="O1370" s="165"/>
      <c r="P1370" s="165"/>
      <c r="Q1370" s="165"/>
      <c r="R1370" s="165"/>
      <c r="S1370" s="165"/>
      <c r="V1370" s="46"/>
      <c r="W1370" s="46"/>
      <c r="X1370" s="1"/>
      <c r="Y1370" s="1"/>
      <c r="Z1370" s="173"/>
      <c r="AA1370" s="1"/>
      <c r="AB1370" s="165"/>
      <c r="AC1370" s="1"/>
      <c r="AD1370" s="1"/>
      <c r="AE1370" s="1"/>
      <c r="AF1370" s="46"/>
      <c r="AG1370" s="1"/>
      <c r="AH1370" s="165"/>
      <c r="AI1370" s="165"/>
      <c r="AJ1370" s="165"/>
      <c r="AK1370" s="165"/>
      <c r="AL1370" s="165"/>
      <c r="AM1370" s="165"/>
      <c r="AN1370" s="165"/>
    </row>
    <row r="1371" spans="3:40">
      <c r="C1371" s="46"/>
      <c r="F1371" s="173"/>
      <c r="G1371" s="1"/>
      <c r="H1371" s="165"/>
      <c r="I1371" s="160"/>
      <c r="J1371" s="160"/>
      <c r="K1371" s="1"/>
      <c r="L1371" s="123"/>
      <c r="M1371" s="1"/>
      <c r="N1371" s="590"/>
      <c r="O1371" s="165"/>
      <c r="P1371" s="165"/>
      <c r="Q1371" s="165"/>
      <c r="R1371" s="165"/>
      <c r="S1371" s="165"/>
      <c r="V1371" s="46"/>
      <c r="W1371" s="46"/>
      <c r="X1371" s="1"/>
      <c r="Y1371" s="1"/>
      <c r="Z1371" s="173"/>
      <c r="AA1371" s="1"/>
      <c r="AB1371" s="165"/>
      <c r="AC1371" s="1"/>
      <c r="AD1371" s="1"/>
      <c r="AE1371" s="1"/>
      <c r="AF1371" s="46"/>
      <c r="AG1371" s="1"/>
      <c r="AH1371" s="165"/>
      <c r="AI1371" s="165"/>
      <c r="AJ1371" s="165"/>
      <c r="AK1371" s="165"/>
      <c r="AL1371" s="165"/>
      <c r="AM1371" s="165"/>
      <c r="AN1371" s="165"/>
    </row>
    <row r="1372" spans="3:40">
      <c r="C1372" s="46"/>
      <c r="F1372" s="173"/>
      <c r="G1372" s="1"/>
      <c r="H1372" s="165"/>
      <c r="I1372" s="160"/>
      <c r="J1372" s="160"/>
      <c r="K1372" s="1"/>
      <c r="L1372" s="123"/>
      <c r="M1372" s="1"/>
      <c r="N1372" s="590"/>
      <c r="O1372" s="165"/>
      <c r="P1372" s="165"/>
      <c r="Q1372" s="165"/>
      <c r="R1372" s="165"/>
      <c r="S1372" s="165"/>
      <c r="V1372" s="46"/>
      <c r="W1372" s="46"/>
      <c r="X1372" s="1"/>
      <c r="Y1372" s="1"/>
      <c r="Z1372" s="173"/>
      <c r="AA1372" s="1"/>
      <c r="AB1372" s="165"/>
      <c r="AC1372" s="1"/>
      <c r="AD1372" s="1"/>
      <c r="AE1372" s="1"/>
      <c r="AF1372" s="46"/>
      <c r="AG1372" s="1"/>
      <c r="AH1372" s="165"/>
      <c r="AI1372" s="165"/>
      <c r="AJ1372" s="165"/>
      <c r="AK1372" s="165"/>
      <c r="AL1372" s="165"/>
      <c r="AM1372" s="165"/>
      <c r="AN1372" s="165"/>
    </row>
    <row r="1373" spans="3:40">
      <c r="C1373" s="46"/>
      <c r="F1373" s="173"/>
      <c r="G1373" s="1"/>
      <c r="H1373" s="165"/>
      <c r="I1373" s="160"/>
      <c r="J1373" s="160"/>
      <c r="K1373" s="1"/>
      <c r="L1373" s="123"/>
      <c r="M1373" s="1"/>
      <c r="N1373" s="590"/>
      <c r="O1373" s="165"/>
      <c r="P1373" s="165"/>
      <c r="Q1373" s="165"/>
      <c r="R1373" s="165"/>
      <c r="S1373" s="165"/>
      <c r="V1373" s="46"/>
      <c r="W1373" s="46"/>
      <c r="X1373" s="1"/>
      <c r="Y1373" s="1"/>
      <c r="Z1373" s="173"/>
      <c r="AA1373" s="1"/>
      <c r="AB1373" s="165"/>
      <c r="AC1373" s="1"/>
      <c r="AD1373" s="1"/>
      <c r="AE1373" s="1"/>
      <c r="AF1373" s="46"/>
      <c r="AG1373" s="1"/>
      <c r="AH1373" s="165"/>
      <c r="AI1373" s="165"/>
      <c r="AJ1373" s="165"/>
      <c r="AK1373" s="165"/>
      <c r="AL1373" s="165"/>
      <c r="AM1373" s="165"/>
      <c r="AN1373" s="165"/>
    </row>
    <row r="1374" spans="3:40">
      <c r="C1374" s="46"/>
      <c r="F1374" s="173"/>
      <c r="G1374" s="1"/>
      <c r="H1374" s="165"/>
      <c r="I1374" s="160"/>
      <c r="J1374" s="160"/>
      <c r="K1374" s="1"/>
      <c r="L1374" s="123"/>
      <c r="M1374" s="1"/>
      <c r="N1374" s="590"/>
      <c r="O1374" s="165"/>
      <c r="P1374" s="165"/>
      <c r="Q1374" s="165"/>
      <c r="R1374" s="165"/>
      <c r="S1374" s="165"/>
      <c r="V1374" s="46"/>
      <c r="W1374" s="46"/>
      <c r="X1374" s="1"/>
      <c r="Y1374" s="1"/>
      <c r="Z1374" s="173"/>
      <c r="AA1374" s="1"/>
      <c r="AB1374" s="165"/>
      <c r="AC1374" s="1"/>
      <c r="AD1374" s="1"/>
      <c r="AE1374" s="1"/>
      <c r="AF1374" s="46"/>
      <c r="AG1374" s="1"/>
      <c r="AH1374" s="165"/>
      <c r="AI1374" s="165"/>
      <c r="AJ1374" s="165"/>
      <c r="AK1374" s="165"/>
      <c r="AL1374" s="165"/>
      <c r="AM1374" s="165"/>
      <c r="AN1374" s="165"/>
    </row>
    <row r="1375" spans="3:40">
      <c r="C1375" s="46"/>
      <c r="F1375" s="173"/>
      <c r="G1375" s="1"/>
      <c r="H1375" s="165"/>
      <c r="I1375" s="160"/>
      <c r="J1375" s="160"/>
      <c r="K1375" s="1"/>
      <c r="L1375" s="123"/>
      <c r="M1375" s="1"/>
      <c r="N1375" s="590"/>
      <c r="O1375" s="165"/>
      <c r="P1375" s="165"/>
      <c r="Q1375" s="165"/>
      <c r="R1375" s="165"/>
      <c r="S1375" s="165"/>
      <c r="V1375" s="46"/>
      <c r="W1375" s="46"/>
      <c r="X1375" s="1"/>
      <c r="Y1375" s="1"/>
      <c r="Z1375" s="173"/>
      <c r="AA1375" s="1"/>
      <c r="AB1375" s="165"/>
      <c r="AC1375" s="1"/>
      <c r="AD1375" s="1"/>
      <c r="AE1375" s="1"/>
      <c r="AF1375" s="46"/>
      <c r="AG1375" s="1"/>
      <c r="AH1375" s="165"/>
      <c r="AI1375" s="165"/>
      <c r="AJ1375" s="165"/>
      <c r="AK1375" s="165"/>
      <c r="AL1375" s="165"/>
      <c r="AM1375" s="165"/>
      <c r="AN1375" s="165"/>
    </row>
    <row r="1376" spans="3:40">
      <c r="C1376" s="46"/>
      <c r="F1376" s="173"/>
      <c r="G1376" s="1"/>
      <c r="H1376" s="165"/>
      <c r="I1376" s="160"/>
      <c r="J1376" s="160"/>
      <c r="K1376" s="1"/>
      <c r="L1376" s="123"/>
      <c r="M1376" s="1"/>
      <c r="N1376" s="590"/>
      <c r="O1376" s="165"/>
      <c r="P1376" s="165"/>
      <c r="Q1376" s="165"/>
      <c r="R1376" s="165"/>
      <c r="S1376" s="165"/>
      <c r="V1376" s="46"/>
      <c r="W1376" s="46"/>
      <c r="X1376" s="1"/>
      <c r="Y1376" s="1"/>
      <c r="Z1376" s="173"/>
      <c r="AA1376" s="1"/>
      <c r="AB1376" s="165"/>
      <c r="AC1376" s="1"/>
      <c r="AD1376" s="1"/>
      <c r="AE1376" s="1"/>
      <c r="AF1376" s="46"/>
      <c r="AG1376" s="1"/>
      <c r="AH1376" s="165"/>
      <c r="AI1376" s="165"/>
      <c r="AJ1376" s="165"/>
      <c r="AK1376" s="165"/>
      <c r="AL1376" s="165"/>
      <c r="AM1376" s="165"/>
      <c r="AN1376" s="165"/>
    </row>
    <row r="1377" spans="3:40">
      <c r="C1377" s="46"/>
      <c r="F1377" s="173"/>
      <c r="G1377" s="1"/>
      <c r="H1377" s="165"/>
      <c r="I1377" s="160"/>
      <c r="J1377" s="160"/>
      <c r="K1377" s="1"/>
      <c r="L1377" s="123"/>
      <c r="M1377" s="1"/>
      <c r="N1377" s="590"/>
      <c r="O1377" s="165"/>
      <c r="P1377" s="165"/>
      <c r="Q1377" s="165"/>
      <c r="R1377" s="165"/>
      <c r="S1377" s="165"/>
      <c r="V1377" s="46"/>
      <c r="W1377" s="46"/>
      <c r="X1377" s="1"/>
      <c r="Y1377" s="1"/>
      <c r="Z1377" s="173"/>
      <c r="AA1377" s="1"/>
      <c r="AB1377" s="165"/>
      <c r="AC1377" s="1"/>
      <c r="AD1377" s="1"/>
      <c r="AE1377" s="1"/>
      <c r="AF1377" s="46"/>
      <c r="AG1377" s="1"/>
      <c r="AH1377" s="165"/>
      <c r="AI1377" s="165"/>
      <c r="AJ1377" s="165"/>
      <c r="AK1377" s="165"/>
      <c r="AL1377" s="165"/>
      <c r="AM1377" s="165"/>
      <c r="AN1377" s="165"/>
    </row>
    <row r="1378" spans="3:40">
      <c r="C1378" s="46"/>
      <c r="F1378" s="173"/>
      <c r="G1378" s="1"/>
      <c r="H1378" s="165"/>
      <c r="I1378" s="160"/>
      <c r="J1378" s="160"/>
      <c r="K1378" s="1"/>
      <c r="L1378" s="123"/>
      <c r="M1378" s="1"/>
      <c r="N1378" s="590"/>
      <c r="O1378" s="165"/>
      <c r="P1378" s="165"/>
      <c r="Q1378" s="165"/>
      <c r="R1378" s="165"/>
      <c r="S1378" s="165"/>
      <c r="V1378" s="46"/>
      <c r="W1378" s="46"/>
      <c r="X1378" s="1"/>
      <c r="Y1378" s="1"/>
      <c r="Z1378" s="173"/>
      <c r="AA1378" s="1"/>
      <c r="AB1378" s="165"/>
      <c r="AC1378" s="1"/>
      <c r="AD1378" s="1"/>
      <c r="AE1378" s="1"/>
      <c r="AF1378" s="46"/>
      <c r="AG1378" s="1"/>
      <c r="AH1378" s="165"/>
      <c r="AI1378" s="165"/>
      <c r="AJ1378" s="165"/>
      <c r="AK1378" s="165"/>
      <c r="AL1378" s="165"/>
      <c r="AM1378" s="165"/>
      <c r="AN1378" s="165"/>
    </row>
    <row r="1379" spans="3:40">
      <c r="C1379" s="46"/>
      <c r="F1379" s="173"/>
      <c r="G1379" s="1"/>
      <c r="H1379" s="165"/>
      <c r="I1379" s="160"/>
      <c r="J1379" s="160"/>
      <c r="K1379" s="1"/>
      <c r="L1379" s="123"/>
      <c r="M1379" s="1"/>
      <c r="N1379" s="590"/>
      <c r="O1379" s="165"/>
      <c r="P1379" s="165"/>
      <c r="Q1379" s="165"/>
      <c r="R1379" s="165"/>
      <c r="S1379" s="165"/>
      <c r="V1379" s="46"/>
      <c r="W1379" s="46"/>
      <c r="X1379" s="1"/>
      <c r="Y1379" s="1"/>
      <c r="Z1379" s="173"/>
      <c r="AA1379" s="1"/>
      <c r="AB1379" s="165"/>
      <c r="AC1379" s="1"/>
      <c r="AD1379" s="1"/>
      <c r="AE1379" s="1"/>
      <c r="AF1379" s="46"/>
      <c r="AG1379" s="1"/>
      <c r="AH1379" s="165"/>
      <c r="AI1379" s="165"/>
      <c r="AJ1379" s="165"/>
      <c r="AK1379" s="165"/>
      <c r="AL1379" s="165"/>
      <c r="AM1379" s="165"/>
      <c r="AN1379" s="165"/>
    </row>
    <row r="1380" spans="3:40">
      <c r="C1380" s="46"/>
      <c r="F1380" s="173"/>
      <c r="G1380" s="1"/>
      <c r="H1380" s="165"/>
      <c r="I1380" s="160"/>
      <c r="J1380" s="160"/>
      <c r="K1380" s="1"/>
      <c r="L1380" s="123"/>
      <c r="M1380" s="1"/>
      <c r="N1380" s="590"/>
      <c r="O1380" s="165"/>
      <c r="P1380" s="165"/>
      <c r="Q1380" s="165"/>
      <c r="R1380" s="165"/>
      <c r="S1380" s="165"/>
      <c r="V1380" s="46"/>
      <c r="W1380" s="46"/>
      <c r="X1380" s="1"/>
      <c r="Y1380" s="1"/>
      <c r="Z1380" s="173"/>
      <c r="AA1380" s="1"/>
      <c r="AB1380" s="165"/>
      <c r="AC1380" s="1"/>
      <c r="AD1380" s="1"/>
      <c r="AE1380" s="1"/>
      <c r="AF1380" s="46"/>
      <c r="AG1380" s="1"/>
      <c r="AH1380" s="165"/>
      <c r="AI1380" s="165"/>
      <c r="AJ1380" s="165"/>
      <c r="AK1380" s="165"/>
      <c r="AL1380" s="165"/>
      <c r="AM1380" s="165"/>
      <c r="AN1380" s="165"/>
    </row>
    <row r="1381" spans="3:40">
      <c r="C1381" s="46"/>
      <c r="F1381" s="173"/>
      <c r="G1381" s="1"/>
      <c r="H1381" s="165"/>
      <c r="I1381" s="160"/>
      <c r="J1381" s="160"/>
      <c r="K1381" s="1"/>
      <c r="L1381" s="123"/>
      <c r="M1381" s="1"/>
      <c r="N1381" s="590"/>
      <c r="O1381" s="165"/>
      <c r="P1381" s="165"/>
      <c r="Q1381" s="165"/>
      <c r="R1381" s="165"/>
      <c r="S1381" s="165"/>
      <c r="V1381" s="46"/>
      <c r="W1381" s="46"/>
      <c r="X1381" s="1"/>
      <c r="Y1381" s="1"/>
      <c r="Z1381" s="173"/>
      <c r="AA1381" s="1"/>
      <c r="AB1381" s="165"/>
      <c r="AC1381" s="1"/>
      <c r="AD1381" s="1"/>
      <c r="AE1381" s="1"/>
      <c r="AF1381" s="46"/>
      <c r="AG1381" s="1"/>
      <c r="AH1381" s="165"/>
      <c r="AI1381" s="165"/>
      <c r="AJ1381" s="165"/>
      <c r="AK1381" s="165"/>
      <c r="AL1381" s="165"/>
      <c r="AM1381" s="165"/>
      <c r="AN1381" s="165"/>
    </row>
    <row r="1382" spans="3:40">
      <c r="C1382" s="46"/>
      <c r="F1382" s="173"/>
      <c r="G1382" s="1"/>
      <c r="H1382" s="165"/>
      <c r="I1382" s="160"/>
      <c r="J1382" s="160"/>
      <c r="K1382" s="1"/>
      <c r="L1382" s="123"/>
      <c r="M1382" s="1"/>
      <c r="N1382" s="590"/>
      <c r="O1382" s="165"/>
      <c r="P1382" s="165"/>
      <c r="Q1382" s="165"/>
      <c r="R1382" s="165"/>
      <c r="S1382" s="165"/>
      <c r="V1382" s="46"/>
      <c r="W1382" s="46"/>
      <c r="X1382" s="1"/>
      <c r="Y1382" s="1"/>
      <c r="Z1382" s="173"/>
      <c r="AA1382" s="1"/>
      <c r="AB1382" s="165"/>
      <c r="AC1382" s="1"/>
      <c r="AD1382" s="1"/>
      <c r="AE1382" s="1"/>
      <c r="AF1382" s="46"/>
      <c r="AG1382" s="1"/>
      <c r="AH1382" s="165"/>
      <c r="AI1382" s="165"/>
      <c r="AJ1382" s="165"/>
      <c r="AK1382" s="165"/>
      <c r="AL1382" s="165"/>
      <c r="AM1382" s="165"/>
      <c r="AN1382" s="165"/>
    </row>
    <row r="1383" spans="3:40">
      <c r="C1383" s="46"/>
      <c r="F1383" s="173"/>
      <c r="G1383" s="1"/>
      <c r="H1383" s="165"/>
      <c r="I1383" s="160"/>
      <c r="J1383" s="160"/>
      <c r="K1383" s="1"/>
      <c r="L1383" s="123"/>
      <c r="M1383" s="1"/>
      <c r="N1383" s="590"/>
      <c r="O1383" s="165"/>
      <c r="P1383" s="165"/>
      <c r="Q1383" s="165"/>
      <c r="R1383" s="165"/>
      <c r="S1383" s="165"/>
      <c r="V1383" s="46"/>
      <c r="W1383" s="46"/>
      <c r="X1383" s="1"/>
      <c r="Y1383" s="1"/>
      <c r="Z1383" s="173"/>
      <c r="AA1383" s="1"/>
      <c r="AB1383" s="165"/>
      <c r="AC1383" s="1"/>
      <c r="AD1383" s="1"/>
      <c r="AE1383" s="1"/>
      <c r="AF1383" s="46"/>
      <c r="AG1383" s="1"/>
      <c r="AH1383" s="165"/>
      <c r="AI1383" s="165"/>
      <c r="AJ1383" s="165"/>
      <c r="AK1383" s="165"/>
      <c r="AL1383" s="165"/>
      <c r="AM1383" s="165"/>
      <c r="AN1383" s="165"/>
    </row>
    <row r="1384" spans="3:40">
      <c r="C1384" s="46"/>
      <c r="F1384" s="173"/>
      <c r="G1384" s="1"/>
      <c r="H1384" s="165"/>
      <c r="I1384" s="160"/>
      <c r="J1384" s="160"/>
      <c r="K1384" s="1"/>
      <c r="L1384" s="123"/>
      <c r="M1384" s="1"/>
      <c r="N1384" s="590"/>
      <c r="O1384" s="165"/>
      <c r="P1384" s="165"/>
      <c r="Q1384" s="165"/>
      <c r="R1384" s="165"/>
      <c r="S1384" s="165"/>
      <c r="V1384" s="46"/>
      <c r="W1384" s="46"/>
      <c r="X1384" s="1"/>
      <c r="Y1384" s="1"/>
      <c r="Z1384" s="173"/>
      <c r="AA1384" s="1"/>
      <c r="AB1384" s="165"/>
      <c r="AC1384" s="1"/>
      <c r="AD1384" s="1"/>
      <c r="AE1384" s="1"/>
      <c r="AF1384" s="46"/>
      <c r="AG1384" s="1"/>
      <c r="AH1384" s="165"/>
      <c r="AI1384" s="165"/>
      <c r="AJ1384" s="165"/>
      <c r="AK1384" s="165"/>
      <c r="AL1384" s="165"/>
      <c r="AM1384" s="165"/>
      <c r="AN1384" s="165"/>
    </row>
    <row r="1385" spans="3:40">
      <c r="C1385" s="46"/>
      <c r="F1385" s="173"/>
      <c r="G1385" s="1"/>
      <c r="H1385" s="165"/>
      <c r="I1385" s="160"/>
      <c r="J1385" s="160"/>
      <c r="K1385" s="1"/>
      <c r="L1385" s="123"/>
      <c r="M1385" s="1"/>
      <c r="N1385" s="590"/>
      <c r="O1385" s="165"/>
      <c r="P1385" s="165"/>
      <c r="Q1385" s="165"/>
      <c r="R1385" s="165"/>
      <c r="S1385" s="165"/>
      <c r="V1385" s="46"/>
      <c r="W1385" s="46"/>
      <c r="X1385" s="1"/>
      <c r="Y1385" s="1"/>
      <c r="Z1385" s="173"/>
      <c r="AA1385" s="1"/>
      <c r="AB1385" s="165"/>
      <c r="AC1385" s="1"/>
      <c r="AD1385" s="1"/>
      <c r="AE1385" s="1"/>
      <c r="AF1385" s="46"/>
      <c r="AG1385" s="1"/>
      <c r="AH1385" s="165"/>
      <c r="AI1385" s="165"/>
      <c r="AJ1385" s="165"/>
      <c r="AK1385" s="165"/>
      <c r="AL1385" s="165"/>
      <c r="AM1385" s="165"/>
      <c r="AN1385" s="165"/>
    </row>
    <row r="1386" spans="3:40">
      <c r="C1386" s="46"/>
      <c r="F1386" s="173"/>
      <c r="G1386" s="1"/>
      <c r="H1386" s="165"/>
      <c r="I1386" s="160"/>
      <c r="J1386" s="160"/>
      <c r="K1386" s="1"/>
      <c r="L1386" s="123"/>
      <c r="M1386" s="1"/>
      <c r="N1386" s="590"/>
      <c r="O1386" s="165"/>
      <c r="P1386" s="165"/>
      <c r="Q1386" s="165"/>
      <c r="R1386" s="165"/>
      <c r="S1386" s="165"/>
      <c r="V1386" s="46"/>
      <c r="W1386" s="46"/>
      <c r="X1386" s="1"/>
      <c r="Y1386" s="1"/>
      <c r="Z1386" s="173"/>
      <c r="AA1386" s="1"/>
      <c r="AB1386" s="165"/>
      <c r="AC1386" s="1"/>
      <c r="AD1386" s="1"/>
      <c r="AE1386" s="1"/>
      <c r="AF1386" s="46"/>
      <c r="AG1386" s="1"/>
      <c r="AH1386" s="165"/>
      <c r="AI1386" s="165"/>
      <c r="AJ1386" s="165"/>
      <c r="AK1386" s="165"/>
      <c r="AL1386" s="165"/>
      <c r="AM1386" s="165"/>
      <c r="AN1386" s="165"/>
    </row>
    <row r="1387" spans="3:40">
      <c r="C1387" s="46"/>
      <c r="F1387" s="173"/>
      <c r="G1387" s="1"/>
      <c r="H1387" s="165"/>
      <c r="I1387" s="160"/>
      <c r="J1387" s="160"/>
      <c r="K1387" s="1"/>
      <c r="L1387" s="123"/>
      <c r="M1387" s="1"/>
      <c r="N1387" s="590"/>
      <c r="O1387" s="165"/>
      <c r="P1387" s="165"/>
      <c r="Q1387" s="165"/>
      <c r="R1387" s="165"/>
      <c r="S1387" s="165"/>
      <c r="V1387" s="46"/>
      <c r="W1387" s="46"/>
      <c r="X1387" s="1"/>
      <c r="Y1387" s="1"/>
      <c r="Z1387" s="173"/>
      <c r="AA1387" s="1"/>
      <c r="AB1387" s="165"/>
      <c r="AC1387" s="1"/>
      <c r="AD1387" s="1"/>
      <c r="AE1387" s="1"/>
      <c r="AF1387" s="46"/>
      <c r="AG1387" s="1"/>
      <c r="AH1387" s="165"/>
      <c r="AI1387" s="165"/>
      <c r="AJ1387" s="165"/>
      <c r="AK1387" s="165"/>
      <c r="AL1387" s="165"/>
      <c r="AM1387" s="165"/>
      <c r="AN1387" s="165"/>
    </row>
    <row r="1388" spans="3:40">
      <c r="C1388" s="46"/>
      <c r="F1388" s="173"/>
      <c r="G1388" s="1"/>
      <c r="H1388" s="165"/>
      <c r="I1388" s="160"/>
      <c r="J1388" s="160"/>
      <c r="K1388" s="1"/>
      <c r="L1388" s="123"/>
      <c r="M1388" s="1"/>
      <c r="N1388" s="590"/>
      <c r="O1388" s="165"/>
      <c r="P1388" s="165"/>
      <c r="Q1388" s="165"/>
      <c r="R1388" s="165"/>
      <c r="S1388" s="165"/>
      <c r="V1388" s="46"/>
      <c r="W1388" s="46"/>
      <c r="X1388" s="1"/>
      <c r="Y1388" s="1"/>
      <c r="Z1388" s="173"/>
      <c r="AA1388" s="1"/>
      <c r="AB1388" s="165"/>
      <c r="AC1388" s="1"/>
      <c r="AD1388" s="1"/>
      <c r="AE1388" s="1"/>
      <c r="AF1388" s="46"/>
      <c r="AG1388" s="1"/>
      <c r="AH1388" s="165"/>
      <c r="AI1388" s="165"/>
      <c r="AJ1388" s="165"/>
      <c r="AK1388" s="165"/>
      <c r="AL1388" s="165"/>
      <c r="AM1388" s="165"/>
      <c r="AN1388" s="165"/>
    </row>
    <row r="1389" spans="3:40">
      <c r="C1389" s="46"/>
      <c r="F1389" s="173"/>
      <c r="G1389" s="1"/>
      <c r="H1389" s="165"/>
      <c r="I1389" s="160"/>
      <c r="J1389" s="160"/>
      <c r="K1389" s="1"/>
      <c r="L1389" s="123"/>
      <c r="M1389" s="1"/>
      <c r="N1389" s="590"/>
      <c r="O1389" s="165"/>
      <c r="P1389" s="165"/>
      <c r="Q1389" s="165"/>
      <c r="R1389" s="165"/>
      <c r="S1389" s="165"/>
      <c r="V1389" s="46"/>
      <c r="W1389" s="46"/>
      <c r="X1389" s="1"/>
      <c r="Y1389" s="1"/>
      <c r="Z1389" s="173"/>
      <c r="AA1389" s="1"/>
      <c r="AB1389" s="165"/>
      <c r="AC1389" s="1"/>
      <c r="AD1389" s="1"/>
      <c r="AE1389" s="1"/>
      <c r="AF1389" s="46"/>
      <c r="AG1389" s="1"/>
      <c r="AH1389" s="165"/>
      <c r="AI1389" s="165"/>
      <c r="AJ1389" s="165"/>
      <c r="AK1389" s="165"/>
      <c r="AL1389" s="165"/>
      <c r="AM1389" s="165"/>
      <c r="AN1389" s="165"/>
    </row>
    <row r="1390" spans="3:40">
      <c r="C1390" s="46"/>
      <c r="F1390" s="173"/>
      <c r="G1390" s="1"/>
      <c r="H1390" s="165"/>
      <c r="I1390" s="160"/>
      <c r="J1390" s="160"/>
      <c r="K1390" s="1"/>
      <c r="L1390" s="123"/>
      <c r="M1390" s="1"/>
      <c r="N1390" s="590"/>
      <c r="O1390" s="165"/>
      <c r="P1390" s="165"/>
      <c r="Q1390" s="165"/>
      <c r="R1390" s="165"/>
      <c r="S1390" s="165"/>
      <c r="V1390" s="46"/>
      <c r="W1390" s="46"/>
      <c r="X1390" s="1"/>
      <c r="Y1390" s="1"/>
      <c r="Z1390" s="173"/>
      <c r="AA1390" s="1"/>
      <c r="AB1390" s="165"/>
      <c r="AC1390" s="1"/>
      <c r="AD1390" s="1"/>
      <c r="AE1390" s="1"/>
      <c r="AF1390" s="46"/>
      <c r="AG1390" s="1"/>
      <c r="AH1390" s="165"/>
      <c r="AI1390" s="165"/>
      <c r="AJ1390" s="165"/>
      <c r="AK1390" s="165"/>
      <c r="AL1390" s="165"/>
      <c r="AM1390" s="165"/>
      <c r="AN1390" s="165"/>
    </row>
    <row r="1391" spans="3:40">
      <c r="C1391" s="46"/>
      <c r="F1391" s="173"/>
      <c r="G1391" s="1"/>
      <c r="H1391" s="165"/>
      <c r="I1391" s="160"/>
      <c r="J1391" s="160"/>
      <c r="K1391" s="1"/>
      <c r="L1391" s="123"/>
      <c r="M1391" s="1"/>
      <c r="N1391" s="590"/>
      <c r="O1391" s="165"/>
      <c r="P1391" s="165"/>
      <c r="Q1391" s="165"/>
      <c r="R1391" s="165"/>
      <c r="S1391" s="165"/>
      <c r="V1391" s="46"/>
      <c r="W1391" s="46"/>
      <c r="X1391" s="1"/>
      <c r="Y1391" s="1"/>
      <c r="Z1391" s="173"/>
      <c r="AA1391" s="1"/>
      <c r="AB1391" s="165"/>
      <c r="AC1391" s="1"/>
      <c r="AD1391" s="1"/>
      <c r="AE1391" s="1"/>
      <c r="AF1391" s="46"/>
      <c r="AG1391" s="1"/>
      <c r="AH1391" s="165"/>
      <c r="AI1391" s="165"/>
      <c r="AJ1391" s="165"/>
      <c r="AK1391" s="165"/>
      <c r="AL1391" s="165"/>
      <c r="AM1391" s="165"/>
      <c r="AN1391" s="165"/>
    </row>
    <row r="1392" spans="3:40">
      <c r="C1392" s="46"/>
      <c r="F1392" s="173"/>
      <c r="G1392" s="1"/>
      <c r="H1392" s="165"/>
      <c r="I1392" s="160"/>
      <c r="J1392" s="160"/>
      <c r="K1392" s="1"/>
      <c r="L1392" s="123"/>
      <c r="M1392" s="1"/>
      <c r="N1392" s="590"/>
      <c r="O1392" s="165"/>
      <c r="P1392" s="165"/>
      <c r="Q1392" s="165"/>
      <c r="R1392" s="165"/>
      <c r="S1392" s="165"/>
      <c r="V1392" s="46"/>
      <c r="W1392" s="46"/>
      <c r="X1392" s="1"/>
      <c r="Y1392" s="1"/>
      <c r="Z1392" s="173"/>
      <c r="AA1392" s="1"/>
      <c r="AB1392" s="165"/>
      <c r="AC1392" s="1"/>
      <c r="AD1392" s="1"/>
      <c r="AE1392" s="1"/>
      <c r="AF1392" s="46"/>
      <c r="AG1392" s="1"/>
      <c r="AH1392" s="165"/>
      <c r="AI1392" s="165"/>
      <c r="AJ1392" s="165"/>
      <c r="AK1392" s="165"/>
      <c r="AL1392" s="165"/>
      <c r="AM1392" s="165"/>
      <c r="AN1392" s="165"/>
    </row>
    <row r="1393" spans="3:40">
      <c r="C1393" s="46"/>
      <c r="F1393" s="173"/>
      <c r="G1393" s="1"/>
      <c r="H1393" s="165"/>
      <c r="I1393" s="160"/>
      <c r="J1393" s="160"/>
      <c r="K1393" s="1"/>
      <c r="L1393" s="123"/>
      <c r="M1393" s="1"/>
      <c r="N1393" s="590"/>
      <c r="O1393" s="165"/>
      <c r="P1393" s="165"/>
      <c r="Q1393" s="165"/>
      <c r="R1393" s="165"/>
      <c r="S1393" s="165"/>
      <c r="V1393" s="46"/>
      <c r="W1393" s="46"/>
      <c r="X1393" s="1"/>
      <c r="Y1393" s="1"/>
      <c r="Z1393" s="173"/>
      <c r="AA1393" s="1"/>
      <c r="AB1393" s="165"/>
      <c r="AC1393" s="1"/>
      <c r="AD1393" s="1"/>
      <c r="AE1393" s="1"/>
      <c r="AF1393" s="46"/>
      <c r="AG1393" s="1"/>
      <c r="AH1393" s="165"/>
      <c r="AI1393" s="165"/>
      <c r="AJ1393" s="165"/>
      <c r="AK1393" s="165"/>
      <c r="AL1393" s="165"/>
      <c r="AM1393" s="165"/>
      <c r="AN1393" s="165"/>
    </row>
    <row r="1394" spans="3:40">
      <c r="C1394" s="46"/>
      <c r="F1394" s="173"/>
      <c r="G1394" s="1"/>
      <c r="H1394" s="165"/>
      <c r="I1394" s="160"/>
      <c r="J1394" s="160"/>
      <c r="K1394" s="1"/>
      <c r="L1394" s="123"/>
      <c r="M1394" s="1"/>
      <c r="N1394" s="590"/>
      <c r="O1394" s="165"/>
      <c r="P1394" s="165"/>
      <c r="Q1394" s="165"/>
      <c r="R1394" s="165"/>
      <c r="S1394" s="165"/>
      <c r="V1394" s="46"/>
      <c r="W1394" s="46"/>
      <c r="X1394" s="1"/>
      <c r="Y1394" s="1"/>
      <c r="Z1394" s="173"/>
      <c r="AA1394" s="1"/>
      <c r="AB1394" s="165"/>
      <c r="AC1394" s="1"/>
      <c r="AD1394" s="1"/>
      <c r="AE1394" s="1"/>
      <c r="AF1394" s="46"/>
      <c r="AG1394" s="1"/>
      <c r="AH1394" s="165"/>
      <c r="AI1394" s="165"/>
      <c r="AJ1394" s="165"/>
      <c r="AK1394" s="165"/>
      <c r="AL1394" s="165"/>
      <c r="AM1394" s="165"/>
      <c r="AN1394" s="165"/>
    </row>
    <row r="1395" spans="3:40">
      <c r="C1395" s="46"/>
      <c r="F1395" s="173"/>
      <c r="G1395" s="1"/>
      <c r="H1395" s="165"/>
      <c r="I1395" s="160"/>
      <c r="J1395" s="160"/>
      <c r="K1395" s="1"/>
      <c r="L1395" s="123"/>
      <c r="M1395" s="1"/>
      <c r="N1395" s="590"/>
      <c r="O1395" s="165"/>
      <c r="P1395" s="165"/>
      <c r="Q1395" s="165"/>
      <c r="R1395" s="165"/>
      <c r="S1395" s="165"/>
      <c r="V1395" s="46"/>
      <c r="W1395" s="46"/>
      <c r="X1395" s="1"/>
      <c r="Y1395" s="1"/>
      <c r="Z1395" s="173"/>
      <c r="AA1395" s="1"/>
      <c r="AB1395" s="165"/>
      <c r="AC1395" s="1"/>
      <c r="AD1395" s="1"/>
      <c r="AE1395" s="1"/>
      <c r="AF1395" s="46"/>
      <c r="AG1395" s="1"/>
      <c r="AH1395" s="165"/>
      <c r="AI1395" s="165"/>
      <c r="AJ1395" s="165"/>
      <c r="AK1395" s="165"/>
      <c r="AL1395" s="165"/>
      <c r="AM1395" s="165"/>
      <c r="AN1395" s="165"/>
    </row>
    <row r="1396" spans="3:40">
      <c r="C1396" s="46"/>
      <c r="F1396" s="173"/>
      <c r="G1396" s="1"/>
      <c r="H1396" s="165"/>
      <c r="I1396" s="160"/>
      <c r="J1396" s="160"/>
      <c r="K1396" s="1"/>
      <c r="L1396" s="123"/>
      <c r="M1396" s="1"/>
      <c r="N1396" s="590"/>
      <c r="O1396" s="165"/>
      <c r="P1396" s="165"/>
      <c r="Q1396" s="165"/>
      <c r="R1396" s="165"/>
      <c r="S1396" s="165"/>
      <c r="V1396" s="46"/>
      <c r="W1396" s="46"/>
      <c r="X1396" s="1"/>
      <c r="Y1396" s="1"/>
      <c r="Z1396" s="173"/>
      <c r="AA1396" s="1"/>
      <c r="AB1396" s="165"/>
      <c r="AC1396" s="1"/>
      <c r="AD1396" s="1"/>
      <c r="AE1396" s="1"/>
      <c r="AF1396" s="46"/>
      <c r="AG1396" s="1"/>
      <c r="AH1396" s="165"/>
      <c r="AI1396" s="165"/>
      <c r="AJ1396" s="165"/>
      <c r="AK1396" s="165"/>
      <c r="AL1396" s="165"/>
      <c r="AM1396" s="165"/>
      <c r="AN1396" s="165"/>
    </row>
    <row r="1397" spans="3:40">
      <c r="C1397" s="46"/>
      <c r="F1397" s="173"/>
      <c r="G1397" s="1"/>
      <c r="H1397" s="165"/>
      <c r="I1397" s="160"/>
      <c r="J1397" s="160"/>
      <c r="K1397" s="1"/>
      <c r="L1397" s="123"/>
      <c r="M1397" s="1"/>
      <c r="N1397" s="590"/>
      <c r="O1397" s="165"/>
      <c r="P1397" s="165"/>
      <c r="Q1397" s="165"/>
      <c r="R1397" s="165"/>
      <c r="S1397" s="165"/>
      <c r="V1397" s="46"/>
      <c r="W1397" s="46"/>
      <c r="X1397" s="1"/>
      <c r="Y1397" s="1"/>
      <c r="Z1397" s="173"/>
      <c r="AA1397" s="1"/>
      <c r="AB1397" s="165"/>
      <c r="AC1397" s="1"/>
      <c r="AD1397" s="1"/>
      <c r="AE1397" s="1"/>
      <c r="AF1397" s="46"/>
      <c r="AG1397" s="1"/>
      <c r="AH1397" s="165"/>
      <c r="AI1397" s="165"/>
      <c r="AJ1397" s="165"/>
      <c r="AK1397" s="165"/>
      <c r="AL1397" s="165"/>
      <c r="AM1397" s="165"/>
      <c r="AN1397" s="165"/>
    </row>
    <row r="1398" spans="3:40">
      <c r="C1398" s="46"/>
      <c r="F1398" s="173"/>
      <c r="G1398" s="1"/>
      <c r="H1398" s="165"/>
      <c r="I1398" s="160"/>
      <c r="J1398" s="160"/>
      <c r="K1398" s="1"/>
      <c r="L1398" s="123"/>
      <c r="M1398" s="1"/>
      <c r="N1398" s="590"/>
      <c r="O1398" s="165"/>
      <c r="P1398" s="165"/>
      <c r="Q1398" s="165"/>
      <c r="R1398" s="165"/>
      <c r="S1398" s="165"/>
      <c r="V1398" s="46"/>
      <c r="W1398" s="46"/>
      <c r="X1398" s="1"/>
      <c r="Y1398" s="1"/>
      <c r="Z1398" s="173"/>
      <c r="AA1398" s="1"/>
      <c r="AB1398" s="165"/>
      <c r="AC1398" s="1"/>
      <c r="AD1398" s="1"/>
      <c r="AE1398" s="1"/>
      <c r="AF1398" s="46"/>
      <c r="AG1398" s="1"/>
      <c r="AH1398" s="165"/>
      <c r="AI1398" s="165"/>
      <c r="AJ1398" s="165"/>
      <c r="AK1398" s="165"/>
      <c r="AL1398" s="165"/>
      <c r="AM1398" s="165"/>
      <c r="AN1398" s="165"/>
    </row>
    <row r="1399" spans="3:40">
      <c r="C1399" s="46"/>
      <c r="F1399" s="173"/>
      <c r="G1399" s="1"/>
      <c r="H1399" s="165"/>
      <c r="I1399" s="160"/>
      <c r="J1399" s="160"/>
      <c r="K1399" s="1"/>
      <c r="L1399" s="123"/>
      <c r="M1399" s="1"/>
      <c r="N1399" s="590"/>
      <c r="O1399" s="165"/>
      <c r="P1399" s="165"/>
      <c r="Q1399" s="165"/>
      <c r="R1399" s="165"/>
      <c r="S1399" s="165"/>
      <c r="V1399" s="46"/>
      <c r="W1399" s="46"/>
      <c r="X1399" s="1"/>
      <c r="Y1399" s="1"/>
      <c r="Z1399" s="173"/>
      <c r="AA1399" s="1"/>
      <c r="AB1399" s="165"/>
      <c r="AC1399" s="1"/>
      <c r="AD1399" s="1"/>
      <c r="AE1399" s="1"/>
      <c r="AF1399" s="46"/>
      <c r="AG1399" s="1"/>
      <c r="AH1399" s="165"/>
      <c r="AI1399" s="165"/>
      <c r="AJ1399" s="165"/>
      <c r="AK1399" s="165"/>
      <c r="AL1399" s="165"/>
      <c r="AM1399" s="165"/>
      <c r="AN1399" s="165"/>
    </row>
    <row r="1400" spans="3:40">
      <c r="C1400" s="46"/>
      <c r="F1400" s="173"/>
      <c r="G1400" s="1"/>
      <c r="H1400" s="165"/>
      <c r="I1400" s="160"/>
      <c r="J1400" s="160"/>
      <c r="K1400" s="1"/>
      <c r="L1400" s="123"/>
      <c r="M1400" s="1"/>
      <c r="N1400" s="590"/>
      <c r="O1400" s="165"/>
      <c r="P1400" s="165"/>
      <c r="Q1400" s="165"/>
      <c r="R1400" s="165"/>
      <c r="S1400" s="165"/>
      <c r="V1400" s="46"/>
      <c r="W1400" s="46"/>
      <c r="X1400" s="1"/>
      <c r="Y1400" s="1"/>
      <c r="Z1400" s="173"/>
      <c r="AA1400" s="1"/>
      <c r="AB1400" s="165"/>
      <c r="AC1400" s="1"/>
      <c r="AD1400" s="1"/>
      <c r="AE1400" s="1"/>
      <c r="AF1400" s="46"/>
      <c r="AG1400" s="1"/>
      <c r="AH1400" s="165"/>
      <c r="AI1400" s="165"/>
      <c r="AJ1400" s="165"/>
      <c r="AK1400" s="165"/>
      <c r="AL1400" s="165"/>
      <c r="AM1400" s="165"/>
      <c r="AN1400" s="165"/>
    </row>
    <row r="1401" spans="3:40">
      <c r="C1401" s="46"/>
      <c r="F1401" s="173"/>
      <c r="G1401" s="1"/>
      <c r="H1401" s="165"/>
      <c r="I1401" s="160"/>
      <c r="J1401" s="160"/>
      <c r="K1401" s="1"/>
      <c r="L1401" s="123"/>
      <c r="M1401" s="1"/>
      <c r="N1401" s="590"/>
      <c r="O1401" s="165"/>
      <c r="P1401" s="165"/>
      <c r="Q1401" s="165"/>
      <c r="R1401" s="165"/>
      <c r="S1401" s="165"/>
      <c r="V1401" s="46"/>
      <c r="W1401" s="46"/>
      <c r="X1401" s="1"/>
      <c r="Y1401" s="1"/>
      <c r="Z1401" s="173"/>
      <c r="AA1401" s="1"/>
      <c r="AB1401" s="165"/>
      <c r="AC1401" s="1"/>
      <c r="AD1401" s="1"/>
      <c r="AE1401" s="1"/>
      <c r="AF1401" s="46"/>
      <c r="AG1401" s="1"/>
      <c r="AH1401" s="165"/>
      <c r="AI1401" s="165"/>
      <c r="AJ1401" s="165"/>
      <c r="AK1401" s="165"/>
      <c r="AL1401" s="165"/>
      <c r="AM1401" s="165"/>
      <c r="AN1401" s="165"/>
    </row>
    <row r="1402" spans="3:40">
      <c r="C1402" s="46"/>
      <c r="F1402" s="173"/>
      <c r="G1402" s="1"/>
      <c r="H1402" s="165"/>
      <c r="I1402" s="160"/>
      <c r="J1402" s="160"/>
      <c r="K1402" s="1"/>
      <c r="L1402" s="123"/>
      <c r="M1402" s="1"/>
      <c r="N1402" s="590"/>
      <c r="O1402" s="165"/>
      <c r="P1402" s="165"/>
      <c r="Q1402" s="165"/>
      <c r="R1402" s="165"/>
      <c r="S1402" s="165"/>
      <c r="V1402" s="46"/>
      <c r="W1402" s="46"/>
      <c r="X1402" s="1"/>
      <c r="Y1402" s="1"/>
      <c r="Z1402" s="173"/>
      <c r="AA1402" s="1"/>
      <c r="AB1402" s="165"/>
      <c r="AC1402" s="1"/>
      <c r="AD1402" s="1"/>
      <c r="AE1402" s="1"/>
      <c r="AF1402" s="46"/>
      <c r="AG1402" s="1"/>
      <c r="AH1402" s="165"/>
      <c r="AI1402" s="165"/>
      <c r="AJ1402" s="165"/>
      <c r="AK1402" s="165"/>
      <c r="AL1402" s="165"/>
      <c r="AM1402" s="165"/>
      <c r="AN1402" s="165"/>
    </row>
    <row r="1403" spans="3:40">
      <c r="C1403" s="46"/>
      <c r="F1403" s="173"/>
      <c r="G1403" s="1"/>
      <c r="H1403" s="165"/>
      <c r="I1403" s="160"/>
      <c r="J1403" s="160"/>
      <c r="K1403" s="1"/>
      <c r="L1403" s="123"/>
      <c r="M1403" s="1"/>
      <c r="N1403" s="590"/>
      <c r="O1403" s="165"/>
      <c r="P1403" s="165"/>
      <c r="Q1403" s="165"/>
      <c r="R1403" s="165"/>
      <c r="S1403" s="165"/>
      <c r="V1403" s="46"/>
      <c r="W1403" s="46"/>
      <c r="X1403" s="1"/>
      <c r="Y1403" s="1"/>
      <c r="Z1403" s="173"/>
      <c r="AA1403" s="1"/>
      <c r="AB1403" s="165"/>
      <c r="AC1403" s="1"/>
      <c r="AD1403" s="1"/>
      <c r="AE1403" s="1"/>
      <c r="AF1403" s="46"/>
      <c r="AG1403" s="1"/>
      <c r="AH1403" s="165"/>
      <c r="AI1403" s="165"/>
      <c r="AJ1403" s="165"/>
      <c r="AK1403" s="165"/>
      <c r="AL1403" s="165"/>
      <c r="AM1403" s="165"/>
      <c r="AN1403" s="165"/>
    </row>
    <row r="1404" spans="3:40">
      <c r="C1404" s="46"/>
      <c r="F1404" s="173"/>
      <c r="G1404" s="1"/>
      <c r="H1404" s="165"/>
      <c r="I1404" s="160"/>
      <c r="J1404" s="160"/>
      <c r="K1404" s="1"/>
      <c r="L1404" s="123"/>
      <c r="M1404" s="1"/>
      <c r="N1404" s="590"/>
      <c r="O1404" s="165"/>
      <c r="P1404" s="165"/>
      <c r="Q1404" s="165"/>
      <c r="R1404" s="165"/>
      <c r="S1404" s="165"/>
      <c r="V1404" s="46"/>
      <c r="W1404" s="46"/>
      <c r="X1404" s="1"/>
      <c r="Y1404" s="1"/>
      <c r="Z1404" s="173"/>
      <c r="AA1404" s="1"/>
      <c r="AB1404" s="165"/>
      <c r="AC1404" s="1"/>
      <c r="AD1404" s="1"/>
      <c r="AE1404" s="1"/>
      <c r="AF1404" s="46"/>
      <c r="AG1404" s="1"/>
      <c r="AH1404" s="165"/>
      <c r="AI1404" s="165"/>
      <c r="AJ1404" s="165"/>
      <c r="AK1404" s="165"/>
      <c r="AL1404" s="165"/>
      <c r="AM1404" s="165"/>
      <c r="AN1404" s="165"/>
    </row>
    <row r="1405" spans="3:40">
      <c r="C1405" s="46"/>
      <c r="F1405" s="173"/>
      <c r="G1405" s="1"/>
      <c r="H1405" s="165"/>
      <c r="I1405" s="160"/>
      <c r="J1405" s="160"/>
      <c r="K1405" s="1"/>
      <c r="L1405" s="123"/>
      <c r="M1405" s="1"/>
      <c r="N1405" s="590"/>
      <c r="O1405" s="165"/>
      <c r="P1405" s="165"/>
      <c r="Q1405" s="165"/>
      <c r="R1405" s="165"/>
      <c r="S1405" s="165"/>
      <c r="V1405" s="46"/>
      <c r="W1405" s="46"/>
      <c r="X1405" s="1"/>
      <c r="Y1405" s="1"/>
      <c r="Z1405" s="173"/>
      <c r="AA1405" s="1"/>
      <c r="AB1405" s="165"/>
      <c r="AC1405" s="1"/>
      <c r="AD1405" s="1"/>
      <c r="AE1405" s="1"/>
      <c r="AF1405" s="46"/>
      <c r="AG1405" s="1"/>
      <c r="AH1405" s="165"/>
      <c r="AI1405" s="165"/>
      <c r="AJ1405" s="165"/>
      <c r="AK1405" s="165"/>
      <c r="AL1405" s="165"/>
      <c r="AM1405" s="165"/>
      <c r="AN1405" s="165"/>
    </row>
    <row r="1406" spans="3:40">
      <c r="C1406" s="46"/>
      <c r="F1406" s="173"/>
      <c r="G1406" s="1"/>
      <c r="H1406" s="165"/>
      <c r="I1406" s="160"/>
      <c r="J1406" s="160"/>
      <c r="K1406" s="1"/>
      <c r="L1406" s="123"/>
      <c r="M1406" s="1"/>
      <c r="N1406" s="590"/>
      <c r="O1406" s="165"/>
      <c r="P1406" s="165"/>
      <c r="Q1406" s="165"/>
      <c r="R1406" s="165"/>
      <c r="S1406" s="165"/>
      <c r="V1406" s="46"/>
      <c r="W1406" s="46"/>
      <c r="X1406" s="1"/>
      <c r="Y1406" s="1"/>
      <c r="Z1406" s="173"/>
      <c r="AA1406" s="1"/>
      <c r="AB1406" s="165"/>
      <c r="AC1406" s="1"/>
      <c r="AD1406" s="1"/>
      <c r="AE1406" s="1"/>
      <c r="AF1406" s="46"/>
      <c r="AG1406" s="1"/>
      <c r="AH1406" s="165"/>
      <c r="AI1406" s="165"/>
      <c r="AJ1406" s="165"/>
      <c r="AK1406" s="165"/>
      <c r="AL1406" s="165"/>
      <c r="AM1406" s="165"/>
      <c r="AN1406" s="165"/>
    </row>
    <row r="1407" spans="3:40">
      <c r="C1407" s="46"/>
      <c r="F1407" s="173"/>
      <c r="G1407" s="1"/>
      <c r="H1407" s="165"/>
      <c r="I1407" s="160"/>
      <c r="J1407" s="160"/>
      <c r="K1407" s="1"/>
      <c r="L1407" s="123"/>
      <c r="M1407" s="1"/>
      <c r="N1407" s="590"/>
      <c r="O1407" s="165"/>
      <c r="P1407" s="165"/>
      <c r="Q1407" s="165"/>
      <c r="R1407" s="165"/>
      <c r="S1407" s="165"/>
      <c r="V1407" s="46"/>
      <c r="W1407" s="46"/>
      <c r="X1407" s="1"/>
      <c r="Y1407" s="1"/>
      <c r="Z1407" s="173"/>
      <c r="AA1407" s="1"/>
      <c r="AB1407" s="165"/>
      <c r="AC1407" s="1"/>
      <c r="AD1407" s="1"/>
      <c r="AE1407" s="1"/>
      <c r="AF1407" s="46"/>
      <c r="AG1407" s="1"/>
      <c r="AH1407" s="165"/>
      <c r="AI1407" s="165"/>
      <c r="AJ1407" s="165"/>
      <c r="AK1407" s="165"/>
      <c r="AL1407" s="165"/>
      <c r="AM1407" s="165"/>
      <c r="AN1407" s="165"/>
    </row>
    <row r="1408" spans="3:40">
      <c r="C1408" s="46"/>
      <c r="F1408" s="173"/>
      <c r="G1408" s="1"/>
      <c r="H1408" s="165"/>
      <c r="I1408" s="160"/>
      <c r="J1408" s="160"/>
      <c r="K1408" s="1"/>
      <c r="L1408" s="123"/>
      <c r="M1408" s="1"/>
      <c r="N1408" s="590"/>
      <c r="O1408" s="165"/>
      <c r="P1408" s="165"/>
      <c r="Q1408" s="165"/>
      <c r="R1408" s="165"/>
      <c r="S1408" s="165"/>
      <c r="V1408" s="46"/>
      <c r="W1408" s="46"/>
      <c r="X1408" s="1"/>
      <c r="Y1408" s="1"/>
      <c r="Z1408" s="173"/>
      <c r="AA1408" s="1"/>
      <c r="AB1408" s="165"/>
      <c r="AC1408" s="1"/>
      <c r="AD1408" s="1"/>
      <c r="AE1408" s="1"/>
      <c r="AF1408" s="46"/>
      <c r="AG1408" s="1"/>
      <c r="AH1408" s="165"/>
      <c r="AI1408" s="165"/>
      <c r="AJ1408" s="165"/>
      <c r="AK1408" s="165"/>
      <c r="AL1408" s="165"/>
      <c r="AM1408" s="165"/>
      <c r="AN1408" s="165"/>
    </row>
    <row r="1409" spans="3:40">
      <c r="C1409" s="46"/>
      <c r="F1409" s="173"/>
      <c r="G1409" s="1"/>
      <c r="H1409" s="165"/>
      <c r="I1409" s="160"/>
      <c r="J1409" s="160"/>
      <c r="K1409" s="1"/>
      <c r="L1409" s="123"/>
      <c r="M1409" s="1"/>
      <c r="N1409" s="590"/>
      <c r="O1409" s="165"/>
      <c r="P1409" s="165"/>
      <c r="Q1409" s="165"/>
      <c r="R1409" s="165"/>
      <c r="S1409" s="165"/>
      <c r="V1409" s="46"/>
      <c r="W1409" s="46"/>
      <c r="X1409" s="1"/>
      <c r="Y1409" s="1"/>
      <c r="Z1409" s="173"/>
      <c r="AA1409" s="1"/>
      <c r="AB1409" s="165"/>
      <c r="AC1409" s="1"/>
      <c r="AD1409" s="1"/>
      <c r="AE1409" s="1"/>
      <c r="AF1409" s="46"/>
      <c r="AG1409" s="1"/>
      <c r="AH1409" s="165"/>
      <c r="AI1409" s="165"/>
      <c r="AJ1409" s="165"/>
      <c r="AK1409" s="165"/>
      <c r="AL1409" s="165"/>
      <c r="AM1409" s="165"/>
      <c r="AN1409" s="165"/>
    </row>
    <row r="1410" spans="3:40">
      <c r="C1410" s="46"/>
      <c r="F1410" s="173"/>
      <c r="G1410" s="1"/>
      <c r="H1410" s="165"/>
      <c r="I1410" s="160"/>
      <c r="J1410" s="160"/>
      <c r="K1410" s="1"/>
      <c r="L1410" s="123"/>
      <c r="M1410" s="1"/>
      <c r="N1410" s="590"/>
      <c r="O1410" s="165"/>
      <c r="P1410" s="165"/>
      <c r="Q1410" s="165"/>
      <c r="R1410" s="165"/>
      <c r="S1410" s="165"/>
      <c r="V1410" s="46"/>
      <c r="W1410" s="46"/>
      <c r="X1410" s="1"/>
      <c r="Y1410" s="1"/>
      <c r="Z1410" s="173"/>
      <c r="AA1410" s="1"/>
      <c r="AB1410" s="165"/>
      <c r="AC1410" s="1"/>
      <c r="AD1410" s="1"/>
      <c r="AE1410" s="1"/>
      <c r="AF1410" s="46"/>
      <c r="AG1410" s="1"/>
      <c r="AH1410" s="165"/>
      <c r="AI1410" s="165"/>
      <c r="AJ1410" s="165"/>
      <c r="AK1410" s="165"/>
      <c r="AL1410" s="165"/>
      <c r="AM1410" s="165"/>
      <c r="AN1410" s="165"/>
    </row>
    <row r="1411" spans="3:40">
      <c r="C1411" s="46"/>
      <c r="F1411" s="173"/>
      <c r="G1411" s="1"/>
      <c r="H1411" s="165"/>
      <c r="I1411" s="160"/>
      <c r="J1411" s="160"/>
      <c r="K1411" s="1"/>
      <c r="L1411" s="123"/>
      <c r="M1411" s="1"/>
      <c r="N1411" s="590"/>
      <c r="O1411" s="165"/>
      <c r="P1411" s="165"/>
      <c r="Q1411" s="165"/>
      <c r="R1411" s="165"/>
      <c r="S1411" s="165"/>
      <c r="V1411" s="46"/>
      <c r="W1411" s="46"/>
      <c r="X1411" s="1"/>
      <c r="Y1411" s="1"/>
      <c r="Z1411" s="173"/>
      <c r="AA1411" s="1"/>
      <c r="AB1411" s="165"/>
      <c r="AC1411" s="1"/>
      <c r="AD1411" s="1"/>
      <c r="AE1411" s="1"/>
      <c r="AF1411" s="46"/>
      <c r="AG1411" s="1"/>
      <c r="AH1411" s="165"/>
      <c r="AI1411" s="165"/>
      <c r="AJ1411" s="165"/>
      <c r="AK1411" s="165"/>
      <c r="AL1411" s="165"/>
      <c r="AM1411" s="165"/>
      <c r="AN1411" s="165"/>
    </row>
    <row r="1412" spans="3:40">
      <c r="C1412" s="46"/>
      <c r="F1412" s="173"/>
      <c r="G1412" s="1"/>
      <c r="H1412" s="165"/>
      <c r="I1412" s="160"/>
      <c r="J1412" s="160"/>
      <c r="K1412" s="1"/>
      <c r="L1412" s="123"/>
      <c r="M1412" s="1"/>
      <c r="N1412" s="590"/>
      <c r="O1412" s="165"/>
      <c r="P1412" s="165"/>
      <c r="Q1412" s="165"/>
      <c r="R1412" s="165"/>
      <c r="S1412" s="165"/>
      <c r="V1412" s="46"/>
      <c r="W1412" s="46"/>
      <c r="X1412" s="1"/>
      <c r="Y1412" s="1"/>
      <c r="Z1412" s="173"/>
      <c r="AA1412" s="1"/>
      <c r="AB1412" s="165"/>
      <c r="AC1412" s="1"/>
      <c r="AD1412" s="1"/>
      <c r="AE1412" s="1"/>
      <c r="AF1412" s="46"/>
      <c r="AG1412" s="1"/>
      <c r="AH1412" s="165"/>
      <c r="AI1412" s="165"/>
      <c r="AJ1412" s="165"/>
      <c r="AK1412" s="165"/>
      <c r="AL1412" s="165"/>
      <c r="AM1412" s="165"/>
      <c r="AN1412" s="165"/>
    </row>
    <row r="1413" spans="3:40">
      <c r="C1413" s="46"/>
      <c r="F1413" s="173"/>
      <c r="G1413" s="1"/>
      <c r="H1413" s="165"/>
      <c r="I1413" s="160"/>
      <c r="J1413" s="160"/>
      <c r="K1413" s="1"/>
      <c r="L1413" s="123"/>
      <c r="M1413" s="1"/>
      <c r="N1413" s="590"/>
      <c r="O1413" s="165"/>
      <c r="P1413" s="165"/>
      <c r="Q1413" s="165"/>
      <c r="R1413" s="165"/>
      <c r="S1413" s="165"/>
      <c r="V1413" s="46"/>
      <c r="W1413" s="46"/>
      <c r="X1413" s="1"/>
      <c r="Y1413" s="1"/>
      <c r="Z1413" s="173"/>
      <c r="AA1413" s="1"/>
      <c r="AB1413" s="165"/>
      <c r="AC1413" s="1"/>
      <c r="AD1413" s="1"/>
      <c r="AE1413" s="1"/>
      <c r="AF1413" s="46"/>
      <c r="AG1413" s="1"/>
      <c r="AH1413" s="165"/>
      <c r="AI1413" s="165"/>
      <c r="AJ1413" s="165"/>
      <c r="AK1413" s="165"/>
      <c r="AL1413" s="165"/>
      <c r="AM1413" s="165"/>
      <c r="AN1413" s="165"/>
    </row>
    <row r="1414" spans="3:40">
      <c r="C1414" s="46"/>
      <c r="F1414" s="173"/>
      <c r="G1414" s="1"/>
      <c r="H1414" s="165"/>
      <c r="I1414" s="160"/>
      <c r="J1414" s="160"/>
      <c r="K1414" s="1"/>
      <c r="L1414" s="123"/>
      <c r="M1414" s="1"/>
      <c r="N1414" s="590"/>
      <c r="O1414" s="165"/>
      <c r="P1414" s="165"/>
      <c r="Q1414" s="165"/>
      <c r="R1414" s="165"/>
      <c r="S1414" s="165"/>
      <c r="V1414" s="46"/>
      <c r="W1414" s="46"/>
      <c r="X1414" s="1"/>
      <c r="Y1414" s="1"/>
      <c r="Z1414" s="173"/>
      <c r="AA1414" s="1"/>
      <c r="AB1414" s="165"/>
      <c r="AC1414" s="1"/>
      <c r="AD1414" s="1"/>
      <c r="AE1414" s="1"/>
      <c r="AF1414" s="46"/>
      <c r="AG1414" s="1"/>
      <c r="AH1414" s="165"/>
      <c r="AI1414" s="165"/>
      <c r="AJ1414" s="165"/>
      <c r="AK1414" s="165"/>
      <c r="AL1414" s="165"/>
      <c r="AM1414" s="165"/>
      <c r="AN1414" s="165"/>
    </row>
    <row r="1415" spans="3:40">
      <c r="C1415" s="46"/>
      <c r="F1415" s="173"/>
      <c r="G1415" s="1"/>
      <c r="H1415" s="165"/>
      <c r="I1415" s="160"/>
      <c r="J1415" s="160"/>
      <c r="K1415" s="1"/>
      <c r="L1415" s="123"/>
      <c r="M1415" s="1"/>
      <c r="N1415" s="590"/>
      <c r="O1415" s="165"/>
      <c r="P1415" s="165"/>
      <c r="Q1415" s="165"/>
      <c r="R1415" s="165"/>
      <c r="S1415" s="165"/>
      <c r="V1415" s="46"/>
      <c r="W1415" s="46"/>
      <c r="X1415" s="1"/>
      <c r="Y1415" s="1"/>
      <c r="Z1415" s="173"/>
      <c r="AA1415" s="1"/>
      <c r="AB1415" s="165"/>
      <c r="AC1415" s="1"/>
      <c r="AD1415" s="1"/>
      <c r="AE1415" s="1"/>
      <c r="AF1415" s="46"/>
      <c r="AG1415" s="1"/>
      <c r="AH1415" s="165"/>
      <c r="AI1415" s="165"/>
      <c r="AJ1415" s="165"/>
      <c r="AK1415" s="165"/>
      <c r="AL1415" s="165"/>
      <c r="AM1415" s="165"/>
      <c r="AN1415" s="165"/>
    </row>
    <row r="1416" spans="3:40">
      <c r="C1416" s="46"/>
      <c r="F1416" s="173"/>
      <c r="G1416" s="1"/>
      <c r="H1416" s="165"/>
      <c r="I1416" s="160"/>
      <c r="J1416" s="160"/>
      <c r="K1416" s="1"/>
      <c r="L1416" s="123"/>
      <c r="M1416" s="1"/>
      <c r="N1416" s="590"/>
      <c r="O1416" s="165"/>
      <c r="P1416" s="165"/>
      <c r="Q1416" s="165"/>
      <c r="R1416" s="165"/>
      <c r="S1416" s="165"/>
      <c r="V1416" s="46"/>
      <c r="W1416" s="46"/>
      <c r="X1416" s="1"/>
      <c r="Y1416" s="1"/>
      <c r="Z1416" s="173"/>
      <c r="AA1416" s="1"/>
      <c r="AB1416" s="165"/>
      <c r="AC1416" s="1"/>
      <c r="AD1416" s="1"/>
      <c r="AE1416" s="1"/>
      <c r="AF1416" s="46"/>
      <c r="AG1416" s="1"/>
      <c r="AH1416" s="165"/>
      <c r="AI1416" s="165"/>
      <c r="AJ1416" s="165"/>
      <c r="AK1416" s="165"/>
      <c r="AL1416" s="165"/>
      <c r="AM1416" s="165"/>
      <c r="AN1416" s="165"/>
    </row>
    <row r="1417" spans="3:40">
      <c r="C1417" s="46"/>
      <c r="F1417" s="173"/>
      <c r="G1417" s="1"/>
      <c r="H1417" s="165"/>
      <c r="I1417" s="160"/>
      <c r="J1417" s="160"/>
      <c r="K1417" s="1"/>
      <c r="L1417" s="123"/>
      <c r="M1417" s="1"/>
      <c r="N1417" s="590"/>
      <c r="O1417" s="165"/>
      <c r="P1417" s="165"/>
      <c r="Q1417" s="165"/>
      <c r="R1417" s="165"/>
      <c r="S1417" s="165"/>
      <c r="V1417" s="46"/>
      <c r="W1417" s="46"/>
      <c r="X1417" s="1"/>
      <c r="Y1417" s="1"/>
      <c r="Z1417" s="173"/>
      <c r="AA1417" s="1"/>
      <c r="AB1417" s="165"/>
      <c r="AC1417" s="1"/>
      <c r="AD1417" s="1"/>
      <c r="AE1417" s="1"/>
      <c r="AF1417" s="46"/>
      <c r="AG1417" s="1"/>
      <c r="AH1417" s="165"/>
      <c r="AI1417" s="165"/>
      <c r="AJ1417" s="165"/>
      <c r="AK1417" s="165"/>
      <c r="AL1417" s="165"/>
      <c r="AM1417" s="165"/>
      <c r="AN1417" s="165"/>
    </row>
    <row r="1418" spans="3:40">
      <c r="C1418" s="46"/>
      <c r="F1418" s="173"/>
      <c r="G1418" s="1"/>
      <c r="H1418" s="165"/>
      <c r="I1418" s="160"/>
      <c r="J1418" s="160"/>
      <c r="K1418" s="1"/>
      <c r="L1418" s="123"/>
      <c r="M1418" s="1"/>
      <c r="N1418" s="590"/>
      <c r="O1418" s="165"/>
      <c r="P1418" s="165"/>
      <c r="Q1418" s="165"/>
      <c r="R1418" s="165"/>
      <c r="S1418" s="165"/>
      <c r="V1418" s="46"/>
      <c r="W1418" s="46"/>
      <c r="X1418" s="1"/>
      <c r="Y1418" s="1"/>
      <c r="Z1418" s="173"/>
      <c r="AA1418" s="1"/>
      <c r="AB1418" s="165"/>
      <c r="AC1418" s="1"/>
      <c r="AD1418" s="1"/>
      <c r="AE1418" s="1"/>
      <c r="AF1418" s="46"/>
      <c r="AG1418" s="1"/>
      <c r="AH1418" s="165"/>
      <c r="AI1418" s="165"/>
      <c r="AJ1418" s="165"/>
      <c r="AK1418" s="165"/>
      <c r="AL1418" s="165"/>
      <c r="AM1418" s="165"/>
      <c r="AN1418" s="165"/>
    </row>
    <row r="1419" spans="3:40">
      <c r="C1419" s="46"/>
      <c r="F1419" s="173"/>
      <c r="G1419" s="1"/>
      <c r="H1419" s="165"/>
      <c r="I1419" s="160"/>
      <c r="J1419" s="160"/>
      <c r="K1419" s="1"/>
      <c r="L1419" s="123"/>
      <c r="M1419" s="1"/>
      <c r="N1419" s="590"/>
      <c r="O1419" s="165"/>
      <c r="P1419" s="165"/>
      <c r="Q1419" s="165"/>
      <c r="R1419" s="165"/>
      <c r="S1419" s="165"/>
      <c r="V1419" s="46"/>
      <c r="W1419" s="46"/>
      <c r="X1419" s="1"/>
      <c r="Y1419" s="1"/>
      <c r="Z1419" s="173"/>
      <c r="AA1419" s="1"/>
      <c r="AB1419" s="165"/>
      <c r="AC1419" s="1"/>
      <c r="AD1419" s="1"/>
      <c r="AE1419" s="1"/>
      <c r="AF1419" s="46"/>
      <c r="AG1419" s="1"/>
      <c r="AH1419" s="165"/>
      <c r="AI1419" s="165"/>
      <c r="AJ1419" s="165"/>
      <c r="AK1419" s="165"/>
      <c r="AL1419" s="165"/>
      <c r="AM1419" s="165"/>
      <c r="AN1419" s="165"/>
    </row>
    <row r="1420" spans="3:40">
      <c r="C1420" s="46"/>
      <c r="F1420" s="173"/>
      <c r="G1420" s="1"/>
      <c r="H1420" s="165"/>
      <c r="I1420" s="160"/>
      <c r="J1420" s="160"/>
      <c r="K1420" s="1"/>
      <c r="L1420" s="123"/>
      <c r="M1420" s="1"/>
      <c r="N1420" s="590"/>
      <c r="O1420" s="165"/>
      <c r="P1420" s="165"/>
      <c r="Q1420" s="165"/>
      <c r="R1420" s="165"/>
      <c r="S1420" s="165"/>
      <c r="V1420" s="46"/>
      <c r="W1420" s="46"/>
      <c r="X1420" s="1"/>
      <c r="Y1420" s="1"/>
      <c r="Z1420" s="173"/>
      <c r="AA1420" s="1"/>
      <c r="AB1420" s="165"/>
      <c r="AC1420" s="1"/>
      <c r="AD1420" s="1"/>
      <c r="AE1420" s="1"/>
      <c r="AF1420" s="46"/>
      <c r="AG1420" s="1"/>
      <c r="AH1420" s="165"/>
      <c r="AI1420" s="165"/>
      <c r="AJ1420" s="165"/>
      <c r="AK1420" s="165"/>
      <c r="AL1420" s="165"/>
      <c r="AM1420" s="165"/>
      <c r="AN1420" s="165"/>
    </row>
    <row r="1421" spans="3:40">
      <c r="C1421" s="46"/>
      <c r="F1421" s="173"/>
      <c r="G1421" s="1"/>
      <c r="H1421" s="165"/>
      <c r="I1421" s="160"/>
      <c r="J1421" s="160"/>
      <c r="K1421" s="1"/>
      <c r="L1421" s="123"/>
      <c r="M1421" s="1"/>
      <c r="N1421" s="590"/>
      <c r="O1421" s="165"/>
      <c r="P1421" s="165"/>
      <c r="Q1421" s="165"/>
      <c r="R1421" s="165"/>
      <c r="S1421" s="165"/>
      <c r="V1421" s="46"/>
      <c r="W1421" s="46"/>
      <c r="X1421" s="1"/>
      <c r="Y1421" s="1"/>
      <c r="Z1421" s="173"/>
      <c r="AA1421" s="1"/>
      <c r="AB1421" s="165"/>
      <c r="AC1421" s="1"/>
      <c r="AD1421" s="1"/>
      <c r="AE1421" s="1"/>
      <c r="AF1421" s="46"/>
      <c r="AG1421" s="1"/>
      <c r="AH1421" s="165"/>
      <c r="AI1421" s="165"/>
      <c r="AJ1421" s="165"/>
      <c r="AK1421" s="165"/>
      <c r="AL1421" s="165"/>
      <c r="AM1421" s="165"/>
      <c r="AN1421" s="165"/>
    </row>
    <row r="1422" spans="3:40">
      <c r="C1422" s="46"/>
      <c r="F1422" s="173"/>
      <c r="G1422" s="1"/>
      <c r="H1422" s="165"/>
      <c r="I1422" s="160"/>
      <c r="J1422" s="160"/>
      <c r="K1422" s="1"/>
      <c r="L1422" s="123"/>
      <c r="M1422" s="1"/>
      <c r="N1422" s="590"/>
      <c r="O1422" s="165"/>
      <c r="P1422" s="165"/>
      <c r="Q1422" s="165"/>
      <c r="R1422" s="165"/>
      <c r="S1422" s="165"/>
      <c r="V1422" s="46"/>
      <c r="W1422" s="46"/>
      <c r="X1422" s="1"/>
      <c r="Y1422" s="1"/>
      <c r="Z1422" s="173"/>
      <c r="AA1422" s="1"/>
      <c r="AB1422" s="165"/>
      <c r="AC1422" s="1"/>
      <c r="AD1422" s="1"/>
      <c r="AE1422" s="1"/>
      <c r="AF1422" s="46"/>
      <c r="AG1422" s="1"/>
      <c r="AH1422" s="165"/>
      <c r="AI1422" s="165"/>
      <c r="AJ1422" s="165"/>
      <c r="AK1422" s="165"/>
      <c r="AL1422" s="165"/>
      <c r="AM1422" s="165"/>
      <c r="AN1422" s="165"/>
    </row>
    <row r="1423" spans="3:40">
      <c r="C1423" s="46"/>
      <c r="F1423" s="173"/>
      <c r="G1423" s="1"/>
      <c r="H1423" s="165"/>
      <c r="I1423" s="160"/>
      <c r="J1423" s="160"/>
      <c r="K1423" s="1"/>
      <c r="L1423" s="123"/>
      <c r="M1423" s="1"/>
      <c r="N1423" s="590"/>
      <c r="O1423" s="165"/>
      <c r="P1423" s="165"/>
      <c r="Q1423" s="165"/>
      <c r="R1423" s="165"/>
      <c r="S1423" s="165"/>
      <c r="V1423" s="46"/>
      <c r="W1423" s="46"/>
      <c r="X1423" s="1"/>
      <c r="Y1423" s="1"/>
      <c r="Z1423" s="173"/>
      <c r="AA1423" s="1"/>
      <c r="AB1423" s="165"/>
      <c r="AC1423" s="1"/>
      <c r="AD1423" s="1"/>
      <c r="AE1423" s="1"/>
      <c r="AF1423" s="46"/>
      <c r="AG1423" s="1"/>
      <c r="AH1423" s="165"/>
      <c r="AI1423" s="165"/>
      <c r="AJ1423" s="165"/>
      <c r="AK1423" s="165"/>
      <c r="AL1423" s="165"/>
      <c r="AM1423" s="165"/>
      <c r="AN1423" s="165"/>
    </row>
    <row r="1424" spans="3:40">
      <c r="C1424" s="46"/>
      <c r="F1424" s="173"/>
      <c r="G1424" s="1"/>
      <c r="H1424" s="165"/>
      <c r="I1424" s="160"/>
      <c r="J1424" s="160"/>
      <c r="K1424" s="1"/>
      <c r="L1424" s="123"/>
      <c r="M1424" s="1"/>
      <c r="N1424" s="590"/>
      <c r="O1424" s="165"/>
      <c r="P1424" s="165"/>
      <c r="Q1424" s="165"/>
      <c r="R1424" s="165"/>
      <c r="S1424" s="165"/>
      <c r="V1424" s="46"/>
      <c r="W1424" s="46"/>
      <c r="X1424" s="1"/>
      <c r="Y1424" s="1"/>
      <c r="Z1424" s="173"/>
      <c r="AA1424" s="1"/>
      <c r="AB1424" s="165"/>
      <c r="AC1424" s="1"/>
      <c r="AD1424" s="1"/>
      <c r="AE1424" s="1"/>
      <c r="AF1424" s="46"/>
      <c r="AG1424" s="1"/>
      <c r="AH1424" s="165"/>
      <c r="AI1424" s="165"/>
      <c r="AJ1424" s="165"/>
      <c r="AK1424" s="165"/>
      <c r="AL1424" s="165"/>
      <c r="AM1424" s="165"/>
      <c r="AN1424" s="165"/>
    </row>
    <row r="1425" spans="3:40">
      <c r="C1425" s="46"/>
      <c r="F1425" s="173"/>
      <c r="G1425" s="1"/>
      <c r="H1425" s="165"/>
      <c r="I1425" s="160"/>
      <c r="J1425" s="160"/>
      <c r="K1425" s="1"/>
      <c r="L1425" s="123"/>
      <c r="M1425" s="1"/>
      <c r="N1425" s="590"/>
      <c r="O1425" s="165"/>
      <c r="P1425" s="165"/>
      <c r="Q1425" s="165"/>
      <c r="R1425" s="165"/>
      <c r="S1425" s="165"/>
      <c r="V1425" s="46"/>
      <c r="W1425" s="46"/>
      <c r="X1425" s="1"/>
      <c r="Y1425" s="1"/>
      <c r="Z1425" s="173"/>
      <c r="AA1425" s="1"/>
      <c r="AB1425" s="165"/>
      <c r="AC1425" s="1"/>
      <c r="AD1425" s="1"/>
      <c r="AE1425" s="1"/>
      <c r="AF1425" s="46"/>
      <c r="AG1425" s="1"/>
      <c r="AH1425" s="165"/>
      <c r="AI1425" s="165"/>
      <c r="AJ1425" s="165"/>
      <c r="AK1425" s="165"/>
      <c r="AL1425" s="165"/>
      <c r="AM1425" s="165"/>
      <c r="AN1425" s="165"/>
    </row>
    <row r="1426" spans="3:40">
      <c r="C1426" s="46"/>
      <c r="F1426" s="173"/>
      <c r="G1426" s="1"/>
      <c r="H1426" s="165"/>
      <c r="I1426" s="160"/>
      <c r="J1426" s="160"/>
      <c r="K1426" s="1"/>
      <c r="L1426" s="123"/>
      <c r="M1426" s="1"/>
      <c r="N1426" s="590"/>
      <c r="O1426" s="165"/>
      <c r="P1426" s="165"/>
      <c r="Q1426" s="165"/>
      <c r="R1426" s="165"/>
      <c r="S1426" s="165"/>
      <c r="V1426" s="46"/>
      <c r="W1426" s="46"/>
      <c r="X1426" s="1"/>
      <c r="Y1426" s="1"/>
      <c r="Z1426" s="173"/>
      <c r="AA1426" s="1"/>
      <c r="AB1426" s="165"/>
      <c r="AC1426" s="1"/>
      <c r="AD1426" s="1"/>
      <c r="AE1426" s="1"/>
      <c r="AF1426" s="46"/>
      <c r="AG1426" s="1"/>
      <c r="AH1426" s="165"/>
      <c r="AI1426" s="165"/>
      <c r="AJ1426" s="165"/>
      <c r="AK1426" s="165"/>
      <c r="AL1426" s="165"/>
      <c r="AM1426" s="165"/>
      <c r="AN1426" s="165"/>
    </row>
    <row r="1427" spans="3:40">
      <c r="C1427" s="46"/>
      <c r="F1427" s="173"/>
      <c r="G1427" s="1"/>
      <c r="H1427" s="165"/>
      <c r="I1427" s="160"/>
      <c r="J1427" s="160"/>
      <c r="K1427" s="1"/>
      <c r="L1427" s="123"/>
      <c r="M1427" s="1"/>
      <c r="N1427" s="590"/>
      <c r="O1427" s="165"/>
      <c r="P1427" s="165"/>
      <c r="Q1427" s="165"/>
      <c r="R1427" s="165"/>
      <c r="S1427" s="165"/>
      <c r="V1427" s="46"/>
      <c r="W1427" s="46"/>
      <c r="X1427" s="1"/>
      <c r="Y1427" s="1"/>
      <c r="Z1427" s="173"/>
      <c r="AA1427" s="1"/>
      <c r="AB1427" s="165"/>
      <c r="AC1427" s="1"/>
      <c r="AD1427" s="1"/>
      <c r="AE1427" s="1"/>
      <c r="AF1427" s="46"/>
      <c r="AG1427" s="1"/>
      <c r="AH1427" s="165"/>
      <c r="AI1427" s="165"/>
      <c r="AJ1427" s="165"/>
      <c r="AK1427" s="165"/>
      <c r="AL1427" s="165"/>
      <c r="AM1427" s="165"/>
      <c r="AN1427" s="165"/>
    </row>
    <row r="1428" spans="3:40">
      <c r="C1428" s="46"/>
      <c r="F1428" s="173"/>
      <c r="G1428" s="1"/>
      <c r="H1428" s="165"/>
      <c r="I1428" s="160"/>
      <c r="J1428" s="160"/>
      <c r="K1428" s="1"/>
      <c r="L1428" s="123"/>
      <c r="M1428" s="1"/>
      <c r="N1428" s="590"/>
      <c r="O1428" s="165"/>
      <c r="P1428" s="165"/>
      <c r="Q1428" s="165"/>
      <c r="R1428" s="165"/>
      <c r="S1428" s="165"/>
      <c r="V1428" s="46"/>
      <c r="W1428" s="46"/>
      <c r="X1428" s="1"/>
      <c r="Y1428" s="1"/>
      <c r="Z1428" s="173"/>
      <c r="AA1428" s="1"/>
      <c r="AB1428" s="165"/>
      <c r="AC1428" s="1"/>
      <c r="AD1428" s="1"/>
      <c r="AE1428" s="1"/>
      <c r="AF1428" s="46"/>
      <c r="AG1428" s="1"/>
      <c r="AH1428" s="165"/>
      <c r="AI1428" s="165"/>
      <c r="AJ1428" s="165"/>
      <c r="AK1428" s="165"/>
      <c r="AL1428" s="165"/>
      <c r="AM1428" s="165"/>
      <c r="AN1428" s="165"/>
    </row>
    <row r="1429" spans="3:40">
      <c r="C1429" s="46"/>
      <c r="F1429" s="173"/>
      <c r="G1429" s="1"/>
      <c r="H1429" s="165"/>
      <c r="I1429" s="160"/>
      <c r="J1429" s="160"/>
      <c r="K1429" s="1"/>
      <c r="L1429" s="123"/>
      <c r="M1429" s="1"/>
      <c r="N1429" s="590"/>
      <c r="O1429" s="165"/>
      <c r="P1429" s="165"/>
      <c r="Q1429" s="165"/>
      <c r="R1429" s="165"/>
      <c r="S1429" s="165"/>
      <c r="V1429" s="46"/>
      <c r="W1429" s="46"/>
      <c r="X1429" s="1"/>
      <c r="Y1429" s="1"/>
      <c r="Z1429" s="173"/>
      <c r="AA1429" s="1"/>
      <c r="AB1429" s="165"/>
      <c r="AC1429" s="1"/>
      <c r="AD1429" s="1"/>
      <c r="AE1429" s="1"/>
      <c r="AF1429" s="46"/>
      <c r="AG1429" s="1"/>
      <c r="AH1429" s="165"/>
      <c r="AI1429" s="165"/>
      <c r="AJ1429" s="165"/>
      <c r="AK1429" s="165"/>
      <c r="AL1429" s="165"/>
      <c r="AM1429" s="165"/>
      <c r="AN1429" s="165"/>
    </row>
    <row r="1430" spans="3:40">
      <c r="C1430" s="46"/>
      <c r="F1430" s="173"/>
      <c r="G1430" s="1"/>
      <c r="H1430" s="165"/>
      <c r="I1430" s="160"/>
      <c r="J1430" s="160"/>
      <c r="K1430" s="1"/>
      <c r="L1430" s="123"/>
      <c r="M1430" s="1"/>
      <c r="N1430" s="590"/>
      <c r="O1430" s="165"/>
      <c r="P1430" s="165"/>
      <c r="Q1430" s="165"/>
      <c r="R1430" s="165"/>
      <c r="S1430" s="165"/>
      <c r="V1430" s="46"/>
      <c r="W1430" s="46"/>
      <c r="X1430" s="1"/>
      <c r="Y1430" s="1"/>
      <c r="Z1430" s="173"/>
      <c r="AA1430" s="1"/>
      <c r="AB1430" s="165"/>
      <c r="AC1430" s="1"/>
      <c r="AD1430" s="1"/>
      <c r="AE1430" s="1"/>
      <c r="AF1430" s="46"/>
      <c r="AG1430" s="1"/>
      <c r="AH1430" s="165"/>
      <c r="AI1430" s="165"/>
      <c r="AJ1430" s="165"/>
      <c r="AK1430" s="165"/>
      <c r="AL1430" s="165"/>
      <c r="AM1430" s="165"/>
      <c r="AN1430" s="165"/>
    </row>
    <row r="1431" spans="3:40">
      <c r="C1431" s="46"/>
      <c r="F1431" s="173"/>
      <c r="G1431" s="1"/>
      <c r="H1431" s="165"/>
      <c r="I1431" s="160"/>
      <c r="J1431" s="160"/>
      <c r="K1431" s="1"/>
      <c r="L1431" s="123"/>
      <c r="M1431" s="1"/>
      <c r="N1431" s="590"/>
      <c r="O1431" s="165"/>
      <c r="P1431" s="165"/>
      <c r="Q1431" s="165"/>
      <c r="R1431" s="165"/>
      <c r="S1431" s="165"/>
      <c r="V1431" s="46"/>
      <c r="W1431" s="46"/>
      <c r="X1431" s="1"/>
      <c r="Y1431" s="1"/>
      <c r="Z1431" s="173"/>
      <c r="AA1431" s="1"/>
      <c r="AB1431" s="165"/>
      <c r="AC1431" s="1"/>
      <c r="AD1431" s="1"/>
      <c r="AE1431" s="1"/>
      <c r="AF1431" s="46"/>
      <c r="AG1431" s="1"/>
      <c r="AH1431" s="165"/>
      <c r="AI1431" s="165"/>
      <c r="AJ1431" s="165"/>
      <c r="AK1431" s="165"/>
      <c r="AL1431" s="165"/>
      <c r="AM1431" s="165"/>
      <c r="AN1431" s="165"/>
    </row>
    <row r="1432" spans="3:40">
      <c r="C1432" s="46"/>
      <c r="F1432" s="173"/>
      <c r="G1432" s="1"/>
      <c r="H1432" s="165"/>
      <c r="I1432" s="160"/>
      <c r="J1432" s="160"/>
      <c r="K1432" s="1"/>
      <c r="L1432" s="123"/>
      <c r="M1432" s="1"/>
      <c r="N1432" s="590"/>
      <c r="O1432" s="165"/>
      <c r="P1432" s="165"/>
      <c r="Q1432" s="165"/>
      <c r="R1432" s="165"/>
      <c r="S1432" s="165"/>
      <c r="V1432" s="46"/>
      <c r="W1432" s="46"/>
      <c r="X1432" s="1"/>
      <c r="Y1432" s="1"/>
      <c r="Z1432" s="173"/>
      <c r="AA1432" s="1"/>
      <c r="AB1432" s="165"/>
      <c r="AC1432" s="1"/>
      <c r="AD1432" s="1"/>
      <c r="AE1432" s="1"/>
      <c r="AF1432" s="46"/>
      <c r="AG1432" s="1"/>
      <c r="AH1432" s="165"/>
      <c r="AI1432" s="165"/>
      <c r="AJ1432" s="165"/>
      <c r="AK1432" s="165"/>
      <c r="AL1432" s="165"/>
      <c r="AM1432" s="165"/>
      <c r="AN1432" s="165"/>
    </row>
    <row r="1433" spans="3:40">
      <c r="C1433" s="46"/>
      <c r="F1433" s="173"/>
      <c r="G1433" s="1"/>
      <c r="H1433" s="165"/>
      <c r="I1433" s="160"/>
      <c r="J1433" s="160"/>
      <c r="K1433" s="1"/>
      <c r="L1433" s="123"/>
      <c r="M1433" s="1"/>
      <c r="N1433" s="590"/>
      <c r="O1433" s="165"/>
      <c r="P1433" s="165"/>
      <c r="Q1433" s="165"/>
      <c r="R1433" s="165"/>
      <c r="S1433" s="165"/>
      <c r="V1433" s="46"/>
      <c r="W1433" s="46"/>
      <c r="X1433" s="1"/>
      <c r="Y1433" s="1"/>
      <c r="Z1433" s="173"/>
      <c r="AA1433" s="1"/>
      <c r="AB1433" s="165"/>
      <c r="AC1433" s="1"/>
      <c r="AD1433" s="1"/>
      <c r="AE1433" s="1"/>
      <c r="AF1433" s="46"/>
      <c r="AG1433" s="1"/>
      <c r="AH1433" s="165"/>
      <c r="AI1433" s="165"/>
      <c r="AJ1433" s="165"/>
      <c r="AK1433" s="165"/>
      <c r="AL1433" s="165"/>
      <c r="AM1433" s="165"/>
      <c r="AN1433" s="165"/>
    </row>
    <row r="1434" spans="3:40">
      <c r="C1434" s="46"/>
      <c r="F1434" s="173"/>
      <c r="G1434" s="1"/>
      <c r="H1434" s="165"/>
      <c r="I1434" s="160"/>
      <c r="J1434" s="160"/>
      <c r="K1434" s="1"/>
      <c r="L1434" s="123"/>
      <c r="M1434" s="1"/>
      <c r="N1434" s="590"/>
      <c r="O1434" s="165"/>
      <c r="P1434" s="165"/>
      <c r="Q1434" s="165"/>
      <c r="R1434" s="165"/>
      <c r="S1434" s="165"/>
      <c r="V1434" s="46"/>
      <c r="W1434" s="46"/>
      <c r="X1434" s="1"/>
      <c r="Y1434" s="1"/>
      <c r="Z1434" s="173"/>
      <c r="AA1434" s="1"/>
      <c r="AB1434" s="165"/>
      <c r="AC1434" s="1"/>
      <c r="AD1434" s="1"/>
      <c r="AE1434" s="1"/>
      <c r="AF1434" s="46"/>
      <c r="AG1434" s="1"/>
      <c r="AH1434" s="165"/>
      <c r="AI1434" s="165"/>
      <c r="AJ1434" s="165"/>
      <c r="AK1434" s="165"/>
      <c r="AL1434" s="165"/>
      <c r="AM1434" s="165"/>
      <c r="AN1434" s="165"/>
    </row>
    <row r="1435" spans="3:40">
      <c r="C1435" s="46"/>
      <c r="F1435" s="173"/>
      <c r="G1435" s="1"/>
      <c r="H1435" s="165"/>
      <c r="I1435" s="160"/>
      <c r="J1435" s="160"/>
      <c r="K1435" s="1"/>
      <c r="L1435" s="123"/>
      <c r="M1435" s="1"/>
      <c r="N1435" s="590"/>
      <c r="O1435" s="165"/>
      <c r="P1435" s="165"/>
      <c r="Q1435" s="165"/>
      <c r="R1435" s="165"/>
      <c r="S1435" s="165"/>
      <c r="V1435" s="46"/>
      <c r="W1435" s="46"/>
      <c r="X1435" s="1"/>
      <c r="Y1435" s="1"/>
      <c r="Z1435" s="173"/>
      <c r="AA1435" s="1"/>
      <c r="AB1435" s="165"/>
      <c r="AC1435" s="1"/>
      <c r="AD1435" s="1"/>
      <c r="AE1435" s="1"/>
      <c r="AF1435" s="46"/>
      <c r="AG1435" s="1"/>
      <c r="AH1435" s="165"/>
      <c r="AI1435" s="165"/>
      <c r="AJ1435" s="165"/>
      <c r="AK1435" s="165"/>
      <c r="AL1435" s="165"/>
      <c r="AM1435" s="165"/>
      <c r="AN1435" s="165"/>
    </row>
    <row r="1436" spans="3:40">
      <c r="C1436" s="46"/>
      <c r="F1436" s="173"/>
      <c r="G1436" s="1"/>
      <c r="H1436" s="165"/>
      <c r="I1436" s="160"/>
      <c r="J1436" s="160"/>
      <c r="K1436" s="1"/>
      <c r="L1436" s="123"/>
      <c r="M1436" s="1"/>
      <c r="N1436" s="590"/>
      <c r="O1436" s="165"/>
      <c r="P1436" s="165"/>
      <c r="Q1436" s="165"/>
      <c r="R1436" s="165"/>
      <c r="S1436" s="165"/>
      <c r="V1436" s="46"/>
      <c r="W1436" s="46"/>
      <c r="X1436" s="1"/>
      <c r="Y1436" s="1"/>
      <c r="Z1436" s="173"/>
      <c r="AA1436" s="1"/>
      <c r="AB1436" s="165"/>
      <c r="AC1436" s="1"/>
      <c r="AD1436" s="1"/>
      <c r="AE1436" s="1"/>
      <c r="AF1436" s="46"/>
      <c r="AG1436" s="1"/>
      <c r="AH1436" s="165"/>
      <c r="AI1436" s="165"/>
      <c r="AJ1436" s="165"/>
      <c r="AK1436" s="165"/>
      <c r="AL1436" s="165"/>
      <c r="AM1436" s="165"/>
      <c r="AN1436" s="165"/>
    </row>
    <row r="1437" spans="3:40">
      <c r="C1437" s="46"/>
      <c r="F1437" s="173"/>
      <c r="G1437" s="1"/>
      <c r="H1437" s="165"/>
      <c r="I1437" s="160"/>
      <c r="J1437" s="160"/>
      <c r="K1437" s="1"/>
      <c r="L1437" s="123"/>
      <c r="M1437" s="1"/>
      <c r="N1437" s="590"/>
      <c r="O1437" s="165"/>
      <c r="P1437" s="165"/>
      <c r="Q1437" s="165"/>
      <c r="R1437" s="165"/>
      <c r="S1437" s="165"/>
      <c r="V1437" s="46"/>
      <c r="W1437" s="46"/>
      <c r="X1437" s="1"/>
      <c r="Y1437" s="1"/>
      <c r="Z1437" s="173"/>
      <c r="AA1437" s="1"/>
      <c r="AB1437" s="165"/>
      <c r="AC1437" s="1"/>
      <c r="AD1437" s="1"/>
      <c r="AE1437" s="1"/>
      <c r="AF1437" s="46"/>
      <c r="AG1437" s="1"/>
      <c r="AH1437" s="165"/>
      <c r="AI1437" s="165"/>
      <c r="AJ1437" s="165"/>
      <c r="AK1437" s="165"/>
      <c r="AL1437" s="165"/>
      <c r="AM1437" s="165"/>
      <c r="AN1437" s="165"/>
    </row>
    <row r="1438" spans="3:40">
      <c r="C1438" s="46"/>
      <c r="F1438" s="173"/>
      <c r="G1438" s="1"/>
      <c r="H1438" s="165"/>
      <c r="I1438" s="160"/>
      <c r="J1438" s="160"/>
      <c r="K1438" s="1"/>
      <c r="L1438" s="123"/>
      <c r="M1438" s="1"/>
      <c r="N1438" s="590"/>
      <c r="O1438" s="165"/>
      <c r="P1438" s="165"/>
      <c r="Q1438" s="165"/>
      <c r="R1438" s="165"/>
      <c r="S1438" s="165"/>
      <c r="V1438" s="46"/>
      <c r="W1438" s="46"/>
      <c r="X1438" s="1"/>
      <c r="Y1438" s="1"/>
      <c r="Z1438" s="173"/>
      <c r="AA1438" s="1"/>
      <c r="AB1438" s="165"/>
      <c r="AC1438" s="1"/>
      <c r="AD1438" s="1"/>
      <c r="AE1438" s="1"/>
      <c r="AF1438" s="46"/>
      <c r="AG1438" s="1"/>
      <c r="AH1438" s="165"/>
      <c r="AI1438" s="165"/>
      <c r="AJ1438" s="165"/>
      <c r="AK1438" s="165"/>
      <c r="AL1438" s="165"/>
      <c r="AM1438" s="165"/>
      <c r="AN1438" s="165"/>
    </row>
    <row r="1439" spans="3:40">
      <c r="C1439" s="46"/>
      <c r="F1439" s="173"/>
      <c r="G1439" s="1"/>
      <c r="H1439" s="165"/>
      <c r="I1439" s="160"/>
      <c r="J1439" s="160"/>
      <c r="K1439" s="1"/>
      <c r="L1439" s="123"/>
      <c r="M1439" s="1"/>
      <c r="N1439" s="590"/>
      <c r="O1439" s="165"/>
      <c r="P1439" s="165"/>
      <c r="Q1439" s="165"/>
      <c r="R1439" s="165"/>
      <c r="S1439" s="165"/>
      <c r="V1439" s="46"/>
      <c r="W1439" s="46"/>
      <c r="X1439" s="1"/>
      <c r="Y1439" s="1"/>
      <c r="Z1439" s="173"/>
      <c r="AA1439" s="1"/>
      <c r="AB1439" s="165"/>
      <c r="AC1439" s="1"/>
      <c r="AD1439" s="1"/>
      <c r="AE1439" s="1"/>
      <c r="AF1439" s="46"/>
      <c r="AG1439" s="1"/>
      <c r="AH1439" s="165"/>
      <c r="AI1439" s="165"/>
      <c r="AJ1439" s="165"/>
      <c r="AK1439" s="165"/>
      <c r="AL1439" s="165"/>
      <c r="AM1439" s="165"/>
      <c r="AN1439" s="165"/>
    </row>
    <row r="1440" spans="3:40">
      <c r="C1440" s="46"/>
      <c r="F1440" s="173"/>
      <c r="G1440" s="1"/>
      <c r="H1440" s="165"/>
      <c r="I1440" s="160"/>
      <c r="J1440" s="160"/>
      <c r="K1440" s="1"/>
      <c r="L1440" s="123"/>
      <c r="M1440" s="1"/>
      <c r="N1440" s="590"/>
      <c r="O1440" s="165"/>
      <c r="P1440" s="165"/>
      <c r="Q1440" s="165"/>
      <c r="R1440" s="165"/>
      <c r="S1440" s="165"/>
      <c r="V1440" s="46"/>
      <c r="W1440" s="46"/>
      <c r="X1440" s="1"/>
      <c r="Y1440" s="1"/>
      <c r="Z1440" s="173"/>
      <c r="AA1440" s="1"/>
      <c r="AB1440" s="165"/>
      <c r="AC1440" s="1"/>
      <c r="AD1440" s="1"/>
      <c r="AE1440" s="1"/>
      <c r="AF1440" s="46"/>
      <c r="AG1440" s="1"/>
      <c r="AH1440" s="165"/>
      <c r="AI1440" s="165"/>
      <c r="AJ1440" s="165"/>
      <c r="AK1440" s="165"/>
      <c r="AL1440" s="165"/>
      <c r="AM1440" s="165"/>
      <c r="AN1440" s="165"/>
    </row>
    <row r="1441" spans="3:40">
      <c r="C1441" s="46"/>
      <c r="F1441" s="173"/>
      <c r="G1441" s="1"/>
      <c r="H1441" s="165"/>
      <c r="I1441" s="160"/>
      <c r="J1441" s="160"/>
      <c r="K1441" s="1"/>
      <c r="L1441" s="123"/>
      <c r="M1441" s="1"/>
      <c r="N1441" s="590"/>
      <c r="O1441" s="165"/>
      <c r="P1441" s="165"/>
      <c r="Q1441" s="165"/>
      <c r="R1441" s="165"/>
      <c r="S1441" s="165"/>
      <c r="V1441" s="46"/>
      <c r="W1441" s="46"/>
      <c r="X1441" s="1"/>
      <c r="Y1441" s="1"/>
      <c r="Z1441" s="173"/>
      <c r="AA1441" s="1"/>
      <c r="AB1441" s="165"/>
      <c r="AC1441" s="1"/>
      <c r="AD1441" s="1"/>
      <c r="AE1441" s="1"/>
      <c r="AF1441" s="46"/>
      <c r="AG1441" s="1"/>
      <c r="AH1441" s="165"/>
      <c r="AI1441" s="165"/>
      <c r="AJ1441" s="165"/>
      <c r="AK1441" s="165"/>
      <c r="AL1441" s="165"/>
      <c r="AM1441" s="165"/>
      <c r="AN1441" s="165"/>
    </row>
    <row r="1442" spans="3:40">
      <c r="C1442" s="46"/>
      <c r="F1442" s="173"/>
      <c r="G1442" s="1"/>
      <c r="H1442" s="165"/>
      <c r="I1442" s="160"/>
      <c r="J1442" s="160"/>
      <c r="K1442" s="1"/>
      <c r="L1442" s="123"/>
      <c r="M1442" s="1"/>
      <c r="N1442" s="590"/>
      <c r="O1442" s="165"/>
      <c r="P1442" s="165"/>
      <c r="Q1442" s="165"/>
      <c r="R1442" s="165"/>
      <c r="S1442" s="165"/>
      <c r="V1442" s="46"/>
      <c r="W1442" s="46"/>
      <c r="X1442" s="1"/>
      <c r="Y1442" s="1"/>
      <c r="Z1442" s="173"/>
      <c r="AA1442" s="1"/>
      <c r="AB1442" s="165"/>
      <c r="AC1442" s="1"/>
      <c r="AD1442" s="1"/>
      <c r="AE1442" s="1"/>
      <c r="AF1442" s="46"/>
      <c r="AG1442" s="1"/>
      <c r="AH1442" s="165"/>
      <c r="AI1442" s="165"/>
      <c r="AJ1442" s="165"/>
      <c r="AK1442" s="165"/>
      <c r="AL1442" s="165"/>
      <c r="AM1442" s="165"/>
      <c r="AN1442" s="165"/>
    </row>
    <row r="1443" spans="3:40">
      <c r="C1443" s="46"/>
      <c r="F1443" s="173"/>
      <c r="G1443" s="1"/>
      <c r="H1443" s="165"/>
      <c r="I1443" s="160"/>
      <c r="J1443" s="160"/>
      <c r="K1443" s="1"/>
      <c r="L1443" s="123"/>
      <c r="M1443" s="1"/>
      <c r="N1443" s="590"/>
      <c r="O1443" s="165"/>
      <c r="P1443" s="165"/>
      <c r="Q1443" s="165"/>
      <c r="R1443" s="165"/>
      <c r="S1443" s="165"/>
      <c r="V1443" s="46"/>
      <c r="W1443" s="46"/>
      <c r="X1443" s="1"/>
      <c r="Y1443" s="1"/>
      <c r="Z1443" s="173"/>
      <c r="AA1443" s="1"/>
      <c r="AB1443" s="165"/>
      <c r="AC1443" s="1"/>
      <c r="AD1443" s="1"/>
      <c r="AE1443" s="1"/>
      <c r="AF1443" s="46"/>
      <c r="AG1443" s="1"/>
      <c r="AH1443" s="165"/>
      <c r="AI1443" s="165"/>
      <c r="AJ1443" s="165"/>
      <c r="AK1443" s="165"/>
      <c r="AL1443" s="165"/>
      <c r="AM1443" s="165"/>
      <c r="AN1443" s="165"/>
    </row>
    <row r="1444" spans="3:40">
      <c r="C1444" s="46"/>
      <c r="F1444" s="173"/>
      <c r="G1444" s="1"/>
      <c r="H1444" s="165"/>
      <c r="I1444" s="160"/>
      <c r="J1444" s="160"/>
      <c r="K1444" s="1"/>
      <c r="L1444" s="123"/>
      <c r="M1444" s="1"/>
      <c r="N1444" s="590"/>
      <c r="O1444" s="165"/>
      <c r="P1444" s="165"/>
      <c r="Q1444" s="165"/>
      <c r="R1444" s="165"/>
      <c r="S1444" s="165"/>
      <c r="V1444" s="46"/>
      <c r="W1444" s="46"/>
      <c r="X1444" s="1"/>
      <c r="Y1444" s="1"/>
      <c r="Z1444" s="173"/>
      <c r="AA1444" s="1"/>
      <c r="AB1444" s="165"/>
      <c r="AC1444" s="1"/>
      <c r="AD1444" s="1"/>
      <c r="AE1444" s="1"/>
      <c r="AF1444" s="46"/>
      <c r="AG1444" s="1"/>
      <c r="AH1444" s="165"/>
      <c r="AI1444" s="165"/>
      <c r="AJ1444" s="165"/>
      <c r="AK1444" s="165"/>
      <c r="AL1444" s="165"/>
      <c r="AM1444" s="165"/>
      <c r="AN1444" s="165"/>
    </row>
    <row r="1445" spans="3:40">
      <c r="C1445" s="46"/>
      <c r="F1445" s="173"/>
      <c r="G1445" s="1"/>
      <c r="H1445" s="165"/>
      <c r="I1445" s="160"/>
      <c r="J1445" s="160"/>
      <c r="K1445" s="1"/>
      <c r="L1445" s="123"/>
      <c r="M1445" s="1"/>
      <c r="N1445" s="590"/>
      <c r="O1445" s="165"/>
      <c r="P1445" s="165"/>
      <c r="Q1445" s="165"/>
      <c r="R1445" s="165"/>
      <c r="S1445" s="165"/>
      <c r="V1445" s="46"/>
      <c r="W1445" s="46"/>
      <c r="X1445" s="1"/>
      <c r="Y1445" s="1"/>
      <c r="Z1445" s="173"/>
      <c r="AA1445" s="1"/>
      <c r="AB1445" s="165"/>
      <c r="AC1445" s="1"/>
      <c r="AD1445" s="1"/>
      <c r="AE1445" s="1"/>
      <c r="AF1445" s="46"/>
      <c r="AG1445" s="1"/>
      <c r="AH1445" s="165"/>
      <c r="AI1445" s="165"/>
      <c r="AJ1445" s="165"/>
      <c r="AK1445" s="165"/>
      <c r="AL1445" s="165"/>
      <c r="AM1445" s="165"/>
      <c r="AN1445" s="165"/>
    </row>
    <row r="1446" spans="3:40">
      <c r="C1446" s="46"/>
      <c r="F1446" s="173"/>
      <c r="G1446" s="1"/>
      <c r="H1446" s="165"/>
      <c r="I1446" s="160"/>
      <c r="J1446" s="160"/>
      <c r="K1446" s="1"/>
      <c r="L1446" s="123"/>
      <c r="M1446" s="1"/>
      <c r="N1446" s="590"/>
      <c r="O1446" s="165"/>
      <c r="P1446" s="165"/>
      <c r="Q1446" s="165"/>
      <c r="R1446" s="165"/>
      <c r="S1446" s="165"/>
      <c r="V1446" s="46"/>
      <c r="W1446" s="46"/>
      <c r="X1446" s="1"/>
      <c r="Y1446" s="1"/>
      <c r="Z1446" s="173"/>
      <c r="AA1446" s="1"/>
      <c r="AB1446" s="165"/>
      <c r="AC1446" s="1"/>
      <c r="AD1446" s="1"/>
      <c r="AE1446" s="1"/>
      <c r="AF1446" s="46"/>
      <c r="AG1446" s="1"/>
      <c r="AH1446" s="165"/>
      <c r="AI1446" s="165"/>
      <c r="AJ1446" s="165"/>
      <c r="AK1446" s="165"/>
      <c r="AL1446" s="165"/>
      <c r="AM1446" s="165"/>
      <c r="AN1446" s="165"/>
    </row>
    <row r="1447" spans="3:40">
      <c r="C1447" s="46"/>
      <c r="F1447" s="173"/>
      <c r="G1447" s="1"/>
      <c r="H1447" s="165"/>
      <c r="I1447" s="160"/>
      <c r="J1447" s="160"/>
      <c r="K1447" s="1"/>
      <c r="L1447" s="123"/>
      <c r="M1447" s="1"/>
      <c r="N1447" s="590"/>
      <c r="O1447" s="165"/>
      <c r="P1447" s="165"/>
      <c r="Q1447" s="165"/>
      <c r="R1447" s="165"/>
      <c r="S1447" s="165"/>
      <c r="V1447" s="46"/>
      <c r="W1447" s="46"/>
      <c r="X1447" s="1"/>
      <c r="Y1447" s="1"/>
      <c r="Z1447" s="173"/>
      <c r="AA1447" s="1"/>
      <c r="AB1447" s="165"/>
      <c r="AC1447" s="1"/>
      <c r="AD1447" s="1"/>
      <c r="AE1447" s="1"/>
      <c r="AF1447" s="46"/>
      <c r="AG1447" s="1"/>
      <c r="AH1447" s="165"/>
      <c r="AI1447" s="165"/>
      <c r="AJ1447" s="165"/>
      <c r="AK1447" s="165"/>
      <c r="AL1447" s="165"/>
      <c r="AM1447" s="165"/>
      <c r="AN1447" s="165"/>
    </row>
    <row r="1448" spans="3:40">
      <c r="C1448" s="46"/>
      <c r="F1448" s="173"/>
      <c r="G1448" s="1"/>
      <c r="H1448" s="165"/>
      <c r="I1448" s="160"/>
      <c r="J1448" s="160"/>
      <c r="K1448" s="1"/>
      <c r="L1448" s="123"/>
      <c r="M1448" s="1"/>
      <c r="N1448" s="590"/>
      <c r="O1448" s="165"/>
      <c r="P1448" s="165"/>
      <c r="Q1448" s="165"/>
      <c r="R1448" s="165"/>
      <c r="S1448" s="165"/>
      <c r="V1448" s="46"/>
      <c r="W1448" s="46"/>
      <c r="X1448" s="1"/>
      <c r="Y1448" s="1"/>
      <c r="Z1448" s="173"/>
      <c r="AA1448" s="1"/>
      <c r="AB1448" s="165"/>
      <c r="AC1448" s="1"/>
      <c r="AD1448" s="1"/>
      <c r="AE1448" s="1"/>
      <c r="AF1448" s="46"/>
      <c r="AG1448" s="1"/>
      <c r="AH1448" s="165"/>
      <c r="AI1448" s="165"/>
      <c r="AJ1448" s="165"/>
      <c r="AK1448" s="165"/>
      <c r="AL1448" s="165"/>
      <c r="AM1448" s="165"/>
      <c r="AN1448" s="165"/>
    </row>
    <row r="1449" spans="3:40">
      <c r="C1449" s="46"/>
      <c r="F1449" s="173"/>
      <c r="G1449" s="1"/>
      <c r="H1449" s="165"/>
      <c r="I1449" s="160"/>
      <c r="J1449" s="160"/>
      <c r="K1449" s="1"/>
      <c r="L1449" s="123"/>
      <c r="M1449" s="1"/>
      <c r="N1449" s="590"/>
      <c r="O1449" s="165"/>
      <c r="P1449" s="165"/>
      <c r="Q1449" s="165"/>
      <c r="R1449" s="165"/>
      <c r="S1449" s="165"/>
      <c r="V1449" s="46"/>
      <c r="W1449" s="46"/>
      <c r="X1449" s="1"/>
      <c r="Y1449" s="1"/>
      <c r="Z1449" s="173"/>
      <c r="AA1449" s="1"/>
      <c r="AB1449" s="165"/>
      <c r="AC1449" s="1"/>
      <c r="AD1449" s="1"/>
      <c r="AE1449" s="1"/>
      <c r="AF1449" s="46"/>
      <c r="AG1449" s="1"/>
      <c r="AH1449" s="165"/>
      <c r="AI1449" s="165"/>
      <c r="AJ1449" s="165"/>
      <c r="AK1449" s="165"/>
      <c r="AL1449" s="165"/>
      <c r="AM1449" s="165"/>
      <c r="AN1449" s="165"/>
    </row>
    <row r="1450" spans="3:40">
      <c r="C1450" s="46"/>
      <c r="F1450" s="173"/>
      <c r="G1450" s="1"/>
      <c r="H1450" s="165"/>
      <c r="I1450" s="160"/>
      <c r="J1450" s="160"/>
      <c r="K1450" s="1"/>
      <c r="L1450" s="123"/>
      <c r="M1450" s="1"/>
      <c r="N1450" s="590"/>
      <c r="O1450" s="165"/>
      <c r="P1450" s="165"/>
      <c r="Q1450" s="165"/>
      <c r="R1450" s="165"/>
      <c r="S1450" s="165"/>
      <c r="V1450" s="46"/>
      <c r="W1450" s="46"/>
      <c r="X1450" s="1"/>
      <c r="Y1450" s="1"/>
      <c r="Z1450" s="173"/>
      <c r="AA1450" s="1"/>
      <c r="AB1450" s="165"/>
      <c r="AC1450" s="1"/>
      <c r="AD1450" s="1"/>
      <c r="AE1450" s="1"/>
      <c r="AF1450" s="46"/>
      <c r="AG1450" s="1"/>
      <c r="AH1450" s="165"/>
      <c r="AI1450" s="165"/>
      <c r="AJ1450" s="165"/>
      <c r="AK1450" s="165"/>
      <c r="AL1450" s="165"/>
      <c r="AM1450" s="165"/>
      <c r="AN1450" s="165"/>
    </row>
    <row r="1451" spans="3:40">
      <c r="C1451" s="46"/>
      <c r="F1451" s="173"/>
      <c r="G1451" s="1"/>
      <c r="H1451" s="165"/>
      <c r="I1451" s="160"/>
      <c r="J1451" s="160"/>
      <c r="K1451" s="1"/>
      <c r="L1451" s="123"/>
      <c r="M1451" s="1"/>
      <c r="N1451" s="590"/>
      <c r="O1451" s="165"/>
      <c r="P1451" s="165"/>
      <c r="Q1451" s="165"/>
      <c r="R1451" s="165"/>
      <c r="S1451" s="165"/>
      <c r="V1451" s="46"/>
      <c r="W1451" s="46"/>
      <c r="X1451" s="1"/>
      <c r="Y1451" s="1"/>
      <c r="Z1451" s="173"/>
      <c r="AA1451" s="1"/>
      <c r="AB1451" s="165"/>
      <c r="AC1451" s="1"/>
      <c r="AD1451" s="1"/>
      <c r="AE1451" s="1"/>
      <c r="AF1451" s="46"/>
      <c r="AG1451" s="1"/>
      <c r="AH1451" s="165"/>
      <c r="AI1451" s="165"/>
      <c r="AJ1451" s="165"/>
      <c r="AK1451" s="165"/>
      <c r="AL1451" s="165"/>
      <c r="AM1451" s="165"/>
      <c r="AN1451" s="165"/>
    </row>
    <row r="1452" spans="3:40">
      <c r="C1452" s="46"/>
      <c r="F1452" s="173"/>
      <c r="G1452" s="1"/>
      <c r="H1452" s="165"/>
      <c r="I1452" s="160"/>
      <c r="J1452" s="160"/>
      <c r="K1452" s="1"/>
      <c r="L1452" s="123"/>
      <c r="M1452" s="1"/>
      <c r="N1452" s="590"/>
      <c r="O1452" s="165"/>
      <c r="P1452" s="165"/>
      <c r="Q1452" s="165"/>
      <c r="R1452" s="165"/>
      <c r="S1452" s="165"/>
      <c r="V1452" s="46"/>
      <c r="W1452" s="46"/>
      <c r="X1452" s="1"/>
      <c r="Y1452" s="1"/>
      <c r="Z1452" s="173"/>
      <c r="AA1452" s="1"/>
      <c r="AB1452" s="165"/>
      <c r="AC1452" s="1"/>
      <c r="AD1452" s="1"/>
      <c r="AE1452" s="1"/>
      <c r="AF1452" s="46"/>
      <c r="AG1452" s="1"/>
      <c r="AH1452" s="165"/>
      <c r="AI1452" s="165"/>
      <c r="AJ1452" s="165"/>
      <c r="AK1452" s="165"/>
      <c r="AL1452" s="165"/>
      <c r="AM1452" s="165"/>
      <c r="AN1452" s="165"/>
    </row>
    <row r="1453" spans="3:40">
      <c r="C1453" s="46"/>
      <c r="F1453" s="173"/>
      <c r="G1453" s="1"/>
      <c r="H1453" s="165"/>
      <c r="I1453" s="160"/>
      <c r="J1453" s="160"/>
      <c r="K1453" s="1"/>
      <c r="L1453" s="123"/>
      <c r="M1453" s="1"/>
      <c r="N1453" s="590"/>
      <c r="O1453" s="165"/>
      <c r="P1453" s="165"/>
      <c r="Q1453" s="165"/>
      <c r="R1453" s="165"/>
      <c r="S1453" s="165"/>
      <c r="V1453" s="46"/>
      <c r="W1453" s="46"/>
      <c r="X1453" s="1"/>
      <c r="Y1453" s="1"/>
      <c r="Z1453" s="173"/>
      <c r="AA1453" s="1"/>
      <c r="AB1453" s="165"/>
      <c r="AC1453" s="1"/>
      <c r="AD1453" s="1"/>
      <c r="AE1453" s="1"/>
      <c r="AF1453" s="46"/>
      <c r="AG1453" s="1"/>
      <c r="AH1453" s="165"/>
      <c r="AI1453" s="165"/>
      <c r="AJ1453" s="165"/>
      <c r="AK1453" s="165"/>
      <c r="AL1453" s="165"/>
      <c r="AM1453" s="165"/>
      <c r="AN1453" s="165"/>
    </row>
    <row r="1454" spans="3:40">
      <c r="C1454" s="46"/>
      <c r="F1454" s="173"/>
      <c r="G1454" s="1"/>
      <c r="H1454" s="165"/>
      <c r="I1454" s="160"/>
      <c r="J1454" s="160"/>
      <c r="K1454" s="1"/>
      <c r="L1454" s="123"/>
      <c r="M1454" s="1"/>
      <c r="N1454" s="590"/>
      <c r="O1454" s="165"/>
      <c r="P1454" s="165"/>
      <c r="Q1454" s="165"/>
      <c r="R1454" s="165"/>
      <c r="S1454" s="165"/>
      <c r="V1454" s="46"/>
      <c r="W1454" s="46"/>
      <c r="X1454" s="1"/>
      <c r="Y1454" s="1"/>
      <c r="Z1454" s="173"/>
      <c r="AA1454" s="1"/>
      <c r="AB1454" s="165"/>
      <c r="AC1454" s="1"/>
      <c r="AD1454" s="1"/>
      <c r="AE1454" s="1"/>
      <c r="AF1454" s="46"/>
      <c r="AG1454" s="1"/>
      <c r="AH1454" s="165"/>
      <c r="AI1454" s="165"/>
      <c r="AJ1454" s="165"/>
      <c r="AK1454" s="165"/>
      <c r="AL1454" s="165"/>
      <c r="AM1454" s="165"/>
      <c r="AN1454" s="165"/>
    </row>
    <row r="1455" spans="3:40">
      <c r="C1455" s="46"/>
      <c r="F1455" s="173"/>
      <c r="G1455" s="1"/>
      <c r="H1455" s="165"/>
      <c r="I1455" s="160"/>
      <c r="J1455" s="160"/>
      <c r="K1455" s="1"/>
      <c r="L1455" s="123"/>
      <c r="M1455" s="1"/>
      <c r="N1455" s="590"/>
      <c r="O1455" s="165"/>
      <c r="P1455" s="165"/>
      <c r="Q1455" s="165"/>
      <c r="R1455" s="165"/>
      <c r="S1455" s="165"/>
      <c r="V1455" s="46"/>
      <c r="W1455" s="46"/>
      <c r="X1455" s="1"/>
      <c r="Y1455" s="1"/>
      <c r="Z1455" s="173"/>
      <c r="AA1455" s="1"/>
      <c r="AB1455" s="165"/>
      <c r="AC1455" s="1"/>
      <c r="AD1455" s="1"/>
      <c r="AE1455" s="1"/>
      <c r="AF1455" s="46"/>
      <c r="AG1455" s="1"/>
      <c r="AH1455" s="165"/>
      <c r="AI1455" s="165"/>
      <c r="AJ1455" s="165"/>
      <c r="AK1455" s="165"/>
      <c r="AL1455" s="165"/>
      <c r="AM1455" s="165"/>
      <c r="AN1455" s="165"/>
    </row>
    <row r="1456" spans="3:40">
      <c r="C1456" s="46"/>
      <c r="F1456" s="173"/>
      <c r="G1456" s="1"/>
      <c r="H1456" s="165"/>
      <c r="I1456" s="160"/>
      <c r="J1456" s="160"/>
      <c r="K1456" s="1"/>
      <c r="L1456" s="123"/>
      <c r="M1456" s="1"/>
      <c r="N1456" s="590"/>
      <c r="O1456" s="165"/>
      <c r="P1456" s="165"/>
      <c r="Q1456" s="165"/>
      <c r="R1456" s="165"/>
      <c r="S1456" s="165"/>
      <c r="V1456" s="46"/>
      <c r="W1456" s="46"/>
      <c r="X1456" s="1"/>
      <c r="Y1456" s="1"/>
      <c r="Z1456" s="173"/>
      <c r="AA1456" s="1"/>
      <c r="AB1456" s="165"/>
      <c r="AC1456" s="1"/>
      <c r="AD1456" s="1"/>
      <c r="AE1456" s="1"/>
      <c r="AF1456" s="46"/>
      <c r="AG1456" s="1"/>
      <c r="AH1456" s="165"/>
      <c r="AI1456" s="165"/>
      <c r="AJ1456" s="165"/>
      <c r="AK1456" s="165"/>
      <c r="AL1456" s="165"/>
      <c r="AM1456" s="165"/>
      <c r="AN1456" s="165"/>
    </row>
    <row r="1457" spans="3:40">
      <c r="C1457" s="46"/>
      <c r="F1457" s="173"/>
      <c r="G1457" s="1"/>
      <c r="H1457" s="165"/>
      <c r="I1457" s="160"/>
      <c r="J1457" s="160"/>
      <c r="K1457" s="1"/>
      <c r="L1457" s="123"/>
      <c r="M1457" s="1"/>
      <c r="N1457" s="590"/>
      <c r="O1457" s="165"/>
      <c r="P1457" s="165"/>
      <c r="Q1457" s="165"/>
      <c r="R1457" s="165"/>
      <c r="S1457" s="165"/>
      <c r="V1457" s="46"/>
      <c r="W1457" s="46"/>
      <c r="X1457" s="1"/>
      <c r="Y1457" s="1"/>
      <c r="Z1457" s="173"/>
      <c r="AA1457" s="1"/>
      <c r="AB1457" s="165"/>
      <c r="AC1457" s="1"/>
      <c r="AD1457" s="1"/>
      <c r="AE1457" s="1"/>
      <c r="AF1457" s="46"/>
      <c r="AG1457" s="1"/>
      <c r="AH1457" s="165"/>
      <c r="AI1457" s="165"/>
      <c r="AJ1457" s="165"/>
      <c r="AK1457" s="165"/>
      <c r="AL1457" s="165"/>
      <c r="AM1457" s="165"/>
      <c r="AN1457" s="165"/>
    </row>
    <row r="1458" spans="3:40">
      <c r="C1458" s="46"/>
      <c r="F1458" s="173"/>
      <c r="G1458" s="1"/>
      <c r="H1458" s="165"/>
      <c r="I1458" s="160"/>
      <c r="J1458" s="160"/>
      <c r="K1458" s="1"/>
      <c r="L1458" s="123"/>
      <c r="M1458" s="1"/>
      <c r="N1458" s="590"/>
      <c r="O1458" s="165"/>
      <c r="P1458" s="165"/>
      <c r="Q1458" s="165"/>
      <c r="R1458" s="165"/>
      <c r="S1458" s="165"/>
      <c r="V1458" s="46"/>
      <c r="W1458" s="46"/>
      <c r="X1458" s="1"/>
      <c r="Y1458" s="1"/>
      <c r="Z1458" s="173"/>
      <c r="AA1458" s="1"/>
      <c r="AB1458" s="165"/>
      <c r="AC1458" s="1"/>
      <c r="AD1458" s="1"/>
      <c r="AE1458" s="1"/>
      <c r="AF1458" s="46"/>
      <c r="AG1458" s="1"/>
      <c r="AH1458" s="165"/>
      <c r="AI1458" s="165"/>
      <c r="AJ1458" s="165"/>
      <c r="AK1458" s="165"/>
      <c r="AL1458" s="165"/>
      <c r="AM1458" s="165"/>
      <c r="AN1458" s="165"/>
    </row>
    <row r="1459" spans="3:40">
      <c r="C1459" s="46"/>
      <c r="F1459" s="173"/>
      <c r="G1459" s="1"/>
      <c r="H1459" s="165"/>
      <c r="I1459" s="160"/>
      <c r="J1459" s="160"/>
      <c r="K1459" s="1"/>
      <c r="L1459" s="123"/>
      <c r="M1459" s="1"/>
      <c r="N1459" s="590"/>
      <c r="O1459" s="165"/>
      <c r="P1459" s="165"/>
      <c r="Q1459" s="165"/>
      <c r="R1459" s="165"/>
      <c r="S1459" s="165"/>
      <c r="V1459" s="46"/>
      <c r="W1459" s="46"/>
      <c r="X1459" s="1"/>
      <c r="Y1459" s="1"/>
      <c r="Z1459" s="173"/>
      <c r="AA1459" s="1"/>
      <c r="AB1459" s="165"/>
      <c r="AC1459" s="1"/>
      <c r="AD1459" s="1"/>
      <c r="AE1459" s="1"/>
      <c r="AF1459" s="46"/>
      <c r="AG1459" s="1"/>
      <c r="AH1459" s="165"/>
      <c r="AI1459" s="165"/>
      <c r="AJ1459" s="165"/>
      <c r="AK1459" s="165"/>
      <c r="AL1459" s="165"/>
      <c r="AM1459" s="165"/>
      <c r="AN1459" s="165"/>
    </row>
    <row r="1460" spans="3:40">
      <c r="C1460" s="46"/>
      <c r="F1460" s="173"/>
      <c r="G1460" s="1"/>
      <c r="H1460" s="165"/>
      <c r="I1460" s="160"/>
      <c r="J1460" s="160"/>
      <c r="K1460" s="1"/>
      <c r="L1460" s="123"/>
      <c r="M1460" s="1"/>
      <c r="N1460" s="590"/>
      <c r="O1460" s="165"/>
      <c r="P1460" s="165"/>
      <c r="Q1460" s="165"/>
      <c r="R1460" s="165"/>
      <c r="S1460" s="165"/>
      <c r="V1460" s="46"/>
      <c r="W1460" s="46"/>
      <c r="X1460" s="1"/>
      <c r="Y1460" s="1"/>
      <c r="Z1460" s="173"/>
      <c r="AA1460" s="1"/>
      <c r="AB1460" s="165"/>
      <c r="AC1460" s="1"/>
      <c r="AD1460" s="1"/>
      <c r="AE1460" s="1"/>
      <c r="AF1460" s="46"/>
      <c r="AG1460" s="1"/>
      <c r="AH1460" s="165"/>
      <c r="AI1460" s="165"/>
      <c r="AJ1460" s="165"/>
      <c r="AK1460" s="165"/>
      <c r="AL1460" s="165"/>
      <c r="AM1460" s="165"/>
      <c r="AN1460" s="165"/>
    </row>
    <row r="1461" spans="3:40">
      <c r="C1461" s="46"/>
      <c r="F1461" s="173"/>
      <c r="G1461" s="1"/>
      <c r="H1461" s="165"/>
      <c r="I1461" s="160"/>
      <c r="J1461" s="160"/>
      <c r="K1461" s="1"/>
      <c r="L1461" s="123"/>
      <c r="M1461" s="1"/>
      <c r="N1461" s="590"/>
      <c r="O1461" s="165"/>
      <c r="P1461" s="165"/>
      <c r="Q1461" s="165"/>
      <c r="R1461" s="165"/>
      <c r="S1461" s="165"/>
      <c r="V1461" s="46"/>
      <c r="W1461" s="46"/>
      <c r="X1461" s="1"/>
      <c r="Y1461" s="1"/>
      <c r="Z1461" s="173"/>
      <c r="AA1461" s="1"/>
      <c r="AB1461" s="165"/>
      <c r="AC1461" s="1"/>
      <c r="AD1461" s="1"/>
      <c r="AE1461" s="1"/>
      <c r="AF1461" s="46"/>
      <c r="AG1461" s="1"/>
      <c r="AH1461" s="165"/>
      <c r="AI1461" s="165"/>
      <c r="AJ1461" s="165"/>
      <c r="AK1461" s="165"/>
      <c r="AL1461" s="165"/>
      <c r="AM1461" s="165"/>
      <c r="AN1461" s="165"/>
    </row>
    <row r="1462" spans="3:40">
      <c r="C1462" s="46"/>
      <c r="F1462" s="173"/>
      <c r="G1462" s="1"/>
      <c r="H1462" s="165"/>
      <c r="I1462" s="160"/>
      <c r="J1462" s="160"/>
      <c r="K1462" s="1"/>
      <c r="L1462" s="123"/>
      <c r="M1462" s="1"/>
      <c r="N1462" s="590"/>
      <c r="O1462" s="165"/>
      <c r="P1462" s="165"/>
      <c r="Q1462" s="165"/>
      <c r="R1462" s="165"/>
      <c r="S1462" s="165"/>
      <c r="V1462" s="46"/>
      <c r="W1462" s="46"/>
      <c r="X1462" s="1"/>
      <c r="Y1462" s="1"/>
      <c r="Z1462" s="173"/>
      <c r="AA1462" s="1"/>
      <c r="AB1462" s="165"/>
      <c r="AC1462" s="1"/>
      <c r="AD1462" s="1"/>
      <c r="AE1462" s="1"/>
      <c r="AF1462" s="46"/>
      <c r="AG1462" s="1"/>
      <c r="AH1462" s="165"/>
      <c r="AI1462" s="165"/>
      <c r="AJ1462" s="165"/>
      <c r="AK1462" s="165"/>
      <c r="AL1462" s="165"/>
      <c r="AM1462" s="165"/>
      <c r="AN1462" s="165"/>
    </row>
    <row r="1463" spans="3:40">
      <c r="C1463" s="46"/>
      <c r="F1463" s="173"/>
      <c r="G1463" s="1"/>
      <c r="H1463" s="165"/>
      <c r="I1463" s="160"/>
      <c r="J1463" s="160"/>
      <c r="K1463" s="1"/>
      <c r="L1463" s="123"/>
      <c r="M1463" s="1"/>
      <c r="N1463" s="590"/>
      <c r="O1463" s="165"/>
      <c r="P1463" s="165"/>
      <c r="Q1463" s="165"/>
      <c r="R1463" s="165"/>
      <c r="S1463" s="165"/>
      <c r="V1463" s="46"/>
      <c r="W1463" s="46"/>
      <c r="X1463" s="1"/>
      <c r="Y1463" s="1"/>
      <c r="Z1463" s="173"/>
      <c r="AA1463" s="1"/>
      <c r="AB1463" s="165"/>
      <c r="AC1463" s="1"/>
      <c r="AD1463" s="1"/>
      <c r="AE1463" s="1"/>
      <c r="AF1463" s="46"/>
      <c r="AG1463" s="1"/>
      <c r="AH1463" s="165"/>
      <c r="AI1463" s="165"/>
      <c r="AJ1463" s="165"/>
      <c r="AK1463" s="165"/>
      <c r="AL1463" s="165"/>
      <c r="AM1463" s="165"/>
      <c r="AN1463" s="165"/>
    </row>
    <row r="1464" spans="3:40">
      <c r="C1464" s="46"/>
      <c r="F1464" s="173"/>
      <c r="G1464" s="1"/>
      <c r="H1464" s="165"/>
      <c r="I1464" s="160"/>
      <c r="J1464" s="160"/>
      <c r="K1464" s="1"/>
      <c r="L1464" s="123"/>
      <c r="M1464" s="1"/>
      <c r="N1464" s="590"/>
      <c r="O1464" s="165"/>
      <c r="P1464" s="165"/>
      <c r="Q1464" s="165"/>
      <c r="R1464" s="165"/>
      <c r="S1464" s="165"/>
      <c r="V1464" s="46"/>
      <c r="W1464" s="46"/>
      <c r="X1464" s="1"/>
      <c r="Y1464" s="1"/>
      <c r="Z1464" s="173"/>
      <c r="AA1464" s="1"/>
      <c r="AB1464" s="165"/>
      <c r="AC1464" s="1"/>
      <c r="AD1464" s="1"/>
      <c r="AE1464" s="1"/>
      <c r="AF1464" s="46"/>
      <c r="AG1464" s="1"/>
      <c r="AH1464" s="165"/>
      <c r="AI1464" s="165"/>
      <c r="AJ1464" s="165"/>
      <c r="AK1464" s="165"/>
      <c r="AL1464" s="165"/>
      <c r="AM1464" s="165"/>
      <c r="AN1464" s="165"/>
    </row>
    <row r="1465" spans="3:40">
      <c r="C1465" s="46"/>
      <c r="F1465" s="173"/>
      <c r="G1465" s="1"/>
      <c r="H1465" s="165"/>
      <c r="I1465" s="160"/>
      <c r="J1465" s="160"/>
      <c r="K1465" s="1"/>
      <c r="L1465" s="123"/>
      <c r="M1465" s="1"/>
      <c r="N1465" s="590"/>
      <c r="O1465" s="165"/>
      <c r="P1465" s="165"/>
      <c r="Q1465" s="165"/>
      <c r="R1465" s="165"/>
      <c r="S1465" s="165"/>
      <c r="V1465" s="46"/>
      <c r="W1465" s="46"/>
      <c r="X1465" s="1"/>
      <c r="Y1465" s="1"/>
      <c r="Z1465" s="173"/>
      <c r="AA1465" s="1"/>
      <c r="AB1465" s="165"/>
      <c r="AC1465" s="1"/>
      <c r="AD1465" s="1"/>
      <c r="AE1465" s="1"/>
      <c r="AF1465" s="46"/>
      <c r="AG1465" s="1"/>
      <c r="AH1465" s="165"/>
      <c r="AI1465" s="165"/>
      <c r="AJ1465" s="165"/>
      <c r="AK1465" s="165"/>
      <c r="AL1465" s="165"/>
      <c r="AM1465" s="165"/>
      <c r="AN1465" s="165"/>
    </row>
    <row r="1466" spans="3:40">
      <c r="C1466" s="46"/>
      <c r="F1466" s="173"/>
      <c r="G1466" s="1"/>
      <c r="H1466" s="165"/>
      <c r="I1466" s="160"/>
      <c r="J1466" s="160"/>
      <c r="K1466" s="1"/>
      <c r="L1466" s="123"/>
      <c r="M1466" s="1"/>
      <c r="N1466" s="590"/>
      <c r="O1466" s="165"/>
      <c r="P1466" s="165"/>
      <c r="Q1466" s="165"/>
      <c r="R1466" s="165"/>
      <c r="S1466" s="165"/>
      <c r="V1466" s="46"/>
      <c r="W1466" s="46"/>
      <c r="X1466" s="1"/>
      <c r="Y1466" s="1"/>
      <c r="Z1466" s="173"/>
      <c r="AA1466" s="1"/>
      <c r="AB1466" s="165"/>
      <c r="AC1466" s="1"/>
      <c r="AD1466" s="1"/>
      <c r="AE1466" s="1"/>
      <c r="AF1466" s="46"/>
      <c r="AG1466" s="1"/>
      <c r="AH1466" s="165"/>
      <c r="AI1466" s="165"/>
      <c r="AJ1466" s="165"/>
      <c r="AK1466" s="165"/>
      <c r="AL1466" s="165"/>
      <c r="AM1466" s="165"/>
      <c r="AN1466" s="165"/>
    </row>
    <row r="1467" spans="3:40">
      <c r="C1467" s="46"/>
      <c r="F1467" s="173"/>
      <c r="G1467" s="1"/>
      <c r="H1467" s="165"/>
      <c r="I1467" s="160"/>
      <c r="J1467" s="160"/>
      <c r="K1467" s="1"/>
      <c r="L1467" s="123"/>
      <c r="M1467" s="1"/>
      <c r="N1467" s="590"/>
      <c r="O1467" s="165"/>
      <c r="P1467" s="165"/>
      <c r="Q1467" s="165"/>
      <c r="R1467" s="165"/>
      <c r="S1467" s="165"/>
      <c r="V1467" s="46"/>
      <c r="W1467" s="46"/>
      <c r="X1467" s="1"/>
      <c r="Y1467" s="1"/>
      <c r="Z1467" s="173"/>
      <c r="AA1467" s="1"/>
      <c r="AB1467" s="165"/>
      <c r="AC1467" s="1"/>
      <c r="AD1467" s="1"/>
      <c r="AE1467" s="1"/>
      <c r="AF1467" s="46"/>
      <c r="AG1467" s="1"/>
      <c r="AH1467" s="165"/>
      <c r="AI1467" s="165"/>
      <c r="AJ1467" s="165"/>
      <c r="AK1467" s="165"/>
      <c r="AL1467" s="165"/>
      <c r="AM1467" s="165"/>
      <c r="AN1467" s="165"/>
    </row>
    <row r="1468" spans="3:40">
      <c r="C1468" s="46"/>
      <c r="F1468" s="173"/>
      <c r="G1468" s="1"/>
      <c r="H1468" s="165"/>
      <c r="I1468" s="160"/>
      <c r="J1468" s="160"/>
      <c r="K1468" s="1"/>
      <c r="L1468" s="123"/>
      <c r="M1468" s="1"/>
      <c r="N1468" s="590"/>
      <c r="O1468" s="165"/>
      <c r="P1468" s="165"/>
      <c r="Q1468" s="165"/>
      <c r="R1468" s="165"/>
      <c r="S1468" s="165"/>
      <c r="V1468" s="46"/>
      <c r="W1468" s="46"/>
      <c r="X1468" s="1"/>
      <c r="Y1468" s="1"/>
      <c r="Z1468" s="173"/>
      <c r="AA1468" s="1"/>
      <c r="AB1468" s="165"/>
      <c r="AC1468" s="1"/>
      <c r="AD1468" s="1"/>
      <c r="AE1468" s="1"/>
      <c r="AF1468" s="46"/>
      <c r="AG1468" s="1"/>
      <c r="AH1468" s="165"/>
      <c r="AI1468" s="165"/>
      <c r="AJ1468" s="165"/>
      <c r="AK1468" s="165"/>
      <c r="AL1468" s="165"/>
      <c r="AM1468" s="165"/>
      <c r="AN1468" s="165"/>
    </row>
    <row r="1469" spans="3:40">
      <c r="C1469" s="46"/>
      <c r="F1469" s="173"/>
      <c r="G1469" s="1"/>
      <c r="H1469" s="165"/>
      <c r="I1469" s="160"/>
      <c r="J1469" s="160"/>
      <c r="K1469" s="1"/>
      <c r="L1469" s="123"/>
      <c r="M1469" s="1"/>
      <c r="N1469" s="590"/>
      <c r="O1469" s="165"/>
      <c r="P1469" s="165"/>
      <c r="Q1469" s="165"/>
      <c r="R1469" s="165"/>
      <c r="S1469" s="165"/>
      <c r="V1469" s="46"/>
      <c r="W1469" s="46"/>
      <c r="X1469" s="1"/>
      <c r="Y1469" s="1"/>
      <c r="Z1469" s="173"/>
      <c r="AA1469" s="1"/>
      <c r="AB1469" s="165"/>
      <c r="AC1469" s="1"/>
      <c r="AD1469" s="1"/>
      <c r="AE1469" s="1"/>
      <c r="AF1469" s="46"/>
      <c r="AG1469" s="1"/>
      <c r="AH1469" s="165"/>
      <c r="AI1469" s="165"/>
      <c r="AJ1469" s="165"/>
      <c r="AK1469" s="165"/>
      <c r="AL1469" s="165"/>
      <c r="AM1469" s="165"/>
      <c r="AN1469" s="165"/>
    </row>
    <row r="1470" spans="3:40">
      <c r="C1470" s="46"/>
      <c r="F1470" s="173"/>
      <c r="G1470" s="1"/>
      <c r="H1470" s="165"/>
      <c r="I1470" s="160"/>
      <c r="J1470" s="160"/>
      <c r="K1470" s="1"/>
      <c r="L1470" s="123"/>
      <c r="M1470" s="1"/>
      <c r="N1470" s="590"/>
      <c r="O1470" s="165"/>
      <c r="P1470" s="165"/>
      <c r="Q1470" s="165"/>
      <c r="R1470" s="165"/>
      <c r="S1470" s="165"/>
      <c r="V1470" s="46"/>
      <c r="W1470" s="46"/>
      <c r="X1470" s="1"/>
      <c r="Y1470" s="1"/>
      <c r="Z1470" s="173"/>
      <c r="AA1470" s="1"/>
      <c r="AB1470" s="165"/>
      <c r="AC1470" s="1"/>
      <c r="AD1470" s="1"/>
      <c r="AE1470" s="1"/>
      <c r="AF1470" s="46"/>
      <c r="AG1470" s="1"/>
      <c r="AH1470" s="165"/>
      <c r="AI1470" s="165"/>
      <c r="AJ1470" s="165"/>
      <c r="AK1470" s="165"/>
      <c r="AL1470" s="165"/>
      <c r="AM1470" s="165"/>
      <c r="AN1470" s="165"/>
    </row>
    <row r="1471" spans="3:40">
      <c r="C1471" s="46"/>
      <c r="F1471" s="173"/>
      <c r="G1471" s="1"/>
      <c r="H1471" s="165"/>
      <c r="I1471" s="160"/>
      <c r="J1471" s="160"/>
      <c r="K1471" s="1"/>
      <c r="L1471" s="123"/>
      <c r="M1471" s="1"/>
      <c r="N1471" s="590"/>
      <c r="O1471" s="165"/>
      <c r="P1471" s="165"/>
      <c r="Q1471" s="165"/>
      <c r="R1471" s="165"/>
      <c r="S1471" s="165"/>
      <c r="V1471" s="46"/>
      <c r="W1471" s="46"/>
      <c r="X1471" s="1"/>
      <c r="Y1471" s="1"/>
      <c r="Z1471" s="173"/>
      <c r="AA1471" s="1"/>
      <c r="AB1471" s="165"/>
      <c r="AC1471" s="1"/>
      <c r="AD1471" s="1"/>
      <c r="AE1471" s="1"/>
      <c r="AF1471" s="46"/>
      <c r="AG1471" s="1"/>
      <c r="AH1471" s="165"/>
      <c r="AI1471" s="165"/>
      <c r="AJ1471" s="165"/>
      <c r="AK1471" s="165"/>
      <c r="AL1471" s="165"/>
      <c r="AM1471" s="165"/>
      <c r="AN1471" s="165"/>
    </row>
    <row r="1472" spans="3:40">
      <c r="C1472" s="46"/>
      <c r="F1472" s="173"/>
      <c r="G1472" s="1"/>
      <c r="H1472" s="165"/>
      <c r="I1472" s="160"/>
      <c r="J1472" s="160"/>
      <c r="K1472" s="1"/>
      <c r="L1472" s="123"/>
      <c r="M1472" s="1"/>
      <c r="N1472" s="590"/>
      <c r="O1472" s="165"/>
      <c r="P1472" s="165"/>
      <c r="Q1472" s="165"/>
      <c r="R1472" s="165"/>
      <c r="S1472" s="165"/>
      <c r="V1472" s="46"/>
      <c r="W1472" s="46"/>
      <c r="X1472" s="1"/>
      <c r="Y1472" s="1"/>
      <c r="Z1472" s="173"/>
      <c r="AA1472" s="1"/>
      <c r="AB1472" s="165"/>
      <c r="AC1472" s="1"/>
      <c r="AD1472" s="1"/>
      <c r="AE1472" s="1"/>
      <c r="AF1472" s="46"/>
      <c r="AG1472" s="1"/>
      <c r="AH1472" s="165"/>
      <c r="AI1472" s="165"/>
      <c r="AJ1472" s="165"/>
      <c r="AK1472" s="165"/>
      <c r="AL1472" s="165"/>
      <c r="AM1472" s="165"/>
      <c r="AN1472" s="165"/>
    </row>
    <row r="1473" spans="3:40">
      <c r="C1473" s="46"/>
      <c r="F1473" s="173"/>
      <c r="G1473" s="1"/>
      <c r="H1473" s="165"/>
      <c r="I1473" s="160"/>
      <c r="J1473" s="160"/>
      <c r="K1473" s="1"/>
      <c r="L1473" s="123"/>
      <c r="M1473" s="1"/>
      <c r="N1473" s="590"/>
      <c r="O1473" s="165"/>
      <c r="P1473" s="165"/>
      <c r="Q1473" s="165"/>
      <c r="R1473" s="165"/>
      <c r="S1473" s="165"/>
      <c r="V1473" s="46"/>
      <c r="W1473" s="46"/>
      <c r="X1473" s="1"/>
      <c r="Y1473" s="1"/>
      <c r="Z1473" s="173"/>
      <c r="AA1473" s="1"/>
      <c r="AB1473" s="165"/>
      <c r="AC1473" s="1"/>
      <c r="AD1473" s="1"/>
      <c r="AE1473" s="1"/>
      <c r="AF1473" s="46"/>
      <c r="AG1473" s="1"/>
      <c r="AH1473" s="165"/>
      <c r="AI1473" s="165"/>
      <c r="AJ1473" s="165"/>
      <c r="AK1473" s="165"/>
      <c r="AL1473" s="165"/>
      <c r="AM1473" s="165"/>
      <c r="AN1473" s="165"/>
    </row>
    <row r="1474" spans="3:40">
      <c r="C1474" s="46"/>
      <c r="F1474" s="173"/>
      <c r="G1474" s="1"/>
      <c r="H1474" s="165"/>
      <c r="I1474" s="160"/>
      <c r="J1474" s="160"/>
      <c r="K1474" s="1"/>
      <c r="L1474" s="123"/>
      <c r="M1474" s="1"/>
      <c r="N1474" s="590"/>
      <c r="O1474" s="165"/>
      <c r="P1474" s="165"/>
      <c r="Q1474" s="165"/>
      <c r="R1474" s="165"/>
      <c r="S1474" s="165"/>
      <c r="V1474" s="46"/>
      <c r="W1474" s="46"/>
      <c r="X1474" s="1"/>
      <c r="Y1474" s="1"/>
      <c r="Z1474" s="173"/>
      <c r="AA1474" s="1"/>
      <c r="AB1474" s="165"/>
      <c r="AC1474" s="1"/>
      <c r="AD1474" s="1"/>
      <c r="AE1474" s="1"/>
      <c r="AF1474" s="46"/>
      <c r="AG1474" s="1"/>
      <c r="AH1474" s="165"/>
      <c r="AI1474" s="165"/>
      <c r="AJ1474" s="165"/>
      <c r="AK1474" s="165"/>
      <c r="AL1474" s="165"/>
      <c r="AM1474" s="165"/>
      <c r="AN1474" s="165"/>
    </row>
    <row r="1475" spans="3:40">
      <c r="C1475" s="46"/>
      <c r="F1475" s="173"/>
      <c r="G1475" s="1"/>
      <c r="H1475" s="165"/>
      <c r="I1475" s="160"/>
      <c r="J1475" s="160"/>
      <c r="K1475" s="1"/>
      <c r="L1475" s="123"/>
      <c r="M1475" s="1"/>
      <c r="N1475" s="590"/>
      <c r="O1475" s="165"/>
      <c r="P1475" s="165"/>
      <c r="Q1475" s="165"/>
      <c r="R1475" s="165"/>
      <c r="S1475" s="165"/>
      <c r="V1475" s="46"/>
      <c r="W1475" s="46"/>
      <c r="X1475" s="1"/>
      <c r="Y1475" s="1"/>
      <c r="Z1475" s="173"/>
      <c r="AA1475" s="1"/>
      <c r="AB1475" s="165"/>
      <c r="AC1475" s="1"/>
      <c r="AD1475" s="1"/>
      <c r="AE1475" s="1"/>
      <c r="AF1475" s="46"/>
      <c r="AG1475" s="1"/>
      <c r="AH1475" s="165"/>
      <c r="AI1475" s="165"/>
      <c r="AJ1475" s="165"/>
      <c r="AK1475" s="165"/>
      <c r="AL1475" s="165"/>
      <c r="AM1475" s="165"/>
      <c r="AN1475" s="165"/>
    </row>
    <row r="1476" spans="3:40">
      <c r="C1476" s="46"/>
      <c r="F1476" s="173"/>
      <c r="G1476" s="1"/>
      <c r="H1476" s="165"/>
      <c r="I1476" s="160"/>
      <c r="J1476" s="160"/>
      <c r="K1476" s="1"/>
      <c r="L1476" s="123"/>
      <c r="M1476" s="1"/>
      <c r="N1476" s="590"/>
      <c r="O1476" s="165"/>
      <c r="P1476" s="165"/>
      <c r="Q1476" s="165"/>
      <c r="R1476" s="165"/>
      <c r="S1476" s="165"/>
      <c r="V1476" s="46"/>
      <c r="W1476" s="46"/>
      <c r="X1476" s="1"/>
      <c r="Y1476" s="1"/>
      <c r="Z1476" s="173"/>
      <c r="AA1476" s="1"/>
      <c r="AB1476" s="165"/>
      <c r="AC1476" s="1"/>
      <c r="AD1476" s="1"/>
      <c r="AE1476" s="1"/>
      <c r="AF1476" s="46"/>
      <c r="AG1476" s="1"/>
      <c r="AH1476" s="165"/>
      <c r="AI1476" s="165"/>
      <c r="AJ1476" s="165"/>
      <c r="AK1476" s="165"/>
      <c r="AL1476" s="165"/>
      <c r="AM1476" s="165"/>
      <c r="AN1476" s="165"/>
    </row>
    <row r="1477" spans="3:40">
      <c r="C1477" s="46"/>
      <c r="F1477" s="173"/>
      <c r="G1477" s="1"/>
      <c r="H1477" s="165"/>
      <c r="I1477" s="160"/>
      <c r="J1477" s="160"/>
      <c r="K1477" s="1"/>
      <c r="L1477" s="123"/>
      <c r="M1477" s="1"/>
      <c r="N1477" s="590"/>
      <c r="O1477" s="165"/>
      <c r="P1477" s="165"/>
      <c r="Q1477" s="165"/>
      <c r="R1477" s="165"/>
      <c r="S1477" s="165"/>
      <c r="V1477" s="46"/>
      <c r="W1477" s="46"/>
      <c r="X1477" s="1"/>
      <c r="Y1477" s="1"/>
      <c r="Z1477" s="173"/>
      <c r="AA1477" s="1"/>
      <c r="AB1477" s="165"/>
      <c r="AC1477" s="1"/>
      <c r="AD1477" s="1"/>
      <c r="AE1477" s="1"/>
      <c r="AF1477" s="46"/>
      <c r="AG1477" s="1"/>
      <c r="AH1477" s="165"/>
      <c r="AI1477" s="165"/>
      <c r="AJ1477" s="165"/>
      <c r="AK1477" s="165"/>
      <c r="AL1477" s="165"/>
      <c r="AM1477" s="165"/>
      <c r="AN1477" s="165"/>
    </row>
    <row r="1478" spans="3:40">
      <c r="C1478" s="46"/>
      <c r="F1478" s="173"/>
      <c r="G1478" s="1"/>
      <c r="H1478" s="165"/>
      <c r="I1478" s="160"/>
      <c r="J1478" s="160"/>
      <c r="K1478" s="1"/>
      <c r="L1478" s="123"/>
      <c r="M1478" s="1"/>
      <c r="N1478" s="590"/>
      <c r="O1478" s="165"/>
      <c r="P1478" s="165"/>
      <c r="Q1478" s="165"/>
      <c r="R1478" s="165"/>
      <c r="S1478" s="165"/>
      <c r="V1478" s="46"/>
      <c r="W1478" s="46"/>
      <c r="X1478" s="1"/>
      <c r="Y1478" s="1"/>
      <c r="Z1478" s="173"/>
      <c r="AA1478" s="1"/>
      <c r="AB1478" s="165"/>
      <c r="AC1478" s="1"/>
      <c r="AD1478" s="1"/>
      <c r="AE1478" s="1"/>
      <c r="AF1478" s="46"/>
      <c r="AG1478" s="1"/>
      <c r="AH1478" s="165"/>
      <c r="AI1478" s="165"/>
      <c r="AJ1478" s="165"/>
      <c r="AK1478" s="165"/>
      <c r="AL1478" s="165"/>
      <c r="AM1478" s="165"/>
      <c r="AN1478" s="165"/>
    </row>
    <row r="1479" spans="3:40">
      <c r="C1479" s="46"/>
      <c r="F1479" s="173"/>
      <c r="G1479" s="1"/>
      <c r="H1479" s="165"/>
      <c r="I1479" s="160"/>
      <c r="J1479" s="160"/>
      <c r="K1479" s="1"/>
      <c r="L1479" s="123"/>
      <c r="M1479" s="1"/>
      <c r="N1479" s="590"/>
      <c r="O1479" s="165"/>
      <c r="P1479" s="165"/>
      <c r="Q1479" s="165"/>
      <c r="R1479" s="165"/>
      <c r="S1479" s="165"/>
      <c r="V1479" s="46"/>
      <c r="W1479" s="46"/>
      <c r="X1479" s="1"/>
      <c r="Y1479" s="1"/>
      <c r="Z1479" s="173"/>
      <c r="AA1479" s="1"/>
      <c r="AB1479" s="165"/>
      <c r="AC1479" s="1"/>
      <c r="AD1479" s="1"/>
      <c r="AE1479" s="1"/>
      <c r="AF1479" s="46"/>
      <c r="AG1479" s="1"/>
      <c r="AH1479" s="165"/>
      <c r="AI1479" s="165"/>
      <c r="AJ1479" s="165"/>
      <c r="AK1479" s="165"/>
      <c r="AL1479" s="165"/>
      <c r="AM1479" s="165"/>
      <c r="AN1479" s="165"/>
    </row>
    <row r="1480" spans="3:40">
      <c r="C1480" s="46"/>
      <c r="F1480" s="173"/>
      <c r="G1480" s="1"/>
      <c r="H1480" s="165"/>
      <c r="I1480" s="160"/>
      <c r="J1480" s="160"/>
      <c r="K1480" s="1"/>
      <c r="L1480" s="123"/>
      <c r="M1480" s="1"/>
      <c r="N1480" s="590"/>
      <c r="O1480" s="165"/>
      <c r="P1480" s="165"/>
      <c r="Q1480" s="165"/>
      <c r="R1480" s="165"/>
      <c r="S1480" s="165"/>
      <c r="V1480" s="46"/>
      <c r="W1480" s="46"/>
      <c r="X1480" s="1"/>
      <c r="Y1480" s="1"/>
      <c r="Z1480" s="173"/>
      <c r="AA1480" s="1"/>
      <c r="AB1480" s="165"/>
      <c r="AC1480" s="1"/>
      <c r="AD1480" s="1"/>
      <c r="AE1480" s="1"/>
      <c r="AF1480" s="46"/>
      <c r="AG1480" s="1"/>
      <c r="AH1480" s="165"/>
      <c r="AI1480" s="165"/>
      <c r="AJ1480" s="165"/>
      <c r="AK1480" s="165"/>
      <c r="AL1480" s="165"/>
      <c r="AM1480" s="165"/>
      <c r="AN1480" s="165"/>
    </row>
    <row r="1481" spans="3:40">
      <c r="C1481" s="46"/>
      <c r="F1481" s="173"/>
      <c r="G1481" s="1"/>
      <c r="H1481" s="165"/>
      <c r="I1481" s="160"/>
      <c r="J1481" s="160"/>
      <c r="K1481" s="1"/>
      <c r="L1481" s="123"/>
      <c r="M1481" s="1"/>
      <c r="N1481" s="590"/>
      <c r="O1481" s="165"/>
      <c r="P1481" s="165"/>
      <c r="Q1481" s="165"/>
      <c r="R1481" s="165"/>
      <c r="S1481" s="165"/>
      <c r="V1481" s="46"/>
      <c r="W1481" s="46"/>
      <c r="X1481" s="1"/>
      <c r="Y1481" s="1"/>
      <c r="Z1481" s="173"/>
      <c r="AA1481" s="1"/>
      <c r="AB1481" s="165"/>
      <c r="AC1481" s="1"/>
      <c r="AD1481" s="1"/>
      <c r="AE1481" s="1"/>
      <c r="AF1481" s="46"/>
      <c r="AG1481" s="1"/>
      <c r="AH1481" s="165"/>
      <c r="AI1481" s="165"/>
      <c r="AJ1481" s="165"/>
      <c r="AK1481" s="165"/>
      <c r="AL1481" s="165"/>
      <c r="AM1481" s="165"/>
      <c r="AN1481" s="165"/>
    </row>
    <row r="1482" spans="3:40">
      <c r="C1482" s="46"/>
      <c r="F1482" s="173"/>
      <c r="G1482" s="1"/>
      <c r="H1482" s="165"/>
      <c r="I1482" s="160"/>
      <c r="J1482" s="160"/>
      <c r="K1482" s="1"/>
      <c r="L1482" s="123"/>
      <c r="M1482" s="1"/>
      <c r="N1482" s="590"/>
      <c r="O1482" s="165"/>
      <c r="P1482" s="165"/>
      <c r="Q1482" s="165"/>
      <c r="R1482" s="165"/>
      <c r="S1482" s="165"/>
      <c r="V1482" s="46"/>
      <c r="W1482" s="46"/>
      <c r="X1482" s="1"/>
      <c r="Y1482" s="1"/>
      <c r="Z1482" s="173"/>
      <c r="AA1482" s="1"/>
      <c r="AB1482" s="165"/>
      <c r="AC1482" s="1"/>
      <c r="AD1482" s="1"/>
      <c r="AE1482" s="1"/>
      <c r="AF1482" s="46"/>
      <c r="AG1482" s="1"/>
      <c r="AH1482" s="165"/>
      <c r="AI1482" s="165"/>
      <c r="AJ1482" s="165"/>
      <c r="AK1482" s="165"/>
      <c r="AL1482" s="165"/>
      <c r="AM1482" s="165"/>
      <c r="AN1482" s="165"/>
    </row>
    <row r="1483" spans="3:40">
      <c r="C1483" s="46"/>
      <c r="F1483" s="173"/>
      <c r="G1483" s="1"/>
      <c r="H1483" s="165"/>
      <c r="I1483" s="160"/>
      <c r="J1483" s="160"/>
      <c r="K1483" s="1"/>
      <c r="L1483" s="123"/>
      <c r="M1483" s="1"/>
      <c r="N1483" s="590"/>
      <c r="O1483" s="165"/>
      <c r="P1483" s="165"/>
      <c r="Q1483" s="165"/>
      <c r="R1483" s="165"/>
      <c r="S1483" s="165"/>
      <c r="V1483" s="46"/>
      <c r="W1483" s="46"/>
      <c r="X1483" s="1"/>
      <c r="Y1483" s="1"/>
      <c r="Z1483" s="173"/>
      <c r="AA1483" s="1"/>
      <c r="AB1483" s="165"/>
      <c r="AC1483" s="1"/>
      <c r="AD1483" s="1"/>
      <c r="AE1483" s="1"/>
      <c r="AF1483" s="46"/>
      <c r="AG1483" s="1"/>
      <c r="AH1483" s="165"/>
      <c r="AI1483" s="165"/>
      <c r="AJ1483" s="165"/>
      <c r="AK1483" s="165"/>
      <c r="AL1483" s="165"/>
      <c r="AM1483" s="165"/>
      <c r="AN1483" s="165"/>
    </row>
    <row r="1484" spans="3:40">
      <c r="C1484" s="46"/>
      <c r="F1484" s="173"/>
      <c r="G1484" s="1"/>
      <c r="H1484" s="165"/>
      <c r="I1484" s="160"/>
      <c r="J1484" s="160"/>
      <c r="K1484" s="1"/>
      <c r="L1484" s="123"/>
      <c r="M1484" s="1"/>
      <c r="N1484" s="590"/>
      <c r="O1484" s="165"/>
      <c r="P1484" s="165"/>
      <c r="Q1484" s="165"/>
      <c r="R1484" s="165"/>
      <c r="S1484" s="165"/>
      <c r="V1484" s="46"/>
      <c r="W1484" s="46"/>
      <c r="X1484" s="1"/>
      <c r="Y1484" s="1"/>
      <c r="Z1484" s="173"/>
      <c r="AA1484" s="1"/>
      <c r="AB1484" s="165"/>
      <c r="AC1484" s="1"/>
      <c r="AD1484" s="1"/>
      <c r="AE1484" s="1"/>
      <c r="AF1484" s="46"/>
      <c r="AG1484" s="1"/>
      <c r="AH1484" s="165"/>
      <c r="AI1484" s="165"/>
      <c r="AJ1484" s="165"/>
      <c r="AK1484" s="165"/>
      <c r="AL1484" s="165"/>
      <c r="AM1484" s="165"/>
      <c r="AN1484" s="165"/>
    </row>
    <row r="1485" spans="3:40">
      <c r="C1485" s="46"/>
      <c r="F1485" s="173"/>
      <c r="G1485" s="1"/>
      <c r="H1485" s="165"/>
      <c r="I1485" s="160"/>
      <c r="J1485" s="160"/>
      <c r="K1485" s="1"/>
      <c r="L1485" s="123"/>
      <c r="M1485" s="1"/>
      <c r="N1485" s="590"/>
      <c r="O1485" s="165"/>
      <c r="P1485" s="165"/>
      <c r="Q1485" s="165"/>
      <c r="R1485" s="165"/>
      <c r="S1485" s="165"/>
      <c r="V1485" s="46"/>
      <c r="W1485" s="46"/>
      <c r="X1485" s="1"/>
      <c r="Y1485" s="1"/>
      <c r="Z1485" s="173"/>
      <c r="AA1485" s="1"/>
      <c r="AB1485" s="165"/>
      <c r="AC1485" s="1"/>
      <c r="AD1485" s="1"/>
      <c r="AE1485" s="1"/>
      <c r="AF1485" s="46"/>
      <c r="AG1485" s="1"/>
      <c r="AH1485" s="165"/>
      <c r="AI1485" s="165"/>
      <c r="AJ1485" s="165"/>
      <c r="AK1485" s="165"/>
      <c r="AL1485" s="165"/>
      <c r="AM1485" s="165"/>
      <c r="AN1485" s="165"/>
    </row>
    <row r="1486" spans="3:40">
      <c r="C1486" s="46"/>
      <c r="F1486" s="173"/>
      <c r="G1486" s="1"/>
      <c r="H1486" s="165"/>
      <c r="I1486" s="160"/>
      <c r="J1486" s="160"/>
      <c r="K1486" s="1"/>
      <c r="L1486" s="123"/>
      <c r="M1486" s="1"/>
      <c r="N1486" s="590"/>
      <c r="O1486" s="165"/>
      <c r="P1486" s="165"/>
      <c r="Q1486" s="165"/>
      <c r="R1486" s="165"/>
      <c r="S1486" s="165"/>
      <c r="V1486" s="46"/>
      <c r="W1486" s="46"/>
      <c r="X1486" s="1"/>
      <c r="Y1486" s="1"/>
      <c r="Z1486" s="173"/>
      <c r="AA1486" s="1"/>
      <c r="AB1486" s="165"/>
      <c r="AC1486" s="1"/>
      <c r="AD1486" s="1"/>
      <c r="AE1486" s="1"/>
      <c r="AF1486" s="46"/>
      <c r="AG1486" s="1"/>
      <c r="AH1486" s="165"/>
      <c r="AI1486" s="165"/>
      <c r="AJ1486" s="165"/>
      <c r="AK1486" s="165"/>
      <c r="AL1486" s="165"/>
      <c r="AM1486" s="165"/>
      <c r="AN1486" s="165"/>
    </row>
    <row r="1487" spans="3:40">
      <c r="C1487" s="46"/>
      <c r="F1487" s="173"/>
      <c r="G1487" s="1"/>
      <c r="H1487" s="165"/>
      <c r="I1487" s="160"/>
      <c r="J1487" s="160"/>
      <c r="K1487" s="1"/>
      <c r="L1487" s="123"/>
      <c r="M1487" s="1"/>
      <c r="N1487" s="590"/>
      <c r="O1487" s="165"/>
      <c r="P1487" s="165"/>
      <c r="Q1487" s="165"/>
      <c r="R1487" s="165"/>
      <c r="S1487" s="165"/>
      <c r="V1487" s="46"/>
      <c r="W1487" s="46"/>
      <c r="X1487" s="1"/>
      <c r="Y1487" s="1"/>
      <c r="Z1487" s="173"/>
      <c r="AA1487" s="1"/>
      <c r="AB1487" s="165"/>
      <c r="AC1487" s="1"/>
      <c r="AD1487" s="1"/>
      <c r="AE1487" s="1"/>
      <c r="AF1487" s="46"/>
      <c r="AG1487" s="1"/>
      <c r="AH1487" s="165"/>
      <c r="AI1487" s="165"/>
      <c r="AJ1487" s="165"/>
      <c r="AK1487" s="165"/>
      <c r="AL1487" s="165"/>
      <c r="AM1487" s="165"/>
      <c r="AN1487" s="165"/>
    </row>
    <row r="1488" spans="3:40">
      <c r="C1488" s="46"/>
      <c r="F1488" s="173"/>
      <c r="G1488" s="1"/>
      <c r="H1488" s="165"/>
      <c r="I1488" s="160"/>
      <c r="J1488" s="160"/>
      <c r="K1488" s="1"/>
      <c r="L1488" s="123"/>
      <c r="M1488" s="1"/>
      <c r="N1488" s="590"/>
      <c r="O1488" s="165"/>
      <c r="P1488" s="165"/>
      <c r="Q1488" s="165"/>
      <c r="R1488" s="165"/>
      <c r="S1488" s="165"/>
      <c r="V1488" s="46"/>
      <c r="W1488" s="46"/>
      <c r="X1488" s="1"/>
      <c r="Y1488" s="1"/>
      <c r="Z1488" s="173"/>
      <c r="AA1488" s="1"/>
      <c r="AB1488" s="165"/>
      <c r="AC1488" s="1"/>
      <c r="AD1488" s="1"/>
      <c r="AE1488" s="1"/>
      <c r="AF1488" s="46"/>
      <c r="AG1488" s="1"/>
      <c r="AH1488" s="165"/>
      <c r="AI1488" s="165"/>
      <c r="AJ1488" s="165"/>
      <c r="AK1488" s="165"/>
      <c r="AL1488" s="165"/>
      <c r="AM1488" s="165"/>
      <c r="AN1488" s="165"/>
    </row>
    <row r="1489" spans="3:40">
      <c r="C1489" s="46"/>
      <c r="F1489" s="173"/>
      <c r="G1489" s="1"/>
      <c r="H1489" s="165"/>
      <c r="I1489" s="160"/>
      <c r="J1489" s="160"/>
      <c r="K1489" s="1"/>
      <c r="L1489" s="123"/>
      <c r="M1489" s="1"/>
      <c r="N1489" s="590"/>
      <c r="O1489" s="165"/>
      <c r="P1489" s="165"/>
      <c r="Q1489" s="165"/>
      <c r="R1489" s="165"/>
      <c r="S1489" s="165"/>
      <c r="V1489" s="46"/>
      <c r="W1489" s="46"/>
      <c r="X1489" s="1"/>
      <c r="Y1489" s="1"/>
      <c r="Z1489" s="173"/>
      <c r="AA1489" s="1"/>
      <c r="AB1489" s="165"/>
      <c r="AC1489" s="1"/>
      <c r="AD1489" s="1"/>
      <c r="AE1489" s="1"/>
      <c r="AF1489" s="46"/>
      <c r="AG1489" s="1"/>
      <c r="AH1489" s="165"/>
      <c r="AI1489" s="165"/>
      <c r="AJ1489" s="165"/>
      <c r="AK1489" s="165"/>
      <c r="AL1489" s="165"/>
      <c r="AM1489" s="165"/>
      <c r="AN1489" s="165"/>
    </row>
    <row r="1490" spans="3:40">
      <c r="C1490" s="46"/>
      <c r="F1490" s="173"/>
      <c r="G1490" s="1"/>
      <c r="H1490" s="165"/>
      <c r="I1490" s="160"/>
      <c r="J1490" s="160"/>
      <c r="K1490" s="1"/>
      <c r="L1490" s="123"/>
      <c r="M1490" s="1"/>
      <c r="N1490" s="590"/>
      <c r="O1490" s="165"/>
      <c r="P1490" s="165"/>
      <c r="Q1490" s="165"/>
      <c r="R1490" s="165"/>
      <c r="S1490" s="165"/>
      <c r="V1490" s="46"/>
      <c r="W1490" s="46"/>
      <c r="X1490" s="1"/>
      <c r="Y1490" s="1"/>
      <c r="Z1490" s="173"/>
      <c r="AA1490" s="1"/>
      <c r="AB1490" s="165"/>
      <c r="AC1490" s="1"/>
      <c r="AD1490" s="1"/>
      <c r="AE1490" s="1"/>
      <c r="AF1490" s="46"/>
      <c r="AG1490" s="1"/>
      <c r="AH1490" s="165"/>
      <c r="AI1490" s="165"/>
      <c r="AJ1490" s="165"/>
      <c r="AK1490" s="165"/>
      <c r="AL1490" s="165"/>
      <c r="AM1490" s="165"/>
      <c r="AN1490" s="165"/>
    </row>
    <row r="1491" spans="3:40">
      <c r="C1491" s="46"/>
      <c r="F1491" s="173"/>
      <c r="G1491" s="1"/>
      <c r="H1491" s="165"/>
      <c r="I1491" s="160"/>
      <c r="J1491" s="160"/>
      <c r="K1491" s="1"/>
      <c r="L1491" s="123"/>
      <c r="M1491" s="1"/>
      <c r="N1491" s="590"/>
      <c r="O1491" s="165"/>
      <c r="P1491" s="165"/>
      <c r="Q1491" s="165"/>
      <c r="R1491" s="165"/>
      <c r="S1491" s="165"/>
      <c r="V1491" s="46"/>
      <c r="W1491" s="46"/>
      <c r="X1491" s="1"/>
      <c r="Y1491" s="1"/>
      <c r="Z1491" s="173"/>
      <c r="AA1491" s="1"/>
      <c r="AB1491" s="165"/>
      <c r="AC1491" s="1"/>
      <c r="AD1491" s="1"/>
      <c r="AE1491" s="1"/>
      <c r="AF1491" s="46"/>
      <c r="AG1491" s="1"/>
      <c r="AH1491" s="165"/>
      <c r="AI1491" s="165"/>
      <c r="AJ1491" s="165"/>
      <c r="AK1491" s="165"/>
      <c r="AL1491" s="165"/>
      <c r="AM1491" s="165"/>
      <c r="AN1491" s="165"/>
    </row>
    <row r="1492" spans="3:40">
      <c r="C1492" s="46"/>
      <c r="F1492" s="173"/>
      <c r="G1492" s="1"/>
      <c r="H1492" s="165"/>
      <c r="I1492" s="160"/>
      <c r="J1492" s="160"/>
      <c r="K1492" s="1"/>
      <c r="L1492" s="123"/>
      <c r="M1492" s="1"/>
      <c r="N1492" s="590"/>
      <c r="O1492" s="165"/>
      <c r="P1492" s="165"/>
      <c r="Q1492" s="165"/>
      <c r="R1492" s="165"/>
      <c r="S1492" s="165"/>
      <c r="V1492" s="46"/>
      <c r="W1492" s="46"/>
      <c r="X1492" s="1"/>
      <c r="Y1492" s="1"/>
      <c r="Z1492" s="173"/>
      <c r="AA1492" s="1"/>
      <c r="AB1492" s="165"/>
      <c r="AC1492" s="1"/>
      <c r="AD1492" s="1"/>
      <c r="AE1492" s="1"/>
      <c r="AF1492" s="46"/>
      <c r="AG1492" s="1"/>
      <c r="AH1492" s="165"/>
      <c r="AI1492" s="165"/>
      <c r="AJ1492" s="165"/>
      <c r="AK1492" s="165"/>
      <c r="AL1492" s="165"/>
      <c r="AM1492" s="165"/>
      <c r="AN1492" s="165"/>
    </row>
    <row r="1493" spans="3:40">
      <c r="C1493" s="46"/>
      <c r="F1493" s="173"/>
      <c r="G1493" s="1"/>
      <c r="H1493" s="165"/>
      <c r="I1493" s="160"/>
      <c r="J1493" s="160"/>
      <c r="K1493" s="1"/>
      <c r="L1493" s="123"/>
      <c r="M1493" s="1"/>
      <c r="N1493" s="590"/>
      <c r="O1493" s="165"/>
      <c r="P1493" s="165"/>
      <c r="Q1493" s="165"/>
      <c r="R1493" s="165"/>
      <c r="S1493" s="165"/>
      <c r="V1493" s="46"/>
      <c r="W1493" s="46"/>
      <c r="X1493" s="1"/>
      <c r="Y1493" s="1"/>
      <c r="Z1493" s="173"/>
      <c r="AA1493" s="1"/>
      <c r="AB1493" s="165"/>
      <c r="AC1493" s="1"/>
      <c r="AD1493" s="1"/>
      <c r="AE1493" s="1"/>
      <c r="AF1493" s="46"/>
      <c r="AG1493" s="1"/>
      <c r="AH1493" s="165"/>
      <c r="AI1493" s="165"/>
      <c r="AJ1493" s="165"/>
      <c r="AK1493" s="165"/>
      <c r="AL1493" s="165"/>
      <c r="AM1493" s="165"/>
      <c r="AN1493" s="165"/>
    </row>
    <row r="1494" spans="3:40">
      <c r="C1494" s="46"/>
      <c r="F1494" s="173"/>
      <c r="G1494" s="1"/>
      <c r="H1494" s="165"/>
      <c r="I1494" s="160"/>
      <c r="J1494" s="160"/>
      <c r="K1494" s="1"/>
      <c r="L1494" s="123"/>
      <c r="M1494" s="1"/>
      <c r="N1494" s="590"/>
      <c r="O1494" s="165"/>
      <c r="P1494" s="165"/>
      <c r="Q1494" s="165"/>
      <c r="R1494" s="165"/>
      <c r="S1494" s="165"/>
      <c r="V1494" s="46"/>
      <c r="W1494" s="46"/>
      <c r="X1494" s="1"/>
      <c r="Y1494" s="1"/>
      <c r="Z1494" s="173"/>
      <c r="AA1494" s="1"/>
      <c r="AB1494" s="165"/>
      <c r="AC1494" s="1"/>
      <c r="AD1494" s="1"/>
      <c r="AE1494" s="1"/>
      <c r="AF1494" s="46"/>
      <c r="AG1494" s="1"/>
      <c r="AH1494" s="165"/>
      <c r="AI1494" s="165"/>
      <c r="AJ1494" s="165"/>
      <c r="AK1494" s="165"/>
      <c r="AL1494" s="165"/>
      <c r="AM1494" s="165"/>
      <c r="AN1494" s="165"/>
    </row>
    <row r="1495" spans="3:40">
      <c r="C1495" s="46"/>
      <c r="F1495" s="173"/>
      <c r="G1495" s="1"/>
      <c r="H1495" s="165"/>
      <c r="I1495" s="160"/>
      <c r="J1495" s="160"/>
      <c r="K1495" s="1"/>
      <c r="L1495" s="123"/>
      <c r="M1495" s="1"/>
      <c r="N1495" s="590"/>
      <c r="O1495" s="165"/>
      <c r="P1495" s="165"/>
      <c r="Q1495" s="165"/>
      <c r="R1495" s="165"/>
      <c r="S1495" s="165"/>
      <c r="V1495" s="46"/>
      <c r="W1495" s="46"/>
      <c r="X1495" s="1"/>
      <c r="Y1495" s="1"/>
      <c r="Z1495" s="173"/>
      <c r="AA1495" s="1"/>
      <c r="AB1495" s="165"/>
      <c r="AC1495" s="1"/>
      <c r="AD1495" s="1"/>
      <c r="AE1495" s="1"/>
      <c r="AF1495" s="46"/>
      <c r="AG1495" s="1"/>
      <c r="AH1495" s="165"/>
      <c r="AI1495" s="165"/>
      <c r="AJ1495" s="165"/>
      <c r="AK1495" s="165"/>
      <c r="AL1495" s="165"/>
      <c r="AM1495" s="165"/>
      <c r="AN1495" s="165"/>
    </row>
    <row r="1496" spans="3:40">
      <c r="C1496" s="46"/>
      <c r="F1496" s="173"/>
      <c r="G1496" s="1"/>
      <c r="H1496" s="165"/>
      <c r="I1496" s="160"/>
      <c r="J1496" s="160"/>
      <c r="K1496" s="1"/>
      <c r="L1496" s="123"/>
      <c r="M1496" s="1"/>
      <c r="N1496" s="590"/>
      <c r="O1496" s="165"/>
      <c r="P1496" s="165"/>
      <c r="Q1496" s="165"/>
      <c r="R1496" s="165"/>
      <c r="S1496" s="165"/>
      <c r="V1496" s="46"/>
      <c r="W1496" s="46"/>
      <c r="X1496" s="1"/>
      <c r="Y1496" s="1"/>
      <c r="Z1496" s="173"/>
      <c r="AA1496" s="1"/>
      <c r="AB1496" s="165"/>
      <c r="AC1496" s="1"/>
      <c r="AD1496" s="1"/>
      <c r="AE1496" s="1"/>
      <c r="AF1496" s="46"/>
      <c r="AG1496" s="1"/>
      <c r="AH1496" s="165"/>
      <c r="AI1496" s="165"/>
      <c r="AJ1496" s="165"/>
      <c r="AK1496" s="165"/>
      <c r="AL1496" s="165"/>
      <c r="AM1496" s="165"/>
      <c r="AN1496" s="165"/>
    </row>
    <row r="1497" spans="3:40">
      <c r="C1497" s="46"/>
      <c r="F1497" s="173"/>
      <c r="G1497" s="1"/>
      <c r="H1497" s="165"/>
      <c r="I1497" s="160"/>
      <c r="J1497" s="160"/>
      <c r="K1497" s="1"/>
      <c r="L1497" s="123"/>
      <c r="M1497" s="1"/>
      <c r="N1497" s="590"/>
      <c r="O1497" s="165"/>
      <c r="P1497" s="165"/>
      <c r="Q1497" s="165"/>
      <c r="R1497" s="165"/>
      <c r="S1497" s="165"/>
      <c r="V1497" s="46"/>
      <c r="W1497" s="46"/>
      <c r="X1497" s="1"/>
      <c r="Y1497" s="1"/>
      <c r="Z1497" s="173"/>
      <c r="AA1497" s="1"/>
      <c r="AB1497" s="165"/>
      <c r="AC1497" s="1"/>
      <c r="AD1497" s="1"/>
      <c r="AE1497" s="1"/>
      <c r="AF1497" s="46"/>
      <c r="AG1497" s="1"/>
      <c r="AH1497" s="165"/>
      <c r="AI1497" s="165"/>
      <c r="AJ1497" s="165"/>
      <c r="AK1497" s="165"/>
      <c r="AL1497" s="165"/>
      <c r="AM1497" s="165"/>
      <c r="AN1497" s="165"/>
    </row>
    <row r="1498" spans="3:40">
      <c r="C1498" s="46"/>
      <c r="F1498" s="173"/>
      <c r="G1498" s="1"/>
      <c r="H1498" s="165"/>
      <c r="I1498" s="160"/>
      <c r="J1498" s="160"/>
      <c r="K1498" s="1"/>
      <c r="L1498" s="123"/>
      <c r="M1498" s="1"/>
      <c r="N1498" s="590"/>
      <c r="O1498" s="165"/>
      <c r="P1498" s="165"/>
      <c r="Q1498" s="165"/>
      <c r="R1498" s="165"/>
      <c r="S1498" s="165"/>
      <c r="V1498" s="46"/>
      <c r="W1498" s="46"/>
      <c r="X1498" s="1"/>
      <c r="Y1498" s="1"/>
      <c r="Z1498" s="173"/>
      <c r="AA1498" s="1"/>
      <c r="AB1498" s="165"/>
      <c r="AC1498" s="1"/>
      <c r="AD1498" s="1"/>
      <c r="AE1498" s="1"/>
      <c r="AF1498" s="46"/>
      <c r="AG1498" s="1"/>
      <c r="AH1498" s="165"/>
      <c r="AI1498" s="165"/>
      <c r="AJ1498" s="165"/>
      <c r="AK1498" s="165"/>
      <c r="AL1498" s="165"/>
      <c r="AM1498" s="165"/>
      <c r="AN1498" s="165"/>
    </row>
    <row r="1499" spans="3:40">
      <c r="C1499" s="46"/>
      <c r="F1499" s="173"/>
      <c r="G1499" s="1"/>
      <c r="H1499" s="165"/>
      <c r="I1499" s="160"/>
      <c r="J1499" s="160"/>
      <c r="K1499" s="1"/>
      <c r="L1499" s="123"/>
      <c r="M1499" s="1"/>
      <c r="N1499" s="590"/>
      <c r="O1499" s="165"/>
      <c r="P1499" s="165"/>
      <c r="Q1499" s="165"/>
      <c r="R1499" s="165"/>
      <c r="S1499" s="165"/>
      <c r="V1499" s="46"/>
      <c r="W1499" s="46"/>
      <c r="X1499" s="1"/>
      <c r="Y1499" s="1"/>
      <c r="Z1499" s="173"/>
      <c r="AA1499" s="1"/>
      <c r="AB1499" s="165"/>
      <c r="AC1499" s="1"/>
      <c r="AD1499" s="1"/>
      <c r="AE1499" s="1"/>
      <c r="AF1499" s="46"/>
      <c r="AG1499" s="1"/>
      <c r="AH1499" s="165"/>
      <c r="AI1499" s="165"/>
      <c r="AJ1499" s="165"/>
      <c r="AK1499" s="165"/>
      <c r="AL1499" s="165"/>
      <c r="AM1499" s="165"/>
      <c r="AN1499" s="165"/>
    </row>
    <row r="1500" spans="3:40">
      <c r="C1500" s="46"/>
      <c r="F1500" s="173"/>
      <c r="G1500" s="1"/>
      <c r="H1500" s="165"/>
      <c r="I1500" s="160"/>
      <c r="J1500" s="160"/>
      <c r="K1500" s="1"/>
      <c r="L1500" s="123"/>
      <c r="M1500" s="1"/>
      <c r="N1500" s="590"/>
      <c r="O1500" s="165"/>
      <c r="P1500" s="165"/>
      <c r="Q1500" s="165"/>
      <c r="R1500" s="165"/>
      <c r="S1500" s="165"/>
      <c r="V1500" s="46"/>
      <c r="W1500" s="46"/>
      <c r="X1500" s="1"/>
      <c r="Y1500" s="1"/>
      <c r="Z1500" s="173"/>
      <c r="AA1500" s="1"/>
      <c r="AB1500" s="165"/>
      <c r="AC1500" s="1"/>
      <c r="AD1500" s="1"/>
      <c r="AE1500" s="1"/>
      <c r="AF1500" s="46"/>
      <c r="AG1500" s="1"/>
      <c r="AH1500" s="165"/>
      <c r="AI1500" s="165"/>
      <c r="AJ1500" s="165"/>
      <c r="AK1500" s="165"/>
      <c r="AL1500" s="165"/>
      <c r="AM1500" s="165"/>
      <c r="AN1500" s="165"/>
    </row>
    <row r="1501" spans="3:40">
      <c r="C1501" s="46"/>
      <c r="F1501" s="173"/>
      <c r="G1501" s="1"/>
      <c r="H1501" s="165"/>
      <c r="I1501" s="160"/>
      <c r="J1501" s="160"/>
      <c r="K1501" s="1"/>
      <c r="L1501" s="123"/>
      <c r="M1501" s="1"/>
      <c r="N1501" s="590"/>
      <c r="O1501" s="165"/>
      <c r="P1501" s="165"/>
      <c r="Q1501" s="165"/>
      <c r="R1501" s="165"/>
      <c r="S1501" s="165"/>
      <c r="V1501" s="46"/>
      <c r="W1501" s="46"/>
      <c r="X1501" s="1"/>
      <c r="Y1501" s="1"/>
      <c r="Z1501" s="173"/>
      <c r="AA1501" s="1"/>
      <c r="AB1501" s="165"/>
      <c r="AC1501" s="1"/>
      <c r="AD1501" s="1"/>
      <c r="AE1501" s="1"/>
      <c r="AF1501" s="46"/>
      <c r="AG1501" s="1"/>
      <c r="AH1501" s="165"/>
      <c r="AI1501" s="165"/>
      <c r="AJ1501" s="165"/>
      <c r="AK1501" s="165"/>
      <c r="AL1501" s="165"/>
      <c r="AM1501" s="165"/>
      <c r="AN1501" s="165"/>
    </row>
    <row r="1502" spans="3:40">
      <c r="C1502" s="46"/>
      <c r="F1502" s="173"/>
      <c r="G1502" s="1"/>
      <c r="H1502" s="165"/>
      <c r="I1502" s="160"/>
      <c r="J1502" s="160"/>
      <c r="K1502" s="1"/>
      <c r="L1502" s="123"/>
      <c r="M1502" s="1"/>
      <c r="N1502" s="590"/>
      <c r="O1502" s="165"/>
      <c r="P1502" s="165"/>
      <c r="Q1502" s="165"/>
      <c r="R1502" s="165"/>
      <c r="S1502" s="165"/>
      <c r="V1502" s="46"/>
      <c r="W1502" s="46"/>
      <c r="X1502" s="1"/>
      <c r="Y1502" s="1"/>
      <c r="Z1502" s="173"/>
      <c r="AA1502" s="1"/>
      <c r="AB1502" s="165"/>
      <c r="AC1502" s="1"/>
      <c r="AD1502" s="1"/>
      <c r="AE1502" s="1"/>
      <c r="AF1502" s="46"/>
      <c r="AG1502" s="1"/>
      <c r="AH1502" s="165"/>
      <c r="AI1502" s="165"/>
      <c r="AJ1502" s="165"/>
      <c r="AK1502" s="165"/>
      <c r="AL1502" s="165"/>
      <c r="AM1502" s="165"/>
      <c r="AN1502" s="165"/>
    </row>
    <row r="1503" spans="3:40">
      <c r="C1503" s="46"/>
      <c r="F1503" s="173"/>
      <c r="G1503" s="1"/>
      <c r="H1503" s="165"/>
      <c r="I1503" s="160"/>
      <c r="J1503" s="160"/>
      <c r="K1503" s="1"/>
      <c r="L1503" s="123"/>
      <c r="M1503" s="1"/>
      <c r="N1503" s="590"/>
      <c r="O1503" s="165"/>
      <c r="P1503" s="165"/>
      <c r="Q1503" s="165"/>
      <c r="R1503" s="165"/>
      <c r="S1503" s="165"/>
      <c r="V1503" s="46"/>
      <c r="W1503" s="46"/>
      <c r="X1503" s="1"/>
      <c r="Y1503" s="1"/>
      <c r="Z1503" s="173"/>
      <c r="AA1503" s="1"/>
      <c r="AB1503" s="165"/>
      <c r="AC1503" s="1"/>
      <c r="AD1503" s="1"/>
      <c r="AE1503" s="1"/>
      <c r="AF1503" s="46"/>
      <c r="AG1503" s="1"/>
      <c r="AH1503" s="165"/>
      <c r="AI1503" s="165"/>
      <c r="AJ1503" s="165"/>
      <c r="AK1503" s="165"/>
      <c r="AL1503" s="165"/>
      <c r="AM1503" s="165"/>
      <c r="AN1503" s="165"/>
    </row>
    <row r="1504" spans="3:40">
      <c r="C1504" s="46"/>
      <c r="F1504" s="173"/>
      <c r="G1504" s="1"/>
      <c r="H1504" s="165"/>
      <c r="I1504" s="160"/>
      <c r="J1504" s="160"/>
      <c r="K1504" s="1"/>
      <c r="L1504" s="123"/>
      <c r="M1504" s="1"/>
      <c r="N1504" s="590"/>
      <c r="O1504" s="165"/>
      <c r="P1504" s="165"/>
      <c r="Q1504" s="165"/>
      <c r="R1504" s="165"/>
      <c r="S1504" s="165"/>
      <c r="V1504" s="46"/>
      <c r="W1504" s="46"/>
      <c r="X1504" s="1"/>
      <c r="Y1504" s="1"/>
      <c r="Z1504" s="173"/>
      <c r="AA1504" s="1"/>
      <c r="AB1504" s="165"/>
      <c r="AC1504" s="1"/>
      <c r="AD1504" s="1"/>
      <c r="AE1504" s="1"/>
      <c r="AF1504" s="46"/>
      <c r="AG1504" s="1"/>
      <c r="AH1504" s="165"/>
      <c r="AI1504" s="165"/>
      <c r="AJ1504" s="165"/>
      <c r="AK1504" s="165"/>
      <c r="AL1504" s="165"/>
      <c r="AM1504" s="165"/>
      <c r="AN1504" s="165"/>
    </row>
    <row r="1505" spans="3:40">
      <c r="C1505" s="46"/>
      <c r="F1505" s="173"/>
      <c r="G1505" s="1"/>
      <c r="H1505" s="165"/>
      <c r="I1505" s="160"/>
      <c r="J1505" s="160"/>
      <c r="K1505" s="1"/>
      <c r="L1505" s="123"/>
      <c r="M1505" s="1"/>
      <c r="N1505" s="590"/>
      <c r="O1505" s="165"/>
      <c r="P1505" s="165"/>
      <c r="Q1505" s="165"/>
      <c r="R1505" s="165"/>
      <c r="S1505" s="165"/>
      <c r="V1505" s="46"/>
      <c r="W1505" s="46"/>
      <c r="X1505" s="1"/>
      <c r="Y1505" s="1"/>
      <c r="Z1505" s="173"/>
      <c r="AA1505" s="1"/>
      <c r="AB1505" s="165"/>
      <c r="AC1505" s="1"/>
      <c r="AD1505" s="1"/>
      <c r="AE1505" s="1"/>
      <c r="AF1505" s="46"/>
      <c r="AG1505" s="1"/>
      <c r="AH1505" s="165"/>
      <c r="AI1505" s="165"/>
      <c r="AJ1505" s="165"/>
      <c r="AK1505" s="165"/>
      <c r="AL1505" s="165"/>
      <c r="AM1505" s="165"/>
      <c r="AN1505" s="165"/>
    </row>
    <row r="1506" spans="3:40">
      <c r="C1506" s="46"/>
      <c r="F1506" s="173"/>
      <c r="G1506" s="1"/>
      <c r="H1506" s="165"/>
      <c r="I1506" s="160"/>
      <c r="J1506" s="160"/>
      <c r="K1506" s="1"/>
      <c r="L1506" s="123"/>
      <c r="M1506" s="1"/>
      <c r="N1506" s="590"/>
      <c r="O1506" s="165"/>
      <c r="P1506" s="165"/>
      <c r="Q1506" s="165"/>
      <c r="R1506" s="165"/>
      <c r="S1506" s="165"/>
      <c r="V1506" s="46"/>
      <c r="W1506" s="46"/>
      <c r="X1506" s="1"/>
      <c r="Y1506" s="1"/>
      <c r="Z1506" s="173"/>
      <c r="AA1506" s="1"/>
      <c r="AB1506" s="165"/>
      <c r="AC1506" s="1"/>
      <c r="AD1506" s="1"/>
      <c r="AE1506" s="1"/>
      <c r="AF1506" s="46"/>
      <c r="AG1506" s="1"/>
      <c r="AH1506" s="165"/>
      <c r="AI1506" s="165"/>
      <c r="AJ1506" s="165"/>
      <c r="AK1506" s="165"/>
      <c r="AL1506" s="165"/>
      <c r="AM1506" s="165"/>
      <c r="AN1506" s="165"/>
    </row>
    <row r="1507" spans="3:40">
      <c r="C1507" s="46"/>
      <c r="F1507" s="173"/>
      <c r="G1507" s="1"/>
      <c r="H1507" s="165"/>
      <c r="I1507" s="160"/>
      <c r="J1507" s="160"/>
      <c r="K1507" s="1"/>
      <c r="L1507" s="123"/>
      <c r="M1507" s="1"/>
      <c r="N1507" s="590"/>
      <c r="O1507" s="165"/>
      <c r="P1507" s="165"/>
      <c r="Q1507" s="165"/>
      <c r="R1507" s="165"/>
      <c r="S1507" s="165"/>
      <c r="V1507" s="46"/>
      <c r="W1507" s="46"/>
      <c r="X1507" s="1"/>
      <c r="Y1507" s="1"/>
      <c r="Z1507" s="173"/>
      <c r="AA1507" s="1"/>
      <c r="AB1507" s="165"/>
      <c r="AC1507" s="1"/>
      <c r="AD1507" s="1"/>
      <c r="AE1507" s="1"/>
      <c r="AF1507" s="46"/>
      <c r="AG1507" s="1"/>
      <c r="AH1507" s="165"/>
      <c r="AI1507" s="165"/>
      <c r="AJ1507" s="165"/>
      <c r="AK1507" s="165"/>
      <c r="AL1507" s="165"/>
      <c r="AM1507" s="165"/>
      <c r="AN1507" s="165"/>
    </row>
    <row r="1508" spans="3:40">
      <c r="C1508" s="46"/>
      <c r="F1508" s="173"/>
      <c r="G1508" s="1"/>
      <c r="H1508" s="165"/>
      <c r="I1508" s="160"/>
      <c r="J1508" s="160"/>
      <c r="K1508" s="1"/>
      <c r="L1508" s="123"/>
      <c r="M1508" s="1"/>
      <c r="N1508" s="590"/>
      <c r="O1508" s="165"/>
      <c r="P1508" s="165"/>
      <c r="Q1508" s="165"/>
      <c r="R1508" s="165"/>
      <c r="S1508" s="165"/>
      <c r="V1508" s="46"/>
      <c r="W1508" s="46"/>
      <c r="X1508" s="1"/>
      <c r="Y1508" s="1"/>
      <c r="Z1508" s="173"/>
      <c r="AA1508" s="1"/>
      <c r="AB1508" s="165"/>
      <c r="AC1508" s="1"/>
      <c r="AD1508" s="1"/>
      <c r="AE1508" s="1"/>
      <c r="AF1508" s="46"/>
      <c r="AG1508" s="1"/>
      <c r="AH1508" s="165"/>
      <c r="AI1508" s="165"/>
      <c r="AJ1508" s="165"/>
      <c r="AK1508" s="165"/>
      <c r="AL1508" s="165"/>
      <c r="AM1508" s="165"/>
      <c r="AN1508" s="165"/>
    </row>
    <row r="1509" spans="3:40">
      <c r="C1509" s="46"/>
      <c r="F1509" s="173"/>
      <c r="G1509" s="1"/>
      <c r="H1509" s="165"/>
      <c r="I1509" s="160"/>
      <c r="J1509" s="160"/>
      <c r="K1509" s="1"/>
      <c r="L1509" s="123"/>
      <c r="M1509" s="1"/>
      <c r="N1509" s="590"/>
      <c r="O1509" s="165"/>
      <c r="P1509" s="165"/>
      <c r="Q1509" s="165"/>
      <c r="R1509" s="165"/>
      <c r="S1509" s="165"/>
      <c r="V1509" s="46"/>
      <c r="W1509" s="46"/>
      <c r="X1509" s="1"/>
      <c r="Y1509" s="1"/>
      <c r="Z1509" s="173"/>
      <c r="AA1509" s="1"/>
      <c r="AB1509" s="165"/>
      <c r="AC1509" s="1"/>
      <c r="AD1509" s="1"/>
      <c r="AE1509" s="1"/>
      <c r="AF1509" s="46"/>
      <c r="AG1509" s="1"/>
      <c r="AH1509" s="165"/>
      <c r="AI1509" s="165"/>
      <c r="AJ1509" s="165"/>
      <c r="AK1509" s="165"/>
      <c r="AL1509" s="165"/>
      <c r="AM1509" s="165"/>
      <c r="AN1509" s="165"/>
    </row>
    <row r="1510" spans="3:40">
      <c r="C1510" s="46"/>
      <c r="F1510" s="173"/>
      <c r="G1510" s="1"/>
      <c r="H1510" s="165"/>
      <c r="I1510" s="160"/>
      <c r="J1510" s="160"/>
      <c r="K1510" s="1"/>
      <c r="L1510" s="123"/>
      <c r="M1510" s="1"/>
      <c r="N1510" s="590"/>
      <c r="O1510" s="165"/>
      <c r="P1510" s="165"/>
      <c r="Q1510" s="165"/>
      <c r="R1510" s="165"/>
      <c r="S1510" s="165"/>
      <c r="V1510" s="46"/>
      <c r="W1510" s="46"/>
      <c r="X1510" s="1"/>
      <c r="Y1510" s="1"/>
      <c r="Z1510" s="173"/>
      <c r="AA1510" s="1"/>
      <c r="AB1510" s="165"/>
      <c r="AC1510" s="1"/>
      <c r="AD1510" s="1"/>
      <c r="AE1510" s="1"/>
      <c r="AF1510" s="46"/>
      <c r="AG1510" s="1"/>
      <c r="AH1510" s="165"/>
      <c r="AI1510" s="165"/>
      <c r="AJ1510" s="165"/>
      <c r="AK1510" s="165"/>
      <c r="AL1510" s="165"/>
      <c r="AM1510" s="165"/>
      <c r="AN1510" s="165"/>
    </row>
    <row r="1511" spans="3:40">
      <c r="C1511" s="46"/>
      <c r="F1511" s="173"/>
      <c r="G1511" s="1"/>
      <c r="H1511" s="165"/>
      <c r="I1511" s="160"/>
      <c r="J1511" s="160"/>
      <c r="K1511" s="1"/>
      <c r="L1511" s="123"/>
      <c r="M1511" s="1"/>
      <c r="N1511" s="590"/>
      <c r="O1511" s="165"/>
      <c r="P1511" s="165"/>
      <c r="Q1511" s="165"/>
      <c r="R1511" s="165"/>
      <c r="S1511" s="165"/>
      <c r="V1511" s="46"/>
      <c r="W1511" s="46"/>
      <c r="X1511" s="1"/>
      <c r="Y1511" s="1"/>
      <c r="Z1511" s="173"/>
      <c r="AA1511" s="1"/>
      <c r="AB1511" s="165"/>
      <c r="AC1511" s="1"/>
      <c r="AD1511" s="1"/>
      <c r="AE1511" s="1"/>
      <c r="AF1511" s="46"/>
      <c r="AG1511" s="1"/>
      <c r="AH1511" s="165"/>
      <c r="AI1511" s="165"/>
      <c r="AJ1511" s="165"/>
      <c r="AK1511" s="165"/>
      <c r="AL1511" s="165"/>
      <c r="AM1511" s="165"/>
      <c r="AN1511" s="165"/>
    </row>
    <row r="1512" spans="3:40">
      <c r="C1512" s="46"/>
      <c r="F1512" s="173"/>
      <c r="G1512" s="1"/>
      <c r="H1512" s="165"/>
      <c r="I1512" s="160"/>
      <c r="J1512" s="160"/>
      <c r="K1512" s="1"/>
      <c r="L1512" s="123"/>
      <c r="M1512" s="1"/>
      <c r="N1512" s="590"/>
      <c r="O1512" s="165"/>
      <c r="P1512" s="165"/>
      <c r="Q1512" s="165"/>
      <c r="R1512" s="165"/>
      <c r="S1512" s="165"/>
      <c r="V1512" s="46"/>
      <c r="W1512" s="46"/>
      <c r="X1512" s="1"/>
      <c r="Y1512" s="1"/>
      <c r="Z1512" s="173"/>
      <c r="AA1512" s="1"/>
      <c r="AB1512" s="165"/>
      <c r="AC1512" s="1"/>
      <c r="AD1512" s="1"/>
      <c r="AE1512" s="1"/>
      <c r="AF1512" s="46"/>
      <c r="AG1512" s="1"/>
      <c r="AH1512" s="165"/>
      <c r="AI1512" s="165"/>
      <c r="AJ1512" s="165"/>
      <c r="AK1512" s="165"/>
      <c r="AL1512" s="165"/>
      <c r="AM1512" s="165"/>
      <c r="AN1512" s="165"/>
    </row>
    <row r="1513" spans="3:40">
      <c r="C1513" s="46"/>
      <c r="F1513" s="173"/>
      <c r="G1513" s="1"/>
      <c r="H1513" s="165"/>
      <c r="I1513" s="160"/>
      <c r="J1513" s="160"/>
      <c r="K1513" s="1"/>
      <c r="L1513" s="123"/>
      <c r="M1513" s="1"/>
      <c r="N1513" s="590"/>
      <c r="O1513" s="165"/>
      <c r="P1513" s="165"/>
      <c r="Q1513" s="165"/>
      <c r="R1513" s="165"/>
      <c r="S1513" s="165"/>
      <c r="V1513" s="46"/>
      <c r="W1513" s="46"/>
      <c r="X1513" s="1"/>
      <c r="Y1513" s="1"/>
      <c r="Z1513" s="173"/>
      <c r="AA1513" s="1"/>
      <c r="AB1513" s="165"/>
      <c r="AC1513" s="1"/>
      <c r="AD1513" s="1"/>
      <c r="AE1513" s="1"/>
      <c r="AF1513" s="46"/>
      <c r="AG1513" s="1"/>
      <c r="AH1513" s="165"/>
      <c r="AI1513" s="165"/>
      <c r="AJ1513" s="165"/>
      <c r="AK1513" s="165"/>
      <c r="AL1513" s="165"/>
      <c r="AM1513" s="165"/>
      <c r="AN1513" s="165"/>
    </row>
    <row r="1514" spans="3:40">
      <c r="C1514" s="46"/>
      <c r="F1514" s="173"/>
      <c r="G1514" s="1"/>
      <c r="H1514" s="165"/>
      <c r="I1514" s="160"/>
      <c r="J1514" s="160"/>
      <c r="K1514" s="1"/>
      <c r="L1514" s="123"/>
      <c r="M1514" s="1"/>
      <c r="N1514" s="590"/>
      <c r="O1514" s="165"/>
      <c r="P1514" s="165"/>
      <c r="Q1514" s="165"/>
      <c r="R1514" s="165"/>
      <c r="S1514" s="165"/>
      <c r="V1514" s="46"/>
      <c r="W1514" s="46"/>
      <c r="X1514" s="1"/>
      <c r="Y1514" s="1"/>
      <c r="Z1514" s="173"/>
      <c r="AA1514" s="1"/>
      <c r="AB1514" s="165"/>
      <c r="AC1514" s="1"/>
      <c r="AD1514" s="1"/>
      <c r="AE1514" s="1"/>
      <c r="AF1514" s="46"/>
      <c r="AG1514" s="1"/>
      <c r="AH1514" s="165"/>
      <c r="AI1514" s="165"/>
      <c r="AJ1514" s="165"/>
      <c r="AK1514" s="165"/>
      <c r="AL1514" s="165"/>
      <c r="AM1514" s="165"/>
      <c r="AN1514" s="165"/>
    </row>
    <row r="1515" spans="3:40">
      <c r="C1515" s="46"/>
      <c r="F1515" s="173"/>
      <c r="G1515" s="1"/>
      <c r="H1515" s="165"/>
      <c r="I1515" s="160"/>
      <c r="J1515" s="160"/>
      <c r="K1515" s="1"/>
      <c r="L1515" s="123"/>
      <c r="M1515" s="1"/>
      <c r="N1515" s="590"/>
      <c r="O1515" s="165"/>
      <c r="P1515" s="165"/>
      <c r="Q1515" s="165"/>
      <c r="R1515" s="165"/>
      <c r="S1515" s="165"/>
      <c r="V1515" s="46"/>
      <c r="W1515" s="46"/>
      <c r="X1515" s="1"/>
      <c r="Y1515" s="1"/>
      <c r="Z1515" s="173"/>
      <c r="AA1515" s="1"/>
      <c r="AB1515" s="165"/>
      <c r="AC1515" s="1"/>
      <c r="AD1515" s="1"/>
      <c r="AE1515" s="1"/>
      <c r="AF1515" s="46"/>
      <c r="AG1515" s="1"/>
      <c r="AH1515" s="165"/>
      <c r="AI1515" s="165"/>
      <c r="AJ1515" s="165"/>
      <c r="AK1515" s="165"/>
      <c r="AL1515" s="165"/>
      <c r="AM1515" s="165"/>
      <c r="AN1515" s="165"/>
    </row>
    <row r="1516" spans="3:40">
      <c r="C1516" s="46"/>
      <c r="F1516" s="173"/>
      <c r="G1516" s="1"/>
      <c r="H1516" s="165"/>
      <c r="I1516" s="160"/>
      <c r="J1516" s="160"/>
      <c r="K1516" s="1"/>
      <c r="L1516" s="123"/>
      <c r="M1516" s="1"/>
      <c r="N1516" s="590"/>
      <c r="O1516" s="165"/>
      <c r="P1516" s="165"/>
      <c r="Q1516" s="165"/>
      <c r="R1516" s="165"/>
      <c r="S1516" s="165"/>
      <c r="V1516" s="46"/>
      <c r="W1516" s="46"/>
      <c r="X1516" s="1"/>
      <c r="Y1516" s="1"/>
      <c r="Z1516" s="173"/>
      <c r="AA1516" s="1"/>
      <c r="AB1516" s="165"/>
      <c r="AC1516" s="1"/>
      <c r="AD1516" s="1"/>
      <c r="AE1516" s="1"/>
      <c r="AF1516" s="46"/>
      <c r="AG1516" s="1"/>
      <c r="AH1516" s="165"/>
      <c r="AI1516" s="165"/>
      <c r="AJ1516" s="165"/>
      <c r="AK1516" s="165"/>
      <c r="AL1516" s="165"/>
      <c r="AM1516" s="165"/>
      <c r="AN1516" s="165"/>
    </row>
    <row r="1517" spans="3:40">
      <c r="C1517" s="46"/>
      <c r="F1517" s="173"/>
      <c r="G1517" s="1"/>
      <c r="H1517" s="165"/>
      <c r="I1517" s="160"/>
      <c r="J1517" s="160"/>
      <c r="K1517" s="1"/>
      <c r="L1517" s="123"/>
      <c r="M1517" s="1"/>
      <c r="N1517" s="590"/>
      <c r="O1517" s="165"/>
      <c r="P1517" s="165"/>
      <c r="Q1517" s="165"/>
      <c r="R1517" s="165"/>
      <c r="S1517" s="165"/>
      <c r="V1517" s="46"/>
      <c r="W1517" s="46"/>
      <c r="X1517" s="1"/>
      <c r="Y1517" s="1"/>
      <c r="Z1517" s="173"/>
      <c r="AA1517" s="1"/>
      <c r="AB1517" s="165"/>
      <c r="AC1517" s="1"/>
      <c r="AD1517" s="1"/>
      <c r="AE1517" s="1"/>
      <c r="AF1517" s="46"/>
      <c r="AG1517" s="1"/>
      <c r="AH1517" s="165"/>
      <c r="AI1517" s="165"/>
      <c r="AJ1517" s="165"/>
      <c r="AK1517" s="165"/>
      <c r="AL1517" s="165"/>
      <c r="AM1517" s="165"/>
      <c r="AN1517" s="165"/>
    </row>
    <row r="1518" spans="3:40">
      <c r="C1518" s="46"/>
      <c r="F1518" s="173"/>
      <c r="G1518" s="1"/>
      <c r="H1518" s="165"/>
      <c r="I1518" s="160"/>
      <c r="J1518" s="160"/>
      <c r="K1518" s="1"/>
      <c r="L1518" s="123"/>
      <c r="M1518" s="1"/>
      <c r="N1518" s="590"/>
      <c r="O1518" s="165"/>
      <c r="P1518" s="165"/>
      <c r="Q1518" s="165"/>
      <c r="R1518" s="165"/>
      <c r="S1518" s="165"/>
      <c r="V1518" s="46"/>
      <c r="W1518" s="46"/>
      <c r="X1518" s="1"/>
      <c r="Y1518" s="1"/>
      <c r="Z1518" s="173"/>
      <c r="AA1518" s="1"/>
      <c r="AB1518" s="165"/>
      <c r="AC1518" s="1"/>
      <c r="AD1518" s="1"/>
      <c r="AE1518" s="1"/>
      <c r="AF1518" s="46"/>
      <c r="AG1518" s="1"/>
      <c r="AH1518" s="165"/>
      <c r="AI1518" s="165"/>
      <c r="AJ1518" s="165"/>
      <c r="AK1518" s="165"/>
      <c r="AL1518" s="165"/>
      <c r="AM1518" s="165"/>
      <c r="AN1518" s="165"/>
    </row>
    <row r="1519" spans="3:40">
      <c r="C1519" s="46"/>
      <c r="F1519" s="173"/>
      <c r="G1519" s="1"/>
      <c r="H1519" s="165"/>
      <c r="I1519" s="160"/>
      <c r="J1519" s="160"/>
      <c r="K1519" s="1"/>
      <c r="L1519" s="123"/>
      <c r="M1519" s="1"/>
      <c r="N1519" s="590"/>
      <c r="O1519" s="165"/>
      <c r="P1519" s="165"/>
      <c r="Q1519" s="165"/>
      <c r="R1519" s="165"/>
      <c r="S1519" s="165"/>
      <c r="V1519" s="46"/>
      <c r="W1519" s="46"/>
      <c r="X1519" s="1"/>
      <c r="Y1519" s="1"/>
      <c r="Z1519" s="173"/>
      <c r="AA1519" s="1"/>
      <c r="AB1519" s="165"/>
      <c r="AC1519" s="1"/>
      <c r="AD1519" s="1"/>
      <c r="AE1519" s="1"/>
      <c r="AF1519" s="46"/>
      <c r="AG1519" s="1"/>
      <c r="AH1519" s="165"/>
      <c r="AI1519" s="165"/>
      <c r="AJ1519" s="165"/>
      <c r="AK1519" s="165"/>
      <c r="AL1519" s="165"/>
      <c r="AM1519" s="165"/>
      <c r="AN1519" s="165"/>
    </row>
    <row r="1520" spans="3:40">
      <c r="C1520" s="46"/>
      <c r="F1520" s="173"/>
      <c r="G1520" s="1"/>
      <c r="H1520" s="165"/>
      <c r="I1520" s="160"/>
      <c r="J1520" s="160"/>
      <c r="K1520" s="1"/>
      <c r="L1520" s="123"/>
      <c r="M1520" s="1"/>
      <c r="N1520" s="590"/>
      <c r="O1520" s="165"/>
      <c r="P1520" s="165"/>
      <c r="Q1520" s="165"/>
      <c r="R1520" s="165"/>
      <c r="S1520" s="165"/>
      <c r="V1520" s="46"/>
      <c r="W1520" s="46"/>
      <c r="X1520" s="1"/>
      <c r="Y1520" s="1"/>
      <c r="Z1520" s="173"/>
      <c r="AA1520" s="1"/>
      <c r="AB1520" s="165"/>
      <c r="AC1520" s="1"/>
      <c r="AD1520" s="1"/>
      <c r="AE1520" s="1"/>
      <c r="AF1520" s="46"/>
      <c r="AG1520" s="1"/>
      <c r="AH1520" s="165"/>
      <c r="AI1520" s="165"/>
      <c r="AJ1520" s="165"/>
      <c r="AK1520" s="165"/>
      <c r="AL1520" s="165"/>
      <c r="AM1520" s="165"/>
      <c r="AN1520" s="165"/>
    </row>
    <row r="1521" spans="3:40">
      <c r="C1521" s="46"/>
      <c r="F1521" s="173"/>
      <c r="G1521" s="1"/>
      <c r="H1521" s="165"/>
      <c r="I1521" s="160"/>
      <c r="J1521" s="160"/>
      <c r="K1521" s="1"/>
      <c r="L1521" s="123"/>
      <c r="M1521" s="1"/>
      <c r="N1521" s="590"/>
      <c r="O1521" s="165"/>
      <c r="P1521" s="165"/>
      <c r="Q1521" s="165"/>
      <c r="R1521" s="165"/>
      <c r="S1521" s="165"/>
      <c r="V1521" s="46"/>
      <c r="W1521" s="46"/>
      <c r="X1521" s="1"/>
      <c r="Y1521" s="1"/>
      <c r="Z1521" s="173"/>
      <c r="AA1521" s="1"/>
      <c r="AB1521" s="165"/>
      <c r="AC1521" s="1"/>
      <c r="AD1521" s="1"/>
      <c r="AE1521" s="1"/>
      <c r="AF1521" s="46"/>
      <c r="AG1521" s="1"/>
      <c r="AH1521" s="165"/>
      <c r="AI1521" s="165"/>
      <c r="AJ1521" s="165"/>
      <c r="AK1521" s="165"/>
      <c r="AL1521" s="165"/>
      <c r="AM1521" s="165"/>
      <c r="AN1521" s="165"/>
    </row>
    <row r="1522" spans="3:40">
      <c r="C1522" s="46"/>
      <c r="F1522" s="173"/>
      <c r="G1522" s="1"/>
      <c r="H1522" s="165"/>
      <c r="I1522" s="160"/>
      <c r="J1522" s="160"/>
      <c r="K1522" s="1"/>
      <c r="L1522" s="123"/>
      <c r="M1522" s="1"/>
      <c r="N1522" s="590"/>
      <c r="O1522" s="165"/>
      <c r="P1522" s="165"/>
      <c r="Q1522" s="165"/>
      <c r="R1522" s="165"/>
      <c r="S1522" s="165"/>
      <c r="V1522" s="46"/>
      <c r="W1522" s="46"/>
      <c r="X1522" s="1"/>
      <c r="Y1522" s="1"/>
      <c r="Z1522" s="173"/>
      <c r="AA1522" s="1"/>
      <c r="AB1522" s="165"/>
      <c r="AC1522" s="1"/>
      <c r="AD1522" s="1"/>
      <c r="AE1522" s="1"/>
      <c r="AF1522" s="46"/>
      <c r="AG1522" s="1"/>
      <c r="AH1522" s="165"/>
      <c r="AI1522" s="165"/>
      <c r="AJ1522" s="165"/>
      <c r="AK1522" s="165"/>
      <c r="AL1522" s="165"/>
      <c r="AM1522" s="165"/>
      <c r="AN1522" s="165"/>
    </row>
    <row r="1523" spans="3:40">
      <c r="C1523" s="46"/>
      <c r="F1523" s="173"/>
      <c r="G1523" s="1"/>
      <c r="H1523" s="165"/>
      <c r="I1523" s="160"/>
      <c r="J1523" s="160"/>
      <c r="K1523" s="1"/>
      <c r="L1523" s="123"/>
      <c r="M1523" s="1"/>
      <c r="N1523" s="590"/>
      <c r="O1523" s="165"/>
      <c r="P1523" s="165"/>
      <c r="Q1523" s="165"/>
      <c r="R1523" s="165"/>
      <c r="S1523" s="165"/>
      <c r="V1523" s="46"/>
      <c r="W1523" s="46"/>
      <c r="X1523" s="1"/>
      <c r="Y1523" s="1"/>
      <c r="Z1523" s="173"/>
      <c r="AA1523" s="1"/>
      <c r="AB1523" s="165"/>
      <c r="AC1523" s="1"/>
      <c r="AD1523" s="1"/>
      <c r="AE1523" s="1"/>
      <c r="AF1523" s="46"/>
      <c r="AG1523" s="1"/>
      <c r="AH1523" s="165"/>
      <c r="AI1523" s="165"/>
      <c r="AJ1523" s="165"/>
      <c r="AK1523" s="165"/>
      <c r="AL1523" s="165"/>
      <c r="AM1523" s="165"/>
      <c r="AN1523" s="165"/>
    </row>
    <row r="1524" spans="3:40">
      <c r="C1524" s="46"/>
      <c r="F1524" s="173"/>
      <c r="G1524" s="1"/>
      <c r="H1524" s="165"/>
      <c r="I1524" s="160"/>
      <c r="J1524" s="160"/>
      <c r="K1524" s="1"/>
      <c r="L1524" s="123"/>
      <c r="M1524" s="1"/>
      <c r="N1524" s="590"/>
      <c r="O1524" s="165"/>
      <c r="P1524" s="165"/>
      <c r="Q1524" s="165"/>
      <c r="R1524" s="165"/>
      <c r="S1524" s="165"/>
      <c r="V1524" s="46"/>
      <c r="W1524" s="46"/>
      <c r="X1524" s="1"/>
      <c r="Y1524" s="1"/>
      <c r="Z1524" s="173"/>
      <c r="AA1524" s="1"/>
      <c r="AB1524" s="165"/>
      <c r="AC1524" s="1"/>
      <c r="AD1524" s="1"/>
      <c r="AE1524" s="1"/>
      <c r="AF1524" s="46"/>
      <c r="AG1524" s="1"/>
      <c r="AH1524" s="165"/>
      <c r="AI1524" s="165"/>
      <c r="AJ1524" s="165"/>
      <c r="AK1524" s="165"/>
      <c r="AL1524" s="165"/>
      <c r="AM1524" s="165"/>
      <c r="AN1524" s="165"/>
    </row>
    <row r="1525" spans="3:40">
      <c r="C1525" s="46"/>
      <c r="F1525" s="173"/>
      <c r="G1525" s="1"/>
      <c r="H1525" s="165"/>
      <c r="I1525" s="160"/>
      <c r="J1525" s="160"/>
      <c r="K1525" s="1"/>
      <c r="L1525" s="123"/>
      <c r="M1525" s="1"/>
      <c r="N1525" s="590"/>
      <c r="O1525" s="165"/>
      <c r="P1525" s="165"/>
      <c r="Q1525" s="165"/>
      <c r="R1525" s="165"/>
      <c r="S1525" s="165"/>
      <c r="V1525" s="46"/>
      <c r="W1525" s="46"/>
      <c r="X1525" s="1"/>
      <c r="Y1525" s="1"/>
      <c r="Z1525" s="173"/>
      <c r="AA1525" s="1"/>
      <c r="AB1525" s="165"/>
      <c r="AC1525" s="1"/>
      <c r="AD1525" s="1"/>
      <c r="AE1525" s="1"/>
      <c r="AF1525" s="46"/>
      <c r="AG1525" s="1"/>
      <c r="AH1525" s="165"/>
      <c r="AI1525" s="165"/>
      <c r="AJ1525" s="165"/>
      <c r="AK1525" s="165"/>
      <c r="AL1525" s="165"/>
      <c r="AM1525" s="165"/>
      <c r="AN1525" s="165"/>
    </row>
    <row r="1526" spans="3:40">
      <c r="C1526" s="46"/>
      <c r="F1526" s="173"/>
      <c r="G1526" s="1"/>
      <c r="H1526" s="165"/>
      <c r="I1526" s="160"/>
      <c r="J1526" s="160"/>
      <c r="K1526" s="1"/>
      <c r="L1526" s="123"/>
      <c r="M1526" s="1"/>
      <c r="N1526" s="590"/>
      <c r="O1526" s="165"/>
      <c r="P1526" s="165"/>
      <c r="Q1526" s="165"/>
      <c r="R1526" s="165"/>
      <c r="S1526" s="165"/>
      <c r="V1526" s="46"/>
      <c r="W1526" s="46"/>
      <c r="X1526" s="1"/>
      <c r="Y1526" s="1"/>
      <c r="Z1526" s="173"/>
      <c r="AA1526" s="1"/>
      <c r="AB1526" s="165"/>
      <c r="AC1526" s="1"/>
      <c r="AD1526" s="1"/>
      <c r="AE1526" s="1"/>
      <c r="AF1526" s="46"/>
      <c r="AG1526" s="1"/>
      <c r="AH1526" s="165"/>
      <c r="AI1526" s="165"/>
      <c r="AJ1526" s="165"/>
      <c r="AK1526" s="165"/>
      <c r="AL1526" s="165"/>
      <c r="AM1526" s="165"/>
      <c r="AN1526" s="165"/>
    </row>
    <row r="1527" spans="3:40">
      <c r="C1527" s="46"/>
      <c r="F1527" s="173"/>
      <c r="G1527" s="1"/>
      <c r="H1527" s="165"/>
      <c r="I1527" s="160"/>
      <c r="J1527" s="160"/>
      <c r="K1527" s="1"/>
      <c r="L1527" s="123"/>
      <c r="M1527" s="1"/>
      <c r="N1527" s="590"/>
      <c r="O1527" s="165"/>
      <c r="P1527" s="165"/>
      <c r="Q1527" s="165"/>
      <c r="R1527" s="165"/>
      <c r="S1527" s="165"/>
      <c r="V1527" s="46"/>
      <c r="W1527" s="46"/>
      <c r="X1527" s="1"/>
      <c r="Y1527" s="1"/>
      <c r="Z1527" s="173"/>
      <c r="AA1527" s="1"/>
      <c r="AB1527" s="165"/>
      <c r="AC1527" s="1"/>
      <c r="AD1527" s="1"/>
      <c r="AE1527" s="1"/>
      <c r="AF1527" s="46"/>
      <c r="AG1527" s="1"/>
      <c r="AH1527" s="165"/>
      <c r="AI1527" s="165"/>
      <c r="AJ1527" s="165"/>
      <c r="AK1527" s="165"/>
      <c r="AL1527" s="165"/>
      <c r="AM1527" s="165"/>
      <c r="AN1527" s="165"/>
    </row>
    <row r="1528" spans="3:40">
      <c r="C1528" s="46"/>
      <c r="F1528" s="173"/>
      <c r="G1528" s="1"/>
      <c r="H1528" s="165"/>
      <c r="I1528" s="160"/>
      <c r="J1528" s="160"/>
      <c r="K1528" s="1"/>
      <c r="L1528" s="123"/>
      <c r="M1528" s="1"/>
      <c r="N1528" s="590"/>
      <c r="O1528" s="165"/>
      <c r="P1528" s="165"/>
      <c r="Q1528" s="165"/>
      <c r="R1528" s="165"/>
      <c r="S1528" s="165"/>
      <c r="V1528" s="46"/>
      <c r="W1528" s="46"/>
      <c r="X1528" s="1"/>
      <c r="Y1528" s="1"/>
      <c r="Z1528" s="173"/>
      <c r="AA1528" s="1"/>
      <c r="AB1528" s="165"/>
      <c r="AC1528" s="1"/>
      <c r="AD1528" s="1"/>
      <c r="AE1528" s="1"/>
      <c r="AF1528" s="46"/>
      <c r="AG1528" s="1"/>
      <c r="AH1528" s="165"/>
      <c r="AI1528" s="165"/>
      <c r="AJ1528" s="165"/>
      <c r="AK1528" s="165"/>
      <c r="AL1528" s="165"/>
      <c r="AM1528" s="165"/>
      <c r="AN1528" s="165"/>
    </row>
    <row r="1529" spans="3:40">
      <c r="C1529" s="46"/>
      <c r="F1529" s="173"/>
      <c r="G1529" s="1"/>
      <c r="H1529" s="165"/>
      <c r="I1529" s="160"/>
      <c r="J1529" s="160"/>
      <c r="K1529" s="1"/>
      <c r="L1529" s="123"/>
      <c r="M1529" s="1"/>
      <c r="N1529" s="590"/>
      <c r="O1529" s="165"/>
      <c r="P1529" s="165"/>
      <c r="Q1529" s="165"/>
      <c r="R1529" s="165"/>
      <c r="S1529" s="165"/>
      <c r="V1529" s="46"/>
      <c r="W1529" s="46"/>
      <c r="X1529" s="1"/>
      <c r="Y1529" s="1"/>
      <c r="Z1529" s="173"/>
      <c r="AA1529" s="1"/>
      <c r="AB1529" s="165"/>
      <c r="AC1529" s="1"/>
      <c r="AD1529" s="1"/>
      <c r="AE1529" s="1"/>
      <c r="AF1529" s="46"/>
      <c r="AG1529" s="1"/>
      <c r="AH1529" s="165"/>
      <c r="AI1529" s="165"/>
      <c r="AJ1529" s="165"/>
      <c r="AK1529" s="165"/>
      <c r="AL1529" s="165"/>
      <c r="AM1529" s="165"/>
      <c r="AN1529" s="165"/>
    </row>
    <row r="1530" spans="3:40">
      <c r="C1530" s="46"/>
      <c r="F1530" s="173"/>
      <c r="G1530" s="1"/>
      <c r="H1530" s="165"/>
      <c r="I1530" s="160"/>
      <c r="J1530" s="160"/>
      <c r="K1530" s="1"/>
      <c r="L1530" s="123"/>
      <c r="M1530" s="1"/>
      <c r="N1530" s="590"/>
      <c r="O1530" s="165"/>
      <c r="P1530" s="165"/>
      <c r="Q1530" s="165"/>
      <c r="R1530" s="165"/>
      <c r="S1530" s="165"/>
      <c r="V1530" s="46"/>
      <c r="W1530" s="46"/>
      <c r="X1530" s="1"/>
      <c r="Y1530" s="1"/>
      <c r="Z1530" s="173"/>
      <c r="AA1530" s="1"/>
      <c r="AB1530" s="165"/>
      <c r="AC1530" s="1"/>
      <c r="AD1530" s="1"/>
      <c r="AE1530" s="1"/>
      <c r="AF1530" s="46"/>
      <c r="AG1530" s="1"/>
      <c r="AH1530" s="165"/>
      <c r="AI1530" s="165"/>
      <c r="AJ1530" s="165"/>
      <c r="AK1530" s="165"/>
      <c r="AL1530" s="165"/>
      <c r="AM1530" s="165"/>
      <c r="AN1530" s="165"/>
    </row>
    <row r="1531" spans="3:40">
      <c r="C1531" s="46"/>
      <c r="F1531" s="173"/>
      <c r="G1531" s="1"/>
      <c r="H1531" s="165"/>
      <c r="I1531" s="160"/>
      <c r="J1531" s="160"/>
      <c r="K1531" s="1"/>
      <c r="L1531" s="123"/>
      <c r="M1531" s="1"/>
      <c r="N1531" s="590"/>
      <c r="O1531" s="165"/>
      <c r="P1531" s="165"/>
      <c r="Q1531" s="165"/>
      <c r="R1531" s="165"/>
      <c r="S1531" s="165"/>
      <c r="V1531" s="46"/>
      <c r="W1531" s="46"/>
      <c r="X1531" s="1"/>
      <c r="Y1531" s="1"/>
      <c r="Z1531" s="173"/>
      <c r="AA1531" s="1"/>
      <c r="AB1531" s="165"/>
      <c r="AC1531" s="1"/>
      <c r="AD1531" s="1"/>
      <c r="AE1531" s="1"/>
      <c r="AF1531" s="46"/>
      <c r="AG1531" s="1"/>
      <c r="AH1531" s="165"/>
      <c r="AI1531" s="165"/>
      <c r="AJ1531" s="165"/>
      <c r="AK1531" s="165"/>
      <c r="AL1531" s="165"/>
      <c r="AM1531" s="165"/>
      <c r="AN1531" s="165"/>
    </row>
    <row r="1532" spans="3:40">
      <c r="C1532" s="46"/>
      <c r="F1532" s="173"/>
      <c r="G1532" s="1"/>
      <c r="H1532" s="165"/>
      <c r="I1532" s="160"/>
      <c r="J1532" s="160"/>
      <c r="K1532" s="1"/>
      <c r="L1532" s="123"/>
      <c r="M1532" s="1"/>
      <c r="N1532" s="590"/>
      <c r="O1532" s="165"/>
      <c r="P1532" s="165"/>
      <c r="Q1532" s="165"/>
      <c r="R1532" s="165"/>
      <c r="S1532" s="165"/>
      <c r="V1532" s="46"/>
      <c r="W1532" s="46"/>
      <c r="X1532" s="1"/>
      <c r="Y1532" s="1"/>
      <c r="Z1532" s="173"/>
      <c r="AA1532" s="1"/>
      <c r="AB1532" s="165"/>
      <c r="AC1532" s="1"/>
      <c r="AD1532" s="1"/>
      <c r="AE1532" s="1"/>
      <c r="AF1532" s="46"/>
      <c r="AG1532" s="1"/>
      <c r="AH1532" s="165"/>
      <c r="AI1532" s="165"/>
      <c r="AJ1532" s="165"/>
      <c r="AK1532" s="165"/>
      <c r="AL1532" s="165"/>
      <c r="AM1532" s="165"/>
      <c r="AN1532" s="165"/>
    </row>
    <row r="1533" spans="3:40">
      <c r="C1533" s="46"/>
      <c r="F1533" s="173"/>
      <c r="G1533" s="1"/>
      <c r="H1533" s="165"/>
      <c r="I1533" s="160"/>
      <c r="J1533" s="160"/>
      <c r="K1533" s="1"/>
      <c r="L1533" s="123"/>
      <c r="M1533" s="1"/>
      <c r="N1533" s="590"/>
      <c r="O1533" s="165"/>
      <c r="P1533" s="165"/>
      <c r="Q1533" s="165"/>
      <c r="R1533" s="165"/>
      <c r="S1533" s="165"/>
      <c r="V1533" s="46"/>
      <c r="W1533" s="46"/>
      <c r="X1533" s="1"/>
      <c r="Y1533" s="1"/>
      <c r="Z1533" s="173"/>
      <c r="AA1533" s="1"/>
      <c r="AB1533" s="165"/>
      <c r="AC1533" s="1"/>
      <c r="AD1533" s="1"/>
      <c r="AE1533" s="1"/>
      <c r="AF1533" s="46"/>
      <c r="AG1533" s="1"/>
      <c r="AH1533" s="165"/>
      <c r="AI1533" s="165"/>
      <c r="AJ1533" s="165"/>
      <c r="AK1533" s="165"/>
      <c r="AL1533" s="165"/>
      <c r="AM1533" s="165"/>
      <c r="AN1533" s="165"/>
    </row>
    <row r="1534" spans="3:40">
      <c r="C1534" s="46"/>
      <c r="F1534" s="173"/>
      <c r="G1534" s="1"/>
      <c r="H1534" s="165"/>
      <c r="I1534" s="160"/>
      <c r="J1534" s="160"/>
      <c r="K1534" s="1"/>
      <c r="L1534" s="123"/>
      <c r="M1534" s="1"/>
      <c r="N1534" s="590"/>
      <c r="O1534" s="165"/>
      <c r="P1534" s="165"/>
      <c r="Q1534" s="165"/>
      <c r="R1534" s="165"/>
      <c r="S1534" s="165"/>
      <c r="V1534" s="46"/>
      <c r="W1534" s="46"/>
      <c r="X1534" s="1"/>
      <c r="Y1534" s="1"/>
      <c r="Z1534" s="173"/>
      <c r="AA1534" s="1"/>
      <c r="AB1534" s="165"/>
      <c r="AC1534" s="1"/>
      <c r="AD1534" s="1"/>
      <c r="AE1534" s="1"/>
      <c r="AF1534" s="46"/>
      <c r="AG1534" s="1"/>
      <c r="AH1534" s="165"/>
      <c r="AI1534" s="165"/>
      <c r="AJ1534" s="165"/>
      <c r="AK1534" s="165"/>
      <c r="AL1534" s="165"/>
      <c r="AM1534" s="165"/>
      <c r="AN1534" s="165"/>
    </row>
    <row r="1535" spans="3:40">
      <c r="C1535" s="46"/>
      <c r="F1535" s="173"/>
      <c r="G1535" s="1"/>
      <c r="H1535" s="165"/>
      <c r="I1535" s="160"/>
      <c r="J1535" s="160"/>
      <c r="K1535" s="1"/>
      <c r="L1535" s="123"/>
      <c r="M1535" s="1"/>
      <c r="N1535" s="590"/>
      <c r="O1535" s="165"/>
      <c r="P1535" s="165"/>
      <c r="Q1535" s="165"/>
      <c r="R1535" s="165"/>
      <c r="S1535" s="165"/>
      <c r="V1535" s="46"/>
      <c r="W1535" s="46"/>
      <c r="X1535" s="1"/>
      <c r="Y1535" s="1"/>
      <c r="Z1535" s="173"/>
      <c r="AA1535" s="1"/>
      <c r="AB1535" s="165"/>
      <c r="AC1535" s="1"/>
      <c r="AD1535" s="1"/>
      <c r="AE1535" s="1"/>
      <c r="AF1535" s="46"/>
      <c r="AG1535" s="1"/>
      <c r="AH1535" s="165"/>
      <c r="AI1535" s="165"/>
      <c r="AJ1535" s="165"/>
      <c r="AK1535" s="165"/>
      <c r="AL1535" s="165"/>
      <c r="AM1535" s="165"/>
      <c r="AN1535" s="165"/>
    </row>
    <row r="1536" spans="3:40">
      <c r="C1536" s="46"/>
      <c r="F1536" s="173"/>
      <c r="G1536" s="1"/>
      <c r="H1536" s="165"/>
      <c r="I1536" s="160"/>
      <c r="J1536" s="160"/>
      <c r="K1536" s="1"/>
      <c r="L1536" s="123"/>
      <c r="M1536" s="1"/>
      <c r="N1536" s="590"/>
      <c r="O1536" s="165"/>
      <c r="P1536" s="165"/>
      <c r="Q1536" s="165"/>
      <c r="R1536" s="165"/>
      <c r="S1536" s="165"/>
      <c r="V1536" s="46"/>
      <c r="W1536" s="46"/>
      <c r="X1536" s="1"/>
      <c r="Y1536" s="1"/>
      <c r="Z1536" s="173"/>
      <c r="AA1536" s="1"/>
      <c r="AB1536" s="165"/>
      <c r="AC1536" s="1"/>
      <c r="AD1536" s="1"/>
      <c r="AE1536" s="1"/>
      <c r="AF1536" s="46"/>
      <c r="AG1536" s="1"/>
      <c r="AH1536" s="165"/>
      <c r="AI1536" s="165"/>
      <c r="AJ1536" s="165"/>
      <c r="AK1536" s="165"/>
      <c r="AL1536" s="165"/>
      <c r="AM1536" s="165"/>
      <c r="AN1536" s="165"/>
    </row>
    <row r="1537" spans="3:40">
      <c r="C1537" s="46"/>
      <c r="F1537" s="173"/>
      <c r="G1537" s="1"/>
      <c r="H1537" s="165"/>
      <c r="I1537" s="160"/>
      <c r="J1537" s="160"/>
      <c r="K1537" s="1"/>
      <c r="L1537" s="123"/>
      <c r="M1537" s="1"/>
      <c r="N1537" s="590"/>
      <c r="O1537" s="165"/>
      <c r="P1537" s="165"/>
      <c r="Q1537" s="165"/>
      <c r="R1537" s="165"/>
      <c r="S1537" s="165"/>
      <c r="V1537" s="46"/>
      <c r="W1537" s="46"/>
      <c r="X1537" s="1"/>
      <c r="Y1537" s="1"/>
      <c r="Z1537" s="173"/>
      <c r="AA1537" s="1"/>
      <c r="AB1537" s="165"/>
      <c r="AC1537" s="1"/>
      <c r="AD1537" s="1"/>
      <c r="AE1537" s="1"/>
      <c r="AF1537" s="46"/>
      <c r="AG1537" s="1"/>
      <c r="AH1537" s="165"/>
      <c r="AI1537" s="165"/>
      <c r="AJ1537" s="165"/>
      <c r="AK1537" s="165"/>
      <c r="AL1537" s="165"/>
      <c r="AM1537" s="165"/>
      <c r="AN1537" s="165"/>
    </row>
    <row r="1538" spans="3:40">
      <c r="C1538" s="46"/>
      <c r="F1538" s="173"/>
      <c r="G1538" s="1"/>
      <c r="H1538" s="165"/>
      <c r="I1538" s="160"/>
      <c r="J1538" s="160"/>
      <c r="K1538" s="1"/>
      <c r="L1538" s="123"/>
      <c r="M1538" s="1"/>
      <c r="N1538" s="590"/>
      <c r="O1538" s="165"/>
      <c r="P1538" s="165"/>
      <c r="Q1538" s="165"/>
      <c r="R1538" s="165"/>
      <c r="S1538" s="165"/>
      <c r="V1538" s="46"/>
      <c r="W1538" s="46"/>
      <c r="X1538" s="1"/>
      <c r="Y1538" s="1"/>
      <c r="Z1538" s="173"/>
      <c r="AA1538" s="1"/>
      <c r="AB1538" s="165"/>
      <c r="AC1538" s="1"/>
      <c r="AD1538" s="1"/>
      <c r="AE1538" s="1"/>
      <c r="AF1538" s="46"/>
      <c r="AG1538" s="1"/>
      <c r="AH1538" s="165"/>
      <c r="AI1538" s="165"/>
      <c r="AJ1538" s="165"/>
      <c r="AK1538" s="165"/>
      <c r="AL1538" s="165"/>
      <c r="AM1538" s="165"/>
      <c r="AN1538" s="165"/>
    </row>
    <row r="1539" spans="3:40">
      <c r="C1539" s="46"/>
      <c r="F1539" s="173"/>
      <c r="G1539" s="1"/>
      <c r="H1539" s="165"/>
      <c r="I1539" s="160"/>
      <c r="J1539" s="160"/>
      <c r="K1539" s="1"/>
      <c r="L1539" s="123"/>
      <c r="M1539" s="1"/>
      <c r="N1539" s="590"/>
      <c r="O1539" s="165"/>
      <c r="P1539" s="165"/>
      <c r="Q1539" s="165"/>
      <c r="R1539" s="165"/>
      <c r="S1539" s="165"/>
      <c r="V1539" s="46"/>
      <c r="W1539" s="46"/>
      <c r="X1539" s="1"/>
      <c r="Y1539" s="1"/>
      <c r="Z1539" s="173"/>
      <c r="AA1539" s="1"/>
      <c r="AB1539" s="165"/>
      <c r="AC1539" s="1"/>
      <c r="AD1539" s="1"/>
      <c r="AE1539" s="1"/>
      <c r="AF1539" s="46"/>
      <c r="AG1539" s="1"/>
      <c r="AH1539" s="165"/>
      <c r="AI1539" s="165"/>
      <c r="AJ1539" s="165"/>
      <c r="AK1539" s="165"/>
      <c r="AL1539" s="165"/>
      <c r="AM1539" s="165"/>
      <c r="AN1539" s="165"/>
    </row>
    <row r="1540" spans="3:40">
      <c r="C1540" s="46"/>
      <c r="F1540" s="173"/>
      <c r="G1540" s="1"/>
      <c r="H1540" s="165"/>
      <c r="I1540" s="160"/>
      <c r="J1540" s="160"/>
      <c r="K1540" s="1"/>
      <c r="L1540" s="123"/>
      <c r="M1540" s="1"/>
      <c r="N1540" s="590"/>
      <c r="O1540" s="165"/>
      <c r="P1540" s="165"/>
      <c r="Q1540" s="165"/>
      <c r="R1540" s="165"/>
      <c r="S1540" s="165"/>
      <c r="V1540" s="46"/>
      <c r="W1540" s="46"/>
      <c r="X1540" s="1"/>
      <c r="Y1540" s="1"/>
      <c r="Z1540" s="173"/>
      <c r="AA1540" s="1"/>
      <c r="AB1540" s="165"/>
      <c r="AC1540" s="1"/>
      <c r="AD1540" s="1"/>
      <c r="AE1540" s="1"/>
      <c r="AF1540" s="46"/>
      <c r="AG1540" s="1"/>
      <c r="AH1540" s="165"/>
      <c r="AI1540" s="165"/>
      <c r="AJ1540" s="165"/>
      <c r="AK1540" s="165"/>
      <c r="AL1540" s="165"/>
      <c r="AM1540" s="165"/>
      <c r="AN1540" s="165"/>
    </row>
    <row r="1541" spans="3:40">
      <c r="C1541" s="46"/>
      <c r="F1541" s="173"/>
      <c r="G1541" s="1"/>
      <c r="H1541" s="165"/>
      <c r="I1541" s="160"/>
      <c r="J1541" s="160"/>
      <c r="K1541" s="1"/>
      <c r="L1541" s="123"/>
      <c r="M1541" s="1"/>
      <c r="N1541" s="590"/>
      <c r="O1541" s="165"/>
      <c r="P1541" s="165"/>
      <c r="Q1541" s="165"/>
      <c r="R1541" s="165"/>
      <c r="S1541" s="165"/>
      <c r="V1541" s="46"/>
      <c r="W1541" s="46"/>
      <c r="X1541" s="1"/>
      <c r="Y1541" s="1"/>
      <c r="Z1541" s="173"/>
      <c r="AA1541" s="1"/>
      <c r="AB1541" s="165"/>
      <c r="AC1541" s="1"/>
      <c r="AD1541" s="1"/>
      <c r="AE1541" s="1"/>
      <c r="AF1541" s="46"/>
      <c r="AG1541" s="1"/>
      <c r="AH1541" s="165"/>
      <c r="AI1541" s="165"/>
      <c r="AJ1541" s="165"/>
      <c r="AK1541" s="165"/>
      <c r="AL1541" s="165"/>
      <c r="AM1541" s="165"/>
      <c r="AN1541" s="165"/>
    </row>
    <row r="1542" spans="3:40">
      <c r="C1542" s="46"/>
      <c r="F1542" s="173"/>
      <c r="G1542" s="1"/>
      <c r="H1542" s="165"/>
      <c r="I1542" s="160"/>
      <c r="J1542" s="160"/>
      <c r="K1542" s="1"/>
      <c r="L1542" s="123"/>
      <c r="M1542" s="1"/>
      <c r="N1542" s="590"/>
      <c r="O1542" s="165"/>
      <c r="P1542" s="165"/>
      <c r="Q1542" s="165"/>
      <c r="R1542" s="165"/>
      <c r="S1542" s="165"/>
      <c r="V1542" s="46"/>
      <c r="W1542" s="46"/>
      <c r="X1542" s="1"/>
      <c r="Y1542" s="1"/>
      <c r="Z1542" s="173"/>
      <c r="AA1542" s="1"/>
      <c r="AB1542" s="165"/>
      <c r="AC1542" s="1"/>
      <c r="AD1542" s="1"/>
      <c r="AE1542" s="1"/>
      <c r="AF1542" s="46"/>
      <c r="AG1542" s="1"/>
      <c r="AH1542" s="165"/>
      <c r="AI1542" s="165"/>
      <c r="AJ1542" s="165"/>
      <c r="AK1542" s="165"/>
      <c r="AL1542" s="165"/>
      <c r="AM1542" s="165"/>
      <c r="AN1542" s="165"/>
    </row>
    <row r="1543" spans="3:40">
      <c r="C1543" s="46"/>
      <c r="F1543" s="173"/>
      <c r="G1543" s="1"/>
      <c r="H1543" s="165"/>
      <c r="I1543" s="160"/>
      <c r="J1543" s="160"/>
      <c r="K1543" s="1"/>
      <c r="L1543" s="123"/>
      <c r="M1543" s="1"/>
      <c r="N1543" s="590"/>
      <c r="O1543" s="165"/>
      <c r="P1543" s="165"/>
      <c r="Q1543" s="165"/>
      <c r="R1543" s="165"/>
      <c r="S1543" s="165"/>
      <c r="V1543" s="46"/>
      <c r="W1543" s="46"/>
      <c r="X1543" s="1"/>
      <c r="Y1543" s="1"/>
      <c r="Z1543" s="173"/>
      <c r="AA1543" s="1"/>
      <c r="AB1543" s="165"/>
      <c r="AC1543" s="1"/>
      <c r="AD1543" s="1"/>
      <c r="AE1543" s="1"/>
      <c r="AF1543" s="46"/>
      <c r="AG1543" s="1"/>
      <c r="AH1543" s="165"/>
      <c r="AI1543" s="165"/>
      <c r="AJ1543" s="165"/>
      <c r="AK1543" s="165"/>
      <c r="AL1543" s="165"/>
      <c r="AM1543" s="165"/>
      <c r="AN1543" s="165"/>
    </row>
    <row r="1544" spans="3:40">
      <c r="C1544" s="46"/>
      <c r="F1544" s="173"/>
      <c r="G1544" s="1"/>
      <c r="H1544" s="165"/>
      <c r="I1544" s="160"/>
      <c r="J1544" s="160"/>
      <c r="K1544" s="1"/>
      <c r="L1544" s="123"/>
      <c r="M1544" s="1"/>
      <c r="N1544" s="590"/>
      <c r="O1544" s="165"/>
      <c r="P1544" s="165"/>
      <c r="Q1544" s="165"/>
      <c r="R1544" s="165"/>
      <c r="S1544" s="165"/>
      <c r="V1544" s="46"/>
      <c r="W1544" s="46"/>
      <c r="X1544" s="1"/>
      <c r="Y1544" s="1"/>
      <c r="Z1544" s="173"/>
      <c r="AA1544" s="1"/>
      <c r="AB1544" s="165"/>
      <c r="AC1544" s="1"/>
      <c r="AD1544" s="1"/>
      <c r="AE1544" s="1"/>
      <c r="AF1544" s="46"/>
      <c r="AG1544" s="1"/>
      <c r="AH1544" s="165"/>
      <c r="AI1544" s="165"/>
      <c r="AJ1544" s="165"/>
      <c r="AK1544" s="165"/>
      <c r="AL1544" s="165"/>
      <c r="AM1544" s="165"/>
      <c r="AN1544" s="165"/>
    </row>
    <row r="1545" spans="3:40">
      <c r="C1545" s="46"/>
      <c r="F1545" s="173"/>
      <c r="G1545" s="1"/>
      <c r="H1545" s="165"/>
      <c r="I1545" s="160"/>
      <c r="J1545" s="160"/>
      <c r="K1545" s="1"/>
      <c r="L1545" s="123"/>
      <c r="M1545" s="1"/>
      <c r="N1545" s="590"/>
      <c r="O1545" s="165"/>
      <c r="P1545" s="165"/>
      <c r="Q1545" s="165"/>
      <c r="R1545" s="165"/>
      <c r="S1545" s="165"/>
      <c r="V1545" s="46"/>
      <c r="W1545" s="46"/>
      <c r="X1545" s="1"/>
      <c r="Y1545" s="1"/>
      <c r="Z1545" s="173"/>
      <c r="AA1545" s="1"/>
      <c r="AB1545" s="165"/>
      <c r="AC1545" s="1"/>
      <c r="AD1545" s="1"/>
      <c r="AE1545" s="1"/>
      <c r="AF1545" s="46"/>
      <c r="AG1545" s="1"/>
      <c r="AH1545" s="165"/>
      <c r="AI1545" s="165"/>
      <c r="AJ1545" s="165"/>
      <c r="AK1545" s="165"/>
      <c r="AL1545" s="165"/>
      <c r="AM1545" s="165"/>
      <c r="AN1545" s="165"/>
    </row>
    <row r="1546" spans="3:40">
      <c r="C1546" s="46"/>
      <c r="F1546" s="173"/>
      <c r="G1546" s="1"/>
      <c r="H1546" s="165"/>
      <c r="I1546" s="160"/>
      <c r="J1546" s="160"/>
      <c r="K1546" s="1"/>
      <c r="L1546" s="123"/>
      <c r="M1546" s="1"/>
      <c r="N1546" s="590"/>
      <c r="O1546" s="165"/>
      <c r="P1546" s="165"/>
      <c r="Q1546" s="165"/>
      <c r="R1546" s="165"/>
      <c r="S1546" s="165"/>
      <c r="V1546" s="46"/>
      <c r="W1546" s="46"/>
      <c r="X1546" s="1"/>
      <c r="Y1546" s="1"/>
      <c r="Z1546" s="173"/>
      <c r="AA1546" s="1"/>
      <c r="AB1546" s="165"/>
      <c r="AC1546" s="1"/>
      <c r="AD1546" s="1"/>
      <c r="AE1546" s="1"/>
      <c r="AF1546" s="46"/>
      <c r="AG1546" s="1"/>
      <c r="AH1546" s="165"/>
      <c r="AI1546" s="165"/>
      <c r="AJ1546" s="165"/>
      <c r="AK1546" s="165"/>
      <c r="AL1546" s="165"/>
      <c r="AM1546" s="165"/>
      <c r="AN1546" s="165"/>
    </row>
    <row r="1547" spans="3:40">
      <c r="C1547" s="46"/>
      <c r="F1547" s="173"/>
      <c r="G1547" s="1"/>
      <c r="H1547" s="165"/>
      <c r="I1547" s="160"/>
      <c r="J1547" s="160"/>
      <c r="K1547" s="1"/>
      <c r="L1547" s="123"/>
      <c r="M1547" s="1"/>
      <c r="N1547" s="590"/>
      <c r="O1547" s="165"/>
      <c r="P1547" s="165"/>
      <c r="Q1547" s="165"/>
      <c r="R1547" s="165"/>
      <c r="S1547" s="165"/>
      <c r="V1547" s="46"/>
      <c r="W1547" s="46"/>
      <c r="X1547" s="1"/>
      <c r="Y1547" s="1"/>
      <c r="Z1547" s="173"/>
      <c r="AA1547" s="1"/>
      <c r="AB1547" s="165"/>
      <c r="AC1547" s="1"/>
      <c r="AD1547" s="1"/>
      <c r="AE1547" s="1"/>
      <c r="AF1547" s="46"/>
      <c r="AG1547" s="1"/>
      <c r="AH1547" s="165"/>
      <c r="AI1547" s="165"/>
      <c r="AJ1547" s="165"/>
      <c r="AK1547" s="165"/>
      <c r="AL1547" s="165"/>
      <c r="AM1547" s="165"/>
      <c r="AN1547" s="165"/>
    </row>
    <row r="1548" spans="3:40">
      <c r="C1548" s="46"/>
      <c r="F1548" s="173"/>
      <c r="G1548" s="1"/>
      <c r="H1548" s="165"/>
      <c r="I1548" s="160"/>
      <c r="J1548" s="160"/>
      <c r="K1548" s="1"/>
      <c r="L1548" s="123"/>
      <c r="M1548" s="1"/>
      <c r="N1548" s="590"/>
      <c r="O1548" s="165"/>
      <c r="P1548" s="165"/>
      <c r="Q1548" s="165"/>
      <c r="R1548" s="165"/>
      <c r="S1548" s="165"/>
      <c r="V1548" s="46"/>
      <c r="W1548" s="46"/>
      <c r="X1548" s="1"/>
      <c r="Y1548" s="1"/>
      <c r="Z1548" s="173"/>
      <c r="AA1548" s="1"/>
      <c r="AB1548" s="165"/>
      <c r="AC1548" s="1"/>
      <c r="AD1548" s="1"/>
      <c r="AE1548" s="1"/>
      <c r="AF1548" s="46"/>
      <c r="AG1548" s="1"/>
      <c r="AH1548" s="165"/>
      <c r="AI1548" s="165"/>
      <c r="AJ1548" s="165"/>
      <c r="AK1548" s="165"/>
      <c r="AL1548" s="165"/>
      <c r="AM1548" s="165"/>
      <c r="AN1548" s="165"/>
    </row>
    <row r="1549" spans="3:40">
      <c r="C1549" s="46"/>
      <c r="F1549" s="173"/>
      <c r="G1549" s="1"/>
      <c r="H1549" s="165"/>
      <c r="I1549" s="160"/>
      <c r="J1549" s="160"/>
      <c r="K1549" s="1"/>
      <c r="L1549" s="123"/>
      <c r="M1549" s="1"/>
      <c r="N1549" s="590"/>
      <c r="O1549" s="165"/>
      <c r="P1549" s="165"/>
      <c r="Q1549" s="165"/>
      <c r="R1549" s="165"/>
      <c r="S1549" s="165"/>
      <c r="V1549" s="46"/>
      <c r="W1549" s="46"/>
      <c r="X1549" s="1"/>
      <c r="Y1549" s="1"/>
      <c r="Z1549" s="173"/>
      <c r="AA1549" s="1"/>
      <c r="AB1549" s="165"/>
      <c r="AC1549" s="1"/>
      <c r="AD1549" s="1"/>
      <c r="AE1549" s="1"/>
      <c r="AF1549" s="46"/>
      <c r="AG1549" s="1"/>
      <c r="AH1549" s="165"/>
      <c r="AI1549" s="165"/>
      <c r="AJ1549" s="165"/>
      <c r="AK1549" s="165"/>
      <c r="AL1549" s="165"/>
      <c r="AM1549" s="165"/>
      <c r="AN1549" s="165"/>
    </row>
    <row r="1550" spans="3:40">
      <c r="C1550" s="46"/>
      <c r="F1550" s="173"/>
      <c r="G1550" s="1"/>
      <c r="H1550" s="165"/>
      <c r="I1550" s="160"/>
      <c r="J1550" s="160"/>
      <c r="K1550" s="1"/>
      <c r="L1550" s="123"/>
      <c r="M1550" s="1"/>
      <c r="N1550" s="590"/>
      <c r="O1550" s="165"/>
      <c r="P1550" s="165"/>
      <c r="Q1550" s="165"/>
      <c r="R1550" s="165"/>
      <c r="S1550" s="165"/>
      <c r="V1550" s="46"/>
      <c r="W1550" s="46"/>
      <c r="X1550" s="1"/>
      <c r="Y1550" s="1"/>
      <c r="Z1550" s="173"/>
      <c r="AA1550" s="1"/>
      <c r="AB1550" s="165"/>
      <c r="AC1550" s="1"/>
      <c r="AD1550" s="1"/>
      <c r="AE1550" s="1"/>
      <c r="AF1550" s="46"/>
      <c r="AG1550" s="1"/>
      <c r="AH1550" s="165"/>
      <c r="AI1550" s="165"/>
      <c r="AJ1550" s="165"/>
      <c r="AK1550" s="165"/>
      <c r="AL1550" s="165"/>
      <c r="AM1550" s="165"/>
      <c r="AN1550" s="165"/>
    </row>
    <row r="1551" spans="3:40">
      <c r="C1551" s="46"/>
      <c r="F1551" s="173"/>
      <c r="G1551" s="1"/>
      <c r="H1551" s="165"/>
      <c r="I1551" s="160"/>
      <c r="J1551" s="160"/>
      <c r="K1551" s="1"/>
      <c r="L1551" s="123"/>
      <c r="M1551" s="1"/>
      <c r="N1551" s="590"/>
      <c r="O1551" s="165"/>
      <c r="P1551" s="165"/>
      <c r="Q1551" s="165"/>
      <c r="R1551" s="165"/>
      <c r="S1551" s="165"/>
      <c r="V1551" s="46"/>
      <c r="W1551" s="46"/>
      <c r="X1551" s="1"/>
      <c r="Y1551" s="1"/>
      <c r="Z1551" s="173"/>
      <c r="AA1551" s="1"/>
      <c r="AB1551" s="165"/>
      <c r="AC1551" s="1"/>
      <c r="AD1551" s="1"/>
      <c r="AE1551" s="1"/>
      <c r="AF1551" s="46"/>
      <c r="AG1551" s="1"/>
      <c r="AH1551" s="165"/>
      <c r="AI1551" s="165"/>
      <c r="AJ1551" s="165"/>
      <c r="AK1551" s="165"/>
      <c r="AL1551" s="165"/>
      <c r="AM1551" s="165"/>
      <c r="AN1551" s="165"/>
    </row>
    <row r="1552" spans="3:40">
      <c r="C1552" s="46"/>
      <c r="F1552" s="173"/>
      <c r="G1552" s="1"/>
      <c r="H1552" s="165"/>
      <c r="I1552" s="160"/>
      <c r="J1552" s="160"/>
      <c r="K1552" s="1"/>
      <c r="L1552" s="123"/>
      <c r="M1552" s="1"/>
      <c r="N1552" s="590"/>
      <c r="O1552" s="165"/>
      <c r="P1552" s="165"/>
      <c r="Q1552" s="165"/>
      <c r="R1552" s="165"/>
      <c r="S1552" s="165"/>
      <c r="V1552" s="46"/>
      <c r="W1552" s="46"/>
      <c r="X1552" s="1"/>
      <c r="Y1552" s="1"/>
      <c r="Z1552" s="173"/>
      <c r="AA1552" s="1"/>
      <c r="AB1552" s="165"/>
      <c r="AC1552" s="1"/>
      <c r="AD1552" s="1"/>
      <c r="AE1552" s="1"/>
      <c r="AF1552" s="46"/>
      <c r="AG1552" s="1"/>
      <c r="AH1552" s="165"/>
      <c r="AI1552" s="165"/>
      <c r="AJ1552" s="165"/>
      <c r="AK1552" s="165"/>
      <c r="AL1552" s="165"/>
      <c r="AM1552" s="165"/>
      <c r="AN1552" s="165"/>
    </row>
    <row r="1553" spans="3:40">
      <c r="C1553" s="46"/>
      <c r="F1553" s="173"/>
      <c r="G1553" s="1"/>
      <c r="H1553" s="165"/>
      <c r="I1553" s="160"/>
      <c r="J1553" s="160"/>
      <c r="K1553" s="1"/>
      <c r="L1553" s="123"/>
      <c r="M1553" s="1"/>
      <c r="N1553" s="590"/>
      <c r="O1553" s="165"/>
      <c r="P1553" s="165"/>
      <c r="Q1553" s="165"/>
      <c r="R1553" s="165"/>
      <c r="S1553" s="165"/>
      <c r="V1553" s="46"/>
      <c r="W1553" s="46"/>
      <c r="X1553" s="1"/>
      <c r="Y1553" s="1"/>
      <c r="Z1553" s="173"/>
      <c r="AA1553" s="1"/>
      <c r="AB1553" s="165"/>
      <c r="AC1553" s="1"/>
      <c r="AD1553" s="1"/>
      <c r="AE1553" s="1"/>
      <c r="AF1553" s="46"/>
      <c r="AG1553" s="1"/>
      <c r="AH1553" s="165"/>
      <c r="AI1553" s="165"/>
      <c r="AJ1553" s="165"/>
      <c r="AK1553" s="165"/>
      <c r="AL1553" s="165"/>
      <c r="AM1553" s="165"/>
      <c r="AN1553" s="165"/>
    </row>
    <row r="1554" spans="3:40">
      <c r="C1554" s="46"/>
      <c r="F1554" s="173"/>
      <c r="G1554" s="1"/>
      <c r="H1554" s="165"/>
      <c r="I1554" s="160"/>
      <c r="J1554" s="160"/>
      <c r="K1554" s="1"/>
      <c r="L1554" s="123"/>
      <c r="M1554" s="1"/>
      <c r="N1554" s="590"/>
      <c r="O1554" s="165"/>
      <c r="P1554" s="165"/>
      <c r="Q1554" s="165"/>
      <c r="R1554" s="165"/>
      <c r="S1554" s="165"/>
      <c r="V1554" s="46"/>
      <c r="W1554" s="46"/>
      <c r="X1554" s="1"/>
      <c r="Y1554" s="1"/>
      <c r="Z1554" s="173"/>
      <c r="AA1554" s="1"/>
      <c r="AB1554" s="165"/>
      <c r="AC1554" s="1"/>
      <c r="AD1554" s="1"/>
      <c r="AE1554" s="1"/>
      <c r="AF1554" s="46"/>
      <c r="AG1554" s="1"/>
      <c r="AH1554" s="165"/>
      <c r="AI1554" s="165"/>
      <c r="AJ1554" s="165"/>
      <c r="AK1554" s="165"/>
      <c r="AL1554" s="165"/>
      <c r="AM1554" s="165"/>
      <c r="AN1554" s="165"/>
    </row>
    <row r="1555" spans="3:40">
      <c r="C1555" s="46"/>
      <c r="F1555" s="173"/>
      <c r="G1555" s="1"/>
      <c r="H1555" s="165"/>
      <c r="I1555" s="160"/>
      <c r="J1555" s="160"/>
      <c r="K1555" s="1"/>
      <c r="L1555" s="123"/>
      <c r="M1555" s="1"/>
      <c r="N1555" s="590"/>
      <c r="O1555" s="165"/>
      <c r="P1555" s="165"/>
      <c r="Q1555" s="165"/>
      <c r="R1555" s="165"/>
      <c r="S1555" s="165"/>
      <c r="V1555" s="46"/>
      <c r="W1555" s="46"/>
      <c r="X1555" s="1"/>
      <c r="Y1555" s="1"/>
      <c r="Z1555" s="173"/>
      <c r="AA1555" s="1"/>
      <c r="AB1555" s="165"/>
      <c r="AC1555" s="1"/>
      <c r="AD1555" s="1"/>
      <c r="AE1555" s="1"/>
      <c r="AF1555" s="46"/>
      <c r="AG1555" s="1"/>
      <c r="AH1555" s="165"/>
      <c r="AI1555" s="165"/>
      <c r="AJ1555" s="165"/>
      <c r="AK1555" s="165"/>
      <c r="AL1555" s="165"/>
      <c r="AM1555" s="165"/>
      <c r="AN1555" s="165"/>
    </row>
    <row r="1556" spans="3:40">
      <c r="C1556" s="46"/>
      <c r="F1556" s="173"/>
      <c r="G1556" s="1"/>
      <c r="H1556" s="165"/>
      <c r="I1556" s="160"/>
      <c r="J1556" s="160"/>
      <c r="K1556" s="1"/>
      <c r="L1556" s="123"/>
      <c r="M1556" s="1"/>
      <c r="N1556" s="590"/>
      <c r="O1556" s="165"/>
      <c r="P1556" s="165"/>
      <c r="Q1556" s="165"/>
      <c r="R1556" s="165"/>
      <c r="S1556" s="165"/>
      <c r="V1556" s="46"/>
      <c r="W1556" s="46"/>
      <c r="X1556" s="1"/>
      <c r="Y1556" s="1"/>
      <c r="Z1556" s="173"/>
      <c r="AA1556" s="1"/>
      <c r="AB1556" s="165"/>
      <c r="AC1556" s="1"/>
      <c r="AD1556" s="1"/>
      <c r="AE1556" s="1"/>
      <c r="AF1556" s="46"/>
      <c r="AG1556" s="1"/>
      <c r="AH1556" s="165"/>
      <c r="AI1556" s="165"/>
      <c r="AJ1556" s="165"/>
      <c r="AK1556" s="165"/>
      <c r="AL1556" s="165"/>
      <c r="AM1556" s="165"/>
      <c r="AN1556" s="165"/>
    </row>
    <row r="1557" spans="3:40">
      <c r="C1557" s="46"/>
      <c r="F1557" s="173"/>
      <c r="G1557" s="1"/>
      <c r="H1557" s="165"/>
      <c r="I1557" s="160"/>
      <c r="J1557" s="160"/>
      <c r="K1557" s="1"/>
      <c r="L1557" s="123"/>
      <c r="M1557" s="1"/>
      <c r="N1557" s="590"/>
      <c r="O1557" s="165"/>
      <c r="P1557" s="165"/>
      <c r="Q1557" s="165"/>
      <c r="R1557" s="165"/>
      <c r="S1557" s="165"/>
      <c r="V1557" s="46"/>
      <c r="W1557" s="46"/>
      <c r="X1557" s="1"/>
      <c r="Y1557" s="1"/>
      <c r="Z1557" s="173"/>
      <c r="AA1557" s="1"/>
      <c r="AB1557" s="165"/>
      <c r="AC1557" s="1"/>
      <c r="AD1557" s="1"/>
      <c r="AE1557" s="1"/>
      <c r="AF1557" s="46"/>
      <c r="AG1557" s="1"/>
      <c r="AH1557" s="165"/>
      <c r="AI1557" s="165"/>
      <c r="AJ1557" s="165"/>
      <c r="AK1557" s="165"/>
      <c r="AL1557" s="165"/>
      <c r="AM1557" s="165"/>
      <c r="AN1557" s="165"/>
    </row>
    <row r="1558" spans="3:40">
      <c r="C1558" s="46"/>
      <c r="F1558" s="173"/>
      <c r="G1558" s="1"/>
      <c r="H1558" s="165"/>
      <c r="I1558" s="160"/>
      <c r="J1558" s="160"/>
      <c r="K1558" s="1"/>
      <c r="L1558" s="123"/>
      <c r="M1558" s="1"/>
      <c r="N1558" s="590"/>
      <c r="O1558" s="165"/>
      <c r="P1558" s="165"/>
      <c r="Q1558" s="165"/>
      <c r="R1558" s="165"/>
      <c r="S1558" s="165"/>
      <c r="V1558" s="46"/>
      <c r="W1558" s="46"/>
      <c r="X1558" s="1"/>
      <c r="Y1558" s="1"/>
      <c r="Z1558" s="173"/>
      <c r="AA1558" s="1"/>
      <c r="AB1558" s="165"/>
      <c r="AC1558" s="1"/>
      <c r="AD1558" s="1"/>
      <c r="AE1558" s="1"/>
      <c r="AF1558" s="46"/>
      <c r="AG1558" s="1"/>
      <c r="AH1558" s="165"/>
      <c r="AI1558" s="165"/>
      <c r="AJ1558" s="165"/>
      <c r="AK1558" s="165"/>
      <c r="AL1558" s="165"/>
      <c r="AM1558" s="165"/>
      <c r="AN1558" s="165"/>
    </row>
    <row r="1559" spans="3:40">
      <c r="C1559" s="46"/>
      <c r="F1559" s="173"/>
      <c r="G1559" s="1"/>
      <c r="H1559" s="165"/>
      <c r="I1559" s="160"/>
      <c r="J1559" s="160"/>
      <c r="K1559" s="1"/>
      <c r="L1559" s="123"/>
      <c r="M1559" s="1"/>
      <c r="N1559" s="590"/>
      <c r="O1559" s="165"/>
      <c r="P1559" s="165"/>
      <c r="Q1559" s="165"/>
      <c r="R1559" s="165"/>
      <c r="S1559" s="165"/>
      <c r="V1559" s="46"/>
      <c r="W1559" s="46"/>
      <c r="X1559" s="1"/>
      <c r="Y1559" s="1"/>
      <c r="Z1559" s="173"/>
      <c r="AA1559" s="1"/>
      <c r="AB1559" s="165"/>
      <c r="AC1559" s="1"/>
      <c r="AD1559" s="1"/>
      <c r="AE1559" s="1"/>
      <c r="AF1559" s="46"/>
      <c r="AG1559" s="1"/>
      <c r="AH1559" s="165"/>
      <c r="AI1559" s="165"/>
      <c r="AJ1559" s="165"/>
      <c r="AK1559" s="165"/>
      <c r="AL1559" s="165"/>
      <c r="AM1559" s="165"/>
      <c r="AN1559" s="165"/>
    </row>
    <row r="1560" spans="3:40">
      <c r="C1560" s="46"/>
      <c r="F1560" s="173"/>
      <c r="G1560" s="1"/>
      <c r="H1560" s="165"/>
      <c r="I1560" s="160"/>
      <c r="J1560" s="160"/>
      <c r="K1560" s="1"/>
      <c r="L1560" s="123"/>
      <c r="M1560" s="1"/>
      <c r="N1560" s="590"/>
      <c r="O1560" s="165"/>
      <c r="P1560" s="165"/>
      <c r="Q1560" s="165"/>
      <c r="R1560" s="165"/>
      <c r="S1560" s="165"/>
      <c r="V1560" s="46"/>
      <c r="W1560" s="46"/>
      <c r="X1560" s="1"/>
      <c r="Y1560" s="1"/>
      <c r="Z1560" s="173"/>
      <c r="AA1560" s="1"/>
      <c r="AB1560" s="165"/>
      <c r="AC1560" s="1"/>
      <c r="AD1560" s="1"/>
      <c r="AE1560" s="1"/>
      <c r="AF1560" s="46"/>
      <c r="AG1560" s="1"/>
      <c r="AH1560" s="165"/>
      <c r="AI1560" s="165"/>
      <c r="AJ1560" s="165"/>
      <c r="AK1560" s="165"/>
      <c r="AL1560" s="165"/>
      <c r="AM1560" s="165"/>
      <c r="AN1560" s="165"/>
    </row>
    <row r="1561" spans="3:40">
      <c r="C1561" s="46"/>
      <c r="F1561" s="173"/>
      <c r="G1561" s="1"/>
      <c r="H1561" s="165"/>
      <c r="I1561" s="160"/>
      <c r="J1561" s="160"/>
      <c r="K1561" s="1"/>
      <c r="L1561" s="123"/>
      <c r="M1561" s="1"/>
      <c r="N1561" s="590"/>
      <c r="O1561" s="165"/>
      <c r="P1561" s="165"/>
      <c r="Q1561" s="165"/>
      <c r="R1561" s="165"/>
      <c r="S1561" s="165"/>
      <c r="V1561" s="46"/>
      <c r="W1561" s="46"/>
      <c r="X1561" s="1"/>
      <c r="Y1561" s="1"/>
      <c r="Z1561" s="173"/>
      <c r="AA1561" s="1"/>
      <c r="AB1561" s="165"/>
      <c r="AC1561" s="1"/>
      <c r="AD1561" s="1"/>
      <c r="AE1561" s="1"/>
      <c r="AF1561" s="46"/>
      <c r="AG1561" s="1"/>
      <c r="AH1561" s="165"/>
      <c r="AI1561" s="165"/>
      <c r="AJ1561" s="165"/>
      <c r="AK1561" s="165"/>
      <c r="AL1561" s="165"/>
      <c r="AM1561" s="165"/>
      <c r="AN1561" s="165"/>
    </row>
    <row r="1562" spans="3:40">
      <c r="C1562" s="46"/>
      <c r="F1562" s="173"/>
      <c r="G1562" s="1"/>
      <c r="H1562" s="165"/>
      <c r="I1562" s="160"/>
      <c r="J1562" s="160"/>
      <c r="K1562" s="1"/>
      <c r="L1562" s="123"/>
      <c r="M1562" s="1"/>
      <c r="N1562" s="590"/>
      <c r="O1562" s="165"/>
      <c r="P1562" s="165"/>
      <c r="Q1562" s="165"/>
      <c r="R1562" s="165"/>
      <c r="S1562" s="165"/>
      <c r="V1562" s="46"/>
      <c r="W1562" s="46"/>
      <c r="X1562" s="1"/>
      <c r="Y1562" s="1"/>
      <c r="Z1562" s="173"/>
      <c r="AA1562" s="1"/>
      <c r="AB1562" s="165"/>
      <c r="AC1562" s="1"/>
      <c r="AD1562" s="1"/>
      <c r="AE1562" s="1"/>
      <c r="AF1562" s="46"/>
      <c r="AG1562" s="1"/>
      <c r="AH1562" s="165"/>
      <c r="AI1562" s="165"/>
      <c r="AJ1562" s="165"/>
      <c r="AK1562" s="165"/>
      <c r="AL1562" s="165"/>
      <c r="AM1562" s="165"/>
      <c r="AN1562" s="165"/>
    </row>
    <row r="1563" spans="3:40">
      <c r="C1563" s="46"/>
      <c r="F1563" s="173"/>
      <c r="G1563" s="1"/>
      <c r="H1563" s="165"/>
      <c r="I1563" s="160"/>
      <c r="J1563" s="160"/>
      <c r="K1563" s="1"/>
      <c r="L1563" s="123"/>
      <c r="M1563" s="1"/>
      <c r="N1563" s="590"/>
      <c r="O1563" s="165"/>
      <c r="P1563" s="165"/>
      <c r="Q1563" s="165"/>
      <c r="R1563" s="165"/>
      <c r="S1563" s="165"/>
      <c r="V1563" s="46"/>
      <c r="W1563" s="46"/>
      <c r="X1563" s="1"/>
      <c r="Y1563" s="1"/>
      <c r="Z1563" s="173"/>
      <c r="AA1563" s="1"/>
      <c r="AB1563" s="165"/>
      <c r="AC1563" s="1"/>
      <c r="AD1563" s="1"/>
      <c r="AE1563" s="1"/>
      <c r="AF1563" s="46"/>
      <c r="AG1563" s="1"/>
      <c r="AH1563" s="165"/>
      <c r="AI1563" s="165"/>
      <c r="AJ1563" s="165"/>
      <c r="AK1563" s="165"/>
      <c r="AL1563" s="165"/>
      <c r="AM1563" s="165"/>
      <c r="AN1563" s="165"/>
    </row>
    <row r="1564" spans="3:40">
      <c r="C1564" s="46"/>
      <c r="F1564" s="173"/>
      <c r="G1564" s="1"/>
      <c r="H1564" s="165"/>
      <c r="I1564" s="160"/>
      <c r="J1564" s="160"/>
      <c r="K1564" s="1"/>
      <c r="L1564" s="123"/>
      <c r="M1564" s="1"/>
      <c r="N1564" s="590"/>
      <c r="O1564" s="165"/>
      <c r="P1564" s="165"/>
      <c r="Q1564" s="165"/>
      <c r="R1564" s="165"/>
      <c r="S1564" s="165"/>
      <c r="V1564" s="46"/>
      <c r="W1564" s="46"/>
      <c r="X1564" s="1"/>
      <c r="Y1564" s="1"/>
      <c r="Z1564" s="173"/>
      <c r="AA1564" s="1"/>
      <c r="AB1564" s="165"/>
      <c r="AC1564" s="1"/>
      <c r="AD1564" s="1"/>
      <c r="AE1564" s="1"/>
      <c r="AF1564" s="46"/>
      <c r="AG1564" s="1"/>
      <c r="AH1564" s="165"/>
      <c r="AI1564" s="165"/>
      <c r="AJ1564" s="165"/>
      <c r="AK1564" s="165"/>
      <c r="AL1564" s="165"/>
      <c r="AM1564" s="165"/>
      <c r="AN1564" s="165"/>
    </row>
    <row r="1565" spans="3:40">
      <c r="C1565" s="46"/>
      <c r="F1565" s="173"/>
      <c r="G1565" s="1"/>
      <c r="H1565" s="165"/>
      <c r="I1565" s="160"/>
      <c r="J1565" s="160"/>
      <c r="K1565" s="1"/>
      <c r="L1565" s="123"/>
      <c r="M1565" s="1"/>
      <c r="N1565" s="590"/>
      <c r="O1565" s="165"/>
      <c r="P1565" s="165"/>
      <c r="Q1565" s="165"/>
      <c r="R1565" s="165"/>
      <c r="S1565" s="165"/>
      <c r="V1565" s="46"/>
      <c r="W1565" s="46"/>
      <c r="X1565" s="1"/>
      <c r="Y1565" s="1"/>
      <c r="Z1565" s="173"/>
      <c r="AA1565" s="1"/>
      <c r="AB1565" s="165"/>
      <c r="AC1565" s="1"/>
      <c r="AD1565" s="1"/>
      <c r="AE1565" s="1"/>
      <c r="AF1565" s="46"/>
      <c r="AG1565" s="1"/>
      <c r="AH1565" s="165"/>
      <c r="AI1565" s="165"/>
      <c r="AJ1565" s="165"/>
      <c r="AK1565" s="165"/>
      <c r="AL1565" s="165"/>
      <c r="AM1565" s="165"/>
      <c r="AN1565" s="165"/>
    </row>
    <row r="1566" spans="3:40">
      <c r="C1566" s="46"/>
      <c r="F1566" s="173"/>
      <c r="G1566" s="1"/>
      <c r="H1566" s="165"/>
      <c r="I1566" s="160"/>
      <c r="J1566" s="160"/>
      <c r="K1566" s="1"/>
      <c r="L1566" s="123"/>
      <c r="M1566" s="1"/>
      <c r="N1566" s="590"/>
      <c r="O1566" s="165"/>
      <c r="P1566" s="165"/>
      <c r="Q1566" s="165"/>
      <c r="R1566" s="165"/>
      <c r="S1566" s="165"/>
      <c r="V1566" s="46"/>
      <c r="W1566" s="46"/>
      <c r="X1566" s="1"/>
      <c r="Y1566" s="1"/>
      <c r="Z1566" s="173"/>
      <c r="AA1566" s="1"/>
      <c r="AB1566" s="165"/>
      <c r="AC1566" s="1"/>
      <c r="AD1566" s="1"/>
      <c r="AE1566" s="1"/>
      <c r="AF1566" s="46"/>
      <c r="AG1566" s="1"/>
      <c r="AH1566" s="165"/>
      <c r="AI1566" s="165"/>
      <c r="AJ1566" s="165"/>
      <c r="AK1566" s="165"/>
      <c r="AL1566" s="165"/>
      <c r="AM1566" s="165"/>
      <c r="AN1566" s="165"/>
    </row>
    <row r="1567" spans="3:40">
      <c r="C1567" s="46"/>
      <c r="F1567" s="173"/>
      <c r="G1567" s="1"/>
      <c r="H1567" s="165"/>
      <c r="I1567" s="160"/>
      <c r="J1567" s="160"/>
      <c r="K1567" s="1"/>
      <c r="L1567" s="123"/>
      <c r="M1567" s="1"/>
      <c r="N1567" s="590"/>
      <c r="O1567" s="165"/>
      <c r="P1567" s="165"/>
      <c r="Q1567" s="165"/>
      <c r="R1567" s="165"/>
      <c r="S1567" s="165"/>
      <c r="V1567" s="46"/>
      <c r="W1567" s="46"/>
      <c r="X1567" s="1"/>
      <c r="Y1567" s="1"/>
      <c r="Z1567" s="173"/>
      <c r="AA1567" s="1"/>
      <c r="AB1567" s="165"/>
      <c r="AC1567" s="1"/>
      <c r="AD1567" s="1"/>
      <c r="AE1567" s="1"/>
      <c r="AF1567" s="46"/>
      <c r="AG1567" s="1"/>
      <c r="AH1567" s="165"/>
      <c r="AI1567" s="165"/>
      <c r="AJ1567" s="165"/>
      <c r="AK1567" s="165"/>
      <c r="AL1567" s="165"/>
      <c r="AM1567" s="165"/>
      <c r="AN1567" s="165"/>
    </row>
    <row r="1568" spans="3:40">
      <c r="C1568" s="46"/>
      <c r="F1568" s="173"/>
      <c r="G1568" s="1"/>
      <c r="H1568" s="165"/>
      <c r="I1568" s="160"/>
      <c r="J1568" s="160"/>
      <c r="K1568" s="1"/>
      <c r="L1568" s="123"/>
      <c r="M1568" s="1"/>
      <c r="N1568" s="590"/>
      <c r="O1568" s="165"/>
      <c r="P1568" s="165"/>
      <c r="Q1568" s="165"/>
      <c r="R1568" s="165"/>
      <c r="S1568" s="165"/>
      <c r="V1568" s="46"/>
      <c r="W1568" s="46"/>
      <c r="X1568" s="1"/>
      <c r="Y1568" s="1"/>
      <c r="Z1568" s="173"/>
      <c r="AA1568" s="1"/>
      <c r="AB1568" s="165"/>
      <c r="AC1568" s="1"/>
      <c r="AD1568" s="1"/>
      <c r="AE1568" s="1"/>
      <c r="AF1568" s="46"/>
      <c r="AG1568" s="1"/>
      <c r="AH1568" s="165"/>
      <c r="AI1568" s="165"/>
      <c r="AJ1568" s="165"/>
      <c r="AK1568" s="165"/>
      <c r="AL1568" s="165"/>
      <c r="AM1568" s="165"/>
      <c r="AN1568" s="165"/>
    </row>
    <row r="1569" spans="3:40">
      <c r="C1569" s="46"/>
      <c r="F1569" s="173"/>
      <c r="G1569" s="1"/>
      <c r="H1569" s="165"/>
      <c r="I1569" s="160"/>
      <c r="J1569" s="160"/>
      <c r="K1569" s="1"/>
      <c r="L1569" s="123"/>
      <c r="M1569" s="1"/>
      <c r="N1569" s="590"/>
      <c r="O1569" s="165"/>
      <c r="P1569" s="165"/>
      <c r="Q1569" s="165"/>
      <c r="R1569" s="165"/>
      <c r="S1569" s="165"/>
      <c r="V1569" s="46"/>
      <c r="W1569" s="46"/>
      <c r="X1569" s="1"/>
      <c r="Y1569" s="1"/>
      <c r="Z1569" s="173"/>
      <c r="AA1569" s="1"/>
      <c r="AB1569" s="165"/>
      <c r="AC1569" s="1"/>
      <c r="AD1569" s="1"/>
      <c r="AE1569" s="1"/>
      <c r="AF1569" s="46"/>
      <c r="AG1569" s="1"/>
      <c r="AH1569" s="165"/>
      <c r="AI1569" s="165"/>
      <c r="AJ1569" s="165"/>
      <c r="AK1569" s="165"/>
      <c r="AL1569" s="165"/>
      <c r="AM1569" s="165"/>
      <c r="AN1569" s="165"/>
    </row>
    <row r="1570" spans="3:40">
      <c r="C1570" s="46"/>
      <c r="F1570" s="173"/>
      <c r="G1570" s="1"/>
      <c r="H1570" s="165"/>
      <c r="I1570" s="160"/>
      <c r="J1570" s="160"/>
      <c r="K1570" s="1"/>
      <c r="L1570" s="123"/>
      <c r="M1570" s="1"/>
      <c r="N1570" s="590"/>
      <c r="O1570" s="165"/>
      <c r="P1570" s="165"/>
      <c r="Q1570" s="165"/>
      <c r="R1570" s="165"/>
      <c r="S1570" s="165"/>
      <c r="V1570" s="46"/>
      <c r="W1570" s="46"/>
      <c r="X1570" s="1"/>
      <c r="Y1570" s="1"/>
      <c r="Z1570" s="173"/>
      <c r="AA1570" s="1"/>
      <c r="AB1570" s="165"/>
      <c r="AC1570" s="1"/>
      <c r="AD1570" s="1"/>
      <c r="AE1570" s="1"/>
      <c r="AF1570" s="46"/>
      <c r="AG1570" s="1"/>
      <c r="AH1570" s="165"/>
      <c r="AI1570" s="165"/>
      <c r="AJ1570" s="165"/>
      <c r="AK1570" s="165"/>
      <c r="AL1570" s="165"/>
      <c r="AM1570" s="165"/>
      <c r="AN1570" s="165"/>
    </row>
    <row r="1571" spans="3:40">
      <c r="C1571" s="46"/>
      <c r="F1571" s="173"/>
      <c r="G1571" s="1"/>
      <c r="H1571" s="165"/>
      <c r="I1571" s="160"/>
      <c r="J1571" s="160"/>
      <c r="K1571" s="1"/>
      <c r="L1571" s="123"/>
      <c r="M1571" s="1"/>
      <c r="N1571" s="590"/>
      <c r="O1571" s="165"/>
      <c r="P1571" s="165"/>
      <c r="Q1571" s="165"/>
      <c r="R1571" s="165"/>
      <c r="S1571" s="165"/>
      <c r="V1571" s="46"/>
      <c r="W1571" s="46"/>
      <c r="X1571" s="1"/>
      <c r="Y1571" s="1"/>
      <c r="Z1571" s="173"/>
      <c r="AA1571" s="1"/>
      <c r="AB1571" s="165"/>
      <c r="AC1571" s="1"/>
      <c r="AD1571" s="1"/>
      <c r="AE1571" s="1"/>
      <c r="AF1571" s="46"/>
      <c r="AG1571" s="1"/>
      <c r="AH1571" s="165"/>
      <c r="AI1571" s="165"/>
      <c r="AJ1571" s="165"/>
      <c r="AK1571" s="165"/>
      <c r="AL1571" s="165"/>
      <c r="AM1571" s="165"/>
      <c r="AN1571" s="165"/>
    </row>
    <row r="1572" spans="3:40">
      <c r="C1572" s="46"/>
      <c r="F1572" s="173"/>
      <c r="G1572" s="1"/>
      <c r="H1572" s="165"/>
      <c r="I1572" s="160"/>
      <c r="J1572" s="160"/>
      <c r="K1572" s="1"/>
      <c r="L1572" s="123"/>
      <c r="M1572" s="1"/>
      <c r="N1572" s="590"/>
      <c r="O1572" s="165"/>
      <c r="P1572" s="165"/>
      <c r="Q1572" s="165"/>
      <c r="R1572" s="165"/>
      <c r="S1572" s="165"/>
      <c r="V1572" s="46"/>
      <c r="W1572" s="46"/>
      <c r="X1572" s="1"/>
      <c r="Y1572" s="1"/>
      <c r="Z1572" s="173"/>
      <c r="AA1572" s="1"/>
      <c r="AB1572" s="165"/>
      <c r="AC1572" s="1"/>
      <c r="AD1572" s="1"/>
      <c r="AE1572" s="1"/>
      <c r="AF1572" s="46"/>
      <c r="AG1572" s="1"/>
      <c r="AH1572" s="165"/>
      <c r="AI1572" s="165"/>
      <c r="AJ1572" s="165"/>
      <c r="AK1572" s="165"/>
      <c r="AL1572" s="165"/>
      <c r="AM1572" s="165"/>
      <c r="AN1572" s="165"/>
    </row>
    <row r="1573" spans="3:40">
      <c r="C1573" s="46"/>
      <c r="F1573" s="173"/>
      <c r="G1573" s="1"/>
      <c r="H1573" s="165"/>
      <c r="I1573" s="160"/>
      <c r="J1573" s="160"/>
      <c r="K1573" s="1"/>
      <c r="L1573" s="123"/>
      <c r="M1573" s="1"/>
      <c r="N1573" s="590"/>
      <c r="O1573" s="165"/>
      <c r="P1573" s="165"/>
      <c r="Q1573" s="165"/>
      <c r="R1573" s="165"/>
      <c r="S1573" s="165"/>
      <c r="V1573" s="46"/>
      <c r="W1573" s="46"/>
      <c r="X1573" s="1"/>
      <c r="Y1573" s="1"/>
      <c r="Z1573" s="173"/>
      <c r="AA1573" s="1"/>
      <c r="AB1573" s="165"/>
      <c r="AC1573" s="1"/>
      <c r="AD1573" s="1"/>
      <c r="AE1573" s="1"/>
      <c r="AF1573" s="46"/>
      <c r="AG1573" s="1"/>
      <c r="AH1573" s="165"/>
      <c r="AI1573" s="165"/>
      <c r="AJ1573" s="165"/>
      <c r="AK1573" s="165"/>
      <c r="AL1573" s="165"/>
      <c r="AM1573" s="165"/>
      <c r="AN1573" s="165"/>
    </row>
    <row r="1574" spans="3:40">
      <c r="C1574" s="46"/>
      <c r="F1574" s="173"/>
      <c r="G1574" s="1"/>
      <c r="H1574" s="165"/>
      <c r="I1574" s="160"/>
      <c r="J1574" s="160"/>
      <c r="K1574" s="1"/>
      <c r="L1574" s="123"/>
      <c r="M1574" s="1"/>
      <c r="N1574" s="590"/>
      <c r="O1574" s="165"/>
      <c r="P1574" s="165"/>
      <c r="Q1574" s="165"/>
      <c r="R1574" s="165"/>
      <c r="S1574" s="165"/>
      <c r="V1574" s="46"/>
      <c r="W1574" s="46"/>
      <c r="X1574" s="1"/>
      <c r="Y1574" s="1"/>
      <c r="Z1574" s="173"/>
      <c r="AA1574" s="1"/>
      <c r="AB1574" s="165"/>
      <c r="AC1574" s="1"/>
      <c r="AD1574" s="1"/>
      <c r="AE1574" s="1"/>
      <c r="AF1574" s="46"/>
      <c r="AG1574" s="1"/>
      <c r="AH1574" s="165"/>
      <c r="AI1574" s="165"/>
      <c r="AJ1574" s="165"/>
      <c r="AK1574" s="165"/>
      <c r="AL1574" s="165"/>
      <c r="AM1574" s="165"/>
      <c r="AN1574" s="165"/>
    </row>
    <row r="1575" spans="3:40">
      <c r="C1575" s="46"/>
      <c r="F1575" s="173"/>
      <c r="G1575" s="1"/>
      <c r="H1575" s="165"/>
      <c r="I1575" s="160"/>
      <c r="J1575" s="160"/>
      <c r="K1575" s="1"/>
      <c r="L1575" s="123"/>
      <c r="M1575" s="1"/>
      <c r="N1575" s="590"/>
      <c r="O1575" s="165"/>
      <c r="P1575" s="165"/>
      <c r="Q1575" s="165"/>
      <c r="R1575" s="165"/>
      <c r="S1575" s="165"/>
      <c r="V1575" s="46"/>
      <c r="W1575" s="46"/>
      <c r="X1575" s="1"/>
      <c r="Y1575" s="1"/>
      <c r="Z1575" s="173"/>
      <c r="AA1575" s="1"/>
      <c r="AB1575" s="165"/>
      <c r="AC1575" s="1"/>
      <c r="AD1575" s="1"/>
      <c r="AE1575" s="1"/>
      <c r="AF1575" s="46"/>
      <c r="AG1575" s="1"/>
      <c r="AH1575" s="165"/>
      <c r="AI1575" s="165"/>
      <c r="AJ1575" s="165"/>
      <c r="AK1575" s="165"/>
      <c r="AL1575" s="165"/>
      <c r="AM1575" s="165"/>
      <c r="AN1575" s="165"/>
    </row>
    <row r="1576" spans="3:40">
      <c r="C1576" s="46"/>
      <c r="F1576" s="173"/>
      <c r="G1576" s="1"/>
      <c r="H1576" s="165"/>
      <c r="I1576" s="160"/>
      <c r="J1576" s="160"/>
      <c r="K1576" s="1"/>
      <c r="L1576" s="123"/>
      <c r="M1576" s="1"/>
      <c r="N1576" s="590"/>
      <c r="O1576" s="165"/>
      <c r="P1576" s="165"/>
      <c r="Q1576" s="165"/>
      <c r="R1576" s="165"/>
      <c r="S1576" s="165"/>
      <c r="V1576" s="46"/>
      <c r="W1576" s="46"/>
      <c r="X1576" s="1"/>
      <c r="Y1576" s="1"/>
      <c r="Z1576" s="173"/>
      <c r="AA1576" s="1"/>
      <c r="AB1576" s="165"/>
      <c r="AC1576" s="1"/>
      <c r="AD1576" s="1"/>
      <c r="AE1576" s="1"/>
      <c r="AF1576" s="46"/>
      <c r="AG1576" s="1"/>
      <c r="AH1576" s="165"/>
      <c r="AI1576" s="165"/>
      <c r="AJ1576" s="165"/>
      <c r="AK1576" s="165"/>
      <c r="AL1576" s="165"/>
      <c r="AM1576" s="165"/>
      <c r="AN1576" s="165"/>
    </row>
    <row r="1577" spans="3:40">
      <c r="C1577" s="46"/>
      <c r="F1577" s="173"/>
      <c r="G1577" s="1"/>
      <c r="H1577" s="165"/>
      <c r="I1577" s="160"/>
      <c r="J1577" s="160"/>
      <c r="K1577" s="1"/>
      <c r="L1577" s="123"/>
      <c r="M1577" s="1"/>
      <c r="N1577" s="590"/>
      <c r="O1577" s="165"/>
      <c r="P1577" s="165"/>
      <c r="Q1577" s="165"/>
      <c r="R1577" s="165"/>
      <c r="S1577" s="165"/>
      <c r="V1577" s="46"/>
      <c r="W1577" s="46"/>
      <c r="X1577" s="1"/>
      <c r="Y1577" s="1"/>
      <c r="Z1577" s="173"/>
      <c r="AA1577" s="1"/>
      <c r="AB1577" s="165"/>
      <c r="AC1577" s="1"/>
      <c r="AD1577" s="1"/>
      <c r="AE1577" s="1"/>
      <c r="AF1577" s="46"/>
      <c r="AG1577" s="1"/>
      <c r="AH1577" s="165"/>
      <c r="AI1577" s="165"/>
      <c r="AJ1577" s="165"/>
      <c r="AK1577" s="165"/>
      <c r="AL1577" s="165"/>
      <c r="AM1577" s="165"/>
      <c r="AN1577" s="165"/>
    </row>
    <row r="1578" spans="3:40">
      <c r="C1578" s="46"/>
      <c r="F1578" s="173"/>
      <c r="G1578" s="1"/>
      <c r="H1578" s="165"/>
      <c r="I1578" s="160"/>
      <c r="J1578" s="160"/>
      <c r="K1578" s="1"/>
      <c r="L1578" s="123"/>
      <c r="M1578" s="1"/>
      <c r="N1578" s="590"/>
      <c r="O1578" s="165"/>
      <c r="P1578" s="165"/>
      <c r="Q1578" s="165"/>
      <c r="R1578" s="165"/>
      <c r="S1578" s="165"/>
      <c r="V1578" s="46"/>
      <c r="W1578" s="46"/>
      <c r="X1578" s="1"/>
      <c r="Y1578" s="1"/>
      <c r="Z1578" s="173"/>
      <c r="AA1578" s="1"/>
      <c r="AB1578" s="165"/>
      <c r="AC1578" s="1"/>
      <c r="AD1578" s="1"/>
      <c r="AE1578" s="1"/>
      <c r="AF1578" s="46"/>
      <c r="AG1578" s="1"/>
      <c r="AH1578" s="165"/>
      <c r="AI1578" s="165"/>
      <c r="AJ1578" s="165"/>
      <c r="AK1578" s="165"/>
      <c r="AL1578" s="165"/>
      <c r="AM1578" s="165"/>
      <c r="AN1578" s="165"/>
    </row>
    <row r="1579" spans="3:40">
      <c r="C1579" s="46"/>
      <c r="F1579" s="173"/>
      <c r="G1579" s="1"/>
      <c r="H1579" s="165"/>
      <c r="I1579" s="160"/>
      <c r="J1579" s="160"/>
      <c r="K1579" s="1"/>
      <c r="L1579" s="123"/>
      <c r="M1579" s="1"/>
      <c r="N1579" s="590"/>
      <c r="O1579" s="165"/>
      <c r="P1579" s="165"/>
      <c r="Q1579" s="165"/>
      <c r="R1579" s="165"/>
      <c r="S1579" s="165"/>
      <c r="V1579" s="46"/>
      <c r="W1579" s="46"/>
      <c r="X1579" s="1"/>
      <c r="Y1579" s="1"/>
      <c r="Z1579" s="173"/>
      <c r="AA1579" s="1"/>
      <c r="AB1579" s="165"/>
      <c r="AC1579" s="1"/>
      <c r="AD1579" s="1"/>
      <c r="AE1579" s="1"/>
      <c r="AF1579" s="46"/>
      <c r="AG1579" s="1"/>
      <c r="AH1579" s="165"/>
      <c r="AI1579" s="165"/>
      <c r="AJ1579" s="165"/>
      <c r="AK1579" s="165"/>
      <c r="AL1579" s="165"/>
      <c r="AM1579" s="165"/>
      <c r="AN1579" s="165"/>
    </row>
    <row r="1580" spans="3:40">
      <c r="C1580" s="46"/>
      <c r="F1580" s="173"/>
      <c r="G1580" s="1"/>
      <c r="H1580" s="165"/>
      <c r="I1580" s="160"/>
      <c r="J1580" s="160"/>
      <c r="K1580" s="1"/>
      <c r="L1580" s="123"/>
      <c r="M1580" s="1"/>
      <c r="N1580" s="590"/>
      <c r="O1580" s="165"/>
      <c r="P1580" s="165"/>
      <c r="Q1580" s="165"/>
      <c r="R1580" s="165"/>
      <c r="S1580" s="165"/>
      <c r="V1580" s="46"/>
      <c r="W1580" s="46"/>
      <c r="X1580" s="1"/>
      <c r="Y1580" s="1"/>
      <c r="Z1580" s="173"/>
      <c r="AA1580" s="1"/>
      <c r="AB1580" s="165"/>
      <c r="AC1580" s="1"/>
      <c r="AD1580" s="1"/>
      <c r="AE1580" s="1"/>
      <c r="AF1580" s="46"/>
      <c r="AG1580" s="1"/>
      <c r="AH1580" s="165"/>
      <c r="AI1580" s="165"/>
      <c r="AJ1580" s="165"/>
      <c r="AK1580" s="165"/>
      <c r="AL1580" s="165"/>
      <c r="AM1580" s="165"/>
      <c r="AN1580" s="165"/>
    </row>
    <row r="1581" spans="3:40">
      <c r="C1581" s="46"/>
      <c r="F1581" s="173"/>
      <c r="G1581" s="1"/>
      <c r="H1581" s="165"/>
      <c r="I1581" s="160"/>
      <c r="J1581" s="160"/>
      <c r="K1581" s="1"/>
      <c r="L1581" s="123"/>
      <c r="M1581" s="1"/>
      <c r="N1581" s="590"/>
      <c r="O1581" s="165"/>
      <c r="P1581" s="165"/>
      <c r="Q1581" s="165"/>
      <c r="R1581" s="165"/>
      <c r="S1581" s="165"/>
      <c r="V1581" s="46"/>
      <c r="W1581" s="46"/>
      <c r="X1581" s="1"/>
      <c r="Y1581" s="1"/>
      <c r="Z1581" s="173"/>
      <c r="AA1581" s="1"/>
      <c r="AB1581" s="165"/>
      <c r="AC1581" s="1"/>
      <c r="AD1581" s="1"/>
      <c r="AE1581" s="1"/>
      <c r="AF1581" s="46"/>
      <c r="AG1581" s="1"/>
      <c r="AH1581" s="165"/>
      <c r="AI1581" s="165"/>
      <c r="AJ1581" s="165"/>
      <c r="AK1581" s="165"/>
      <c r="AL1581" s="165"/>
      <c r="AM1581" s="165"/>
      <c r="AN1581" s="165"/>
    </row>
    <row r="1582" spans="3:40">
      <c r="C1582" s="46"/>
      <c r="F1582" s="173"/>
      <c r="G1582" s="1"/>
      <c r="H1582" s="165"/>
      <c r="I1582" s="160"/>
      <c r="J1582" s="160"/>
      <c r="K1582" s="1"/>
      <c r="L1582" s="123"/>
      <c r="M1582" s="1"/>
      <c r="N1582" s="590"/>
      <c r="O1582" s="165"/>
      <c r="P1582" s="165"/>
      <c r="Q1582" s="165"/>
      <c r="R1582" s="165"/>
      <c r="S1582" s="165"/>
      <c r="V1582" s="46"/>
      <c r="W1582" s="46"/>
      <c r="X1582" s="1"/>
      <c r="Y1582" s="1"/>
      <c r="Z1582" s="173"/>
      <c r="AA1582" s="1"/>
      <c r="AB1582" s="165"/>
      <c r="AC1582" s="1"/>
      <c r="AD1582" s="1"/>
      <c r="AE1582" s="1"/>
      <c r="AF1582" s="46"/>
      <c r="AG1582" s="1"/>
      <c r="AH1582" s="165"/>
      <c r="AI1582" s="165"/>
      <c r="AJ1582" s="165"/>
      <c r="AK1582" s="165"/>
      <c r="AL1582" s="165"/>
      <c r="AM1582" s="165"/>
      <c r="AN1582" s="165"/>
    </row>
    <row r="1583" spans="3:40">
      <c r="C1583" s="46"/>
      <c r="F1583" s="173"/>
      <c r="G1583" s="1"/>
      <c r="H1583" s="165"/>
      <c r="I1583" s="160"/>
      <c r="J1583" s="160"/>
      <c r="K1583" s="1"/>
      <c r="L1583" s="123"/>
      <c r="M1583" s="1"/>
      <c r="N1583" s="590"/>
      <c r="O1583" s="165"/>
      <c r="P1583" s="165"/>
      <c r="Q1583" s="165"/>
      <c r="R1583" s="165"/>
      <c r="S1583" s="165"/>
      <c r="V1583" s="46"/>
      <c r="W1583" s="46"/>
      <c r="X1583" s="1"/>
      <c r="Y1583" s="1"/>
      <c r="Z1583" s="173"/>
      <c r="AA1583" s="1"/>
      <c r="AB1583" s="165"/>
      <c r="AC1583" s="1"/>
      <c r="AD1583" s="1"/>
      <c r="AE1583" s="1"/>
      <c r="AF1583" s="46"/>
      <c r="AG1583" s="1"/>
      <c r="AH1583" s="165"/>
      <c r="AI1583" s="165"/>
      <c r="AJ1583" s="165"/>
      <c r="AK1583" s="165"/>
      <c r="AL1583" s="165"/>
      <c r="AM1583" s="165"/>
      <c r="AN1583" s="165"/>
    </row>
    <row r="1584" spans="3:40">
      <c r="C1584" s="46"/>
      <c r="F1584" s="173"/>
      <c r="G1584" s="1"/>
      <c r="H1584" s="165"/>
      <c r="I1584" s="160"/>
      <c r="J1584" s="160"/>
      <c r="K1584" s="1"/>
      <c r="L1584" s="123"/>
      <c r="M1584" s="1"/>
      <c r="N1584" s="590"/>
      <c r="O1584" s="165"/>
      <c r="P1584" s="165"/>
      <c r="Q1584" s="165"/>
      <c r="R1584" s="165"/>
      <c r="S1584" s="165"/>
      <c r="V1584" s="46"/>
      <c r="W1584" s="46"/>
      <c r="X1584" s="1"/>
      <c r="Y1584" s="1"/>
      <c r="Z1584" s="173"/>
      <c r="AA1584" s="1"/>
      <c r="AB1584" s="165"/>
      <c r="AC1584" s="1"/>
      <c r="AD1584" s="1"/>
      <c r="AE1584" s="1"/>
      <c r="AF1584" s="46"/>
      <c r="AG1584" s="1"/>
      <c r="AH1584" s="165"/>
      <c r="AI1584" s="165"/>
      <c r="AJ1584" s="165"/>
      <c r="AK1584" s="165"/>
      <c r="AL1584" s="165"/>
      <c r="AM1584" s="165"/>
      <c r="AN1584" s="165"/>
    </row>
    <row r="1585" spans="3:40">
      <c r="C1585" s="46"/>
      <c r="F1585" s="173"/>
      <c r="G1585" s="1"/>
      <c r="H1585" s="165"/>
      <c r="I1585" s="160"/>
      <c r="J1585" s="160"/>
      <c r="K1585" s="1"/>
      <c r="L1585" s="123"/>
      <c r="M1585" s="1"/>
      <c r="N1585" s="590"/>
      <c r="O1585" s="165"/>
      <c r="P1585" s="165"/>
      <c r="Q1585" s="165"/>
      <c r="R1585" s="165"/>
      <c r="S1585" s="165"/>
      <c r="V1585" s="46"/>
      <c r="W1585" s="46"/>
      <c r="X1585" s="1"/>
      <c r="Y1585" s="1"/>
      <c r="Z1585" s="173"/>
      <c r="AA1585" s="1"/>
      <c r="AB1585" s="165"/>
      <c r="AC1585" s="1"/>
      <c r="AD1585" s="1"/>
      <c r="AE1585" s="1"/>
      <c r="AF1585" s="46"/>
      <c r="AG1585" s="1"/>
      <c r="AH1585" s="165"/>
      <c r="AI1585" s="165"/>
      <c r="AJ1585" s="165"/>
      <c r="AK1585" s="165"/>
      <c r="AL1585" s="165"/>
      <c r="AM1585" s="165"/>
      <c r="AN1585" s="165"/>
    </row>
    <row r="1586" spans="3:40">
      <c r="C1586" s="46"/>
      <c r="F1586" s="173"/>
      <c r="G1586" s="1"/>
      <c r="H1586" s="165"/>
      <c r="I1586" s="160"/>
      <c r="J1586" s="160"/>
      <c r="K1586" s="1"/>
      <c r="L1586" s="123"/>
      <c r="M1586" s="1"/>
      <c r="N1586" s="590"/>
      <c r="O1586" s="165"/>
      <c r="P1586" s="165"/>
      <c r="Q1586" s="165"/>
      <c r="R1586" s="165"/>
      <c r="S1586" s="165"/>
      <c r="V1586" s="46"/>
      <c r="W1586" s="46"/>
      <c r="X1586" s="1"/>
      <c r="Y1586" s="1"/>
      <c r="Z1586" s="173"/>
      <c r="AA1586" s="1"/>
      <c r="AB1586" s="165"/>
      <c r="AC1586" s="1"/>
      <c r="AD1586" s="1"/>
      <c r="AE1586" s="1"/>
      <c r="AF1586" s="46"/>
      <c r="AG1586" s="1"/>
      <c r="AH1586" s="165"/>
      <c r="AI1586" s="165"/>
      <c r="AJ1586" s="165"/>
      <c r="AK1586" s="165"/>
      <c r="AL1586" s="165"/>
      <c r="AM1586" s="165"/>
      <c r="AN1586" s="165"/>
    </row>
    <row r="1587" spans="3:40">
      <c r="C1587" s="46"/>
      <c r="F1587" s="173"/>
      <c r="G1587" s="1"/>
      <c r="H1587" s="165"/>
      <c r="I1587" s="160"/>
      <c r="J1587" s="160"/>
      <c r="K1587" s="1"/>
      <c r="L1587" s="123"/>
      <c r="M1587" s="1"/>
      <c r="N1587" s="590"/>
      <c r="O1587" s="165"/>
      <c r="P1587" s="165"/>
      <c r="Q1587" s="165"/>
      <c r="R1587" s="165"/>
      <c r="S1587" s="165"/>
      <c r="V1587" s="46"/>
      <c r="W1587" s="46"/>
      <c r="X1587" s="1"/>
      <c r="Y1587" s="1"/>
      <c r="Z1587" s="173"/>
      <c r="AA1587" s="1"/>
      <c r="AB1587" s="165"/>
      <c r="AC1587" s="1"/>
      <c r="AD1587" s="1"/>
      <c r="AE1587" s="1"/>
      <c r="AF1587" s="46"/>
      <c r="AG1587" s="1"/>
      <c r="AH1587" s="165"/>
      <c r="AI1587" s="165"/>
      <c r="AJ1587" s="165"/>
      <c r="AK1587" s="165"/>
      <c r="AL1587" s="165"/>
      <c r="AM1587" s="165"/>
      <c r="AN1587" s="165"/>
    </row>
    <row r="1588" spans="3:40">
      <c r="C1588" s="46"/>
      <c r="F1588" s="173"/>
      <c r="G1588" s="1"/>
      <c r="H1588" s="165"/>
      <c r="I1588" s="160"/>
      <c r="J1588" s="160"/>
      <c r="K1588" s="1"/>
      <c r="L1588" s="123"/>
      <c r="M1588" s="1"/>
      <c r="N1588" s="590"/>
      <c r="O1588" s="165"/>
      <c r="P1588" s="165"/>
      <c r="Q1588" s="165"/>
      <c r="R1588" s="165"/>
      <c r="S1588" s="165"/>
      <c r="V1588" s="46"/>
      <c r="W1588" s="46"/>
      <c r="X1588" s="1"/>
      <c r="Y1588" s="1"/>
      <c r="Z1588" s="173"/>
      <c r="AA1588" s="1"/>
      <c r="AB1588" s="165"/>
      <c r="AC1588" s="1"/>
      <c r="AD1588" s="1"/>
      <c r="AE1588" s="1"/>
      <c r="AF1588" s="46"/>
      <c r="AG1588" s="1"/>
      <c r="AH1588" s="165"/>
      <c r="AI1588" s="165"/>
      <c r="AJ1588" s="165"/>
      <c r="AK1588" s="165"/>
      <c r="AL1588" s="165"/>
      <c r="AM1588" s="165"/>
      <c r="AN1588" s="165"/>
    </row>
    <row r="1589" spans="3:40">
      <c r="C1589" s="46"/>
      <c r="F1589" s="173"/>
      <c r="G1589" s="1"/>
      <c r="H1589" s="165"/>
      <c r="I1589" s="160"/>
      <c r="J1589" s="160"/>
      <c r="K1589" s="1"/>
      <c r="L1589" s="123"/>
      <c r="M1589" s="1"/>
      <c r="N1589" s="590"/>
      <c r="O1589" s="165"/>
      <c r="P1589" s="165"/>
      <c r="Q1589" s="165"/>
      <c r="R1589" s="165"/>
      <c r="S1589" s="165"/>
      <c r="V1589" s="46"/>
      <c r="W1589" s="46"/>
      <c r="X1589" s="1"/>
      <c r="Y1589" s="1"/>
      <c r="Z1589" s="173"/>
      <c r="AA1589" s="1"/>
      <c r="AB1589" s="165"/>
      <c r="AC1589" s="1"/>
      <c r="AD1589" s="1"/>
      <c r="AE1589" s="1"/>
      <c r="AF1589" s="46"/>
      <c r="AG1589" s="1"/>
      <c r="AH1589" s="165"/>
      <c r="AI1589" s="165"/>
      <c r="AJ1589" s="165"/>
      <c r="AK1589" s="165"/>
      <c r="AL1589" s="165"/>
      <c r="AM1589" s="165"/>
      <c r="AN1589" s="165"/>
    </row>
    <row r="1590" spans="3:40">
      <c r="C1590" s="46"/>
      <c r="F1590" s="173"/>
      <c r="G1590" s="1"/>
      <c r="H1590" s="165"/>
      <c r="I1590" s="160"/>
      <c r="J1590" s="160"/>
      <c r="K1590" s="1"/>
      <c r="L1590" s="123"/>
      <c r="M1590" s="1"/>
      <c r="N1590" s="590"/>
      <c r="O1590" s="165"/>
      <c r="P1590" s="165"/>
      <c r="Q1590" s="165"/>
      <c r="R1590" s="165"/>
      <c r="S1590" s="165"/>
      <c r="V1590" s="46"/>
      <c r="W1590" s="46"/>
      <c r="X1590" s="1"/>
      <c r="Y1590" s="1"/>
      <c r="Z1590" s="173"/>
      <c r="AA1590" s="1"/>
      <c r="AB1590" s="165"/>
      <c r="AC1590" s="1"/>
      <c r="AD1590" s="1"/>
      <c r="AE1590" s="1"/>
      <c r="AF1590" s="46"/>
      <c r="AG1590" s="1"/>
      <c r="AH1590" s="165"/>
      <c r="AI1590" s="165"/>
      <c r="AJ1590" s="165"/>
      <c r="AK1590" s="165"/>
      <c r="AL1590" s="165"/>
      <c r="AM1590" s="165"/>
      <c r="AN1590" s="165"/>
    </row>
    <row r="1591" spans="3:40">
      <c r="C1591" s="46"/>
      <c r="F1591" s="173"/>
      <c r="G1591" s="1"/>
      <c r="H1591" s="165"/>
      <c r="I1591" s="160"/>
      <c r="J1591" s="160"/>
      <c r="K1591" s="1"/>
      <c r="L1591" s="123"/>
      <c r="M1591" s="1"/>
      <c r="N1591" s="590"/>
      <c r="O1591" s="165"/>
      <c r="P1591" s="165"/>
      <c r="Q1591" s="165"/>
      <c r="R1591" s="165"/>
      <c r="S1591" s="165"/>
      <c r="V1591" s="46"/>
      <c r="W1591" s="46"/>
      <c r="X1591" s="1"/>
      <c r="Y1591" s="1"/>
      <c r="Z1591" s="173"/>
      <c r="AA1591" s="1"/>
      <c r="AB1591" s="165"/>
      <c r="AC1591" s="1"/>
      <c r="AD1591" s="1"/>
      <c r="AE1591" s="1"/>
      <c r="AF1591" s="46"/>
      <c r="AG1591" s="1"/>
      <c r="AH1591" s="165"/>
      <c r="AI1591" s="165"/>
      <c r="AJ1591" s="165"/>
      <c r="AK1591" s="165"/>
      <c r="AL1591" s="165"/>
      <c r="AM1591" s="165"/>
      <c r="AN1591" s="165"/>
    </row>
    <row r="1592" spans="3:40">
      <c r="C1592" s="46"/>
      <c r="F1592" s="173"/>
      <c r="G1592" s="1"/>
      <c r="H1592" s="165"/>
      <c r="I1592" s="160"/>
      <c r="J1592" s="160"/>
      <c r="K1592" s="1"/>
      <c r="L1592" s="123"/>
      <c r="M1592" s="1"/>
      <c r="N1592" s="590"/>
      <c r="O1592" s="165"/>
      <c r="P1592" s="165"/>
      <c r="Q1592" s="165"/>
      <c r="R1592" s="165"/>
      <c r="S1592" s="165"/>
      <c r="V1592" s="46"/>
      <c r="W1592" s="46"/>
      <c r="X1592" s="1"/>
      <c r="Y1592" s="1"/>
      <c r="Z1592" s="173"/>
      <c r="AA1592" s="1"/>
      <c r="AB1592" s="165"/>
      <c r="AC1592" s="1"/>
      <c r="AD1592" s="1"/>
      <c r="AE1592" s="1"/>
      <c r="AF1592" s="46"/>
      <c r="AG1592" s="1"/>
      <c r="AH1592" s="165"/>
      <c r="AI1592" s="165"/>
      <c r="AJ1592" s="165"/>
      <c r="AK1592" s="165"/>
      <c r="AL1592" s="165"/>
      <c r="AM1592" s="165"/>
      <c r="AN1592" s="165"/>
    </row>
    <row r="1593" spans="3:40">
      <c r="C1593" s="46"/>
      <c r="F1593" s="173"/>
      <c r="G1593" s="1"/>
      <c r="H1593" s="165"/>
      <c r="I1593" s="160"/>
      <c r="J1593" s="160"/>
      <c r="K1593" s="1"/>
      <c r="L1593" s="123"/>
      <c r="M1593" s="1"/>
      <c r="N1593" s="590"/>
      <c r="O1593" s="165"/>
      <c r="P1593" s="165"/>
      <c r="Q1593" s="165"/>
      <c r="R1593" s="165"/>
      <c r="S1593" s="165"/>
      <c r="V1593" s="46"/>
      <c r="W1593" s="46"/>
      <c r="X1593" s="1"/>
      <c r="Y1593" s="1"/>
      <c r="Z1593" s="173"/>
      <c r="AA1593" s="1"/>
      <c r="AB1593" s="165"/>
      <c r="AC1593" s="1"/>
      <c r="AD1593" s="1"/>
      <c r="AE1593" s="1"/>
      <c r="AF1593" s="46"/>
      <c r="AG1593" s="1"/>
      <c r="AH1593" s="165"/>
      <c r="AI1593" s="165"/>
      <c r="AJ1593" s="165"/>
      <c r="AK1593" s="165"/>
      <c r="AL1593" s="165"/>
      <c r="AM1593" s="165"/>
      <c r="AN1593" s="165"/>
    </row>
    <row r="1594" spans="3:40">
      <c r="C1594" s="46"/>
      <c r="F1594" s="173"/>
      <c r="G1594" s="1"/>
      <c r="H1594" s="165"/>
      <c r="I1594" s="160"/>
      <c r="J1594" s="160"/>
      <c r="K1594" s="1"/>
      <c r="L1594" s="123"/>
      <c r="M1594" s="1"/>
      <c r="N1594" s="590"/>
      <c r="O1594" s="165"/>
      <c r="P1594" s="165"/>
      <c r="Q1594" s="165"/>
      <c r="R1594" s="165"/>
      <c r="S1594" s="165"/>
      <c r="V1594" s="46"/>
      <c r="W1594" s="46"/>
      <c r="X1594" s="1"/>
      <c r="Y1594" s="1"/>
      <c r="Z1594" s="173"/>
      <c r="AA1594" s="1"/>
      <c r="AB1594" s="165"/>
      <c r="AC1594" s="1"/>
      <c r="AD1594" s="1"/>
      <c r="AE1594" s="1"/>
      <c r="AF1594" s="46"/>
      <c r="AG1594" s="1"/>
      <c r="AH1594" s="165"/>
      <c r="AI1594" s="165"/>
      <c r="AJ1594" s="165"/>
      <c r="AK1594" s="165"/>
      <c r="AL1594" s="165"/>
      <c r="AM1594" s="165"/>
      <c r="AN1594" s="165"/>
    </row>
    <row r="1595" spans="3:40">
      <c r="C1595" s="46"/>
      <c r="F1595" s="173"/>
      <c r="G1595" s="1"/>
      <c r="H1595" s="165"/>
      <c r="I1595" s="160"/>
      <c r="J1595" s="160"/>
      <c r="K1595" s="1"/>
      <c r="L1595" s="123"/>
      <c r="M1595" s="1"/>
      <c r="N1595" s="590"/>
      <c r="O1595" s="165"/>
      <c r="P1595" s="165"/>
      <c r="Q1595" s="165"/>
      <c r="R1595" s="165"/>
      <c r="S1595" s="165"/>
      <c r="V1595" s="46"/>
      <c r="W1595" s="46"/>
      <c r="X1595" s="1"/>
      <c r="Y1595" s="1"/>
      <c r="Z1595" s="173"/>
      <c r="AA1595" s="1"/>
      <c r="AB1595" s="165"/>
      <c r="AC1595" s="1"/>
      <c r="AD1595" s="1"/>
      <c r="AE1595" s="1"/>
      <c r="AF1595" s="46"/>
      <c r="AG1595" s="1"/>
      <c r="AH1595" s="165"/>
      <c r="AI1595" s="165"/>
      <c r="AJ1595" s="165"/>
      <c r="AK1595" s="165"/>
      <c r="AL1595" s="165"/>
      <c r="AM1595" s="165"/>
      <c r="AN1595" s="165"/>
    </row>
    <row r="1596" spans="3:40">
      <c r="C1596" s="46"/>
      <c r="F1596" s="173"/>
      <c r="G1596" s="1"/>
      <c r="H1596" s="165"/>
      <c r="I1596" s="160"/>
      <c r="J1596" s="160"/>
      <c r="K1596" s="1"/>
      <c r="L1596" s="123"/>
      <c r="M1596" s="1"/>
      <c r="N1596" s="590"/>
      <c r="O1596" s="165"/>
      <c r="P1596" s="165"/>
      <c r="Q1596" s="165"/>
      <c r="R1596" s="165"/>
      <c r="S1596" s="165"/>
      <c r="V1596" s="46"/>
      <c r="W1596" s="46"/>
      <c r="X1596" s="1"/>
      <c r="Y1596" s="1"/>
      <c r="Z1596" s="173"/>
      <c r="AA1596" s="1"/>
      <c r="AB1596" s="165"/>
      <c r="AC1596" s="1"/>
      <c r="AD1596" s="1"/>
      <c r="AE1596" s="1"/>
      <c r="AF1596" s="46"/>
      <c r="AG1596" s="1"/>
      <c r="AH1596" s="165"/>
      <c r="AI1596" s="165"/>
      <c r="AJ1596" s="165"/>
      <c r="AK1596" s="165"/>
      <c r="AL1596" s="165"/>
      <c r="AM1596" s="165"/>
      <c r="AN1596" s="165"/>
    </row>
    <row r="1597" spans="3:40">
      <c r="C1597" s="46"/>
      <c r="F1597" s="173"/>
      <c r="G1597" s="1"/>
      <c r="H1597" s="165"/>
      <c r="I1597" s="160"/>
      <c r="J1597" s="160"/>
      <c r="K1597" s="1"/>
      <c r="L1597" s="123"/>
      <c r="M1597" s="1"/>
      <c r="N1597" s="590"/>
      <c r="O1597" s="165"/>
      <c r="P1597" s="165"/>
      <c r="Q1597" s="165"/>
      <c r="R1597" s="165"/>
      <c r="S1597" s="165"/>
      <c r="V1597" s="46"/>
      <c r="W1597" s="46"/>
      <c r="X1597" s="1"/>
      <c r="Y1597" s="1"/>
      <c r="Z1597" s="173"/>
      <c r="AA1597" s="1"/>
      <c r="AB1597" s="165"/>
      <c r="AC1597" s="1"/>
      <c r="AD1597" s="1"/>
      <c r="AE1597" s="1"/>
      <c r="AF1597" s="46"/>
      <c r="AG1597" s="1"/>
      <c r="AH1597" s="165"/>
      <c r="AI1597" s="165"/>
      <c r="AJ1597" s="165"/>
      <c r="AK1597" s="165"/>
      <c r="AL1597" s="165"/>
      <c r="AM1597" s="165"/>
      <c r="AN1597" s="165"/>
    </row>
    <row r="1598" spans="3:40">
      <c r="C1598" s="46"/>
      <c r="F1598" s="173"/>
      <c r="G1598" s="1"/>
      <c r="H1598" s="165"/>
      <c r="I1598" s="160"/>
      <c r="J1598" s="160"/>
      <c r="K1598" s="1"/>
      <c r="L1598" s="123"/>
      <c r="M1598" s="1"/>
      <c r="N1598" s="590"/>
      <c r="O1598" s="165"/>
      <c r="P1598" s="165"/>
      <c r="Q1598" s="165"/>
      <c r="R1598" s="165"/>
      <c r="S1598" s="165"/>
      <c r="V1598" s="46"/>
      <c r="W1598" s="46"/>
      <c r="X1598" s="1"/>
      <c r="Y1598" s="1"/>
      <c r="Z1598" s="173"/>
      <c r="AA1598" s="1"/>
      <c r="AB1598" s="165"/>
      <c r="AC1598" s="1"/>
      <c r="AD1598" s="1"/>
      <c r="AE1598" s="1"/>
      <c r="AF1598" s="46"/>
      <c r="AG1598" s="1"/>
      <c r="AH1598" s="165"/>
      <c r="AI1598" s="165"/>
      <c r="AJ1598" s="165"/>
      <c r="AK1598" s="165"/>
      <c r="AL1598" s="165"/>
      <c r="AM1598" s="165"/>
      <c r="AN1598" s="165"/>
    </row>
    <row r="1599" spans="3:40">
      <c r="C1599" s="46"/>
      <c r="F1599" s="173"/>
      <c r="G1599" s="1"/>
      <c r="H1599" s="165"/>
      <c r="I1599" s="160"/>
      <c r="J1599" s="160"/>
      <c r="K1599" s="1"/>
      <c r="L1599" s="123"/>
      <c r="M1599" s="1"/>
      <c r="N1599" s="590"/>
      <c r="O1599" s="165"/>
      <c r="P1599" s="165"/>
      <c r="Q1599" s="165"/>
      <c r="R1599" s="165"/>
      <c r="S1599" s="165"/>
      <c r="V1599" s="46"/>
      <c r="W1599" s="46"/>
      <c r="X1599" s="1"/>
      <c r="Y1599" s="1"/>
      <c r="Z1599" s="173"/>
      <c r="AA1599" s="1"/>
      <c r="AB1599" s="165"/>
      <c r="AC1599" s="1"/>
      <c r="AD1599" s="1"/>
      <c r="AE1599" s="1"/>
      <c r="AF1599" s="46"/>
      <c r="AG1599" s="1"/>
      <c r="AH1599" s="165"/>
      <c r="AI1599" s="165"/>
      <c r="AJ1599" s="165"/>
      <c r="AK1599" s="165"/>
      <c r="AL1599" s="165"/>
      <c r="AM1599" s="165"/>
      <c r="AN1599" s="165"/>
    </row>
    <row r="1600" spans="3:40">
      <c r="C1600" s="46"/>
      <c r="F1600" s="173"/>
      <c r="G1600" s="1"/>
      <c r="H1600" s="165"/>
      <c r="I1600" s="160"/>
      <c r="J1600" s="160"/>
      <c r="K1600" s="1"/>
      <c r="L1600" s="123"/>
      <c r="M1600" s="1"/>
      <c r="N1600" s="590"/>
      <c r="O1600" s="165"/>
      <c r="P1600" s="165"/>
      <c r="Q1600" s="165"/>
      <c r="R1600" s="165"/>
      <c r="S1600" s="165"/>
      <c r="V1600" s="46"/>
      <c r="W1600" s="46"/>
      <c r="X1600" s="1"/>
      <c r="Y1600" s="1"/>
      <c r="Z1600" s="173"/>
      <c r="AA1600" s="1"/>
      <c r="AB1600" s="165"/>
      <c r="AC1600" s="1"/>
      <c r="AD1600" s="1"/>
      <c r="AE1600" s="1"/>
      <c r="AF1600" s="46"/>
      <c r="AG1600" s="1"/>
      <c r="AH1600" s="165"/>
      <c r="AI1600" s="165"/>
      <c r="AJ1600" s="165"/>
      <c r="AK1600" s="165"/>
      <c r="AL1600" s="165"/>
      <c r="AM1600" s="165"/>
      <c r="AN1600" s="165"/>
    </row>
    <row r="1601" spans="3:40">
      <c r="C1601" s="46"/>
      <c r="F1601" s="173"/>
      <c r="G1601" s="1"/>
      <c r="H1601" s="165"/>
      <c r="I1601" s="160"/>
      <c r="J1601" s="160"/>
      <c r="K1601" s="1"/>
      <c r="L1601" s="123"/>
      <c r="M1601" s="1"/>
      <c r="N1601" s="590"/>
      <c r="O1601" s="165"/>
      <c r="P1601" s="165"/>
      <c r="Q1601" s="165"/>
      <c r="R1601" s="165"/>
      <c r="S1601" s="165"/>
      <c r="V1601" s="46"/>
      <c r="W1601" s="46"/>
      <c r="X1601" s="1"/>
      <c r="Y1601" s="1"/>
      <c r="Z1601" s="173"/>
      <c r="AA1601" s="1"/>
      <c r="AB1601" s="165"/>
      <c r="AC1601" s="1"/>
      <c r="AD1601" s="1"/>
      <c r="AE1601" s="1"/>
      <c r="AF1601" s="46"/>
      <c r="AG1601" s="1"/>
      <c r="AH1601" s="165"/>
      <c r="AI1601" s="165"/>
      <c r="AJ1601" s="165"/>
      <c r="AK1601" s="165"/>
      <c r="AL1601" s="165"/>
      <c r="AM1601" s="165"/>
      <c r="AN1601" s="165"/>
    </row>
    <row r="1602" spans="3:40">
      <c r="C1602" s="46"/>
      <c r="F1602" s="173"/>
      <c r="G1602" s="1"/>
      <c r="H1602" s="165"/>
      <c r="I1602" s="160"/>
      <c r="J1602" s="160"/>
      <c r="K1602" s="1"/>
      <c r="L1602" s="123"/>
      <c r="M1602" s="1"/>
      <c r="N1602" s="590"/>
      <c r="O1602" s="165"/>
      <c r="P1602" s="165"/>
      <c r="Q1602" s="165"/>
      <c r="R1602" s="165"/>
      <c r="S1602" s="165"/>
      <c r="V1602" s="46"/>
      <c r="W1602" s="46"/>
      <c r="X1602" s="1"/>
      <c r="Y1602" s="1"/>
      <c r="Z1602" s="173"/>
      <c r="AA1602" s="1"/>
      <c r="AB1602" s="165"/>
      <c r="AC1602" s="1"/>
      <c r="AD1602" s="1"/>
      <c r="AE1602" s="1"/>
      <c r="AF1602" s="46"/>
      <c r="AG1602" s="1"/>
      <c r="AH1602" s="165"/>
      <c r="AI1602" s="165"/>
      <c r="AJ1602" s="165"/>
      <c r="AK1602" s="165"/>
      <c r="AL1602" s="165"/>
      <c r="AM1602" s="165"/>
      <c r="AN1602" s="165"/>
    </row>
    <row r="1603" spans="3:40">
      <c r="C1603" s="46"/>
      <c r="F1603" s="173"/>
      <c r="G1603" s="1"/>
      <c r="H1603" s="165"/>
      <c r="I1603" s="160"/>
      <c r="J1603" s="160"/>
      <c r="K1603" s="1"/>
      <c r="L1603" s="123"/>
      <c r="M1603" s="1"/>
      <c r="N1603" s="590"/>
      <c r="O1603" s="165"/>
      <c r="P1603" s="165"/>
      <c r="Q1603" s="165"/>
      <c r="R1603" s="165"/>
      <c r="S1603" s="165"/>
      <c r="V1603" s="46"/>
      <c r="W1603" s="46"/>
      <c r="X1603" s="1"/>
      <c r="Y1603" s="1"/>
      <c r="Z1603" s="173"/>
      <c r="AA1603" s="1"/>
      <c r="AB1603" s="165"/>
      <c r="AC1603" s="1"/>
      <c r="AD1603" s="1"/>
      <c r="AE1603" s="1"/>
      <c r="AF1603" s="46"/>
      <c r="AG1603" s="1"/>
      <c r="AH1603" s="165"/>
      <c r="AI1603" s="165"/>
      <c r="AJ1603" s="165"/>
      <c r="AK1603" s="165"/>
      <c r="AL1603" s="165"/>
      <c r="AM1603" s="165"/>
      <c r="AN1603" s="165"/>
    </row>
    <row r="1604" spans="3:40">
      <c r="C1604" s="46"/>
      <c r="F1604" s="173"/>
      <c r="G1604" s="1"/>
      <c r="H1604" s="165"/>
      <c r="I1604" s="160"/>
      <c r="J1604" s="160"/>
      <c r="K1604" s="1"/>
      <c r="L1604" s="123"/>
      <c r="M1604" s="1"/>
      <c r="N1604" s="590"/>
      <c r="O1604" s="165"/>
      <c r="P1604" s="165"/>
      <c r="Q1604" s="165"/>
      <c r="R1604" s="165"/>
      <c r="S1604" s="165"/>
      <c r="V1604" s="46"/>
      <c r="W1604" s="46"/>
      <c r="X1604" s="1"/>
      <c r="Y1604" s="1"/>
      <c r="Z1604" s="173"/>
      <c r="AA1604" s="1"/>
      <c r="AB1604" s="165"/>
      <c r="AC1604" s="1"/>
      <c r="AD1604" s="1"/>
      <c r="AE1604" s="1"/>
      <c r="AF1604" s="46"/>
      <c r="AG1604" s="1"/>
      <c r="AH1604" s="165"/>
      <c r="AI1604" s="165"/>
      <c r="AJ1604" s="165"/>
      <c r="AK1604" s="165"/>
      <c r="AL1604" s="165"/>
      <c r="AM1604" s="165"/>
      <c r="AN1604" s="165"/>
    </row>
    <row r="1605" spans="3:40">
      <c r="C1605" s="46"/>
      <c r="F1605" s="173"/>
      <c r="G1605" s="1"/>
      <c r="H1605" s="165"/>
      <c r="I1605" s="160"/>
      <c r="J1605" s="160"/>
      <c r="K1605" s="1"/>
      <c r="L1605" s="123"/>
      <c r="M1605" s="1"/>
      <c r="N1605" s="590"/>
      <c r="O1605" s="165"/>
      <c r="P1605" s="165"/>
      <c r="Q1605" s="165"/>
      <c r="R1605" s="165"/>
      <c r="S1605" s="165"/>
      <c r="V1605" s="46"/>
      <c r="W1605" s="46"/>
      <c r="X1605" s="1"/>
      <c r="Y1605" s="1"/>
      <c r="Z1605" s="173"/>
      <c r="AA1605" s="1"/>
      <c r="AB1605" s="165"/>
      <c r="AC1605" s="1"/>
      <c r="AD1605" s="1"/>
      <c r="AE1605" s="1"/>
      <c r="AF1605" s="46"/>
      <c r="AG1605" s="1"/>
      <c r="AH1605" s="165"/>
      <c r="AI1605" s="165"/>
      <c r="AJ1605" s="165"/>
      <c r="AK1605" s="165"/>
      <c r="AL1605" s="165"/>
      <c r="AM1605" s="165"/>
      <c r="AN1605" s="165"/>
    </row>
    <row r="1606" spans="3:40">
      <c r="C1606" s="46"/>
      <c r="F1606" s="173"/>
      <c r="G1606" s="1"/>
      <c r="H1606" s="165"/>
      <c r="I1606" s="160"/>
      <c r="J1606" s="160"/>
      <c r="K1606" s="1"/>
      <c r="L1606" s="123"/>
      <c r="M1606" s="1"/>
      <c r="N1606" s="590"/>
      <c r="O1606" s="165"/>
      <c r="P1606" s="165"/>
      <c r="Q1606" s="165"/>
      <c r="R1606" s="165"/>
      <c r="S1606" s="165"/>
      <c r="V1606" s="46"/>
      <c r="W1606" s="46"/>
      <c r="X1606" s="1"/>
      <c r="Y1606" s="1"/>
      <c r="Z1606" s="173"/>
      <c r="AA1606" s="1"/>
      <c r="AB1606" s="165"/>
      <c r="AC1606" s="1"/>
      <c r="AD1606" s="1"/>
      <c r="AE1606" s="1"/>
      <c r="AF1606" s="46"/>
      <c r="AG1606" s="1"/>
      <c r="AH1606" s="165"/>
      <c r="AI1606" s="165"/>
      <c r="AJ1606" s="165"/>
      <c r="AK1606" s="165"/>
      <c r="AL1606" s="165"/>
      <c r="AM1606" s="165"/>
      <c r="AN1606" s="165"/>
    </row>
    <row r="1607" spans="3:40">
      <c r="C1607" s="46"/>
      <c r="F1607" s="173"/>
      <c r="G1607" s="1"/>
      <c r="H1607" s="165"/>
      <c r="I1607" s="160"/>
      <c r="J1607" s="160"/>
      <c r="K1607" s="1"/>
      <c r="L1607" s="123"/>
      <c r="M1607" s="1"/>
      <c r="N1607" s="590"/>
      <c r="O1607" s="165"/>
      <c r="P1607" s="165"/>
      <c r="Q1607" s="165"/>
      <c r="R1607" s="165"/>
      <c r="S1607" s="165"/>
      <c r="V1607" s="46"/>
      <c r="W1607" s="46"/>
      <c r="X1607" s="1"/>
      <c r="Y1607" s="1"/>
      <c r="Z1607" s="173"/>
      <c r="AA1607" s="1"/>
      <c r="AB1607" s="165"/>
      <c r="AC1607" s="1"/>
      <c r="AD1607" s="1"/>
      <c r="AE1607" s="1"/>
      <c r="AF1607" s="46"/>
      <c r="AG1607" s="1"/>
      <c r="AH1607" s="165"/>
      <c r="AI1607" s="165"/>
      <c r="AJ1607" s="165"/>
      <c r="AK1607" s="165"/>
      <c r="AL1607" s="165"/>
      <c r="AM1607" s="165"/>
      <c r="AN1607" s="165"/>
    </row>
    <row r="1608" spans="3:40">
      <c r="C1608" s="46"/>
      <c r="F1608" s="173"/>
      <c r="G1608" s="1"/>
      <c r="H1608" s="165"/>
      <c r="I1608" s="160"/>
      <c r="J1608" s="160"/>
      <c r="K1608" s="1"/>
      <c r="L1608" s="123"/>
      <c r="M1608" s="1"/>
      <c r="N1608" s="590"/>
      <c r="O1608" s="165"/>
      <c r="P1608" s="165"/>
      <c r="Q1608" s="165"/>
      <c r="R1608" s="165"/>
      <c r="S1608" s="165"/>
      <c r="V1608" s="46"/>
      <c r="W1608" s="46"/>
      <c r="X1608" s="1"/>
      <c r="Y1608" s="1"/>
      <c r="Z1608" s="173"/>
      <c r="AA1608" s="1"/>
      <c r="AB1608" s="165"/>
      <c r="AC1608" s="1"/>
      <c r="AD1608" s="1"/>
      <c r="AE1608" s="1"/>
      <c r="AF1608" s="46"/>
      <c r="AG1608" s="1"/>
      <c r="AH1608" s="165"/>
      <c r="AI1608" s="165"/>
      <c r="AJ1608" s="165"/>
      <c r="AK1608" s="165"/>
      <c r="AL1608" s="165"/>
      <c r="AM1608" s="165"/>
      <c r="AN1608" s="165"/>
    </row>
    <row r="1609" spans="3:40">
      <c r="C1609" s="46"/>
      <c r="F1609" s="173"/>
      <c r="G1609" s="1"/>
      <c r="H1609" s="165"/>
      <c r="I1609" s="160"/>
      <c r="J1609" s="160"/>
      <c r="K1609" s="1"/>
      <c r="L1609" s="123"/>
      <c r="M1609" s="1"/>
      <c r="N1609" s="590"/>
      <c r="O1609" s="165"/>
      <c r="P1609" s="165"/>
      <c r="Q1609" s="165"/>
      <c r="R1609" s="165"/>
      <c r="S1609" s="165"/>
      <c r="V1609" s="46"/>
      <c r="W1609" s="46"/>
      <c r="X1609" s="1"/>
      <c r="Y1609" s="1"/>
      <c r="Z1609" s="173"/>
      <c r="AA1609" s="1"/>
      <c r="AB1609" s="165"/>
      <c r="AC1609" s="1"/>
      <c r="AD1609" s="1"/>
      <c r="AE1609" s="1"/>
      <c r="AF1609" s="46"/>
      <c r="AG1609" s="1"/>
      <c r="AH1609" s="165"/>
      <c r="AI1609" s="165"/>
      <c r="AJ1609" s="165"/>
      <c r="AK1609" s="165"/>
      <c r="AL1609" s="165"/>
      <c r="AM1609" s="165"/>
      <c r="AN1609" s="165"/>
    </row>
    <row r="1610" spans="3:40">
      <c r="C1610" s="46"/>
      <c r="F1610" s="173"/>
      <c r="G1610" s="1"/>
      <c r="H1610" s="165"/>
      <c r="I1610" s="160"/>
      <c r="J1610" s="160"/>
      <c r="K1610" s="1"/>
      <c r="L1610" s="123"/>
      <c r="M1610" s="1"/>
      <c r="N1610" s="590"/>
      <c r="O1610" s="165"/>
      <c r="P1610" s="165"/>
      <c r="Q1610" s="165"/>
      <c r="R1610" s="165"/>
      <c r="S1610" s="165"/>
      <c r="V1610" s="46"/>
      <c r="W1610" s="46"/>
      <c r="X1610" s="1"/>
      <c r="Y1610" s="1"/>
      <c r="Z1610" s="173"/>
      <c r="AA1610" s="1"/>
      <c r="AB1610" s="165"/>
      <c r="AC1610" s="1"/>
      <c r="AD1610" s="1"/>
      <c r="AE1610" s="1"/>
      <c r="AF1610" s="46"/>
      <c r="AG1610" s="1"/>
      <c r="AH1610" s="165"/>
      <c r="AI1610" s="165"/>
      <c r="AJ1610" s="165"/>
      <c r="AK1610" s="165"/>
      <c r="AL1610" s="165"/>
      <c r="AM1610" s="165"/>
      <c r="AN1610" s="165"/>
    </row>
    <row r="1611" spans="3:40">
      <c r="C1611" s="46"/>
      <c r="F1611" s="173"/>
      <c r="G1611" s="1"/>
      <c r="H1611" s="165"/>
      <c r="I1611" s="160"/>
      <c r="J1611" s="160"/>
      <c r="K1611" s="1"/>
      <c r="L1611" s="123"/>
      <c r="M1611" s="1"/>
      <c r="N1611" s="590"/>
      <c r="O1611" s="165"/>
      <c r="P1611" s="165"/>
      <c r="Q1611" s="165"/>
      <c r="R1611" s="165"/>
      <c r="S1611" s="165"/>
      <c r="V1611" s="46"/>
      <c r="W1611" s="46"/>
      <c r="X1611" s="1"/>
      <c r="Y1611" s="1"/>
      <c r="Z1611" s="173"/>
      <c r="AA1611" s="1"/>
      <c r="AB1611" s="165"/>
      <c r="AC1611" s="1"/>
      <c r="AD1611" s="1"/>
      <c r="AE1611" s="1"/>
      <c r="AF1611" s="46"/>
      <c r="AG1611" s="1"/>
      <c r="AH1611" s="165"/>
      <c r="AI1611" s="165"/>
      <c r="AJ1611" s="165"/>
      <c r="AK1611" s="165"/>
      <c r="AL1611" s="165"/>
      <c r="AM1611" s="165"/>
      <c r="AN1611" s="165"/>
    </row>
    <row r="1612" spans="3:40">
      <c r="C1612" s="46"/>
      <c r="F1612" s="173"/>
      <c r="G1612" s="1"/>
      <c r="H1612" s="165"/>
      <c r="I1612" s="160"/>
      <c r="J1612" s="160"/>
      <c r="K1612" s="1"/>
      <c r="L1612" s="123"/>
      <c r="M1612" s="1"/>
      <c r="N1612" s="590"/>
      <c r="O1612" s="165"/>
      <c r="P1612" s="165"/>
      <c r="Q1612" s="165"/>
      <c r="R1612" s="165"/>
      <c r="S1612" s="165"/>
      <c r="V1612" s="46"/>
      <c r="W1612" s="46"/>
      <c r="X1612" s="1"/>
      <c r="Y1612" s="1"/>
      <c r="Z1612" s="173"/>
      <c r="AA1612" s="1"/>
      <c r="AB1612" s="165"/>
      <c r="AC1612" s="1"/>
      <c r="AD1612" s="1"/>
      <c r="AE1612" s="1"/>
      <c r="AF1612" s="46"/>
      <c r="AG1612" s="1"/>
      <c r="AH1612" s="165"/>
      <c r="AI1612" s="165"/>
      <c r="AJ1612" s="165"/>
      <c r="AK1612" s="165"/>
      <c r="AL1612" s="165"/>
      <c r="AM1612" s="165"/>
      <c r="AN1612" s="165"/>
    </row>
    <row r="1613" spans="3:40">
      <c r="C1613" s="46"/>
      <c r="F1613" s="173"/>
      <c r="G1613" s="1"/>
      <c r="H1613" s="165"/>
      <c r="I1613" s="160"/>
      <c r="J1613" s="160"/>
      <c r="K1613" s="1"/>
      <c r="L1613" s="123"/>
      <c r="M1613" s="1"/>
      <c r="N1613" s="590"/>
      <c r="O1613" s="165"/>
      <c r="P1613" s="165"/>
      <c r="Q1613" s="165"/>
      <c r="R1613" s="165"/>
      <c r="S1613" s="165"/>
      <c r="V1613" s="46"/>
      <c r="W1613" s="46"/>
      <c r="X1613" s="1"/>
      <c r="Y1613" s="1"/>
      <c r="Z1613" s="173"/>
      <c r="AA1613" s="1"/>
      <c r="AB1613" s="165"/>
      <c r="AC1613" s="1"/>
      <c r="AD1613" s="1"/>
      <c r="AE1613" s="1"/>
      <c r="AF1613" s="46"/>
      <c r="AG1613" s="1"/>
      <c r="AH1613" s="165"/>
      <c r="AI1613" s="165"/>
      <c r="AJ1613" s="165"/>
      <c r="AK1613" s="165"/>
      <c r="AL1613" s="165"/>
      <c r="AM1613" s="165"/>
      <c r="AN1613" s="165"/>
    </row>
    <row r="1614" spans="3:40">
      <c r="C1614" s="46"/>
      <c r="F1614" s="173"/>
      <c r="G1614" s="1"/>
      <c r="H1614" s="165"/>
      <c r="I1614" s="160"/>
      <c r="J1614" s="160"/>
      <c r="K1614" s="1"/>
      <c r="L1614" s="123"/>
      <c r="M1614" s="1"/>
      <c r="N1614" s="590"/>
      <c r="O1614" s="165"/>
      <c r="P1614" s="165"/>
      <c r="Q1614" s="165"/>
      <c r="R1614" s="165"/>
      <c r="S1614" s="165"/>
      <c r="V1614" s="46"/>
      <c r="W1614" s="46"/>
      <c r="X1614" s="1"/>
      <c r="Y1614" s="1"/>
      <c r="Z1614" s="173"/>
      <c r="AA1614" s="1"/>
      <c r="AB1614" s="165"/>
      <c r="AC1614" s="1"/>
      <c r="AD1614" s="1"/>
      <c r="AE1614" s="1"/>
      <c r="AF1614" s="46"/>
      <c r="AG1614" s="1"/>
      <c r="AH1614" s="165"/>
      <c r="AI1614" s="165"/>
      <c r="AJ1614" s="165"/>
      <c r="AK1614" s="165"/>
      <c r="AL1614" s="165"/>
      <c r="AM1614" s="165"/>
      <c r="AN1614" s="165"/>
    </row>
    <row r="1615" spans="3:40">
      <c r="C1615" s="46"/>
      <c r="F1615" s="173"/>
      <c r="G1615" s="1"/>
      <c r="H1615" s="165"/>
      <c r="I1615" s="160"/>
      <c r="J1615" s="160"/>
      <c r="K1615" s="1"/>
      <c r="L1615" s="123"/>
      <c r="M1615" s="1"/>
      <c r="N1615" s="590"/>
      <c r="O1615" s="165"/>
      <c r="P1615" s="165"/>
      <c r="Q1615" s="165"/>
      <c r="R1615" s="165"/>
      <c r="S1615" s="165"/>
      <c r="V1615" s="46"/>
      <c r="W1615" s="46"/>
      <c r="X1615" s="1"/>
      <c r="Y1615" s="1"/>
      <c r="Z1615" s="173"/>
      <c r="AA1615" s="1"/>
      <c r="AB1615" s="165"/>
      <c r="AC1615" s="1"/>
      <c r="AD1615" s="1"/>
      <c r="AE1615" s="1"/>
      <c r="AF1615" s="46"/>
      <c r="AG1615" s="1"/>
      <c r="AH1615" s="165"/>
      <c r="AI1615" s="165"/>
      <c r="AJ1615" s="165"/>
      <c r="AK1615" s="165"/>
      <c r="AL1615" s="165"/>
      <c r="AM1615" s="165"/>
      <c r="AN1615" s="165"/>
    </row>
    <row r="1616" spans="3:40">
      <c r="C1616" s="46"/>
      <c r="F1616" s="173"/>
      <c r="G1616" s="1"/>
      <c r="H1616" s="165"/>
      <c r="I1616" s="160"/>
      <c r="J1616" s="160"/>
      <c r="K1616" s="1"/>
      <c r="L1616" s="123"/>
      <c r="M1616" s="1"/>
      <c r="N1616" s="590"/>
      <c r="O1616" s="165"/>
      <c r="P1616" s="165"/>
      <c r="Q1616" s="165"/>
      <c r="R1616" s="165"/>
      <c r="S1616" s="165"/>
      <c r="V1616" s="46"/>
      <c r="W1616" s="46"/>
      <c r="X1616" s="1"/>
      <c r="Y1616" s="1"/>
      <c r="Z1616" s="173"/>
      <c r="AA1616" s="1"/>
      <c r="AB1616" s="165"/>
      <c r="AC1616" s="1"/>
      <c r="AD1616" s="1"/>
      <c r="AE1616" s="1"/>
      <c r="AF1616" s="46"/>
      <c r="AG1616" s="1"/>
      <c r="AH1616" s="165"/>
      <c r="AI1616" s="165"/>
      <c r="AJ1616" s="165"/>
      <c r="AK1616" s="165"/>
      <c r="AL1616" s="165"/>
      <c r="AM1616" s="165"/>
      <c r="AN1616" s="165"/>
    </row>
    <row r="1617" spans="3:40">
      <c r="C1617" s="46"/>
      <c r="F1617" s="173"/>
      <c r="G1617" s="1"/>
      <c r="H1617" s="165"/>
      <c r="I1617" s="160"/>
      <c r="J1617" s="160"/>
      <c r="K1617" s="1"/>
      <c r="L1617" s="123"/>
      <c r="M1617" s="1"/>
      <c r="N1617" s="590"/>
      <c r="O1617" s="165"/>
      <c r="P1617" s="165"/>
      <c r="Q1617" s="165"/>
      <c r="R1617" s="165"/>
      <c r="S1617" s="165"/>
      <c r="V1617" s="46"/>
      <c r="W1617" s="46"/>
      <c r="X1617" s="1"/>
      <c r="Y1617" s="1"/>
      <c r="Z1617" s="173"/>
      <c r="AA1617" s="1"/>
      <c r="AB1617" s="165"/>
      <c r="AC1617" s="1"/>
      <c r="AD1617" s="1"/>
      <c r="AE1617" s="1"/>
      <c r="AF1617" s="46"/>
      <c r="AG1617" s="1"/>
      <c r="AH1617" s="165"/>
      <c r="AI1617" s="165"/>
      <c r="AJ1617" s="165"/>
      <c r="AK1617" s="165"/>
      <c r="AL1617" s="165"/>
      <c r="AM1617" s="165"/>
      <c r="AN1617" s="165"/>
    </row>
    <row r="1618" spans="3:40">
      <c r="C1618" s="46"/>
      <c r="F1618" s="173"/>
      <c r="G1618" s="1"/>
      <c r="H1618" s="165"/>
      <c r="I1618" s="160"/>
      <c r="J1618" s="160"/>
      <c r="K1618" s="1"/>
      <c r="L1618" s="123"/>
      <c r="M1618" s="1"/>
      <c r="N1618" s="590"/>
      <c r="O1618" s="165"/>
      <c r="P1618" s="165"/>
      <c r="Q1618" s="165"/>
      <c r="R1618" s="165"/>
      <c r="S1618" s="165"/>
      <c r="V1618" s="46"/>
      <c r="W1618" s="46"/>
      <c r="X1618" s="1"/>
      <c r="Y1618" s="1"/>
      <c r="Z1618" s="173"/>
      <c r="AA1618" s="1"/>
      <c r="AB1618" s="165"/>
      <c r="AC1618" s="1"/>
      <c r="AD1618" s="1"/>
      <c r="AE1618" s="1"/>
      <c r="AF1618" s="46"/>
      <c r="AG1618" s="1"/>
      <c r="AH1618" s="165"/>
      <c r="AI1618" s="165"/>
      <c r="AJ1618" s="165"/>
      <c r="AK1618" s="165"/>
      <c r="AL1618" s="165"/>
      <c r="AM1618" s="165"/>
      <c r="AN1618" s="165"/>
    </row>
    <row r="1619" spans="3:40">
      <c r="C1619" s="46"/>
      <c r="F1619" s="173"/>
      <c r="G1619" s="1"/>
      <c r="H1619" s="165"/>
      <c r="I1619" s="160"/>
      <c r="J1619" s="160"/>
      <c r="K1619" s="1"/>
      <c r="L1619" s="123"/>
      <c r="M1619" s="1"/>
      <c r="N1619" s="590"/>
      <c r="O1619" s="165"/>
      <c r="P1619" s="165"/>
      <c r="Q1619" s="165"/>
      <c r="R1619" s="165"/>
      <c r="S1619" s="165"/>
      <c r="V1619" s="46"/>
      <c r="W1619" s="46"/>
      <c r="X1619" s="1"/>
      <c r="Y1619" s="1"/>
      <c r="Z1619" s="173"/>
      <c r="AA1619" s="1"/>
      <c r="AB1619" s="165"/>
      <c r="AC1619" s="1"/>
      <c r="AD1619" s="1"/>
      <c r="AE1619" s="1"/>
      <c r="AF1619" s="46"/>
      <c r="AG1619" s="1"/>
      <c r="AH1619" s="165"/>
      <c r="AI1619" s="165"/>
      <c r="AJ1619" s="165"/>
      <c r="AK1619" s="165"/>
      <c r="AL1619" s="165"/>
      <c r="AM1619" s="165"/>
      <c r="AN1619" s="165"/>
    </row>
    <row r="1620" spans="3:40">
      <c r="C1620" s="46"/>
      <c r="F1620" s="173"/>
      <c r="G1620" s="1"/>
      <c r="H1620" s="165"/>
      <c r="I1620" s="160"/>
      <c r="J1620" s="160"/>
      <c r="K1620" s="1"/>
      <c r="L1620" s="123"/>
      <c r="M1620" s="1"/>
      <c r="N1620" s="590"/>
      <c r="O1620" s="165"/>
      <c r="P1620" s="165"/>
      <c r="Q1620" s="165"/>
      <c r="R1620" s="165"/>
      <c r="S1620" s="165"/>
      <c r="V1620" s="46"/>
      <c r="W1620" s="46"/>
      <c r="X1620" s="1"/>
      <c r="Y1620" s="1"/>
      <c r="Z1620" s="173"/>
      <c r="AA1620" s="1"/>
      <c r="AB1620" s="165"/>
      <c r="AC1620" s="1"/>
      <c r="AD1620" s="1"/>
      <c r="AE1620" s="1"/>
      <c r="AF1620" s="46"/>
      <c r="AG1620" s="1"/>
      <c r="AH1620" s="165"/>
      <c r="AI1620" s="165"/>
      <c r="AJ1620" s="165"/>
      <c r="AK1620" s="165"/>
      <c r="AL1620" s="165"/>
      <c r="AM1620" s="165"/>
      <c r="AN1620" s="165"/>
    </row>
    <row r="1621" spans="3:40">
      <c r="C1621" s="46"/>
      <c r="F1621" s="173"/>
      <c r="G1621" s="1"/>
      <c r="H1621" s="165"/>
      <c r="I1621" s="160"/>
      <c r="J1621" s="160"/>
      <c r="K1621" s="1"/>
      <c r="L1621" s="123"/>
      <c r="M1621" s="1"/>
      <c r="N1621" s="590"/>
      <c r="O1621" s="165"/>
      <c r="P1621" s="165"/>
      <c r="Q1621" s="165"/>
      <c r="R1621" s="165"/>
      <c r="S1621" s="165"/>
      <c r="V1621" s="46"/>
      <c r="W1621" s="46"/>
      <c r="X1621" s="1"/>
      <c r="Y1621" s="1"/>
      <c r="Z1621" s="173"/>
      <c r="AA1621" s="1"/>
      <c r="AB1621" s="165"/>
      <c r="AC1621" s="1"/>
      <c r="AD1621" s="1"/>
      <c r="AE1621" s="1"/>
      <c r="AF1621" s="46"/>
      <c r="AG1621" s="1"/>
      <c r="AH1621" s="165"/>
      <c r="AI1621" s="165"/>
      <c r="AJ1621" s="165"/>
      <c r="AK1621" s="165"/>
      <c r="AL1621" s="165"/>
      <c r="AM1621" s="165"/>
      <c r="AN1621" s="165"/>
    </row>
    <row r="1622" spans="3:40">
      <c r="C1622" s="46"/>
      <c r="F1622" s="173"/>
      <c r="G1622" s="1"/>
      <c r="H1622" s="165"/>
      <c r="I1622" s="160"/>
      <c r="J1622" s="160"/>
      <c r="K1622" s="1"/>
      <c r="L1622" s="123"/>
      <c r="M1622" s="1"/>
      <c r="N1622" s="590"/>
      <c r="O1622" s="165"/>
      <c r="P1622" s="165"/>
      <c r="Q1622" s="165"/>
      <c r="R1622" s="165"/>
      <c r="S1622" s="165"/>
      <c r="V1622" s="46"/>
      <c r="W1622" s="46"/>
      <c r="X1622" s="1"/>
      <c r="Y1622" s="1"/>
      <c r="Z1622" s="173"/>
      <c r="AA1622" s="1"/>
      <c r="AB1622" s="165"/>
      <c r="AC1622" s="1"/>
      <c r="AD1622" s="1"/>
      <c r="AE1622" s="1"/>
      <c r="AF1622" s="46"/>
      <c r="AG1622" s="1"/>
      <c r="AH1622" s="165"/>
      <c r="AI1622" s="165"/>
      <c r="AJ1622" s="165"/>
      <c r="AK1622" s="165"/>
      <c r="AL1622" s="165"/>
      <c r="AM1622" s="165"/>
      <c r="AN1622" s="165"/>
    </row>
    <row r="1623" spans="3:40">
      <c r="C1623" s="46"/>
      <c r="F1623" s="173"/>
      <c r="G1623" s="1"/>
      <c r="H1623" s="165"/>
      <c r="I1623" s="160"/>
      <c r="J1623" s="160"/>
      <c r="K1623" s="1"/>
      <c r="L1623" s="123"/>
      <c r="M1623" s="1"/>
      <c r="N1623" s="590"/>
      <c r="O1623" s="165"/>
      <c r="P1623" s="165"/>
      <c r="Q1623" s="165"/>
      <c r="R1623" s="165"/>
      <c r="S1623" s="165"/>
      <c r="V1623" s="46"/>
      <c r="W1623" s="46"/>
      <c r="X1623" s="1"/>
      <c r="Y1623" s="1"/>
      <c r="Z1623" s="173"/>
      <c r="AA1623" s="1"/>
      <c r="AB1623" s="165"/>
      <c r="AC1623" s="1"/>
      <c r="AD1623" s="1"/>
      <c r="AE1623" s="1"/>
      <c r="AF1623" s="46"/>
      <c r="AG1623" s="1"/>
      <c r="AH1623" s="165"/>
      <c r="AI1623" s="165"/>
      <c r="AJ1623" s="165"/>
      <c r="AK1623" s="165"/>
      <c r="AL1623" s="165"/>
      <c r="AM1623" s="165"/>
      <c r="AN1623" s="165"/>
    </row>
    <row r="1624" spans="3:40">
      <c r="C1624" s="46"/>
      <c r="F1624" s="173"/>
      <c r="G1624" s="1"/>
      <c r="H1624" s="165"/>
      <c r="I1624" s="160"/>
      <c r="J1624" s="160"/>
      <c r="K1624" s="1"/>
      <c r="L1624" s="123"/>
      <c r="M1624" s="1"/>
      <c r="N1624" s="590"/>
      <c r="O1624" s="165"/>
      <c r="P1624" s="165"/>
      <c r="Q1624" s="165"/>
      <c r="R1624" s="165"/>
      <c r="S1624" s="165"/>
      <c r="V1624" s="46"/>
      <c r="W1624" s="46"/>
      <c r="X1624" s="1"/>
      <c r="Y1624" s="1"/>
      <c r="Z1624" s="173"/>
      <c r="AA1624" s="1"/>
      <c r="AB1624" s="165"/>
      <c r="AC1624" s="1"/>
      <c r="AD1624" s="1"/>
      <c r="AE1624" s="1"/>
      <c r="AF1624" s="46"/>
      <c r="AG1624" s="1"/>
      <c r="AH1624" s="165"/>
      <c r="AI1624" s="165"/>
      <c r="AJ1624" s="165"/>
      <c r="AK1624" s="165"/>
      <c r="AL1624" s="165"/>
      <c r="AM1624" s="165"/>
      <c r="AN1624" s="165"/>
    </row>
    <row r="1625" spans="3:40">
      <c r="C1625" s="46"/>
      <c r="F1625" s="173"/>
      <c r="G1625" s="1"/>
      <c r="H1625" s="165"/>
      <c r="I1625" s="160"/>
      <c r="J1625" s="160"/>
      <c r="K1625" s="1"/>
      <c r="L1625" s="123"/>
      <c r="M1625" s="1"/>
      <c r="N1625" s="590"/>
      <c r="O1625" s="165"/>
      <c r="P1625" s="165"/>
      <c r="Q1625" s="165"/>
      <c r="R1625" s="165"/>
      <c r="S1625" s="165"/>
      <c r="V1625" s="46"/>
      <c r="W1625" s="46"/>
      <c r="X1625" s="1"/>
      <c r="Y1625" s="1"/>
      <c r="Z1625" s="173"/>
      <c r="AA1625" s="1"/>
      <c r="AB1625" s="165"/>
      <c r="AC1625" s="1"/>
      <c r="AD1625" s="1"/>
      <c r="AE1625" s="1"/>
      <c r="AF1625" s="46"/>
      <c r="AG1625" s="1"/>
      <c r="AH1625" s="165"/>
      <c r="AI1625" s="165"/>
      <c r="AJ1625" s="165"/>
      <c r="AK1625" s="165"/>
      <c r="AL1625" s="165"/>
      <c r="AM1625" s="165"/>
      <c r="AN1625" s="165"/>
    </row>
    <row r="1626" spans="3:40">
      <c r="C1626" s="46"/>
      <c r="F1626" s="173"/>
      <c r="G1626" s="1"/>
      <c r="H1626" s="165"/>
      <c r="I1626" s="160"/>
      <c r="J1626" s="160"/>
      <c r="K1626" s="1"/>
      <c r="L1626" s="123"/>
      <c r="M1626" s="1"/>
      <c r="N1626" s="590"/>
      <c r="O1626" s="165"/>
      <c r="P1626" s="165"/>
      <c r="Q1626" s="165"/>
      <c r="R1626" s="165"/>
      <c r="S1626" s="165"/>
      <c r="V1626" s="46"/>
      <c r="W1626" s="46"/>
      <c r="X1626" s="1"/>
      <c r="Y1626" s="1"/>
      <c r="Z1626" s="173"/>
      <c r="AA1626" s="1"/>
      <c r="AB1626" s="165"/>
      <c r="AC1626" s="1"/>
      <c r="AD1626" s="1"/>
      <c r="AE1626" s="1"/>
      <c r="AF1626" s="46"/>
      <c r="AG1626" s="1"/>
      <c r="AH1626" s="165"/>
      <c r="AI1626" s="165"/>
      <c r="AJ1626" s="165"/>
      <c r="AK1626" s="165"/>
      <c r="AL1626" s="165"/>
      <c r="AM1626" s="165"/>
      <c r="AN1626" s="165"/>
    </row>
    <row r="1627" spans="3:40">
      <c r="C1627" s="46"/>
      <c r="F1627" s="173"/>
      <c r="G1627" s="1"/>
      <c r="H1627" s="165"/>
      <c r="I1627" s="160"/>
      <c r="J1627" s="160"/>
      <c r="K1627" s="1"/>
      <c r="L1627" s="123"/>
      <c r="M1627" s="1"/>
      <c r="N1627" s="590"/>
      <c r="O1627" s="165"/>
      <c r="P1627" s="165"/>
      <c r="Q1627" s="165"/>
      <c r="R1627" s="165"/>
      <c r="S1627" s="165"/>
      <c r="V1627" s="46"/>
      <c r="W1627" s="46"/>
      <c r="X1627" s="1"/>
      <c r="Y1627" s="1"/>
      <c r="Z1627" s="173"/>
      <c r="AA1627" s="1"/>
      <c r="AB1627" s="165"/>
      <c r="AC1627" s="1"/>
      <c r="AD1627" s="1"/>
      <c r="AE1627" s="1"/>
      <c r="AF1627" s="46"/>
      <c r="AG1627" s="1"/>
      <c r="AH1627" s="165"/>
      <c r="AI1627" s="165"/>
      <c r="AJ1627" s="165"/>
      <c r="AK1627" s="165"/>
      <c r="AL1627" s="165"/>
      <c r="AM1627" s="165"/>
      <c r="AN1627" s="165"/>
    </row>
    <row r="1628" spans="3:40">
      <c r="C1628" s="46"/>
      <c r="F1628" s="173"/>
      <c r="G1628" s="1"/>
      <c r="H1628" s="165"/>
      <c r="I1628" s="160"/>
      <c r="J1628" s="160"/>
      <c r="K1628" s="1"/>
      <c r="L1628" s="123"/>
      <c r="M1628" s="1"/>
      <c r="N1628" s="590"/>
      <c r="O1628" s="165"/>
      <c r="P1628" s="165"/>
      <c r="Q1628" s="165"/>
      <c r="R1628" s="165"/>
      <c r="S1628" s="165"/>
      <c r="V1628" s="46"/>
      <c r="W1628" s="46"/>
      <c r="X1628" s="1"/>
      <c r="Y1628" s="1"/>
      <c r="Z1628" s="173"/>
      <c r="AA1628" s="1"/>
      <c r="AB1628" s="165"/>
      <c r="AC1628" s="1"/>
      <c r="AD1628" s="1"/>
      <c r="AE1628" s="1"/>
      <c r="AF1628" s="46"/>
      <c r="AG1628" s="1"/>
      <c r="AH1628" s="165"/>
      <c r="AI1628" s="165"/>
      <c r="AJ1628" s="165"/>
      <c r="AK1628" s="165"/>
      <c r="AL1628" s="165"/>
      <c r="AM1628" s="165"/>
      <c r="AN1628" s="165"/>
    </row>
    <row r="1629" spans="3:40">
      <c r="C1629" s="46"/>
      <c r="F1629" s="173"/>
      <c r="G1629" s="1"/>
      <c r="H1629" s="165"/>
      <c r="I1629" s="160"/>
      <c r="J1629" s="160"/>
      <c r="K1629" s="1"/>
      <c r="L1629" s="123"/>
      <c r="M1629" s="1"/>
      <c r="N1629" s="590"/>
      <c r="O1629" s="165"/>
      <c r="P1629" s="165"/>
      <c r="Q1629" s="165"/>
      <c r="R1629" s="165"/>
      <c r="S1629" s="165"/>
      <c r="V1629" s="46"/>
      <c r="W1629" s="46"/>
      <c r="X1629" s="1"/>
      <c r="Y1629" s="1"/>
      <c r="Z1629" s="173"/>
      <c r="AA1629" s="1"/>
      <c r="AB1629" s="165"/>
      <c r="AC1629" s="1"/>
      <c r="AD1629" s="1"/>
      <c r="AE1629" s="1"/>
      <c r="AF1629" s="46"/>
      <c r="AG1629" s="1"/>
      <c r="AH1629" s="165"/>
      <c r="AI1629" s="165"/>
      <c r="AJ1629" s="165"/>
      <c r="AK1629" s="165"/>
      <c r="AL1629" s="165"/>
      <c r="AM1629" s="165"/>
      <c r="AN1629" s="165"/>
    </row>
    <row r="1630" spans="3:40">
      <c r="C1630" s="46"/>
      <c r="F1630" s="173"/>
      <c r="G1630" s="1"/>
      <c r="H1630" s="165"/>
      <c r="I1630" s="160"/>
      <c r="J1630" s="160"/>
      <c r="K1630" s="1"/>
      <c r="L1630" s="123"/>
      <c r="M1630" s="1"/>
      <c r="N1630" s="590"/>
      <c r="O1630" s="165"/>
      <c r="P1630" s="165"/>
      <c r="Q1630" s="165"/>
      <c r="R1630" s="165"/>
      <c r="S1630" s="165"/>
      <c r="V1630" s="46"/>
      <c r="W1630" s="46"/>
      <c r="X1630" s="1"/>
      <c r="Y1630" s="1"/>
      <c r="Z1630" s="173"/>
      <c r="AA1630" s="1"/>
      <c r="AB1630" s="165"/>
      <c r="AC1630" s="1"/>
      <c r="AD1630" s="1"/>
      <c r="AE1630" s="1"/>
      <c r="AF1630" s="46"/>
      <c r="AG1630" s="1"/>
      <c r="AH1630" s="165"/>
      <c r="AI1630" s="165"/>
      <c r="AJ1630" s="165"/>
      <c r="AK1630" s="165"/>
      <c r="AL1630" s="165"/>
      <c r="AM1630" s="165"/>
      <c r="AN1630" s="165"/>
    </row>
    <row r="1631" spans="3:40">
      <c r="C1631" s="46"/>
      <c r="F1631" s="173"/>
      <c r="G1631" s="1"/>
      <c r="H1631" s="165"/>
      <c r="I1631" s="160"/>
      <c r="J1631" s="160"/>
      <c r="K1631" s="1"/>
      <c r="L1631" s="123"/>
      <c r="M1631" s="1"/>
      <c r="N1631" s="590"/>
      <c r="O1631" s="165"/>
      <c r="P1631" s="165"/>
      <c r="Q1631" s="165"/>
      <c r="R1631" s="165"/>
      <c r="S1631" s="165"/>
      <c r="V1631" s="46"/>
      <c r="W1631" s="46"/>
      <c r="X1631" s="1"/>
      <c r="Y1631" s="1"/>
      <c r="Z1631" s="173"/>
      <c r="AA1631" s="1"/>
      <c r="AB1631" s="165"/>
      <c r="AC1631" s="1"/>
      <c r="AD1631" s="1"/>
      <c r="AE1631" s="1"/>
      <c r="AF1631" s="46"/>
      <c r="AG1631" s="1"/>
      <c r="AH1631" s="165"/>
      <c r="AI1631" s="165"/>
      <c r="AJ1631" s="165"/>
      <c r="AK1631" s="165"/>
      <c r="AL1631" s="165"/>
      <c r="AM1631" s="165"/>
      <c r="AN1631" s="165"/>
    </row>
    <row r="1632" spans="3:40">
      <c r="C1632" s="46"/>
      <c r="F1632" s="173"/>
      <c r="G1632" s="1"/>
      <c r="H1632" s="165"/>
      <c r="I1632" s="160"/>
      <c r="J1632" s="160"/>
      <c r="K1632" s="1"/>
      <c r="L1632" s="123"/>
      <c r="M1632" s="1"/>
      <c r="N1632" s="590"/>
      <c r="O1632" s="165"/>
      <c r="P1632" s="165"/>
      <c r="Q1632" s="165"/>
      <c r="R1632" s="165"/>
      <c r="S1632" s="165"/>
      <c r="V1632" s="46"/>
      <c r="W1632" s="46"/>
      <c r="X1632" s="1"/>
      <c r="Y1632" s="1"/>
      <c r="Z1632" s="173"/>
      <c r="AA1632" s="1"/>
      <c r="AB1632" s="165"/>
      <c r="AC1632" s="1"/>
      <c r="AD1632" s="1"/>
      <c r="AE1632" s="1"/>
      <c r="AF1632" s="46"/>
      <c r="AG1632" s="1"/>
      <c r="AH1632" s="165"/>
      <c r="AI1632" s="165"/>
      <c r="AJ1632" s="165"/>
      <c r="AK1632" s="165"/>
      <c r="AL1632" s="165"/>
      <c r="AM1632" s="165"/>
      <c r="AN1632" s="165"/>
    </row>
    <row r="1633" spans="3:40">
      <c r="C1633" s="46"/>
      <c r="F1633" s="173"/>
      <c r="G1633" s="1"/>
      <c r="H1633" s="165"/>
      <c r="I1633" s="160"/>
      <c r="J1633" s="160"/>
      <c r="K1633" s="1"/>
      <c r="L1633" s="123"/>
      <c r="M1633" s="1"/>
      <c r="N1633" s="590"/>
      <c r="O1633" s="165"/>
      <c r="P1633" s="165"/>
      <c r="Q1633" s="165"/>
      <c r="R1633" s="165"/>
      <c r="S1633" s="165"/>
      <c r="V1633" s="46"/>
      <c r="W1633" s="46"/>
      <c r="X1633" s="1"/>
      <c r="Y1633" s="1"/>
      <c r="Z1633" s="173"/>
      <c r="AA1633" s="1"/>
      <c r="AB1633" s="165"/>
      <c r="AC1633" s="1"/>
      <c r="AD1633" s="1"/>
      <c r="AE1633" s="1"/>
      <c r="AF1633" s="46"/>
      <c r="AG1633" s="1"/>
      <c r="AH1633" s="165"/>
      <c r="AI1633" s="165"/>
      <c r="AJ1633" s="165"/>
      <c r="AK1633" s="165"/>
      <c r="AL1633" s="165"/>
      <c r="AM1633" s="165"/>
      <c r="AN1633" s="165"/>
    </row>
    <row r="1634" spans="3:40">
      <c r="C1634" s="46"/>
      <c r="F1634" s="173"/>
      <c r="G1634" s="1"/>
      <c r="H1634" s="165"/>
      <c r="I1634" s="160"/>
      <c r="J1634" s="160"/>
      <c r="K1634" s="1"/>
      <c r="L1634" s="123"/>
      <c r="M1634" s="1"/>
      <c r="N1634" s="590"/>
      <c r="O1634" s="165"/>
      <c r="P1634" s="165"/>
      <c r="Q1634" s="165"/>
      <c r="R1634" s="165"/>
      <c r="S1634" s="165"/>
      <c r="V1634" s="46"/>
      <c r="W1634" s="46"/>
      <c r="X1634" s="1"/>
      <c r="Y1634" s="1"/>
      <c r="Z1634" s="173"/>
      <c r="AA1634" s="1"/>
      <c r="AB1634" s="165"/>
      <c r="AC1634" s="1"/>
      <c r="AD1634" s="1"/>
      <c r="AE1634" s="1"/>
      <c r="AF1634" s="46"/>
      <c r="AG1634" s="1"/>
      <c r="AH1634" s="165"/>
      <c r="AI1634" s="165"/>
      <c r="AJ1634" s="165"/>
      <c r="AK1634" s="165"/>
      <c r="AL1634" s="165"/>
      <c r="AM1634" s="165"/>
      <c r="AN1634" s="165"/>
    </row>
    <row r="1635" spans="3:40">
      <c r="C1635" s="46"/>
      <c r="F1635" s="173"/>
      <c r="G1635" s="1"/>
      <c r="H1635" s="165"/>
      <c r="I1635" s="160"/>
      <c r="J1635" s="160"/>
      <c r="K1635" s="1"/>
      <c r="L1635" s="123"/>
      <c r="M1635" s="1"/>
      <c r="N1635" s="590"/>
      <c r="O1635" s="165"/>
      <c r="P1635" s="165"/>
      <c r="Q1635" s="165"/>
      <c r="R1635" s="165"/>
      <c r="S1635" s="165"/>
      <c r="V1635" s="46"/>
      <c r="W1635" s="46"/>
      <c r="X1635" s="1"/>
      <c r="Y1635" s="1"/>
      <c r="Z1635" s="173"/>
      <c r="AA1635" s="1"/>
      <c r="AB1635" s="165"/>
      <c r="AC1635" s="1"/>
      <c r="AD1635" s="1"/>
      <c r="AE1635" s="1"/>
      <c r="AF1635" s="46"/>
      <c r="AG1635" s="1"/>
      <c r="AH1635" s="165"/>
      <c r="AI1635" s="165"/>
      <c r="AJ1635" s="165"/>
      <c r="AK1635" s="165"/>
      <c r="AL1635" s="165"/>
      <c r="AM1635" s="165"/>
      <c r="AN1635" s="165"/>
    </row>
    <row r="1636" spans="3:40">
      <c r="C1636" s="46"/>
      <c r="F1636" s="173"/>
      <c r="G1636" s="1"/>
      <c r="H1636" s="165"/>
      <c r="I1636" s="160"/>
      <c r="J1636" s="160"/>
      <c r="K1636" s="1"/>
      <c r="L1636" s="123"/>
      <c r="M1636" s="1"/>
      <c r="N1636" s="590"/>
      <c r="O1636" s="165"/>
      <c r="P1636" s="165"/>
      <c r="Q1636" s="165"/>
      <c r="R1636" s="165"/>
      <c r="S1636" s="165"/>
      <c r="V1636" s="46"/>
      <c r="W1636" s="46"/>
      <c r="X1636" s="1"/>
      <c r="Y1636" s="1"/>
      <c r="Z1636" s="173"/>
      <c r="AA1636" s="1"/>
      <c r="AB1636" s="165"/>
      <c r="AC1636" s="1"/>
      <c r="AD1636" s="1"/>
      <c r="AE1636" s="1"/>
      <c r="AF1636" s="46"/>
      <c r="AG1636" s="1"/>
      <c r="AH1636" s="165"/>
      <c r="AI1636" s="165"/>
      <c r="AJ1636" s="165"/>
      <c r="AK1636" s="165"/>
      <c r="AL1636" s="165"/>
      <c r="AM1636" s="165"/>
      <c r="AN1636" s="165"/>
    </row>
    <row r="1637" spans="3:40">
      <c r="C1637" s="46"/>
      <c r="F1637" s="173"/>
      <c r="G1637" s="1"/>
      <c r="H1637" s="165"/>
      <c r="I1637" s="160"/>
      <c r="J1637" s="160"/>
      <c r="K1637" s="1"/>
      <c r="L1637" s="123"/>
      <c r="M1637" s="1"/>
      <c r="N1637" s="590"/>
      <c r="O1637" s="165"/>
      <c r="P1637" s="165"/>
      <c r="Q1637" s="165"/>
      <c r="R1637" s="165"/>
      <c r="S1637" s="165"/>
      <c r="V1637" s="46"/>
      <c r="W1637" s="46"/>
      <c r="X1637" s="1"/>
      <c r="Y1637" s="1"/>
      <c r="Z1637" s="173"/>
      <c r="AA1637" s="1"/>
      <c r="AB1637" s="165"/>
      <c r="AC1637" s="1"/>
      <c r="AD1637" s="1"/>
      <c r="AE1637" s="1"/>
      <c r="AF1637" s="46"/>
      <c r="AG1637" s="1"/>
      <c r="AH1637" s="165"/>
      <c r="AI1637" s="165"/>
      <c r="AJ1637" s="165"/>
      <c r="AK1637" s="165"/>
      <c r="AL1637" s="165"/>
      <c r="AM1637" s="165"/>
      <c r="AN1637" s="165"/>
    </row>
    <row r="1638" spans="3:40">
      <c r="C1638" s="46"/>
      <c r="F1638" s="173"/>
      <c r="G1638" s="1"/>
      <c r="H1638" s="165"/>
      <c r="I1638" s="160"/>
      <c r="J1638" s="160"/>
      <c r="K1638" s="1"/>
      <c r="L1638" s="123"/>
      <c r="M1638" s="1"/>
      <c r="N1638" s="590"/>
      <c r="O1638" s="165"/>
      <c r="P1638" s="165"/>
      <c r="Q1638" s="165"/>
      <c r="R1638" s="165"/>
      <c r="S1638" s="165"/>
      <c r="V1638" s="46"/>
      <c r="W1638" s="46"/>
      <c r="X1638" s="1"/>
      <c r="Y1638" s="1"/>
      <c r="Z1638" s="173"/>
      <c r="AA1638" s="1"/>
      <c r="AB1638" s="165"/>
      <c r="AC1638" s="1"/>
      <c r="AD1638" s="1"/>
      <c r="AE1638" s="1"/>
      <c r="AF1638" s="46"/>
      <c r="AG1638" s="1"/>
      <c r="AH1638" s="165"/>
      <c r="AI1638" s="165"/>
      <c r="AJ1638" s="165"/>
      <c r="AK1638" s="165"/>
      <c r="AL1638" s="165"/>
      <c r="AM1638" s="165"/>
      <c r="AN1638" s="165"/>
    </row>
    <row r="1639" spans="3:40">
      <c r="C1639" s="46"/>
      <c r="F1639" s="173"/>
      <c r="G1639" s="1"/>
      <c r="H1639" s="165"/>
      <c r="I1639" s="160"/>
      <c r="J1639" s="160"/>
      <c r="K1639" s="1"/>
      <c r="L1639" s="123"/>
      <c r="M1639" s="1"/>
      <c r="N1639" s="590"/>
      <c r="O1639" s="165"/>
      <c r="P1639" s="165"/>
      <c r="Q1639" s="165"/>
      <c r="R1639" s="165"/>
      <c r="S1639" s="165"/>
      <c r="V1639" s="46"/>
      <c r="W1639" s="46"/>
      <c r="X1639" s="1"/>
      <c r="Y1639" s="1"/>
      <c r="Z1639" s="173"/>
      <c r="AA1639" s="1"/>
      <c r="AB1639" s="165"/>
      <c r="AC1639" s="1"/>
      <c r="AD1639" s="1"/>
      <c r="AE1639" s="1"/>
      <c r="AF1639" s="46"/>
      <c r="AG1639" s="1"/>
      <c r="AH1639" s="165"/>
      <c r="AI1639" s="165"/>
      <c r="AJ1639" s="165"/>
      <c r="AK1639" s="165"/>
      <c r="AL1639" s="165"/>
      <c r="AM1639" s="165"/>
      <c r="AN1639" s="165"/>
    </row>
    <row r="1640" spans="3:40">
      <c r="C1640" s="46"/>
      <c r="F1640" s="173"/>
      <c r="G1640" s="1"/>
      <c r="H1640" s="165"/>
      <c r="I1640" s="160"/>
      <c r="J1640" s="160"/>
      <c r="K1640" s="1"/>
      <c r="L1640" s="123"/>
      <c r="M1640" s="1"/>
      <c r="N1640" s="590"/>
      <c r="O1640" s="165"/>
      <c r="P1640" s="165"/>
      <c r="Q1640" s="165"/>
      <c r="R1640" s="165"/>
      <c r="S1640" s="165"/>
      <c r="V1640" s="46"/>
      <c r="W1640" s="46"/>
      <c r="X1640" s="1"/>
      <c r="Y1640" s="1"/>
      <c r="Z1640" s="173"/>
      <c r="AA1640" s="1"/>
      <c r="AB1640" s="165"/>
      <c r="AC1640" s="1"/>
      <c r="AD1640" s="1"/>
      <c r="AE1640" s="1"/>
      <c r="AF1640" s="46"/>
      <c r="AG1640" s="1"/>
      <c r="AH1640" s="165"/>
      <c r="AI1640" s="165"/>
      <c r="AJ1640" s="165"/>
      <c r="AK1640" s="165"/>
      <c r="AL1640" s="165"/>
      <c r="AM1640" s="165"/>
      <c r="AN1640" s="165"/>
    </row>
    <row r="1641" spans="3:40">
      <c r="C1641" s="46"/>
      <c r="F1641" s="173"/>
      <c r="G1641" s="1"/>
      <c r="H1641" s="165"/>
      <c r="I1641" s="160"/>
      <c r="J1641" s="160"/>
      <c r="K1641" s="1"/>
      <c r="L1641" s="123"/>
      <c r="M1641" s="1"/>
      <c r="N1641" s="590"/>
      <c r="O1641" s="165"/>
      <c r="P1641" s="165"/>
      <c r="Q1641" s="165"/>
      <c r="R1641" s="165"/>
      <c r="S1641" s="165"/>
      <c r="V1641" s="46"/>
      <c r="W1641" s="46"/>
      <c r="X1641" s="1"/>
      <c r="Y1641" s="1"/>
      <c r="Z1641" s="173"/>
      <c r="AA1641" s="1"/>
      <c r="AB1641" s="165"/>
      <c r="AC1641" s="1"/>
      <c r="AD1641" s="1"/>
      <c r="AE1641" s="1"/>
      <c r="AF1641" s="46"/>
      <c r="AG1641" s="1"/>
      <c r="AH1641" s="165"/>
      <c r="AI1641" s="165"/>
      <c r="AJ1641" s="165"/>
      <c r="AK1641" s="165"/>
      <c r="AL1641" s="165"/>
      <c r="AM1641" s="165"/>
      <c r="AN1641" s="165"/>
    </row>
    <row r="1642" spans="3:40">
      <c r="C1642" s="46"/>
      <c r="F1642" s="173"/>
      <c r="G1642" s="1"/>
      <c r="H1642" s="165"/>
      <c r="I1642" s="160"/>
      <c r="J1642" s="160"/>
      <c r="K1642" s="1"/>
      <c r="L1642" s="123"/>
      <c r="M1642" s="1"/>
      <c r="N1642" s="590"/>
      <c r="O1642" s="165"/>
      <c r="P1642" s="165"/>
      <c r="Q1642" s="165"/>
      <c r="R1642" s="165"/>
      <c r="S1642" s="165"/>
      <c r="V1642" s="46"/>
      <c r="W1642" s="46"/>
      <c r="X1642" s="1"/>
      <c r="Y1642" s="1"/>
      <c r="Z1642" s="173"/>
      <c r="AA1642" s="1"/>
      <c r="AB1642" s="165"/>
      <c r="AC1642" s="1"/>
      <c r="AD1642" s="1"/>
      <c r="AE1642" s="1"/>
      <c r="AF1642" s="46"/>
      <c r="AG1642" s="1"/>
      <c r="AH1642" s="165"/>
      <c r="AI1642" s="165"/>
      <c r="AJ1642" s="165"/>
      <c r="AK1642" s="165"/>
      <c r="AL1642" s="165"/>
      <c r="AM1642" s="165"/>
      <c r="AN1642" s="165"/>
    </row>
    <row r="1643" spans="3:40">
      <c r="C1643" s="46"/>
      <c r="F1643" s="173"/>
      <c r="G1643" s="1"/>
      <c r="H1643" s="165"/>
      <c r="I1643" s="160"/>
      <c r="J1643" s="160"/>
      <c r="K1643" s="1"/>
      <c r="L1643" s="123"/>
      <c r="M1643" s="1"/>
      <c r="N1643" s="590"/>
      <c r="O1643" s="165"/>
      <c r="P1643" s="165"/>
      <c r="Q1643" s="165"/>
      <c r="R1643" s="165"/>
      <c r="S1643" s="165"/>
      <c r="V1643" s="46"/>
      <c r="W1643" s="46"/>
      <c r="X1643" s="1"/>
      <c r="Y1643" s="1"/>
      <c r="Z1643" s="173"/>
      <c r="AA1643" s="1"/>
      <c r="AB1643" s="165"/>
      <c r="AC1643" s="1"/>
      <c r="AD1643" s="1"/>
      <c r="AE1643" s="1"/>
      <c r="AF1643" s="46"/>
      <c r="AG1643" s="1"/>
      <c r="AH1643" s="165"/>
      <c r="AI1643" s="165"/>
      <c r="AJ1643" s="165"/>
      <c r="AK1643" s="165"/>
      <c r="AL1643" s="165"/>
      <c r="AM1643" s="165"/>
      <c r="AN1643" s="165"/>
    </row>
    <row r="1644" spans="3:40">
      <c r="C1644" s="46"/>
      <c r="F1644" s="173"/>
      <c r="G1644" s="1"/>
      <c r="H1644" s="165"/>
      <c r="I1644" s="160"/>
      <c r="J1644" s="160"/>
      <c r="K1644" s="1"/>
      <c r="L1644" s="123"/>
      <c r="M1644" s="1"/>
      <c r="N1644" s="590"/>
      <c r="O1644" s="165"/>
      <c r="P1644" s="165"/>
      <c r="Q1644" s="165"/>
      <c r="R1644" s="165"/>
      <c r="S1644" s="165"/>
      <c r="V1644" s="46"/>
      <c r="W1644" s="46"/>
      <c r="X1644" s="1"/>
      <c r="Y1644" s="1"/>
      <c r="Z1644" s="173"/>
      <c r="AA1644" s="1"/>
      <c r="AB1644" s="165"/>
      <c r="AC1644" s="1"/>
      <c r="AD1644" s="1"/>
      <c r="AE1644" s="1"/>
      <c r="AF1644" s="46"/>
      <c r="AG1644" s="1"/>
      <c r="AH1644" s="165"/>
      <c r="AI1644" s="165"/>
      <c r="AJ1644" s="165"/>
      <c r="AK1644" s="165"/>
      <c r="AL1644" s="165"/>
      <c r="AM1644" s="165"/>
      <c r="AN1644" s="165"/>
    </row>
    <row r="1645" spans="3:40">
      <c r="C1645" s="46"/>
      <c r="F1645" s="173"/>
      <c r="G1645" s="1"/>
      <c r="H1645" s="165"/>
      <c r="I1645" s="160"/>
      <c r="J1645" s="160"/>
      <c r="K1645" s="1"/>
      <c r="L1645" s="123"/>
      <c r="M1645" s="1"/>
      <c r="N1645" s="590"/>
      <c r="O1645" s="165"/>
      <c r="P1645" s="165"/>
      <c r="Q1645" s="165"/>
      <c r="R1645" s="165"/>
      <c r="S1645" s="165"/>
      <c r="V1645" s="46"/>
      <c r="W1645" s="46"/>
      <c r="X1645" s="1"/>
      <c r="Y1645" s="1"/>
      <c r="Z1645" s="173"/>
      <c r="AA1645" s="1"/>
      <c r="AB1645" s="165"/>
      <c r="AC1645" s="1"/>
      <c r="AD1645" s="1"/>
      <c r="AE1645" s="1"/>
      <c r="AF1645" s="46"/>
      <c r="AG1645" s="1"/>
      <c r="AH1645" s="165"/>
      <c r="AI1645" s="165"/>
      <c r="AJ1645" s="165"/>
      <c r="AK1645" s="165"/>
      <c r="AL1645" s="165"/>
      <c r="AM1645" s="165"/>
      <c r="AN1645" s="165"/>
    </row>
    <row r="1646" spans="3:40">
      <c r="C1646" s="46"/>
      <c r="F1646" s="173"/>
      <c r="G1646" s="1"/>
      <c r="H1646" s="165"/>
      <c r="I1646" s="160"/>
      <c r="J1646" s="160"/>
      <c r="K1646" s="1"/>
      <c r="L1646" s="123"/>
      <c r="M1646" s="1"/>
      <c r="N1646" s="590"/>
      <c r="O1646" s="165"/>
      <c r="P1646" s="165"/>
      <c r="Q1646" s="165"/>
      <c r="R1646" s="165"/>
      <c r="S1646" s="165"/>
      <c r="V1646" s="46"/>
      <c r="W1646" s="46"/>
      <c r="X1646" s="1"/>
      <c r="Y1646" s="1"/>
      <c r="Z1646" s="173"/>
      <c r="AA1646" s="1"/>
      <c r="AB1646" s="165"/>
      <c r="AC1646" s="1"/>
      <c r="AD1646" s="1"/>
      <c r="AE1646" s="1"/>
      <c r="AF1646" s="46"/>
      <c r="AG1646" s="1"/>
      <c r="AH1646" s="165"/>
      <c r="AI1646" s="165"/>
      <c r="AJ1646" s="165"/>
      <c r="AK1646" s="165"/>
      <c r="AL1646" s="165"/>
      <c r="AM1646" s="165"/>
      <c r="AN1646" s="165"/>
    </row>
    <row r="1647" spans="3:40">
      <c r="C1647" s="46"/>
      <c r="F1647" s="173"/>
      <c r="G1647" s="1"/>
      <c r="H1647" s="165"/>
      <c r="I1647" s="160"/>
      <c r="J1647" s="160"/>
      <c r="K1647" s="1"/>
      <c r="L1647" s="123"/>
      <c r="M1647" s="1"/>
      <c r="N1647" s="590"/>
      <c r="O1647" s="165"/>
      <c r="P1647" s="165"/>
      <c r="Q1647" s="165"/>
      <c r="R1647" s="165"/>
      <c r="S1647" s="165"/>
      <c r="V1647" s="46"/>
      <c r="W1647" s="46"/>
      <c r="X1647" s="1"/>
      <c r="Y1647" s="1"/>
      <c r="Z1647" s="173"/>
      <c r="AA1647" s="1"/>
      <c r="AB1647" s="165"/>
      <c r="AC1647" s="1"/>
      <c r="AD1647" s="1"/>
      <c r="AE1647" s="1"/>
      <c r="AF1647" s="46"/>
      <c r="AG1647" s="1"/>
      <c r="AH1647" s="165"/>
      <c r="AI1647" s="165"/>
      <c r="AJ1647" s="165"/>
      <c r="AK1647" s="165"/>
      <c r="AL1647" s="165"/>
      <c r="AM1647" s="165"/>
      <c r="AN1647" s="165"/>
    </row>
    <row r="1648" spans="3:40">
      <c r="C1648" s="46"/>
      <c r="F1648" s="173"/>
      <c r="G1648" s="1"/>
      <c r="H1648" s="165"/>
      <c r="I1648" s="160"/>
      <c r="J1648" s="160"/>
      <c r="K1648" s="1"/>
      <c r="L1648" s="123"/>
      <c r="M1648" s="1"/>
      <c r="N1648" s="590"/>
      <c r="O1648" s="165"/>
      <c r="P1648" s="165"/>
      <c r="Q1648" s="165"/>
      <c r="R1648" s="165"/>
      <c r="S1648" s="165"/>
      <c r="V1648" s="46"/>
      <c r="W1648" s="46"/>
      <c r="X1648" s="1"/>
      <c r="Y1648" s="1"/>
      <c r="Z1648" s="173"/>
      <c r="AA1648" s="1"/>
      <c r="AB1648" s="165"/>
      <c r="AC1648" s="1"/>
      <c r="AD1648" s="1"/>
      <c r="AE1648" s="1"/>
      <c r="AF1648" s="46"/>
      <c r="AG1648" s="1"/>
      <c r="AH1648" s="165"/>
      <c r="AI1648" s="165"/>
      <c r="AJ1648" s="165"/>
      <c r="AK1648" s="165"/>
      <c r="AL1648" s="165"/>
      <c r="AM1648" s="165"/>
      <c r="AN1648" s="165"/>
    </row>
    <row r="1649" spans="3:40">
      <c r="C1649" s="46"/>
      <c r="F1649" s="173"/>
      <c r="G1649" s="1"/>
      <c r="H1649" s="165"/>
      <c r="I1649" s="160"/>
      <c r="J1649" s="160"/>
      <c r="K1649" s="1"/>
      <c r="L1649" s="123"/>
      <c r="M1649" s="1"/>
      <c r="N1649" s="590"/>
      <c r="O1649" s="165"/>
      <c r="P1649" s="165"/>
      <c r="Q1649" s="165"/>
      <c r="R1649" s="165"/>
      <c r="S1649" s="165"/>
      <c r="V1649" s="46"/>
      <c r="W1649" s="46"/>
      <c r="X1649" s="1"/>
      <c r="Y1649" s="1"/>
      <c r="Z1649" s="173"/>
      <c r="AA1649" s="1"/>
      <c r="AB1649" s="165"/>
      <c r="AC1649" s="1"/>
      <c r="AD1649" s="1"/>
      <c r="AE1649" s="1"/>
      <c r="AF1649" s="46"/>
      <c r="AG1649" s="1"/>
      <c r="AH1649" s="165"/>
      <c r="AI1649" s="165"/>
      <c r="AJ1649" s="165"/>
      <c r="AK1649" s="165"/>
      <c r="AL1649" s="165"/>
      <c r="AM1649" s="165"/>
      <c r="AN1649" s="165"/>
    </row>
    <row r="1650" spans="3:40">
      <c r="C1650" s="46"/>
      <c r="F1650" s="173"/>
      <c r="G1650" s="1"/>
      <c r="H1650" s="165"/>
      <c r="I1650" s="160"/>
      <c r="J1650" s="160"/>
      <c r="K1650" s="1"/>
      <c r="L1650" s="123"/>
      <c r="M1650" s="1"/>
      <c r="N1650" s="590"/>
      <c r="O1650" s="165"/>
      <c r="P1650" s="165"/>
      <c r="Q1650" s="165"/>
      <c r="R1650" s="165"/>
      <c r="S1650" s="165"/>
      <c r="V1650" s="46"/>
      <c r="W1650" s="46"/>
      <c r="X1650" s="1"/>
      <c r="Y1650" s="1"/>
      <c r="Z1650" s="173"/>
      <c r="AA1650" s="1"/>
      <c r="AB1650" s="165"/>
      <c r="AC1650" s="1"/>
      <c r="AD1650" s="1"/>
      <c r="AE1650" s="1"/>
      <c r="AF1650" s="46"/>
      <c r="AG1650" s="1"/>
      <c r="AH1650" s="165"/>
      <c r="AI1650" s="165"/>
      <c r="AJ1650" s="165"/>
      <c r="AK1650" s="165"/>
      <c r="AL1650" s="165"/>
      <c r="AM1650" s="165"/>
      <c r="AN1650" s="165"/>
    </row>
    <row r="1651" spans="3:40">
      <c r="C1651" s="46"/>
      <c r="F1651" s="173"/>
      <c r="G1651" s="1"/>
      <c r="H1651" s="165"/>
      <c r="I1651" s="160"/>
      <c r="J1651" s="160"/>
      <c r="K1651" s="1"/>
      <c r="L1651" s="123"/>
      <c r="M1651" s="1"/>
      <c r="N1651" s="590"/>
      <c r="O1651" s="165"/>
      <c r="P1651" s="165"/>
      <c r="Q1651" s="165"/>
      <c r="R1651" s="165"/>
      <c r="S1651" s="165"/>
      <c r="V1651" s="46"/>
      <c r="W1651" s="46"/>
      <c r="X1651" s="1"/>
      <c r="Y1651" s="1"/>
      <c r="Z1651" s="173"/>
      <c r="AA1651" s="1"/>
      <c r="AB1651" s="165"/>
      <c r="AC1651" s="1"/>
      <c r="AD1651" s="1"/>
      <c r="AE1651" s="1"/>
      <c r="AF1651" s="46"/>
      <c r="AG1651" s="1"/>
      <c r="AH1651" s="165"/>
      <c r="AI1651" s="165"/>
      <c r="AJ1651" s="165"/>
      <c r="AK1651" s="165"/>
      <c r="AL1651" s="165"/>
      <c r="AM1651" s="165"/>
      <c r="AN1651" s="165"/>
    </row>
    <row r="1652" spans="3:40">
      <c r="C1652" s="46"/>
      <c r="F1652" s="173"/>
      <c r="G1652" s="1"/>
      <c r="H1652" s="165"/>
      <c r="I1652" s="160"/>
      <c r="J1652" s="160"/>
      <c r="K1652" s="1"/>
      <c r="L1652" s="123"/>
      <c r="M1652" s="1"/>
      <c r="N1652" s="590"/>
      <c r="O1652" s="165"/>
      <c r="P1652" s="165"/>
      <c r="Q1652" s="165"/>
      <c r="R1652" s="165"/>
      <c r="S1652" s="165"/>
      <c r="V1652" s="46"/>
      <c r="W1652" s="46"/>
      <c r="X1652" s="1"/>
      <c r="Y1652" s="1"/>
      <c r="Z1652" s="173"/>
      <c r="AA1652" s="1"/>
      <c r="AB1652" s="165"/>
      <c r="AC1652" s="1"/>
      <c r="AD1652" s="1"/>
      <c r="AE1652" s="1"/>
      <c r="AF1652" s="46"/>
      <c r="AG1652" s="1"/>
      <c r="AH1652" s="165"/>
      <c r="AI1652" s="165"/>
      <c r="AJ1652" s="165"/>
      <c r="AK1652" s="165"/>
      <c r="AL1652" s="165"/>
      <c r="AM1652" s="165"/>
      <c r="AN1652" s="165"/>
    </row>
    <row r="1653" spans="3:40">
      <c r="C1653" s="46"/>
      <c r="F1653" s="173"/>
      <c r="G1653" s="1"/>
      <c r="H1653" s="165"/>
      <c r="I1653" s="160"/>
      <c r="J1653" s="160"/>
      <c r="K1653" s="1"/>
      <c r="L1653" s="123"/>
      <c r="M1653" s="1"/>
      <c r="N1653" s="590"/>
      <c r="O1653" s="165"/>
      <c r="P1653" s="165"/>
      <c r="Q1653" s="165"/>
      <c r="R1653" s="165"/>
      <c r="S1653" s="165"/>
      <c r="V1653" s="46"/>
      <c r="W1653" s="46"/>
      <c r="X1653" s="1"/>
      <c r="Y1653" s="1"/>
      <c r="Z1653" s="173"/>
      <c r="AA1653" s="1"/>
      <c r="AB1653" s="165"/>
      <c r="AC1653" s="1"/>
      <c r="AD1653" s="1"/>
      <c r="AE1653" s="1"/>
      <c r="AF1653" s="46"/>
      <c r="AG1653" s="1"/>
      <c r="AH1653" s="165"/>
      <c r="AI1653" s="165"/>
      <c r="AJ1653" s="165"/>
      <c r="AK1653" s="165"/>
      <c r="AL1653" s="165"/>
      <c r="AM1653" s="165"/>
      <c r="AN1653" s="165"/>
    </row>
    <row r="1654" spans="3:40">
      <c r="C1654" s="46"/>
      <c r="F1654" s="173"/>
      <c r="G1654" s="1"/>
      <c r="H1654" s="165"/>
      <c r="I1654" s="160"/>
      <c r="J1654" s="160"/>
      <c r="K1654" s="1"/>
      <c r="L1654" s="123"/>
      <c r="M1654" s="1"/>
      <c r="N1654" s="590"/>
      <c r="O1654" s="165"/>
      <c r="P1654" s="165"/>
      <c r="Q1654" s="165"/>
      <c r="R1654" s="165"/>
      <c r="S1654" s="165"/>
      <c r="V1654" s="46"/>
      <c r="W1654" s="46"/>
      <c r="X1654" s="1"/>
      <c r="Y1654" s="1"/>
      <c r="Z1654" s="173"/>
      <c r="AA1654" s="1"/>
      <c r="AB1654" s="165"/>
      <c r="AC1654" s="1"/>
      <c r="AD1654" s="1"/>
      <c r="AE1654" s="1"/>
      <c r="AF1654" s="46"/>
      <c r="AG1654" s="1"/>
      <c r="AH1654" s="165"/>
      <c r="AI1654" s="165"/>
      <c r="AJ1654" s="165"/>
      <c r="AK1654" s="165"/>
      <c r="AL1654" s="165"/>
      <c r="AM1654" s="165"/>
      <c r="AN1654" s="165"/>
    </row>
    <row r="1655" spans="3:40">
      <c r="C1655" s="46"/>
      <c r="F1655" s="173"/>
      <c r="G1655" s="1"/>
      <c r="H1655" s="165"/>
      <c r="I1655" s="160"/>
      <c r="J1655" s="160"/>
      <c r="K1655" s="1"/>
      <c r="L1655" s="123"/>
      <c r="M1655" s="1"/>
      <c r="N1655" s="590"/>
      <c r="O1655" s="165"/>
      <c r="P1655" s="165"/>
      <c r="Q1655" s="165"/>
      <c r="R1655" s="165"/>
      <c r="S1655" s="165"/>
      <c r="V1655" s="46"/>
      <c r="W1655" s="46"/>
      <c r="X1655" s="1"/>
      <c r="Y1655" s="1"/>
      <c r="Z1655" s="173"/>
      <c r="AA1655" s="1"/>
      <c r="AB1655" s="165"/>
      <c r="AC1655" s="1"/>
      <c r="AD1655" s="1"/>
      <c r="AE1655" s="1"/>
      <c r="AF1655" s="46"/>
      <c r="AG1655" s="1"/>
      <c r="AH1655" s="165"/>
      <c r="AI1655" s="165"/>
      <c r="AJ1655" s="165"/>
      <c r="AK1655" s="165"/>
      <c r="AL1655" s="165"/>
      <c r="AM1655" s="165"/>
      <c r="AN1655" s="165"/>
    </row>
    <row r="1656" spans="3:40">
      <c r="C1656" s="46"/>
      <c r="F1656" s="173"/>
      <c r="G1656" s="1"/>
      <c r="H1656" s="165"/>
      <c r="I1656" s="160"/>
      <c r="J1656" s="160"/>
      <c r="K1656" s="1"/>
      <c r="L1656" s="123"/>
      <c r="M1656" s="1"/>
      <c r="N1656" s="590"/>
      <c r="O1656" s="165"/>
      <c r="P1656" s="165"/>
      <c r="Q1656" s="165"/>
      <c r="R1656" s="165"/>
      <c r="S1656" s="165"/>
      <c r="V1656" s="46"/>
      <c r="W1656" s="46"/>
      <c r="X1656" s="1"/>
      <c r="Y1656" s="1"/>
      <c r="Z1656" s="173"/>
      <c r="AA1656" s="1"/>
      <c r="AB1656" s="165"/>
      <c r="AC1656" s="1"/>
      <c r="AD1656" s="1"/>
      <c r="AE1656" s="1"/>
      <c r="AF1656" s="46"/>
      <c r="AG1656" s="1"/>
      <c r="AH1656" s="165"/>
      <c r="AI1656" s="165"/>
      <c r="AJ1656" s="165"/>
      <c r="AK1656" s="165"/>
      <c r="AL1656" s="165"/>
      <c r="AM1656" s="165"/>
      <c r="AN1656" s="165"/>
    </row>
    <row r="1657" spans="3:40">
      <c r="C1657" s="46"/>
      <c r="F1657" s="173"/>
      <c r="G1657" s="1"/>
      <c r="H1657" s="165"/>
      <c r="I1657" s="160"/>
      <c r="J1657" s="160"/>
      <c r="K1657" s="1"/>
      <c r="L1657" s="123"/>
      <c r="M1657" s="1"/>
      <c r="N1657" s="590"/>
      <c r="O1657" s="165"/>
      <c r="P1657" s="165"/>
      <c r="Q1657" s="165"/>
      <c r="R1657" s="165"/>
      <c r="S1657" s="165"/>
      <c r="V1657" s="46"/>
      <c r="W1657" s="46"/>
      <c r="X1657" s="1"/>
      <c r="Y1657" s="1"/>
      <c r="Z1657" s="173"/>
      <c r="AA1657" s="1"/>
      <c r="AB1657" s="165"/>
      <c r="AC1657" s="1"/>
      <c r="AD1657" s="1"/>
      <c r="AE1657" s="1"/>
      <c r="AF1657" s="46"/>
      <c r="AG1657" s="1"/>
      <c r="AH1657" s="165"/>
      <c r="AI1657" s="165"/>
      <c r="AJ1657" s="165"/>
      <c r="AK1657" s="165"/>
      <c r="AL1657" s="165"/>
      <c r="AM1657" s="165"/>
      <c r="AN1657" s="165"/>
    </row>
    <row r="1658" spans="3:40">
      <c r="C1658" s="46"/>
      <c r="F1658" s="173"/>
      <c r="G1658" s="1"/>
      <c r="H1658" s="165"/>
      <c r="I1658" s="160"/>
      <c r="J1658" s="160"/>
      <c r="K1658" s="1"/>
      <c r="L1658" s="123"/>
      <c r="M1658" s="1"/>
      <c r="N1658" s="590"/>
      <c r="O1658" s="165"/>
      <c r="P1658" s="165"/>
      <c r="Q1658" s="165"/>
      <c r="R1658" s="165"/>
      <c r="S1658" s="165"/>
      <c r="V1658" s="46"/>
      <c r="W1658" s="46"/>
      <c r="X1658" s="1"/>
      <c r="Y1658" s="1"/>
      <c r="Z1658" s="173"/>
      <c r="AA1658" s="1"/>
      <c r="AB1658" s="165"/>
      <c r="AC1658" s="1"/>
      <c r="AD1658" s="1"/>
      <c r="AE1658" s="1"/>
      <c r="AF1658" s="46"/>
      <c r="AG1658" s="1"/>
      <c r="AH1658" s="165"/>
      <c r="AI1658" s="165"/>
      <c r="AJ1658" s="165"/>
      <c r="AK1658" s="165"/>
      <c r="AL1658" s="165"/>
      <c r="AM1658" s="165"/>
      <c r="AN1658" s="165"/>
    </row>
    <row r="1659" spans="3:40">
      <c r="C1659" s="46"/>
      <c r="F1659" s="173"/>
      <c r="G1659" s="1"/>
      <c r="H1659" s="165"/>
      <c r="I1659" s="160"/>
      <c r="J1659" s="160"/>
      <c r="K1659" s="1"/>
      <c r="L1659" s="123"/>
      <c r="M1659" s="1"/>
      <c r="N1659" s="590"/>
      <c r="O1659" s="165"/>
      <c r="P1659" s="165"/>
      <c r="Q1659" s="165"/>
      <c r="R1659" s="165"/>
      <c r="S1659" s="165"/>
      <c r="V1659" s="46"/>
      <c r="W1659" s="46"/>
      <c r="X1659" s="1"/>
      <c r="Y1659" s="1"/>
      <c r="Z1659" s="173"/>
      <c r="AA1659" s="1"/>
      <c r="AB1659" s="165"/>
      <c r="AC1659" s="1"/>
      <c r="AD1659" s="1"/>
      <c r="AE1659" s="1"/>
      <c r="AF1659" s="46"/>
      <c r="AG1659" s="1"/>
      <c r="AH1659" s="165"/>
      <c r="AI1659" s="165"/>
      <c r="AJ1659" s="165"/>
      <c r="AK1659" s="165"/>
      <c r="AL1659" s="165"/>
      <c r="AM1659" s="165"/>
      <c r="AN1659" s="165"/>
    </row>
    <row r="1660" spans="3:40">
      <c r="C1660" s="46"/>
      <c r="F1660" s="173"/>
      <c r="G1660" s="1"/>
      <c r="H1660" s="165"/>
      <c r="I1660" s="160"/>
      <c r="J1660" s="160"/>
      <c r="K1660" s="1"/>
      <c r="L1660" s="123"/>
      <c r="M1660" s="1"/>
      <c r="N1660" s="590"/>
      <c r="O1660" s="165"/>
      <c r="P1660" s="165"/>
      <c r="Q1660" s="165"/>
      <c r="R1660" s="165"/>
      <c r="S1660" s="165"/>
      <c r="V1660" s="46"/>
      <c r="W1660" s="46"/>
      <c r="X1660" s="1"/>
      <c r="Y1660" s="1"/>
      <c r="Z1660" s="173"/>
      <c r="AA1660" s="1"/>
      <c r="AB1660" s="165"/>
      <c r="AC1660" s="1"/>
      <c r="AD1660" s="1"/>
      <c r="AE1660" s="1"/>
      <c r="AF1660" s="46"/>
      <c r="AG1660" s="1"/>
      <c r="AH1660" s="165"/>
      <c r="AI1660" s="165"/>
      <c r="AJ1660" s="165"/>
      <c r="AK1660" s="165"/>
      <c r="AL1660" s="165"/>
      <c r="AM1660" s="165"/>
      <c r="AN1660" s="165"/>
    </row>
    <row r="1661" spans="3:40">
      <c r="C1661" s="46"/>
      <c r="F1661" s="173"/>
      <c r="G1661" s="1"/>
      <c r="H1661" s="165"/>
      <c r="I1661" s="160"/>
      <c r="J1661" s="160"/>
      <c r="K1661" s="1"/>
      <c r="L1661" s="123"/>
      <c r="M1661" s="1"/>
      <c r="N1661" s="590"/>
      <c r="O1661" s="165"/>
      <c r="P1661" s="165"/>
      <c r="Q1661" s="165"/>
      <c r="R1661" s="165"/>
      <c r="S1661" s="165"/>
      <c r="V1661" s="46"/>
      <c r="W1661" s="46"/>
      <c r="X1661" s="1"/>
      <c r="Y1661" s="1"/>
      <c r="Z1661" s="173"/>
      <c r="AA1661" s="1"/>
      <c r="AB1661" s="165"/>
      <c r="AC1661" s="1"/>
      <c r="AD1661" s="1"/>
      <c r="AE1661" s="1"/>
      <c r="AF1661" s="46"/>
      <c r="AG1661" s="1"/>
      <c r="AH1661" s="165"/>
      <c r="AI1661" s="165"/>
      <c r="AJ1661" s="165"/>
      <c r="AK1661" s="165"/>
      <c r="AL1661" s="165"/>
      <c r="AM1661" s="165"/>
      <c r="AN1661" s="165"/>
    </row>
    <row r="1662" spans="3:40">
      <c r="C1662" s="46"/>
      <c r="F1662" s="173"/>
      <c r="G1662" s="1"/>
      <c r="H1662" s="165"/>
      <c r="I1662" s="160"/>
      <c r="J1662" s="160"/>
      <c r="K1662" s="1"/>
      <c r="L1662" s="123"/>
      <c r="M1662" s="1"/>
      <c r="N1662" s="590"/>
      <c r="O1662" s="165"/>
      <c r="P1662" s="165"/>
      <c r="Q1662" s="165"/>
      <c r="R1662" s="165"/>
      <c r="S1662" s="165"/>
      <c r="V1662" s="46"/>
      <c r="W1662" s="46"/>
      <c r="X1662" s="1"/>
      <c r="Y1662" s="1"/>
      <c r="Z1662" s="173"/>
      <c r="AA1662" s="1"/>
      <c r="AB1662" s="165"/>
      <c r="AC1662" s="1"/>
      <c r="AD1662" s="1"/>
      <c r="AE1662" s="1"/>
      <c r="AF1662" s="46"/>
      <c r="AG1662" s="1"/>
      <c r="AH1662" s="165"/>
      <c r="AI1662" s="165"/>
      <c r="AJ1662" s="165"/>
      <c r="AK1662" s="165"/>
      <c r="AL1662" s="165"/>
      <c r="AM1662" s="165"/>
      <c r="AN1662" s="165"/>
    </row>
    <row r="1663" spans="3:40">
      <c r="C1663" s="46"/>
      <c r="F1663" s="173"/>
      <c r="G1663" s="1"/>
      <c r="H1663" s="165"/>
      <c r="I1663" s="160"/>
      <c r="J1663" s="160"/>
      <c r="K1663" s="1"/>
      <c r="L1663" s="123"/>
      <c r="M1663" s="1"/>
      <c r="N1663" s="590"/>
      <c r="O1663" s="165"/>
      <c r="P1663" s="165"/>
      <c r="Q1663" s="165"/>
      <c r="R1663" s="165"/>
      <c r="S1663" s="165"/>
      <c r="V1663" s="46"/>
      <c r="W1663" s="46"/>
      <c r="X1663" s="1"/>
      <c r="Y1663" s="1"/>
      <c r="Z1663" s="173"/>
      <c r="AA1663" s="1"/>
      <c r="AB1663" s="165"/>
      <c r="AC1663" s="1"/>
      <c r="AD1663" s="1"/>
      <c r="AE1663" s="1"/>
      <c r="AF1663" s="46"/>
      <c r="AG1663" s="1"/>
      <c r="AH1663" s="165"/>
      <c r="AI1663" s="165"/>
      <c r="AJ1663" s="165"/>
      <c r="AK1663" s="165"/>
      <c r="AL1663" s="165"/>
      <c r="AM1663" s="165"/>
      <c r="AN1663" s="165"/>
    </row>
    <row r="1664" spans="3:40">
      <c r="C1664" s="46"/>
      <c r="F1664" s="173"/>
      <c r="G1664" s="1"/>
      <c r="H1664" s="165"/>
      <c r="I1664" s="160"/>
      <c r="J1664" s="160"/>
      <c r="K1664" s="1"/>
      <c r="L1664" s="123"/>
      <c r="M1664" s="1"/>
      <c r="N1664" s="590"/>
      <c r="O1664" s="165"/>
      <c r="P1664" s="165"/>
      <c r="Q1664" s="165"/>
      <c r="R1664" s="165"/>
      <c r="S1664" s="165"/>
      <c r="V1664" s="46"/>
      <c r="W1664" s="46"/>
      <c r="X1664" s="1"/>
      <c r="Y1664" s="1"/>
      <c r="Z1664" s="173"/>
      <c r="AA1664" s="1"/>
      <c r="AB1664" s="165"/>
      <c r="AC1664" s="1"/>
      <c r="AD1664" s="1"/>
      <c r="AE1664" s="1"/>
      <c r="AF1664" s="46"/>
      <c r="AG1664" s="1"/>
      <c r="AH1664" s="165"/>
      <c r="AI1664" s="165"/>
      <c r="AJ1664" s="165"/>
      <c r="AK1664" s="165"/>
      <c r="AL1664" s="165"/>
      <c r="AM1664" s="165"/>
      <c r="AN1664" s="165"/>
    </row>
    <row r="1665" spans="3:40">
      <c r="C1665" s="46"/>
      <c r="F1665" s="173"/>
      <c r="G1665" s="1"/>
      <c r="H1665" s="165"/>
      <c r="I1665" s="160"/>
      <c r="J1665" s="160"/>
      <c r="K1665" s="1"/>
      <c r="L1665" s="123"/>
      <c r="M1665" s="1"/>
      <c r="N1665" s="590"/>
      <c r="O1665" s="165"/>
      <c r="P1665" s="165"/>
      <c r="Q1665" s="165"/>
      <c r="R1665" s="165"/>
      <c r="S1665" s="165"/>
      <c r="V1665" s="46"/>
      <c r="W1665" s="46"/>
      <c r="X1665" s="1"/>
      <c r="Y1665" s="1"/>
      <c r="Z1665" s="173"/>
      <c r="AA1665" s="1"/>
      <c r="AB1665" s="165"/>
      <c r="AC1665" s="1"/>
      <c r="AD1665" s="1"/>
      <c r="AE1665" s="1"/>
      <c r="AF1665" s="46"/>
      <c r="AG1665" s="1"/>
      <c r="AH1665" s="165"/>
      <c r="AI1665" s="165"/>
      <c r="AJ1665" s="165"/>
      <c r="AK1665" s="165"/>
      <c r="AL1665" s="165"/>
      <c r="AM1665" s="165"/>
      <c r="AN1665" s="165"/>
    </row>
    <row r="1666" spans="3:40">
      <c r="C1666" s="46"/>
      <c r="F1666" s="173"/>
      <c r="G1666" s="1"/>
      <c r="H1666" s="165"/>
      <c r="I1666" s="160"/>
      <c r="J1666" s="160"/>
      <c r="K1666" s="1"/>
      <c r="L1666" s="123"/>
      <c r="M1666" s="1"/>
      <c r="N1666" s="590"/>
      <c r="O1666" s="165"/>
      <c r="P1666" s="165"/>
      <c r="Q1666" s="165"/>
      <c r="R1666" s="165"/>
      <c r="S1666" s="165"/>
      <c r="V1666" s="46"/>
      <c r="W1666" s="46"/>
      <c r="X1666" s="1"/>
      <c r="Y1666" s="1"/>
      <c r="Z1666" s="173"/>
      <c r="AA1666" s="1"/>
      <c r="AB1666" s="165"/>
      <c r="AC1666" s="1"/>
      <c r="AD1666" s="1"/>
      <c r="AE1666" s="1"/>
      <c r="AF1666" s="46"/>
      <c r="AG1666" s="1"/>
      <c r="AH1666" s="165"/>
      <c r="AI1666" s="165"/>
      <c r="AJ1666" s="165"/>
      <c r="AK1666" s="165"/>
      <c r="AL1666" s="165"/>
      <c r="AM1666" s="165"/>
      <c r="AN1666" s="165"/>
    </row>
    <row r="1667" spans="3:40">
      <c r="C1667" s="46"/>
      <c r="F1667" s="173"/>
      <c r="G1667" s="1"/>
      <c r="H1667" s="165"/>
      <c r="I1667" s="160"/>
      <c r="J1667" s="160"/>
      <c r="K1667" s="1"/>
      <c r="L1667" s="123"/>
      <c r="M1667" s="1"/>
      <c r="N1667" s="590"/>
      <c r="O1667" s="165"/>
      <c r="P1667" s="165"/>
      <c r="Q1667" s="165"/>
      <c r="R1667" s="165"/>
      <c r="S1667" s="165"/>
      <c r="V1667" s="46"/>
      <c r="W1667" s="46"/>
      <c r="X1667" s="1"/>
      <c r="Y1667" s="1"/>
      <c r="Z1667" s="173"/>
      <c r="AA1667" s="1"/>
      <c r="AB1667" s="165"/>
      <c r="AC1667" s="1"/>
      <c r="AD1667" s="1"/>
      <c r="AE1667" s="1"/>
      <c r="AF1667" s="46"/>
      <c r="AG1667" s="1"/>
      <c r="AH1667" s="165"/>
      <c r="AI1667" s="165"/>
      <c r="AJ1667" s="165"/>
      <c r="AK1667" s="165"/>
      <c r="AL1667" s="165"/>
      <c r="AM1667" s="165"/>
      <c r="AN1667" s="165"/>
    </row>
    <row r="1668" spans="3:40">
      <c r="C1668" s="46"/>
      <c r="F1668" s="173"/>
      <c r="G1668" s="1"/>
      <c r="H1668" s="165"/>
      <c r="I1668" s="160"/>
      <c r="J1668" s="160"/>
      <c r="K1668" s="1"/>
      <c r="L1668" s="123"/>
      <c r="M1668" s="1"/>
      <c r="N1668" s="590"/>
      <c r="O1668" s="165"/>
      <c r="P1668" s="165"/>
      <c r="Q1668" s="165"/>
      <c r="R1668" s="165"/>
      <c r="S1668" s="165"/>
      <c r="V1668" s="46"/>
      <c r="W1668" s="46"/>
      <c r="X1668" s="1"/>
      <c r="Y1668" s="1"/>
      <c r="Z1668" s="173"/>
      <c r="AA1668" s="1"/>
      <c r="AB1668" s="165"/>
      <c r="AC1668" s="1"/>
      <c r="AD1668" s="1"/>
      <c r="AE1668" s="1"/>
      <c r="AF1668" s="46"/>
      <c r="AG1668" s="1"/>
      <c r="AH1668" s="165"/>
      <c r="AI1668" s="165"/>
      <c r="AJ1668" s="165"/>
      <c r="AK1668" s="165"/>
      <c r="AL1668" s="165"/>
      <c r="AM1668" s="165"/>
      <c r="AN1668" s="165"/>
    </row>
    <row r="1669" spans="3:40">
      <c r="C1669" s="46"/>
      <c r="F1669" s="173"/>
      <c r="G1669" s="1"/>
      <c r="H1669" s="165"/>
      <c r="I1669" s="160"/>
      <c r="J1669" s="160"/>
      <c r="K1669" s="1"/>
      <c r="L1669" s="123"/>
      <c r="M1669" s="1"/>
      <c r="N1669" s="590"/>
      <c r="O1669" s="165"/>
      <c r="P1669" s="165"/>
      <c r="Q1669" s="165"/>
      <c r="R1669" s="165"/>
      <c r="S1669" s="165"/>
      <c r="V1669" s="46"/>
      <c r="W1669" s="46"/>
      <c r="X1669" s="1"/>
      <c r="Y1669" s="1"/>
      <c r="Z1669" s="173"/>
      <c r="AA1669" s="1"/>
      <c r="AB1669" s="165"/>
      <c r="AC1669" s="1"/>
      <c r="AD1669" s="1"/>
      <c r="AE1669" s="1"/>
      <c r="AF1669" s="46"/>
      <c r="AG1669" s="1"/>
      <c r="AH1669" s="165"/>
      <c r="AI1669" s="165"/>
      <c r="AJ1669" s="165"/>
      <c r="AK1669" s="165"/>
      <c r="AL1669" s="165"/>
      <c r="AM1669" s="165"/>
      <c r="AN1669" s="165"/>
    </row>
    <row r="1670" spans="3:40">
      <c r="C1670" s="46"/>
      <c r="F1670" s="173"/>
      <c r="G1670" s="1"/>
      <c r="H1670" s="165"/>
      <c r="I1670" s="160"/>
      <c r="J1670" s="160"/>
      <c r="K1670" s="1"/>
      <c r="L1670" s="123"/>
      <c r="M1670" s="1"/>
      <c r="N1670" s="590"/>
      <c r="O1670" s="165"/>
      <c r="P1670" s="165"/>
      <c r="Q1670" s="165"/>
      <c r="R1670" s="165"/>
      <c r="S1670" s="165"/>
      <c r="V1670" s="46"/>
      <c r="W1670" s="46"/>
      <c r="X1670" s="1"/>
      <c r="Y1670" s="1"/>
      <c r="Z1670" s="173"/>
      <c r="AA1670" s="1"/>
      <c r="AB1670" s="165"/>
      <c r="AC1670" s="1"/>
      <c r="AD1670" s="1"/>
      <c r="AE1670" s="1"/>
      <c r="AF1670" s="46"/>
      <c r="AG1670" s="1"/>
      <c r="AH1670" s="165"/>
      <c r="AI1670" s="165"/>
      <c r="AJ1670" s="165"/>
      <c r="AK1670" s="165"/>
      <c r="AL1670" s="165"/>
      <c r="AM1670" s="165"/>
      <c r="AN1670" s="165"/>
    </row>
    <row r="1671" spans="3:40">
      <c r="C1671" s="46"/>
      <c r="F1671" s="173"/>
      <c r="G1671" s="1"/>
      <c r="H1671" s="165"/>
      <c r="I1671" s="160"/>
      <c r="J1671" s="160"/>
      <c r="K1671" s="1"/>
      <c r="L1671" s="123"/>
      <c r="M1671" s="1"/>
      <c r="N1671" s="590"/>
      <c r="O1671" s="165"/>
      <c r="P1671" s="165"/>
      <c r="Q1671" s="165"/>
      <c r="R1671" s="165"/>
      <c r="S1671" s="165"/>
      <c r="V1671" s="46"/>
      <c r="W1671" s="46"/>
      <c r="X1671" s="1"/>
      <c r="Y1671" s="1"/>
      <c r="Z1671" s="173"/>
      <c r="AA1671" s="1"/>
      <c r="AB1671" s="165"/>
      <c r="AC1671" s="1"/>
      <c r="AD1671" s="1"/>
      <c r="AE1671" s="1"/>
      <c r="AF1671" s="46"/>
      <c r="AG1671" s="1"/>
      <c r="AH1671" s="165"/>
      <c r="AI1671" s="165"/>
      <c r="AJ1671" s="165"/>
      <c r="AK1671" s="165"/>
      <c r="AL1671" s="165"/>
      <c r="AM1671" s="165"/>
      <c r="AN1671" s="165"/>
    </row>
    <row r="1672" spans="3:40">
      <c r="C1672" s="46"/>
      <c r="F1672" s="173"/>
      <c r="G1672" s="1"/>
      <c r="H1672" s="165"/>
      <c r="I1672" s="160"/>
      <c r="J1672" s="160"/>
      <c r="K1672" s="1"/>
      <c r="L1672" s="123"/>
      <c r="M1672" s="1"/>
      <c r="N1672" s="590"/>
      <c r="O1672" s="165"/>
      <c r="P1672" s="165"/>
      <c r="Q1672" s="165"/>
      <c r="R1672" s="165"/>
      <c r="S1672" s="165"/>
      <c r="V1672" s="46"/>
      <c r="W1672" s="46"/>
      <c r="X1672" s="1"/>
      <c r="Y1672" s="1"/>
      <c r="Z1672" s="173"/>
      <c r="AA1672" s="1"/>
      <c r="AB1672" s="165"/>
      <c r="AC1672" s="1"/>
      <c r="AD1672" s="1"/>
      <c r="AE1672" s="1"/>
      <c r="AF1672" s="46"/>
      <c r="AG1672" s="1"/>
      <c r="AH1672" s="165"/>
      <c r="AI1672" s="165"/>
      <c r="AJ1672" s="165"/>
      <c r="AK1672" s="165"/>
      <c r="AL1672" s="165"/>
      <c r="AM1672" s="165"/>
      <c r="AN1672" s="165"/>
    </row>
    <row r="1673" spans="3:40">
      <c r="C1673" s="46"/>
      <c r="F1673" s="173"/>
      <c r="G1673" s="1"/>
      <c r="H1673" s="165"/>
      <c r="I1673" s="160"/>
      <c r="J1673" s="160"/>
      <c r="K1673" s="1"/>
      <c r="L1673" s="123"/>
      <c r="M1673" s="1"/>
      <c r="N1673" s="590"/>
      <c r="O1673" s="165"/>
      <c r="P1673" s="165"/>
      <c r="Q1673" s="165"/>
      <c r="R1673" s="165"/>
      <c r="S1673" s="165"/>
      <c r="V1673" s="46"/>
      <c r="W1673" s="46"/>
      <c r="X1673" s="1"/>
      <c r="Y1673" s="1"/>
      <c r="Z1673" s="173"/>
      <c r="AA1673" s="1"/>
      <c r="AB1673" s="165"/>
      <c r="AC1673" s="1"/>
      <c r="AD1673" s="1"/>
      <c r="AE1673" s="1"/>
      <c r="AF1673" s="46"/>
      <c r="AG1673" s="1"/>
      <c r="AH1673" s="165"/>
      <c r="AI1673" s="165"/>
      <c r="AJ1673" s="165"/>
      <c r="AK1673" s="165"/>
      <c r="AL1673" s="165"/>
      <c r="AM1673" s="165"/>
      <c r="AN1673" s="165"/>
    </row>
    <row r="1674" spans="3:40">
      <c r="C1674" s="46"/>
      <c r="F1674" s="173"/>
      <c r="G1674" s="1"/>
      <c r="H1674" s="165"/>
      <c r="I1674" s="160"/>
      <c r="J1674" s="160"/>
      <c r="K1674" s="1"/>
      <c r="L1674" s="123"/>
      <c r="M1674" s="1"/>
      <c r="N1674" s="590"/>
      <c r="O1674" s="165"/>
      <c r="P1674" s="165"/>
      <c r="Q1674" s="165"/>
      <c r="R1674" s="165"/>
      <c r="S1674" s="165"/>
      <c r="V1674" s="46"/>
      <c r="W1674" s="46"/>
      <c r="X1674" s="1"/>
      <c r="Y1674" s="1"/>
      <c r="Z1674" s="173"/>
      <c r="AA1674" s="1"/>
      <c r="AB1674" s="165"/>
      <c r="AC1674" s="1"/>
      <c r="AD1674" s="1"/>
      <c r="AE1674" s="1"/>
      <c r="AF1674" s="46"/>
      <c r="AG1674" s="1"/>
      <c r="AH1674" s="165"/>
      <c r="AI1674" s="165"/>
      <c r="AJ1674" s="165"/>
      <c r="AK1674" s="165"/>
      <c r="AL1674" s="165"/>
      <c r="AM1674" s="165"/>
      <c r="AN1674" s="165"/>
    </row>
    <row r="1675" spans="3:40">
      <c r="C1675" s="46"/>
      <c r="F1675" s="173"/>
      <c r="G1675" s="1"/>
      <c r="H1675" s="165"/>
      <c r="I1675" s="160"/>
      <c r="J1675" s="160"/>
      <c r="K1675" s="1"/>
      <c r="L1675" s="123"/>
      <c r="M1675" s="1"/>
      <c r="N1675" s="590"/>
      <c r="O1675" s="165"/>
      <c r="P1675" s="165"/>
      <c r="Q1675" s="165"/>
      <c r="R1675" s="165"/>
      <c r="S1675" s="165"/>
      <c r="V1675" s="46"/>
      <c r="W1675" s="46"/>
      <c r="X1675" s="1"/>
      <c r="Y1675" s="1"/>
      <c r="Z1675" s="173"/>
      <c r="AA1675" s="1"/>
      <c r="AB1675" s="165"/>
      <c r="AC1675" s="1"/>
      <c r="AD1675" s="1"/>
      <c r="AE1675" s="1"/>
      <c r="AF1675" s="46"/>
      <c r="AG1675" s="1"/>
      <c r="AH1675" s="165"/>
      <c r="AI1675" s="165"/>
      <c r="AJ1675" s="165"/>
      <c r="AK1675" s="165"/>
      <c r="AL1675" s="165"/>
      <c r="AM1675" s="165"/>
      <c r="AN1675" s="165"/>
    </row>
    <row r="1676" spans="3:40">
      <c r="C1676" s="46"/>
      <c r="F1676" s="173"/>
      <c r="G1676" s="1"/>
      <c r="H1676" s="165"/>
      <c r="I1676" s="160"/>
      <c r="J1676" s="160"/>
      <c r="K1676" s="1"/>
      <c r="L1676" s="123"/>
      <c r="M1676" s="1"/>
      <c r="N1676" s="590"/>
      <c r="O1676" s="165"/>
      <c r="P1676" s="165"/>
      <c r="Q1676" s="165"/>
      <c r="R1676" s="165"/>
      <c r="S1676" s="165"/>
      <c r="V1676" s="46"/>
      <c r="W1676" s="46"/>
      <c r="X1676" s="1"/>
      <c r="Y1676" s="1"/>
      <c r="Z1676" s="173"/>
      <c r="AA1676" s="1"/>
      <c r="AB1676" s="165"/>
      <c r="AC1676" s="1"/>
      <c r="AD1676" s="1"/>
      <c r="AE1676" s="1"/>
      <c r="AF1676" s="46"/>
      <c r="AG1676" s="1"/>
      <c r="AH1676" s="165"/>
      <c r="AI1676" s="165"/>
      <c r="AJ1676" s="165"/>
      <c r="AK1676" s="165"/>
      <c r="AL1676" s="165"/>
      <c r="AM1676" s="165"/>
      <c r="AN1676" s="165"/>
    </row>
    <row r="1677" spans="3:40">
      <c r="C1677" s="46"/>
      <c r="F1677" s="173"/>
      <c r="G1677" s="1"/>
      <c r="H1677" s="165"/>
      <c r="I1677" s="160"/>
      <c r="J1677" s="160"/>
      <c r="K1677" s="1"/>
      <c r="L1677" s="123"/>
      <c r="M1677" s="1"/>
      <c r="N1677" s="590"/>
      <c r="O1677" s="165"/>
      <c r="P1677" s="165"/>
      <c r="Q1677" s="165"/>
      <c r="R1677" s="165"/>
      <c r="S1677" s="165"/>
      <c r="V1677" s="46"/>
      <c r="W1677" s="46"/>
      <c r="X1677" s="1"/>
      <c r="Y1677" s="1"/>
      <c r="Z1677" s="173"/>
      <c r="AA1677" s="1"/>
      <c r="AB1677" s="165"/>
      <c r="AC1677" s="1"/>
      <c r="AD1677" s="1"/>
      <c r="AE1677" s="1"/>
      <c r="AF1677" s="46"/>
      <c r="AG1677" s="1"/>
      <c r="AH1677" s="165"/>
      <c r="AI1677" s="165"/>
      <c r="AJ1677" s="165"/>
      <c r="AK1677" s="165"/>
      <c r="AL1677" s="165"/>
      <c r="AM1677" s="165"/>
      <c r="AN1677" s="165"/>
    </row>
    <row r="1678" spans="3:40">
      <c r="C1678" s="46"/>
      <c r="F1678" s="173"/>
      <c r="G1678" s="1"/>
      <c r="H1678" s="165"/>
      <c r="I1678" s="160"/>
      <c r="J1678" s="160"/>
      <c r="K1678" s="1"/>
      <c r="L1678" s="123"/>
      <c r="M1678" s="1"/>
      <c r="N1678" s="590"/>
      <c r="O1678" s="165"/>
      <c r="P1678" s="165"/>
      <c r="Q1678" s="165"/>
      <c r="R1678" s="165"/>
      <c r="S1678" s="165"/>
      <c r="V1678" s="46"/>
      <c r="W1678" s="46"/>
      <c r="X1678" s="1"/>
      <c r="Y1678" s="1"/>
      <c r="Z1678" s="173"/>
      <c r="AA1678" s="1"/>
      <c r="AB1678" s="165"/>
      <c r="AC1678" s="1"/>
      <c r="AD1678" s="1"/>
      <c r="AE1678" s="1"/>
      <c r="AF1678" s="46"/>
      <c r="AG1678" s="1"/>
      <c r="AH1678" s="165"/>
      <c r="AI1678" s="165"/>
      <c r="AJ1678" s="165"/>
      <c r="AK1678" s="165"/>
      <c r="AL1678" s="165"/>
      <c r="AM1678" s="165"/>
      <c r="AN1678" s="165"/>
    </row>
    <row r="1679" spans="3:40">
      <c r="C1679" s="46"/>
      <c r="F1679" s="173"/>
      <c r="G1679" s="1"/>
      <c r="H1679" s="165"/>
      <c r="I1679" s="160"/>
      <c r="J1679" s="160"/>
      <c r="K1679" s="1"/>
      <c r="L1679" s="123"/>
      <c r="M1679" s="1"/>
      <c r="N1679" s="590"/>
      <c r="O1679" s="165"/>
      <c r="P1679" s="165"/>
      <c r="Q1679" s="165"/>
      <c r="R1679" s="165"/>
      <c r="S1679" s="165"/>
      <c r="V1679" s="46"/>
      <c r="W1679" s="46"/>
      <c r="X1679" s="1"/>
      <c r="Y1679" s="1"/>
      <c r="Z1679" s="173"/>
      <c r="AA1679" s="1"/>
      <c r="AB1679" s="165"/>
      <c r="AC1679" s="1"/>
      <c r="AD1679" s="1"/>
      <c r="AE1679" s="1"/>
      <c r="AF1679" s="46"/>
      <c r="AG1679" s="1"/>
      <c r="AH1679" s="165"/>
      <c r="AI1679" s="165"/>
      <c r="AJ1679" s="165"/>
      <c r="AK1679" s="165"/>
      <c r="AL1679" s="165"/>
      <c r="AM1679" s="165"/>
      <c r="AN1679" s="165"/>
    </row>
    <row r="1680" spans="3:40">
      <c r="C1680" s="46"/>
      <c r="F1680" s="173"/>
      <c r="G1680" s="1"/>
      <c r="H1680" s="165"/>
      <c r="I1680" s="160"/>
      <c r="J1680" s="160"/>
      <c r="K1680" s="1"/>
      <c r="L1680" s="123"/>
      <c r="M1680" s="1"/>
      <c r="N1680" s="590"/>
      <c r="O1680" s="165"/>
      <c r="P1680" s="165"/>
      <c r="Q1680" s="165"/>
      <c r="R1680" s="165"/>
      <c r="S1680" s="165"/>
      <c r="V1680" s="46"/>
      <c r="W1680" s="46"/>
      <c r="X1680" s="1"/>
      <c r="Y1680" s="1"/>
      <c r="Z1680" s="173"/>
      <c r="AA1680" s="1"/>
      <c r="AB1680" s="165"/>
      <c r="AC1680" s="1"/>
      <c r="AD1680" s="1"/>
      <c r="AE1680" s="1"/>
      <c r="AF1680" s="46"/>
      <c r="AG1680" s="1"/>
      <c r="AH1680" s="165"/>
      <c r="AI1680" s="165"/>
      <c r="AJ1680" s="165"/>
      <c r="AK1680" s="165"/>
      <c r="AL1680" s="165"/>
      <c r="AM1680" s="165"/>
      <c r="AN1680" s="165"/>
    </row>
    <row r="1681" spans="3:40">
      <c r="C1681" s="46"/>
      <c r="F1681" s="173"/>
      <c r="G1681" s="1"/>
      <c r="H1681" s="165"/>
      <c r="I1681" s="160"/>
      <c r="J1681" s="160"/>
      <c r="K1681" s="1"/>
      <c r="L1681" s="123"/>
      <c r="M1681" s="1"/>
      <c r="N1681" s="590"/>
      <c r="O1681" s="165"/>
      <c r="P1681" s="165"/>
      <c r="Q1681" s="165"/>
      <c r="R1681" s="165"/>
      <c r="S1681" s="165"/>
      <c r="V1681" s="46"/>
      <c r="W1681" s="46"/>
      <c r="X1681" s="1"/>
      <c r="Y1681" s="1"/>
      <c r="Z1681" s="173"/>
      <c r="AA1681" s="1"/>
      <c r="AB1681" s="165"/>
      <c r="AC1681" s="1"/>
      <c r="AD1681" s="1"/>
      <c r="AE1681" s="1"/>
      <c r="AF1681" s="46"/>
      <c r="AG1681" s="1"/>
      <c r="AH1681" s="165"/>
      <c r="AI1681" s="165"/>
      <c r="AJ1681" s="165"/>
      <c r="AK1681" s="165"/>
      <c r="AL1681" s="165"/>
      <c r="AM1681" s="165"/>
      <c r="AN1681" s="165"/>
    </row>
    <row r="1682" spans="3:40">
      <c r="C1682" s="46"/>
      <c r="F1682" s="173"/>
      <c r="G1682" s="1"/>
      <c r="H1682" s="165"/>
      <c r="I1682" s="160"/>
      <c r="J1682" s="160"/>
      <c r="K1682" s="1"/>
      <c r="L1682" s="123"/>
      <c r="M1682" s="1"/>
      <c r="N1682" s="590"/>
      <c r="O1682" s="165"/>
      <c r="P1682" s="165"/>
      <c r="Q1682" s="165"/>
      <c r="R1682" s="165"/>
      <c r="S1682" s="165"/>
      <c r="V1682" s="46"/>
      <c r="W1682" s="46"/>
      <c r="X1682" s="1"/>
      <c r="Y1682" s="1"/>
      <c r="Z1682" s="173"/>
      <c r="AA1682" s="1"/>
      <c r="AB1682" s="165"/>
      <c r="AC1682" s="1"/>
      <c r="AD1682" s="1"/>
      <c r="AE1682" s="1"/>
      <c r="AF1682" s="46"/>
      <c r="AG1682" s="1"/>
      <c r="AH1682" s="165"/>
      <c r="AI1682" s="165"/>
      <c r="AJ1682" s="165"/>
      <c r="AK1682" s="165"/>
      <c r="AL1682" s="165"/>
      <c r="AM1682" s="165"/>
      <c r="AN1682" s="165"/>
    </row>
    <row r="1683" spans="3:40">
      <c r="C1683" s="46"/>
      <c r="F1683" s="173"/>
      <c r="G1683" s="1"/>
      <c r="H1683" s="165"/>
      <c r="I1683" s="160"/>
      <c r="J1683" s="160"/>
      <c r="K1683" s="1"/>
      <c r="L1683" s="123"/>
      <c r="M1683" s="1"/>
      <c r="N1683" s="590"/>
      <c r="O1683" s="165"/>
      <c r="P1683" s="165"/>
      <c r="Q1683" s="165"/>
      <c r="R1683" s="165"/>
      <c r="S1683" s="165"/>
      <c r="V1683" s="46"/>
      <c r="W1683" s="46"/>
      <c r="X1683" s="1"/>
      <c r="Y1683" s="1"/>
      <c r="Z1683" s="173"/>
      <c r="AA1683" s="1"/>
      <c r="AB1683" s="165"/>
      <c r="AC1683" s="1"/>
      <c r="AD1683" s="1"/>
      <c r="AE1683" s="1"/>
      <c r="AF1683" s="46"/>
      <c r="AG1683" s="1"/>
      <c r="AH1683" s="165"/>
      <c r="AI1683" s="165"/>
      <c r="AJ1683" s="165"/>
      <c r="AK1683" s="165"/>
      <c r="AL1683" s="165"/>
      <c r="AM1683" s="165"/>
      <c r="AN1683" s="165"/>
    </row>
    <row r="1684" spans="3:40">
      <c r="C1684" s="46"/>
      <c r="F1684" s="173"/>
      <c r="G1684" s="1"/>
      <c r="H1684" s="165"/>
      <c r="I1684" s="160"/>
      <c r="J1684" s="160"/>
      <c r="K1684" s="1"/>
      <c r="L1684" s="123"/>
      <c r="M1684" s="1"/>
      <c r="N1684" s="590"/>
      <c r="O1684" s="165"/>
      <c r="P1684" s="165"/>
      <c r="Q1684" s="165"/>
      <c r="R1684" s="165"/>
      <c r="S1684" s="165"/>
      <c r="V1684" s="46"/>
      <c r="W1684" s="46"/>
      <c r="X1684" s="1"/>
      <c r="Y1684" s="1"/>
      <c r="Z1684" s="173"/>
      <c r="AA1684" s="1"/>
      <c r="AB1684" s="165"/>
      <c r="AC1684" s="1"/>
      <c r="AD1684" s="1"/>
      <c r="AE1684" s="1"/>
      <c r="AF1684" s="46"/>
      <c r="AG1684" s="1"/>
      <c r="AH1684" s="165"/>
      <c r="AI1684" s="165"/>
      <c r="AJ1684" s="165"/>
      <c r="AK1684" s="165"/>
      <c r="AL1684" s="165"/>
      <c r="AM1684" s="165"/>
      <c r="AN1684" s="165"/>
    </row>
    <row r="1685" spans="3:40">
      <c r="C1685" s="46"/>
      <c r="F1685" s="173"/>
      <c r="G1685" s="1"/>
      <c r="H1685" s="165"/>
      <c r="I1685" s="160"/>
      <c r="J1685" s="160"/>
      <c r="K1685" s="1"/>
      <c r="L1685" s="123"/>
      <c r="M1685" s="1"/>
      <c r="N1685" s="590"/>
      <c r="O1685" s="165"/>
      <c r="P1685" s="165"/>
      <c r="Q1685" s="165"/>
      <c r="R1685" s="165"/>
      <c r="S1685" s="165"/>
      <c r="V1685" s="46"/>
      <c r="W1685" s="46"/>
      <c r="X1685" s="1"/>
      <c r="Y1685" s="1"/>
      <c r="Z1685" s="173"/>
      <c r="AA1685" s="1"/>
      <c r="AB1685" s="165"/>
      <c r="AC1685" s="1"/>
      <c r="AD1685" s="1"/>
      <c r="AE1685" s="1"/>
      <c r="AF1685" s="46"/>
      <c r="AG1685" s="1"/>
      <c r="AH1685" s="165"/>
      <c r="AI1685" s="165"/>
      <c r="AJ1685" s="165"/>
      <c r="AK1685" s="165"/>
      <c r="AL1685" s="165"/>
      <c r="AM1685" s="165"/>
      <c r="AN1685" s="165"/>
    </row>
    <row r="1686" spans="3:40">
      <c r="C1686" s="46"/>
      <c r="F1686" s="173"/>
      <c r="G1686" s="1"/>
      <c r="H1686" s="165"/>
      <c r="I1686" s="160"/>
      <c r="J1686" s="160"/>
      <c r="K1686" s="1"/>
      <c r="L1686" s="123"/>
      <c r="M1686" s="1"/>
      <c r="N1686" s="590"/>
      <c r="O1686" s="165"/>
      <c r="P1686" s="165"/>
      <c r="Q1686" s="165"/>
      <c r="R1686" s="165"/>
      <c r="S1686" s="165"/>
      <c r="V1686" s="46"/>
      <c r="W1686" s="46"/>
      <c r="X1686" s="1"/>
      <c r="Y1686" s="1"/>
      <c r="Z1686" s="173"/>
      <c r="AA1686" s="1"/>
      <c r="AB1686" s="165"/>
      <c r="AC1686" s="1"/>
      <c r="AD1686" s="1"/>
      <c r="AE1686" s="1"/>
      <c r="AF1686" s="46"/>
      <c r="AG1686" s="1"/>
      <c r="AH1686" s="165"/>
      <c r="AI1686" s="165"/>
      <c r="AJ1686" s="165"/>
      <c r="AK1686" s="165"/>
      <c r="AL1686" s="165"/>
      <c r="AM1686" s="165"/>
      <c r="AN1686" s="165"/>
    </row>
    <row r="1687" spans="3:40">
      <c r="C1687" s="46"/>
      <c r="F1687" s="173"/>
      <c r="G1687" s="1"/>
      <c r="H1687" s="165"/>
      <c r="I1687" s="160"/>
      <c r="J1687" s="160"/>
      <c r="K1687" s="1"/>
      <c r="L1687" s="123"/>
      <c r="M1687" s="1"/>
      <c r="N1687" s="590"/>
      <c r="O1687" s="165"/>
      <c r="P1687" s="165"/>
      <c r="Q1687" s="165"/>
      <c r="R1687" s="165"/>
      <c r="S1687" s="165"/>
      <c r="V1687" s="46"/>
      <c r="W1687" s="46"/>
      <c r="X1687" s="1"/>
      <c r="Y1687" s="1"/>
      <c r="Z1687" s="173"/>
      <c r="AA1687" s="1"/>
      <c r="AB1687" s="165"/>
      <c r="AC1687" s="1"/>
      <c r="AD1687" s="1"/>
      <c r="AE1687" s="1"/>
      <c r="AF1687" s="46"/>
      <c r="AG1687" s="1"/>
      <c r="AH1687" s="165"/>
      <c r="AI1687" s="165"/>
      <c r="AJ1687" s="165"/>
      <c r="AK1687" s="165"/>
      <c r="AL1687" s="165"/>
      <c r="AM1687" s="165"/>
      <c r="AN1687" s="165"/>
    </row>
    <row r="1688" spans="3:40">
      <c r="C1688" s="46"/>
      <c r="F1688" s="173"/>
      <c r="G1688" s="1"/>
      <c r="H1688" s="165"/>
      <c r="I1688" s="160"/>
      <c r="J1688" s="160"/>
      <c r="K1688" s="1"/>
      <c r="L1688" s="123"/>
      <c r="M1688" s="1"/>
      <c r="N1688" s="590"/>
      <c r="O1688" s="165"/>
      <c r="P1688" s="165"/>
      <c r="Q1688" s="165"/>
      <c r="R1688" s="165"/>
      <c r="S1688" s="165"/>
      <c r="V1688" s="46"/>
      <c r="W1688" s="46"/>
      <c r="X1688" s="1"/>
      <c r="Y1688" s="1"/>
      <c r="Z1688" s="173"/>
      <c r="AA1688" s="1"/>
      <c r="AB1688" s="165"/>
      <c r="AC1688" s="1"/>
      <c r="AD1688" s="1"/>
      <c r="AE1688" s="1"/>
      <c r="AF1688" s="46"/>
      <c r="AG1688" s="1"/>
      <c r="AH1688" s="165"/>
      <c r="AI1688" s="165"/>
      <c r="AJ1688" s="165"/>
      <c r="AK1688" s="165"/>
      <c r="AL1688" s="165"/>
      <c r="AM1688" s="165"/>
      <c r="AN1688" s="165"/>
    </row>
    <row r="1689" spans="3:40">
      <c r="C1689" s="46"/>
      <c r="F1689" s="173"/>
      <c r="G1689" s="1"/>
      <c r="H1689" s="165"/>
      <c r="I1689" s="160"/>
      <c r="J1689" s="160"/>
      <c r="K1689" s="1"/>
      <c r="L1689" s="123"/>
      <c r="M1689" s="1"/>
      <c r="N1689" s="590"/>
      <c r="O1689" s="165"/>
      <c r="P1689" s="165"/>
      <c r="Q1689" s="165"/>
      <c r="R1689" s="165"/>
      <c r="S1689" s="165"/>
      <c r="V1689" s="46"/>
      <c r="W1689" s="46"/>
      <c r="X1689" s="1"/>
      <c r="Y1689" s="1"/>
      <c r="Z1689" s="173"/>
      <c r="AA1689" s="1"/>
      <c r="AB1689" s="165"/>
      <c r="AC1689" s="1"/>
      <c r="AD1689" s="1"/>
      <c r="AE1689" s="1"/>
      <c r="AF1689" s="46"/>
      <c r="AG1689" s="1"/>
      <c r="AH1689" s="165"/>
      <c r="AI1689" s="165"/>
      <c r="AJ1689" s="165"/>
      <c r="AK1689" s="165"/>
      <c r="AL1689" s="165"/>
      <c r="AM1689" s="165"/>
      <c r="AN1689" s="165"/>
    </row>
    <row r="1690" spans="3:40">
      <c r="C1690" s="46"/>
      <c r="F1690" s="173"/>
      <c r="G1690" s="1"/>
      <c r="H1690" s="165"/>
      <c r="I1690" s="160"/>
      <c r="J1690" s="160"/>
      <c r="K1690" s="1"/>
      <c r="L1690" s="123"/>
      <c r="M1690" s="1"/>
      <c r="N1690" s="590"/>
      <c r="O1690" s="165"/>
      <c r="P1690" s="165"/>
      <c r="Q1690" s="165"/>
      <c r="R1690" s="165"/>
      <c r="S1690" s="165"/>
      <c r="V1690" s="46"/>
      <c r="W1690" s="46"/>
      <c r="X1690" s="1"/>
      <c r="Y1690" s="1"/>
      <c r="Z1690" s="173"/>
      <c r="AA1690" s="1"/>
      <c r="AB1690" s="165"/>
      <c r="AC1690" s="1"/>
      <c r="AD1690" s="1"/>
      <c r="AE1690" s="1"/>
      <c r="AF1690" s="46"/>
      <c r="AG1690" s="1"/>
      <c r="AH1690" s="165"/>
      <c r="AI1690" s="165"/>
      <c r="AJ1690" s="165"/>
      <c r="AK1690" s="165"/>
      <c r="AL1690" s="165"/>
      <c r="AM1690" s="165"/>
      <c r="AN1690" s="165"/>
    </row>
    <row r="1691" spans="3:40">
      <c r="C1691" s="46"/>
      <c r="F1691" s="173"/>
      <c r="G1691" s="1"/>
      <c r="H1691" s="165"/>
      <c r="I1691" s="160"/>
      <c r="J1691" s="160"/>
      <c r="K1691" s="1"/>
      <c r="L1691" s="123"/>
      <c r="M1691" s="1"/>
      <c r="N1691" s="590"/>
      <c r="O1691" s="165"/>
      <c r="P1691" s="165"/>
      <c r="Q1691" s="165"/>
      <c r="R1691" s="165"/>
      <c r="S1691" s="165"/>
      <c r="V1691" s="46"/>
      <c r="W1691" s="46"/>
      <c r="X1691" s="1"/>
      <c r="Y1691" s="1"/>
      <c r="Z1691" s="173"/>
      <c r="AA1691" s="1"/>
      <c r="AB1691" s="165"/>
      <c r="AC1691" s="1"/>
      <c r="AD1691" s="1"/>
      <c r="AE1691" s="1"/>
      <c r="AF1691" s="46"/>
      <c r="AG1691" s="1"/>
      <c r="AH1691" s="165"/>
      <c r="AI1691" s="165"/>
      <c r="AJ1691" s="165"/>
      <c r="AK1691" s="165"/>
      <c r="AL1691" s="165"/>
      <c r="AM1691" s="165"/>
      <c r="AN1691" s="165"/>
    </row>
    <row r="1692" spans="3:40">
      <c r="C1692" s="46"/>
      <c r="F1692" s="173"/>
      <c r="G1692" s="1"/>
      <c r="H1692" s="165"/>
      <c r="I1692" s="160"/>
      <c r="J1692" s="160"/>
      <c r="K1692" s="1"/>
      <c r="L1692" s="123"/>
      <c r="M1692" s="1"/>
      <c r="N1692" s="590"/>
      <c r="O1692" s="165"/>
      <c r="P1692" s="165"/>
      <c r="Q1692" s="165"/>
      <c r="R1692" s="165"/>
      <c r="S1692" s="165"/>
      <c r="V1692" s="46"/>
      <c r="W1692" s="46"/>
      <c r="X1692" s="1"/>
      <c r="Y1692" s="1"/>
      <c r="Z1692" s="173"/>
      <c r="AA1692" s="1"/>
      <c r="AB1692" s="165"/>
      <c r="AC1692" s="1"/>
      <c r="AD1692" s="1"/>
      <c r="AE1692" s="1"/>
      <c r="AF1692" s="46"/>
      <c r="AG1692" s="1"/>
      <c r="AH1692" s="165"/>
      <c r="AI1692" s="165"/>
      <c r="AJ1692" s="165"/>
      <c r="AK1692" s="165"/>
      <c r="AL1692" s="165"/>
      <c r="AM1692" s="165"/>
      <c r="AN1692" s="165"/>
    </row>
    <row r="1693" spans="3:40">
      <c r="C1693" s="46"/>
      <c r="F1693" s="173"/>
      <c r="G1693" s="1"/>
      <c r="H1693" s="165"/>
      <c r="I1693" s="160"/>
      <c r="J1693" s="160"/>
      <c r="K1693" s="1"/>
      <c r="L1693" s="123"/>
      <c r="M1693" s="1"/>
      <c r="N1693" s="590"/>
      <c r="O1693" s="165"/>
      <c r="P1693" s="165"/>
      <c r="Q1693" s="165"/>
      <c r="R1693" s="165"/>
      <c r="S1693" s="165"/>
      <c r="V1693" s="46"/>
      <c r="W1693" s="46"/>
      <c r="X1693" s="1"/>
      <c r="Y1693" s="1"/>
      <c r="Z1693" s="173"/>
      <c r="AA1693" s="1"/>
      <c r="AB1693" s="165"/>
      <c r="AC1693" s="1"/>
      <c r="AD1693" s="1"/>
      <c r="AE1693" s="1"/>
      <c r="AF1693" s="46"/>
      <c r="AG1693" s="1"/>
      <c r="AH1693" s="165"/>
      <c r="AI1693" s="165"/>
      <c r="AJ1693" s="165"/>
      <c r="AK1693" s="165"/>
      <c r="AL1693" s="165"/>
      <c r="AM1693" s="165"/>
      <c r="AN1693" s="165"/>
    </row>
    <row r="1694" spans="3:40">
      <c r="C1694" s="46"/>
      <c r="F1694" s="173"/>
      <c r="G1694" s="1"/>
      <c r="H1694" s="165"/>
      <c r="I1694" s="160"/>
      <c r="J1694" s="160"/>
      <c r="K1694" s="1"/>
      <c r="L1694" s="123"/>
      <c r="M1694" s="1"/>
      <c r="N1694" s="590"/>
      <c r="O1694" s="165"/>
      <c r="P1694" s="165"/>
      <c r="Q1694" s="165"/>
      <c r="R1694" s="165"/>
      <c r="S1694" s="165"/>
      <c r="V1694" s="46"/>
      <c r="W1694" s="46"/>
      <c r="X1694" s="1"/>
      <c r="Y1694" s="1"/>
      <c r="Z1694" s="173"/>
      <c r="AA1694" s="1"/>
      <c r="AB1694" s="165"/>
      <c r="AC1694" s="1"/>
      <c r="AD1694" s="1"/>
      <c r="AE1694" s="1"/>
      <c r="AF1694" s="46"/>
      <c r="AG1694" s="1"/>
      <c r="AH1694" s="165"/>
      <c r="AI1694" s="165"/>
      <c r="AJ1694" s="165"/>
      <c r="AK1694" s="165"/>
      <c r="AL1694" s="165"/>
      <c r="AM1694" s="165"/>
      <c r="AN1694" s="165"/>
    </row>
    <row r="1695" spans="3:40">
      <c r="C1695" s="46"/>
      <c r="F1695" s="173"/>
      <c r="G1695" s="1"/>
      <c r="H1695" s="165"/>
      <c r="I1695" s="160"/>
      <c r="J1695" s="160"/>
      <c r="K1695" s="1"/>
      <c r="L1695" s="123"/>
      <c r="M1695" s="1"/>
      <c r="N1695" s="590"/>
      <c r="O1695" s="165"/>
      <c r="P1695" s="165"/>
      <c r="Q1695" s="165"/>
      <c r="R1695" s="165"/>
      <c r="S1695" s="165"/>
      <c r="V1695" s="46"/>
      <c r="W1695" s="46"/>
      <c r="X1695" s="1"/>
      <c r="Y1695" s="1"/>
      <c r="Z1695" s="173"/>
      <c r="AA1695" s="1"/>
      <c r="AB1695" s="165"/>
      <c r="AC1695" s="1"/>
      <c r="AD1695" s="1"/>
      <c r="AE1695" s="1"/>
      <c r="AF1695" s="46"/>
      <c r="AG1695" s="1"/>
      <c r="AH1695" s="165"/>
      <c r="AI1695" s="165"/>
      <c r="AJ1695" s="165"/>
      <c r="AK1695" s="165"/>
      <c r="AL1695" s="165"/>
      <c r="AM1695" s="165"/>
      <c r="AN1695" s="165"/>
    </row>
    <row r="1696" spans="3:40">
      <c r="C1696" s="46"/>
      <c r="F1696" s="173"/>
      <c r="G1696" s="1"/>
      <c r="H1696" s="165"/>
      <c r="I1696" s="160"/>
      <c r="J1696" s="160"/>
      <c r="K1696" s="1"/>
      <c r="L1696" s="123"/>
      <c r="M1696" s="1"/>
      <c r="N1696" s="590"/>
      <c r="O1696" s="165"/>
      <c r="P1696" s="165"/>
      <c r="Q1696" s="165"/>
      <c r="R1696" s="165"/>
      <c r="S1696" s="165"/>
      <c r="V1696" s="46"/>
      <c r="W1696" s="46"/>
      <c r="X1696" s="1"/>
      <c r="Y1696" s="1"/>
      <c r="Z1696" s="173"/>
      <c r="AA1696" s="1"/>
      <c r="AB1696" s="165"/>
      <c r="AC1696" s="1"/>
      <c r="AD1696" s="1"/>
      <c r="AE1696" s="1"/>
      <c r="AF1696" s="46"/>
      <c r="AG1696" s="1"/>
      <c r="AH1696" s="165"/>
      <c r="AI1696" s="165"/>
      <c r="AJ1696" s="165"/>
      <c r="AK1696" s="165"/>
      <c r="AL1696" s="165"/>
      <c r="AM1696" s="165"/>
      <c r="AN1696" s="165"/>
    </row>
    <row r="1697" spans="3:40">
      <c r="C1697" s="46"/>
      <c r="F1697" s="173"/>
      <c r="G1697" s="1"/>
      <c r="H1697" s="165"/>
      <c r="I1697" s="160"/>
      <c r="J1697" s="160"/>
      <c r="K1697" s="1"/>
      <c r="L1697" s="123"/>
      <c r="M1697" s="1"/>
      <c r="N1697" s="590"/>
      <c r="O1697" s="165"/>
      <c r="P1697" s="165"/>
      <c r="Q1697" s="165"/>
      <c r="R1697" s="165"/>
      <c r="S1697" s="165"/>
      <c r="V1697" s="46"/>
      <c r="W1697" s="46"/>
      <c r="X1697" s="1"/>
      <c r="Y1697" s="1"/>
      <c r="Z1697" s="173"/>
      <c r="AA1697" s="1"/>
      <c r="AB1697" s="165"/>
      <c r="AC1697" s="1"/>
      <c r="AD1697" s="1"/>
      <c r="AE1697" s="1"/>
      <c r="AF1697" s="46"/>
      <c r="AG1697" s="1"/>
      <c r="AH1697" s="165"/>
      <c r="AI1697" s="165"/>
      <c r="AJ1697" s="165"/>
      <c r="AK1697" s="165"/>
      <c r="AL1697" s="165"/>
      <c r="AM1697" s="165"/>
      <c r="AN1697" s="165"/>
    </row>
    <row r="1698" spans="3:40">
      <c r="C1698" s="46"/>
      <c r="F1698" s="173"/>
      <c r="G1698" s="1"/>
      <c r="H1698" s="165"/>
      <c r="I1698" s="160"/>
      <c r="J1698" s="160"/>
      <c r="K1698" s="1"/>
      <c r="L1698" s="123"/>
      <c r="M1698" s="1"/>
      <c r="N1698" s="590"/>
      <c r="O1698" s="165"/>
      <c r="P1698" s="165"/>
      <c r="Q1698" s="165"/>
      <c r="R1698" s="165"/>
      <c r="S1698" s="165"/>
      <c r="V1698" s="46"/>
      <c r="W1698" s="46"/>
      <c r="X1698" s="1"/>
      <c r="Y1698" s="1"/>
      <c r="Z1698" s="173"/>
      <c r="AA1698" s="1"/>
      <c r="AB1698" s="165"/>
      <c r="AC1698" s="1"/>
      <c r="AD1698" s="1"/>
      <c r="AE1698" s="1"/>
      <c r="AF1698" s="46"/>
      <c r="AG1698" s="1"/>
      <c r="AH1698" s="165"/>
      <c r="AI1698" s="165"/>
      <c r="AJ1698" s="165"/>
      <c r="AK1698" s="165"/>
      <c r="AL1698" s="165"/>
      <c r="AM1698" s="165"/>
      <c r="AN1698" s="165"/>
    </row>
    <row r="1699" spans="3:40">
      <c r="C1699" s="46"/>
      <c r="F1699" s="173"/>
      <c r="G1699" s="1"/>
      <c r="H1699" s="165"/>
      <c r="I1699" s="160"/>
      <c r="J1699" s="160"/>
      <c r="K1699" s="1"/>
      <c r="L1699" s="123"/>
      <c r="M1699" s="1"/>
      <c r="N1699" s="590"/>
      <c r="O1699" s="165"/>
      <c r="P1699" s="165"/>
      <c r="Q1699" s="165"/>
      <c r="R1699" s="165"/>
      <c r="S1699" s="165"/>
      <c r="V1699" s="46"/>
      <c r="W1699" s="46"/>
      <c r="X1699" s="1"/>
      <c r="Y1699" s="1"/>
      <c r="Z1699" s="173"/>
      <c r="AA1699" s="1"/>
      <c r="AB1699" s="165"/>
      <c r="AC1699" s="1"/>
      <c r="AD1699" s="1"/>
      <c r="AE1699" s="1"/>
      <c r="AF1699" s="46"/>
      <c r="AG1699" s="1"/>
      <c r="AH1699" s="165"/>
      <c r="AI1699" s="165"/>
      <c r="AJ1699" s="165"/>
      <c r="AK1699" s="165"/>
      <c r="AL1699" s="165"/>
      <c r="AM1699" s="165"/>
      <c r="AN1699" s="165"/>
    </row>
    <row r="1700" spans="3:40">
      <c r="C1700" s="46"/>
      <c r="F1700" s="173"/>
      <c r="G1700" s="1"/>
      <c r="H1700" s="165"/>
      <c r="I1700" s="160"/>
      <c r="J1700" s="160"/>
      <c r="K1700" s="1"/>
      <c r="L1700" s="123"/>
      <c r="M1700" s="1"/>
      <c r="N1700" s="590"/>
      <c r="O1700" s="165"/>
      <c r="P1700" s="165"/>
      <c r="Q1700" s="165"/>
      <c r="R1700" s="165"/>
      <c r="S1700" s="165"/>
      <c r="V1700" s="46"/>
      <c r="W1700" s="46"/>
      <c r="X1700" s="1"/>
      <c r="Y1700" s="1"/>
      <c r="Z1700" s="173"/>
      <c r="AA1700" s="1"/>
      <c r="AB1700" s="165"/>
      <c r="AC1700" s="1"/>
      <c r="AD1700" s="1"/>
      <c r="AE1700" s="1"/>
      <c r="AF1700" s="46"/>
      <c r="AG1700" s="1"/>
      <c r="AH1700" s="165"/>
      <c r="AI1700" s="165"/>
      <c r="AJ1700" s="165"/>
      <c r="AK1700" s="165"/>
      <c r="AL1700" s="165"/>
      <c r="AM1700" s="165"/>
      <c r="AN1700" s="165"/>
    </row>
    <row r="1701" spans="3:40">
      <c r="C1701" s="46"/>
      <c r="F1701" s="173"/>
      <c r="G1701" s="1"/>
      <c r="H1701" s="165"/>
      <c r="I1701" s="160"/>
      <c r="J1701" s="160"/>
      <c r="K1701" s="1"/>
      <c r="L1701" s="123"/>
      <c r="M1701" s="1"/>
      <c r="N1701" s="590"/>
      <c r="O1701" s="165"/>
      <c r="P1701" s="165"/>
      <c r="Q1701" s="165"/>
      <c r="R1701" s="165"/>
      <c r="S1701" s="165"/>
      <c r="V1701" s="46"/>
      <c r="W1701" s="46"/>
      <c r="X1701" s="1"/>
      <c r="Y1701" s="1"/>
      <c r="Z1701" s="173"/>
      <c r="AA1701" s="1"/>
      <c r="AB1701" s="165"/>
      <c r="AC1701" s="1"/>
      <c r="AD1701" s="1"/>
      <c r="AE1701" s="1"/>
      <c r="AF1701" s="46"/>
      <c r="AG1701" s="1"/>
      <c r="AH1701" s="165"/>
      <c r="AI1701" s="165"/>
      <c r="AJ1701" s="165"/>
      <c r="AK1701" s="165"/>
      <c r="AL1701" s="165"/>
      <c r="AM1701" s="165"/>
      <c r="AN1701" s="165"/>
    </row>
    <row r="1702" spans="3:40">
      <c r="C1702" s="46"/>
      <c r="F1702" s="173"/>
      <c r="G1702" s="1"/>
      <c r="H1702" s="165"/>
      <c r="I1702" s="160"/>
      <c r="J1702" s="160"/>
      <c r="K1702" s="1"/>
      <c r="L1702" s="123"/>
      <c r="M1702" s="1"/>
      <c r="N1702" s="590"/>
      <c r="O1702" s="165"/>
      <c r="P1702" s="165"/>
      <c r="Q1702" s="165"/>
      <c r="R1702" s="165"/>
      <c r="S1702" s="165"/>
      <c r="V1702" s="46"/>
      <c r="W1702" s="46"/>
      <c r="X1702" s="1"/>
      <c r="Y1702" s="1"/>
      <c r="Z1702" s="173"/>
      <c r="AA1702" s="1"/>
      <c r="AB1702" s="165"/>
      <c r="AC1702" s="1"/>
      <c r="AD1702" s="1"/>
      <c r="AE1702" s="1"/>
      <c r="AF1702" s="46"/>
      <c r="AG1702" s="1"/>
      <c r="AH1702" s="165"/>
      <c r="AI1702" s="165"/>
      <c r="AJ1702" s="165"/>
      <c r="AK1702" s="165"/>
      <c r="AL1702" s="165"/>
      <c r="AM1702" s="165"/>
      <c r="AN1702" s="165"/>
    </row>
    <row r="1703" spans="3:40">
      <c r="C1703" s="46"/>
      <c r="F1703" s="173"/>
      <c r="G1703" s="1"/>
      <c r="H1703" s="165"/>
      <c r="I1703" s="160"/>
      <c r="J1703" s="160"/>
      <c r="K1703" s="1"/>
      <c r="L1703" s="123"/>
      <c r="M1703" s="1"/>
      <c r="N1703" s="590"/>
      <c r="O1703" s="165"/>
      <c r="P1703" s="165"/>
      <c r="Q1703" s="165"/>
      <c r="R1703" s="165"/>
      <c r="S1703" s="165"/>
      <c r="V1703" s="46"/>
      <c r="W1703" s="46"/>
      <c r="X1703" s="1"/>
      <c r="Y1703" s="1"/>
      <c r="Z1703" s="173"/>
      <c r="AA1703" s="1"/>
      <c r="AB1703" s="165"/>
      <c r="AC1703" s="1"/>
      <c r="AD1703" s="1"/>
      <c r="AE1703" s="1"/>
      <c r="AF1703" s="46"/>
      <c r="AG1703" s="1"/>
      <c r="AH1703" s="165"/>
      <c r="AI1703" s="165"/>
      <c r="AJ1703" s="165"/>
      <c r="AK1703" s="165"/>
      <c r="AL1703" s="165"/>
      <c r="AM1703" s="165"/>
      <c r="AN1703" s="165"/>
    </row>
    <row r="1704" spans="3:40">
      <c r="C1704" s="46"/>
      <c r="F1704" s="173"/>
      <c r="G1704" s="1"/>
      <c r="H1704" s="165"/>
      <c r="I1704" s="160"/>
      <c r="J1704" s="160"/>
      <c r="K1704" s="1"/>
      <c r="L1704" s="123"/>
      <c r="M1704" s="1"/>
      <c r="N1704" s="590"/>
      <c r="O1704" s="165"/>
      <c r="P1704" s="165"/>
      <c r="Q1704" s="165"/>
      <c r="R1704" s="165"/>
      <c r="S1704" s="165"/>
      <c r="V1704" s="46"/>
      <c r="W1704" s="46"/>
      <c r="X1704" s="1"/>
      <c r="Y1704" s="1"/>
      <c r="Z1704" s="173"/>
      <c r="AA1704" s="1"/>
      <c r="AB1704" s="165"/>
      <c r="AC1704" s="1"/>
      <c r="AD1704" s="1"/>
      <c r="AE1704" s="1"/>
      <c r="AF1704" s="46"/>
      <c r="AG1704" s="1"/>
      <c r="AH1704" s="165"/>
      <c r="AI1704" s="165"/>
      <c r="AJ1704" s="165"/>
      <c r="AK1704" s="165"/>
      <c r="AL1704" s="165"/>
      <c r="AM1704" s="165"/>
      <c r="AN1704" s="165"/>
    </row>
    <row r="1705" spans="3:40">
      <c r="C1705" s="46"/>
      <c r="F1705" s="173"/>
      <c r="G1705" s="1"/>
      <c r="H1705" s="165"/>
      <c r="I1705" s="160"/>
      <c r="J1705" s="160"/>
      <c r="K1705" s="1"/>
      <c r="L1705" s="123"/>
      <c r="M1705" s="1"/>
      <c r="N1705" s="590"/>
      <c r="O1705" s="165"/>
      <c r="P1705" s="165"/>
      <c r="Q1705" s="165"/>
      <c r="R1705" s="165"/>
      <c r="S1705" s="165"/>
      <c r="V1705" s="46"/>
      <c r="W1705" s="46"/>
      <c r="X1705" s="1"/>
      <c r="Y1705" s="1"/>
      <c r="Z1705" s="173"/>
      <c r="AA1705" s="1"/>
      <c r="AB1705" s="165"/>
      <c r="AC1705" s="1"/>
      <c r="AD1705" s="1"/>
      <c r="AE1705" s="1"/>
      <c r="AF1705" s="46"/>
      <c r="AG1705" s="1"/>
      <c r="AH1705" s="165"/>
      <c r="AI1705" s="165"/>
      <c r="AJ1705" s="165"/>
      <c r="AK1705" s="165"/>
      <c r="AL1705" s="165"/>
      <c r="AM1705" s="165"/>
      <c r="AN1705" s="165"/>
    </row>
    <row r="1706" spans="3:40">
      <c r="C1706" s="46"/>
      <c r="F1706" s="173"/>
      <c r="G1706" s="1"/>
      <c r="H1706" s="165"/>
      <c r="I1706" s="160"/>
      <c r="J1706" s="160"/>
      <c r="K1706" s="1"/>
      <c r="L1706" s="123"/>
      <c r="M1706" s="1"/>
      <c r="N1706" s="590"/>
      <c r="O1706" s="165"/>
      <c r="P1706" s="165"/>
      <c r="Q1706" s="165"/>
      <c r="R1706" s="165"/>
      <c r="S1706" s="165"/>
      <c r="V1706" s="46"/>
      <c r="W1706" s="46"/>
      <c r="X1706" s="1"/>
      <c r="Y1706" s="1"/>
      <c r="Z1706" s="173"/>
      <c r="AA1706" s="1"/>
      <c r="AB1706" s="165"/>
      <c r="AC1706" s="1"/>
      <c r="AD1706" s="1"/>
      <c r="AE1706" s="1"/>
      <c r="AF1706" s="46"/>
      <c r="AG1706" s="1"/>
      <c r="AH1706" s="165"/>
      <c r="AI1706" s="165"/>
      <c r="AJ1706" s="165"/>
      <c r="AK1706" s="165"/>
      <c r="AL1706" s="165"/>
      <c r="AM1706" s="165"/>
      <c r="AN1706" s="165"/>
    </row>
    <row r="1707" spans="3:40">
      <c r="C1707" s="46"/>
      <c r="F1707" s="173"/>
      <c r="G1707" s="1"/>
      <c r="H1707" s="165"/>
      <c r="I1707" s="160"/>
      <c r="J1707" s="160"/>
      <c r="K1707" s="1"/>
      <c r="L1707" s="123"/>
      <c r="M1707" s="1"/>
      <c r="N1707" s="590"/>
      <c r="O1707" s="165"/>
      <c r="P1707" s="165"/>
      <c r="Q1707" s="165"/>
      <c r="R1707" s="165"/>
      <c r="S1707" s="165"/>
      <c r="V1707" s="46"/>
      <c r="W1707" s="46"/>
      <c r="X1707" s="1"/>
      <c r="Y1707" s="1"/>
      <c r="Z1707" s="173"/>
      <c r="AA1707" s="1"/>
      <c r="AB1707" s="165"/>
      <c r="AC1707" s="1"/>
      <c r="AD1707" s="1"/>
      <c r="AE1707" s="1"/>
      <c r="AF1707" s="46"/>
      <c r="AG1707" s="1"/>
      <c r="AH1707" s="165"/>
      <c r="AI1707" s="165"/>
      <c r="AJ1707" s="165"/>
      <c r="AK1707" s="165"/>
      <c r="AL1707" s="165"/>
      <c r="AM1707" s="165"/>
      <c r="AN1707" s="165"/>
    </row>
    <row r="1708" spans="3:40">
      <c r="C1708" s="46"/>
      <c r="F1708" s="173"/>
      <c r="G1708" s="1"/>
      <c r="H1708" s="165"/>
      <c r="I1708" s="160"/>
      <c r="J1708" s="160"/>
      <c r="K1708" s="1"/>
      <c r="L1708" s="123"/>
      <c r="M1708" s="1"/>
      <c r="N1708" s="590"/>
      <c r="O1708" s="165"/>
      <c r="P1708" s="165"/>
      <c r="Q1708" s="165"/>
      <c r="R1708" s="165"/>
      <c r="S1708" s="165"/>
      <c r="V1708" s="46"/>
      <c r="W1708" s="46"/>
      <c r="X1708" s="1"/>
      <c r="Y1708" s="1"/>
      <c r="Z1708" s="173"/>
      <c r="AA1708" s="1"/>
      <c r="AB1708" s="165"/>
      <c r="AC1708" s="1"/>
      <c r="AD1708" s="1"/>
      <c r="AE1708" s="1"/>
      <c r="AF1708" s="46"/>
      <c r="AG1708" s="1"/>
      <c r="AH1708" s="165"/>
      <c r="AI1708" s="165"/>
      <c r="AJ1708" s="165"/>
      <c r="AK1708" s="165"/>
      <c r="AL1708" s="165"/>
      <c r="AM1708" s="165"/>
      <c r="AN1708" s="165"/>
    </row>
    <row r="1709" spans="3:40">
      <c r="C1709" s="46"/>
      <c r="F1709" s="173"/>
      <c r="G1709" s="1"/>
      <c r="H1709" s="165"/>
      <c r="I1709" s="160"/>
      <c r="J1709" s="160"/>
      <c r="K1709" s="1"/>
      <c r="L1709" s="123"/>
      <c r="M1709" s="1"/>
      <c r="N1709" s="590"/>
      <c r="O1709" s="165"/>
      <c r="P1709" s="165"/>
      <c r="Q1709" s="165"/>
      <c r="R1709" s="165"/>
      <c r="S1709" s="165"/>
      <c r="V1709" s="46"/>
      <c r="W1709" s="46"/>
      <c r="X1709" s="1"/>
      <c r="Y1709" s="1"/>
      <c r="Z1709" s="173"/>
      <c r="AA1709" s="1"/>
      <c r="AB1709" s="165"/>
      <c r="AC1709" s="1"/>
      <c r="AD1709" s="1"/>
      <c r="AE1709" s="1"/>
      <c r="AF1709" s="46"/>
      <c r="AG1709" s="1"/>
      <c r="AH1709" s="165"/>
      <c r="AI1709" s="165"/>
      <c r="AJ1709" s="165"/>
      <c r="AK1709" s="165"/>
      <c r="AL1709" s="165"/>
      <c r="AM1709" s="165"/>
      <c r="AN1709" s="165"/>
    </row>
    <row r="1710" spans="3:40">
      <c r="C1710" s="46"/>
      <c r="F1710" s="173"/>
      <c r="G1710" s="1"/>
      <c r="H1710" s="165"/>
      <c r="I1710" s="160"/>
      <c r="J1710" s="160"/>
      <c r="K1710" s="1"/>
      <c r="L1710" s="123"/>
      <c r="M1710" s="1"/>
      <c r="N1710" s="590"/>
      <c r="O1710" s="165"/>
      <c r="P1710" s="165"/>
      <c r="Q1710" s="165"/>
      <c r="R1710" s="165"/>
      <c r="S1710" s="165"/>
      <c r="V1710" s="46"/>
      <c r="W1710" s="46"/>
      <c r="X1710" s="1"/>
      <c r="Y1710" s="1"/>
      <c r="Z1710" s="173"/>
      <c r="AA1710" s="1"/>
      <c r="AB1710" s="165"/>
      <c r="AC1710" s="1"/>
      <c r="AD1710" s="1"/>
      <c r="AE1710" s="1"/>
      <c r="AF1710" s="46"/>
      <c r="AG1710" s="1"/>
      <c r="AH1710" s="165"/>
      <c r="AI1710" s="165"/>
      <c r="AJ1710" s="165"/>
      <c r="AK1710" s="165"/>
      <c r="AL1710" s="165"/>
      <c r="AM1710" s="165"/>
      <c r="AN1710" s="165"/>
    </row>
    <row r="1711" spans="3:40">
      <c r="C1711" s="46"/>
      <c r="F1711" s="173"/>
      <c r="G1711" s="1"/>
      <c r="H1711" s="165"/>
      <c r="I1711" s="160"/>
      <c r="J1711" s="160"/>
      <c r="K1711" s="1"/>
      <c r="L1711" s="123"/>
      <c r="M1711" s="1"/>
      <c r="N1711" s="590"/>
      <c r="O1711" s="165"/>
      <c r="P1711" s="165"/>
      <c r="Q1711" s="165"/>
      <c r="R1711" s="165"/>
      <c r="S1711" s="165"/>
      <c r="V1711" s="46"/>
      <c r="W1711" s="46"/>
      <c r="X1711" s="1"/>
      <c r="Y1711" s="1"/>
      <c r="Z1711" s="173"/>
      <c r="AA1711" s="1"/>
      <c r="AB1711" s="165"/>
      <c r="AC1711" s="1"/>
      <c r="AD1711" s="1"/>
      <c r="AE1711" s="1"/>
      <c r="AF1711" s="46"/>
      <c r="AG1711" s="1"/>
      <c r="AH1711" s="165"/>
      <c r="AI1711" s="165"/>
      <c r="AJ1711" s="165"/>
      <c r="AK1711" s="165"/>
      <c r="AL1711" s="165"/>
      <c r="AM1711" s="165"/>
      <c r="AN1711" s="165"/>
    </row>
    <row r="1712" spans="3:40">
      <c r="C1712" s="46"/>
      <c r="F1712" s="173"/>
      <c r="G1712" s="1"/>
      <c r="H1712" s="165"/>
      <c r="I1712" s="160"/>
      <c r="J1712" s="160"/>
      <c r="K1712" s="1"/>
      <c r="L1712" s="123"/>
      <c r="M1712" s="1"/>
      <c r="N1712" s="590"/>
      <c r="O1712" s="165"/>
      <c r="P1712" s="165"/>
      <c r="Q1712" s="165"/>
      <c r="R1712" s="165"/>
      <c r="S1712" s="165"/>
      <c r="V1712" s="46"/>
      <c r="W1712" s="46"/>
      <c r="X1712" s="1"/>
      <c r="Y1712" s="1"/>
      <c r="Z1712" s="173"/>
      <c r="AA1712" s="1"/>
      <c r="AB1712" s="165"/>
      <c r="AC1712" s="1"/>
      <c r="AD1712" s="1"/>
      <c r="AE1712" s="1"/>
      <c r="AF1712" s="46"/>
      <c r="AG1712" s="1"/>
      <c r="AH1712" s="165"/>
      <c r="AI1712" s="165"/>
      <c r="AJ1712" s="165"/>
      <c r="AK1712" s="165"/>
      <c r="AL1712" s="165"/>
      <c r="AM1712" s="165"/>
      <c r="AN1712" s="165"/>
    </row>
    <row r="1713" spans="3:40">
      <c r="C1713" s="46"/>
      <c r="F1713" s="173"/>
      <c r="G1713" s="1"/>
      <c r="H1713" s="165"/>
      <c r="I1713" s="160"/>
      <c r="J1713" s="160"/>
      <c r="K1713" s="1"/>
      <c r="L1713" s="123"/>
      <c r="M1713" s="1"/>
      <c r="N1713" s="590"/>
      <c r="O1713" s="165"/>
      <c r="P1713" s="165"/>
      <c r="Q1713" s="165"/>
      <c r="R1713" s="165"/>
      <c r="S1713" s="165"/>
      <c r="V1713" s="46"/>
      <c r="W1713" s="46"/>
      <c r="X1713" s="1"/>
      <c r="Y1713" s="1"/>
      <c r="Z1713" s="173"/>
      <c r="AA1713" s="1"/>
      <c r="AB1713" s="165"/>
      <c r="AC1713" s="1"/>
      <c r="AD1713" s="1"/>
      <c r="AE1713" s="1"/>
      <c r="AF1713" s="46"/>
      <c r="AG1713" s="1"/>
      <c r="AH1713" s="165"/>
      <c r="AI1713" s="165"/>
      <c r="AJ1713" s="165"/>
      <c r="AK1713" s="165"/>
      <c r="AL1713" s="165"/>
      <c r="AM1713" s="165"/>
      <c r="AN1713" s="165"/>
    </row>
    <row r="1714" spans="3:40">
      <c r="C1714" s="46"/>
      <c r="F1714" s="173"/>
      <c r="G1714" s="1"/>
      <c r="H1714" s="165"/>
      <c r="I1714" s="160"/>
      <c r="J1714" s="160"/>
      <c r="K1714" s="1"/>
      <c r="L1714" s="123"/>
      <c r="M1714" s="1"/>
      <c r="N1714" s="590"/>
      <c r="O1714" s="165"/>
      <c r="P1714" s="165"/>
      <c r="Q1714" s="165"/>
      <c r="R1714" s="165"/>
      <c r="S1714" s="165"/>
      <c r="V1714" s="46"/>
      <c r="W1714" s="46"/>
      <c r="X1714" s="1"/>
      <c r="Y1714" s="1"/>
      <c r="Z1714" s="173"/>
      <c r="AA1714" s="1"/>
      <c r="AB1714" s="165"/>
      <c r="AC1714" s="1"/>
      <c r="AD1714" s="1"/>
      <c r="AE1714" s="1"/>
      <c r="AF1714" s="46"/>
      <c r="AG1714" s="1"/>
      <c r="AH1714" s="165"/>
      <c r="AI1714" s="165"/>
      <c r="AJ1714" s="165"/>
      <c r="AK1714" s="165"/>
      <c r="AL1714" s="165"/>
      <c r="AM1714" s="165"/>
      <c r="AN1714" s="165"/>
    </row>
    <row r="1715" spans="3:40">
      <c r="C1715" s="46"/>
      <c r="F1715" s="173"/>
      <c r="G1715" s="1"/>
      <c r="H1715" s="165"/>
      <c r="I1715" s="160"/>
      <c r="J1715" s="160"/>
      <c r="K1715" s="1"/>
      <c r="L1715" s="123"/>
      <c r="M1715" s="1"/>
      <c r="N1715" s="590"/>
      <c r="O1715" s="165"/>
      <c r="P1715" s="165"/>
      <c r="Q1715" s="165"/>
      <c r="R1715" s="165"/>
      <c r="S1715" s="165"/>
      <c r="V1715" s="46"/>
      <c r="W1715" s="46"/>
      <c r="X1715" s="1"/>
      <c r="Y1715" s="1"/>
      <c r="Z1715" s="173"/>
      <c r="AA1715" s="1"/>
      <c r="AB1715" s="165"/>
      <c r="AC1715" s="1"/>
      <c r="AD1715" s="1"/>
      <c r="AE1715" s="1"/>
      <c r="AF1715" s="46"/>
      <c r="AG1715" s="1"/>
      <c r="AH1715" s="165"/>
      <c r="AI1715" s="165"/>
      <c r="AJ1715" s="165"/>
      <c r="AK1715" s="165"/>
      <c r="AL1715" s="165"/>
      <c r="AM1715" s="165"/>
      <c r="AN1715" s="165"/>
    </row>
    <row r="1716" spans="3:40">
      <c r="C1716" s="46"/>
      <c r="F1716" s="173"/>
      <c r="G1716" s="1"/>
      <c r="H1716" s="165"/>
      <c r="I1716" s="160"/>
      <c r="J1716" s="160"/>
      <c r="K1716" s="1"/>
      <c r="L1716" s="123"/>
      <c r="M1716" s="1"/>
      <c r="N1716" s="590"/>
      <c r="O1716" s="165"/>
      <c r="P1716" s="165"/>
      <c r="Q1716" s="165"/>
      <c r="R1716" s="165"/>
      <c r="S1716" s="165"/>
      <c r="V1716" s="46"/>
      <c r="W1716" s="46"/>
      <c r="X1716" s="1"/>
      <c r="Y1716" s="1"/>
      <c r="Z1716" s="173"/>
      <c r="AA1716" s="1"/>
      <c r="AB1716" s="165"/>
      <c r="AC1716" s="1"/>
      <c r="AD1716" s="1"/>
      <c r="AE1716" s="1"/>
      <c r="AF1716" s="46"/>
      <c r="AG1716" s="1"/>
      <c r="AH1716" s="165"/>
      <c r="AI1716" s="165"/>
      <c r="AJ1716" s="165"/>
      <c r="AK1716" s="165"/>
      <c r="AL1716" s="165"/>
      <c r="AM1716" s="165"/>
      <c r="AN1716" s="165"/>
    </row>
    <row r="1717" spans="3:40">
      <c r="C1717" s="46"/>
      <c r="F1717" s="173"/>
      <c r="G1717" s="1"/>
      <c r="H1717" s="165"/>
      <c r="I1717" s="160"/>
      <c r="J1717" s="160"/>
      <c r="K1717" s="1"/>
      <c r="L1717" s="123"/>
      <c r="M1717" s="1"/>
      <c r="N1717" s="590"/>
      <c r="O1717" s="165"/>
      <c r="P1717" s="165"/>
      <c r="Q1717" s="165"/>
      <c r="R1717" s="165"/>
      <c r="S1717" s="165"/>
      <c r="V1717" s="46"/>
      <c r="W1717" s="46"/>
      <c r="X1717" s="1"/>
      <c r="Y1717" s="1"/>
      <c r="Z1717" s="173"/>
      <c r="AA1717" s="1"/>
      <c r="AB1717" s="165"/>
      <c r="AC1717" s="1"/>
      <c r="AD1717" s="1"/>
      <c r="AE1717" s="1"/>
      <c r="AF1717" s="46"/>
      <c r="AG1717" s="1"/>
      <c r="AH1717" s="165"/>
      <c r="AI1717" s="165"/>
      <c r="AJ1717" s="165"/>
      <c r="AK1717" s="165"/>
      <c r="AL1717" s="165"/>
      <c r="AM1717" s="165"/>
      <c r="AN1717" s="165"/>
    </row>
    <row r="1718" spans="3:40">
      <c r="C1718" s="46"/>
      <c r="F1718" s="173"/>
      <c r="G1718" s="1"/>
      <c r="H1718" s="165"/>
      <c r="I1718" s="160"/>
      <c r="J1718" s="160"/>
      <c r="K1718" s="1"/>
      <c r="L1718" s="123"/>
      <c r="M1718" s="1"/>
      <c r="N1718" s="590"/>
      <c r="O1718" s="165"/>
      <c r="P1718" s="165"/>
      <c r="Q1718" s="165"/>
      <c r="R1718" s="165"/>
      <c r="S1718" s="165"/>
      <c r="V1718" s="46"/>
      <c r="W1718" s="46"/>
      <c r="X1718" s="1"/>
      <c r="Y1718" s="1"/>
      <c r="Z1718" s="173"/>
      <c r="AA1718" s="1"/>
      <c r="AB1718" s="165"/>
      <c r="AC1718" s="1"/>
      <c r="AD1718" s="1"/>
      <c r="AE1718" s="1"/>
      <c r="AF1718" s="46"/>
      <c r="AG1718" s="1"/>
      <c r="AH1718" s="165"/>
      <c r="AI1718" s="165"/>
      <c r="AJ1718" s="165"/>
      <c r="AK1718" s="165"/>
      <c r="AL1718" s="165"/>
      <c r="AM1718" s="165"/>
      <c r="AN1718" s="165"/>
    </row>
    <row r="1719" spans="3:40">
      <c r="C1719" s="46"/>
      <c r="F1719" s="173"/>
      <c r="G1719" s="1"/>
      <c r="H1719" s="165"/>
      <c r="I1719" s="160"/>
      <c r="J1719" s="160"/>
      <c r="K1719" s="1"/>
      <c r="L1719" s="123"/>
      <c r="M1719" s="1"/>
      <c r="N1719" s="590"/>
      <c r="O1719" s="165"/>
      <c r="P1719" s="165"/>
      <c r="Q1719" s="165"/>
      <c r="R1719" s="165"/>
      <c r="S1719" s="165"/>
      <c r="V1719" s="46"/>
      <c r="W1719" s="46"/>
      <c r="X1719" s="1"/>
      <c r="Y1719" s="1"/>
      <c r="Z1719" s="173"/>
      <c r="AA1719" s="1"/>
      <c r="AB1719" s="165"/>
      <c r="AC1719" s="1"/>
      <c r="AD1719" s="1"/>
      <c r="AE1719" s="1"/>
      <c r="AF1719" s="46"/>
      <c r="AG1719" s="1"/>
      <c r="AH1719" s="165"/>
      <c r="AI1719" s="165"/>
      <c r="AJ1719" s="165"/>
      <c r="AK1719" s="165"/>
      <c r="AL1719" s="165"/>
      <c r="AM1719" s="165"/>
      <c r="AN1719" s="165"/>
    </row>
    <row r="1720" spans="3:40">
      <c r="C1720" s="46"/>
      <c r="F1720" s="173"/>
      <c r="G1720" s="1"/>
      <c r="H1720" s="165"/>
      <c r="I1720" s="160"/>
      <c r="J1720" s="160"/>
      <c r="K1720" s="1"/>
      <c r="L1720" s="123"/>
      <c r="M1720" s="1"/>
      <c r="N1720" s="590"/>
      <c r="O1720" s="165"/>
      <c r="P1720" s="165"/>
      <c r="Q1720" s="165"/>
      <c r="R1720" s="165"/>
      <c r="S1720" s="165"/>
      <c r="V1720" s="46"/>
      <c r="W1720" s="46"/>
      <c r="X1720" s="1"/>
      <c r="Y1720" s="1"/>
      <c r="Z1720" s="173"/>
      <c r="AA1720" s="1"/>
      <c r="AB1720" s="165"/>
      <c r="AC1720" s="1"/>
      <c r="AD1720" s="1"/>
      <c r="AE1720" s="1"/>
      <c r="AF1720" s="46"/>
      <c r="AG1720" s="1"/>
      <c r="AH1720" s="165"/>
      <c r="AI1720" s="165"/>
      <c r="AJ1720" s="165"/>
      <c r="AK1720" s="165"/>
      <c r="AL1720" s="165"/>
      <c r="AM1720" s="165"/>
      <c r="AN1720" s="165"/>
    </row>
    <row r="1721" spans="3:40">
      <c r="C1721" s="46"/>
      <c r="F1721" s="173"/>
      <c r="G1721" s="1"/>
      <c r="H1721" s="165"/>
      <c r="I1721" s="160"/>
      <c r="J1721" s="160"/>
      <c r="K1721" s="1"/>
      <c r="L1721" s="123"/>
      <c r="M1721" s="1"/>
      <c r="N1721" s="590"/>
      <c r="O1721" s="165"/>
      <c r="P1721" s="165"/>
      <c r="Q1721" s="165"/>
      <c r="R1721" s="165"/>
      <c r="S1721" s="165"/>
      <c r="V1721" s="46"/>
      <c r="W1721" s="46"/>
      <c r="X1721" s="1"/>
      <c r="Y1721" s="1"/>
      <c r="Z1721" s="173"/>
      <c r="AA1721" s="1"/>
      <c r="AB1721" s="165"/>
      <c r="AC1721" s="1"/>
      <c r="AD1721" s="1"/>
      <c r="AE1721" s="1"/>
      <c r="AF1721" s="46"/>
      <c r="AG1721" s="1"/>
      <c r="AH1721" s="165"/>
      <c r="AI1721" s="165"/>
      <c r="AJ1721" s="165"/>
      <c r="AK1721" s="165"/>
      <c r="AL1721" s="165"/>
      <c r="AM1721" s="165"/>
      <c r="AN1721" s="165"/>
    </row>
    <row r="1722" spans="3:40">
      <c r="C1722" s="46"/>
      <c r="F1722" s="173"/>
      <c r="G1722" s="1"/>
      <c r="H1722" s="165"/>
      <c r="I1722" s="160"/>
      <c r="J1722" s="160"/>
      <c r="K1722" s="1"/>
      <c r="L1722" s="123"/>
      <c r="M1722" s="1"/>
      <c r="N1722" s="590"/>
      <c r="O1722" s="165"/>
      <c r="P1722" s="165"/>
      <c r="Q1722" s="165"/>
      <c r="R1722" s="165"/>
      <c r="S1722" s="165"/>
      <c r="V1722" s="46"/>
      <c r="W1722" s="46"/>
      <c r="X1722" s="1"/>
      <c r="Y1722" s="1"/>
      <c r="Z1722" s="173"/>
      <c r="AA1722" s="1"/>
      <c r="AB1722" s="165"/>
      <c r="AC1722" s="1"/>
      <c r="AD1722" s="1"/>
      <c r="AE1722" s="1"/>
      <c r="AF1722" s="46"/>
      <c r="AG1722" s="1"/>
      <c r="AH1722" s="165"/>
      <c r="AI1722" s="165"/>
      <c r="AJ1722" s="165"/>
      <c r="AK1722" s="165"/>
      <c r="AL1722" s="165"/>
      <c r="AM1722" s="165"/>
      <c r="AN1722" s="165"/>
    </row>
    <row r="1723" spans="3:40">
      <c r="C1723" s="46"/>
      <c r="F1723" s="173"/>
      <c r="G1723" s="1"/>
      <c r="H1723" s="165"/>
      <c r="I1723" s="160"/>
      <c r="J1723" s="160"/>
      <c r="K1723" s="1"/>
      <c r="L1723" s="123"/>
      <c r="M1723" s="1"/>
      <c r="N1723" s="590"/>
      <c r="O1723" s="165"/>
      <c r="P1723" s="165"/>
      <c r="Q1723" s="165"/>
      <c r="R1723" s="165"/>
      <c r="S1723" s="165"/>
      <c r="V1723" s="46"/>
      <c r="W1723" s="46"/>
      <c r="X1723" s="1"/>
      <c r="Y1723" s="1"/>
      <c r="Z1723" s="173"/>
      <c r="AA1723" s="1"/>
      <c r="AB1723" s="165"/>
      <c r="AC1723" s="1"/>
      <c r="AD1723" s="1"/>
      <c r="AE1723" s="1"/>
      <c r="AF1723" s="46"/>
      <c r="AG1723" s="1"/>
      <c r="AH1723" s="165"/>
      <c r="AI1723" s="165"/>
      <c r="AJ1723" s="165"/>
      <c r="AK1723" s="165"/>
      <c r="AL1723" s="165"/>
      <c r="AM1723" s="165"/>
      <c r="AN1723" s="165"/>
    </row>
    <row r="1724" spans="3:40">
      <c r="C1724" s="46"/>
      <c r="F1724" s="173"/>
      <c r="G1724" s="1"/>
      <c r="H1724" s="165"/>
      <c r="I1724" s="160"/>
      <c r="J1724" s="160"/>
      <c r="K1724" s="1"/>
      <c r="L1724" s="123"/>
      <c r="M1724" s="1"/>
      <c r="N1724" s="590"/>
      <c r="O1724" s="165"/>
      <c r="P1724" s="165"/>
      <c r="Q1724" s="165"/>
      <c r="R1724" s="165"/>
      <c r="S1724" s="165"/>
      <c r="V1724" s="46"/>
      <c r="W1724" s="46"/>
      <c r="X1724" s="1"/>
      <c r="Y1724" s="1"/>
      <c r="Z1724" s="173"/>
      <c r="AA1724" s="1"/>
      <c r="AB1724" s="165"/>
      <c r="AC1724" s="1"/>
      <c r="AD1724" s="1"/>
      <c r="AE1724" s="1"/>
      <c r="AF1724" s="46"/>
      <c r="AG1724" s="1"/>
      <c r="AH1724" s="165"/>
      <c r="AI1724" s="165"/>
      <c r="AJ1724" s="165"/>
      <c r="AK1724" s="165"/>
      <c r="AL1724" s="165"/>
      <c r="AM1724" s="165"/>
      <c r="AN1724" s="165"/>
    </row>
    <row r="1725" spans="3:40">
      <c r="C1725" s="46"/>
      <c r="F1725" s="173"/>
      <c r="G1725" s="1"/>
      <c r="H1725" s="165"/>
      <c r="I1725" s="160"/>
      <c r="J1725" s="160"/>
      <c r="K1725" s="1"/>
      <c r="L1725" s="123"/>
      <c r="M1725" s="1"/>
      <c r="N1725" s="590"/>
      <c r="O1725" s="165"/>
      <c r="P1725" s="165"/>
      <c r="Q1725" s="165"/>
      <c r="R1725" s="165"/>
      <c r="S1725" s="165"/>
      <c r="V1725" s="46"/>
      <c r="W1725" s="46"/>
      <c r="X1725" s="1"/>
      <c r="Y1725" s="1"/>
      <c r="Z1725" s="173"/>
      <c r="AA1725" s="1"/>
      <c r="AB1725" s="165"/>
      <c r="AC1725" s="1"/>
      <c r="AD1725" s="1"/>
      <c r="AE1725" s="1"/>
      <c r="AF1725" s="46"/>
      <c r="AG1725" s="1"/>
      <c r="AH1725" s="165"/>
      <c r="AI1725" s="165"/>
      <c r="AJ1725" s="165"/>
      <c r="AK1725" s="165"/>
      <c r="AL1725" s="165"/>
      <c r="AM1725" s="165"/>
      <c r="AN1725" s="165"/>
    </row>
    <row r="1726" spans="3:40">
      <c r="C1726" s="46"/>
      <c r="F1726" s="173"/>
      <c r="G1726" s="1"/>
      <c r="H1726" s="165"/>
      <c r="I1726" s="160"/>
      <c r="J1726" s="160"/>
      <c r="K1726" s="1"/>
      <c r="L1726" s="123"/>
      <c r="M1726" s="1"/>
      <c r="N1726" s="590"/>
      <c r="O1726" s="165"/>
      <c r="P1726" s="165"/>
      <c r="Q1726" s="165"/>
      <c r="R1726" s="165"/>
      <c r="S1726" s="165"/>
      <c r="V1726" s="46"/>
      <c r="W1726" s="46"/>
      <c r="X1726" s="1"/>
      <c r="Y1726" s="1"/>
      <c r="Z1726" s="173"/>
      <c r="AA1726" s="1"/>
      <c r="AB1726" s="165"/>
      <c r="AC1726" s="1"/>
      <c r="AD1726" s="1"/>
      <c r="AE1726" s="1"/>
      <c r="AF1726" s="46"/>
      <c r="AG1726" s="1"/>
      <c r="AH1726" s="165"/>
      <c r="AI1726" s="165"/>
      <c r="AJ1726" s="165"/>
      <c r="AK1726" s="165"/>
      <c r="AL1726" s="165"/>
      <c r="AM1726" s="165"/>
      <c r="AN1726" s="165"/>
    </row>
    <row r="1727" spans="3:40">
      <c r="C1727" s="46"/>
      <c r="F1727" s="173"/>
      <c r="G1727" s="1"/>
      <c r="H1727" s="165"/>
      <c r="I1727" s="160"/>
      <c r="J1727" s="160"/>
      <c r="K1727" s="1"/>
      <c r="L1727" s="123"/>
      <c r="M1727" s="1"/>
      <c r="N1727" s="590"/>
      <c r="O1727" s="165"/>
      <c r="P1727" s="165"/>
      <c r="Q1727" s="165"/>
      <c r="R1727" s="165"/>
      <c r="S1727" s="165"/>
      <c r="V1727" s="46"/>
      <c r="W1727" s="46"/>
      <c r="X1727" s="1"/>
      <c r="Y1727" s="1"/>
      <c r="Z1727" s="173"/>
      <c r="AA1727" s="1"/>
      <c r="AB1727" s="165"/>
      <c r="AC1727" s="1"/>
      <c r="AD1727" s="1"/>
      <c r="AE1727" s="1"/>
      <c r="AF1727" s="46"/>
      <c r="AG1727" s="1"/>
      <c r="AH1727" s="165"/>
      <c r="AI1727" s="165"/>
      <c r="AJ1727" s="165"/>
      <c r="AK1727" s="165"/>
      <c r="AL1727" s="165"/>
      <c r="AM1727" s="165"/>
      <c r="AN1727" s="165"/>
    </row>
    <row r="1728" spans="3:40">
      <c r="C1728" s="46"/>
      <c r="F1728" s="173"/>
      <c r="G1728" s="1"/>
      <c r="H1728" s="165"/>
      <c r="I1728" s="160"/>
      <c r="J1728" s="160"/>
      <c r="K1728" s="1"/>
      <c r="L1728" s="123"/>
      <c r="M1728" s="1"/>
      <c r="N1728" s="590"/>
      <c r="O1728" s="165"/>
      <c r="P1728" s="165"/>
      <c r="Q1728" s="165"/>
      <c r="R1728" s="165"/>
      <c r="S1728" s="165"/>
      <c r="V1728" s="46"/>
      <c r="W1728" s="46"/>
      <c r="X1728" s="1"/>
      <c r="Y1728" s="1"/>
      <c r="Z1728" s="173"/>
      <c r="AA1728" s="1"/>
      <c r="AB1728" s="165"/>
      <c r="AC1728" s="1"/>
      <c r="AD1728" s="1"/>
      <c r="AE1728" s="1"/>
      <c r="AF1728" s="46"/>
      <c r="AG1728" s="1"/>
      <c r="AH1728" s="165"/>
      <c r="AI1728" s="165"/>
      <c r="AJ1728" s="165"/>
      <c r="AK1728" s="165"/>
      <c r="AL1728" s="165"/>
      <c r="AM1728" s="165"/>
      <c r="AN1728" s="165"/>
    </row>
    <row r="1729" spans="3:40">
      <c r="C1729" s="46"/>
      <c r="F1729" s="173"/>
      <c r="G1729" s="1"/>
      <c r="H1729" s="165"/>
      <c r="I1729" s="160"/>
      <c r="J1729" s="160"/>
      <c r="K1729" s="1"/>
      <c r="L1729" s="123"/>
      <c r="M1729" s="1"/>
      <c r="N1729" s="590"/>
      <c r="O1729" s="165"/>
      <c r="P1729" s="165"/>
      <c r="Q1729" s="165"/>
      <c r="R1729" s="165"/>
      <c r="S1729" s="165"/>
      <c r="V1729" s="46"/>
      <c r="W1729" s="46"/>
      <c r="X1729" s="1"/>
      <c r="Y1729" s="1"/>
      <c r="Z1729" s="173"/>
      <c r="AA1729" s="1"/>
      <c r="AB1729" s="165"/>
      <c r="AC1729" s="1"/>
      <c r="AD1729" s="1"/>
      <c r="AE1729" s="1"/>
      <c r="AF1729" s="46"/>
      <c r="AG1729" s="1"/>
      <c r="AH1729" s="165"/>
      <c r="AI1729" s="165"/>
      <c r="AJ1729" s="165"/>
      <c r="AK1729" s="165"/>
      <c r="AL1729" s="165"/>
      <c r="AM1729" s="165"/>
      <c r="AN1729" s="165"/>
    </row>
    <row r="1730" spans="3:40">
      <c r="C1730" s="46"/>
      <c r="F1730" s="173"/>
      <c r="G1730" s="1"/>
      <c r="H1730" s="165"/>
      <c r="I1730" s="160"/>
      <c r="J1730" s="160"/>
      <c r="K1730" s="1"/>
      <c r="L1730" s="123"/>
      <c r="M1730" s="1"/>
      <c r="N1730" s="590"/>
      <c r="O1730" s="165"/>
      <c r="P1730" s="165"/>
      <c r="Q1730" s="165"/>
      <c r="R1730" s="165"/>
      <c r="S1730" s="165"/>
      <c r="V1730" s="46"/>
      <c r="W1730" s="46"/>
      <c r="X1730" s="1"/>
      <c r="Y1730" s="1"/>
      <c r="Z1730" s="173"/>
      <c r="AA1730" s="1"/>
      <c r="AB1730" s="165"/>
      <c r="AC1730" s="1"/>
      <c r="AD1730" s="1"/>
      <c r="AE1730" s="1"/>
      <c r="AF1730" s="46"/>
      <c r="AG1730" s="1"/>
      <c r="AH1730" s="165"/>
      <c r="AI1730" s="165"/>
      <c r="AJ1730" s="165"/>
      <c r="AK1730" s="165"/>
      <c r="AL1730" s="165"/>
      <c r="AM1730" s="165"/>
      <c r="AN1730" s="165"/>
    </row>
    <row r="1731" spans="3:40">
      <c r="C1731" s="46"/>
      <c r="F1731" s="173"/>
      <c r="G1731" s="1"/>
      <c r="H1731" s="165"/>
      <c r="I1731" s="160"/>
      <c r="J1731" s="160"/>
      <c r="K1731" s="1"/>
      <c r="L1731" s="123"/>
      <c r="M1731" s="1"/>
      <c r="N1731" s="590"/>
      <c r="O1731" s="165"/>
      <c r="P1731" s="165"/>
      <c r="Q1731" s="165"/>
      <c r="R1731" s="165"/>
      <c r="S1731" s="165"/>
      <c r="V1731" s="46"/>
      <c r="W1731" s="46"/>
      <c r="X1731" s="1"/>
      <c r="Y1731" s="1"/>
      <c r="Z1731" s="173"/>
      <c r="AA1731" s="1"/>
      <c r="AB1731" s="165"/>
      <c r="AC1731" s="1"/>
      <c r="AD1731" s="1"/>
      <c r="AE1731" s="1"/>
      <c r="AF1731" s="46"/>
      <c r="AG1731" s="1"/>
      <c r="AH1731" s="165"/>
      <c r="AI1731" s="165"/>
      <c r="AJ1731" s="165"/>
      <c r="AK1731" s="165"/>
      <c r="AL1731" s="165"/>
      <c r="AM1731" s="165"/>
      <c r="AN1731" s="165"/>
    </row>
    <row r="1732" spans="3:40">
      <c r="C1732" s="46"/>
      <c r="F1732" s="173"/>
      <c r="G1732" s="1"/>
      <c r="H1732" s="165"/>
      <c r="I1732" s="160"/>
      <c r="J1732" s="160"/>
      <c r="K1732" s="1"/>
      <c r="L1732" s="123"/>
      <c r="M1732" s="1"/>
      <c r="N1732" s="590"/>
      <c r="O1732" s="165"/>
      <c r="P1732" s="165"/>
      <c r="Q1732" s="165"/>
      <c r="R1732" s="165"/>
      <c r="S1732" s="165"/>
      <c r="V1732" s="46"/>
      <c r="W1732" s="46"/>
      <c r="X1732" s="1"/>
      <c r="Y1732" s="1"/>
      <c r="Z1732" s="173"/>
      <c r="AA1732" s="1"/>
      <c r="AB1732" s="165"/>
      <c r="AC1732" s="1"/>
      <c r="AD1732" s="1"/>
      <c r="AE1732" s="1"/>
      <c r="AF1732" s="46"/>
      <c r="AG1732" s="1"/>
      <c r="AH1732" s="165"/>
      <c r="AI1732" s="165"/>
      <c r="AJ1732" s="165"/>
      <c r="AK1732" s="165"/>
      <c r="AL1732" s="165"/>
      <c r="AM1732" s="165"/>
      <c r="AN1732" s="165"/>
    </row>
    <row r="1733" spans="3:40">
      <c r="C1733" s="46"/>
      <c r="F1733" s="173"/>
      <c r="G1733" s="1"/>
      <c r="H1733" s="165"/>
      <c r="I1733" s="160"/>
      <c r="J1733" s="160"/>
      <c r="K1733" s="1"/>
      <c r="L1733" s="123"/>
      <c r="M1733" s="1"/>
      <c r="N1733" s="590"/>
      <c r="O1733" s="165"/>
      <c r="P1733" s="165"/>
      <c r="Q1733" s="165"/>
      <c r="R1733" s="165"/>
      <c r="S1733" s="165"/>
      <c r="V1733" s="46"/>
      <c r="W1733" s="46"/>
      <c r="X1733" s="1"/>
      <c r="Y1733" s="1"/>
      <c r="Z1733" s="173"/>
      <c r="AA1733" s="1"/>
      <c r="AB1733" s="165"/>
      <c r="AC1733" s="1"/>
      <c r="AD1733" s="1"/>
      <c r="AE1733" s="1"/>
      <c r="AF1733" s="46"/>
      <c r="AG1733" s="1"/>
      <c r="AH1733" s="165"/>
      <c r="AI1733" s="165"/>
      <c r="AJ1733" s="165"/>
      <c r="AK1733" s="165"/>
      <c r="AL1733" s="165"/>
      <c r="AM1733" s="165"/>
      <c r="AN1733" s="165"/>
    </row>
    <row r="1734" spans="3:40">
      <c r="C1734" s="46"/>
      <c r="F1734" s="173"/>
      <c r="G1734" s="1"/>
      <c r="H1734" s="165"/>
      <c r="I1734" s="160"/>
      <c r="J1734" s="160"/>
      <c r="K1734" s="1"/>
      <c r="L1734" s="123"/>
      <c r="M1734" s="1"/>
      <c r="N1734" s="590"/>
      <c r="O1734" s="165"/>
      <c r="P1734" s="165"/>
      <c r="Q1734" s="165"/>
      <c r="R1734" s="165"/>
      <c r="S1734" s="165"/>
      <c r="V1734" s="46"/>
      <c r="W1734" s="46"/>
      <c r="X1734" s="1"/>
      <c r="Y1734" s="1"/>
      <c r="Z1734" s="173"/>
      <c r="AA1734" s="1"/>
      <c r="AB1734" s="165"/>
      <c r="AC1734" s="1"/>
      <c r="AD1734" s="1"/>
      <c r="AE1734" s="1"/>
      <c r="AF1734" s="46"/>
      <c r="AG1734" s="1"/>
      <c r="AH1734" s="165"/>
      <c r="AI1734" s="165"/>
      <c r="AJ1734" s="165"/>
      <c r="AK1734" s="165"/>
      <c r="AL1734" s="165"/>
      <c r="AM1734" s="165"/>
      <c r="AN1734" s="165"/>
    </row>
    <row r="1735" spans="3:40">
      <c r="C1735" s="46"/>
      <c r="F1735" s="173"/>
      <c r="G1735" s="1"/>
      <c r="H1735" s="165"/>
      <c r="I1735" s="160"/>
      <c r="J1735" s="160"/>
      <c r="K1735" s="1"/>
      <c r="L1735" s="123"/>
      <c r="M1735" s="1"/>
      <c r="N1735" s="590"/>
      <c r="O1735" s="165"/>
      <c r="P1735" s="165"/>
      <c r="Q1735" s="165"/>
      <c r="R1735" s="165"/>
      <c r="S1735" s="165"/>
      <c r="V1735" s="46"/>
      <c r="W1735" s="46"/>
      <c r="X1735" s="1"/>
      <c r="Y1735" s="1"/>
      <c r="Z1735" s="173"/>
      <c r="AA1735" s="1"/>
      <c r="AB1735" s="165"/>
      <c r="AC1735" s="1"/>
      <c r="AD1735" s="1"/>
      <c r="AE1735" s="1"/>
      <c r="AF1735" s="46"/>
      <c r="AG1735" s="1"/>
      <c r="AH1735" s="165"/>
      <c r="AI1735" s="165"/>
      <c r="AJ1735" s="165"/>
      <c r="AK1735" s="165"/>
      <c r="AL1735" s="165"/>
      <c r="AM1735" s="165"/>
      <c r="AN1735" s="165"/>
    </row>
    <row r="1736" spans="3:40">
      <c r="C1736" s="46"/>
      <c r="F1736" s="173"/>
      <c r="G1736" s="1"/>
      <c r="H1736" s="165"/>
      <c r="I1736" s="160"/>
      <c r="J1736" s="160"/>
      <c r="K1736" s="1"/>
      <c r="L1736" s="123"/>
      <c r="M1736" s="1"/>
      <c r="N1736" s="590"/>
      <c r="O1736" s="165"/>
      <c r="P1736" s="165"/>
      <c r="Q1736" s="165"/>
      <c r="R1736" s="165"/>
      <c r="S1736" s="165"/>
      <c r="V1736" s="46"/>
      <c r="W1736" s="46"/>
      <c r="X1736" s="1"/>
      <c r="Y1736" s="1"/>
      <c r="Z1736" s="173"/>
      <c r="AA1736" s="1"/>
      <c r="AB1736" s="165"/>
      <c r="AC1736" s="1"/>
      <c r="AD1736" s="1"/>
      <c r="AE1736" s="1"/>
      <c r="AF1736" s="46"/>
      <c r="AG1736" s="1"/>
      <c r="AH1736" s="165"/>
      <c r="AI1736" s="165"/>
      <c r="AJ1736" s="165"/>
      <c r="AK1736" s="165"/>
      <c r="AL1736" s="165"/>
      <c r="AM1736" s="165"/>
      <c r="AN1736" s="165"/>
    </row>
    <row r="1737" spans="3:40">
      <c r="C1737" s="46"/>
      <c r="F1737" s="173"/>
      <c r="G1737" s="1"/>
      <c r="H1737" s="165"/>
      <c r="I1737" s="160"/>
      <c r="J1737" s="160"/>
      <c r="K1737" s="1"/>
      <c r="L1737" s="123"/>
      <c r="M1737" s="1"/>
      <c r="N1737" s="590"/>
      <c r="O1737" s="165"/>
      <c r="P1737" s="165"/>
      <c r="Q1737" s="165"/>
      <c r="R1737" s="165"/>
      <c r="S1737" s="165"/>
      <c r="V1737" s="46"/>
      <c r="W1737" s="46"/>
      <c r="X1737" s="1"/>
      <c r="Y1737" s="1"/>
      <c r="Z1737" s="173"/>
      <c r="AA1737" s="1"/>
      <c r="AB1737" s="165"/>
      <c r="AC1737" s="1"/>
      <c r="AD1737" s="1"/>
      <c r="AE1737" s="1"/>
      <c r="AF1737" s="46"/>
      <c r="AG1737" s="1"/>
      <c r="AH1737" s="165"/>
      <c r="AI1737" s="165"/>
      <c r="AJ1737" s="165"/>
      <c r="AK1737" s="165"/>
      <c r="AL1737" s="165"/>
      <c r="AM1737" s="165"/>
      <c r="AN1737" s="165"/>
    </row>
    <row r="1738" spans="3:40">
      <c r="C1738" s="46"/>
      <c r="F1738" s="173"/>
      <c r="G1738" s="1"/>
      <c r="H1738" s="165"/>
      <c r="I1738" s="160"/>
      <c r="J1738" s="160"/>
      <c r="K1738" s="1"/>
      <c r="L1738" s="123"/>
      <c r="M1738" s="1"/>
      <c r="N1738" s="590"/>
      <c r="O1738" s="165"/>
      <c r="P1738" s="165"/>
      <c r="Q1738" s="165"/>
      <c r="R1738" s="165"/>
      <c r="S1738" s="165"/>
      <c r="V1738" s="46"/>
      <c r="W1738" s="46"/>
      <c r="X1738" s="1"/>
      <c r="Y1738" s="1"/>
      <c r="Z1738" s="173"/>
      <c r="AA1738" s="1"/>
      <c r="AB1738" s="165"/>
      <c r="AC1738" s="1"/>
      <c r="AD1738" s="1"/>
      <c r="AE1738" s="1"/>
      <c r="AF1738" s="46"/>
      <c r="AG1738" s="1"/>
      <c r="AH1738" s="165"/>
      <c r="AI1738" s="165"/>
      <c r="AJ1738" s="165"/>
      <c r="AK1738" s="165"/>
      <c r="AL1738" s="165"/>
      <c r="AM1738" s="165"/>
      <c r="AN1738" s="165"/>
    </row>
    <row r="1739" spans="3:40">
      <c r="C1739" s="46"/>
      <c r="F1739" s="173"/>
      <c r="G1739" s="1"/>
      <c r="H1739" s="165"/>
      <c r="I1739" s="160"/>
      <c r="J1739" s="160"/>
      <c r="K1739" s="1"/>
      <c r="L1739" s="123"/>
      <c r="M1739" s="1"/>
      <c r="N1739" s="590"/>
      <c r="O1739" s="165"/>
      <c r="P1739" s="165"/>
      <c r="Q1739" s="165"/>
      <c r="R1739" s="165"/>
      <c r="S1739" s="165"/>
      <c r="V1739" s="46"/>
      <c r="W1739" s="46"/>
      <c r="X1739" s="1"/>
      <c r="Y1739" s="1"/>
      <c r="Z1739" s="173"/>
      <c r="AA1739" s="1"/>
      <c r="AB1739" s="165"/>
      <c r="AC1739" s="1"/>
      <c r="AD1739" s="1"/>
      <c r="AE1739" s="1"/>
      <c r="AF1739" s="46"/>
      <c r="AG1739" s="1"/>
      <c r="AH1739" s="165"/>
      <c r="AI1739" s="165"/>
      <c r="AJ1739" s="165"/>
      <c r="AK1739" s="165"/>
      <c r="AL1739" s="165"/>
      <c r="AM1739" s="165"/>
      <c r="AN1739" s="165"/>
    </row>
    <row r="1740" spans="3:40">
      <c r="C1740" s="46"/>
      <c r="F1740" s="173"/>
      <c r="G1740" s="1"/>
      <c r="H1740" s="165"/>
      <c r="I1740" s="160"/>
      <c r="J1740" s="160"/>
      <c r="K1740" s="1"/>
      <c r="L1740" s="123"/>
      <c r="M1740" s="1"/>
      <c r="N1740" s="590"/>
      <c r="O1740" s="165"/>
      <c r="P1740" s="165"/>
      <c r="Q1740" s="165"/>
      <c r="R1740" s="165"/>
      <c r="S1740" s="165"/>
      <c r="V1740" s="46"/>
      <c r="W1740" s="46"/>
      <c r="X1740" s="1"/>
      <c r="Y1740" s="1"/>
      <c r="Z1740" s="173"/>
      <c r="AA1740" s="1"/>
      <c r="AB1740" s="165"/>
      <c r="AC1740" s="1"/>
      <c r="AD1740" s="1"/>
      <c r="AE1740" s="1"/>
      <c r="AF1740" s="46"/>
      <c r="AG1740" s="1"/>
      <c r="AH1740" s="165"/>
      <c r="AI1740" s="165"/>
      <c r="AJ1740" s="165"/>
      <c r="AK1740" s="165"/>
      <c r="AL1740" s="165"/>
      <c r="AM1740" s="165"/>
      <c r="AN1740" s="165"/>
    </row>
    <row r="1741" spans="3:40">
      <c r="C1741" s="46"/>
      <c r="F1741" s="173"/>
      <c r="G1741" s="1"/>
      <c r="H1741" s="165"/>
      <c r="I1741" s="160"/>
      <c r="J1741" s="160"/>
      <c r="K1741" s="1"/>
      <c r="L1741" s="123"/>
      <c r="M1741" s="1"/>
      <c r="N1741" s="590"/>
      <c r="O1741" s="165"/>
      <c r="P1741" s="165"/>
      <c r="Q1741" s="165"/>
      <c r="R1741" s="165"/>
      <c r="S1741" s="165"/>
      <c r="V1741" s="46"/>
      <c r="W1741" s="46"/>
      <c r="X1741" s="1"/>
      <c r="Y1741" s="1"/>
      <c r="Z1741" s="173"/>
      <c r="AA1741" s="1"/>
      <c r="AB1741" s="165"/>
      <c r="AC1741" s="1"/>
      <c r="AD1741" s="1"/>
      <c r="AE1741" s="1"/>
      <c r="AF1741" s="46"/>
      <c r="AG1741" s="1"/>
      <c r="AH1741" s="165"/>
      <c r="AI1741" s="165"/>
      <c r="AJ1741" s="165"/>
      <c r="AK1741" s="165"/>
      <c r="AL1741" s="165"/>
      <c r="AM1741" s="165"/>
      <c r="AN1741" s="165"/>
    </row>
    <row r="1742" spans="3:40">
      <c r="C1742" s="46"/>
      <c r="F1742" s="173"/>
      <c r="G1742" s="1"/>
      <c r="H1742" s="165"/>
      <c r="I1742" s="160"/>
      <c r="J1742" s="160"/>
      <c r="K1742" s="1"/>
      <c r="L1742" s="123"/>
      <c r="M1742" s="1"/>
      <c r="N1742" s="590"/>
      <c r="O1742" s="165"/>
      <c r="P1742" s="165"/>
      <c r="Q1742" s="165"/>
      <c r="R1742" s="165"/>
      <c r="S1742" s="165"/>
      <c r="V1742" s="46"/>
      <c r="W1742" s="46"/>
      <c r="X1742" s="1"/>
      <c r="Y1742" s="1"/>
      <c r="Z1742" s="173"/>
      <c r="AA1742" s="1"/>
      <c r="AB1742" s="165"/>
      <c r="AC1742" s="1"/>
      <c r="AD1742" s="1"/>
      <c r="AE1742" s="1"/>
      <c r="AF1742" s="46"/>
      <c r="AG1742" s="1"/>
      <c r="AH1742" s="165"/>
      <c r="AI1742" s="165"/>
      <c r="AJ1742" s="165"/>
      <c r="AK1742" s="165"/>
      <c r="AL1742" s="165"/>
      <c r="AM1742" s="165"/>
      <c r="AN1742" s="165"/>
    </row>
    <row r="1743" spans="3:40">
      <c r="C1743" s="46"/>
      <c r="F1743" s="173"/>
      <c r="G1743" s="1"/>
      <c r="H1743" s="165"/>
      <c r="I1743" s="160"/>
      <c r="J1743" s="160"/>
      <c r="K1743" s="1"/>
      <c r="L1743" s="123"/>
      <c r="M1743" s="1"/>
      <c r="N1743" s="590"/>
      <c r="O1743" s="165"/>
      <c r="P1743" s="165"/>
      <c r="Q1743" s="165"/>
      <c r="R1743" s="165"/>
      <c r="S1743" s="165"/>
      <c r="V1743" s="46"/>
      <c r="W1743" s="46"/>
      <c r="X1743" s="1"/>
      <c r="Y1743" s="1"/>
      <c r="Z1743" s="173"/>
      <c r="AA1743" s="1"/>
      <c r="AB1743" s="165"/>
      <c r="AC1743" s="1"/>
      <c r="AD1743" s="1"/>
      <c r="AE1743" s="1"/>
      <c r="AF1743" s="46"/>
      <c r="AG1743" s="1"/>
      <c r="AH1743" s="165"/>
      <c r="AI1743" s="165"/>
      <c r="AJ1743" s="165"/>
      <c r="AK1743" s="165"/>
      <c r="AL1743" s="165"/>
      <c r="AM1743" s="165"/>
      <c r="AN1743" s="165"/>
    </row>
    <row r="1744" spans="3:40">
      <c r="C1744" s="46"/>
      <c r="F1744" s="173"/>
      <c r="G1744" s="1"/>
      <c r="H1744" s="165"/>
      <c r="I1744" s="160"/>
      <c r="J1744" s="160"/>
      <c r="K1744" s="1"/>
      <c r="L1744" s="123"/>
      <c r="M1744" s="1"/>
      <c r="N1744" s="590"/>
      <c r="O1744" s="165"/>
      <c r="P1744" s="165"/>
      <c r="Q1744" s="165"/>
      <c r="R1744" s="165"/>
      <c r="S1744" s="165"/>
      <c r="V1744" s="46"/>
      <c r="W1744" s="46"/>
      <c r="X1744" s="1"/>
      <c r="Y1744" s="1"/>
      <c r="Z1744" s="173"/>
      <c r="AA1744" s="1"/>
      <c r="AB1744" s="165"/>
      <c r="AC1744" s="1"/>
      <c r="AD1744" s="1"/>
      <c r="AE1744" s="1"/>
      <c r="AF1744" s="46"/>
      <c r="AG1744" s="1"/>
      <c r="AH1744" s="165"/>
      <c r="AI1744" s="165"/>
      <c r="AJ1744" s="165"/>
      <c r="AK1744" s="165"/>
      <c r="AL1744" s="165"/>
      <c r="AM1744" s="165"/>
      <c r="AN1744" s="165"/>
    </row>
    <row r="1745" spans="3:40">
      <c r="C1745" s="46"/>
      <c r="F1745" s="173"/>
      <c r="G1745" s="1"/>
      <c r="H1745" s="165"/>
      <c r="I1745" s="160"/>
      <c r="J1745" s="160"/>
      <c r="K1745" s="1"/>
      <c r="L1745" s="123"/>
      <c r="M1745" s="1"/>
      <c r="N1745" s="590"/>
      <c r="O1745" s="165"/>
      <c r="P1745" s="165"/>
      <c r="Q1745" s="165"/>
      <c r="R1745" s="165"/>
      <c r="S1745" s="165"/>
      <c r="V1745" s="46"/>
      <c r="W1745" s="46"/>
      <c r="X1745" s="1"/>
      <c r="Y1745" s="1"/>
      <c r="Z1745" s="173"/>
      <c r="AA1745" s="1"/>
      <c r="AB1745" s="165"/>
      <c r="AC1745" s="1"/>
      <c r="AD1745" s="1"/>
      <c r="AE1745" s="1"/>
      <c r="AF1745" s="46"/>
      <c r="AG1745" s="1"/>
      <c r="AH1745" s="165"/>
      <c r="AI1745" s="165"/>
      <c r="AJ1745" s="165"/>
      <c r="AK1745" s="165"/>
      <c r="AL1745" s="165"/>
      <c r="AM1745" s="165"/>
      <c r="AN1745" s="165"/>
    </row>
    <row r="1746" spans="3:40">
      <c r="C1746" s="46"/>
      <c r="F1746" s="173"/>
      <c r="G1746" s="1"/>
      <c r="H1746" s="165"/>
      <c r="I1746" s="160"/>
      <c r="J1746" s="160"/>
      <c r="K1746" s="1"/>
      <c r="L1746" s="123"/>
      <c r="M1746" s="1"/>
      <c r="N1746" s="590"/>
      <c r="O1746" s="165"/>
      <c r="P1746" s="165"/>
      <c r="Q1746" s="165"/>
      <c r="R1746" s="165"/>
      <c r="S1746" s="165"/>
      <c r="V1746" s="46"/>
      <c r="W1746" s="46"/>
      <c r="X1746" s="1"/>
      <c r="Y1746" s="1"/>
      <c r="Z1746" s="173"/>
      <c r="AA1746" s="1"/>
      <c r="AB1746" s="165"/>
      <c r="AC1746" s="1"/>
      <c r="AD1746" s="1"/>
      <c r="AE1746" s="1"/>
      <c r="AF1746" s="46"/>
      <c r="AG1746" s="1"/>
      <c r="AH1746" s="165"/>
      <c r="AI1746" s="165"/>
      <c r="AJ1746" s="165"/>
      <c r="AK1746" s="165"/>
      <c r="AL1746" s="165"/>
      <c r="AM1746" s="165"/>
      <c r="AN1746" s="165"/>
    </row>
    <row r="1747" spans="3:40">
      <c r="C1747" s="46"/>
      <c r="F1747" s="173"/>
      <c r="G1747" s="1"/>
      <c r="H1747" s="165"/>
      <c r="I1747" s="160"/>
      <c r="J1747" s="160"/>
      <c r="K1747" s="1"/>
      <c r="L1747" s="123"/>
      <c r="M1747" s="1"/>
      <c r="N1747" s="590"/>
      <c r="O1747" s="165"/>
      <c r="P1747" s="165"/>
      <c r="Q1747" s="165"/>
      <c r="R1747" s="165"/>
      <c r="S1747" s="165"/>
      <c r="V1747" s="46"/>
      <c r="W1747" s="46"/>
      <c r="X1747" s="1"/>
      <c r="Y1747" s="1"/>
      <c r="Z1747" s="173"/>
      <c r="AA1747" s="1"/>
      <c r="AB1747" s="165"/>
      <c r="AC1747" s="1"/>
      <c r="AD1747" s="1"/>
      <c r="AE1747" s="1"/>
      <c r="AF1747" s="46"/>
      <c r="AG1747" s="1"/>
      <c r="AH1747" s="165"/>
      <c r="AI1747" s="165"/>
      <c r="AJ1747" s="165"/>
      <c r="AK1747" s="165"/>
      <c r="AL1747" s="165"/>
      <c r="AM1747" s="165"/>
      <c r="AN1747" s="165"/>
    </row>
    <row r="1748" spans="3:40">
      <c r="C1748" s="46"/>
      <c r="F1748" s="173"/>
      <c r="G1748" s="1"/>
      <c r="H1748" s="165"/>
      <c r="I1748" s="160"/>
      <c r="J1748" s="160"/>
      <c r="K1748" s="1"/>
      <c r="L1748" s="123"/>
      <c r="M1748" s="1"/>
      <c r="N1748" s="590"/>
      <c r="O1748" s="165"/>
      <c r="P1748" s="165"/>
      <c r="Q1748" s="165"/>
      <c r="R1748" s="165"/>
      <c r="S1748" s="165"/>
      <c r="V1748" s="46"/>
      <c r="W1748" s="46"/>
      <c r="X1748" s="1"/>
      <c r="Y1748" s="1"/>
      <c r="Z1748" s="173"/>
      <c r="AA1748" s="1"/>
      <c r="AB1748" s="165"/>
      <c r="AC1748" s="1"/>
      <c r="AD1748" s="1"/>
      <c r="AE1748" s="1"/>
      <c r="AF1748" s="46"/>
      <c r="AG1748" s="1"/>
      <c r="AH1748" s="165"/>
      <c r="AI1748" s="165"/>
      <c r="AJ1748" s="165"/>
      <c r="AK1748" s="165"/>
      <c r="AL1748" s="165"/>
      <c r="AM1748" s="165"/>
      <c r="AN1748" s="165"/>
    </row>
    <row r="1749" spans="3:40">
      <c r="C1749" s="46"/>
      <c r="F1749" s="173"/>
      <c r="G1749" s="1"/>
      <c r="H1749" s="165"/>
      <c r="I1749" s="160"/>
      <c r="J1749" s="160"/>
      <c r="K1749" s="1"/>
      <c r="L1749" s="123"/>
      <c r="M1749" s="1"/>
      <c r="N1749" s="590"/>
      <c r="O1749" s="165"/>
      <c r="P1749" s="165"/>
      <c r="Q1749" s="165"/>
      <c r="R1749" s="165"/>
      <c r="S1749" s="165"/>
      <c r="V1749" s="46"/>
      <c r="W1749" s="46"/>
      <c r="X1749" s="1"/>
      <c r="Y1749" s="1"/>
      <c r="Z1749" s="173"/>
      <c r="AA1749" s="1"/>
      <c r="AB1749" s="165"/>
      <c r="AC1749" s="1"/>
      <c r="AD1749" s="1"/>
      <c r="AE1749" s="1"/>
      <c r="AF1749" s="46"/>
      <c r="AG1749" s="1"/>
      <c r="AH1749" s="165"/>
      <c r="AI1749" s="165"/>
      <c r="AJ1749" s="165"/>
      <c r="AK1749" s="165"/>
      <c r="AL1749" s="165"/>
      <c r="AM1749" s="165"/>
      <c r="AN1749" s="165"/>
    </row>
    <row r="1750" spans="3:40">
      <c r="C1750" s="46"/>
      <c r="F1750" s="173"/>
      <c r="G1750" s="1"/>
      <c r="H1750" s="165"/>
      <c r="I1750" s="160"/>
      <c r="J1750" s="160"/>
      <c r="K1750" s="1"/>
      <c r="L1750" s="123"/>
      <c r="M1750" s="1"/>
      <c r="N1750" s="590"/>
      <c r="O1750" s="165"/>
      <c r="P1750" s="165"/>
      <c r="Q1750" s="165"/>
      <c r="R1750" s="165"/>
      <c r="S1750" s="165"/>
      <c r="V1750" s="46"/>
      <c r="W1750" s="46"/>
      <c r="X1750" s="1"/>
      <c r="Y1750" s="1"/>
      <c r="Z1750" s="173"/>
      <c r="AA1750" s="1"/>
      <c r="AB1750" s="165"/>
      <c r="AC1750" s="1"/>
      <c r="AD1750" s="1"/>
      <c r="AE1750" s="1"/>
      <c r="AF1750" s="46"/>
      <c r="AG1750" s="1"/>
      <c r="AH1750" s="165"/>
      <c r="AI1750" s="165"/>
      <c r="AJ1750" s="165"/>
      <c r="AK1750" s="165"/>
      <c r="AL1750" s="165"/>
      <c r="AM1750" s="165"/>
      <c r="AN1750" s="165"/>
    </row>
    <row r="1751" spans="3:40">
      <c r="C1751" s="46"/>
      <c r="F1751" s="173"/>
      <c r="G1751" s="1"/>
      <c r="H1751" s="165"/>
      <c r="I1751" s="160"/>
      <c r="J1751" s="160"/>
      <c r="K1751" s="1"/>
      <c r="L1751" s="123"/>
      <c r="M1751" s="1"/>
      <c r="N1751" s="590"/>
      <c r="O1751" s="165"/>
      <c r="P1751" s="165"/>
      <c r="Q1751" s="165"/>
      <c r="R1751" s="165"/>
      <c r="S1751" s="165"/>
      <c r="V1751" s="46"/>
      <c r="W1751" s="46"/>
      <c r="X1751" s="1"/>
      <c r="Y1751" s="1"/>
      <c r="Z1751" s="173"/>
      <c r="AA1751" s="1"/>
      <c r="AB1751" s="165"/>
      <c r="AC1751" s="1"/>
      <c r="AD1751" s="1"/>
      <c r="AE1751" s="1"/>
      <c r="AF1751" s="46"/>
      <c r="AG1751" s="1"/>
      <c r="AH1751" s="165"/>
      <c r="AI1751" s="165"/>
      <c r="AJ1751" s="165"/>
      <c r="AK1751" s="165"/>
      <c r="AL1751" s="165"/>
      <c r="AM1751" s="165"/>
      <c r="AN1751" s="165"/>
    </row>
    <row r="1752" spans="3:40">
      <c r="C1752" s="46"/>
      <c r="F1752" s="173"/>
      <c r="G1752" s="1"/>
      <c r="H1752" s="165"/>
      <c r="I1752" s="160"/>
      <c r="J1752" s="160"/>
      <c r="K1752" s="1"/>
      <c r="L1752" s="123"/>
      <c r="M1752" s="1"/>
      <c r="N1752" s="590"/>
      <c r="O1752" s="165"/>
      <c r="P1752" s="165"/>
      <c r="Q1752" s="165"/>
      <c r="R1752" s="165"/>
      <c r="S1752" s="165"/>
      <c r="V1752" s="46"/>
      <c r="W1752" s="46"/>
      <c r="X1752" s="1"/>
      <c r="Y1752" s="1"/>
      <c r="Z1752" s="173"/>
      <c r="AA1752" s="1"/>
      <c r="AB1752" s="165"/>
      <c r="AC1752" s="1"/>
      <c r="AD1752" s="1"/>
      <c r="AE1752" s="1"/>
      <c r="AF1752" s="46"/>
      <c r="AG1752" s="1"/>
      <c r="AH1752" s="165"/>
      <c r="AI1752" s="165"/>
      <c r="AJ1752" s="165"/>
      <c r="AK1752" s="165"/>
      <c r="AL1752" s="165"/>
      <c r="AM1752" s="165"/>
      <c r="AN1752" s="165"/>
    </row>
    <row r="1753" spans="3:40">
      <c r="C1753" s="46"/>
      <c r="F1753" s="173"/>
      <c r="G1753" s="1"/>
      <c r="H1753" s="165"/>
      <c r="I1753" s="160"/>
      <c r="J1753" s="160"/>
      <c r="K1753" s="1"/>
      <c r="L1753" s="123"/>
      <c r="M1753" s="1"/>
      <c r="N1753" s="590"/>
      <c r="O1753" s="165"/>
      <c r="P1753" s="165"/>
      <c r="Q1753" s="165"/>
      <c r="R1753" s="165"/>
      <c r="S1753" s="165"/>
      <c r="V1753" s="46"/>
      <c r="W1753" s="46"/>
      <c r="X1753" s="1"/>
      <c r="Y1753" s="1"/>
      <c r="Z1753" s="173"/>
      <c r="AA1753" s="1"/>
      <c r="AB1753" s="165"/>
      <c r="AC1753" s="1"/>
      <c r="AD1753" s="1"/>
      <c r="AE1753" s="1"/>
      <c r="AF1753" s="46"/>
      <c r="AG1753" s="1"/>
      <c r="AH1753" s="165"/>
      <c r="AI1753" s="165"/>
      <c r="AJ1753" s="165"/>
      <c r="AK1753" s="165"/>
      <c r="AL1753" s="165"/>
      <c r="AM1753" s="165"/>
      <c r="AN1753" s="165"/>
    </row>
    <row r="1754" spans="3:40">
      <c r="C1754" s="46"/>
      <c r="F1754" s="173"/>
      <c r="G1754" s="1"/>
      <c r="H1754" s="165"/>
      <c r="I1754" s="160"/>
      <c r="J1754" s="160"/>
      <c r="K1754" s="1"/>
      <c r="L1754" s="123"/>
      <c r="M1754" s="1"/>
      <c r="N1754" s="590"/>
      <c r="O1754" s="165"/>
      <c r="P1754" s="165"/>
      <c r="Q1754" s="165"/>
      <c r="R1754" s="165"/>
      <c r="S1754" s="165"/>
      <c r="V1754" s="46"/>
      <c r="W1754" s="46"/>
      <c r="X1754" s="1"/>
      <c r="Y1754" s="1"/>
      <c r="Z1754" s="173"/>
      <c r="AA1754" s="1"/>
      <c r="AB1754" s="165"/>
      <c r="AC1754" s="1"/>
      <c r="AD1754" s="1"/>
      <c r="AE1754" s="1"/>
      <c r="AF1754" s="46"/>
      <c r="AG1754" s="1"/>
      <c r="AH1754" s="165"/>
      <c r="AI1754" s="165"/>
      <c r="AJ1754" s="165"/>
      <c r="AK1754" s="165"/>
      <c r="AL1754" s="165"/>
      <c r="AM1754" s="165"/>
      <c r="AN1754" s="165"/>
    </row>
    <row r="1755" spans="3:40">
      <c r="C1755" s="46"/>
      <c r="F1755" s="173"/>
      <c r="G1755" s="1"/>
      <c r="H1755" s="165"/>
      <c r="I1755" s="160"/>
      <c r="J1755" s="160"/>
      <c r="K1755" s="1"/>
      <c r="L1755" s="123"/>
      <c r="M1755" s="1"/>
      <c r="N1755" s="590"/>
      <c r="O1755" s="165"/>
      <c r="P1755" s="165"/>
      <c r="Q1755" s="165"/>
      <c r="R1755" s="165"/>
      <c r="S1755" s="165"/>
      <c r="V1755" s="46"/>
      <c r="W1755" s="46"/>
      <c r="X1755" s="1"/>
      <c r="Y1755" s="1"/>
      <c r="Z1755" s="173"/>
      <c r="AA1755" s="1"/>
      <c r="AB1755" s="165"/>
      <c r="AC1755" s="1"/>
      <c r="AD1755" s="1"/>
      <c r="AE1755" s="1"/>
      <c r="AF1755" s="46"/>
      <c r="AG1755" s="1"/>
      <c r="AH1755" s="165"/>
      <c r="AI1755" s="165"/>
      <c r="AJ1755" s="165"/>
      <c r="AK1755" s="165"/>
      <c r="AL1755" s="165"/>
      <c r="AM1755" s="165"/>
      <c r="AN1755" s="165"/>
    </row>
    <row r="1756" spans="3:40">
      <c r="C1756" s="46"/>
      <c r="F1756" s="173"/>
      <c r="G1756" s="1"/>
      <c r="H1756" s="165"/>
      <c r="I1756" s="160"/>
      <c r="J1756" s="160"/>
      <c r="K1756" s="1"/>
      <c r="L1756" s="123"/>
      <c r="M1756" s="1"/>
      <c r="N1756" s="590"/>
      <c r="O1756" s="165"/>
      <c r="P1756" s="165"/>
      <c r="Q1756" s="165"/>
      <c r="R1756" s="165"/>
      <c r="S1756" s="165"/>
      <c r="V1756" s="46"/>
      <c r="W1756" s="46"/>
      <c r="X1756" s="1"/>
      <c r="Y1756" s="1"/>
      <c r="Z1756" s="173"/>
      <c r="AA1756" s="1"/>
      <c r="AB1756" s="165"/>
      <c r="AC1756" s="1"/>
      <c r="AD1756" s="1"/>
      <c r="AE1756" s="1"/>
      <c r="AF1756" s="46"/>
      <c r="AG1756" s="1"/>
      <c r="AH1756" s="165"/>
      <c r="AI1756" s="165"/>
      <c r="AJ1756" s="165"/>
      <c r="AK1756" s="165"/>
      <c r="AL1756" s="165"/>
      <c r="AM1756" s="165"/>
      <c r="AN1756" s="165"/>
    </row>
    <row r="1757" spans="3:40">
      <c r="C1757" s="46"/>
      <c r="F1757" s="173"/>
      <c r="G1757" s="1"/>
      <c r="H1757" s="165"/>
      <c r="I1757" s="160"/>
      <c r="J1757" s="160"/>
      <c r="K1757" s="1"/>
      <c r="L1757" s="123"/>
      <c r="M1757" s="1"/>
      <c r="N1757" s="590"/>
      <c r="O1757" s="165"/>
      <c r="P1757" s="165"/>
      <c r="Q1757" s="165"/>
      <c r="R1757" s="165"/>
      <c r="S1757" s="165"/>
      <c r="V1757" s="46"/>
      <c r="W1757" s="46"/>
      <c r="X1757" s="1"/>
      <c r="Y1757" s="1"/>
      <c r="Z1757" s="173"/>
      <c r="AA1757" s="1"/>
      <c r="AB1757" s="165"/>
      <c r="AC1757" s="1"/>
      <c r="AD1757" s="1"/>
      <c r="AE1757" s="1"/>
      <c r="AF1757" s="46"/>
      <c r="AG1757" s="1"/>
      <c r="AH1757" s="165"/>
      <c r="AI1757" s="165"/>
      <c r="AJ1757" s="165"/>
      <c r="AK1757" s="165"/>
      <c r="AL1757" s="165"/>
      <c r="AM1757" s="165"/>
      <c r="AN1757" s="165"/>
    </row>
    <row r="1758" spans="3:40">
      <c r="C1758" s="46"/>
      <c r="F1758" s="173"/>
      <c r="G1758" s="1"/>
      <c r="H1758" s="165"/>
      <c r="I1758" s="160"/>
      <c r="J1758" s="160"/>
      <c r="K1758" s="1"/>
      <c r="L1758" s="123"/>
      <c r="M1758" s="1"/>
      <c r="N1758" s="590"/>
      <c r="O1758" s="165"/>
      <c r="P1758" s="165"/>
      <c r="Q1758" s="165"/>
      <c r="R1758" s="165"/>
      <c r="S1758" s="165"/>
      <c r="V1758" s="46"/>
      <c r="W1758" s="46"/>
      <c r="X1758" s="1"/>
      <c r="Y1758" s="1"/>
      <c r="Z1758" s="173"/>
      <c r="AA1758" s="1"/>
      <c r="AB1758" s="165"/>
      <c r="AC1758" s="1"/>
      <c r="AD1758" s="1"/>
      <c r="AE1758" s="1"/>
      <c r="AF1758" s="46"/>
      <c r="AG1758" s="1"/>
      <c r="AH1758" s="165"/>
      <c r="AI1758" s="165"/>
      <c r="AJ1758" s="165"/>
      <c r="AK1758" s="165"/>
      <c r="AL1758" s="165"/>
      <c r="AM1758" s="165"/>
      <c r="AN1758" s="165"/>
    </row>
    <row r="1759" spans="3:40">
      <c r="C1759" s="46"/>
      <c r="F1759" s="173"/>
      <c r="G1759" s="1"/>
      <c r="H1759" s="165"/>
      <c r="I1759" s="160"/>
      <c r="J1759" s="160"/>
      <c r="K1759" s="1"/>
      <c r="L1759" s="123"/>
      <c r="M1759" s="1"/>
      <c r="N1759" s="590"/>
      <c r="O1759" s="165"/>
      <c r="P1759" s="165"/>
      <c r="Q1759" s="165"/>
      <c r="R1759" s="165"/>
      <c r="S1759" s="165"/>
      <c r="V1759" s="46"/>
      <c r="W1759" s="46"/>
      <c r="X1759" s="1"/>
      <c r="Y1759" s="1"/>
      <c r="Z1759" s="173"/>
      <c r="AA1759" s="1"/>
      <c r="AB1759" s="165"/>
      <c r="AC1759" s="1"/>
      <c r="AD1759" s="1"/>
      <c r="AE1759" s="1"/>
      <c r="AF1759" s="46"/>
      <c r="AG1759" s="1"/>
      <c r="AH1759" s="165"/>
      <c r="AI1759" s="165"/>
      <c r="AJ1759" s="165"/>
      <c r="AK1759" s="165"/>
      <c r="AL1759" s="165"/>
      <c r="AM1759" s="165"/>
      <c r="AN1759" s="165"/>
    </row>
    <row r="1760" spans="3:40">
      <c r="C1760" s="46"/>
      <c r="F1760" s="173"/>
      <c r="G1760" s="1"/>
      <c r="H1760" s="165"/>
      <c r="I1760" s="160"/>
      <c r="J1760" s="160"/>
      <c r="K1760" s="1"/>
      <c r="L1760" s="123"/>
      <c r="M1760" s="1"/>
      <c r="N1760" s="590"/>
      <c r="O1760" s="165"/>
      <c r="P1760" s="165"/>
      <c r="Q1760" s="165"/>
      <c r="R1760" s="165"/>
      <c r="S1760" s="165"/>
      <c r="V1760" s="46"/>
      <c r="W1760" s="46"/>
      <c r="X1760" s="1"/>
      <c r="Y1760" s="1"/>
      <c r="Z1760" s="173"/>
      <c r="AA1760" s="1"/>
      <c r="AB1760" s="165"/>
      <c r="AC1760" s="1"/>
      <c r="AD1760" s="1"/>
      <c r="AE1760" s="1"/>
      <c r="AF1760" s="46"/>
      <c r="AG1760" s="1"/>
      <c r="AH1760" s="165"/>
      <c r="AI1760" s="165"/>
      <c r="AJ1760" s="165"/>
      <c r="AK1760" s="165"/>
      <c r="AL1760" s="165"/>
      <c r="AM1760" s="165"/>
      <c r="AN1760" s="165"/>
    </row>
    <row r="1761" spans="3:40">
      <c r="C1761" s="46"/>
      <c r="F1761" s="173"/>
      <c r="G1761" s="1"/>
      <c r="H1761" s="165"/>
      <c r="I1761" s="160"/>
      <c r="J1761" s="160"/>
      <c r="K1761" s="1"/>
      <c r="L1761" s="123"/>
      <c r="M1761" s="1"/>
      <c r="N1761" s="590"/>
      <c r="O1761" s="165"/>
      <c r="P1761" s="165"/>
      <c r="Q1761" s="165"/>
      <c r="R1761" s="165"/>
      <c r="S1761" s="165"/>
      <c r="V1761" s="46"/>
      <c r="W1761" s="46"/>
      <c r="X1761" s="1"/>
      <c r="Y1761" s="1"/>
      <c r="Z1761" s="173"/>
      <c r="AA1761" s="1"/>
      <c r="AB1761" s="165"/>
      <c r="AC1761" s="1"/>
      <c r="AD1761" s="1"/>
      <c r="AE1761" s="1"/>
      <c r="AF1761" s="46"/>
      <c r="AG1761" s="1"/>
      <c r="AH1761" s="165"/>
      <c r="AI1761" s="165"/>
      <c r="AJ1761" s="165"/>
      <c r="AK1761" s="165"/>
      <c r="AL1761" s="165"/>
      <c r="AM1761" s="165"/>
      <c r="AN1761" s="165"/>
    </row>
    <row r="1762" spans="3:40">
      <c r="C1762" s="46"/>
      <c r="F1762" s="173"/>
      <c r="G1762" s="1"/>
      <c r="H1762" s="165"/>
      <c r="I1762" s="160"/>
      <c r="J1762" s="160"/>
      <c r="K1762" s="1"/>
      <c r="L1762" s="123"/>
      <c r="M1762" s="1"/>
      <c r="N1762" s="590"/>
      <c r="O1762" s="165"/>
      <c r="P1762" s="165"/>
      <c r="Q1762" s="165"/>
      <c r="R1762" s="165"/>
      <c r="S1762" s="165"/>
      <c r="V1762" s="46"/>
      <c r="W1762" s="46"/>
      <c r="X1762" s="1"/>
      <c r="Y1762" s="1"/>
      <c r="Z1762" s="173"/>
      <c r="AA1762" s="1"/>
      <c r="AB1762" s="165"/>
      <c r="AC1762" s="1"/>
      <c r="AD1762" s="1"/>
      <c r="AE1762" s="1"/>
      <c r="AF1762" s="46"/>
      <c r="AG1762" s="1"/>
      <c r="AH1762" s="165"/>
      <c r="AI1762" s="165"/>
      <c r="AJ1762" s="165"/>
      <c r="AK1762" s="165"/>
      <c r="AL1762" s="165"/>
      <c r="AM1762" s="165"/>
      <c r="AN1762" s="165"/>
    </row>
    <row r="1763" spans="3:40">
      <c r="C1763" s="46"/>
      <c r="F1763" s="173"/>
      <c r="G1763" s="1"/>
      <c r="H1763" s="165"/>
      <c r="I1763" s="160"/>
      <c r="J1763" s="160"/>
      <c r="K1763" s="1"/>
      <c r="L1763" s="123"/>
      <c r="M1763" s="1"/>
      <c r="N1763" s="590"/>
      <c r="O1763" s="165"/>
      <c r="P1763" s="165"/>
      <c r="Q1763" s="165"/>
      <c r="R1763" s="165"/>
      <c r="S1763" s="165"/>
      <c r="V1763" s="46"/>
      <c r="W1763" s="46"/>
      <c r="X1763" s="1"/>
      <c r="Y1763" s="1"/>
      <c r="Z1763" s="173"/>
      <c r="AA1763" s="1"/>
      <c r="AB1763" s="165"/>
      <c r="AC1763" s="1"/>
      <c r="AD1763" s="1"/>
      <c r="AE1763" s="1"/>
      <c r="AF1763" s="46"/>
      <c r="AG1763" s="1"/>
      <c r="AH1763" s="165"/>
      <c r="AI1763" s="165"/>
      <c r="AJ1763" s="165"/>
      <c r="AK1763" s="165"/>
      <c r="AL1763" s="165"/>
      <c r="AM1763" s="165"/>
      <c r="AN1763" s="165"/>
    </row>
    <row r="1764" spans="3:40">
      <c r="C1764" s="46"/>
      <c r="F1764" s="173"/>
      <c r="G1764" s="1"/>
      <c r="H1764" s="165"/>
      <c r="I1764" s="160"/>
      <c r="J1764" s="160"/>
      <c r="K1764" s="1"/>
      <c r="L1764" s="123"/>
      <c r="M1764" s="1"/>
      <c r="N1764" s="590"/>
      <c r="O1764" s="165"/>
      <c r="P1764" s="165"/>
      <c r="Q1764" s="165"/>
      <c r="R1764" s="165"/>
      <c r="S1764" s="165"/>
      <c r="V1764" s="46"/>
      <c r="W1764" s="46"/>
      <c r="X1764" s="1"/>
      <c r="Y1764" s="1"/>
      <c r="Z1764" s="173"/>
      <c r="AA1764" s="1"/>
      <c r="AB1764" s="165"/>
      <c r="AC1764" s="1"/>
      <c r="AD1764" s="1"/>
      <c r="AE1764" s="1"/>
      <c r="AF1764" s="46"/>
      <c r="AG1764" s="1"/>
      <c r="AH1764" s="165"/>
      <c r="AI1764" s="165"/>
      <c r="AJ1764" s="165"/>
      <c r="AK1764" s="165"/>
      <c r="AL1764" s="165"/>
      <c r="AM1764" s="165"/>
      <c r="AN1764" s="165"/>
    </row>
    <row r="1765" spans="3:40">
      <c r="C1765" s="46"/>
      <c r="F1765" s="173"/>
      <c r="G1765" s="1"/>
      <c r="H1765" s="165"/>
      <c r="I1765" s="160"/>
      <c r="J1765" s="160"/>
      <c r="K1765" s="1"/>
      <c r="L1765" s="123"/>
      <c r="M1765" s="1"/>
      <c r="N1765" s="590"/>
      <c r="O1765" s="165"/>
      <c r="P1765" s="165"/>
      <c r="Q1765" s="165"/>
      <c r="R1765" s="165"/>
      <c r="S1765" s="165"/>
      <c r="V1765" s="46"/>
      <c r="W1765" s="46"/>
      <c r="X1765" s="1"/>
      <c r="Y1765" s="1"/>
      <c r="Z1765" s="173"/>
      <c r="AA1765" s="1"/>
      <c r="AB1765" s="165"/>
      <c r="AC1765" s="1"/>
      <c r="AD1765" s="1"/>
      <c r="AE1765" s="1"/>
      <c r="AF1765" s="46"/>
      <c r="AG1765" s="1"/>
      <c r="AH1765" s="165"/>
      <c r="AI1765" s="165"/>
      <c r="AJ1765" s="165"/>
      <c r="AK1765" s="165"/>
      <c r="AL1765" s="165"/>
      <c r="AM1765" s="165"/>
      <c r="AN1765" s="165"/>
    </row>
    <row r="1766" spans="3:40">
      <c r="C1766" s="46"/>
      <c r="F1766" s="173"/>
      <c r="G1766" s="1"/>
      <c r="H1766" s="165"/>
      <c r="I1766" s="160"/>
      <c r="J1766" s="160"/>
      <c r="K1766" s="1"/>
      <c r="L1766" s="123"/>
      <c r="M1766" s="1"/>
      <c r="N1766" s="590"/>
      <c r="O1766" s="165"/>
      <c r="P1766" s="165"/>
      <c r="Q1766" s="165"/>
      <c r="R1766" s="165"/>
      <c r="S1766" s="165"/>
      <c r="V1766" s="46"/>
      <c r="W1766" s="46"/>
      <c r="X1766" s="1"/>
      <c r="Y1766" s="1"/>
      <c r="Z1766" s="173"/>
      <c r="AA1766" s="1"/>
      <c r="AB1766" s="165"/>
      <c r="AC1766" s="1"/>
      <c r="AD1766" s="1"/>
      <c r="AE1766" s="1"/>
      <c r="AF1766" s="46"/>
      <c r="AG1766" s="1"/>
      <c r="AH1766" s="165"/>
      <c r="AI1766" s="165"/>
      <c r="AJ1766" s="165"/>
      <c r="AK1766" s="165"/>
      <c r="AL1766" s="165"/>
      <c r="AM1766" s="165"/>
      <c r="AN1766" s="165"/>
    </row>
    <row r="1767" spans="3:40">
      <c r="C1767" s="46"/>
      <c r="F1767" s="173"/>
      <c r="G1767" s="1"/>
      <c r="H1767" s="165"/>
      <c r="I1767" s="160"/>
      <c r="J1767" s="160"/>
      <c r="K1767" s="1"/>
      <c r="L1767" s="123"/>
      <c r="M1767" s="1"/>
      <c r="N1767" s="590"/>
      <c r="O1767" s="165"/>
      <c r="P1767" s="165"/>
      <c r="Q1767" s="165"/>
      <c r="R1767" s="165"/>
      <c r="S1767" s="165"/>
      <c r="V1767" s="46"/>
      <c r="W1767" s="46"/>
      <c r="X1767" s="1"/>
      <c r="Y1767" s="1"/>
      <c r="Z1767" s="173"/>
      <c r="AA1767" s="1"/>
      <c r="AB1767" s="165"/>
      <c r="AC1767" s="1"/>
      <c r="AD1767" s="1"/>
      <c r="AE1767" s="1"/>
      <c r="AF1767" s="46"/>
      <c r="AG1767" s="1"/>
      <c r="AH1767" s="165"/>
      <c r="AI1767" s="165"/>
      <c r="AJ1767" s="165"/>
      <c r="AK1767" s="165"/>
      <c r="AL1767" s="165"/>
      <c r="AM1767" s="165"/>
      <c r="AN1767" s="165"/>
    </row>
    <row r="1768" spans="3:40">
      <c r="C1768" s="46"/>
      <c r="F1768" s="173"/>
      <c r="G1768" s="1"/>
      <c r="H1768" s="165"/>
      <c r="I1768" s="160"/>
      <c r="J1768" s="160"/>
      <c r="K1768" s="1"/>
      <c r="L1768" s="123"/>
      <c r="M1768" s="1"/>
      <c r="N1768" s="590"/>
      <c r="O1768" s="165"/>
      <c r="P1768" s="165"/>
      <c r="Q1768" s="165"/>
      <c r="R1768" s="165"/>
      <c r="S1768" s="165"/>
      <c r="V1768" s="46"/>
      <c r="W1768" s="46"/>
      <c r="X1768" s="1"/>
      <c r="Y1768" s="1"/>
      <c r="Z1768" s="173"/>
      <c r="AA1768" s="1"/>
      <c r="AB1768" s="165"/>
      <c r="AC1768" s="1"/>
      <c r="AD1768" s="1"/>
      <c r="AE1768" s="1"/>
      <c r="AF1768" s="46"/>
      <c r="AG1768" s="1"/>
      <c r="AH1768" s="165"/>
      <c r="AI1768" s="165"/>
      <c r="AJ1768" s="165"/>
      <c r="AK1768" s="165"/>
      <c r="AL1768" s="165"/>
      <c r="AM1768" s="165"/>
      <c r="AN1768" s="165"/>
    </row>
    <row r="1769" spans="3:40">
      <c r="C1769" s="46"/>
      <c r="F1769" s="173"/>
      <c r="G1769" s="1"/>
      <c r="H1769" s="165"/>
      <c r="I1769" s="160"/>
      <c r="J1769" s="160"/>
      <c r="K1769" s="1"/>
      <c r="L1769" s="123"/>
      <c r="M1769" s="1"/>
      <c r="N1769" s="590"/>
      <c r="O1769" s="165"/>
      <c r="P1769" s="165"/>
      <c r="Q1769" s="165"/>
      <c r="R1769" s="165"/>
      <c r="S1769" s="165"/>
      <c r="V1769" s="46"/>
      <c r="W1769" s="46"/>
      <c r="X1769" s="1"/>
      <c r="Y1769" s="1"/>
      <c r="Z1769" s="173"/>
      <c r="AA1769" s="1"/>
      <c r="AB1769" s="165"/>
      <c r="AC1769" s="1"/>
      <c r="AD1769" s="1"/>
      <c r="AE1769" s="1"/>
      <c r="AF1769" s="46"/>
      <c r="AG1769" s="1"/>
      <c r="AH1769" s="165"/>
      <c r="AI1769" s="165"/>
      <c r="AJ1769" s="165"/>
      <c r="AK1769" s="165"/>
      <c r="AL1769" s="165"/>
      <c r="AM1769" s="165"/>
      <c r="AN1769" s="165"/>
    </row>
    <row r="1770" spans="3:40">
      <c r="C1770" s="46"/>
      <c r="F1770" s="173"/>
      <c r="G1770" s="1"/>
      <c r="H1770" s="165"/>
      <c r="I1770" s="160"/>
      <c r="J1770" s="160"/>
      <c r="K1770" s="1"/>
      <c r="L1770" s="123"/>
      <c r="M1770" s="1"/>
      <c r="N1770" s="590"/>
      <c r="O1770" s="165"/>
      <c r="P1770" s="165"/>
      <c r="Q1770" s="165"/>
      <c r="R1770" s="165"/>
      <c r="S1770" s="165"/>
      <c r="V1770" s="46"/>
      <c r="W1770" s="46"/>
      <c r="X1770" s="1"/>
      <c r="Y1770" s="1"/>
      <c r="Z1770" s="173"/>
      <c r="AA1770" s="1"/>
      <c r="AB1770" s="165"/>
      <c r="AC1770" s="1"/>
      <c r="AD1770" s="1"/>
      <c r="AE1770" s="1"/>
      <c r="AF1770" s="46"/>
      <c r="AG1770" s="1"/>
      <c r="AH1770" s="165"/>
      <c r="AI1770" s="165"/>
      <c r="AJ1770" s="165"/>
      <c r="AK1770" s="165"/>
      <c r="AL1770" s="165"/>
      <c r="AM1770" s="165"/>
      <c r="AN1770" s="165"/>
    </row>
    <row r="1771" spans="3:40">
      <c r="C1771" s="46"/>
      <c r="F1771" s="173"/>
      <c r="G1771" s="1"/>
      <c r="H1771" s="165"/>
      <c r="I1771" s="160"/>
      <c r="J1771" s="160"/>
      <c r="K1771" s="1"/>
      <c r="L1771" s="123"/>
      <c r="M1771" s="1"/>
      <c r="N1771" s="590"/>
      <c r="O1771" s="165"/>
      <c r="P1771" s="165"/>
      <c r="Q1771" s="165"/>
      <c r="R1771" s="165"/>
      <c r="S1771" s="165"/>
      <c r="V1771" s="46"/>
      <c r="W1771" s="46"/>
      <c r="X1771" s="1"/>
      <c r="Y1771" s="1"/>
      <c r="Z1771" s="173"/>
      <c r="AA1771" s="1"/>
      <c r="AB1771" s="165"/>
      <c r="AC1771" s="1"/>
      <c r="AD1771" s="1"/>
      <c r="AE1771" s="1"/>
      <c r="AF1771" s="46"/>
      <c r="AG1771" s="1"/>
      <c r="AH1771" s="165"/>
      <c r="AI1771" s="165"/>
      <c r="AJ1771" s="165"/>
      <c r="AK1771" s="165"/>
      <c r="AL1771" s="165"/>
      <c r="AM1771" s="165"/>
      <c r="AN1771" s="165"/>
    </row>
    <row r="1772" spans="3:40">
      <c r="C1772" s="46"/>
      <c r="F1772" s="173"/>
      <c r="G1772" s="1"/>
      <c r="H1772" s="165"/>
      <c r="I1772" s="160"/>
      <c r="J1772" s="160"/>
      <c r="K1772" s="1"/>
      <c r="L1772" s="123"/>
      <c r="M1772" s="1"/>
      <c r="N1772" s="590"/>
      <c r="O1772" s="165"/>
      <c r="P1772" s="165"/>
      <c r="Q1772" s="165"/>
      <c r="R1772" s="165"/>
      <c r="S1772" s="165"/>
      <c r="V1772" s="46"/>
      <c r="W1772" s="46"/>
      <c r="X1772" s="1"/>
      <c r="Y1772" s="1"/>
      <c r="Z1772" s="173"/>
      <c r="AA1772" s="1"/>
      <c r="AB1772" s="165"/>
      <c r="AC1772" s="1"/>
      <c r="AD1772" s="1"/>
      <c r="AE1772" s="1"/>
      <c r="AF1772" s="46"/>
      <c r="AG1772" s="1"/>
      <c r="AH1772" s="165"/>
      <c r="AI1772" s="165"/>
      <c r="AJ1772" s="165"/>
      <c r="AK1772" s="165"/>
      <c r="AL1772" s="165"/>
      <c r="AM1772" s="165"/>
      <c r="AN1772" s="165"/>
    </row>
    <row r="1773" spans="3:40">
      <c r="C1773" s="46"/>
      <c r="F1773" s="173"/>
      <c r="G1773" s="1"/>
      <c r="H1773" s="165"/>
      <c r="I1773" s="160"/>
      <c r="J1773" s="160"/>
      <c r="K1773" s="1"/>
      <c r="L1773" s="123"/>
      <c r="M1773" s="1"/>
      <c r="N1773" s="590"/>
      <c r="O1773" s="165"/>
      <c r="P1773" s="165"/>
      <c r="Q1773" s="165"/>
      <c r="R1773" s="165"/>
      <c r="S1773" s="165"/>
      <c r="V1773" s="46"/>
      <c r="W1773" s="46"/>
      <c r="X1773" s="1"/>
      <c r="Y1773" s="1"/>
      <c r="Z1773" s="173"/>
      <c r="AA1773" s="1"/>
      <c r="AB1773" s="165"/>
      <c r="AC1773" s="1"/>
      <c r="AD1773" s="1"/>
      <c r="AE1773" s="1"/>
      <c r="AF1773" s="46"/>
      <c r="AG1773" s="1"/>
      <c r="AH1773" s="165"/>
      <c r="AI1773" s="165"/>
      <c r="AJ1773" s="165"/>
      <c r="AK1773" s="165"/>
      <c r="AL1773" s="165"/>
      <c r="AM1773" s="165"/>
      <c r="AN1773" s="165"/>
    </row>
    <row r="1774" spans="3:40">
      <c r="C1774" s="46"/>
      <c r="F1774" s="173"/>
      <c r="G1774" s="1"/>
      <c r="H1774" s="165"/>
      <c r="I1774" s="160"/>
      <c r="J1774" s="160"/>
      <c r="K1774" s="1"/>
      <c r="L1774" s="123"/>
      <c r="M1774" s="1"/>
      <c r="N1774" s="590"/>
      <c r="O1774" s="165"/>
      <c r="P1774" s="165"/>
      <c r="Q1774" s="165"/>
      <c r="R1774" s="165"/>
      <c r="S1774" s="165"/>
      <c r="V1774" s="46"/>
      <c r="W1774" s="46"/>
      <c r="X1774" s="1"/>
      <c r="Y1774" s="1"/>
      <c r="Z1774" s="173"/>
      <c r="AA1774" s="1"/>
      <c r="AB1774" s="165"/>
      <c r="AC1774" s="1"/>
      <c r="AD1774" s="1"/>
      <c r="AE1774" s="1"/>
      <c r="AF1774" s="46"/>
      <c r="AG1774" s="1"/>
      <c r="AH1774" s="165"/>
      <c r="AI1774" s="165"/>
      <c r="AJ1774" s="165"/>
      <c r="AK1774" s="165"/>
      <c r="AL1774" s="165"/>
      <c r="AM1774" s="165"/>
      <c r="AN1774" s="165"/>
    </row>
    <row r="1775" spans="3:40">
      <c r="C1775" s="46"/>
      <c r="F1775" s="173"/>
      <c r="G1775" s="1"/>
      <c r="H1775" s="165"/>
      <c r="I1775" s="160"/>
      <c r="J1775" s="160"/>
      <c r="K1775" s="1"/>
      <c r="L1775" s="123"/>
      <c r="M1775" s="1"/>
      <c r="N1775" s="590"/>
      <c r="O1775" s="165"/>
      <c r="P1775" s="165"/>
      <c r="Q1775" s="165"/>
      <c r="R1775" s="165"/>
      <c r="S1775" s="165"/>
      <c r="V1775" s="46"/>
      <c r="W1775" s="46"/>
      <c r="X1775" s="1"/>
      <c r="Y1775" s="1"/>
      <c r="Z1775" s="173"/>
      <c r="AA1775" s="1"/>
      <c r="AB1775" s="165"/>
      <c r="AC1775" s="1"/>
      <c r="AD1775" s="1"/>
      <c r="AE1775" s="1"/>
      <c r="AF1775" s="46"/>
      <c r="AG1775" s="1"/>
      <c r="AH1775" s="165"/>
      <c r="AI1775" s="165"/>
      <c r="AJ1775" s="165"/>
      <c r="AK1775" s="165"/>
      <c r="AL1775" s="165"/>
      <c r="AM1775" s="165"/>
      <c r="AN1775" s="165"/>
    </row>
    <row r="1776" spans="3:40">
      <c r="C1776" s="46"/>
      <c r="F1776" s="173"/>
      <c r="G1776" s="1"/>
      <c r="H1776" s="165"/>
      <c r="I1776" s="160"/>
      <c r="J1776" s="160"/>
      <c r="K1776" s="1"/>
      <c r="L1776" s="123"/>
      <c r="M1776" s="1"/>
      <c r="N1776" s="590"/>
      <c r="O1776" s="165"/>
      <c r="P1776" s="165"/>
      <c r="Q1776" s="165"/>
      <c r="R1776" s="165"/>
      <c r="S1776" s="165"/>
      <c r="V1776" s="46"/>
      <c r="W1776" s="46"/>
      <c r="X1776" s="1"/>
      <c r="Y1776" s="1"/>
      <c r="Z1776" s="173"/>
      <c r="AA1776" s="1"/>
      <c r="AB1776" s="165"/>
      <c r="AC1776" s="1"/>
      <c r="AD1776" s="1"/>
      <c r="AE1776" s="1"/>
      <c r="AF1776" s="46"/>
      <c r="AG1776" s="1"/>
      <c r="AH1776" s="165"/>
      <c r="AI1776" s="165"/>
      <c r="AJ1776" s="165"/>
      <c r="AK1776" s="165"/>
      <c r="AL1776" s="165"/>
      <c r="AM1776" s="165"/>
      <c r="AN1776" s="165"/>
    </row>
    <row r="1777" spans="3:40">
      <c r="C1777" s="46"/>
      <c r="F1777" s="173"/>
      <c r="G1777" s="1"/>
      <c r="H1777" s="165"/>
      <c r="I1777" s="160"/>
      <c r="J1777" s="160"/>
      <c r="K1777" s="1"/>
      <c r="L1777" s="123"/>
      <c r="M1777" s="1"/>
      <c r="N1777" s="590"/>
      <c r="O1777" s="165"/>
      <c r="P1777" s="165"/>
      <c r="Q1777" s="165"/>
      <c r="R1777" s="165"/>
      <c r="S1777" s="165"/>
      <c r="V1777" s="46"/>
      <c r="W1777" s="46"/>
      <c r="X1777" s="1"/>
      <c r="Y1777" s="1"/>
      <c r="Z1777" s="173"/>
      <c r="AA1777" s="1"/>
      <c r="AB1777" s="165"/>
      <c r="AC1777" s="1"/>
      <c r="AD1777" s="1"/>
      <c r="AE1777" s="1"/>
      <c r="AF1777" s="46"/>
      <c r="AG1777" s="1"/>
      <c r="AH1777" s="165"/>
      <c r="AI1777" s="165"/>
      <c r="AJ1777" s="165"/>
      <c r="AK1777" s="165"/>
      <c r="AL1777" s="165"/>
      <c r="AM1777" s="165"/>
      <c r="AN1777" s="165"/>
    </row>
    <row r="1778" spans="3:40">
      <c r="C1778" s="46"/>
      <c r="F1778" s="173"/>
      <c r="G1778" s="1"/>
      <c r="H1778" s="165"/>
      <c r="I1778" s="160"/>
      <c r="J1778" s="160"/>
      <c r="K1778" s="1"/>
      <c r="L1778" s="123"/>
      <c r="M1778" s="1"/>
      <c r="N1778" s="590"/>
      <c r="O1778" s="165"/>
      <c r="P1778" s="165"/>
      <c r="Q1778" s="165"/>
      <c r="R1778" s="165"/>
      <c r="S1778" s="165"/>
      <c r="V1778" s="46"/>
      <c r="W1778" s="46"/>
      <c r="X1778" s="1"/>
      <c r="Y1778" s="1"/>
      <c r="Z1778" s="173"/>
      <c r="AA1778" s="1"/>
      <c r="AB1778" s="165"/>
      <c r="AC1778" s="1"/>
      <c r="AD1778" s="1"/>
      <c r="AE1778" s="1"/>
      <c r="AF1778" s="46"/>
      <c r="AG1778" s="1"/>
      <c r="AH1778" s="165"/>
      <c r="AI1778" s="165"/>
      <c r="AJ1778" s="165"/>
      <c r="AK1778" s="165"/>
      <c r="AL1778" s="165"/>
      <c r="AM1778" s="165"/>
      <c r="AN1778" s="165"/>
    </row>
    <row r="1779" spans="3:40">
      <c r="C1779" s="46"/>
      <c r="F1779" s="173"/>
      <c r="G1779" s="1"/>
      <c r="H1779" s="165"/>
      <c r="I1779" s="160"/>
      <c r="J1779" s="160"/>
      <c r="K1779" s="1"/>
      <c r="L1779" s="123"/>
      <c r="M1779" s="1"/>
      <c r="N1779" s="590"/>
      <c r="O1779" s="165"/>
      <c r="P1779" s="165"/>
      <c r="Q1779" s="165"/>
      <c r="R1779" s="165"/>
      <c r="S1779" s="165"/>
      <c r="V1779" s="46"/>
      <c r="W1779" s="46"/>
      <c r="X1779" s="1"/>
      <c r="Y1779" s="1"/>
      <c r="Z1779" s="173"/>
      <c r="AA1779" s="1"/>
      <c r="AB1779" s="165"/>
      <c r="AC1779" s="1"/>
      <c r="AD1779" s="1"/>
      <c r="AE1779" s="1"/>
      <c r="AF1779" s="46"/>
      <c r="AG1779" s="1"/>
      <c r="AH1779" s="165"/>
      <c r="AI1779" s="165"/>
      <c r="AJ1779" s="165"/>
      <c r="AK1779" s="165"/>
      <c r="AL1779" s="165"/>
      <c r="AM1779" s="165"/>
      <c r="AN1779" s="165"/>
    </row>
    <row r="1780" spans="3:40">
      <c r="C1780" s="46"/>
      <c r="F1780" s="173"/>
      <c r="G1780" s="1"/>
      <c r="H1780" s="165"/>
      <c r="I1780" s="160"/>
      <c r="J1780" s="160"/>
      <c r="K1780" s="1"/>
      <c r="L1780" s="123"/>
      <c r="M1780" s="1"/>
      <c r="N1780" s="590"/>
      <c r="O1780" s="165"/>
      <c r="P1780" s="165"/>
      <c r="Q1780" s="165"/>
      <c r="R1780" s="165"/>
      <c r="S1780" s="165"/>
      <c r="V1780" s="46"/>
      <c r="W1780" s="46"/>
      <c r="X1780" s="1"/>
      <c r="Y1780" s="1"/>
      <c r="Z1780" s="173"/>
      <c r="AA1780" s="1"/>
      <c r="AB1780" s="165"/>
      <c r="AC1780" s="1"/>
      <c r="AD1780" s="1"/>
      <c r="AE1780" s="1"/>
      <c r="AF1780" s="46"/>
      <c r="AG1780" s="1"/>
      <c r="AH1780" s="165"/>
      <c r="AI1780" s="165"/>
      <c r="AJ1780" s="165"/>
      <c r="AK1780" s="165"/>
      <c r="AL1780" s="165"/>
      <c r="AM1780" s="165"/>
      <c r="AN1780" s="165"/>
    </row>
    <row r="1781" spans="3:40">
      <c r="C1781" s="46"/>
      <c r="F1781" s="173"/>
      <c r="G1781" s="1"/>
      <c r="H1781" s="165"/>
      <c r="I1781" s="160"/>
      <c r="J1781" s="160"/>
      <c r="K1781" s="1"/>
      <c r="L1781" s="123"/>
      <c r="M1781" s="1"/>
      <c r="N1781" s="590"/>
      <c r="O1781" s="165"/>
      <c r="P1781" s="165"/>
      <c r="Q1781" s="165"/>
      <c r="R1781" s="165"/>
      <c r="S1781" s="165"/>
      <c r="V1781" s="46"/>
      <c r="W1781" s="46"/>
      <c r="X1781" s="1"/>
      <c r="Y1781" s="1"/>
      <c r="Z1781" s="173"/>
      <c r="AA1781" s="1"/>
      <c r="AB1781" s="165"/>
      <c r="AC1781" s="1"/>
      <c r="AD1781" s="1"/>
      <c r="AE1781" s="1"/>
      <c r="AF1781" s="46"/>
      <c r="AG1781" s="1"/>
      <c r="AH1781" s="165"/>
      <c r="AI1781" s="165"/>
      <c r="AJ1781" s="165"/>
      <c r="AK1781" s="165"/>
      <c r="AL1781" s="165"/>
      <c r="AM1781" s="165"/>
      <c r="AN1781" s="165"/>
    </row>
    <row r="1782" spans="3:40">
      <c r="C1782" s="46"/>
      <c r="F1782" s="173"/>
      <c r="G1782" s="1"/>
      <c r="H1782" s="165"/>
      <c r="I1782" s="160"/>
      <c r="J1782" s="160"/>
      <c r="K1782" s="1"/>
      <c r="L1782" s="123"/>
      <c r="M1782" s="1"/>
      <c r="N1782" s="590"/>
      <c r="O1782" s="165"/>
      <c r="P1782" s="165"/>
      <c r="Q1782" s="165"/>
      <c r="R1782" s="165"/>
      <c r="S1782" s="165"/>
      <c r="V1782" s="46"/>
      <c r="W1782" s="46"/>
      <c r="X1782" s="1"/>
      <c r="Y1782" s="1"/>
      <c r="Z1782" s="173"/>
      <c r="AA1782" s="1"/>
      <c r="AB1782" s="165"/>
      <c r="AC1782" s="1"/>
      <c r="AD1782" s="1"/>
      <c r="AE1782" s="1"/>
      <c r="AF1782" s="46"/>
      <c r="AG1782" s="1"/>
      <c r="AH1782" s="165"/>
      <c r="AI1782" s="165"/>
      <c r="AJ1782" s="165"/>
      <c r="AK1782" s="165"/>
      <c r="AL1782" s="165"/>
      <c r="AM1782" s="165"/>
      <c r="AN1782" s="165"/>
    </row>
    <row r="1783" spans="3:40">
      <c r="C1783" s="46"/>
      <c r="F1783" s="173"/>
      <c r="G1783" s="1"/>
      <c r="H1783" s="165"/>
      <c r="I1783" s="160"/>
      <c r="J1783" s="160"/>
      <c r="K1783" s="1"/>
      <c r="L1783" s="123"/>
      <c r="M1783" s="1"/>
      <c r="N1783" s="590"/>
      <c r="O1783" s="165"/>
      <c r="P1783" s="165"/>
      <c r="Q1783" s="165"/>
      <c r="R1783" s="165"/>
      <c r="S1783" s="165"/>
      <c r="V1783" s="46"/>
      <c r="W1783" s="46"/>
      <c r="X1783" s="1"/>
      <c r="Y1783" s="1"/>
      <c r="Z1783" s="173"/>
      <c r="AA1783" s="1"/>
      <c r="AB1783" s="165"/>
      <c r="AC1783" s="1"/>
      <c r="AD1783" s="1"/>
      <c r="AE1783" s="1"/>
      <c r="AF1783" s="46"/>
      <c r="AG1783" s="1"/>
      <c r="AH1783" s="165"/>
      <c r="AI1783" s="165"/>
      <c r="AJ1783" s="165"/>
      <c r="AK1783" s="165"/>
      <c r="AL1783" s="165"/>
      <c r="AM1783" s="165"/>
      <c r="AN1783" s="165"/>
    </row>
    <row r="1784" spans="3:40">
      <c r="C1784" s="46"/>
      <c r="F1784" s="173"/>
      <c r="G1784" s="1"/>
      <c r="H1784" s="165"/>
      <c r="I1784" s="160"/>
      <c r="J1784" s="160"/>
      <c r="K1784" s="1"/>
      <c r="L1784" s="123"/>
      <c r="M1784" s="1"/>
      <c r="N1784" s="590"/>
      <c r="O1784" s="165"/>
      <c r="P1784" s="165"/>
      <c r="Q1784" s="165"/>
      <c r="R1784" s="165"/>
      <c r="S1784" s="165"/>
      <c r="V1784" s="46"/>
      <c r="W1784" s="46"/>
      <c r="X1784" s="1"/>
      <c r="Y1784" s="1"/>
      <c r="Z1784" s="173"/>
      <c r="AA1784" s="1"/>
      <c r="AB1784" s="165"/>
      <c r="AC1784" s="1"/>
      <c r="AD1784" s="1"/>
      <c r="AE1784" s="1"/>
      <c r="AF1784" s="46"/>
      <c r="AG1784" s="1"/>
      <c r="AH1784" s="165"/>
      <c r="AI1784" s="165"/>
      <c r="AJ1784" s="165"/>
      <c r="AK1784" s="165"/>
      <c r="AL1784" s="165"/>
      <c r="AM1784" s="165"/>
      <c r="AN1784" s="165"/>
    </row>
    <row r="1785" spans="3:40">
      <c r="C1785" s="46"/>
      <c r="F1785" s="173"/>
      <c r="G1785" s="1"/>
      <c r="H1785" s="165"/>
      <c r="I1785" s="160"/>
      <c r="J1785" s="160"/>
      <c r="K1785" s="1"/>
      <c r="L1785" s="123"/>
      <c r="M1785" s="1"/>
      <c r="N1785" s="590"/>
      <c r="O1785" s="165"/>
      <c r="P1785" s="165"/>
      <c r="Q1785" s="165"/>
      <c r="R1785" s="165"/>
      <c r="S1785" s="165"/>
      <c r="V1785" s="46"/>
      <c r="W1785" s="46"/>
      <c r="X1785" s="1"/>
      <c r="Y1785" s="1"/>
      <c r="Z1785" s="173"/>
      <c r="AA1785" s="1"/>
      <c r="AB1785" s="165"/>
      <c r="AC1785" s="1"/>
      <c r="AD1785" s="1"/>
      <c r="AE1785" s="1"/>
      <c r="AF1785" s="46"/>
      <c r="AG1785" s="1"/>
      <c r="AH1785" s="165"/>
      <c r="AI1785" s="165"/>
      <c r="AJ1785" s="165"/>
      <c r="AK1785" s="165"/>
      <c r="AL1785" s="165"/>
      <c r="AM1785" s="165"/>
      <c r="AN1785" s="165"/>
    </row>
    <row r="1786" spans="3:40">
      <c r="C1786" s="46"/>
      <c r="F1786" s="173"/>
      <c r="G1786" s="1"/>
      <c r="H1786" s="165"/>
      <c r="I1786" s="160"/>
      <c r="J1786" s="160"/>
      <c r="K1786" s="1"/>
      <c r="L1786" s="123"/>
      <c r="M1786" s="1"/>
      <c r="N1786" s="590"/>
      <c r="O1786" s="165"/>
      <c r="P1786" s="165"/>
      <c r="Q1786" s="165"/>
      <c r="R1786" s="165"/>
      <c r="S1786" s="165"/>
      <c r="V1786" s="46"/>
      <c r="W1786" s="46"/>
      <c r="X1786" s="1"/>
      <c r="Y1786" s="1"/>
      <c r="Z1786" s="173"/>
      <c r="AA1786" s="1"/>
      <c r="AB1786" s="165"/>
      <c r="AC1786" s="1"/>
      <c r="AD1786" s="1"/>
      <c r="AE1786" s="1"/>
      <c r="AF1786" s="46"/>
      <c r="AG1786" s="1"/>
      <c r="AH1786" s="165"/>
      <c r="AI1786" s="165"/>
      <c r="AJ1786" s="165"/>
      <c r="AK1786" s="165"/>
      <c r="AL1786" s="165"/>
      <c r="AM1786" s="165"/>
      <c r="AN1786" s="165"/>
    </row>
    <row r="1787" spans="3:40">
      <c r="C1787" s="46"/>
      <c r="F1787" s="173"/>
      <c r="G1787" s="1"/>
      <c r="H1787" s="165"/>
      <c r="I1787" s="160"/>
      <c r="J1787" s="160"/>
      <c r="K1787" s="1"/>
      <c r="L1787" s="123"/>
      <c r="M1787" s="1"/>
      <c r="N1787" s="590"/>
      <c r="O1787" s="165"/>
      <c r="P1787" s="165"/>
      <c r="Q1787" s="165"/>
      <c r="R1787" s="165"/>
      <c r="S1787" s="165"/>
      <c r="V1787" s="46"/>
      <c r="W1787" s="46"/>
      <c r="X1787" s="1"/>
      <c r="Y1787" s="1"/>
      <c r="Z1787" s="173"/>
      <c r="AA1787" s="1"/>
      <c r="AB1787" s="165"/>
      <c r="AC1787" s="1"/>
      <c r="AD1787" s="1"/>
      <c r="AE1787" s="1"/>
      <c r="AF1787" s="46"/>
      <c r="AG1787" s="1"/>
      <c r="AH1787" s="165"/>
      <c r="AI1787" s="165"/>
      <c r="AJ1787" s="165"/>
      <c r="AK1787" s="165"/>
      <c r="AL1787" s="165"/>
      <c r="AM1787" s="165"/>
      <c r="AN1787" s="165"/>
    </row>
    <row r="1788" spans="3:40">
      <c r="C1788" s="46"/>
      <c r="F1788" s="173"/>
      <c r="G1788" s="1"/>
      <c r="H1788" s="165"/>
      <c r="I1788" s="160"/>
      <c r="J1788" s="160"/>
      <c r="K1788" s="1"/>
      <c r="L1788" s="123"/>
      <c r="M1788" s="1"/>
      <c r="N1788" s="590"/>
      <c r="O1788" s="165"/>
      <c r="P1788" s="165"/>
      <c r="Q1788" s="165"/>
      <c r="R1788" s="165"/>
      <c r="S1788" s="165"/>
      <c r="V1788" s="46"/>
      <c r="W1788" s="46"/>
      <c r="X1788" s="1"/>
      <c r="Y1788" s="1"/>
      <c r="Z1788" s="173"/>
      <c r="AA1788" s="1"/>
      <c r="AB1788" s="165"/>
      <c r="AC1788" s="1"/>
      <c r="AD1788" s="1"/>
      <c r="AE1788" s="1"/>
      <c r="AF1788" s="46"/>
      <c r="AG1788" s="1"/>
      <c r="AH1788" s="165"/>
      <c r="AI1788" s="165"/>
      <c r="AJ1788" s="165"/>
      <c r="AK1788" s="165"/>
      <c r="AL1788" s="165"/>
      <c r="AM1788" s="165"/>
      <c r="AN1788" s="165"/>
    </row>
    <row r="1789" spans="3:40">
      <c r="C1789" s="46"/>
      <c r="F1789" s="173"/>
      <c r="G1789" s="1"/>
      <c r="H1789" s="165"/>
      <c r="I1789" s="160"/>
      <c r="J1789" s="160"/>
      <c r="K1789" s="1"/>
      <c r="L1789" s="123"/>
      <c r="M1789" s="1"/>
      <c r="N1789" s="590"/>
      <c r="O1789" s="165"/>
      <c r="P1789" s="165"/>
      <c r="Q1789" s="165"/>
      <c r="R1789" s="165"/>
      <c r="S1789" s="165"/>
      <c r="V1789" s="46"/>
      <c r="W1789" s="46"/>
      <c r="X1789" s="1"/>
      <c r="Y1789" s="1"/>
      <c r="Z1789" s="173"/>
      <c r="AA1789" s="1"/>
      <c r="AB1789" s="165"/>
      <c r="AC1789" s="1"/>
      <c r="AD1789" s="1"/>
      <c r="AE1789" s="1"/>
      <c r="AF1789" s="46"/>
      <c r="AG1789" s="1"/>
      <c r="AH1789" s="165"/>
      <c r="AI1789" s="165"/>
      <c r="AJ1789" s="165"/>
      <c r="AK1789" s="165"/>
      <c r="AL1789" s="165"/>
      <c r="AM1789" s="165"/>
      <c r="AN1789" s="165"/>
    </row>
    <row r="1790" spans="3:40">
      <c r="C1790" s="46"/>
      <c r="F1790" s="173"/>
      <c r="G1790" s="1"/>
      <c r="H1790" s="165"/>
      <c r="I1790" s="160"/>
      <c r="J1790" s="160"/>
      <c r="K1790" s="1"/>
      <c r="L1790" s="123"/>
      <c r="M1790" s="1"/>
      <c r="N1790" s="590"/>
      <c r="O1790" s="165"/>
      <c r="P1790" s="165"/>
      <c r="Q1790" s="165"/>
      <c r="R1790" s="165"/>
      <c r="S1790" s="165"/>
      <c r="V1790" s="46"/>
      <c r="W1790" s="46"/>
      <c r="X1790" s="1"/>
      <c r="Y1790" s="1"/>
      <c r="Z1790" s="173"/>
      <c r="AA1790" s="1"/>
      <c r="AB1790" s="165"/>
      <c r="AC1790" s="1"/>
      <c r="AD1790" s="1"/>
      <c r="AE1790" s="1"/>
      <c r="AF1790" s="46"/>
      <c r="AG1790" s="1"/>
      <c r="AH1790" s="165"/>
      <c r="AI1790" s="165"/>
      <c r="AJ1790" s="165"/>
      <c r="AK1790" s="165"/>
      <c r="AL1790" s="165"/>
      <c r="AM1790" s="165"/>
      <c r="AN1790" s="165"/>
    </row>
    <row r="1791" spans="3:40">
      <c r="C1791" s="46"/>
      <c r="F1791" s="173"/>
      <c r="G1791" s="1"/>
      <c r="H1791" s="165"/>
      <c r="I1791" s="160"/>
      <c r="J1791" s="160"/>
      <c r="K1791" s="1"/>
      <c r="L1791" s="123"/>
      <c r="M1791" s="1"/>
      <c r="N1791" s="590"/>
      <c r="O1791" s="165"/>
      <c r="P1791" s="165"/>
      <c r="Q1791" s="165"/>
      <c r="R1791" s="165"/>
      <c r="S1791" s="165"/>
      <c r="V1791" s="46"/>
      <c r="W1791" s="46"/>
      <c r="X1791" s="1"/>
      <c r="Y1791" s="1"/>
      <c r="Z1791" s="173"/>
      <c r="AA1791" s="1"/>
      <c r="AB1791" s="165"/>
      <c r="AC1791" s="1"/>
      <c r="AD1791" s="1"/>
      <c r="AE1791" s="1"/>
      <c r="AF1791" s="46"/>
      <c r="AG1791" s="1"/>
      <c r="AH1791" s="165"/>
      <c r="AI1791" s="165"/>
      <c r="AJ1791" s="165"/>
      <c r="AK1791" s="165"/>
      <c r="AL1791" s="165"/>
      <c r="AM1791" s="165"/>
      <c r="AN1791" s="165"/>
    </row>
    <row r="1792" spans="3:40">
      <c r="C1792" s="46"/>
      <c r="F1792" s="173"/>
      <c r="G1792" s="1"/>
      <c r="H1792" s="165"/>
      <c r="I1792" s="160"/>
      <c r="J1792" s="160"/>
      <c r="K1792" s="1"/>
      <c r="L1792" s="123"/>
      <c r="M1792" s="1"/>
      <c r="N1792" s="590"/>
      <c r="O1792" s="165"/>
      <c r="P1792" s="165"/>
      <c r="Q1792" s="165"/>
      <c r="R1792" s="165"/>
      <c r="S1792" s="165"/>
      <c r="V1792" s="46"/>
      <c r="W1792" s="46"/>
      <c r="X1792" s="1"/>
      <c r="Y1792" s="1"/>
      <c r="Z1792" s="173"/>
      <c r="AA1792" s="1"/>
      <c r="AB1792" s="165"/>
      <c r="AC1792" s="1"/>
      <c r="AD1792" s="1"/>
      <c r="AE1792" s="1"/>
      <c r="AF1792" s="46"/>
      <c r="AG1792" s="1"/>
      <c r="AH1792" s="165"/>
      <c r="AI1792" s="165"/>
      <c r="AJ1792" s="165"/>
      <c r="AK1792" s="165"/>
      <c r="AL1792" s="165"/>
      <c r="AM1792" s="165"/>
      <c r="AN1792" s="165"/>
    </row>
    <row r="1793" spans="3:40">
      <c r="C1793" s="46"/>
      <c r="F1793" s="173"/>
      <c r="G1793" s="1"/>
      <c r="H1793" s="165"/>
      <c r="I1793" s="160"/>
      <c r="J1793" s="160"/>
      <c r="K1793" s="1"/>
      <c r="L1793" s="123"/>
      <c r="M1793" s="1"/>
      <c r="N1793" s="590"/>
      <c r="O1793" s="165"/>
      <c r="P1793" s="165"/>
      <c r="Q1793" s="165"/>
      <c r="R1793" s="165"/>
      <c r="S1793" s="165"/>
      <c r="V1793" s="46"/>
      <c r="W1793" s="46"/>
      <c r="X1793" s="1"/>
      <c r="Y1793" s="1"/>
      <c r="Z1793" s="173"/>
      <c r="AA1793" s="1"/>
      <c r="AB1793" s="165"/>
      <c r="AC1793" s="1"/>
      <c r="AD1793" s="1"/>
      <c r="AE1793" s="1"/>
      <c r="AF1793" s="46"/>
      <c r="AG1793" s="1"/>
      <c r="AH1793" s="165"/>
      <c r="AI1793" s="165"/>
      <c r="AJ1793" s="165"/>
      <c r="AK1793" s="165"/>
      <c r="AL1793" s="165"/>
      <c r="AM1793" s="165"/>
      <c r="AN1793" s="165"/>
    </row>
    <row r="1794" spans="3:40">
      <c r="C1794" s="46"/>
      <c r="F1794" s="173"/>
      <c r="G1794" s="1"/>
      <c r="H1794" s="165"/>
      <c r="I1794" s="160"/>
      <c r="J1794" s="160"/>
      <c r="K1794" s="1"/>
      <c r="L1794" s="123"/>
      <c r="M1794" s="1"/>
      <c r="N1794" s="590"/>
      <c r="O1794" s="165"/>
      <c r="P1794" s="165"/>
      <c r="Q1794" s="165"/>
      <c r="R1794" s="165"/>
      <c r="S1794" s="165"/>
      <c r="V1794" s="46"/>
      <c r="W1794" s="46"/>
      <c r="X1794" s="1"/>
      <c r="Y1794" s="1"/>
      <c r="Z1794" s="173"/>
      <c r="AA1794" s="1"/>
      <c r="AB1794" s="165"/>
      <c r="AC1794" s="1"/>
      <c r="AD1794" s="1"/>
      <c r="AE1794" s="1"/>
      <c r="AF1794" s="46"/>
      <c r="AG1794" s="1"/>
      <c r="AH1794" s="165"/>
      <c r="AI1794" s="165"/>
      <c r="AJ1794" s="165"/>
      <c r="AK1794" s="165"/>
      <c r="AL1794" s="165"/>
      <c r="AM1794" s="165"/>
      <c r="AN1794" s="165"/>
    </row>
    <row r="1795" spans="3:40">
      <c r="C1795" s="46"/>
      <c r="F1795" s="173"/>
      <c r="G1795" s="1"/>
      <c r="H1795" s="165"/>
      <c r="I1795" s="160"/>
      <c r="J1795" s="160"/>
      <c r="K1795" s="1"/>
      <c r="L1795" s="123"/>
      <c r="M1795" s="1"/>
      <c r="N1795" s="590"/>
      <c r="O1795" s="165"/>
      <c r="P1795" s="165"/>
      <c r="Q1795" s="165"/>
      <c r="R1795" s="165"/>
      <c r="S1795" s="165"/>
      <c r="V1795" s="46"/>
      <c r="W1795" s="46"/>
      <c r="X1795" s="1"/>
      <c r="Y1795" s="1"/>
      <c r="Z1795" s="173"/>
      <c r="AA1795" s="1"/>
      <c r="AB1795" s="165"/>
      <c r="AC1795" s="1"/>
      <c r="AD1795" s="1"/>
      <c r="AE1795" s="1"/>
      <c r="AF1795" s="46"/>
      <c r="AG1795" s="1"/>
      <c r="AH1795" s="165"/>
      <c r="AI1795" s="165"/>
      <c r="AJ1795" s="165"/>
      <c r="AK1795" s="165"/>
      <c r="AL1795" s="165"/>
      <c r="AM1795" s="165"/>
      <c r="AN1795" s="165"/>
    </row>
    <row r="1796" spans="3:40">
      <c r="C1796" s="46"/>
      <c r="F1796" s="173"/>
      <c r="G1796" s="1"/>
      <c r="H1796" s="165"/>
      <c r="I1796" s="160"/>
      <c r="J1796" s="160"/>
      <c r="K1796" s="1"/>
      <c r="L1796" s="123"/>
      <c r="M1796" s="1"/>
      <c r="N1796" s="590"/>
      <c r="O1796" s="165"/>
      <c r="P1796" s="165"/>
      <c r="Q1796" s="165"/>
      <c r="R1796" s="165"/>
      <c r="S1796" s="165"/>
      <c r="V1796" s="46"/>
      <c r="W1796" s="46"/>
      <c r="X1796" s="1"/>
      <c r="Y1796" s="1"/>
      <c r="Z1796" s="173"/>
      <c r="AA1796" s="1"/>
      <c r="AB1796" s="165"/>
      <c r="AC1796" s="1"/>
      <c r="AD1796" s="1"/>
      <c r="AE1796" s="1"/>
      <c r="AF1796" s="46"/>
      <c r="AG1796" s="1"/>
      <c r="AH1796" s="165"/>
      <c r="AI1796" s="165"/>
      <c r="AJ1796" s="165"/>
      <c r="AK1796" s="165"/>
      <c r="AL1796" s="165"/>
      <c r="AM1796" s="165"/>
      <c r="AN1796" s="165"/>
    </row>
    <row r="1797" spans="3:40">
      <c r="C1797" s="46"/>
      <c r="F1797" s="173"/>
      <c r="G1797" s="1"/>
      <c r="H1797" s="165"/>
      <c r="I1797" s="160"/>
      <c r="J1797" s="160"/>
      <c r="K1797" s="1"/>
      <c r="L1797" s="123"/>
      <c r="M1797" s="1"/>
      <c r="N1797" s="590"/>
      <c r="O1797" s="165"/>
      <c r="P1797" s="165"/>
      <c r="Q1797" s="165"/>
      <c r="R1797" s="165"/>
      <c r="S1797" s="165"/>
      <c r="V1797" s="46"/>
      <c r="W1797" s="46"/>
      <c r="X1797" s="1"/>
      <c r="Y1797" s="1"/>
      <c r="Z1797" s="173"/>
      <c r="AA1797" s="1"/>
      <c r="AB1797" s="165"/>
      <c r="AC1797" s="1"/>
      <c r="AD1797" s="1"/>
      <c r="AE1797" s="1"/>
      <c r="AF1797" s="46"/>
      <c r="AG1797" s="1"/>
      <c r="AH1797" s="165"/>
      <c r="AI1797" s="165"/>
      <c r="AJ1797" s="165"/>
      <c r="AK1797" s="165"/>
      <c r="AL1797" s="165"/>
      <c r="AM1797" s="165"/>
      <c r="AN1797" s="165"/>
    </row>
    <row r="1798" spans="3:40">
      <c r="C1798" s="46"/>
      <c r="F1798" s="173"/>
      <c r="G1798" s="1"/>
      <c r="H1798" s="165"/>
      <c r="I1798" s="160"/>
      <c r="J1798" s="160"/>
      <c r="K1798" s="1"/>
      <c r="L1798" s="123"/>
      <c r="M1798" s="1"/>
      <c r="N1798" s="590"/>
      <c r="O1798" s="165"/>
      <c r="P1798" s="165"/>
      <c r="Q1798" s="165"/>
      <c r="R1798" s="165"/>
      <c r="S1798" s="165"/>
      <c r="V1798" s="46"/>
      <c r="W1798" s="46"/>
      <c r="X1798" s="1"/>
      <c r="Y1798" s="1"/>
      <c r="Z1798" s="173"/>
      <c r="AA1798" s="1"/>
      <c r="AB1798" s="165"/>
      <c r="AC1798" s="1"/>
      <c r="AD1798" s="1"/>
      <c r="AE1798" s="1"/>
      <c r="AF1798" s="46"/>
      <c r="AG1798" s="1"/>
      <c r="AH1798" s="165"/>
      <c r="AI1798" s="165"/>
      <c r="AJ1798" s="165"/>
      <c r="AK1798" s="165"/>
      <c r="AL1798" s="165"/>
      <c r="AM1798" s="165"/>
      <c r="AN1798" s="165"/>
    </row>
    <row r="1799" spans="3:40">
      <c r="C1799" s="46"/>
      <c r="F1799" s="173"/>
      <c r="G1799" s="1"/>
      <c r="H1799" s="165"/>
      <c r="I1799" s="160"/>
      <c r="J1799" s="160"/>
      <c r="K1799" s="1"/>
      <c r="L1799" s="123"/>
      <c r="M1799" s="1"/>
      <c r="N1799" s="590"/>
      <c r="O1799" s="165"/>
      <c r="P1799" s="165"/>
      <c r="Q1799" s="165"/>
      <c r="R1799" s="165"/>
      <c r="S1799" s="165"/>
      <c r="V1799" s="46"/>
      <c r="W1799" s="46"/>
      <c r="X1799" s="1"/>
      <c r="Y1799" s="1"/>
      <c r="Z1799" s="173"/>
      <c r="AA1799" s="1"/>
      <c r="AB1799" s="165"/>
      <c r="AC1799" s="1"/>
      <c r="AD1799" s="1"/>
      <c r="AE1799" s="1"/>
      <c r="AF1799" s="46"/>
      <c r="AG1799" s="1"/>
      <c r="AH1799" s="165"/>
      <c r="AI1799" s="165"/>
      <c r="AJ1799" s="165"/>
      <c r="AK1799" s="165"/>
      <c r="AL1799" s="165"/>
      <c r="AM1799" s="165"/>
      <c r="AN1799" s="165"/>
    </row>
    <row r="1800" spans="3:40">
      <c r="C1800" s="46"/>
      <c r="F1800" s="173"/>
      <c r="G1800" s="1"/>
      <c r="H1800" s="165"/>
      <c r="I1800" s="160"/>
      <c r="J1800" s="160"/>
      <c r="K1800" s="1"/>
      <c r="L1800" s="123"/>
      <c r="M1800" s="1"/>
      <c r="N1800" s="590"/>
      <c r="O1800" s="165"/>
      <c r="P1800" s="165"/>
      <c r="Q1800" s="165"/>
      <c r="R1800" s="165"/>
      <c r="S1800" s="165"/>
      <c r="V1800" s="46"/>
      <c r="W1800" s="46"/>
      <c r="X1800" s="1"/>
      <c r="Y1800" s="1"/>
      <c r="Z1800" s="173"/>
      <c r="AA1800" s="1"/>
      <c r="AB1800" s="165"/>
      <c r="AC1800" s="1"/>
      <c r="AD1800" s="1"/>
      <c r="AE1800" s="1"/>
      <c r="AF1800" s="46"/>
      <c r="AG1800" s="1"/>
      <c r="AH1800" s="165"/>
      <c r="AI1800" s="165"/>
      <c r="AJ1800" s="165"/>
      <c r="AK1800" s="165"/>
      <c r="AL1800" s="165"/>
      <c r="AM1800" s="165"/>
      <c r="AN1800" s="165"/>
    </row>
    <row r="1801" spans="3:40">
      <c r="C1801" s="46"/>
      <c r="F1801" s="173"/>
      <c r="G1801" s="1"/>
      <c r="H1801" s="165"/>
      <c r="I1801" s="160"/>
      <c r="J1801" s="160"/>
      <c r="K1801" s="1"/>
      <c r="L1801" s="123"/>
      <c r="M1801" s="1"/>
      <c r="N1801" s="590"/>
      <c r="O1801" s="165"/>
      <c r="P1801" s="165"/>
      <c r="Q1801" s="165"/>
      <c r="R1801" s="165"/>
      <c r="S1801" s="165"/>
      <c r="V1801" s="46"/>
      <c r="W1801" s="46"/>
      <c r="X1801" s="1"/>
      <c r="Y1801" s="1"/>
      <c r="Z1801" s="173"/>
      <c r="AA1801" s="1"/>
      <c r="AB1801" s="165"/>
      <c r="AC1801" s="1"/>
      <c r="AD1801" s="1"/>
      <c r="AE1801" s="1"/>
      <c r="AF1801" s="46"/>
      <c r="AG1801" s="1"/>
      <c r="AH1801" s="165"/>
      <c r="AI1801" s="165"/>
      <c r="AJ1801" s="165"/>
      <c r="AK1801" s="165"/>
      <c r="AL1801" s="165"/>
      <c r="AM1801" s="165"/>
      <c r="AN1801" s="165"/>
    </row>
    <row r="1802" spans="3:40">
      <c r="C1802" s="46"/>
      <c r="F1802" s="173"/>
      <c r="G1802" s="1"/>
      <c r="H1802" s="165"/>
      <c r="I1802" s="160"/>
      <c r="J1802" s="160"/>
      <c r="K1802" s="1"/>
      <c r="L1802" s="123"/>
      <c r="M1802" s="1"/>
      <c r="N1802" s="590"/>
      <c r="O1802" s="165"/>
      <c r="P1802" s="165"/>
      <c r="Q1802" s="165"/>
      <c r="R1802" s="165"/>
      <c r="S1802" s="165"/>
      <c r="V1802" s="46"/>
      <c r="W1802" s="46"/>
      <c r="X1802" s="1"/>
      <c r="Y1802" s="1"/>
      <c r="Z1802" s="173"/>
      <c r="AA1802" s="1"/>
      <c r="AB1802" s="165"/>
      <c r="AC1802" s="1"/>
      <c r="AD1802" s="1"/>
      <c r="AE1802" s="1"/>
      <c r="AF1802" s="46"/>
      <c r="AG1802" s="1"/>
      <c r="AH1802" s="165"/>
      <c r="AI1802" s="165"/>
      <c r="AJ1802" s="165"/>
      <c r="AK1802" s="165"/>
      <c r="AL1802" s="165"/>
      <c r="AM1802" s="165"/>
      <c r="AN1802" s="165"/>
    </row>
    <row r="1803" spans="3:40">
      <c r="C1803" s="46"/>
      <c r="F1803" s="173"/>
      <c r="G1803" s="1"/>
      <c r="H1803" s="165"/>
      <c r="I1803" s="160"/>
      <c r="J1803" s="160"/>
      <c r="K1803" s="1"/>
      <c r="L1803" s="123"/>
      <c r="M1803" s="1"/>
      <c r="N1803" s="590"/>
      <c r="O1803" s="165"/>
      <c r="P1803" s="165"/>
      <c r="Q1803" s="165"/>
      <c r="R1803" s="165"/>
      <c r="S1803" s="165"/>
      <c r="V1803" s="46"/>
      <c r="W1803" s="46"/>
      <c r="X1803" s="1"/>
      <c r="Y1803" s="1"/>
      <c r="Z1803" s="173"/>
      <c r="AA1803" s="1"/>
      <c r="AB1803" s="165"/>
      <c r="AC1803" s="1"/>
      <c r="AD1803" s="1"/>
      <c r="AE1803" s="1"/>
      <c r="AF1803" s="46"/>
      <c r="AG1803" s="1"/>
      <c r="AH1803" s="165"/>
      <c r="AI1803" s="165"/>
      <c r="AJ1803" s="165"/>
      <c r="AK1803" s="165"/>
      <c r="AL1803" s="165"/>
      <c r="AM1803" s="165"/>
      <c r="AN1803" s="165"/>
    </row>
    <row r="1804" spans="3:40">
      <c r="C1804" s="46"/>
      <c r="F1804" s="173"/>
      <c r="G1804" s="1"/>
      <c r="H1804" s="165"/>
      <c r="I1804" s="160"/>
      <c r="J1804" s="160"/>
      <c r="K1804" s="1"/>
      <c r="L1804" s="123"/>
      <c r="M1804" s="1"/>
      <c r="N1804" s="590"/>
      <c r="O1804" s="165"/>
      <c r="P1804" s="165"/>
      <c r="Q1804" s="165"/>
      <c r="R1804" s="165"/>
      <c r="S1804" s="165"/>
      <c r="V1804" s="46"/>
      <c r="W1804" s="46"/>
      <c r="X1804" s="1"/>
      <c r="Y1804" s="1"/>
      <c r="Z1804" s="173"/>
      <c r="AA1804" s="1"/>
      <c r="AB1804" s="165"/>
      <c r="AC1804" s="1"/>
      <c r="AD1804" s="1"/>
      <c r="AE1804" s="1"/>
      <c r="AF1804" s="46"/>
      <c r="AG1804" s="1"/>
      <c r="AH1804" s="165"/>
      <c r="AI1804" s="165"/>
      <c r="AJ1804" s="165"/>
      <c r="AK1804" s="165"/>
      <c r="AL1804" s="165"/>
      <c r="AM1804" s="165"/>
      <c r="AN1804" s="165"/>
    </row>
    <row r="1805" spans="3:40">
      <c r="C1805" s="46"/>
      <c r="F1805" s="173"/>
      <c r="G1805" s="1"/>
      <c r="H1805" s="165"/>
      <c r="I1805" s="160"/>
      <c r="J1805" s="160"/>
      <c r="K1805" s="1"/>
      <c r="L1805" s="123"/>
      <c r="M1805" s="1"/>
      <c r="N1805" s="590"/>
      <c r="O1805" s="165"/>
      <c r="P1805" s="165"/>
      <c r="Q1805" s="165"/>
      <c r="R1805" s="165"/>
      <c r="S1805" s="165"/>
      <c r="V1805" s="46"/>
      <c r="W1805" s="46"/>
      <c r="X1805" s="1"/>
      <c r="Y1805" s="1"/>
      <c r="Z1805" s="173"/>
      <c r="AA1805" s="1"/>
      <c r="AB1805" s="165"/>
      <c r="AC1805" s="1"/>
      <c r="AD1805" s="1"/>
      <c r="AE1805" s="1"/>
      <c r="AF1805" s="46"/>
      <c r="AG1805" s="1"/>
      <c r="AH1805" s="165"/>
      <c r="AI1805" s="165"/>
      <c r="AJ1805" s="165"/>
      <c r="AK1805" s="165"/>
      <c r="AL1805" s="165"/>
      <c r="AM1805" s="165"/>
      <c r="AN1805" s="165"/>
    </row>
    <row r="1806" spans="3:40">
      <c r="C1806" s="46"/>
      <c r="F1806" s="173"/>
      <c r="G1806" s="1"/>
      <c r="H1806" s="165"/>
      <c r="I1806" s="160"/>
      <c r="J1806" s="160"/>
      <c r="K1806" s="1"/>
      <c r="L1806" s="123"/>
      <c r="M1806" s="1"/>
      <c r="N1806" s="590"/>
      <c r="O1806" s="165"/>
      <c r="P1806" s="165"/>
      <c r="Q1806" s="165"/>
      <c r="R1806" s="165"/>
      <c r="S1806" s="165"/>
      <c r="V1806" s="46"/>
      <c r="W1806" s="46"/>
      <c r="X1806" s="1"/>
      <c r="Y1806" s="1"/>
      <c r="Z1806" s="173"/>
      <c r="AA1806" s="1"/>
      <c r="AB1806" s="165"/>
      <c r="AC1806" s="1"/>
      <c r="AD1806" s="1"/>
      <c r="AE1806" s="1"/>
      <c r="AF1806" s="46"/>
      <c r="AG1806" s="1"/>
      <c r="AH1806" s="165"/>
      <c r="AI1806" s="165"/>
      <c r="AJ1806" s="165"/>
      <c r="AK1806" s="165"/>
      <c r="AL1806" s="165"/>
      <c r="AM1806" s="165"/>
      <c r="AN1806" s="165"/>
    </row>
    <row r="1807" spans="3:40">
      <c r="C1807" s="46"/>
      <c r="F1807" s="173"/>
      <c r="G1807" s="1"/>
      <c r="H1807" s="165"/>
      <c r="I1807" s="160"/>
      <c r="J1807" s="160"/>
      <c r="K1807" s="1"/>
      <c r="L1807" s="123"/>
      <c r="M1807" s="1"/>
      <c r="N1807" s="590"/>
      <c r="O1807" s="165"/>
      <c r="P1807" s="165"/>
      <c r="Q1807" s="165"/>
      <c r="R1807" s="165"/>
      <c r="S1807" s="165"/>
      <c r="V1807" s="46"/>
      <c r="W1807" s="46"/>
      <c r="X1807" s="1"/>
      <c r="Y1807" s="1"/>
      <c r="Z1807" s="173"/>
      <c r="AA1807" s="1"/>
      <c r="AB1807" s="165"/>
      <c r="AC1807" s="1"/>
      <c r="AD1807" s="1"/>
      <c r="AE1807" s="1"/>
      <c r="AF1807" s="46"/>
      <c r="AG1807" s="1"/>
      <c r="AH1807" s="165"/>
      <c r="AI1807" s="165"/>
      <c r="AJ1807" s="165"/>
      <c r="AK1807" s="165"/>
      <c r="AL1807" s="165"/>
      <c r="AM1807" s="165"/>
      <c r="AN1807" s="165"/>
    </row>
    <row r="1808" spans="3:40">
      <c r="C1808" s="46"/>
      <c r="F1808" s="173"/>
      <c r="G1808" s="1"/>
      <c r="H1808" s="165"/>
      <c r="I1808" s="160"/>
      <c r="J1808" s="160"/>
      <c r="K1808" s="1"/>
      <c r="L1808" s="123"/>
      <c r="M1808" s="1"/>
      <c r="N1808" s="590"/>
      <c r="O1808" s="165"/>
      <c r="P1808" s="165"/>
      <c r="Q1808" s="165"/>
      <c r="R1808" s="165"/>
      <c r="S1808" s="165"/>
      <c r="V1808" s="46"/>
      <c r="W1808" s="46"/>
      <c r="X1808" s="1"/>
      <c r="Y1808" s="1"/>
      <c r="Z1808" s="173"/>
      <c r="AA1808" s="1"/>
      <c r="AB1808" s="165"/>
      <c r="AC1808" s="1"/>
      <c r="AD1808" s="1"/>
      <c r="AE1808" s="1"/>
      <c r="AF1808" s="46"/>
      <c r="AG1808" s="1"/>
      <c r="AH1808" s="165"/>
      <c r="AI1808" s="165"/>
      <c r="AJ1808" s="165"/>
      <c r="AK1808" s="165"/>
      <c r="AL1808" s="165"/>
      <c r="AM1808" s="165"/>
      <c r="AN1808" s="165"/>
    </row>
    <row r="1809" spans="3:40">
      <c r="C1809" s="46"/>
      <c r="F1809" s="173"/>
      <c r="G1809" s="1"/>
      <c r="H1809" s="165"/>
      <c r="I1809" s="160"/>
      <c r="J1809" s="160"/>
      <c r="K1809" s="1"/>
      <c r="L1809" s="123"/>
      <c r="M1809" s="1"/>
      <c r="N1809" s="590"/>
      <c r="O1809" s="165"/>
      <c r="P1809" s="165"/>
      <c r="Q1809" s="165"/>
      <c r="R1809" s="165"/>
      <c r="S1809" s="165"/>
      <c r="V1809" s="46"/>
      <c r="W1809" s="46"/>
      <c r="X1809" s="1"/>
      <c r="Y1809" s="1"/>
      <c r="Z1809" s="173"/>
      <c r="AA1809" s="1"/>
      <c r="AB1809" s="165"/>
      <c r="AC1809" s="1"/>
      <c r="AD1809" s="1"/>
      <c r="AE1809" s="1"/>
      <c r="AF1809" s="46"/>
      <c r="AG1809" s="1"/>
      <c r="AH1809" s="165"/>
      <c r="AI1809" s="165"/>
      <c r="AJ1809" s="165"/>
      <c r="AK1809" s="165"/>
      <c r="AL1809" s="165"/>
      <c r="AM1809" s="165"/>
      <c r="AN1809" s="165"/>
    </row>
    <row r="1810" spans="3:40">
      <c r="C1810" s="46"/>
      <c r="F1810" s="173"/>
      <c r="G1810" s="1"/>
      <c r="H1810" s="165"/>
      <c r="I1810" s="160"/>
      <c r="J1810" s="160"/>
      <c r="K1810" s="1"/>
      <c r="L1810" s="123"/>
      <c r="M1810" s="1"/>
      <c r="N1810" s="590"/>
      <c r="O1810" s="165"/>
      <c r="P1810" s="165"/>
      <c r="Q1810" s="165"/>
      <c r="R1810" s="165"/>
      <c r="S1810" s="165"/>
      <c r="V1810" s="46"/>
      <c r="W1810" s="46"/>
      <c r="X1810" s="1"/>
      <c r="Y1810" s="1"/>
      <c r="Z1810" s="173"/>
      <c r="AA1810" s="1"/>
      <c r="AB1810" s="165"/>
      <c r="AC1810" s="1"/>
      <c r="AD1810" s="1"/>
      <c r="AE1810" s="1"/>
      <c r="AF1810" s="46"/>
      <c r="AG1810" s="1"/>
      <c r="AH1810" s="165"/>
      <c r="AI1810" s="165"/>
      <c r="AJ1810" s="165"/>
      <c r="AK1810" s="165"/>
      <c r="AL1810" s="165"/>
      <c r="AM1810" s="165"/>
      <c r="AN1810" s="165"/>
    </row>
    <row r="1811" spans="3:40">
      <c r="C1811" s="46"/>
      <c r="F1811" s="173"/>
      <c r="G1811" s="1"/>
      <c r="H1811" s="165"/>
      <c r="I1811" s="160"/>
      <c r="J1811" s="160"/>
      <c r="K1811" s="1"/>
      <c r="L1811" s="123"/>
      <c r="M1811" s="1"/>
      <c r="N1811" s="590"/>
      <c r="O1811" s="165"/>
      <c r="P1811" s="165"/>
      <c r="Q1811" s="165"/>
      <c r="R1811" s="165"/>
      <c r="S1811" s="165"/>
      <c r="V1811" s="46"/>
      <c r="W1811" s="46"/>
      <c r="X1811" s="1"/>
      <c r="Y1811" s="1"/>
      <c r="Z1811" s="173"/>
      <c r="AA1811" s="1"/>
      <c r="AB1811" s="165"/>
      <c r="AC1811" s="1"/>
      <c r="AD1811" s="1"/>
      <c r="AE1811" s="1"/>
      <c r="AF1811" s="46"/>
      <c r="AG1811" s="1"/>
      <c r="AH1811" s="165"/>
      <c r="AI1811" s="165"/>
      <c r="AJ1811" s="165"/>
      <c r="AK1811" s="165"/>
      <c r="AL1811" s="165"/>
      <c r="AM1811" s="165"/>
      <c r="AN1811" s="165"/>
    </row>
    <row r="1812" spans="3:40">
      <c r="C1812" s="46"/>
      <c r="F1812" s="173"/>
      <c r="G1812" s="1"/>
      <c r="H1812" s="165"/>
      <c r="I1812" s="160"/>
      <c r="J1812" s="160"/>
      <c r="K1812" s="1"/>
      <c r="L1812" s="123"/>
      <c r="M1812" s="1"/>
      <c r="N1812" s="590"/>
      <c r="O1812" s="165"/>
      <c r="P1812" s="165"/>
      <c r="Q1812" s="165"/>
      <c r="R1812" s="165"/>
      <c r="S1812" s="165"/>
      <c r="V1812" s="46"/>
      <c r="W1812" s="46"/>
      <c r="X1812" s="1"/>
      <c r="Y1812" s="1"/>
      <c r="Z1812" s="173"/>
      <c r="AA1812" s="1"/>
      <c r="AB1812" s="165"/>
      <c r="AC1812" s="1"/>
      <c r="AD1812" s="1"/>
      <c r="AE1812" s="1"/>
      <c r="AF1812" s="46"/>
      <c r="AG1812" s="1"/>
      <c r="AH1812" s="165"/>
      <c r="AI1812" s="165"/>
      <c r="AJ1812" s="165"/>
      <c r="AK1812" s="165"/>
      <c r="AL1812" s="165"/>
      <c r="AM1812" s="165"/>
      <c r="AN1812" s="165"/>
    </row>
    <row r="1813" spans="3:40">
      <c r="C1813" s="46"/>
      <c r="F1813" s="173"/>
      <c r="G1813" s="1"/>
      <c r="H1813" s="165"/>
      <c r="I1813" s="160"/>
      <c r="J1813" s="160"/>
      <c r="K1813" s="1"/>
      <c r="L1813" s="123"/>
      <c r="M1813" s="1"/>
      <c r="N1813" s="590"/>
      <c r="O1813" s="165"/>
      <c r="P1813" s="165"/>
      <c r="Q1813" s="165"/>
      <c r="R1813" s="165"/>
      <c r="S1813" s="165"/>
      <c r="V1813" s="46"/>
      <c r="W1813" s="46"/>
      <c r="X1813" s="1"/>
      <c r="Y1813" s="1"/>
      <c r="Z1813" s="173"/>
      <c r="AA1813" s="1"/>
      <c r="AB1813" s="165"/>
      <c r="AC1813" s="1"/>
      <c r="AD1813" s="1"/>
      <c r="AE1813" s="1"/>
      <c r="AF1813" s="46"/>
      <c r="AG1813" s="1"/>
      <c r="AH1813" s="165"/>
      <c r="AI1813" s="165"/>
      <c r="AJ1813" s="165"/>
      <c r="AK1813" s="165"/>
      <c r="AL1813" s="165"/>
      <c r="AM1813" s="165"/>
      <c r="AN1813" s="165"/>
    </row>
    <row r="1814" spans="3:40">
      <c r="C1814" s="46"/>
      <c r="F1814" s="173"/>
      <c r="G1814" s="1"/>
      <c r="H1814" s="165"/>
      <c r="I1814" s="160"/>
      <c r="J1814" s="160"/>
      <c r="K1814" s="1"/>
      <c r="L1814" s="123"/>
      <c r="M1814" s="1"/>
      <c r="N1814" s="590"/>
      <c r="O1814" s="165"/>
      <c r="P1814" s="165"/>
      <c r="Q1814" s="165"/>
      <c r="R1814" s="165"/>
      <c r="S1814" s="165"/>
      <c r="V1814" s="46"/>
      <c r="W1814" s="46"/>
      <c r="X1814" s="1"/>
      <c r="Y1814" s="1"/>
      <c r="Z1814" s="173"/>
      <c r="AA1814" s="1"/>
      <c r="AB1814" s="165"/>
      <c r="AC1814" s="1"/>
      <c r="AD1814" s="1"/>
      <c r="AE1814" s="1"/>
      <c r="AF1814" s="46"/>
      <c r="AG1814" s="1"/>
      <c r="AH1814" s="165"/>
      <c r="AI1814" s="165"/>
      <c r="AJ1814" s="165"/>
      <c r="AK1814" s="165"/>
      <c r="AL1814" s="165"/>
      <c r="AM1814" s="165"/>
      <c r="AN1814" s="165"/>
    </row>
    <row r="1815" spans="3:40">
      <c r="C1815" s="46"/>
      <c r="F1815" s="173"/>
      <c r="G1815" s="1"/>
      <c r="H1815" s="165"/>
      <c r="I1815" s="160"/>
      <c r="J1815" s="160"/>
      <c r="K1815" s="1"/>
      <c r="L1815" s="123"/>
      <c r="M1815" s="1"/>
      <c r="N1815" s="590"/>
      <c r="O1815" s="165"/>
      <c r="P1815" s="165"/>
      <c r="Q1815" s="165"/>
      <c r="R1815" s="165"/>
      <c r="S1815" s="165"/>
      <c r="V1815" s="46"/>
      <c r="W1815" s="46"/>
      <c r="X1815" s="1"/>
      <c r="Y1815" s="1"/>
      <c r="Z1815" s="173"/>
      <c r="AA1815" s="1"/>
      <c r="AB1815" s="165"/>
      <c r="AC1815" s="1"/>
      <c r="AD1815" s="1"/>
      <c r="AE1815" s="1"/>
      <c r="AF1815" s="46"/>
      <c r="AG1815" s="1"/>
      <c r="AH1815" s="165"/>
      <c r="AI1815" s="165"/>
      <c r="AJ1815" s="165"/>
      <c r="AK1815" s="165"/>
      <c r="AL1815" s="165"/>
      <c r="AM1815" s="165"/>
      <c r="AN1815" s="165"/>
    </row>
    <row r="1816" spans="3:40">
      <c r="C1816" s="46"/>
      <c r="F1816" s="173"/>
      <c r="G1816" s="1"/>
      <c r="H1816" s="165"/>
      <c r="I1816" s="160"/>
      <c r="J1816" s="160"/>
      <c r="K1816" s="1"/>
      <c r="L1816" s="123"/>
      <c r="M1816" s="1"/>
      <c r="N1816" s="590"/>
      <c r="O1816" s="165"/>
      <c r="P1816" s="165"/>
      <c r="Q1816" s="165"/>
      <c r="R1816" s="165"/>
      <c r="S1816" s="165"/>
      <c r="V1816" s="46"/>
      <c r="W1816" s="46"/>
      <c r="X1816" s="1"/>
      <c r="Y1816" s="1"/>
      <c r="Z1816" s="173"/>
      <c r="AA1816" s="1"/>
      <c r="AB1816" s="165"/>
      <c r="AC1816" s="1"/>
      <c r="AD1816" s="1"/>
      <c r="AE1816" s="1"/>
      <c r="AF1816" s="46"/>
      <c r="AG1816" s="1"/>
      <c r="AH1816" s="165"/>
      <c r="AI1816" s="165"/>
      <c r="AJ1816" s="165"/>
      <c r="AK1816" s="165"/>
      <c r="AL1816" s="165"/>
      <c r="AM1816" s="165"/>
      <c r="AN1816" s="165"/>
    </row>
    <row r="1817" spans="3:40">
      <c r="C1817" s="46"/>
      <c r="F1817" s="173"/>
      <c r="G1817" s="1"/>
      <c r="H1817" s="165"/>
      <c r="I1817" s="160"/>
      <c r="J1817" s="160"/>
      <c r="K1817" s="1"/>
      <c r="L1817" s="123"/>
      <c r="M1817" s="1"/>
      <c r="N1817" s="590"/>
      <c r="O1817" s="165"/>
      <c r="P1817" s="165"/>
      <c r="Q1817" s="165"/>
      <c r="R1817" s="165"/>
      <c r="S1817" s="165"/>
      <c r="V1817" s="46"/>
      <c r="W1817" s="46"/>
      <c r="X1817" s="1"/>
      <c r="Y1817" s="1"/>
      <c r="Z1817" s="173"/>
      <c r="AA1817" s="1"/>
      <c r="AB1817" s="165"/>
      <c r="AC1817" s="1"/>
      <c r="AD1817" s="1"/>
      <c r="AE1817" s="1"/>
      <c r="AF1817" s="46"/>
      <c r="AG1817" s="1"/>
      <c r="AH1817" s="165"/>
      <c r="AI1817" s="165"/>
      <c r="AJ1817" s="165"/>
      <c r="AK1817" s="165"/>
      <c r="AL1817" s="165"/>
      <c r="AM1817" s="165"/>
      <c r="AN1817" s="165"/>
    </row>
    <row r="1818" spans="3:40">
      <c r="C1818" s="46"/>
      <c r="F1818" s="173"/>
      <c r="G1818" s="1"/>
      <c r="H1818" s="165"/>
      <c r="I1818" s="160"/>
      <c r="J1818" s="160"/>
      <c r="K1818" s="1"/>
      <c r="L1818" s="123"/>
      <c r="M1818" s="1"/>
      <c r="N1818" s="590"/>
      <c r="O1818" s="165"/>
      <c r="P1818" s="165"/>
      <c r="Q1818" s="165"/>
      <c r="R1818" s="165"/>
      <c r="S1818" s="165"/>
      <c r="V1818" s="46"/>
      <c r="W1818" s="46"/>
      <c r="X1818" s="1"/>
      <c r="Y1818" s="1"/>
      <c r="Z1818" s="173"/>
      <c r="AA1818" s="1"/>
      <c r="AB1818" s="165"/>
      <c r="AC1818" s="1"/>
      <c r="AD1818" s="1"/>
      <c r="AE1818" s="1"/>
      <c r="AF1818" s="46"/>
      <c r="AG1818" s="1"/>
      <c r="AH1818" s="165"/>
      <c r="AI1818" s="165"/>
      <c r="AJ1818" s="165"/>
      <c r="AK1818" s="165"/>
      <c r="AL1818" s="165"/>
      <c r="AM1818" s="165"/>
      <c r="AN1818" s="165"/>
    </row>
    <row r="1819" spans="3:40">
      <c r="C1819" s="46"/>
      <c r="F1819" s="173"/>
      <c r="G1819" s="1"/>
      <c r="H1819" s="165"/>
      <c r="I1819" s="160"/>
      <c r="J1819" s="160"/>
      <c r="K1819" s="1"/>
      <c r="L1819" s="123"/>
      <c r="M1819" s="1"/>
      <c r="N1819" s="590"/>
      <c r="O1819" s="165"/>
      <c r="P1819" s="165"/>
      <c r="Q1819" s="165"/>
      <c r="R1819" s="165"/>
      <c r="S1819" s="165"/>
      <c r="V1819" s="46"/>
      <c r="W1819" s="46"/>
      <c r="X1819" s="1"/>
      <c r="Y1819" s="1"/>
      <c r="Z1819" s="173"/>
      <c r="AA1819" s="1"/>
      <c r="AB1819" s="165"/>
      <c r="AC1819" s="1"/>
      <c r="AD1819" s="1"/>
      <c r="AE1819" s="1"/>
      <c r="AF1819" s="46"/>
      <c r="AG1819" s="1"/>
      <c r="AH1819" s="165"/>
      <c r="AI1819" s="165"/>
      <c r="AJ1819" s="165"/>
      <c r="AK1819" s="165"/>
      <c r="AL1819" s="165"/>
      <c r="AM1819" s="165"/>
      <c r="AN1819" s="165"/>
    </row>
    <row r="1820" spans="3:40">
      <c r="C1820" s="46"/>
      <c r="F1820" s="173"/>
      <c r="G1820" s="1"/>
      <c r="H1820" s="165"/>
      <c r="I1820" s="160"/>
      <c r="J1820" s="160"/>
      <c r="K1820" s="1"/>
      <c r="L1820" s="123"/>
      <c r="M1820" s="1"/>
      <c r="N1820" s="590"/>
      <c r="O1820" s="165"/>
      <c r="P1820" s="165"/>
      <c r="Q1820" s="165"/>
      <c r="R1820" s="165"/>
      <c r="S1820" s="165"/>
      <c r="V1820" s="46"/>
      <c r="W1820" s="46"/>
      <c r="X1820" s="1"/>
      <c r="Y1820" s="1"/>
      <c r="Z1820" s="173"/>
      <c r="AA1820" s="1"/>
      <c r="AB1820" s="165"/>
      <c r="AC1820" s="1"/>
      <c r="AD1820" s="1"/>
      <c r="AE1820" s="1"/>
      <c r="AF1820" s="46"/>
      <c r="AG1820" s="1"/>
      <c r="AH1820" s="165"/>
      <c r="AI1820" s="165"/>
      <c r="AJ1820" s="165"/>
      <c r="AK1820" s="165"/>
      <c r="AL1820" s="165"/>
      <c r="AM1820" s="165"/>
      <c r="AN1820" s="165"/>
    </row>
    <row r="1821" spans="3:40">
      <c r="C1821" s="46"/>
      <c r="F1821" s="173"/>
      <c r="G1821" s="1"/>
      <c r="H1821" s="165"/>
      <c r="I1821" s="160"/>
      <c r="J1821" s="160"/>
      <c r="K1821" s="1"/>
      <c r="L1821" s="123"/>
      <c r="M1821" s="1"/>
      <c r="N1821" s="590"/>
      <c r="O1821" s="165"/>
      <c r="P1821" s="165"/>
      <c r="Q1821" s="165"/>
      <c r="R1821" s="165"/>
      <c r="S1821" s="165"/>
      <c r="V1821" s="46"/>
      <c r="W1821" s="46"/>
      <c r="X1821" s="1"/>
      <c r="Y1821" s="1"/>
      <c r="Z1821" s="173"/>
      <c r="AA1821" s="1"/>
      <c r="AB1821" s="165"/>
      <c r="AC1821" s="1"/>
      <c r="AD1821" s="1"/>
      <c r="AE1821" s="1"/>
      <c r="AF1821" s="46"/>
      <c r="AG1821" s="1"/>
      <c r="AH1821" s="165"/>
      <c r="AI1821" s="165"/>
      <c r="AJ1821" s="165"/>
      <c r="AK1821" s="165"/>
      <c r="AL1821" s="165"/>
      <c r="AM1821" s="165"/>
      <c r="AN1821" s="165"/>
    </row>
    <row r="1822" spans="3:40">
      <c r="C1822" s="46"/>
      <c r="F1822" s="173"/>
      <c r="G1822" s="1"/>
      <c r="H1822" s="165"/>
      <c r="I1822" s="160"/>
      <c r="J1822" s="160"/>
      <c r="K1822" s="1"/>
      <c r="L1822" s="123"/>
      <c r="M1822" s="1"/>
      <c r="N1822" s="590"/>
      <c r="O1822" s="165"/>
      <c r="P1822" s="165"/>
      <c r="Q1822" s="165"/>
      <c r="R1822" s="165"/>
      <c r="S1822" s="165"/>
      <c r="V1822" s="46"/>
      <c r="W1822" s="46"/>
      <c r="X1822" s="1"/>
      <c r="Y1822" s="1"/>
      <c r="Z1822" s="173"/>
      <c r="AA1822" s="1"/>
      <c r="AB1822" s="165"/>
      <c r="AC1822" s="1"/>
      <c r="AD1822" s="1"/>
      <c r="AE1822" s="1"/>
      <c r="AF1822" s="46"/>
      <c r="AG1822" s="1"/>
      <c r="AH1822" s="165"/>
      <c r="AI1822" s="165"/>
      <c r="AJ1822" s="165"/>
      <c r="AK1822" s="165"/>
      <c r="AL1822" s="165"/>
      <c r="AM1822" s="165"/>
      <c r="AN1822" s="165"/>
    </row>
    <row r="1823" spans="3:40">
      <c r="C1823" s="46"/>
      <c r="F1823" s="173"/>
      <c r="G1823" s="1"/>
      <c r="H1823" s="165"/>
      <c r="I1823" s="160"/>
      <c r="J1823" s="160"/>
      <c r="K1823" s="1"/>
      <c r="L1823" s="123"/>
      <c r="M1823" s="1"/>
      <c r="N1823" s="590"/>
      <c r="O1823" s="165"/>
      <c r="P1823" s="165"/>
      <c r="Q1823" s="165"/>
      <c r="R1823" s="165"/>
      <c r="S1823" s="165"/>
      <c r="V1823" s="46"/>
      <c r="W1823" s="46"/>
      <c r="X1823" s="1"/>
      <c r="Y1823" s="1"/>
      <c r="Z1823" s="173"/>
      <c r="AA1823" s="1"/>
      <c r="AB1823" s="165"/>
      <c r="AC1823" s="1"/>
      <c r="AD1823" s="1"/>
      <c r="AE1823" s="1"/>
      <c r="AF1823" s="46"/>
      <c r="AG1823" s="1"/>
      <c r="AH1823" s="165"/>
      <c r="AI1823" s="165"/>
      <c r="AJ1823" s="165"/>
      <c r="AK1823" s="165"/>
      <c r="AL1823" s="165"/>
      <c r="AM1823" s="165"/>
      <c r="AN1823" s="165"/>
    </row>
    <row r="1824" spans="3:40">
      <c r="C1824" s="46"/>
      <c r="F1824" s="173"/>
      <c r="G1824" s="1"/>
      <c r="H1824" s="165"/>
      <c r="I1824" s="160"/>
      <c r="J1824" s="160"/>
      <c r="K1824" s="1"/>
      <c r="L1824" s="123"/>
      <c r="M1824" s="1"/>
      <c r="N1824" s="590"/>
      <c r="O1824" s="165"/>
      <c r="P1824" s="165"/>
      <c r="Q1824" s="165"/>
      <c r="R1824" s="165"/>
      <c r="S1824" s="165"/>
      <c r="V1824" s="46"/>
      <c r="W1824" s="46"/>
      <c r="X1824" s="1"/>
      <c r="Y1824" s="1"/>
      <c r="Z1824" s="173"/>
      <c r="AA1824" s="1"/>
      <c r="AB1824" s="165"/>
      <c r="AC1824" s="1"/>
      <c r="AD1824" s="1"/>
      <c r="AE1824" s="1"/>
      <c r="AF1824" s="46"/>
      <c r="AG1824" s="1"/>
      <c r="AH1824" s="165"/>
      <c r="AI1824" s="165"/>
      <c r="AJ1824" s="165"/>
      <c r="AK1824" s="165"/>
      <c r="AL1824" s="165"/>
      <c r="AM1824" s="165"/>
      <c r="AN1824" s="165"/>
    </row>
    <row r="1825" spans="3:40">
      <c r="C1825" s="46"/>
      <c r="F1825" s="173"/>
      <c r="G1825" s="1"/>
      <c r="H1825" s="165"/>
      <c r="I1825" s="160"/>
      <c r="J1825" s="160"/>
      <c r="K1825" s="1"/>
      <c r="L1825" s="123"/>
      <c r="M1825" s="1"/>
      <c r="N1825" s="590"/>
      <c r="O1825" s="165"/>
      <c r="P1825" s="165"/>
      <c r="Q1825" s="165"/>
      <c r="R1825" s="165"/>
      <c r="S1825" s="165"/>
      <c r="V1825" s="46"/>
      <c r="W1825" s="46"/>
      <c r="X1825" s="1"/>
      <c r="Y1825" s="1"/>
      <c r="Z1825" s="173"/>
      <c r="AA1825" s="1"/>
      <c r="AB1825" s="165"/>
      <c r="AC1825" s="1"/>
      <c r="AD1825" s="1"/>
      <c r="AE1825" s="1"/>
      <c r="AF1825" s="46"/>
      <c r="AG1825" s="1"/>
      <c r="AH1825" s="165"/>
      <c r="AI1825" s="165"/>
      <c r="AJ1825" s="165"/>
      <c r="AK1825" s="165"/>
      <c r="AL1825" s="165"/>
      <c r="AM1825" s="165"/>
      <c r="AN1825" s="165"/>
    </row>
    <row r="1826" spans="3:40">
      <c r="C1826" s="46"/>
      <c r="F1826" s="173"/>
      <c r="G1826" s="1"/>
      <c r="H1826" s="165"/>
      <c r="I1826" s="160"/>
      <c r="J1826" s="160"/>
      <c r="K1826" s="1"/>
      <c r="L1826" s="123"/>
      <c r="M1826" s="1"/>
      <c r="N1826" s="590"/>
      <c r="O1826" s="165"/>
      <c r="P1826" s="165"/>
      <c r="Q1826" s="165"/>
      <c r="R1826" s="165"/>
      <c r="S1826" s="165"/>
      <c r="V1826" s="46"/>
      <c r="W1826" s="46"/>
      <c r="X1826" s="1"/>
      <c r="Y1826" s="1"/>
      <c r="Z1826" s="173"/>
      <c r="AA1826" s="1"/>
      <c r="AB1826" s="165"/>
      <c r="AC1826" s="1"/>
      <c r="AD1826" s="1"/>
      <c r="AE1826" s="1"/>
      <c r="AF1826" s="46"/>
      <c r="AG1826" s="1"/>
      <c r="AH1826" s="165"/>
      <c r="AI1826" s="165"/>
      <c r="AJ1826" s="165"/>
      <c r="AK1826" s="165"/>
      <c r="AL1826" s="165"/>
      <c r="AM1826" s="165"/>
      <c r="AN1826" s="165"/>
    </row>
    <row r="1827" spans="3:40">
      <c r="C1827" s="46"/>
      <c r="F1827" s="173"/>
      <c r="G1827" s="1"/>
      <c r="H1827" s="165"/>
      <c r="I1827" s="160"/>
      <c r="J1827" s="160"/>
      <c r="K1827" s="1"/>
      <c r="L1827" s="123"/>
      <c r="M1827" s="1"/>
      <c r="N1827" s="590"/>
      <c r="O1827" s="165"/>
      <c r="P1827" s="165"/>
      <c r="Q1827" s="165"/>
      <c r="R1827" s="165"/>
      <c r="S1827" s="165"/>
      <c r="V1827" s="46"/>
      <c r="W1827" s="46"/>
      <c r="X1827" s="1"/>
      <c r="Y1827" s="1"/>
      <c r="Z1827" s="173"/>
      <c r="AA1827" s="1"/>
      <c r="AB1827" s="165"/>
      <c r="AC1827" s="1"/>
      <c r="AD1827" s="1"/>
      <c r="AE1827" s="1"/>
      <c r="AF1827" s="46"/>
      <c r="AG1827" s="1"/>
      <c r="AH1827" s="165"/>
      <c r="AI1827" s="165"/>
      <c r="AJ1827" s="165"/>
      <c r="AK1827" s="165"/>
      <c r="AL1827" s="165"/>
      <c r="AM1827" s="165"/>
      <c r="AN1827" s="165"/>
    </row>
    <row r="1828" spans="3:40">
      <c r="C1828" s="46"/>
      <c r="F1828" s="173"/>
      <c r="G1828" s="1"/>
      <c r="H1828" s="165"/>
      <c r="I1828" s="160"/>
      <c r="J1828" s="160"/>
      <c r="K1828" s="1"/>
      <c r="L1828" s="123"/>
      <c r="M1828" s="1"/>
      <c r="N1828" s="590"/>
      <c r="O1828" s="165"/>
      <c r="P1828" s="165"/>
      <c r="Q1828" s="165"/>
      <c r="R1828" s="165"/>
      <c r="S1828" s="165"/>
      <c r="V1828" s="46"/>
      <c r="W1828" s="46"/>
      <c r="X1828" s="1"/>
      <c r="Y1828" s="1"/>
      <c r="Z1828" s="173"/>
      <c r="AA1828" s="1"/>
      <c r="AB1828" s="165"/>
      <c r="AC1828" s="1"/>
      <c r="AD1828" s="1"/>
      <c r="AE1828" s="1"/>
      <c r="AF1828" s="46"/>
      <c r="AG1828" s="1"/>
      <c r="AH1828" s="165"/>
      <c r="AI1828" s="165"/>
      <c r="AJ1828" s="165"/>
      <c r="AK1828" s="165"/>
      <c r="AL1828" s="165"/>
      <c r="AM1828" s="165"/>
      <c r="AN1828" s="165"/>
    </row>
    <row r="1829" spans="3:40">
      <c r="C1829" s="46"/>
      <c r="F1829" s="173"/>
      <c r="G1829" s="1"/>
      <c r="H1829" s="165"/>
      <c r="I1829" s="160"/>
      <c r="J1829" s="160"/>
      <c r="K1829" s="1"/>
      <c r="L1829" s="123"/>
      <c r="M1829" s="1"/>
      <c r="N1829" s="590"/>
      <c r="O1829" s="165"/>
      <c r="P1829" s="165"/>
      <c r="Q1829" s="165"/>
      <c r="R1829" s="165"/>
      <c r="S1829" s="165"/>
      <c r="V1829" s="46"/>
      <c r="W1829" s="46"/>
      <c r="X1829" s="1"/>
      <c r="Y1829" s="1"/>
      <c r="Z1829" s="173"/>
      <c r="AA1829" s="1"/>
      <c r="AB1829" s="165"/>
      <c r="AC1829" s="1"/>
      <c r="AD1829" s="1"/>
      <c r="AE1829" s="1"/>
      <c r="AF1829" s="46"/>
      <c r="AG1829" s="1"/>
      <c r="AH1829" s="165"/>
      <c r="AI1829" s="165"/>
      <c r="AJ1829" s="165"/>
      <c r="AK1829" s="165"/>
      <c r="AL1829" s="165"/>
      <c r="AM1829" s="165"/>
      <c r="AN1829" s="165"/>
    </row>
    <row r="1830" spans="3:40">
      <c r="C1830" s="46"/>
      <c r="F1830" s="173"/>
      <c r="G1830" s="1"/>
      <c r="H1830" s="165"/>
      <c r="I1830" s="160"/>
      <c r="J1830" s="160"/>
      <c r="K1830" s="1"/>
      <c r="L1830" s="123"/>
      <c r="M1830" s="1"/>
      <c r="N1830" s="590"/>
      <c r="O1830" s="165"/>
      <c r="P1830" s="165"/>
      <c r="Q1830" s="165"/>
      <c r="R1830" s="165"/>
      <c r="S1830" s="165"/>
      <c r="V1830" s="46"/>
      <c r="W1830" s="46"/>
      <c r="X1830" s="1"/>
      <c r="Y1830" s="1"/>
      <c r="Z1830" s="173"/>
      <c r="AA1830" s="1"/>
      <c r="AB1830" s="165"/>
      <c r="AC1830" s="1"/>
      <c r="AD1830" s="1"/>
      <c r="AE1830" s="1"/>
      <c r="AF1830" s="46"/>
      <c r="AG1830" s="1"/>
      <c r="AH1830" s="165"/>
      <c r="AI1830" s="165"/>
      <c r="AJ1830" s="165"/>
      <c r="AK1830" s="165"/>
      <c r="AL1830" s="165"/>
      <c r="AM1830" s="165"/>
      <c r="AN1830" s="165"/>
    </row>
    <row r="1831" spans="3:40">
      <c r="C1831" s="46"/>
      <c r="F1831" s="173"/>
      <c r="G1831" s="1"/>
      <c r="H1831" s="165"/>
      <c r="I1831" s="160"/>
      <c r="J1831" s="160"/>
      <c r="K1831" s="1"/>
      <c r="L1831" s="123"/>
      <c r="M1831" s="1"/>
      <c r="N1831" s="590"/>
      <c r="O1831" s="165"/>
      <c r="P1831" s="165"/>
      <c r="Q1831" s="165"/>
      <c r="R1831" s="165"/>
      <c r="S1831" s="165"/>
      <c r="V1831" s="46"/>
      <c r="W1831" s="46"/>
      <c r="X1831" s="1"/>
      <c r="Y1831" s="1"/>
      <c r="Z1831" s="173"/>
      <c r="AA1831" s="1"/>
      <c r="AB1831" s="165"/>
      <c r="AC1831" s="1"/>
      <c r="AD1831" s="1"/>
      <c r="AE1831" s="1"/>
      <c r="AF1831" s="46"/>
      <c r="AG1831" s="1"/>
      <c r="AH1831" s="165"/>
      <c r="AI1831" s="165"/>
      <c r="AJ1831" s="165"/>
      <c r="AK1831" s="165"/>
      <c r="AL1831" s="165"/>
      <c r="AM1831" s="165"/>
      <c r="AN1831" s="165"/>
    </row>
    <row r="1832" spans="3:40">
      <c r="C1832" s="46"/>
      <c r="F1832" s="173"/>
      <c r="G1832" s="1"/>
      <c r="H1832" s="165"/>
      <c r="I1832" s="160"/>
      <c r="J1832" s="160"/>
      <c r="K1832" s="1"/>
      <c r="L1832" s="123"/>
      <c r="M1832" s="1"/>
      <c r="N1832" s="590"/>
      <c r="O1832" s="165"/>
      <c r="P1832" s="165"/>
      <c r="Q1832" s="165"/>
      <c r="R1832" s="165"/>
      <c r="S1832" s="165"/>
      <c r="V1832" s="46"/>
      <c r="W1832" s="46"/>
      <c r="X1832" s="1"/>
      <c r="Y1832" s="1"/>
      <c r="Z1832" s="173"/>
      <c r="AA1832" s="1"/>
      <c r="AB1832" s="165"/>
      <c r="AC1832" s="1"/>
      <c r="AD1832" s="1"/>
      <c r="AE1832" s="1"/>
      <c r="AF1832" s="46"/>
      <c r="AG1832" s="1"/>
      <c r="AH1832" s="165"/>
      <c r="AI1832" s="165"/>
      <c r="AJ1832" s="165"/>
      <c r="AK1832" s="165"/>
      <c r="AL1832" s="165"/>
      <c r="AM1832" s="165"/>
      <c r="AN1832" s="165"/>
    </row>
    <row r="1833" spans="3:40">
      <c r="C1833" s="46"/>
      <c r="F1833" s="173"/>
      <c r="G1833" s="1"/>
      <c r="H1833" s="165"/>
      <c r="I1833" s="160"/>
      <c r="J1833" s="160"/>
      <c r="K1833" s="1"/>
      <c r="L1833" s="123"/>
      <c r="M1833" s="1"/>
      <c r="N1833" s="590"/>
      <c r="O1833" s="165"/>
      <c r="P1833" s="165"/>
      <c r="Q1833" s="165"/>
      <c r="R1833" s="165"/>
      <c r="S1833" s="165"/>
      <c r="V1833" s="46"/>
      <c r="W1833" s="46"/>
      <c r="X1833" s="1"/>
      <c r="Y1833" s="1"/>
      <c r="Z1833" s="173"/>
      <c r="AA1833" s="1"/>
      <c r="AB1833" s="165"/>
      <c r="AC1833" s="1"/>
      <c r="AD1833" s="1"/>
      <c r="AE1833" s="1"/>
      <c r="AF1833" s="46"/>
      <c r="AG1833" s="1"/>
      <c r="AH1833" s="165"/>
      <c r="AI1833" s="165"/>
      <c r="AJ1833" s="165"/>
      <c r="AK1833" s="165"/>
      <c r="AL1833" s="165"/>
      <c r="AM1833" s="165"/>
      <c r="AN1833" s="165"/>
    </row>
    <row r="1834" spans="3:40">
      <c r="C1834" s="46"/>
      <c r="F1834" s="173"/>
      <c r="G1834" s="1"/>
      <c r="H1834" s="165"/>
      <c r="I1834" s="160"/>
      <c r="J1834" s="160"/>
      <c r="K1834" s="1"/>
      <c r="L1834" s="123"/>
      <c r="M1834" s="1"/>
      <c r="N1834" s="590"/>
      <c r="O1834" s="165"/>
      <c r="P1834" s="165"/>
      <c r="Q1834" s="165"/>
      <c r="R1834" s="165"/>
      <c r="S1834" s="165"/>
      <c r="V1834" s="46"/>
      <c r="W1834" s="46"/>
      <c r="X1834" s="1"/>
      <c r="Y1834" s="1"/>
      <c r="Z1834" s="173"/>
      <c r="AA1834" s="1"/>
      <c r="AB1834" s="165"/>
      <c r="AC1834" s="1"/>
      <c r="AD1834" s="1"/>
      <c r="AE1834" s="1"/>
      <c r="AF1834" s="46"/>
      <c r="AG1834" s="1"/>
      <c r="AH1834" s="165"/>
      <c r="AI1834" s="165"/>
      <c r="AJ1834" s="165"/>
      <c r="AK1834" s="165"/>
      <c r="AL1834" s="165"/>
      <c r="AM1834" s="165"/>
      <c r="AN1834" s="165"/>
    </row>
    <row r="1835" spans="3:40">
      <c r="C1835" s="46"/>
      <c r="F1835" s="173"/>
      <c r="G1835" s="1"/>
      <c r="H1835" s="165"/>
      <c r="I1835" s="160"/>
      <c r="J1835" s="160"/>
      <c r="K1835" s="1"/>
      <c r="L1835" s="123"/>
      <c r="M1835" s="1"/>
      <c r="N1835" s="590"/>
      <c r="O1835" s="165"/>
      <c r="P1835" s="165"/>
      <c r="Q1835" s="165"/>
      <c r="R1835" s="165"/>
      <c r="S1835" s="165"/>
      <c r="V1835" s="46"/>
      <c r="W1835" s="46"/>
      <c r="X1835" s="1"/>
      <c r="Y1835" s="1"/>
      <c r="Z1835" s="173"/>
      <c r="AA1835" s="1"/>
      <c r="AB1835" s="165"/>
      <c r="AC1835" s="1"/>
      <c r="AD1835" s="1"/>
      <c r="AE1835" s="1"/>
      <c r="AF1835" s="46"/>
      <c r="AG1835" s="1"/>
      <c r="AH1835" s="165"/>
      <c r="AI1835" s="165"/>
      <c r="AJ1835" s="165"/>
      <c r="AK1835" s="165"/>
      <c r="AL1835" s="165"/>
      <c r="AM1835" s="165"/>
      <c r="AN1835" s="165"/>
    </row>
    <row r="1836" spans="3:40">
      <c r="C1836" s="46"/>
      <c r="F1836" s="173"/>
      <c r="G1836" s="1"/>
      <c r="H1836" s="165"/>
      <c r="I1836" s="160"/>
      <c r="J1836" s="160"/>
      <c r="K1836" s="1"/>
      <c r="L1836" s="123"/>
      <c r="M1836" s="1"/>
      <c r="N1836" s="590"/>
      <c r="O1836" s="165"/>
      <c r="P1836" s="165"/>
      <c r="Q1836" s="165"/>
      <c r="R1836" s="165"/>
      <c r="S1836" s="165"/>
      <c r="V1836" s="46"/>
      <c r="W1836" s="46"/>
      <c r="X1836" s="1"/>
      <c r="Y1836" s="1"/>
      <c r="Z1836" s="173"/>
      <c r="AA1836" s="1"/>
      <c r="AB1836" s="165"/>
      <c r="AC1836" s="1"/>
      <c r="AD1836" s="1"/>
      <c r="AE1836" s="1"/>
      <c r="AF1836" s="46"/>
      <c r="AG1836" s="1"/>
      <c r="AH1836" s="165"/>
      <c r="AI1836" s="165"/>
      <c r="AJ1836" s="165"/>
      <c r="AK1836" s="165"/>
      <c r="AL1836" s="165"/>
      <c r="AM1836" s="165"/>
      <c r="AN1836" s="165"/>
    </row>
    <row r="1837" spans="3:40">
      <c r="C1837" s="46"/>
      <c r="F1837" s="173"/>
      <c r="G1837" s="1"/>
      <c r="H1837" s="165"/>
      <c r="I1837" s="160"/>
      <c r="J1837" s="160"/>
      <c r="K1837" s="1"/>
      <c r="L1837" s="123"/>
      <c r="M1837" s="1"/>
      <c r="N1837" s="590"/>
      <c r="O1837" s="165"/>
      <c r="P1837" s="165"/>
      <c r="Q1837" s="165"/>
      <c r="R1837" s="165"/>
      <c r="S1837" s="165"/>
      <c r="V1837" s="46"/>
      <c r="W1837" s="46"/>
      <c r="X1837" s="1"/>
      <c r="Y1837" s="1"/>
      <c r="Z1837" s="173"/>
      <c r="AA1837" s="1"/>
      <c r="AB1837" s="165"/>
      <c r="AC1837" s="1"/>
      <c r="AD1837" s="1"/>
      <c r="AE1837" s="1"/>
      <c r="AF1837" s="46"/>
      <c r="AG1837" s="1"/>
      <c r="AH1837" s="165"/>
      <c r="AI1837" s="165"/>
      <c r="AJ1837" s="165"/>
      <c r="AK1837" s="165"/>
      <c r="AL1837" s="165"/>
      <c r="AM1837" s="165"/>
      <c r="AN1837" s="165"/>
    </row>
    <row r="1838" spans="3:40">
      <c r="C1838" s="46"/>
      <c r="F1838" s="173"/>
      <c r="G1838" s="1"/>
      <c r="H1838" s="165"/>
      <c r="I1838" s="160"/>
      <c r="J1838" s="160"/>
      <c r="K1838" s="1"/>
      <c r="L1838" s="123"/>
      <c r="M1838" s="1"/>
      <c r="N1838" s="590"/>
      <c r="O1838" s="165"/>
      <c r="P1838" s="165"/>
      <c r="Q1838" s="165"/>
      <c r="R1838" s="165"/>
      <c r="S1838" s="165"/>
      <c r="V1838" s="46"/>
      <c r="W1838" s="46"/>
      <c r="X1838" s="1"/>
      <c r="Y1838" s="1"/>
      <c r="Z1838" s="173"/>
      <c r="AA1838" s="1"/>
      <c r="AB1838" s="165"/>
      <c r="AC1838" s="1"/>
      <c r="AD1838" s="1"/>
      <c r="AE1838" s="1"/>
      <c r="AF1838" s="46"/>
      <c r="AG1838" s="1"/>
      <c r="AH1838" s="165"/>
      <c r="AI1838" s="165"/>
      <c r="AJ1838" s="165"/>
      <c r="AK1838" s="165"/>
      <c r="AL1838" s="165"/>
      <c r="AM1838" s="165"/>
      <c r="AN1838" s="165"/>
    </row>
    <row r="1839" spans="3:40">
      <c r="C1839" s="46"/>
      <c r="F1839" s="173"/>
      <c r="G1839" s="1"/>
      <c r="H1839" s="165"/>
      <c r="I1839" s="160"/>
      <c r="J1839" s="160"/>
      <c r="K1839" s="1"/>
      <c r="L1839" s="123"/>
      <c r="M1839" s="1"/>
      <c r="N1839" s="590"/>
      <c r="O1839" s="165"/>
      <c r="P1839" s="165"/>
      <c r="Q1839" s="165"/>
      <c r="R1839" s="165"/>
      <c r="S1839" s="165"/>
      <c r="V1839" s="46"/>
      <c r="W1839" s="46"/>
      <c r="X1839" s="1"/>
      <c r="Y1839" s="1"/>
      <c r="Z1839" s="173"/>
      <c r="AA1839" s="1"/>
      <c r="AB1839" s="165"/>
      <c r="AC1839" s="1"/>
      <c r="AD1839" s="1"/>
      <c r="AE1839" s="1"/>
      <c r="AF1839" s="46"/>
      <c r="AG1839" s="1"/>
      <c r="AH1839" s="165"/>
      <c r="AI1839" s="165"/>
      <c r="AJ1839" s="165"/>
      <c r="AK1839" s="165"/>
      <c r="AL1839" s="165"/>
      <c r="AM1839" s="165"/>
      <c r="AN1839" s="165"/>
    </row>
    <row r="1840" spans="3:40">
      <c r="C1840" s="46"/>
      <c r="F1840" s="173"/>
      <c r="G1840" s="1"/>
      <c r="H1840" s="165"/>
      <c r="I1840" s="160"/>
      <c r="J1840" s="160"/>
      <c r="K1840" s="1"/>
      <c r="L1840" s="123"/>
      <c r="M1840" s="1"/>
      <c r="N1840" s="590"/>
      <c r="O1840" s="165"/>
      <c r="P1840" s="165"/>
      <c r="Q1840" s="165"/>
      <c r="R1840" s="165"/>
      <c r="S1840" s="165"/>
      <c r="V1840" s="46"/>
      <c r="W1840" s="46"/>
      <c r="X1840" s="1"/>
      <c r="Y1840" s="1"/>
      <c r="Z1840" s="173"/>
      <c r="AA1840" s="1"/>
      <c r="AB1840" s="165"/>
      <c r="AC1840" s="1"/>
      <c r="AD1840" s="1"/>
      <c r="AE1840" s="1"/>
      <c r="AF1840" s="46"/>
      <c r="AG1840" s="1"/>
      <c r="AH1840" s="165"/>
      <c r="AI1840" s="165"/>
      <c r="AJ1840" s="165"/>
      <c r="AK1840" s="165"/>
      <c r="AL1840" s="165"/>
      <c r="AM1840" s="165"/>
      <c r="AN1840" s="165"/>
    </row>
    <row r="1841" spans="3:40">
      <c r="C1841" s="46"/>
      <c r="F1841" s="173"/>
      <c r="G1841" s="1"/>
      <c r="H1841" s="165"/>
      <c r="I1841" s="160"/>
      <c r="J1841" s="160"/>
      <c r="K1841" s="1"/>
      <c r="L1841" s="123"/>
      <c r="M1841" s="1"/>
      <c r="N1841" s="590"/>
      <c r="O1841" s="165"/>
      <c r="P1841" s="165"/>
      <c r="Q1841" s="165"/>
      <c r="R1841" s="165"/>
      <c r="S1841" s="165"/>
      <c r="V1841" s="46"/>
      <c r="W1841" s="46"/>
      <c r="X1841" s="1"/>
      <c r="Y1841" s="1"/>
      <c r="Z1841" s="173"/>
      <c r="AA1841" s="1"/>
      <c r="AB1841" s="165"/>
      <c r="AC1841" s="1"/>
      <c r="AD1841" s="1"/>
      <c r="AE1841" s="1"/>
      <c r="AF1841" s="46"/>
      <c r="AG1841" s="1"/>
      <c r="AH1841" s="165"/>
      <c r="AI1841" s="165"/>
      <c r="AJ1841" s="165"/>
      <c r="AK1841" s="165"/>
      <c r="AL1841" s="165"/>
      <c r="AM1841" s="165"/>
      <c r="AN1841" s="165"/>
    </row>
    <row r="1842" spans="3:40">
      <c r="C1842" s="46"/>
      <c r="F1842" s="173"/>
      <c r="G1842" s="1"/>
      <c r="H1842" s="165"/>
      <c r="I1842" s="160"/>
      <c r="J1842" s="160"/>
      <c r="K1842" s="1"/>
      <c r="L1842" s="123"/>
      <c r="M1842" s="1"/>
      <c r="N1842" s="590"/>
      <c r="O1842" s="165"/>
      <c r="P1842" s="165"/>
      <c r="Q1842" s="165"/>
      <c r="R1842" s="165"/>
      <c r="S1842" s="165"/>
      <c r="V1842" s="46"/>
      <c r="W1842" s="46"/>
      <c r="X1842" s="1"/>
      <c r="Y1842" s="1"/>
      <c r="Z1842" s="173"/>
      <c r="AA1842" s="1"/>
      <c r="AB1842" s="165"/>
      <c r="AC1842" s="1"/>
      <c r="AD1842" s="1"/>
      <c r="AE1842" s="1"/>
      <c r="AF1842" s="46"/>
      <c r="AG1842" s="1"/>
      <c r="AH1842" s="165"/>
      <c r="AI1842" s="165"/>
      <c r="AJ1842" s="165"/>
      <c r="AK1842" s="165"/>
      <c r="AL1842" s="165"/>
      <c r="AM1842" s="165"/>
      <c r="AN1842" s="165"/>
    </row>
    <row r="1843" spans="3:40">
      <c r="C1843" s="46"/>
      <c r="F1843" s="173"/>
      <c r="G1843" s="1"/>
      <c r="H1843" s="165"/>
      <c r="I1843" s="160"/>
      <c r="J1843" s="160"/>
      <c r="K1843" s="1"/>
      <c r="L1843" s="123"/>
      <c r="M1843" s="1"/>
      <c r="N1843" s="590"/>
      <c r="O1843" s="165"/>
      <c r="P1843" s="165"/>
      <c r="Q1843" s="165"/>
      <c r="R1843" s="165"/>
      <c r="S1843" s="165"/>
      <c r="V1843" s="46"/>
      <c r="W1843" s="46"/>
      <c r="X1843" s="1"/>
      <c r="Y1843" s="1"/>
      <c r="Z1843" s="173"/>
      <c r="AA1843" s="1"/>
      <c r="AB1843" s="165"/>
      <c r="AC1843" s="1"/>
      <c r="AD1843" s="1"/>
      <c r="AE1843" s="1"/>
      <c r="AF1843" s="46"/>
      <c r="AG1843" s="1"/>
      <c r="AH1843" s="165"/>
      <c r="AI1843" s="165"/>
      <c r="AJ1843" s="165"/>
      <c r="AK1843" s="165"/>
      <c r="AL1843" s="165"/>
      <c r="AM1843" s="165"/>
      <c r="AN1843" s="165"/>
    </row>
    <row r="1844" spans="3:40">
      <c r="C1844" s="46"/>
      <c r="F1844" s="173"/>
      <c r="G1844" s="1"/>
      <c r="H1844" s="165"/>
      <c r="I1844" s="160"/>
      <c r="J1844" s="160"/>
      <c r="K1844" s="1"/>
      <c r="L1844" s="123"/>
      <c r="M1844" s="1"/>
      <c r="N1844" s="590"/>
      <c r="O1844" s="165"/>
      <c r="P1844" s="165"/>
      <c r="Q1844" s="165"/>
      <c r="R1844" s="165"/>
      <c r="S1844" s="165"/>
      <c r="V1844" s="46"/>
      <c r="W1844" s="46"/>
      <c r="X1844" s="1"/>
      <c r="Y1844" s="1"/>
      <c r="Z1844" s="173"/>
      <c r="AA1844" s="1"/>
      <c r="AB1844" s="165"/>
      <c r="AC1844" s="1"/>
      <c r="AD1844" s="1"/>
      <c r="AE1844" s="1"/>
      <c r="AF1844" s="46"/>
      <c r="AG1844" s="1"/>
      <c r="AH1844" s="165"/>
      <c r="AI1844" s="165"/>
      <c r="AJ1844" s="165"/>
      <c r="AK1844" s="165"/>
      <c r="AL1844" s="165"/>
      <c r="AM1844" s="165"/>
      <c r="AN1844" s="165"/>
    </row>
    <row r="1845" spans="3:40">
      <c r="C1845" s="46"/>
      <c r="F1845" s="173"/>
      <c r="G1845" s="1"/>
      <c r="H1845" s="165"/>
      <c r="I1845" s="160"/>
      <c r="J1845" s="160"/>
      <c r="K1845" s="1"/>
      <c r="L1845" s="123"/>
      <c r="M1845" s="1"/>
      <c r="N1845" s="590"/>
      <c r="O1845" s="165"/>
      <c r="P1845" s="165"/>
      <c r="Q1845" s="165"/>
      <c r="R1845" s="165"/>
      <c r="S1845" s="165"/>
      <c r="V1845" s="46"/>
      <c r="W1845" s="46"/>
      <c r="X1845" s="1"/>
      <c r="Y1845" s="1"/>
      <c r="Z1845" s="173"/>
      <c r="AA1845" s="1"/>
      <c r="AB1845" s="165"/>
      <c r="AC1845" s="1"/>
      <c r="AD1845" s="1"/>
      <c r="AE1845" s="1"/>
      <c r="AF1845" s="46"/>
      <c r="AG1845" s="1"/>
      <c r="AH1845" s="165"/>
      <c r="AI1845" s="165"/>
      <c r="AJ1845" s="165"/>
      <c r="AK1845" s="165"/>
      <c r="AL1845" s="165"/>
      <c r="AM1845" s="165"/>
      <c r="AN1845" s="165"/>
    </row>
    <row r="1846" spans="3:40">
      <c r="C1846" s="46"/>
      <c r="F1846" s="173"/>
      <c r="G1846" s="1"/>
      <c r="H1846" s="165"/>
      <c r="I1846" s="160"/>
      <c r="J1846" s="160"/>
      <c r="K1846" s="1"/>
      <c r="L1846" s="123"/>
      <c r="M1846" s="1"/>
      <c r="N1846" s="590"/>
      <c r="O1846" s="165"/>
      <c r="P1846" s="165"/>
      <c r="Q1846" s="165"/>
      <c r="R1846" s="165"/>
      <c r="S1846" s="165"/>
      <c r="V1846" s="46"/>
      <c r="W1846" s="46"/>
      <c r="X1846" s="1"/>
      <c r="Y1846" s="1"/>
      <c r="Z1846" s="173"/>
      <c r="AA1846" s="1"/>
      <c r="AB1846" s="165"/>
      <c r="AC1846" s="1"/>
      <c r="AD1846" s="1"/>
      <c r="AE1846" s="1"/>
      <c r="AF1846" s="46"/>
      <c r="AG1846" s="1"/>
      <c r="AH1846" s="165"/>
      <c r="AI1846" s="165"/>
      <c r="AJ1846" s="165"/>
      <c r="AK1846" s="165"/>
      <c r="AL1846" s="165"/>
      <c r="AM1846" s="165"/>
      <c r="AN1846" s="165"/>
    </row>
    <row r="1847" spans="3:40">
      <c r="C1847" s="46"/>
      <c r="F1847" s="173"/>
      <c r="G1847" s="1"/>
      <c r="H1847" s="165"/>
      <c r="I1847" s="160"/>
      <c r="J1847" s="160"/>
      <c r="K1847" s="1"/>
      <c r="L1847" s="123"/>
      <c r="M1847" s="1"/>
      <c r="N1847" s="590"/>
      <c r="O1847" s="165"/>
      <c r="P1847" s="165"/>
      <c r="Q1847" s="165"/>
      <c r="R1847" s="165"/>
      <c r="S1847" s="165"/>
      <c r="V1847" s="46"/>
      <c r="W1847" s="46"/>
      <c r="X1847" s="1"/>
      <c r="Y1847" s="1"/>
      <c r="Z1847" s="173"/>
      <c r="AA1847" s="1"/>
      <c r="AB1847" s="165"/>
      <c r="AC1847" s="1"/>
      <c r="AD1847" s="1"/>
      <c r="AE1847" s="1"/>
      <c r="AF1847" s="46"/>
      <c r="AG1847" s="1"/>
      <c r="AH1847" s="165"/>
      <c r="AI1847" s="165"/>
      <c r="AJ1847" s="165"/>
      <c r="AK1847" s="165"/>
      <c r="AL1847" s="165"/>
      <c r="AM1847" s="165"/>
      <c r="AN1847" s="165"/>
    </row>
    <row r="1848" spans="3:40">
      <c r="C1848" s="46"/>
      <c r="F1848" s="173"/>
      <c r="G1848" s="1"/>
      <c r="H1848" s="165"/>
      <c r="I1848" s="160"/>
      <c r="J1848" s="160"/>
      <c r="K1848" s="1"/>
      <c r="L1848" s="123"/>
      <c r="M1848" s="1"/>
      <c r="N1848" s="590"/>
      <c r="O1848" s="165"/>
      <c r="P1848" s="165"/>
      <c r="Q1848" s="165"/>
      <c r="R1848" s="165"/>
      <c r="S1848" s="165"/>
      <c r="V1848" s="46"/>
      <c r="W1848" s="46"/>
      <c r="X1848" s="1"/>
      <c r="Y1848" s="1"/>
      <c r="Z1848" s="173"/>
      <c r="AA1848" s="1"/>
      <c r="AB1848" s="165"/>
      <c r="AC1848" s="1"/>
      <c r="AD1848" s="1"/>
      <c r="AE1848" s="1"/>
      <c r="AF1848" s="46"/>
      <c r="AG1848" s="1"/>
      <c r="AH1848" s="165"/>
      <c r="AI1848" s="165"/>
      <c r="AJ1848" s="165"/>
      <c r="AK1848" s="165"/>
      <c r="AL1848" s="165"/>
      <c r="AM1848" s="165"/>
      <c r="AN1848" s="165"/>
    </row>
    <row r="1849" spans="3:40">
      <c r="C1849" s="46"/>
      <c r="F1849" s="173"/>
      <c r="G1849" s="1"/>
      <c r="H1849" s="165"/>
      <c r="I1849" s="160"/>
      <c r="J1849" s="160"/>
      <c r="K1849" s="1"/>
      <c r="L1849" s="123"/>
      <c r="M1849" s="1"/>
      <c r="N1849" s="590"/>
      <c r="O1849" s="165"/>
      <c r="P1849" s="165"/>
      <c r="Q1849" s="165"/>
      <c r="R1849" s="165"/>
      <c r="S1849" s="165"/>
      <c r="V1849" s="46"/>
      <c r="W1849" s="46"/>
      <c r="X1849" s="1"/>
      <c r="Y1849" s="1"/>
      <c r="Z1849" s="173"/>
      <c r="AA1849" s="1"/>
      <c r="AB1849" s="165"/>
      <c r="AC1849" s="1"/>
      <c r="AD1849" s="1"/>
      <c r="AE1849" s="1"/>
      <c r="AF1849" s="46"/>
      <c r="AG1849" s="1"/>
      <c r="AH1849" s="165"/>
      <c r="AI1849" s="165"/>
      <c r="AJ1849" s="165"/>
      <c r="AK1849" s="165"/>
      <c r="AL1849" s="165"/>
      <c r="AM1849" s="165"/>
      <c r="AN1849" s="165"/>
    </row>
    <row r="1850" spans="3:40">
      <c r="C1850" s="46"/>
      <c r="F1850" s="173"/>
      <c r="G1850" s="1"/>
      <c r="H1850" s="165"/>
      <c r="I1850" s="160"/>
      <c r="J1850" s="160"/>
      <c r="K1850" s="1"/>
      <c r="L1850" s="123"/>
      <c r="M1850" s="1"/>
      <c r="N1850" s="590"/>
      <c r="O1850" s="165"/>
      <c r="P1850" s="165"/>
      <c r="Q1850" s="165"/>
      <c r="R1850" s="165"/>
      <c r="S1850" s="165"/>
      <c r="V1850" s="46"/>
      <c r="W1850" s="46"/>
      <c r="X1850" s="1"/>
      <c r="Y1850" s="1"/>
      <c r="Z1850" s="173"/>
      <c r="AA1850" s="1"/>
      <c r="AB1850" s="165"/>
      <c r="AC1850" s="1"/>
      <c r="AD1850" s="1"/>
      <c r="AE1850" s="1"/>
      <c r="AF1850" s="46"/>
      <c r="AG1850" s="1"/>
      <c r="AH1850" s="165"/>
      <c r="AI1850" s="165"/>
      <c r="AJ1850" s="165"/>
      <c r="AK1850" s="165"/>
      <c r="AL1850" s="165"/>
      <c r="AM1850" s="165"/>
      <c r="AN1850" s="165"/>
    </row>
    <row r="1851" spans="3:40">
      <c r="C1851" s="46"/>
      <c r="F1851" s="173"/>
      <c r="G1851" s="1"/>
      <c r="H1851" s="165"/>
      <c r="I1851" s="160"/>
      <c r="J1851" s="160"/>
      <c r="K1851" s="1"/>
      <c r="L1851" s="123"/>
      <c r="M1851" s="1"/>
      <c r="N1851" s="590"/>
      <c r="O1851" s="165"/>
      <c r="P1851" s="165"/>
      <c r="Q1851" s="165"/>
      <c r="R1851" s="165"/>
      <c r="S1851" s="165"/>
      <c r="V1851" s="46"/>
      <c r="W1851" s="46"/>
      <c r="X1851" s="1"/>
      <c r="Y1851" s="1"/>
      <c r="Z1851" s="173"/>
      <c r="AA1851" s="1"/>
      <c r="AB1851" s="165"/>
      <c r="AC1851" s="1"/>
      <c r="AD1851" s="1"/>
      <c r="AE1851" s="1"/>
      <c r="AF1851" s="46"/>
      <c r="AG1851" s="1"/>
      <c r="AH1851" s="165"/>
      <c r="AI1851" s="165"/>
      <c r="AJ1851" s="165"/>
      <c r="AK1851" s="165"/>
      <c r="AL1851" s="165"/>
      <c r="AM1851" s="165"/>
      <c r="AN1851" s="165"/>
    </row>
    <row r="1852" spans="3:40">
      <c r="C1852" s="46"/>
      <c r="F1852" s="173"/>
      <c r="G1852" s="1"/>
      <c r="H1852" s="165"/>
      <c r="I1852" s="160"/>
      <c r="J1852" s="160"/>
      <c r="K1852" s="1"/>
      <c r="L1852" s="123"/>
      <c r="M1852" s="1"/>
      <c r="N1852" s="590"/>
      <c r="O1852" s="165"/>
      <c r="P1852" s="165"/>
      <c r="Q1852" s="165"/>
      <c r="R1852" s="165"/>
      <c r="S1852" s="165"/>
      <c r="V1852" s="46"/>
      <c r="W1852" s="46"/>
      <c r="X1852" s="1"/>
      <c r="Y1852" s="1"/>
      <c r="Z1852" s="173"/>
      <c r="AA1852" s="1"/>
      <c r="AB1852" s="165"/>
      <c r="AC1852" s="1"/>
      <c r="AD1852" s="1"/>
      <c r="AE1852" s="1"/>
      <c r="AF1852" s="46"/>
      <c r="AG1852" s="1"/>
      <c r="AH1852" s="165"/>
      <c r="AI1852" s="165"/>
      <c r="AJ1852" s="165"/>
      <c r="AK1852" s="165"/>
      <c r="AL1852" s="165"/>
      <c r="AM1852" s="165"/>
      <c r="AN1852" s="165"/>
    </row>
    <row r="1853" spans="3:40">
      <c r="C1853" s="46"/>
      <c r="F1853" s="173"/>
      <c r="G1853" s="1"/>
      <c r="H1853" s="165"/>
      <c r="I1853" s="160"/>
      <c r="J1853" s="160"/>
      <c r="K1853" s="1"/>
      <c r="L1853" s="123"/>
      <c r="M1853" s="1"/>
      <c r="N1853" s="590"/>
      <c r="O1853" s="165"/>
      <c r="P1853" s="165"/>
      <c r="Q1853" s="165"/>
      <c r="R1853" s="165"/>
      <c r="S1853" s="165"/>
      <c r="V1853" s="46"/>
      <c r="W1853" s="46"/>
      <c r="X1853" s="1"/>
      <c r="Y1853" s="1"/>
      <c r="Z1853" s="173"/>
      <c r="AA1853" s="1"/>
      <c r="AB1853" s="165"/>
      <c r="AC1853" s="1"/>
      <c r="AD1853" s="1"/>
      <c r="AE1853" s="1"/>
      <c r="AF1853" s="46"/>
      <c r="AG1853" s="1"/>
      <c r="AH1853" s="165"/>
      <c r="AI1853" s="165"/>
      <c r="AJ1853" s="165"/>
      <c r="AK1853" s="165"/>
      <c r="AL1853" s="165"/>
      <c r="AM1853" s="165"/>
      <c r="AN1853" s="165"/>
    </row>
    <row r="1854" spans="3:40">
      <c r="C1854" s="46"/>
      <c r="F1854" s="173"/>
      <c r="G1854" s="1"/>
      <c r="H1854" s="165"/>
      <c r="I1854" s="160"/>
      <c r="J1854" s="160"/>
      <c r="K1854" s="1"/>
      <c r="L1854" s="123"/>
      <c r="M1854" s="1"/>
      <c r="N1854" s="590"/>
      <c r="O1854" s="165"/>
      <c r="P1854" s="165"/>
      <c r="Q1854" s="165"/>
      <c r="R1854" s="165"/>
      <c r="S1854" s="165"/>
      <c r="V1854" s="46"/>
      <c r="W1854" s="46"/>
      <c r="X1854" s="1"/>
      <c r="Y1854" s="1"/>
      <c r="Z1854" s="173"/>
      <c r="AA1854" s="1"/>
      <c r="AB1854" s="165"/>
      <c r="AC1854" s="1"/>
      <c r="AD1854" s="1"/>
      <c r="AE1854" s="1"/>
      <c r="AF1854" s="46"/>
      <c r="AG1854" s="1"/>
      <c r="AH1854" s="165"/>
      <c r="AI1854" s="165"/>
      <c r="AJ1854" s="165"/>
      <c r="AK1854" s="165"/>
      <c r="AL1854" s="165"/>
      <c r="AM1854" s="165"/>
      <c r="AN1854" s="165"/>
    </row>
    <row r="1855" spans="3:40">
      <c r="C1855" s="46"/>
      <c r="F1855" s="173"/>
      <c r="G1855" s="1"/>
      <c r="H1855" s="165"/>
      <c r="I1855" s="160"/>
      <c r="J1855" s="160"/>
      <c r="K1855" s="1"/>
      <c r="L1855" s="123"/>
      <c r="M1855" s="1"/>
      <c r="N1855" s="590"/>
      <c r="O1855" s="165"/>
      <c r="P1855" s="165"/>
      <c r="Q1855" s="165"/>
      <c r="R1855" s="165"/>
      <c r="S1855" s="165"/>
      <c r="V1855" s="46"/>
      <c r="W1855" s="46"/>
      <c r="X1855" s="1"/>
      <c r="Y1855" s="1"/>
      <c r="Z1855" s="173"/>
      <c r="AA1855" s="1"/>
      <c r="AB1855" s="165"/>
      <c r="AC1855" s="1"/>
      <c r="AD1855" s="1"/>
      <c r="AE1855" s="1"/>
      <c r="AF1855" s="46"/>
      <c r="AG1855" s="1"/>
      <c r="AH1855" s="165"/>
      <c r="AI1855" s="165"/>
      <c r="AJ1855" s="165"/>
      <c r="AK1855" s="165"/>
      <c r="AL1855" s="165"/>
      <c r="AM1855" s="165"/>
      <c r="AN1855" s="165"/>
    </row>
    <row r="1856" spans="3:40">
      <c r="C1856" s="46"/>
      <c r="F1856" s="173"/>
      <c r="G1856" s="1"/>
      <c r="H1856" s="165"/>
      <c r="I1856" s="160"/>
      <c r="J1856" s="160"/>
      <c r="K1856" s="1"/>
      <c r="L1856" s="123"/>
      <c r="M1856" s="1"/>
      <c r="N1856" s="590"/>
      <c r="O1856" s="165"/>
      <c r="P1856" s="165"/>
      <c r="Q1856" s="165"/>
      <c r="R1856" s="165"/>
      <c r="S1856" s="165"/>
      <c r="V1856" s="46"/>
      <c r="W1856" s="46"/>
      <c r="X1856" s="1"/>
      <c r="Y1856" s="1"/>
      <c r="Z1856" s="173"/>
      <c r="AA1856" s="1"/>
      <c r="AB1856" s="165"/>
      <c r="AC1856" s="1"/>
      <c r="AD1856" s="1"/>
      <c r="AE1856" s="1"/>
      <c r="AF1856" s="46"/>
      <c r="AG1856" s="1"/>
      <c r="AH1856" s="165"/>
      <c r="AI1856" s="165"/>
      <c r="AJ1856" s="165"/>
      <c r="AK1856" s="165"/>
      <c r="AL1856" s="165"/>
      <c r="AM1856" s="165"/>
      <c r="AN1856" s="165"/>
    </row>
    <row r="1857" spans="3:40">
      <c r="C1857" s="46"/>
      <c r="F1857" s="173"/>
      <c r="G1857" s="1"/>
      <c r="H1857" s="165"/>
      <c r="I1857" s="160"/>
      <c r="J1857" s="160"/>
      <c r="K1857" s="1"/>
      <c r="L1857" s="123"/>
      <c r="M1857" s="1"/>
      <c r="N1857" s="590"/>
      <c r="O1857" s="165"/>
      <c r="P1857" s="165"/>
      <c r="Q1857" s="165"/>
      <c r="R1857" s="165"/>
      <c r="S1857" s="165"/>
      <c r="V1857" s="46"/>
      <c r="W1857" s="46"/>
      <c r="X1857" s="1"/>
      <c r="Y1857" s="1"/>
      <c r="Z1857" s="173"/>
      <c r="AA1857" s="1"/>
      <c r="AB1857" s="165"/>
      <c r="AC1857" s="1"/>
      <c r="AD1857" s="1"/>
      <c r="AE1857" s="1"/>
      <c r="AF1857" s="46"/>
      <c r="AG1857" s="1"/>
      <c r="AH1857" s="165"/>
      <c r="AI1857" s="165"/>
      <c r="AJ1857" s="165"/>
      <c r="AK1857" s="165"/>
      <c r="AL1857" s="165"/>
      <c r="AM1857" s="165"/>
      <c r="AN1857" s="165"/>
    </row>
    <row r="1858" spans="3:40">
      <c r="C1858" s="46"/>
      <c r="F1858" s="173"/>
      <c r="G1858" s="1"/>
      <c r="H1858" s="165"/>
      <c r="I1858" s="160"/>
      <c r="J1858" s="160"/>
      <c r="K1858" s="1"/>
      <c r="L1858" s="123"/>
      <c r="M1858" s="1"/>
      <c r="N1858" s="590"/>
      <c r="O1858" s="165"/>
      <c r="P1858" s="165"/>
      <c r="Q1858" s="165"/>
      <c r="R1858" s="165"/>
      <c r="S1858" s="165"/>
      <c r="V1858" s="46"/>
      <c r="W1858" s="46"/>
      <c r="X1858" s="1"/>
      <c r="Y1858" s="1"/>
      <c r="Z1858" s="173"/>
      <c r="AA1858" s="1"/>
      <c r="AB1858" s="165"/>
      <c r="AC1858" s="1"/>
      <c r="AD1858" s="1"/>
      <c r="AE1858" s="1"/>
      <c r="AF1858" s="46"/>
      <c r="AG1858" s="1"/>
      <c r="AH1858" s="165"/>
      <c r="AI1858" s="165"/>
      <c r="AJ1858" s="165"/>
      <c r="AK1858" s="165"/>
      <c r="AL1858" s="165"/>
      <c r="AM1858" s="165"/>
      <c r="AN1858" s="165"/>
    </row>
    <row r="1859" spans="3:40">
      <c r="C1859" s="46"/>
      <c r="F1859" s="173"/>
      <c r="G1859" s="1"/>
      <c r="H1859" s="165"/>
      <c r="I1859" s="160"/>
      <c r="J1859" s="160"/>
      <c r="K1859" s="1"/>
      <c r="L1859" s="123"/>
      <c r="M1859" s="1"/>
      <c r="N1859" s="590"/>
      <c r="O1859" s="165"/>
      <c r="P1859" s="165"/>
      <c r="Q1859" s="165"/>
      <c r="R1859" s="165"/>
      <c r="S1859" s="165"/>
      <c r="V1859" s="46"/>
      <c r="W1859" s="46"/>
      <c r="X1859" s="1"/>
      <c r="Y1859" s="1"/>
      <c r="Z1859" s="173"/>
      <c r="AA1859" s="1"/>
      <c r="AB1859" s="165"/>
      <c r="AC1859" s="1"/>
      <c r="AD1859" s="1"/>
      <c r="AE1859" s="1"/>
      <c r="AF1859" s="46"/>
      <c r="AG1859" s="1"/>
      <c r="AH1859" s="165"/>
      <c r="AI1859" s="165"/>
      <c r="AJ1859" s="165"/>
      <c r="AK1859" s="165"/>
      <c r="AL1859" s="165"/>
      <c r="AM1859" s="165"/>
      <c r="AN1859" s="165"/>
    </row>
    <row r="1860" spans="3:40">
      <c r="C1860" s="46"/>
      <c r="F1860" s="173"/>
      <c r="G1860" s="1"/>
      <c r="H1860" s="165"/>
      <c r="I1860" s="160"/>
      <c r="J1860" s="160"/>
      <c r="K1860" s="1"/>
      <c r="L1860" s="123"/>
      <c r="M1860" s="1"/>
      <c r="N1860" s="590"/>
      <c r="O1860" s="165"/>
      <c r="P1860" s="165"/>
      <c r="Q1860" s="165"/>
      <c r="R1860" s="165"/>
      <c r="S1860" s="165"/>
      <c r="V1860" s="46"/>
      <c r="W1860" s="46"/>
      <c r="X1860" s="1"/>
      <c r="Y1860" s="1"/>
      <c r="Z1860" s="173"/>
      <c r="AA1860" s="1"/>
      <c r="AB1860" s="165"/>
      <c r="AC1860" s="1"/>
      <c r="AD1860" s="1"/>
      <c r="AE1860" s="1"/>
      <c r="AF1860" s="46"/>
      <c r="AG1860" s="1"/>
      <c r="AH1860" s="165"/>
      <c r="AI1860" s="165"/>
      <c r="AJ1860" s="165"/>
      <c r="AK1860" s="165"/>
      <c r="AL1860" s="165"/>
      <c r="AM1860" s="165"/>
      <c r="AN1860" s="165"/>
    </row>
    <row r="1861" spans="3:40">
      <c r="C1861" s="46"/>
      <c r="F1861" s="173"/>
      <c r="G1861" s="1"/>
      <c r="H1861" s="165"/>
      <c r="I1861" s="160"/>
      <c r="J1861" s="160"/>
      <c r="K1861" s="1"/>
      <c r="L1861" s="123"/>
      <c r="M1861" s="1"/>
      <c r="N1861" s="590"/>
      <c r="O1861" s="165"/>
      <c r="P1861" s="165"/>
      <c r="Q1861" s="165"/>
      <c r="R1861" s="165"/>
      <c r="S1861" s="165"/>
      <c r="V1861" s="46"/>
      <c r="W1861" s="46"/>
      <c r="X1861" s="1"/>
      <c r="Y1861" s="1"/>
      <c r="Z1861" s="173"/>
      <c r="AA1861" s="1"/>
      <c r="AB1861" s="165"/>
      <c r="AC1861" s="1"/>
      <c r="AD1861" s="1"/>
      <c r="AE1861" s="1"/>
      <c r="AF1861" s="46"/>
      <c r="AG1861" s="1"/>
      <c r="AH1861" s="165"/>
      <c r="AI1861" s="165"/>
      <c r="AJ1861" s="165"/>
      <c r="AK1861" s="165"/>
      <c r="AL1861" s="165"/>
      <c r="AM1861" s="165"/>
      <c r="AN1861" s="165"/>
    </row>
    <row r="1862" spans="3:40">
      <c r="C1862" s="46"/>
      <c r="F1862" s="173"/>
      <c r="G1862" s="1"/>
      <c r="H1862" s="165"/>
      <c r="I1862" s="160"/>
      <c r="J1862" s="160"/>
      <c r="K1862" s="1"/>
      <c r="L1862" s="123"/>
      <c r="M1862" s="1"/>
      <c r="N1862" s="590"/>
      <c r="O1862" s="165"/>
      <c r="P1862" s="165"/>
      <c r="Q1862" s="165"/>
      <c r="R1862" s="165"/>
      <c r="S1862" s="165"/>
      <c r="V1862" s="46"/>
      <c r="W1862" s="46"/>
      <c r="X1862" s="1"/>
      <c r="Y1862" s="1"/>
      <c r="Z1862" s="173"/>
      <c r="AA1862" s="1"/>
      <c r="AB1862" s="165"/>
      <c r="AC1862" s="1"/>
      <c r="AD1862" s="1"/>
      <c r="AE1862" s="1"/>
      <c r="AF1862" s="46"/>
      <c r="AG1862" s="1"/>
      <c r="AH1862" s="165"/>
      <c r="AI1862" s="165"/>
      <c r="AJ1862" s="165"/>
      <c r="AK1862" s="165"/>
      <c r="AL1862" s="165"/>
      <c r="AM1862" s="165"/>
      <c r="AN1862" s="165"/>
    </row>
    <row r="1863" spans="3:40">
      <c r="C1863" s="46"/>
      <c r="F1863" s="173"/>
      <c r="G1863" s="1"/>
      <c r="H1863" s="165"/>
      <c r="I1863" s="160"/>
      <c r="J1863" s="160"/>
      <c r="K1863" s="1"/>
      <c r="L1863" s="123"/>
      <c r="M1863" s="1"/>
      <c r="N1863" s="590"/>
      <c r="O1863" s="165"/>
      <c r="P1863" s="165"/>
      <c r="Q1863" s="165"/>
      <c r="R1863" s="165"/>
      <c r="S1863" s="165"/>
      <c r="V1863" s="46"/>
      <c r="W1863" s="46"/>
      <c r="X1863" s="1"/>
      <c r="Y1863" s="1"/>
      <c r="Z1863" s="173"/>
      <c r="AA1863" s="1"/>
      <c r="AB1863" s="165"/>
      <c r="AC1863" s="1"/>
      <c r="AD1863" s="1"/>
      <c r="AE1863" s="1"/>
      <c r="AF1863" s="46"/>
      <c r="AG1863" s="1"/>
      <c r="AH1863" s="165"/>
      <c r="AI1863" s="165"/>
      <c r="AJ1863" s="165"/>
      <c r="AK1863" s="165"/>
      <c r="AL1863" s="165"/>
      <c r="AM1863" s="165"/>
      <c r="AN1863" s="165"/>
    </row>
    <row r="1864" spans="3:40">
      <c r="C1864" s="46"/>
      <c r="F1864" s="173"/>
      <c r="G1864" s="1"/>
      <c r="H1864" s="165"/>
      <c r="I1864" s="160"/>
      <c r="J1864" s="160"/>
      <c r="K1864" s="1"/>
      <c r="L1864" s="123"/>
      <c r="M1864" s="1"/>
      <c r="N1864" s="590"/>
      <c r="O1864" s="165"/>
      <c r="P1864" s="165"/>
      <c r="Q1864" s="165"/>
      <c r="R1864" s="165"/>
      <c r="S1864" s="165"/>
      <c r="V1864" s="46"/>
      <c r="W1864" s="46"/>
      <c r="X1864" s="1"/>
      <c r="Y1864" s="1"/>
      <c r="Z1864" s="173"/>
      <c r="AA1864" s="1"/>
      <c r="AB1864" s="165"/>
      <c r="AC1864" s="1"/>
      <c r="AD1864" s="1"/>
      <c r="AE1864" s="1"/>
      <c r="AF1864" s="46"/>
      <c r="AG1864" s="1"/>
      <c r="AH1864" s="165"/>
      <c r="AI1864" s="165"/>
      <c r="AJ1864" s="165"/>
      <c r="AK1864" s="165"/>
      <c r="AL1864" s="165"/>
      <c r="AM1864" s="165"/>
      <c r="AN1864" s="165"/>
    </row>
    <row r="1865" spans="3:40">
      <c r="C1865" s="46"/>
      <c r="F1865" s="173"/>
      <c r="G1865" s="1"/>
      <c r="H1865" s="165"/>
      <c r="I1865" s="160"/>
      <c r="J1865" s="160"/>
      <c r="K1865" s="1"/>
      <c r="L1865" s="123"/>
      <c r="M1865" s="1"/>
      <c r="N1865" s="590"/>
      <c r="O1865" s="165"/>
      <c r="P1865" s="165"/>
      <c r="Q1865" s="165"/>
      <c r="R1865" s="165"/>
      <c r="S1865" s="165"/>
      <c r="V1865" s="46"/>
      <c r="W1865" s="46"/>
      <c r="X1865" s="1"/>
      <c r="Y1865" s="1"/>
      <c r="Z1865" s="173"/>
      <c r="AA1865" s="1"/>
      <c r="AB1865" s="165"/>
      <c r="AC1865" s="1"/>
      <c r="AD1865" s="1"/>
      <c r="AE1865" s="1"/>
      <c r="AF1865" s="46"/>
      <c r="AG1865" s="1"/>
      <c r="AH1865" s="165"/>
      <c r="AI1865" s="165"/>
      <c r="AJ1865" s="165"/>
      <c r="AK1865" s="165"/>
      <c r="AL1865" s="165"/>
      <c r="AM1865" s="165"/>
      <c r="AN1865" s="165"/>
    </row>
    <row r="1866" spans="3:40">
      <c r="C1866" s="46"/>
      <c r="F1866" s="173"/>
      <c r="G1866" s="1"/>
      <c r="H1866" s="165"/>
      <c r="I1866" s="160"/>
      <c r="J1866" s="160"/>
      <c r="K1866" s="1"/>
      <c r="L1866" s="123"/>
      <c r="M1866" s="1"/>
      <c r="N1866" s="590"/>
      <c r="O1866" s="165"/>
      <c r="P1866" s="165"/>
      <c r="Q1866" s="165"/>
      <c r="R1866" s="165"/>
      <c r="S1866" s="165"/>
      <c r="V1866" s="46"/>
      <c r="W1866" s="46"/>
      <c r="X1866" s="1"/>
      <c r="Y1866" s="1"/>
      <c r="Z1866" s="173"/>
      <c r="AA1866" s="1"/>
      <c r="AB1866" s="165"/>
      <c r="AC1866" s="1"/>
      <c r="AD1866" s="1"/>
      <c r="AE1866" s="1"/>
      <c r="AF1866" s="46"/>
      <c r="AG1866" s="1"/>
      <c r="AH1866" s="165"/>
      <c r="AI1866" s="165"/>
      <c r="AJ1866" s="165"/>
      <c r="AK1866" s="165"/>
      <c r="AL1866" s="165"/>
      <c r="AM1866" s="165"/>
      <c r="AN1866" s="165"/>
    </row>
    <row r="1867" spans="3:40">
      <c r="C1867" s="46"/>
      <c r="F1867" s="173"/>
      <c r="G1867" s="1"/>
      <c r="H1867" s="165"/>
      <c r="I1867" s="160"/>
      <c r="J1867" s="160"/>
      <c r="K1867" s="1"/>
      <c r="L1867" s="123"/>
      <c r="M1867" s="1"/>
      <c r="N1867" s="590"/>
      <c r="O1867" s="165"/>
      <c r="P1867" s="165"/>
      <c r="Q1867" s="165"/>
      <c r="R1867" s="165"/>
      <c r="S1867" s="165"/>
      <c r="V1867" s="46"/>
      <c r="W1867" s="46"/>
      <c r="X1867" s="1"/>
      <c r="Y1867" s="1"/>
      <c r="Z1867" s="173"/>
      <c r="AA1867" s="1"/>
      <c r="AB1867" s="165"/>
      <c r="AC1867" s="1"/>
      <c r="AD1867" s="1"/>
      <c r="AE1867" s="1"/>
      <c r="AF1867" s="46"/>
      <c r="AG1867" s="1"/>
      <c r="AH1867" s="165"/>
      <c r="AI1867" s="165"/>
      <c r="AJ1867" s="165"/>
      <c r="AK1867" s="165"/>
      <c r="AL1867" s="165"/>
      <c r="AM1867" s="165"/>
      <c r="AN1867" s="165"/>
    </row>
    <row r="1868" spans="3:40">
      <c r="C1868" s="46"/>
      <c r="F1868" s="173"/>
      <c r="G1868" s="1"/>
      <c r="H1868" s="165"/>
      <c r="I1868" s="160"/>
      <c r="J1868" s="160"/>
      <c r="K1868" s="1"/>
      <c r="L1868" s="123"/>
      <c r="M1868" s="1"/>
      <c r="N1868" s="590"/>
      <c r="O1868" s="165"/>
      <c r="P1868" s="165"/>
      <c r="Q1868" s="165"/>
      <c r="R1868" s="165"/>
      <c r="S1868" s="165"/>
      <c r="V1868" s="46"/>
      <c r="W1868" s="46"/>
      <c r="X1868" s="1"/>
      <c r="Y1868" s="1"/>
      <c r="Z1868" s="173"/>
      <c r="AA1868" s="1"/>
      <c r="AB1868" s="165"/>
      <c r="AC1868" s="1"/>
      <c r="AD1868" s="1"/>
      <c r="AE1868" s="1"/>
      <c r="AF1868" s="46"/>
      <c r="AG1868" s="1"/>
      <c r="AH1868" s="165"/>
      <c r="AI1868" s="165"/>
      <c r="AJ1868" s="165"/>
      <c r="AK1868" s="165"/>
      <c r="AL1868" s="165"/>
      <c r="AM1868" s="165"/>
      <c r="AN1868" s="165"/>
    </row>
    <row r="1869" spans="3:40">
      <c r="C1869" s="46"/>
      <c r="F1869" s="173"/>
      <c r="G1869" s="1"/>
      <c r="H1869" s="165"/>
      <c r="I1869" s="160"/>
      <c r="J1869" s="160"/>
      <c r="K1869" s="1"/>
      <c r="L1869" s="123"/>
      <c r="M1869" s="1"/>
      <c r="N1869" s="590"/>
      <c r="O1869" s="165"/>
      <c r="P1869" s="165"/>
      <c r="Q1869" s="165"/>
      <c r="R1869" s="165"/>
      <c r="S1869" s="165"/>
      <c r="V1869" s="46"/>
      <c r="W1869" s="46"/>
      <c r="X1869" s="1"/>
      <c r="Y1869" s="1"/>
      <c r="Z1869" s="173"/>
      <c r="AA1869" s="1"/>
      <c r="AB1869" s="165"/>
      <c r="AC1869" s="1"/>
      <c r="AD1869" s="1"/>
      <c r="AE1869" s="1"/>
      <c r="AF1869" s="46"/>
      <c r="AG1869" s="1"/>
      <c r="AH1869" s="165"/>
      <c r="AI1869" s="165"/>
      <c r="AJ1869" s="165"/>
      <c r="AK1869" s="165"/>
      <c r="AL1869" s="165"/>
      <c r="AM1869" s="165"/>
      <c r="AN1869" s="165"/>
    </row>
    <row r="1870" spans="3:40">
      <c r="C1870" s="46"/>
      <c r="F1870" s="173"/>
      <c r="G1870" s="1"/>
      <c r="H1870" s="165"/>
      <c r="I1870" s="160"/>
      <c r="J1870" s="160"/>
      <c r="K1870" s="1"/>
      <c r="L1870" s="123"/>
      <c r="M1870" s="1"/>
      <c r="N1870" s="590"/>
      <c r="O1870" s="165"/>
      <c r="P1870" s="165"/>
      <c r="Q1870" s="165"/>
      <c r="R1870" s="165"/>
      <c r="S1870" s="165"/>
      <c r="V1870" s="46"/>
      <c r="W1870" s="46"/>
      <c r="X1870" s="1"/>
      <c r="Y1870" s="1"/>
      <c r="Z1870" s="173"/>
      <c r="AA1870" s="1"/>
      <c r="AB1870" s="165"/>
      <c r="AC1870" s="1"/>
      <c r="AD1870" s="1"/>
      <c r="AE1870" s="1"/>
      <c r="AF1870" s="46"/>
      <c r="AG1870" s="1"/>
      <c r="AH1870" s="165"/>
      <c r="AI1870" s="165"/>
      <c r="AJ1870" s="165"/>
      <c r="AK1870" s="165"/>
      <c r="AL1870" s="165"/>
      <c r="AM1870" s="165"/>
      <c r="AN1870" s="165"/>
    </row>
    <row r="1871" spans="3:40">
      <c r="C1871" s="46"/>
      <c r="F1871" s="173"/>
      <c r="G1871" s="1"/>
      <c r="H1871" s="165"/>
      <c r="I1871" s="160"/>
      <c r="J1871" s="160"/>
      <c r="K1871" s="1"/>
      <c r="L1871" s="123"/>
      <c r="M1871" s="1"/>
      <c r="N1871" s="590"/>
      <c r="O1871" s="165"/>
      <c r="P1871" s="165"/>
      <c r="Q1871" s="165"/>
      <c r="R1871" s="165"/>
      <c r="S1871" s="165"/>
      <c r="V1871" s="46"/>
      <c r="W1871" s="46"/>
      <c r="X1871" s="1"/>
      <c r="Y1871" s="1"/>
      <c r="Z1871" s="173"/>
      <c r="AA1871" s="1"/>
      <c r="AB1871" s="165"/>
      <c r="AC1871" s="1"/>
      <c r="AD1871" s="1"/>
      <c r="AE1871" s="1"/>
      <c r="AF1871" s="46"/>
      <c r="AG1871" s="1"/>
      <c r="AH1871" s="165"/>
      <c r="AI1871" s="165"/>
      <c r="AJ1871" s="165"/>
      <c r="AK1871" s="165"/>
      <c r="AL1871" s="165"/>
      <c r="AM1871" s="165"/>
      <c r="AN1871" s="165"/>
    </row>
    <row r="1872" spans="3:40">
      <c r="C1872" s="46"/>
      <c r="F1872" s="173"/>
      <c r="G1872" s="1"/>
      <c r="H1872" s="165"/>
      <c r="I1872" s="160"/>
      <c r="J1872" s="160"/>
      <c r="K1872" s="1"/>
      <c r="L1872" s="123"/>
      <c r="M1872" s="1"/>
      <c r="N1872" s="590"/>
      <c r="O1872" s="165"/>
      <c r="P1872" s="165"/>
      <c r="Q1872" s="165"/>
      <c r="R1872" s="165"/>
      <c r="S1872" s="165"/>
      <c r="V1872" s="46"/>
      <c r="W1872" s="46"/>
      <c r="X1872" s="1"/>
      <c r="Y1872" s="1"/>
      <c r="Z1872" s="173"/>
      <c r="AA1872" s="1"/>
      <c r="AB1872" s="165"/>
      <c r="AC1872" s="1"/>
      <c r="AD1872" s="1"/>
      <c r="AE1872" s="1"/>
      <c r="AF1872" s="46"/>
      <c r="AG1872" s="1"/>
      <c r="AH1872" s="165"/>
      <c r="AI1872" s="165"/>
      <c r="AJ1872" s="165"/>
      <c r="AK1872" s="165"/>
      <c r="AL1872" s="165"/>
      <c r="AM1872" s="165"/>
      <c r="AN1872" s="165"/>
    </row>
    <row r="1873" spans="3:40">
      <c r="C1873" s="46"/>
      <c r="F1873" s="173"/>
      <c r="G1873" s="1"/>
      <c r="H1873" s="165"/>
      <c r="I1873" s="160"/>
      <c r="J1873" s="160"/>
      <c r="K1873" s="1"/>
      <c r="L1873" s="123"/>
      <c r="M1873" s="1"/>
      <c r="N1873" s="590"/>
      <c r="O1873" s="165"/>
      <c r="P1873" s="165"/>
      <c r="Q1873" s="165"/>
      <c r="R1873" s="165"/>
      <c r="S1873" s="165"/>
      <c r="V1873" s="46"/>
      <c r="W1873" s="46"/>
      <c r="X1873" s="1"/>
      <c r="Y1873" s="1"/>
      <c r="Z1873" s="173"/>
      <c r="AA1873" s="1"/>
      <c r="AB1873" s="165"/>
      <c r="AC1873" s="1"/>
      <c r="AD1873" s="1"/>
      <c r="AE1873" s="1"/>
      <c r="AF1873" s="46"/>
      <c r="AG1873" s="1"/>
      <c r="AH1873" s="165"/>
      <c r="AI1873" s="165"/>
      <c r="AJ1873" s="165"/>
      <c r="AK1873" s="165"/>
      <c r="AL1873" s="165"/>
      <c r="AM1873" s="165"/>
      <c r="AN1873" s="165"/>
    </row>
    <row r="1874" spans="3:40">
      <c r="C1874" s="46"/>
      <c r="F1874" s="173"/>
      <c r="G1874" s="1"/>
      <c r="H1874" s="165"/>
      <c r="I1874" s="160"/>
      <c r="J1874" s="160"/>
      <c r="K1874" s="1"/>
      <c r="L1874" s="123"/>
      <c r="M1874" s="1"/>
      <c r="N1874" s="590"/>
      <c r="O1874" s="165"/>
      <c r="P1874" s="165"/>
      <c r="Q1874" s="165"/>
      <c r="R1874" s="165"/>
      <c r="S1874" s="165"/>
      <c r="V1874" s="46"/>
      <c r="W1874" s="46"/>
      <c r="X1874" s="1"/>
      <c r="Y1874" s="1"/>
      <c r="Z1874" s="173"/>
      <c r="AA1874" s="1"/>
      <c r="AB1874" s="165"/>
      <c r="AC1874" s="1"/>
      <c r="AD1874" s="1"/>
      <c r="AE1874" s="1"/>
      <c r="AF1874" s="46"/>
      <c r="AG1874" s="1"/>
      <c r="AH1874" s="165"/>
      <c r="AI1874" s="165"/>
      <c r="AJ1874" s="165"/>
      <c r="AK1874" s="165"/>
      <c r="AL1874" s="165"/>
      <c r="AM1874" s="165"/>
      <c r="AN1874" s="165"/>
    </row>
    <row r="1875" spans="3:40">
      <c r="C1875" s="46"/>
      <c r="F1875" s="173"/>
      <c r="G1875" s="1"/>
      <c r="H1875" s="165"/>
      <c r="I1875" s="160"/>
      <c r="J1875" s="160"/>
      <c r="K1875" s="1"/>
      <c r="L1875" s="123"/>
      <c r="M1875" s="1"/>
      <c r="N1875" s="590"/>
      <c r="O1875" s="165"/>
      <c r="P1875" s="165"/>
      <c r="Q1875" s="165"/>
      <c r="R1875" s="165"/>
      <c r="S1875" s="165"/>
      <c r="V1875" s="46"/>
      <c r="W1875" s="46"/>
      <c r="X1875" s="1"/>
      <c r="Y1875" s="1"/>
      <c r="Z1875" s="173"/>
      <c r="AA1875" s="1"/>
      <c r="AB1875" s="165"/>
      <c r="AC1875" s="1"/>
      <c r="AD1875" s="1"/>
      <c r="AE1875" s="1"/>
      <c r="AF1875" s="46"/>
      <c r="AG1875" s="1"/>
      <c r="AH1875" s="165"/>
      <c r="AI1875" s="165"/>
      <c r="AJ1875" s="165"/>
      <c r="AK1875" s="165"/>
      <c r="AL1875" s="165"/>
      <c r="AM1875" s="165"/>
      <c r="AN1875" s="165"/>
    </row>
    <row r="1876" spans="3:40">
      <c r="C1876" s="46"/>
      <c r="F1876" s="173"/>
      <c r="G1876" s="1"/>
      <c r="H1876" s="165"/>
      <c r="I1876" s="160"/>
      <c r="J1876" s="160"/>
      <c r="K1876" s="1"/>
      <c r="L1876" s="123"/>
      <c r="M1876" s="1"/>
      <c r="N1876" s="590"/>
      <c r="O1876" s="165"/>
      <c r="P1876" s="165"/>
      <c r="Q1876" s="165"/>
      <c r="R1876" s="165"/>
      <c r="S1876" s="165"/>
      <c r="V1876" s="46"/>
      <c r="W1876" s="46"/>
      <c r="X1876" s="1"/>
      <c r="Y1876" s="1"/>
      <c r="Z1876" s="173"/>
      <c r="AA1876" s="1"/>
      <c r="AB1876" s="165"/>
      <c r="AC1876" s="1"/>
      <c r="AD1876" s="1"/>
      <c r="AE1876" s="1"/>
      <c r="AF1876" s="46"/>
      <c r="AG1876" s="1"/>
      <c r="AH1876" s="165"/>
      <c r="AI1876" s="165"/>
      <c r="AJ1876" s="165"/>
      <c r="AK1876" s="165"/>
      <c r="AL1876" s="165"/>
      <c r="AM1876" s="165"/>
      <c r="AN1876" s="165"/>
    </row>
    <row r="1877" spans="3:40">
      <c r="C1877" s="46"/>
      <c r="F1877" s="173"/>
      <c r="G1877" s="1"/>
      <c r="H1877" s="165"/>
      <c r="I1877" s="160"/>
      <c r="J1877" s="160"/>
      <c r="K1877" s="1"/>
      <c r="L1877" s="123"/>
      <c r="M1877" s="1"/>
      <c r="N1877" s="590"/>
      <c r="O1877" s="165"/>
      <c r="P1877" s="165"/>
      <c r="Q1877" s="165"/>
      <c r="R1877" s="165"/>
      <c r="S1877" s="165"/>
      <c r="V1877" s="46"/>
      <c r="W1877" s="46"/>
      <c r="X1877" s="1"/>
      <c r="Y1877" s="1"/>
      <c r="Z1877" s="173"/>
      <c r="AA1877" s="1"/>
      <c r="AB1877" s="165"/>
      <c r="AC1877" s="1"/>
      <c r="AD1877" s="1"/>
      <c r="AE1877" s="1"/>
      <c r="AF1877" s="46"/>
      <c r="AG1877" s="1"/>
      <c r="AH1877" s="165"/>
      <c r="AI1877" s="165"/>
      <c r="AJ1877" s="165"/>
      <c r="AK1877" s="165"/>
      <c r="AL1877" s="165"/>
      <c r="AM1877" s="165"/>
      <c r="AN1877" s="165"/>
    </row>
    <row r="1878" spans="3:40">
      <c r="C1878" s="46"/>
      <c r="F1878" s="173"/>
      <c r="G1878" s="1"/>
      <c r="H1878" s="165"/>
      <c r="I1878" s="160"/>
      <c r="J1878" s="160"/>
      <c r="K1878" s="1"/>
      <c r="L1878" s="123"/>
      <c r="M1878" s="1"/>
      <c r="N1878" s="590"/>
      <c r="O1878" s="165"/>
      <c r="P1878" s="165"/>
      <c r="Q1878" s="165"/>
      <c r="R1878" s="165"/>
      <c r="S1878" s="165"/>
      <c r="V1878" s="46"/>
      <c r="W1878" s="46"/>
      <c r="X1878" s="1"/>
      <c r="Y1878" s="1"/>
      <c r="Z1878" s="173"/>
      <c r="AA1878" s="1"/>
      <c r="AB1878" s="165"/>
      <c r="AC1878" s="1"/>
      <c r="AD1878" s="1"/>
      <c r="AE1878" s="1"/>
      <c r="AF1878" s="46"/>
      <c r="AG1878" s="1"/>
      <c r="AH1878" s="165"/>
      <c r="AI1878" s="165"/>
      <c r="AJ1878" s="165"/>
      <c r="AK1878" s="165"/>
      <c r="AL1878" s="165"/>
      <c r="AM1878" s="165"/>
      <c r="AN1878" s="165"/>
    </row>
    <row r="1879" spans="3:40">
      <c r="C1879" s="46"/>
      <c r="F1879" s="173"/>
      <c r="G1879" s="1"/>
      <c r="H1879" s="165"/>
      <c r="I1879" s="160"/>
      <c r="J1879" s="160"/>
      <c r="K1879" s="1"/>
      <c r="L1879" s="123"/>
      <c r="M1879" s="1"/>
      <c r="N1879" s="590"/>
      <c r="O1879" s="165"/>
      <c r="P1879" s="165"/>
      <c r="Q1879" s="165"/>
      <c r="R1879" s="165"/>
      <c r="S1879" s="165"/>
      <c r="V1879" s="46"/>
      <c r="W1879" s="46"/>
      <c r="X1879" s="1"/>
      <c r="Y1879" s="1"/>
      <c r="Z1879" s="173"/>
      <c r="AA1879" s="1"/>
      <c r="AB1879" s="165"/>
      <c r="AC1879" s="1"/>
      <c r="AD1879" s="1"/>
      <c r="AE1879" s="1"/>
      <c r="AF1879" s="46"/>
      <c r="AG1879" s="1"/>
      <c r="AH1879" s="165"/>
      <c r="AI1879" s="165"/>
      <c r="AJ1879" s="165"/>
      <c r="AK1879" s="165"/>
      <c r="AL1879" s="165"/>
      <c r="AM1879" s="165"/>
      <c r="AN1879" s="165"/>
    </row>
    <row r="1880" spans="3:40">
      <c r="C1880" s="46"/>
      <c r="F1880" s="173"/>
      <c r="G1880" s="1"/>
      <c r="H1880" s="165"/>
      <c r="I1880" s="160"/>
      <c r="J1880" s="160"/>
      <c r="K1880" s="1"/>
      <c r="L1880" s="123"/>
      <c r="M1880" s="1"/>
      <c r="N1880" s="590"/>
      <c r="O1880" s="165"/>
      <c r="P1880" s="165"/>
      <c r="Q1880" s="165"/>
      <c r="R1880" s="165"/>
      <c r="S1880" s="165"/>
      <c r="V1880" s="46"/>
      <c r="W1880" s="46"/>
      <c r="X1880" s="1"/>
      <c r="Y1880" s="1"/>
      <c r="Z1880" s="173"/>
      <c r="AA1880" s="1"/>
      <c r="AB1880" s="165"/>
      <c r="AC1880" s="1"/>
      <c r="AD1880" s="1"/>
      <c r="AE1880" s="1"/>
      <c r="AF1880" s="46"/>
      <c r="AG1880" s="1"/>
      <c r="AH1880" s="165"/>
      <c r="AI1880" s="165"/>
      <c r="AJ1880" s="165"/>
      <c r="AK1880" s="165"/>
      <c r="AL1880" s="165"/>
      <c r="AM1880" s="165"/>
      <c r="AN1880" s="165"/>
    </row>
    <row r="1881" spans="3:40">
      <c r="C1881" s="46"/>
      <c r="F1881" s="173"/>
      <c r="G1881" s="1"/>
      <c r="H1881" s="165"/>
      <c r="I1881" s="160"/>
      <c r="J1881" s="160"/>
      <c r="K1881" s="1"/>
      <c r="L1881" s="123"/>
      <c r="M1881" s="1"/>
      <c r="N1881" s="590"/>
      <c r="O1881" s="165"/>
      <c r="P1881" s="165"/>
      <c r="Q1881" s="165"/>
      <c r="R1881" s="165"/>
      <c r="S1881" s="165"/>
      <c r="V1881" s="46"/>
      <c r="W1881" s="46"/>
      <c r="X1881" s="1"/>
      <c r="Y1881" s="1"/>
      <c r="Z1881" s="173"/>
      <c r="AA1881" s="1"/>
      <c r="AB1881" s="165"/>
      <c r="AC1881" s="1"/>
      <c r="AD1881" s="1"/>
      <c r="AE1881" s="1"/>
      <c r="AF1881" s="46"/>
      <c r="AG1881" s="1"/>
      <c r="AH1881" s="165"/>
      <c r="AI1881" s="165"/>
      <c r="AJ1881" s="165"/>
      <c r="AK1881" s="165"/>
      <c r="AL1881" s="165"/>
      <c r="AM1881" s="165"/>
      <c r="AN1881" s="165"/>
    </row>
    <row r="1882" spans="3:40">
      <c r="C1882" s="46"/>
      <c r="F1882" s="173"/>
      <c r="G1882" s="1"/>
      <c r="H1882" s="165"/>
      <c r="I1882" s="160"/>
      <c r="J1882" s="160"/>
      <c r="K1882" s="1"/>
      <c r="L1882" s="123"/>
      <c r="M1882" s="1"/>
      <c r="N1882" s="590"/>
      <c r="O1882" s="165"/>
      <c r="P1882" s="165"/>
      <c r="Q1882" s="165"/>
      <c r="R1882" s="165"/>
      <c r="S1882" s="165"/>
      <c r="V1882" s="46"/>
      <c r="W1882" s="46"/>
      <c r="X1882" s="1"/>
      <c r="Y1882" s="1"/>
      <c r="Z1882" s="173"/>
      <c r="AA1882" s="1"/>
      <c r="AB1882" s="165"/>
      <c r="AC1882" s="1"/>
      <c r="AD1882" s="1"/>
      <c r="AE1882" s="1"/>
      <c r="AF1882" s="46"/>
      <c r="AG1882" s="1"/>
      <c r="AH1882" s="165"/>
      <c r="AI1882" s="165"/>
      <c r="AJ1882" s="165"/>
      <c r="AK1882" s="165"/>
      <c r="AL1882" s="165"/>
      <c r="AM1882" s="165"/>
      <c r="AN1882" s="165"/>
    </row>
    <row r="1883" spans="3:40">
      <c r="C1883" s="46"/>
      <c r="F1883" s="173"/>
      <c r="G1883" s="1"/>
      <c r="H1883" s="165"/>
      <c r="I1883" s="160"/>
      <c r="J1883" s="160"/>
      <c r="K1883" s="1"/>
      <c r="L1883" s="123"/>
      <c r="M1883" s="1"/>
      <c r="N1883" s="590"/>
      <c r="O1883" s="165"/>
      <c r="P1883" s="165"/>
      <c r="Q1883" s="165"/>
      <c r="R1883" s="165"/>
      <c r="S1883" s="165"/>
      <c r="V1883" s="46"/>
      <c r="W1883" s="46"/>
      <c r="X1883" s="1"/>
      <c r="Y1883" s="1"/>
      <c r="Z1883" s="173"/>
      <c r="AA1883" s="1"/>
      <c r="AB1883" s="165"/>
      <c r="AC1883" s="1"/>
      <c r="AD1883" s="1"/>
      <c r="AE1883" s="1"/>
      <c r="AF1883" s="46"/>
      <c r="AG1883" s="1"/>
      <c r="AH1883" s="165"/>
      <c r="AI1883" s="165"/>
      <c r="AJ1883" s="165"/>
      <c r="AK1883" s="165"/>
      <c r="AL1883" s="165"/>
      <c r="AM1883" s="165"/>
      <c r="AN1883" s="165"/>
    </row>
    <row r="1884" spans="3:40">
      <c r="C1884" s="46"/>
      <c r="F1884" s="173"/>
      <c r="G1884" s="1"/>
      <c r="H1884" s="165"/>
      <c r="I1884" s="160"/>
      <c r="J1884" s="160"/>
      <c r="K1884" s="1"/>
      <c r="L1884" s="123"/>
      <c r="M1884" s="1"/>
      <c r="N1884" s="590"/>
      <c r="O1884" s="165"/>
      <c r="P1884" s="165"/>
      <c r="Q1884" s="165"/>
      <c r="R1884" s="165"/>
      <c r="S1884" s="165"/>
      <c r="V1884" s="46"/>
      <c r="W1884" s="46"/>
      <c r="X1884" s="1"/>
      <c r="Y1884" s="1"/>
      <c r="Z1884" s="173"/>
      <c r="AA1884" s="1"/>
      <c r="AB1884" s="165"/>
      <c r="AC1884" s="1"/>
      <c r="AD1884" s="1"/>
      <c r="AE1884" s="1"/>
      <c r="AF1884" s="46"/>
      <c r="AG1884" s="1"/>
      <c r="AH1884" s="165"/>
      <c r="AI1884" s="165"/>
      <c r="AJ1884" s="165"/>
      <c r="AK1884" s="165"/>
      <c r="AL1884" s="165"/>
      <c r="AM1884" s="165"/>
      <c r="AN1884" s="165"/>
    </row>
    <row r="1885" spans="3:40">
      <c r="C1885" s="46"/>
      <c r="F1885" s="173"/>
      <c r="G1885" s="1"/>
      <c r="H1885" s="165"/>
      <c r="I1885" s="160"/>
      <c r="J1885" s="160"/>
      <c r="K1885" s="1"/>
      <c r="L1885" s="123"/>
      <c r="M1885" s="1"/>
      <c r="N1885" s="590"/>
      <c r="O1885" s="165"/>
      <c r="P1885" s="165"/>
      <c r="Q1885" s="165"/>
      <c r="R1885" s="165"/>
      <c r="S1885" s="165"/>
      <c r="V1885" s="46"/>
      <c r="W1885" s="46"/>
      <c r="X1885" s="1"/>
      <c r="Y1885" s="1"/>
      <c r="Z1885" s="173"/>
      <c r="AA1885" s="1"/>
      <c r="AB1885" s="165"/>
      <c r="AC1885" s="1"/>
      <c r="AD1885" s="1"/>
      <c r="AE1885" s="1"/>
      <c r="AF1885" s="46"/>
      <c r="AG1885" s="1"/>
      <c r="AH1885" s="165"/>
      <c r="AI1885" s="165"/>
      <c r="AJ1885" s="165"/>
      <c r="AK1885" s="165"/>
      <c r="AL1885" s="165"/>
      <c r="AM1885" s="165"/>
      <c r="AN1885" s="165"/>
    </row>
    <row r="1886" spans="3:40">
      <c r="C1886" s="46"/>
      <c r="F1886" s="173"/>
      <c r="G1886" s="1"/>
      <c r="H1886" s="165"/>
      <c r="I1886" s="160"/>
      <c r="J1886" s="160"/>
      <c r="K1886" s="1"/>
      <c r="L1886" s="123"/>
      <c r="M1886" s="1"/>
      <c r="N1886" s="590"/>
      <c r="O1886" s="165"/>
      <c r="P1886" s="165"/>
      <c r="Q1886" s="165"/>
      <c r="R1886" s="165"/>
      <c r="S1886" s="165"/>
      <c r="V1886" s="46"/>
      <c r="W1886" s="46"/>
      <c r="X1886" s="1"/>
      <c r="Y1886" s="1"/>
      <c r="Z1886" s="173"/>
      <c r="AA1886" s="1"/>
      <c r="AB1886" s="165"/>
      <c r="AC1886" s="1"/>
      <c r="AD1886" s="1"/>
      <c r="AE1886" s="1"/>
      <c r="AF1886" s="46"/>
      <c r="AG1886" s="1"/>
      <c r="AH1886" s="165"/>
      <c r="AI1886" s="165"/>
      <c r="AJ1886" s="165"/>
      <c r="AK1886" s="165"/>
      <c r="AL1886" s="165"/>
      <c r="AM1886" s="165"/>
      <c r="AN1886" s="165"/>
    </row>
    <row r="1887" spans="3:40">
      <c r="C1887" s="46"/>
      <c r="F1887" s="173"/>
      <c r="G1887" s="1"/>
      <c r="H1887" s="165"/>
      <c r="I1887" s="160"/>
      <c r="J1887" s="160"/>
      <c r="K1887" s="1"/>
      <c r="L1887" s="123"/>
      <c r="M1887" s="1"/>
      <c r="N1887" s="590"/>
      <c r="O1887" s="165"/>
      <c r="P1887" s="165"/>
      <c r="Q1887" s="165"/>
      <c r="R1887" s="165"/>
      <c r="S1887" s="165"/>
      <c r="V1887" s="46"/>
      <c r="W1887" s="46"/>
      <c r="X1887" s="1"/>
      <c r="Y1887" s="1"/>
      <c r="Z1887" s="173"/>
      <c r="AA1887" s="1"/>
      <c r="AB1887" s="165"/>
      <c r="AC1887" s="1"/>
      <c r="AD1887" s="1"/>
      <c r="AE1887" s="1"/>
      <c r="AF1887" s="46"/>
      <c r="AG1887" s="1"/>
      <c r="AH1887" s="165"/>
      <c r="AI1887" s="165"/>
      <c r="AJ1887" s="165"/>
      <c r="AK1887" s="165"/>
      <c r="AL1887" s="165"/>
      <c r="AM1887" s="165"/>
      <c r="AN1887" s="165"/>
    </row>
    <row r="1888" spans="3:40">
      <c r="C1888" s="46"/>
      <c r="F1888" s="173"/>
      <c r="G1888" s="1"/>
      <c r="H1888" s="165"/>
      <c r="I1888" s="160"/>
      <c r="J1888" s="160"/>
      <c r="K1888" s="1"/>
      <c r="L1888" s="123"/>
      <c r="M1888" s="1"/>
      <c r="N1888" s="590"/>
      <c r="O1888" s="165"/>
      <c r="P1888" s="165"/>
      <c r="Q1888" s="165"/>
      <c r="R1888" s="165"/>
      <c r="S1888" s="165"/>
      <c r="V1888" s="46"/>
      <c r="W1888" s="46"/>
      <c r="X1888" s="1"/>
      <c r="Y1888" s="1"/>
      <c r="Z1888" s="173"/>
      <c r="AA1888" s="1"/>
      <c r="AB1888" s="165"/>
      <c r="AC1888" s="1"/>
      <c r="AD1888" s="1"/>
      <c r="AE1888" s="1"/>
      <c r="AF1888" s="46"/>
      <c r="AG1888" s="1"/>
      <c r="AH1888" s="165"/>
      <c r="AI1888" s="165"/>
      <c r="AJ1888" s="165"/>
      <c r="AK1888" s="165"/>
      <c r="AL1888" s="165"/>
      <c r="AM1888" s="165"/>
      <c r="AN1888" s="165"/>
    </row>
    <row r="1889" spans="3:40">
      <c r="C1889" s="46"/>
      <c r="F1889" s="173"/>
      <c r="G1889" s="1"/>
      <c r="H1889" s="165"/>
      <c r="I1889" s="160"/>
      <c r="J1889" s="160"/>
      <c r="K1889" s="1"/>
      <c r="L1889" s="123"/>
      <c r="M1889" s="1"/>
      <c r="N1889" s="590"/>
      <c r="O1889" s="165"/>
      <c r="P1889" s="165"/>
      <c r="Q1889" s="165"/>
      <c r="R1889" s="165"/>
      <c r="S1889" s="165"/>
      <c r="V1889" s="46"/>
      <c r="W1889" s="46"/>
      <c r="X1889" s="1"/>
      <c r="Y1889" s="1"/>
      <c r="Z1889" s="173"/>
      <c r="AA1889" s="1"/>
      <c r="AB1889" s="165"/>
      <c r="AC1889" s="1"/>
      <c r="AD1889" s="1"/>
      <c r="AE1889" s="1"/>
      <c r="AF1889" s="46"/>
      <c r="AG1889" s="1"/>
      <c r="AH1889" s="165"/>
      <c r="AI1889" s="165"/>
      <c r="AJ1889" s="165"/>
      <c r="AK1889" s="165"/>
      <c r="AL1889" s="165"/>
      <c r="AM1889" s="165"/>
      <c r="AN1889" s="165"/>
    </row>
    <row r="1890" spans="3:40">
      <c r="C1890" s="46"/>
      <c r="F1890" s="173"/>
      <c r="G1890" s="1"/>
      <c r="H1890" s="165"/>
      <c r="I1890" s="160"/>
      <c r="J1890" s="160"/>
      <c r="K1890" s="1"/>
      <c r="L1890" s="123"/>
      <c r="M1890" s="1"/>
      <c r="N1890" s="590"/>
      <c r="O1890" s="165"/>
      <c r="P1890" s="165"/>
      <c r="Q1890" s="165"/>
      <c r="R1890" s="165"/>
      <c r="S1890" s="165"/>
      <c r="V1890" s="46"/>
      <c r="W1890" s="46"/>
      <c r="X1890" s="1"/>
      <c r="Y1890" s="1"/>
      <c r="Z1890" s="173"/>
      <c r="AA1890" s="1"/>
      <c r="AB1890" s="165"/>
      <c r="AC1890" s="1"/>
      <c r="AD1890" s="1"/>
      <c r="AE1890" s="1"/>
      <c r="AF1890" s="46"/>
      <c r="AG1890" s="1"/>
      <c r="AH1890" s="165"/>
      <c r="AI1890" s="165"/>
      <c r="AJ1890" s="165"/>
      <c r="AK1890" s="165"/>
      <c r="AL1890" s="165"/>
      <c r="AM1890" s="165"/>
      <c r="AN1890" s="165"/>
    </row>
    <row r="1891" spans="3:40">
      <c r="C1891" s="46"/>
      <c r="F1891" s="173"/>
      <c r="G1891" s="1"/>
      <c r="H1891" s="165"/>
      <c r="I1891" s="160"/>
      <c r="J1891" s="160"/>
      <c r="K1891" s="1"/>
      <c r="L1891" s="123"/>
      <c r="M1891" s="1"/>
      <c r="N1891" s="590"/>
      <c r="O1891" s="165"/>
      <c r="P1891" s="165"/>
      <c r="Q1891" s="165"/>
      <c r="R1891" s="165"/>
      <c r="S1891" s="165"/>
      <c r="V1891" s="46"/>
      <c r="W1891" s="46"/>
      <c r="X1891" s="1"/>
      <c r="Y1891" s="1"/>
      <c r="Z1891" s="173"/>
      <c r="AA1891" s="1"/>
      <c r="AB1891" s="165"/>
      <c r="AC1891" s="1"/>
      <c r="AD1891" s="1"/>
      <c r="AE1891" s="1"/>
      <c r="AF1891" s="46"/>
      <c r="AG1891" s="1"/>
      <c r="AH1891" s="165"/>
      <c r="AI1891" s="165"/>
      <c r="AJ1891" s="165"/>
      <c r="AK1891" s="165"/>
      <c r="AL1891" s="165"/>
      <c r="AM1891" s="165"/>
      <c r="AN1891" s="165"/>
    </row>
    <row r="1892" spans="3:40">
      <c r="C1892" s="46"/>
      <c r="F1892" s="173"/>
      <c r="G1892" s="1"/>
      <c r="H1892" s="165"/>
      <c r="I1892" s="160"/>
      <c r="J1892" s="160"/>
      <c r="K1892" s="1"/>
      <c r="L1892" s="123"/>
      <c r="M1892" s="1"/>
      <c r="N1892" s="590"/>
      <c r="O1892" s="165"/>
      <c r="P1892" s="165"/>
      <c r="Q1892" s="165"/>
      <c r="R1892" s="165"/>
      <c r="S1892" s="165"/>
      <c r="V1892" s="46"/>
      <c r="W1892" s="46"/>
      <c r="X1892" s="1"/>
      <c r="Y1892" s="1"/>
      <c r="Z1892" s="173"/>
      <c r="AA1892" s="1"/>
      <c r="AB1892" s="165"/>
      <c r="AC1892" s="1"/>
      <c r="AD1892" s="1"/>
      <c r="AE1892" s="1"/>
      <c r="AF1892" s="46"/>
      <c r="AG1892" s="1"/>
      <c r="AH1892" s="165"/>
      <c r="AI1892" s="165"/>
      <c r="AJ1892" s="165"/>
      <c r="AK1892" s="165"/>
      <c r="AL1892" s="165"/>
      <c r="AM1892" s="165"/>
      <c r="AN1892" s="165"/>
    </row>
    <row r="1893" spans="3:40">
      <c r="C1893" s="46"/>
      <c r="F1893" s="173"/>
      <c r="G1893" s="1"/>
      <c r="H1893" s="165"/>
      <c r="I1893" s="160"/>
      <c r="J1893" s="160"/>
      <c r="K1893" s="1"/>
      <c r="L1893" s="123"/>
      <c r="M1893" s="1"/>
      <c r="N1893" s="590"/>
      <c r="O1893" s="165"/>
      <c r="P1893" s="165"/>
      <c r="Q1893" s="165"/>
      <c r="R1893" s="165"/>
      <c r="S1893" s="165"/>
      <c r="V1893" s="46"/>
      <c r="W1893" s="46"/>
      <c r="X1893" s="1"/>
      <c r="Y1893" s="1"/>
      <c r="Z1893" s="173"/>
      <c r="AA1893" s="1"/>
      <c r="AB1893" s="165"/>
      <c r="AC1893" s="1"/>
      <c r="AD1893" s="1"/>
      <c r="AE1893" s="1"/>
      <c r="AF1893" s="46"/>
      <c r="AG1893" s="1"/>
      <c r="AH1893" s="165"/>
      <c r="AI1893" s="165"/>
      <c r="AJ1893" s="165"/>
      <c r="AK1893" s="165"/>
      <c r="AL1893" s="165"/>
      <c r="AM1893" s="165"/>
      <c r="AN1893" s="165"/>
    </row>
    <row r="1894" spans="3:40">
      <c r="C1894" s="46"/>
      <c r="F1894" s="173"/>
      <c r="G1894" s="1"/>
      <c r="H1894" s="165"/>
      <c r="I1894" s="160"/>
      <c r="J1894" s="160"/>
      <c r="K1894" s="1"/>
      <c r="L1894" s="123"/>
      <c r="M1894" s="1"/>
      <c r="N1894" s="590"/>
      <c r="O1894" s="165"/>
      <c r="P1894" s="165"/>
      <c r="Q1894" s="165"/>
      <c r="R1894" s="165"/>
      <c r="S1894" s="165"/>
      <c r="V1894" s="46"/>
      <c r="W1894" s="46"/>
      <c r="X1894" s="1"/>
      <c r="Y1894" s="1"/>
      <c r="Z1894" s="173"/>
      <c r="AA1894" s="1"/>
      <c r="AB1894" s="165"/>
      <c r="AC1894" s="1"/>
      <c r="AD1894" s="1"/>
      <c r="AE1894" s="1"/>
      <c r="AF1894" s="46"/>
      <c r="AG1894" s="1"/>
      <c r="AH1894" s="165"/>
      <c r="AI1894" s="165"/>
      <c r="AJ1894" s="165"/>
      <c r="AK1894" s="165"/>
      <c r="AL1894" s="165"/>
      <c r="AM1894" s="165"/>
      <c r="AN1894" s="165"/>
    </row>
    <row r="1895" spans="3:40">
      <c r="C1895" s="46"/>
      <c r="F1895" s="173"/>
      <c r="G1895" s="1"/>
      <c r="H1895" s="165"/>
      <c r="I1895" s="160"/>
      <c r="J1895" s="160"/>
      <c r="K1895" s="1"/>
      <c r="L1895" s="123"/>
      <c r="M1895" s="1"/>
      <c r="N1895" s="590"/>
      <c r="O1895" s="165"/>
      <c r="P1895" s="165"/>
      <c r="Q1895" s="165"/>
      <c r="R1895" s="165"/>
      <c r="S1895" s="165"/>
      <c r="V1895" s="46"/>
      <c r="W1895" s="46"/>
      <c r="X1895" s="1"/>
      <c r="Y1895" s="1"/>
      <c r="Z1895" s="173"/>
      <c r="AA1895" s="1"/>
      <c r="AB1895" s="165"/>
      <c r="AC1895" s="1"/>
      <c r="AD1895" s="1"/>
      <c r="AE1895" s="1"/>
      <c r="AF1895" s="46"/>
      <c r="AG1895" s="1"/>
      <c r="AH1895" s="165"/>
      <c r="AI1895" s="165"/>
      <c r="AJ1895" s="165"/>
      <c r="AK1895" s="165"/>
      <c r="AL1895" s="165"/>
      <c r="AM1895" s="165"/>
      <c r="AN1895" s="165"/>
    </row>
    <row r="1896" spans="3:40">
      <c r="C1896" s="46"/>
      <c r="F1896" s="173"/>
      <c r="G1896" s="1"/>
      <c r="H1896" s="165"/>
      <c r="I1896" s="160"/>
      <c r="J1896" s="160"/>
      <c r="K1896" s="1"/>
      <c r="L1896" s="123"/>
      <c r="M1896" s="1"/>
      <c r="N1896" s="590"/>
      <c r="O1896" s="165"/>
      <c r="P1896" s="165"/>
      <c r="Q1896" s="165"/>
      <c r="R1896" s="165"/>
      <c r="S1896" s="165"/>
      <c r="V1896" s="46"/>
      <c r="W1896" s="46"/>
      <c r="X1896" s="1"/>
      <c r="Y1896" s="1"/>
      <c r="Z1896" s="173"/>
      <c r="AA1896" s="1"/>
      <c r="AB1896" s="165"/>
      <c r="AC1896" s="1"/>
      <c r="AD1896" s="1"/>
      <c r="AE1896" s="1"/>
      <c r="AF1896" s="46"/>
      <c r="AG1896" s="1"/>
      <c r="AH1896" s="165"/>
      <c r="AI1896" s="165"/>
      <c r="AJ1896" s="165"/>
      <c r="AK1896" s="165"/>
      <c r="AL1896" s="165"/>
      <c r="AM1896" s="165"/>
      <c r="AN1896" s="165"/>
    </row>
    <row r="1897" spans="3:40">
      <c r="C1897" s="46"/>
      <c r="F1897" s="173"/>
      <c r="G1897" s="1"/>
      <c r="H1897" s="165"/>
      <c r="I1897" s="160"/>
      <c r="J1897" s="160"/>
      <c r="K1897" s="1"/>
      <c r="L1897" s="123"/>
      <c r="M1897" s="1"/>
      <c r="N1897" s="590"/>
      <c r="O1897" s="165"/>
      <c r="P1897" s="165"/>
      <c r="Q1897" s="165"/>
      <c r="R1897" s="165"/>
      <c r="S1897" s="165"/>
      <c r="V1897" s="46"/>
      <c r="W1897" s="46"/>
      <c r="X1897" s="1"/>
      <c r="Y1897" s="1"/>
      <c r="Z1897" s="173"/>
      <c r="AA1897" s="1"/>
      <c r="AB1897" s="165"/>
      <c r="AC1897" s="1"/>
      <c r="AD1897" s="1"/>
      <c r="AE1897" s="1"/>
      <c r="AF1897" s="46"/>
      <c r="AG1897" s="1"/>
      <c r="AH1897" s="165"/>
      <c r="AI1897" s="165"/>
      <c r="AJ1897" s="165"/>
      <c r="AK1897" s="165"/>
      <c r="AL1897" s="165"/>
      <c r="AM1897" s="165"/>
      <c r="AN1897" s="165"/>
    </row>
    <row r="1898" spans="3:40">
      <c r="C1898" s="46"/>
      <c r="F1898" s="173"/>
      <c r="G1898" s="1"/>
      <c r="H1898" s="165"/>
      <c r="I1898" s="160"/>
      <c r="J1898" s="160"/>
      <c r="K1898" s="1"/>
      <c r="L1898" s="123"/>
      <c r="M1898" s="1"/>
      <c r="N1898" s="590"/>
      <c r="O1898" s="165"/>
      <c r="P1898" s="165"/>
      <c r="Q1898" s="165"/>
      <c r="R1898" s="165"/>
      <c r="S1898" s="165"/>
      <c r="V1898" s="46"/>
      <c r="W1898" s="46"/>
      <c r="X1898" s="1"/>
      <c r="Y1898" s="1"/>
      <c r="Z1898" s="173"/>
      <c r="AA1898" s="1"/>
      <c r="AB1898" s="165"/>
      <c r="AC1898" s="1"/>
      <c r="AD1898" s="1"/>
      <c r="AE1898" s="1"/>
      <c r="AF1898" s="46"/>
      <c r="AG1898" s="1"/>
      <c r="AH1898" s="165"/>
      <c r="AI1898" s="165"/>
      <c r="AJ1898" s="165"/>
      <c r="AK1898" s="165"/>
      <c r="AL1898" s="165"/>
      <c r="AM1898" s="165"/>
      <c r="AN1898" s="165"/>
    </row>
    <row r="1899" spans="3:40">
      <c r="C1899" s="46"/>
      <c r="F1899" s="173"/>
      <c r="G1899" s="1"/>
      <c r="H1899" s="165"/>
      <c r="I1899" s="160"/>
      <c r="J1899" s="160"/>
      <c r="K1899" s="1"/>
      <c r="L1899" s="123"/>
      <c r="M1899" s="1"/>
      <c r="N1899" s="590"/>
      <c r="O1899" s="165"/>
      <c r="P1899" s="165"/>
      <c r="Q1899" s="165"/>
      <c r="R1899" s="165"/>
      <c r="S1899" s="165"/>
      <c r="V1899" s="46"/>
      <c r="W1899" s="46"/>
      <c r="X1899" s="1"/>
      <c r="Y1899" s="1"/>
      <c r="Z1899" s="173"/>
      <c r="AA1899" s="1"/>
      <c r="AB1899" s="165"/>
      <c r="AC1899" s="1"/>
      <c r="AD1899" s="1"/>
      <c r="AE1899" s="1"/>
      <c r="AF1899" s="46"/>
      <c r="AG1899" s="1"/>
      <c r="AH1899" s="165"/>
      <c r="AI1899" s="165"/>
      <c r="AJ1899" s="165"/>
      <c r="AK1899" s="165"/>
      <c r="AL1899" s="165"/>
      <c r="AM1899" s="165"/>
      <c r="AN1899" s="165"/>
    </row>
    <row r="1900" spans="3:40">
      <c r="C1900" s="46"/>
      <c r="F1900" s="173"/>
      <c r="G1900" s="1"/>
      <c r="H1900" s="165"/>
      <c r="I1900" s="160"/>
      <c r="J1900" s="160"/>
      <c r="K1900" s="1"/>
      <c r="L1900" s="123"/>
      <c r="M1900" s="1"/>
      <c r="N1900" s="590"/>
      <c r="O1900" s="165"/>
      <c r="P1900" s="165"/>
      <c r="Q1900" s="165"/>
      <c r="R1900" s="165"/>
      <c r="S1900" s="165"/>
      <c r="V1900" s="46"/>
      <c r="W1900" s="46"/>
      <c r="X1900" s="1"/>
      <c r="Y1900" s="1"/>
      <c r="Z1900" s="173"/>
      <c r="AA1900" s="1"/>
      <c r="AB1900" s="165"/>
      <c r="AC1900" s="1"/>
      <c r="AD1900" s="1"/>
      <c r="AE1900" s="1"/>
      <c r="AF1900" s="46"/>
      <c r="AG1900" s="1"/>
      <c r="AH1900" s="165"/>
      <c r="AI1900" s="165"/>
      <c r="AJ1900" s="165"/>
      <c r="AK1900" s="165"/>
      <c r="AL1900" s="165"/>
      <c r="AM1900" s="165"/>
      <c r="AN1900" s="165"/>
    </row>
    <row r="1901" spans="3:40">
      <c r="C1901" s="46"/>
      <c r="F1901" s="173"/>
      <c r="G1901" s="1"/>
      <c r="H1901" s="165"/>
      <c r="I1901" s="160"/>
      <c r="J1901" s="160"/>
      <c r="K1901" s="1"/>
      <c r="L1901" s="123"/>
      <c r="M1901" s="1"/>
      <c r="N1901" s="590"/>
      <c r="O1901" s="165"/>
      <c r="P1901" s="165"/>
      <c r="Q1901" s="165"/>
      <c r="R1901" s="165"/>
      <c r="S1901" s="165"/>
      <c r="V1901" s="46"/>
      <c r="W1901" s="46"/>
      <c r="X1901" s="1"/>
      <c r="Y1901" s="1"/>
      <c r="Z1901" s="173"/>
      <c r="AA1901" s="1"/>
      <c r="AB1901" s="165"/>
      <c r="AC1901" s="1"/>
      <c r="AD1901" s="1"/>
      <c r="AE1901" s="1"/>
      <c r="AF1901" s="46"/>
      <c r="AG1901" s="1"/>
      <c r="AH1901" s="165"/>
      <c r="AI1901" s="165"/>
      <c r="AJ1901" s="165"/>
      <c r="AK1901" s="165"/>
      <c r="AL1901" s="165"/>
      <c r="AM1901" s="165"/>
      <c r="AN1901" s="165"/>
    </row>
    <row r="1902" spans="3:40">
      <c r="C1902" s="46"/>
      <c r="F1902" s="173"/>
      <c r="G1902" s="1"/>
      <c r="H1902" s="165"/>
      <c r="I1902" s="160"/>
      <c r="J1902" s="160"/>
      <c r="K1902" s="1"/>
      <c r="L1902" s="123"/>
      <c r="M1902" s="1"/>
      <c r="N1902" s="590"/>
      <c r="O1902" s="165"/>
      <c r="P1902" s="165"/>
      <c r="Q1902" s="165"/>
      <c r="R1902" s="165"/>
      <c r="S1902" s="165"/>
      <c r="V1902" s="46"/>
      <c r="W1902" s="46"/>
      <c r="X1902" s="1"/>
      <c r="Y1902" s="1"/>
      <c r="Z1902" s="173"/>
      <c r="AA1902" s="1"/>
      <c r="AB1902" s="165"/>
      <c r="AC1902" s="1"/>
      <c r="AD1902" s="1"/>
      <c r="AE1902" s="1"/>
      <c r="AF1902" s="46"/>
      <c r="AG1902" s="1"/>
      <c r="AH1902" s="165"/>
      <c r="AI1902" s="165"/>
      <c r="AJ1902" s="165"/>
      <c r="AK1902" s="165"/>
      <c r="AL1902" s="165"/>
      <c r="AM1902" s="165"/>
      <c r="AN1902" s="165"/>
    </row>
    <row r="1903" spans="3:40">
      <c r="C1903" s="46"/>
      <c r="F1903" s="173"/>
      <c r="G1903" s="1"/>
      <c r="H1903" s="165"/>
      <c r="I1903" s="160"/>
      <c r="J1903" s="160"/>
      <c r="K1903" s="1"/>
      <c r="L1903" s="123"/>
      <c r="M1903" s="1"/>
      <c r="N1903" s="590"/>
      <c r="O1903" s="165"/>
      <c r="P1903" s="165"/>
      <c r="Q1903" s="165"/>
      <c r="R1903" s="165"/>
      <c r="S1903" s="165"/>
      <c r="V1903" s="46"/>
      <c r="W1903" s="46"/>
      <c r="X1903" s="1"/>
      <c r="Y1903" s="1"/>
      <c r="Z1903" s="173"/>
      <c r="AA1903" s="1"/>
      <c r="AB1903" s="165"/>
      <c r="AC1903" s="1"/>
      <c r="AD1903" s="1"/>
      <c r="AE1903" s="1"/>
      <c r="AF1903" s="46"/>
      <c r="AG1903" s="1"/>
      <c r="AH1903" s="165"/>
      <c r="AI1903" s="165"/>
      <c r="AJ1903" s="165"/>
      <c r="AK1903" s="165"/>
      <c r="AL1903" s="165"/>
      <c r="AM1903" s="165"/>
      <c r="AN1903" s="165"/>
    </row>
    <row r="1904" spans="3:40">
      <c r="C1904" s="46"/>
      <c r="F1904" s="173"/>
      <c r="G1904" s="1"/>
      <c r="H1904" s="165"/>
      <c r="I1904" s="160"/>
      <c r="J1904" s="160"/>
      <c r="K1904" s="1"/>
      <c r="L1904" s="123"/>
      <c r="M1904" s="1"/>
      <c r="N1904" s="590"/>
      <c r="O1904" s="165"/>
      <c r="P1904" s="165"/>
      <c r="Q1904" s="165"/>
      <c r="R1904" s="165"/>
      <c r="S1904" s="165"/>
      <c r="V1904" s="46"/>
      <c r="W1904" s="46"/>
      <c r="X1904" s="1"/>
      <c r="Y1904" s="1"/>
      <c r="Z1904" s="173"/>
      <c r="AA1904" s="1"/>
      <c r="AB1904" s="165"/>
      <c r="AC1904" s="1"/>
      <c r="AD1904" s="1"/>
      <c r="AE1904" s="1"/>
      <c r="AF1904" s="46"/>
      <c r="AG1904" s="1"/>
      <c r="AH1904" s="165"/>
      <c r="AI1904" s="165"/>
      <c r="AJ1904" s="165"/>
      <c r="AK1904" s="165"/>
      <c r="AL1904" s="165"/>
      <c r="AM1904" s="165"/>
      <c r="AN1904" s="165"/>
    </row>
    <row r="1905" spans="3:40">
      <c r="C1905" s="46"/>
      <c r="F1905" s="173"/>
      <c r="G1905" s="1"/>
      <c r="H1905" s="165"/>
      <c r="I1905" s="160"/>
      <c r="J1905" s="160"/>
      <c r="K1905" s="1"/>
      <c r="L1905" s="123"/>
      <c r="M1905" s="1"/>
      <c r="N1905" s="590"/>
      <c r="O1905" s="165"/>
      <c r="P1905" s="165"/>
      <c r="Q1905" s="165"/>
      <c r="R1905" s="165"/>
      <c r="S1905" s="165"/>
      <c r="V1905" s="46"/>
      <c r="W1905" s="46"/>
      <c r="X1905" s="1"/>
      <c r="Y1905" s="1"/>
      <c r="Z1905" s="173"/>
      <c r="AA1905" s="1"/>
      <c r="AB1905" s="165"/>
      <c r="AC1905" s="1"/>
      <c r="AD1905" s="1"/>
      <c r="AE1905" s="1"/>
      <c r="AF1905" s="46"/>
      <c r="AG1905" s="1"/>
      <c r="AH1905" s="165"/>
      <c r="AI1905" s="165"/>
      <c r="AJ1905" s="165"/>
      <c r="AK1905" s="165"/>
      <c r="AL1905" s="165"/>
      <c r="AM1905" s="165"/>
      <c r="AN1905" s="165"/>
    </row>
    <row r="1906" spans="3:40">
      <c r="C1906" s="46"/>
      <c r="F1906" s="173"/>
      <c r="G1906" s="1"/>
      <c r="H1906" s="165"/>
      <c r="I1906" s="160"/>
      <c r="J1906" s="160"/>
      <c r="K1906" s="1"/>
      <c r="L1906" s="123"/>
      <c r="M1906" s="1"/>
      <c r="N1906" s="590"/>
      <c r="O1906" s="165"/>
      <c r="P1906" s="165"/>
      <c r="Q1906" s="165"/>
      <c r="R1906" s="165"/>
      <c r="S1906" s="165"/>
      <c r="V1906" s="46"/>
      <c r="W1906" s="46"/>
      <c r="X1906" s="1"/>
      <c r="Y1906" s="1"/>
      <c r="Z1906" s="173"/>
      <c r="AA1906" s="1"/>
      <c r="AB1906" s="165"/>
      <c r="AC1906" s="1"/>
      <c r="AD1906" s="1"/>
      <c r="AE1906" s="1"/>
      <c r="AF1906" s="46"/>
      <c r="AG1906" s="1"/>
      <c r="AH1906" s="165"/>
      <c r="AI1906" s="165"/>
      <c r="AJ1906" s="165"/>
      <c r="AK1906" s="165"/>
      <c r="AL1906" s="165"/>
      <c r="AM1906" s="165"/>
      <c r="AN1906" s="165"/>
    </row>
    <row r="1907" spans="3:40">
      <c r="C1907" s="46"/>
      <c r="F1907" s="173"/>
      <c r="G1907" s="1"/>
      <c r="H1907" s="165"/>
      <c r="I1907" s="160"/>
      <c r="J1907" s="160"/>
      <c r="K1907" s="1"/>
      <c r="L1907" s="123"/>
      <c r="M1907" s="1"/>
      <c r="N1907" s="590"/>
      <c r="O1907" s="165"/>
      <c r="P1907" s="165"/>
      <c r="Q1907" s="165"/>
      <c r="R1907" s="165"/>
      <c r="S1907" s="165"/>
      <c r="V1907" s="46"/>
      <c r="W1907" s="46"/>
      <c r="X1907" s="1"/>
      <c r="Y1907" s="1"/>
      <c r="Z1907" s="173"/>
      <c r="AA1907" s="1"/>
      <c r="AB1907" s="165"/>
      <c r="AC1907" s="1"/>
      <c r="AD1907" s="1"/>
      <c r="AE1907" s="1"/>
      <c r="AF1907" s="46"/>
      <c r="AG1907" s="1"/>
      <c r="AH1907" s="165"/>
      <c r="AI1907" s="165"/>
      <c r="AJ1907" s="165"/>
      <c r="AK1907" s="165"/>
      <c r="AL1907" s="165"/>
      <c r="AM1907" s="165"/>
      <c r="AN1907" s="165"/>
    </row>
    <row r="1908" spans="3:40">
      <c r="C1908" s="46"/>
      <c r="F1908" s="173"/>
      <c r="G1908" s="1"/>
      <c r="H1908" s="165"/>
      <c r="I1908" s="160"/>
      <c r="J1908" s="160"/>
      <c r="K1908" s="1"/>
      <c r="L1908" s="123"/>
      <c r="M1908" s="1"/>
      <c r="N1908" s="590"/>
      <c r="O1908" s="165"/>
      <c r="P1908" s="165"/>
      <c r="Q1908" s="165"/>
      <c r="R1908" s="165"/>
      <c r="S1908" s="165"/>
      <c r="V1908" s="46"/>
      <c r="W1908" s="46"/>
      <c r="X1908" s="1"/>
      <c r="Y1908" s="1"/>
      <c r="Z1908" s="173"/>
      <c r="AA1908" s="1"/>
      <c r="AB1908" s="165"/>
      <c r="AC1908" s="1"/>
      <c r="AD1908" s="1"/>
      <c r="AE1908" s="1"/>
      <c r="AF1908" s="46"/>
      <c r="AG1908" s="1"/>
      <c r="AH1908" s="165"/>
      <c r="AI1908" s="165"/>
      <c r="AJ1908" s="165"/>
      <c r="AK1908" s="165"/>
      <c r="AL1908" s="165"/>
      <c r="AM1908" s="165"/>
      <c r="AN1908" s="165"/>
    </row>
    <row r="1909" spans="3:40">
      <c r="C1909" s="46"/>
      <c r="F1909" s="173"/>
      <c r="G1909" s="1"/>
      <c r="H1909" s="165"/>
      <c r="I1909" s="160"/>
      <c r="J1909" s="160"/>
      <c r="K1909" s="1"/>
      <c r="L1909" s="123"/>
      <c r="M1909" s="1"/>
      <c r="N1909" s="590"/>
      <c r="O1909" s="165"/>
      <c r="P1909" s="165"/>
      <c r="Q1909" s="165"/>
      <c r="R1909" s="165"/>
      <c r="S1909" s="165"/>
      <c r="V1909" s="46"/>
      <c r="W1909" s="46"/>
      <c r="X1909" s="1"/>
      <c r="Y1909" s="1"/>
      <c r="Z1909" s="173"/>
      <c r="AA1909" s="1"/>
      <c r="AB1909" s="165"/>
      <c r="AC1909" s="1"/>
      <c r="AD1909" s="1"/>
      <c r="AE1909" s="1"/>
      <c r="AF1909" s="46"/>
      <c r="AG1909" s="1"/>
      <c r="AH1909" s="165"/>
      <c r="AI1909" s="165"/>
      <c r="AJ1909" s="165"/>
      <c r="AK1909" s="165"/>
      <c r="AL1909" s="165"/>
      <c r="AM1909" s="165"/>
      <c r="AN1909" s="165"/>
    </row>
    <row r="1910" spans="3:40">
      <c r="C1910" s="46"/>
      <c r="F1910" s="173"/>
      <c r="G1910" s="1"/>
      <c r="H1910" s="165"/>
      <c r="I1910" s="160"/>
      <c r="J1910" s="160"/>
      <c r="K1910" s="1"/>
      <c r="L1910" s="123"/>
      <c r="M1910" s="1"/>
      <c r="N1910" s="590"/>
      <c r="O1910" s="165"/>
      <c r="P1910" s="165"/>
      <c r="Q1910" s="165"/>
      <c r="R1910" s="165"/>
      <c r="S1910" s="165"/>
      <c r="V1910" s="46"/>
      <c r="W1910" s="46"/>
      <c r="X1910" s="1"/>
      <c r="Y1910" s="1"/>
      <c r="Z1910" s="173"/>
      <c r="AA1910" s="1"/>
      <c r="AB1910" s="165"/>
      <c r="AC1910" s="1"/>
      <c r="AD1910" s="1"/>
      <c r="AE1910" s="1"/>
      <c r="AF1910" s="46"/>
      <c r="AG1910" s="1"/>
      <c r="AH1910" s="165"/>
      <c r="AI1910" s="165"/>
      <c r="AJ1910" s="165"/>
      <c r="AK1910" s="165"/>
      <c r="AL1910" s="165"/>
      <c r="AM1910" s="165"/>
      <c r="AN1910" s="165"/>
    </row>
    <row r="1911" spans="3:40">
      <c r="C1911" s="46"/>
      <c r="F1911" s="173"/>
      <c r="G1911" s="1"/>
      <c r="H1911" s="165"/>
      <c r="I1911" s="160"/>
      <c r="J1911" s="160"/>
      <c r="K1911" s="1"/>
      <c r="L1911" s="123"/>
      <c r="M1911" s="1"/>
      <c r="N1911" s="590"/>
      <c r="O1911" s="165"/>
      <c r="P1911" s="165"/>
      <c r="Q1911" s="165"/>
      <c r="R1911" s="165"/>
      <c r="S1911" s="165"/>
      <c r="V1911" s="46"/>
      <c r="W1911" s="46"/>
      <c r="X1911" s="1"/>
      <c r="Y1911" s="1"/>
      <c r="Z1911" s="173"/>
      <c r="AA1911" s="1"/>
      <c r="AB1911" s="165"/>
      <c r="AC1911" s="1"/>
      <c r="AD1911" s="1"/>
      <c r="AE1911" s="1"/>
      <c r="AF1911" s="46"/>
      <c r="AG1911" s="1"/>
      <c r="AH1911" s="165"/>
      <c r="AI1911" s="165"/>
      <c r="AJ1911" s="165"/>
      <c r="AK1911" s="165"/>
      <c r="AL1911" s="165"/>
      <c r="AM1911" s="165"/>
      <c r="AN1911" s="165"/>
    </row>
    <row r="1912" spans="3:40">
      <c r="C1912" s="46"/>
      <c r="F1912" s="173"/>
      <c r="G1912" s="1"/>
      <c r="H1912" s="165"/>
      <c r="I1912" s="160"/>
      <c r="J1912" s="160"/>
      <c r="K1912" s="1"/>
      <c r="L1912" s="123"/>
      <c r="M1912" s="1"/>
      <c r="N1912" s="590"/>
      <c r="O1912" s="165"/>
      <c r="P1912" s="165"/>
      <c r="Q1912" s="165"/>
      <c r="R1912" s="165"/>
      <c r="S1912" s="165"/>
      <c r="V1912" s="46"/>
      <c r="W1912" s="46"/>
      <c r="X1912" s="1"/>
      <c r="Y1912" s="1"/>
      <c r="Z1912" s="173"/>
      <c r="AA1912" s="1"/>
      <c r="AB1912" s="165"/>
      <c r="AC1912" s="1"/>
      <c r="AD1912" s="1"/>
      <c r="AE1912" s="1"/>
      <c r="AF1912" s="46"/>
      <c r="AG1912" s="1"/>
      <c r="AH1912" s="165"/>
      <c r="AI1912" s="165"/>
      <c r="AJ1912" s="165"/>
      <c r="AK1912" s="165"/>
      <c r="AL1912" s="165"/>
      <c r="AM1912" s="165"/>
      <c r="AN1912" s="165"/>
    </row>
    <row r="1913" spans="3:40">
      <c r="C1913" s="46"/>
      <c r="F1913" s="173"/>
      <c r="G1913" s="1"/>
      <c r="H1913" s="165"/>
      <c r="I1913" s="160"/>
      <c r="J1913" s="160"/>
      <c r="K1913" s="1"/>
      <c r="L1913" s="123"/>
      <c r="M1913" s="1"/>
      <c r="N1913" s="590"/>
      <c r="O1913" s="165"/>
      <c r="P1913" s="165"/>
      <c r="Q1913" s="165"/>
      <c r="R1913" s="165"/>
      <c r="S1913" s="165"/>
      <c r="V1913" s="46"/>
      <c r="W1913" s="46"/>
      <c r="X1913" s="1"/>
      <c r="Y1913" s="1"/>
      <c r="Z1913" s="173"/>
      <c r="AA1913" s="1"/>
      <c r="AB1913" s="165"/>
      <c r="AC1913" s="1"/>
      <c r="AD1913" s="1"/>
      <c r="AE1913" s="1"/>
      <c r="AF1913" s="46"/>
      <c r="AG1913" s="1"/>
      <c r="AH1913" s="165"/>
      <c r="AI1913" s="165"/>
      <c r="AJ1913" s="165"/>
      <c r="AK1913" s="165"/>
      <c r="AL1913" s="165"/>
      <c r="AM1913" s="165"/>
      <c r="AN1913" s="165"/>
    </row>
    <row r="1914" spans="3:40">
      <c r="C1914" s="46"/>
      <c r="F1914" s="173"/>
      <c r="G1914" s="1"/>
      <c r="H1914" s="165"/>
      <c r="I1914" s="160"/>
      <c r="J1914" s="160"/>
      <c r="K1914" s="1"/>
      <c r="L1914" s="123"/>
      <c r="M1914" s="1"/>
      <c r="N1914" s="590"/>
      <c r="O1914" s="165"/>
      <c r="P1914" s="165"/>
      <c r="Q1914" s="165"/>
      <c r="R1914" s="165"/>
      <c r="S1914" s="165"/>
      <c r="V1914" s="46"/>
      <c r="W1914" s="46"/>
      <c r="X1914" s="1"/>
      <c r="Y1914" s="1"/>
      <c r="Z1914" s="173"/>
      <c r="AA1914" s="1"/>
      <c r="AB1914" s="165"/>
      <c r="AC1914" s="1"/>
      <c r="AD1914" s="1"/>
      <c r="AE1914" s="1"/>
      <c r="AF1914" s="46"/>
      <c r="AG1914" s="1"/>
      <c r="AH1914" s="165"/>
      <c r="AI1914" s="165"/>
      <c r="AJ1914" s="165"/>
      <c r="AK1914" s="165"/>
      <c r="AL1914" s="165"/>
      <c r="AM1914" s="165"/>
      <c r="AN1914" s="165"/>
    </row>
    <row r="1915" spans="3:40">
      <c r="C1915" s="46"/>
      <c r="F1915" s="173"/>
      <c r="G1915" s="1"/>
      <c r="H1915" s="165"/>
      <c r="I1915" s="160"/>
      <c r="J1915" s="160"/>
      <c r="K1915" s="1"/>
      <c r="L1915" s="123"/>
      <c r="M1915" s="1"/>
      <c r="N1915" s="590"/>
      <c r="O1915" s="165"/>
      <c r="P1915" s="165"/>
      <c r="Q1915" s="165"/>
      <c r="R1915" s="165"/>
      <c r="S1915" s="165"/>
      <c r="V1915" s="46"/>
      <c r="W1915" s="46"/>
      <c r="X1915" s="1"/>
      <c r="Y1915" s="1"/>
      <c r="Z1915" s="173"/>
      <c r="AA1915" s="1"/>
      <c r="AB1915" s="165"/>
      <c r="AC1915" s="1"/>
      <c r="AD1915" s="1"/>
      <c r="AE1915" s="1"/>
      <c r="AF1915" s="46"/>
      <c r="AG1915" s="1"/>
      <c r="AH1915" s="165"/>
      <c r="AI1915" s="165"/>
      <c r="AJ1915" s="165"/>
      <c r="AK1915" s="165"/>
      <c r="AL1915" s="165"/>
      <c r="AM1915" s="165"/>
      <c r="AN1915" s="165"/>
    </row>
    <row r="1916" spans="3:40">
      <c r="C1916" s="46"/>
      <c r="F1916" s="173"/>
      <c r="G1916" s="1"/>
      <c r="H1916" s="165"/>
      <c r="I1916" s="160"/>
      <c r="J1916" s="160"/>
      <c r="K1916" s="1"/>
      <c r="L1916" s="123"/>
      <c r="M1916" s="1"/>
      <c r="N1916" s="590"/>
      <c r="O1916" s="165"/>
      <c r="P1916" s="165"/>
      <c r="Q1916" s="165"/>
      <c r="R1916" s="165"/>
      <c r="S1916" s="165"/>
      <c r="V1916" s="46"/>
      <c r="W1916" s="46"/>
      <c r="X1916" s="1"/>
      <c r="Y1916" s="1"/>
      <c r="Z1916" s="173"/>
      <c r="AA1916" s="1"/>
      <c r="AB1916" s="165"/>
      <c r="AC1916" s="1"/>
      <c r="AD1916" s="1"/>
      <c r="AE1916" s="1"/>
      <c r="AF1916" s="46"/>
      <c r="AG1916" s="1"/>
      <c r="AH1916" s="165"/>
      <c r="AI1916" s="165"/>
      <c r="AJ1916" s="165"/>
      <c r="AK1916" s="165"/>
      <c r="AL1916" s="165"/>
      <c r="AM1916" s="165"/>
      <c r="AN1916" s="165"/>
    </row>
    <row r="1917" spans="3:40">
      <c r="C1917" s="46"/>
      <c r="F1917" s="173"/>
      <c r="G1917" s="1"/>
      <c r="H1917" s="165"/>
      <c r="I1917" s="160"/>
      <c r="J1917" s="160"/>
      <c r="K1917" s="1"/>
      <c r="L1917" s="123"/>
      <c r="M1917" s="1"/>
      <c r="N1917" s="590"/>
      <c r="O1917" s="165"/>
      <c r="P1917" s="165"/>
      <c r="Q1917" s="165"/>
      <c r="R1917" s="165"/>
      <c r="S1917" s="165"/>
      <c r="V1917" s="46"/>
      <c r="W1917" s="46"/>
      <c r="X1917" s="1"/>
      <c r="Y1917" s="1"/>
      <c r="Z1917" s="173"/>
      <c r="AA1917" s="1"/>
      <c r="AB1917" s="165"/>
      <c r="AC1917" s="1"/>
      <c r="AD1917" s="1"/>
      <c r="AE1917" s="1"/>
      <c r="AF1917" s="46"/>
      <c r="AG1917" s="1"/>
      <c r="AH1917" s="165"/>
      <c r="AI1917" s="165"/>
      <c r="AJ1917" s="165"/>
      <c r="AK1917" s="165"/>
      <c r="AL1917" s="165"/>
      <c r="AM1917" s="165"/>
      <c r="AN1917" s="165"/>
    </row>
    <row r="1918" spans="3:40">
      <c r="C1918" s="46"/>
      <c r="F1918" s="173"/>
      <c r="G1918" s="1"/>
      <c r="H1918" s="165"/>
      <c r="I1918" s="160"/>
      <c r="J1918" s="160"/>
      <c r="K1918" s="1"/>
      <c r="L1918" s="123"/>
      <c r="M1918" s="1"/>
      <c r="N1918" s="590"/>
      <c r="O1918" s="165"/>
      <c r="P1918" s="165"/>
      <c r="Q1918" s="165"/>
      <c r="R1918" s="165"/>
      <c r="S1918" s="165"/>
      <c r="V1918" s="46"/>
      <c r="W1918" s="46"/>
      <c r="X1918" s="1"/>
      <c r="Y1918" s="1"/>
      <c r="Z1918" s="173"/>
      <c r="AA1918" s="1"/>
      <c r="AB1918" s="165"/>
      <c r="AC1918" s="1"/>
      <c r="AD1918" s="1"/>
      <c r="AE1918" s="1"/>
      <c r="AF1918" s="46"/>
      <c r="AG1918" s="1"/>
      <c r="AH1918" s="165"/>
      <c r="AI1918" s="165"/>
      <c r="AJ1918" s="165"/>
      <c r="AK1918" s="165"/>
      <c r="AL1918" s="165"/>
      <c r="AM1918" s="165"/>
      <c r="AN1918" s="165"/>
    </row>
    <row r="1919" spans="3:40">
      <c r="C1919" s="46"/>
      <c r="F1919" s="173"/>
      <c r="G1919" s="1"/>
      <c r="H1919" s="165"/>
      <c r="I1919" s="160"/>
      <c r="J1919" s="160"/>
      <c r="K1919" s="1"/>
      <c r="L1919" s="123"/>
      <c r="M1919" s="1"/>
      <c r="N1919" s="590"/>
      <c r="O1919" s="165"/>
      <c r="P1919" s="165"/>
      <c r="Q1919" s="165"/>
      <c r="R1919" s="165"/>
      <c r="S1919" s="165"/>
      <c r="V1919" s="46"/>
      <c r="W1919" s="46"/>
      <c r="X1919" s="1"/>
      <c r="Y1919" s="1"/>
      <c r="Z1919" s="173"/>
      <c r="AA1919" s="1"/>
      <c r="AB1919" s="165"/>
      <c r="AC1919" s="1"/>
      <c r="AD1919" s="1"/>
      <c r="AE1919" s="1"/>
      <c r="AF1919" s="46"/>
      <c r="AG1919" s="1"/>
      <c r="AH1919" s="165"/>
      <c r="AI1919" s="165"/>
      <c r="AJ1919" s="165"/>
      <c r="AK1919" s="165"/>
      <c r="AL1919" s="165"/>
      <c r="AM1919" s="165"/>
      <c r="AN1919" s="165"/>
    </row>
    <row r="1920" spans="3:40">
      <c r="C1920" s="46"/>
      <c r="F1920" s="173"/>
      <c r="G1920" s="1"/>
      <c r="H1920" s="165"/>
      <c r="I1920" s="160"/>
      <c r="J1920" s="160"/>
      <c r="K1920" s="1"/>
      <c r="L1920" s="123"/>
      <c r="M1920" s="1"/>
      <c r="N1920" s="590"/>
      <c r="O1920" s="165"/>
      <c r="P1920" s="165"/>
      <c r="Q1920" s="165"/>
      <c r="R1920" s="165"/>
      <c r="S1920" s="165"/>
      <c r="V1920" s="46"/>
      <c r="W1920" s="46"/>
      <c r="X1920" s="1"/>
      <c r="Y1920" s="1"/>
      <c r="Z1920" s="173"/>
      <c r="AA1920" s="1"/>
      <c r="AB1920" s="165"/>
      <c r="AC1920" s="1"/>
      <c r="AD1920" s="1"/>
      <c r="AE1920" s="1"/>
      <c r="AF1920" s="46"/>
      <c r="AG1920" s="1"/>
      <c r="AH1920" s="165"/>
      <c r="AI1920" s="165"/>
      <c r="AJ1920" s="165"/>
      <c r="AK1920" s="165"/>
      <c r="AL1920" s="165"/>
      <c r="AM1920" s="165"/>
      <c r="AN1920" s="165"/>
    </row>
    <row r="1921" spans="3:40">
      <c r="C1921" s="46"/>
      <c r="F1921" s="173"/>
      <c r="G1921" s="1"/>
      <c r="H1921" s="165"/>
      <c r="I1921" s="160"/>
      <c r="J1921" s="160"/>
      <c r="K1921" s="1"/>
      <c r="L1921" s="123"/>
      <c r="M1921" s="1"/>
      <c r="N1921" s="590"/>
      <c r="O1921" s="165"/>
      <c r="P1921" s="165"/>
      <c r="Q1921" s="165"/>
      <c r="R1921" s="165"/>
      <c r="S1921" s="165"/>
      <c r="V1921" s="46"/>
      <c r="W1921" s="46"/>
      <c r="X1921" s="1"/>
      <c r="Y1921" s="1"/>
      <c r="Z1921" s="173"/>
      <c r="AA1921" s="1"/>
      <c r="AB1921" s="165"/>
      <c r="AC1921" s="1"/>
      <c r="AD1921" s="1"/>
      <c r="AE1921" s="1"/>
      <c r="AF1921" s="46"/>
      <c r="AG1921" s="1"/>
      <c r="AH1921" s="165"/>
      <c r="AI1921" s="165"/>
      <c r="AJ1921" s="165"/>
      <c r="AK1921" s="165"/>
      <c r="AL1921" s="165"/>
      <c r="AM1921" s="165"/>
      <c r="AN1921" s="165"/>
    </row>
    <row r="1922" spans="3:40">
      <c r="C1922" s="46"/>
      <c r="F1922" s="173"/>
      <c r="G1922" s="1"/>
      <c r="H1922" s="165"/>
      <c r="I1922" s="160"/>
      <c r="J1922" s="160"/>
      <c r="K1922" s="1"/>
      <c r="L1922" s="123"/>
      <c r="M1922" s="1"/>
      <c r="N1922" s="590"/>
      <c r="O1922" s="165"/>
      <c r="P1922" s="165"/>
      <c r="Q1922" s="165"/>
      <c r="R1922" s="165"/>
      <c r="S1922" s="165"/>
      <c r="V1922" s="46"/>
      <c r="W1922" s="46"/>
      <c r="X1922" s="1"/>
      <c r="Y1922" s="1"/>
      <c r="Z1922" s="173"/>
      <c r="AA1922" s="1"/>
      <c r="AB1922" s="165"/>
      <c r="AC1922" s="1"/>
      <c r="AD1922" s="1"/>
      <c r="AE1922" s="1"/>
      <c r="AF1922" s="46"/>
      <c r="AG1922" s="1"/>
      <c r="AH1922" s="165"/>
      <c r="AI1922" s="165"/>
      <c r="AJ1922" s="165"/>
      <c r="AK1922" s="165"/>
      <c r="AL1922" s="165"/>
      <c r="AM1922" s="165"/>
      <c r="AN1922" s="165"/>
    </row>
    <row r="1923" spans="3:40">
      <c r="C1923" s="46"/>
      <c r="F1923" s="173"/>
      <c r="G1923" s="1"/>
      <c r="H1923" s="165"/>
      <c r="I1923" s="160"/>
      <c r="J1923" s="160"/>
      <c r="K1923" s="1"/>
      <c r="L1923" s="123"/>
      <c r="M1923" s="1"/>
      <c r="N1923" s="590"/>
      <c r="O1923" s="165"/>
      <c r="P1923" s="165"/>
      <c r="Q1923" s="165"/>
      <c r="R1923" s="165"/>
      <c r="S1923" s="165"/>
      <c r="V1923" s="46"/>
      <c r="W1923" s="46"/>
      <c r="X1923" s="1"/>
      <c r="Y1923" s="1"/>
      <c r="Z1923" s="173"/>
      <c r="AA1923" s="1"/>
      <c r="AB1923" s="165"/>
      <c r="AC1923" s="1"/>
      <c r="AD1923" s="1"/>
      <c r="AE1923" s="1"/>
      <c r="AF1923" s="46"/>
      <c r="AG1923" s="1"/>
      <c r="AH1923" s="165"/>
      <c r="AI1923" s="165"/>
      <c r="AJ1923" s="165"/>
      <c r="AK1923" s="165"/>
      <c r="AL1923" s="165"/>
      <c r="AM1923" s="165"/>
      <c r="AN1923" s="165"/>
    </row>
    <row r="1924" spans="3:40">
      <c r="C1924" s="46"/>
      <c r="F1924" s="173"/>
      <c r="G1924" s="1"/>
      <c r="H1924" s="165"/>
      <c r="I1924" s="160"/>
      <c r="J1924" s="160"/>
      <c r="K1924" s="1"/>
      <c r="L1924" s="123"/>
      <c r="M1924" s="1"/>
      <c r="N1924" s="590"/>
      <c r="O1924" s="165"/>
      <c r="P1924" s="165"/>
      <c r="Q1924" s="165"/>
      <c r="R1924" s="165"/>
      <c r="S1924" s="165"/>
      <c r="V1924" s="46"/>
      <c r="W1924" s="46"/>
      <c r="X1924" s="1"/>
      <c r="Y1924" s="1"/>
      <c r="Z1924" s="173"/>
      <c r="AA1924" s="1"/>
      <c r="AB1924" s="165"/>
      <c r="AC1924" s="1"/>
      <c r="AD1924" s="1"/>
      <c r="AE1924" s="1"/>
      <c r="AF1924" s="46"/>
      <c r="AG1924" s="1"/>
      <c r="AH1924" s="165"/>
      <c r="AI1924" s="165"/>
      <c r="AJ1924" s="165"/>
      <c r="AK1924" s="165"/>
      <c r="AL1924" s="165"/>
      <c r="AM1924" s="165"/>
      <c r="AN1924" s="165"/>
    </row>
    <row r="1925" spans="3:40">
      <c r="C1925" s="46"/>
      <c r="F1925" s="173"/>
      <c r="G1925" s="1"/>
      <c r="H1925" s="165"/>
      <c r="I1925" s="160"/>
      <c r="J1925" s="160"/>
      <c r="K1925" s="1"/>
      <c r="L1925" s="123"/>
      <c r="M1925" s="1"/>
      <c r="N1925" s="590"/>
      <c r="O1925" s="165"/>
      <c r="P1925" s="165"/>
      <c r="Q1925" s="165"/>
      <c r="R1925" s="165"/>
      <c r="S1925" s="165"/>
      <c r="V1925" s="46"/>
      <c r="W1925" s="46"/>
      <c r="X1925" s="1"/>
      <c r="Y1925" s="1"/>
      <c r="Z1925" s="173"/>
      <c r="AA1925" s="1"/>
      <c r="AB1925" s="165"/>
      <c r="AC1925" s="1"/>
      <c r="AD1925" s="1"/>
      <c r="AE1925" s="1"/>
      <c r="AF1925" s="46"/>
      <c r="AG1925" s="1"/>
      <c r="AH1925" s="165"/>
      <c r="AI1925" s="165"/>
      <c r="AJ1925" s="165"/>
      <c r="AK1925" s="165"/>
      <c r="AL1925" s="165"/>
      <c r="AM1925" s="165"/>
      <c r="AN1925" s="165"/>
    </row>
    <row r="1926" spans="3:40">
      <c r="C1926" s="46"/>
      <c r="F1926" s="173"/>
      <c r="G1926" s="1"/>
      <c r="H1926" s="165"/>
      <c r="I1926" s="160"/>
      <c r="J1926" s="160"/>
      <c r="K1926" s="1"/>
      <c r="L1926" s="123"/>
      <c r="M1926" s="1"/>
      <c r="N1926" s="590"/>
      <c r="O1926" s="165"/>
      <c r="P1926" s="165"/>
      <c r="Q1926" s="165"/>
      <c r="R1926" s="165"/>
      <c r="S1926" s="165"/>
      <c r="V1926" s="46"/>
      <c r="W1926" s="46"/>
      <c r="X1926" s="1"/>
      <c r="Y1926" s="1"/>
      <c r="Z1926" s="173"/>
      <c r="AA1926" s="1"/>
      <c r="AB1926" s="165"/>
      <c r="AC1926" s="1"/>
      <c r="AD1926" s="1"/>
      <c r="AE1926" s="1"/>
      <c r="AF1926" s="46"/>
      <c r="AG1926" s="1"/>
      <c r="AH1926" s="165"/>
      <c r="AI1926" s="165"/>
      <c r="AJ1926" s="165"/>
      <c r="AK1926" s="165"/>
      <c r="AL1926" s="165"/>
      <c r="AM1926" s="165"/>
      <c r="AN1926" s="165"/>
    </row>
    <row r="1927" spans="3:40">
      <c r="C1927" s="46"/>
      <c r="F1927" s="173"/>
      <c r="G1927" s="1"/>
      <c r="H1927" s="165"/>
      <c r="I1927" s="160"/>
      <c r="J1927" s="160"/>
      <c r="K1927" s="1"/>
      <c r="L1927" s="123"/>
      <c r="M1927" s="1"/>
      <c r="N1927" s="590"/>
      <c r="O1927" s="165"/>
      <c r="P1927" s="165"/>
      <c r="Q1927" s="165"/>
      <c r="R1927" s="165"/>
      <c r="S1927" s="165"/>
      <c r="V1927" s="46"/>
      <c r="W1927" s="46"/>
      <c r="X1927" s="1"/>
      <c r="Y1927" s="1"/>
      <c r="Z1927" s="173"/>
      <c r="AA1927" s="1"/>
      <c r="AB1927" s="165"/>
      <c r="AC1927" s="1"/>
      <c r="AD1927" s="1"/>
      <c r="AE1927" s="1"/>
      <c r="AF1927" s="46"/>
      <c r="AG1927" s="1"/>
      <c r="AH1927" s="165"/>
      <c r="AI1927" s="165"/>
      <c r="AJ1927" s="165"/>
      <c r="AK1927" s="165"/>
      <c r="AL1927" s="165"/>
      <c r="AM1927" s="165"/>
      <c r="AN1927" s="165"/>
    </row>
    <row r="1928" spans="3:40">
      <c r="C1928" s="46"/>
      <c r="F1928" s="173"/>
      <c r="G1928" s="1"/>
      <c r="H1928" s="165"/>
      <c r="I1928" s="160"/>
      <c r="J1928" s="160"/>
      <c r="K1928" s="1"/>
      <c r="L1928" s="123"/>
      <c r="M1928" s="1"/>
      <c r="N1928" s="590"/>
      <c r="O1928" s="165"/>
      <c r="P1928" s="165"/>
      <c r="Q1928" s="165"/>
      <c r="R1928" s="165"/>
      <c r="S1928" s="165"/>
      <c r="V1928" s="46"/>
      <c r="W1928" s="46"/>
      <c r="X1928" s="1"/>
      <c r="Y1928" s="1"/>
      <c r="Z1928" s="173"/>
      <c r="AA1928" s="1"/>
      <c r="AB1928" s="165"/>
      <c r="AC1928" s="1"/>
      <c r="AD1928" s="1"/>
      <c r="AE1928" s="1"/>
      <c r="AF1928" s="46"/>
      <c r="AG1928" s="1"/>
      <c r="AH1928" s="165"/>
      <c r="AI1928" s="165"/>
      <c r="AJ1928" s="165"/>
      <c r="AK1928" s="165"/>
      <c r="AL1928" s="165"/>
      <c r="AM1928" s="165"/>
      <c r="AN1928" s="165"/>
    </row>
    <row r="1929" spans="3:40">
      <c r="C1929" s="46"/>
      <c r="F1929" s="173"/>
      <c r="G1929" s="1"/>
      <c r="H1929" s="165"/>
      <c r="I1929" s="160"/>
      <c r="J1929" s="160"/>
      <c r="K1929" s="1"/>
      <c r="L1929" s="123"/>
      <c r="M1929" s="1"/>
      <c r="N1929" s="590"/>
      <c r="O1929" s="165"/>
      <c r="P1929" s="165"/>
      <c r="Q1929" s="165"/>
      <c r="R1929" s="165"/>
      <c r="S1929" s="165"/>
      <c r="V1929" s="46"/>
      <c r="W1929" s="46"/>
      <c r="X1929" s="1"/>
      <c r="Y1929" s="1"/>
      <c r="Z1929" s="173"/>
      <c r="AA1929" s="1"/>
      <c r="AB1929" s="165"/>
      <c r="AC1929" s="1"/>
      <c r="AD1929" s="1"/>
      <c r="AE1929" s="1"/>
      <c r="AF1929" s="46"/>
      <c r="AG1929" s="1"/>
      <c r="AH1929" s="165"/>
      <c r="AI1929" s="165"/>
      <c r="AJ1929" s="165"/>
      <c r="AK1929" s="165"/>
      <c r="AL1929" s="165"/>
      <c r="AM1929" s="165"/>
      <c r="AN1929" s="165"/>
    </row>
    <row r="1930" spans="3:40">
      <c r="C1930" s="46"/>
      <c r="F1930" s="173"/>
      <c r="G1930" s="1"/>
      <c r="H1930" s="165"/>
      <c r="I1930" s="160"/>
      <c r="J1930" s="160"/>
      <c r="K1930" s="1"/>
      <c r="L1930" s="123"/>
      <c r="M1930" s="1"/>
      <c r="N1930" s="590"/>
      <c r="O1930" s="165"/>
      <c r="P1930" s="165"/>
      <c r="Q1930" s="165"/>
      <c r="R1930" s="165"/>
      <c r="S1930" s="165"/>
      <c r="V1930" s="46"/>
      <c r="W1930" s="46"/>
      <c r="X1930" s="1"/>
      <c r="Y1930" s="1"/>
      <c r="Z1930" s="173"/>
      <c r="AA1930" s="1"/>
      <c r="AB1930" s="165"/>
      <c r="AC1930" s="1"/>
      <c r="AD1930" s="1"/>
      <c r="AE1930" s="1"/>
      <c r="AF1930" s="46"/>
      <c r="AG1930" s="1"/>
      <c r="AH1930" s="165"/>
      <c r="AI1930" s="165"/>
      <c r="AJ1930" s="165"/>
      <c r="AK1930" s="165"/>
      <c r="AL1930" s="165"/>
      <c r="AM1930" s="165"/>
      <c r="AN1930" s="165"/>
    </row>
    <row r="1931" spans="3:40">
      <c r="C1931" s="46"/>
      <c r="F1931" s="173"/>
      <c r="G1931" s="1"/>
      <c r="H1931" s="165"/>
      <c r="I1931" s="160"/>
      <c r="J1931" s="160"/>
      <c r="K1931" s="1"/>
      <c r="L1931" s="123"/>
      <c r="M1931" s="1"/>
      <c r="N1931" s="590"/>
      <c r="O1931" s="165"/>
      <c r="P1931" s="165"/>
      <c r="Q1931" s="165"/>
      <c r="R1931" s="165"/>
      <c r="S1931" s="165"/>
      <c r="V1931" s="46"/>
      <c r="W1931" s="46"/>
      <c r="X1931" s="1"/>
      <c r="Y1931" s="1"/>
      <c r="Z1931" s="173"/>
      <c r="AA1931" s="1"/>
      <c r="AB1931" s="165"/>
      <c r="AC1931" s="1"/>
      <c r="AD1931" s="1"/>
      <c r="AE1931" s="1"/>
      <c r="AF1931" s="46"/>
      <c r="AG1931" s="1"/>
      <c r="AH1931" s="165"/>
      <c r="AI1931" s="165"/>
      <c r="AJ1931" s="165"/>
      <c r="AK1931" s="165"/>
      <c r="AL1931" s="165"/>
      <c r="AM1931" s="165"/>
      <c r="AN1931" s="165"/>
    </row>
    <row r="1932" spans="3:40">
      <c r="C1932" s="46"/>
      <c r="F1932" s="173"/>
      <c r="G1932" s="1"/>
      <c r="H1932" s="165"/>
      <c r="I1932" s="160"/>
      <c r="J1932" s="160"/>
      <c r="K1932" s="1"/>
      <c r="L1932" s="123"/>
      <c r="M1932" s="1"/>
      <c r="N1932" s="590"/>
      <c r="O1932" s="165"/>
      <c r="P1932" s="165"/>
      <c r="Q1932" s="165"/>
      <c r="R1932" s="165"/>
      <c r="S1932" s="165"/>
      <c r="V1932" s="46"/>
      <c r="W1932" s="46"/>
      <c r="X1932" s="1"/>
      <c r="Y1932" s="1"/>
      <c r="Z1932" s="173"/>
      <c r="AA1932" s="1"/>
      <c r="AB1932" s="165"/>
      <c r="AC1932" s="1"/>
      <c r="AD1932" s="1"/>
      <c r="AE1932" s="1"/>
      <c r="AF1932" s="46"/>
      <c r="AG1932" s="1"/>
      <c r="AH1932" s="165"/>
      <c r="AI1932" s="165"/>
      <c r="AJ1932" s="165"/>
      <c r="AK1932" s="165"/>
      <c r="AL1932" s="165"/>
      <c r="AM1932" s="165"/>
      <c r="AN1932" s="165"/>
    </row>
    <row r="1933" spans="3:40">
      <c r="C1933" s="46"/>
      <c r="F1933" s="173"/>
      <c r="G1933" s="1"/>
      <c r="H1933" s="165"/>
      <c r="I1933" s="160"/>
      <c r="J1933" s="160"/>
      <c r="K1933" s="1"/>
      <c r="L1933" s="123"/>
      <c r="M1933" s="1"/>
      <c r="N1933" s="590"/>
      <c r="O1933" s="165"/>
      <c r="P1933" s="165"/>
      <c r="Q1933" s="165"/>
      <c r="R1933" s="165"/>
      <c r="S1933" s="165"/>
      <c r="V1933" s="46"/>
      <c r="W1933" s="46"/>
      <c r="X1933" s="1"/>
      <c r="Y1933" s="1"/>
      <c r="Z1933" s="173"/>
      <c r="AA1933" s="1"/>
      <c r="AB1933" s="165"/>
      <c r="AC1933" s="1"/>
      <c r="AD1933" s="1"/>
      <c r="AE1933" s="1"/>
      <c r="AF1933" s="46"/>
      <c r="AG1933" s="1"/>
      <c r="AH1933" s="165"/>
      <c r="AI1933" s="165"/>
      <c r="AJ1933" s="165"/>
      <c r="AK1933" s="165"/>
      <c r="AL1933" s="165"/>
      <c r="AM1933" s="165"/>
      <c r="AN1933" s="165"/>
    </row>
    <row r="1934" spans="3:40">
      <c r="C1934" s="46"/>
      <c r="F1934" s="173"/>
      <c r="G1934" s="1"/>
      <c r="H1934" s="165"/>
      <c r="I1934" s="160"/>
      <c r="J1934" s="160"/>
      <c r="K1934" s="1"/>
      <c r="L1934" s="123"/>
      <c r="M1934" s="1"/>
      <c r="N1934" s="590"/>
      <c r="O1934" s="165"/>
      <c r="P1934" s="165"/>
      <c r="Q1934" s="165"/>
      <c r="R1934" s="165"/>
      <c r="S1934" s="165"/>
      <c r="V1934" s="46"/>
      <c r="W1934" s="46"/>
      <c r="X1934" s="1"/>
      <c r="Y1934" s="1"/>
      <c r="Z1934" s="173"/>
      <c r="AA1934" s="1"/>
      <c r="AB1934" s="165"/>
      <c r="AC1934" s="1"/>
      <c r="AD1934" s="1"/>
      <c r="AE1934" s="1"/>
      <c r="AF1934" s="46"/>
      <c r="AG1934" s="1"/>
      <c r="AH1934" s="165"/>
      <c r="AI1934" s="165"/>
      <c r="AJ1934" s="165"/>
      <c r="AK1934" s="165"/>
      <c r="AL1934" s="165"/>
      <c r="AM1934" s="165"/>
      <c r="AN1934" s="165"/>
    </row>
    <row r="1935" spans="3:40">
      <c r="C1935" s="46"/>
      <c r="F1935" s="173"/>
      <c r="G1935" s="1"/>
      <c r="H1935" s="165"/>
      <c r="I1935" s="160"/>
      <c r="J1935" s="160"/>
      <c r="K1935" s="1"/>
      <c r="L1935" s="123"/>
      <c r="M1935" s="1"/>
      <c r="N1935" s="590"/>
      <c r="O1935" s="165"/>
      <c r="P1935" s="165"/>
      <c r="Q1935" s="165"/>
      <c r="R1935" s="165"/>
      <c r="S1935" s="165"/>
      <c r="V1935" s="46"/>
      <c r="W1935" s="46"/>
      <c r="X1935" s="1"/>
      <c r="Y1935" s="1"/>
      <c r="Z1935" s="173"/>
      <c r="AA1935" s="1"/>
      <c r="AB1935" s="165"/>
      <c r="AC1935" s="1"/>
      <c r="AD1935" s="1"/>
      <c r="AE1935" s="1"/>
      <c r="AF1935" s="46"/>
      <c r="AG1935" s="1"/>
      <c r="AH1935" s="165"/>
      <c r="AI1935" s="165"/>
      <c r="AJ1935" s="165"/>
      <c r="AK1935" s="165"/>
      <c r="AL1935" s="165"/>
      <c r="AM1935" s="165"/>
      <c r="AN1935" s="165"/>
    </row>
    <row r="1936" spans="3:40">
      <c r="C1936" s="46"/>
      <c r="F1936" s="173"/>
      <c r="G1936" s="1"/>
      <c r="H1936" s="165"/>
      <c r="I1936" s="160"/>
      <c r="J1936" s="160"/>
      <c r="K1936" s="1"/>
      <c r="L1936" s="123"/>
      <c r="M1936" s="1"/>
      <c r="N1936" s="590"/>
      <c r="O1936" s="165"/>
      <c r="P1936" s="165"/>
      <c r="Q1936" s="165"/>
      <c r="R1936" s="165"/>
      <c r="S1936" s="165"/>
      <c r="V1936" s="46"/>
      <c r="W1936" s="46"/>
      <c r="X1936" s="1"/>
      <c r="Y1936" s="1"/>
      <c r="Z1936" s="173"/>
      <c r="AA1936" s="1"/>
      <c r="AB1936" s="165"/>
      <c r="AC1936" s="1"/>
      <c r="AD1936" s="1"/>
      <c r="AE1936" s="1"/>
      <c r="AF1936" s="46"/>
      <c r="AG1936" s="1"/>
      <c r="AH1936" s="165"/>
      <c r="AI1936" s="165"/>
      <c r="AJ1936" s="165"/>
      <c r="AK1936" s="165"/>
      <c r="AL1936" s="165"/>
      <c r="AM1936" s="165"/>
      <c r="AN1936" s="165"/>
    </row>
    <row r="1937" spans="3:40">
      <c r="C1937" s="46"/>
      <c r="F1937" s="173"/>
      <c r="G1937" s="1"/>
      <c r="H1937" s="165"/>
      <c r="I1937" s="160"/>
      <c r="J1937" s="160"/>
      <c r="K1937" s="1"/>
      <c r="L1937" s="123"/>
      <c r="M1937" s="1"/>
      <c r="N1937" s="590"/>
      <c r="O1937" s="165"/>
      <c r="P1937" s="165"/>
      <c r="Q1937" s="165"/>
      <c r="R1937" s="165"/>
      <c r="S1937" s="165"/>
      <c r="V1937" s="46"/>
      <c r="W1937" s="46"/>
      <c r="X1937" s="1"/>
      <c r="Y1937" s="1"/>
      <c r="Z1937" s="173"/>
      <c r="AA1937" s="1"/>
      <c r="AB1937" s="165"/>
      <c r="AC1937" s="1"/>
      <c r="AD1937" s="1"/>
      <c r="AE1937" s="1"/>
      <c r="AF1937" s="46"/>
      <c r="AG1937" s="1"/>
      <c r="AH1937" s="165"/>
      <c r="AI1937" s="165"/>
      <c r="AJ1937" s="165"/>
      <c r="AK1937" s="165"/>
      <c r="AL1937" s="165"/>
      <c r="AM1937" s="165"/>
      <c r="AN1937" s="165"/>
    </row>
    <row r="1938" spans="3:40">
      <c r="C1938" s="46"/>
      <c r="F1938" s="173"/>
      <c r="G1938" s="1"/>
      <c r="H1938" s="165"/>
      <c r="I1938" s="160"/>
      <c r="J1938" s="160"/>
      <c r="K1938" s="1"/>
      <c r="L1938" s="123"/>
      <c r="M1938" s="1"/>
      <c r="N1938" s="590"/>
      <c r="O1938" s="165"/>
      <c r="P1938" s="165"/>
      <c r="Q1938" s="165"/>
      <c r="R1938" s="165"/>
      <c r="S1938" s="165"/>
      <c r="V1938" s="46"/>
      <c r="W1938" s="46"/>
      <c r="X1938" s="1"/>
      <c r="Y1938" s="1"/>
      <c r="Z1938" s="173"/>
      <c r="AA1938" s="1"/>
      <c r="AB1938" s="165"/>
      <c r="AC1938" s="1"/>
      <c r="AD1938" s="1"/>
      <c r="AE1938" s="1"/>
      <c r="AF1938" s="46"/>
      <c r="AG1938" s="1"/>
      <c r="AH1938" s="165"/>
      <c r="AI1938" s="165"/>
      <c r="AJ1938" s="165"/>
      <c r="AK1938" s="165"/>
      <c r="AL1938" s="165"/>
      <c r="AM1938" s="165"/>
      <c r="AN1938" s="165"/>
    </row>
    <row r="1939" spans="3:40">
      <c r="C1939" s="46"/>
      <c r="F1939" s="173"/>
      <c r="G1939" s="1"/>
      <c r="H1939" s="165"/>
      <c r="I1939" s="160"/>
      <c r="J1939" s="160"/>
      <c r="K1939" s="1"/>
      <c r="L1939" s="123"/>
      <c r="M1939" s="1"/>
      <c r="N1939" s="590"/>
      <c r="O1939" s="165"/>
      <c r="P1939" s="165"/>
      <c r="Q1939" s="165"/>
      <c r="R1939" s="165"/>
      <c r="S1939" s="165"/>
      <c r="V1939" s="46"/>
      <c r="W1939" s="46"/>
      <c r="X1939" s="1"/>
      <c r="Y1939" s="1"/>
      <c r="Z1939" s="173"/>
      <c r="AA1939" s="1"/>
      <c r="AB1939" s="165"/>
      <c r="AC1939" s="1"/>
      <c r="AD1939" s="1"/>
      <c r="AE1939" s="1"/>
      <c r="AF1939" s="46"/>
      <c r="AG1939" s="1"/>
      <c r="AH1939" s="165"/>
      <c r="AI1939" s="165"/>
      <c r="AJ1939" s="165"/>
      <c r="AK1939" s="165"/>
      <c r="AL1939" s="165"/>
      <c r="AM1939" s="165"/>
      <c r="AN1939" s="165"/>
    </row>
    <row r="1940" spans="3:40">
      <c r="C1940" s="46"/>
      <c r="F1940" s="173"/>
      <c r="G1940" s="1"/>
      <c r="H1940" s="165"/>
      <c r="I1940" s="160"/>
      <c r="J1940" s="160"/>
      <c r="K1940" s="1"/>
      <c r="L1940" s="123"/>
      <c r="M1940" s="1"/>
      <c r="N1940" s="590"/>
      <c r="O1940" s="165"/>
      <c r="P1940" s="165"/>
      <c r="Q1940" s="165"/>
      <c r="R1940" s="165"/>
      <c r="S1940" s="165"/>
      <c r="V1940" s="46"/>
      <c r="W1940" s="46"/>
      <c r="X1940" s="1"/>
      <c r="Y1940" s="1"/>
      <c r="Z1940" s="173"/>
      <c r="AA1940" s="1"/>
      <c r="AB1940" s="165"/>
      <c r="AC1940" s="1"/>
      <c r="AD1940" s="1"/>
      <c r="AE1940" s="1"/>
      <c r="AF1940" s="46"/>
      <c r="AG1940" s="1"/>
      <c r="AH1940" s="165"/>
      <c r="AI1940" s="165"/>
      <c r="AJ1940" s="165"/>
      <c r="AK1940" s="165"/>
      <c r="AL1940" s="165"/>
      <c r="AM1940" s="165"/>
      <c r="AN1940" s="165"/>
    </row>
    <row r="1941" spans="3:40">
      <c r="C1941" s="46"/>
      <c r="F1941" s="173"/>
      <c r="G1941" s="1"/>
      <c r="H1941" s="165"/>
      <c r="I1941" s="160"/>
      <c r="J1941" s="160"/>
      <c r="K1941" s="1"/>
      <c r="L1941" s="123"/>
      <c r="M1941" s="1"/>
      <c r="N1941" s="590"/>
      <c r="O1941" s="165"/>
      <c r="P1941" s="165"/>
      <c r="Q1941" s="165"/>
      <c r="R1941" s="165"/>
      <c r="S1941" s="165"/>
      <c r="V1941" s="46"/>
      <c r="W1941" s="46"/>
      <c r="X1941" s="1"/>
      <c r="Y1941" s="1"/>
      <c r="Z1941" s="173"/>
      <c r="AA1941" s="1"/>
      <c r="AB1941" s="165"/>
      <c r="AC1941" s="1"/>
      <c r="AD1941" s="1"/>
      <c r="AE1941" s="1"/>
      <c r="AF1941" s="46"/>
      <c r="AG1941" s="1"/>
      <c r="AH1941" s="165"/>
      <c r="AI1941" s="165"/>
      <c r="AJ1941" s="165"/>
      <c r="AK1941" s="165"/>
      <c r="AL1941" s="165"/>
      <c r="AM1941" s="165"/>
      <c r="AN1941" s="165"/>
    </row>
    <row r="1942" spans="3:40">
      <c r="C1942" s="46"/>
      <c r="F1942" s="173"/>
      <c r="G1942" s="1"/>
      <c r="H1942" s="165"/>
      <c r="I1942" s="160"/>
      <c r="J1942" s="160"/>
      <c r="K1942" s="1"/>
      <c r="L1942" s="123"/>
      <c r="M1942" s="1"/>
      <c r="N1942" s="590"/>
      <c r="O1942" s="165"/>
      <c r="P1942" s="165"/>
      <c r="Q1942" s="165"/>
      <c r="R1942" s="165"/>
      <c r="S1942" s="165"/>
      <c r="V1942" s="46"/>
      <c r="W1942" s="46"/>
      <c r="X1942" s="1"/>
      <c r="Y1942" s="1"/>
      <c r="Z1942" s="173"/>
      <c r="AA1942" s="1"/>
      <c r="AB1942" s="165"/>
      <c r="AC1942" s="1"/>
      <c r="AD1942" s="1"/>
      <c r="AE1942" s="1"/>
      <c r="AF1942" s="46"/>
      <c r="AG1942" s="1"/>
      <c r="AH1942" s="165"/>
      <c r="AI1942" s="165"/>
      <c r="AJ1942" s="165"/>
      <c r="AK1942" s="165"/>
      <c r="AL1942" s="165"/>
      <c r="AM1942" s="165"/>
      <c r="AN1942" s="165"/>
    </row>
    <row r="1943" spans="3:40">
      <c r="C1943" s="46"/>
      <c r="F1943" s="173"/>
      <c r="G1943" s="1"/>
      <c r="H1943" s="165"/>
      <c r="I1943" s="160"/>
      <c r="J1943" s="160"/>
      <c r="K1943" s="1"/>
      <c r="L1943" s="123"/>
      <c r="M1943" s="1"/>
      <c r="N1943" s="590"/>
      <c r="O1943" s="165"/>
      <c r="P1943" s="165"/>
      <c r="Q1943" s="165"/>
      <c r="R1943" s="165"/>
      <c r="S1943" s="165"/>
      <c r="V1943" s="46"/>
      <c r="W1943" s="46"/>
      <c r="X1943" s="1"/>
      <c r="Y1943" s="1"/>
      <c r="Z1943" s="173"/>
      <c r="AA1943" s="1"/>
      <c r="AB1943" s="165"/>
      <c r="AC1943" s="1"/>
      <c r="AD1943" s="1"/>
      <c r="AE1943" s="1"/>
      <c r="AF1943" s="46"/>
      <c r="AG1943" s="1"/>
      <c r="AH1943" s="165"/>
      <c r="AI1943" s="165"/>
      <c r="AJ1943" s="165"/>
      <c r="AK1943" s="165"/>
      <c r="AL1943" s="165"/>
      <c r="AM1943" s="165"/>
      <c r="AN1943" s="165"/>
    </row>
    <row r="1944" spans="3:40">
      <c r="C1944" s="46"/>
      <c r="F1944" s="173"/>
      <c r="G1944" s="1"/>
      <c r="H1944" s="165"/>
      <c r="I1944" s="160"/>
      <c r="J1944" s="160"/>
      <c r="K1944" s="1"/>
      <c r="L1944" s="123"/>
      <c r="M1944" s="1"/>
      <c r="N1944" s="590"/>
      <c r="O1944" s="165"/>
      <c r="P1944" s="165"/>
      <c r="Q1944" s="165"/>
      <c r="R1944" s="165"/>
      <c r="S1944" s="165"/>
      <c r="V1944" s="46"/>
      <c r="W1944" s="46"/>
      <c r="X1944" s="1"/>
      <c r="Y1944" s="1"/>
      <c r="Z1944" s="173"/>
      <c r="AA1944" s="1"/>
      <c r="AB1944" s="165"/>
      <c r="AC1944" s="1"/>
      <c r="AD1944" s="1"/>
      <c r="AE1944" s="1"/>
      <c r="AF1944" s="46"/>
      <c r="AG1944" s="1"/>
      <c r="AH1944" s="165"/>
      <c r="AI1944" s="165"/>
      <c r="AJ1944" s="165"/>
      <c r="AK1944" s="165"/>
      <c r="AL1944" s="165"/>
      <c r="AM1944" s="165"/>
      <c r="AN1944" s="165"/>
    </row>
    <row r="1945" spans="3:40">
      <c r="C1945" s="46"/>
      <c r="F1945" s="173"/>
      <c r="G1945" s="1"/>
      <c r="H1945" s="165"/>
      <c r="I1945" s="160"/>
      <c r="J1945" s="160"/>
      <c r="K1945" s="1"/>
      <c r="L1945" s="123"/>
      <c r="M1945" s="1"/>
      <c r="N1945" s="590"/>
      <c r="O1945" s="165"/>
      <c r="P1945" s="165"/>
      <c r="Q1945" s="165"/>
      <c r="R1945" s="165"/>
      <c r="S1945" s="165"/>
      <c r="V1945" s="46"/>
      <c r="W1945" s="46"/>
      <c r="X1945" s="1"/>
      <c r="Y1945" s="1"/>
      <c r="Z1945" s="173"/>
      <c r="AA1945" s="1"/>
      <c r="AB1945" s="165"/>
      <c r="AC1945" s="1"/>
      <c r="AD1945" s="1"/>
      <c r="AE1945" s="1"/>
      <c r="AF1945" s="46"/>
      <c r="AG1945" s="1"/>
      <c r="AH1945" s="165"/>
      <c r="AI1945" s="165"/>
      <c r="AJ1945" s="165"/>
      <c r="AK1945" s="165"/>
      <c r="AL1945" s="165"/>
      <c r="AM1945" s="165"/>
      <c r="AN1945" s="165"/>
    </row>
    <row r="1946" spans="3:40">
      <c r="C1946" s="46"/>
      <c r="F1946" s="173"/>
      <c r="G1946" s="1"/>
      <c r="H1946" s="165"/>
      <c r="I1946" s="160"/>
      <c r="J1946" s="160"/>
      <c r="K1946" s="1"/>
      <c r="L1946" s="123"/>
      <c r="M1946" s="1"/>
      <c r="N1946" s="590"/>
      <c r="O1946" s="165"/>
      <c r="P1946" s="165"/>
      <c r="Q1946" s="165"/>
      <c r="R1946" s="165"/>
      <c r="S1946" s="165"/>
      <c r="V1946" s="46"/>
      <c r="W1946" s="46"/>
      <c r="X1946" s="1"/>
      <c r="Y1946" s="1"/>
      <c r="Z1946" s="173"/>
      <c r="AA1946" s="1"/>
      <c r="AB1946" s="165"/>
      <c r="AC1946" s="1"/>
      <c r="AD1946" s="1"/>
      <c r="AE1946" s="1"/>
      <c r="AF1946" s="46"/>
      <c r="AG1946" s="1"/>
      <c r="AH1946" s="165"/>
      <c r="AI1946" s="165"/>
      <c r="AJ1946" s="165"/>
      <c r="AK1946" s="165"/>
      <c r="AL1946" s="165"/>
      <c r="AM1946" s="165"/>
      <c r="AN1946" s="165"/>
    </row>
    <row r="1947" spans="3:40">
      <c r="C1947" s="46"/>
      <c r="F1947" s="173"/>
      <c r="G1947" s="1"/>
      <c r="H1947" s="165"/>
      <c r="I1947" s="160"/>
      <c r="J1947" s="160"/>
      <c r="K1947" s="1"/>
      <c r="L1947" s="123"/>
      <c r="M1947" s="1"/>
      <c r="N1947" s="590"/>
      <c r="O1947" s="165"/>
      <c r="P1947" s="165"/>
      <c r="Q1947" s="165"/>
      <c r="R1947" s="165"/>
      <c r="S1947" s="165"/>
      <c r="V1947" s="46"/>
      <c r="W1947" s="46"/>
      <c r="X1947" s="1"/>
      <c r="Y1947" s="1"/>
      <c r="Z1947" s="173"/>
      <c r="AA1947" s="1"/>
      <c r="AB1947" s="165"/>
      <c r="AC1947" s="1"/>
      <c r="AD1947" s="1"/>
      <c r="AE1947" s="1"/>
      <c r="AF1947" s="46"/>
      <c r="AG1947" s="1"/>
      <c r="AH1947" s="165"/>
      <c r="AI1947" s="165"/>
      <c r="AJ1947" s="165"/>
      <c r="AK1947" s="165"/>
      <c r="AL1947" s="165"/>
      <c r="AM1947" s="165"/>
      <c r="AN1947" s="165"/>
    </row>
    <row r="1948" spans="3:40">
      <c r="C1948" s="46"/>
      <c r="F1948" s="173"/>
      <c r="G1948" s="1"/>
      <c r="H1948" s="165"/>
      <c r="I1948" s="160"/>
      <c r="J1948" s="160"/>
      <c r="K1948" s="1"/>
      <c r="L1948" s="123"/>
      <c r="M1948" s="1"/>
      <c r="N1948" s="590"/>
      <c r="O1948" s="165"/>
      <c r="P1948" s="165"/>
      <c r="Q1948" s="165"/>
      <c r="R1948" s="165"/>
      <c r="S1948" s="165"/>
      <c r="V1948" s="46"/>
      <c r="W1948" s="46"/>
      <c r="X1948" s="1"/>
      <c r="Y1948" s="1"/>
      <c r="Z1948" s="173"/>
      <c r="AA1948" s="1"/>
      <c r="AB1948" s="165"/>
      <c r="AC1948" s="1"/>
      <c r="AD1948" s="1"/>
      <c r="AE1948" s="1"/>
      <c r="AF1948" s="46"/>
      <c r="AG1948" s="1"/>
      <c r="AH1948" s="165"/>
      <c r="AI1948" s="165"/>
      <c r="AJ1948" s="165"/>
      <c r="AK1948" s="165"/>
      <c r="AL1948" s="165"/>
      <c r="AM1948" s="165"/>
      <c r="AN1948" s="165"/>
    </row>
    <row r="1949" spans="3:40">
      <c r="C1949" s="46"/>
      <c r="F1949" s="173"/>
      <c r="G1949" s="1"/>
      <c r="H1949" s="165"/>
      <c r="I1949" s="160"/>
      <c r="J1949" s="160"/>
      <c r="K1949" s="1"/>
      <c r="L1949" s="123"/>
      <c r="M1949" s="1"/>
      <c r="N1949" s="590"/>
      <c r="O1949" s="165"/>
      <c r="P1949" s="165"/>
      <c r="Q1949" s="165"/>
      <c r="R1949" s="165"/>
      <c r="S1949" s="165"/>
      <c r="V1949" s="46"/>
      <c r="W1949" s="46"/>
      <c r="X1949" s="1"/>
      <c r="Y1949" s="1"/>
      <c r="Z1949" s="173"/>
      <c r="AA1949" s="1"/>
      <c r="AB1949" s="165"/>
      <c r="AC1949" s="1"/>
      <c r="AD1949" s="1"/>
      <c r="AE1949" s="1"/>
      <c r="AF1949" s="46"/>
      <c r="AG1949" s="1"/>
      <c r="AH1949" s="165"/>
      <c r="AI1949" s="165"/>
      <c r="AJ1949" s="165"/>
      <c r="AK1949" s="165"/>
      <c r="AL1949" s="165"/>
      <c r="AM1949" s="165"/>
      <c r="AN1949" s="165"/>
    </row>
    <row r="1950" spans="3:40">
      <c r="C1950" s="46"/>
      <c r="F1950" s="173"/>
      <c r="G1950" s="1"/>
      <c r="H1950" s="165"/>
      <c r="I1950" s="160"/>
      <c r="J1950" s="160"/>
      <c r="K1950" s="1"/>
      <c r="L1950" s="123"/>
      <c r="M1950" s="1"/>
      <c r="N1950" s="590"/>
      <c r="O1950" s="165"/>
      <c r="P1950" s="165"/>
      <c r="Q1950" s="165"/>
      <c r="R1950" s="165"/>
      <c r="S1950" s="165"/>
      <c r="V1950" s="46"/>
      <c r="W1950" s="46"/>
      <c r="X1950" s="1"/>
      <c r="Y1950" s="1"/>
      <c r="Z1950" s="173"/>
      <c r="AA1950" s="1"/>
      <c r="AB1950" s="165"/>
      <c r="AC1950" s="1"/>
      <c r="AD1950" s="1"/>
      <c r="AE1950" s="1"/>
      <c r="AF1950" s="46"/>
      <c r="AG1950" s="1"/>
      <c r="AH1950" s="165"/>
      <c r="AI1950" s="165"/>
      <c r="AJ1950" s="165"/>
      <c r="AK1950" s="165"/>
      <c r="AL1950" s="165"/>
      <c r="AM1950" s="165"/>
      <c r="AN1950" s="165"/>
    </row>
    <row r="1951" spans="3:40">
      <c r="C1951" s="46"/>
      <c r="F1951" s="173"/>
      <c r="G1951" s="1"/>
      <c r="H1951" s="165"/>
      <c r="I1951" s="160"/>
      <c r="J1951" s="160"/>
      <c r="K1951" s="1"/>
      <c r="L1951" s="123"/>
      <c r="M1951" s="1"/>
      <c r="N1951" s="590"/>
      <c r="O1951" s="165"/>
      <c r="P1951" s="165"/>
      <c r="Q1951" s="165"/>
      <c r="R1951" s="165"/>
      <c r="S1951" s="165"/>
      <c r="V1951" s="46"/>
      <c r="W1951" s="46"/>
      <c r="X1951" s="1"/>
      <c r="Y1951" s="1"/>
      <c r="Z1951" s="173"/>
      <c r="AA1951" s="1"/>
      <c r="AB1951" s="165"/>
      <c r="AC1951" s="1"/>
      <c r="AD1951" s="1"/>
      <c r="AE1951" s="1"/>
      <c r="AF1951" s="46"/>
      <c r="AG1951" s="1"/>
      <c r="AH1951" s="165"/>
      <c r="AI1951" s="165"/>
      <c r="AJ1951" s="165"/>
      <c r="AK1951" s="165"/>
      <c r="AL1951" s="165"/>
      <c r="AM1951" s="165"/>
      <c r="AN1951" s="165"/>
    </row>
    <row r="1952" spans="3:40">
      <c r="C1952" s="46"/>
      <c r="F1952" s="173"/>
      <c r="G1952" s="1"/>
      <c r="H1952" s="165"/>
      <c r="I1952" s="160"/>
      <c r="J1952" s="160"/>
      <c r="K1952" s="1"/>
      <c r="L1952" s="123"/>
      <c r="M1952" s="1"/>
      <c r="N1952" s="590"/>
      <c r="O1952" s="165"/>
      <c r="P1952" s="165"/>
      <c r="Q1952" s="165"/>
      <c r="R1952" s="165"/>
      <c r="S1952" s="165"/>
      <c r="V1952" s="46"/>
      <c r="W1952" s="46"/>
      <c r="X1952" s="1"/>
      <c r="Y1952" s="1"/>
      <c r="Z1952" s="173"/>
      <c r="AA1952" s="1"/>
      <c r="AB1952" s="165"/>
      <c r="AC1952" s="1"/>
      <c r="AD1952" s="1"/>
      <c r="AE1952" s="1"/>
      <c r="AF1952" s="46"/>
      <c r="AG1952" s="1"/>
      <c r="AH1952" s="165"/>
      <c r="AI1952" s="165"/>
      <c r="AJ1952" s="165"/>
      <c r="AK1952" s="165"/>
      <c r="AL1952" s="165"/>
      <c r="AM1952" s="165"/>
      <c r="AN1952" s="165"/>
    </row>
    <row r="1953" spans="3:40">
      <c r="C1953" s="46"/>
      <c r="F1953" s="173"/>
      <c r="G1953" s="1"/>
      <c r="H1953" s="165"/>
      <c r="I1953" s="160"/>
      <c r="J1953" s="160"/>
      <c r="K1953" s="1"/>
      <c r="L1953" s="123"/>
      <c r="M1953" s="1"/>
      <c r="N1953" s="590"/>
      <c r="O1953" s="165"/>
      <c r="P1953" s="165"/>
      <c r="Q1953" s="165"/>
      <c r="R1953" s="165"/>
      <c r="S1953" s="165"/>
      <c r="V1953" s="46"/>
      <c r="W1953" s="46"/>
      <c r="X1953" s="1"/>
      <c r="Y1953" s="1"/>
      <c r="Z1953" s="173"/>
      <c r="AA1953" s="1"/>
      <c r="AB1953" s="165"/>
      <c r="AC1953" s="1"/>
      <c r="AD1953" s="1"/>
      <c r="AE1953" s="1"/>
      <c r="AF1953" s="46"/>
      <c r="AG1953" s="1"/>
      <c r="AH1953" s="165"/>
      <c r="AI1953" s="165"/>
      <c r="AJ1953" s="165"/>
      <c r="AK1953" s="165"/>
      <c r="AL1953" s="165"/>
      <c r="AM1953" s="165"/>
      <c r="AN1953" s="165"/>
    </row>
    <row r="1954" spans="3:40">
      <c r="C1954" s="46"/>
      <c r="F1954" s="173"/>
      <c r="G1954" s="1"/>
      <c r="H1954" s="165"/>
      <c r="I1954" s="160"/>
      <c r="J1954" s="160"/>
      <c r="K1954" s="1"/>
      <c r="L1954" s="123"/>
      <c r="M1954" s="1"/>
      <c r="N1954" s="590"/>
      <c r="O1954" s="165"/>
      <c r="P1954" s="165"/>
      <c r="Q1954" s="165"/>
      <c r="R1954" s="165"/>
      <c r="S1954" s="165"/>
      <c r="V1954" s="46"/>
      <c r="W1954" s="46"/>
      <c r="X1954" s="1"/>
      <c r="Y1954" s="1"/>
      <c r="Z1954" s="173"/>
      <c r="AA1954" s="1"/>
      <c r="AB1954" s="165"/>
      <c r="AC1954" s="1"/>
      <c r="AD1954" s="1"/>
      <c r="AE1954" s="1"/>
      <c r="AF1954" s="46"/>
      <c r="AG1954" s="1"/>
      <c r="AH1954" s="165"/>
      <c r="AI1954" s="165"/>
      <c r="AJ1954" s="165"/>
      <c r="AK1954" s="165"/>
      <c r="AL1954" s="165"/>
      <c r="AM1954" s="165"/>
      <c r="AN1954" s="165"/>
    </row>
    <row r="1955" spans="3:40">
      <c r="C1955" s="46"/>
      <c r="F1955" s="173"/>
      <c r="G1955" s="1"/>
      <c r="H1955" s="165"/>
      <c r="I1955" s="160"/>
      <c r="J1955" s="160"/>
      <c r="K1955" s="1"/>
      <c r="L1955" s="123"/>
      <c r="M1955" s="1"/>
      <c r="N1955" s="590"/>
      <c r="O1955" s="165"/>
      <c r="P1955" s="165"/>
      <c r="Q1955" s="165"/>
      <c r="R1955" s="165"/>
      <c r="S1955" s="165"/>
      <c r="V1955" s="46"/>
      <c r="W1955" s="46"/>
      <c r="X1955" s="1"/>
      <c r="Y1955" s="1"/>
      <c r="Z1955" s="173"/>
      <c r="AA1955" s="1"/>
      <c r="AB1955" s="165"/>
      <c r="AC1955" s="1"/>
      <c r="AD1955" s="1"/>
      <c r="AE1955" s="1"/>
      <c r="AF1955" s="46"/>
      <c r="AG1955" s="1"/>
      <c r="AH1955" s="165"/>
      <c r="AI1955" s="165"/>
      <c r="AJ1955" s="165"/>
      <c r="AK1955" s="165"/>
      <c r="AL1955" s="165"/>
      <c r="AM1955" s="165"/>
      <c r="AN1955" s="165"/>
    </row>
    <row r="1956" spans="3:40">
      <c r="C1956" s="46"/>
      <c r="F1956" s="173"/>
      <c r="G1956" s="1"/>
      <c r="H1956" s="165"/>
      <c r="I1956" s="160"/>
      <c r="J1956" s="160"/>
      <c r="K1956" s="1"/>
      <c r="L1956" s="123"/>
      <c r="M1956" s="1"/>
      <c r="N1956" s="590"/>
      <c r="O1956" s="165"/>
      <c r="P1956" s="165"/>
      <c r="Q1956" s="165"/>
      <c r="R1956" s="165"/>
      <c r="S1956" s="165"/>
      <c r="V1956" s="46"/>
      <c r="W1956" s="46"/>
      <c r="X1956" s="1"/>
      <c r="Y1956" s="1"/>
      <c r="Z1956" s="173"/>
      <c r="AA1956" s="1"/>
      <c r="AB1956" s="165"/>
      <c r="AC1956" s="1"/>
      <c r="AD1956" s="1"/>
      <c r="AE1956" s="1"/>
      <c r="AF1956" s="46"/>
      <c r="AG1956" s="1"/>
      <c r="AH1956" s="165"/>
      <c r="AI1956" s="165"/>
      <c r="AJ1956" s="165"/>
      <c r="AK1956" s="165"/>
      <c r="AL1956" s="165"/>
      <c r="AM1956" s="165"/>
      <c r="AN1956" s="165"/>
    </row>
    <row r="1957" spans="3:40">
      <c r="C1957" s="46"/>
      <c r="F1957" s="173"/>
      <c r="G1957" s="1"/>
      <c r="H1957" s="165"/>
      <c r="I1957" s="160"/>
      <c r="J1957" s="160"/>
      <c r="K1957" s="1"/>
      <c r="L1957" s="123"/>
      <c r="M1957" s="1"/>
      <c r="N1957" s="590"/>
      <c r="O1957" s="165"/>
      <c r="P1957" s="165"/>
      <c r="Q1957" s="165"/>
      <c r="R1957" s="165"/>
      <c r="S1957" s="165"/>
      <c r="V1957" s="46"/>
      <c r="W1957" s="46"/>
      <c r="X1957" s="1"/>
      <c r="Y1957" s="1"/>
      <c r="Z1957" s="173"/>
      <c r="AA1957" s="1"/>
      <c r="AB1957" s="165"/>
      <c r="AC1957" s="1"/>
      <c r="AD1957" s="1"/>
      <c r="AE1957" s="1"/>
      <c r="AF1957" s="46"/>
      <c r="AG1957" s="1"/>
      <c r="AH1957" s="165"/>
      <c r="AI1957" s="165"/>
      <c r="AJ1957" s="165"/>
      <c r="AK1957" s="165"/>
      <c r="AL1957" s="165"/>
      <c r="AM1957" s="165"/>
      <c r="AN1957" s="165"/>
    </row>
    <row r="1958" spans="3:40">
      <c r="C1958" s="46"/>
      <c r="F1958" s="173"/>
      <c r="G1958" s="1"/>
      <c r="H1958" s="165"/>
      <c r="I1958" s="160"/>
      <c r="J1958" s="160"/>
      <c r="K1958" s="1"/>
      <c r="L1958" s="123"/>
      <c r="M1958" s="1"/>
      <c r="N1958" s="590"/>
      <c r="O1958" s="165"/>
      <c r="P1958" s="165"/>
      <c r="Q1958" s="165"/>
      <c r="R1958" s="165"/>
      <c r="S1958" s="165"/>
      <c r="V1958" s="46"/>
      <c r="W1958" s="46"/>
      <c r="X1958" s="1"/>
      <c r="Y1958" s="1"/>
      <c r="Z1958" s="173"/>
      <c r="AA1958" s="1"/>
      <c r="AB1958" s="165"/>
      <c r="AC1958" s="1"/>
      <c r="AD1958" s="1"/>
      <c r="AE1958" s="1"/>
      <c r="AF1958" s="46"/>
      <c r="AG1958" s="1"/>
      <c r="AH1958" s="165"/>
      <c r="AI1958" s="165"/>
      <c r="AJ1958" s="165"/>
      <c r="AK1958" s="165"/>
      <c r="AL1958" s="165"/>
      <c r="AM1958" s="165"/>
      <c r="AN1958" s="165"/>
    </row>
    <row r="1959" spans="3:40">
      <c r="C1959" s="46"/>
      <c r="F1959" s="173"/>
      <c r="G1959" s="1"/>
      <c r="H1959" s="165"/>
      <c r="I1959" s="160"/>
      <c r="J1959" s="160"/>
      <c r="K1959" s="1"/>
      <c r="L1959" s="123"/>
      <c r="M1959" s="1"/>
      <c r="N1959" s="590"/>
      <c r="O1959" s="165"/>
      <c r="P1959" s="165"/>
      <c r="Q1959" s="165"/>
      <c r="R1959" s="165"/>
      <c r="S1959" s="165"/>
      <c r="V1959" s="46"/>
      <c r="W1959" s="46"/>
      <c r="X1959" s="1"/>
      <c r="Y1959" s="1"/>
      <c r="Z1959" s="173"/>
      <c r="AA1959" s="1"/>
      <c r="AB1959" s="165"/>
      <c r="AC1959" s="1"/>
      <c r="AD1959" s="1"/>
      <c r="AE1959" s="1"/>
      <c r="AF1959" s="46"/>
      <c r="AG1959" s="1"/>
      <c r="AH1959" s="165"/>
      <c r="AI1959" s="165"/>
      <c r="AJ1959" s="165"/>
      <c r="AK1959" s="165"/>
      <c r="AL1959" s="165"/>
      <c r="AM1959" s="165"/>
      <c r="AN1959" s="165"/>
    </row>
    <row r="1960" spans="3:40">
      <c r="C1960" s="46"/>
      <c r="F1960" s="173"/>
      <c r="G1960" s="1"/>
      <c r="H1960" s="165"/>
      <c r="I1960" s="160"/>
      <c r="J1960" s="160"/>
      <c r="K1960" s="1"/>
      <c r="L1960" s="123"/>
      <c r="M1960" s="1"/>
      <c r="N1960" s="590"/>
      <c r="O1960" s="165"/>
      <c r="P1960" s="165"/>
      <c r="Q1960" s="165"/>
      <c r="R1960" s="165"/>
      <c r="S1960" s="165"/>
      <c r="V1960" s="46"/>
      <c r="W1960" s="46"/>
      <c r="X1960" s="1"/>
      <c r="Y1960" s="1"/>
      <c r="Z1960" s="173"/>
      <c r="AA1960" s="1"/>
      <c r="AB1960" s="165"/>
      <c r="AC1960" s="1"/>
      <c r="AD1960" s="1"/>
      <c r="AE1960" s="1"/>
      <c r="AF1960" s="46"/>
      <c r="AG1960" s="1"/>
      <c r="AH1960" s="165"/>
      <c r="AI1960" s="165"/>
      <c r="AJ1960" s="165"/>
      <c r="AK1960" s="165"/>
      <c r="AL1960" s="165"/>
      <c r="AM1960" s="165"/>
      <c r="AN1960" s="165"/>
    </row>
    <row r="1961" spans="3:40">
      <c r="C1961" s="46"/>
      <c r="F1961" s="173"/>
      <c r="G1961" s="1"/>
      <c r="H1961" s="165"/>
      <c r="I1961" s="160"/>
      <c r="J1961" s="160"/>
      <c r="K1961" s="1"/>
      <c r="L1961" s="123"/>
      <c r="M1961" s="1"/>
      <c r="N1961" s="590"/>
      <c r="O1961" s="165"/>
      <c r="P1961" s="165"/>
      <c r="Q1961" s="165"/>
      <c r="R1961" s="165"/>
      <c r="S1961" s="165"/>
      <c r="V1961" s="46"/>
      <c r="W1961" s="46"/>
      <c r="X1961" s="1"/>
      <c r="Y1961" s="1"/>
      <c r="Z1961" s="173"/>
      <c r="AA1961" s="1"/>
      <c r="AB1961" s="165"/>
      <c r="AC1961" s="1"/>
      <c r="AD1961" s="1"/>
      <c r="AE1961" s="1"/>
      <c r="AF1961" s="46"/>
      <c r="AG1961" s="1"/>
      <c r="AH1961" s="165"/>
      <c r="AI1961" s="165"/>
      <c r="AJ1961" s="165"/>
      <c r="AK1961" s="165"/>
      <c r="AL1961" s="165"/>
      <c r="AM1961" s="165"/>
      <c r="AN1961" s="165"/>
    </row>
    <row r="1962" spans="3:40">
      <c r="C1962" s="46"/>
      <c r="F1962" s="173"/>
      <c r="G1962" s="1"/>
      <c r="H1962" s="165"/>
      <c r="I1962" s="160"/>
      <c r="J1962" s="160"/>
      <c r="K1962" s="1"/>
      <c r="L1962" s="123"/>
      <c r="M1962" s="1"/>
      <c r="N1962" s="590"/>
      <c r="O1962" s="165"/>
      <c r="P1962" s="165"/>
      <c r="Q1962" s="165"/>
      <c r="R1962" s="165"/>
      <c r="S1962" s="165"/>
      <c r="V1962" s="46"/>
      <c r="W1962" s="46"/>
      <c r="X1962" s="1"/>
      <c r="Y1962" s="1"/>
      <c r="Z1962" s="173"/>
      <c r="AA1962" s="1"/>
      <c r="AB1962" s="165"/>
      <c r="AC1962" s="1"/>
      <c r="AD1962" s="1"/>
      <c r="AE1962" s="1"/>
      <c r="AF1962" s="46"/>
      <c r="AG1962" s="1"/>
      <c r="AH1962" s="165"/>
      <c r="AI1962" s="165"/>
      <c r="AJ1962" s="165"/>
      <c r="AK1962" s="165"/>
      <c r="AL1962" s="165"/>
      <c r="AM1962" s="165"/>
      <c r="AN1962" s="165"/>
    </row>
    <row r="1963" spans="3:40">
      <c r="C1963" s="46"/>
      <c r="F1963" s="173"/>
      <c r="G1963" s="1"/>
      <c r="H1963" s="165"/>
      <c r="I1963" s="160"/>
      <c r="J1963" s="160"/>
      <c r="K1963" s="1"/>
      <c r="L1963" s="123"/>
      <c r="M1963" s="1"/>
      <c r="N1963" s="590"/>
      <c r="O1963" s="165"/>
      <c r="P1963" s="165"/>
      <c r="Q1963" s="165"/>
      <c r="R1963" s="165"/>
      <c r="S1963" s="165"/>
      <c r="V1963" s="46"/>
      <c r="W1963" s="46"/>
      <c r="X1963" s="1"/>
      <c r="Y1963" s="1"/>
      <c r="Z1963" s="173"/>
      <c r="AA1963" s="1"/>
      <c r="AB1963" s="165"/>
      <c r="AC1963" s="1"/>
      <c r="AD1963" s="1"/>
      <c r="AE1963" s="1"/>
      <c r="AF1963" s="46"/>
      <c r="AG1963" s="1"/>
      <c r="AH1963" s="165"/>
      <c r="AI1963" s="165"/>
      <c r="AJ1963" s="165"/>
      <c r="AK1963" s="165"/>
      <c r="AL1963" s="165"/>
      <c r="AM1963" s="165"/>
      <c r="AN1963" s="165"/>
    </row>
    <row r="1964" spans="3:40">
      <c r="C1964" s="46"/>
      <c r="F1964" s="173"/>
      <c r="G1964" s="1"/>
      <c r="H1964" s="165"/>
      <c r="I1964" s="160"/>
      <c r="J1964" s="160"/>
      <c r="K1964" s="1"/>
      <c r="L1964" s="123"/>
      <c r="M1964" s="1"/>
      <c r="N1964" s="590"/>
      <c r="O1964" s="165"/>
      <c r="P1964" s="165"/>
      <c r="Q1964" s="165"/>
      <c r="R1964" s="165"/>
      <c r="S1964" s="165"/>
      <c r="V1964" s="46"/>
      <c r="W1964" s="46"/>
      <c r="X1964" s="1"/>
      <c r="Y1964" s="1"/>
      <c r="Z1964" s="173"/>
      <c r="AA1964" s="1"/>
      <c r="AB1964" s="165"/>
      <c r="AC1964" s="1"/>
      <c r="AD1964" s="1"/>
      <c r="AE1964" s="1"/>
      <c r="AF1964" s="46"/>
      <c r="AG1964" s="1"/>
      <c r="AH1964" s="165"/>
      <c r="AI1964" s="165"/>
      <c r="AJ1964" s="165"/>
      <c r="AK1964" s="165"/>
      <c r="AL1964" s="165"/>
      <c r="AM1964" s="165"/>
      <c r="AN1964" s="165"/>
    </row>
    <row r="1965" spans="3:40">
      <c r="C1965" s="46"/>
      <c r="F1965" s="173"/>
      <c r="G1965" s="1"/>
      <c r="H1965" s="165"/>
      <c r="I1965" s="160"/>
      <c r="J1965" s="160"/>
      <c r="K1965" s="1"/>
      <c r="L1965" s="123"/>
      <c r="M1965" s="1"/>
      <c r="N1965" s="590"/>
      <c r="O1965" s="165"/>
      <c r="P1965" s="165"/>
      <c r="Q1965" s="165"/>
      <c r="R1965" s="165"/>
      <c r="S1965" s="165"/>
      <c r="V1965" s="46"/>
      <c r="W1965" s="46"/>
      <c r="X1965" s="1"/>
      <c r="Y1965" s="1"/>
      <c r="Z1965" s="173"/>
      <c r="AA1965" s="1"/>
      <c r="AB1965" s="165"/>
      <c r="AC1965" s="1"/>
      <c r="AD1965" s="1"/>
      <c r="AE1965" s="1"/>
      <c r="AF1965" s="46"/>
      <c r="AG1965" s="1"/>
      <c r="AH1965" s="165"/>
      <c r="AI1965" s="165"/>
      <c r="AJ1965" s="165"/>
      <c r="AK1965" s="165"/>
      <c r="AL1965" s="165"/>
      <c r="AM1965" s="165"/>
      <c r="AN1965" s="165"/>
    </row>
    <row r="1966" spans="3:40">
      <c r="C1966" s="46"/>
      <c r="F1966" s="173"/>
      <c r="G1966" s="1"/>
      <c r="H1966" s="165"/>
      <c r="I1966" s="160"/>
      <c r="J1966" s="160"/>
      <c r="K1966" s="1"/>
      <c r="L1966" s="123"/>
      <c r="M1966" s="1"/>
      <c r="N1966" s="590"/>
      <c r="O1966" s="165"/>
      <c r="P1966" s="165"/>
      <c r="Q1966" s="165"/>
      <c r="R1966" s="165"/>
      <c r="S1966" s="165"/>
      <c r="V1966" s="46"/>
      <c r="W1966" s="46"/>
      <c r="X1966" s="1"/>
      <c r="Y1966" s="1"/>
      <c r="Z1966" s="173"/>
      <c r="AA1966" s="1"/>
      <c r="AB1966" s="165"/>
      <c r="AC1966" s="1"/>
      <c r="AD1966" s="1"/>
      <c r="AE1966" s="1"/>
      <c r="AF1966" s="46"/>
      <c r="AG1966" s="1"/>
      <c r="AH1966" s="165"/>
      <c r="AI1966" s="165"/>
      <c r="AJ1966" s="165"/>
      <c r="AK1966" s="165"/>
      <c r="AL1966" s="165"/>
      <c r="AM1966" s="165"/>
      <c r="AN1966" s="165"/>
    </row>
    <row r="1967" spans="3:40">
      <c r="C1967" s="46"/>
      <c r="F1967" s="173"/>
      <c r="G1967" s="1"/>
      <c r="H1967" s="165"/>
      <c r="I1967" s="160"/>
      <c r="J1967" s="160"/>
      <c r="K1967" s="1"/>
      <c r="L1967" s="123"/>
      <c r="M1967" s="1"/>
      <c r="N1967" s="590"/>
      <c r="O1967" s="165"/>
      <c r="P1967" s="165"/>
      <c r="Q1967" s="165"/>
      <c r="R1967" s="165"/>
      <c r="S1967" s="165"/>
      <c r="V1967" s="46"/>
      <c r="W1967" s="46"/>
      <c r="X1967" s="1"/>
      <c r="Y1967" s="1"/>
      <c r="Z1967" s="173"/>
      <c r="AA1967" s="1"/>
      <c r="AB1967" s="165"/>
      <c r="AC1967" s="1"/>
      <c r="AD1967" s="1"/>
      <c r="AE1967" s="1"/>
      <c r="AF1967" s="46"/>
      <c r="AG1967" s="1"/>
      <c r="AH1967" s="165"/>
      <c r="AI1967" s="165"/>
      <c r="AJ1967" s="165"/>
      <c r="AK1967" s="165"/>
      <c r="AL1967" s="165"/>
      <c r="AM1967" s="165"/>
      <c r="AN1967" s="165"/>
    </row>
    <row r="1968" spans="3:40">
      <c r="C1968" s="46"/>
      <c r="F1968" s="173"/>
      <c r="G1968" s="1"/>
      <c r="H1968" s="165"/>
      <c r="I1968" s="160"/>
      <c r="J1968" s="160"/>
      <c r="K1968" s="1"/>
      <c r="L1968" s="123"/>
      <c r="M1968" s="1"/>
      <c r="N1968" s="590"/>
      <c r="O1968" s="165"/>
      <c r="P1968" s="165"/>
      <c r="Q1968" s="165"/>
      <c r="R1968" s="165"/>
      <c r="S1968" s="165"/>
      <c r="V1968" s="46"/>
      <c r="W1968" s="46"/>
      <c r="X1968" s="1"/>
      <c r="Y1968" s="1"/>
      <c r="Z1968" s="173"/>
      <c r="AA1968" s="1"/>
      <c r="AB1968" s="165"/>
      <c r="AC1968" s="1"/>
      <c r="AD1968" s="1"/>
      <c r="AE1968" s="1"/>
      <c r="AF1968" s="46"/>
      <c r="AG1968" s="1"/>
      <c r="AH1968" s="165"/>
      <c r="AI1968" s="165"/>
      <c r="AJ1968" s="165"/>
      <c r="AK1968" s="165"/>
      <c r="AL1968" s="165"/>
      <c r="AM1968" s="165"/>
      <c r="AN1968" s="165"/>
    </row>
    <row r="1969" spans="3:40">
      <c r="C1969" s="46"/>
      <c r="F1969" s="173"/>
      <c r="G1969" s="1"/>
      <c r="H1969" s="165"/>
      <c r="I1969" s="160"/>
      <c r="J1969" s="160"/>
      <c r="K1969" s="1"/>
      <c r="L1969" s="123"/>
      <c r="M1969" s="1"/>
      <c r="N1969" s="590"/>
      <c r="O1969" s="165"/>
      <c r="P1969" s="165"/>
      <c r="Q1969" s="165"/>
      <c r="R1969" s="165"/>
      <c r="S1969" s="165"/>
      <c r="V1969" s="46"/>
      <c r="W1969" s="46"/>
      <c r="X1969" s="1"/>
      <c r="Y1969" s="1"/>
      <c r="Z1969" s="173"/>
      <c r="AA1969" s="1"/>
      <c r="AB1969" s="165"/>
      <c r="AC1969" s="1"/>
      <c r="AD1969" s="1"/>
      <c r="AE1969" s="1"/>
      <c r="AF1969" s="46"/>
      <c r="AG1969" s="1"/>
      <c r="AH1969" s="165"/>
      <c r="AI1969" s="165"/>
      <c r="AJ1969" s="165"/>
      <c r="AK1969" s="165"/>
      <c r="AL1969" s="165"/>
      <c r="AM1969" s="165"/>
      <c r="AN1969" s="165"/>
    </row>
    <row r="1970" spans="3:40">
      <c r="C1970" s="46"/>
      <c r="F1970" s="173"/>
      <c r="G1970" s="1"/>
      <c r="H1970" s="165"/>
      <c r="I1970" s="160"/>
      <c r="J1970" s="160"/>
      <c r="K1970" s="1"/>
      <c r="L1970" s="123"/>
      <c r="M1970" s="1"/>
      <c r="N1970" s="590"/>
      <c r="O1970" s="165"/>
      <c r="P1970" s="165"/>
      <c r="Q1970" s="165"/>
      <c r="R1970" s="165"/>
      <c r="S1970" s="165"/>
      <c r="V1970" s="46"/>
      <c r="W1970" s="46"/>
      <c r="X1970" s="1"/>
      <c r="Y1970" s="1"/>
      <c r="Z1970" s="173"/>
      <c r="AA1970" s="1"/>
      <c r="AB1970" s="165"/>
      <c r="AC1970" s="1"/>
      <c r="AD1970" s="1"/>
      <c r="AE1970" s="1"/>
      <c r="AF1970" s="46"/>
      <c r="AG1970" s="1"/>
      <c r="AH1970" s="165"/>
      <c r="AI1970" s="165"/>
      <c r="AJ1970" s="165"/>
      <c r="AK1970" s="165"/>
      <c r="AL1970" s="165"/>
      <c r="AM1970" s="165"/>
      <c r="AN1970" s="165"/>
    </row>
    <row r="1971" spans="3:40">
      <c r="C1971" s="46"/>
      <c r="F1971" s="173"/>
      <c r="G1971" s="1"/>
      <c r="H1971" s="165"/>
      <c r="I1971" s="160"/>
      <c r="J1971" s="160"/>
      <c r="K1971" s="1"/>
      <c r="L1971" s="123"/>
      <c r="M1971" s="1"/>
      <c r="N1971" s="590"/>
      <c r="O1971" s="165"/>
      <c r="P1971" s="165"/>
      <c r="Q1971" s="165"/>
      <c r="R1971" s="165"/>
      <c r="S1971" s="165"/>
      <c r="V1971" s="46"/>
      <c r="W1971" s="46"/>
      <c r="X1971" s="1"/>
      <c r="Y1971" s="1"/>
      <c r="Z1971" s="173"/>
      <c r="AA1971" s="1"/>
      <c r="AB1971" s="165"/>
      <c r="AC1971" s="1"/>
      <c r="AD1971" s="1"/>
      <c r="AE1971" s="1"/>
      <c r="AF1971" s="46"/>
      <c r="AG1971" s="1"/>
      <c r="AH1971" s="165"/>
      <c r="AI1971" s="165"/>
      <c r="AJ1971" s="165"/>
      <c r="AK1971" s="165"/>
      <c r="AL1971" s="165"/>
      <c r="AM1971" s="165"/>
      <c r="AN1971" s="165"/>
    </row>
    <row r="1972" spans="3:40">
      <c r="C1972" s="46"/>
      <c r="F1972" s="173"/>
      <c r="G1972" s="1"/>
      <c r="H1972" s="165"/>
      <c r="I1972" s="160"/>
      <c r="J1972" s="160"/>
      <c r="K1972" s="1"/>
      <c r="L1972" s="123"/>
      <c r="M1972" s="1"/>
      <c r="N1972" s="590"/>
      <c r="O1972" s="165"/>
      <c r="P1972" s="165"/>
      <c r="Q1972" s="165"/>
      <c r="R1972" s="165"/>
      <c r="S1972" s="165"/>
      <c r="V1972" s="46"/>
      <c r="W1972" s="46"/>
      <c r="X1972" s="1"/>
      <c r="Y1972" s="1"/>
      <c r="Z1972" s="173"/>
      <c r="AA1972" s="1"/>
      <c r="AB1972" s="165"/>
      <c r="AC1972" s="1"/>
      <c r="AD1972" s="1"/>
      <c r="AE1972" s="1"/>
      <c r="AF1972" s="46"/>
      <c r="AG1972" s="1"/>
      <c r="AH1972" s="165"/>
      <c r="AI1972" s="165"/>
      <c r="AJ1972" s="165"/>
      <c r="AK1972" s="165"/>
      <c r="AL1972" s="165"/>
      <c r="AM1972" s="165"/>
      <c r="AN1972" s="165"/>
    </row>
    <row r="1973" spans="3:40">
      <c r="C1973" s="46"/>
      <c r="F1973" s="173"/>
      <c r="G1973" s="1"/>
      <c r="H1973" s="165"/>
      <c r="I1973" s="160"/>
      <c r="J1973" s="160"/>
      <c r="K1973" s="1"/>
      <c r="L1973" s="123"/>
      <c r="M1973" s="1"/>
      <c r="N1973" s="590"/>
      <c r="O1973" s="165"/>
      <c r="P1973" s="165"/>
      <c r="Q1973" s="165"/>
      <c r="R1973" s="165"/>
      <c r="S1973" s="165"/>
      <c r="V1973" s="46"/>
      <c r="W1973" s="46"/>
      <c r="X1973" s="1"/>
      <c r="Y1973" s="1"/>
      <c r="Z1973" s="173"/>
      <c r="AA1973" s="1"/>
      <c r="AB1973" s="165"/>
      <c r="AC1973" s="1"/>
      <c r="AD1973" s="1"/>
      <c r="AE1973" s="1"/>
      <c r="AF1973" s="46"/>
      <c r="AG1973" s="1"/>
      <c r="AH1973" s="165"/>
      <c r="AI1973" s="165"/>
      <c r="AJ1973" s="165"/>
      <c r="AK1973" s="165"/>
      <c r="AL1973" s="165"/>
      <c r="AM1973" s="165"/>
      <c r="AN1973" s="165"/>
    </row>
    <row r="1974" spans="3:40">
      <c r="C1974" s="46"/>
      <c r="F1974" s="173"/>
      <c r="G1974" s="1"/>
      <c r="H1974" s="165"/>
      <c r="I1974" s="160"/>
      <c r="J1974" s="160"/>
      <c r="K1974" s="1"/>
      <c r="L1974" s="123"/>
      <c r="M1974" s="1"/>
      <c r="N1974" s="590"/>
      <c r="O1974" s="165"/>
      <c r="P1974" s="165"/>
      <c r="Q1974" s="165"/>
      <c r="R1974" s="165"/>
      <c r="S1974" s="165"/>
      <c r="V1974" s="46"/>
      <c r="W1974" s="46"/>
      <c r="X1974" s="1"/>
      <c r="Y1974" s="1"/>
      <c r="Z1974" s="173"/>
      <c r="AA1974" s="1"/>
      <c r="AB1974" s="165"/>
      <c r="AC1974" s="1"/>
      <c r="AD1974" s="1"/>
      <c r="AE1974" s="1"/>
      <c r="AF1974" s="46"/>
      <c r="AG1974" s="1"/>
      <c r="AH1974" s="165"/>
      <c r="AI1974" s="165"/>
      <c r="AJ1974" s="165"/>
      <c r="AK1974" s="165"/>
      <c r="AL1974" s="165"/>
      <c r="AM1974" s="165"/>
      <c r="AN1974" s="165"/>
    </row>
    <row r="1975" spans="3:40">
      <c r="C1975" s="46"/>
      <c r="F1975" s="173"/>
      <c r="G1975" s="1"/>
      <c r="H1975" s="165"/>
      <c r="I1975" s="160"/>
      <c r="J1975" s="160"/>
      <c r="K1975" s="1"/>
      <c r="L1975" s="123"/>
      <c r="M1975" s="1"/>
      <c r="N1975" s="590"/>
      <c r="O1975" s="165"/>
      <c r="P1975" s="165"/>
      <c r="Q1975" s="165"/>
      <c r="R1975" s="165"/>
      <c r="S1975" s="165"/>
      <c r="V1975" s="46"/>
      <c r="W1975" s="46"/>
      <c r="X1975" s="1"/>
      <c r="Y1975" s="1"/>
      <c r="Z1975" s="173"/>
      <c r="AA1975" s="1"/>
      <c r="AB1975" s="165"/>
      <c r="AC1975" s="1"/>
      <c r="AD1975" s="1"/>
      <c r="AE1975" s="1"/>
      <c r="AF1975" s="46"/>
      <c r="AG1975" s="1"/>
      <c r="AH1975" s="165"/>
      <c r="AI1975" s="165"/>
      <c r="AJ1975" s="165"/>
      <c r="AK1975" s="165"/>
      <c r="AL1975" s="165"/>
      <c r="AM1975" s="165"/>
      <c r="AN1975" s="165"/>
    </row>
    <row r="1976" spans="3:40">
      <c r="C1976" s="46"/>
      <c r="F1976" s="173"/>
      <c r="G1976" s="1"/>
      <c r="H1976" s="165"/>
      <c r="I1976" s="160"/>
      <c r="J1976" s="160"/>
      <c r="K1976" s="1"/>
      <c r="L1976" s="123"/>
      <c r="M1976" s="1"/>
      <c r="N1976" s="590"/>
      <c r="O1976" s="165"/>
      <c r="P1976" s="165"/>
      <c r="Q1976" s="165"/>
      <c r="R1976" s="165"/>
      <c r="S1976" s="165"/>
      <c r="V1976" s="46"/>
      <c r="W1976" s="46"/>
      <c r="X1976" s="1"/>
      <c r="Y1976" s="1"/>
      <c r="Z1976" s="173"/>
      <c r="AA1976" s="1"/>
      <c r="AB1976" s="165"/>
      <c r="AC1976" s="1"/>
      <c r="AD1976" s="1"/>
      <c r="AE1976" s="1"/>
      <c r="AF1976" s="46"/>
      <c r="AG1976" s="1"/>
      <c r="AH1976" s="165"/>
      <c r="AI1976" s="165"/>
      <c r="AJ1976" s="165"/>
      <c r="AK1976" s="165"/>
      <c r="AL1976" s="165"/>
      <c r="AM1976" s="165"/>
      <c r="AN1976" s="165"/>
    </row>
    <row r="1977" spans="3:40">
      <c r="C1977" s="46"/>
      <c r="F1977" s="173"/>
      <c r="G1977" s="1"/>
      <c r="H1977" s="165"/>
      <c r="I1977" s="160"/>
      <c r="J1977" s="160"/>
      <c r="K1977" s="1"/>
      <c r="L1977" s="123"/>
      <c r="M1977" s="1"/>
      <c r="N1977" s="590"/>
      <c r="O1977" s="165"/>
      <c r="P1977" s="165"/>
      <c r="Q1977" s="165"/>
      <c r="R1977" s="165"/>
      <c r="S1977" s="165"/>
      <c r="V1977" s="46"/>
      <c r="W1977" s="46"/>
      <c r="X1977" s="1"/>
      <c r="Y1977" s="1"/>
      <c r="Z1977" s="173"/>
      <c r="AA1977" s="1"/>
      <c r="AB1977" s="165"/>
      <c r="AC1977" s="1"/>
      <c r="AD1977" s="1"/>
      <c r="AE1977" s="1"/>
      <c r="AF1977" s="46"/>
      <c r="AG1977" s="1"/>
      <c r="AH1977" s="165"/>
      <c r="AI1977" s="165"/>
      <c r="AJ1977" s="165"/>
      <c r="AK1977" s="165"/>
      <c r="AL1977" s="165"/>
      <c r="AM1977" s="165"/>
      <c r="AN1977" s="165"/>
    </row>
    <row r="1978" spans="3:40">
      <c r="C1978" s="46"/>
      <c r="F1978" s="173"/>
      <c r="G1978" s="1"/>
      <c r="H1978" s="165"/>
      <c r="I1978" s="160"/>
      <c r="J1978" s="160"/>
      <c r="K1978" s="1"/>
      <c r="L1978" s="123"/>
      <c r="M1978" s="1"/>
      <c r="N1978" s="590"/>
      <c r="O1978" s="165"/>
      <c r="P1978" s="165"/>
      <c r="Q1978" s="165"/>
      <c r="R1978" s="165"/>
      <c r="S1978" s="165"/>
      <c r="V1978" s="46"/>
      <c r="W1978" s="46"/>
      <c r="X1978" s="1"/>
      <c r="Y1978" s="1"/>
      <c r="Z1978" s="173"/>
      <c r="AA1978" s="1"/>
      <c r="AB1978" s="165"/>
      <c r="AC1978" s="1"/>
      <c r="AD1978" s="1"/>
      <c r="AE1978" s="1"/>
      <c r="AF1978" s="46"/>
      <c r="AG1978" s="1"/>
      <c r="AH1978" s="165"/>
      <c r="AI1978" s="165"/>
      <c r="AJ1978" s="165"/>
      <c r="AK1978" s="165"/>
      <c r="AL1978" s="165"/>
      <c r="AM1978" s="165"/>
      <c r="AN1978" s="165"/>
    </row>
    <row r="1979" spans="3:40">
      <c r="C1979" s="46"/>
      <c r="F1979" s="173"/>
      <c r="G1979" s="1"/>
      <c r="H1979" s="165"/>
      <c r="I1979" s="160"/>
      <c r="J1979" s="160"/>
      <c r="K1979" s="1"/>
      <c r="L1979" s="123"/>
      <c r="M1979" s="1"/>
      <c r="N1979" s="590"/>
      <c r="O1979" s="165"/>
      <c r="P1979" s="165"/>
      <c r="Q1979" s="165"/>
      <c r="R1979" s="165"/>
      <c r="S1979" s="165"/>
      <c r="V1979" s="46"/>
      <c r="W1979" s="46"/>
      <c r="X1979" s="1"/>
      <c r="Y1979" s="1"/>
      <c r="Z1979" s="173"/>
      <c r="AA1979" s="1"/>
      <c r="AB1979" s="165"/>
      <c r="AC1979" s="1"/>
      <c r="AD1979" s="1"/>
      <c r="AE1979" s="1"/>
      <c r="AF1979" s="46"/>
      <c r="AG1979" s="1"/>
      <c r="AH1979" s="165"/>
      <c r="AI1979" s="165"/>
      <c r="AJ1979" s="165"/>
      <c r="AK1979" s="165"/>
      <c r="AL1979" s="165"/>
      <c r="AM1979" s="165"/>
      <c r="AN1979" s="165"/>
    </row>
    <row r="1980" spans="3:40">
      <c r="C1980" s="46"/>
      <c r="F1980" s="173"/>
      <c r="G1980" s="1"/>
      <c r="H1980" s="165"/>
      <c r="I1980" s="160"/>
      <c r="J1980" s="160"/>
      <c r="K1980" s="1"/>
      <c r="L1980" s="123"/>
      <c r="M1980" s="1"/>
      <c r="N1980" s="590"/>
      <c r="O1980" s="165"/>
      <c r="P1980" s="165"/>
      <c r="Q1980" s="165"/>
      <c r="R1980" s="165"/>
      <c r="S1980" s="165"/>
      <c r="V1980" s="46"/>
      <c r="W1980" s="46"/>
      <c r="X1980" s="1"/>
      <c r="Y1980" s="1"/>
      <c r="Z1980" s="173"/>
      <c r="AA1980" s="1"/>
      <c r="AB1980" s="165"/>
      <c r="AC1980" s="1"/>
      <c r="AD1980" s="1"/>
      <c r="AE1980" s="1"/>
      <c r="AF1980" s="46"/>
      <c r="AG1980" s="1"/>
      <c r="AH1980" s="165"/>
      <c r="AI1980" s="165"/>
      <c r="AJ1980" s="165"/>
      <c r="AK1980" s="165"/>
      <c r="AL1980" s="165"/>
      <c r="AM1980" s="165"/>
      <c r="AN1980" s="165"/>
    </row>
    <row r="1981" spans="3:40">
      <c r="C1981" s="46"/>
      <c r="F1981" s="173"/>
      <c r="G1981" s="1"/>
      <c r="H1981" s="165"/>
      <c r="I1981" s="160"/>
      <c r="J1981" s="160"/>
      <c r="K1981" s="1"/>
      <c r="L1981" s="123"/>
      <c r="M1981" s="1"/>
      <c r="N1981" s="590"/>
      <c r="O1981" s="165"/>
      <c r="P1981" s="165"/>
      <c r="Q1981" s="165"/>
      <c r="R1981" s="165"/>
      <c r="S1981" s="165"/>
      <c r="V1981" s="46"/>
      <c r="W1981" s="46"/>
      <c r="X1981" s="1"/>
      <c r="Y1981" s="1"/>
      <c r="Z1981" s="173"/>
      <c r="AA1981" s="1"/>
      <c r="AB1981" s="165"/>
      <c r="AC1981" s="1"/>
      <c r="AD1981" s="1"/>
      <c r="AE1981" s="1"/>
      <c r="AF1981" s="46"/>
      <c r="AG1981" s="1"/>
      <c r="AH1981" s="165"/>
      <c r="AI1981" s="165"/>
      <c r="AJ1981" s="165"/>
      <c r="AK1981" s="165"/>
      <c r="AL1981" s="165"/>
      <c r="AM1981" s="165"/>
      <c r="AN1981" s="165"/>
    </row>
    <row r="1982" spans="3:40">
      <c r="C1982" s="46"/>
      <c r="F1982" s="173"/>
      <c r="G1982" s="1"/>
      <c r="H1982" s="165"/>
      <c r="I1982" s="160"/>
      <c r="J1982" s="160"/>
      <c r="K1982" s="1"/>
      <c r="L1982" s="123"/>
      <c r="M1982" s="1"/>
      <c r="N1982" s="590"/>
      <c r="O1982" s="165"/>
      <c r="P1982" s="165"/>
      <c r="Q1982" s="165"/>
      <c r="R1982" s="165"/>
      <c r="S1982" s="165"/>
      <c r="V1982" s="46"/>
      <c r="W1982" s="46"/>
      <c r="X1982" s="1"/>
      <c r="Y1982" s="1"/>
      <c r="Z1982" s="173"/>
      <c r="AA1982" s="1"/>
      <c r="AB1982" s="165"/>
      <c r="AC1982" s="1"/>
      <c r="AD1982" s="1"/>
      <c r="AE1982" s="1"/>
      <c r="AF1982" s="46"/>
      <c r="AG1982" s="1"/>
      <c r="AH1982" s="165"/>
      <c r="AI1982" s="165"/>
      <c r="AJ1982" s="165"/>
      <c r="AK1982" s="165"/>
      <c r="AL1982" s="165"/>
      <c r="AM1982" s="165"/>
      <c r="AN1982" s="165"/>
    </row>
    <row r="1983" spans="3:40">
      <c r="C1983" s="46"/>
      <c r="F1983" s="173"/>
      <c r="G1983" s="1"/>
      <c r="H1983" s="165"/>
      <c r="I1983" s="160"/>
      <c r="J1983" s="160"/>
      <c r="K1983" s="1"/>
      <c r="L1983" s="123"/>
      <c r="M1983" s="1"/>
      <c r="N1983" s="590"/>
      <c r="O1983" s="165"/>
      <c r="P1983" s="165"/>
      <c r="Q1983" s="165"/>
      <c r="R1983" s="165"/>
      <c r="S1983" s="165"/>
      <c r="V1983" s="46"/>
      <c r="W1983" s="46"/>
      <c r="X1983" s="1"/>
      <c r="Y1983" s="1"/>
      <c r="Z1983" s="173"/>
      <c r="AA1983" s="1"/>
      <c r="AB1983" s="165"/>
      <c r="AC1983" s="1"/>
      <c r="AD1983" s="1"/>
      <c r="AE1983" s="1"/>
      <c r="AF1983" s="46"/>
      <c r="AG1983" s="1"/>
      <c r="AH1983" s="165"/>
      <c r="AI1983" s="165"/>
      <c r="AJ1983" s="165"/>
      <c r="AK1983" s="165"/>
      <c r="AL1983" s="165"/>
      <c r="AM1983" s="165"/>
      <c r="AN1983" s="165"/>
    </row>
    <row r="1984" spans="3:40">
      <c r="C1984" s="46"/>
      <c r="F1984" s="173"/>
      <c r="G1984" s="1"/>
      <c r="H1984" s="165"/>
      <c r="I1984" s="160"/>
      <c r="J1984" s="160"/>
      <c r="K1984" s="1"/>
      <c r="L1984" s="123"/>
      <c r="M1984" s="1"/>
      <c r="N1984" s="590"/>
      <c r="O1984" s="165"/>
      <c r="P1984" s="165"/>
      <c r="Q1984" s="165"/>
      <c r="R1984" s="165"/>
      <c r="S1984" s="165"/>
      <c r="V1984" s="46"/>
      <c r="W1984" s="46"/>
      <c r="X1984" s="1"/>
      <c r="Y1984" s="1"/>
      <c r="Z1984" s="173"/>
      <c r="AA1984" s="1"/>
      <c r="AB1984" s="165"/>
      <c r="AC1984" s="1"/>
      <c r="AD1984" s="1"/>
      <c r="AE1984" s="1"/>
      <c r="AF1984" s="46"/>
      <c r="AG1984" s="1"/>
      <c r="AH1984" s="165"/>
      <c r="AI1984" s="165"/>
      <c r="AJ1984" s="165"/>
      <c r="AK1984" s="165"/>
      <c r="AL1984" s="165"/>
      <c r="AM1984" s="165"/>
      <c r="AN1984" s="165"/>
    </row>
    <row r="1985" spans="3:40">
      <c r="C1985" s="46"/>
      <c r="F1985" s="173"/>
      <c r="G1985" s="1"/>
      <c r="H1985" s="165"/>
      <c r="I1985" s="160"/>
      <c r="J1985" s="160"/>
      <c r="K1985" s="1"/>
      <c r="L1985" s="123"/>
      <c r="M1985" s="1"/>
      <c r="N1985" s="590"/>
      <c r="O1985" s="165"/>
      <c r="P1985" s="165"/>
      <c r="Q1985" s="165"/>
      <c r="R1985" s="165"/>
      <c r="S1985" s="165"/>
      <c r="V1985" s="46"/>
      <c r="W1985" s="46"/>
      <c r="X1985" s="1"/>
      <c r="Y1985" s="1"/>
      <c r="Z1985" s="173"/>
      <c r="AA1985" s="1"/>
      <c r="AB1985" s="165"/>
      <c r="AC1985" s="1"/>
      <c r="AD1985" s="1"/>
      <c r="AE1985" s="1"/>
      <c r="AF1985" s="46"/>
      <c r="AG1985" s="1"/>
      <c r="AH1985" s="165"/>
      <c r="AI1985" s="165"/>
      <c r="AJ1985" s="165"/>
      <c r="AK1985" s="165"/>
      <c r="AL1985" s="165"/>
      <c r="AM1985" s="165"/>
      <c r="AN1985" s="165"/>
    </row>
    <row r="1986" spans="3:40">
      <c r="C1986" s="46"/>
      <c r="F1986" s="173"/>
      <c r="G1986" s="1"/>
      <c r="H1986" s="165"/>
      <c r="I1986" s="160"/>
      <c r="J1986" s="160"/>
      <c r="K1986" s="1"/>
      <c r="L1986" s="123"/>
      <c r="M1986" s="1"/>
      <c r="N1986" s="590"/>
      <c r="O1986" s="165"/>
      <c r="P1986" s="165"/>
      <c r="Q1986" s="165"/>
      <c r="R1986" s="165"/>
      <c r="S1986" s="165"/>
      <c r="V1986" s="46"/>
      <c r="W1986" s="46"/>
      <c r="X1986" s="1"/>
      <c r="Y1986" s="1"/>
      <c r="Z1986" s="173"/>
      <c r="AA1986" s="1"/>
      <c r="AB1986" s="165"/>
      <c r="AC1986" s="1"/>
      <c r="AD1986" s="1"/>
      <c r="AE1986" s="1"/>
      <c r="AF1986" s="46"/>
      <c r="AG1986" s="1"/>
      <c r="AH1986" s="165"/>
      <c r="AI1986" s="165"/>
      <c r="AJ1986" s="165"/>
      <c r="AK1986" s="165"/>
      <c r="AL1986" s="165"/>
      <c r="AM1986" s="165"/>
      <c r="AN1986" s="165"/>
    </row>
    <row r="1987" spans="3:40">
      <c r="C1987" s="46"/>
      <c r="F1987" s="173"/>
      <c r="G1987" s="1"/>
      <c r="H1987" s="165"/>
      <c r="I1987" s="160"/>
      <c r="J1987" s="160"/>
      <c r="K1987" s="1"/>
      <c r="L1987" s="123"/>
      <c r="M1987" s="1"/>
      <c r="N1987" s="590"/>
      <c r="O1987" s="165"/>
      <c r="P1987" s="165"/>
      <c r="Q1987" s="165"/>
      <c r="R1987" s="165"/>
      <c r="S1987" s="165"/>
      <c r="V1987" s="46"/>
      <c r="W1987" s="46"/>
      <c r="X1987" s="1"/>
      <c r="Y1987" s="1"/>
      <c r="Z1987" s="173"/>
      <c r="AA1987" s="1"/>
      <c r="AB1987" s="165"/>
      <c r="AC1987" s="1"/>
      <c r="AD1987" s="1"/>
      <c r="AE1987" s="1"/>
      <c r="AF1987" s="46"/>
      <c r="AG1987" s="1"/>
      <c r="AH1987" s="165"/>
      <c r="AI1987" s="165"/>
      <c r="AJ1987" s="165"/>
      <c r="AK1987" s="165"/>
      <c r="AL1987" s="165"/>
      <c r="AM1987" s="165"/>
      <c r="AN1987" s="165"/>
    </row>
    <row r="1988" spans="3:40">
      <c r="C1988" s="46"/>
      <c r="F1988" s="173"/>
      <c r="G1988" s="1"/>
      <c r="H1988" s="165"/>
      <c r="I1988" s="160"/>
      <c r="J1988" s="160"/>
      <c r="K1988" s="1"/>
      <c r="L1988" s="123"/>
      <c r="M1988" s="1"/>
      <c r="N1988" s="590"/>
      <c r="O1988" s="165"/>
      <c r="P1988" s="165"/>
      <c r="Q1988" s="165"/>
      <c r="R1988" s="165"/>
      <c r="S1988" s="165"/>
      <c r="V1988" s="46"/>
      <c r="W1988" s="46"/>
      <c r="X1988" s="1"/>
      <c r="Y1988" s="1"/>
      <c r="Z1988" s="173"/>
      <c r="AA1988" s="1"/>
      <c r="AB1988" s="165"/>
      <c r="AC1988" s="1"/>
      <c r="AD1988" s="1"/>
      <c r="AE1988" s="1"/>
      <c r="AF1988" s="46"/>
      <c r="AG1988" s="1"/>
      <c r="AH1988" s="165"/>
      <c r="AI1988" s="165"/>
      <c r="AJ1988" s="165"/>
      <c r="AK1988" s="165"/>
      <c r="AL1988" s="165"/>
      <c r="AM1988" s="165"/>
      <c r="AN1988" s="165"/>
    </row>
    <row r="1989" spans="3:40">
      <c r="C1989" s="46"/>
      <c r="F1989" s="173"/>
      <c r="G1989" s="1"/>
      <c r="H1989" s="165"/>
      <c r="I1989" s="160"/>
      <c r="J1989" s="160"/>
      <c r="K1989" s="1"/>
      <c r="L1989" s="123"/>
      <c r="M1989" s="1"/>
      <c r="N1989" s="590"/>
      <c r="O1989" s="165"/>
      <c r="P1989" s="165"/>
      <c r="Q1989" s="165"/>
      <c r="R1989" s="165"/>
      <c r="S1989" s="165"/>
      <c r="V1989" s="46"/>
      <c r="W1989" s="46"/>
      <c r="X1989" s="1"/>
      <c r="Y1989" s="1"/>
      <c r="Z1989" s="173"/>
      <c r="AA1989" s="1"/>
      <c r="AB1989" s="165"/>
      <c r="AC1989" s="1"/>
      <c r="AD1989" s="1"/>
      <c r="AE1989" s="1"/>
      <c r="AF1989" s="46"/>
      <c r="AG1989" s="1"/>
      <c r="AH1989" s="165"/>
      <c r="AI1989" s="165"/>
      <c r="AJ1989" s="165"/>
      <c r="AK1989" s="165"/>
      <c r="AL1989" s="165"/>
      <c r="AM1989" s="165"/>
      <c r="AN1989" s="165"/>
    </row>
    <row r="1990" spans="3:40">
      <c r="C1990" s="46"/>
      <c r="F1990" s="173"/>
      <c r="G1990" s="1"/>
      <c r="H1990" s="165"/>
      <c r="I1990" s="160"/>
      <c r="J1990" s="160"/>
      <c r="K1990" s="1"/>
      <c r="L1990" s="123"/>
      <c r="M1990" s="1"/>
      <c r="N1990" s="590"/>
      <c r="O1990" s="165"/>
      <c r="P1990" s="165"/>
      <c r="Q1990" s="165"/>
      <c r="R1990" s="165"/>
      <c r="S1990" s="165"/>
      <c r="V1990" s="46"/>
      <c r="W1990" s="46"/>
      <c r="X1990" s="1"/>
      <c r="Y1990" s="1"/>
      <c r="Z1990" s="173"/>
      <c r="AA1990" s="1"/>
      <c r="AB1990" s="165"/>
      <c r="AC1990" s="1"/>
      <c r="AD1990" s="1"/>
      <c r="AE1990" s="1"/>
      <c r="AF1990" s="46"/>
      <c r="AG1990" s="1"/>
      <c r="AH1990" s="165"/>
      <c r="AI1990" s="165"/>
      <c r="AJ1990" s="165"/>
      <c r="AK1990" s="165"/>
      <c r="AL1990" s="165"/>
      <c r="AM1990" s="165"/>
      <c r="AN1990" s="165"/>
    </row>
    <row r="1991" spans="3:40">
      <c r="C1991" s="46"/>
      <c r="F1991" s="173"/>
      <c r="G1991" s="1"/>
      <c r="H1991" s="165"/>
      <c r="I1991" s="160"/>
      <c r="J1991" s="160"/>
      <c r="K1991" s="1"/>
      <c r="L1991" s="123"/>
      <c r="M1991" s="1"/>
      <c r="N1991" s="590"/>
      <c r="O1991" s="165"/>
      <c r="P1991" s="165"/>
      <c r="Q1991" s="165"/>
      <c r="R1991" s="165"/>
      <c r="S1991" s="165"/>
      <c r="V1991" s="46"/>
      <c r="W1991" s="46"/>
      <c r="X1991" s="1"/>
      <c r="Y1991" s="1"/>
      <c r="Z1991" s="173"/>
      <c r="AA1991" s="1"/>
      <c r="AB1991" s="165"/>
      <c r="AC1991" s="1"/>
      <c r="AD1991" s="1"/>
      <c r="AE1991" s="1"/>
      <c r="AF1991" s="46"/>
      <c r="AG1991" s="1"/>
      <c r="AH1991" s="165"/>
      <c r="AI1991" s="165"/>
      <c r="AJ1991" s="165"/>
      <c r="AK1991" s="165"/>
      <c r="AL1991" s="165"/>
      <c r="AM1991" s="165"/>
      <c r="AN1991" s="165"/>
    </row>
    <row r="1992" spans="3:40">
      <c r="C1992" s="46"/>
      <c r="F1992" s="173"/>
      <c r="G1992" s="1"/>
      <c r="H1992" s="165"/>
      <c r="I1992" s="160"/>
      <c r="J1992" s="160"/>
      <c r="K1992" s="1"/>
      <c r="L1992" s="123"/>
      <c r="M1992" s="1"/>
      <c r="N1992" s="590"/>
      <c r="O1992" s="165"/>
      <c r="P1992" s="165"/>
      <c r="Q1992" s="165"/>
      <c r="R1992" s="165"/>
      <c r="S1992" s="165"/>
      <c r="V1992" s="46"/>
      <c r="W1992" s="46"/>
      <c r="X1992" s="1"/>
      <c r="Y1992" s="1"/>
      <c r="Z1992" s="173"/>
      <c r="AA1992" s="1"/>
      <c r="AB1992" s="165"/>
      <c r="AC1992" s="1"/>
      <c r="AD1992" s="1"/>
      <c r="AE1992" s="1"/>
      <c r="AF1992" s="46"/>
      <c r="AG1992" s="1"/>
      <c r="AH1992" s="165"/>
      <c r="AI1992" s="165"/>
      <c r="AJ1992" s="165"/>
      <c r="AK1992" s="165"/>
      <c r="AL1992" s="165"/>
      <c r="AM1992" s="165"/>
      <c r="AN1992" s="165"/>
    </row>
    <row r="1993" spans="3:40">
      <c r="C1993" s="46"/>
      <c r="F1993" s="173"/>
      <c r="G1993" s="1"/>
      <c r="H1993" s="165"/>
      <c r="I1993" s="160"/>
      <c r="J1993" s="160"/>
      <c r="K1993" s="1"/>
      <c r="L1993" s="123"/>
      <c r="M1993" s="1"/>
      <c r="N1993" s="590"/>
      <c r="O1993" s="165"/>
      <c r="P1993" s="165"/>
      <c r="Q1993" s="165"/>
      <c r="R1993" s="165"/>
      <c r="S1993" s="165"/>
      <c r="V1993" s="46"/>
      <c r="W1993" s="46"/>
      <c r="X1993" s="1"/>
      <c r="Y1993" s="1"/>
      <c r="Z1993" s="173"/>
      <c r="AA1993" s="1"/>
      <c r="AB1993" s="165"/>
      <c r="AC1993" s="1"/>
      <c r="AD1993" s="1"/>
      <c r="AE1993" s="1"/>
      <c r="AF1993" s="46"/>
      <c r="AG1993" s="1"/>
      <c r="AH1993" s="165"/>
      <c r="AI1993" s="165"/>
      <c r="AJ1993" s="165"/>
      <c r="AK1993" s="165"/>
      <c r="AL1993" s="165"/>
      <c r="AM1993" s="165"/>
      <c r="AN1993" s="165"/>
    </row>
    <row r="1994" spans="3:40">
      <c r="C1994" s="46"/>
      <c r="F1994" s="173"/>
      <c r="G1994" s="1"/>
      <c r="H1994" s="165"/>
      <c r="I1994" s="160"/>
      <c r="J1994" s="160"/>
      <c r="K1994" s="1"/>
      <c r="L1994" s="123"/>
      <c r="M1994" s="1"/>
      <c r="N1994" s="590"/>
      <c r="O1994" s="165"/>
      <c r="P1994" s="165"/>
      <c r="Q1994" s="165"/>
      <c r="R1994" s="165"/>
      <c r="S1994" s="165"/>
      <c r="V1994" s="46"/>
      <c r="W1994" s="46"/>
      <c r="X1994" s="1"/>
      <c r="Y1994" s="1"/>
      <c r="Z1994" s="173"/>
      <c r="AA1994" s="1"/>
      <c r="AB1994" s="165"/>
      <c r="AC1994" s="1"/>
      <c r="AD1994" s="1"/>
      <c r="AE1994" s="1"/>
      <c r="AF1994" s="46"/>
      <c r="AG1994" s="1"/>
      <c r="AH1994" s="165"/>
      <c r="AI1994" s="165"/>
      <c r="AJ1994" s="165"/>
      <c r="AK1994" s="165"/>
      <c r="AL1994" s="165"/>
      <c r="AM1994" s="165"/>
      <c r="AN1994" s="165"/>
    </row>
    <row r="1995" spans="3:40">
      <c r="C1995" s="46"/>
      <c r="F1995" s="173"/>
      <c r="G1995" s="1"/>
      <c r="H1995" s="165"/>
      <c r="I1995" s="160"/>
      <c r="J1995" s="160"/>
      <c r="K1995" s="1"/>
      <c r="L1995" s="123"/>
      <c r="M1995" s="1"/>
      <c r="N1995" s="590"/>
      <c r="O1995" s="165"/>
      <c r="P1995" s="165"/>
      <c r="Q1995" s="165"/>
      <c r="R1995" s="165"/>
      <c r="S1995" s="165"/>
      <c r="V1995" s="46"/>
      <c r="W1995" s="46"/>
      <c r="X1995" s="1"/>
      <c r="Y1995" s="1"/>
      <c r="Z1995" s="173"/>
      <c r="AA1995" s="1"/>
      <c r="AB1995" s="165"/>
      <c r="AC1995" s="1"/>
      <c r="AD1995" s="1"/>
      <c r="AE1995" s="1"/>
      <c r="AF1995" s="46"/>
      <c r="AG1995" s="1"/>
      <c r="AH1995" s="165"/>
      <c r="AI1995" s="165"/>
      <c r="AJ1995" s="165"/>
      <c r="AK1995" s="165"/>
      <c r="AL1995" s="165"/>
      <c r="AM1995" s="165"/>
      <c r="AN1995" s="165"/>
    </row>
    <row r="1996" spans="3:40">
      <c r="C1996" s="46"/>
      <c r="F1996" s="173"/>
      <c r="G1996" s="1"/>
      <c r="H1996" s="165"/>
      <c r="I1996" s="160"/>
      <c r="J1996" s="160"/>
      <c r="K1996" s="1"/>
      <c r="L1996" s="123"/>
      <c r="M1996" s="1"/>
      <c r="N1996" s="590"/>
      <c r="O1996" s="165"/>
      <c r="P1996" s="165"/>
      <c r="Q1996" s="165"/>
      <c r="R1996" s="165"/>
      <c r="S1996" s="165"/>
      <c r="V1996" s="46"/>
      <c r="W1996" s="46"/>
      <c r="X1996" s="1"/>
      <c r="Y1996" s="1"/>
      <c r="Z1996" s="173"/>
      <c r="AA1996" s="1"/>
      <c r="AB1996" s="165"/>
      <c r="AC1996" s="1"/>
      <c r="AD1996" s="1"/>
      <c r="AE1996" s="1"/>
      <c r="AF1996" s="46"/>
      <c r="AG1996" s="1"/>
      <c r="AH1996" s="165"/>
      <c r="AI1996" s="165"/>
      <c r="AJ1996" s="165"/>
      <c r="AK1996" s="165"/>
      <c r="AL1996" s="165"/>
      <c r="AM1996" s="165"/>
      <c r="AN1996" s="165"/>
    </row>
    <row r="1997" spans="3:40">
      <c r="C1997" s="46"/>
      <c r="F1997" s="173"/>
      <c r="G1997" s="1"/>
      <c r="H1997" s="165"/>
      <c r="I1997" s="160"/>
      <c r="J1997" s="160"/>
      <c r="K1997" s="1"/>
      <c r="L1997" s="123"/>
      <c r="M1997" s="1"/>
      <c r="N1997" s="590"/>
      <c r="O1997" s="165"/>
      <c r="P1997" s="165"/>
      <c r="Q1997" s="165"/>
      <c r="R1997" s="165"/>
      <c r="S1997" s="165"/>
      <c r="V1997" s="46"/>
      <c r="W1997" s="46"/>
      <c r="X1997" s="1"/>
      <c r="Y1997" s="1"/>
      <c r="Z1997" s="173"/>
      <c r="AA1997" s="1"/>
      <c r="AB1997" s="165"/>
      <c r="AC1997" s="1"/>
      <c r="AD1997" s="1"/>
      <c r="AE1997" s="1"/>
      <c r="AF1997" s="46"/>
      <c r="AG1997" s="1"/>
      <c r="AH1997" s="165"/>
      <c r="AI1997" s="165"/>
      <c r="AJ1997" s="165"/>
      <c r="AK1997" s="165"/>
      <c r="AL1997" s="165"/>
      <c r="AM1997" s="165"/>
      <c r="AN1997" s="165"/>
    </row>
    <row r="1998" spans="3:40">
      <c r="C1998" s="46"/>
      <c r="F1998" s="173"/>
      <c r="G1998" s="1"/>
      <c r="H1998" s="165"/>
      <c r="I1998" s="160"/>
      <c r="J1998" s="160"/>
      <c r="K1998" s="1"/>
      <c r="L1998" s="123"/>
      <c r="M1998" s="1"/>
      <c r="N1998" s="590"/>
      <c r="O1998" s="165"/>
      <c r="P1998" s="165"/>
      <c r="Q1998" s="165"/>
      <c r="R1998" s="165"/>
      <c r="S1998" s="165"/>
      <c r="V1998" s="46"/>
      <c r="W1998" s="46"/>
      <c r="X1998" s="1"/>
      <c r="Y1998" s="1"/>
      <c r="Z1998" s="173"/>
      <c r="AA1998" s="1"/>
      <c r="AB1998" s="165"/>
      <c r="AC1998" s="1"/>
      <c r="AD1998" s="1"/>
      <c r="AE1998" s="1"/>
      <c r="AF1998" s="46"/>
      <c r="AG1998" s="1"/>
      <c r="AH1998" s="165"/>
      <c r="AI1998" s="165"/>
      <c r="AJ1998" s="165"/>
      <c r="AK1998" s="165"/>
      <c r="AL1998" s="165"/>
      <c r="AM1998" s="165"/>
      <c r="AN1998" s="165"/>
    </row>
    <row r="1999" spans="3:40">
      <c r="C1999" s="46"/>
      <c r="F1999" s="173"/>
      <c r="G1999" s="1"/>
      <c r="H1999" s="165"/>
      <c r="I1999" s="160"/>
      <c r="J1999" s="160"/>
      <c r="K1999" s="1"/>
      <c r="L1999" s="123"/>
      <c r="M1999" s="1"/>
      <c r="N1999" s="590"/>
      <c r="O1999" s="165"/>
      <c r="P1999" s="165"/>
      <c r="Q1999" s="165"/>
      <c r="R1999" s="165"/>
      <c r="S1999" s="165"/>
      <c r="V1999" s="46"/>
      <c r="W1999" s="46"/>
      <c r="X1999" s="1"/>
      <c r="Y1999" s="1"/>
      <c r="Z1999" s="173"/>
      <c r="AA1999" s="1"/>
      <c r="AB1999" s="165"/>
      <c r="AC1999" s="1"/>
      <c r="AD1999" s="1"/>
      <c r="AE1999" s="1"/>
      <c r="AF1999" s="46"/>
      <c r="AG1999" s="1"/>
      <c r="AH1999" s="165"/>
      <c r="AI1999" s="165"/>
      <c r="AJ1999" s="165"/>
      <c r="AK1999" s="165"/>
      <c r="AL1999" s="165"/>
      <c r="AM1999" s="165"/>
      <c r="AN1999" s="165"/>
    </row>
    <row r="2000" spans="3:40">
      <c r="C2000" s="46"/>
      <c r="F2000" s="173"/>
      <c r="G2000" s="1"/>
      <c r="H2000" s="165"/>
      <c r="I2000" s="160"/>
      <c r="J2000" s="160"/>
      <c r="K2000" s="1"/>
      <c r="L2000" s="123"/>
      <c r="M2000" s="1"/>
      <c r="N2000" s="590"/>
      <c r="O2000" s="165"/>
      <c r="P2000" s="165"/>
      <c r="Q2000" s="165"/>
      <c r="R2000" s="165"/>
      <c r="S2000" s="165"/>
      <c r="V2000" s="46"/>
      <c r="W2000" s="46"/>
      <c r="X2000" s="1"/>
      <c r="Y2000" s="1"/>
      <c r="Z2000" s="173"/>
      <c r="AA2000" s="1"/>
      <c r="AB2000" s="165"/>
      <c r="AC2000" s="1"/>
      <c r="AD2000" s="1"/>
      <c r="AE2000" s="1"/>
      <c r="AF2000" s="46"/>
      <c r="AG2000" s="1"/>
      <c r="AH2000" s="165"/>
      <c r="AI2000" s="165"/>
      <c r="AJ2000" s="165"/>
      <c r="AK2000" s="165"/>
      <c r="AL2000" s="165"/>
      <c r="AM2000" s="165"/>
      <c r="AN2000" s="165"/>
    </row>
    <row r="2001" spans="3:40">
      <c r="C2001" s="46"/>
      <c r="F2001" s="173"/>
      <c r="G2001" s="1"/>
      <c r="H2001" s="165"/>
      <c r="I2001" s="160"/>
      <c r="J2001" s="160"/>
      <c r="K2001" s="1"/>
      <c r="L2001" s="123"/>
      <c r="M2001" s="1"/>
      <c r="N2001" s="590"/>
      <c r="O2001" s="165"/>
      <c r="P2001" s="165"/>
      <c r="Q2001" s="165"/>
      <c r="R2001" s="165"/>
      <c r="S2001" s="165"/>
      <c r="V2001" s="46"/>
      <c r="W2001" s="46"/>
      <c r="X2001" s="1"/>
      <c r="Y2001" s="1"/>
      <c r="Z2001" s="173"/>
      <c r="AA2001" s="1"/>
      <c r="AB2001" s="165"/>
      <c r="AC2001" s="1"/>
      <c r="AD2001" s="1"/>
      <c r="AE2001" s="1"/>
      <c r="AF2001" s="46"/>
      <c r="AG2001" s="1"/>
      <c r="AH2001" s="165"/>
      <c r="AI2001" s="165"/>
      <c r="AJ2001" s="165"/>
      <c r="AK2001" s="165"/>
      <c r="AL2001" s="165"/>
      <c r="AM2001" s="165"/>
      <c r="AN2001" s="165"/>
    </row>
    <row r="2002" spans="3:40">
      <c r="C2002" s="46"/>
      <c r="F2002" s="173"/>
      <c r="G2002" s="1"/>
      <c r="H2002" s="165"/>
      <c r="I2002" s="160"/>
      <c r="J2002" s="160"/>
      <c r="K2002" s="1"/>
      <c r="L2002" s="123"/>
      <c r="M2002" s="1"/>
      <c r="N2002" s="590"/>
      <c r="O2002" s="165"/>
      <c r="P2002" s="165"/>
      <c r="Q2002" s="165"/>
      <c r="R2002" s="165"/>
      <c r="S2002" s="165"/>
      <c r="V2002" s="46"/>
      <c r="W2002" s="46"/>
      <c r="X2002" s="1"/>
      <c r="Y2002" s="1"/>
      <c r="Z2002" s="173"/>
      <c r="AA2002" s="1"/>
      <c r="AB2002" s="165"/>
      <c r="AC2002" s="1"/>
      <c r="AD2002" s="1"/>
      <c r="AE2002" s="1"/>
      <c r="AF2002" s="46"/>
      <c r="AG2002" s="1"/>
      <c r="AH2002" s="165"/>
      <c r="AI2002" s="165"/>
      <c r="AJ2002" s="165"/>
      <c r="AK2002" s="165"/>
      <c r="AL2002" s="165"/>
      <c r="AM2002" s="165"/>
      <c r="AN2002" s="165"/>
    </row>
    <row r="2003" spans="3:40">
      <c r="C2003" s="46"/>
      <c r="F2003" s="173"/>
      <c r="G2003" s="1"/>
      <c r="H2003" s="165"/>
      <c r="I2003" s="160"/>
      <c r="J2003" s="160"/>
      <c r="K2003" s="1"/>
      <c r="L2003" s="123"/>
      <c r="M2003" s="1"/>
      <c r="N2003" s="590"/>
      <c r="O2003" s="165"/>
      <c r="P2003" s="165"/>
      <c r="Q2003" s="165"/>
      <c r="R2003" s="165"/>
      <c r="S2003" s="165"/>
      <c r="V2003" s="46"/>
      <c r="W2003" s="46"/>
      <c r="X2003" s="1"/>
      <c r="Y2003" s="1"/>
      <c r="Z2003" s="173"/>
      <c r="AA2003" s="1"/>
      <c r="AB2003" s="165"/>
      <c r="AC2003" s="1"/>
      <c r="AD2003" s="1"/>
      <c r="AE2003" s="1"/>
      <c r="AF2003" s="46"/>
      <c r="AG2003" s="1"/>
      <c r="AH2003" s="165"/>
      <c r="AI2003" s="165"/>
      <c r="AJ2003" s="165"/>
      <c r="AK2003" s="165"/>
      <c r="AL2003" s="165"/>
      <c r="AM2003" s="165"/>
      <c r="AN2003" s="165"/>
    </row>
    <row r="2004" spans="3:40">
      <c r="C2004" s="46"/>
      <c r="F2004" s="173"/>
      <c r="G2004" s="1"/>
      <c r="H2004" s="165"/>
      <c r="I2004" s="160"/>
      <c r="J2004" s="160"/>
      <c r="K2004" s="1"/>
      <c r="L2004" s="123"/>
      <c r="M2004" s="1"/>
      <c r="N2004" s="590"/>
      <c r="O2004" s="165"/>
      <c r="P2004" s="165"/>
      <c r="Q2004" s="165"/>
      <c r="R2004" s="165"/>
      <c r="S2004" s="165"/>
      <c r="V2004" s="46"/>
      <c r="W2004" s="46"/>
      <c r="X2004" s="1"/>
      <c r="Y2004" s="1"/>
      <c r="Z2004" s="173"/>
      <c r="AA2004" s="1"/>
      <c r="AB2004" s="165"/>
      <c r="AC2004" s="1"/>
      <c r="AD2004" s="1"/>
      <c r="AE2004" s="1"/>
      <c r="AF2004" s="46"/>
      <c r="AG2004" s="1"/>
      <c r="AH2004" s="165"/>
      <c r="AI2004" s="165"/>
      <c r="AJ2004" s="165"/>
      <c r="AK2004" s="165"/>
      <c r="AL2004" s="165"/>
      <c r="AM2004" s="165"/>
      <c r="AN2004" s="165"/>
    </row>
    <row r="2005" spans="3:40">
      <c r="C2005" s="46"/>
      <c r="F2005" s="173"/>
      <c r="G2005" s="1"/>
      <c r="H2005" s="165"/>
      <c r="I2005" s="160"/>
      <c r="J2005" s="160"/>
      <c r="K2005" s="1"/>
      <c r="L2005" s="123"/>
      <c r="M2005" s="1"/>
      <c r="N2005" s="590"/>
      <c r="O2005" s="165"/>
      <c r="P2005" s="165"/>
      <c r="Q2005" s="165"/>
      <c r="R2005" s="165"/>
      <c r="S2005" s="165"/>
      <c r="V2005" s="46"/>
      <c r="W2005" s="46"/>
      <c r="X2005" s="1"/>
      <c r="Y2005" s="1"/>
      <c r="Z2005" s="173"/>
      <c r="AA2005" s="1"/>
      <c r="AB2005" s="165"/>
      <c r="AC2005" s="1"/>
      <c r="AD2005" s="1"/>
      <c r="AE2005" s="1"/>
      <c r="AF2005" s="46"/>
      <c r="AG2005" s="1"/>
      <c r="AH2005" s="165"/>
      <c r="AI2005" s="165"/>
      <c r="AJ2005" s="165"/>
      <c r="AK2005" s="165"/>
      <c r="AL2005" s="165"/>
      <c r="AM2005" s="165"/>
      <c r="AN2005" s="165"/>
    </row>
    <row r="2006" spans="3:40">
      <c r="C2006" s="46"/>
      <c r="F2006" s="173"/>
      <c r="G2006" s="1"/>
      <c r="H2006" s="165"/>
      <c r="I2006" s="160"/>
      <c r="J2006" s="160"/>
      <c r="K2006" s="1"/>
      <c r="L2006" s="123"/>
      <c r="M2006" s="1"/>
      <c r="N2006" s="590"/>
      <c r="O2006" s="165"/>
      <c r="P2006" s="165"/>
      <c r="Q2006" s="165"/>
      <c r="R2006" s="165"/>
      <c r="S2006" s="165"/>
      <c r="V2006" s="46"/>
      <c r="W2006" s="46"/>
      <c r="X2006" s="1"/>
      <c r="Y2006" s="1"/>
      <c r="Z2006" s="173"/>
      <c r="AA2006" s="1"/>
      <c r="AB2006" s="165"/>
      <c r="AC2006" s="1"/>
      <c r="AD2006" s="1"/>
      <c r="AE2006" s="1"/>
      <c r="AF2006" s="46"/>
      <c r="AG2006" s="1"/>
      <c r="AH2006" s="165"/>
      <c r="AI2006" s="165"/>
      <c r="AJ2006" s="165"/>
      <c r="AK2006" s="165"/>
      <c r="AL2006" s="165"/>
      <c r="AM2006" s="165"/>
      <c r="AN2006" s="165"/>
    </row>
    <row r="2007" spans="3:40">
      <c r="C2007" s="46"/>
      <c r="F2007" s="173"/>
      <c r="G2007" s="1"/>
      <c r="H2007" s="165"/>
      <c r="I2007" s="160"/>
      <c r="J2007" s="160"/>
      <c r="K2007" s="1"/>
      <c r="L2007" s="123"/>
      <c r="M2007" s="1"/>
      <c r="N2007" s="590"/>
      <c r="O2007" s="165"/>
      <c r="P2007" s="165"/>
      <c r="Q2007" s="165"/>
      <c r="R2007" s="165"/>
      <c r="S2007" s="165"/>
      <c r="V2007" s="46"/>
      <c r="W2007" s="46"/>
      <c r="X2007" s="1"/>
      <c r="Y2007" s="1"/>
      <c r="Z2007" s="173"/>
      <c r="AA2007" s="1"/>
      <c r="AB2007" s="165"/>
      <c r="AC2007" s="1"/>
      <c r="AD2007" s="1"/>
      <c r="AE2007" s="1"/>
      <c r="AF2007" s="46"/>
      <c r="AG2007" s="1"/>
      <c r="AH2007" s="165"/>
      <c r="AI2007" s="165"/>
      <c r="AJ2007" s="165"/>
      <c r="AK2007" s="165"/>
      <c r="AL2007" s="165"/>
      <c r="AM2007" s="165"/>
      <c r="AN2007" s="165"/>
    </row>
    <row r="2008" spans="3:40">
      <c r="C2008" s="46"/>
      <c r="F2008" s="173"/>
      <c r="G2008" s="1"/>
      <c r="H2008" s="165"/>
      <c r="I2008" s="160"/>
      <c r="J2008" s="160"/>
      <c r="K2008" s="1"/>
      <c r="L2008" s="123"/>
      <c r="M2008" s="1"/>
      <c r="N2008" s="590"/>
      <c r="O2008" s="165"/>
      <c r="P2008" s="165"/>
      <c r="Q2008" s="165"/>
      <c r="R2008" s="165"/>
      <c r="S2008" s="165"/>
      <c r="V2008" s="46"/>
      <c r="W2008" s="46"/>
      <c r="X2008" s="1"/>
      <c r="Y2008" s="1"/>
      <c r="Z2008" s="173"/>
      <c r="AA2008" s="1"/>
      <c r="AB2008" s="165"/>
      <c r="AC2008" s="1"/>
      <c r="AD2008" s="1"/>
      <c r="AE2008" s="1"/>
      <c r="AF2008" s="46"/>
      <c r="AG2008" s="1"/>
      <c r="AH2008" s="165"/>
      <c r="AI2008" s="165"/>
      <c r="AJ2008" s="165"/>
      <c r="AK2008" s="165"/>
      <c r="AL2008" s="165"/>
      <c r="AM2008" s="165"/>
      <c r="AN2008" s="165"/>
    </row>
    <row r="2009" spans="3:40">
      <c r="C2009" s="46"/>
      <c r="F2009" s="173"/>
      <c r="G2009" s="1"/>
      <c r="H2009" s="165"/>
      <c r="I2009" s="160"/>
      <c r="J2009" s="160"/>
      <c r="K2009" s="1"/>
      <c r="L2009" s="123"/>
      <c r="M2009" s="1"/>
      <c r="N2009" s="590"/>
      <c r="O2009" s="165"/>
      <c r="P2009" s="165"/>
      <c r="Q2009" s="165"/>
      <c r="R2009" s="165"/>
      <c r="S2009" s="165"/>
      <c r="V2009" s="46"/>
      <c r="W2009" s="46"/>
      <c r="X2009" s="1"/>
      <c r="Y2009" s="1"/>
      <c r="Z2009" s="173"/>
      <c r="AA2009" s="1"/>
      <c r="AB2009" s="165"/>
      <c r="AC2009" s="1"/>
      <c r="AD2009" s="1"/>
      <c r="AE2009" s="1"/>
      <c r="AF2009" s="46"/>
      <c r="AG2009" s="1"/>
      <c r="AH2009" s="165"/>
      <c r="AI2009" s="165"/>
      <c r="AJ2009" s="165"/>
      <c r="AK2009" s="165"/>
      <c r="AL2009" s="165"/>
      <c r="AM2009" s="165"/>
      <c r="AN2009" s="165"/>
    </row>
    <row r="2010" spans="3:40">
      <c r="C2010" s="46"/>
      <c r="F2010" s="173"/>
      <c r="G2010" s="1"/>
      <c r="H2010" s="165"/>
      <c r="I2010" s="160"/>
      <c r="J2010" s="160"/>
      <c r="K2010" s="1"/>
      <c r="L2010" s="123"/>
      <c r="M2010" s="1"/>
      <c r="N2010" s="590"/>
      <c r="O2010" s="165"/>
      <c r="P2010" s="165"/>
      <c r="Q2010" s="165"/>
      <c r="R2010" s="165"/>
      <c r="S2010" s="165"/>
      <c r="V2010" s="46"/>
      <c r="W2010" s="46"/>
      <c r="X2010" s="1"/>
      <c r="Y2010" s="1"/>
      <c r="Z2010" s="173"/>
      <c r="AA2010" s="1"/>
      <c r="AB2010" s="165"/>
      <c r="AC2010" s="1"/>
      <c r="AD2010" s="1"/>
      <c r="AE2010" s="1"/>
      <c r="AF2010" s="46"/>
      <c r="AG2010" s="1"/>
      <c r="AH2010" s="165"/>
      <c r="AI2010" s="165"/>
      <c r="AJ2010" s="165"/>
      <c r="AK2010" s="165"/>
      <c r="AL2010" s="165"/>
      <c r="AM2010" s="165"/>
      <c r="AN2010" s="165"/>
    </row>
    <row r="2011" spans="3:40">
      <c r="C2011" s="46"/>
      <c r="F2011" s="173"/>
      <c r="G2011" s="1"/>
      <c r="H2011" s="165"/>
      <c r="I2011" s="160"/>
      <c r="J2011" s="160"/>
      <c r="K2011" s="1"/>
      <c r="L2011" s="123"/>
      <c r="M2011" s="1"/>
      <c r="N2011" s="590"/>
      <c r="O2011" s="165"/>
      <c r="P2011" s="165"/>
      <c r="Q2011" s="165"/>
      <c r="R2011" s="165"/>
      <c r="S2011" s="165"/>
      <c r="V2011" s="46"/>
      <c r="W2011" s="46"/>
      <c r="X2011" s="1"/>
      <c r="Y2011" s="1"/>
      <c r="Z2011" s="173"/>
      <c r="AA2011" s="1"/>
      <c r="AB2011" s="165"/>
      <c r="AC2011" s="1"/>
      <c r="AD2011" s="1"/>
      <c r="AE2011" s="1"/>
      <c r="AF2011" s="46"/>
      <c r="AG2011" s="1"/>
      <c r="AH2011" s="165"/>
      <c r="AI2011" s="165"/>
      <c r="AJ2011" s="165"/>
      <c r="AK2011" s="165"/>
      <c r="AL2011" s="165"/>
      <c r="AM2011" s="165"/>
      <c r="AN2011" s="165"/>
    </row>
    <row r="2012" spans="3:40">
      <c r="C2012" s="46"/>
      <c r="F2012" s="173"/>
      <c r="G2012" s="1"/>
      <c r="H2012" s="165"/>
      <c r="I2012" s="160"/>
      <c r="J2012" s="160"/>
      <c r="K2012" s="1"/>
      <c r="L2012" s="123"/>
      <c r="M2012" s="1"/>
      <c r="N2012" s="590"/>
      <c r="O2012" s="165"/>
      <c r="P2012" s="165"/>
      <c r="Q2012" s="165"/>
      <c r="R2012" s="165"/>
      <c r="S2012" s="165"/>
      <c r="V2012" s="46"/>
      <c r="W2012" s="46"/>
      <c r="X2012" s="1"/>
      <c r="Y2012" s="1"/>
      <c r="Z2012" s="173"/>
      <c r="AA2012" s="1"/>
      <c r="AB2012" s="165"/>
      <c r="AC2012" s="1"/>
      <c r="AD2012" s="1"/>
      <c r="AE2012" s="1"/>
      <c r="AF2012" s="46"/>
      <c r="AG2012" s="1"/>
      <c r="AH2012" s="165"/>
      <c r="AI2012" s="165"/>
      <c r="AJ2012" s="165"/>
      <c r="AK2012" s="165"/>
      <c r="AL2012" s="165"/>
      <c r="AM2012" s="165"/>
      <c r="AN2012" s="165"/>
    </row>
    <row r="2013" spans="3:40">
      <c r="C2013" s="46"/>
      <c r="F2013" s="173"/>
      <c r="G2013" s="1"/>
      <c r="H2013" s="165"/>
      <c r="I2013" s="160"/>
      <c r="J2013" s="160"/>
      <c r="K2013" s="1"/>
      <c r="L2013" s="123"/>
      <c r="M2013" s="1"/>
      <c r="N2013" s="590"/>
      <c r="O2013" s="165"/>
      <c r="P2013" s="165"/>
      <c r="Q2013" s="165"/>
      <c r="R2013" s="165"/>
      <c r="S2013" s="165"/>
      <c r="V2013" s="46"/>
      <c r="W2013" s="46"/>
      <c r="X2013" s="1"/>
      <c r="Y2013" s="1"/>
      <c r="Z2013" s="173"/>
      <c r="AA2013" s="1"/>
      <c r="AB2013" s="165"/>
      <c r="AC2013" s="1"/>
      <c r="AD2013" s="1"/>
      <c r="AE2013" s="1"/>
      <c r="AF2013" s="46"/>
      <c r="AG2013" s="1"/>
      <c r="AH2013" s="165"/>
      <c r="AI2013" s="165"/>
      <c r="AJ2013" s="165"/>
      <c r="AK2013" s="165"/>
      <c r="AL2013" s="165"/>
      <c r="AM2013" s="165"/>
      <c r="AN2013" s="165"/>
    </row>
    <row r="2014" spans="3:40">
      <c r="C2014" s="46"/>
      <c r="F2014" s="173"/>
      <c r="G2014" s="1"/>
      <c r="H2014" s="165"/>
      <c r="I2014" s="160"/>
      <c r="J2014" s="160"/>
      <c r="K2014" s="1"/>
      <c r="L2014" s="123"/>
      <c r="M2014" s="1"/>
      <c r="N2014" s="590"/>
      <c r="O2014" s="165"/>
      <c r="P2014" s="165"/>
      <c r="Q2014" s="165"/>
      <c r="R2014" s="165"/>
      <c r="S2014" s="165"/>
      <c r="V2014" s="46"/>
      <c r="W2014" s="46"/>
      <c r="X2014" s="1"/>
      <c r="Y2014" s="1"/>
      <c r="Z2014" s="173"/>
      <c r="AA2014" s="1"/>
      <c r="AB2014" s="165"/>
      <c r="AC2014" s="1"/>
      <c r="AD2014" s="1"/>
      <c r="AE2014" s="1"/>
      <c r="AF2014" s="46"/>
      <c r="AG2014" s="1"/>
      <c r="AH2014" s="165"/>
      <c r="AI2014" s="165"/>
      <c r="AJ2014" s="165"/>
      <c r="AK2014" s="165"/>
      <c r="AL2014" s="165"/>
      <c r="AM2014" s="165"/>
      <c r="AN2014" s="165"/>
    </row>
    <row r="2015" spans="3:40">
      <c r="C2015" s="46"/>
      <c r="F2015" s="173"/>
      <c r="G2015" s="1"/>
      <c r="H2015" s="165"/>
      <c r="I2015" s="160"/>
      <c r="J2015" s="160"/>
      <c r="K2015" s="1"/>
      <c r="L2015" s="123"/>
      <c r="M2015" s="1"/>
      <c r="N2015" s="590"/>
      <c r="O2015" s="165"/>
      <c r="P2015" s="165"/>
      <c r="Q2015" s="165"/>
      <c r="R2015" s="165"/>
      <c r="S2015" s="165"/>
      <c r="V2015" s="46"/>
      <c r="W2015" s="46"/>
      <c r="X2015" s="1"/>
      <c r="Y2015" s="1"/>
      <c r="Z2015" s="173"/>
      <c r="AA2015" s="1"/>
      <c r="AB2015" s="165"/>
      <c r="AC2015" s="1"/>
      <c r="AD2015" s="1"/>
      <c r="AE2015" s="1"/>
      <c r="AF2015" s="46"/>
      <c r="AG2015" s="1"/>
      <c r="AH2015" s="165"/>
      <c r="AI2015" s="165"/>
      <c r="AJ2015" s="165"/>
      <c r="AK2015" s="165"/>
      <c r="AL2015" s="165"/>
      <c r="AM2015" s="165"/>
      <c r="AN2015" s="165"/>
    </row>
    <row r="2016" spans="3:40">
      <c r="C2016" s="46"/>
      <c r="F2016" s="173"/>
      <c r="G2016" s="1"/>
      <c r="H2016" s="165"/>
      <c r="I2016" s="160"/>
      <c r="J2016" s="160"/>
      <c r="K2016" s="1"/>
      <c r="L2016" s="123"/>
      <c r="M2016" s="1"/>
      <c r="N2016" s="590"/>
      <c r="O2016" s="165"/>
      <c r="P2016" s="165"/>
      <c r="Q2016" s="165"/>
      <c r="R2016" s="165"/>
      <c r="S2016" s="165"/>
      <c r="V2016" s="46"/>
      <c r="W2016" s="46"/>
      <c r="X2016" s="1"/>
      <c r="Y2016" s="1"/>
      <c r="Z2016" s="173"/>
      <c r="AA2016" s="1"/>
      <c r="AB2016" s="165"/>
      <c r="AC2016" s="1"/>
      <c r="AD2016" s="1"/>
      <c r="AE2016" s="1"/>
      <c r="AF2016" s="46"/>
      <c r="AG2016" s="1"/>
      <c r="AH2016" s="165"/>
      <c r="AI2016" s="165"/>
      <c r="AJ2016" s="165"/>
      <c r="AK2016" s="165"/>
      <c r="AL2016" s="165"/>
      <c r="AM2016" s="165"/>
      <c r="AN2016" s="165"/>
    </row>
    <row r="2017" spans="3:40">
      <c r="C2017" s="46"/>
      <c r="F2017" s="173"/>
      <c r="G2017" s="1"/>
      <c r="H2017" s="165"/>
      <c r="I2017" s="160"/>
      <c r="J2017" s="160"/>
      <c r="K2017" s="1"/>
      <c r="L2017" s="123"/>
      <c r="M2017" s="1"/>
      <c r="N2017" s="590"/>
      <c r="O2017" s="165"/>
      <c r="P2017" s="165"/>
      <c r="Q2017" s="165"/>
      <c r="R2017" s="165"/>
      <c r="S2017" s="165"/>
      <c r="V2017" s="46"/>
      <c r="W2017" s="46"/>
      <c r="X2017" s="1"/>
      <c r="Y2017" s="1"/>
      <c r="Z2017" s="173"/>
      <c r="AA2017" s="1"/>
      <c r="AB2017" s="165"/>
      <c r="AC2017" s="1"/>
      <c r="AD2017" s="1"/>
      <c r="AE2017" s="1"/>
      <c r="AF2017" s="46"/>
      <c r="AG2017" s="1"/>
      <c r="AH2017" s="165"/>
      <c r="AI2017" s="165"/>
      <c r="AJ2017" s="165"/>
      <c r="AK2017" s="165"/>
      <c r="AL2017" s="165"/>
      <c r="AM2017" s="165"/>
      <c r="AN2017" s="165"/>
    </row>
    <row r="2018" spans="3:40">
      <c r="C2018" s="46"/>
      <c r="F2018" s="173"/>
      <c r="G2018" s="1"/>
      <c r="H2018" s="165"/>
      <c r="I2018" s="160"/>
      <c r="J2018" s="160"/>
      <c r="K2018" s="1"/>
      <c r="L2018" s="123"/>
      <c r="M2018" s="1"/>
      <c r="N2018" s="590"/>
      <c r="O2018" s="165"/>
      <c r="P2018" s="165"/>
      <c r="Q2018" s="165"/>
      <c r="R2018" s="165"/>
      <c r="S2018" s="165"/>
      <c r="V2018" s="46"/>
      <c r="W2018" s="46"/>
      <c r="X2018" s="1"/>
      <c r="Y2018" s="1"/>
      <c r="Z2018" s="173"/>
      <c r="AA2018" s="1"/>
      <c r="AB2018" s="165"/>
      <c r="AC2018" s="1"/>
      <c r="AD2018" s="1"/>
      <c r="AE2018" s="1"/>
      <c r="AF2018" s="46"/>
      <c r="AG2018" s="1"/>
      <c r="AH2018" s="165"/>
      <c r="AI2018" s="165"/>
      <c r="AJ2018" s="165"/>
      <c r="AK2018" s="165"/>
      <c r="AL2018" s="165"/>
      <c r="AM2018" s="165"/>
      <c r="AN2018" s="165"/>
    </row>
    <row r="2019" spans="3:40">
      <c r="C2019" s="46"/>
      <c r="F2019" s="173"/>
      <c r="G2019" s="1"/>
      <c r="H2019" s="165"/>
      <c r="I2019" s="160"/>
      <c r="J2019" s="160"/>
      <c r="K2019" s="1"/>
      <c r="L2019" s="123"/>
      <c r="M2019" s="1"/>
      <c r="N2019" s="590"/>
      <c r="O2019" s="165"/>
      <c r="P2019" s="165"/>
      <c r="Q2019" s="165"/>
      <c r="R2019" s="165"/>
      <c r="S2019" s="165"/>
      <c r="V2019" s="46"/>
      <c r="W2019" s="46"/>
      <c r="X2019" s="1"/>
      <c r="Y2019" s="1"/>
      <c r="Z2019" s="173"/>
      <c r="AA2019" s="1"/>
      <c r="AB2019" s="165"/>
      <c r="AC2019" s="1"/>
      <c r="AD2019" s="1"/>
      <c r="AE2019" s="1"/>
      <c r="AF2019" s="46"/>
      <c r="AG2019" s="1"/>
      <c r="AH2019" s="165"/>
      <c r="AI2019" s="165"/>
      <c r="AJ2019" s="165"/>
      <c r="AK2019" s="165"/>
      <c r="AL2019" s="165"/>
      <c r="AM2019" s="165"/>
      <c r="AN2019" s="165"/>
    </row>
    <row r="2020" spans="3:40">
      <c r="C2020" s="46"/>
      <c r="F2020" s="173"/>
      <c r="G2020" s="1"/>
      <c r="H2020" s="165"/>
      <c r="I2020" s="160"/>
      <c r="J2020" s="160"/>
      <c r="K2020" s="1"/>
      <c r="L2020" s="123"/>
      <c r="M2020" s="1"/>
      <c r="N2020" s="590"/>
      <c r="O2020" s="165"/>
      <c r="P2020" s="165"/>
      <c r="Q2020" s="165"/>
      <c r="R2020" s="165"/>
      <c r="S2020" s="165"/>
      <c r="V2020" s="46"/>
      <c r="W2020" s="46"/>
      <c r="X2020" s="1"/>
      <c r="Y2020" s="1"/>
      <c r="Z2020" s="173"/>
      <c r="AA2020" s="1"/>
      <c r="AB2020" s="165"/>
      <c r="AC2020" s="1"/>
      <c r="AD2020" s="1"/>
      <c r="AE2020" s="1"/>
      <c r="AF2020" s="46"/>
      <c r="AG2020" s="1"/>
      <c r="AH2020" s="165"/>
      <c r="AI2020" s="165"/>
      <c r="AJ2020" s="165"/>
      <c r="AK2020" s="165"/>
      <c r="AL2020" s="165"/>
      <c r="AM2020" s="165"/>
      <c r="AN2020" s="165"/>
    </row>
    <row r="2021" spans="3:40">
      <c r="C2021" s="46"/>
      <c r="F2021" s="173"/>
      <c r="G2021" s="1"/>
      <c r="H2021" s="165"/>
      <c r="I2021" s="160"/>
      <c r="J2021" s="160"/>
      <c r="K2021" s="1"/>
      <c r="L2021" s="123"/>
      <c r="M2021" s="1"/>
      <c r="N2021" s="590"/>
      <c r="O2021" s="165"/>
      <c r="P2021" s="165"/>
      <c r="Q2021" s="165"/>
      <c r="R2021" s="165"/>
      <c r="S2021" s="165"/>
      <c r="V2021" s="46"/>
      <c r="W2021" s="46"/>
      <c r="X2021" s="1"/>
      <c r="Y2021" s="1"/>
      <c r="Z2021" s="173"/>
      <c r="AA2021" s="1"/>
      <c r="AB2021" s="165"/>
      <c r="AC2021" s="1"/>
      <c r="AD2021" s="1"/>
      <c r="AE2021" s="1"/>
      <c r="AF2021" s="46"/>
      <c r="AG2021" s="1"/>
      <c r="AH2021" s="165"/>
      <c r="AI2021" s="165"/>
      <c r="AJ2021" s="165"/>
      <c r="AK2021" s="165"/>
      <c r="AL2021" s="165"/>
      <c r="AM2021" s="165"/>
      <c r="AN2021" s="165"/>
    </row>
    <row r="2022" spans="3:40">
      <c r="C2022" s="46"/>
      <c r="F2022" s="173"/>
      <c r="G2022" s="1"/>
      <c r="H2022" s="165"/>
      <c r="I2022" s="160"/>
      <c r="J2022" s="160"/>
      <c r="K2022" s="1"/>
      <c r="L2022" s="123"/>
      <c r="M2022" s="1"/>
      <c r="N2022" s="590"/>
      <c r="O2022" s="165"/>
      <c r="P2022" s="165"/>
      <c r="Q2022" s="165"/>
      <c r="R2022" s="165"/>
      <c r="S2022" s="165"/>
      <c r="V2022" s="46"/>
      <c r="W2022" s="46"/>
      <c r="X2022" s="1"/>
      <c r="Y2022" s="1"/>
      <c r="Z2022" s="173"/>
      <c r="AA2022" s="1"/>
      <c r="AB2022" s="165"/>
      <c r="AC2022" s="1"/>
      <c r="AD2022" s="1"/>
      <c r="AE2022" s="1"/>
      <c r="AF2022" s="46"/>
      <c r="AG2022" s="1"/>
      <c r="AH2022" s="165"/>
      <c r="AI2022" s="165"/>
      <c r="AJ2022" s="165"/>
      <c r="AK2022" s="165"/>
      <c r="AL2022" s="165"/>
      <c r="AM2022" s="165"/>
      <c r="AN2022" s="165"/>
    </row>
    <row r="2023" spans="3:40">
      <c r="C2023" s="46"/>
      <c r="F2023" s="173"/>
      <c r="G2023" s="1"/>
      <c r="H2023" s="165"/>
      <c r="I2023" s="160"/>
      <c r="J2023" s="160"/>
      <c r="K2023" s="1"/>
      <c r="L2023" s="123"/>
      <c r="M2023" s="1"/>
      <c r="N2023" s="590"/>
      <c r="O2023" s="165"/>
      <c r="P2023" s="165"/>
      <c r="Q2023" s="165"/>
      <c r="R2023" s="165"/>
      <c r="S2023" s="165"/>
      <c r="V2023" s="46"/>
      <c r="W2023" s="46"/>
      <c r="X2023" s="1"/>
      <c r="Y2023" s="1"/>
      <c r="Z2023" s="173"/>
      <c r="AA2023" s="1"/>
      <c r="AB2023" s="165"/>
      <c r="AC2023" s="1"/>
      <c r="AD2023" s="1"/>
      <c r="AE2023" s="1"/>
      <c r="AF2023" s="46"/>
      <c r="AG2023" s="1"/>
      <c r="AH2023" s="165"/>
      <c r="AI2023" s="165"/>
      <c r="AJ2023" s="165"/>
      <c r="AK2023" s="165"/>
      <c r="AL2023" s="165"/>
      <c r="AM2023" s="165"/>
      <c r="AN2023" s="165"/>
    </row>
    <row r="2024" spans="3:40">
      <c r="C2024" s="46"/>
      <c r="F2024" s="173"/>
      <c r="G2024" s="1"/>
      <c r="H2024" s="165"/>
      <c r="I2024" s="160"/>
      <c r="J2024" s="160"/>
      <c r="K2024" s="1"/>
      <c r="L2024" s="123"/>
      <c r="M2024" s="1"/>
      <c r="N2024" s="590"/>
      <c r="O2024" s="165"/>
      <c r="P2024" s="165"/>
      <c r="Q2024" s="165"/>
      <c r="R2024" s="165"/>
      <c r="S2024" s="165"/>
      <c r="V2024" s="46"/>
      <c r="W2024" s="46"/>
      <c r="X2024" s="1"/>
      <c r="Y2024" s="1"/>
      <c r="Z2024" s="173"/>
      <c r="AA2024" s="1"/>
      <c r="AB2024" s="165"/>
      <c r="AC2024" s="1"/>
      <c r="AD2024" s="1"/>
      <c r="AE2024" s="1"/>
      <c r="AF2024" s="46"/>
      <c r="AG2024" s="1"/>
      <c r="AH2024" s="165"/>
      <c r="AI2024" s="165"/>
      <c r="AJ2024" s="165"/>
      <c r="AK2024" s="165"/>
      <c r="AL2024" s="165"/>
      <c r="AM2024" s="165"/>
      <c r="AN2024" s="165"/>
    </row>
    <row r="2025" spans="3:40">
      <c r="C2025" s="46"/>
      <c r="F2025" s="173"/>
      <c r="G2025" s="1"/>
      <c r="H2025" s="165"/>
      <c r="I2025" s="160"/>
      <c r="J2025" s="160"/>
      <c r="K2025" s="1"/>
      <c r="L2025" s="123"/>
      <c r="M2025" s="1"/>
      <c r="N2025" s="590"/>
      <c r="O2025" s="165"/>
      <c r="P2025" s="165"/>
      <c r="Q2025" s="165"/>
      <c r="R2025" s="165"/>
      <c r="S2025" s="165"/>
      <c r="V2025" s="46"/>
      <c r="W2025" s="46"/>
      <c r="X2025" s="1"/>
      <c r="Y2025" s="1"/>
      <c r="Z2025" s="173"/>
      <c r="AA2025" s="1"/>
      <c r="AB2025" s="165"/>
      <c r="AC2025" s="1"/>
      <c r="AD2025" s="1"/>
      <c r="AE2025" s="1"/>
      <c r="AF2025" s="46"/>
      <c r="AG2025" s="1"/>
      <c r="AH2025" s="165"/>
      <c r="AI2025" s="165"/>
      <c r="AJ2025" s="165"/>
      <c r="AK2025" s="165"/>
      <c r="AL2025" s="165"/>
      <c r="AM2025" s="165"/>
      <c r="AN2025" s="165"/>
    </row>
    <row r="2026" spans="3:40">
      <c r="C2026" s="46"/>
      <c r="F2026" s="173"/>
      <c r="G2026" s="1"/>
      <c r="H2026" s="165"/>
      <c r="I2026" s="160"/>
      <c r="J2026" s="160"/>
      <c r="K2026" s="1"/>
      <c r="L2026" s="123"/>
      <c r="M2026" s="1"/>
      <c r="N2026" s="590"/>
      <c r="O2026" s="165"/>
      <c r="P2026" s="165"/>
      <c r="Q2026" s="165"/>
      <c r="R2026" s="165"/>
      <c r="S2026" s="165"/>
      <c r="V2026" s="46"/>
      <c r="W2026" s="46"/>
      <c r="X2026" s="1"/>
      <c r="Y2026" s="1"/>
      <c r="Z2026" s="173"/>
      <c r="AA2026" s="1"/>
      <c r="AB2026" s="165"/>
      <c r="AC2026" s="1"/>
      <c r="AD2026" s="1"/>
      <c r="AE2026" s="1"/>
      <c r="AF2026" s="46"/>
      <c r="AG2026" s="1"/>
      <c r="AH2026" s="165"/>
      <c r="AI2026" s="165"/>
      <c r="AJ2026" s="165"/>
      <c r="AK2026" s="165"/>
      <c r="AL2026" s="165"/>
      <c r="AM2026" s="165"/>
      <c r="AN2026" s="165"/>
    </row>
    <row r="2027" spans="3:40">
      <c r="C2027" s="46"/>
      <c r="F2027" s="173"/>
      <c r="G2027" s="1"/>
      <c r="H2027" s="165"/>
      <c r="I2027" s="160"/>
      <c r="J2027" s="160"/>
      <c r="K2027" s="1"/>
      <c r="L2027" s="123"/>
      <c r="M2027" s="1"/>
      <c r="N2027" s="590"/>
      <c r="O2027" s="165"/>
      <c r="P2027" s="165"/>
      <c r="Q2027" s="165"/>
      <c r="R2027" s="165"/>
      <c r="S2027" s="165"/>
      <c r="V2027" s="46"/>
      <c r="W2027" s="46"/>
      <c r="X2027" s="1"/>
      <c r="Y2027" s="1"/>
      <c r="Z2027" s="173"/>
      <c r="AA2027" s="1"/>
      <c r="AB2027" s="165"/>
      <c r="AC2027" s="1"/>
      <c r="AD2027" s="1"/>
      <c r="AE2027" s="1"/>
      <c r="AF2027" s="46"/>
      <c r="AG2027" s="1"/>
      <c r="AH2027" s="165"/>
      <c r="AI2027" s="165"/>
      <c r="AJ2027" s="165"/>
      <c r="AK2027" s="165"/>
      <c r="AL2027" s="165"/>
      <c r="AM2027" s="165"/>
      <c r="AN2027" s="165"/>
    </row>
    <row r="2028" spans="3:40">
      <c r="C2028" s="46"/>
      <c r="F2028" s="173"/>
      <c r="G2028" s="1"/>
      <c r="H2028" s="165"/>
      <c r="I2028" s="160"/>
      <c r="J2028" s="160"/>
      <c r="K2028" s="1"/>
      <c r="L2028" s="123"/>
      <c r="M2028" s="1"/>
      <c r="N2028" s="590"/>
      <c r="O2028" s="165"/>
      <c r="P2028" s="165"/>
      <c r="Q2028" s="165"/>
      <c r="R2028" s="165"/>
      <c r="S2028" s="165"/>
      <c r="V2028" s="46"/>
      <c r="W2028" s="46"/>
      <c r="X2028" s="1"/>
      <c r="Y2028" s="1"/>
      <c r="Z2028" s="173"/>
      <c r="AA2028" s="1"/>
      <c r="AB2028" s="165"/>
      <c r="AC2028" s="1"/>
      <c r="AD2028" s="1"/>
      <c r="AE2028" s="1"/>
      <c r="AF2028" s="46"/>
      <c r="AG2028" s="1"/>
      <c r="AH2028" s="165"/>
      <c r="AI2028" s="165"/>
      <c r="AJ2028" s="165"/>
      <c r="AK2028" s="165"/>
      <c r="AL2028" s="165"/>
      <c r="AM2028" s="165"/>
      <c r="AN2028" s="165"/>
    </row>
    <row r="2029" spans="3:40">
      <c r="C2029" s="46"/>
      <c r="F2029" s="173"/>
      <c r="G2029" s="1"/>
      <c r="H2029" s="165"/>
      <c r="I2029" s="160"/>
      <c r="J2029" s="160"/>
      <c r="K2029" s="1"/>
      <c r="L2029" s="123"/>
      <c r="M2029" s="1"/>
      <c r="N2029" s="590"/>
      <c r="O2029" s="165"/>
      <c r="P2029" s="165"/>
      <c r="Q2029" s="165"/>
      <c r="R2029" s="165"/>
      <c r="S2029" s="165"/>
      <c r="V2029" s="46"/>
      <c r="W2029" s="46"/>
      <c r="X2029" s="1"/>
      <c r="Y2029" s="1"/>
      <c r="Z2029" s="173"/>
      <c r="AA2029" s="1"/>
      <c r="AB2029" s="165"/>
      <c r="AC2029" s="1"/>
      <c r="AD2029" s="1"/>
      <c r="AE2029" s="1"/>
      <c r="AF2029" s="46"/>
      <c r="AG2029" s="1"/>
      <c r="AH2029" s="165"/>
      <c r="AI2029" s="165"/>
      <c r="AJ2029" s="165"/>
      <c r="AK2029" s="165"/>
      <c r="AL2029" s="165"/>
      <c r="AM2029" s="165"/>
      <c r="AN2029" s="165"/>
    </row>
    <row r="2030" spans="3:40">
      <c r="C2030" s="46"/>
      <c r="F2030" s="173"/>
      <c r="G2030" s="1"/>
      <c r="H2030" s="165"/>
      <c r="I2030" s="160"/>
      <c r="J2030" s="160"/>
      <c r="K2030" s="1"/>
      <c r="L2030" s="123"/>
      <c r="M2030" s="1"/>
      <c r="N2030" s="590"/>
      <c r="O2030" s="165"/>
      <c r="P2030" s="165"/>
      <c r="Q2030" s="165"/>
      <c r="R2030" s="165"/>
      <c r="S2030" s="165"/>
      <c r="V2030" s="46"/>
      <c r="W2030" s="46"/>
      <c r="X2030" s="1"/>
      <c r="Y2030" s="1"/>
      <c r="Z2030" s="173"/>
      <c r="AA2030" s="1"/>
      <c r="AB2030" s="165"/>
      <c r="AC2030" s="1"/>
      <c r="AD2030" s="1"/>
      <c r="AE2030" s="1"/>
      <c r="AF2030" s="46"/>
      <c r="AG2030" s="1"/>
      <c r="AH2030" s="165"/>
      <c r="AI2030" s="165"/>
      <c r="AJ2030" s="165"/>
      <c r="AK2030" s="165"/>
      <c r="AL2030" s="165"/>
      <c r="AM2030" s="165"/>
      <c r="AN2030" s="165"/>
    </row>
    <row r="2031" spans="3:40">
      <c r="C2031" s="46"/>
      <c r="F2031" s="173"/>
      <c r="G2031" s="1"/>
      <c r="H2031" s="165"/>
      <c r="I2031" s="160"/>
      <c r="J2031" s="160"/>
      <c r="K2031" s="1"/>
      <c r="L2031" s="123"/>
      <c r="M2031" s="1"/>
      <c r="N2031" s="590"/>
      <c r="O2031" s="165"/>
      <c r="P2031" s="165"/>
      <c r="Q2031" s="165"/>
      <c r="R2031" s="165"/>
      <c r="S2031" s="165"/>
      <c r="V2031" s="46"/>
      <c r="W2031" s="46"/>
      <c r="X2031" s="1"/>
      <c r="Y2031" s="1"/>
      <c r="Z2031" s="173"/>
      <c r="AA2031" s="1"/>
      <c r="AB2031" s="165"/>
      <c r="AC2031" s="1"/>
      <c r="AD2031" s="1"/>
      <c r="AE2031" s="1"/>
      <c r="AF2031" s="46"/>
      <c r="AG2031" s="1"/>
      <c r="AH2031" s="165"/>
      <c r="AI2031" s="165"/>
      <c r="AJ2031" s="165"/>
      <c r="AK2031" s="165"/>
      <c r="AL2031" s="165"/>
      <c r="AM2031" s="165"/>
      <c r="AN2031" s="165"/>
    </row>
    <row r="2032" spans="3:40">
      <c r="C2032" s="46"/>
      <c r="F2032" s="173"/>
      <c r="G2032" s="1"/>
      <c r="H2032" s="165"/>
      <c r="I2032" s="160"/>
      <c r="J2032" s="160"/>
      <c r="K2032" s="1"/>
      <c r="L2032" s="123"/>
      <c r="M2032" s="1"/>
      <c r="N2032" s="590"/>
      <c r="O2032" s="165"/>
      <c r="P2032" s="165"/>
      <c r="Q2032" s="165"/>
      <c r="R2032" s="165"/>
      <c r="S2032" s="165"/>
      <c r="V2032" s="46"/>
      <c r="W2032" s="46"/>
      <c r="X2032" s="1"/>
      <c r="Y2032" s="1"/>
      <c r="Z2032" s="173"/>
      <c r="AA2032" s="1"/>
      <c r="AB2032" s="165"/>
      <c r="AC2032" s="1"/>
      <c r="AD2032" s="1"/>
      <c r="AE2032" s="1"/>
      <c r="AF2032" s="46"/>
      <c r="AG2032" s="1"/>
      <c r="AH2032" s="165"/>
      <c r="AI2032" s="165"/>
      <c r="AJ2032" s="165"/>
      <c r="AK2032" s="165"/>
      <c r="AL2032" s="165"/>
      <c r="AM2032" s="165"/>
      <c r="AN2032" s="165"/>
    </row>
    <row r="2033" spans="3:40">
      <c r="C2033" s="46"/>
      <c r="F2033" s="173"/>
      <c r="G2033" s="1"/>
      <c r="H2033" s="165"/>
      <c r="I2033" s="160"/>
      <c r="J2033" s="160"/>
      <c r="K2033" s="1"/>
      <c r="L2033" s="123"/>
      <c r="M2033" s="1"/>
      <c r="N2033" s="590"/>
      <c r="O2033" s="165"/>
      <c r="P2033" s="165"/>
      <c r="Q2033" s="165"/>
      <c r="R2033" s="165"/>
      <c r="S2033" s="165"/>
      <c r="V2033" s="46"/>
      <c r="W2033" s="46"/>
      <c r="X2033" s="1"/>
      <c r="Y2033" s="1"/>
      <c r="Z2033" s="173"/>
      <c r="AA2033" s="1"/>
      <c r="AB2033" s="165"/>
      <c r="AC2033" s="1"/>
      <c r="AD2033" s="1"/>
      <c r="AE2033" s="1"/>
      <c r="AF2033" s="46"/>
      <c r="AG2033" s="1"/>
      <c r="AH2033" s="165"/>
      <c r="AI2033" s="165"/>
      <c r="AJ2033" s="165"/>
      <c r="AK2033" s="165"/>
      <c r="AL2033" s="165"/>
      <c r="AM2033" s="165"/>
      <c r="AN2033" s="165"/>
    </row>
    <row r="2034" spans="3:40">
      <c r="C2034" s="46"/>
      <c r="F2034" s="173"/>
      <c r="G2034" s="1"/>
      <c r="H2034" s="165"/>
      <c r="I2034" s="160"/>
      <c r="J2034" s="160"/>
      <c r="K2034" s="1"/>
      <c r="L2034" s="123"/>
      <c r="M2034" s="1"/>
      <c r="N2034" s="590"/>
      <c r="O2034" s="165"/>
      <c r="P2034" s="165"/>
      <c r="Q2034" s="165"/>
      <c r="R2034" s="165"/>
      <c r="S2034" s="165"/>
      <c r="V2034" s="46"/>
      <c r="W2034" s="46"/>
      <c r="X2034" s="1"/>
      <c r="Y2034" s="1"/>
      <c r="Z2034" s="173"/>
      <c r="AA2034" s="1"/>
      <c r="AB2034" s="165"/>
      <c r="AC2034" s="1"/>
      <c r="AD2034" s="1"/>
      <c r="AE2034" s="1"/>
      <c r="AF2034" s="46"/>
      <c r="AG2034" s="1"/>
      <c r="AH2034" s="165"/>
      <c r="AI2034" s="165"/>
      <c r="AJ2034" s="165"/>
      <c r="AK2034" s="165"/>
      <c r="AL2034" s="165"/>
      <c r="AM2034" s="165"/>
      <c r="AN2034" s="165"/>
    </row>
    <row r="2035" spans="3:40">
      <c r="C2035" s="46"/>
      <c r="F2035" s="173"/>
      <c r="G2035" s="1"/>
      <c r="H2035" s="165"/>
      <c r="I2035" s="160"/>
      <c r="J2035" s="160"/>
      <c r="K2035" s="1"/>
      <c r="L2035" s="123"/>
      <c r="M2035" s="1"/>
      <c r="N2035" s="590"/>
      <c r="O2035" s="165"/>
      <c r="P2035" s="165"/>
      <c r="Q2035" s="165"/>
      <c r="R2035" s="165"/>
      <c r="S2035" s="165"/>
      <c r="V2035" s="46"/>
      <c r="W2035" s="46"/>
      <c r="X2035" s="1"/>
      <c r="Y2035" s="1"/>
      <c r="Z2035" s="173"/>
      <c r="AA2035" s="1"/>
      <c r="AB2035" s="165"/>
      <c r="AC2035" s="1"/>
      <c r="AD2035" s="1"/>
      <c r="AE2035" s="1"/>
      <c r="AF2035" s="46"/>
      <c r="AG2035" s="1"/>
      <c r="AH2035" s="165"/>
      <c r="AI2035" s="165"/>
      <c r="AJ2035" s="165"/>
      <c r="AK2035" s="165"/>
      <c r="AL2035" s="165"/>
      <c r="AM2035" s="165"/>
      <c r="AN2035" s="165"/>
    </row>
    <row r="2036" spans="3:40">
      <c r="C2036" s="46"/>
      <c r="F2036" s="173"/>
      <c r="G2036" s="1"/>
      <c r="H2036" s="165"/>
      <c r="I2036" s="160"/>
      <c r="J2036" s="160"/>
      <c r="K2036" s="1"/>
      <c r="L2036" s="123"/>
      <c r="M2036" s="1"/>
      <c r="N2036" s="590"/>
      <c r="O2036" s="165"/>
      <c r="P2036" s="165"/>
      <c r="Q2036" s="165"/>
      <c r="R2036" s="165"/>
      <c r="S2036" s="165"/>
      <c r="V2036" s="46"/>
      <c r="W2036" s="46"/>
      <c r="X2036" s="1"/>
      <c r="Y2036" s="1"/>
      <c r="Z2036" s="173"/>
      <c r="AA2036" s="1"/>
      <c r="AB2036" s="165"/>
      <c r="AC2036" s="1"/>
      <c r="AD2036" s="1"/>
      <c r="AE2036" s="1"/>
      <c r="AF2036" s="46"/>
      <c r="AG2036" s="1"/>
      <c r="AH2036" s="165"/>
      <c r="AI2036" s="165"/>
      <c r="AJ2036" s="165"/>
      <c r="AK2036" s="165"/>
      <c r="AL2036" s="165"/>
      <c r="AM2036" s="165"/>
      <c r="AN2036" s="165"/>
    </row>
    <row r="2037" spans="3:40">
      <c r="C2037" s="46"/>
      <c r="F2037" s="173"/>
      <c r="G2037" s="1"/>
      <c r="H2037" s="165"/>
      <c r="I2037" s="160"/>
      <c r="J2037" s="160"/>
      <c r="K2037" s="1"/>
      <c r="L2037" s="123"/>
      <c r="M2037" s="1"/>
      <c r="N2037" s="590"/>
      <c r="O2037" s="165"/>
      <c r="P2037" s="165"/>
      <c r="Q2037" s="165"/>
      <c r="R2037" s="165"/>
      <c r="S2037" s="165"/>
      <c r="V2037" s="46"/>
      <c r="W2037" s="46"/>
      <c r="X2037" s="1"/>
      <c r="Y2037" s="1"/>
      <c r="Z2037" s="173"/>
      <c r="AA2037" s="1"/>
      <c r="AB2037" s="165"/>
      <c r="AC2037" s="1"/>
      <c r="AD2037" s="1"/>
      <c r="AE2037" s="1"/>
      <c r="AF2037" s="46"/>
      <c r="AG2037" s="1"/>
      <c r="AH2037" s="165"/>
      <c r="AI2037" s="165"/>
      <c r="AJ2037" s="165"/>
      <c r="AK2037" s="165"/>
      <c r="AL2037" s="165"/>
      <c r="AM2037" s="165"/>
      <c r="AN2037" s="165"/>
    </row>
    <row r="2038" spans="3:40">
      <c r="C2038" s="46"/>
      <c r="F2038" s="173"/>
      <c r="G2038" s="1"/>
      <c r="H2038" s="165"/>
      <c r="I2038" s="160"/>
      <c r="J2038" s="160"/>
      <c r="K2038" s="1"/>
      <c r="L2038" s="123"/>
      <c r="M2038" s="1"/>
      <c r="N2038" s="590"/>
      <c r="O2038" s="165"/>
      <c r="P2038" s="165"/>
      <c r="Q2038" s="165"/>
      <c r="R2038" s="165"/>
      <c r="S2038" s="165"/>
      <c r="V2038" s="46"/>
      <c r="W2038" s="46"/>
      <c r="X2038" s="1"/>
      <c r="Y2038" s="1"/>
      <c r="Z2038" s="173"/>
      <c r="AA2038" s="1"/>
      <c r="AB2038" s="165"/>
      <c r="AC2038" s="1"/>
      <c r="AD2038" s="1"/>
      <c r="AE2038" s="1"/>
      <c r="AF2038" s="46"/>
      <c r="AG2038" s="1"/>
      <c r="AH2038" s="165"/>
      <c r="AI2038" s="165"/>
      <c r="AJ2038" s="165"/>
      <c r="AK2038" s="165"/>
      <c r="AL2038" s="165"/>
      <c r="AM2038" s="165"/>
      <c r="AN2038" s="165"/>
    </row>
    <row r="2039" spans="3:40">
      <c r="C2039" s="46"/>
      <c r="F2039" s="173"/>
      <c r="G2039" s="1"/>
      <c r="H2039" s="165"/>
      <c r="I2039" s="160"/>
      <c r="J2039" s="160"/>
      <c r="K2039" s="1"/>
      <c r="L2039" s="123"/>
      <c r="M2039" s="1"/>
      <c r="N2039" s="590"/>
      <c r="O2039" s="165"/>
      <c r="P2039" s="165"/>
      <c r="Q2039" s="165"/>
      <c r="R2039" s="165"/>
      <c r="S2039" s="165"/>
      <c r="V2039" s="46"/>
      <c r="W2039" s="46"/>
      <c r="X2039" s="1"/>
      <c r="Y2039" s="1"/>
      <c r="Z2039" s="173"/>
      <c r="AA2039" s="1"/>
      <c r="AB2039" s="165"/>
      <c r="AC2039" s="1"/>
      <c r="AD2039" s="1"/>
      <c r="AE2039" s="1"/>
      <c r="AF2039" s="46"/>
      <c r="AG2039" s="1"/>
      <c r="AH2039" s="165"/>
      <c r="AI2039" s="165"/>
      <c r="AJ2039" s="165"/>
      <c r="AK2039" s="165"/>
      <c r="AL2039" s="165"/>
      <c r="AM2039" s="165"/>
      <c r="AN2039" s="165"/>
    </row>
    <row r="2040" spans="3:40">
      <c r="C2040" s="46"/>
      <c r="F2040" s="173"/>
      <c r="G2040" s="1"/>
      <c r="H2040" s="165"/>
      <c r="I2040" s="160"/>
      <c r="J2040" s="160"/>
      <c r="K2040" s="1"/>
      <c r="L2040" s="123"/>
      <c r="M2040" s="1"/>
      <c r="N2040" s="590"/>
      <c r="O2040" s="165"/>
      <c r="P2040" s="165"/>
      <c r="Q2040" s="165"/>
      <c r="R2040" s="165"/>
      <c r="S2040" s="165"/>
      <c r="V2040" s="46"/>
      <c r="W2040" s="46"/>
      <c r="X2040" s="1"/>
      <c r="Y2040" s="1"/>
      <c r="Z2040" s="173"/>
      <c r="AA2040" s="1"/>
      <c r="AB2040" s="165"/>
      <c r="AC2040" s="1"/>
      <c r="AD2040" s="1"/>
      <c r="AE2040" s="1"/>
      <c r="AF2040" s="46"/>
      <c r="AG2040" s="1"/>
      <c r="AH2040" s="165"/>
      <c r="AI2040" s="165"/>
      <c r="AJ2040" s="165"/>
      <c r="AK2040" s="165"/>
      <c r="AL2040" s="165"/>
      <c r="AM2040" s="165"/>
      <c r="AN2040" s="165"/>
    </row>
    <row r="2041" spans="3:40">
      <c r="C2041" s="46"/>
      <c r="F2041" s="173"/>
      <c r="G2041" s="1"/>
      <c r="H2041" s="165"/>
      <c r="I2041" s="160"/>
      <c r="J2041" s="160"/>
      <c r="K2041" s="1"/>
      <c r="L2041" s="123"/>
      <c r="M2041" s="1"/>
      <c r="N2041" s="590"/>
      <c r="O2041" s="165"/>
      <c r="P2041" s="165"/>
      <c r="Q2041" s="165"/>
      <c r="R2041" s="165"/>
      <c r="S2041" s="165"/>
      <c r="V2041" s="46"/>
      <c r="W2041" s="46"/>
      <c r="X2041" s="1"/>
      <c r="Y2041" s="1"/>
      <c r="Z2041" s="173"/>
      <c r="AA2041" s="1"/>
      <c r="AB2041" s="165"/>
      <c r="AC2041" s="1"/>
      <c r="AD2041" s="1"/>
      <c r="AE2041" s="1"/>
      <c r="AF2041" s="46"/>
      <c r="AG2041" s="1"/>
      <c r="AH2041" s="165"/>
      <c r="AI2041" s="165"/>
      <c r="AJ2041" s="165"/>
      <c r="AK2041" s="165"/>
      <c r="AL2041" s="165"/>
      <c r="AM2041" s="165"/>
      <c r="AN2041" s="165"/>
    </row>
    <row r="2042" spans="3:40">
      <c r="C2042" s="46"/>
      <c r="F2042" s="173"/>
      <c r="G2042" s="1"/>
      <c r="H2042" s="165"/>
      <c r="I2042" s="160"/>
      <c r="J2042" s="160"/>
      <c r="K2042" s="1"/>
      <c r="L2042" s="123"/>
      <c r="M2042" s="1"/>
      <c r="N2042" s="590"/>
      <c r="O2042" s="165"/>
      <c r="P2042" s="165"/>
      <c r="Q2042" s="165"/>
      <c r="R2042" s="165"/>
      <c r="S2042" s="165"/>
      <c r="V2042" s="46"/>
      <c r="W2042" s="46"/>
      <c r="X2042" s="1"/>
      <c r="Y2042" s="1"/>
      <c r="Z2042" s="173"/>
      <c r="AA2042" s="1"/>
      <c r="AB2042" s="165"/>
      <c r="AC2042" s="1"/>
      <c r="AD2042" s="1"/>
      <c r="AE2042" s="1"/>
      <c r="AF2042" s="46"/>
      <c r="AG2042" s="1"/>
      <c r="AH2042" s="165"/>
      <c r="AI2042" s="165"/>
      <c r="AJ2042" s="165"/>
      <c r="AK2042" s="165"/>
      <c r="AL2042" s="165"/>
      <c r="AM2042" s="165"/>
      <c r="AN2042" s="165"/>
    </row>
    <row r="2043" spans="3:40">
      <c r="C2043" s="46"/>
      <c r="F2043" s="173"/>
      <c r="G2043" s="1"/>
      <c r="H2043" s="165"/>
      <c r="I2043" s="160"/>
      <c r="J2043" s="160"/>
      <c r="K2043" s="1"/>
      <c r="L2043" s="123"/>
      <c r="M2043" s="1"/>
      <c r="N2043" s="590"/>
      <c r="O2043" s="165"/>
      <c r="P2043" s="165"/>
      <c r="Q2043" s="165"/>
      <c r="R2043" s="165"/>
      <c r="S2043" s="165"/>
      <c r="V2043" s="46"/>
      <c r="W2043" s="46"/>
      <c r="X2043" s="1"/>
      <c r="Y2043" s="1"/>
      <c r="Z2043" s="173"/>
      <c r="AA2043" s="1"/>
      <c r="AB2043" s="165"/>
      <c r="AC2043" s="1"/>
      <c r="AD2043" s="1"/>
      <c r="AE2043" s="1"/>
      <c r="AF2043" s="46"/>
      <c r="AG2043" s="1"/>
      <c r="AH2043" s="165"/>
      <c r="AI2043" s="165"/>
      <c r="AJ2043" s="165"/>
      <c r="AK2043" s="165"/>
      <c r="AL2043" s="165"/>
      <c r="AM2043" s="165"/>
      <c r="AN2043" s="165"/>
    </row>
    <row r="2044" spans="3:40">
      <c r="C2044" s="46"/>
      <c r="F2044" s="173"/>
      <c r="G2044" s="1"/>
      <c r="H2044" s="165"/>
      <c r="I2044" s="160"/>
      <c r="J2044" s="160"/>
      <c r="K2044" s="1"/>
      <c r="L2044" s="123"/>
      <c r="M2044" s="1"/>
      <c r="N2044" s="590"/>
      <c r="O2044" s="165"/>
      <c r="P2044" s="165"/>
      <c r="Q2044" s="165"/>
      <c r="R2044" s="165"/>
      <c r="S2044" s="165"/>
      <c r="V2044" s="46"/>
      <c r="W2044" s="46"/>
      <c r="X2044" s="1"/>
      <c r="Y2044" s="1"/>
      <c r="Z2044" s="173"/>
      <c r="AA2044" s="1"/>
      <c r="AB2044" s="165"/>
      <c r="AC2044" s="1"/>
      <c r="AD2044" s="1"/>
      <c r="AE2044" s="1"/>
      <c r="AF2044" s="46"/>
      <c r="AG2044" s="1"/>
      <c r="AH2044" s="165"/>
      <c r="AI2044" s="165"/>
      <c r="AJ2044" s="165"/>
      <c r="AK2044" s="165"/>
      <c r="AL2044" s="165"/>
      <c r="AM2044" s="165"/>
      <c r="AN2044" s="165"/>
    </row>
    <row r="2045" spans="3:40">
      <c r="C2045" s="46"/>
      <c r="F2045" s="173"/>
      <c r="G2045" s="1"/>
      <c r="H2045" s="165"/>
      <c r="I2045" s="160"/>
      <c r="J2045" s="160"/>
      <c r="K2045" s="1"/>
      <c r="L2045" s="123"/>
      <c r="M2045" s="1"/>
      <c r="N2045" s="590"/>
      <c r="O2045" s="165"/>
      <c r="P2045" s="165"/>
      <c r="Q2045" s="165"/>
      <c r="R2045" s="165"/>
      <c r="S2045" s="165"/>
      <c r="V2045" s="46"/>
      <c r="W2045" s="46"/>
      <c r="X2045" s="1"/>
      <c r="Y2045" s="1"/>
      <c r="Z2045" s="173"/>
      <c r="AA2045" s="1"/>
      <c r="AB2045" s="165"/>
      <c r="AC2045" s="1"/>
      <c r="AD2045" s="1"/>
      <c r="AE2045" s="1"/>
      <c r="AF2045" s="46"/>
      <c r="AG2045" s="1"/>
      <c r="AH2045" s="165"/>
      <c r="AI2045" s="165"/>
      <c r="AJ2045" s="165"/>
      <c r="AK2045" s="165"/>
      <c r="AL2045" s="165"/>
      <c r="AM2045" s="165"/>
      <c r="AN2045" s="165"/>
    </row>
    <row r="2046" spans="3:40">
      <c r="C2046" s="46"/>
      <c r="F2046" s="173"/>
      <c r="G2046" s="1"/>
      <c r="H2046" s="165"/>
      <c r="I2046" s="160"/>
      <c r="J2046" s="160"/>
      <c r="K2046" s="1"/>
      <c r="L2046" s="123"/>
      <c r="M2046" s="1"/>
      <c r="N2046" s="590"/>
      <c r="O2046" s="165"/>
      <c r="P2046" s="165"/>
      <c r="Q2046" s="165"/>
      <c r="R2046" s="165"/>
      <c r="S2046" s="165"/>
      <c r="V2046" s="46"/>
      <c r="W2046" s="46"/>
      <c r="X2046" s="1"/>
      <c r="Y2046" s="1"/>
      <c r="Z2046" s="173"/>
      <c r="AA2046" s="1"/>
      <c r="AB2046" s="165"/>
      <c r="AC2046" s="1"/>
      <c r="AD2046" s="1"/>
      <c r="AE2046" s="1"/>
      <c r="AF2046" s="46"/>
      <c r="AG2046" s="1"/>
      <c r="AH2046" s="165"/>
      <c r="AI2046" s="165"/>
      <c r="AJ2046" s="165"/>
      <c r="AK2046" s="165"/>
      <c r="AL2046" s="165"/>
      <c r="AM2046" s="165"/>
      <c r="AN2046" s="165"/>
    </row>
    <row r="2047" spans="3:40">
      <c r="C2047" s="46"/>
      <c r="F2047" s="173"/>
      <c r="G2047" s="1"/>
      <c r="H2047" s="165"/>
      <c r="I2047" s="160"/>
      <c r="J2047" s="160"/>
      <c r="K2047" s="1"/>
      <c r="L2047" s="123"/>
      <c r="M2047" s="1"/>
      <c r="N2047" s="590"/>
      <c r="O2047" s="165"/>
      <c r="P2047" s="165"/>
      <c r="Q2047" s="165"/>
      <c r="R2047" s="165"/>
      <c r="S2047" s="165"/>
      <c r="V2047" s="46"/>
      <c r="W2047" s="46"/>
      <c r="X2047" s="1"/>
      <c r="Y2047" s="1"/>
      <c r="Z2047" s="173"/>
      <c r="AA2047" s="1"/>
      <c r="AB2047" s="165"/>
      <c r="AC2047" s="1"/>
      <c r="AD2047" s="1"/>
      <c r="AE2047" s="1"/>
      <c r="AF2047" s="46"/>
      <c r="AG2047" s="1"/>
      <c r="AH2047" s="165"/>
      <c r="AI2047" s="165"/>
      <c r="AJ2047" s="165"/>
      <c r="AK2047" s="165"/>
      <c r="AL2047" s="165"/>
      <c r="AM2047" s="165"/>
      <c r="AN2047" s="165"/>
    </row>
    <row r="2048" spans="3:40">
      <c r="C2048" s="46"/>
      <c r="F2048" s="173"/>
      <c r="G2048" s="1"/>
      <c r="H2048" s="165"/>
      <c r="I2048" s="160"/>
      <c r="J2048" s="160"/>
      <c r="K2048" s="1"/>
      <c r="L2048" s="123"/>
      <c r="M2048" s="1"/>
      <c r="N2048" s="590"/>
      <c r="O2048" s="165"/>
      <c r="P2048" s="165"/>
      <c r="Q2048" s="165"/>
      <c r="R2048" s="165"/>
      <c r="S2048" s="165"/>
      <c r="V2048" s="46"/>
      <c r="W2048" s="46"/>
      <c r="X2048" s="1"/>
      <c r="Y2048" s="1"/>
      <c r="Z2048" s="173"/>
      <c r="AA2048" s="1"/>
      <c r="AB2048" s="165"/>
      <c r="AC2048" s="1"/>
      <c r="AD2048" s="1"/>
      <c r="AE2048" s="1"/>
      <c r="AF2048" s="46"/>
      <c r="AG2048" s="1"/>
      <c r="AH2048" s="165"/>
      <c r="AI2048" s="165"/>
      <c r="AJ2048" s="165"/>
      <c r="AK2048" s="165"/>
      <c r="AL2048" s="165"/>
      <c r="AM2048" s="165"/>
      <c r="AN2048" s="165"/>
    </row>
    <row r="2049" spans="3:40">
      <c r="C2049" s="46"/>
      <c r="F2049" s="173"/>
      <c r="G2049" s="1"/>
      <c r="H2049" s="165"/>
      <c r="I2049" s="160"/>
      <c r="J2049" s="160"/>
      <c r="K2049" s="1"/>
      <c r="L2049" s="123"/>
      <c r="M2049" s="1"/>
      <c r="N2049" s="590"/>
      <c r="O2049" s="165"/>
      <c r="P2049" s="165"/>
      <c r="Q2049" s="165"/>
      <c r="R2049" s="165"/>
      <c r="S2049" s="165"/>
      <c r="V2049" s="46"/>
      <c r="W2049" s="46"/>
      <c r="X2049" s="1"/>
      <c r="Y2049" s="1"/>
      <c r="Z2049" s="173"/>
      <c r="AA2049" s="1"/>
      <c r="AB2049" s="165"/>
      <c r="AC2049" s="1"/>
      <c r="AD2049" s="1"/>
      <c r="AE2049" s="1"/>
      <c r="AF2049" s="46"/>
      <c r="AG2049" s="1"/>
      <c r="AH2049" s="165"/>
      <c r="AI2049" s="165"/>
      <c r="AJ2049" s="165"/>
      <c r="AK2049" s="165"/>
      <c r="AL2049" s="165"/>
      <c r="AM2049" s="165"/>
      <c r="AN2049" s="165"/>
    </row>
    <row r="2050" spans="3:40">
      <c r="C2050" s="46"/>
      <c r="F2050" s="173"/>
      <c r="G2050" s="1"/>
      <c r="H2050" s="165"/>
      <c r="I2050" s="160"/>
      <c r="J2050" s="160"/>
      <c r="K2050" s="1"/>
      <c r="L2050" s="123"/>
      <c r="M2050" s="1"/>
      <c r="N2050" s="590"/>
      <c r="O2050" s="165"/>
      <c r="P2050" s="165"/>
      <c r="Q2050" s="165"/>
      <c r="R2050" s="165"/>
      <c r="S2050" s="165"/>
      <c r="V2050" s="46"/>
      <c r="W2050" s="46"/>
      <c r="X2050" s="1"/>
      <c r="Y2050" s="1"/>
      <c r="Z2050" s="173"/>
      <c r="AA2050" s="1"/>
      <c r="AB2050" s="165"/>
      <c r="AC2050" s="1"/>
      <c r="AD2050" s="1"/>
      <c r="AE2050" s="1"/>
      <c r="AF2050" s="46"/>
      <c r="AG2050" s="1"/>
      <c r="AH2050" s="165"/>
      <c r="AI2050" s="165"/>
      <c r="AJ2050" s="165"/>
      <c r="AK2050" s="165"/>
      <c r="AL2050" s="165"/>
      <c r="AM2050" s="165"/>
      <c r="AN2050" s="165"/>
    </row>
    <row r="2051" spans="3:40">
      <c r="C2051" s="46"/>
      <c r="F2051" s="173"/>
      <c r="G2051" s="1"/>
      <c r="H2051" s="165"/>
      <c r="I2051" s="160"/>
      <c r="J2051" s="160"/>
      <c r="K2051" s="1"/>
      <c r="L2051" s="123"/>
      <c r="M2051" s="1"/>
      <c r="N2051" s="590"/>
      <c r="O2051" s="165"/>
      <c r="P2051" s="165"/>
      <c r="Q2051" s="165"/>
      <c r="R2051" s="165"/>
      <c r="S2051" s="165"/>
      <c r="V2051" s="46"/>
      <c r="W2051" s="46"/>
      <c r="X2051" s="1"/>
      <c r="Y2051" s="1"/>
      <c r="Z2051" s="173"/>
      <c r="AA2051" s="1"/>
      <c r="AB2051" s="165"/>
      <c r="AC2051" s="1"/>
      <c r="AD2051" s="1"/>
      <c r="AE2051" s="1"/>
      <c r="AF2051" s="46"/>
      <c r="AG2051" s="1"/>
      <c r="AH2051" s="165"/>
      <c r="AI2051" s="165"/>
      <c r="AJ2051" s="165"/>
      <c r="AK2051" s="165"/>
      <c r="AL2051" s="165"/>
      <c r="AM2051" s="165"/>
      <c r="AN2051" s="165"/>
    </row>
    <row r="2052" spans="3:40">
      <c r="C2052" s="46"/>
      <c r="F2052" s="173"/>
      <c r="G2052" s="1"/>
      <c r="H2052" s="165"/>
      <c r="I2052" s="160"/>
      <c r="J2052" s="160"/>
      <c r="K2052" s="1"/>
      <c r="L2052" s="123"/>
      <c r="M2052" s="1"/>
      <c r="N2052" s="590"/>
      <c r="O2052" s="165"/>
      <c r="P2052" s="165"/>
      <c r="Q2052" s="165"/>
      <c r="R2052" s="165"/>
      <c r="S2052" s="165"/>
      <c r="V2052" s="46"/>
      <c r="W2052" s="46"/>
      <c r="X2052" s="1"/>
      <c r="Y2052" s="1"/>
      <c r="Z2052" s="173"/>
      <c r="AA2052" s="1"/>
      <c r="AB2052" s="165"/>
      <c r="AC2052" s="1"/>
      <c r="AD2052" s="1"/>
      <c r="AE2052" s="1"/>
      <c r="AF2052" s="46"/>
      <c r="AG2052" s="1"/>
      <c r="AH2052" s="165"/>
      <c r="AI2052" s="165"/>
      <c r="AJ2052" s="165"/>
      <c r="AK2052" s="165"/>
      <c r="AL2052" s="165"/>
      <c r="AM2052" s="165"/>
      <c r="AN2052" s="165"/>
    </row>
    <row r="2053" spans="3:40">
      <c r="C2053" s="46"/>
      <c r="F2053" s="173"/>
      <c r="G2053" s="1"/>
      <c r="H2053" s="165"/>
      <c r="I2053" s="160"/>
      <c r="J2053" s="160"/>
      <c r="K2053" s="1"/>
      <c r="L2053" s="123"/>
      <c r="M2053" s="1"/>
      <c r="N2053" s="590"/>
      <c r="O2053" s="165"/>
      <c r="P2053" s="165"/>
      <c r="Q2053" s="165"/>
      <c r="R2053" s="165"/>
      <c r="S2053" s="165"/>
      <c r="V2053" s="46"/>
      <c r="W2053" s="46"/>
      <c r="X2053" s="1"/>
      <c r="Y2053" s="1"/>
      <c r="Z2053" s="173"/>
      <c r="AA2053" s="1"/>
      <c r="AB2053" s="165"/>
      <c r="AC2053" s="1"/>
      <c r="AD2053" s="1"/>
      <c r="AE2053" s="1"/>
      <c r="AF2053" s="46"/>
      <c r="AG2053" s="1"/>
      <c r="AH2053" s="165"/>
      <c r="AI2053" s="165"/>
      <c r="AJ2053" s="165"/>
      <c r="AK2053" s="165"/>
      <c r="AL2053" s="165"/>
      <c r="AM2053" s="165"/>
      <c r="AN2053" s="165"/>
    </row>
    <row r="2054" spans="3:40">
      <c r="C2054" s="46"/>
      <c r="F2054" s="173"/>
      <c r="G2054" s="1"/>
      <c r="H2054" s="165"/>
      <c r="I2054" s="160"/>
      <c r="J2054" s="160"/>
      <c r="K2054" s="1"/>
      <c r="L2054" s="123"/>
      <c r="M2054" s="1"/>
      <c r="N2054" s="590"/>
      <c r="O2054" s="165"/>
      <c r="P2054" s="165"/>
      <c r="Q2054" s="165"/>
      <c r="R2054" s="165"/>
      <c r="S2054" s="165"/>
      <c r="V2054" s="46"/>
      <c r="W2054" s="46"/>
      <c r="X2054" s="1"/>
      <c r="Y2054" s="1"/>
      <c r="Z2054" s="173"/>
      <c r="AA2054" s="1"/>
      <c r="AB2054" s="165"/>
      <c r="AC2054" s="1"/>
      <c r="AD2054" s="1"/>
      <c r="AE2054" s="1"/>
      <c r="AF2054" s="46"/>
      <c r="AG2054" s="1"/>
      <c r="AH2054" s="165"/>
      <c r="AI2054" s="165"/>
      <c r="AJ2054" s="165"/>
      <c r="AK2054" s="165"/>
      <c r="AL2054" s="165"/>
      <c r="AM2054" s="165"/>
      <c r="AN2054" s="165"/>
    </row>
    <row r="2055" spans="3:40">
      <c r="C2055" s="46"/>
      <c r="F2055" s="173"/>
      <c r="G2055" s="1"/>
      <c r="H2055" s="165"/>
      <c r="I2055" s="160"/>
      <c r="J2055" s="160"/>
      <c r="K2055" s="1"/>
      <c r="L2055" s="123"/>
      <c r="M2055" s="1"/>
      <c r="N2055" s="590"/>
      <c r="O2055" s="165"/>
      <c r="P2055" s="165"/>
      <c r="Q2055" s="165"/>
      <c r="R2055" s="165"/>
      <c r="S2055" s="165"/>
      <c r="V2055" s="46"/>
      <c r="W2055" s="46"/>
      <c r="X2055" s="1"/>
      <c r="Y2055" s="1"/>
      <c r="Z2055" s="173"/>
      <c r="AA2055" s="1"/>
      <c r="AB2055" s="165"/>
      <c r="AC2055" s="1"/>
      <c r="AD2055" s="1"/>
      <c r="AE2055" s="1"/>
      <c r="AF2055" s="46"/>
      <c r="AG2055" s="1"/>
      <c r="AH2055" s="165"/>
      <c r="AI2055" s="165"/>
      <c r="AJ2055" s="165"/>
      <c r="AK2055" s="165"/>
      <c r="AL2055" s="165"/>
      <c r="AM2055" s="165"/>
      <c r="AN2055" s="165"/>
    </row>
    <row r="2056" spans="3:40">
      <c r="C2056" s="46"/>
      <c r="F2056" s="173"/>
      <c r="G2056" s="1"/>
      <c r="H2056" s="165"/>
      <c r="I2056" s="160"/>
      <c r="J2056" s="160"/>
      <c r="K2056" s="1"/>
      <c r="L2056" s="123"/>
      <c r="M2056" s="1"/>
      <c r="N2056" s="590"/>
      <c r="O2056" s="165"/>
      <c r="P2056" s="165"/>
      <c r="Q2056" s="165"/>
      <c r="R2056" s="165"/>
      <c r="S2056" s="165"/>
      <c r="V2056" s="46"/>
      <c r="W2056" s="46"/>
      <c r="X2056" s="1"/>
      <c r="Y2056" s="1"/>
      <c r="Z2056" s="173"/>
      <c r="AA2056" s="1"/>
      <c r="AB2056" s="165"/>
      <c r="AC2056" s="1"/>
      <c r="AD2056" s="1"/>
      <c r="AE2056" s="1"/>
      <c r="AF2056" s="46"/>
      <c r="AG2056" s="1"/>
      <c r="AH2056" s="165"/>
      <c r="AI2056" s="165"/>
      <c r="AJ2056" s="165"/>
      <c r="AK2056" s="165"/>
      <c r="AL2056" s="165"/>
      <c r="AM2056" s="165"/>
      <c r="AN2056" s="165"/>
    </row>
    <row r="2057" spans="3:40">
      <c r="C2057" s="46"/>
      <c r="F2057" s="173"/>
      <c r="G2057" s="1"/>
      <c r="H2057" s="165"/>
      <c r="I2057" s="160"/>
      <c r="J2057" s="160"/>
      <c r="K2057" s="1"/>
      <c r="L2057" s="123"/>
      <c r="M2057" s="1"/>
      <c r="N2057" s="590"/>
      <c r="O2057" s="165"/>
      <c r="P2057" s="165"/>
      <c r="Q2057" s="165"/>
      <c r="R2057" s="165"/>
      <c r="S2057" s="165"/>
      <c r="V2057" s="46"/>
      <c r="W2057" s="46"/>
      <c r="X2057" s="1"/>
      <c r="Y2057" s="1"/>
      <c r="Z2057" s="173"/>
      <c r="AA2057" s="1"/>
      <c r="AB2057" s="165"/>
      <c r="AC2057" s="1"/>
      <c r="AD2057" s="1"/>
      <c r="AE2057" s="1"/>
      <c r="AF2057" s="46"/>
      <c r="AG2057" s="1"/>
      <c r="AH2057" s="165"/>
      <c r="AI2057" s="165"/>
      <c r="AJ2057" s="165"/>
      <c r="AK2057" s="165"/>
      <c r="AL2057" s="165"/>
      <c r="AM2057" s="165"/>
      <c r="AN2057" s="165"/>
    </row>
    <row r="2058" spans="3:40">
      <c r="C2058" s="46"/>
      <c r="F2058" s="173"/>
      <c r="G2058" s="1"/>
      <c r="H2058" s="165"/>
      <c r="I2058" s="160"/>
      <c r="J2058" s="160"/>
      <c r="K2058" s="1"/>
      <c r="L2058" s="123"/>
      <c r="M2058" s="1"/>
      <c r="N2058" s="590"/>
      <c r="O2058" s="165"/>
      <c r="P2058" s="165"/>
      <c r="Q2058" s="165"/>
      <c r="R2058" s="165"/>
      <c r="S2058" s="165"/>
      <c r="V2058" s="46"/>
      <c r="W2058" s="46"/>
      <c r="X2058" s="1"/>
      <c r="Y2058" s="1"/>
      <c r="Z2058" s="173"/>
      <c r="AA2058" s="1"/>
      <c r="AB2058" s="165"/>
      <c r="AC2058" s="1"/>
      <c r="AD2058" s="1"/>
      <c r="AE2058" s="1"/>
      <c r="AF2058" s="46"/>
      <c r="AG2058" s="1"/>
      <c r="AH2058" s="165"/>
      <c r="AI2058" s="165"/>
      <c r="AJ2058" s="165"/>
      <c r="AK2058" s="165"/>
      <c r="AL2058" s="165"/>
      <c r="AM2058" s="165"/>
      <c r="AN2058" s="165"/>
    </row>
    <row r="2059" spans="3:40">
      <c r="C2059" s="46"/>
      <c r="F2059" s="173"/>
      <c r="G2059" s="1"/>
      <c r="H2059" s="165"/>
      <c r="I2059" s="160"/>
      <c r="J2059" s="160"/>
      <c r="K2059" s="1"/>
      <c r="L2059" s="123"/>
      <c r="M2059" s="1"/>
      <c r="N2059" s="590"/>
      <c r="O2059" s="165"/>
      <c r="P2059" s="165"/>
      <c r="Q2059" s="165"/>
      <c r="R2059" s="165"/>
      <c r="S2059" s="165"/>
      <c r="V2059" s="46"/>
      <c r="W2059" s="46"/>
      <c r="X2059" s="1"/>
      <c r="Y2059" s="1"/>
      <c r="Z2059" s="173"/>
      <c r="AA2059" s="1"/>
      <c r="AB2059" s="165"/>
      <c r="AC2059" s="1"/>
      <c r="AD2059" s="1"/>
      <c r="AE2059" s="1"/>
      <c r="AF2059" s="46"/>
      <c r="AG2059" s="1"/>
      <c r="AH2059" s="165"/>
      <c r="AI2059" s="165"/>
      <c r="AJ2059" s="165"/>
      <c r="AK2059" s="165"/>
      <c r="AL2059" s="165"/>
      <c r="AM2059" s="165"/>
      <c r="AN2059" s="165"/>
    </row>
    <row r="2060" spans="3:40">
      <c r="C2060" s="46"/>
      <c r="F2060" s="173"/>
      <c r="G2060" s="1"/>
      <c r="H2060" s="165"/>
      <c r="I2060" s="160"/>
      <c r="J2060" s="160"/>
      <c r="K2060" s="1"/>
      <c r="L2060" s="123"/>
      <c r="M2060" s="1"/>
      <c r="N2060" s="590"/>
      <c r="O2060" s="165"/>
      <c r="P2060" s="165"/>
      <c r="Q2060" s="165"/>
      <c r="R2060" s="165"/>
      <c r="S2060" s="165"/>
      <c r="V2060" s="46"/>
      <c r="W2060" s="46"/>
      <c r="X2060" s="1"/>
      <c r="Y2060" s="1"/>
      <c r="Z2060" s="173"/>
      <c r="AA2060" s="1"/>
      <c r="AB2060" s="165"/>
      <c r="AC2060" s="1"/>
      <c r="AD2060" s="1"/>
      <c r="AE2060" s="1"/>
      <c r="AF2060" s="46"/>
      <c r="AG2060" s="1"/>
      <c r="AH2060" s="165"/>
      <c r="AI2060" s="165"/>
      <c r="AJ2060" s="165"/>
      <c r="AK2060" s="165"/>
      <c r="AL2060" s="165"/>
      <c r="AM2060" s="165"/>
      <c r="AN2060" s="165"/>
    </row>
    <row r="2061" spans="3:40">
      <c r="C2061" s="46"/>
      <c r="F2061" s="173"/>
      <c r="G2061" s="1"/>
      <c r="H2061" s="165"/>
      <c r="I2061" s="160"/>
      <c r="J2061" s="160"/>
      <c r="K2061" s="1"/>
      <c r="L2061" s="123"/>
      <c r="M2061" s="1"/>
      <c r="N2061" s="590"/>
      <c r="O2061" s="165"/>
      <c r="P2061" s="165"/>
      <c r="Q2061" s="165"/>
      <c r="R2061" s="165"/>
      <c r="S2061" s="165"/>
      <c r="V2061" s="46"/>
      <c r="W2061" s="46"/>
      <c r="X2061" s="1"/>
      <c r="Y2061" s="1"/>
      <c r="Z2061" s="173"/>
      <c r="AA2061" s="1"/>
      <c r="AB2061" s="165"/>
      <c r="AC2061" s="1"/>
      <c r="AD2061" s="1"/>
      <c r="AE2061" s="1"/>
      <c r="AF2061" s="46"/>
      <c r="AG2061" s="1"/>
      <c r="AH2061" s="165"/>
      <c r="AI2061" s="165"/>
      <c r="AJ2061" s="165"/>
      <c r="AK2061" s="165"/>
      <c r="AL2061" s="165"/>
      <c r="AM2061" s="165"/>
      <c r="AN2061" s="165"/>
    </row>
    <row r="2062" spans="3:40">
      <c r="C2062" s="46"/>
      <c r="F2062" s="173"/>
      <c r="G2062" s="1"/>
      <c r="H2062" s="165"/>
      <c r="I2062" s="160"/>
      <c r="J2062" s="160"/>
      <c r="K2062" s="1"/>
      <c r="L2062" s="123"/>
      <c r="M2062" s="1"/>
      <c r="N2062" s="590"/>
      <c r="O2062" s="165"/>
      <c r="P2062" s="165"/>
      <c r="Q2062" s="165"/>
      <c r="R2062" s="165"/>
      <c r="S2062" s="165"/>
      <c r="V2062" s="46"/>
      <c r="W2062" s="46"/>
      <c r="X2062" s="1"/>
      <c r="Y2062" s="1"/>
      <c r="Z2062" s="173"/>
      <c r="AA2062" s="1"/>
      <c r="AB2062" s="165"/>
      <c r="AC2062" s="1"/>
      <c r="AD2062" s="1"/>
      <c r="AE2062" s="1"/>
      <c r="AF2062" s="46"/>
      <c r="AG2062" s="1"/>
      <c r="AH2062" s="165"/>
      <c r="AI2062" s="165"/>
      <c r="AJ2062" s="165"/>
      <c r="AK2062" s="165"/>
      <c r="AL2062" s="165"/>
      <c r="AM2062" s="165"/>
      <c r="AN2062" s="165"/>
    </row>
    <row r="2063" spans="3:40">
      <c r="C2063" s="46"/>
      <c r="F2063" s="173"/>
      <c r="G2063" s="1"/>
      <c r="H2063" s="165"/>
      <c r="I2063" s="160"/>
      <c r="J2063" s="160"/>
      <c r="K2063" s="1"/>
      <c r="L2063" s="123"/>
      <c r="M2063" s="1"/>
      <c r="N2063" s="590"/>
      <c r="O2063" s="165"/>
      <c r="P2063" s="165"/>
      <c r="Q2063" s="165"/>
      <c r="R2063" s="165"/>
      <c r="S2063" s="165"/>
      <c r="V2063" s="46"/>
      <c r="W2063" s="46"/>
      <c r="X2063" s="1"/>
      <c r="Y2063" s="1"/>
      <c r="Z2063" s="173"/>
      <c r="AA2063" s="1"/>
      <c r="AB2063" s="165"/>
      <c r="AC2063" s="1"/>
      <c r="AD2063" s="1"/>
      <c r="AE2063" s="1"/>
      <c r="AF2063" s="46"/>
      <c r="AG2063" s="1"/>
      <c r="AH2063" s="165"/>
      <c r="AI2063" s="165"/>
      <c r="AJ2063" s="165"/>
      <c r="AK2063" s="165"/>
      <c r="AL2063" s="165"/>
      <c r="AM2063" s="165"/>
      <c r="AN2063" s="165"/>
    </row>
    <row r="2064" spans="3:40">
      <c r="C2064" s="46"/>
      <c r="F2064" s="173"/>
      <c r="G2064" s="1"/>
      <c r="H2064" s="165"/>
      <c r="I2064" s="160"/>
      <c r="J2064" s="160"/>
      <c r="K2064" s="1"/>
      <c r="L2064" s="123"/>
      <c r="M2064" s="1"/>
      <c r="N2064" s="590"/>
      <c r="O2064" s="165"/>
      <c r="P2064" s="165"/>
      <c r="Q2064" s="165"/>
      <c r="R2064" s="165"/>
      <c r="S2064" s="165"/>
      <c r="V2064" s="46"/>
      <c r="W2064" s="46"/>
      <c r="X2064" s="1"/>
      <c r="Y2064" s="1"/>
      <c r="Z2064" s="173"/>
      <c r="AA2064" s="1"/>
      <c r="AB2064" s="165"/>
      <c r="AC2064" s="1"/>
      <c r="AD2064" s="1"/>
      <c r="AE2064" s="1"/>
      <c r="AF2064" s="46"/>
      <c r="AG2064" s="1"/>
      <c r="AH2064" s="165"/>
      <c r="AI2064" s="165"/>
      <c r="AJ2064" s="165"/>
      <c r="AK2064" s="165"/>
      <c r="AL2064" s="165"/>
      <c r="AM2064" s="165"/>
      <c r="AN2064" s="165"/>
    </row>
    <row r="2065" spans="3:40">
      <c r="C2065" s="46"/>
      <c r="F2065" s="173"/>
      <c r="G2065" s="1"/>
      <c r="H2065" s="165"/>
      <c r="I2065" s="160"/>
      <c r="J2065" s="160"/>
      <c r="K2065" s="1"/>
      <c r="L2065" s="123"/>
      <c r="M2065" s="1"/>
      <c r="N2065" s="590"/>
      <c r="O2065" s="165"/>
      <c r="P2065" s="165"/>
      <c r="Q2065" s="165"/>
      <c r="R2065" s="165"/>
      <c r="S2065" s="165"/>
      <c r="V2065" s="46"/>
      <c r="W2065" s="46"/>
      <c r="X2065" s="1"/>
      <c r="Y2065" s="1"/>
      <c r="Z2065" s="173"/>
      <c r="AA2065" s="1"/>
      <c r="AB2065" s="165"/>
      <c r="AC2065" s="1"/>
      <c r="AD2065" s="1"/>
      <c r="AE2065" s="1"/>
      <c r="AF2065" s="46"/>
      <c r="AG2065" s="1"/>
      <c r="AH2065" s="165"/>
      <c r="AI2065" s="165"/>
      <c r="AJ2065" s="165"/>
      <c r="AK2065" s="165"/>
      <c r="AL2065" s="165"/>
      <c r="AM2065" s="165"/>
      <c r="AN2065" s="165"/>
    </row>
    <row r="2066" spans="3:40">
      <c r="C2066" s="46"/>
      <c r="F2066" s="173"/>
      <c r="G2066" s="1"/>
      <c r="H2066" s="165"/>
      <c r="I2066" s="160"/>
      <c r="J2066" s="160"/>
      <c r="K2066" s="1"/>
      <c r="L2066" s="123"/>
      <c r="M2066" s="1"/>
      <c r="N2066" s="590"/>
      <c r="O2066" s="165"/>
      <c r="P2066" s="165"/>
      <c r="Q2066" s="165"/>
      <c r="R2066" s="165"/>
      <c r="S2066" s="165"/>
      <c r="V2066" s="46"/>
      <c r="W2066" s="46"/>
      <c r="X2066" s="1"/>
      <c r="Y2066" s="1"/>
      <c r="Z2066" s="173"/>
      <c r="AA2066" s="1"/>
      <c r="AB2066" s="165"/>
      <c r="AC2066" s="1"/>
      <c r="AD2066" s="1"/>
      <c r="AE2066" s="1"/>
      <c r="AF2066" s="46"/>
      <c r="AG2066" s="1"/>
      <c r="AH2066" s="165"/>
      <c r="AI2066" s="165"/>
      <c r="AJ2066" s="165"/>
      <c r="AK2066" s="165"/>
      <c r="AL2066" s="165"/>
      <c r="AM2066" s="165"/>
      <c r="AN2066" s="165"/>
    </row>
    <row r="2067" spans="3:40">
      <c r="C2067" s="46"/>
      <c r="F2067" s="173"/>
      <c r="G2067" s="1"/>
      <c r="H2067" s="165"/>
      <c r="I2067" s="160"/>
      <c r="J2067" s="160"/>
      <c r="K2067" s="1"/>
      <c r="L2067" s="123"/>
      <c r="M2067" s="1"/>
      <c r="N2067" s="590"/>
      <c r="O2067" s="165"/>
      <c r="P2067" s="165"/>
      <c r="Q2067" s="165"/>
      <c r="R2067" s="165"/>
      <c r="S2067" s="165"/>
      <c r="V2067" s="46"/>
      <c r="W2067" s="46"/>
      <c r="X2067" s="1"/>
      <c r="Y2067" s="1"/>
      <c r="Z2067" s="173"/>
      <c r="AA2067" s="1"/>
      <c r="AB2067" s="165"/>
      <c r="AC2067" s="1"/>
      <c r="AD2067" s="1"/>
      <c r="AE2067" s="1"/>
      <c r="AF2067" s="46"/>
      <c r="AG2067" s="1"/>
      <c r="AH2067" s="165"/>
      <c r="AI2067" s="165"/>
      <c r="AJ2067" s="165"/>
      <c r="AK2067" s="165"/>
      <c r="AL2067" s="165"/>
      <c r="AM2067" s="165"/>
      <c r="AN2067" s="165"/>
    </row>
    <row r="2068" spans="3:40">
      <c r="C2068" s="46"/>
      <c r="F2068" s="173"/>
      <c r="G2068" s="1"/>
      <c r="H2068" s="165"/>
      <c r="I2068" s="160"/>
      <c r="J2068" s="160"/>
      <c r="K2068" s="1"/>
      <c r="L2068" s="123"/>
      <c r="M2068" s="1"/>
      <c r="N2068" s="590"/>
      <c r="O2068" s="165"/>
      <c r="P2068" s="165"/>
      <c r="Q2068" s="165"/>
      <c r="R2068" s="165"/>
      <c r="S2068" s="165"/>
      <c r="V2068" s="46"/>
      <c r="W2068" s="46"/>
      <c r="X2068" s="1"/>
      <c r="Y2068" s="1"/>
      <c r="Z2068" s="173"/>
      <c r="AA2068" s="1"/>
      <c r="AB2068" s="165"/>
      <c r="AC2068" s="1"/>
      <c r="AD2068" s="1"/>
      <c r="AE2068" s="1"/>
      <c r="AF2068" s="46"/>
      <c r="AG2068" s="1"/>
      <c r="AH2068" s="165"/>
      <c r="AI2068" s="165"/>
      <c r="AJ2068" s="165"/>
      <c r="AK2068" s="165"/>
      <c r="AL2068" s="165"/>
      <c r="AM2068" s="165"/>
      <c r="AN2068" s="165"/>
    </row>
    <row r="2069" spans="3:40">
      <c r="C2069" s="46"/>
      <c r="F2069" s="173"/>
      <c r="G2069" s="1"/>
      <c r="H2069" s="165"/>
      <c r="I2069" s="160"/>
      <c r="J2069" s="160"/>
      <c r="K2069" s="1"/>
      <c r="L2069" s="123"/>
      <c r="M2069" s="1"/>
      <c r="N2069" s="590"/>
      <c r="O2069" s="165"/>
      <c r="P2069" s="165"/>
      <c r="Q2069" s="165"/>
      <c r="R2069" s="165"/>
      <c r="S2069" s="165"/>
      <c r="V2069" s="46"/>
      <c r="W2069" s="46"/>
      <c r="X2069" s="1"/>
      <c r="Y2069" s="1"/>
      <c r="Z2069" s="173"/>
      <c r="AA2069" s="1"/>
      <c r="AB2069" s="165"/>
      <c r="AC2069" s="1"/>
      <c r="AD2069" s="1"/>
      <c r="AE2069" s="1"/>
      <c r="AF2069" s="46"/>
      <c r="AG2069" s="1"/>
      <c r="AH2069" s="165"/>
      <c r="AI2069" s="165"/>
      <c r="AJ2069" s="165"/>
      <c r="AK2069" s="165"/>
      <c r="AL2069" s="165"/>
      <c r="AM2069" s="165"/>
      <c r="AN2069" s="165"/>
    </row>
    <row r="2070" spans="3:40">
      <c r="C2070" s="46"/>
      <c r="F2070" s="173"/>
      <c r="G2070" s="1"/>
      <c r="H2070" s="165"/>
      <c r="I2070" s="160"/>
      <c r="J2070" s="160"/>
      <c r="K2070" s="1"/>
      <c r="L2070" s="123"/>
      <c r="M2070" s="1"/>
      <c r="N2070" s="590"/>
      <c r="O2070" s="165"/>
      <c r="P2070" s="165"/>
      <c r="Q2070" s="165"/>
      <c r="R2070" s="165"/>
      <c r="S2070" s="165"/>
      <c r="V2070" s="46"/>
      <c r="W2070" s="46"/>
      <c r="X2070" s="1"/>
      <c r="Y2070" s="1"/>
      <c r="Z2070" s="173"/>
      <c r="AA2070" s="1"/>
      <c r="AB2070" s="165"/>
      <c r="AC2070" s="1"/>
      <c r="AD2070" s="1"/>
      <c r="AE2070" s="1"/>
      <c r="AF2070" s="46"/>
      <c r="AG2070" s="1"/>
      <c r="AH2070" s="165"/>
      <c r="AI2070" s="165"/>
      <c r="AJ2070" s="165"/>
      <c r="AK2070" s="165"/>
      <c r="AL2070" s="165"/>
      <c r="AM2070" s="165"/>
      <c r="AN2070" s="165"/>
    </row>
    <row r="2071" spans="3:40">
      <c r="C2071" s="46"/>
      <c r="F2071" s="173"/>
      <c r="G2071" s="1"/>
      <c r="H2071" s="165"/>
      <c r="I2071" s="160"/>
      <c r="J2071" s="160"/>
      <c r="K2071" s="1"/>
      <c r="L2071" s="123"/>
      <c r="M2071" s="1"/>
      <c r="N2071" s="590"/>
      <c r="O2071" s="165"/>
      <c r="P2071" s="165"/>
      <c r="Q2071" s="165"/>
      <c r="R2071" s="165"/>
      <c r="S2071" s="165"/>
      <c r="V2071" s="46"/>
      <c r="W2071" s="46"/>
      <c r="X2071" s="1"/>
      <c r="Y2071" s="1"/>
      <c r="Z2071" s="173"/>
      <c r="AA2071" s="1"/>
      <c r="AB2071" s="165"/>
      <c r="AC2071" s="1"/>
      <c r="AD2071" s="1"/>
      <c r="AE2071" s="1"/>
      <c r="AF2071" s="46"/>
      <c r="AG2071" s="1"/>
      <c r="AH2071" s="165"/>
      <c r="AI2071" s="165"/>
      <c r="AJ2071" s="165"/>
      <c r="AK2071" s="165"/>
      <c r="AL2071" s="165"/>
      <c r="AM2071" s="165"/>
      <c r="AN2071" s="165"/>
    </row>
    <row r="2072" spans="3:40">
      <c r="C2072" s="46"/>
      <c r="F2072" s="173"/>
      <c r="G2072" s="1"/>
      <c r="H2072" s="165"/>
      <c r="I2072" s="160"/>
      <c r="J2072" s="160"/>
      <c r="K2072" s="1"/>
      <c r="L2072" s="123"/>
      <c r="M2072" s="1"/>
      <c r="N2072" s="590"/>
      <c r="O2072" s="165"/>
      <c r="P2072" s="165"/>
      <c r="Q2072" s="165"/>
      <c r="R2072" s="165"/>
      <c r="S2072" s="165"/>
      <c r="V2072" s="46"/>
      <c r="W2072" s="46"/>
      <c r="X2072" s="1"/>
      <c r="Y2072" s="1"/>
      <c r="Z2072" s="173"/>
      <c r="AA2072" s="1"/>
      <c r="AB2072" s="165"/>
      <c r="AC2072" s="1"/>
      <c r="AD2072" s="1"/>
      <c r="AE2072" s="1"/>
      <c r="AF2072" s="46"/>
      <c r="AG2072" s="1"/>
      <c r="AH2072" s="165"/>
      <c r="AI2072" s="165"/>
      <c r="AJ2072" s="165"/>
      <c r="AK2072" s="165"/>
      <c r="AL2072" s="165"/>
      <c r="AM2072" s="165"/>
      <c r="AN2072" s="165"/>
    </row>
    <row r="2073" spans="3:40">
      <c r="C2073" s="46"/>
      <c r="F2073" s="173"/>
      <c r="G2073" s="1"/>
      <c r="H2073" s="165"/>
      <c r="I2073" s="160"/>
      <c r="J2073" s="160"/>
      <c r="K2073" s="1"/>
      <c r="L2073" s="123"/>
      <c r="M2073" s="1"/>
      <c r="N2073" s="590"/>
      <c r="O2073" s="165"/>
      <c r="P2073" s="165"/>
      <c r="Q2073" s="165"/>
      <c r="R2073" s="165"/>
      <c r="S2073" s="165"/>
      <c r="V2073" s="46"/>
      <c r="W2073" s="46"/>
      <c r="X2073" s="1"/>
      <c r="Y2073" s="1"/>
      <c r="Z2073" s="173"/>
      <c r="AA2073" s="1"/>
      <c r="AB2073" s="165"/>
      <c r="AC2073" s="1"/>
      <c r="AD2073" s="1"/>
      <c r="AE2073" s="1"/>
      <c r="AF2073" s="46"/>
      <c r="AG2073" s="1"/>
      <c r="AH2073" s="165"/>
      <c r="AI2073" s="165"/>
      <c r="AJ2073" s="165"/>
      <c r="AK2073" s="165"/>
      <c r="AL2073" s="165"/>
      <c r="AM2073" s="165"/>
      <c r="AN2073" s="165"/>
    </row>
    <row r="2074" spans="3:40">
      <c r="C2074" s="46"/>
      <c r="F2074" s="173"/>
      <c r="G2074" s="1"/>
      <c r="H2074" s="165"/>
      <c r="I2074" s="160"/>
      <c r="J2074" s="160"/>
      <c r="K2074" s="1"/>
      <c r="L2074" s="123"/>
      <c r="M2074" s="1"/>
      <c r="N2074" s="590"/>
      <c r="O2074" s="165"/>
      <c r="P2074" s="165"/>
      <c r="Q2074" s="165"/>
      <c r="R2074" s="165"/>
      <c r="S2074" s="165"/>
      <c r="V2074" s="46"/>
      <c r="W2074" s="46"/>
      <c r="X2074" s="1"/>
      <c r="Y2074" s="1"/>
      <c r="Z2074" s="173"/>
      <c r="AA2074" s="1"/>
      <c r="AB2074" s="165"/>
      <c r="AC2074" s="1"/>
      <c r="AD2074" s="1"/>
      <c r="AE2074" s="1"/>
      <c r="AF2074" s="46"/>
      <c r="AG2074" s="1"/>
      <c r="AH2074" s="165"/>
      <c r="AI2074" s="165"/>
      <c r="AJ2074" s="165"/>
      <c r="AK2074" s="165"/>
      <c r="AL2074" s="165"/>
      <c r="AM2074" s="165"/>
      <c r="AN2074" s="165"/>
    </row>
    <row r="2075" spans="3:40">
      <c r="C2075" s="46"/>
      <c r="F2075" s="173"/>
      <c r="G2075" s="1"/>
      <c r="H2075" s="165"/>
      <c r="I2075" s="160"/>
      <c r="J2075" s="160"/>
      <c r="K2075" s="1"/>
      <c r="L2075" s="123"/>
      <c r="M2075" s="1"/>
      <c r="N2075" s="590"/>
      <c r="O2075" s="165"/>
      <c r="P2075" s="165"/>
      <c r="Q2075" s="165"/>
      <c r="R2075" s="165"/>
      <c r="S2075" s="165"/>
      <c r="V2075" s="46"/>
      <c r="W2075" s="46"/>
      <c r="X2075" s="1"/>
      <c r="Y2075" s="1"/>
      <c r="Z2075" s="173"/>
      <c r="AA2075" s="1"/>
      <c r="AB2075" s="165"/>
      <c r="AC2075" s="1"/>
      <c r="AD2075" s="1"/>
      <c r="AE2075" s="1"/>
      <c r="AF2075" s="46"/>
      <c r="AG2075" s="1"/>
      <c r="AH2075" s="165"/>
      <c r="AI2075" s="165"/>
      <c r="AJ2075" s="165"/>
      <c r="AK2075" s="165"/>
      <c r="AL2075" s="165"/>
      <c r="AM2075" s="165"/>
      <c r="AN2075" s="165"/>
    </row>
    <row r="2076" spans="3:40">
      <c r="C2076" s="46"/>
      <c r="F2076" s="173"/>
      <c r="G2076" s="1"/>
      <c r="H2076" s="165"/>
      <c r="I2076" s="160"/>
      <c r="J2076" s="160"/>
      <c r="K2076" s="1"/>
      <c r="L2076" s="123"/>
      <c r="M2076" s="1"/>
      <c r="N2076" s="590"/>
      <c r="O2076" s="165"/>
      <c r="P2076" s="165"/>
      <c r="Q2076" s="165"/>
      <c r="R2076" s="165"/>
      <c r="S2076" s="165"/>
      <c r="V2076" s="46"/>
      <c r="W2076" s="46"/>
      <c r="X2076" s="1"/>
      <c r="Y2076" s="1"/>
      <c r="Z2076" s="173"/>
      <c r="AA2076" s="1"/>
      <c r="AB2076" s="165"/>
      <c r="AC2076" s="1"/>
      <c r="AD2076" s="1"/>
      <c r="AE2076" s="1"/>
      <c r="AF2076" s="46"/>
      <c r="AG2076" s="1"/>
      <c r="AH2076" s="165"/>
      <c r="AI2076" s="165"/>
      <c r="AJ2076" s="165"/>
      <c r="AK2076" s="165"/>
      <c r="AL2076" s="165"/>
      <c r="AM2076" s="165"/>
      <c r="AN2076" s="165"/>
    </row>
    <row r="2077" spans="3:40">
      <c r="C2077" s="46"/>
      <c r="F2077" s="173"/>
      <c r="G2077" s="1"/>
      <c r="H2077" s="165"/>
      <c r="I2077" s="160"/>
      <c r="J2077" s="160"/>
      <c r="K2077" s="1"/>
      <c r="L2077" s="123"/>
      <c r="M2077" s="1"/>
      <c r="N2077" s="590"/>
      <c r="O2077" s="165"/>
      <c r="P2077" s="165"/>
      <c r="Q2077" s="165"/>
      <c r="R2077" s="165"/>
      <c r="S2077" s="165"/>
      <c r="V2077" s="46"/>
      <c r="W2077" s="46"/>
      <c r="X2077" s="1"/>
      <c r="Y2077" s="1"/>
      <c r="Z2077" s="173"/>
      <c r="AA2077" s="1"/>
      <c r="AB2077" s="165"/>
      <c r="AC2077" s="1"/>
      <c r="AD2077" s="1"/>
      <c r="AE2077" s="1"/>
      <c r="AF2077" s="46"/>
      <c r="AG2077" s="1"/>
      <c r="AH2077" s="165"/>
      <c r="AI2077" s="165"/>
      <c r="AJ2077" s="165"/>
      <c r="AK2077" s="165"/>
      <c r="AL2077" s="165"/>
      <c r="AM2077" s="165"/>
      <c r="AN2077" s="165"/>
    </row>
    <row r="2078" spans="3:40">
      <c r="C2078" s="46"/>
      <c r="F2078" s="173"/>
      <c r="G2078" s="1"/>
      <c r="H2078" s="165"/>
      <c r="I2078" s="160"/>
      <c r="J2078" s="160"/>
      <c r="K2078" s="1"/>
      <c r="L2078" s="123"/>
      <c r="M2078" s="1"/>
      <c r="N2078" s="590"/>
      <c r="O2078" s="165"/>
      <c r="P2078" s="165"/>
      <c r="Q2078" s="165"/>
      <c r="R2078" s="165"/>
      <c r="S2078" s="165"/>
      <c r="V2078" s="46"/>
      <c r="W2078" s="46"/>
      <c r="X2078" s="1"/>
      <c r="Y2078" s="1"/>
      <c r="Z2078" s="173"/>
      <c r="AA2078" s="1"/>
      <c r="AB2078" s="165"/>
      <c r="AC2078" s="1"/>
      <c r="AD2078" s="1"/>
      <c r="AE2078" s="1"/>
      <c r="AF2078" s="46"/>
      <c r="AG2078" s="1"/>
      <c r="AH2078" s="165"/>
      <c r="AI2078" s="165"/>
      <c r="AJ2078" s="165"/>
      <c r="AK2078" s="165"/>
      <c r="AL2078" s="165"/>
      <c r="AM2078" s="165"/>
      <c r="AN2078" s="165"/>
    </row>
    <row r="2079" spans="3:40">
      <c r="C2079" s="46"/>
      <c r="F2079" s="173"/>
      <c r="G2079" s="1"/>
      <c r="H2079" s="165"/>
      <c r="I2079" s="160"/>
      <c r="J2079" s="160"/>
      <c r="K2079" s="1"/>
      <c r="L2079" s="123"/>
      <c r="M2079" s="1"/>
      <c r="N2079" s="590"/>
      <c r="O2079" s="165"/>
      <c r="P2079" s="165"/>
      <c r="Q2079" s="165"/>
      <c r="R2079" s="165"/>
      <c r="S2079" s="165"/>
      <c r="V2079" s="46"/>
      <c r="W2079" s="46"/>
      <c r="X2079" s="1"/>
      <c r="Y2079" s="1"/>
      <c r="Z2079" s="173"/>
      <c r="AA2079" s="1"/>
      <c r="AB2079" s="165"/>
      <c r="AC2079" s="1"/>
      <c r="AD2079" s="1"/>
      <c r="AE2079" s="1"/>
      <c r="AF2079" s="46"/>
      <c r="AG2079" s="1"/>
      <c r="AH2079" s="165"/>
      <c r="AI2079" s="165"/>
      <c r="AJ2079" s="165"/>
      <c r="AK2079" s="165"/>
      <c r="AL2079" s="165"/>
      <c r="AM2079" s="165"/>
      <c r="AN2079" s="165"/>
    </row>
    <row r="2080" spans="3:40">
      <c r="C2080" s="46"/>
      <c r="F2080" s="173"/>
      <c r="G2080" s="1"/>
      <c r="H2080" s="165"/>
      <c r="I2080" s="160"/>
      <c r="J2080" s="160"/>
      <c r="K2080" s="1"/>
      <c r="L2080" s="123"/>
      <c r="M2080" s="1"/>
      <c r="N2080" s="590"/>
      <c r="O2080" s="165"/>
      <c r="P2080" s="165"/>
      <c r="Q2080" s="165"/>
      <c r="R2080" s="165"/>
      <c r="S2080" s="165"/>
      <c r="V2080" s="46"/>
      <c r="W2080" s="46"/>
      <c r="X2080" s="1"/>
      <c r="Y2080" s="1"/>
      <c r="Z2080" s="173"/>
      <c r="AA2080" s="1"/>
      <c r="AB2080" s="165"/>
      <c r="AC2080" s="1"/>
      <c r="AD2080" s="1"/>
      <c r="AE2080" s="1"/>
      <c r="AF2080" s="46"/>
      <c r="AG2080" s="1"/>
      <c r="AH2080" s="165"/>
      <c r="AI2080" s="165"/>
      <c r="AJ2080" s="165"/>
      <c r="AK2080" s="165"/>
      <c r="AL2080" s="165"/>
      <c r="AM2080" s="165"/>
      <c r="AN2080" s="165"/>
    </row>
    <row r="2081" spans="3:40">
      <c r="C2081" s="46"/>
      <c r="F2081" s="173"/>
      <c r="G2081" s="1"/>
      <c r="H2081" s="165"/>
      <c r="I2081" s="160"/>
      <c r="J2081" s="160"/>
      <c r="K2081" s="1"/>
      <c r="L2081" s="123"/>
      <c r="M2081" s="1"/>
      <c r="N2081" s="590"/>
      <c r="O2081" s="165"/>
      <c r="P2081" s="165"/>
      <c r="Q2081" s="165"/>
      <c r="R2081" s="165"/>
      <c r="S2081" s="165"/>
      <c r="V2081" s="46"/>
      <c r="W2081" s="46"/>
      <c r="X2081" s="1"/>
      <c r="Y2081" s="1"/>
      <c r="Z2081" s="173"/>
      <c r="AA2081" s="1"/>
      <c r="AB2081" s="165"/>
      <c r="AC2081" s="1"/>
      <c r="AD2081" s="1"/>
      <c r="AE2081" s="1"/>
      <c r="AF2081" s="46"/>
      <c r="AG2081" s="1"/>
      <c r="AH2081" s="165"/>
      <c r="AI2081" s="165"/>
      <c r="AJ2081" s="165"/>
      <c r="AK2081" s="165"/>
      <c r="AL2081" s="165"/>
      <c r="AM2081" s="165"/>
      <c r="AN2081" s="165"/>
    </row>
    <row r="2082" spans="3:40">
      <c r="C2082" s="46"/>
      <c r="F2082" s="173"/>
      <c r="G2082" s="1"/>
      <c r="H2082" s="165"/>
      <c r="I2082" s="160"/>
      <c r="J2082" s="160"/>
      <c r="K2082" s="1"/>
      <c r="L2082" s="123"/>
      <c r="M2082" s="1"/>
      <c r="N2082" s="590"/>
      <c r="O2082" s="165"/>
      <c r="P2082" s="165"/>
      <c r="Q2082" s="165"/>
      <c r="R2082" s="165"/>
      <c r="S2082" s="165"/>
      <c r="V2082" s="46"/>
      <c r="W2082" s="46"/>
      <c r="X2082" s="1"/>
      <c r="Y2082" s="1"/>
      <c r="Z2082" s="173"/>
      <c r="AA2082" s="1"/>
      <c r="AB2082" s="165"/>
      <c r="AC2082" s="1"/>
      <c r="AD2082" s="1"/>
      <c r="AE2082" s="1"/>
      <c r="AF2082" s="46"/>
      <c r="AG2082" s="1"/>
      <c r="AH2082" s="165"/>
      <c r="AI2082" s="165"/>
      <c r="AJ2082" s="165"/>
      <c r="AK2082" s="165"/>
      <c r="AL2082" s="165"/>
      <c r="AM2082" s="165"/>
      <c r="AN2082" s="165"/>
    </row>
    <row r="2083" spans="3:40">
      <c r="C2083" s="46"/>
      <c r="F2083" s="173"/>
      <c r="G2083" s="1"/>
      <c r="H2083" s="165"/>
      <c r="I2083" s="160"/>
      <c r="J2083" s="160"/>
      <c r="K2083" s="1"/>
      <c r="L2083" s="123"/>
      <c r="M2083" s="1"/>
      <c r="N2083" s="590"/>
      <c r="O2083" s="165"/>
      <c r="P2083" s="165"/>
      <c r="Q2083" s="165"/>
      <c r="R2083" s="165"/>
      <c r="S2083" s="165"/>
      <c r="V2083" s="46"/>
      <c r="W2083" s="46"/>
      <c r="X2083" s="1"/>
      <c r="Y2083" s="1"/>
      <c r="Z2083" s="173"/>
      <c r="AA2083" s="1"/>
      <c r="AB2083" s="165"/>
      <c r="AC2083" s="1"/>
      <c r="AD2083" s="1"/>
      <c r="AE2083" s="1"/>
      <c r="AF2083" s="46"/>
      <c r="AG2083" s="1"/>
      <c r="AH2083" s="165"/>
      <c r="AI2083" s="165"/>
      <c r="AJ2083" s="165"/>
      <c r="AK2083" s="165"/>
      <c r="AL2083" s="165"/>
      <c r="AM2083" s="165"/>
      <c r="AN2083" s="165"/>
    </row>
    <row r="2084" spans="3:40">
      <c r="C2084" s="46"/>
      <c r="F2084" s="173"/>
      <c r="G2084" s="1"/>
      <c r="H2084" s="165"/>
      <c r="I2084" s="160"/>
      <c r="J2084" s="160"/>
      <c r="K2084" s="1"/>
      <c r="L2084" s="123"/>
      <c r="M2084" s="1"/>
      <c r="N2084" s="590"/>
      <c r="O2084" s="165"/>
      <c r="P2084" s="165"/>
      <c r="Q2084" s="165"/>
      <c r="R2084" s="165"/>
      <c r="S2084" s="165"/>
      <c r="V2084" s="46"/>
      <c r="W2084" s="46"/>
      <c r="X2084" s="1"/>
      <c r="Y2084" s="1"/>
      <c r="Z2084" s="173"/>
      <c r="AA2084" s="1"/>
      <c r="AB2084" s="165"/>
      <c r="AC2084" s="1"/>
      <c r="AD2084" s="1"/>
      <c r="AE2084" s="1"/>
      <c r="AF2084" s="46"/>
      <c r="AG2084" s="1"/>
      <c r="AH2084" s="165"/>
      <c r="AI2084" s="165"/>
      <c r="AJ2084" s="165"/>
      <c r="AK2084" s="165"/>
      <c r="AL2084" s="165"/>
      <c r="AM2084" s="165"/>
      <c r="AN2084" s="165"/>
    </row>
    <row r="2085" spans="3:40">
      <c r="C2085" s="46"/>
      <c r="F2085" s="173"/>
      <c r="G2085" s="1"/>
      <c r="H2085" s="165"/>
      <c r="I2085" s="160"/>
      <c r="J2085" s="160"/>
      <c r="K2085" s="1"/>
      <c r="L2085" s="123"/>
      <c r="M2085" s="1"/>
      <c r="N2085" s="590"/>
      <c r="O2085" s="165"/>
      <c r="P2085" s="165"/>
      <c r="Q2085" s="165"/>
      <c r="R2085" s="165"/>
      <c r="S2085" s="165"/>
      <c r="V2085" s="46"/>
      <c r="W2085" s="46"/>
      <c r="X2085" s="1"/>
      <c r="Y2085" s="1"/>
      <c r="Z2085" s="173"/>
      <c r="AA2085" s="1"/>
      <c r="AB2085" s="165"/>
      <c r="AC2085" s="1"/>
      <c r="AD2085" s="1"/>
      <c r="AE2085" s="1"/>
      <c r="AF2085" s="46"/>
      <c r="AG2085" s="1"/>
      <c r="AH2085" s="165"/>
      <c r="AI2085" s="165"/>
      <c r="AJ2085" s="165"/>
      <c r="AK2085" s="165"/>
      <c r="AL2085" s="165"/>
      <c r="AM2085" s="165"/>
      <c r="AN2085" s="165"/>
    </row>
    <row r="2086" spans="3:40">
      <c r="C2086" s="46"/>
      <c r="F2086" s="173"/>
      <c r="G2086" s="1"/>
      <c r="H2086" s="165"/>
      <c r="I2086" s="160"/>
      <c r="J2086" s="160"/>
      <c r="K2086" s="1"/>
      <c r="L2086" s="123"/>
      <c r="M2086" s="1"/>
      <c r="N2086" s="590"/>
      <c r="O2086" s="165"/>
      <c r="P2086" s="165"/>
      <c r="Q2086" s="165"/>
      <c r="R2086" s="165"/>
      <c r="S2086" s="165"/>
      <c r="V2086" s="46"/>
      <c r="W2086" s="46"/>
      <c r="X2086" s="1"/>
      <c r="Y2086" s="1"/>
      <c r="Z2086" s="173"/>
      <c r="AA2086" s="1"/>
      <c r="AB2086" s="165"/>
      <c r="AC2086" s="1"/>
      <c r="AD2086" s="1"/>
      <c r="AE2086" s="1"/>
      <c r="AF2086" s="46"/>
      <c r="AG2086" s="1"/>
      <c r="AH2086" s="165"/>
      <c r="AI2086" s="165"/>
      <c r="AJ2086" s="165"/>
      <c r="AK2086" s="165"/>
      <c r="AL2086" s="165"/>
      <c r="AM2086" s="165"/>
      <c r="AN2086" s="165"/>
    </row>
    <row r="2087" spans="3:40">
      <c r="C2087" s="46"/>
      <c r="F2087" s="173"/>
      <c r="G2087" s="1"/>
      <c r="H2087" s="165"/>
      <c r="I2087" s="160"/>
      <c r="J2087" s="160"/>
      <c r="K2087" s="1"/>
      <c r="L2087" s="123"/>
      <c r="M2087" s="1"/>
      <c r="N2087" s="590"/>
      <c r="O2087" s="165"/>
      <c r="P2087" s="165"/>
      <c r="Q2087" s="165"/>
      <c r="R2087" s="165"/>
      <c r="S2087" s="165"/>
      <c r="V2087" s="46"/>
      <c r="W2087" s="46"/>
      <c r="X2087" s="1"/>
      <c r="Y2087" s="1"/>
      <c r="Z2087" s="173"/>
      <c r="AA2087" s="1"/>
      <c r="AB2087" s="165"/>
      <c r="AC2087" s="1"/>
      <c r="AD2087" s="1"/>
      <c r="AE2087" s="1"/>
      <c r="AF2087" s="46"/>
      <c r="AG2087" s="1"/>
      <c r="AH2087" s="165"/>
      <c r="AI2087" s="165"/>
      <c r="AJ2087" s="165"/>
      <c r="AK2087" s="165"/>
      <c r="AL2087" s="165"/>
      <c r="AM2087" s="165"/>
      <c r="AN2087" s="165"/>
    </row>
    <row r="2088" spans="3:40">
      <c r="C2088" s="46"/>
      <c r="F2088" s="173"/>
      <c r="G2088" s="1"/>
      <c r="H2088" s="165"/>
      <c r="I2088" s="160"/>
      <c r="J2088" s="160"/>
      <c r="K2088" s="1"/>
      <c r="L2088" s="123"/>
      <c r="M2088" s="1"/>
      <c r="N2088" s="590"/>
      <c r="O2088" s="165"/>
      <c r="P2088" s="165"/>
      <c r="Q2088" s="165"/>
      <c r="R2088" s="165"/>
      <c r="S2088" s="165"/>
      <c r="V2088" s="46"/>
      <c r="W2088" s="46"/>
      <c r="X2088" s="1"/>
      <c r="Y2088" s="1"/>
      <c r="Z2088" s="173"/>
      <c r="AA2088" s="1"/>
      <c r="AB2088" s="165"/>
      <c r="AC2088" s="1"/>
      <c r="AD2088" s="1"/>
      <c r="AE2088" s="1"/>
      <c r="AF2088" s="46"/>
      <c r="AG2088" s="1"/>
      <c r="AH2088" s="165"/>
      <c r="AI2088" s="165"/>
      <c r="AJ2088" s="165"/>
      <c r="AK2088" s="165"/>
      <c r="AL2088" s="165"/>
      <c r="AM2088" s="165"/>
      <c r="AN2088" s="165"/>
    </row>
    <row r="2089" spans="3:40">
      <c r="C2089" s="46"/>
      <c r="F2089" s="173"/>
      <c r="G2089" s="1"/>
      <c r="H2089" s="165"/>
      <c r="I2089" s="160"/>
      <c r="J2089" s="160"/>
      <c r="K2089" s="1"/>
      <c r="L2089" s="123"/>
      <c r="M2089" s="1"/>
      <c r="N2089" s="590"/>
      <c r="O2089" s="165"/>
      <c r="P2089" s="165"/>
      <c r="Q2089" s="165"/>
      <c r="R2089" s="165"/>
      <c r="S2089" s="165"/>
      <c r="V2089" s="46"/>
      <c r="W2089" s="46"/>
      <c r="X2089" s="1"/>
      <c r="Y2089" s="1"/>
      <c r="Z2089" s="173"/>
      <c r="AA2089" s="1"/>
      <c r="AB2089" s="165"/>
      <c r="AC2089" s="1"/>
      <c r="AD2089" s="1"/>
      <c r="AE2089" s="1"/>
      <c r="AF2089" s="46"/>
      <c r="AG2089" s="1"/>
      <c r="AH2089" s="165"/>
      <c r="AI2089" s="165"/>
      <c r="AJ2089" s="165"/>
      <c r="AK2089" s="165"/>
      <c r="AL2089" s="165"/>
      <c r="AM2089" s="165"/>
      <c r="AN2089" s="165"/>
    </row>
    <row r="2090" spans="3:40">
      <c r="C2090" s="46"/>
      <c r="F2090" s="173"/>
      <c r="G2090" s="1"/>
      <c r="H2090" s="165"/>
      <c r="I2090" s="160"/>
      <c r="J2090" s="160"/>
      <c r="K2090" s="1"/>
      <c r="L2090" s="123"/>
      <c r="M2090" s="1"/>
      <c r="N2090" s="590"/>
      <c r="O2090" s="165"/>
      <c r="P2090" s="165"/>
      <c r="Q2090" s="165"/>
      <c r="R2090" s="165"/>
      <c r="S2090" s="165"/>
      <c r="V2090" s="46"/>
      <c r="W2090" s="46"/>
      <c r="X2090" s="1"/>
      <c r="Y2090" s="1"/>
      <c r="Z2090" s="173"/>
      <c r="AA2090" s="1"/>
      <c r="AB2090" s="165"/>
      <c r="AC2090" s="1"/>
      <c r="AD2090" s="1"/>
      <c r="AE2090" s="1"/>
      <c r="AF2090" s="46"/>
      <c r="AG2090" s="1"/>
      <c r="AH2090" s="165"/>
      <c r="AI2090" s="165"/>
      <c r="AJ2090" s="165"/>
      <c r="AK2090" s="165"/>
      <c r="AL2090" s="165"/>
      <c r="AM2090" s="165"/>
      <c r="AN2090" s="165"/>
    </row>
    <row r="2091" spans="3:40">
      <c r="C2091" s="46"/>
      <c r="F2091" s="173"/>
      <c r="G2091" s="1"/>
      <c r="H2091" s="165"/>
      <c r="I2091" s="160"/>
      <c r="J2091" s="160"/>
      <c r="K2091" s="1"/>
      <c r="L2091" s="123"/>
      <c r="M2091" s="1"/>
      <c r="N2091" s="590"/>
      <c r="O2091" s="165"/>
      <c r="P2091" s="165"/>
      <c r="Q2091" s="165"/>
      <c r="R2091" s="165"/>
      <c r="S2091" s="165"/>
      <c r="V2091" s="46"/>
      <c r="W2091" s="46"/>
      <c r="X2091" s="1"/>
      <c r="Y2091" s="1"/>
      <c r="Z2091" s="173"/>
      <c r="AA2091" s="1"/>
      <c r="AB2091" s="165"/>
      <c r="AC2091" s="1"/>
      <c r="AD2091" s="1"/>
      <c r="AE2091" s="1"/>
      <c r="AF2091" s="46"/>
      <c r="AG2091" s="1"/>
      <c r="AH2091" s="165"/>
      <c r="AI2091" s="165"/>
      <c r="AJ2091" s="165"/>
      <c r="AK2091" s="165"/>
      <c r="AL2091" s="165"/>
      <c r="AM2091" s="165"/>
      <c r="AN2091" s="165"/>
    </row>
    <row r="2092" spans="3:40">
      <c r="C2092" s="46"/>
      <c r="F2092" s="173"/>
      <c r="G2092" s="1"/>
      <c r="H2092" s="165"/>
      <c r="I2092" s="160"/>
      <c r="J2092" s="160"/>
      <c r="K2092" s="1"/>
      <c r="L2092" s="123"/>
      <c r="M2092" s="1"/>
      <c r="N2092" s="590"/>
      <c r="O2092" s="165"/>
      <c r="P2092" s="165"/>
      <c r="Q2092" s="165"/>
      <c r="R2092" s="165"/>
      <c r="S2092" s="165"/>
      <c r="V2092" s="46"/>
      <c r="W2092" s="46"/>
      <c r="X2092" s="1"/>
      <c r="Y2092" s="1"/>
      <c r="Z2092" s="173"/>
      <c r="AA2092" s="1"/>
      <c r="AB2092" s="165"/>
      <c r="AC2092" s="1"/>
      <c r="AD2092" s="1"/>
      <c r="AE2092" s="1"/>
      <c r="AF2092" s="46"/>
      <c r="AG2092" s="1"/>
      <c r="AH2092" s="165"/>
      <c r="AI2092" s="165"/>
      <c r="AJ2092" s="165"/>
      <c r="AK2092" s="165"/>
      <c r="AL2092" s="165"/>
      <c r="AM2092" s="165"/>
      <c r="AN2092" s="165"/>
    </row>
    <row r="2093" spans="3:40">
      <c r="C2093" s="46"/>
      <c r="F2093" s="173"/>
      <c r="G2093" s="1"/>
      <c r="H2093" s="165"/>
      <c r="I2093" s="160"/>
      <c r="J2093" s="160"/>
      <c r="K2093" s="1"/>
      <c r="L2093" s="123"/>
      <c r="M2093" s="1"/>
      <c r="N2093" s="590"/>
      <c r="O2093" s="165"/>
      <c r="P2093" s="165"/>
      <c r="Q2093" s="165"/>
      <c r="R2093" s="165"/>
      <c r="S2093" s="165"/>
      <c r="V2093" s="46"/>
      <c r="W2093" s="46"/>
      <c r="X2093" s="1"/>
      <c r="Y2093" s="1"/>
      <c r="Z2093" s="173"/>
      <c r="AA2093" s="1"/>
      <c r="AB2093" s="165"/>
      <c r="AC2093" s="1"/>
      <c r="AD2093" s="1"/>
      <c r="AE2093" s="1"/>
      <c r="AF2093" s="46"/>
      <c r="AG2093" s="1"/>
      <c r="AH2093" s="165"/>
      <c r="AI2093" s="165"/>
      <c r="AJ2093" s="165"/>
      <c r="AK2093" s="165"/>
      <c r="AL2093" s="165"/>
      <c r="AM2093" s="165"/>
      <c r="AN2093" s="165"/>
    </row>
    <row r="2094" spans="3:40">
      <c r="C2094" s="46"/>
      <c r="F2094" s="173"/>
      <c r="G2094" s="1"/>
      <c r="H2094" s="165"/>
      <c r="I2094" s="160"/>
      <c r="J2094" s="160"/>
      <c r="K2094" s="1"/>
      <c r="L2094" s="123"/>
      <c r="M2094" s="1"/>
      <c r="N2094" s="590"/>
      <c r="O2094" s="165"/>
      <c r="P2094" s="165"/>
      <c r="Q2094" s="165"/>
      <c r="R2094" s="165"/>
      <c r="S2094" s="165"/>
      <c r="V2094" s="46"/>
      <c r="W2094" s="46"/>
      <c r="X2094" s="1"/>
      <c r="Y2094" s="1"/>
      <c r="Z2094" s="173"/>
      <c r="AA2094" s="1"/>
      <c r="AB2094" s="165"/>
      <c r="AC2094" s="1"/>
      <c r="AD2094" s="1"/>
      <c r="AE2094" s="1"/>
      <c r="AF2094" s="46"/>
      <c r="AG2094" s="1"/>
      <c r="AH2094" s="165"/>
      <c r="AI2094" s="165"/>
      <c r="AJ2094" s="165"/>
      <c r="AK2094" s="165"/>
      <c r="AL2094" s="165"/>
      <c r="AM2094" s="165"/>
      <c r="AN2094" s="165"/>
    </row>
    <row r="2095" spans="3:40">
      <c r="C2095" s="46"/>
      <c r="F2095" s="173"/>
      <c r="G2095" s="1"/>
      <c r="H2095" s="165"/>
      <c r="I2095" s="160"/>
      <c r="J2095" s="160"/>
      <c r="K2095" s="1"/>
      <c r="L2095" s="123"/>
      <c r="M2095" s="1"/>
      <c r="N2095" s="590"/>
      <c r="O2095" s="165"/>
      <c r="P2095" s="165"/>
      <c r="Q2095" s="165"/>
      <c r="R2095" s="165"/>
      <c r="S2095" s="165"/>
      <c r="V2095" s="46"/>
      <c r="W2095" s="46"/>
      <c r="X2095" s="1"/>
      <c r="Y2095" s="1"/>
      <c r="Z2095" s="173"/>
      <c r="AA2095" s="1"/>
      <c r="AB2095" s="165"/>
      <c r="AC2095" s="1"/>
      <c r="AD2095" s="1"/>
      <c r="AE2095" s="1"/>
      <c r="AF2095" s="46"/>
      <c r="AG2095" s="1"/>
      <c r="AH2095" s="165"/>
      <c r="AI2095" s="165"/>
      <c r="AJ2095" s="165"/>
      <c r="AK2095" s="165"/>
      <c r="AL2095" s="165"/>
      <c r="AM2095" s="165"/>
      <c r="AN2095" s="165"/>
    </row>
    <row r="2096" spans="3:40">
      <c r="C2096" s="46"/>
      <c r="F2096" s="173"/>
      <c r="G2096" s="1"/>
      <c r="H2096" s="165"/>
      <c r="I2096" s="160"/>
      <c r="J2096" s="160"/>
      <c r="K2096" s="1"/>
      <c r="L2096" s="123"/>
      <c r="M2096" s="1"/>
      <c r="N2096" s="590"/>
      <c r="O2096" s="165"/>
      <c r="P2096" s="165"/>
      <c r="Q2096" s="165"/>
      <c r="R2096" s="165"/>
      <c r="S2096" s="165"/>
      <c r="V2096" s="46"/>
      <c r="W2096" s="46"/>
      <c r="X2096" s="1"/>
      <c r="Y2096" s="1"/>
      <c r="Z2096" s="173"/>
      <c r="AA2096" s="1"/>
      <c r="AB2096" s="165"/>
      <c r="AC2096" s="1"/>
      <c r="AD2096" s="1"/>
      <c r="AE2096" s="1"/>
      <c r="AF2096" s="46"/>
      <c r="AG2096" s="1"/>
      <c r="AH2096" s="165"/>
      <c r="AI2096" s="165"/>
      <c r="AJ2096" s="165"/>
      <c r="AK2096" s="165"/>
      <c r="AL2096" s="165"/>
      <c r="AM2096" s="165"/>
      <c r="AN2096" s="165"/>
    </row>
    <row r="2097" spans="3:40">
      <c r="C2097" s="46"/>
      <c r="F2097" s="173"/>
      <c r="G2097" s="1"/>
      <c r="H2097" s="165"/>
      <c r="I2097" s="160"/>
      <c r="J2097" s="160"/>
      <c r="K2097" s="1"/>
      <c r="L2097" s="123"/>
      <c r="M2097" s="1"/>
      <c r="N2097" s="590"/>
      <c r="O2097" s="165"/>
      <c r="P2097" s="165"/>
      <c r="Q2097" s="165"/>
      <c r="R2097" s="165"/>
      <c r="S2097" s="165"/>
      <c r="V2097" s="46"/>
      <c r="W2097" s="46"/>
      <c r="X2097" s="1"/>
      <c r="Y2097" s="1"/>
      <c r="Z2097" s="173"/>
      <c r="AA2097" s="1"/>
      <c r="AB2097" s="165"/>
      <c r="AC2097" s="1"/>
      <c r="AD2097" s="1"/>
      <c r="AE2097" s="1"/>
      <c r="AF2097" s="46"/>
      <c r="AG2097" s="1"/>
      <c r="AH2097" s="165"/>
      <c r="AI2097" s="165"/>
      <c r="AJ2097" s="165"/>
      <c r="AK2097" s="165"/>
      <c r="AL2097" s="165"/>
      <c r="AM2097" s="165"/>
      <c r="AN2097" s="165"/>
    </row>
    <row r="2098" spans="3:40">
      <c r="C2098" s="46"/>
      <c r="F2098" s="173"/>
      <c r="G2098" s="1"/>
      <c r="H2098" s="165"/>
      <c r="I2098" s="160"/>
      <c r="J2098" s="160"/>
      <c r="K2098" s="1"/>
      <c r="L2098" s="123"/>
      <c r="M2098" s="1"/>
      <c r="N2098" s="590"/>
      <c r="O2098" s="165"/>
      <c r="P2098" s="165"/>
      <c r="Q2098" s="165"/>
      <c r="R2098" s="165"/>
      <c r="S2098" s="165"/>
      <c r="V2098" s="46"/>
      <c r="W2098" s="46"/>
      <c r="X2098" s="1"/>
      <c r="Y2098" s="1"/>
      <c r="Z2098" s="173"/>
      <c r="AA2098" s="1"/>
      <c r="AB2098" s="165"/>
      <c r="AC2098" s="1"/>
      <c r="AD2098" s="1"/>
      <c r="AE2098" s="1"/>
      <c r="AF2098" s="46"/>
      <c r="AG2098" s="1"/>
      <c r="AH2098" s="165"/>
      <c r="AI2098" s="165"/>
      <c r="AJ2098" s="165"/>
      <c r="AK2098" s="165"/>
      <c r="AL2098" s="165"/>
      <c r="AM2098" s="165"/>
      <c r="AN2098" s="165"/>
    </row>
    <row r="2099" spans="3:40">
      <c r="C2099" s="46"/>
      <c r="F2099" s="173"/>
      <c r="G2099" s="1"/>
      <c r="H2099" s="165"/>
      <c r="I2099" s="160"/>
      <c r="J2099" s="160"/>
      <c r="K2099" s="1"/>
      <c r="L2099" s="123"/>
      <c r="M2099" s="1"/>
      <c r="N2099" s="590"/>
      <c r="O2099" s="165"/>
      <c r="P2099" s="165"/>
      <c r="Q2099" s="165"/>
      <c r="R2099" s="165"/>
      <c r="S2099" s="165"/>
      <c r="V2099" s="46"/>
      <c r="W2099" s="46"/>
      <c r="X2099" s="1"/>
      <c r="Y2099" s="1"/>
      <c r="Z2099" s="173"/>
      <c r="AA2099" s="1"/>
      <c r="AB2099" s="165"/>
      <c r="AC2099" s="1"/>
      <c r="AD2099" s="1"/>
      <c r="AE2099" s="1"/>
      <c r="AF2099" s="46"/>
      <c r="AG2099" s="1"/>
      <c r="AH2099" s="165"/>
      <c r="AI2099" s="165"/>
      <c r="AJ2099" s="165"/>
      <c r="AK2099" s="165"/>
      <c r="AL2099" s="165"/>
      <c r="AM2099" s="165"/>
      <c r="AN2099" s="165"/>
    </row>
    <row r="2100" spans="3:40">
      <c r="C2100" s="46"/>
      <c r="F2100" s="173"/>
      <c r="G2100" s="1"/>
      <c r="H2100" s="165"/>
      <c r="I2100" s="160"/>
      <c r="J2100" s="160"/>
      <c r="K2100" s="1"/>
      <c r="L2100" s="123"/>
      <c r="M2100" s="1"/>
      <c r="N2100" s="590"/>
      <c r="O2100" s="165"/>
      <c r="P2100" s="165"/>
      <c r="Q2100" s="165"/>
      <c r="R2100" s="165"/>
      <c r="S2100" s="165"/>
      <c r="V2100" s="46"/>
      <c r="W2100" s="46"/>
      <c r="X2100" s="1"/>
      <c r="Y2100" s="1"/>
      <c r="Z2100" s="173"/>
      <c r="AA2100" s="1"/>
      <c r="AB2100" s="165"/>
      <c r="AC2100" s="1"/>
      <c r="AD2100" s="1"/>
      <c r="AE2100" s="1"/>
      <c r="AF2100" s="46"/>
      <c r="AG2100" s="1"/>
      <c r="AH2100" s="165"/>
      <c r="AI2100" s="165"/>
      <c r="AJ2100" s="165"/>
      <c r="AK2100" s="165"/>
      <c r="AL2100" s="165"/>
      <c r="AM2100" s="165"/>
      <c r="AN2100" s="165"/>
    </row>
    <row r="2101" spans="3:40">
      <c r="C2101" s="46"/>
      <c r="F2101" s="173"/>
      <c r="G2101" s="1"/>
      <c r="H2101" s="165"/>
      <c r="I2101" s="160"/>
      <c r="J2101" s="160"/>
      <c r="K2101" s="1"/>
      <c r="L2101" s="123"/>
      <c r="M2101" s="1"/>
      <c r="N2101" s="590"/>
      <c r="O2101" s="165"/>
      <c r="P2101" s="165"/>
      <c r="Q2101" s="165"/>
      <c r="R2101" s="165"/>
      <c r="S2101" s="165"/>
      <c r="V2101" s="46"/>
      <c r="W2101" s="46"/>
      <c r="X2101" s="1"/>
      <c r="Y2101" s="1"/>
      <c r="Z2101" s="173"/>
      <c r="AA2101" s="1"/>
      <c r="AB2101" s="165"/>
      <c r="AC2101" s="1"/>
      <c r="AD2101" s="1"/>
      <c r="AE2101" s="1"/>
      <c r="AF2101" s="46"/>
      <c r="AG2101" s="1"/>
      <c r="AH2101" s="165"/>
      <c r="AI2101" s="165"/>
      <c r="AJ2101" s="165"/>
      <c r="AK2101" s="165"/>
      <c r="AL2101" s="165"/>
      <c r="AM2101" s="165"/>
      <c r="AN2101" s="165"/>
    </row>
    <row r="2102" spans="3:40">
      <c r="C2102" s="46"/>
      <c r="F2102" s="173"/>
      <c r="G2102" s="1"/>
      <c r="H2102" s="165"/>
      <c r="I2102" s="160"/>
      <c r="J2102" s="160"/>
      <c r="K2102" s="1"/>
      <c r="L2102" s="123"/>
      <c r="M2102" s="1"/>
      <c r="N2102" s="590"/>
      <c r="O2102" s="165"/>
      <c r="P2102" s="165"/>
      <c r="Q2102" s="165"/>
      <c r="R2102" s="165"/>
      <c r="S2102" s="165"/>
      <c r="V2102" s="46"/>
      <c r="W2102" s="46"/>
      <c r="X2102" s="1"/>
      <c r="Y2102" s="1"/>
      <c r="Z2102" s="173"/>
      <c r="AA2102" s="1"/>
      <c r="AB2102" s="165"/>
      <c r="AC2102" s="1"/>
      <c r="AD2102" s="1"/>
      <c r="AE2102" s="1"/>
      <c r="AF2102" s="46"/>
      <c r="AG2102" s="1"/>
      <c r="AH2102" s="165"/>
      <c r="AI2102" s="165"/>
      <c r="AJ2102" s="165"/>
      <c r="AK2102" s="165"/>
      <c r="AL2102" s="165"/>
      <c r="AM2102" s="165"/>
      <c r="AN2102" s="165"/>
    </row>
    <row r="2103" spans="3:40">
      <c r="C2103" s="46"/>
      <c r="F2103" s="173"/>
      <c r="G2103" s="1"/>
      <c r="H2103" s="165"/>
      <c r="I2103" s="160"/>
      <c r="J2103" s="160"/>
      <c r="K2103" s="1"/>
      <c r="L2103" s="123"/>
      <c r="M2103" s="1"/>
      <c r="N2103" s="590"/>
      <c r="O2103" s="165"/>
      <c r="P2103" s="165"/>
      <c r="Q2103" s="165"/>
      <c r="R2103" s="165"/>
      <c r="S2103" s="165"/>
      <c r="V2103" s="46"/>
      <c r="W2103" s="46"/>
      <c r="X2103" s="1"/>
      <c r="Y2103" s="1"/>
      <c r="Z2103" s="173"/>
      <c r="AA2103" s="1"/>
      <c r="AB2103" s="165"/>
      <c r="AC2103" s="1"/>
      <c r="AD2103" s="1"/>
      <c r="AE2103" s="1"/>
      <c r="AF2103" s="46"/>
      <c r="AG2103" s="1"/>
      <c r="AH2103" s="165"/>
      <c r="AI2103" s="165"/>
      <c r="AJ2103" s="165"/>
      <c r="AK2103" s="165"/>
      <c r="AL2103" s="165"/>
      <c r="AM2103" s="165"/>
      <c r="AN2103" s="165"/>
    </row>
    <row r="2104" spans="3:40">
      <c r="C2104" s="46"/>
      <c r="F2104" s="173"/>
      <c r="G2104" s="1"/>
      <c r="H2104" s="165"/>
      <c r="I2104" s="160"/>
      <c r="J2104" s="160"/>
      <c r="K2104" s="1"/>
      <c r="L2104" s="123"/>
      <c r="M2104" s="1"/>
      <c r="N2104" s="590"/>
      <c r="O2104" s="165"/>
      <c r="P2104" s="165"/>
      <c r="Q2104" s="165"/>
      <c r="R2104" s="165"/>
      <c r="S2104" s="165"/>
      <c r="V2104" s="46"/>
      <c r="W2104" s="46"/>
      <c r="X2104" s="1"/>
      <c r="Y2104" s="1"/>
      <c r="Z2104" s="173"/>
      <c r="AA2104" s="1"/>
      <c r="AB2104" s="165"/>
      <c r="AC2104" s="1"/>
      <c r="AD2104" s="1"/>
      <c r="AE2104" s="1"/>
      <c r="AF2104" s="46"/>
      <c r="AG2104" s="1"/>
      <c r="AH2104" s="165"/>
      <c r="AI2104" s="165"/>
      <c r="AJ2104" s="165"/>
      <c r="AK2104" s="165"/>
      <c r="AL2104" s="165"/>
      <c r="AM2104" s="165"/>
      <c r="AN2104" s="165"/>
    </row>
    <row r="2105" spans="3:40">
      <c r="C2105" s="46"/>
      <c r="F2105" s="173"/>
      <c r="G2105" s="1"/>
      <c r="H2105" s="165"/>
      <c r="I2105" s="160"/>
      <c r="J2105" s="160"/>
      <c r="K2105" s="1"/>
      <c r="L2105" s="123"/>
      <c r="M2105" s="1"/>
      <c r="N2105" s="590"/>
      <c r="O2105" s="165"/>
      <c r="P2105" s="165"/>
      <c r="Q2105" s="165"/>
      <c r="R2105" s="165"/>
      <c r="S2105" s="165"/>
      <c r="V2105" s="46"/>
      <c r="W2105" s="46"/>
      <c r="X2105" s="1"/>
      <c r="Y2105" s="1"/>
      <c r="Z2105" s="173"/>
      <c r="AA2105" s="1"/>
      <c r="AB2105" s="165"/>
      <c r="AC2105" s="1"/>
      <c r="AD2105" s="1"/>
      <c r="AE2105" s="1"/>
      <c r="AF2105" s="46"/>
      <c r="AG2105" s="1"/>
      <c r="AH2105" s="165"/>
      <c r="AI2105" s="165"/>
      <c r="AJ2105" s="165"/>
      <c r="AK2105" s="165"/>
      <c r="AL2105" s="165"/>
      <c r="AM2105" s="165"/>
      <c r="AN2105" s="165"/>
    </row>
    <row r="2106" spans="3:40">
      <c r="C2106" s="46"/>
      <c r="F2106" s="173"/>
      <c r="G2106" s="1"/>
      <c r="H2106" s="165"/>
      <c r="I2106" s="160"/>
      <c r="J2106" s="160"/>
      <c r="K2106" s="1"/>
      <c r="L2106" s="123"/>
      <c r="M2106" s="1"/>
      <c r="N2106" s="590"/>
      <c r="O2106" s="165"/>
      <c r="P2106" s="165"/>
      <c r="Q2106" s="165"/>
      <c r="R2106" s="165"/>
      <c r="S2106" s="165"/>
      <c r="V2106" s="46"/>
      <c r="W2106" s="46"/>
      <c r="X2106" s="1"/>
      <c r="Y2106" s="1"/>
      <c r="Z2106" s="173"/>
      <c r="AA2106" s="1"/>
      <c r="AB2106" s="165"/>
      <c r="AC2106" s="1"/>
      <c r="AD2106" s="1"/>
      <c r="AE2106" s="1"/>
      <c r="AF2106" s="46"/>
      <c r="AG2106" s="1"/>
      <c r="AH2106" s="165"/>
      <c r="AI2106" s="165"/>
      <c r="AJ2106" s="165"/>
      <c r="AK2106" s="165"/>
      <c r="AL2106" s="165"/>
      <c r="AM2106" s="165"/>
      <c r="AN2106" s="165"/>
    </row>
    <row r="2107" spans="3:40">
      <c r="C2107" s="46"/>
      <c r="F2107" s="173"/>
      <c r="G2107" s="1"/>
      <c r="H2107" s="165"/>
      <c r="I2107" s="160"/>
      <c r="J2107" s="160"/>
      <c r="K2107" s="1"/>
      <c r="L2107" s="123"/>
      <c r="M2107" s="1"/>
      <c r="N2107" s="590"/>
      <c r="O2107" s="165"/>
      <c r="P2107" s="165"/>
      <c r="Q2107" s="165"/>
      <c r="R2107" s="165"/>
      <c r="S2107" s="165"/>
      <c r="V2107" s="46"/>
      <c r="W2107" s="46"/>
      <c r="X2107" s="1"/>
      <c r="Y2107" s="1"/>
      <c r="Z2107" s="173"/>
      <c r="AA2107" s="1"/>
      <c r="AB2107" s="165"/>
      <c r="AC2107" s="1"/>
      <c r="AD2107" s="1"/>
      <c r="AE2107" s="1"/>
      <c r="AF2107" s="46"/>
      <c r="AG2107" s="1"/>
      <c r="AH2107" s="165"/>
      <c r="AI2107" s="165"/>
      <c r="AJ2107" s="165"/>
      <c r="AK2107" s="165"/>
      <c r="AL2107" s="165"/>
      <c r="AM2107" s="165"/>
      <c r="AN2107" s="165"/>
    </row>
    <row r="2108" spans="3:40">
      <c r="C2108" s="46"/>
      <c r="F2108" s="173"/>
      <c r="G2108" s="1"/>
      <c r="H2108" s="165"/>
      <c r="I2108" s="160"/>
      <c r="J2108" s="160"/>
      <c r="K2108" s="1"/>
      <c r="L2108" s="123"/>
      <c r="M2108" s="1"/>
      <c r="N2108" s="590"/>
      <c r="O2108" s="165"/>
      <c r="P2108" s="165"/>
      <c r="Q2108" s="165"/>
      <c r="R2108" s="165"/>
      <c r="S2108" s="165"/>
      <c r="V2108" s="46"/>
      <c r="W2108" s="46"/>
      <c r="X2108" s="1"/>
      <c r="Y2108" s="1"/>
      <c r="Z2108" s="173"/>
      <c r="AA2108" s="1"/>
      <c r="AB2108" s="165"/>
      <c r="AC2108" s="1"/>
      <c r="AD2108" s="1"/>
      <c r="AE2108" s="1"/>
      <c r="AF2108" s="46"/>
      <c r="AG2108" s="1"/>
      <c r="AH2108" s="165"/>
      <c r="AI2108" s="165"/>
      <c r="AJ2108" s="165"/>
      <c r="AK2108" s="165"/>
      <c r="AL2108" s="165"/>
      <c r="AM2108" s="165"/>
      <c r="AN2108" s="165"/>
    </row>
    <row r="2109" spans="3:40">
      <c r="C2109" s="46"/>
      <c r="F2109" s="173"/>
      <c r="G2109" s="1"/>
      <c r="H2109" s="165"/>
      <c r="I2109" s="160"/>
      <c r="J2109" s="160"/>
      <c r="K2109" s="1"/>
      <c r="L2109" s="123"/>
      <c r="M2109" s="1"/>
      <c r="N2109" s="590"/>
      <c r="O2109" s="165"/>
      <c r="P2109" s="165"/>
      <c r="Q2109" s="165"/>
      <c r="R2109" s="165"/>
      <c r="S2109" s="165"/>
      <c r="V2109" s="46"/>
      <c r="W2109" s="46"/>
      <c r="X2109" s="1"/>
      <c r="Y2109" s="1"/>
      <c r="Z2109" s="173"/>
      <c r="AA2109" s="1"/>
      <c r="AB2109" s="165"/>
      <c r="AC2109" s="1"/>
      <c r="AD2109" s="1"/>
      <c r="AE2109" s="1"/>
      <c r="AF2109" s="46"/>
      <c r="AG2109" s="1"/>
      <c r="AH2109" s="165"/>
      <c r="AI2109" s="165"/>
      <c r="AJ2109" s="165"/>
      <c r="AK2109" s="165"/>
      <c r="AL2109" s="165"/>
      <c r="AM2109" s="165"/>
      <c r="AN2109" s="165"/>
    </row>
    <row r="2110" spans="3:40">
      <c r="C2110" s="46"/>
      <c r="F2110" s="173"/>
      <c r="G2110" s="1"/>
      <c r="H2110" s="165"/>
      <c r="I2110" s="160"/>
      <c r="J2110" s="160"/>
      <c r="K2110" s="1"/>
      <c r="L2110" s="123"/>
      <c r="M2110" s="1"/>
      <c r="N2110" s="590"/>
      <c r="O2110" s="165"/>
      <c r="P2110" s="165"/>
      <c r="Q2110" s="165"/>
      <c r="R2110" s="165"/>
      <c r="S2110" s="165"/>
      <c r="V2110" s="46"/>
      <c r="W2110" s="46"/>
      <c r="X2110" s="1"/>
      <c r="Y2110" s="1"/>
      <c r="Z2110" s="173"/>
      <c r="AA2110" s="1"/>
      <c r="AB2110" s="165"/>
      <c r="AC2110" s="1"/>
      <c r="AD2110" s="1"/>
      <c r="AE2110" s="1"/>
      <c r="AF2110" s="46"/>
      <c r="AG2110" s="1"/>
      <c r="AH2110" s="165"/>
      <c r="AI2110" s="165"/>
      <c r="AJ2110" s="165"/>
      <c r="AK2110" s="165"/>
      <c r="AL2110" s="165"/>
      <c r="AM2110" s="165"/>
      <c r="AN2110" s="165"/>
    </row>
    <row r="2111" spans="3:40">
      <c r="C2111" s="46"/>
      <c r="F2111" s="173"/>
      <c r="G2111" s="1"/>
      <c r="H2111" s="165"/>
      <c r="I2111" s="160"/>
      <c r="J2111" s="160"/>
      <c r="K2111" s="1"/>
      <c r="L2111" s="123"/>
      <c r="M2111" s="1"/>
      <c r="N2111" s="590"/>
      <c r="O2111" s="165"/>
      <c r="P2111" s="165"/>
      <c r="Q2111" s="165"/>
      <c r="R2111" s="165"/>
      <c r="S2111" s="165"/>
      <c r="V2111" s="46"/>
      <c r="W2111" s="46"/>
      <c r="X2111" s="1"/>
      <c r="Y2111" s="1"/>
      <c r="Z2111" s="173"/>
      <c r="AA2111" s="1"/>
      <c r="AB2111" s="165"/>
      <c r="AC2111" s="1"/>
      <c r="AD2111" s="1"/>
      <c r="AE2111" s="1"/>
      <c r="AF2111" s="46"/>
      <c r="AG2111" s="1"/>
      <c r="AH2111" s="165"/>
      <c r="AI2111" s="165"/>
      <c r="AJ2111" s="165"/>
      <c r="AK2111" s="165"/>
      <c r="AL2111" s="165"/>
      <c r="AM2111" s="165"/>
      <c r="AN2111" s="165"/>
    </row>
    <row r="2112" spans="3:40">
      <c r="C2112" s="46"/>
      <c r="F2112" s="173"/>
      <c r="G2112" s="1"/>
      <c r="H2112" s="165"/>
      <c r="I2112" s="160"/>
      <c r="J2112" s="160"/>
      <c r="K2112" s="1"/>
      <c r="L2112" s="123"/>
      <c r="M2112" s="1"/>
      <c r="N2112" s="590"/>
      <c r="O2112" s="165"/>
      <c r="P2112" s="165"/>
      <c r="Q2112" s="165"/>
      <c r="R2112" s="165"/>
      <c r="S2112" s="165"/>
      <c r="V2112" s="46"/>
      <c r="W2112" s="46"/>
      <c r="X2112" s="1"/>
      <c r="Y2112" s="1"/>
      <c r="Z2112" s="173"/>
      <c r="AA2112" s="1"/>
      <c r="AB2112" s="165"/>
      <c r="AC2112" s="1"/>
      <c r="AD2112" s="1"/>
      <c r="AE2112" s="1"/>
      <c r="AF2112" s="46"/>
      <c r="AG2112" s="1"/>
      <c r="AH2112" s="165"/>
      <c r="AI2112" s="165"/>
      <c r="AJ2112" s="165"/>
      <c r="AK2112" s="165"/>
      <c r="AL2112" s="165"/>
      <c r="AM2112" s="165"/>
      <c r="AN2112" s="165"/>
    </row>
    <row r="2113" spans="3:40">
      <c r="C2113" s="46"/>
      <c r="F2113" s="173"/>
      <c r="G2113" s="1"/>
      <c r="H2113" s="165"/>
      <c r="I2113" s="160"/>
      <c r="J2113" s="160"/>
      <c r="K2113" s="1"/>
      <c r="L2113" s="123"/>
      <c r="M2113" s="1"/>
      <c r="N2113" s="590"/>
      <c r="O2113" s="165"/>
      <c r="P2113" s="165"/>
      <c r="Q2113" s="165"/>
      <c r="R2113" s="165"/>
      <c r="S2113" s="165"/>
      <c r="V2113" s="46"/>
      <c r="W2113" s="46"/>
      <c r="X2113" s="1"/>
      <c r="Y2113" s="1"/>
      <c r="Z2113" s="173"/>
      <c r="AA2113" s="1"/>
      <c r="AB2113" s="165"/>
      <c r="AC2113" s="1"/>
      <c r="AD2113" s="1"/>
      <c r="AE2113" s="1"/>
      <c r="AF2113" s="46"/>
      <c r="AG2113" s="1"/>
      <c r="AH2113" s="165"/>
      <c r="AI2113" s="165"/>
      <c r="AJ2113" s="165"/>
      <c r="AK2113" s="165"/>
      <c r="AL2113" s="165"/>
      <c r="AM2113" s="165"/>
      <c r="AN2113" s="165"/>
    </row>
    <row r="2114" spans="3:40">
      <c r="C2114" s="46"/>
      <c r="F2114" s="173"/>
      <c r="G2114" s="1"/>
      <c r="H2114" s="165"/>
      <c r="I2114" s="160"/>
      <c r="J2114" s="160"/>
      <c r="K2114" s="1"/>
      <c r="L2114" s="123"/>
      <c r="M2114" s="1"/>
      <c r="N2114" s="590"/>
      <c r="O2114" s="165"/>
      <c r="P2114" s="165"/>
      <c r="Q2114" s="165"/>
      <c r="R2114" s="165"/>
      <c r="S2114" s="165"/>
      <c r="V2114" s="46"/>
      <c r="W2114" s="46"/>
      <c r="X2114" s="1"/>
      <c r="Y2114" s="1"/>
      <c r="Z2114" s="173"/>
      <c r="AA2114" s="1"/>
      <c r="AB2114" s="165"/>
      <c r="AC2114" s="1"/>
      <c r="AD2114" s="1"/>
      <c r="AE2114" s="1"/>
      <c r="AF2114" s="46"/>
      <c r="AG2114" s="1"/>
      <c r="AH2114" s="165"/>
      <c r="AI2114" s="165"/>
      <c r="AJ2114" s="165"/>
      <c r="AK2114" s="165"/>
      <c r="AL2114" s="165"/>
      <c r="AM2114" s="165"/>
      <c r="AN2114" s="165"/>
    </row>
    <row r="2115" spans="3:40">
      <c r="C2115" s="46"/>
      <c r="F2115" s="173"/>
      <c r="G2115" s="1"/>
      <c r="H2115" s="165"/>
      <c r="I2115" s="160"/>
      <c r="J2115" s="160"/>
      <c r="K2115" s="1"/>
      <c r="L2115" s="123"/>
      <c r="M2115" s="1"/>
      <c r="N2115" s="590"/>
      <c r="O2115" s="165"/>
      <c r="P2115" s="165"/>
      <c r="Q2115" s="165"/>
      <c r="R2115" s="165"/>
      <c r="S2115" s="165"/>
      <c r="V2115" s="46"/>
      <c r="W2115" s="46"/>
      <c r="X2115" s="1"/>
      <c r="Y2115" s="1"/>
      <c r="Z2115" s="173"/>
      <c r="AA2115" s="1"/>
      <c r="AB2115" s="165"/>
      <c r="AC2115" s="1"/>
      <c r="AD2115" s="1"/>
      <c r="AE2115" s="1"/>
      <c r="AF2115" s="46"/>
      <c r="AG2115" s="1"/>
      <c r="AH2115" s="165"/>
      <c r="AI2115" s="165"/>
      <c r="AJ2115" s="165"/>
      <c r="AK2115" s="165"/>
      <c r="AL2115" s="165"/>
      <c r="AM2115" s="165"/>
      <c r="AN2115" s="165"/>
    </row>
    <row r="2116" spans="3:40">
      <c r="C2116" s="46"/>
      <c r="F2116" s="173"/>
      <c r="G2116" s="1"/>
      <c r="H2116" s="165"/>
      <c r="I2116" s="160"/>
      <c r="J2116" s="160"/>
      <c r="K2116" s="1"/>
      <c r="L2116" s="123"/>
      <c r="M2116" s="1"/>
      <c r="N2116" s="590"/>
      <c r="O2116" s="165"/>
      <c r="P2116" s="165"/>
      <c r="Q2116" s="165"/>
      <c r="R2116" s="165"/>
      <c r="S2116" s="165"/>
      <c r="V2116" s="46"/>
      <c r="W2116" s="46"/>
      <c r="X2116" s="1"/>
      <c r="Y2116" s="1"/>
      <c r="Z2116" s="173"/>
      <c r="AA2116" s="1"/>
      <c r="AB2116" s="165"/>
      <c r="AC2116" s="1"/>
      <c r="AD2116" s="1"/>
      <c r="AE2116" s="1"/>
      <c r="AF2116" s="46"/>
      <c r="AG2116" s="1"/>
      <c r="AH2116" s="165"/>
      <c r="AI2116" s="165"/>
      <c r="AJ2116" s="165"/>
      <c r="AK2116" s="165"/>
      <c r="AL2116" s="165"/>
      <c r="AM2116" s="165"/>
      <c r="AN2116" s="165"/>
    </row>
    <row r="2117" spans="3:40">
      <c r="C2117" s="46"/>
      <c r="F2117" s="173"/>
      <c r="G2117" s="1"/>
      <c r="H2117" s="165"/>
      <c r="I2117" s="160"/>
      <c r="J2117" s="160"/>
      <c r="K2117" s="1"/>
      <c r="L2117" s="123"/>
      <c r="M2117" s="1"/>
      <c r="N2117" s="590"/>
      <c r="O2117" s="165"/>
      <c r="P2117" s="165"/>
      <c r="Q2117" s="165"/>
      <c r="R2117" s="165"/>
      <c r="S2117" s="165"/>
      <c r="V2117" s="46"/>
      <c r="W2117" s="46"/>
      <c r="X2117" s="1"/>
      <c r="Y2117" s="1"/>
      <c r="Z2117" s="173"/>
      <c r="AA2117" s="1"/>
      <c r="AB2117" s="165"/>
      <c r="AC2117" s="1"/>
      <c r="AD2117" s="1"/>
      <c r="AE2117" s="1"/>
      <c r="AF2117" s="46"/>
      <c r="AG2117" s="1"/>
      <c r="AH2117" s="165"/>
      <c r="AI2117" s="165"/>
      <c r="AJ2117" s="165"/>
      <c r="AK2117" s="165"/>
      <c r="AL2117" s="165"/>
      <c r="AM2117" s="165"/>
      <c r="AN2117" s="165"/>
    </row>
    <row r="2118" spans="3:40">
      <c r="C2118" s="46"/>
      <c r="F2118" s="173"/>
      <c r="G2118" s="1"/>
      <c r="H2118" s="165"/>
      <c r="I2118" s="160"/>
      <c r="J2118" s="160"/>
      <c r="K2118" s="1"/>
      <c r="L2118" s="123"/>
      <c r="M2118" s="1"/>
      <c r="N2118" s="590"/>
      <c r="O2118" s="165"/>
      <c r="P2118" s="165"/>
      <c r="Q2118" s="165"/>
      <c r="R2118" s="165"/>
      <c r="S2118" s="165"/>
      <c r="V2118" s="46"/>
      <c r="W2118" s="46"/>
      <c r="X2118" s="1"/>
      <c r="Y2118" s="1"/>
      <c r="Z2118" s="173"/>
      <c r="AA2118" s="1"/>
      <c r="AB2118" s="165"/>
      <c r="AC2118" s="1"/>
      <c r="AD2118" s="1"/>
      <c r="AE2118" s="1"/>
      <c r="AF2118" s="46"/>
      <c r="AG2118" s="1"/>
      <c r="AH2118" s="165"/>
      <c r="AI2118" s="165"/>
      <c r="AJ2118" s="165"/>
      <c r="AK2118" s="165"/>
      <c r="AL2118" s="165"/>
      <c r="AM2118" s="165"/>
      <c r="AN2118" s="165"/>
    </row>
    <row r="2119" spans="3:40">
      <c r="C2119" s="46"/>
      <c r="F2119" s="173"/>
      <c r="G2119" s="1"/>
      <c r="H2119" s="165"/>
      <c r="I2119" s="160"/>
      <c r="J2119" s="160"/>
      <c r="K2119" s="1"/>
      <c r="L2119" s="123"/>
      <c r="M2119" s="1"/>
      <c r="N2119" s="590"/>
      <c r="O2119" s="165"/>
      <c r="P2119" s="165"/>
      <c r="Q2119" s="165"/>
      <c r="R2119" s="165"/>
      <c r="S2119" s="165"/>
      <c r="V2119" s="46"/>
      <c r="W2119" s="46"/>
      <c r="X2119" s="1"/>
      <c r="Y2119" s="1"/>
      <c r="Z2119" s="173"/>
      <c r="AA2119" s="1"/>
      <c r="AB2119" s="165"/>
      <c r="AC2119" s="1"/>
      <c r="AD2119" s="1"/>
      <c r="AE2119" s="1"/>
      <c r="AF2119" s="46"/>
      <c r="AG2119" s="1"/>
      <c r="AH2119" s="165"/>
      <c r="AI2119" s="165"/>
      <c r="AJ2119" s="165"/>
      <c r="AK2119" s="165"/>
      <c r="AL2119" s="165"/>
      <c r="AM2119" s="165"/>
      <c r="AN2119" s="165"/>
    </row>
    <row r="2120" spans="3:40">
      <c r="C2120" s="46"/>
      <c r="F2120" s="173"/>
      <c r="G2120" s="1"/>
      <c r="H2120" s="165"/>
      <c r="I2120" s="160"/>
      <c r="J2120" s="160"/>
      <c r="K2120" s="1"/>
      <c r="L2120" s="123"/>
      <c r="M2120" s="1"/>
      <c r="N2120" s="590"/>
      <c r="O2120" s="165"/>
      <c r="P2120" s="165"/>
      <c r="Q2120" s="165"/>
      <c r="R2120" s="165"/>
      <c r="S2120" s="165"/>
      <c r="V2120" s="46"/>
      <c r="W2120" s="46"/>
      <c r="X2120" s="1"/>
      <c r="Y2120" s="1"/>
      <c r="Z2120" s="173"/>
      <c r="AA2120" s="1"/>
      <c r="AB2120" s="165"/>
      <c r="AC2120" s="1"/>
      <c r="AD2120" s="1"/>
      <c r="AE2120" s="1"/>
      <c r="AF2120" s="46"/>
      <c r="AG2120" s="1"/>
      <c r="AH2120" s="165"/>
      <c r="AI2120" s="165"/>
      <c r="AJ2120" s="165"/>
      <c r="AK2120" s="165"/>
      <c r="AL2120" s="165"/>
      <c r="AM2120" s="165"/>
      <c r="AN2120" s="165"/>
    </row>
    <row r="2121" spans="3:40">
      <c r="C2121" s="46"/>
      <c r="F2121" s="173"/>
      <c r="G2121" s="1"/>
      <c r="H2121" s="165"/>
      <c r="I2121" s="160"/>
      <c r="J2121" s="160"/>
      <c r="K2121" s="1"/>
      <c r="L2121" s="123"/>
      <c r="M2121" s="1"/>
      <c r="N2121" s="590"/>
      <c r="O2121" s="165"/>
      <c r="P2121" s="165"/>
      <c r="Q2121" s="165"/>
      <c r="R2121" s="165"/>
      <c r="S2121" s="165"/>
      <c r="V2121" s="46"/>
      <c r="W2121" s="46"/>
      <c r="X2121" s="1"/>
      <c r="Y2121" s="1"/>
      <c r="Z2121" s="173"/>
      <c r="AA2121" s="1"/>
      <c r="AB2121" s="165"/>
      <c r="AC2121" s="1"/>
      <c r="AD2121" s="1"/>
      <c r="AE2121" s="1"/>
      <c r="AF2121" s="46"/>
      <c r="AG2121" s="1"/>
      <c r="AH2121" s="165"/>
      <c r="AI2121" s="165"/>
      <c r="AJ2121" s="165"/>
      <c r="AK2121" s="165"/>
      <c r="AL2121" s="165"/>
      <c r="AM2121" s="165"/>
      <c r="AN2121" s="165"/>
    </row>
    <row r="2122" spans="3:40">
      <c r="C2122" s="46"/>
      <c r="F2122" s="173"/>
      <c r="G2122" s="1"/>
      <c r="H2122" s="165"/>
      <c r="I2122" s="160"/>
      <c r="J2122" s="160"/>
      <c r="K2122" s="1"/>
      <c r="L2122" s="123"/>
      <c r="M2122" s="1"/>
      <c r="N2122" s="590"/>
      <c r="O2122" s="165"/>
      <c r="P2122" s="165"/>
      <c r="Q2122" s="165"/>
      <c r="R2122" s="165"/>
      <c r="S2122" s="165"/>
      <c r="V2122" s="46"/>
      <c r="W2122" s="46"/>
      <c r="X2122" s="1"/>
      <c r="Y2122" s="1"/>
      <c r="Z2122" s="173"/>
      <c r="AA2122" s="1"/>
      <c r="AB2122" s="165"/>
      <c r="AC2122" s="1"/>
      <c r="AD2122" s="1"/>
      <c r="AE2122" s="1"/>
      <c r="AF2122" s="46"/>
      <c r="AG2122" s="1"/>
      <c r="AH2122" s="165"/>
      <c r="AI2122" s="165"/>
      <c r="AJ2122" s="165"/>
      <c r="AK2122" s="165"/>
      <c r="AL2122" s="165"/>
      <c r="AM2122" s="165"/>
      <c r="AN2122" s="165"/>
    </row>
    <row r="2123" spans="3:40">
      <c r="C2123" s="46"/>
      <c r="F2123" s="173"/>
      <c r="G2123" s="1"/>
      <c r="H2123" s="165"/>
      <c r="I2123" s="160"/>
      <c r="J2123" s="160"/>
      <c r="K2123" s="1"/>
      <c r="L2123" s="123"/>
      <c r="M2123" s="1"/>
      <c r="N2123" s="590"/>
      <c r="O2123" s="165"/>
      <c r="P2123" s="165"/>
      <c r="Q2123" s="165"/>
      <c r="R2123" s="165"/>
      <c r="S2123" s="165"/>
      <c r="V2123" s="46"/>
      <c r="W2123" s="46"/>
      <c r="X2123" s="1"/>
      <c r="Y2123" s="1"/>
      <c r="Z2123" s="173"/>
      <c r="AA2123" s="1"/>
      <c r="AB2123" s="165"/>
      <c r="AC2123" s="1"/>
      <c r="AD2123" s="1"/>
      <c r="AE2123" s="1"/>
      <c r="AF2123" s="46"/>
      <c r="AG2123" s="1"/>
      <c r="AH2123" s="165"/>
      <c r="AI2123" s="165"/>
      <c r="AJ2123" s="165"/>
      <c r="AK2123" s="165"/>
      <c r="AL2123" s="165"/>
      <c r="AM2123" s="165"/>
      <c r="AN2123" s="165"/>
    </row>
    <row r="2124" spans="3:40">
      <c r="C2124" s="46"/>
      <c r="F2124" s="173"/>
      <c r="G2124" s="1"/>
      <c r="H2124" s="165"/>
      <c r="I2124" s="160"/>
      <c r="J2124" s="160"/>
      <c r="K2124" s="1"/>
      <c r="L2124" s="123"/>
      <c r="M2124" s="1"/>
      <c r="N2124" s="590"/>
      <c r="O2124" s="165"/>
      <c r="P2124" s="165"/>
      <c r="Q2124" s="165"/>
      <c r="R2124" s="165"/>
      <c r="S2124" s="165"/>
      <c r="V2124" s="46"/>
      <c r="W2124" s="46"/>
      <c r="X2124" s="1"/>
      <c r="Y2124" s="1"/>
      <c r="Z2124" s="173"/>
      <c r="AA2124" s="1"/>
      <c r="AB2124" s="165"/>
      <c r="AC2124" s="1"/>
      <c r="AD2124" s="1"/>
      <c r="AE2124" s="1"/>
      <c r="AF2124" s="46"/>
      <c r="AG2124" s="1"/>
      <c r="AH2124" s="165"/>
      <c r="AI2124" s="165"/>
      <c r="AJ2124" s="165"/>
      <c r="AK2124" s="165"/>
      <c r="AL2124" s="165"/>
      <c r="AM2124" s="165"/>
      <c r="AN2124" s="165"/>
    </row>
    <row r="2125" spans="3:40">
      <c r="C2125" s="46"/>
      <c r="F2125" s="173"/>
      <c r="G2125" s="1"/>
      <c r="H2125" s="165"/>
      <c r="I2125" s="160"/>
      <c r="J2125" s="160"/>
      <c r="K2125" s="1"/>
      <c r="L2125" s="123"/>
      <c r="M2125" s="1"/>
      <c r="N2125" s="590"/>
      <c r="O2125" s="165"/>
      <c r="P2125" s="165"/>
      <c r="Q2125" s="165"/>
      <c r="R2125" s="165"/>
      <c r="S2125" s="165"/>
      <c r="V2125" s="46"/>
      <c r="W2125" s="46"/>
      <c r="X2125" s="1"/>
      <c r="Y2125" s="1"/>
      <c r="Z2125" s="173"/>
      <c r="AA2125" s="1"/>
      <c r="AB2125" s="165"/>
      <c r="AC2125" s="1"/>
      <c r="AD2125" s="1"/>
      <c r="AE2125" s="1"/>
      <c r="AF2125" s="46"/>
      <c r="AG2125" s="1"/>
      <c r="AH2125" s="165"/>
      <c r="AI2125" s="165"/>
      <c r="AJ2125" s="165"/>
      <c r="AK2125" s="165"/>
      <c r="AL2125" s="165"/>
      <c r="AM2125" s="165"/>
      <c r="AN2125" s="165"/>
    </row>
    <row r="2126" spans="3:40">
      <c r="C2126" s="46"/>
      <c r="F2126" s="173"/>
      <c r="G2126" s="1"/>
      <c r="H2126" s="165"/>
      <c r="I2126" s="160"/>
      <c r="J2126" s="160"/>
      <c r="K2126" s="1"/>
      <c r="L2126" s="123"/>
      <c r="M2126" s="1"/>
      <c r="N2126" s="590"/>
      <c r="O2126" s="165"/>
      <c r="P2126" s="165"/>
      <c r="Q2126" s="165"/>
      <c r="R2126" s="165"/>
      <c r="S2126" s="165"/>
      <c r="V2126" s="46"/>
      <c r="W2126" s="46"/>
      <c r="X2126" s="1"/>
      <c r="Y2126" s="1"/>
      <c r="Z2126" s="173"/>
      <c r="AA2126" s="1"/>
      <c r="AB2126" s="165"/>
      <c r="AC2126" s="1"/>
      <c r="AD2126" s="1"/>
      <c r="AE2126" s="1"/>
      <c r="AF2126" s="46"/>
      <c r="AG2126" s="1"/>
      <c r="AH2126" s="165"/>
      <c r="AI2126" s="165"/>
      <c r="AJ2126" s="165"/>
      <c r="AK2126" s="165"/>
      <c r="AL2126" s="165"/>
      <c r="AM2126" s="165"/>
      <c r="AN2126" s="165"/>
    </row>
    <row r="2127" spans="3:40">
      <c r="C2127" s="46"/>
      <c r="F2127" s="173"/>
      <c r="G2127" s="1"/>
      <c r="H2127" s="165"/>
      <c r="I2127" s="160"/>
      <c r="J2127" s="160"/>
      <c r="K2127" s="1"/>
      <c r="L2127" s="123"/>
      <c r="M2127" s="1"/>
      <c r="N2127" s="590"/>
      <c r="O2127" s="165"/>
      <c r="P2127" s="165"/>
      <c r="Q2127" s="165"/>
      <c r="R2127" s="165"/>
      <c r="S2127" s="165"/>
      <c r="V2127" s="46"/>
      <c r="W2127" s="46"/>
      <c r="X2127" s="1"/>
      <c r="Y2127" s="1"/>
      <c r="Z2127" s="173"/>
      <c r="AA2127" s="1"/>
      <c r="AB2127" s="165"/>
      <c r="AC2127" s="1"/>
      <c r="AD2127" s="1"/>
      <c r="AE2127" s="1"/>
      <c r="AF2127" s="46"/>
      <c r="AG2127" s="1"/>
      <c r="AH2127" s="165"/>
      <c r="AI2127" s="165"/>
      <c r="AJ2127" s="165"/>
      <c r="AK2127" s="165"/>
      <c r="AL2127" s="165"/>
      <c r="AM2127" s="165"/>
      <c r="AN2127" s="165"/>
    </row>
    <row r="2128" spans="3:40">
      <c r="C2128" s="46"/>
      <c r="F2128" s="173"/>
      <c r="G2128" s="1"/>
      <c r="H2128" s="165"/>
      <c r="I2128" s="160"/>
      <c r="J2128" s="160"/>
      <c r="K2128" s="1"/>
      <c r="L2128" s="123"/>
      <c r="M2128" s="1"/>
      <c r="N2128" s="590"/>
      <c r="O2128" s="165"/>
      <c r="P2128" s="165"/>
      <c r="Q2128" s="165"/>
      <c r="R2128" s="165"/>
      <c r="S2128" s="165"/>
      <c r="V2128" s="46"/>
      <c r="W2128" s="46"/>
      <c r="X2128" s="1"/>
      <c r="Y2128" s="1"/>
      <c r="Z2128" s="173"/>
      <c r="AA2128" s="1"/>
      <c r="AB2128" s="165"/>
      <c r="AC2128" s="1"/>
      <c r="AD2128" s="1"/>
      <c r="AE2128" s="1"/>
      <c r="AF2128" s="46"/>
      <c r="AG2128" s="1"/>
      <c r="AH2128" s="165"/>
      <c r="AI2128" s="165"/>
      <c r="AJ2128" s="165"/>
      <c r="AK2128" s="165"/>
      <c r="AL2128" s="165"/>
      <c r="AM2128" s="165"/>
      <c r="AN2128" s="165"/>
    </row>
    <row r="2129" spans="3:40">
      <c r="C2129" s="46"/>
      <c r="F2129" s="173"/>
      <c r="G2129" s="1"/>
      <c r="H2129" s="165"/>
      <c r="I2129" s="160"/>
      <c r="J2129" s="160"/>
      <c r="K2129" s="1"/>
      <c r="L2129" s="123"/>
      <c r="M2129" s="1"/>
      <c r="N2129" s="590"/>
      <c r="O2129" s="165"/>
      <c r="P2129" s="165"/>
      <c r="Q2129" s="165"/>
      <c r="R2129" s="165"/>
      <c r="S2129" s="165"/>
      <c r="V2129" s="46"/>
      <c r="W2129" s="46"/>
      <c r="X2129" s="1"/>
      <c r="Y2129" s="1"/>
      <c r="Z2129" s="173"/>
      <c r="AA2129" s="1"/>
      <c r="AB2129" s="165"/>
      <c r="AC2129" s="1"/>
      <c r="AD2129" s="1"/>
      <c r="AE2129" s="1"/>
      <c r="AF2129" s="46"/>
      <c r="AG2129" s="1"/>
      <c r="AH2129" s="165"/>
      <c r="AI2129" s="165"/>
      <c r="AJ2129" s="165"/>
      <c r="AK2129" s="165"/>
      <c r="AL2129" s="165"/>
      <c r="AM2129" s="165"/>
      <c r="AN2129" s="165"/>
    </row>
    <row r="2130" spans="3:40">
      <c r="C2130" s="46"/>
      <c r="F2130" s="173"/>
      <c r="G2130" s="1"/>
      <c r="H2130" s="165"/>
      <c r="I2130" s="160"/>
      <c r="J2130" s="160"/>
      <c r="K2130" s="1"/>
      <c r="L2130" s="123"/>
      <c r="M2130" s="1"/>
      <c r="N2130" s="590"/>
      <c r="O2130" s="165"/>
      <c r="P2130" s="165"/>
      <c r="Q2130" s="165"/>
      <c r="R2130" s="165"/>
      <c r="S2130" s="165"/>
      <c r="V2130" s="46"/>
      <c r="W2130" s="46"/>
      <c r="X2130" s="1"/>
      <c r="Y2130" s="1"/>
      <c r="Z2130" s="173"/>
      <c r="AA2130" s="1"/>
      <c r="AB2130" s="165"/>
      <c r="AC2130" s="1"/>
      <c r="AD2130" s="1"/>
      <c r="AE2130" s="1"/>
      <c r="AF2130" s="46"/>
      <c r="AG2130" s="1"/>
      <c r="AH2130" s="165"/>
      <c r="AI2130" s="165"/>
      <c r="AJ2130" s="165"/>
      <c r="AK2130" s="165"/>
      <c r="AL2130" s="165"/>
      <c r="AM2130" s="165"/>
      <c r="AN2130" s="165"/>
    </row>
    <row r="2131" spans="3:40">
      <c r="C2131" s="46"/>
      <c r="F2131" s="173"/>
      <c r="G2131" s="1"/>
      <c r="H2131" s="165"/>
      <c r="I2131" s="160"/>
      <c r="J2131" s="160"/>
      <c r="K2131" s="1"/>
      <c r="L2131" s="123"/>
      <c r="M2131" s="1"/>
      <c r="N2131" s="590"/>
      <c r="O2131" s="165"/>
      <c r="P2131" s="165"/>
      <c r="Q2131" s="165"/>
      <c r="R2131" s="165"/>
      <c r="S2131" s="165"/>
      <c r="V2131" s="46"/>
      <c r="W2131" s="46"/>
      <c r="X2131" s="1"/>
      <c r="Y2131" s="1"/>
      <c r="Z2131" s="173"/>
      <c r="AA2131" s="1"/>
      <c r="AB2131" s="165"/>
      <c r="AC2131" s="1"/>
      <c r="AD2131" s="1"/>
      <c r="AE2131" s="1"/>
      <c r="AF2131" s="46"/>
      <c r="AG2131" s="1"/>
      <c r="AH2131" s="165"/>
      <c r="AI2131" s="165"/>
      <c r="AJ2131" s="165"/>
      <c r="AK2131" s="165"/>
      <c r="AL2131" s="165"/>
      <c r="AM2131" s="165"/>
      <c r="AN2131" s="165"/>
    </row>
    <row r="2132" spans="3:40">
      <c r="C2132" s="46"/>
      <c r="F2132" s="173"/>
      <c r="G2132" s="1"/>
      <c r="H2132" s="165"/>
      <c r="I2132" s="160"/>
      <c r="J2132" s="160"/>
      <c r="K2132" s="1"/>
      <c r="L2132" s="123"/>
      <c r="M2132" s="1"/>
      <c r="N2132" s="590"/>
      <c r="O2132" s="165"/>
      <c r="P2132" s="165"/>
      <c r="Q2132" s="165"/>
      <c r="R2132" s="165"/>
      <c r="S2132" s="165"/>
      <c r="V2132" s="46"/>
      <c r="W2132" s="46"/>
      <c r="X2132" s="1"/>
      <c r="Y2132" s="1"/>
      <c r="Z2132" s="173"/>
      <c r="AA2132" s="1"/>
      <c r="AB2132" s="165"/>
      <c r="AC2132" s="1"/>
      <c r="AD2132" s="1"/>
      <c r="AE2132" s="1"/>
      <c r="AF2132" s="46"/>
      <c r="AG2132" s="1"/>
      <c r="AH2132" s="165"/>
      <c r="AI2132" s="165"/>
      <c r="AJ2132" s="165"/>
      <c r="AK2132" s="165"/>
      <c r="AL2132" s="165"/>
      <c r="AM2132" s="165"/>
      <c r="AN2132" s="165"/>
    </row>
    <row r="2133" spans="3:40">
      <c r="C2133" s="46"/>
      <c r="F2133" s="173"/>
      <c r="G2133" s="1"/>
      <c r="H2133" s="165"/>
      <c r="I2133" s="160"/>
      <c r="J2133" s="160"/>
      <c r="K2133" s="1"/>
      <c r="L2133" s="123"/>
      <c r="M2133" s="1"/>
      <c r="N2133" s="590"/>
      <c r="O2133" s="165"/>
      <c r="P2133" s="165"/>
      <c r="Q2133" s="165"/>
      <c r="R2133" s="165"/>
      <c r="S2133" s="165"/>
      <c r="V2133" s="46"/>
      <c r="W2133" s="46"/>
      <c r="X2133" s="1"/>
      <c r="Y2133" s="1"/>
      <c r="Z2133" s="173"/>
      <c r="AA2133" s="1"/>
      <c r="AB2133" s="165"/>
      <c r="AC2133" s="1"/>
      <c r="AD2133" s="1"/>
      <c r="AE2133" s="1"/>
      <c r="AF2133" s="46"/>
      <c r="AG2133" s="1"/>
      <c r="AH2133" s="165"/>
      <c r="AI2133" s="165"/>
      <c r="AJ2133" s="165"/>
      <c r="AK2133" s="165"/>
      <c r="AL2133" s="165"/>
      <c r="AM2133" s="165"/>
      <c r="AN2133" s="165"/>
    </row>
    <row r="2134" spans="3:40">
      <c r="C2134" s="46"/>
      <c r="F2134" s="173"/>
      <c r="G2134" s="1"/>
      <c r="H2134" s="165"/>
      <c r="I2134" s="160"/>
      <c r="J2134" s="160"/>
      <c r="K2134" s="1"/>
      <c r="L2134" s="123"/>
      <c r="M2134" s="1"/>
      <c r="N2134" s="590"/>
      <c r="O2134" s="165"/>
      <c r="P2134" s="165"/>
      <c r="Q2134" s="165"/>
      <c r="R2134" s="165"/>
      <c r="S2134" s="165"/>
      <c r="V2134" s="46"/>
      <c r="W2134" s="46"/>
      <c r="X2134" s="1"/>
      <c r="Y2134" s="1"/>
      <c r="Z2134" s="173"/>
      <c r="AA2134" s="1"/>
      <c r="AB2134" s="165"/>
      <c r="AC2134" s="1"/>
      <c r="AD2134" s="1"/>
      <c r="AE2134" s="1"/>
      <c r="AF2134" s="46"/>
      <c r="AG2134" s="1"/>
      <c r="AH2134" s="165"/>
      <c r="AI2134" s="165"/>
      <c r="AJ2134" s="165"/>
      <c r="AK2134" s="165"/>
      <c r="AL2134" s="165"/>
      <c r="AM2134" s="165"/>
      <c r="AN2134" s="165"/>
    </row>
    <row r="2135" spans="3:40">
      <c r="C2135" s="46"/>
      <c r="F2135" s="173"/>
      <c r="G2135" s="1"/>
      <c r="H2135" s="165"/>
      <c r="I2135" s="160"/>
      <c r="J2135" s="160"/>
      <c r="K2135" s="1"/>
      <c r="L2135" s="123"/>
      <c r="M2135" s="1"/>
      <c r="N2135" s="590"/>
      <c r="O2135" s="165"/>
      <c r="P2135" s="165"/>
      <c r="Q2135" s="165"/>
      <c r="R2135" s="165"/>
      <c r="S2135" s="165"/>
      <c r="V2135" s="46"/>
      <c r="W2135" s="46"/>
      <c r="X2135" s="1"/>
      <c r="Y2135" s="1"/>
      <c r="Z2135" s="173"/>
      <c r="AA2135" s="1"/>
      <c r="AB2135" s="165"/>
      <c r="AC2135" s="1"/>
      <c r="AD2135" s="1"/>
      <c r="AE2135" s="1"/>
      <c r="AF2135" s="46"/>
      <c r="AG2135" s="1"/>
      <c r="AH2135" s="165"/>
      <c r="AI2135" s="165"/>
      <c r="AJ2135" s="165"/>
      <c r="AK2135" s="165"/>
      <c r="AL2135" s="165"/>
      <c r="AM2135" s="165"/>
      <c r="AN2135" s="165"/>
    </row>
    <row r="2136" spans="3:40">
      <c r="C2136" s="46"/>
      <c r="F2136" s="173"/>
      <c r="G2136" s="1"/>
      <c r="H2136" s="165"/>
      <c r="I2136" s="160"/>
      <c r="J2136" s="160"/>
      <c r="K2136" s="1"/>
      <c r="L2136" s="123"/>
      <c r="M2136" s="1"/>
      <c r="N2136" s="590"/>
      <c r="O2136" s="165"/>
      <c r="P2136" s="165"/>
      <c r="Q2136" s="165"/>
      <c r="R2136" s="165"/>
      <c r="S2136" s="165"/>
      <c r="V2136" s="46"/>
      <c r="W2136" s="46"/>
      <c r="X2136" s="1"/>
      <c r="Y2136" s="1"/>
      <c r="Z2136" s="173"/>
      <c r="AA2136" s="1"/>
      <c r="AB2136" s="165"/>
      <c r="AC2136" s="1"/>
      <c r="AD2136" s="1"/>
      <c r="AE2136" s="1"/>
      <c r="AF2136" s="46"/>
      <c r="AG2136" s="1"/>
      <c r="AH2136" s="165"/>
      <c r="AI2136" s="165"/>
      <c r="AJ2136" s="165"/>
      <c r="AK2136" s="165"/>
      <c r="AL2136" s="165"/>
      <c r="AM2136" s="165"/>
      <c r="AN2136" s="165"/>
    </row>
    <row r="2137" spans="3:40">
      <c r="C2137" s="46"/>
      <c r="F2137" s="173"/>
      <c r="G2137" s="1"/>
      <c r="H2137" s="165"/>
      <c r="I2137" s="160"/>
      <c r="J2137" s="160"/>
      <c r="K2137" s="1"/>
      <c r="L2137" s="123"/>
      <c r="M2137" s="1"/>
      <c r="N2137" s="590"/>
      <c r="O2137" s="165"/>
      <c r="P2137" s="165"/>
      <c r="Q2137" s="165"/>
      <c r="R2137" s="165"/>
      <c r="S2137" s="165"/>
      <c r="V2137" s="46"/>
      <c r="W2137" s="46"/>
      <c r="X2137" s="1"/>
      <c r="Y2137" s="1"/>
      <c r="Z2137" s="173"/>
      <c r="AA2137" s="1"/>
      <c r="AB2137" s="165"/>
      <c r="AC2137" s="1"/>
      <c r="AD2137" s="1"/>
      <c r="AE2137" s="1"/>
      <c r="AF2137" s="46"/>
      <c r="AG2137" s="1"/>
      <c r="AH2137" s="165"/>
      <c r="AI2137" s="165"/>
      <c r="AJ2137" s="165"/>
      <c r="AK2137" s="165"/>
      <c r="AL2137" s="165"/>
      <c r="AM2137" s="165"/>
      <c r="AN2137" s="165"/>
    </row>
    <row r="2138" spans="3:40">
      <c r="C2138" s="46"/>
      <c r="F2138" s="173"/>
      <c r="G2138" s="1"/>
      <c r="H2138" s="165"/>
      <c r="I2138" s="160"/>
      <c r="J2138" s="160"/>
      <c r="K2138" s="1"/>
      <c r="L2138" s="123"/>
      <c r="M2138" s="1"/>
      <c r="N2138" s="590"/>
      <c r="O2138" s="165"/>
      <c r="P2138" s="165"/>
      <c r="Q2138" s="165"/>
      <c r="R2138" s="165"/>
      <c r="S2138" s="165"/>
      <c r="V2138" s="46"/>
      <c r="W2138" s="46"/>
      <c r="X2138" s="1"/>
      <c r="Y2138" s="1"/>
      <c r="Z2138" s="173"/>
      <c r="AA2138" s="1"/>
      <c r="AB2138" s="165"/>
      <c r="AC2138" s="1"/>
      <c r="AD2138" s="1"/>
      <c r="AE2138" s="1"/>
      <c r="AF2138" s="46"/>
      <c r="AG2138" s="1"/>
      <c r="AH2138" s="165"/>
      <c r="AI2138" s="165"/>
      <c r="AJ2138" s="165"/>
      <c r="AK2138" s="165"/>
      <c r="AL2138" s="165"/>
      <c r="AM2138" s="165"/>
      <c r="AN2138" s="165"/>
    </row>
    <row r="2139" spans="3:40">
      <c r="C2139" s="46"/>
      <c r="F2139" s="173"/>
      <c r="G2139" s="1"/>
      <c r="H2139" s="165"/>
      <c r="I2139" s="160"/>
      <c r="J2139" s="160"/>
      <c r="K2139" s="1"/>
      <c r="L2139" s="123"/>
      <c r="M2139" s="1"/>
      <c r="N2139" s="590"/>
      <c r="O2139" s="165"/>
      <c r="P2139" s="165"/>
      <c r="Q2139" s="165"/>
      <c r="R2139" s="165"/>
      <c r="S2139" s="165"/>
      <c r="V2139" s="46"/>
      <c r="W2139" s="46"/>
      <c r="X2139" s="1"/>
      <c r="Y2139" s="1"/>
      <c r="Z2139" s="173"/>
      <c r="AA2139" s="1"/>
      <c r="AB2139" s="165"/>
      <c r="AC2139" s="1"/>
      <c r="AD2139" s="1"/>
      <c r="AE2139" s="1"/>
      <c r="AF2139" s="46"/>
      <c r="AG2139" s="1"/>
      <c r="AH2139" s="165"/>
      <c r="AI2139" s="165"/>
      <c r="AJ2139" s="165"/>
      <c r="AK2139" s="165"/>
      <c r="AL2139" s="165"/>
      <c r="AM2139" s="165"/>
      <c r="AN2139" s="165"/>
    </row>
    <row r="2140" spans="3:40">
      <c r="C2140" s="46"/>
      <c r="F2140" s="173"/>
      <c r="G2140" s="1"/>
      <c r="H2140" s="165"/>
      <c r="I2140" s="160"/>
      <c r="J2140" s="160"/>
      <c r="K2140" s="1"/>
      <c r="L2140" s="123"/>
      <c r="M2140" s="1"/>
      <c r="N2140" s="590"/>
      <c r="O2140" s="165"/>
      <c r="P2140" s="165"/>
      <c r="Q2140" s="165"/>
      <c r="R2140" s="165"/>
      <c r="S2140" s="165"/>
      <c r="V2140" s="46"/>
      <c r="W2140" s="46"/>
      <c r="X2140" s="1"/>
      <c r="Y2140" s="1"/>
      <c r="Z2140" s="173"/>
      <c r="AA2140" s="1"/>
      <c r="AB2140" s="165"/>
      <c r="AC2140" s="1"/>
      <c r="AD2140" s="1"/>
      <c r="AE2140" s="1"/>
      <c r="AF2140" s="46"/>
      <c r="AG2140" s="1"/>
      <c r="AH2140" s="165"/>
      <c r="AI2140" s="165"/>
      <c r="AJ2140" s="165"/>
      <c r="AK2140" s="165"/>
      <c r="AL2140" s="165"/>
      <c r="AM2140" s="165"/>
      <c r="AN2140" s="165"/>
    </row>
    <row r="2141" spans="3:40">
      <c r="C2141" s="46"/>
      <c r="F2141" s="173"/>
      <c r="G2141" s="1"/>
      <c r="H2141" s="165"/>
      <c r="I2141" s="160"/>
      <c r="J2141" s="160"/>
      <c r="K2141" s="1"/>
      <c r="L2141" s="123"/>
      <c r="M2141" s="1"/>
      <c r="N2141" s="590"/>
      <c r="O2141" s="165"/>
      <c r="P2141" s="165"/>
      <c r="Q2141" s="165"/>
      <c r="R2141" s="165"/>
      <c r="S2141" s="165"/>
      <c r="V2141" s="46"/>
      <c r="W2141" s="46"/>
      <c r="X2141" s="1"/>
      <c r="Y2141" s="1"/>
      <c r="Z2141" s="173"/>
      <c r="AA2141" s="1"/>
      <c r="AB2141" s="165"/>
      <c r="AC2141" s="1"/>
      <c r="AD2141" s="1"/>
      <c r="AE2141" s="1"/>
      <c r="AF2141" s="46"/>
      <c r="AG2141" s="1"/>
      <c r="AH2141" s="165"/>
      <c r="AI2141" s="165"/>
      <c r="AJ2141" s="165"/>
      <c r="AK2141" s="165"/>
      <c r="AL2141" s="165"/>
      <c r="AM2141" s="165"/>
      <c r="AN2141" s="165"/>
    </row>
    <row r="2142" spans="3:40">
      <c r="C2142" s="46"/>
      <c r="F2142" s="173"/>
      <c r="G2142" s="1"/>
      <c r="H2142" s="165"/>
      <c r="I2142" s="160"/>
      <c r="J2142" s="160"/>
      <c r="K2142" s="1"/>
      <c r="L2142" s="123"/>
      <c r="M2142" s="1"/>
      <c r="N2142" s="590"/>
      <c r="O2142" s="165"/>
      <c r="P2142" s="165"/>
      <c r="Q2142" s="165"/>
      <c r="R2142" s="165"/>
      <c r="S2142" s="165"/>
      <c r="V2142" s="46"/>
      <c r="W2142" s="46"/>
      <c r="X2142" s="1"/>
      <c r="Y2142" s="1"/>
      <c r="Z2142" s="173"/>
      <c r="AA2142" s="1"/>
      <c r="AB2142" s="165"/>
      <c r="AC2142" s="1"/>
      <c r="AD2142" s="1"/>
      <c r="AE2142" s="1"/>
      <c r="AF2142" s="46"/>
      <c r="AG2142" s="1"/>
      <c r="AH2142" s="165"/>
      <c r="AI2142" s="165"/>
      <c r="AJ2142" s="165"/>
      <c r="AK2142" s="165"/>
      <c r="AL2142" s="165"/>
      <c r="AM2142" s="165"/>
      <c r="AN2142" s="165"/>
    </row>
    <row r="2143" spans="3:40">
      <c r="C2143" s="46"/>
      <c r="F2143" s="173"/>
      <c r="G2143" s="1"/>
      <c r="H2143" s="165"/>
      <c r="I2143" s="160"/>
      <c r="J2143" s="160"/>
      <c r="K2143" s="1"/>
      <c r="L2143" s="123"/>
      <c r="M2143" s="1"/>
      <c r="N2143" s="590"/>
      <c r="O2143" s="165"/>
      <c r="P2143" s="165"/>
      <c r="Q2143" s="165"/>
      <c r="R2143" s="165"/>
      <c r="S2143" s="165"/>
      <c r="V2143" s="46"/>
      <c r="W2143" s="46"/>
      <c r="X2143" s="1"/>
      <c r="Y2143" s="1"/>
      <c r="Z2143" s="173"/>
      <c r="AA2143" s="1"/>
      <c r="AB2143" s="165"/>
      <c r="AC2143" s="1"/>
      <c r="AD2143" s="1"/>
      <c r="AE2143" s="1"/>
      <c r="AF2143" s="46"/>
      <c r="AG2143" s="1"/>
      <c r="AH2143" s="165"/>
      <c r="AI2143" s="165"/>
      <c r="AJ2143" s="165"/>
      <c r="AK2143" s="165"/>
      <c r="AL2143" s="165"/>
      <c r="AM2143" s="165"/>
      <c r="AN2143" s="165"/>
    </row>
    <row r="2144" spans="3:40">
      <c r="C2144" s="46"/>
      <c r="F2144" s="173"/>
      <c r="G2144" s="1"/>
      <c r="H2144" s="165"/>
      <c r="I2144" s="160"/>
      <c r="J2144" s="160"/>
      <c r="K2144" s="1"/>
      <c r="L2144" s="123"/>
      <c r="M2144" s="1"/>
      <c r="N2144" s="590"/>
      <c r="O2144" s="165"/>
      <c r="P2144" s="165"/>
      <c r="Q2144" s="165"/>
      <c r="R2144" s="165"/>
      <c r="S2144" s="165"/>
      <c r="V2144" s="46"/>
      <c r="W2144" s="46"/>
      <c r="X2144" s="1"/>
      <c r="Y2144" s="1"/>
      <c r="Z2144" s="173"/>
      <c r="AA2144" s="1"/>
      <c r="AB2144" s="165"/>
      <c r="AC2144" s="1"/>
      <c r="AD2144" s="1"/>
      <c r="AE2144" s="1"/>
      <c r="AF2144" s="46"/>
      <c r="AG2144" s="1"/>
      <c r="AH2144" s="165"/>
      <c r="AI2144" s="165"/>
      <c r="AJ2144" s="165"/>
      <c r="AK2144" s="165"/>
      <c r="AL2144" s="165"/>
      <c r="AM2144" s="165"/>
      <c r="AN2144" s="165"/>
    </row>
    <row r="2145" spans="3:40">
      <c r="C2145" s="46"/>
      <c r="F2145" s="173"/>
      <c r="G2145" s="1"/>
      <c r="H2145" s="165"/>
      <c r="I2145" s="160"/>
      <c r="J2145" s="160"/>
      <c r="K2145" s="1"/>
      <c r="L2145" s="123"/>
      <c r="M2145" s="1"/>
      <c r="N2145" s="590"/>
      <c r="O2145" s="165"/>
      <c r="P2145" s="165"/>
      <c r="Q2145" s="165"/>
      <c r="R2145" s="165"/>
      <c r="S2145" s="165"/>
      <c r="V2145" s="46"/>
      <c r="W2145" s="46"/>
      <c r="X2145" s="1"/>
      <c r="Y2145" s="1"/>
      <c r="Z2145" s="173"/>
      <c r="AA2145" s="1"/>
      <c r="AB2145" s="165"/>
      <c r="AC2145" s="1"/>
      <c r="AD2145" s="1"/>
      <c r="AE2145" s="1"/>
      <c r="AF2145" s="46"/>
      <c r="AG2145" s="1"/>
      <c r="AH2145" s="165"/>
      <c r="AI2145" s="165"/>
      <c r="AJ2145" s="165"/>
      <c r="AK2145" s="165"/>
      <c r="AL2145" s="165"/>
      <c r="AM2145" s="165"/>
      <c r="AN2145" s="165"/>
    </row>
    <row r="2146" spans="3:40">
      <c r="C2146" s="46"/>
      <c r="F2146" s="173"/>
      <c r="G2146" s="1"/>
      <c r="H2146" s="165"/>
      <c r="I2146" s="160"/>
      <c r="J2146" s="160"/>
      <c r="K2146" s="1"/>
      <c r="L2146" s="123"/>
      <c r="M2146" s="1"/>
      <c r="N2146" s="590"/>
      <c r="O2146" s="165"/>
      <c r="P2146" s="165"/>
      <c r="Q2146" s="165"/>
      <c r="R2146" s="165"/>
      <c r="S2146" s="165"/>
      <c r="V2146" s="46"/>
      <c r="W2146" s="46"/>
      <c r="X2146" s="1"/>
      <c r="Y2146" s="1"/>
      <c r="Z2146" s="173"/>
      <c r="AA2146" s="1"/>
      <c r="AB2146" s="165"/>
      <c r="AC2146" s="1"/>
      <c r="AD2146" s="1"/>
      <c r="AE2146" s="1"/>
      <c r="AF2146" s="46"/>
      <c r="AG2146" s="1"/>
      <c r="AH2146" s="165"/>
      <c r="AI2146" s="165"/>
      <c r="AJ2146" s="165"/>
      <c r="AK2146" s="165"/>
      <c r="AL2146" s="165"/>
      <c r="AM2146" s="165"/>
      <c r="AN2146" s="165"/>
    </row>
    <row r="2147" spans="3:40">
      <c r="C2147" s="46"/>
      <c r="F2147" s="173"/>
      <c r="G2147" s="1"/>
      <c r="H2147" s="165"/>
      <c r="I2147" s="160"/>
      <c r="J2147" s="160"/>
      <c r="K2147" s="1"/>
      <c r="L2147" s="123"/>
      <c r="M2147" s="1"/>
      <c r="N2147" s="590"/>
      <c r="O2147" s="165"/>
      <c r="P2147" s="165"/>
      <c r="Q2147" s="165"/>
      <c r="R2147" s="165"/>
      <c r="S2147" s="165"/>
      <c r="V2147" s="46"/>
      <c r="W2147" s="46"/>
      <c r="X2147" s="1"/>
      <c r="Y2147" s="1"/>
      <c r="Z2147" s="173"/>
      <c r="AA2147" s="1"/>
      <c r="AB2147" s="165"/>
      <c r="AC2147" s="1"/>
      <c r="AD2147" s="1"/>
      <c r="AE2147" s="1"/>
      <c r="AF2147" s="46"/>
      <c r="AG2147" s="1"/>
      <c r="AH2147" s="165"/>
      <c r="AI2147" s="165"/>
      <c r="AJ2147" s="165"/>
      <c r="AK2147" s="165"/>
      <c r="AL2147" s="165"/>
      <c r="AM2147" s="165"/>
      <c r="AN2147" s="165"/>
    </row>
    <row r="2148" spans="3:40">
      <c r="C2148" s="46"/>
      <c r="F2148" s="173"/>
      <c r="G2148" s="1"/>
      <c r="H2148" s="165"/>
      <c r="I2148" s="160"/>
      <c r="J2148" s="160"/>
      <c r="K2148" s="1"/>
      <c r="L2148" s="123"/>
      <c r="M2148" s="1"/>
      <c r="N2148" s="590"/>
      <c r="O2148" s="165"/>
      <c r="P2148" s="165"/>
      <c r="Q2148" s="165"/>
      <c r="R2148" s="165"/>
      <c r="S2148" s="165"/>
      <c r="V2148" s="46"/>
      <c r="W2148" s="46"/>
      <c r="X2148" s="1"/>
      <c r="Y2148" s="1"/>
      <c r="Z2148" s="173"/>
      <c r="AA2148" s="1"/>
      <c r="AB2148" s="165"/>
      <c r="AC2148" s="1"/>
      <c r="AD2148" s="1"/>
      <c r="AE2148" s="1"/>
      <c r="AF2148" s="46"/>
      <c r="AG2148" s="1"/>
      <c r="AH2148" s="165"/>
      <c r="AI2148" s="165"/>
      <c r="AJ2148" s="165"/>
      <c r="AK2148" s="165"/>
      <c r="AL2148" s="165"/>
      <c r="AM2148" s="165"/>
      <c r="AN2148" s="165"/>
    </row>
    <row r="2149" spans="3:40">
      <c r="C2149" s="46"/>
      <c r="F2149" s="173"/>
      <c r="G2149" s="1"/>
      <c r="H2149" s="165"/>
      <c r="I2149" s="160"/>
      <c r="J2149" s="160"/>
      <c r="K2149" s="1"/>
      <c r="L2149" s="123"/>
      <c r="M2149" s="1"/>
      <c r="N2149" s="590"/>
      <c r="O2149" s="165"/>
      <c r="P2149" s="165"/>
      <c r="Q2149" s="165"/>
      <c r="R2149" s="165"/>
      <c r="S2149" s="165"/>
      <c r="V2149" s="46"/>
      <c r="W2149" s="46"/>
      <c r="X2149" s="1"/>
      <c r="Y2149" s="1"/>
      <c r="Z2149" s="173"/>
      <c r="AA2149" s="1"/>
      <c r="AB2149" s="165"/>
      <c r="AC2149" s="1"/>
      <c r="AD2149" s="1"/>
      <c r="AE2149" s="1"/>
      <c r="AF2149" s="46"/>
      <c r="AG2149" s="1"/>
      <c r="AH2149" s="165"/>
      <c r="AI2149" s="165"/>
      <c r="AJ2149" s="165"/>
      <c r="AK2149" s="165"/>
      <c r="AL2149" s="165"/>
      <c r="AM2149" s="165"/>
      <c r="AN2149" s="165"/>
    </row>
    <row r="2150" spans="3:40">
      <c r="C2150" s="46"/>
      <c r="F2150" s="173"/>
      <c r="G2150" s="1"/>
      <c r="H2150" s="165"/>
      <c r="I2150" s="160"/>
      <c r="J2150" s="160"/>
      <c r="K2150" s="1"/>
      <c r="L2150" s="123"/>
      <c r="M2150" s="1"/>
      <c r="N2150" s="590"/>
      <c r="O2150" s="165"/>
      <c r="P2150" s="165"/>
      <c r="Q2150" s="165"/>
      <c r="R2150" s="165"/>
      <c r="S2150" s="165"/>
      <c r="V2150" s="46"/>
      <c r="W2150" s="46"/>
      <c r="X2150" s="1"/>
      <c r="Y2150" s="1"/>
      <c r="Z2150" s="173"/>
      <c r="AA2150" s="1"/>
      <c r="AB2150" s="165"/>
      <c r="AC2150" s="1"/>
      <c r="AD2150" s="1"/>
      <c r="AE2150" s="1"/>
      <c r="AF2150" s="46"/>
      <c r="AG2150" s="1"/>
      <c r="AH2150" s="165"/>
      <c r="AI2150" s="165"/>
      <c r="AJ2150" s="165"/>
      <c r="AK2150" s="165"/>
      <c r="AL2150" s="165"/>
      <c r="AM2150" s="165"/>
      <c r="AN2150" s="165"/>
    </row>
    <row r="2151" spans="3:40">
      <c r="C2151" s="46"/>
      <c r="F2151" s="173"/>
      <c r="G2151" s="1"/>
      <c r="H2151" s="165"/>
      <c r="I2151" s="160"/>
      <c r="J2151" s="160"/>
      <c r="K2151" s="1"/>
      <c r="L2151" s="123"/>
      <c r="M2151" s="1"/>
      <c r="N2151" s="590"/>
      <c r="O2151" s="165"/>
      <c r="P2151" s="165"/>
      <c r="Q2151" s="165"/>
      <c r="R2151" s="165"/>
      <c r="S2151" s="165"/>
      <c r="V2151" s="46"/>
      <c r="W2151" s="46"/>
      <c r="X2151" s="1"/>
      <c r="Y2151" s="1"/>
      <c r="Z2151" s="173"/>
      <c r="AA2151" s="1"/>
      <c r="AB2151" s="165"/>
      <c r="AC2151" s="1"/>
      <c r="AD2151" s="1"/>
      <c r="AE2151" s="1"/>
      <c r="AF2151" s="46"/>
      <c r="AG2151" s="1"/>
      <c r="AH2151" s="165"/>
      <c r="AI2151" s="165"/>
      <c r="AJ2151" s="165"/>
      <c r="AK2151" s="165"/>
      <c r="AL2151" s="165"/>
      <c r="AM2151" s="165"/>
      <c r="AN2151" s="165"/>
    </row>
    <row r="2152" spans="3:40">
      <c r="C2152" s="46"/>
      <c r="F2152" s="173"/>
      <c r="G2152" s="1"/>
      <c r="H2152" s="165"/>
      <c r="I2152" s="160"/>
      <c r="J2152" s="160"/>
      <c r="K2152" s="1"/>
      <c r="L2152" s="123"/>
      <c r="M2152" s="1"/>
      <c r="N2152" s="590"/>
      <c r="O2152" s="165"/>
      <c r="P2152" s="165"/>
      <c r="Q2152" s="165"/>
      <c r="R2152" s="165"/>
      <c r="S2152" s="165"/>
      <c r="V2152" s="46"/>
      <c r="W2152" s="46"/>
      <c r="X2152" s="1"/>
      <c r="Y2152" s="1"/>
      <c r="Z2152" s="173"/>
      <c r="AA2152" s="1"/>
      <c r="AB2152" s="165"/>
      <c r="AC2152" s="1"/>
      <c r="AD2152" s="1"/>
      <c r="AE2152" s="1"/>
      <c r="AF2152" s="46"/>
      <c r="AG2152" s="1"/>
      <c r="AH2152" s="165"/>
      <c r="AI2152" s="165"/>
      <c r="AJ2152" s="165"/>
      <c r="AK2152" s="165"/>
      <c r="AL2152" s="165"/>
      <c r="AM2152" s="165"/>
      <c r="AN2152" s="165"/>
    </row>
    <row r="2153" spans="3:40">
      <c r="C2153" s="46"/>
      <c r="F2153" s="173"/>
      <c r="G2153" s="1"/>
      <c r="H2153" s="165"/>
      <c r="I2153" s="160"/>
      <c r="J2153" s="160"/>
      <c r="K2153" s="1"/>
      <c r="L2153" s="123"/>
      <c r="M2153" s="1"/>
      <c r="N2153" s="590"/>
      <c r="O2153" s="165"/>
      <c r="P2153" s="165"/>
      <c r="Q2153" s="165"/>
      <c r="R2153" s="165"/>
      <c r="S2153" s="165"/>
      <c r="V2153" s="46"/>
      <c r="W2153" s="46"/>
      <c r="X2153" s="1"/>
      <c r="Y2153" s="1"/>
      <c r="Z2153" s="173"/>
      <c r="AA2153" s="1"/>
      <c r="AB2153" s="165"/>
      <c r="AC2153" s="1"/>
      <c r="AD2153" s="1"/>
      <c r="AE2153" s="1"/>
      <c r="AF2153" s="46"/>
      <c r="AG2153" s="1"/>
      <c r="AH2153" s="165"/>
      <c r="AI2153" s="165"/>
      <c r="AJ2153" s="165"/>
      <c r="AK2153" s="165"/>
      <c r="AL2153" s="165"/>
      <c r="AM2153" s="165"/>
      <c r="AN2153" s="165"/>
    </row>
    <row r="2154" spans="3:40">
      <c r="C2154" s="46"/>
      <c r="F2154" s="173"/>
      <c r="G2154" s="1"/>
      <c r="H2154" s="165"/>
      <c r="I2154" s="160"/>
      <c r="J2154" s="160"/>
      <c r="K2154" s="1"/>
      <c r="L2154" s="123"/>
      <c r="M2154" s="1"/>
      <c r="N2154" s="590"/>
      <c r="O2154" s="165"/>
      <c r="P2154" s="165"/>
      <c r="Q2154" s="165"/>
      <c r="R2154" s="165"/>
      <c r="S2154" s="165"/>
      <c r="V2154" s="46"/>
      <c r="W2154" s="46"/>
      <c r="X2154" s="1"/>
      <c r="Y2154" s="1"/>
      <c r="Z2154" s="173"/>
      <c r="AA2154" s="1"/>
      <c r="AB2154" s="165"/>
      <c r="AC2154" s="1"/>
      <c r="AD2154" s="1"/>
      <c r="AE2154" s="1"/>
      <c r="AF2154" s="46"/>
      <c r="AG2154" s="1"/>
      <c r="AH2154" s="165"/>
      <c r="AI2154" s="165"/>
      <c r="AJ2154" s="165"/>
      <c r="AK2154" s="165"/>
      <c r="AL2154" s="165"/>
      <c r="AM2154" s="165"/>
      <c r="AN2154" s="165"/>
    </row>
    <row r="2155" spans="3:40">
      <c r="C2155" s="46"/>
      <c r="F2155" s="173"/>
      <c r="G2155" s="1"/>
      <c r="H2155" s="165"/>
      <c r="I2155" s="160"/>
      <c r="J2155" s="160"/>
      <c r="K2155" s="1"/>
      <c r="L2155" s="123"/>
      <c r="M2155" s="1"/>
      <c r="N2155" s="590"/>
      <c r="O2155" s="165"/>
      <c r="P2155" s="165"/>
      <c r="Q2155" s="165"/>
      <c r="R2155" s="165"/>
      <c r="S2155" s="165"/>
      <c r="V2155" s="46"/>
      <c r="W2155" s="46"/>
      <c r="X2155" s="1"/>
      <c r="Y2155" s="1"/>
      <c r="Z2155" s="173"/>
      <c r="AA2155" s="1"/>
      <c r="AB2155" s="165"/>
      <c r="AC2155" s="1"/>
      <c r="AD2155" s="1"/>
      <c r="AE2155" s="1"/>
      <c r="AF2155" s="46"/>
      <c r="AG2155" s="1"/>
      <c r="AH2155" s="165"/>
      <c r="AI2155" s="165"/>
      <c r="AJ2155" s="165"/>
      <c r="AK2155" s="165"/>
      <c r="AL2155" s="165"/>
      <c r="AM2155" s="165"/>
      <c r="AN2155" s="165"/>
    </row>
    <row r="2156" spans="3:40">
      <c r="C2156" s="46"/>
      <c r="F2156" s="173"/>
      <c r="G2156" s="1"/>
      <c r="H2156" s="165"/>
      <c r="I2156" s="160"/>
      <c r="J2156" s="160"/>
      <c r="K2156" s="1"/>
      <c r="L2156" s="123"/>
      <c r="M2156" s="1"/>
      <c r="N2156" s="590"/>
      <c r="O2156" s="165"/>
      <c r="P2156" s="165"/>
      <c r="Q2156" s="165"/>
      <c r="R2156" s="165"/>
      <c r="S2156" s="165"/>
      <c r="V2156" s="46"/>
      <c r="W2156" s="46"/>
      <c r="X2156" s="1"/>
      <c r="Y2156" s="1"/>
      <c r="Z2156" s="173"/>
      <c r="AA2156" s="1"/>
      <c r="AB2156" s="165"/>
      <c r="AC2156" s="1"/>
      <c r="AD2156" s="1"/>
      <c r="AE2156" s="1"/>
      <c r="AF2156" s="46"/>
      <c r="AG2156" s="1"/>
      <c r="AH2156" s="165"/>
      <c r="AI2156" s="165"/>
      <c r="AJ2156" s="165"/>
      <c r="AK2156" s="165"/>
      <c r="AL2156" s="165"/>
      <c r="AM2156" s="165"/>
      <c r="AN2156" s="165"/>
    </row>
    <row r="2157" spans="3:40">
      <c r="C2157" s="46"/>
      <c r="F2157" s="173"/>
      <c r="G2157" s="1"/>
      <c r="H2157" s="165"/>
      <c r="I2157" s="160"/>
      <c r="J2157" s="160"/>
      <c r="K2157" s="1"/>
      <c r="L2157" s="123"/>
      <c r="M2157" s="1"/>
      <c r="N2157" s="590"/>
      <c r="O2157" s="165"/>
      <c r="P2157" s="165"/>
      <c r="Q2157" s="165"/>
      <c r="R2157" s="165"/>
      <c r="S2157" s="165"/>
      <c r="V2157" s="46"/>
      <c r="W2157" s="46"/>
      <c r="X2157" s="1"/>
      <c r="Y2157" s="1"/>
      <c r="Z2157" s="173"/>
      <c r="AA2157" s="1"/>
      <c r="AB2157" s="165"/>
      <c r="AC2157" s="1"/>
      <c r="AD2157" s="1"/>
      <c r="AE2157" s="1"/>
      <c r="AF2157" s="46"/>
      <c r="AG2157" s="1"/>
      <c r="AH2157" s="165"/>
      <c r="AI2157" s="165"/>
      <c r="AJ2157" s="165"/>
      <c r="AK2157" s="165"/>
      <c r="AL2157" s="165"/>
      <c r="AM2157" s="165"/>
      <c r="AN2157" s="165"/>
    </row>
    <row r="2158" spans="3:40">
      <c r="C2158" s="46"/>
      <c r="F2158" s="173"/>
      <c r="G2158" s="1"/>
      <c r="H2158" s="165"/>
      <c r="I2158" s="160"/>
      <c r="J2158" s="160"/>
      <c r="K2158" s="1"/>
      <c r="L2158" s="123"/>
      <c r="M2158" s="1"/>
      <c r="N2158" s="590"/>
      <c r="O2158" s="165"/>
      <c r="P2158" s="165"/>
      <c r="Q2158" s="165"/>
      <c r="R2158" s="165"/>
      <c r="S2158" s="165"/>
      <c r="V2158" s="46"/>
      <c r="W2158" s="46"/>
      <c r="X2158" s="1"/>
      <c r="Y2158" s="1"/>
      <c r="Z2158" s="173"/>
      <c r="AA2158" s="1"/>
      <c r="AB2158" s="165"/>
      <c r="AC2158" s="1"/>
      <c r="AD2158" s="1"/>
      <c r="AE2158" s="1"/>
      <c r="AF2158" s="46"/>
      <c r="AG2158" s="1"/>
      <c r="AH2158" s="165"/>
      <c r="AI2158" s="165"/>
      <c r="AJ2158" s="165"/>
      <c r="AK2158" s="165"/>
      <c r="AL2158" s="165"/>
      <c r="AM2158" s="165"/>
      <c r="AN2158" s="165"/>
    </row>
    <row r="2159" spans="3:40">
      <c r="C2159" s="46"/>
      <c r="F2159" s="173"/>
      <c r="G2159" s="1"/>
      <c r="H2159" s="165"/>
      <c r="I2159" s="160"/>
      <c r="J2159" s="160"/>
      <c r="K2159" s="1"/>
      <c r="L2159" s="123"/>
      <c r="M2159" s="1"/>
      <c r="N2159" s="590"/>
      <c r="O2159" s="165"/>
      <c r="P2159" s="165"/>
      <c r="Q2159" s="165"/>
      <c r="R2159" s="165"/>
      <c r="S2159" s="165"/>
      <c r="V2159" s="46"/>
      <c r="W2159" s="46"/>
      <c r="X2159" s="1"/>
      <c r="Y2159" s="1"/>
      <c r="Z2159" s="173"/>
      <c r="AA2159" s="1"/>
      <c r="AB2159" s="165"/>
      <c r="AC2159" s="1"/>
      <c r="AD2159" s="1"/>
      <c r="AE2159" s="1"/>
      <c r="AF2159" s="46"/>
      <c r="AG2159" s="1"/>
      <c r="AH2159" s="165"/>
      <c r="AI2159" s="165"/>
      <c r="AJ2159" s="165"/>
      <c r="AK2159" s="165"/>
      <c r="AL2159" s="165"/>
      <c r="AM2159" s="165"/>
      <c r="AN2159" s="165"/>
    </row>
    <row r="2160" spans="3:40">
      <c r="C2160" s="46"/>
      <c r="F2160" s="173"/>
      <c r="G2160" s="1"/>
      <c r="H2160" s="165"/>
      <c r="I2160" s="160"/>
      <c r="J2160" s="160"/>
      <c r="K2160" s="1"/>
      <c r="L2160" s="123"/>
      <c r="M2160" s="1"/>
      <c r="N2160" s="590"/>
      <c r="O2160" s="165"/>
      <c r="P2160" s="165"/>
      <c r="Q2160" s="165"/>
      <c r="R2160" s="165"/>
      <c r="S2160" s="165"/>
      <c r="V2160" s="46"/>
      <c r="W2160" s="46"/>
      <c r="X2160" s="1"/>
      <c r="Y2160" s="1"/>
      <c r="Z2160" s="173"/>
      <c r="AA2160" s="1"/>
      <c r="AB2160" s="165"/>
      <c r="AC2160" s="1"/>
      <c r="AD2160" s="1"/>
      <c r="AE2160" s="1"/>
      <c r="AF2160" s="46"/>
      <c r="AG2160" s="1"/>
      <c r="AH2160" s="165"/>
      <c r="AI2160" s="165"/>
      <c r="AJ2160" s="165"/>
      <c r="AK2160" s="165"/>
      <c r="AL2160" s="165"/>
      <c r="AM2160" s="165"/>
      <c r="AN2160" s="165"/>
    </row>
    <row r="2161" spans="3:40">
      <c r="C2161" s="46"/>
      <c r="F2161" s="173"/>
      <c r="G2161" s="1"/>
      <c r="H2161" s="165"/>
      <c r="I2161" s="160"/>
      <c r="J2161" s="160"/>
      <c r="K2161" s="1"/>
      <c r="L2161" s="123"/>
      <c r="M2161" s="1"/>
      <c r="N2161" s="590"/>
      <c r="O2161" s="165"/>
      <c r="P2161" s="165"/>
      <c r="Q2161" s="165"/>
      <c r="R2161" s="165"/>
      <c r="S2161" s="165"/>
      <c r="V2161" s="46"/>
      <c r="W2161" s="46"/>
      <c r="X2161" s="1"/>
      <c r="Y2161" s="1"/>
      <c r="Z2161" s="173"/>
      <c r="AA2161" s="1"/>
      <c r="AB2161" s="165"/>
      <c r="AC2161" s="1"/>
      <c r="AD2161" s="1"/>
      <c r="AE2161" s="1"/>
      <c r="AF2161" s="46"/>
      <c r="AG2161" s="1"/>
      <c r="AH2161" s="165"/>
      <c r="AI2161" s="165"/>
      <c r="AJ2161" s="165"/>
      <c r="AK2161" s="165"/>
      <c r="AL2161" s="165"/>
      <c r="AM2161" s="165"/>
      <c r="AN2161" s="165"/>
    </row>
    <row r="2162" spans="3:40">
      <c r="C2162" s="46"/>
      <c r="F2162" s="173"/>
      <c r="G2162" s="1"/>
      <c r="H2162" s="165"/>
      <c r="I2162" s="160"/>
      <c r="J2162" s="160"/>
      <c r="K2162" s="1"/>
      <c r="L2162" s="123"/>
      <c r="M2162" s="1"/>
      <c r="N2162" s="590"/>
      <c r="O2162" s="165"/>
      <c r="P2162" s="165"/>
      <c r="Q2162" s="165"/>
      <c r="R2162" s="165"/>
      <c r="S2162" s="165"/>
      <c r="V2162" s="46"/>
      <c r="W2162" s="46"/>
      <c r="X2162" s="1"/>
      <c r="Y2162" s="1"/>
      <c r="Z2162" s="173"/>
      <c r="AA2162" s="1"/>
      <c r="AB2162" s="165"/>
      <c r="AC2162" s="1"/>
      <c r="AD2162" s="1"/>
      <c r="AE2162" s="1"/>
      <c r="AF2162" s="46"/>
      <c r="AG2162" s="1"/>
      <c r="AH2162" s="165"/>
      <c r="AI2162" s="165"/>
      <c r="AJ2162" s="165"/>
      <c r="AK2162" s="165"/>
      <c r="AL2162" s="165"/>
      <c r="AM2162" s="165"/>
      <c r="AN2162" s="165"/>
    </row>
    <row r="2163" spans="3:40">
      <c r="C2163" s="46"/>
      <c r="F2163" s="173"/>
      <c r="G2163" s="1"/>
      <c r="H2163" s="165"/>
      <c r="I2163" s="160"/>
      <c r="J2163" s="160"/>
      <c r="K2163" s="1"/>
      <c r="L2163" s="123"/>
      <c r="M2163" s="1"/>
      <c r="N2163" s="590"/>
      <c r="O2163" s="165"/>
      <c r="P2163" s="165"/>
      <c r="Q2163" s="165"/>
      <c r="R2163" s="165"/>
      <c r="S2163" s="165"/>
      <c r="V2163" s="46"/>
      <c r="W2163" s="46"/>
      <c r="X2163" s="1"/>
      <c r="Y2163" s="1"/>
      <c r="Z2163" s="173"/>
      <c r="AA2163" s="1"/>
      <c r="AB2163" s="165"/>
      <c r="AC2163" s="1"/>
      <c r="AD2163" s="1"/>
      <c r="AE2163" s="1"/>
      <c r="AF2163" s="46"/>
      <c r="AG2163" s="1"/>
      <c r="AH2163" s="165"/>
      <c r="AI2163" s="165"/>
      <c r="AJ2163" s="165"/>
      <c r="AK2163" s="165"/>
      <c r="AL2163" s="165"/>
      <c r="AM2163" s="165"/>
      <c r="AN2163" s="165"/>
    </row>
    <row r="2164" spans="3:40">
      <c r="C2164" s="46"/>
      <c r="F2164" s="173"/>
      <c r="G2164" s="1"/>
      <c r="H2164" s="165"/>
      <c r="I2164" s="160"/>
      <c r="J2164" s="160"/>
      <c r="K2164" s="1"/>
      <c r="L2164" s="123"/>
      <c r="M2164" s="1"/>
      <c r="N2164" s="590"/>
      <c r="O2164" s="165"/>
      <c r="P2164" s="165"/>
      <c r="Q2164" s="165"/>
      <c r="R2164" s="165"/>
      <c r="S2164" s="165"/>
      <c r="V2164" s="46"/>
      <c r="W2164" s="46"/>
      <c r="X2164" s="1"/>
      <c r="Y2164" s="1"/>
      <c r="Z2164" s="173"/>
      <c r="AA2164" s="1"/>
      <c r="AB2164" s="165"/>
      <c r="AC2164" s="1"/>
      <c r="AD2164" s="1"/>
      <c r="AE2164" s="1"/>
      <c r="AF2164" s="46"/>
      <c r="AG2164" s="1"/>
      <c r="AH2164" s="165"/>
      <c r="AI2164" s="165"/>
      <c r="AJ2164" s="165"/>
      <c r="AK2164" s="165"/>
      <c r="AL2164" s="165"/>
      <c r="AM2164" s="165"/>
      <c r="AN2164" s="165"/>
    </row>
    <row r="2165" spans="3:40">
      <c r="C2165" s="46"/>
      <c r="F2165" s="173"/>
      <c r="G2165" s="1"/>
      <c r="H2165" s="165"/>
      <c r="I2165" s="160"/>
      <c r="J2165" s="160"/>
      <c r="K2165" s="1"/>
      <c r="L2165" s="123"/>
      <c r="M2165" s="1"/>
      <c r="N2165" s="590"/>
      <c r="O2165" s="165"/>
      <c r="P2165" s="165"/>
      <c r="Q2165" s="165"/>
      <c r="R2165" s="165"/>
      <c r="S2165" s="165"/>
      <c r="V2165" s="46"/>
      <c r="W2165" s="46"/>
      <c r="X2165" s="1"/>
      <c r="Y2165" s="1"/>
      <c r="Z2165" s="173"/>
      <c r="AA2165" s="1"/>
      <c r="AB2165" s="165"/>
      <c r="AC2165" s="1"/>
      <c r="AD2165" s="1"/>
      <c r="AE2165" s="1"/>
      <c r="AF2165" s="46"/>
      <c r="AG2165" s="1"/>
      <c r="AH2165" s="165"/>
      <c r="AI2165" s="165"/>
      <c r="AJ2165" s="165"/>
      <c r="AK2165" s="165"/>
      <c r="AL2165" s="165"/>
      <c r="AM2165" s="165"/>
      <c r="AN2165" s="165"/>
    </row>
    <row r="2166" spans="3:40">
      <c r="C2166" s="46"/>
      <c r="F2166" s="173"/>
      <c r="G2166" s="1"/>
      <c r="H2166" s="165"/>
      <c r="I2166" s="160"/>
      <c r="J2166" s="160"/>
      <c r="K2166" s="1"/>
      <c r="L2166" s="123"/>
      <c r="M2166" s="1"/>
      <c r="N2166" s="590"/>
      <c r="O2166" s="165"/>
      <c r="P2166" s="165"/>
      <c r="Q2166" s="165"/>
      <c r="R2166" s="165"/>
      <c r="S2166" s="165"/>
      <c r="V2166" s="46"/>
      <c r="W2166" s="46"/>
      <c r="X2166" s="1"/>
      <c r="Y2166" s="1"/>
      <c r="Z2166" s="173"/>
      <c r="AA2166" s="1"/>
      <c r="AB2166" s="165"/>
      <c r="AC2166" s="1"/>
      <c r="AD2166" s="1"/>
      <c r="AE2166" s="1"/>
      <c r="AF2166" s="46"/>
      <c r="AG2166" s="1"/>
      <c r="AH2166" s="165"/>
      <c r="AI2166" s="165"/>
      <c r="AJ2166" s="165"/>
      <c r="AK2166" s="165"/>
      <c r="AL2166" s="165"/>
      <c r="AM2166" s="165"/>
      <c r="AN2166" s="165"/>
    </row>
    <row r="2167" spans="3:40">
      <c r="C2167" s="46"/>
      <c r="F2167" s="173"/>
      <c r="G2167" s="1"/>
      <c r="H2167" s="165"/>
      <c r="I2167" s="160"/>
      <c r="J2167" s="160"/>
      <c r="K2167" s="1"/>
      <c r="L2167" s="123"/>
      <c r="M2167" s="1"/>
      <c r="N2167" s="590"/>
      <c r="O2167" s="165"/>
      <c r="P2167" s="165"/>
      <c r="Q2167" s="165"/>
      <c r="R2167" s="165"/>
      <c r="S2167" s="165"/>
      <c r="V2167" s="46"/>
      <c r="W2167" s="46"/>
      <c r="X2167" s="1"/>
      <c r="Y2167" s="1"/>
      <c r="Z2167" s="173"/>
      <c r="AA2167" s="1"/>
      <c r="AB2167" s="165"/>
      <c r="AC2167" s="1"/>
      <c r="AD2167" s="1"/>
      <c r="AE2167" s="1"/>
      <c r="AF2167" s="46"/>
      <c r="AG2167" s="1"/>
      <c r="AH2167" s="165"/>
      <c r="AI2167" s="165"/>
      <c r="AJ2167" s="165"/>
      <c r="AK2167" s="165"/>
      <c r="AL2167" s="165"/>
      <c r="AM2167" s="165"/>
      <c r="AN2167" s="165"/>
    </row>
    <row r="2168" spans="3:40">
      <c r="C2168" s="46"/>
      <c r="F2168" s="173"/>
      <c r="G2168" s="1"/>
      <c r="H2168" s="165"/>
      <c r="I2168" s="160"/>
      <c r="J2168" s="160"/>
      <c r="K2168" s="1"/>
      <c r="L2168" s="123"/>
      <c r="M2168" s="1"/>
      <c r="N2168" s="590"/>
      <c r="O2168" s="165"/>
      <c r="P2168" s="165"/>
      <c r="Q2168" s="165"/>
      <c r="R2168" s="165"/>
      <c r="S2168" s="165"/>
      <c r="V2168" s="46"/>
      <c r="W2168" s="46"/>
      <c r="X2168" s="1"/>
      <c r="Y2168" s="1"/>
      <c r="Z2168" s="173"/>
      <c r="AA2168" s="1"/>
      <c r="AB2168" s="165"/>
      <c r="AC2168" s="1"/>
      <c r="AD2168" s="1"/>
      <c r="AE2168" s="1"/>
      <c r="AF2168" s="46"/>
      <c r="AG2168" s="1"/>
      <c r="AH2168" s="165"/>
      <c r="AI2168" s="165"/>
      <c r="AJ2168" s="165"/>
      <c r="AK2168" s="165"/>
      <c r="AL2168" s="165"/>
      <c r="AM2168" s="165"/>
      <c r="AN2168" s="165"/>
    </row>
    <row r="2169" spans="3:40">
      <c r="C2169" s="46"/>
      <c r="F2169" s="173"/>
      <c r="G2169" s="1"/>
      <c r="H2169" s="165"/>
      <c r="I2169" s="160"/>
      <c r="J2169" s="160"/>
      <c r="K2169" s="1"/>
      <c r="L2169" s="123"/>
      <c r="M2169" s="1"/>
      <c r="N2169" s="590"/>
      <c r="O2169" s="165"/>
      <c r="P2169" s="165"/>
      <c r="Q2169" s="165"/>
      <c r="R2169" s="165"/>
      <c r="S2169" s="165"/>
      <c r="V2169" s="46"/>
      <c r="W2169" s="46"/>
      <c r="X2169" s="1"/>
      <c r="Y2169" s="1"/>
      <c r="Z2169" s="173"/>
      <c r="AA2169" s="1"/>
      <c r="AB2169" s="165"/>
      <c r="AC2169" s="1"/>
      <c r="AD2169" s="1"/>
      <c r="AE2169" s="1"/>
      <c r="AF2169" s="46"/>
      <c r="AG2169" s="1"/>
      <c r="AH2169" s="165"/>
      <c r="AI2169" s="165"/>
      <c r="AJ2169" s="165"/>
      <c r="AK2169" s="165"/>
      <c r="AL2169" s="165"/>
      <c r="AM2169" s="165"/>
      <c r="AN2169" s="165"/>
    </row>
    <row r="2170" spans="3:40">
      <c r="C2170" s="46"/>
      <c r="F2170" s="173"/>
      <c r="G2170" s="1"/>
      <c r="H2170" s="165"/>
      <c r="I2170" s="160"/>
      <c r="J2170" s="160"/>
      <c r="K2170" s="1"/>
      <c r="L2170" s="123"/>
      <c r="M2170" s="1"/>
      <c r="N2170" s="590"/>
      <c r="O2170" s="165"/>
      <c r="P2170" s="165"/>
      <c r="Q2170" s="165"/>
      <c r="R2170" s="165"/>
      <c r="S2170" s="165"/>
      <c r="V2170" s="46"/>
      <c r="W2170" s="46"/>
      <c r="X2170" s="1"/>
      <c r="Y2170" s="1"/>
      <c r="Z2170" s="173"/>
      <c r="AA2170" s="1"/>
      <c r="AB2170" s="165"/>
      <c r="AC2170" s="1"/>
      <c r="AD2170" s="1"/>
      <c r="AE2170" s="1"/>
      <c r="AF2170" s="46"/>
      <c r="AG2170" s="1"/>
      <c r="AH2170" s="165"/>
      <c r="AI2170" s="165"/>
      <c r="AJ2170" s="165"/>
      <c r="AK2170" s="165"/>
      <c r="AL2170" s="165"/>
      <c r="AM2170" s="165"/>
      <c r="AN2170" s="165"/>
    </row>
    <row r="2171" spans="3:40">
      <c r="C2171" s="46"/>
      <c r="F2171" s="173"/>
      <c r="G2171" s="1"/>
      <c r="H2171" s="165"/>
      <c r="I2171" s="160"/>
      <c r="J2171" s="160"/>
      <c r="K2171" s="1"/>
      <c r="L2171" s="123"/>
      <c r="M2171" s="1"/>
      <c r="N2171" s="590"/>
      <c r="O2171" s="165"/>
      <c r="P2171" s="165"/>
      <c r="Q2171" s="165"/>
      <c r="R2171" s="165"/>
      <c r="S2171" s="165"/>
      <c r="V2171" s="46"/>
      <c r="W2171" s="46"/>
      <c r="X2171" s="1"/>
      <c r="Y2171" s="1"/>
      <c r="Z2171" s="173"/>
      <c r="AA2171" s="1"/>
      <c r="AB2171" s="165"/>
      <c r="AC2171" s="1"/>
      <c r="AD2171" s="1"/>
      <c r="AE2171" s="1"/>
      <c r="AF2171" s="46"/>
      <c r="AG2171" s="1"/>
      <c r="AH2171" s="165"/>
      <c r="AI2171" s="165"/>
      <c r="AJ2171" s="165"/>
      <c r="AK2171" s="165"/>
      <c r="AL2171" s="165"/>
      <c r="AM2171" s="165"/>
      <c r="AN2171" s="165"/>
    </row>
    <row r="2172" spans="3:40">
      <c r="C2172" s="46"/>
      <c r="F2172" s="173"/>
      <c r="G2172" s="1"/>
      <c r="H2172" s="165"/>
      <c r="I2172" s="160"/>
      <c r="J2172" s="160"/>
      <c r="K2172" s="1"/>
      <c r="L2172" s="123"/>
      <c r="M2172" s="1"/>
      <c r="N2172" s="590"/>
      <c r="O2172" s="165"/>
      <c r="P2172" s="165"/>
      <c r="Q2172" s="165"/>
      <c r="R2172" s="165"/>
      <c r="S2172" s="165"/>
      <c r="V2172" s="46"/>
      <c r="W2172" s="46"/>
      <c r="X2172" s="1"/>
      <c r="Y2172" s="1"/>
      <c r="Z2172" s="173"/>
      <c r="AA2172" s="1"/>
      <c r="AB2172" s="165"/>
      <c r="AC2172" s="1"/>
      <c r="AD2172" s="1"/>
      <c r="AE2172" s="1"/>
      <c r="AF2172" s="46"/>
      <c r="AG2172" s="1"/>
      <c r="AH2172" s="165"/>
      <c r="AI2172" s="165"/>
      <c r="AJ2172" s="165"/>
      <c r="AK2172" s="165"/>
      <c r="AL2172" s="165"/>
      <c r="AM2172" s="165"/>
      <c r="AN2172" s="165"/>
    </row>
    <row r="2173" spans="3:40">
      <c r="C2173" s="46"/>
      <c r="F2173" s="173"/>
      <c r="G2173" s="1"/>
      <c r="H2173" s="165"/>
      <c r="I2173" s="160"/>
      <c r="J2173" s="160"/>
      <c r="K2173" s="1"/>
      <c r="L2173" s="123"/>
      <c r="M2173" s="1"/>
      <c r="N2173" s="590"/>
      <c r="O2173" s="165"/>
      <c r="P2173" s="165"/>
      <c r="Q2173" s="165"/>
      <c r="R2173" s="165"/>
      <c r="S2173" s="165"/>
      <c r="V2173" s="46"/>
      <c r="W2173" s="46"/>
      <c r="X2173" s="1"/>
      <c r="Y2173" s="1"/>
      <c r="Z2173" s="173"/>
      <c r="AA2173" s="1"/>
      <c r="AB2173" s="165"/>
      <c r="AC2173" s="1"/>
      <c r="AD2173" s="1"/>
      <c r="AE2173" s="1"/>
      <c r="AF2173" s="46"/>
      <c r="AG2173" s="1"/>
      <c r="AH2173" s="165"/>
      <c r="AI2173" s="165"/>
      <c r="AJ2173" s="165"/>
      <c r="AK2173" s="165"/>
      <c r="AL2173" s="165"/>
      <c r="AM2173" s="165"/>
      <c r="AN2173" s="165"/>
    </row>
    <row r="2174" spans="3:40">
      <c r="C2174" s="46"/>
      <c r="F2174" s="173"/>
      <c r="G2174" s="1"/>
      <c r="H2174" s="165"/>
      <c r="I2174" s="160"/>
      <c r="J2174" s="160"/>
      <c r="K2174" s="1"/>
      <c r="L2174" s="123"/>
      <c r="M2174" s="1"/>
      <c r="N2174" s="590"/>
      <c r="O2174" s="165"/>
      <c r="P2174" s="165"/>
      <c r="Q2174" s="165"/>
      <c r="R2174" s="165"/>
      <c r="S2174" s="165"/>
      <c r="V2174" s="46"/>
      <c r="W2174" s="46"/>
      <c r="X2174" s="1"/>
      <c r="Y2174" s="1"/>
      <c r="Z2174" s="173"/>
      <c r="AA2174" s="1"/>
      <c r="AB2174" s="165"/>
      <c r="AC2174" s="1"/>
      <c r="AD2174" s="1"/>
      <c r="AE2174" s="1"/>
      <c r="AF2174" s="46"/>
      <c r="AG2174" s="1"/>
      <c r="AH2174" s="165"/>
      <c r="AI2174" s="165"/>
      <c r="AJ2174" s="165"/>
      <c r="AK2174" s="165"/>
      <c r="AL2174" s="165"/>
      <c r="AM2174" s="165"/>
      <c r="AN2174" s="165"/>
    </row>
    <row r="2175" spans="3:40">
      <c r="C2175" s="46"/>
      <c r="F2175" s="173"/>
      <c r="G2175" s="1"/>
      <c r="H2175" s="165"/>
      <c r="I2175" s="160"/>
      <c r="J2175" s="160"/>
      <c r="K2175" s="1"/>
      <c r="L2175" s="123"/>
      <c r="M2175" s="1"/>
      <c r="N2175" s="590"/>
      <c r="O2175" s="165"/>
      <c r="P2175" s="165"/>
      <c r="Q2175" s="165"/>
      <c r="R2175" s="165"/>
      <c r="S2175" s="165"/>
      <c r="V2175" s="46"/>
      <c r="W2175" s="46"/>
      <c r="X2175" s="1"/>
      <c r="Y2175" s="1"/>
      <c r="Z2175" s="173"/>
      <c r="AA2175" s="1"/>
      <c r="AB2175" s="165"/>
      <c r="AC2175" s="1"/>
      <c r="AD2175" s="1"/>
      <c r="AE2175" s="1"/>
      <c r="AF2175" s="46"/>
      <c r="AG2175" s="1"/>
      <c r="AH2175" s="165"/>
      <c r="AI2175" s="165"/>
      <c r="AJ2175" s="165"/>
      <c r="AK2175" s="165"/>
      <c r="AL2175" s="165"/>
      <c r="AM2175" s="165"/>
      <c r="AN2175" s="165"/>
    </row>
    <row r="2176" spans="3:40">
      <c r="C2176" s="46"/>
      <c r="F2176" s="173"/>
      <c r="G2176" s="1"/>
      <c r="H2176" s="165"/>
      <c r="I2176" s="160"/>
      <c r="J2176" s="160"/>
      <c r="K2176" s="1"/>
      <c r="L2176" s="123"/>
      <c r="M2176" s="1"/>
      <c r="N2176" s="590"/>
      <c r="O2176" s="165"/>
      <c r="P2176" s="165"/>
      <c r="Q2176" s="165"/>
      <c r="R2176" s="165"/>
      <c r="S2176" s="165"/>
      <c r="V2176" s="46"/>
      <c r="W2176" s="46"/>
      <c r="X2176" s="1"/>
      <c r="Y2176" s="1"/>
      <c r="Z2176" s="173"/>
      <c r="AA2176" s="1"/>
      <c r="AB2176" s="165"/>
      <c r="AC2176" s="1"/>
      <c r="AD2176" s="1"/>
      <c r="AE2176" s="1"/>
      <c r="AF2176" s="46"/>
      <c r="AG2176" s="1"/>
      <c r="AH2176" s="165"/>
      <c r="AI2176" s="165"/>
      <c r="AJ2176" s="165"/>
      <c r="AK2176" s="165"/>
      <c r="AL2176" s="165"/>
      <c r="AM2176" s="165"/>
      <c r="AN2176" s="165"/>
    </row>
    <row r="2177" spans="3:40">
      <c r="C2177" s="46"/>
      <c r="F2177" s="173"/>
      <c r="G2177" s="1"/>
      <c r="H2177" s="165"/>
      <c r="I2177" s="160"/>
      <c r="J2177" s="160"/>
      <c r="K2177" s="1"/>
      <c r="L2177" s="123"/>
      <c r="M2177" s="1"/>
      <c r="N2177" s="590"/>
      <c r="O2177" s="165"/>
      <c r="P2177" s="165"/>
      <c r="Q2177" s="165"/>
      <c r="R2177" s="165"/>
      <c r="S2177" s="165"/>
      <c r="V2177" s="46"/>
      <c r="W2177" s="46"/>
      <c r="X2177" s="1"/>
      <c r="Y2177" s="1"/>
      <c r="Z2177" s="173"/>
      <c r="AA2177" s="1"/>
      <c r="AB2177" s="165"/>
      <c r="AC2177" s="1"/>
      <c r="AD2177" s="1"/>
      <c r="AE2177" s="1"/>
      <c r="AF2177" s="46"/>
      <c r="AG2177" s="1"/>
      <c r="AH2177" s="165"/>
      <c r="AI2177" s="165"/>
      <c r="AJ2177" s="165"/>
      <c r="AK2177" s="165"/>
      <c r="AL2177" s="165"/>
      <c r="AM2177" s="165"/>
      <c r="AN2177" s="165"/>
    </row>
    <row r="2178" spans="3:40">
      <c r="C2178" s="46"/>
      <c r="F2178" s="173"/>
      <c r="G2178" s="1"/>
      <c r="H2178" s="165"/>
      <c r="I2178" s="160"/>
      <c r="J2178" s="160"/>
      <c r="K2178" s="1"/>
      <c r="L2178" s="123"/>
      <c r="M2178" s="1"/>
      <c r="N2178" s="590"/>
      <c r="O2178" s="165"/>
      <c r="P2178" s="165"/>
      <c r="Q2178" s="165"/>
      <c r="R2178" s="165"/>
      <c r="S2178" s="165"/>
      <c r="V2178" s="46"/>
      <c r="W2178" s="46"/>
      <c r="X2178" s="1"/>
      <c r="Y2178" s="1"/>
      <c r="Z2178" s="173"/>
      <c r="AA2178" s="1"/>
      <c r="AB2178" s="165"/>
      <c r="AC2178" s="1"/>
      <c r="AD2178" s="1"/>
      <c r="AE2178" s="1"/>
      <c r="AF2178" s="46"/>
      <c r="AG2178" s="1"/>
      <c r="AH2178" s="165"/>
      <c r="AI2178" s="165"/>
      <c r="AJ2178" s="165"/>
      <c r="AK2178" s="165"/>
      <c r="AL2178" s="165"/>
      <c r="AM2178" s="165"/>
      <c r="AN2178" s="165"/>
    </row>
    <row r="2179" spans="3:40">
      <c r="C2179" s="46"/>
      <c r="F2179" s="173"/>
      <c r="G2179" s="1"/>
      <c r="H2179" s="165"/>
      <c r="I2179" s="160"/>
      <c r="J2179" s="160"/>
      <c r="K2179" s="1"/>
      <c r="L2179" s="123"/>
      <c r="M2179" s="1"/>
      <c r="N2179" s="590"/>
      <c r="O2179" s="165"/>
      <c r="P2179" s="165"/>
      <c r="Q2179" s="165"/>
      <c r="R2179" s="165"/>
      <c r="S2179" s="165"/>
      <c r="V2179" s="46"/>
      <c r="W2179" s="46"/>
      <c r="X2179" s="1"/>
      <c r="Y2179" s="1"/>
      <c r="Z2179" s="173"/>
      <c r="AA2179" s="1"/>
      <c r="AB2179" s="165"/>
      <c r="AC2179" s="1"/>
      <c r="AD2179" s="1"/>
      <c r="AE2179" s="1"/>
      <c r="AF2179" s="46"/>
      <c r="AG2179" s="1"/>
      <c r="AH2179" s="165"/>
      <c r="AI2179" s="165"/>
      <c r="AJ2179" s="165"/>
      <c r="AK2179" s="165"/>
      <c r="AL2179" s="165"/>
      <c r="AM2179" s="165"/>
      <c r="AN2179" s="165"/>
    </row>
    <row r="2180" spans="3:40">
      <c r="C2180" s="46"/>
      <c r="F2180" s="173"/>
      <c r="G2180" s="1"/>
      <c r="H2180" s="165"/>
      <c r="I2180" s="160"/>
      <c r="J2180" s="160"/>
      <c r="K2180" s="1"/>
      <c r="L2180" s="123"/>
      <c r="M2180" s="1"/>
      <c r="N2180" s="590"/>
      <c r="O2180" s="165"/>
      <c r="P2180" s="165"/>
      <c r="Q2180" s="165"/>
      <c r="R2180" s="165"/>
      <c r="S2180" s="165"/>
      <c r="V2180" s="46"/>
      <c r="W2180" s="46"/>
      <c r="X2180" s="1"/>
      <c r="Y2180" s="1"/>
      <c r="Z2180" s="173"/>
      <c r="AA2180" s="1"/>
      <c r="AB2180" s="165"/>
      <c r="AC2180" s="1"/>
      <c r="AD2180" s="1"/>
      <c r="AE2180" s="1"/>
      <c r="AF2180" s="46"/>
      <c r="AG2180" s="1"/>
      <c r="AH2180" s="165"/>
      <c r="AI2180" s="165"/>
      <c r="AJ2180" s="165"/>
      <c r="AK2180" s="165"/>
      <c r="AL2180" s="165"/>
      <c r="AM2180" s="165"/>
      <c r="AN2180" s="165"/>
    </row>
    <row r="2181" spans="3:40">
      <c r="C2181" s="46"/>
      <c r="F2181" s="173"/>
      <c r="G2181" s="1"/>
      <c r="H2181" s="165"/>
      <c r="I2181" s="160"/>
      <c r="J2181" s="160"/>
      <c r="K2181" s="1"/>
      <c r="L2181" s="123"/>
      <c r="M2181" s="1"/>
      <c r="N2181" s="590"/>
      <c r="O2181" s="165"/>
      <c r="P2181" s="165"/>
      <c r="Q2181" s="165"/>
      <c r="R2181" s="165"/>
      <c r="S2181" s="165"/>
      <c r="V2181" s="46"/>
      <c r="W2181" s="46"/>
      <c r="X2181" s="1"/>
      <c r="Y2181" s="1"/>
      <c r="Z2181" s="173"/>
      <c r="AA2181" s="1"/>
      <c r="AB2181" s="165"/>
      <c r="AC2181" s="1"/>
      <c r="AD2181" s="1"/>
      <c r="AE2181" s="1"/>
      <c r="AF2181" s="46"/>
      <c r="AG2181" s="1"/>
      <c r="AH2181" s="165"/>
      <c r="AI2181" s="165"/>
      <c r="AJ2181" s="165"/>
      <c r="AK2181" s="165"/>
      <c r="AL2181" s="165"/>
      <c r="AM2181" s="165"/>
      <c r="AN2181" s="165"/>
    </row>
    <row r="2182" spans="3:40">
      <c r="C2182" s="46"/>
      <c r="F2182" s="173"/>
      <c r="G2182" s="1"/>
      <c r="H2182" s="165"/>
      <c r="I2182" s="160"/>
      <c r="J2182" s="160"/>
      <c r="K2182" s="1"/>
      <c r="L2182" s="123"/>
      <c r="M2182" s="1"/>
      <c r="N2182" s="590"/>
      <c r="O2182" s="165"/>
      <c r="P2182" s="165"/>
      <c r="Q2182" s="165"/>
      <c r="R2182" s="165"/>
      <c r="S2182" s="165"/>
      <c r="V2182" s="46"/>
      <c r="W2182" s="46"/>
      <c r="X2182" s="1"/>
      <c r="Y2182" s="1"/>
      <c r="Z2182" s="173"/>
      <c r="AA2182" s="1"/>
      <c r="AB2182" s="165"/>
      <c r="AC2182" s="1"/>
      <c r="AD2182" s="1"/>
      <c r="AE2182" s="1"/>
      <c r="AF2182" s="46"/>
      <c r="AG2182" s="1"/>
      <c r="AH2182" s="165"/>
      <c r="AI2182" s="165"/>
      <c r="AJ2182" s="165"/>
      <c r="AK2182" s="165"/>
      <c r="AL2182" s="165"/>
      <c r="AM2182" s="165"/>
      <c r="AN2182" s="165"/>
    </row>
    <row r="2183" spans="3:40">
      <c r="C2183" s="46"/>
      <c r="F2183" s="173"/>
      <c r="G2183" s="1"/>
      <c r="H2183" s="165"/>
      <c r="I2183" s="160"/>
      <c r="J2183" s="160"/>
      <c r="K2183" s="1"/>
      <c r="L2183" s="123"/>
      <c r="M2183" s="1"/>
      <c r="N2183" s="590"/>
      <c r="O2183" s="165"/>
      <c r="P2183" s="165"/>
      <c r="Q2183" s="165"/>
      <c r="R2183" s="165"/>
      <c r="S2183" s="165"/>
      <c r="V2183" s="46"/>
      <c r="W2183" s="46"/>
      <c r="X2183" s="1"/>
      <c r="Y2183" s="1"/>
      <c r="Z2183" s="173"/>
      <c r="AA2183" s="1"/>
      <c r="AB2183" s="165"/>
      <c r="AC2183" s="1"/>
      <c r="AD2183" s="1"/>
      <c r="AE2183" s="1"/>
      <c r="AF2183" s="46"/>
      <c r="AG2183" s="1"/>
      <c r="AH2183" s="165"/>
      <c r="AI2183" s="165"/>
      <c r="AJ2183" s="165"/>
      <c r="AK2183" s="165"/>
      <c r="AL2183" s="165"/>
      <c r="AM2183" s="165"/>
      <c r="AN2183" s="165"/>
    </row>
    <row r="2184" spans="3:40">
      <c r="C2184" s="46"/>
      <c r="F2184" s="173"/>
      <c r="G2184" s="1"/>
      <c r="H2184" s="165"/>
      <c r="I2184" s="160"/>
      <c r="J2184" s="160"/>
      <c r="K2184" s="1"/>
      <c r="L2184" s="123"/>
      <c r="M2184" s="1"/>
      <c r="N2184" s="590"/>
      <c r="O2184" s="165"/>
      <c r="P2184" s="165"/>
      <c r="Q2184" s="165"/>
      <c r="R2184" s="165"/>
      <c r="S2184" s="165"/>
      <c r="V2184" s="46"/>
      <c r="W2184" s="46"/>
      <c r="X2184" s="1"/>
      <c r="Y2184" s="1"/>
      <c r="Z2184" s="173"/>
      <c r="AA2184" s="1"/>
      <c r="AB2184" s="165"/>
      <c r="AC2184" s="1"/>
      <c r="AD2184" s="1"/>
      <c r="AE2184" s="1"/>
      <c r="AF2184" s="46"/>
      <c r="AG2184" s="1"/>
      <c r="AH2184" s="165"/>
      <c r="AI2184" s="165"/>
      <c r="AJ2184" s="165"/>
      <c r="AK2184" s="165"/>
      <c r="AL2184" s="165"/>
      <c r="AM2184" s="165"/>
      <c r="AN2184" s="165"/>
    </row>
    <row r="2185" spans="3:40">
      <c r="C2185" s="46"/>
      <c r="F2185" s="173"/>
      <c r="G2185" s="1"/>
      <c r="H2185" s="165"/>
      <c r="I2185" s="160"/>
      <c r="J2185" s="160"/>
      <c r="K2185" s="1"/>
      <c r="L2185" s="123"/>
      <c r="M2185" s="1"/>
      <c r="N2185" s="590"/>
      <c r="O2185" s="165"/>
      <c r="P2185" s="165"/>
      <c r="Q2185" s="165"/>
      <c r="R2185" s="165"/>
      <c r="S2185" s="165"/>
      <c r="V2185" s="46"/>
      <c r="W2185" s="46"/>
      <c r="X2185" s="1"/>
      <c r="Y2185" s="1"/>
      <c r="Z2185" s="173"/>
      <c r="AA2185" s="1"/>
      <c r="AB2185" s="165"/>
      <c r="AC2185" s="1"/>
      <c r="AD2185" s="1"/>
      <c r="AE2185" s="1"/>
      <c r="AF2185" s="46"/>
      <c r="AG2185" s="1"/>
      <c r="AH2185" s="165"/>
      <c r="AI2185" s="165"/>
      <c r="AJ2185" s="165"/>
      <c r="AK2185" s="165"/>
      <c r="AL2185" s="165"/>
      <c r="AM2185" s="165"/>
      <c r="AN2185" s="165"/>
    </row>
    <row r="2186" spans="3:40">
      <c r="C2186" s="46"/>
      <c r="F2186" s="173"/>
      <c r="G2186" s="1"/>
      <c r="H2186" s="165"/>
      <c r="I2186" s="160"/>
      <c r="J2186" s="160"/>
      <c r="K2186" s="1"/>
      <c r="L2186" s="123"/>
      <c r="M2186" s="1"/>
      <c r="N2186" s="590"/>
      <c r="O2186" s="165"/>
      <c r="P2186" s="165"/>
      <c r="Q2186" s="165"/>
      <c r="R2186" s="165"/>
      <c r="S2186" s="165"/>
      <c r="V2186" s="46"/>
      <c r="W2186" s="46"/>
      <c r="X2186" s="1"/>
      <c r="Y2186" s="1"/>
      <c r="Z2186" s="173"/>
      <c r="AA2186" s="1"/>
      <c r="AB2186" s="165"/>
      <c r="AC2186" s="1"/>
      <c r="AD2186" s="1"/>
      <c r="AE2186" s="1"/>
      <c r="AF2186" s="46"/>
      <c r="AG2186" s="1"/>
      <c r="AH2186" s="165"/>
      <c r="AI2186" s="165"/>
      <c r="AJ2186" s="165"/>
      <c r="AK2186" s="165"/>
      <c r="AL2186" s="165"/>
      <c r="AM2186" s="165"/>
      <c r="AN2186" s="165"/>
    </row>
    <row r="2187" spans="3:40">
      <c r="C2187" s="46"/>
      <c r="F2187" s="173"/>
      <c r="G2187" s="1"/>
      <c r="H2187" s="165"/>
      <c r="I2187" s="160"/>
      <c r="J2187" s="160"/>
      <c r="K2187" s="1"/>
      <c r="L2187" s="123"/>
      <c r="M2187" s="1"/>
      <c r="N2187" s="590"/>
      <c r="O2187" s="165"/>
      <c r="P2187" s="165"/>
      <c r="Q2187" s="165"/>
      <c r="R2187" s="165"/>
      <c r="S2187" s="165"/>
      <c r="V2187" s="46"/>
      <c r="W2187" s="46"/>
      <c r="X2187" s="1"/>
      <c r="Y2187" s="1"/>
      <c r="Z2187" s="173"/>
      <c r="AA2187" s="1"/>
      <c r="AB2187" s="165"/>
      <c r="AC2187" s="1"/>
      <c r="AD2187" s="1"/>
      <c r="AE2187" s="1"/>
      <c r="AF2187" s="46"/>
      <c r="AG2187" s="1"/>
      <c r="AH2187" s="165"/>
      <c r="AI2187" s="165"/>
      <c r="AJ2187" s="165"/>
      <c r="AK2187" s="165"/>
      <c r="AL2187" s="165"/>
      <c r="AM2187" s="165"/>
      <c r="AN2187" s="165"/>
    </row>
    <row r="2188" spans="3:40">
      <c r="C2188" s="46"/>
      <c r="F2188" s="173"/>
      <c r="G2188" s="1"/>
      <c r="H2188" s="165"/>
      <c r="I2188" s="160"/>
      <c r="J2188" s="160"/>
      <c r="K2188" s="1"/>
      <c r="L2188" s="123"/>
      <c r="M2188" s="1"/>
      <c r="N2188" s="590"/>
      <c r="O2188" s="165"/>
      <c r="P2188" s="165"/>
      <c r="Q2188" s="165"/>
      <c r="R2188" s="165"/>
      <c r="S2188" s="165"/>
      <c r="V2188" s="46"/>
      <c r="W2188" s="46"/>
      <c r="X2188" s="1"/>
      <c r="Y2188" s="1"/>
      <c r="Z2188" s="173"/>
      <c r="AA2188" s="1"/>
      <c r="AB2188" s="165"/>
      <c r="AC2188" s="1"/>
      <c r="AD2188" s="1"/>
      <c r="AE2188" s="1"/>
      <c r="AF2188" s="46"/>
      <c r="AG2188" s="1"/>
      <c r="AH2188" s="165"/>
      <c r="AI2188" s="165"/>
      <c r="AJ2188" s="165"/>
      <c r="AK2188" s="165"/>
      <c r="AL2188" s="165"/>
      <c r="AM2188" s="165"/>
      <c r="AN2188" s="165"/>
    </row>
    <row r="2189" spans="3:40">
      <c r="C2189" s="46"/>
      <c r="F2189" s="173"/>
      <c r="G2189" s="1"/>
      <c r="H2189" s="165"/>
      <c r="I2189" s="160"/>
      <c r="J2189" s="160"/>
      <c r="K2189" s="1"/>
      <c r="L2189" s="123"/>
      <c r="M2189" s="1"/>
      <c r="N2189" s="590"/>
      <c r="O2189" s="165"/>
      <c r="P2189" s="165"/>
      <c r="Q2189" s="165"/>
      <c r="R2189" s="165"/>
      <c r="S2189" s="165"/>
      <c r="V2189" s="46"/>
      <c r="W2189" s="46"/>
      <c r="X2189" s="1"/>
      <c r="Y2189" s="1"/>
      <c r="Z2189" s="173"/>
      <c r="AA2189" s="1"/>
      <c r="AB2189" s="165"/>
      <c r="AC2189" s="1"/>
      <c r="AD2189" s="1"/>
      <c r="AE2189" s="1"/>
      <c r="AF2189" s="46"/>
      <c r="AG2189" s="1"/>
      <c r="AH2189" s="165"/>
      <c r="AI2189" s="165"/>
      <c r="AJ2189" s="165"/>
      <c r="AK2189" s="165"/>
      <c r="AL2189" s="165"/>
      <c r="AM2189" s="165"/>
      <c r="AN2189" s="165"/>
    </row>
    <row r="2190" spans="3:40">
      <c r="C2190" s="46"/>
      <c r="F2190" s="173"/>
      <c r="G2190" s="1"/>
      <c r="H2190" s="165"/>
      <c r="I2190" s="160"/>
      <c r="J2190" s="160"/>
      <c r="K2190" s="1"/>
      <c r="L2190" s="123"/>
      <c r="M2190" s="1"/>
      <c r="N2190" s="590"/>
      <c r="O2190" s="165"/>
      <c r="P2190" s="165"/>
      <c r="Q2190" s="165"/>
      <c r="R2190" s="165"/>
      <c r="S2190" s="165"/>
      <c r="V2190" s="46"/>
      <c r="W2190" s="46"/>
      <c r="X2190" s="1"/>
      <c r="Y2190" s="1"/>
      <c r="Z2190" s="173"/>
      <c r="AA2190" s="1"/>
      <c r="AB2190" s="165"/>
      <c r="AC2190" s="1"/>
      <c r="AD2190" s="1"/>
      <c r="AE2190" s="1"/>
      <c r="AF2190" s="46"/>
      <c r="AG2190" s="1"/>
      <c r="AH2190" s="165"/>
      <c r="AI2190" s="165"/>
      <c r="AJ2190" s="165"/>
      <c r="AK2190" s="165"/>
      <c r="AL2190" s="165"/>
      <c r="AM2190" s="165"/>
      <c r="AN2190" s="165"/>
    </row>
    <row r="2191" spans="3:40">
      <c r="C2191" s="46"/>
      <c r="F2191" s="173"/>
      <c r="G2191" s="1"/>
      <c r="H2191" s="165"/>
      <c r="I2191" s="160"/>
      <c r="J2191" s="160"/>
      <c r="K2191" s="1"/>
      <c r="L2191" s="123"/>
      <c r="M2191" s="1"/>
      <c r="N2191" s="590"/>
      <c r="O2191" s="165"/>
      <c r="P2191" s="165"/>
      <c r="Q2191" s="165"/>
      <c r="R2191" s="165"/>
      <c r="S2191" s="165"/>
      <c r="V2191" s="46"/>
      <c r="W2191" s="46"/>
      <c r="X2191" s="1"/>
      <c r="Y2191" s="1"/>
      <c r="Z2191" s="173"/>
      <c r="AA2191" s="1"/>
      <c r="AB2191" s="165"/>
      <c r="AC2191" s="1"/>
      <c r="AD2191" s="1"/>
      <c r="AE2191" s="1"/>
      <c r="AF2191" s="46"/>
      <c r="AG2191" s="1"/>
      <c r="AH2191" s="165"/>
      <c r="AI2191" s="165"/>
      <c r="AJ2191" s="165"/>
      <c r="AK2191" s="165"/>
      <c r="AL2191" s="165"/>
      <c r="AM2191" s="165"/>
      <c r="AN2191" s="165"/>
    </row>
    <row r="2192" spans="3:40">
      <c r="C2192" s="46"/>
      <c r="F2192" s="173"/>
      <c r="G2192" s="1"/>
      <c r="H2192" s="165"/>
      <c r="I2192" s="160"/>
      <c r="J2192" s="160"/>
      <c r="K2192" s="1"/>
      <c r="L2192" s="123"/>
      <c r="M2192" s="1"/>
      <c r="N2192" s="590"/>
      <c r="O2192" s="165"/>
      <c r="P2192" s="165"/>
      <c r="Q2192" s="165"/>
      <c r="R2192" s="165"/>
      <c r="S2192" s="165"/>
      <c r="V2192" s="46"/>
      <c r="W2192" s="46"/>
      <c r="X2192" s="1"/>
      <c r="Y2192" s="1"/>
      <c r="Z2192" s="173"/>
      <c r="AA2192" s="1"/>
      <c r="AB2192" s="165"/>
      <c r="AC2192" s="1"/>
      <c r="AD2192" s="1"/>
      <c r="AE2192" s="1"/>
      <c r="AF2192" s="46"/>
      <c r="AG2192" s="1"/>
      <c r="AH2192" s="165"/>
      <c r="AI2192" s="165"/>
      <c r="AJ2192" s="165"/>
      <c r="AK2192" s="165"/>
      <c r="AL2192" s="165"/>
      <c r="AM2192" s="165"/>
      <c r="AN2192" s="165"/>
    </row>
    <row r="2193" spans="3:40">
      <c r="C2193" s="46"/>
      <c r="F2193" s="173"/>
      <c r="G2193" s="1"/>
      <c r="H2193" s="165"/>
      <c r="I2193" s="160"/>
      <c r="J2193" s="160"/>
      <c r="K2193" s="1"/>
      <c r="L2193" s="123"/>
      <c r="M2193" s="1"/>
      <c r="N2193" s="590"/>
      <c r="O2193" s="165"/>
      <c r="P2193" s="165"/>
      <c r="Q2193" s="165"/>
      <c r="R2193" s="165"/>
      <c r="S2193" s="165"/>
      <c r="V2193" s="46"/>
      <c r="W2193" s="46"/>
      <c r="X2193" s="1"/>
      <c r="Y2193" s="1"/>
      <c r="Z2193" s="173"/>
      <c r="AA2193" s="1"/>
      <c r="AB2193" s="165"/>
      <c r="AC2193" s="1"/>
      <c r="AD2193" s="1"/>
      <c r="AE2193" s="1"/>
      <c r="AF2193" s="46"/>
      <c r="AG2193" s="1"/>
      <c r="AH2193" s="165"/>
      <c r="AI2193" s="165"/>
      <c r="AJ2193" s="165"/>
      <c r="AK2193" s="165"/>
      <c r="AL2193" s="165"/>
      <c r="AM2193" s="165"/>
      <c r="AN2193" s="165"/>
    </row>
    <row r="2194" spans="3:40">
      <c r="C2194" s="46"/>
      <c r="F2194" s="173"/>
      <c r="G2194" s="1"/>
      <c r="H2194" s="165"/>
      <c r="I2194" s="160"/>
      <c r="J2194" s="160"/>
      <c r="K2194" s="1"/>
      <c r="L2194" s="123"/>
      <c r="M2194" s="1"/>
      <c r="N2194" s="590"/>
      <c r="O2194" s="165"/>
      <c r="P2194" s="165"/>
      <c r="Q2194" s="165"/>
      <c r="R2194" s="165"/>
      <c r="S2194" s="165"/>
      <c r="V2194" s="46"/>
      <c r="W2194" s="46"/>
      <c r="X2194" s="1"/>
      <c r="Y2194" s="1"/>
      <c r="Z2194" s="173"/>
      <c r="AA2194" s="1"/>
      <c r="AB2194" s="165"/>
      <c r="AC2194" s="1"/>
      <c r="AD2194" s="1"/>
      <c r="AE2194" s="1"/>
      <c r="AF2194" s="46"/>
      <c r="AG2194" s="1"/>
      <c r="AH2194" s="165"/>
      <c r="AI2194" s="165"/>
      <c r="AJ2194" s="165"/>
      <c r="AK2194" s="165"/>
      <c r="AL2194" s="165"/>
      <c r="AM2194" s="165"/>
      <c r="AN2194" s="165"/>
    </row>
    <row r="2195" spans="3:40">
      <c r="C2195" s="46"/>
      <c r="F2195" s="173"/>
      <c r="G2195" s="1"/>
      <c r="H2195" s="165"/>
      <c r="I2195" s="160"/>
      <c r="J2195" s="160"/>
      <c r="K2195" s="1"/>
      <c r="L2195" s="123"/>
      <c r="M2195" s="1"/>
      <c r="N2195" s="590"/>
      <c r="O2195" s="165"/>
      <c r="P2195" s="165"/>
      <c r="Q2195" s="165"/>
      <c r="R2195" s="165"/>
      <c r="S2195" s="165"/>
      <c r="V2195" s="46"/>
      <c r="W2195" s="46"/>
      <c r="X2195" s="1"/>
      <c r="Y2195" s="1"/>
      <c r="Z2195" s="173"/>
      <c r="AA2195" s="1"/>
      <c r="AB2195" s="165"/>
      <c r="AC2195" s="1"/>
      <c r="AD2195" s="1"/>
      <c r="AE2195" s="1"/>
      <c r="AF2195" s="46"/>
      <c r="AG2195" s="1"/>
      <c r="AH2195" s="165"/>
      <c r="AI2195" s="165"/>
      <c r="AJ2195" s="165"/>
      <c r="AK2195" s="165"/>
      <c r="AL2195" s="165"/>
      <c r="AM2195" s="165"/>
      <c r="AN2195" s="165"/>
    </row>
    <row r="2196" spans="3:40">
      <c r="C2196" s="46"/>
      <c r="F2196" s="173"/>
      <c r="G2196" s="1"/>
      <c r="H2196" s="165"/>
      <c r="I2196" s="160"/>
      <c r="J2196" s="160"/>
      <c r="K2196" s="1"/>
      <c r="L2196" s="123"/>
      <c r="M2196" s="1"/>
      <c r="N2196" s="590"/>
      <c r="O2196" s="165"/>
      <c r="P2196" s="165"/>
      <c r="Q2196" s="165"/>
      <c r="R2196" s="165"/>
      <c r="S2196" s="165"/>
      <c r="V2196" s="46"/>
      <c r="W2196" s="46"/>
      <c r="X2196" s="1"/>
      <c r="Y2196" s="1"/>
      <c r="Z2196" s="173"/>
      <c r="AA2196" s="1"/>
      <c r="AB2196" s="165"/>
      <c r="AC2196" s="1"/>
      <c r="AD2196" s="1"/>
      <c r="AE2196" s="1"/>
      <c r="AF2196" s="46"/>
      <c r="AG2196" s="1"/>
      <c r="AH2196" s="165"/>
      <c r="AI2196" s="165"/>
      <c r="AJ2196" s="165"/>
      <c r="AK2196" s="165"/>
      <c r="AL2196" s="165"/>
      <c r="AM2196" s="165"/>
      <c r="AN2196" s="165"/>
    </row>
    <row r="2197" spans="3:40">
      <c r="C2197" s="46"/>
      <c r="F2197" s="173"/>
      <c r="G2197" s="1"/>
      <c r="H2197" s="165"/>
      <c r="I2197" s="160"/>
      <c r="J2197" s="160"/>
      <c r="K2197" s="1"/>
      <c r="L2197" s="123"/>
      <c r="M2197" s="1"/>
      <c r="N2197" s="590"/>
      <c r="O2197" s="165"/>
      <c r="P2197" s="165"/>
      <c r="Q2197" s="165"/>
      <c r="R2197" s="165"/>
      <c r="S2197" s="165"/>
      <c r="V2197" s="46"/>
      <c r="W2197" s="46"/>
      <c r="X2197" s="1"/>
      <c r="Y2197" s="1"/>
      <c r="Z2197" s="173"/>
      <c r="AA2197" s="1"/>
      <c r="AB2197" s="165"/>
      <c r="AC2197" s="1"/>
      <c r="AD2197" s="1"/>
      <c r="AE2197" s="1"/>
      <c r="AF2197" s="46"/>
      <c r="AG2197" s="1"/>
      <c r="AH2197" s="165"/>
      <c r="AI2197" s="165"/>
      <c r="AJ2197" s="165"/>
      <c r="AK2197" s="165"/>
      <c r="AL2197" s="165"/>
      <c r="AM2197" s="165"/>
      <c r="AN2197" s="165"/>
    </row>
    <row r="2198" spans="3:40">
      <c r="C2198" s="46"/>
      <c r="F2198" s="173"/>
      <c r="G2198" s="1"/>
      <c r="H2198" s="165"/>
      <c r="I2198" s="160"/>
      <c r="J2198" s="160"/>
      <c r="K2198" s="1"/>
      <c r="L2198" s="123"/>
      <c r="M2198" s="1"/>
      <c r="N2198" s="590"/>
      <c r="O2198" s="165"/>
      <c r="P2198" s="165"/>
      <c r="Q2198" s="165"/>
      <c r="R2198" s="165"/>
      <c r="S2198" s="165"/>
      <c r="V2198" s="46"/>
      <c r="W2198" s="46"/>
      <c r="X2198" s="1"/>
      <c r="Y2198" s="1"/>
      <c r="Z2198" s="173"/>
      <c r="AA2198" s="1"/>
      <c r="AB2198" s="165"/>
      <c r="AC2198" s="1"/>
      <c r="AD2198" s="1"/>
      <c r="AE2198" s="1"/>
      <c r="AF2198" s="46"/>
      <c r="AG2198" s="1"/>
      <c r="AH2198" s="165"/>
      <c r="AI2198" s="165"/>
      <c r="AJ2198" s="165"/>
      <c r="AK2198" s="165"/>
      <c r="AL2198" s="165"/>
      <c r="AM2198" s="165"/>
      <c r="AN2198" s="165"/>
    </row>
    <row r="2199" spans="3:40">
      <c r="C2199" s="46"/>
      <c r="F2199" s="173"/>
      <c r="G2199" s="1"/>
      <c r="H2199" s="165"/>
      <c r="I2199" s="160"/>
      <c r="J2199" s="160"/>
      <c r="K2199" s="1"/>
      <c r="L2199" s="123"/>
      <c r="M2199" s="1"/>
      <c r="N2199" s="590"/>
      <c r="O2199" s="165"/>
      <c r="P2199" s="165"/>
      <c r="Q2199" s="165"/>
      <c r="R2199" s="165"/>
      <c r="S2199" s="165"/>
      <c r="V2199" s="46"/>
      <c r="W2199" s="46"/>
      <c r="X2199" s="1"/>
      <c r="Y2199" s="1"/>
      <c r="Z2199" s="173"/>
      <c r="AA2199" s="1"/>
      <c r="AB2199" s="165"/>
      <c r="AC2199" s="1"/>
      <c r="AD2199" s="1"/>
      <c r="AE2199" s="1"/>
      <c r="AF2199" s="46"/>
      <c r="AG2199" s="1"/>
      <c r="AH2199" s="165"/>
      <c r="AI2199" s="165"/>
      <c r="AJ2199" s="165"/>
      <c r="AK2199" s="165"/>
      <c r="AL2199" s="165"/>
      <c r="AM2199" s="165"/>
      <c r="AN2199" s="165"/>
    </row>
    <row r="2200" spans="3:40">
      <c r="C2200" s="46"/>
      <c r="F2200" s="173"/>
      <c r="G2200" s="1"/>
      <c r="H2200" s="165"/>
      <c r="I2200" s="160"/>
      <c r="J2200" s="160"/>
      <c r="K2200" s="1"/>
      <c r="L2200" s="123"/>
      <c r="M2200" s="1"/>
      <c r="N2200" s="590"/>
      <c r="O2200" s="165"/>
      <c r="P2200" s="165"/>
      <c r="Q2200" s="165"/>
      <c r="R2200" s="165"/>
      <c r="S2200" s="165"/>
      <c r="V2200" s="46"/>
      <c r="W2200" s="46"/>
      <c r="X2200" s="1"/>
      <c r="Y2200" s="1"/>
      <c r="Z2200" s="173"/>
      <c r="AA2200" s="1"/>
      <c r="AB2200" s="165"/>
      <c r="AC2200" s="1"/>
      <c r="AD2200" s="1"/>
      <c r="AE2200" s="1"/>
      <c r="AF2200" s="46"/>
      <c r="AG2200" s="1"/>
      <c r="AH2200" s="165"/>
      <c r="AI2200" s="165"/>
      <c r="AJ2200" s="165"/>
      <c r="AK2200" s="165"/>
      <c r="AL2200" s="165"/>
      <c r="AM2200" s="165"/>
      <c r="AN2200" s="165"/>
    </row>
    <row r="2201" spans="3:40">
      <c r="C2201" s="46"/>
      <c r="F2201" s="173"/>
      <c r="G2201" s="1"/>
      <c r="H2201" s="165"/>
      <c r="I2201" s="160"/>
      <c r="J2201" s="160"/>
      <c r="K2201" s="1"/>
      <c r="L2201" s="123"/>
      <c r="M2201" s="1"/>
      <c r="N2201" s="590"/>
      <c r="O2201" s="165"/>
      <c r="P2201" s="165"/>
      <c r="Q2201" s="165"/>
      <c r="R2201" s="165"/>
      <c r="S2201" s="165"/>
      <c r="V2201" s="46"/>
      <c r="W2201" s="46"/>
      <c r="X2201" s="1"/>
      <c r="Y2201" s="1"/>
      <c r="Z2201" s="173"/>
      <c r="AA2201" s="1"/>
      <c r="AB2201" s="165"/>
      <c r="AC2201" s="1"/>
      <c r="AD2201" s="1"/>
      <c r="AE2201" s="1"/>
      <c r="AF2201" s="46"/>
      <c r="AG2201" s="1"/>
      <c r="AH2201" s="165"/>
      <c r="AI2201" s="165"/>
      <c r="AJ2201" s="165"/>
      <c r="AK2201" s="165"/>
      <c r="AL2201" s="165"/>
      <c r="AM2201" s="165"/>
      <c r="AN2201" s="165"/>
    </row>
    <row r="2202" spans="3:40">
      <c r="C2202" s="46"/>
      <c r="F2202" s="173"/>
      <c r="G2202" s="1"/>
      <c r="H2202" s="165"/>
      <c r="I2202" s="160"/>
      <c r="J2202" s="160"/>
      <c r="K2202" s="1"/>
      <c r="L2202" s="123"/>
      <c r="M2202" s="1"/>
      <c r="N2202" s="590"/>
      <c r="O2202" s="165"/>
      <c r="P2202" s="165"/>
      <c r="Q2202" s="165"/>
      <c r="R2202" s="165"/>
      <c r="S2202" s="165"/>
      <c r="V2202" s="46"/>
      <c r="W2202" s="46"/>
      <c r="X2202" s="1"/>
      <c r="Y2202" s="1"/>
      <c r="Z2202" s="173"/>
      <c r="AA2202" s="1"/>
      <c r="AB2202" s="165"/>
      <c r="AC2202" s="1"/>
      <c r="AD2202" s="1"/>
      <c r="AE2202" s="1"/>
      <c r="AF2202" s="46"/>
      <c r="AG2202" s="1"/>
      <c r="AH2202" s="165"/>
      <c r="AI2202" s="165"/>
      <c r="AJ2202" s="165"/>
      <c r="AK2202" s="165"/>
      <c r="AL2202" s="165"/>
      <c r="AM2202" s="165"/>
      <c r="AN2202" s="165"/>
    </row>
    <row r="2203" spans="3:40">
      <c r="C2203" s="46"/>
      <c r="F2203" s="173"/>
      <c r="G2203" s="1"/>
      <c r="H2203" s="165"/>
      <c r="I2203" s="160"/>
      <c r="J2203" s="160"/>
      <c r="K2203" s="1"/>
      <c r="L2203" s="123"/>
      <c r="M2203" s="1"/>
      <c r="N2203" s="590"/>
      <c r="O2203" s="165"/>
      <c r="P2203" s="165"/>
      <c r="Q2203" s="165"/>
      <c r="R2203" s="165"/>
      <c r="S2203" s="165"/>
      <c r="V2203" s="46"/>
      <c r="W2203" s="46"/>
      <c r="X2203" s="1"/>
      <c r="Y2203" s="1"/>
      <c r="Z2203" s="173"/>
      <c r="AA2203" s="1"/>
      <c r="AB2203" s="165"/>
      <c r="AC2203" s="1"/>
      <c r="AD2203" s="1"/>
      <c r="AE2203" s="1"/>
      <c r="AF2203" s="46"/>
      <c r="AG2203" s="1"/>
      <c r="AH2203" s="165"/>
      <c r="AI2203" s="165"/>
      <c r="AJ2203" s="165"/>
      <c r="AK2203" s="165"/>
      <c r="AL2203" s="165"/>
      <c r="AM2203" s="165"/>
      <c r="AN2203" s="165"/>
    </row>
    <row r="2204" spans="3:40">
      <c r="C2204" s="46"/>
      <c r="F2204" s="173"/>
      <c r="G2204" s="1"/>
      <c r="H2204" s="165"/>
      <c r="I2204" s="160"/>
      <c r="J2204" s="160"/>
      <c r="K2204" s="1"/>
      <c r="L2204" s="123"/>
      <c r="M2204" s="1"/>
      <c r="N2204" s="590"/>
      <c r="O2204" s="165"/>
      <c r="P2204" s="165"/>
      <c r="Q2204" s="165"/>
      <c r="R2204" s="165"/>
      <c r="S2204" s="165"/>
      <c r="V2204" s="46"/>
      <c r="W2204" s="46"/>
      <c r="X2204" s="1"/>
      <c r="Y2204" s="1"/>
      <c r="Z2204" s="173"/>
      <c r="AA2204" s="1"/>
      <c r="AB2204" s="165"/>
      <c r="AC2204" s="1"/>
      <c r="AD2204" s="1"/>
      <c r="AE2204" s="1"/>
      <c r="AF2204" s="46"/>
      <c r="AG2204" s="1"/>
      <c r="AH2204" s="165"/>
      <c r="AI2204" s="165"/>
      <c r="AJ2204" s="165"/>
      <c r="AK2204" s="165"/>
      <c r="AL2204" s="165"/>
      <c r="AM2204" s="165"/>
      <c r="AN2204" s="165"/>
    </row>
    <row r="2205" spans="3:40">
      <c r="C2205" s="46"/>
      <c r="F2205" s="173"/>
      <c r="G2205" s="1"/>
      <c r="H2205" s="165"/>
      <c r="I2205" s="160"/>
      <c r="J2205" s="160"/>
      <c r="K2205" s="1"/>
      <c r="L2205" s="123"/>
      <c r="M2205" s="1"/>
      <c r="N2205" s="590"/>
      <c r="O2205" s="165"/>
      <c r="P2205" s="165"/>
      <c r="Q2205" s="165"/>
      <c r="R2205" s="165"/>
      <c r="S2205" s="165"/>
      <c r="V2205" s="46"/>
      <c r="W2205" s="46"/>
      <c r="X2205" s="1"/>
      <c r="Y2205" s="1"/>
      <c r="Z2205" s="173"/>
      <c r="AA2205" s="1"/>
      <c r="AB2205" s="165"/>
      <c r="AC2205" s="1"/>
      <c r="AD2205" s="1"/>
      <c r="AE2205" s="1"/>
      <c r="AF2205" s="46"/>
      <c r="AG2205" s="1"/>
      <c r="AH2205" s="165"/>
      <c r="AI2205" s="165"/>
      <c r="AJ2205" s="165"/>
      <c r="AK2205" s="165"/>
      <c r="AL2205" s="165"/>
      <c r="AM2205" s="165"/>
      <c r="AN2205" s="165"/>
    </row>
    <row r="2206" spans="3:40">
      <c r="C2206" s="46"/>
      <c r="F2206" s="173"/>
      <c r="G2206" s="1"/>
      <c r="H2206" s="165"/>
      <c r="I2206" s="160"/>
      <c r="J2206" s="160"/>
      <c r="K2206" s="1"/>
      <c r="L2206" s="123"/>
      <c r="M2206" s="1"/>
      <c r="N2206" s="590"/>
      <c r="O2206" s="165"/>
      <c r="P2206" s="165"/>
      <c r="Q2206" s="165"/>
      <c r="R2206" s="165"/>
      <c r="S2206" s="165"/>
      <c r="V2206" s="46"/>
      <c r="W2206" s="46"/>
      <c r="X2206" s="1"/>
      <c r="Y2206" s="1"/>
      <c r="Z2206" s="173"/>
      <c r="AA2206" s="1"/>
      <c r="AB2206" s="165"/>
      <c r="AC2206" s="1"/>
      <c r="AD2206" s="1"/>
      <c r="AE2206" s="1"/>
      <c r="AF2206" s="46"/>
      <c r="AG2206" s="1"/>
      <c r="AH2206" s="165"/>
      <c r="AI2206" s="165"/>
      <c r="AJ2206" s="165"/>
      <c r="AK2206" s="165"/>
      <c r="AL2206" s="165"/>
      <c r="AM2206" s="165"/>
      <c r="AN2206" s="165"/>
    </row>
    <row r="2207" spans="3:40">
      <c r="C2207" s="46"/>
      <c r="F2207" s="173"/>
      <c r="G2207" s="1"/>
      <c r="H2207" s="165"/>
      <c r="I2207" s="160"/>
      <c r="J2207" s="160"/>
      <c r="K2207" s="1"/>
      <c r="L2207" s="123"/>
      <c r="M2207" s="1"/>
      <c r="N2207" s="590"/>
      <c r="O2207" s="165"/>
      <c r="P2207" s="165"/>
      <c r="Q2207" s="165"/>
      <c r="R2207" s="165"/>
      <c r="S2207" s="165"/>
      <c r="V2207" s="46"/>
      <c r="W2207" s="46"/>
      <c r="X2207" s="1"/>
      <c r="Y2207" s="1"/>
      <c r="Z2207" s="173"/>
      <c r="AA2207" s="1"/>
      <c r="AB2207" s="165"/>
      <c r="AC2207" s="1"/>
      <c r="AD2207" s="1"/>
      <c r="AE2207" s="1"/>
      <c r="AF2207" s="46"/>
      <c r="AG2207" s="1"/>
      <c r="AH2207" s="165"/>
      <c r="AI2207" s="165"/>
      <c r="AJ2207" s="165"/>
      <c r="AK2207" s="165"/>
      <c r="AL2207" s="165"/>
      <c r="AM2207" s="165"/>
      <c r="AN2207" s="165"/>
    </row>
    <row r="2208" spans="3:40">
      <c r="C2208" s="46"/>
      <c r="F2208" s="173"/>
      <c r="G2208" s="1"/>
      <c r="H2208" s="165"/>
      <c r="I2208" s="160"/>
      <c r="J2208" s="160"/>
      <c r="K2208" s="1"/>
      <c r="L2208" s="123"/>
      <c r="M2208" s="1"/>
      <c r="N2208" s="590"/>
      <c r="O2208" s="165"/>
      <c r="P2208" s="165"/>
      <c r="Q2208" s="165"/>
      <c r="R2208" s="165"/>
      <c r="S2208" s="165"/>
      <c r="V2208" s="46"/>
      <c r="W2208" s="46"/>
      <c r="X2208" s="1"/>
      <c r="Y2208" s="1"/>
      <c r="Z2208" s="173"/>
      <c r="AA2208" s="1"/>
      <c r="AB2208" s="165"/>
      <c r="AC2208" s="1"/>
      <c r="AD2208" s="1"/>
      <c r="AE2208" s="1"/>
      <c r="AF2208" s="46"/>
      <c r="AG2208" s="1"/>
      <c r="AH2208" s="165"/>
      <c r="AI2208" s="165"/>
      <c r="AJ2208" s="165"/>
      <c r="AK2208" s="165"/>
      <c r="AL2208" s="165"/>
      <c r="AM2208" s="165"/>
      <c r="AN2208" s="165"/>
    </row>
    <row r="2209" spans="3:40">
      <c r="C2209" s="46"/>
      <c r="F2209" s="173"/>
      <c r="G2209" s="1"/>
      <c r="H2209" s="165"/>
      <c r="I2209" s="160"/>
      <c r="J2209" s="160"/>
      <c r="K2209" s="1"/>
      <c r="L2209" s="123"/>
      <c r="M2209" s="1"/>
      <c r="N2209" s="590"/>
      <c r="O2209" s="165"/>
      <c r="P2209" s="165"/>
      <c r="Q2209" s="165"/>
      <c r="R2209" s="165"/>
      <c r="S2209" s="165"/>
      <c r="V2209" s="46"/>
      <c r="W2209" s="46"/>
      <c r="X2209" s="1"/>
      <c r="Y2209" s="1"/>
      <c r="Z2209" s="173"/>
      <c r="AA2209" s="1"/>
      <c r="AB2209" s="165"/>
      <c r="AC2209" s="1"/>
      <c r="AD2209" s="1"/>
      <c r="AE2209" s="1"/>
      <c r="AF2209" s="46"/>
      <c r="AG2209" s="1"/>
      <c r="AH2209" s="165"/>
      <c r="AI2209" s="165"/>
      <c r="AJ2209" s="165"/>
      <c r="AK2209" s="165"/>
      <c r="AL2209" s="165"/>
      <c r="AM2209" s="165"/>
      <c r="AN2209" s="165"/>
    </row>
    <row r="2210" spans="3:40">
      <c r="C2210" s="46"/>
      <c r="F2210" s="173"/>
      <c r="G2210" s="1"/>
      <c r="H2210" s="165"/>
      <c r="I2210" s="160"/>
      <c r="J2210" s="160"/>
      <c r="K2210" s="1"/>
      <c r="L2210" s="123"/>
      <c r="M2210" s="1"/>
      <c r="N2210" s="590"/>
      <c r="O2210" s="165"/>
      <c r="P2210" s="165"/>
      <c r="Q2210" s="165"/>
      <c r="R2210" s="165"/>
      <c r="S2210" s="165"/>
      <c r="V2210" s="46"/>
      <c r="W2210" s="46"/>
      <c r="X2210" s="1"/>
      <c r="Y2210" s="1"/>
      <c r="Z2210" s="173"/>
      <c r="AA2210" s="1"/>
      <c r="AB2210" s="165"/>
      <c r="AC2210" s="1"/>
      <c r="AD2210" s="1"/>
      <c r="AE2210" s="1"/>
      <c r="AF2210" s="46"/>
      <c r="AG2210" s="1"/>
      <c r="AH2210" s="165"/>
      <c r="AI2210" s="165"/>
      <c r="AJ2210" s="165"/>
      <c r="AK2210" s="165"/>
      <c r="AL2210" s="165"/>
      <c r="AM2210" s="165"/>
      <c r="AN2210" s="165"/>
    </row>
    <row r="2211" spans="3:40">
      <c r="C2211" s="46"/>
      <c r="F2211" s="173"/>
      <c r="G2211" s="1"/>
      <c r="H2211" s="165"/>
      <c r="I2211" s="160"/>
      <c r="J2211" s="160"/>
      <c r="K2211" s="1"/>
      <c r="L2211" s="123"/>
      <c r="M2211" s="1"/>
      <c r="N2211" s="590"/>
      <c r="O2211" s="165"/>
      <c r="P2211" s="165"/>
      <c r="Q2211" s="165"/>
      <c r="R2211" s="165"/>
      <c r="S2211" s="165"/>
      <c r="V2211" s="46"/>
      <c r="W2211" s="46"/>
      <c r="X2211" s="1"/>
      <c r="Y2211" s="1"/>
      <c r="Z2211" s="173"/>
      <c r="AA2211" s="1"/>
      <c r="AB2211" s="165"/>
      <c r="AC2211" s="1"/>
      <c r="AD2211" s="1"/>
      <c r="AE2211" s="1"/>
      <c r="AF2211" s="46"/>
      <c r="AG2211" s="1"/>
      <c r="AH2211" s="165"/>
      <c r="AI2211" s="165"/>
      <c r="AJ2211" s="165"/>
      <c r="AK2211" s="165"/>
      <c r="AL2211" s="165"/>
      <c r="AM2211" s="165"/>
      <c r="AN2211" s="165"/>
    </row>
    <row r="2212" spans="3:40">
      <c r="C2212" s="46"/>
      <c r="F2212" s="173"/>
      <c r="G2212" s="1"/>
      <c r="H2212" s="165"/>
      <c r="I2212" s="160"/>
      <c r="J2212" s="160"/>
      <c r="K2212" s="1"/>
      <c r="L2212" s="123"/>
      <c r="M2212" s="1"/>
      <c r="N2212" s="590"/>
      <c r="O2212" s="165"/>
      <c r="P2212" s="165"/>
      <c r="Q2212" s="165"/>
      <c r="R2212" s="165"/>
      <c r="S2212" s="165"/>
      <c r="V2212" s="46"/>
      <c r="W2212" s="46"/>
      <c r="X2212" s="1"/>
      <c r="Y2212" s="1"/>
      <c r="Z2212" s="173"/>
      <c r="AA2212" s="1"/>
      <c r="AB2212" s="165"/>
      <c r="AC2212" s="1"/>
      <c r="AD2212" s="1"/>
      <c r="AE2212" s="1"/>
      <c r="AF2212" s="46"/>
      <c r="AG2212" s="1"/>
      <c r="AH2212" s="165"/>
      <c r="AI2212" s="165"/>
      <c r="AJ2212" s="165"/>
      <c r="AK2212" s="165"/>
      <c r="AL2212" s="165"/>
      <c r="AM2212" s="165"/>
      <c r="AN2212" s="165"/>
    </row>
    <row r="2213" spans="3:40">
      <c r="C2213" s="46"/>
      <c r="F2213" s="173"/>
      <c r="G2213" s="1"/>
      <c r="H2213" s="165"/>
      <c r="I2213" s="160"/>
      <c r="J2213" s="160"/>
      <c r="K2213" s="1"/>
      <c r="L2213" s="123"/>
      <c r="M2213" s="1"/>
      <c r="N2213" s="590"/>
      <c r="O2213" s="165"/>
      <c r="P2213" s="165"/>
      <c r="Q2213" s="165"/>
      <c r="R2213" s="165"/>
      <c r="S2213" s="165"/>
      <c r="V2213" s="46"/>
      <c r="W2213" s="46"/>
      <c r="X2213" s="1"/>
      <c r="Y2213" s="1"/>
      <c r="Z2213" s="173"/>
      <c r="AA2213" s="1"/>
      <c r="AB2213" s="165"/>
      <c r="AC2213" s="1"/>
      <c r="AD2213" s="1"/>
      <c r="AE2213" s="1"/>
      <c r="AF2213" s="46"/>
      <c r="AG2213" s="1"/>
      <c r="AH2213" s="165"/>
      <c r="AI2213" s="165"/>
      <c r="AJ2213" s="165"/>
      <c r="AK2213" s="165"/>
      <c r="AL2213" s="165"/>
      <c r="AM2213" s="165"/>
      <c r="AN2213" s="165"/>
    </row>
    <row r="2214" spans="3:40">
      <c r="C2214" s="46"/>
      <c r="F2214" s="173"/>
      <c r="G2214" s="1"/>
      <c r="H2214" s="165"/>
      <c r="I2214" s="160"/>
      <c r="J2214" s="160"/>
      <c r="K2214" s="1"/>
      <c r="L2214" s="123"/>
      <c r="M2214" s="1"/>
      <c r="N2214" s="590"/>
      <c r="O2214" s="165"/>
      <c r="P2214" s="165"/>
      <c r="Q2214" s="165"/>
      <c r="R2214" s="165"/>
      <c r="S2214" s="165"/>
      <c r="V2214" s="46"/>
      <c r="W2214" s="46"/>
      <c r="X2214" s="1"/>
      <c r="Y2214" s="1"/>
      <c r="Z2214" s="173"/>
      <c r="AA2214" s="1"/>
      <c r="AB2214" s="165"/>
      <c r="AC2214" s="1"/>
      <c r="AD2214" s="1"/>
      <c r="AE2214" s="1"/>
      <c r="AF2214" s="46"/>
      <c r="AG2214" s="1"/>
      <c r="AH2214" s="165"/>
      <c r="AI2214" s="165"/>
      <c r="AJ2214" s="165"/>
      <c r="AK2214" s="165"/>
      <c r="AL2214" s="165"/>
      <c r="AM2214" s="165"/>
      <c r="AN2214" s="165"/>
    </row>
    <row r="2215" spans="3:40">
      <c r="C2215" s="46"/>
      <c r="F2215" s="173"/>
      <c r="G2215" s="1"/>
      <c r="H2215" s="165"/>
      <c r="I2215" s="160"/>
      <c r="J2215" s="160"/>
      <c r="K2215" s="1"/>
      <c r="L2215" s="123"/>
      <c r="M2215" s="1"/>
      <c r="N2215" s="590"/>
      <c r="O2215" s="165"/>
      <c r="P2215" s="165"/>
      <c r="Q2215" s="165"/>
      <c r="R2215" s="165"/>
      <c r="S2215" s="165"/>
      <c r="V2215" s="46"/>
      <c r="W2215" s="46"/>
      <c r="X2215" s="1"/>
      <c r="Y2215" s="1"/>
      <c r="Z2215" s="173"/>
      <c r="AA2215" s="1"/>
      <c r="AB2215" s="165"/>
      <c r="AC2215" s="1"/>
      <c r="AD2215" s="1"/>
      <c r="AE2215" s="1"/>
      <c r="AF2215" s="46"/>
      <c r="AG2215" s="1"/>
      <c r="AH2215" s="165"/>
      <c r="AI2215" s="165"/>
      <c r="AJ2215" s="165"/>
      <c r="AK2215" s="165"/>
      <c r="AL2215" s="165"/>
      <c r="AM2215" s="165"/>
      <c r="AN2215" s="165"/>
    </row>
    <row r="2216" spans="3:40">
      <c r="C2216" s="46"/>
      <c r="F2216" s="173"/>
      <c r="G2216" s="1"/>
      <c r="H2216" s="165"/>
      <c r="I2216" s="160"/>
      <c r="J2216" s="160"/>
      <c r="K2216" s="1"/>
      <c r="L2216" s="123"/>
      <c r="M2216" s="1"/>
      <c r="N2216" s="590"/>
      <c r="O2216" s="165"/>
      <c r="P2216" s="165"/>
      <c r="Q2216" s="165"/>
      <c r="R2216" s="165"/>
      <c r="S2216" s="165"/>
      <c r="V2216" s="46"/>
      <c r="W2216" s="46"/>
      <c r="X2216" s="1"/>
      <c r="Y2216" s="1"/>
      <c r="Z2216" s="173"/>
      <c r="AA2216" s="1"/>
      <c r="AB2216" s="165"/>
      <c r="AC2216" s="1"/>
      <c r="AD2216" s="1"/>
      <c r="AE2216" s="1"/>
      <c r="AF2216" s="46"/>
      <c r="AG2216" s="1"/>
      <c r="AH2216" s="165"/>
      <c r="AI2216" s="165"/>
      <c r="AJ2216" s="165"/>
      <c r="AK2216" s="165"/>
      <c r="AL2216" s="165"/>
      <c r="AM2216" s="165"/>
      <c r="AN2216" s="165"/>
    </row>
    <row r="2217" spans="3:40">
      <c r="C2217" s="46"/>
      <c r="F2217" s="173"/>
      <c r="G2217" s="1"/>
      <c r="H2217" s="165"/>
      <c r="I2217" s="160"/>
      <c r="J2217" s="160"/>
      <c r="K2217" s="1"/>
      <c r="L2217" s="123"/>
      <c r="M2217" s="1"/>
      <c r="N2217" s="590"/>
      <c r="O2217" s="165"/>
      <c r="P2217" s="165"/>
      <c r="Q2217" s="165"/>
      <c r="R2217" s="165"/>
      <c r="S2217" s="165"/>
      <c r="V2217" s="46"/>
      <c r="W2217" s="46"/>
      <c r="X2217" s="1"/>
      <c r="Y2217" s="1"/>
      <c r="Z2217" s="173"/>
      <c r="AA2217" s="1"/>
      <c r="AB2217" s="165"/>
      <c r="AC2217" s="1"/>
      <c r="AD2217" s="1"/>
      <c r="AE2217" s="1"/>
      <c r="AF2217" s="46"/>
      <c r="AG2217" s="1"/>
      <c r="AH2217" s="165"/>
      <c r="AI2217" s="165"/>
      <c r="AJ2217" s="165"/>
      <c r="AK2217" s="165"/>
      <c r="AL2217" s="165"/>
      <c r="AM2217" s="165"/>
      <c r="AN2217" s="165"/>
    </row>
    <row r="2218" spans="3:40">
      <c r="C2218" s="46"/>
      <c r="F2218" s="173"/>
      <c r="G2218" s="1"/>
      <c r="H2218" s="165"/>
      <c r="I2218" s="160"/>
      <c r="J2218" s="160"/>
      <c r="K2218" s="1"/>
      <c r="L2218" s="123"/>
      <c r="M2218" s="1"/>
      <c r="N2218" s="590"/>
      <c r="O2218" s="165"/>
      <c r="P2218" s="165"/>
      <c r="Q2218" s="165"/>
      <c r="R2218" s="165"/>
      <c r="S2218" s="165"/>
      <c r="V2218" s="46"/>
      <c r="W2218" s="46"/>
      <c r="X2218" s="1"/>
      <c r="Y2218" s="1"/>
      <c r="Z2218" s="173"/>
      <c r="AA2218" s="1"/>
      <c r="AB2218" s="165"/>
      <c r="AC2218" s="1"/>
      <c r="AD2218" s="1"/>
      <c r="AE2218" s="1"/>
      <c r="AF2218" s="46"/>
      <c r="AG2218" s="1"/>
      <c r="AH2218" s="165"/>
      <c r="AI2218" s="165"/>
      <c r="AJ2218" s="165"/>
      <c r="AK2218" s="165"/>
      <c r="AL2218" s="165"/>
      <c r="AM2218" s="165"/>
      <c r="AN2218" s="165"/>
    </row>
    <row r="2219" spans="3:40">
      <c r="C2219" s="46"/>
      <c r="F2219" s="173"/>
      <c r="G2219" s="1"/>
      <c r="H2219" s="165"/>
      <c r="I2219" s="160"/>
      <c r="J2219" s="160"/>
      <c r="K2219" s="1"/>
      <c r="L2219" s="123"/>
      <c r="M2219" s="1"/>
      <c r="N2219" s="590"/>
      <c r="O2219" s="165"/>
      <c r="P2219" s="165"/>
      <c r="Q2219" s="165"/>
      <c r="R2219" s="165"/>
      <c r="S2219" s="165"/>
      <c r="V2219" s="46"/>
      <c r="W2219" s="46"/>
      <c r="X2219" s="1"/>
      <c r="Y2219" s="1"/>
      <c r="Z2219" s="173"/>
      <c r="AA2219" s="1"/>
      <c r="AB2219" s="165"/>
      <c r="AC2219" s="1"/>
      <c r="AD2219" s="1"/>
      <c r="AE2219" s="1"/>
      <c r="AF2219" s="46"/>
      <c r="AG2219" s="1"/>
      <c r="AH2219" s="165"/>
      <c r="AI2219" s="165"/>
      <c r="AJ2219" s="165"/>
      <c r="AK2219" s="165"/>
      <c r="AL2219" s="165"/>
      <c r="AM2219" s="165"/>
      <c r="AN2219" s="165"/>
    </row>
    <row r="2220" spans="3:40">
      <c r="C2220" s="46"/>
      <c r="F2220" s="173"/>
      <c r="G2220" s="1"/>
      <c r="H2220" s="165"/>
      <c r="I2220" s="160"/>
      <c r="J2220" s="160"/>
      <c r="K2220" s="1"/>
      <c r="L2220" s="123"/>
      <c r="M2220" s="1"/>
      <c r="N2220" s="590"/>
      <c r="O2220" s="165"/>
      <c r="P2220" s="165"/>
      <c r="Q2220" s="165"/>
      <c r="R2220" s="165"/>
      <c r="S2220" s="165"/>
      <c r="V2220" s="46"/>
      <c r="W2220" s="46"/>
      <c r="X2220" s="1"/>
      <c r="Y2220" s="1"/>
      <c r="Z2220" s="173"/>
      <c r="AA2220" s="1"/>
      <c r="AB2220" s="165"/>
      <c r="AC2220" s="1"/>
      <c r="AD2220" s="1"/>
      <c r="AE2220" s="1"/>
      <c r="AF2220" s="46"/>
      <c r="AG2220" s="1"/>
      <c r="AH2220" s="165"/>
      <c r="AI2220" s="165"/>
      <c r="AJ2220" s="165"/>
      <c r="AK2220" s="165"/>
      <c r="AL2220" s="165"/>
      <c r="AM2220" s="165"/>
      <c r="AN2220" s="165"/>
    </row>
    <row r="2221" spans="3:40">
      <c r="C2221" s="46"/>
      <c r="F2221" s="173"/>
      <c r="G2221" s="1"/>
      <c r="H2221" s="165"/>
      <c r="I2221" s="160"/>
      <c r="J2221" s="160"/>
      <c r="K2221" s="1"/>
      <c r="L2221" s="123"/>
      <c r="M2221" s="1"/>
      <c r="N2221" s="590"/>
      <c r="O2221" s="165"/>
      <c r="P2221" s="165"/>
      <c r="Q2221" s="165"/>
      <c r="R2221" s="165"/>
      <c r="S2221" s="165"/>
      <c r="V2221" s="46"/>
      <c r="W2221" s="46"/>
      <c r="X2221" s="1"/>
      <c r="Y2221" s="1"/>
      <c r="Z2221" s="173"/>
      <c r="AA2221" s="1"/>
      <c r="AB2221" s="165"/>
      <c r="AC2221" s="1"/>
      <c r="AD2221" s="1"/>
      <c r="AE2221" s="1"/>
      <c r="AF2221" s="46"/>
      <c r="AG2221" s="1"/>
      <c r="AH2221" s="165"/>
      <c r="AI2221" s="165"/>
      <c r="AJ2221" s="165"/>
      <c r="AK2221" s="165"/>
      <c r="AL2221" s="165"/>
      <c r="AM2221" s="165"/>
      <c r="AN2221" s="165"/>
    </row>
    <row r="2222" spans="3:40">
      <c r="C2222" s="46"/>
      <c r="F2222" s="173"/>
      <c r="G2222" s="1"/>
      <c r="H2222" s="165"/>
      <c r="I2222" s="160"/>
      <c r="J2222" s="160"/>
      <c r="K2222" s="1"/>
      <c r="L2222" s="123"/>
      <c r="M2222" s="1"/>
      <c r="N2222" s="590"/>
      <c r="O2222" s="165"/>
      <c r="P2222" s="165"/>
      <c r="Q2222" s="165"/>
      <c r="R2222" s="165"/>
      <c r="S2222" s="165"/>
      <c r="V2222" s="46"/>
      <c r="W2222" s="46"/>
      <c r="X2222" s="1"/>
      <c r="Y2222" s="1"/>
      <c r="Z2222" s="173"/>
      <c r="AA2222" s="1"/>
      <c r="AB2222" s="165"/>
      <c r="AC2222" s="1"/>
      <c r="AD2222" s="1"/>
      <c r="AE2222" s="1"/>
      <c r="AF2222" s="46"/>
      <c r="AG2222" s="1"/>
      <c r="AH2222" s="165"/>
      <c r="AI2222" s="165"/>
      <c r="AJ2222" s="165"/>
      <c r="AK2222" s="165"/>
      <c r="AL2222" s="165"/>
      <c r="AM2222" s="165"/>
      <c r="AN2222" s="165"/>
    </row>
    <row r="2223" spans="3:40">
      <c r="C2223" s="46"/>
      <c r="F2223" s="173"/>
      <c r="G2223" s="1"/>
      <c r="H2223" s="165"/>
      <c r="I2223" s="160"/>
      <c r="J2223" s="160"/>
      <c r="K2223" s="1"/>
      <c r="L2223" s="123"/>
      <c r="M2223" s="1"/>
      <c r="N2223" s="590"/>
      <c r="O2223" s="165"/>
      <c r="P2223" s="165"/>
      <c r="Q2223" s="165"/>
      <c r="R2223" s="165"/>
      <c r="S2223" s="165"/>
      <c r="V2223" s="46"/>
      <c r="W2223" s="46"/>
      <c r="X2223" s="1"/>
      <c r="Y2223" s="1"/>
      <c r="Z2223" s="173"/>
      <c r="AA2223" s="1"/>
      <c r="AB2223" s="165"/>
      <c r="AC2223" s="1"/>
      <c r="AD2223" s="1"/>
      <c r="AE2223" s="1"/>
      <c r="AF2223" s="46"/>
      <c r="AG2223" s="1"/>
      <c r="AH2223" s="165"/>
      <c r="AI2223" s="165"/>
      <c r="AJ2223" s="165"/>
      <c r="AK2223" s="165"/>
      <c r="AL2223" s="165"/>
      <c r="AM2223" s="165"/>
      <c r="AN2223" s="165"/>
    </row>
    <row r="2224" spans="3:40">
      <c r="C2224" s="46"/>
      <c r="F2224" s="173"/>
      <c r="G2224" s="1"/>
      <c r="H2224" s="165"/>
      <c r="I2224" s="160"/>
      <c r="J2224" s="160"/>
      <c r="K2224" s="1"/>
      <c r="L2224" s="123"/>
      <c r="M2224" s="1"/>
      <c r="N2224" s="590"/>
      <c r="O2224" s="165"/>
      <c r="P2224" s="165"/>
      <c r="Q2224" s="165"/>
      <c r="R2224" s="165"/>
      <c r="S2224" s="165"/>
      <c r="V2224" s="46"/>
      <c r="W2224" s="46"/>
      <c r="X2224" s="1"/>
      <c r="Y2224" s="1"/>
      <c r="Z2224" s="173"/>
      <c r="AA2224" s="1"/>
      <c r="AB2224" s="165"/>
      <c r="AC2224" s="1"/>
      <c r="AD2224" s="1"/>
      <c r="AE2224" s="1"/>
      <c r="AF2224" s="46"/>
      <c r="AG2224" s="1"/>
      <c r="AH2224" s="165"/>
      <c r="AI2224" s="165"/>
      <c r="AJ2224" s="165"/>
      <c r="AK2224" s="165"/>
      <c r="AL2224" s="165"/>
      <c r="AM2224" s="165"/>
      <c r="AN2224" s="165"/>
    </row>
    <row r="2225" spans="3:40">
      <c r="C2225" s="46"/>
      <c r="F2225" s="173"/>
      <c r="G2225" s="1"/>
      <c r="H2225" s="165"/>
      <c r="I2225" s="160"/>
      <c r="J2225" s="160"/>
      <c r="K2225" s="1"/>
      <c r="L2225" s="123"/>
      <c r="M2225" s="1"/>
      <c r="N2225" s="590"/>
      <c r="O2225" s="165"/>
      <c r="P2225" s="165"/>
      <c r="Q2225" s="165"/>
      <c r="R2225" s="165"/>
      <c r="S2225" s="165"/>
      <c r="V2225" s="46"/>
      <c r="W2225" s="46"/>
      <c r="X2225" s="1"/>
      <c r="Y2225" s="1"/>
      <c r="Z2225" s="173"/>
      <c r="AA2225" s="1"/>
      <c r="AB2225" s="165"/>
      <c r="AC2225" s="1"/>
      <c r="AD2225" s="1"/>
      <c r="AE2225" s="1"/>
      <c r="AF2225" s="46"/>
      <c r="AG2225" s="1"/>
      <c r="AH2225" s="165"/>
      <c r="AI2225" s="165"/>
      <c r="AJ2225" s="165"/>
      <c r="AK2225" s="165"/>
      <c r="AL2225" s="165"/>
      <c r="AM2225" s="165"/>
      <c r="AN2225" s="165"/>
    </row>
    <row r="2226" spans="3:40">
      <c r="C2226" s="46"/>
      <c r="F2226" s="173"/>
      <c r="G2226" s="1"/>
      <c r="H2226" s="165"/>
      <c r="I2226" s="160"/>
      <c r="J2226" s="160"/>
      <c r="K2226" s="1"/>
      <c r="L2226" s="123"/>
      <c r="M2226" s="1"/>
      <c r="N2226" s="590"/>
      <c r="O2226" s="165"/>
      <c r="P2226" s="165"/>
      <c r="Q2226" s="165"/>
      <c r="R2226" s="165"/>
      <c r="S2226" s="165"/>
      <c r="V2226" s="46"/>
      <c r="W2226" s="46"/>
      <c r="X2226" s="1"/>
      <c r="Y2226" s="1"/>
      <c r="Z2226" s="173"/>
      <c r="AA2226" s="1"/>
      <c r="AB2226" s="165"/>
      <c r="AC2226" s="1"/>
      <c r="AD2226" s="1"/>
      <c r="AE2226" s="1"/>
      <c r="AF2226" s="46"/>
      <c r="AG2226" s="1"/>
      <c r="AH2226" s="165"/>
      <c r="AI2226" s="165"/>
      <c r="AJ2226" s="165"/>
      <c r="AK2226" s="165"/>
      <c r="AL2226" s="165"/>
      <c r="AM2226" s="165"/>
      <c r="AN2226" s="165"/>
    </row>
    <row r="2227" spans="3:40">
      <c r="C2227" s="46"/>
      <c r="F2227" s="173"/>
      <c r="G2227" s="1"/>
      <c r="H2227" s="165"/>
      <c r="I2227" s="160"/>
      <c r="J2227" s="160"/>
      <c r="K2227" s="1"/>
      <c r="L2227" s="123"/>
      <c r="M2227" s="1"/>
      <c r="N2227" s="590"/>
      <c r="O2227" s="165"/>
      <c r="P2227" s="165"/>
      <c r="Q2227" s="165"/>
      <c r="R2227" s="165"/>
      <c r="S2227" s="165"/>
      <c r="V2227" s="46"/>
      <c r="W2227" s="46"/>
      <c r="X2227" s="1"/>
      <c r="Y2227" s="1"/>
      <c r="Z2227" s="173"/>
      <c r="AA2227" s="1"/>
      <c r="AB2227" s="165"/>
      <c r="AC2227" s="1"/>
      <c r="AD2227" s="1"/>
      <c r="AE2227" s="1"/>
      <c r="AF2227" s="46"/>
      <c r="AG2227" s="1"/>
      <c r="AH2227" s="165"/>
      <c r="AI2227" s="165"/>
      <c r="AJ2227" s="165"/>
      <c r="AK2227" s="165"/>
      <c r="AL2227" s="165"/>
      <c r="AM2227" s="165"/>
      <c r="AN2227" s="165"/>
    </row>
    <row r="2228" spans="3:40">
      <c r="C2228" s="46"/>
      <c r="F2228" s="173"/>
      <c r="G2228" s="1"/>
      <c r="H2228" s="165"/>
      <c r="I2228" s="160"/>
      <c r="J2228" s="160"/>
      <c r="K2228" s="1"/>
      <c r="L2228" s="123"/>
      <c r="M2228" s="1"/>
      <c r="N2228" s="590"/>
      <c r="O2228" s="165"/>
      <c r="P2228" s="165"/>
      <c r="Q2228" s="165"/>
      <c r="R2228" s="165"/>
      <c r="S2228" s="165"/>
      <c r="V2228" s="46"/>
      <c r="W2228" s="46"/>
      <c r="X2228" s="1"/>
      <c r="Y2228" s="1"/>
      <c r="Z2228" s="173"/>
      <c r="AA2228" s="1"/>
      <c r="AB2228" s="165"/>
      <c r="AC2228" s="1"/>
      <c r="AD2228" s="1"/>
      <c r="AE2228" s="1"/>
      <c r="AF2228" s="46"/>
      <c r="AG2228" s="1"/>
      <c r="AH2228" s="165"/>
      <c r="AI2228" s="165"/>
      <c r="AJ2228" s="165"/>
      <c r="AK2228" s="165"/>
      <c r="AL2228" s="165"/>
      <c r="AM2228" s="165"/>
      <c r="AN2228" s="165"/>
    </row>
    <row r="2229" spans="3:40">
      <c r="C2229" s="46"/>
      <c r="F2229" s="173"/>
      <c r="G2229" s="1"/>
      <c r="H2229" s="165"/>
      <c r="I2229" s="160"/>
      <c r="J2229" s="160"/>
      <c r="K2229" s="1"/>
      <c r="L2229" s="123"/>
      <c r="M2229" s="1"/>
      <c r="N2229" s="590"/>
      <c r="O2229" s="165"/>
      <c r="P2229" s="165"/>
      <c r="Q2229" s="165"/>
      <c r="R2229" s="165"/>
      <c r="S2229" s="165"/>
      <c r="V2229" s="46"/>
      <c r="W2229" s="46"/>
      <c r="X2229" s="1"/>
      <c r="Y2229" s="1"/>
      <c r="Z2229" s="173"/>
      <c r="AA2229" s="1"/>
      <c r="AB2229" s="165"/>
      <c r="AC2229" s="1"/>
      <c r="AD2229" s="1"/>
      <c r="AE2229" s="1"/>
      <c r="AF2229" s="46"/>
      <c r="AG2229" s="1"/>
      <c r="AH2229" s="165"/>
      <c r="AI2229" s="165"/>
      <c r="AJ2229" s="165"/>
      <c r="AK2229" s="165"/>
      <c r="AL2229" s="165"/>
      <c r="AM2229" s="165"/>
      <c r="AN2229" s="165"/>
    </row>
    <row r="2230" spans="3:40">
      <c r="C2230" s="46"/>
      <c r="F2230" s="173"/>
      <c r="G2230" s="1"/>
      <c r="H2230" s="165"/>
      <c r="I2230" s="160"/>
      <c r="J2230" s="160"/>
      <c r="K2230" s="1"/>
      <c r="L2230" s="123"/>
      <c r="M2230" s="1"/>
      <c r="N2230" s="590"/>
      <c r="O2230" s="165"/>
      <c r="P2230" s="165"/>
      <c r="Q2230" s="165"/>
      <c r="R2230" s="165"/>
      <c r="S2230" s="165"/>
      <c r="V2230" s="46"/>
      <c r="W2230" s="46"/>
      <c r="X2230" s="1"/>
      <c r="Y2230" s="1"/>
      <c r="Z2230" s="173"/>
      <c r="AA2230" s="1"/>
      <c r="AB2230" s="165"/>
      <c r="AC2230" s="1"/>
      <c r="AD2230" s="1"/>
      <c r="AE2230" s="1"/>
      <c r="AF2230" s="46"/>
      <c r="AG2230" s="1"/>
      <c r="AH2230" s="165"/>
      <c r="AI2230" s="165"/>
      <c r="AJ2230" s="165"/>
      <c r="AK2230" s="165"/>
      <c r="AL2230" s="165"/>
      <c r="AM2230" s="165"/>
      <c r="AN2230" s="165"/>
    </row>
    <row r="2231" spans="3:40">
      <c r="C2231" s="46"/>
      <c r="F2231" s="173"/>
      <c r="G2231" s="1"/>
      <c r="H2231" s="165"/>
      <c r="I2231" s="160"/>
      <c r="J2231" s="160"/>
      <c r="K2231" s="1"/>
      <c r="L2231" s="123"/>
      <c r="M2231" s="1"/>
      <c r="N2231" s="590"/>
      <c r="O2231" s="165"/>
      <c r="P2231" s="165"/>
      <c r="Q2231" s="165"/>
      <c r="R2231" s="165"/>
      <c r="S2231" s="165"/>
      <c r="V2231" s="46"/>
      <c r="W2231" s="46"/>
      <c r="X2231" s="1"/>
      <c r="Y2231" s="1"/>
      <c r="Z2231" s="173"/>
      <c r="AA2231" s="1"/>
      <c r="AB2231" s="165"/>
      <c r="AC2231" s="1"/>
      <c r="AD2231" s="1"/>
      <c r="AE2231" s="1"/>
      <c r="AF2231" s="46"/>
      <c r="AG2231" s="1"/>
      <c r="AH2231" s="165"/>
      <c r="AI2231" s="165"/>
      <c r="AJ2231" s="165"/>
      <c r="AK2231" s="165"/>
      <c r="AL2231" s="165"/>
      <c r="AM2231" s="165"/>
      <c r="AN2231" s="165"/>
    </row>
    <row r="2232" spans="3:40">
      <c r="C2232" s="46"/>
      <c r="F2232" s="173"/>
      <c r="G2232" s="1"/>
      <c r="H2232" s="165"/>
      <c r="I2232" s="160"/>
      <c r="J2232" s="160"/>
      <c r="K2232" s="1"/>
      <c r="L2232" s="123"/>
      <c r="M2232" s="1"/>
      <c r="N2232" s="590"/>
      <c r="O2232" s="165"/>
      <c r="P2232" s="165"/>
      <c r="Q2232" s="165"/>
      <c r="R2232" s="165"/>
      <c r="S2232" s="165"/>
      <c r="V2232" s="46"/>
      <c r="W2232" s="46"/>
      <c r="X2232" s="1"/>
      <c r="Y2232" s="1"/>
      <c r="Z2232" s="173"/>
      <c r="AA2232" s="1"/>
      <c r="AB2232" s="165"/>
      <c r="AC2232" s="1"/>
      <c r="AD2232" s="1"/>
      <c r="AE2232" s="1"/>
      <c r="AF2232" s="46"/>
      <c r="AG2232" s="1"/>
      <c r="AH2232" s="165"/>
      <c r="AI2232" s="165"/>
      <c r="AJ2232" s="165"/>
      <c r="AK2232" s="165"/>
      <c r="AL2232" s="165"/>
      <c r="AM2232" s="165"/>
      <c r="AN2232" s="165"/>
    </row>
    <row r="2233" spans="3:40">
      <c r="C2233" s="46"/>
      <c r="F2233" s="173"/>
      <c r="G2233" s="1"/>
      <c r="H2233" s="165"/>
      <c r="I2233" s="160"/>
      <c r="J2233" s="160"/>
      <c r="K2233" s="1"/>
      <c r="L2233" s="123"/>
      <c r="M2233" s="1"/>
      <c r="N2233" s="590"/>
      <c r="O2233" s="165"/>
      <c r="P2233" s="165"/>
      <c r="Q2233" s="165"/>
      <c r="R2233" s="165"/>
      <c r="S2233" s="165"/>
      <c r="V2233" s="46"/>
      <c r="W2233" s="46"/>
      <c r="X2233" s="1"/>
      <c r="Y2233" s="1"/>
      <c r="Z2233" s="173"/>
      <c r="AA2233" s="1"/>
      <c r="AB2233" s="165"/>
      <c r="AC2233" s="1"/>
      <c r="AD2233" s="1"/>
      <c r="AE2233" s="1"/>
      <c r="AF2233" s="46"/>
      <c r="AG2233" s="1"/>
      <c r="AH2233" s="165"/>
      <c r="AI2233" s="165"/>
      <c r="AJ2233" s="165"/>
      <c r="AK2233" s="165"/>
      <c r="AL2233" s="165"/>
      <c r="AM2233" s="165"/>
      <c r="AN2233" s="165"/>
    </row>
    <row r="2234" spans="3:40">
      <c r="C2234" s="46"/>
      <c r="F2234" s="173"/>
      <c r="G2234" s="1"/>
      <c r="H2234" s="165"/>
      <c r="I2234" s="160"/>
      <c r="J2234" s="160"/>
      <c r="K2234" s="1"/>
      <c r="L2234" s="123"/>
      <c r="M2234" s="1"/>
      <c r="N2234" s="590"/>
      <c r="O2234" s="165"/>
      <c r="P2234" s="165"/>
      <c r="Q2234" s="165"/>
      <c r="R2234" s="165"/>
      <c r="S2234" s="165"/>
      <c r="V2234" s="46"/>
      <c r="W2234" s="46"/>
      <c r="X2234" s="1"/>
      <c r="Y2234" s="1"/>
      <c r="Z2234" s="173"/>
      <c r="AA2234" s="1"/>
      <c r="AB2234" s="165"/>
      <c r="AC2234" s="1"/>
      <c r="AD2234" s="1"/>
      <c r="AE2234" s="1"/>
      <c r="AF2234" s="46"/>
      <c r="AG2234" s="1"/>
      <c r="AH2234" s="165"/>
      <c r="AI2234" s="165"/>
      <c r="AJ2234" s="165"/>
      <c r="AK2234" s="165"/>
      <c r="AL2234" s="165"/>
      <c r="AM2234" s="165"/>
      <c r="AN2234" s="165"/>
    </row>
    <row r="2235" spans="3:40">
      <c r="C2235" s="46"/>
      <c r="F2235" s="173"/>
      <c r="G2235" s="1"/>
      <c r="H2235" s="165"/>
      <c r="I2235" s="160"/>
      <c r="J2235" s="160"/>
      <c r="K2235" s="1"/>
      <c r="L2235" s="123"/>
      <c r="M2235" s="1"/>
      <c r="N2235" s="590"/>
      <c r="O2235" s="165"/>
      <c r="P2235" s="165"/>
      <c r="Q2235" s="165"/>
      <c r="R2235" s="165"/>
      <c r="S2235" s="165"/>
      <c r="V2235" s="46"/>
      <c r="W2235" s="46"/>
      <c r="X2235" s="1"/>
      <c r="Y2235" s="1"/>
      <c r="Z2235" s="173"/>
      <c r="AA2235" s="1"/>
      <c r="AB2235" s="165"/>
      <c r="AC2235" s="1"/>
      <c r="AD2235" s="1"/>
      <c r="AE2235" s="1"/>
      <c r="AF2235" s="46"/>
      <c r="AG2235" s="1"/>
      <c r="AH2235" s="165"/>
      <c r="AI2235" s="165"/>
      <c r="AJ2235" s="165"/>
      <c r="AK2235" s="165"/>
      <c r="AL2235" s="165"/>
      <c r="AM2235" s="165"/>
      <c r="AN2235" s="165"/>
    </row>
    <row r="2236" spans="3:40">
      <c r="C2236" s="46"/>
      <c r="F2236" s="173"/>
      <c r="G2236" s="1"/>
      <c r="H2236" s="165"/>
      <c r="I2236" s="160"/>
      <c r="J2236" s="160"/>
      <c r="K2236" s="1"/>
      <c r="L2236" s="123"/>
      <c r="M2236" s="1"/>
      <c r="N2236" s="590"/>
      <c r="O2236" s="165"/>
      <c r="P2236" s="165"/>
      <c r="Q2236" s="165"/>
      <c r="R2236" s="165"/>
      <c r="S2236" s="165"/>
      <c r="V2236" s="46"/>
      <c r="W2236" s="46"/>
      <c r="X2236" s="1"/>
      <c r="Y2236" s="1"/>
      <c r="Z2236" s="173"/>
      <c r="AA2236" s="1"/>
      <c r="AB2236" s="165"/>
      <c r="AC2236" s="1"/>
      <c r="AD2236" s="1"/>
      <c r="AE2236" s="1"/>
      <c r="AF2236" s="46"/>
      <c r="AG2236" s="1"/>
      <c r="AH2236" s="165"/>
      <c r="AI2236" s="165"/>
      <c r="AJ2236" s="165"/>
      <c r="AK2236" s="165"/>
      <c r="AL2236" s="165"/>
      <c r="AM2236" s="165"/>
      <c r="AN2236" s="165"/>
    </row>
    <row r="2237" spans="3:40">
      <c r="C2237" s="46"/>
      <c r="F2237" s="173"/>
      <c r="G2237" s="1"/>
      <c r="H2237" s="165"/>
      <c r="I2237" s="160"/>
      <c r="J2237" s="160"/>
      <c r="K2237" s="1"/>
      <c r="L2237" s="123"/>
      <c r="M2237" s="1"/>
      <c r="N2237" s="590"/>
      <c r="O2237" s="165"/>
      <c r="P2237" s="165"/>
      <c r="Q2237" s="165"/>
      <c r="R2237" s="165"/>
      <c r="S2237" s="165"/>
      <c r="V2237" s="46"/>
      <c r="W2237" s="46"/>
      <c r="X2237" s="1"/>
      <c r="Y2237" s="1"/>
      <c r="Z2237" s="173"/>
      <c r="AA2237" s="1"/>
      <c r="AB2237" s="165"/>
      <c r="AC2237" s="1"/>
      <c r="AD2237" s="1"/>
      <c r="AE2237" s="1"/>
      <c r="AF2237" s="46"/>
      <c r="AG2237" s="1"/>
      <c r="AH2237" s="165"/>
      <c r="AI2237" s="165"/>
      <c r="AJ2237" s="165"/>
      <c r="AK2237" s="165"/>
      <c r="AL2237" s="165"/>
      <c r="AM2237" s="165"/>
      <c r="AN2237" s="165"/>
    </row>
    <row r="2238" spans="3:40">
      <c r="C2238" s="46"/>
      <c r="F2238" s="173"/>
      <c r="G2238" s="1"/>
      <c r="H2238" s="165"/>
      <c r="I2238" s="160"/>
      <c r="J2238" s="160"/>
      <c r="K2238" s="1"/>
      <c r="L2238" s="123"/>
      <c r="M2238" s="1"/>
      <c r="N2238" s="590"/>
      <c r="O2238" s="165"/>
      <c r="P2238" s="165"/>
      <c r="Q2238" s="165"/>
      <c r="R2238" s="165"/>
      <c r="S2238" s="165"/>
      <c r="V2238" s="46"/>
      <c r="W2238" s="46"/>
      <c r="X2238" s="1"/>
      <c r="Y2238" s="1"/>
      <c r="Z2238" s="173"/>
      <c r="AA2238" s="1"/>
      <c r="AB2238" s="165"/>
      <c r="AC2238" s="1"/>
      <c r="AD2238" s="1"/>
      <c r="AE2238" s="1"/>
      <c r="AF2238" s="46"/>
      <c r="AG2238" s="1"/>
      <c r="AH2238" s="165"/>
      <c r="AI2238" s="165"/>
      <c r="AJ2238" s="165"/>
      <c r="AK2238" s="165"/>
      <c r="AL2238" s="165"/>
      <c r="AM2238" s="165"/>
      <c r="AN2238" s="165"/>
    </row>
    <row r="2239" spans="3:40">
      <c r="C2239" s="46"/>
      <c r="F2239" s="173"/>
      <c r="G2239" s="1"/>
      <c r="H2239" s="165"/>
      <c r="I2239" s="160"/>
      <c r="J2239" s="160"/>
      <c r="K2239" s="1"/>
      <c r="L2239" s="123"/>
      <c r="M2239" s="1"/>
      <c r="N2239" s="590"/>
      <c r="O2239" s="165"/>
      <c r="P2239" s="165"/>
      <c r="Q2239" s="165"/>
      <c r="R2239" s="165"/>
      <c r="S2239" s="165"/>
      <c r="V2239" s="46"/>
      <c r="W2239" s="46"/>
      <c r="X2239" s="1"/>
      <c r="Y2239" s="1"/>
      <c r="Z2239" s="173"/>
      <c r="AA2239" s="1"/>
      <c r="AB2239" s="165"/>
      <c r="AC2239" s="1"/>
      <c r="AD2239" s="1"/>
      <c r="AE2239" s="1"/>
      <c r="AF2239" s="46"/>
      <c r="AG2239" s="1"/>
      <c r="AH2239" s="165"/>
      <c r="AI2239" s="165"/>
      <c r="AJ2239" s="165"/>
      <c r="AK2239" s="165"/>
      <c r="AL2239" s="165"/>
      <c r="AM2239" s="165"/>
      <c r="AN2239" s="165"/>
    </row>
    <row r="2240" spans="3:40">
      <c r="C2240" s="46"/>
      <c r="F2240" s="173"/>
      <c r="G2240" s="1"/>
      <c r="H2240" s="165"/>
      <c r="I2240" s="160"/>
      <c r="J2240" s="160"/>
      <c r="K2240" s="1"/>
      <c r="L2240" s="123"/>
      <c r="M2240" s="1"/>
      <c r="N2240" s="590"/>
      <c r="O2240" s="165"/>
      <c r="P2240" s="165"/>
      <c r="Q2240" s="165"/>
      <c r="R2240" s="165"/>
      <c r="S2240" s="165"/>
      <c r="V2240" s="46"/>
      <c r="W2240" s="46"/>
      <c r="X2240" s="1"/>
      <c r="Y2240" s="1"/>
      <c r="Z2240" s="173"/>
      <c r="AA2240" s="1"/>
      <c r="AB2240" s="165"/>
      <c r="AC2240" s="1"/>
      <c r="AD2240" s="1"/>
      <c r="AE2240" s="1"/>
      <c r="AF2240" s="46"/>
      <c r="AG2240" s="1"/>
      <c r="AH2240" s="165"/>
      <c r="AI2240" s="165"/>
      <c r="AJ2240" s="165"/>
      <c r="AK2240" s="165"/>
      <c r="AL2240" s="165"/>
      <c r="AM2240" s="165"/>
      <c r="AN2240" s="165"/>
    </row>
    <row r="2241" spans="3:40">
      <c r="C2241" s="46"/>
      <c r="F2241" s="173"/>
      <c r="G2241" s="1"/>
      <c r="H2241" s="165"/>
      <c r="I2241" s="160"/>
      <c r="J2241" s="160"/>
      <c r="K2241" s="1"/>
      <c r="L2241" s="123"/>
      <c r="M2241" s="1"/>
      <c r="N2241" s="590"/>
      <c r="O2241" s="165"/>
      <c r="P2241" s="165"/>
      <c r="Q2241" s="165"/>
      <c r="R2241" s="165"/>
      <c r="S2241" s="165"/>
      <c r="V2241" s="46"/>
      <c r="W2241" s="46"/>
      <c r="X2241" s="1"/>
      <c r="Y2241" s="1"/>
      <c r="Z2241" s="173"/>
      <c r="AA2241" s="1"/>
      <c r="AB2241" s="165"/>
      <c r="AC2241" s="1"/>
      <c r="AD2241" s="1"/>
      <c r="AE2241" s="1"/>
      <c r="AF2241" s="46"/>
      <c r="AG2241" s="1"/>
      <c r="AH2241" s="165"/>
      <c r="AI2241" s="165"/>
      <c r="AJ2241" s="165"/>
      <c r="AK2241" s="165"/>
      <c r="AL2241" s="165"/>
      <c r="AM2241" s="165"/>
      <c r="AN2241" s="165"/>
    </row>
    <row r="2242" spans="3:40">
      <c r="C2242" s="46"/>
      <c r="F2242" s="173"/>
      <c r="G2242" s="1"/>
      <c r="H2242" s="165"/>
      <c r="I2242" s="160"/>
      <c r="J2242" s="160"/>
      <c r="K2242" s="1"/>
      <c r="L2242" s="123"/>
      <c r="M2242" s="1"/>
      <c r="N2242" s="590"/>
      <c r="O2242" s="165"/>
      <c r="P2242" s="165"/>
      <c r="Q2242" s="165"/>
      <c r="R2242" s="165"/>
      <c r="S2242" s="165"/>
      <c r="V2242" s="46"/>
      <c r="W2242" s="46"/>
      <c r="X2242" s="1"/>
      <c r="Y2242" s="1"/>
      <c r="Z2242" s="173"/>
      <c r="AA2242" s="1"/>
      <c r="AB2242" s="165"/>
      <c r="AC2242" s="1"/>
      <c r="AD2242" s="1"/>
      <c r="AE2242" s="1"/>
      <c r="AF2242" s="46"/>
      <c r="AG2242" s="1"/>
      <c r="AH2242" s="165"/>
      <c r="AI2242" s="165"/>
      <c r="AJ2242" s="165"/>
      <c r="AK2242" s="165"/>
      <c r="AL2242" s="165"/>
      <c r="AM2242" s="165"/>
      <c r="AN2242" s="165"/>
    </row>
    <row r="2243" spans="3:40">
      <c r="C2243" s="46"/>
      <c r="F2243" s="173"/>
      <c r="G2243" s="1"/>
      <c r="H2243" s="165"/>
      <c r="I2243" s="160"/>
      <c r="J2243" s="160"/>
      <c r="K2243" s="1"/>
      <c r="L2243" s="123"/>
      <c r="M2243" s="1"/>
      <c r="N2243" s="590"/>
      <c r="O2243" s="165"/>
      <c r="P2243" s="165"/>
      <c r="Q2243" s="165"/>
      <c r="R2243" s="165"/>
      <c r="S2243" s="165"/>
      <c r="V2243" s="46"/>
      <c r="W2243" s="46"/>
      <c r="X2243" s="1"/>
      <c r="Y2243" s="1"/>
      <c r="Z2243" s="173"/>
      <c r="AA2243" s="1"/>
      <c r="AB2243" s="165"/>
      <c r="AC2243" s="1"/>
      <c r="AD2243" s="1"/>
      <c r="AE2243" s="1"/>
      <c r="AF2243" s="46"/>
      <c r="AG2243" s="1"/>
      <c r="AH2243" s="165"/>
      <c r="AI2243" s="165"/>
      <c r="AJ2243" s="165"/>
      <c r="AK2243" s="165"/>
      <c r="AL2243" s="165"/>
      <c r="AM2243" s="165"/>
      <c r="AN2243" s="165"/>
    </row>
    <row r="2244" spans="3:40">
      <c r="C2244" s="46"/>
      <c r="F2244" s="173"/>
      <c r="G2244" s="1"/>
      <c r="H2244" s="165"/>
      <c r="I2244" s="160"/>
      <c r="J2244" s="160"/>
      <c r="K2244" s="1"/>
      <c r="L2244" s="123"/>
      <c r="M2244" s="1"/>
      <c r="N2244" s="590"/>
      <c r="O2244" s="165"/>
      <c r="P2244" s="165"/>
      <c r="Q2244" s="165"/>
      <c r="R2244" s="165"/>
      <c r="S2244" s="165"/>
      <c r="V2244" s="46"/>
      <c r="W2244" s="46"/>
      <c r="X2244" s="1"/>
      <c r="Y2244" s="1"/>
      <c r="Z2244" s="173"/>
      <c r="AA2244" s="1"/>
      <c r="AB2244" s="165"/>
      <c r="AC2244" s="1"/>
      <c r="AD2244" s="1"/>
      <c r="AE2244" s="1"/>
      <c r="AF2244" s="46"/>
      <c r="AG2244" s="1"/>
      <c r="AH2244" s="165"/>
      <c r="AI2244" s="165"/>
      <c r="AJ2244" s="165"/>
      <c r="AK2244" s="165"/>
      <c r="AL2244" s="165"/>
      <c r="AM2244" s="165"/>
      <c r="AN2244" s="165"/>
    </row>
    <row r="2245" spans="3:40">
      <c r="C2245" s="46"/>
      <c r="F2245" s="173"/>
      <c r="G2245" s="1"/>
      <c r="H2245" s="165"/>
      <c r="I2245" s="160"/>
      <c r="J2245" s="160"/>
      <c r="K2245" s="1"/>
      <c r="L2245" s="123"/>
      <c r="M2245" s="1"/>
      <c r="N2245" s="590"/>
      <c r="O2245" s="165"/>
      <c r="P2245" s="165"/>
      <c r="Q2245" s="165"/>
      <c r="R2245" s="165"/>
      <c r="S2245" s="165"/>
      <c r="V2245" s="46"/>
      <c r="W2245" s="46"/>
      <c r="X2245" s="1"/>
      <c r="Y2245" s="1"/>
      <c r="Z2245" s="173"/>
      <c r="AA2245" s="1"/>
      <c r="AB2245" s="165"/>
      <c r="AC2245" s="1"/>
      <c r="AD2245" s="1"/>
      <c r="AE2245" s="1"/>
      <c r="AF2245" s="46"/>
      <c r="AG2245" s="1"/>
      <c r="AH2245" s="165"/>
      <c r="AI2245" s="165"/>
      <c r="AJ2245" s="165"/>
      <c r="AK2245" s="165"/>
      <c r="AL2245" s="165"/>
      <c r="AM2245" s="165"/>
      <c r="AN2245" s="165"/>
    </row>
    <row r="2246" spans="3:40">
      <c r="C2246" s="46"/>
      <c r="F2246" s="173"/>
      <c r="G2246" s="1"/>
      <c r="H2246" s="165"/>
      <c r="I2246" s="160"/>
      <c r="J2246" s="160"/>
      <c r="K2246" s="1"/>
      <c r="L2246" s="123"/>
      <c r="M2246" s="1"/>
      <c r="N2246" s="590"/>
      <c r="O2246" s="165"/>
      <c r="P2246" s="165"/>
      <c r="Q2246" s="165"/>
      <c r="R2246" s="165"/>
      <c r="S2246" s="165"/>
      <c r="V2246" s="46"/>
      <c r="W2246" s="46"/>
      <c r="X2246" s="1"/>
      <c r="Y2246" s="1"/>
      <c r="Z2246" s="173"/>
      <c r="AA2246" s="1"/>
      <c r="AB2246" s="165"/>
      <c r="AC2246" s="1"/>
      <c r="AD2246" s="1"/>
      <c r="AE2246" s="1"/>
      <c r="AF2246" s="46"/>
      <c r="AG2246" s="1"/>
      <c r="AH2246" s="165"/>
      <c r="AI2246" s="165"/>
      <c r="AJ2246" s="165"/>
      <c r="AK2246" s="165"/>
      <c r="AL2246" s="165"/>
      <c r="AM2246" s="165"/>
      <c r="AN2246" s="165"/>
    </row>
    <row r="2247" spans="3:40">
      <c r="C2247" s="46"/>
      <c r="F2247" s="173"/>
      <c r="G2247" s="1"/>
      <c r="H2247" s="165"/>
      <c r="I2247" s="160"/>
      <c r="J2247" s="160"/>
      <c r="K2247" s="1"/>
      <c r="L2247" s="123"/>
      <c r="M2247" s="1"/>
      <c r="N2247" s="590"/>
      <c r="O2247" s="165"/>
      <c r="P2247" s="165"/>
      <c r="Q2247" s="165"/>
      <c r="R2247" s="165"/>
      <c r="S2247" s="165"/>
      <c r="V2247" s="46"/>
      <c r="W2247" s="46"/>
      <c r="X2247" s="1"/>
      <c r="Y2247" s="1"/>
      <c r="Z2247" s="173"/>
      <c r="AA2247" s="1"/>
      <c r="AB2247" s="165"/>
      <c r="AC2247" s="1"/>
      <c r="AD2247" s="1"/>
      <c r="AE2247" s="1"/>
      <c r="AF2247" s="46"/>
      <c r="AG2247" s="1"/>
      <c r="AH2247" s="165"/>
      <c r="AI2247" s="165"/>
      <c r="AJ2247" s="165"/>
      <c r="AK2247" s="165"/>
      <c r="AL2247" s="165"/>
      <c r="AM2247" s="165"/>
      <c r="AN2247" s="165"/>
    </row>
    <row r="2248" spans="3:40">
      <c r="C2248" s="46"/>
      <c r="F2248" s="173"/>
      <c r="G2248" s="1"/>
      <c r="H2248" s="165"/>
      <c r="I2248" s="160"/>
      <c r="J2248" s="160"/>
      <c r="K2248" s="1"/>
      <c r="L2248" s="123"/>
      <c r="M2248" s="1"/>
      <c r="N2248" s="590"/>
      <c r="O2248" s="165"/>
      <c r="P2248" s="165"/>
      <c r="Q2248" s="165"/>
      <c r="R2248" s="165"/>
      <c r="S2248" s="165"/>
      <c r="V2248" s="46"/>
      <c r="W2248" s="46"/>
      <c r="X2248" s="1"/>
      <c r="Y2248" s="1"/>
      <c r="Z2248" s="173"/>
      <c r="AA2248" s="1"/>
      <c r="AB2248" s="165"/>
      <c r="AC2248" s="1"/>
      <c r="AD2248" s="1"/>
      <c r="AE2248" s="1"/>
      <c r="AF2248" s="46"/>
      <c r="AG2248" s="1"/>
      <c r="AH2248" s="165"/>
      <c r="AI2248" s="165"/>
      <c r="AJ2248" s="165"/>
      <c r="AK2248" s="165"/>
      <c r="AL2248" s="165"/>
      <c r="AM2248" s="165"/>
      <c r="AN2248" s="165"/>
    </row>
    <row r="2249" spans="3:40">
      <c r="C2249" s="46"/>
      <c r="F2249" s="173"/>
      <c r="G2249" s="1"/>
      <c r="H2249" s="165"/>
      <c r="I2249" s="160"/>
      <c r="J2249" s="160"/>
      <c r="K2249" s="1"/>
      <c r="L2249" s="123"/>
      <c r="M2249" s="1"/>
      <c r="N2249" s="590"/>
      <c r="O2249" s="165"/>
      <c r="P2249" s="165"/>
      <c r="Q2249" s="165"/>
      <c r="R2249" s="165"/>
      <c r="S2249" s="165"/>
      <c r="V2249" s="46"/>
      <c r="W2249" s="46"/>
      <c r="X2249" s="1"/>
      <c r="Y2249" s="1"/>
      <c r="Z2249" s="173"/>
      <c r="AA2249" s="1"/>
      <c r="AB2249" s="165"/>
      <c r="AC2249" s="1"/>
      <c r="AD2249" s="1"/>
      <c r="AE2249" s="1"/>
      <c r="AF2249" s="46"/>
      <c r="AG2249" s="1"/>
      <c r="AH2249" s="165"/>
      <c r="AI2249" s="165"/>
      <c r="AJ2249" s="165"/>
      <c r="AK2249" s="165"/>
      <c r="AL2249" s="165"/>
      <c r="AM2249" s="165"/>
      <c r="AN2249" s="165"/>
    </row>
    <row r="2250" spans="3:40">
      <c r="C2250" s="46"/>
      <c r="F2250" s="173"/>
      <c r="G2250" s="1"/>
      <c r="H2250" s="165"/>
      <c r="I2250" s="160"/>
      <c r="J2250" s="160"/>
      <c r="K2250" s="1"/>
      <c r="L2250" s="123"/>
      <c r="M2250" s="1"/>
      <c r="N2250" s="590"/>
      <c r="O2250" s="165"/>
      <c r="P2250" s="165"/>
      <c r="Q2250" s="165"/>
      <c r="R2250" s="165"/>
      <c r="S2250" s="165"/>
      <c r="V2250" s="46"/>
      <c r="W2250" s="46"/>
      <c r="X2250" s="1"/>
      <c r="Y2250" s="1"/>
      <c r="Z2250" s="173"/>
      <c r="AA2250" s="1"/>
      <c r="AB2250" s="165"/>
      <c r="AC2250" s="1"/>
      <c r="AD2250" s="1"/>
      <c r="AE2250" s="1"/>
      <c r="AF2250" s="46"/>
      <c r="AG2250" s="1"/>
      <c r="AH2250" s="165"/>
      <c r="AI2250" s="165"/>
      <c r="AJ2250" s="165"/>
      <c r="AK2250" s="165"/>
      <c r="AL2250" s="165"/>
      <c r="AM2250" s="165"/>
      <c r="AN2250" s="165"/>
    </row>
    <row r="2251" spans="3:40">
      <c r="C2251" s="46"/>
      <c r="F2251" s="173"/>
      <c r="G2251" s="1"/>
      <c r="H2251" s="165"/>
      <c r="I2251" s="160"/>
      <c r="J2251" s="160"/>
      <c r="K2251" s="1"/>
      <c r="L2251" s="123"/>
      <c r="M2251" s="1"/>
      <c r="N2251" s="590"/>
      <c r="O2251" s="165"/>
      <c r="P2251" s="165"/>
      <c r="Q2251" s="165"/>
      <c r="R2251" s="165"/>
      <c r="S2251" s="165"/>
      <c r="V2251" s="46"/>
      <c r="W2251" s="46"/>
      <c r="X2251" s="1"/>
      <c r="Y2251" s="1"/>
      <c r="Z2251" s="173"/>
      <c r="AA2251" s="1"/>
      <c r="AB2251" s="165"/>
      <c r="AC2251" s="1"/>
      <c r="AD2251" s="1"/>
      <c r="AE2251" s="1"/>
      <c r="AF2251" s="46"/>
      <c r="AG2251" s="1"/>
      <c r="AH2251" s="165"/>
      <c r="AI2251" s="165"/>
      <c r="AJ2251" s="165"/>
      <c r="AK2251" s="165"/>
      <c r="AL2251" s="165"/>
      <c r="AM2251" s="165"/>
      <c r="AN2251" s="165"/>
    </row>
    <row r="2252" spans="3:40">
      <c r="C2252" s="46"/>
      <c r="F2252" s="173"/>
      <c r="G2252" s="1"/>
      <c r="H2252" s="165"/>
      <c r="I2252" s="160"/>
      <c r="J2252" s="160"/>
      <c r="K2252" s="1"/>
      <c r="L2252" s="123"/>
      <c r="M2252" s="1"/>
      <c r="N2252" s="590"/>
      <c r="O2252" s="165"/>
      <c r="P2252" s="165"/>
      <c r="Q2252" s="165"/>
      <c r="R2252" s="165"/>
      <c r="S2252" s="165"/>
      <c r="V2252" s="46"/>
      <c r="W2252" s="46"/>
      <c r="X2252" s="1"/>
      <c r="Y2252" s="1"/>
      <c r="Z2252" s="173"/>
      <c r="AA2252" s="1"/>
      <c r="AB2252" s="165"/>
      <c r="AC2252" s="1"/>
      <c r="AD2252" s="1"/>
      <c r="AE2252" s="1"/>
      <c r="AF2252" s="46"/>
      <c r="AG2252" s="1"/>
      <c r="AH2252" s="165"/>
      <c r="AI2252" s="165"/>
      <c r="AJ2252" s="165"/>
      <c r="AK2252" s="165"/>
      <c r="AL2252" s="165"/>
      <c r="AM2252" s="165"/>
      <c r="AN2252" s="165"/>
    </row>
    <row r="2253" spans="3:40">
      <c r="C2253" s="46"/>
      <c r="F2253" s="173"/>
      <c r="G2253" s="1"/>
      <c r="H2253" s="165"/>
      <c r="I2253" s="160"/>
      <c r="J2253" s="160"/>
      <c r="K2253" s="1"/>
      <c r="L2253" s="123"/>
      <c r="M2253" s="1"/>
      <c r="N2253" s="590"/>
      <c r="O2253" s="165"/>
      <c r="P2253" s="165"/>
      <c r="Q2253" s="165"/>
      <c r="R2253" s="165"/>
      <c r="S2253" s="165"/>
      <c r="V2253" s="46"/>
      <c r="W2253" s="46"/>
      <c r="X2253" s="1"/>
      <c r="Y2253" s="1"/>
      <c r="Z2253" s="173"/>
      <c r="AA2253" s="1"/>
      <c r="AB2253" s="165"/>
      <c r="AC2253" s="1"/>
      <c r="AD2253" s="1"/>
      <c r="AE2253" s="1"/>
      <c r="AF2253" s="46"/>
      <c r="AG2253" s="1"/>
      <c r="AH2253" s="165"/>
      <c r="AI2253" s="165"/>
      <c r="AJ2253" s="165"/>
      <c r="AK2253" s="165"/>
      <c r="AL2253" s="165"/>
      <c r="AM2253" s="165"/>
      <c r="AN2253" s="165"/>
    </row>
    <row r="2254" spans="3:40">
      <c r="C2254" s="46"/>
      <c r="F2254" s="173"/>
      <c r="G2254" s="1"/>
      <c r="H2254" s="165"/>
      <c r="I2254" s="160"/>
      <c r="J2254" s="160"/>
      <c r="K2254" s="1"/>
      <c r="L2254" s="123"/>
      <c r="M2254" s="1"/>
      <c r="N2254" s="590"/>
      <c r="O2254" s="165"/>
      <c r="P2254" s="165"/>
      <c r="Q2254" s="165"/>
      <c r="R2254" s="165"/>
      <c r="S2254" s="165"/>
      <c r="V2254" s="46"/>
      <c r="W2254" s="46"/>
      <c r="X2254" s="1"/>
      <c r="Y2254" s="1"/>
      <c r="Z2254" s="173"/>
      <c r="AA2254" s="1"/>
      <c r="AB2254" s="165"/>
      <c r="AC2254" s="1"/>
      <c r="AD2254" s="1"/>
      <c r="AE2254" s="1"/>
      <c r="AF2254" s="46"/>
      <c r="AG2254" s="1"/>
      <c r="AH2254" s="165"/>
      <c r="AI2254" s="165"/>
      <c r="AJ2254" s="165"/>
      <c r="AK2254" s="165"/>
      <c r="AL2254" s="165"/>
      <c r="AM2254" s="165"/>
      <c r="AN2254" s="165"/>
    </row>
    <row r="2255" spans="3:40">
      <c r="C2255" s="46"/>
      <c r="F2255" s="173"/>
      <c r="G2255" s="1"/>
      <c r="H2255" s="165"/>
      <c r="I2255" s="160"/>
      <c r="J2255" s="160"/>
      <c r="K2255" s="1"/>
      <c r="L2255" s="123"/>
      <c r="M2255" s="1"/>
      <c r="N2255" s="590"/>
      <c r="O2255" s="165"/>
      <c r="P2255" s="165"/>
      <c r="Q2255" s="165"/>
      <c r="R2255" s="165"/>
      <c r="S2255" s="165"/>
      <c r="V2255" s="46"/>
      <c r="W2255" s="46"/>
      <c r="X2255" s="1"/>
      <c r="Y2255" s="1"/>
      <c r="Z2255" s="173"/>
      <c r="AA2255" s="1"/>
      <c r="AB2255" s="165"/>
      <c r="AC2255" s="1"/>
      <c r="AD2255" s="1"/>
      <c r="AE2255" s="1"/>
      <c r="AF2255" s="46"/>
      <c r="AG2255" s="1"/>
      <c r="AH2255" s="165"/>
      <c r="AI2255" s="165"/>
      <c r="AJ2255" s="165"/>
      <c r="AK2255" s="165"/>
      <c r="AL2255" s="165"/>
      <c r="AM2255" s="165"/>
      <c r="AN2255" s="165"/>
    </row>
    <row r="2256" spans="3:40">
      <c r="C2256" s="46"/>
      <c r="F2256" s="173"/>
      <c r="G2256" s="1"/>
      <c r="H2256" s="165"/>
      <c r="I2256" s="160"/>
      <c r="J2256" s="160"/>
      <c r="K2256" s="1"/>
      <c r="L2256" s="123"/>
      <c r="M2256" s="1"/>
      <c r="N2256" s="590"/>
      <c r="O2256" s="165"/>
      <c r="P2256" s="165"/>
      <c r="Q2256" s="165"/>
      <c r="R2256" s="165"/>
      <c r="S2256" s="165"/>
      <c r="V2256" s="46"/>
      <c r="W2256" s="46"/>
      <c r="X2256" s="1"/>
      <c r="Y2256" s="1"/>
      <c r="Z2256" s="173"/>
      <c r="AA2256" s="1"/>
      <c r="AB2256" s="165"/>
      <c r="AC2256" s="1"/>
      <c r="AD2256" s="1"/>
      <c r="AE2256" s="1"/>
      <c r="AF2256" s="46"/>
      <c r="AG2256" s="1"/>
      <c r="AH2256" s="165"/>
      <c r="AI2256" s="165"/>
      <c r="AJ2256" s="165"/>
      <c r="AK2256" s="165"/>
      <c r="AL2256" s="165"/>
      <c r="AM2256" s="165"/>
      <c r="AN2256" s="165"/>
    </row>
    <row r="2257" spans="3:40">
      <c r="C2257" s="46"/>
      <c r="F2257" s="173"/>
      <c r="G2257" s="1"/>
      <c r="H2257" s="165"/>
      <c r="I2257" s="160"/>
      <c r="J2257" s="160"/>
      <c r="K2257" s="1"/>
      <c r="L2257" s="123"/>
      <c r="M2257" s="1"/>
      <c r="N2257" s="590"/>
      <c r="O2257" s="165"/>
      <c r="P2257" s="165"/>
      <c r="Q2257" s="165"/>
      <c r="R2257" s="165"/>
      <c r="S2257" s="165"/>
      <c r="V2257" s="46"/>
      <c r="W2257" s="46"/>
      <c r="X2257" s="1"/>
      <c r="Y2257" s="1"/>
      <c r="Z2257" s="173"/>
      <c r="AA2257" s="1"/>
      <c r="AB2257" s="165"/>
      <c r="AC2257" s="1"/>
      <c r="AD2257" s="1"/>
      <c r="AE2257" s="1"/>
      <c r="AF2257" s="46"/>
      <c r="AG2257" s="1"/>
      <c r="AH2257" s="165"/>
      <c r="AI2257" s="165"/>
      <c r="AJ2257" s="165"/>
      <c r="AK2257" s="165"/>
      <c r="AL2257" s="165"/>
      <c r="AM2257" s="165"/>
      <c r="AN2257" s="165"/>
    </row>
    <row r="2258" spans="3:40">
      <c r="C2258" s="46"/>
      <c r="F2258" s="173"/>
      <c r="G2258" s="1"/>
      <c r="H2258" s="165"/>
      <c r="I2258" s="160"/>
      <c r="J2258" s="160"/>
      <c r="K2258" s="1"/>
      <c r="L2258" s="123"/>
      <c r="M2258" s="1"/>
      <c r="N2258" s="590"/>
      <c r="O2258" s="165"/>
      <c r="P2258" s="165"/>
      <c r="Q2258" s="165"/>
      <c r="R2258" s="165"/>
      <c r="S2258" s="165"/>
      <c r="V2258" s="46"/>
      <c r="W2258" s="46"/>
      <c r="X2258" s="1"/>
      <c r="Y2258" s="1"/>
      <c r="Z2258" s="173"/>
      <c r="AA2258" s="1"/>
      <c r="AB2258" s="165"/>
      <c r="AC2258" s="1"/>
      <c r="AD2258" s="1"/>
      <c r="AE2258" s="1"/>
      <c r="AF2258" s="46"/>
      <c r="AG2258" s="1"/>
      <c r="AH2258" s="165"/>
      <c r="AI2258" s="165"/>
      <c r="AJ2258" s="165"/>
      <c r="AK2258" s="165"/>
      <c r="AL2258" s="165"/>
      <c r="AM2258" s="165"/>
      <c r="AN2258" s="165"/>
    </row>
    <row r="2259" spans="3:40">
      <c r="C2259" s="46"/>
      <c r="F2259" s="173"/>
      <c r="G2259" s="1"/>
      <c r="H2259" s="165"/>
      <c r="I2259" s="160"/>
      <c r="J2259" s="160"/>
      <c r="K2259" s="1"/>
      <c r="L2259" s="123"/>
      <c r="M2259" s="1"/>
      <c r="N2259" s="590"/>
      <c r="O2259" s="165"/>
      <c r="P2259" s="165"/>
      <c r="Q2259" s="165"/>
      <c r="R2259" s="165"/>
      <c r="S2259" s="165"/>
      <c r="V2259" s="46"/>
      <c r="W2259" s="46"/>
      <c r="X2259" s="1"/>
      <c r="Y2259" s="1"/>
      <c r="Z2259" s="173"/>
      <c r="AA2259" s="1"/>
      <c r="AB2259" s="165"/>
      <c r="AC2259" s="1"/>
      <c r="AD2259" s="1"/>
      <c r="AE2259" s="1"/>
      <c r="AF2259" s="46"/>
      <c r="AG2259" s="1"/>
      <c r="AH2259" s="165"/>
      <c r="AI2259" s="165"/>
      <c r="AJ2259" s="165"/>
      <c r="AK2259" s="165"/>
      <c r="AL2259" s="165"/>
      <c r="AM2259" s="165"/>
      <c r="AN2259" s="165"/>
    </row>
    <row r="2260" spans="3:40">
      <c r="C2260" s="46"/>
      <c r="F2260" s="173"/>
      <c r="G2260" s="1"/>
      <c r="H2260" s="165"/>
      <c r="I2260" s="160"/>
      <c r="J2260" s="160"/>
      <c r="K2260" s="1"/>
      <c r="L2260" s="123"/>
      <c r="M2260" s="1"/>
      <c r="N2260" s="590"/>
      <c r="O2260" s="165"/>
      <c r="P2260" s="165"/>
      <c r="Q2260" s="165"/>
      <c r="R2260" s="165"/>
      <c r="S2260" s="165"/>
      <c r="V2260" s="46"/>
      <c r="W2260" s="46"/>
      <c r="X2260" s="1"/>
      <c r="Y2260" s="1"/>
      <c r="Z2260" s="173"/>
      <c r="AA2260" s="1"/>
      <c r="AB2260" s="165"/>
      <c r="AC2260" s="1"/>
      <c r="AD2260" s="1"/>
      <c r="AE2260" s="1"/>
      <c r="AF2260" s="46"/>
      <c r="AG2260" s="1"/>
      <c r="AH2260" s="165"/>
      <c r="AI2260" s="165"/>
      <c r="AJ2260" s="165"/>
      <c r="AK2260" s="165"/>
      <c r="AL2260" s="165"/>
      <c r="AM2260" s="165"/>
      <c r="AN2260" s="165"/>
    </row>
    <row r="2261" spans="3:40">
      <c r="C2261" s="46"/>
      <c r="F2261" s="173"/>
      <c r="G2261" s="1"/>
      <c r="H2261" s="165"/>
      <c r="I2261" s="160"/>
      <c r="J2261" s="160"/>
      <c r="K2261" s="1"/>
      <c r="L2261" s="123"/>
      <c r="M2261" s="1"/>
      <c r="N2261" s="590"/>
      <c r="O2261" s="165"/>
      <c r="P2261" s="165"/>
      <c r="Q2261" s="165"/>
      <c r="R2261" s="165"/>
      <c r="S2261" s="165"/>
      <c r="V2261" s="46"/>
      <c r="W2261" s="46"/>
      <c r="X2261" s="1"/>
      <c r="Y2261" s="1"/>
      <c r="Z2261" s="173"/>
      <c r="AA2261" s="1"/>
      <c r="AB2261" s="165"/>
      <c r="AC2261" s="1"/>
      <c r="AD2261" s="1"/>
      <c r="AE2261" s="1"/>
      <c r="AF2261" s="46"/>
      <c r="AG2261" s="1"/>
      <c r="AH2261" s="165"/>
      <c r="AI2261" s="165"/>
      <c r="AJ2261" s="165"/>
      <c r="AK2261" s="165"/>
      <c r="AL2261" s="165"/>
      <c r="AM2261" s="165"/>
      <c r="AN2261" s="165"/>
    </row>
    <row r="2262" spans="3:40">
      <c r="C2262" s="46"/>
      <c r="F2262" s="173"/>
      <c r="G2262" s="1"/>
      <c r="H2262" s="165"/>
      <c r="I2262" s="160"/>
      <c r="J2262" s="160"/>
      <c r="K2262" s="1"/>
      <c r="L2262" s="123"/>
      <c r="M2262" s="1"/>
      <c r="N2262" s="590"/>
      <c r="O2262" s="165"/>
      <c r="P2262" s="165"/>
      <c r="Q2262" s="165"/>
      <c r="R2262" s="165"/>
      <c r="S2262" s="165"/>
      <c r="V2262" s="46"/>
      <c r="W2262" s="46"/>
      <c r="X2262" s="1"/>
      <c r="Y2262" s="1"/>
      <c r="Z2262" s="173"/>
      <c r="AA2262" s="1"/>
      <c r="AB2262" s="165"/>
      <c r="AC2262" s="1"/>
      <c r="AD2262" s="1"/>
      <c r="AE2262" s="1"/>
      <c r="AF2262" s="46"/>
      <c r="AG2262" s="1"/>
      <c r="AH2262" s="165"/>
      <c r="AI2262" s="165"/>
      <c r="AJ2262" s="165"/>
      <c r="AK2262" s="165"/>
      <c r="AL2262" s="165"/>
      <c r="AM2262" s="165"/>
      <c r="AN2262" s="165"/>
    </row>
    <row r="2263" spans="3:40">
      <c r="C2263" s="46"/>
      <c r="F2263" s="173"/>
      <c r="G2263" s="1"/>
      <c r="H2263" s="165"/>
      <c r="I2263" s="160"/>
      <c r="J2263" s="160"/>
      <c r="K2263" s="1"/>
      <c r="L2263" s="123"/>
      <c r="M2263" s="1"/>
      <c r="N2263" s="590"/>
      <c r="O2263" s="165"/>
      <c r="P2263" s="165"/>
      <c r="Q2263" s="165"/>
      <c r="R2263" s="165"/>
      <c r="S2263" s="165"/>
      <c r="V2263" s="46"/>
      <c r="W2263" s="46"/>
      <c r="X2263" s="1"/>
      <c r="Y2263" s="1"/>
      <c r="Z2263" s="173"/>
      <c r="AA2263" s="1"/>
      <c r="AB2263" s="165"/>
      <c r="AC2263" s="1"/>
      <c r="AD2263" s="1"/>
      <c r="AE2263" s="1"/>
      <c r="AF2263" s="46"/>
      <c r="AG2263" s="1"/>
      <c r="AH2263" s="165"/>
      <c r="AI2263" s="165"/>
      <c r="AJ2263" s="165"/>
      <c r="AK2263" s="165"/>
      <c r="AL2263" s="165"/>
      <c r="AM2263" s="165"/>
      <c r="AN2263" s="165"/>
    </row>
    <row r="2264" spans="3:40">
      <c r="C2264" s="46"/>
      <c r="F2264" s="173"/>
      <c r="G2264" s="1"/>
      <c r="H2264" s="165"/>
      <c r="I2264" s="160"/>
      <c r="J2264" s="160"/>
      <c r="K2264" s="1"/>
      <c r="L2264" s="123"/>
      <c r="M2264" s="1"/>
      <c r="N2264" s="590"/>
      <c r="O2264" s="165"/>
      <c r="P2264" s="165"/>
      <c r="Q2264" s="165"/>
      <c r="R2264" s="165"/>
      <c r="S2264" s="165"/>
      <c r="V2264" s="46"/>
      <c r="W2264" s="46"/>
      <c r="X2264" s="1"/>
      <c r="Y2264" s="1"/>
      <c r="Z2264" s="173"/>
      <c r="AA2264" s="1"/>
      <c r="AB2264" s="165"/>
      <c r="AC2264" s="1"/>
      <c r="AD2264" s="1"/>
      <c r="AE2264" s="1"/>
      <c r="AF2264" s="46"/>
      <c r="AG2264" s="1"/>
      <c r="AH2264" s="165"/>
      <c r="AI2264" s="165"/>
      <c r="AJ2264" s="165"/>
      <c r="AK2264" s="165"/>
      <c r="AL2264" s="165"/>
      <c r="AM2264" s="165"/>
      <c r="AN2264" s="165"/>
    </row>
    <row r="2265" spans="3:40">
      <c r="C2265" s="46"/>
      <c r="F2265" s="173"/>
      <c r="G2265" s="1"/>
      <c r="H2265" s="165"/>
      <c r="I2265" s="160"/>
      <c r="J2265" s="160"/>
      <c r="K2265" s="1"/>
      <c r="L2265" s="123"/>
      <c r="M2265" s="1"/>
      <c r="N2265" s="590"/>
      <c r="O2265" s="165"/>
      <c r="P2265" s="165"/>
      <c r="Q2265" s="165"/>
      <c r="R2265" s="165"/>
      <c r="S2265" s="165"/>
      <c r="V2265" s="46"/>
      <c r="W2265" s="46"/>
      <c r="X2265" s="1"/>
      <c r="Y2265" s="1"/>
      <c r="Z2265" s="173"/>
      <c r="AA2265" s="1"/>
      <c r="AB2265" s="165"/>
      <c r="AC2265" s="1"/>
      <c r="AD2265" s="1"/>
      <c r="AE2265" s="1"/>
      <c r="AF2265" s="46"/>
      <c r="AG2265" s="1"/>
      <c r="AH2265" s="165"/>
      <c r="AI2265" s="165"/>
      <c r="AJ2265" s="165"/>
      <c r="AK2265" s="165"/>
      <c r="AL2265" s="165"/>
      <c r="AM2265" s="165"/>
      <c r="AN2265" s="165"/>
    </row>
    <row r="2266" spans="3:40">
      <c r="C2266" s="46"/>
      <c r="F2266" s="173"/>
      <c r="G2266" s="1"/>
      <c r="H2266" s="165"/>
      <c r="I2266" s="160"/>
      <c r="J2266" s="160"/>
      <c r="K2266" s="1"/>
      <c r="L2266" s="123"/>
      <c r="M2266" s="1"/>
      <c r="N2266" s="590"/>
      <c r="O2266" s="165"/>
      <c r="P2266" s="165"/>
      <c r="Q2266" s="165"/>
      <c r="R2266" s="165"/>
      <c r="S2266" s="165"/>
      <c r="V2266" s="46"/>
      <c r="W2266" s="46"/>
      <c r="X2266" s="1"/>
      <c r="Y2266" s="1"/>
      <c r="Z2266" s="173"/>
      <c r="AA2266" s="1"/>
      <c r="AB2266" s="165"/>
      <c r="AC2266" s="1"/>
      <c r="AD2266" s="1"/>
      <c r="AE2266" s="1"/>
      <c r="AF2266" s="46"/>
      <c r="AG2266" s="1"/>
      <c r="AH2266" s="165"/>
      <c r="AI2266" s="165"/>
      <c r="AJ2266" s="165"/>
      <c r="AK2266" s="165"/>
      <c r="AL2266" s="165"/>
      <c r="AM2266" s="165"/>
      <c r="AN2266" s="165"/>
    </row>
    <row r="2267" spans="3:40">
      <c r="C2267" s="46"/>
      <c r="F2267" s="173"/>
      <c r="G2267" s="1"/>
      <c r="H2267" s="165"/>
      <c r="I2267" s="160"/>
      <c r="J2267" s="160"/>
      <c r="K2267" s="1"/>
      <c r="L2267" s="123"/>
      <c r="M2267" s="1"/>
      <c r="N2267" s="590"/>
      <c r="O2267" s="165"/>
      <c r="P2267" s="165"/>
      <c r="Q2267" s="165"/>
      <c r="R2267" s="165"/>
      <c r="S2267" s="165"/>
      <c r="V2267" s="46"/>
      <c r="W2267" s="46"/>
      <c r="X2267" s="1"/>
      <c r="Y2267" s="1"/>
      <c r="Z2267" s="173"/>
      <c r="AA2267" s="1"/>
      <c r="AB2267" s="165"/>
      <c r="AC2267" s="1"/>
      <c r="AD2267" s="1"/>
      <c r="AE2267" s="1"/>
      <c r="AF2267" s="46"/>
      <c r="AG2267" s="1"/>
      <c r="AH2267" s="165"/>
      <c r="AI2267" s="165"/>
      <c r="AJ2267" s="165"/>
      <c r="AK2267" s="165"/>
      <c r="AL2267" s="165"/>
      <c r="AM2267" s="165"/>
      <c r="AN2267" s="165"/>
    </row>
    <row r="2268" spans="3:40">
      <c r="C2268" s="46"/>
      <c r="F2268" s="173"/>
      <c r="G2268" s="1"/>
      <c r="H2268" s="165"/>
      <c r="I2268" s="160"/>
      <c r="J2268" s="160"/>
      <c r="K2268" s="1"/>
      <c r="L2268" s="123"/>
      <c r="M2268" s="1"/>
      <c r="N2268" s="590"/>
      <c r="O2268" s="165"/>
      <c r="P2268" s="165"/>
      <c r="Q2268" s="165"/>
      <c r="R2268" s="165"/>
      <c r="S2268" s="165"/>
      <c r="V2268" s="46"/>
      <c r="W2268" s="46"/>
      <c r="X2268" s="1"/>
      <c r="Y2268" s="1"/>
      <c r="Z2268" s="173"/>
      <c r="AA2268" s="1"/>
      <c r="AB2268" s="165"/>
      <c r="AC2268" s="1"/>
      <c r="AD2268" s="1"/>
      <c r="AE2268" s="1"/>
      <c r="AF2268" s="46"/>
      <c r="AG2268" s="1"/>
      <c r="AH2268" s="165"/>
      <c r="AI2268" s="165"/>
      <c r="AJ2268" s="165"/>
      <c r="AK2268" s="165"/>
      <c r="AL2268" s="165"/>
      <c r="AM2268" s="165"/>
      <c r="AN2268" s="165"/>
    </row>
    <row r="2269" spans="3:40">
      <c r="C2269" s="46"/>
      <c r="F2269" s="173"/>
      <c r="G2269" s="1"/>
      <c r="H2269" s="165"/>
      <c r="I2269" s="160"/>
      <c r="J2269" s="160"/>
      <c r="K2269" s="1"/>
      <c r="L2269" s="123"/>
      <c r="M2269" s="1"/>
      <c r="N2269" s="590"/>
      <c r="O2269" s="165"/>
      <c r="P2269" s="165"/>
      <c r="Q2269" s="165"/>
      <c r="R2269" s="165"/>
      <c r="S2269" s="165"/>
      <c r="V2269" s="46"/>
      <c r="W2269" s="46"/>
      <c r="X2269" s="1"/>
      <c r="Y2269" s="1"/>
      <c r="Z2269" s="173"/>
      <c r="AA2269" s="1"/>
      <c r="AB2269" s="165"/>
      <c r="AC2269" s="1"/>
      <c r="AD2269" s="1"/>
      <c r="AE2269" s="1"/>
      <c r="AF2269" s="46"/>
      <c r="AG2269" s="1"/>
      <c r="AH2269" s="165"/>
      <c r="AI2269" s="165"/>
      <c r="AJ2269" s="165"/>
      <c r="AK2269" s="165"/>
      <c r="AL2269" s="165"/>
      <c r="AM2269" s="165"/>
      <c r="AN2269" s="165"/>
    </row>
    <row r="2270" spans="3:40">
      <c r="C2270" s="46"/>
      <c r="F2270" s="173"/>
      <c r="G2270" s="1"/>
      <c r="H2270" s="165"/>
      <c r="I2270" s="160"/>
      <c r="J2270" s="160"/>
      <c r="K2270" s="1"/>
      <c r="L2270" s="123"/>
      <c r="M2270" s="1"/>
      <c r="N2270" s="590"/>
      <c r="O2270" s="165"/>
      <c r="P2270" s="165"/>
      <c r="Q2270" s="165"/>
      <c r="R2270" s="165"/>
      <c r="S2270" s="165"/>
      <c r="V2270" s="46"/>
      <c r="W2270" s="46"/>
      <c r="X2270" s="1"/>
      <c r="Y2270" s="1"/>
      <c r="Z2270" s="173"/>
      <c r="AA2270" s="1"/>
      <c r="AB2270" s="165"/>
      <c r="AC2270" s="1"/>
      <c r="AD2270" s="1"/>
      <c r="AE2270" s="1"/>
      <c r="AF2270" s="46"/>
      <c r="AG2270" s="1"/>
      <c r="AH2270" s="165"/>
      <c r="AI2270" s="165"/>
      <c r="AJ2270" s="165"/>
      <c r="AK2270" s="165"/>
      <c r="AL2270" s="165"/>
      <c r="AM2270" s="165"/>
      <c r="AN2270" s="165"/>
    </row>
    <row r="2271" spans="3:40">
      <c r="C2271" s="46"/>
      <c r="F2271" s="173"/>
      <c r="G2271" s="1"/>
      <c r="H2271" s="165"/>
      <c r="I2271" s="160"/>
      <c r="J2271" s="160"/>
      <c r="K2271" s="1"/>
      <c r="L2271" s="123"/>
      <c r="M2271" s="1"/>
      <c r="N2271" s="590"/>
      <c r="O2271" s="165"/>
      <c r="P2271" s="165"/>
      <c r="Q2271" s="165"/>
      <c r="R2271" s="165"/>
      <c r="S2271" s="165"/>
      <c r="V2271" s="46"/>
      <c r="W2271" s="46"/>
      <c r="X2271" s="1"/>
      <c r="Y2271" s="1"/>
      <c r="Z2271" s="173"/>
      <c r="AA2271" s="1"/>
      <c r="AB2271" s="165"/>
      <c r="AC2271" s="1"/>
      <c r="AD2271" s="1"/>
      <c r="AE2271" s="1"/>
      <c r="AF2271" s="46"/>
      <c r="AG2271" s="1"/>
      <c r="AH2271" s="165"/>
      <c r="AI2271" s="165"/>
      <c r="AJ2271" s="165"/>
      <c r="AK2271" s="165"/>
      <c r="AL2271" s="165"/>
      <c r="AM2271" s="165"/>
      <c r="AN2271" s="165"/>
    </row>
    <row r="2272" spans="3:40">
      <c r="C2272" s="46"/>
      <c r="F2272" s="173"/>
      <c r="G2272" s="1"/>
      <c r="H2272" s="165"/>
      <c r="I2272" s="160"/>
      <c r="J2272" s="160"/>
      <c r="K2272" s="1"/>
      <c r="L2272" s="123"/>
      <c r="M2272" s="1"/>
      <c r="N2272" s="590"/>
      <c r="O2272" s="165"/>
      <c r="P2272" s="165"/>
      <c r="Q2272" s="165"/>
      <c r="R2272" s="165"/>
      <c r="S2272" s="165"/>
      <c r="V2272" s="46"/>
      <c r="W2272" s="46"/>
      <c r="X2272" s="1"/>
      <c r="Y2272" s="1"/>
      <c r="Z2272" s="173"/>
      <c r="AA2272" s="1"/>
      <c r="AB2272" s="165"/>
      <c r="AC2272" s="1"/>
      <c r="AD2272" s="1"/>
      <c r="AE2272" s="1"/>
      <c r="AF2272" s="46"/>
      <c r="AG2272" s="1"/>
      <c r="AH2272" s="165"/>
      <c r="AI2272" s="165"/>
      <c r="AJ2272" s="165"/>
      <c r="AK2272" s="165"/>
      <c r="AL2272" s="165"/>
      <c r="AM2272" s="165"/>
      <c r="AN2272" s="165"/>
    </row>
    <row r="2273" spans="3:40">
      <c r="C2273" s="46"/>
      <c r="F2273" s="173"/>
      <c r="G2273" s="1"/>
      <c r="H2273" s="165"/>
      <c r="I2273" s="160"/>
      <c r="J2273" s="160"/>
      <c r="K2273" s="1"/>
      <c r="L2273" s="123"/>
      <c r="M2273" s="1"/>
      <c r="N2273" s="590"/>
      <c r="O2273" s="165"/>
      <c r="P2273" s="165"/>
      <c r="Q2273" s="165"/>
      <c r="R2273" s="165"/>
      <c r="S2273" s="165"/>
      <c r="V2273" s="46"/>
      <c r="W2273" s="46"/>
      <c r="X2273" s="1"/>
      <c r="Y2273" s="1"/>
      <c r="Z2273" s="173"/>
      <c r="AA2273" s="1"/>
      <c r="AB2273" s="165"/>
      <c r="AC2273" s="1"/>
      <c r="AD2273" s="1"/>
      <c r="AE2273" s="1"/>
      <c r="AF2273" s="46"/>
      <c r="AG2273" s="1"/>
      <c r="AH2273" s="165"/>
      <c r="AI2273" s="165"/>
      <c r="AJ2273" s="165"/>
      <c r="AK2273" s="165"/>
      <c r="AL2273" s="165"/>
      <c r="AM2273" s="165"/>
      <c r="AN2273" s="165"/>
    </row>
    <row r="2274" spans="3:40">
      <c r="C2274" s="46"/>
      <c r="F2274" s="173"/>
      <c r="G2274" s="1"/>
      <c r="H2274" s="165"/>
      <c r="I2274" s="160"/>
      <c r="J2274" s="160"/>
      <c r="K2274" s="1"/>
      <c r="L2274" s="123"/>
      <c r="M2274" s="1"/>
      <c r="N2274" s="590"/>
      <c r="O2274" s="165"/>
      <c r="P2274" s="165"/>
      <c r="Q2274" s="165"/>
      <c r="R2274" s="165"/>
      <c r="S2274" s="165"/>
      <c r="V2274" s="46"/>
      <c r="W2274" s="46"/>
      <c r="X2274" s="1"/>
      <c r="Y2274" s="1"/>
      <c r="Z2274" s="173"/>
      <c r="AA2274" s="1"/>
      <c r="AB2274" s="165"/>
      <c r="AC2274" s="1"/>
      <c r="AD2274" s="1"/>
      <c r="AE2274" s="1"/>
      <c r="AF2274" s="46"/>
      <c r="AG2274" s="1"/>
      <c r="AH2274" s="165"/>
      <c r="AI2274" s="165"/>
      <c r="AJ2274" s="165"/>
      <c r="AK2274" s="165"/>
      <c r="AL2274" s="165"/>
      <c r="AM2274" s="165"/>
      <c r="AN2274" s="165"/>
    </row>
    <row r="2275" spans="3:40">
      <c r="C2275" s="46"/>
      <c r="F2275" s="173"/>
      <c r="G2275" s="1"/>
      <c r="H2275" s="165"/>
      <c r="I2275" s="160"/>
      <c r="J2275" s="160"/>
      <c r="K2275" s="1"/>
      <c r="L2275" s="123"/>
      <c r="M2275" s="1"/>
      <c r="N2275" s="590"/>
      <c r="O2275" s="165"/>
      <c r="P2275" s="165"/>
      <c r="Q2275" s="165"/>
      <c r="R2275" s="165"/>
      <c r="S2275" s="165"/>
      <c r="V2275" s="46"/>
      <c r="W2275" s="46"/>
      <c r="X2275" s="1"/>
      <c r="Y2275" s="1"/>
      <c r="Z2275" s="173"/>
      <c r="AA2275" s="1"/>
      <c r="AB2275" s="165"/>
      <c r="AC2275" s="1"/>
      <c r="AD2275" s="1"/>
      <c r="AE2275" s="1"/>
      <c r="AF2275" s="46"/>
      <c r="AG2275" s="1"/>
      <c r="AH2275" s="165"/>
      <c r="AI2275" s="165"/>
      <c r="AJ2275" s="165"/>
      <c r="AK2275" s="165"/>
      <c r="AL2275" s="165"/>
      <c r="AM2275" s="165"/>
      <c r="AN2275" s="165"/>
    </row>
    <row r="2276" spans="3:40">
      <c r="C2276" s="46"/>
      <c r="F2276" s="173"/>
      <c r="G2276" s="1"/>
      <c r="H2276" s="165"/>
      <c r="I2276" s="160"/>
      <c r="J2276" s="160"/>
      <c r="K2276" s="1"/>
      <c r="L2276" s="123"/>
      <c r="M2276" s="1"/>
      <c r="N2276" s="590"/>
      <c r="O2276" s="165"/>
      <c r="P2276" s="165"/>
      <c r="Q2276" s="165"/>
      <c r="R2276" s="165"/>
      <c r="S2276" s="165"/>
      <c r="V2276" s="46"/>
      <c r="W2276" s="46"/>
      <c r="X2276" s="1"/>
      <c r="Y2276" s="1"/>
      <c r="Z2276" s="173"/>
      <c r="AA2276" s="1"/>
      <c r="AB2276" s="165"/>
      <c r="AC2276" s="1"/>
      <c r="AD2276" s="1"/>
      <c r="AE2276" s="1"/>
      <c r="AF2276" s="46"/>
      <c r="AG2276" s="1"/>
      <c r="AH2276" s="165"/>
      <c r="AI2276" s="165"/>
      <c r="AJ2276" s="165"/>
      <c r="AK2276" s="165"/>
      <c r="AL2276" s="165"/>
      <c r="AM2276" s="165"/>
      <c r="AN2276" s="165"/>
    </row>
    <row r="2277" spans="3:40">
      <c r="C2277" s="46"/>
      <c r="F2277" s="173"/>
      <c r="G2277" s="1"/>
      <c r="H2277" s="165"/>
      <c r="I2277" s="160"/>
      <c r="J2277" s="160"/>
      <c r="K2277" s="1"/>
      <c r="L2277" s="123"/>
      <c r="M2277" s="1"/>
      <c r="N2277" s="590"/>
      <c r="O2277" s="165"/>
      <c r="P2277" s="165"/>
      <c r="Q2277" s="165"/>
      <c r="R2277" s="165"/>
      <c r="S2277" s="165"/>
      <c r="V2277" s="46"/>
      <c r="W2277" s="46"/>
      <c r="X2277" s="1"/>
      <c r="Y2277" s="1"/>
      <c r="Z2277" s="173"/>
      <c r="AA2277" s="1"/>
      <c r="AB2277" s="165"/>
      <c r="AC2277" s="1"/>
      <c r="AD2277" s="1"/>
      <c r="AE2277" s="1"/>
      <c r="AF2277" s="46"/>
      <c r="AG2277" s="1"/>
      <c r="AH2277" s="165"/>
      <c r="AI2277" s="165"/>
      <c r="AJ2277" s="165"/>
      <c r="AK2277" s="165"/>
      <c r="AL2277" s="165"/>
      <c r="AM2277" s="165"/>
      <c r="AN2277" s="165"/>
    </row>
    <row r="2278" spans="3:40">
      <c r="C2278" s="46"/>
      <c r="F2278" s="173"/>
      <c r="G2278" s="1"/>
      <c r="H2278" s="165"/>
      <c r="I2278" s="160"/>
      <c r="J2278" s="160"/>
      <c r="K2278" s="1"/>
      <c r="L2278" s="123"/>
      <c r="M2278" s="1"/>
      <c r="N2278" s="590"/>
      <c r="O2278" s="165"/>
      <c r="P2278" s="165"/>
      <c r="Q2278" s="165"/>
      <c r="R2278" s="165"/>
      <c r="S2278" s="165"/>
      <c r="V2278" s="46"/>
      <c r="W2278" s="46"/>
      <c r="X2278" s="1"/>
      <c r="Y2278" s="1"/>
      <c r="Z2278" s="173"/>
      <c r="AA2278" s="1"/>
      <c r="AB2278" s="165"/>
      <c r="AC2278" s="1"/>
      <c r="AD2278" s="1"/>
      <c r="AE2278" s="1"/>
      <c r="AF2278" s="46"/>
      <c r="AG2278" s="1"/>
      <c r="AH2278" s="165"/>
      <c r="AI2278" s="165"/>
      <c r="AJ2278" s="165"/>
      <c r="AK2278" s="165"/>
      <c r="AL2278" s="165"/>
      <c r="AM2278" s="165"/>
      <c r="AN2278" s="165"/>
    </row>
    <row r="2279" spans="3:40">
      <c r="C2279" s="46"/>
      <c r="F2279" s="173"/>
      <c r="G2279" s="1"/>
      <c r="H2279" s="165"/>
      <c r="I2279" s="160"/>
      <c r="J2279" s="160"/>
      <c r="K2279" s="1"/>
      <c r="L2279" s="123"/>
      <c r="M2279" s="1"/>
      <c r="N2279" s="590"/>
      <c r="O2279" s="165"/>
      <c r="P2279" s="165"/>
      <c r="Q2279" s="165"/>
      <c r="R2279" s="165"/>
      <c r="S2279" s="165"/>
      <c r="V2279" s="46"/>
      <c r="W2279" s="46"/>
      <c r="X2279" s="1"/>
      <c r="Y2279" s="1"/>
      <c r="Z2279" s="173"/>
      <c r="AA2279" s="1"/>
      <c r="AB2279" s="165"/>
      <c r="AC2279" s="1"/>
      <c r="AD2279" s="1"/>
      <c r="AE2279" s="1"/>
      <c r="AF2279" s="46"/>
      <c r="AG2279" s="1"/>
      <c r="AH2279" s="165"/>
      <c r="AI2279" s="165"/>
      <c r="AJ2279" s="165"/>
      <c r="AK2279" s="165"/>
      <c r="AL2279" s="165"/>
      <c r="AM2279" s="165"/>
      <c r="AN2279" s="165"/>
    </row>
    <row r="2280" spans="3:40">
      <c r="C2280" s="46"/>
      <c r="F2280" s="173"/>
      <c r="G2280" s="1"/>
      <c r="H2280" s="165"/>
      <c r="I2280" s="160"/>
      <c r="J2280" s="160"/>
      <c r="K2280" s="1"/>
      <c r="L2280" s="123"/>
      <c r="M2280" s="1"/>
      <c r="N2280" s="590"/>
      <c r="O2280" s="165"/>
      <c r="P2280" s="165"/>
      <c r="Q2280" s="165"/>
      <c r="R2280" s="165"/>
      <c r="S2280" s="165"/>
      <c r="V2280" s="46"/>
      <c r="W2280" s="46"/>
      <c r="X2280" s="1"/>
      <c r="Y2280" s="1"/>
      <c r="Z2280" s="173"/>
      <c r="AA2280" s="1"/>
      <c r="AB2280" s="165"/>
      <c r="AC2280" s="1"/>
      <c r="AD2280" s="1"/>
      <c r="AE2280" s="1"/>
      <c r="AF2280" s="46"/>
      <c r="AG2280" s="1"/>
      <c r="AH2280" s="165"/>
      <c r="AI2280" s="165"/>
      <c r="AJ2280" s="165"/>
      <c r="AK2280" s="165"/>
      <c r="AL2280" s="165"/>
      <c r="AM2280" s="165"/>
      <c r="AN2280" s="165"/>
    </row>
    <row r="2281" spans="3:40">
      <c r="C2281" s="46"/>
      <c r="F2281" s="173"/>
      <c r="G2281" s="1"/>
      <c r="H2281" s="165"/>
      <c r="I2281" s="160"/>
      <c r="J2281" s="160"/>
      <c r="K2281" s="1"/>
      <c r="L2281" s="123"/>
      <c r="M2281" s="1"/>
      <c r="N2281" s="590"/>
      <c r="O2281" s="165"/>
      <c r="P2281" s="165"/>
      <c r="Q2281" s="165"/>
      <c r="R2281" s="165"/>
      <c r="S2281" s="165"/>
      <c r="V2281" s="46"/>
      <c r="W2281" s="46"/>
      <c r="X2281" s="1"/>
      <c r="Y2281" s="1"/>
      <c r="Z2281" s="173"/>
      <c r="AA2281" s="1"/>
      <c r="AB2281" s="165"/>
      <c r="AC2281" s="1"/>
      <c r="AD2281" s="1"/>
      <c r="AE2281" s="1"/>
      <c r="AF2281" s="46"/>
      <c r="AG2281" s="1"/>
      <c r="AH2281" s="165"/>
      <c r="AI2281" s="165"/>
      <c r="AJ2281" s="165"/>
      <c r="AK2281" s="165"/>
      <c r="AL2281" s="165"/>
      <c r="AM2281" s="165"/>
      <c r="AN2281" s="165"/>
    </row>
    <row r="2282" spans="3:40">
      <c r="C2282" s="46"/>
      <c r="F2282" s="173"/>
      <c r="G2282" s="1"/>
      <c r="H2282" s="165"/>
      <c r="I2282" s="160"/>
      <c r="J2282" s="160"/>
      <c r="K2282" s="1"/>
      <c r="L2282" s="123"/>
      <c r="M2282" s="1"/>
      <c r="N2282" s="590"/>
      <c r="O2282" s="165"/>
      <c r="P2282" s="165"/>
      <c r="Q2282" s="165"/>
      <c r="R2282" s="165"/>
      <c r="S2282" s="165"/>
      <c r="V2282" s="46"/>
      <c r="W2282" s="46"/>
      <c r="X2282" s="1"/>
      <c r="Y2282" s="1"/>
      <c r="Z2282" s="173"/>
      <c r="AA2282" s="1"/>
      <c r="AB2282" s="165"/>
      <c r="AC2282" s="1"/>
      <c r="AD2282" s="1"/>
      <c r="AE2282" s="1"/>
      <c r="AF2282" s="46"/>
      <c r="AG2282" s="1"/>
      <c r="AH2282" s="165"/>
      <c r="AI2282" s="165"/>
      <c r="AJ2282" s="165"/>
      <c r="AK2282" s="165"/>
      <c r="AL2282" s="165"/>
      <c r="AM2282" s="165"/>
      <c r="AN2282" s="165"/>
    </row>
    <row r="2283" spans="3:40">
      <c r="C2283" s="46"/>
      <c r="F2283" s="173"/>
      <c r="G2283" s="1"/>
      <c r="H2283" s="165"/>
      <c r="I2283" s="160"/>
      <c r="J2283" s="160"/>
      <c r="K2283" s="1"/>
      <c r="L2283" s="123"/>
      <c r="M2283" s="1"/>
      <c r="N2283" s="590"/>
      <c r="O2283" s="165"/>
      <c r="P2283" s="165"/>
      <c r="Q2283" s="165"/>
      <c r="R2283" s="165"/>
      <c r="S2283" s="165"/>
      <c r="V2283" s="46"/>
      <c r="W2283" s="46"/>
      <c r="X2283" s="1"/>
      <c r="Y2283" s="1"/>
      <c r="Z2283" s="173"/>
      <c r="AA2283" s="1"/>
      <c r="AB2283" s="165"/>
      <c r="AC2283" s="1"/>
      <c r="AD2283" s="1"/>
      <c r="AE2283" s="1"/>
      <c r="AF2283" s="46"/>
      <c r="AG2283" s="1"/>
      <c r="AH2283" s="165"/>
      <c r="AI2283" s="165"/>
      <c r="AJ2283" s="165"/>
      <c r="AK2283" s="165"/>
      <c r="AL2283" s="165"/>
      <c r="AM2283" s="165"/>
      <c r="AN2283" s="165"/>
    </row>
    <row r="2284" spans="3:40">
      <c r="C2284" s="46"/>
      <c r="F2284" s="173"/>
      <c r="G2284" s="1"/>
      <c r="H2284" s="165"/>
      <c r="I2284" s="160"/>
      <c r="J2284" s="160"/>
      <c r="K2284" s="1"/>
      <c r="L2284" s="123"/>
      <c r="M2284" s="1"/>
      <c r="N2284" s="590"/>
      <c r="O2284" s="165"/>
      <c r="P2284" s="165"/>
      <c r="Q2284" s="165"/>
      <c r="R2284" s="165"/>
      <c r="S2284" s="165"/>
      <c r="V2284" s="46"/>
      <c r="W2284" s="46"/>
      <c r="X2284" s="1"/>
      <c r="Y2284" s="1"/>
      <c r="Z2284" s="173"/>
      <c r="AA2284" s="1"/>
      <c r="AB2284" s="165"/>
      <c r="AC2284" s="1"/>
      <c r="AD2284" s="1"/>
      <c r="AE2284" s="1"/>
      <c r="AF2284" s="46"/>
      <c r="AG2284" s="1"/>
      <c r="AH2284" s="165"/>
      <c r="AI2284" s="165"/>
      <c r="AJ2284" s="165"/>
      <c r="AK2284" s="165"/>
      <c r="AL2284" s="165"/>
      <c r="AM2284" s="165"/>
      <c r="AN2284" s="165"/>
    </row>
    <row r="2285" spans="3:40">
      <c r="C2285" s="46"/>
      <c r="F2285" s="173"/>
      <c r="G2285" s="1"/>
      <c r="H2285" s="165"/>
      <c r="I2285" s="160"/>
      <c r="J2285" s="160"/>
      <c r="K2285" s="1"/>
      <c r="L2285" s="123"/>
      <c r="M2285" s="1"/>
      <c r="N2285" s="590"/>
      <c r="O2285" s="165"/>
      <c r="P2285" s="165"/>
      <c r="Q2285" s="165"/>
      <c r="R2285" s="165"/>
      <c r="S2285" s="165"/>
      <c r="V2285" s="46"/>
      <c r="W2285" s="46"/>
      <c r="X2285" s="1"/>
      <c r="Y2285" s="1"/>
      <c r="Z2285" s="173"/>
      <c r="AA2285" s="1"/>
      <c r="AB2285" s="165"/>
      <c r="AC2285" s="1"/>
      <c r="AD2285" s="1"/>
      <c r="AE2285" s="1"/>
      <c r="AF2285" s="46"/>
      <c r="AG2285" s="1"/>
      <c r="AH2285" s="165"/>
      <c r="AI2285" s="165"/>
      <c r="AJ2285" s="165"/>
      <c r="AK2285" s="165"/>
      <c r="AL2285" s="165"/>
      <c r="AM2285" s="165"/>
      <c r="AN2285" s="165"/>
    </row>
    <row r="2286" spans="3:40">
      <c r="C2286" s="46"/>
      <c r="F2286" s="173"/>
      <c r="G2286" s="1"/>
      <c r="H2286" s="165"/>
      <c r="I2286" s="160"/>
      <c r="J2286" s="160"/>
      <c r="K2286" s="1"/>
      <c r="L2286" s="123"/>
      <c r="M2286" s="1"/>
      <c r="N2286" s="590"/>
      <c r="O2286" s="165"/>
      <c r="P2286" s="165"/>
      <c r="Q2286" s="165"/>
      <c r="R2286" s="165"/>
      <c r="S2286" s="165"/>
      <c r="V2286" s="46"/>
      <c r="W2286" s="46"/>
      <c r="X2286" s="1"/>
      <c r="Y2286" s="1"/>
      <c r="Z2286" s="173"/>
      <c r="AA2286" s="1"/>
      <c r="AB2286" s="165"/>
      <c r="AC2286" s="1"/>
      <c r="AD2286" s="1"/>
      <c r="AE2286" s="1"/>
      <c r="AF2286" s="46"/>
      <c r="AG2286" s="1"/>
      <c r="AH2286" s="165"/>
      <c r="AI2286" s="165"/>
      <c r="AJ2286" s="165"/>
      <c r="AK2286" s="165"/>
      <c r="AL2286" s="165"/>
      <c r="AM2286" s="165"/>
      <c r="AN2286" s="165"/>
    </row>
    <row r="2287" spans="3:40">
      <c r="C2287" s="46"/>
      <c r="F2287" s="173"/>
      <c r="G2287" s="1"/>
      <c r="H2287" s="165"/>
      <c r="I2287" s="160"/>
      <c r="J2287" s="160"/>
      <c r="K2287" s="1"/>
      <c r="L2287" s="123"/>
      <c r="M2287" s="1"/>
      <c r="N2287" s="590"/>
      <c r="O2287" s="165"/>
      <c r="P2287" s="165"/>
      <c r="Q2287" s="165"/>
      <c r="R2287" s="165"/>
      <c r="S2287" s="165"/>
      <c r="V2287" s="46"/>
      <c r="W2287" s="46"/>
      <c r="X2287" s="1"/>
      <c r="Y2287" s="1"/>
      <c r="Z2287" s="173"/>
      <c r="AA2287" s="1"/>
      <c r="AB2287" s="165"/>
      <c r="AC2287" s="1"/>
      <c r="AD2287" s="1"/>
      <c r="AE2287" s="1"/>
      <c r="AF2287" s="46"/>
      <c r="AG2287" s="1"/>
      <c r="AH2287" s="165"/>
      <c r="AI2287" s="165"/>
      <c r="AJ2287" s="165"/>
      <c r="AK2287" s="165"/>
      <c r="AL2287" s="165"/>
      <c r="AM2287" s="165"/>
      <c r="AN2287" s="165"/>
    </row>
    <row r="2288" spans="3:40">
      <c r="C2288" s="46"/>
      <c r="F2288" s="173"/>
      <c r="G2288" s="1"/>
      <c r="H2288" s="165"/>
      <c r="I2288" s="160"/>
      <c r="J2288" s="160"/>
      <c r="K2288" s="1"/>
      <c r="L2288" s="123"/>
      <c r="M2288" s="1"/>
      <c r="N2288" s="590"/>
      <c r="O2288" s="165"/>
      <c r="P2288" s="165"/>
      <c r="Q2288" s="165"/>
      <c r="R2288" s="165"/>
      <c r="S2288" s="165"/>
      <c r="V2288" s="46"/>
      <c r="W2288" s="46"/>
      <c r="X2288" s="1"/>
      <c r="Y2288" s="1"/>
      <c r="Z2288" s="173"/>
      <c r="AA2288" s="1"/>
      <c r="AB2288" s="165"/>
      <c r="AC2288" s="1"/>
      <c r="AD2288" s="1"/>
      <c r="AE2288" s="1"/>
      <c r="AF2288" s="46"/>
      <c r="AG2288" s="1"/>
      <c r="AH2288" s="165"/>
      <c r="AI2288" s="165"/>
      <c r="AJ2288" s="165"/>
      <c r="AK2288" s="165"/>
      <c r="AL2288" s="165"/>
      <c r="AM2288" s="165"/>
      <c r="AN2288" s="165"/>
    </row>
    <row r="2289" spans="3:40">
      <c r="C2289" s="46"/>
      <c r="F2289" s="173"/>
      <c r="G2289" s="1"/>
      <c r="H2289" s="165"/>
      <c r="I2289" s="160"/>
      <c r="J2289" s="160"/>
      <c r="K2289" s="1"/>
      <c r="L2289" s="123"/>
      <c r="M2289" s="1"/>
      <c r="N2289" s="590"/>
      <c r="O2289" s="165"/>
      <c r="P2289" s="165"/>
      <c r="Q2289" s="165"/>
      <c r="R2289" s="165"/>
      <c r="S2289" s="165"/>
      <c r="V2289" s="46"/>
      <c r="W2289" s="46"/>
      <c r="X2289" s="1"/>
      <c r="Y2289" s="1"/>
      <c r="Z2289" s="173"/>
      <c r="AA2289" s="1"/>
      <c r="AB2289" s="165"/>
      <c r="AC2289" s="1"/>
      <c r="AD2289" s="1"/>
      <c r="AE2289" s="1"/>
      <c r="AF2289" s="46"/>
      <c r="AG2289" s="1"/>
      <c r="AH2289" s="165"/>
      <c r="AI2289" s="165"/>
      <c r="AJ2289" s="165"/>
      <c r="AK2289" s="165"/>
      <c r="AL2289" s="165"/>
      <c r="AM2289" s="165"/>
      <c r="AN2289" s="165"/>
    </row>
    <row r="2290" spans="3:40">
      <c r="C2290" s="46"/>
      <c r="F2290" s="173"/>
      <c r="G2290" s="1"/>
      <c r="H2290" s="165"/>
      <c r="I2290" s="160"/>
      <c r="J2290" s="160"/>
      <c r="K2290" s="1"/>
      <c r="L2290" s="123"/>
      <c r="M2290" s="1"/>
      <c r="N2290" s="590"/>
      <c r="O2290" s="165"/>
      <c r="P2290" s="165"/>
      <c r="Q2290" s="165"/>
      <c r="R2290" s="165"/>
      <c r="S2290" s="165"/>
      <c r="V2290" s="46"/>
      <c r="W2290" s="46"/>
      <c r="X2290" s="1"/>
      <c r="Y2290" s="1"/>
      <c r="Z2290" s="173"/>
      <c r="AA2290" s="1"/>
      <c r="AB2290" s="165"/>
      <c r="AC2290" s="1"/>
      <c r="AD2290" s="1"/>
      <c r="AE2290" s="1"/>
      <c r="AF2290" s="46"/>
      <c r="AG2290" s="1"/>
      <c r="AH2290" s="165"/>
      <c r="AI2290" s="165"/>
      <c r="AJ2290" s="165"/>
      <c r="AK2290" s="165"/>
      <c r="AL2290" s="165"/>
      <c r="AM2290" s="165"/>
      <c r="AN2290" s="165"/>
    </row>
    <row r="2291" spans="3:40">
      <c r="C2291" s="46"/>
      <c r="F2291" s="173"/>
      <c r="G2291" s="1"/>
      <c r="H2291" s="165"/>
      <c r="I2291" s="160"/>
      <c r="J2291" s="160"/>
      <c r="K2291" s="1"/>
      <c r="L2291" s="123"/>
      <c r="M2291" s="1"/>
      <c r="N2291" s="590"/>
      <c r="O2291" s="165"/>
      <c r="P2291" s="165"/>
      <c r="Q2291" s="165"/>
      <c r="R2291" s="165"/>
      <c r="S2291" s="165"/>
      <c r="V2291" s="46"/>
      <c r="W2291" s="46"/>
      <c r="X2291" s="1"/>
      <c r="Y2291" s="1"/>
      <c r="Z2291" s="173"/>
      <c r="AA2291" s="1"/>
      <c r="AB2291" s="165"/>
      <c r="AC2291" s="1"/>
      <c r="AD2291" s="1"/>
      <c r="AE2291" s="1"/>
      <c r="AF2291" s="46"/>
      <c r="AG2291" s="1"/>
      <c r="AH2291" s="165"/>
      <c r="AI2291" s="165"/>
      <c r="AJ2291" s="165"/>
      <c r="AK2291" s="165"/>
      <c r="AL2291" s="165"/>
      <c r="AM2291" s="165"/>
      <c r="AN2291" s="165"/>
    </row>
    <row r="2292" spans="3:40">
      <c r="C2292" s="46"/>
      <c r="F2292" s="173"/>
      <c r="G2292" s="1"/>
      <c r="H2292" s="165"/>
      <c r="I2292" s="160"/>
      <c r="J2292" s="160"/>
      <c r="K2292" s="1"/>
      <c r="L2292" s="123"/>
      <c r="M2292" s="1"/>
      <c r="N2292" s="590"/>
      <c r="O2292" s="165"/>
      <c r="P2292" s="165"/>
      <c r="Q2292" s="165"/>
      <c r="R2292" s="165"/>
      <c r="S2292" s="165"/>
      <c r="V2292" s="46"/>
      <c r="W2292" s="46"/>
      <c r="X2292" s="1"/>
      <c r="Y2292" s="1"/>
      <c r="Z2292" s="173"/>
      <c r="AA2292" s="1"/>
      <c r="AB2292" s="165"/>
      <c r="AC2292" s="1"/>
      <c r="AD2292" s="1"/>
      <c r="AE2292" s="1"/>
      <c r="AF2292" s="46"/>
      <c r="AG2292" s="1"/>
      <c r="AH2292" s="165"/>
      <c r="AI2292" s="165"/>
      <c r="AJ2292" s="165"/>
      <c r="AK2292" s="165"/>
      <c r="AL2292" s="165"/>
      <c r="AM2292" s="165"/>
      <c r="AN2292" s="165"/>
    </row>
    <row r="2293" spans="3:40">
      <c r="C2293" s="46"/>
      <c r="F2293" s="173"/>
      <c r="G2293" s="1"/>
      <c r="H2293" s="165"/>
      <c r="I2293" s="160"/>
      <c r="J2293" s="160"/>
      <c r="K2293" s="1"/>
      <c r="L2293" s="123"/>
      <c r="M2293" s="1"/>
      <c r="N2293" s="590"/>
      <c r="O2293" s="165"/>
      <c r="P2293" s="165"/>
      <c r="Q2293" s="165"/>
      <c r="R2293" s="165"/>
      <c r="S2293" s="165"/>
      <c r="V2293" s="46"/>
      <c r="W2293" s="46"/>
      <c r="X2293" s="1"/>
      <c r="Y2293" s="1"/>
      <c r="Z2293" s="173"/>
      <c r="AA2293" s="1"/>
      <c r="AB2293" s="165"/>
      <c r="AC2293" s="1"/>
      <c r="AD2293" s="1"/>
      <c r="AE2293" s="1"/>
      <c r="AF2293" s="46"/>
      <c r="AG2293" s="1"/>
      <c r="AH2293" s="165"/>
      <c r="AI2293" s="165"/>
      <c r="AJ2293" s="165"/>
      <c r="AK2293" s="165"/>
      <c r="AL2293" s="165"/>
      <c r="AM2293" s="165"/>
      <c r="AN2293" s="165"/>
    </row>
    <row r="2294" spans="3:40">
      <c r="C2294" s="46"/>
      <c r="F2294" s="173"/>
      <c r="G2294" s="1"/>
      <c r="H2294" s="165"/>
      <c r="I2294" s="160"/>
      <c r="J2294" s="160"/>
      <c r="K2294" s="1"/>
      <c r="L2294" s="123"/>
      <c r="M2294" s="1"/>
      <c r="N2294" s="590"/>
      <c r="O2294" s="165"/>
      <c r="P2294" s="165"/>
      <c r="Q2294" s="165"/>
      <c r="R2294" s="165"/>
      <c r="S2294" s="165"/>
      <c r="V2294" s="46"/>
      <c r="W2294" s="46"/>
      <c r="X2294" s="1"/>
      <c r="Y2294" s="1"/>
      <c r="Z2294" s="173"/>
      <c r="AA2294" s="1"/>
      <c r="AB2294" s="165"/>
      <c r="AC2294" s="1"/>
      <c r="AD2294" s="1"/>
      <c r="AE2294" s="1"/>
      <c r="AF2294" s="46"/>
      <c r="AG2294" s="1"/>
      <c r="AH2294" s="165"/>
      <c r="AI2294" s="165"/>
      <c r="AJ2294" s="165"/>
      <c r="AK2294" s="165"/>
      <c r="AL2294" s="165"/>
      <c r="AM2294" s="165"/>
      <c r="AN2294" s="165"/>
    </row>
    <row r="2295" spans="3:40">
      <c r="C2295" s="46"/>
      <c r="F2295" s="173"/>
      <c r="G2295" s="1"/>
      <c r="H2295" s="165"/>
      <c r="I2295" s="160"/>
      <c r="J2295" s="160"/>
      <c r="K2295" s="1"/>
      <c r="L2295" s="123"/>
      <c r="M2295" s="1"/>
      <c r="N2295" s="590"/>
      <c r="O2295" s="165"/>
      <c r="P2295" s="165"/>
      <c r="Q2295" s="165"/>
      <c r="R2295" s="165"/>
      <c r="S2295" s="165"/>
      <c r="V2295" s="46"/>
      <c r="W2295" s="46"/>
      <c r="X2295" s="1"/>
      <c r="Y2295" s="1"/>
      <c r="Z2295" s="173"/>
      <c r="AA2295" s="1"/>
      <c r="AB2295" s="165"/>
      <c r="AC2295" s="1"/>
      <c r="AD2295" s="1"/>
      <c r="AE2295" s="1"/>
      <c r="AF2295" s="46"/>
      <c r="AG2295" s="1"/>
      <c r="AH2295" s="165"/>
      <c r="AI2295" s="165"/>
      <c r="AJ2295" s="165"/>
      <c r="AK2295" s="165"/>
      <c r="AL2295" s="165"/>
      <c r="AM2295" s="165"/>
      <c r="AN2295" s="165"/>
    </row>
    <row r="2296" spans="3:40">
      <c r="C2296" s="46"/>
      <c r="F2296" s="173"/>
      <c r="G2296" s="1"/>
      <c r="H2296" s="165"/>
      <c r="I2296" s="160"/>
      <c r="J2296" s="160"/>
      <c r="K2296" s="1"/>
      <c r="L2296" s="123"/>
      <c r="M2296" s="1"/>
      <c r="N2296" s="590"/>
      <c r="O2296" s="165"/>
      <c r="P2296" s="165"/>
      <c r="Q2296" s="165"/>
      <c r="R2296" s="165"/>
      <c r="S2296" s="165"/>
      <c r="V2296" s="46"/>
      <c r="W2296" s="46"/>
      <c r="X2296" s="1"/>
      <c r="Y2296" s="1"/>
      <c r="Z2296" s="173"/>
      <c r="AA2296" s="1"/>
      <c r="AB2296" s="165"/>
      <c r="AC2296" s="1"/>
      <c r="AD2296" s="1"/>
      <c r="AE2296" s="1"/>
      <c r="AF2296" s="46"/>
      <c r="AG2296" s="1"/>
      <c r="AH2296" s="165"/>
      <c r="AI2296" s="165"/>
      <c r="AJ2296" s="165"/>
      <c r="AK2296" s="165"/>
      <c r="AL2296" s="165"/>
      <c r="AM2296" s="165"/>
      <c r="AN2296" s="165"/>
    </row>
    <row r="2297" spans="3:40">
      <c r="C2297" s="46"/>
      <c r="F2297" s="173"/>
      <c r="G2297" s="1"/>
      <c r="H2297" s="165"/>
      <c r="I2297" s="160"/>
      <c r="J2297" s="160"/>
      <c r="K2297" s="1"/>
      <c r="L2297" s="123"/>
      <c r="M2297" s="1"/>
      <c r="N2297" s="590"/>
      <c r="O2297" s="165"/>
      <c r="P2297" s="165"/>
      <c r="Q2297" s="165"/>
      <c r="R2297" s="165"/>
      <c r="S2297" s="165"/>
      <c r="V2297" s="46"/>
      <c r="W2297" s="46"/>
      <c r="X2297" s="1"/>
      <c r="Y2297" s="1"/>
      <c r="Z2297" s="173"/>
      <c r="AA2297" s="1"/>
      <c r="AB2297" s="165"/>
      <c r="AC2297" s="1"/>
      <c r="AD2297" s="1"/>
      <c r="AE2297" s="1"/>
      <c r="AF2297" s="46"/>
      <c r="AG2297" s="1"/>
      <c r="AH2297" s="165"/>
      <c r="AI2297" s="165"/>
      <c r="AJ2297" s="165"/>
      <c r="AK2297" s="165"/>
      <c r="AL2297" s="165"/>
      <c r="AM2297" s="165"/>
      <c r="AN2297" s="165"/>
    </row>
    <row r="2298" spans="3:40">
      <c r="C2298" s="46"/>
      <c r="F2298" s="173"/>
      <c r="G2298" s="1"/>
      <c r="H2298" s="165"/>
      <c r="I2298" s="160"/>
      <c r="J2298" s="160"/>
      <c r="K2298" s="1"/>
      <c r="L2298" s="123"/>
      <c r="M2298" s="1"/>
      <c r="N2298" s="590"/>
      <c r="O2298" s="165"/>
      <c r="P2298" s="165"/>
      <c r="Q2298" s="165"/>
      <c r="R2298" s="165"/>
      <c r="S2298" s="165"/>
      <c r="V2298" s="46"/>
      <c r="W2298" s="46"/>
      <c r="X2298" s="1"/>
      <c r="Y2298" s="1"/>
      <c r="Z2298" s="173"/>
      <c r="AA2298" s="1"/>
      <c r="AB2298" s="165"/>
      <c r="AC2298" s="1"/>
      <c r="AD2298" s="1"/>
      <c r="AE2298" s="1"/>
      <c r="AF2298" s="46"/>
      <c r="AG2298" s="1"/>
      <c r="AH2298" s="165"/>
      <c r="AI2298" s="165"/>
      <c r="AJ2298" s="165"/>
      <c r="AK2298" s="165"/>
      <c r="AL2298" s="165"/>
      <c r="AM2298" s="165"/>
      <c r="AN2298" s="165"/>
    </row>
    <row r="2299" spans="3:40">
      <c r="C2299" s="46"/>
      <c r="F2299" s="173"/>
      <c r="G2299" s="1"/>
      <c r="H2299" s="165"/>
      <c r="I2299" s="160"/>
      <c r="J2299" s="160"/>
      <c r="K2299" s="1"/>
      <c r="L2299" s="123"/>
      <c r="M2299" s="1"/>
      <c r="N2299" s="590"/>
      <c r="O2299" s="165"/>
      <c r="P2299" s="165"/>
      <c r="Q2299" s="165"/>
      <c r="R2299" s="165"/>
      <c r="S2299" s="165"/>
      <c r="V2299" s="46"/>
      <c r="W2299" s="46"/>
      <c r="X2299" s="1"/>
      <c r="Y2299" s="1"/>
      <c r="Z2299" s="173"/>
      <c r="AA2299" s="1"/>
      <c r="AB2299" s="165"/>
      <c r="AC2299" s="1"/>
      <c r="AD2299" s="1"/>
      <c r="AE2299" s="1"/>
      <c r="AF2299" s="46"/>
      <c r="AG2299" s="1"/>
      <c r="AH2299" s="165"/>
      <c r="AI2299" s="165"/>
      <c r="AJ2299" s="165"/>
      <c r="AK2299" s="165"/>
      <c r="AL2299" s="165"/>
      <c r="AM2299" s="165"/>
      <c r="AN2299" s="165"/>
    </row>
    <row r="2300" spans="3:40">
      <c r="C2300" s="46"/>
      <c r="F2300" s="173"/>
      <c r="G2300" s="1"/>
      <c r="H2300" s="165"/>
      <c r="I2300" s="160"/>
      <c r="J2300" s="160"/>
      <c r="K2300" s="1"/>
      <c r="L2300" s="123"/>
      <c r="M2300" s="1"/>
      <c r="N2300" s="590"/>
      <c r="O2300" s="165"/>
      <c r="P2300" s="165"/>
      <c r="Q2300" s="165"/>
      <c r="R2300" s="165"/>
      <c r="S2300" s="165"/>
      <c r="V2300" s="46"/>
      <c r="W2300" s="46"/>
      <c r="X2300" s="1"/>
      <c r="Y2300" s="1"/>
      <c r="Z2300" s="173"/>
      <c r="AA2300" s="1"/>
      <c r="AB2300" s="165"/>
      <c r="AC2300" s="1"/>
      <c r="AD2300" s="1"/>
      <c r="AE2300" s="1"/>
      <c r="AF2300" s="46"/>
      <c r="AG2300" s="1"/>
      <c r="AH2300" s="165"/>
      <c r="AI2300" s="165"/>
      <c r="AJ2300" s="165"/>
      <c r="AK2300" s="165"/>
      <c r="AL2300" s="165"/>
      <c r="AM2300" s="165"/>
      <c r="AN2300" s="165"/>
    </row>
    <row r="2301" spans="3:40">
      <c r="C2301" s="46"/>
      <c r="F2301" s="173"/>
      <c r="G2301" s="1"/>
      <c r="H2301" s="165"/>
      <c r="I2301" s="160"/>
      <c r="J2301" s="160"/>
      <c r="K2301" s="1"/>
      <c r="L2301" s="123"/>
      <c r="M2301" s="1"/>
      <c r="N2301" s="590"/>
      <c r="O2301" s="165"/>
      <c r="P2301" s="165"/>
      <c r="Q2301" s="165"/>
      <c r="R2301" s="165"/>
      <c r="S2301" s="165"/>
      <c r="V2301" s="46"/>
      <c r="W2301" s="46"/>
      <c r="X2301" s="1"/>
      <c r="Y2301" s="1"/>
      <c r="Z2301" s="173"/>
      <c r="AA2301" s="1"/>
      <c r="AB2301" s="165"/>
      <c r="AC2301" s="1"/>
      <c r="AD2301" s="1"/>
      <c r="AE2301" s="1"/>
      <c r="AF2301" s="46"/>
      <c r="AG2301" s="1"/>
      <c r="AH2301" s="165"/>
      <c r="AI2301" s="165"/>
      <c r="AJ2301" s="165"/>
      <c r="AK2301" s="165"/>
      <c r="AL2301" s="165"/>
      <c r="AM2301" s="165"/>
      <c r="AN2301" s="165"/>
    </row>
    <row r="2302" spans="3:40">
      <c r="C2302" s="46"/>
      <c r="F2302" s="173"/>
      <c r="G2302" s="1"/>
      <c r="H2302" s="165"/>
      <c r="I2302" s="160"/>
      <c r="J2302" s="160"/>
      <c r="K2302" s="1"/>
      <c r="L2302" s="123"/>
      <c r="M2302" s="1"/>
      <c r="N2302" s="590"/>
      <c r="O2302" s="165"/>
      <c r="P2302" s="165"/>
      <c r="Q2302" s="165"/>
      <c r="R2302" s="165"/>
      <c r="S2302" s="165"/>
      <c r="V2302" s="46"/>
      <c r="W2302" s="46"/>
      <c r="X2302" s="1"/>
      <c r="Y2302" s="1"/>
      <c r="Z2302" s="173"/>
      <c r="AA2302" s="1"/>
      <c r="AB2302" s="165"/>
      <c r="AC2302" s="1"/>
      <c r="AD2302" s="1"/>
      <c r="AE2302" s="1"/>
      <c r="AF2302" s="46"/>
      <c r="AG2302" s="1"/>
      <c r="AH2302" s="165"/>
      <c r="AI2302" s="165"/>
      <c r="AJ2302" s="165"/>
      <c r="AK2302" s="165"/>
      <c r="AL2302" s="165"/>
      <c r="AM2302" s="165"/>
      <c r="AN2302" s="165"/>
    </row>
    <row r="2303" spans="3:40">
      <c r="C2303" s="46"/>
      <c r="F2303" s="173"/>
      <c r="G2303" s="1"/>
      <c r="H2303" s="165"/>
      <c r="I2303" s="160"/>
      <c r="J2303" s="160"/>
      <c r="K2303" s="1"/>
      <c r="L2303" s="123"/>
      <c r="M2303" s="1"/>
      <c r="N2303" s="590"/>
      <c r="O2303" s="165"/>
      <c r="P2303" s="165"/>
      <c r="Q2303" s="165"/>
      <c r="R2303" s="165"/>
      <c r="S2303" s="165"/>
      <c r="V2303" s="46"/>
      <c r="W2303" s="46"/>
      <c r="X2303" s="1"/>
      <c r="Y2303" s="1"/>
      <c r="Z2303" s="173"/>
      <c r="AA2303" s="1"/>
      <c r="AB2303" s="165"/>
      <c r="AC2303" s="1"/>
      <c r="AD2303" s="1"/>
      <c r="AE2303" s="1"/>
      <c r="AF2303" s="46"/>
      <c r="AG2303" s="1"/>
      <c r="AH2303" s="165"/>
      <c r="AI2303" s="165"/>
      <c r="AJ2303" s="165"/>
      <c r="AK2303" s="165"/>
      <c r="AL2303" s="165"/>
      <c r="AM2303" s="165"/>
      <c r="AN2303" s="165"/>
    </row>
    <row r="2304" spans="3:40">
      <c r="C2304" s="46"/>
      <c r="F2304" s="173"/>
      <c r="G2304" s="1"/>
      <c r="H2304" s="165"/>
      <c r="I2304" s="160"/>
      <c r="J2304" s="160"/>
      <c r="K2304" s="1"/>
      <c r="L2304" s="123"/>
      <c r="M2304" s="1"/>
      <c r="N2304" s="590"/>
      <c r="O2304" s="165"/>
      <c r="P2304" s="165"/>
      <c r="Q2304" s="165"/>
      <c r="R2304" s="165"/>
      <c r="S2304" s="165"/>
      <c r="V2304" s="46"/>
      <c r="W2304" s="46"/>
      <c r="X2304" s="1"/>
      <c r="Y2304" s="1"/>
      <c r="Z2304" s="173"/>
      <c r="AA2304" s="1"/>
      <c r="AB2304" s="165"/>
      <c r="AC2304" s="1"/>
      <c r="AD2304" s="1"/>
      <c r="AE2304" s="1"/>
      <c r="AF2304" s="46"/>
      <c r="AG2304" s="1"/>
      <c r="AH2304" s="165"/>
      <c r="AI2304" s="165"/>
      <c r="AJ2304" s="165"/>
      <c r="AK2304" s="165"/>
      <c r="AL2304" s="165"/>
      <c r="AM2304" s="165"/>
      <c r="AN2304" s="165"/>
    </row>
    <row r="2305" spans="3:40">
      <c r="C2305" s="46"/>
      <c r="F2305" s="173"/>
      <c r="G2305" s="1"/>
      <c r="H2305" s="165"/>
      <c r="I2305" s="160"/>
      <c r="J2305" s="160"/>
      <c r="K2305" s="1"/>
      <c r="L2305" s="123"/>
      <c r="M2305" s="1"/>
      <c r="N2305" s="590"/>
      <c r="O2305" s="165"/>
      <c r="P2305" s="165"/>
      <c r="Q2305" s="165"/>
      <c r="R2305" s="165"/>
      <c r="S2305" s="165"/>
      <c r="V2305" s="46"/>
      <c r="W2305" s="46"/>
      <c r="X2305" s="1"/>
      <c r="Y2305" s="1"/>
      <c r="Z2305" s="173"/>
      <c r="AA2305" s="1"/>
      <c r="AB2305" s="165"/>
      <c r="AC2305" s="1"/>
      <c r="AD2305" s="1"/>
      <c r="AE2305" s="1"/>
      <c r="AF2305" s="46"/>
      <c r="AG2305" s="1"/>
      <c r="AH2305" s="165"/>
      <c r="AI2305" s="165"/>
      <c r="AJ2305" s="165"/>
      <c r="AK2305" s="165"/>
      <c r="AL2305" s="165"/>
      <c r="AM2305" s="165"/>
      <c r="AN2305" s="165"/>
    </row>
    <row r="2306" spans="3:40">
      <c r="C2306" s="46"/>
      <c r="F2306" s="173"/>
      <c r="G2306" s="1"/>
      <c r="H2306" s="165"/>
      <c r="I2306" s="160"/>
      <c r="J2306" s="160"/>
      <c r="K2306" s="1"/>
      <c r="L2306" s="123"/>
      <c r="M2306" s="1"/>
      <c r="N2306" s="590"/>
      <c r="O2306" s="165"/>
      <c r="P2306" s="165"/>
      <c r="Q2306" s="165"/>
      <c r="R2306" s="165"/>
      <c r="S2306" s="165"/>
      <c r="V2306" s="46"/>
      <c r="W2306" s="46"/>
      <c r="X2306" s="1"/>
      <c r="Y2306" s="1"/>
      <c r="Z2306" s="173"/>
      <c r="AA2306" s="1"/>
      <c r="AB2306" s="165"/>
      <c r="AC2306" s="1"/>
      <c r="AD2306" s="1"/>
      <c r="AE2306" s="1"/>
      <c r="AF2306" s="46"/>
      <c r="AG2306" s="1"/>
      <c r="AH2306" s="165"/>
      <c r="AI2306" s="165"/>
      <c r="AJ2306" s="165"/>
      <c r="AK2306" s="165"/>
      <c r="AL2306" s="165"/>
      <c r="AM2306" s="165"/>
      <c r="AN2306" s="165"/>
    </row>
    <row r="2307" spans="3:40">
      <c r="C2307" s="46"/>
      <c r="F2307" s="173"/>
      <c r="G2307" s="1"/>
      <c r="H2307" s="165"/>
      <c r="I2307" s="160"/>
      <c r="J2307" s="160"/>
      <c r="K2307" s="1"/>
      <c r="L2307" s="123"/>
      <c r="M2307" s="1"/>
      <c r="N2307" s="590"/>
      <c r="O2307" s="165"/>
      <c r="P2307" s="165"/>
      <c r="Q2307" s="165"/>
      <c r="R2307" s="165"/>
      <c r="S2307" s="165"/>
      <c r="V2307" s="46"/>
      <c r="W2307" s="46"/>
      <c r="X2307" s="1"/>
      <c r="Y2307" s="1"/>
      <c r="Z2307" s="173"/>
      <c r="AA2307" s="1"/>
      <c r="AB2307" s="165"/>
      <c r="AC2307" s="1"/>
      <c r="AD2307" s="1"/>
      <c r="AE2307" s="1"/>
      <c r="AF2307" s="46"/>
      <c r="AG2307" s="1"/>
      <c r="AH2307" s="165"/>
      <c r="AI2307" s="165"/>
      <c r="AJ2307" s="165"/>
      <c r="AK2307" s="165"/>
      <c r="AL2307" s="165"/>
      <c r="AM2307" s="165"/>
      <c r="AN2307" s="165"/>
    </row>
    <row r="2308" spans="3:40">
      <c r="C2308" s="46"/>
      <c r="F2308" s="173"/>
      <c r="G2308" s="1"/>
      <c r="H2308" s="165"/>
      <c r="I2308" s="160"/>
      <c r="J2308" s="160"/>
      <c r="K2308" s="1"/>
      <c r="L2308" s="123"/>
      <c r="M2308" s="1"/>
      <c r="N2308" s="590"/>
      <c r="O2308" s="165"/>
      <c r="P2308" s="165"/>
      <c r="Q2308" s="165"/>
      <c r="R2308" s="165"/>
      <c r="S2308" s="165"/>
      <c r="V2308" s="46"/>
      <c r="W2308" s="46"/>
      <c r="X2308" s="1"/>
      <c r="Y2308" s="1"/>
      <c r="Z2308" s="173"/>
      <c r="AA2308" s="1"/>
      <c r="AB2308" s="165"/>
      <c r="AC2308" s="1"/>
      <c r="AD2308" s="1"/>
      <c r="AE2308" s="1"/>
      <c r="AF2308" s="46"/>
      <c r="AG2308" s="1"/>
      <c r="AH2308" s="165"/>
      <c r="AI2308" s="165"/>
      <c r="AJ2308" s="165"/>
      <c r="AK2308" s="165"/>
      <c r="AL2308" s="165"/>
      <c r="AM2308" s="165"/>
      <c r="AN2308" s="165"/>
    </row>
    <row r="2309" spans="3:40">
      <c r="C2309" s="46"/>
      <c r="F2309" s="173"/>
      <c r="G2309" s="1"/>
      <c r="H2309" s="165"/>
      <c r="I2309" s="160"/>
      <c r="J2309" s="160"/>
      <c r="K2309" s="1"/>
      <c r="L2309" s="123"/>
      <c r="M2309" s="1"/>
      <c r="N2309" s="590"/>
      <c r="O2309" s="165"/>
      <c r="P2309" s="165"/>
      <c r="Q2309" s="165"/>
      <c r="R2309" s="165"/>
      <c r="S2309" s="165"/>
      <c r="V2309" s="46"/>
      <c r="W2309" s="46"/>
      <c r="X2309" s="1"/>
      <c r="Y2309" s="1"/>
      <c r="Z2309" s="173"/>
      <c r="AA2309" s="1"/>
      <c r="AB2309" s="165"/>
      <c r="AC2309" s="1"/>
      <c r="AD2309" s="1"/>
      <c r="AE2309" s="1"/>
      <c r="AF2309" s="46"/>
      <c r="AG2309" s="1"/>
      <c r="AH2309" s="165"/>
      <c r="AI2309" s="165"/>
      <c r="AJ2309" s="165"/>
      <c r="AK2309" s="165"/>
      <c r="AL2309" s="165"/>
      <c r="AM2309" s="165"/>
      <c r="AN2309" s="165"/>
    </row>
    <row r="2310" spans="3:40">
      <c r="C2310" s="46"/>
      <c r="F2310" s="173"/>
      <c r="G2310" s="1"/>
      <c r="H2310" s="165"/>
      <c r="I2310" s="160"/>
      <c r="J2310" s="160"/>
      <c r="K2310" s="1"/>
      <c r="L2310" s="123"/>
      <c r="M2310" s="1"/>
      <c r="N2310" s="590"/>
      <c r="O2310" s="165"/>
      <c r="P2310" s="165"/>
      <c r="Q2310" s="165"/>
      <c r="R2310" s="165"/>
      <c r="S2310" s="165"/>
      <c r="V2310" s="46"/>
      <c r="W2310" s="46"/>
      <c r="X2310" s="1"/>
      <c r="Y2310" s="1"/>
      <c r="Z2310" s="173"/>
      <c r="AA2310" s="1"/>
      <c r="AB2310" s="165"/>
      <c r="AC2310" s="1"/>
      <c r="AD2310" s="1"/>
      <c r="AE2310" s="1"/>
      <c r="AF2310" s="46"/>
      <c r="AG2310" s="1"/>
      <c r="AH2310" s="165"/>
      <c r="AI2310" s="165"/>
      <c r="AJ2310" s="165"/>
      <c r="AK2310" s="165"/>
      <c r="AL2310" s="165"/>
      <c r="AM2310" s="165"/>
      <c r="AN2310" s="165"/>
    </row>
    <row r="2311" spans="3:40">
      <c r="C2311" s="46"/>
      <c r="F2311" s="173"/>
      <c r="G2311" s="1"/>
      <c r="H2311" s="165"/>
      <c r="I2311" s="160"/>
      <c r="J2311" s="160"/>
      <c r="K2311" s="1"/>
      <c r="L2311" s="123"/>
      <c r="M2311" s="1"/>
      <c r="N2311" s="590"/>
      <c r="O2311" s="165"/>
      <c r="P2311" s="165"/>
      <c r="Q2311" s="165"/>
      <c r="R2311" s="165"/>
      <c r="S2311" s="165"/>
      <c r="V2311" s="46"/>
      <c r="W2311" s="46"/>
      <c r="X2311" s="1"/>
      <c r="Y2311" s="1"/>
      <c r="Z2311" s="173"/>
      <c r="AA2311" s="1"/>
      <c r="AB2311" s="165"/>
      <c r="AC2311" s="1"/>
      <c r="AD2311" s="1"/>
      <c r="AE2311" s="1"/>
      <c r="AF2311" s="46"/>
      <c r="AG2311" s="1"/>
      <c r="AH2311" s="165"/>
      <c r="AI2311" s="165"/>
      <c r="AJ2311" s="165"/>
      <c r="AK2311" s="165"/>
      <c r="AL2311" s="165"/>
      <c r="AM2311" s="165"/>
      <c r="AN2311" s="165"/>
    </row>
    <row r="2312" spans="3:40">
      <c r="C2312" s="46"/>
      <c r="F2312" s="173"/>
      <c r="G2312" s="1"/>
      <c r="H2312" s="165"/>
      <c r="I2312" s="160"/>
      <c r="J2312" s="160"/>
      <c r="K2312" s="1"/>
      <c r="L2312" s="123"/>
      <c r="M2312" s="1"/>
      <c r="N2312" s="590"/>
      <c r="O2312" s="165"/>
      <c r="P2312" s="165"/>
      <c r="Q2312" s="165"/>
      <c r="R2312" s="165"/>
      <c r="S2312" s="165"/>
      <c r="V2312" s="46"/>
      <c r="W2312" s="46"/>
      <c r="X2312" s="1"/>
      <c r="Y2312" s="1"/>
      <c r="Z2312" s="173"/>
      <c r="AA2312" s="1"/>
      <c r="AB2312" s="165"/>
      <c r="AC2312" s="1"/>
      <c r="AD2312" s="1"/>
      <c r="AE2312" s="1"/>
      <c r="AF2312" s="46"/>
      <c r="AG2312" s="1"/>
      <c r="AH2312" s="165"/>
      <c r="AI2312" s="165"/>
      <c r="AJ2312" s="165"/>
      <c r="AK2312" s="165"/>
      <c r="AL2312" s="165"/>
      <c r="AM2312" s="165"/>
      <c r="AN2312" s="165"/>
    </row>
    <row r="2313" spans="3:40">
      <c r="C2313" s="46"/>
      <c r="F2313" s="173"/>
      <c r="G2313" s="1"/>
      <c r="H2313" s="165"/>
      <c r="I2313" s="160"/>
      <c r="J2313" s="160"/>
      <c r="K2313" s="1"/>
      <c r="L2313" s="123"/>
      <c r="M2313" s="1"/>
      <c r="N2313" s="590"/>
      <c r="O2313" s="165"/>
      <c r="P2313" s="165"/>
      <c r="Q2313" s="165"/>
      <c r="R2313" s="165"/>
      <c r="S2313" s="165"/>
      <c r="V2313" s="46"/>
      <c r="W2313" s="46"/>
      <c r="X2313" s="1"/>
      <c r="Y2313" s="1"/>
      <c r="Z2313" s="173"/>
      <c r="AA2313" s="1"/>
      <c r="AB2313" s="165"/>
      <c r="AC2313" s="1"/>
      <c r="AD2313" s="1"/>
      <c r="AE2313" s="1"/>
      <c r="AF2313" s="46"/>
      <c r="AG2313" s="1"/>
      <c r="AH2313" s="165"/>
      <c r="AI2313" s="165"/>
      <c r="AJ2313" s="165"/>
      <c r="AK2313" s="165"/>
      <c r="AL2313" s="165"/>
      <c r="AM2313" s="165"/>
      <c r="AN2313" s="165"/>
    </row>
    <row r="2314" spans="3:40">
      <c r="C2314" s="46"/>
      <c r="F2314" s="173"/>
      <c r="G2314" s="1"/>
      <c r="H2314" s="165"/>
      <c r="I2314" s="160"/>
      <c r="J2314" s="160"/>
      <c r="K2314" s="1"/>
      <c r="L2314" s="123"/>
      <c r="M2314" s="1"/>
      <c r="N2314" s="590"/>
      <c r="O2314" s="165"/>
      <c r="P2314" s="165"/>
      <c r="Q2314" s="165"/>
      <c r="R2314" s="165"/>
      <c r="S2314" s="165"/>
      <c r="V2314" s="46"/>
      <c r="W2314" s="46"/>
      <c r="X2314" s="1"/>
      <c r="Y2314" s="1"/>
      <c r="Z2314" s="173"/>
      <c r="AA2314" s="1"/>
      <c r="AB2314" s="165"/>
      <c r="AC2314" s="1"/>
      <c r="AD2314" s="1"/>
      <c r="AE2314" s="1"/>
      <c r="AF2314" s="46"/>
      <c r="AG2314" s="1"/>
      <c r="AH2314" s="165"/>
      <c r="AI2314" s="165"/>
      <c r="AJ2314" s="165"/>
      <c r="AK2314" s="165"/>
      <c r="AL2314" s="165"/>
      <c r="AM2314" s="165"/>
      <c r="AN2314" s="165"/>
    </row>
    <row r="2315" spans="3:40">
      <c r="C2315" s="46"/>
      <c r="F2315" s="173"/>
      <c r="G2315" s="1"/>
      <c r="H2315" s="165"/>
      <c r="I2315" s="160"/>
      <c r="J2315" s="160"/>
      <c r="K2315" s="1"/>
      <c r="L2315" s="123"/>
      <c r="M2315" s="1"/>
      <c r="N2315" s="590"/>
      <c r="O2315" s="165"/>
      <c r="P2315" s="165"/>
      <c r="Q2315" s="165"/>
      <c r="R2315" s="165"/>
      <c r="S2315" s="165"/>
      <c r="V2315" s="46"/>
      <c r="W2315" s="46"/>
      <c r="X2315" s="1"/>
      <c r="Y2315" s="1"/>
      <c r="Z2315" s="173"/>
      <c r="AA2315" s="1"/>
      <c r="AB2315" s="165"/>
      <c r="AC2315" s="1"/>
      <c r="AD2315" s="1"/>
      <c r="AE2315" s="1"/>
      <c r="AF2315" s="46"/>
      <c r="AG2315" s="1"/>
      <c r="AH2315" s="165"/>
      <c r="AI2315" s="165"/>
      <c r="AJ2315" s="165"/>
      <c r="AK2315" s="165"/>
      <c r="AL2315" s="165"/>
      <c r="AM2315" s="165"/>
      <c r="AN2315" s="165"/>
    </row>
    <row r="2316" spans="3:40">
      <c r="C2316" s="46"/>
      <c r="F2316" s="173"/>
      <c r="G2316" s="1"/>
      <c r="H2316" s="165"/>
      <c r="I2316" s="160"/>
      <c r="J2316" s="160"/>
      <c r="K2316" s="1"/>
      <c r="L2316" s="123"/>
      <c r="M2316" s="1"/>
      <c r="N2316" s="590"/>
      <c r="O2316" s="165"/>
      <c r="P2316" s="165"/>
      <c r="Q2316" s="165"/>
      <c r="R2316" s="165"/>
      <c r="S2316" s="165"/>
      <c r="V2316" s="46"/>
      <c r="W2316" s="46"/>
      <c r="X2316" s="1"/>
      <c r="Y2316" s="1"/>
      <c r="Z2316" s="173"/>
      <c r="AA2316" s="1"/>
      <c r="AB2316" s="165"/>
      <c r="AC2316" s="1"/>
      <c r="AD2316" s="1"/>
      <c r="AE2316" s="1"/>
      <c r="AF2316" s="46"/>
      <c r="AG2316" s="1"/>
      <c r="AH2316" s="165"/>
      <c r="AI2316" s="165"/>
      <c r="AJ2316" s="165"/>
      <c r="AK2316" s="165"/>
      <c r="AL2316" s="165"/>
      <c r="AM2316" s="165"/>
      <c r="AN2316" s="165"/>
    </row>
    <row r="2317" spans="3:40">
      <c r="C2317" s="46"/>
      <c r="F2317" s="173"/>
      <c r="G2317" s="1"/>
      <c r="H2317" s="165"/>
      <c r="I2317" s="160"/>
      <c r="J2317" s="160"/>
      <c r="K2317" s="1"/>
      <c r="L2317" s="123"/>
      <c r="M2317" s="1"/>
      <c r="N2317" s="590"/>
      <c r="O2317" s="165"/>
      <c r="P2317" s="165"/>
      <c r="Q2317" s="165"/>
      <c r="R2317" s="165"/>
      <c r="S2317" s="165"/>
      <c r="V2317" s="46"/>
      <c r="W2317" s="46"/>
      <c r="X2317" s="1"/>
      <c r="Y2317" s="1"/>
      <c r="Z2317" s="173"/>
      <c r="AA2317" s="1"/>
      <c r="AB2317" s="165"/>
      <c r="AC2317" s="1"/>
      <c r="AD2317" s="1"/>
      <c r="AE2317" s="1"/>
      <c r="AF2317" s="46"/>
      <c r="AG2317" s="1"/>
      <c r="AH2317" s="165"/>
      <c r="AI2317" s="165"/>
      <c r="AJ2317" s="165"/>
      <c r="AK2317" s="165"/>
      <c r="AL2317" s="165"/>
      <c r="AM2317" s="165"/>
      <c r="AN2317" s="165"/>
    </row>
    <row r="2318" spans="3:40">
      <c r="C2318" s="46"/>
      <c r="F2318" s="173"/>
      <c r="G2318" s="1"/>
      <c r="H2318" s="165"/>
      <c r="I2318" s="160"/>
      <c r="J2318" s="160"/>
      <c r="K2318" s="1"/>
      <c r="L2318" s="123"/>
      <c r="M2318" s="1"/>
      <c r="N2318" s="590"/>
      <c r="O2318" s="165"/>
      <c r="P2318" s="165"/>
      <c r="Q2318" s="165"/>
      <c r="R2318" s="165"/>
      <c r="S2318" s="165"/>
      <c r="V2318" s="46"/>
      <c r="W2318" s="46"/>
      <c r="X2318" s="1"/>
      <c r="Y2318" s="1"/>
      <c r="Z2318" s="173"/>
      <c r="AA2318" s="1"/>
      <c r="AB2318" s="165"/>
      <c r="AC2318" s="1"/>
      <c r="AD2318" s="1"/>
      <c r="AE2318" s="1"/>
      <c r="AF2318" s="46"/>
      <c r="AG2318" s="1"/>
      <c r="AH2318" s="165"/>
      <c r="AI2318" s="165"/>
      <c r="AJ2318" s="165"/>
      <c r="AK2318" s="165"/>
      <c r="AL2318" s="165"/>
      <c r="AM2318" s="165"/>
      <c r="AN2318" s="165"/>
    </row>
    <row r="2319" spans="3:40">
      <c r="C2319" s="46"/>
      <c r="F2319" s="173"/>
      <c r="G2319" s="1"/>
      <c r="H2319" s="165"/>
      <c r="I2319" s="160"/>
      <c r="J2319" s="160"/>
      <c r="K2319" s="1"/>
      <c r="L2319" s="123"/>
      <c r="M2319" s="1"/>
      <c r="N2319" s="590"/>
      <c r="O2319" s="165"/>
      <c r="P2319" s="165"/>
      <c r="Q2319" s="165"/>
      <c r="R2319" s="165"/>
      <c r="S2319" s="165"/>
      <c r="V2319" s="46"/>
      <c r="W2319" s="46"/>
      <c r="X2319" s="1"/>
      <c r="Y2319" s="1"/>
      <c r="Z2319" s="173"/>
      <c r="AA2319" s="1"/>
      <c r="AB2319" s="165"/>
      <c r="AC2319" s="1"/>
      <c r="AD2319" s="1"/>
      <c r="AE2319" s="1"/>
      <c r="AF2319" s="46"/>
      <c r="AG2319" s="1"/>
      <c r="AH2319" s="165"/>
      <c r="AI2319" s="165"/>
      <c r="AJ2319" s="165"/>
      <c r="AK2319" s="165"/>
      <c r="AL2319" s="165"/>
      <c r="AM2319" s="165"/>
      <c r="AN2319" s="165"/>
    </row>
    <row r="2320" spans="3:40">
      <c r="C2320" s="46"/>
      <c r="F2320" s="173"/>
      <c r="G2320" s="1"/>
      <c r="H2320" s="165"/>
      <c r="I2320" s="160"/>
      <c r="J2320" s="160"/>
      <c r="K2320" s="1"/>
      <c r="L2320" s="123"/>
      <c r="M2320" s="1"/>
      <c r="N2320" s="590"/>
      <c r="O2320" s="165"/>
      <c r="P2320" s="165"/>
      <c r="Q2320" s="165"/>
      <c r="R2320" s="165"/>
      <c r="S2320" s="165"/>
      <c r="V2320" s="46"/>
      <c r="W2320" s="46"/>
      <c r="X2320" s="1"/>
      <c r="Y2320" s="1"/>
      <c r="Z2320" s="173"/>
      <c r="AA2320" s="1"/>
      <c r="AB2320" s="165"/>
      <c r="AC2320" s="1"/>
      <c r="AD2320" s="1"/>
      <c r="AE2320" s="1"/>
      <c r="AF2320" s="46"/>
      <c r="AG2320" s="1"/>
      <c r="AH2320" s="165"/>
      <c r="AI2320" s="165"/>
      <c r="AJ2320" s="165"/>
      <c r="AK2320" s="165"/>
      <c r="AL2320" s="165"/>
      <c r="AM2320" s="165"/>
      <c r="AN2320" s="165"/>
    </row>
    <row r="2321" spans="3:40">
      <c r="C2321" s="46"/>
      <c r="F2321" s="173"/>
      <c r="G2321" s="1"/>
      <c r="H2321" s="165"/>
      <c r="I2321" s="160"/>
      <c r="J2321" s="160"/>
      <c r="K2321" s="1"/>
      <c r="L2321" s="123"/>
      <c r="M2321" s="1"/>
      <c r="N2321" s="590"/>
      <c r="O2321" s="165"/>
      <c r="P2321" s="165"/>
      <c r="Q2321" s="165"/>
      <c r="R2321" s="165"/>
      <c r="S2321" s="165"/>
      <c r="V2321" s="46"/>
      <c r="W2321" s="46"/>
      <c r="X2321" s="1"/>
      <c r="Y2321" s="1"/>
      <c r="Z2321" s="173"/>
      <c r="AA2321" s="1"/>
      <c r="AB2321" s="165"/>
      <c r="AC2321" s="1"/>
      <c r="AD2321" s="1"/>
      <c r="AE2321" s="1"/>
      <c r="AF2321" s="46"/>
      <c r="AG2321" s="1"/>
      <c r="AH2321" s="165"/>
      <c r="AI2321" s="165"/>
      <c r="AJ2321" s="165"/>
      <c r="AK2321" s="165"/>
      <c r="AL2321" s="165"/>
      <c r="AM2321" s="165"/>
      <c r="AN2321" s="165"/>
    </row>
    <row r="2322" spans="3:40">
      <c r="C2322" s="46"/>
      <c r="F2322" s="173"/>
      <c r="G2322" s="1"/>
      <c r="H2322" s="165"/>
      <c r="I2322" s="160"/>
      <c r="J2322" s="160"/>
      <c r="K2322" s="1"/>
      <c r="L2322" s="123"/>
      <c r="M2322" s="1"/>
      <c r="N2322" s="590"/>
      <c r="O2322" s="165"/>
      <c r="P2322" s="165"/>
      <c r="Q2322" s="165"/>
      <c r="R2322" s="165"/>
      <c r="S2322" s="165"/>
      <c r="V2322" s="46"/>
      <c r="W2322" s="46"/>
      <c r="X2322" s="1"/>
      <c r="Y2322" s="1"/>
      <c r="Z2322" s="173"/>
      <c r="AA2322" s="1"/>
      <c r="AB2322" s="165"/>
      <c r="AC2322" s="1"/>
      <c r="AD2322" s="1"/>
      <c r="AE2322" s="1"/>
      <c r="AF2322" s="46"/>
      <c r="AG2322" s="1"/>
      <c r="AH2322" s="165"/>
      <c r="AI2322" s="165"/>
      <c r="AJ2322" s="165"/>
      <c r="AK2322" s="165"/>
      <c r="AL2322" s="165"/>
      <c r="AM2322" s="165"/>
      <c r="AN2322" s="165"/>
    </row>
    <row r="2323" spans="3:40">
      <c r="C2323" s="46"/>
      <c r="F2323" s="173"/>
      <c r="G2323" s="1"/>
      <c r="H2323" s="165"/>
      <c r="I2323" s="160"/>
      <c r="J2323" s="160"/>
      <c r="K2323" s="1"/>
      <c r="L2323" s="123"/>
      <c r="M2323" s="1"/>
      <c r="N2323" s="590"/>
      <c r="O2323" s="165"/>
      <c r="P2323" s="165"/>
      <c r="Q2323" s="165"/>
      <c r="R2323" s="165"/>
      <c r="S2323" s="165"/>
      <c r="V2323" s="46"/>
      <c r="W2323" s="46"/>
      <c r="X2323" s="1"/>
      <c r="Y2323" s="1"/>
      <c r="Z2323" s="173"/>
      <c r="AA2323" s="1"/>
      <c r="AB2323" s="165"/>
      <c r="AC2323" s="1"/>
      <c r="AD2323" s="1"/>
      <c r="AE2323" s="1"/>
      <c r="AF2323" s="46"/>
      <c r="AG2323" s="1"/>
      <c r="AH2323" s="165"/>
      <c r="AI2323" s="165"/>
      <c r="AJ2323" s="165"/>
      <c r="AK2323" s="165"/>
      <c r="AL2323" s="165"/>
      <c r="AM2323" s="165"/>
      <c r="AN2323" s="165"/>
    </row>
    <row r="2324" spans="3:40">
      <c r="C2324" s="46"/>
      <c r="F2324" s="173"/>
      <c r="G2324" s="1"/>
      <c r="H2324" s="165"/>
      <c r="I2324" s="160"/>
      <c r="J2324" s="160"/>
      <c r="K2324" s="1"/>
      <c r="L2324" s="123"/>
      <c r="M2324" s="1"/>
      <c r="N2324" s="590"/>
      <c r="O2324" s="165"/>
      <c r="P2324" s="165"/>
      <c r="Q2324" s="165"/>
      <c r="R2324" s="165"/>
      <c r="S2324" s="165"/>
      <c r="V2324" s="46"/>
      <c r="W2324" s="46"/>
      <c r="X2324" s="1"/>
      <c r="Y2324" s="1"/>
      <c r="Z2324" s="173"/>
      <c r="AA2324" s="1"/>
      <c r="AB2324" s="165"/>
      <c r="AC2324" s="1"/>
      <c r="AD2324" s="1"/>
      <c r="AE2324" s="1"/>
      <c r="AF2324" s="46"/>
      <c r="AG2324" s="1"/>
      <c r="AH2324" s="165"/>
      <c r="AI2324" s="165"/>
      <c r="AJ2324" s="165"/>
      <c r="AK2324" s="165"/>
      <c r="AL2324" s="165"/>
      <c r="AM2324" s="165"/>
      <c r="AN2324" s="165"/>
    </row>
    <row r="2325" spans="3:40">
      <c r="C2325" s="46"/>
      <c r="F2325" s="173"/>
      <c r="G2325" s="1"/>
      <c r="H2325" s="165"/>
      <c r="I2325" s="160"/>
      <c r="J2325" s="160"/>
      <c r="K2325" s="1"/>
      <c r="L2325" s="123"/>
      <c r="M2325" s="1"/>
      <c r="N2325" s="590"/>
      <c r="O2325" s="165"/>
      <c r="P2325" s="165"/>
      <c r="Q2325" s="165"/>
      <c r="R2325" s="165"/>
      <c r="S2325" s="165"/>
      <c r="V2325" s="46"/>
      <c r="W2325" s="46"/>
      <c r="X2325" s="1"/>
      <c r="Y2325" s="1"/>
      <c r="Z2325" s="173"/>
      <c r="AA2325" s="1"/>
      <c r="AB2325" s="165"/>
      <c r="AC2325" s="1"/>
      <c r="AD2325" s="1"/>
      <c r="AE2325" s="1"/>
      <c r="AF2325" s="46"/>
      <c r="AG2325" s="1"/>
      <c r="AH2325" s="165"/>
      <c r="AI2325" s="165"/>
      <c r="AJ2325" s="165"/>
      <c r="AK2325" s="165"/>
      <c r="AL2325" s="165"/>
      <c r="AM2325" s="165"/>
      <c r="AN2325" s="165"/>
    </row>
    <row r="2326" spans="3:40">
      <c r="C2326" s="46"/>
      <c r="F2326" s="173"/>
      <c r="G2326" s="1"/>
      <c r="H2326" s="165"/>
      <c r="I2326" s="160"/>
      <c r="J2326" s="160"/>
      <c r="K2326" s="1"/>
      <c r="L2326" s="123"/>
      <c r="M2326" s="1"/>
      <c r="N2326" s="590"/>
      <c r="O2326" s="165"/>
      <c r="P2326" s="165"/>
      <c r="Q2326" s="165"/>
      <c r="R2326" s="165"/>
      <c r="S2326" s="165"/>
      <c r="V2326" s="46"/>
      <c r="W2326" s="46"/>
      <c r="X2326" s="1"/>
      <c r="Y2326" s="1"/>
      <c r="Z2326" s="173"/>
      <c r="AA2326" s="1"/>
      <c r="AB2326" s="165"/>
      <c r="AC2326" s="1"/>
      <c r="AD2326" s="1"/>
      <c r="AE2326" s="1"/>
      <c r="AF2326" s="46"/>
      <c r="AG2326" s="1"/>
      <c r="AH2326" s="165"/>
      <c r="AI2326" s="165"/>
      <c r="AJ2326" s="165"/>
      <c r="AK2326" s="165"/>
      <c r="AL2326" s="165"/>
      <c r="AM2326" s="165"/>
      <c r="AN2326" s="165"/>
    </row>
    <row r="2327" spans="3:40">
      <c r="C2327" s="46"/>
      <c r="F2327" s="173"/>
      <c r="G2327" s="1"/>
      <c r="H2327" s="165"/>
      <c r="I2327" s="160"/>
      <c r="J2327" s="160"/>
      <c r="K2327" s="1"/>
      <c r="L2327" s="123"/>
      <c r="M2327" s="1"/>
      <c r="N2327" s="590"/>
      <c r="O2327" s="165"/>
      <c r="P2327" s="165"/>
      <c r="Q2327" s="165"/>
      <c r="R2327" s="165"/>
      <c r="S2327" s="165"/>
      <c r="V2327" s="46"/>
      <c r="W2327" s="46"/>
      <c r="X2327" s="1"/>
      <c r="Y2327" s="1"/>
      <c r="Z2327" s="173"/>
      <c r="AA2327" s="1"/>
      <c r="AB2327" s="165"/>
      <c r="AC2327" s="1"/>
      <c r="AD2327" s="1"/>
      <c r="AE2327" s="1"/>
      <c r="AF2327" s="46"/>
      <c r="AG2327" s="1"/>
      <c r="AH2327" s="165"/>
      <c r="AI2327" s="165"/>
      <c r="AJ2327" s="165"/>
      <c r="AK2327" s="165"/>
      <c r="AL2327" s="165"/>
      <c r="AM2327" s="165"/>
      <c r="AN2327" s="165"/>
    </row>
    <row r="2328" spans="3:40">
      <c r="C2328" s="46"/>
      <c r="F2328" s="173"/>
      <c r="G2328" s="1"/>
      <c r="H2328" s="165"/>
      <c r="I2328" s="160"/>
      <c r="J2328" s="160"/>
      <c r="K2328" s="1"/>
      <c r="L2328" s="123"/>
      <c r="M2328" s="1"/>
      <c r="N2328" s="590"/>
      <c r="O2328" s="165"/>
      <c r="P2328" s="165"/>
      <c r="Q2328" s="165"/>
      <c r="R2328" s="165"/>
      <c r="S2328" s="165"/>
      <c r="V2328" s="46"/>
      <c r="W2328" s="46"/>
      <c r="X2328" s="1"/>
      <c r="Y2328" s="1"/>
      <c r="Z2328" s="173"/>
      <c r="AA2328" s="1"/>
      <c r="AB2328" s="165"/>
      <c r="AC2328" s="1"/>
      <c r="AD2328" s="1"/>
      <c r="AE2328" s="1"/>
      <c r="AF2328" s="46"/>
      <c r="AG2328" s="1"/>
      <c r="AH2328" s="165"/>
      <c r="AI2328" s="165"/>
      <c r="AJ2328" s="165"/>
      <c r="AK2328" s="165"/>
      <c r="AL2328" s="165"/>
      <c r="AM2328" s="165"/>
      <c r="AN2328" s="165"/>
    </row>
    <row r="2329" spans="3:40">
      <c r="C2329" s="46"/>
      <c r="F2329" s="173"/>
      <c r="G2329" s="1"/>
      <c r="H2329" s="165"/>
      <c r="I2329" s="160"/>
      <c r="J2329" s="160"/>
      <c r="K2329" s="1"/>
      <c r="L2329" s="123"/>
      <c r="M2329" s="1"/>
      <c r="N2329" s="590"/>
      <c r="O2329" s="165"/>
      <c r="P2329" s="165"/>
      <c r="Q2329" s="165"/>
      <c r="R2329" s="165"/>
      <c r="S2329" s="165"/>
      <c r="V2329" s="46"/>
      <c r="W2329" s="46"/>
      <c r="X2329" s="1"/>
      <c r="Y2329" s="1"/>
      <c r="Z2329" s="173"/>
      <c r="AA2329" s="1"/>
      <c r="AB2329" s="165"/>
      <c r="AC2329" s="1"/>
      <c r="AD2329" s="1"/>
      <c r="AE2329" s="1"/>
      <c r="AF2329" s="46"/>
      <c r="AG2329" s="1"/>
      <c r="AH2329" s="165"/>
      <c r="AI2329" s="165"/>
      <c r="AJ2329" s="165"/>
      <c r="AK2329" s="165"/>
      <c r="AL2329" s="165"/>
      <c r="AM2329" s="165"/>
      <c r="AN2329" s="165"/>
    </row>
    <row r="2330" spans="3:40">
      <c r="C2330" s="46"/>
      <c r="F2330" s="173"/>
      <c r="G2330" s="1"/>
      <c r="H2330" s="165"/>
      <c r="I2330" s="160"/>
      <c r="J2330" s="160"/>
      <c r="K2330" s="1"/>
      <c r="L2330" s="123"/>
      <c r="M2330" s="1"/>
      <c r="N2330" s="590"/>
      <c r="O2330" s="165"/>
      <c r="P2330" s="165"/>
      <c r="Q2330" s="165"/>
      <c r="R2330" s="165"/>
      <c r="S2330" s="165"/>
      <c r="V2330" s="46"/>
      <c r="W2330" s="46"/>
      <c r="X2330" s="1"/>
      <c r="Y2330" s="1"/>
      <c r="Z2330" s="173"/>
      <c r="AA2330" s="1"/>
      <c r="AB2330" s="165"/>
      <c r="AC2330" s="1"/>
      <c r="AD2330" s="1"/>
      <c r="AE2330" s="1"/>
      <c r="AF2330" s="46"/>
      <c r="AG2330" s="1"/>
      <c r="AH2330" s="165"/>
      <c r="AI2330" s="165"/>
      <c r="AJ2330" s="165"/>
      <c r="AK2330" s="165"/>
      <c r="AL2330" s="165"/>
      <c r="AM2330" s="165"/>
      <c r="AN2330" s="165"/>
    </row>
    <row r="2331" spans="3:40">
      <c r="C2331" s="46"/>
      <c r="F2331" s="173"/>
      <c r="G2331" s="1"/>
      <c r="H2331" s="165"/>
      <c r="I2331" s="160"/>
      <c r="J2331" s="160"/>
      <c r="K2331" s="1"/>
      <c r="L2331" s="123"/>
      <c r="M2331" s="1"/>
      <c r="N2331" s="590"/>
      <c r="O2331" s="165"/>
      <c r="P2331" s="165"/>
      <c r="Q2331" s="165"/>
      <c r="R2331" s="165"/>
      <c r="S2331" s="165"/>
      <c r="V2331" s="46"/>
      <c r="W2331" s="46"/>
      <c r="X2331" s="1"/>
      <c r="Y2331" s="1"/>
      <c r="Z2331" s="173"/>
      <c r="AA2331" s="1"/>
      <c r="AB2331" s="165"/>
      <c r="AC2331" s="1"/>
      <c r="AD2331" s="1"/>
      <c r="AE2331" s="1"/>
      <c r="AF2331" s="46"/>
      <c r="AG2331" s="1"/>
      <c r="AH2331" s="165"/>
      <c r="AI2331" s="165"/>
      <c r="AJ2331" s="165"/>
      <c r="AK2331" s="165"/>
      <c r="AL2331" s="165"/>
      <c r="AM2331" s="165"/>
      <c r="AN2331" s="165"/>
    </row>
    <row r="2332" spans="3:40">
      <c r="C2332" s="46"/>
      <c r="F2332" s="173"/>
      <c r="G2332" s="1"/>
      <c r="H2332" s="165"/>
      <c r="I2332" s="160"/>
      <c r="J2332" s="160"/>
      <c r="K2332" s="1"/>
      <c r="L2332" s="123"/>
      <c r="M2332" s="1"/>
      <c r="N2332" s="590"/>
      <c r="O2332" s="165"/>
      <c r="P2332" s="165"/>
      <c r="Q2332" s="165"/>
      <c r="R2332" s="165"/>
      <c r="S2332" s="165"/>
      <c r="V2332" s="46"/>
      <c r="W2332" s="46"/>
      <c r="X2332" s="1"/>
      <c r="Y2332" s="1"/>
      <c r="Z2332" s="173"/>
      <c r="AA2332" s="1"/>
      <c r="AB2332" s="165"/>
      <c r="AC2332" s="1"/>
      <c r="AD2332" s="1"/>
      <c r="AE2332" s="1"/>
      <c r="AF2332" s="46"/>
      <c r="AG2332" s="1"/>
      <c r="AH2332" s="165"/>
      <c r="AI2332" s="165"/>
      <c r="AJ2332" s="165"/>
      <c r="AK2332" s="165"/>
      <c r="AL2332" s="165"/>
      <c r="AM2332" s="165"/>
      <c r="AN2332" s="165"/>
    </row>
    <row r="2333" spans="3:40">
      <c r="C2333" s="46"/>
      <c r="F2333" s="173"/>
      <c r="G2333" s="1"/>
      <c r="H2333" s="165"/>
      <c r="I2333" s="160"/>
      <c r="J2333" s="160"/>
      <c r="K2333" s="1"/>
      <c r="L2333" s="123"/>
      <c r="M2333" s="1"/>
      <c r="N2333" s="590"/>
      <c r="O2333" s="165"/>
      <c r="P2333" s="165"/>
      <c r="Q2333" s="165"/>
      <c r="R2333" s="165"/>
      <c r="S2333" s="165"/>
      <c r="V2333" s="46"/>
      <c r="W2333" s="46"/>
      <c r="X2333" s="1"/>
      <c r="Y2333" s="1"/>
      <c r="Z2333" s="173"/>
      <c r="AA2333" s="1"/>
      <c r="AB2333" s="165"/>
      <c r="AC2333" s="1"/>
      <c r="AD2333" s="1"/>
      <c r="AE2333" s="1"/>
      <c r="AF2333" s="46"/>
      <c r="AG2333" s="1"/>
      <c r="AH2333" s="165"/>
      <c r="AI2333" s="165"/>
      <c r="AJ2333" s="165"/>
      <c r="AK2333" s="165"/>
      <c r="AL2333" s="165"/>
      <c r="AM2333" s="165"/>
      <c r="AN2333" s="165"/>
    </row>
    <row r="2334" spans="3:40">
      <c r="C2334" s="46"/>
      <c r="F2334" s="173"/>
      <c r="G2334" s="1"/>
      <c r="H2334" s="165"/>
      <c r="I2334" s="160"/>
      <c r="J2334" s="160"/>
      <c r="K2334" s="1"/>
      <c r="L2334" s="123"/>
      <c r="M2334" s="1"/>
      <c r="N2334" s="590"/>
      <c r="O2334" s="165"/>
      <c r="P2334" s="165"/>
      <c r="Q2334" s="165"/>
      <c r="R2334" s="165"/>
      <c r="S2334" s="165"/>
      <c r="V2334" s="46"/>
      <c r="W2334" s="46"/>
      <c r="X2334" s="1"/>
      <c r="Y2334" s="1"/>
      <c r="Z2334" s="173"/>
      <c r="AA2334" s="1"/>
      <c r="AB2334" s="165"/>
      <c r="AC2334" s="1"/>
      <c r="AD2334" s="1"/>
      <c r="AE2334" s="1"/>
      <c r="AF2334" s="46"/>
      <c r="AG2334" s="1"/>
      <c r="AH2334" s="165"/>
      <c r="AI2334" s="165"/>
      <c r="AJ2334" s="165"/>
      <c r="AK2334" s="165"/>
      <c r="AL2334" s="165"/>
      <c r="AM2334" s="165"/>
      <c r="AN2334" s="165"/>
    </row>
    <row r="2335" spans="3:40">
      <c r="C2335" s="46"/>
      <c r="F2335" s="173"/>
      <c r="G2335" s="1"/>
      <c r="H2335" s="165"/>
      <c r="I2335" s="160"/>
      <c r="J2335" s="160"/>
      <c r="K2335" s="1"/>
      <c r="L2335" s="123"/>
      <c r="M2335" s="1"/>
      <c r="N2335" s="590"/>
      <c r="O2335" s="165"/>
      <c r="P2335" s="165"/>
      <c r="Q2335" s="165"/>
      <c r="R2335" s="165"/>
      <c r="S2335" s="165"/>
      <c r="V2335" s="46"/>
      <c r="W2335" s="46"/>
      <c r="X2335" s="1"/>
      <c r="Y2335" s="1"/>
      <c r="Z2335" s="173"/>
      <c r="AA2335" s="1"/>
      <c r="AB2335" s="165"/>
      <c r="AC2335" s="1"/>
      <c r="AD2335" s="1"/>
      <c r="AE2335" s="1"/>
      <c r="AF2335" s="46"/>
      <c r="AG2335" s="1"/>
      <c r="AH2335" s="165"/>
      <c r="AI2335" s="165"/>
      <c r="AJ2335" s="165"/>
      <c r="AK2335" s="165"/>
      <c r="AL2335" s="165"/>
      <c r="AM2335" s="165"/>
      <c r="AN2335" s="165"/>
    </row>
    <row r="2336" spans="3:40">
      <c r="C2336" s="46"/>
      <c r="F2336" s="173"/>
      <c r="G2336" s="1"/>
      <c r="H2336" s="165"/>
      <c r="I2336" s="160"/>
      <c r="J2336" s="160"/>
      <c r="K2336" s="1"/>
      <c r="L2336" s="123"/>
      <c r="M2336" s="1"/>
      <c r="N2336" s="590"/>
      <c r="O2336" s="165"/>
      <c r="P2336" s="165"/>
      <c r="Q2336" s="165"/>
      <c r="R2336" s="165"/>
      <c r="S2336" s="165"/>
      <c r="V2336" s="46"/>
      <c r="W2336" s="46"/>
      <c r="X2336" s="1"/>
      <c r="Y2336" s="1"/>
      <c r="Z2336" s="173"/>
      <c r="AA2336" s="1"/>
      <c r="AB2336" s="165"/>
      <c r="AC2336" s="1"/>
      <c r="AD2336" s="1"/>
      <c r="AE2336" s="1"/>
      <c r="AF2336" s="46"/>
      <c r="AG2336" s="1"/>
      <c r="AH2336" s="165"/>
      <c r="AI2336" s="165"/>
      <c r="AJ2336" s="165"/>
      <c r="AK2336" s="165"/>
      <c r="AL2336" s="165"/>
      <c r="AM2336" s="165"/>
      <c r="AN2336" s="165"/>
    </row>
    <row r="2337" spans="3:40">
      <c r="C2337" s="46"/>
      <c r="F2337" s="173"/>
      <c r="G2337" s="1"/>
      <c r="H2337" s="165"/>
      <c r="I2337" s="160"/>
      <c r="J2337" s="160"/>
      <c r="K2337" s="1"/>
      <c r="L2337" s="123"/>
      <c r="M2337" s="1"/>
      <c r="N2337" s="590"/>
      <c r="O2337" s="165"/>
      <c r="P2337" s="165"/>
      <c r="Q2337" s="165"/>
      <c r="R2337" s="165"/>
      <c r="S2337" s="165"/>
      <c r="V2337" s="46"/>
      <c r="W2337" s="46"/>
      <c r="X2337" s="1"/>
      <c r="Y2337" s="1"/>
      <c r="Z2337" s="173"/>
      <c r="AA2337" s="1"/>
      <c r="AB2337" s="165"/>
      <c r="AC2337" s="1"/>
      <c r="AD2337" s="1"/>
      <c r="AE2337" s="1"/>
      <c r="AF2337" s="46"/>
      <c r="AG2337" s="1"/>
      <c r="AH2337" s="165"/>
      <c r="AI2337" s="165"/>
      <c r="AJ2337" s="165"/>
      <c r="AK2337" s="165"/>
      <c r="AL2337" s="165"/>
      <c r="AM2337" s="165"/>
      <c r="AN2337" s="165"/>
    </row>
    <row r="2338" spans="3:40">
      <c r="C2338" s="46"/>
      <c r="F2338" s="173"/>
      <c r="G2338" s="1"/>
      <c r="H2338" s="165"/>
      <c r="I2338" s="160"/>
      <c r="J2338" s="160"/>
      <c r="K2338" s="1"/>
      <c r="L2338" s="123"/>
      <c r="M2338" s="1"/>
      <c r="N2338" s="590"/>
      <c r="O2338" s="165"/>
      <c r="P2338" s="165"/>
      <c r="Q2338" s="165"/>
      <c r="R2338" s="165"/>
      <c r="S2338" s="165"/>
      <c r="V2338" s="46"/>
      <c r="W2338" s="46"/>
      <c r="X2338" s="1"/>
      <c r="Y2338" s="1"/>
      <c r="Z2338" s="173"/>
      <c r="AA2338" s="1"/>
      <c r="AB2338" s="165"/>
      <c r="AC2338" s="1"/>
      <c r="AD2338" s="1"/>
      <c r="AE2338" s="1"/>
      <c r="AF2338" s="46"/>
      <c r="AG2338" s="1"/>
      <c r="AH2338" s="165"/>
      <c r="AI2338" s="165"/>
      <c r="AJ2338" s="165"/>
      <c r="AK2338" s="165"/>
      <c r="AL2338" s="165"/>
      <c r="AM2338" s="165"/>
      <c r="AN2338" s="165"/>
    </row>
    <row r="2339" spans="3:40">
      <c r="C2339" s="46"/>
      <c r="F2339" s="173"/>
      <c r="G2339" s="1"/>
      <c r="H2339" s="165"/>
      <c r="I2339" s="160"/>
      <c r="J2339" s="160"/>
      <c r="K2339" s="1"/>
      <c r="L2339" s="123"/>
      <c r="M2339" s="1"/>
      <c r="N2339" s="590"/>
      <c r="O2339" s="165"/>
      <c r="P2339" s="165"/>
      <c r="Q2339" s="165"/>
      <c r="R2339" s="165"/>
      <c r="S2339" s="165"/>
      <c r="V2339" s="46"/>
      <c r="W2339" s="46"/>
      <c r="X2339" s="1"/>
      <c r="Y2339" s="1"/>
      <c r="Z2339" s="173"/>
      <c r="AA2339" s="1"/>
      <c r="AB2339" s="165"/>
      <c r="AC2339" s="1"/>
      <c r="AD2339" s="1"/>
      <c r="AE2339" s="1"/>
      <c r="AF2339" s="46"/>
      <c r="AG2339" s="1"/>
      <c r="AH2339" s="165"/>
      <c r="AI2339" s="165"/>
      <c r="AJ2339" s="165"/>
      <c r="AK2339" s="165"/>
      <c r="AL2339" s="165"/>
      <c r="AM2339" s="165"/>
      <c r="AN2339" s="165"/>
    </row>
    <row r="2340" spans="3:40">
      <c r="C2340" s="46"/>
      <c r="F2340" s="173"/>
      <c r="G2340" s="1"/>
      <c r="H2340" s="165"/>
      <c r="I2340" s="160"/>
      <c r="J2340" s="160"/>
      <c r="K2340" s="1"/>
      <c r="L2340" s="123"/>
      <c r="M2340" s="1"/>
      <c r="N2340" s="590"/>
      <c r="O2340" s="165"/>
      <c r="P2340" s="165"/>
      <c r="Q2340" s="165"/>
      <c r="R2340" s="165"/>
      <c r="S2340" s="165"/>
      <c r="V2340" s="46"/>
      <c r="W2340" s="46"/>
      <c r="X2340" s="1"/>
      <c r="Y2340" s="1"/>
      <c r="Z2340" s="173"/>
      <c r="AA2340" s="1"/>
      <c r="AB2340" s="165"/>
      <c r="AC2340" s="1"/>
      <c r="AD2340" s="1"/>
      <c r="AE2340" s="1"/>
      <c r="AF2340" s="46"/>
      <c r="AG2340" s="1"/>
      <c r="AH2340" s="165"/>
      <c r="AI2340" s="165"/>
      <c r="AJ2340" s="165"/>
      <c r="AK2340" s="165"/>
      <c r="AL2340" s="165"/>
      <c r="AM2340" s="165"/>
      <c r="AN2340" s="165"/>
    </row>
    <row r="2341" spans="3:40">
      <c r="C2341" s="46"/>
      <c r="F2341" s="173"/>
      <c r="G2341" s="1"/>
      <c r="H2341" s="165"/>
      <c r="I2341" s="160"/>
      <c r="J2341" s="160"/>
      <c r="K2341" s="1"/>
      <c r="L2341" s="123"/>
      <c r="M2341" s="1"/>
      <c r="N2341" s="590"/>
      <c r="O2341" s="165"/>
      <c r="P2341" s="165"/>
      <c r="Q2341" s="165"/>
      <c r="R2341" s="165"/>
      <c r="S2341" s="165"/>
      <c r="V2341" s="46"/>
      <c r="W2341" s="46"/>
      <c r="X2341" s="1"/>
      <c r="Y2341" s="1"/>
      <c r="Z2341" s="173"/>
      <c r="AA2341" s="1"/>
      <c r="AB2341" s="165"/>
      <c r="AC2341" s="1"/>
      <c r="AD2341" s="1"/>
      <c r="AE2341" s="1"/>
      <c r="AF2341" s="46"/>
      <c r="AG2341" s="1"/>
      <c r="AH2341" s="165"/>
      <c r="AI2341" s="165"/>
      <c r="AJ2341" s="165"/>
      <c r="AK2341" s="165"/>
      <c r="AL2341" s="165"/>
      <c r="AM2341" s="165"/>
      <c r="AN2341" s="165"/>
    </row>
    <row r="2342" spans="3:40">
      <c r="C2342" s="46"/>
      <c r="F2342" s="173"/>
      <c r="G2342" s="1"/>
      <c r="H2342" s="165"/>
      <c r="I2342" s="160"/>
      <c r="J2342" s="160"/>
      <c r="K2342" s="1"/>
      <c r="L2342" s="123"/>
      <c r="M2342" s="1"/>
      <c r="N2342" s="590"/>
      <c r="O2342" s="165"/>
      <c r="P2342" s="165"/>
      <c r="Q2342" s="165"/>
      <c r="R2342" s="165"/>
      <c r="S2342" s="165"/>
      <c r="V2342" s="46"/>
      <c r="W2342" s="46"/>
      <c r="X2342" s="1"/>
      <c r="Y2342" s="1"/>
      <c r="Z2342" s="173"/>
      <c r="AA2342" s="1"/>
      <c r="AB2342" s="165"/>
      <c r="AC2342" s="1"/>
      <c r="AD2342" s="1"/>
      <c r="AE2342" s="1"/>
      <c r="AF2342" s="46"/>
      <c r="AG2342" s="1"/>
      <c r="AH2342" s="165"/>
      <c r="AI2342" s="165"/>
      <c r="AJ2342" s="165"/>
      <c r="AK2342" s="165"/>
      <c r="AL2342" s="165"/>
      <c r="AM2342" s="165"/>
      <c r="AN2342" s="165"/>
    </row>
    <row r="2343" spans="3:40">
      <c r="C2343" s="46"/>
      <c r="F2343" s="173"/>
      <c r="G2343" s="1"/>
      <c r="H2343" s="165"/>
      <c r="I2343" s="160"/>
      <c r="J2343" s="160"/>
      <c r="K2343" s="1"/>
      <c r="L2343" s="123"/>
      <c r="M2343" s="1"/>
      <c r="N2343" s="590"/>
      <c r="O2343" s="165"/>
      <c r="P2343" s="165"/>
      <c r="Q2343" s="165"/>
      <c r="R2343" s="165"/>
      <c r="S2343" s="165"/>
      <c r="V2343" s="46"/>
      <c r="W2343" s="46"/>
      <c r="X2343" s="1"/>
      <c r="Y2343" s="1"/>
      <c r="Z2343" s="173"/>
      <c r="AA2343" s="1"/>
      <c r="AB2343" s="165"/>
      <c r="AC2343" s="1"/>
      <c r="AD2343" s="1"/>
      <c r="AE2343" s="1"/>
      <c r="AF2343" s="46"/>
      <c r="AG2343" s="1"/>
      <c r="AH2343" s="165"/>
      <c r="AI2343" s="165"/>
      <c r="AJ2343" s="165"/>
      <c r="AK2343" s="165"/>
      <c r="AL2343" s="165"/>
      <c r="AM2343" s="165"/>
      <c r="AN2343" s="165"/>
    </row>
    <row r="2344" spans="3:40">
      <c r="C2344" s="46"/>
      <c r="F2344" s="173"/>
      <c r="G2344" s="1"/>
      <c r="H2344" s="165"/>
      <c r="I2344" s="160"/>
      <c r="J2344" s="160"/>
      <c r="K2344" s="1"/>
      <c r="L2344" s="123"/>
      <c r="M2344" s="1"/>
      <c r="N2344" s="590"/>
      <c r="O2344" s="165"/>
      <c r="P2344" s="165"/>
      <c r="Q2344" s="165"/>
      <c r="R2344" s="165"/>
      <c r="S2344" s="165"/>
      <c r="V2344" s="46"/>
      <c r="W2344" s="46"/>
      <c r="X2344" s="1"/>
      <c r="Y2344" s="1"/>
      <c r="Z2344" s="173"/>
      <c r="AA2344" s="1"/>
      <c r="AB2344" s="165"/>
      <c r="AC2344" s="1"/>
      <c r="AD2344" s="1"/>
      <c r="AE2344" s="1"/>
      <c r="AF2344" s="46"/>
      <c r="AG2344" s="1"/>
      <c r="AH2344" s="165"/>
      <c r="AI2344" s="165"/>
      <c r="AJ2344" s="165"/>
      <c r="AK2344" s="165"/>
      <c r="AL2344" s="165"/>
      <c r="AM2344" s="165"/>
      <c r="AN2344" s="165"/>
    </row>
    <row r="2345" spans="3:40">
      <c r="C2345" s="46"/>
      <c r="F2345" s="173"/>
      <c r="G2345" s="1"/>
      <c r="H2345" s="165"/>
      <c r="I2345" s="160"/>
      <c r="J2345" s="160"/>
      <c r="K2345" s="1"/>
      <c r="L2345" s="123"/>
      <c r="M2345" s="1"/>
      <c r="N2345" s="590"/>
      <c r="O2345" s="165"/>
      <c r="P2345" s="165"/>
      <c r="Q2345" s="165"/>
      <c r="R2345" s="165"/>
      <c r="S2345" s="165"/>
      <c r="V2345" s="46"/>
      <c r="W2345" s="46"/>
      <c r="X2345" s="1"/>
      <c r="Y2345" s="1"/>
      <c r="Z2345" s="173"/>
      <c r="AA2345" s="1"/>
      <c r="AB2345" s="165"/>
      <c r="AC2345" s="1"/>
      <c r="AD2345" s="1"/>
      <c r="AE2345" s="1"/>
      <c r="AF2345" s="46"/>
      <c r="AG2345" s="1"/>
      <c r="AH2345" s="165"/>
      <c r="AI2345" s="165"/>
      <c r="AJ2345" s="165"/>
      <c r="AK2345" s="165"/>
      <c r="AL2345" s="165"/>
      <c r="AM2345" s="165"/>
      <c r="AN2345" s="165"/>
    </row>
    <row r="2346" spans="3:40">
      <c r="C2346" s="46"/>
      <c r="F2346" s="173"/>
      <c r="G2346" s="1"/>
      <c r="H2346" s="165"/>
      <c r="I2346" s="160"/>
      <c r="J2346" s="160"/>
      <c r="K2346" s="1"/>
      <c r="L2346" s="123"/>
      <c r="M2346" s="1"/>
      <c r="N2346" s="590"/>
      <c r="O2346" s="165"/>
      <c r="P2346" s="165"/>
      <c r="Q2346" s="165"/>
      <c r="R2346" s="165"/>
      <c r="S2346" s="165"/>
      <c r="V2346" s="46"/>
      <c r="W2346" s="46"/>
      <c r="X2346" s="1"/>
      <c r="Y2346" s="1"/>
      <c r="Z2346" s="173"/>
      <c r="AA2346" s="1"/>
      <c r="AB2346" s="165"/>
      <c r="AC2346" s="1"/>
      <c r="AD2346" s="1"/>
      <c r="AE2346" s="1"/>
      <c r="AF2346" s="46"/>
      <c r="AG2346" s="1"/>
      <c r="AH2346" s="165"/>
      <c r="AI2346" s="165"/>
      <c r="AJ2346" s="165"/>
      <c r="AK2346" s="165"/>
      <c r="AL2346" s="165"/>
      <c r="AM2346" s="165"/>
      <c r="AN2346" s="165"/>
    </row>
    <row r="2347" spans="3:40">
      <c r="C2347" s="46"/>
      <c r="F2347" s="173"/>
      <c r="G2347" s="1"/>
      <c r="H2347" s="165"/>
      <c r="I2347" s="160"/>
      <c r="J2347" s="160"/>
      <c r="K2347" s="1"/>
      <c r="L2347" s="123"/>
      <c r="M2347" s="1"/>
      <c r="N2347" s="590"/>
      <c r="O2347" s="165"/>
      <c r="P2347" s="165"/>
      <c r="Q2347" s="165"/>
      <c r="R2347" s="165"/>
      <c r="S2347" s="165"/>
      <c r="V2347" s="46"/>
      <c r="W2347" s="46"/>
      <c r="X2347" s="1"/>
      <c r="Y2347" s="1"/>
      <c r="Z2347" s="173"/>
      <c r="AA2347" s="1"/>
      <c r="AB2347" s="165"/>
      <c r="AC2347" s="1"/>
      <c r="AD2347" s="1"/>
      <c r="AE2347" s="1"/>
      <c r="AF2347" s="46"/>
      <c r="AG2347" s="1"/>
      <c r="AH2347" s="165"/>
      <c r="AI2347" s="165"/>
      <c r="AJ2347" s="165"/>
      <c r="AK2347" s="165"/>
      <c r="AL2347" s="165"/>
      <c r="AM2347" s="165"/>
      <c r="AN2347" s="165"/>
    </row>
    <row r="2348" spans="3:40">
      <c r="C2348" s="46"/>
      <c r="F2348" s="173"/>
      <c r="G2348" s="1"/>
      <c r="H2348" s="165"/>
      <c r="I2348" s="160"/>
      <c r="J2348" s="160"/>
      <c r="K2348" s="1"/>
      <c r="L2348" s="123"/>
      <c r="M2348" s="1"/>
      <c r="N2348" s="590"/>
      <c r="O2348" s="165"/>
      <c r="P2348" s="165"/>
      <c r="Q2348" s="165"/>
      <c r="R2348" s="165"/>
      <c r="S2348" s="165"/>
      <c r="V2348" s="46"/>
      <c r="W2348" s="46"/>
      <c r="X2348" s="1"/>
      <c r="Y2348" s="1"/>
      <c r="Z2348" s="173"/>
      <c r="AA2348" s="1"/>
      <c r="AB2348" s="165"/>
      <c r="AC2348" s="1"/>
      <c r="AD2348" s="1"/>
      <c r="AE2348" s="1"/>
      <c r="AF2348" s="46"/>
      <c r="AG2348" s="1"/>
      <c r="AH2348" s="165"/>
      <c r="AI2348" s="165"/>
      <c r="AJ2348" s="165"/>
      <c r="AK2348" s="165"/>
      <c r="AL2348" s="165"/>
      <c r="AM2348" s="165"/>
      <c r="AN2348" s="165"/>
    </row>
    <row r="2349" spans="3:40">
      <c r="C2349" s="46"/>
      <c r="F2349" s="173"/>
      <c r="G2349" s="1"/>
      <c r="H2349" s="165"/>
      <c r="I2349" s="160"/>
      <c r="J2349" s="160"/>
      <c r="K2349" s="1"/>
      <c r="L2349" s="123"/>
      <c r="M2349" s="1"/>
      <c r="N2349" s="590"/>
      <c r="O2349" s="165"/>
      <c r="P2349" s="165"/>
      <c r="Q2349" s="165"/>
      <c r="R2349" s="165"/>
      <c r="S2349" s="165"/>
      <c r="V2349" s="46"/>
      <c r="W2349" s="46"/>
      <c r="X2349" s="1"/>
      <c r="Y2349" s="1"/>
      <c r="Z2349" s="173"/>
      <c r="AA2349" s="1"/>
      <c r="AB2349" s="165"/>
      <c r="AC2349" s="1"/>
      <c r="AD2349" s="1"/>
      <c r="AE2349" s="1"/>
      <c r="AF2349" s="46"/>
      <c r="AG2349" s="1"/>
      <c r="AH2349" s="165"/>
      <c r="AI2349" s="165"/>
      <c r="AJ2349" s="165"/>
      <c r="AK2349" s="165"/>
      <c r="AL2349" s="165"/>
      <c r="AM2349" s="165"/>
      <c r="AN2349" s="165"/>
    </row>
    <row r="2350" spans="3:40">
      <c r="C2350" s="46"/>
      <c r="F2350" s="173"/>
      <c r="G2350" s="1"/>
      <c r="H2350" s="165"/>
      <c r="I2350" s="160"/>
      <c r="J2350" s="160"/>
      <c r="K2350" s="1"/>
      <c r="L2350" s="123"/>
      <c r="M2350" s="1"/>
      <c r="N2350" s="590"/>
      <c r="O2350" s="165"/>
      <c r="P2350" s="165"/>
      <c r="Q2350" s="165"/>
      <c r="R2350" s="165"/>
      <c r="S2350" s="165"/>
      <c r="V2350" s="46"/>
      <c r="W2350" s="46"/>
      <c r="X2350" s="1"/>
      <c r="Y2350" s="1"/>
      <c r="Z2350" s="173"/>
      <c r="AA2350" s="1"/>
      <c r="AB2350" s="165"/>
      <c r="AC2350" s="1"/>
      <c r="AD2350" s="1"/>
      <c r="AE2350" s="1"/>
      <c r="AF2350" s="46"/>
      <c r="AG2350" s="1"/>
      <c r="AH2350" s="165"/>
      <c r="AI2350" s="165"/>
      <c r="AJ2350" s="165"/>
      <c r="AK2350" s="165"/>
      <c r="AL2350" s="165"/>
      <c r="AM2350" s="165"/>
      <c r="AN2350" s="165"/>
    </row>
    <row r="2351" spans="3:40">
      <c r="C2351" s="46"/>
      <c r="F2351" s="173"/>
      <c r="G2351" s="1"/>
      <c r="H2351" s="165"/>
      <c r="I2351" s="160"/>
      <c r="J2351" s="160"/>
      <c r="K2351" s="1"/>
      <c r="L2351" s="123"/>
      <c r="M2351" s="1"/>
      <c r="N2351" s="590"/>
      <c r="O2351" s="165"/>
      <c r="P2351" s="165"/>
      <c r="Q2351" s="165"/>
      <c r="R2351" s="165"/>
      <c r="S2351" s="165"/>
      <c r="V2351" s="46"/>
      <c r="W2351" s="46"/>
      <c r="X2351" s="1"/>
      <c r="Y2351" s="1"/>
      <c r="Z2351" s="173"/>
      <c r="AA2351" s="1"/>
      <c r="AB2351" s="165"/>
      <c r="AC2351" s="1"/>
      <c r="AD2351" s="1"/>
      <c r="AE2351" s="1"/>
      <c r="AF2351" s="46"/>
      <c r="AG2351" s="1"/>
      <c r="AH2351" s="165"/>
      <c r="AI2351" s="165"/>
      <c r="AJ2351" s="165"/>
      <c r="AK2351" s="165"/>
      <c r="AL2351" s="165"/>
      <c r="AM2351" s="165"/>
      <c r="AN2351" s="165"/>
    </row>
    <row r="2352" spans="3:40">
      <c r="C2352" s="46"/>
      <c r="F2352" s="173"/>
      <c r="G2352" s="1"/>
      <c r="H2352" s="165"/>
      <c r="I2352" s="160"/>
      <c r="J2352" s="160"/>
      <c r="K2352" s="1"/>
      <c r="L2352" s="123"/>
      <c r="M2352" s="1"/>
      <c r="N2352" s="590"/>
      <c r="O2352" s="165"/>
      <c r="P2352" s="165"/>
      <c r="Q2352" s="165"/>
      <c r="R2352" s="165"/>
      <c r="S2352" s="165"/>
      <c r="V2352" s="46"/>
      <c r="W2352" s="46"/>
      <c r="X2352" s="1"/>
      <c r="Y2352" s="1"/>
      <c r="Z2352" s="173"/>
      <c r="AA2352" s="1"/>
      <c r="AB2352" s="165"/>
      <c r="AC2352" s="1"/>
      <c r="AD2352" s="1"/>
      <c r="AE2352" s="1"/>
      <c r="AF2352" s="46"/>
      <c r="AG2352" s="1"/>
      <c r="AH2352" s="165"/>
      <c r="AI2352" s="165"/>
      <c r="AJ2352" s="165"/>
      <c r="AK2352" s="165"/>
      <c r="AL2352" s="165"/>
      <c r="AM2352" s="165"/>
      <c r="AN2352" s="165"/>
    </row>
    <row r="2353" spans="3:40">
      <c r="C2353" s="46"/>
      <c r="F2353" s="173"/>
      <c r="G2353" s="1"/>
      <c r="H2353" s="165"/>
      <c r="I2353" s="160"/>
      <c r="J2353" s="160"/>
      <c r="K2353" s="1"/>
      <c r="L2353" s="123"/>
      <c r="M2353" s="1"/>
      <c r="N2353" s="590"/>
      <c r="O2353" s="165"/>
      <c r="P2353" s="165"/>
      <c r="Q2353" s="165"/>
      <c r="R2353" s="165"/>
      <c r="S2353" s="165"/>
      <c r="V2353" s="46"/>
      <c r="W2353" s="46"/>
      <c r="X2353" s="1"/>
      <c r="Y2353" s="1"/>
      <c r="Z2353" s="173"/>
      <c r="AA2353" s="1"/>
      <c r="AB2353" s="165"/>
      <c r="AC2353" s="1"/>
      <c r="AD2353" s="1"/>
      <c r="AE2353" s="1"/>
      <c r="AF2353" s="46"/>
      <c r="AG2353" s="1"/>
      <c r="AH2353" s="165"/>
      <c r="AI2353" s="165"/>
      <c r="AJ2353" s="165"/>
      <c r="AK2353" s="165"/>
      <c r="AL2353" s="165"/>
      <c r="AM2353" s="165"/>
      <c r="AN2353" s="165"/>
    </row>
    <row r="2354" spans="3:40">
      <c r="C2354" s="46"/>
      <c r="F2354" s="173"/>
      <c r="G2354" s="1"/>
      <c r="H2354" s="165"/>
      <c r="I2354" s="160"/>
      <c r="J2354" s="160"/>
      <c r="K2354" s="1"/>
      <c r="L2354" s="123"/>
      <c r="M2354" s="1"/>
      <c r="N2354" s="590"/>
      <c r="O2354" s="165"/>
      <c r="P2354" s="165"/>
      <c r="Q2354" s="165"/>
      <c r="R2354" s="165"/>
      <c r="S2354" s="165"/>
      <c r="V2354" s="46"/>
      <c r="W2354" s="46"/>
      <c r="X2354" s="1"/>
      <c r="Y2354" s="1"/>
      <c r="Z2354" s="173"/>
      <c r="AA2354" s="1"/>
      <c r="AB2354" s="165"/>
      <c r="AC2354" s="1"/>
      <c r="AD2354" s="1"/>
      <c r="AE2354" s="1"/>
      <c r="AF2354" s="46"/>
      <c r="AG2354" s="1"/>
      <c r="AH2354" s="165"/>
      <c r="AI2354" s="165"/>
      <c r="AJ2354" s="165"/>
      <c r="AK2354" s="165"/>
      <c r="AL2354" s="165"/>
      <c r="AM2354" s="165"/>
      <c r="AN2354" s="165"/>
    </row>
    <row r="2355" spans="3:40">
      <c r="C2355" s="46"/>
      <c r="F2355" s="173"/>
      <c r="G2355" s="1"/>
      <c r="H2355" s="165"/>
      <c r="I2355" s="160"/>
      <c r="J2355" s="160"/>
      <c r="K2355" s="1"/>
      <c r="L2355" s="123"/>
      <c r="M2355" s="1"/>
      <c r="N2355" s="590"/>
      <c r="O2355" s="165"/>
      <c r="P2355" s="165"/>
      <c r="Q2355" s="165"/>
      <c r="R2355" s="165"/>
      <c r="S2355" s="165"/>
      <c r="V2355" s="46"/>
      <c r="W2355" s="46"/>
      <c r="X2355" s="1"/>
      <c r="Y2355" s="1"/>
      <c r="Z2355" s="173"/>
      <c r="AA2355" s="1"/>
      <c r="AB2355" s="165"/>
      <c r="AC2355" s="1"/>
      <c r="AD2355" s="1"/>
      <c r="AE2355" s="1"/>
      <c r="AF2355" s="46"/>
      <c r="AG2355" s="1"/>
      <c r="AH2355" s="165"/>
      <c r="AI2355" s="165"/>
      <c r="AJ2355" s="165"/>
      <c r="AK2355" s="165"/>
      <c r="AL2355" s="165"/>
      <c r="AM2355" s="165"/>
      <c r="AN2355" s="165"/>
    </row>
    <row r="2356" spans="3:40">
      <c r="C2356" s="46"/>
      <c r="F2356" s="173"/>
      <c r="G2356" s="1"/>
      <c r="H2356" s="165"/>
      <c r="I2356" s="160"/>
      <c r="J2356" s="160"/>
      <c r="K2356" s="1"/>
      <c r="L2356" s="123"/>
      <c r="M2356" s="1"/>
      <c r="N2356" s="590"/>
      <c r="O2356" s="165"/>
      <c r="P2356" s="165"/>
      <c r="Q2356" s="165"/>
      <c r="R2356" s="165"/>
      <c r="S2356" s="165"/>
      <c r="V2356" s="46"/>
      <c r="W2356" s="46"/>
      <c r="X2356" s="1"/>
      <c r="Y2356" s="1"/>
      <c r="Z2356" s="173"/>
      <c r="AA2356" s="1"/>
      <c r="AB2356" s="165"/>
      <c r="AC2356" s="1"/>
      <c r="AD2356" s="1"/>
      <c r="AE2356" s="1"/>
      <c r="AF2356" s="46"/>
      <c r="AG2356" s="1"/>
      <c r="AH2356" s="165"/>
      <c r="AI2356" s="165"/>
      <c r="AJ2356" s="165"/>
      <c r="AK2356" s="165"/>
      <c r="AL2356" s="165"/>
      <c r="AM2356" s="165"/>
      <c r="AN2356" s="165"/>
    </row>
    <row r="2357" spans="3:40">
      <c r="C2357" s="46"/>
      <c r="F2357" s="173"/>
      <c r="G2357" s="1"/>
      <c r="H2357" s="165"/>
      <c r="I2357" s="160"/>
      <c r="J2357" s="160"/>
      <c r="K2357" s="1"/>
      <c r="L2357" s="123"/>
      <c r="M2357" s="1"/>
      <c r="N2357" s="590"/>
      <c r="O2357" s="165"/>
      <c r="P2357" s="165"/>
      <c r="Q2357" s="165"/>
      <c r="R2357" s="165"/>
      <c r="S2357" s="165"/>
      <c r="V2357" s="46"/>
      <c r="W2357" s="46"/>
      <c r="X2357" s="1"/>
      <c r="Y2357" s="1"/>
      <c r="Z2357" s="173"/>
      <c r="AA2357" s="1"/>
      <c r="AB2357" s="165"/>
      <c r="AC2357" s="1"/>
      <c r="AD2357" s="1"/>
      <c r="AE2357" s="1"/>
      <c r="AF2357" s="46"/>
      <c r="AG2357" s="1"/>
      <c r="AH2357" s="165"/>
      <c r="AI2357" s="165"/>
      <c r="AJ2357" s="165"/>
      <c r="AK2357" s="165"/>
      <c r="AL2357" s="165"/>
      <c r="AM2357" s="165"/>
      <c r="AN2357" s="165"/>
    </row>
    <row r="2358" spans="3:40">
      <c r="C2358" s="46"/>
      <c r="F2358" s="173"/>
      <c r="G2358" s="1"/>
      <c r="H2358" s="165"/>
      <c r="I2358" s="160"/>
      <c r="J2358" s="160"/>
      <c r="K2358" s="1"/>
      <c r="L2358" s="123"/>
      <c r="M2358" s="1"/>
      <c r="N2358" s="590"/>
      <c r="O2358" s="165"/>
      <c r="P2358" s="165"/>
      <c r="Q2358" s="165"/>
      <c r="R2358" s="165"/>
      <c r="S2358" s="165"/>
      <c r="V2358" s="46"/>
      <c r="W2358" s="46"/>
      <c r="X2358" s="1"/>
      <c r="Y2358" s="1"/>
      <c r="Z2358" s="173"/>
      <c r="AA2358" s="1"/>
      <c r="AB2358" s="165"/>
      <c r="AC2358" s="1"/>
      <c r="AD2358" s="1"/>
      <c r="AE2358" s="1"/>
      <c r="AF2358" s="46"/>
      <c r="AG2358" s="1"/>
      <c r="AH2358" s="165"/>
      <c r="AI2358" s="165"/>
      <c r="AJ2358" s="165"/>
      <c r="AK2358" s="165"/>
      <c r="AL2358" s="165"/>
      <c r="AM2358" s="165"/>
      <c r="AN2358" s="165"/>
    </row>
    <row r="2359" spans="3:40">
      <c r="C2359" s="46"/>
      <c r="F2359" s="173"/>
      <c r="G2359" s="1"/>
      <c r="H2359" s="165"/>
      <c r="I2359" s="160"/>
      <c r="J2359" s="160"/>
      <c r="K2359" s="1"/>
      <c r="L2359" s="123"/>
      <c r="M2359" s="1"/>
      <c r="N2359" s="590"/>
      <c r="O2359" s="165"/>
      <c r="P2359" s="165"/>
      <c r="Q2359" s="165"/>
      <c r="R2359" s="165"/>
      <c r="S2359" s="165"/>
      <c r="V2359" s="46"/>
      <c r="W2359" s="46"/>
      <c r="X2359" s="1"/>
      <c r="Y2359" s="1"/>
      <c r="Z2359" s="173"/>
      <c r="AA2359" s="1"/>
      <c r="AB2359" s="165"/>
      <c r="AC2359" s="1"/>
      <c r="AD2359" s="1"/>
      <c r="AE2359" s="1"/>
      <c r="AF2359" s="46"/>
      <c r="AG2359" s="1"/>
      <c r="AH2359" s="165"/>
      <c r="AI2359" s="165"/>
      <c r="AJ2359" s="165"/>
      <c r="AK2359" s="165"/>
      <c r="AL2359" s="165"/>
      <c r="AM2359" s="165"/>
      <c r="AN2359" s="165"/>
    </row>
    <row r="2360" spans="3:40">
      <c r="C2360" s="46"/>
      <c r="F2360" s="173"/>
      <c r="G2360" s="1"/>
      <c r="H2360" s="165"/>
      <c r="I2360" s="160"/>
      <c r="J2360" s="160"/>
      <c r="K2360" s="1"/>
      <c r="L2360" s="123"/>
      <c r="M2360" s="1"/>
      <c r="N2360" s="590"/>
      <c r="O2360" s="165"/>
      <c r="P2360" s="165"/>
      <c r="Q2360" s="165"/>
      <c r="R2360" s="165"/>
      <c r="S2360" s="165"/>
      <c r="V2360" s="46"/>
      <c r="W2360" s="46"/>
      <c r="X2360" s="1"/>
      <c r="Y2360" s="1"/>
      <c r="Z2360" s="173"/>
      <c r="AA2360" s="1"/>
      <c r="AB2360" s="165"/>
      <c r="AC2360" s="1"/>
      <c r="AD2360" s="1"/>
      <c r="AE2360" s="1"/>
      <c r="AF2360" s="46"/>
      <c r="AG2360" s="1"/>
      <c r="AH2360" s="165"/>
      <c r="AI2360" s="165"/>
      <c r="AJ2360" s="165"/>
      <c r="AK2360" s="165"/>
      <c r="AL2360" s="165"/>
      <c r="AM2360" s="165"/>
      <c r="AN2360" s="165"/>
    </row>
    <row r="2361" spans="3:40">
      <c r="C2361" s="46"/>
      <c r="F2361" s="173"/>
      <c r="G2361" s="1"/>
      <c r="H2361" s="165"/>
      <c r="I2361" s="160"/>
      <c r="J2361" s="160"/>
      <c r="K2361" s="1"/>
      <c r="L2361" s="123"/>
      <c r="M2361" s="1"/>
      <c r="N2361" s="590"/>
      <c r="O2361" s="165"/>
      <c r="P2361" s="165"/>
      <c r="Q2361" s="165"/>
      <c r="R2361" s="165"/>
      <c r="S2361" s="165"/>
      <c r="V2361" s="46"/>
      <c r="W2361" s="46"/>
      <c r="X2361" s="1"/>
      <c r="Y2361" s="1"/>
      <c r="Z2361" s="173"/>
      <c r="AA2361" s="1"/>
      <c r="AB2361" s="165"/>
      <c r="AC2361" s="1"/>
      <c r="AD2361" s="1"/>
      <c r="AE2361" s="1"/>
      <c r="AF2361" s="46"/>
      <c r="AG2361" s="1"/>
      <c r="AH2361" s="165"/>
      <c r="AI2361" s="165"/>
      <c r="AJ2361" s="165"/>
      <c r="AK2361" s="165"/>
      <c r="AL2361" s="165"/>
      <c r="AM2361" s="165"/>
      <c r="AN2361" s="165"/>
    </row>
    <row r="2362" spans="3:40">
      <c r="C2362" s="46"/>
      <c r="F2362" s="173"/>
      <c r="G2362" s="1"/>
      <c r="H2362" s="165"/>
      <c r="I2362" s="160"/>
      <c r="J2362" s="160"/>
      <c r="K2362" s="1"/>
      <c r="L2362" s="123"/>
      <c r="M2362" s="1"/>
      <c r="N2362" s="590"/>
      <c r="O2362" s="165"/>
      <c r="P2362" s="165"/>
      <c r="Q2362" s="165"/>
      <c r="R2362" s="165"/>
      <c r="S2362" s="165"/>
      <c r="V2362" s="46"/>
      <c r="W2362" s="46"/>
      <c r="X2362" s="1"/>
      <c r="Y2362" s="1"/>
      <c r="Z2362" s="173"/>
      <c r="AA2362" s="1"/>
      <c r="AB2362" s="165"/>
      <c r="AC2362" s="1"/>
      <c r="AD2362" s="1"/>
      <c r="AE2362" s="1"/>
      <c r="AF2362" s="46"/>
      <c r="AG2362" s="1"/>
      <c r="AH2362" s="165"/>
      <c r="AI2362" s="165"/>
      <c r="AJ2362" s="165"/>
      <c r="AK2362" s="165"/>
      <c r="AL2362" s="165"/>
      <c r="AM2362" s="165"/>
      <c r="AN2362" s="165"/>
    </row>
    <row r="2363" spans="3:40">
      <c r="C2363" s="46"/>
      <c r="F2363" s="173"/>
      <c r="G2363" s="1"/>
      <c r="H2363" s="165"/>
      <c r="I2363" s="160"/>
      <c r="J2363" s="160"/>
      <c r="K2363" s="1"/>
      <c r="L2363" s="123"/>
      <c r="M2363" s="1"/>
      <c r="N2363" s="590"/>
      <c r="O2363" s="165"/>
      <c r="P2363" s="165"/>
      <c r="Q2363" s="165"/>
      <c r="R2363" s="165"/>
      <c r="S2363" s="165"/>
      <c r="V2363" s="46"/>
      <c r="W2363" s="46"/>
      <c r="X2363" s="1"/>
      <c r="Y2363" s="1"/>
      <c r="Z2363" s="173"/>
      <c r="AA2363" s="1"/>
      <c r="AB2363" s="165"/>
      <c r="AC2363" s="1"/>
      <c r="AD2363" s="1"/>
      <c r="AE2363" s="1"/>
      <c r="AF2363" s="46"/>
      <c r="AG2363" s="1"/>
      <c r="AH2363" s="165"/>
      <c r="AI2363" s="165"/>
      <c r="AJ2363" s="165"/>
      <c r="AK2363" s="165"/>
      <c r="AL2363" s="165"/>
      <c r="AM2363" s="165"/>
      <c r="AN2363" s="165"/>
    </row>
    <row r="2364" spans="3:40">
      <c r="C2364" s="46"/>
      <c r="F2364" s="173"/>
      <c r="G2364" s="1"/>
      <c r="H2364" s="165"/>
      <c r="I2364" s="160"/>
      <c r="J2364" s="160"/>
      <c r="K2364" s="1"/>
      <c r="L2364" s="123"/>
      <c r="M2364" s="1"/>
      <c r="N2364" s="590"/>
      <c r="O2364" s="165"/>
      <c r="P2364" s="165"/>
      <c r="Q2364" s="165"/>
      <c r="R2364" s="165"/>
      <c r="S2364" s="165"/>
      <c r="V2364" s="46"/>
      <c r="W2364" s="46"/>
      <c r="X2364" s="1"/>
      <c r="Y2364" s="1"/>
      <c r="Z2364" s="173"/>
      <c r="AA2364" s="1"/>
      <c r="AB2364" s="165"/>
      <c r="AC2364" s="1"/>
      <c r="AD2364" s="1"/>
      <c r="AE2364" s="1"/>
      <c r="AF2364" s="46"/>
      <c r="AG2364" s="1"/>
      <c r="AH2364" s="165"/>
      <c r="AI2364" s="165"/>
      <c r="AJ2364" s="165"/>
      <c r="AK2364" s="165"/>
      <c r="AL2364" s="165"/>
      <c r="AM2364" s="165"/>
      <c r="AN2364" s="165"/>
    </row>
    <row r="2365" spans="3:40">
      <c r="C2365" s="46"/>
      <c r="F2365" s="173"/>
      <c r="G2365" s="1"/>
      <c r="H2365" s="165"/>
      <c r="I2365" s="160"/>
      <c r="J2365" s="160"/>
      <c r="K2365" s="1"/>
      <c r="L2365" s="123"/>
      <c r="M2365" s="1"/>
      <c r="N2365" s="590"/>
      <c r="O2365" s="165"/>
      <c r="P2365" s="165"/>
      <c r="Q2365" s="165"/>
      <c r="R2365" s="165"/>
      <c r="S2365" s="165"/>
      <c r="V2365" s="46"/>
      <c r="W2365" s="46"/>
      <c r="X2365" s="1"/>
      <c r="Y2365" s="1"/>
      <c r="Z2365" s="173"/>
      <c r="AA2365" s="1"/>
      <c r="AB2365" s="165"/>
      <c r="AC2365" s="1"/>
      <c r="AD2365" s="1"/>
      <c r="AE2365" s="1"/>
      <c r="AF2365" s="46"/>
      <c r="AG2365" s="1"/>
      <c r="AH2365" s="165"/>
      <c r="AI2365" s="165"/>
      <c r="AJ2365" s="165"/>
      <c r="AK2365" s="165"/>
      <c r="AL2365" s="165"/>
      <c r="AM2365" s="165"/>
      <c r="AN2365" s="165"/>
    </row>
    <row r="2366" spans="3:40">
      <c r="C2366" s="46"/>
      <c r="F2366" s="173"/>
      <c r="G2366" s="1"/>
      <c r="H2366" s="165"/>
      <c r="I2366" s="160"/>
      <c r="J2366" s="160"/>
      <c r="K2366" s="1"/>
      <c r="L2366" s="123"/>
      <c r="M2366" s="1"/>
      <c r="N2366" s="590"/>
      <c r="O2366" s="165"/>
      <c r="P2366" s="165"/>
      <c r="Q2366" s="165"/>
      <c r="R2366" s="165"/>
      <c r="S2366" s="165"/>
      <c r="V2366" s="46"/>
      <c r="W2366" s="46"/>
      <c r="X2366" s="1"/>
      <c r="Y2366" s="1"/>
      <c r="Z2366" s="173"/>
      <c r="AA2366" s="1"/>
      <c r="AB2366" s="165"/>
      <c r="AC2366" s="1"/>
      <c r="AD2366" s="1"/>
      <c r="AE2366" s="1"/>
      <c r="AF2366" s="46"/>
      <c r="AG2366" s="1"/>
      <c r="AH2366" s="165"/>
      <c r="AI2366" s="165"/>
      <c r="AJ2366" s="165"/>
      <c r="AK2366" s="165"/>
      <c r="AL2366" s="165"/>
      <c r="AM2366" s="165"/>
      <c r="AN2366" s="165"/>
    </row>
    <row r="2367" spans="3:40">
      <c r="C2367" s="46"/>
      <c r="F2367" s="173"/>
      <c r="G2367" s="1"/>
      <c r="H2367" s="165"/>
      <c r="I2367" s="160"/>
      <c r="J2367" s="160"/>
      <c r="K2367" s="1"/>
      <c r="L2367" s="123"/>
      <c r="M2367" s="1"/>
      <c r="N2367" s="590"/>
      <c r="O2367" s="165"/>
      <c r="P2367" s="165"/>
      <c r="Q2367" s="165"/>
      <c r="R2367" s="165"/>
      <c r="S2367" s="165"/>
      <c r="V2367" s="46"/>
      <c r="W2367" s="46"/>
      <c r="X2367" s="1"/>
      <c r="Y2367" s="1"/>
      <c r="Z2367" s="173"/>
      <c r="AA2367" s="1"/>
      <c r="AB2367" s="165"/>
      <c r="AC2367" s="1"/>
      <c r="AD2367" s="1"/>
      <c r="AE2367" s="1"/>
      <c r="AF2367" s="46"/>
      <c r="AG2367" s="1"/>
      <c r="AH2367" s="165"/>
      <c r="AI2367" s="165"/>
      <c r="AJ2367" s="165"/>
      <c r="AK2367" s="165"/>
      <c r="AL2367" s="165"/>
      <c r="AM2367" s="165"/>
      <c r="AN2367" s="165"/>
    </row>
    <row r="2368" spans="3:40">
      <c r="C2368" s="46"/>
      <c r="F2368" s="173"/>
      <c r="G2368" s="1"/>
      <c r="H2368" s="165"/>
      <c r="I2368" s="160"/>
      <c r="J2368" s="160"/>
      <c r="K2368" s="1"/>
      <c r="L2368" s="123"/>
      <c r="M2368" s="1"/>
      <c r="N2368" s="590"/>
      <c r="O2368" s="165"/>
      <c r="P2368" s="165"/>
      <c r="Q2368" s="165"/>
      <c r="R2368" s="165"/>
      <c r="S2368" s="165"/>
      <c r="V2368" s="46"/>
      <c r="W2368" s="46"/>
      <c r="X2368" s="1"/>
      <c r="Y2368" s="1"/>
      <c r="Z2368" s="173"/>
      <c r="AA2368" s="1"/>
      <c r="AB2368" s="165"/>
      <c r="AC2368" s="1"/>
      <c r="AD2368" s="1"/>
      <c r="AE2368" s="1"/>
      <c r="AF2368" s="46"/>
      <c r="AG2368" s="1"/>
      <c r="AH2368" s="165"/>
      <c r="AI2368" s="165"/>
      <c r="AJ2368" s="165"/>
      <c r="AK2368" s="165"/>
      <c r="AL2368" s="165"/>
      <c r="AM2368" s="165"/>
      <c r="AN2368" s="165"/>
    </row>
    <row r="2369" spans="3:40">
      <c r="C2369" s="46"/>
      <c r="F2369" s="173"/>
      <c r="G2369" s="1"/>
      <c r="H2369" s="165"/>
      <c r="I2369" s="160"/>
      <c r="J2369" s="160"/>
      <c r="K2369" s="1"/>
      <c r="L2369" s="123"/>
      <c r="M2369" s="1"/>
      <c r="N2369" s="590"/>
      <c r="O2369" s="165"/>
      <c r="P2369" s="165"/>
      <c r="Q2369" s="165"/>
      <c r="R2369" s="165"/>
      <c r="S2369" s="165"/>
      <c r="V2369" s="46"/>
      <c r="W2369" s="46"/>
      <c r="X2369" s="1"/>
      <c r="Y2369" s="1"/>
      <c r="Z2369" s="173"/>
      <c r="AA2369" s="1"/>
      <c r="AB2369" s="165"/>
      <c r="AC2369" s="1"/>
      <c r="AD2369" s="1"/>
      <c r="AE2369" s="1"/>
      <c r="AF2369" s="46"/>
      <c r="AG2369" s="1"/>
      <c r="AH2369" s="165"/>
      <c r="AI2369" s="165"/>
      <c r="AJ2369" s="165"/>
      <c r="AK2369" s="165"/>
      <c r="AL2369" s="165"/>
      <c r="AM2369" s="165"/>
      <c r="AN2369" s="165"/>
    </row>
    <row r="2370" spans="3:40">
      <c r="C2370" s="46"/>
      <c r="F2370" s="173"/>
      <c r="G2370" s="1"/>
      <c r="H2370" s="165"/>
      <c r="I2370" s="160"/>
      <c r="J2370" s="160"/>
      <c r="K2370" s="1"/>
      <c r="L2370" s="123"/>
      <c r="M2370" s="1"/>
      <c r="N2370" s="590"/>
      <c r="O2370" s="165"/>
      <c r="P2370" s="165"/>
      <c r="Q2370" s="165"/>
      <c r="R2370" s="165"/>
      <c r="S2370" s="165"/>
      <c r="V2370" s="46"/>
      <c r="W2370" s="46"/>
      <c r="X2370" s="1"/>
      <c r="Y2370" s="1"/>
      <c r="Z2370" s="173"/>
      <c r="AA2370" s="1"/>
      <c r="AB2370" s="165"/>
      <c r="AC2370" s="1"/>
      <c r="AD2370" s="1"/>
      <c r="AE2370" s="1"/>
      <c r="AF2370" s="46"/>
      <c r="AG2370" s="1"/>
      <c r="AH2370" s="165"/>
      <c r="AI2370" s="165"/>
      <c r="AJ2370" s="165"/>
      <c r="AK2370" s="165"/>
      <c r="AL2370" s="165"/>
      <c r="AM2370" s="165"/>
      <c r="AN2370" s="165"/>
    </row>
    <row r="2371" spans="3:40">
      <c r="C2371" s="46"/>
      <c r="F2371" s="173"/>
      <c r="G2371" s="1"/>
      <c r="H2371" s="165"/>
      <c r="I2371" s="160"/>
      <c r="J2371" s="160"/>
      <c r="K2371" s="1"/>
      <c r="L2371" s="123"/>
      <c r="M2371" s="1"/>
      <c r="N2371" s="590"/>
      <c r="O2371" s="165"/>
      <c r="P2371" s="165"/>
      <c r="Q2371" s="165"/>
      <c r="R2371" s="165"/>
      <c r="S2371" s="165"/>
      <c r="V2371" s="46"/>
      <c r="W2371" s="46"/>
      <c r="X2371" s="1"/>
      <c r="Y2371" s="1"/>
      <c r="Z2371" s="173"/>
      <c r="AA2371" s="1"/>
      <c r="AB2371" s="165"/>
      <c r="AC2371" s="1"/>
      <c r="AD2371" s="1"/>
      <c r="AE2371" s="1"/>
      <c r="AF2371" s="46"/>
      <c r="AG2371" s="1"/>
      <c r="AH2371" s="165"/>
      <c r="AI2371" s="165"/>
      <c r="AJ2371" s="165"/>
      <c r="AK2371" s="165"/>
      <c r="AL2371" s="165"/>
      <c r="AM2371" s="165"/>
      <c r="AN2371" s="165"/>
    </row>
    <row r="2372" spans="3:40">
      <c r="C2372" s="46"/>
      <c r="F2372" s="173"/>
      <c r="G2372" s="1"/>
      <c r="H2372" s="165"/>
      <c r="I2372" s="160"/>
      <c r="J2372" s="160"/>
      <c r="K2372" s="1"/>
      <c r="L2372" s="123"/>
      <c r="M2372" s="1"/>
      <c r="N2372" s="590"/>
      <c r="O2372" s="165"/>
      <c r="P2372" s="165"/>
      <c r="Q2372" s="165"/>
      <c r="R2372" s="165"/>
      <c r="S2372" s="165"/>
      <c r="V2372" s="46"/>
      <c r="W2372" s="46"/>
      <c r="X2372" s="1"/>
      <c r="Y2372" s="1"/>
      <c r="Z2372" s="173"/>
      <c r="AA2372" s="1"/>
      <c r="AB2372" s="165"/>
      <c r="AC2372" s="1"/>
      <c r="AD2372" s="1"/>
      <c r="AE2372" s="1"/>
      <c r="AF2372" s="46"/>
      <c r="AG2372" s="1"/>
      <c r="AH2372" s="165"/>
      <c r="AI2372" s="165"/>
      <c r="AJ2372" s="165"/>
      <c r="AK2372" s="165"/>
      <c r="AL2372" s="165"/>
      <c r="AM2372" s="165"/>
      <c r="AN2372" s="165"/>
    </row>
    <row r="2373" spans="3:40">
      <c r="C2373" s="46"/>
      <c r="F2373" s="173"/>
      <c r="G2373" s="1"/>
      <c r="H2373" s="165"/>
      <c r="I2373" s="160"/>
      <c r="J2373" s="160"/>
      <c r="K2373" s="1"/>
      <c r="L2373" s="123"/>
      <c r="M2373" s="1"/>
      <c r="N2373" s="590"/>
      <c r="O2373" s="165"/>
      <c r="P2373" s="165"/>
      <c r="Q2373" s="165"/>
      <c r="R2373" s="165"/>
      <c r="S2373" s="165"/>
      <c r="V2373" s="46"/>
      <c r="W2373" s="46"/>
      <c r="X2373" s="1"/>
      <c r="Y2373" s="1"/>
      <c r="Z2373" s="173"/>
      <c r="AA2373" s="1"/>
      <c r="AB2373" s="165"/>
      <c r="AC2373" s="1"/>
      <c r="AD2373" s="1"/>
      <c r="AE2373" s="1"/>
      <c r="AF2373" s="46"/>
      <c r="AG2373" s="1"/>
      <c r="AH2373" s="165"/>
      <c r="AI2373" s="165"/>
      <c r="AJ2373" s="165"/>
      <c r="AK2373" s="165"/>
      <c r="AL2373" s="165"/>
      <c r="AM2373" s="165"/>
      <c r="AN2373" s="165"/>
    </row>
    <row r="2374" spans="3:40">
      <c r="C2374" s="46"/>
      <c r="F2374" s="173"/>
      <c r="G2374" s="1"/>
      <c r="H2374" s="165"/>
      <c r="I2374" s="160"/>
      <c r="J2374" s="160"/>
      <c r="K2374" s="1"/>
      <c r="L2374" s="123"/>
      <c r="M2374" s="1"/>
      <c r="N2374" s="590"/>
      <c r="O2374" s="165"/>
      <c r="P2374" s="165"/>
      <c r="Q2374" s="165"/>
      <c r="R2374" s="165"/>
      <c r="S2374" s="165"/>
      <c r="V2374" s="46"/>
      <c r="W2374" s="46"/>
      <c r="X2374" s="1"/>
      <c r="Y2374" s="1"/>
      <c r="Z2374" s="173"/>
      <c r="AA2374" s="1"/>
      <c r="AB2374" s="165"/>
      <c r="AC2374" s="1"/>
      <c r="AD2374" s="1"/>
      <c r="AE2374" s="1"/>
      <c r="AF2374" s="46"/>
      <c r="AG2374" s="1"/>
      <c r="AH2374" s="165"/>
      <c r="AI2374" s="165"/>
      <c r="AJ2374" s="165"/>
      <c r="AK2374" s="165"/>
      <c r="AL2374" s="165"/>
      <c r="AM2374" s="165"/>
      <c r="AN2374" s="165"/>
    </row>
    <row r="2375" spans="3:40">
      <c r="C2375" s="46"/>
      <c r="F2375" s="173"/>
      <c r="G2375" s="1"/>
      <c r="H2375" s="165"/>
      <c r="I2375" s="160"/>
      <c r="J2375" s="160"/>
      <c r="K2375" s="1"/>
      <c r="L2375" s="123"/>
      <c r="M2375" s="1"/>
      <c r="N2375" s="590"/>
      <c r="O2375" s="165"/>
      <c r="P2375" s="165"/>
      <c r="Q2375" s="165"/>
      <c r="R2375" s="165"/>
      <c r="S2375" s="165"/>
      <c r="V2375" s="46"/>
      <c r="W2375" s="46"/>
      <c r="X2375" s="1"/>
      <c r="Y2375" s="1"/>
      <c r="Z2375" s="173"/>
      <c r="AA2375" s="1"/>
      <c r="AB2375" s="165"/>
      <c r="AC2375" s="1"/>
      <c r="AD2375" s="1"/>
      <c r="AE2375" s="1"/>
      <c r="AF2375" s="46"/>
      <c r="AG2375" s="1"/>
      <c r="AH2375" s="165"/>
      <c r="AI2375" s="165"/>
      <c r="AJ2375" s="165"/>
      <c r="AK2375" s="165"/>
      <c r="AL2375" s="165"/>
      <c r="AM2375" s="165"/>
      <c r="AN2375" s="165"/>
    </row>
    <row r="2376" spans="3:40">
      <c r="C2376" s="46"/>
      <c r="F2376" s="173"/>
      <c r="G2376" s="1"/>
      <c r="H2376" s="165"/>
      <c r="I2376" s="160"/>
      <c r="J2376" s="160"/>
      <c r="K2376" s="1"/>
      <c r="L2376" s="123"/>
      <c r="M2376" s="1"/>
      <c r="N2376" s="590"/>
      <c r="O2376" s="165"/>
      <c r="P2376" s="165"/>
      <c r="Q2376" s="165"/>
      <c r="R2376" s="165"/>
      <c r="S2376" s="165"/>
      <c r="V2376" s="46"/>
      <c r="W2376" s="46"/>
      <c r="X2376" s="1"/>
      <c r="Y2376" s="1"/>
      <c r="Z2376" s="173"/>
      <c r="AA2376" s="1"/>
      <c r="AB2376" s="165"/>
      <c r="AC2376" s="1"/>
      <c r="AD2376" s="1"/>
      <c r="AE2376" s="1"/>
      <c r="AF2376" s="46"/>
      <c r="AG2376" s="1"/>
      <c r="AH2376" s="165"/>
      <c r="AI2376" s="165"/>
      <c r="AJ2376" s="165"/>
      <c r="AK2376" s="165"/>
      <c r="AL2376" s="165"/>
      <c r="AM2376" s="165"/>
      <c r="AN2376" s="165"/>
    </row>
    <row r="2377" spans="3:40">
      <c r="C2377" s="46"/>
      <c r="F2377" s="173"/>
      <c r="G2377" s="1"/>
      <c r="H2377" s="165"/>
      <c r="I2377" s="160"/>
      <c r="J2377" s="160"/>
      <c r="K2377" s="1"/>
      <c r="L2377" s="123"/>
      <c r="M2377" s="1"/>
      <c r="N2377" s="590"/>
      <c r="O2377" s="165"/>
      <c r="P2377" s="165"/>
      <c r="Q2377" s="165"/>
      <c r="R2377" s="165"/>
      <c r="S2377" s="165"/>
      <c r="V2377" s="46"/>
      <c r="W2377" s="46"/>
      <c r="X2377" s="1"/>
      <c r="Y2377" s="1"/>
      <c r="Z2377" s="173"/>
      <c r="AA2377" s="1"/>
      <c r="AB2377" s="165"/>
      <c r="AC2377" s="1"/>
      <c r="AD2377" s="1"/>
      <c r="AE2377" s="1"/>
      <c r="AF2377" s="46"/>
      <c r="AG2377" s="1"/>
      <c r="AH2377" s="165"/>
      <c r="AI2377" s="165"/>
      <c r="AJ2377" s="165"/>
      <c r="AK2377" s="165"/>
      <c r="AL2377" s="165"/>
      <c r="AM2377" s="165"/>
      <c r="AN2377" s="165"/>
    </row>
    <row r="2378" spans="3:40">
      <c r="C2378" s="46"/>
      <c r="F2378" s="173"/>
      <c r="G2378" s="1"/>
      <c r="H2378" s="165"/>
      <c r="I2378" s="160"/>
      <c r="J2378" s="160"/>
      <c r="K2378" s="1"/>
      <c r="L2378" s="123"/>
      <c r="M2378" s="1"/>
      <c r="N2378" s="590"/>
      <c r="O2378" s="165"/>
      <c r="P2378" s="165"/>
      <c r="Q2378" s="165"/>
      <c r="R2378" s="165"/>
      <c r="S2378" s="165"/>
      <c r="V2378" s="46"/>
      <c r="W2378" s="46"/>
      <c r="X2378" s="1"/>
      <c r="Y2378" s="1"/>
      <c r="Z2378" s="173"/>
      <c r="AA2378" s="1"/>
      <c r="AB2378" s="165"/>
      <c r="AC2378" s="1"/>
      <c r="AD2378" s="1"/>
      <c r="AE2378" s="1"/>
      <c r="AF2378" s="46"/>
      <c r="AG2378" s="1"/>
      <c r="AH2378" s="165"/>
      <c r="AI2378" s="165"/>
      <c r="AJ2378" s="165"/>
      <c r="AK2378" s="165"/>
      <c r="AL2378" s="165"/>
      <c r="AM2378" s="165"/>
      <c r="AN2378" s="165"/>
    </row>
    <row r="2379" spans="3:40">
      <c r="C2379" s="46"/>
      <c r="F2379" s="173"/>
      <c r="G2379" s="1"/>
      <c r="H2379" s="165"/>
      <c r="I2379" s="160"/>
      <c r="J2379" s="160"/>
      <c r="K2379" s="1"/>
      <c r="L2379" s="123"/>
      <c r="M2379" s="1"/>
      <c r="N2379" s="590"/>
      <c r="O2379" s="165"/>
      <c r="P2379" s="165"/>
      <c r="Q2379" s="165"/>
      <c r="R2379" s="165"/>
      <c r="S2379" s="165"/>
      <c r="V2379" s="46"/>
      <c r="W2379" s="46"/>
      <c r="X2379" s="1"/>
      <c r="Y2379" s="1"/>
      <c r="Z2379" s="173"/>
      <c r="AA2379" s="1"/>
      <c r="AB2379" s="165"/>
      <c r="AC2379" s="1"/>
      <c r="AD2379" s="1"/>
      <c r="AE2379" s="1"/>
      <c r="AF2379" s="46"/>
      <c r="AG2379" s="1"/>
      <c r="AH2379" s="165"/>
      <c r="AI2379" s="165"/>
      <c r="AJ2379" s="165"/>
      <c r="AK2379" s="165"/>
      <c r="AL2379" s="165"/>
      <c r="AM2379" s="165"/>
      <c r="AN2379" s="165"/>
    </row>
    <row r="2380" spans="3:40">
      <c r="C2380" s="46"/>
      <c r="F2380" s="173"/>
      <c r="G2380" s="1"/>
      <c r="H2380" s="165"/>
      <c r="I2380" s="160"/>
      <c r="J2380" s="160"/>
      <c r="K2380" s="1"/>
      <c r="L2380" s="123"/>
      <c r="M2380" s="1"/>
      <c r="N2380" s="590"/>
      <c r="O2380" s="165"/>
      <c r="P2380" s="165"/>
      <c r="Q2380" s="165"/>
      <c r="R2380" s="165"/>
      <c r="S2380" s="165"/>
      <c r="V2380" s="46"/>
      <c r="W2380" s="46"/>
      <c r="X2380" s="1"/>
      <c r="Y2380" s="1"/>
      <c r="Z2380" s="173"/>
      <c r="AA2380" s="1"/>
      <c r="AB2380" s="165"/>
      <c r="AC2380" s="1"/>
      <c r="AD2380" s="1"/>
      <c r="AE2380" s="1"/>
      <c r="AF2380" s="46"/>
      <c r="AG2380" s="1"/>
      <c r="AH2380" s="165"/>
      <c r="AI2380" s="165"/>
      <c r="AJ2380" s="165"/>
      <c r="AK2380" s="165"/>
      <c r="AL2380" s="165"/>
      <c r="AM2380" s="165"/>
      <c r="AN2380" s="165"/>
    </row>
    <row r="2381" spans="3:40">
      <c r="C2381" s="46"/>
      <c r="F2381" s="173"/>
      <c r="G2381" s="1"/>
      <c r="H2381" s="165"/>
      <c r="I2381" s="160"/>
      <c r="J2381" s="160"/>
      <c r="K2381" s="1"/>
      <c r="L2381" s="123"/>
      <c r="M2381" s="1"/>
      <c r="N2381" s="590"/>
      <c r="O2381" s="165"/>
      <c r="P2381" s="165"/>
      <c r="Q2381" s="165"/>
      <c r="R2381" s="165"/>
      <c r="S2381" s="165"/>
      <c r="V2381" s="46"/>
      <c r="W2381" s="46"/>
      <c r="X2381" s="1"/>
      <c r="Y2381" s="1"/>
      <c r="Z2381" s="173"/>
      <c r="AA2381" s="1"/>
      <c r="AB2381" s="165"/>
      <c r="AC2381" s="1"/>
      <c r="AD2381" s="1"/>
      <c r="AE2381" s="1"/>
      <c r="AF2381" s="46"/>
      <c r="AG2381" s="1"/>
      <c r="AH2381" s="165"/>
      <c r="AI2381" s="165"/>
      <c r="AJ2381" s="165"/>
      <c r="AK2381" s="165"/>
      <c r="AL2381" s="165"/>
      <c r="AM2381" s="165"/>
      <c r="AN2381" s="165"/>
    </row>
    <row r="2382" spans="3:40">
      <c r="C2382" s="46"/>
      <c r="F2382" s="173"/>
      <c r="G2382" s="1"/>
      <c r="H2382" s="165"/>
      <c r="I2382" s="160"/>
      <c r="J2382" s="160"/>
      <c r="K2382" s="1"/>
      <c r="L2382" s="123"/>
      <c r="M2382" s="1"/>
      <c r="N2382" s="590"/>
      <c r="O2382" s="165"/>
      <c r="P2382" s="165"/>
      <c r="Q2382" s="165"/>
      <c r="R2382" s="165"/>
      <c r="S2382" s="165"/>
      <c r="V2382" s="46"/>
      <c r="W2382" s="46"/>
      <c r="X2382" s="1"/>
      <c r="Y2382" s="1"/>
      <c r="Z2382" s="173"/>
      <c r="AA2382" s="1"/>
      <c r="AB2382" s="165"/>
      <c r="AC2382" s="1"/>
      <c r="AD2382" s="1"/>
      <c r="AE2382" s="1"/>
      <c r="AF2382" s="46"/>
      <c r="AG2382" s="1"/>
      <c r="AH2382" s="165"/>
      <c r="AI2382" s="165"/>
      <c r="AJ2382" s="165"/>
      <c r="AK2382" s="165"/>
      <c r="AL2382" s="165"/>
      <c r="AM2382" s="165"/>
      <c r="AN2382" s="165"/>
    </row>
    <row r="2383" spans="3:40">
      <c r="C2383" s="46"/>
      <c r="F2383" s="173"/>
      <c r="G2383" s="1"/>
      <c r="H2383" s="165"/>
      <c r="I2383" s="160"/>
      <c r="J2383" s="160"/>
      <c r="K2383" s="1"/>
      <c r="L2383" s="123"/>
      <c r="M2383" s="1"/>
      <c r="N2383" s="590"/>
      <c r="O2383" s="165"/>
      <c r="P2383" s="165"/>
      <c r="Q2383" s="165"/>
      <c r="R2383" s="165"/>
      <c r="S2383" s="165"/>
      <c r="V2383" s="46"/>
      <c r="W2383" s="46"/>
      <c r="X2383" s="1"/>
      <c r="Y2383" s="1"/>
      <c r="Z2383" s="173"/>
      <c r="AA2383" s="1"/>
      <c r="AB2383" s="165"/>
      <c r="AC2383" s="1"/>
      <c r="AD2383" s="1"/>
      <c r="AE2383" s="1"/>
      <c r="AF2383" s="46"/>
      <c r="AG2383" s="1"/>
      <c r="AH2383" s="165"/>
      <c r="AI2383" s="165"/>
      <c r="AJ2383" s="165"/>
      <c r="AK2383" s="165"/>
      <c r="AL2383" s="165"/>
      <c r="AM2383" s="165"/>
      <c r="AN2383" s="165"/>
    </row>
    <row r="2384" spans="3:40">
      <c r="C2384" s="46"/>
      <c r="F2384" s="173"/>
      <c r="G2384" s="1"/>
      <c r="H2384" s="165"/>
      <c r="I2384" s="160"/>
      <c r="J2384" s="160"/>
      <c r="K2384" s="1"/>
      <c r="L2384" s="123"/>
      <c r="M2384" s="1"/>
      <c r="N2384" s="590"/>
      <c r="O2384" s="165"/>
      <c r="P2384" s="165"/>
      <c r="Q2384" s="165"/>
      <c r="R2384" s="165"/>
      <c r="S2384" s="165"/>
      <c r="V2384" s="46"/>
      <c r="W2384" s="46"/>
      <c r="X2384" s="1"/>
      <c r="Y2384" s="1"/>
      <c r="Z2384" s="173"/>
      <c r="AA2384" s="1"/>
      <c r="AB2384" s="165"/>
      <c r="AC2384" s="1"/>
      <c r="AD2384" s="1"/>
      <c r="AE2384" s="1"/>
      <c r="AF2384" s="46"/>
      <c r="AG2384" s="1"/>
      <c r="AH2384" s="165"/>
      <c r="AI2384" s="165"/>
      <c r="AJ2384" s="165"/>
      <c r="AK2384" s="165"/>
      <c r="AL2384" s="165"/>
      <c r="AM2384" s="165"/>
      <c r="AN2384" s="165"/>
    </row>
    <row r="2385" spans="3:40">
      <c r="C2385" s="46"/>
      <c r="F2385" s="173"/>
      <c r="G2385" s="1"/>
      <c r="H2385" s="165"/>
      <c r="I2385" s="160"/>
      <c r="J2385" s="160"/>
      <c r="K2385" s="1"/>
      <c r="L2385" s="123"/>
      <c r="M2385" s="1"/>
      <c r="N2385" s="590"/>
      <c r="O2385" s="165"/>
      <c r="P2385" s="165"/>
      <c r="Q2385" s="165"/>
      <c r="R2385" s="165"/>
      <c r="S2385" s="165"/>
      <c r="V2385" s="46"/>
      <c r="W2385" s="46"/>
      <c r="X2385" s="1"/>
      <c r="Y2385" s="1"/>
      <c r="Z2385" s="173"/>
      <c r="AA2385" s="1"/>
      <c r="AB2385" s="165"/>
      <c r="AC2385" s="1"/>
      <c r="AD2385" s="1"/>
      <c r="AE2385" s="1"/>
      <c r="AF2385" s="46"/>
      <c r="AG2385" s="1"/>
      <c r="AH2385" s="165"/>
      <c r="AI2385" s="165"/>
      <c r="AJ2385" s="165"/>
      <c r="AK2385" s="165"/>
      <c r="AL2385" s="165"/>
      <c r="AM2385" s="165"/>
      <c r="AN2385" s="165"/>
    </row>
    <row r="2386" spans="3:40">
      <c r="C2386" s="46"/>
      <c r="F2386" s="173"/>
      <c r="G2386" s="1"/>
      <c r="H2386" s="165"/>
      <c r="I2386" s="160"/>
      <c r="J2386" s="160"/>
      <c r="K2386" s="1"/>
      <c r="L2386" s="123"/>
      <c r="M2386" s="1"/>
      <c r="N2386" s="590"/>
      <c r="O2386" s="165"/>
      <c r="P2386" s="165"/>
      <c r="Q2386" s="165"/>
      <c r="R2386" s="165"/>
      <c r="S2386" s="165"/>
      <c r="V2386" s="46"/>
      <c r="W2386" s="46"/>
      <c r="X2386" s="1"/>
      <c r="Y2386" s="1"/>
      <c r="Z2386" s="173"/>
      <c r="AA2386" s="1"/>
      <c r="AB2386" s="165"/>
      <c r="AC2386" s="1"/>
      <c r="AD2386" s="1"/>
      <c r="AE2386" s="1"/>
      <c r="AF2386" s="46"/>
      <c r="AG2386" s="1"/>
      <c r="AH2386" s="165"/>
      <c r="AI2386" s="165"/>
      <c r="AJ2386" s="165"/>
      <c r="AK2386" s="165"/>
      <c r="AL2386" s="165"/>
      <c r="AM2386" s="165"/>
      <c r="AN2386" s="165"/>
    </row>
    <row r="2387" spans="3:40">
      <c r="C2387" s="46"/>
      <c r="F2387" s="173"/>
      <c r="G2387" s="1"/>
      <c r="H2387" s="165"/>
      <c r="I2387" s="160"/>
      <c r="J2387" s="160"/>
      <c r="K2387" s="1"/>
      <c r="L2387" s="123"/>
      <c r="M2387" s="1"/>
      <c r="N2387" s="590"/>
      <c r="O2387" s="165"/>
      <c r="P2387" s="165"/>
      <c r="Q2387" s="165"/>
      <c r="R2387" s="165"/>
      <c r="S2387" s="165"/>
      <c r="V2387" s="46"/>
      <c r="W2387" s="46"/>
      <c r="X2387" s="1"/>
      <c r="Y2387" s="1"/>
      <c r="Z2387" s="173"/>
      <c r="AA2387" s="1"/>
      <c r="AB2387" s="165"/>
      <c r="AC2387" s="1"/>
      <c r="AD2387" s="1"/>
      <c r="AE2387" s="1"/>
      <c r="AF2387" s="46"/>
      <c r="AG2387" s="1"/>
      <c r="AH2387" s="165"/>
      <c r="AI2387" s="165"/>
      <c r="AJ2387" s="165"/>
      <c r="AK2387" s="165"/>
      <c r="AL2387" s="165"/>
      <c r="AM2387" s="165"/>
      <c r="AN2387" s="165"/>
    </row>
    <row r="2388" spans="3:40">
      <c r="C2388" s="46"/>
      <c r="F2388" s="173"/>
      <c r="G2388" s="1"/>
      <c r="H2388" s="165"/>
      <c r="I2388" s="160"/>
      <c r="J2388" s="160"/>
      <c r="K2388" s="1"/>
      <c r="L2388" s="123"/>
      <c r="M2388" s="1"/>
      <c r="N2388" s="590"/>
      <c r="O2388" s="165"/>
      <c r="P2388" s="165"/>
      <c r="Q2388" s="165"/>
      <c r="R2388" s="165"/>
      <c r="S2388" s="165"/>
      <c r="V2388" s="46"/>
      <c r="W2388" s="46"/>
      <c r="X2388" s="1"/>
      <c r="Y2388" s="1"/>
      <c r="Z2388" s="173"/>
      <c r="AA2388" s="1"/>
      <c r="AB2388" s="165"/>
      <c r="AC2388" s="1"/>
      <c r="AD2388" s="1"/>
      <c r="AE2388" s="1"/>
      <c r="AF2388" s="46"/>
      <c r="AG2388" s="1"/>
      <c r="AH2388" s="165"/>
      <c r="AI2388" s="165"/>
      <c r="AJ2388" s="165"/>
      <c r="AK2388" s="165"/>
      <c r="AL2388" s="165"/>
      <c r="AM2388" s="165"/>
      <c r="AN2388" s="165"/>
    </row>
    <row r="2389" spans="3:40">
      <c r="C2389" s="46"/>
      <c r="F2389" s="173"/>
      <c r="G2389" s="1"/>
      <c r="H2389" s="165"/>
      <c r="I2389" s="160"/>
      <c r="J2389" s="160"/>
      <c r="K2389" s="1"/>
      <c r="L2389" s="123"/>
      <c r="M2389" s="1"/>
      <c r="N2389" s="590"/>
      <c r="O2389" s="165"/>
      <c r="P2389" s="165"/>
      <c r="Q2389" s="165"/>
      <c r="R2389" s="165"/>
      <c r="S2389" s="165"/>
      <c r="V2389" s="46"/>
      <c r="W2389" s="46"/>
      <c r="X2389" s="1"/>
      <c r="Y2389" s="1"/>
      <c r="Z2389" s="173"/>
      <c r="AA2389" s="1"/>
      <c r="AB2389" s="165"/>
      <c r="AC2389" s="1"/>
      <c r="AD2389" s="1"/>
      <c r="AE2389" s="1"/>
      <c r="AF2389" s="46"/>
      <c r="AG2389" s="1"/>
      <c r="AH2389" s="165"/>
      <c r="AI2389" s="165"/>
      <c r="AJ2389" s="165"/>
      <c r="AK2389" s="165"/>
      <c r="AL2389" s="165"/>
      <c r="AM2389" s="165"/>
      <c r="AN2389" s="165"/>
    </row>
    <row r="2390" spans="3:40">
      <c r="C2390" s="46"/>
      <c r="F2390" s="173"/>
      <c r="G2390" s="1"/>
      <c r="H2390" s="165"/>
      <c r="I2390" s="160"/>
      <c r="J2390" s="160"/>
      <c r="K2390" s="1"/>
      <c r="L2390" s="123"/>
      <c r="M2390" s="1"/>
      <c r="N2390" s="590"/>
      <c r="O2390" s="165"/>
      <c r="P2390" s="165"/>
      <c r="Q2390" s="165"/>
      <c r="R2390" s="165"/>
      <c r="S2390" s="165"/>
      <c r="V2390" s="46"/>
      <c r="W2390" s="46"/>
      <c r="X2390" s="1"/>
      <c r="Y2390" s="1"/>
      <c r="Z2390" s="173"/>
      <c r="AA2390" s="1"/>
      <c r="AB2390" s="165"/>
      <c r="AC2390" s="1"/>
      <c r="AD2390" s="1"/>
      <c r="AE2390" s="1"/>
      <c r="AF2390" s="46"/>
      <c r="AG2390" s="1"/>
      <c r="AH2390" s="165"/>
      <c r="AI2390" s="165"/>
      <c r="AJ2390" s="165"/>
      <c r="AK2390" s="165"/>
      <c r="AL2390" s="165"/>
      <c r="AM2390" s="165"/>
      <c r="AN2390" s="165"/>
    </row>
    <row r="2391" spans="3:40">
      <c r="C2391" s="46"/>
      <c r="F2391" s="173"/>
      <c r="G2391" s="1"/>
      <c r="H2391" s="165"/>
      <c r="I2391" s="160"/>
      <c r="J2391" s="160"/>
      <c r="K2391" s="1"/>
      <c r="L2391" s="123"/>
      <c r="M2391" s="1"/>
      <c r="N2391" s="590"/>
      <c r="O2391" s="165"/>
      <c r="P2391" s="165"/>
      <c r="Q2391" s="165"/>
      <c r="R2391" s="165"/>
      <c r="S2391" s="165"/>
      <c r="V2391" s="46"/>
      <c r="W2391" s="46"/>
      <c r="X2391" s="1"/>
      <c r="Y2391" s="1"/>
      <c r="Z2391" s="173"/>
      <c r="AA2391" s="1"/>
      <c r="AB2391" s="165"/>
      <c r="AC2391" s="1"/>
      <c r="AD2391" s="1"/>
      <c r="AE2391" s="1"/>
      <c r="AF2391" s="46"/>
      <c r="AG2391" s="1"/>
      <c r="AH2391" s="165"/>
      <c r="AI2391" s="165"/>
      <c r="AJ2391" s="165"/>
      <c r="AK2391" s="165"/>
      <c r="AL2391" s="165"/>
      <c r="AM2391" s="165"/>
      <c r="AN2391" s="165"/>
    </row>
    <row r="2392" spans="3:40">
      <c r="C2392" s="46"/>
      <c r="F2392" s="173"/>
      <c r="G2392" s="1"/>
      <c r="H2392" s="165"/>
      <c r="I2392" s="160"/>
      <c r="J2392" s="160"/>
      <c r="K2392" s="1"/>
      <c r="L2392" s="123"/>
      <c r="M2392" s="1"/>
      <c r="N2392" s="590"/>
      <c r="O2392" s="165"/>
      <c r="P2392" s="165"/>
      <c r="Q2392" s="165"/>
      <c r="R2392" s="165"/>
      <c r="S2392" s="165"/>
      <c r="V2392" s="46"/>
      <c r="W2392" s="46"/>
      <c r="X2392" s="1"/>
      <c r="Y2392" s="1"/>
      <c r="Z2392" s="173"/>
      <c r="AA2392" s="1"/>
      <c r="AB2392" s="165"/>
      <c r="AC2392" s="1"/>
      <c r="AD2392" s="1"/>
      <c r="AE2392" s="1"/>
      <c r="AF2392" s="46"/>
      <c r="AG2392" s="1"/>
      <c r="AH2392" s="165"/>
      <c r="AI2392" s="165"/>
      <c r="AJ2392" s="165"/>
      <c r="AK2392" s="165"/>
      <c r="AL2392" s="165"/>
      <c r="AM2392" s="165"/>
      <c r="AN2392" s="165"/>
    </row>
    <row r="2393" spans="3:40">
      <c r="C2393" s="46"/>
      <c r="F2393" s="173"/>
      <c r="G2393" s="1"/>
      <c r="H2393" s="165"/>
      <c r="I2393" s="160"/>
      <c r="J2393" s="160"/>
      <c r="K2393" s="1"/>
      <c r="L2393" s="123"/>
      <c r="M2393" s="1"/>
      <c r="N2393" s="590"/>
      <c r="O2393" s="165"/>
      <c r="P2393" s="165"/>
      <c r="Q2393" s="165"/>
      <c r="R2393" s="165"/>
      <c r="S2393" s="165"/>
      <c r="V2393" s="46"/>
      <c r="W2393" s="46"/>
      <c r="X2393" s="1"/>
      <c r="Y2393" s="1"/>
      <c r="Z2393" s="173"/>
      <c r="AA2393" s="1"/>
      <c r="AB2393" s="165"/>
      <c r="AC2393" s="1"/>
      <c r="AD2393" s="1"/>
      <c r="AE2393" s="1"/>
      <c r="AF2393" s="46"/>
      <c r="AG2393" s="1"/>
      <c r="AH2393" s="165"/>
      <c r="AI2393" s="165"/>
      <c r="AJ2393" s="165"/>
      <c r="AK2393" s="165"/>
      <c r="AL2393" s="165"/>
      <c r="AM2393" s="165"/>
      <c r="AN2393" s="165"/>
    </row>
    <row r="2394" spans="3:40">
      <c r="C2394" s="46"/>
      <c r="F2394" s="173"/>
      <c r="G2394" s="1"/>
      <c r="H2394" s="165"/>
      <c r="I2394" s="160"/>
      <c r="J2394" s="160"/>
      <c r="K2394" s="1"/>
      <c r="L2394" s="123"/>
      <c r="M2394" s="1"/>
      <c r="N2394" s="590"/>
      <c r="O2394" s="165"/>
      <c r="P2394" s="165"/>
      <c r="Q2394" s="165"/>
      <c r="R2394" s="165"/>
      <c r="S2394" s="165"/>
      <c r="V2394" s="46"/>
      <c r="W2394" s="46"/>
      <c r="X2394" s="1"/>
      <c r="Y2394" s="1"/>
      <c r="Z2394" s="173"/>
      <c r="AA2394" s="1"/>
      <c r="AB2394" s="165"/>
      <c r="AC2394" s="1"/>
      <c r="AD2394" s="1"/>
      <c r="AE2394" s="1"/>
      <c r="AF2394" s="46"/>
      <c r="AG2394" s="1"/>
      <c r="AH2394" s="165"/>
      <c r="AI2394" s="165"/>
      <c r="AJ2394" s="165"/>
      <c r="AK2394" s="165"/>
      <c r="AL2394" s="165"/>
      <c r="AM2394" s="165"/>
      <c r="AN2394" s="165"/>
    </row>
    <row r="2395" spans="3:40">
      <c r="C2395" s="46"/>
      <c r="F2395" s="173"/>
      <c r="G2395" s="1"/>
      <c r="H2395" s="165"/>
      <c r="I2395" s="160"/>
      <c r="J2395" s="160"/>
      <c r="K2395" s="1"/>
      <c r="L2395" s="123"/>
      <c r="M2395" s="1"/>
      <c r="N2395" s="590"/>
      <c r="O2395" s="165"/>
      <c r="P2395" s="165"/>
      <c r="Q2395" s="165"/>
      <c r="R2395" s="165"/>
      <c r="S2395" s="165"/>
      <c r="V2395" s="46"/>
      <c r="W2395" s="46"/>
      <c r="X2395" s="1"/>
      <c r="Y2395" s="1"/>
      <c r="Z2395" s="173"/>
      <c r="AA2395" s="1"/>
      <c r="AB2395" s="165"/>
      <c r="AC2395" s="1"/>
      <c r="AD2395" s="1"/>
      <c r="AE2395" s="1"/>
      <c r="AF2395" s="46"/>
      <c r="AG2395" s="1"/>
      <c r="AH2395" s="165"/>
      <c r="AI2395" s="165"/>
      <c r="AJ2395" s="165"/>
      <c r="AK2395" s="165"/>
      <c r="AL2395" s="165"/>
      <c r="AM2395" s="165"/>
      <c r="AN2395" s="165"/>
    </row>
    <row r="2396" spans="3:40">
      <c r="C2396" s="46"/>
      <c r="F2396" s="173"/>
      <c r="G2396" s="1"/>
      <c r="H2396" s="165"/>
      <c r="I2396" s="160"/>
      <c r="J2396" s="160"/>
      <c r="K2396" s="1"/>
      <c r="L2396" s="123"/>
      <c r="M2396" s="1"/>
      <c r="N2396" s="590"/>
      <c r="O2396" s="165"/>
      <c r="P2396" s="165"/>
      <c r="Q2396" s="165"/>
      <c r="R2396" s="165"/>
      <c r="S2396" s="165"/>
      <c r="V2396" s="46"/>
      <c r="W2396" s="46"/>
      <c r="X2396" s="1"/>
      <c r="Y2396" s="1"/>
      <c r="Z2396" s="173"/>
      <c r="AA2396" s="1"/>
      <c r="AB2396" s="165"/>
      <c r="AC2396" s="1"/>
      <c r="AD2396" s="1"/>
      <c r="AE2396" s="1"/>
      <c r="AF2396" s="46"/>
      <c r="AG2396" s="1"/>
      <c r="AH2396" s="165"/>
      <c r="AI2396" s="165"/>
      <c r="AJ2396" s="165"/>
      <c r="AK2396" s="165"/>
      <c r="AL2396" s="165"/>
      <c r="AM2396" s="165"/>
      <c r="AN2396" s="165"/>
    </row>
    <row r="2397" spans="3:40">
      <c r="C2397" s="46"/>
      <c r="F2397" s="173"/>
      <c r="G2397" s="1"/>
      <c r="H2397" s="165"/>
      <c r="I2397" s="160"/>
      <c r="J2397" s="160"/>
      <c r="K2397" s="1"/>
      <c r="L2397" s="123"/>
      <c r="M2397" s="1"/>
      <c r="N2397" s="590"/>
      <c r="O2397" s="165"/>
      <c r="P2397" s="165"/>
      <c r="Q2397" s="165"/>
      <c r="R2397" s="165"/>
      <c r="S2397" s="165"/>
      <c r="V2397" s="46"/>
      <c r="W2397" s="46"/>
      <c r="X2397" s="1"/>
      <c r="Y2397" s="1"/>
      <c r="Z2397" s="173"/>
      <c r="AA2397" s="1"/>
      <c r="AB2397" s="165"/>
      <c r="AC2397" s="1"/>
      <c r="AD2397" s="1"/>
      <c r="AE2397" s="1"/>
      <c r="AF2397" s="46"/>
      <c r="AG2397" s="1"/>
      <c r="AH2397" s="165"/>
      <c r="AI2397" s="165"/>
      <c r="AJ2397" s="165"/>
      <c r="AK2397" s="165"/>
      <c r="AL2397" s="165"/>
      <c r="AM2397" s="165"/>
      <c r="AN2397" s="165"/>
    </row>
    <row r="2398" spans="3:40">
      <c r="C2398" s="46"/>
      <c r="F2398" s="173"/>
      <c r="G2398" s="1"/>
      <c r="H2398" s="165"/>
      <c r="I2398" s="160"/>
      <c r="J2398" s="160"/>
      <c r="K2398" s="1"/>
      <c r="L2398" s="123"/>
      <c r="M2398" s="1"/>
      <c r="N2398" s="590"/>
      <c r="O2398" s="165"/>
      <c r="P2398" s="165"/>
      <c r="Q2398" s="165"/>
      <c r="R2398" s="165"/>
      <c r="S2398" s="165"/>
      <c r="V2398" s="46"/>
      <c r="W2398" s="46"/>
      <c r="X2398" s="1"/>
      <c r="Y2398" s="1"/>
      <c r="Z2398" s="173"/>
      <c r="AA2398" s="1"/>
      <c r="AB2398" s="165"/>
      <c r="AC2398" s="1"/>
      <c r="AD2398" s="1"/>
      <c r="AE2398" s="1"/>
      <c r="AF2398" s="46"/>
      <c r="AG2398" s="1"/>
      <c r="AH2398" s="165"/>
      <c r="AI2398" s="165"/>
      <c r="AJ2398" s="165"/>
      <c r="AK2398" s="165"/>
      <c r="AL2398" s="165"/>
      <c r="AM2398" s="165"/>
      <c r="AN2398" s="165"/>
    </row>
    <row r="2399" spans="3:40">
      <c r="C2399" s="46"/>
      <c r="F2399" s="173"/>
      <c r="G2399" s="1"/>
      <c r="H2399" s="165"/>
      <c r="I2399" s="160"/>
      <c r="J2399" s="160"/>
      <c r="K2399" s="1"/>
      <c r="L2399" s="123"/>
      <c r="M2399" s="1"/>
      <c r="N2399" s="590"/>
      <c r="O2399" s="165"/>
      <c r="P2399" s="165"/>
      <c r="Q2399" s="165"/>
      <c r="R2399" s="165"/>
      <c r="S2399" s="165"/>
      <c r="V2399" s="46"/>
      <c r="W2399" s="46"/>
      <c r="X2399" s="1"/>
      <c r="Y2399" s="1"/>
      <c r="Z2399" s="173"/>
      <c r="AA2399" s="1"/>
      <c r="AB2399" s="165"/>
      <c r="AC2399" s="1"/>
      <c r="AD2399" s="1"/>
      <c r="AE2399" s="1"/>
      <c r="AF2399" s="46"/>
      <c r="AG2399" s="1"/>
      <c r="AH2399" s="165"/>
      <c r="AI2399" s="165"/>
      <c r="AJ2399" s="165"/>
      <c r="AK2399" s="165"/>
      <c r="AL2399" s="165"/>
      <c r="AM2399" s="165"/>
      <c r="AN2399" s="165"/>
    </row>
    <row r="2400" spans="3:40">
      <c r="C2400" s="46"/>
      <c r="F2400" s="173"/>
      <c r="G2400" s="1"/>
      <c r="H2400" s="165"/>
      <c r="I2400" s="160"/>
      <c r="J2400" s="160"/>
      <c r="K2400" s="1"/>
      <c r="L2400" s="123"/>
      <c r="M2400" s="1"/>
      <c r="N2400" s="590"/>
      <c r="O2400" s="165"/>
      <c r="P2400" s="165"/>
      <c r="Q2400" s="165"/>
      <c r="R2400" s="165"/>
      <c r="S2400" s="165"/>
      <c r="V2400" s="46"/>
      <c r="W2400" s="46"/>
      <c r="X2400" s="1"/>
      <c r="Y2400" s="1"/>
      <c r="Z2400" s="173"/>
      <c r="AA2400" s="1"/>
      <c r="AB2400" s="165"/>
      <c r="AC2400" s="1"/>
      <c r="AD2400" s="1"/>
      <c r="AE2400" s="1"/>
      <c r="AF2400" s="46"/>
      <c r="AG2400" s="1"/>
      <c r="AH2400" s="165"/>
      <c r="AI2400" s="165"/>
      <c r="AJ2400" s="165"/>
      <c r="AK2400" s="165"/>
      <c r="AL2400" s="165"/>
      <c r="AM2400" s="165"/>
      <c r="AN2400" s="165"/>
    </row>
    <row r="2401" spans="3:40">
      <c r="C2401" s="46"/>
      <c r="F2401" s="173"/>
      <c r="G2401" s="1"/>
      <c r="H2401" s="165"/>
      <c r="I2401" s="160"/>
      <c r="J2401" s="160"/>
      <c r="K2401" s="1"/>
      <c r="L2401" s="123"/>
      <c r="M2401" s="1"/>
      <c r="N2401" s="590"/>
      <c r="O2401" s="165"/>
      <c r="P2401" s="165"/>
      <c r="Q2401" s="165"/>
      <c r="R2401" s="165"/>
      <c r="S2401" s="165"/>
      <c r="V2401" s="46"/>
      <c r="W2401" s="46"/>
      <c r="X2401" s="1"/>
      <c r="Y2401" s="1"/>
      <c r="Z2401" s="173"/>
      <c r="AA2401" s="1"/>
      <c r="AB2401" s="165"/>
      <c r="AC2401" s="1"/>
      <c r="AD2401" s="1"/>
      <c r="AE2401" s="1"/>
      <c r="AF2401" s="46"/>
      <c r="AG2401" s="1"/>
      <c r="AH2401" s="165"/>
      <c r="AI2401" s="165"/>
      <c r="AJ2401" s="165"/>
      <c r="AK2401" s="165"/>
      <c r="AL2401" s="165"/>
      <c r="AM2401" s="165"/>
      <c r="AN2401" s="165"/>
    </row>
    <row r="2402" spans="3:40">
      <c r="C2402" s="46"/>
      <c r="F2402" s="173"/>
      <c r="G2402" s="1"/>
      <c r="H2402" s="165"/>
      <c r="I2402" s="160"/>
      <c r="J2402" s="160"/>
      <c r="K2402" s="1"/>
      <c r="L2402" s="123"/>
      <c r="M2402" s="1"/>
      <c r="N2402" s="590"/>
      <c r="O2402" s="165"/>
      <c r="P2402" s="165"/>
      <c r="Q2402" s="165"/>
      <c r="R2402" s="165"/>
      <c r="S2402" s="165"/>
      <c r="V2402" s="46"/>
      <c r="W2402" s="46"/>
      <c r="X2402" s="1"/>
      <c r="Y2402" s="1"/>
      <c r="Z2402" s="173"/>
      <c r="AA2402" s="1"/>
      <c r="AB2402" s="165"/>
      <c r="AC2402" s="1"/>
      <c r="AD2402" s="1"/>
      <c r="AE2402" s="1"/>
      <c r="AF2402" s="46"/>
      <c r="AG2402" s="1"/>
      <c r="AH2402" s="165"/>
      <c r="AI2402" s="165"/>
      <c r="AJ2402" s="165"/>
      <c r="AK2402" s="165"/>
      <c r="AL2402" s="165"/>
      <c r="AM2402" s="165"/>
      <c r="AN2402" s="165"/>
    </row>
    <row r="2403" spans="3:40">
      <c r="C2403" s="46"/>
      <c r="F2403" s="173"/>
      <c r="G2403" s="1"/>
      <c r="H2403" s="165"/>
      <c r="I2403" s="160"/>
      <c r="J2403" s="160"/>
      <c r="K2403" s="1"/>
      <c r="L2403" s="123"/>
      <c r="M2403" s="1"/>
      <c r="N2403" s="590"/>
      <c r="O2403" s="165"/>
      <c r="P2403" s="165"/>
      <c r="Q2403" s="165"/>
      <c r="R2403" s="165"/>
      <c r="S2403" s="165"/>
      <c r="V2403" s="46"/>
      <c r="W2403" s="46"/>
      <c r="X2403" s="1"/>
      <c r="Y2403" s="1"/>
      <c r="Z2403" s="173"/>
      <c r="AA2403" s="1"/>
      <c r="AB2403" s="165"/>
      <c r="AC2403" s="1"/>
      <c r="AD2403" s="1"/>
      <c r="AE2403" s="1"/>
      <c r="AF2403" s="46"/>
      <c r="AG2403" s="1"/>
      <c r="AH2403" s="165"/>
      <c r="AI2403" s="165"/>
      <c r="AJ2403" s="165"/>
      <c r="AK2403" s="165"/>
      <c r="AL2403" s="165"/>
      <c r="AM2403" s="165"/>
      <c r="AN2403" s="165"/>
    </row>
    <row r="2404" spans="3:40">
      <c r="C2404" s="46"/>
      <c r="F2404" s="173"/>
      <c r="G2404" s="1"/>
      <c r="H2404" s="165"/>
      <c r="I2404" s="160"/>
      <c r="J2404" s="160"/>
      <c r="K2404" s="1"/>
      <c r="L2404" s="123"/>
      <c r="M2404" s="1"/>
      <c r="N2404" s="590"/>
      <c r="O2404" s="165"/>
      <c r="P2404" s="165"/>
      <c r="Q2404" s="165"/>
      <c r="R2404" s="165"/>
      <c r="S2404" s="165"/>
      <c r="V2404" s="46"/>
      <c r="W2404" s="46"/>
      <c r="X2404" s="1"/>
      <c r="Y2404" s="1"/>
      <c r="Z2404" s="173"/>
      <c r="AA2404" s="1"/>
      <c r="AB2404" s="165"/>
      <c r="AC2404" s="1"/>
      <c r="AD2404" s="1"/>
      <c r="AE2404" s="1"/>
      <c r="AF2404" s="46"/>
      <c r="AG2404" s="1"/>
      <c r="AH2404" s="165"/>
      <c r="AI2404" s="165"/>
      <c r="AJ2404" s="165"/>
      <c r="AK2404" s="165"/>
      <c r="AL2404" s="165"/>
      <c r="AM2404" s="165"/>
      <c r="AN2404" s="165"/>
    </row>
    <row r="2405" spans="3:40">
      <c r="C2405" s="46"/>
      <c r="F2405" s="173"/>
      <c r="G2405" s="1"/>
      <c r="H2405" s="165"/>
      <c r="I2405" s="160"/>
      <c r="J2405" s="160"/>
      <c r="K2405" s="1"/>
      <c r="L2405" s="123"/>
      <c r="M2405" s="1"/>
      <c r="N2405" s="590"/>
      <c r="O2405" s="165"/>
      <c r="P2405" s="165"/>
      <c r="Q2405" s="165"/>
      <c r="R2405" s="165"/>
      <c r="S2405" s="165"/>
      <c r="V2405" s="46"/>
      <c r="W2405" s="46"/>
      <c r="X2405" s="1"/>
      <c r="Y2405" s="1"/>
      <c r="Z2405" s="173"/>
      <c r="AA2405" s="1"/>
      <c r="AB2405" s="165"/>
      <c r="AC2405" s="1"/>
      <c r="AD2405" s="1"/>
      <c r="AE2405" s="1"/>
      <c r="AF2405" s="46"/>
      <c r="AG2405" s="1"/>
      <c r="AH2405" s="165"/>
      <c r="AI2405" s="165"/>
      <c r="AJ2405" s="165"/>
      <c r="AK2405" s="165"/>
      <c r="AL2405" s="165"/>
      <c r="AM2405" s="165"/>
      <c r="AN2405" s="165"/>
    </row>
    <row r="2406" spans="3:40">
      <c r="C2406" s="46"/>
      <c r="F2406" s="173"/>
      <c r="G2406" s="1"/>
      <c r="H2406" s="165"/>
      <c r="I2406" s="160"/>
      <c r="J2406" s="160"/>
      <c r="K2406" s="1"/>
      <c r="L2406" s="123"/>
      <c r="M2406" s="1"/>
      <c r="N2406" s="590"/>
      <c r="O2406" s="165"/>
      <c r="P2406" s="165"/>
      <c r="Q2406" s="165"/>
      <c r="R2406" s="165"/>
      <c r="S2406" s="165"/>
      <c r="V2406" s="46"/>
      <c r="W2406" s="46"/>
      <c r="X2406" s="1"/>
      <c r="Y2406" s="1"/>
      <c r="Z2406" s="173"/>
      <c r="AA2406" s="1"/>
      <c r="AB2406" s="165"/>
      <c r="AC2406" s="1"/>
      <c r="AD2406" s="1"/>
      <c r="AE2406" s="1"/>
      <c r="AF2406" s="46"/>
      <c r="AG2406" s="1"/>
      <c r="AH2406" s="165"/>
      <c r="AI2406" s="165"/>
      <c r="AJ2406" s="165"/>
      <c r="AK2406" s="165"/>
      <c r="AL2406" s="165"/>
      <c r="AM2406" s="165"/>
      <c r="AN2406" s="165"/>
    </row>
    <row r="2407" spans="3:40">
      <c r="C2407" s="46"/>
      <c r="F2407" s="173"/>
      <c r="G2407" s="1"/>
      <c r="H2407" s="165"/>
      <c r="I2407" s="160"/>
      <c r="J2407" s="160"/>
      <c r="K2407" s="1"/>
      <c r="L2407" s="123"/>
      <c r="M2407" s="1"/>
      <c r="N2407" s="590"/>
      <c r="O2407" s="165"/>
      <c r="P2407" s="165"/>
      <c r="Q2407" s="165"/>
      <c r="R2407" s="165"/>
      <c r="S2407" s="165"/>
      <c r="V2407" s="46"/>
      <c r="W2407" s="46"/>
      <c r="X2407" s="1"/>
      <c r="Y2407" s="1"/>
      <c r="Z2407" s="173"/>
      <c r="AA2407" s="1"/>
      <c r="AB2407" s="165"/>
      <c r="AC2407" s="1"/>
      <c r="AD2407" s="1"/>
      <c r="AE2407" s="1"/>
      <c r="AF2407" s="46"/>
      <c r="AG2407" s="1"/>
      <c r="AH2407" s="165"/>
      <c r="AI2407" s="165"/>
      <c r="AJ2407" s="165"/>
      <c r="AK2407" s="165"/>
      <c r="AL2407" s="165"/>
      <c r="AM2407" s="165"/>
      <c r="AN2407" s="165"/>
    </row>
    <row r="2408" spans="3:40">
      <c r="C2408" s="46"/>
      <c r="F2408" s="173"/>
      <c r="G2408" s="1"/>
      <c r="H2408" s="165"/>
      <c r="I2408" s="160"/>
      <c r="J2408" s="160"/>
      <c r="K2408" s="1"/>
      <c r="L2408" s="123"/>
      <c r="M2408" s="1"/>
      <c r="N2408" s="590"/>
      <c r="O2408" s="165"/>
      <c r="P2408" s="165"/>
      <c r="Q2408" s="165"/>
      <c r="R2408" s="165"/>
      <c r="S2408" s="165"/>
      <c r="V2408" s="46"/>
      <c r="W2408" s="46"/>
      <c r="X2408" s="1"/>
      <c r="Y2408" s="1"/>
      <c r="Z2408" s="173"/>
      <c r="AA2408" s="1"/>
      <c r="AB2408" s="165"/>
      <c r="AC2408" s="1"/>
      <c r="AD2408" s="1"/>
      <c r="AE2408" s="1"/>
      <c r="AF2408" s="46"/>
      <c r="AG2408" s="1"/>
      <c r="AH2408" s="165"/>
      <c r="AI2408" s="165"/>
      <c r="AJ2408" s="165"/>
      <c r="AK2408" s="165"/>
      <c r="AL2408" s="165"/>
      <c r="AM2408" s="165"/>
      <c r="AN2408" s="165"/>
    </row>
    <row r="2409" spans="3:40">
      <c r="C2409" s="46"/>
      <c r="F2409" s="173"/>
      <c r="G2409" s="1"/>
      <c r="H2409" s="165"/>
      <c r="I2409" s="160"/>
      <c r="J2409" s="160"/>
      <c r="K2409" s="1"/>
      <c r="L2409" s="123"/>
      <c r="M2409" s="1"/>
      <c r="N2409" s="590"/>
      <c r="O2409" s="165"/>
      <c r="P2409" s="165"/>
      <c r="Q2409" s="165"/>
      <c r="R2409" s="165"/>
      <c r="S2409" s="165"/>
      <c r="V2409" s="46"/>
      <c r="W2409" s="46"/>
      <c r="X2409" s="1"/>
      <c r="Y2409" s="1"/>
      <c r="Z2409" s="173"/>
      <c r="AA2409" s="1"/>
      <c r="AB2409" s="165"/>
      <c r="AC2409" s="1"/>
      <c r="AD2409" s="1"/>
      <c r="AE2409" s="1"/>
      <c r="AF2409" s="46"/>
      <c r="AG2409" s="1"/>
      <c r="AH2409" s="165"/>
      <c r="AI2409" s="165"/>
      <c r="AJ2409" s="165"/>
      <c r="AK2409" s="165"/>
      <c r="AL2409" s="165"/>
      <c r="AM2409" s="165"/>
      <c r="AN2409" s="165"/>
    </row>
    <row r="2410" spans="3:40">
      <c r="C2410" s="46"/>
      <c r="F2410" s="173"/>
      <c r="G2410" s="1"/>
      <c r="H2410" s="165"/>
      <c r="I2410" s="160"/>
      <c r="J2410" s="160"/>
      <c r="K2410" s="1"/>
      <c r="L2410" s="123"/>
      <c r="M2410" s="1"/>
      <c r="N2410" s="590"/>
      <c r="O2410" s="165"/>
      <c r="P2410" s="165"/>
      <c r="Q2410" s="165"/>
      <c r="R2410" s="165"/>
      <c r="S2410" s="165"/>
      <c r="V2410" s="46"/>
      <c r="W2410" s="46"/>
      <c r="X2410" s="1"/>
      <c r="Y2410" s="1"/>
      <c r="Z2410" s="173"/>
      <c r="AA2410" s="1"/>
      <c r="AB2410" s="165"/>
      <c r="AC2410" s="1"/>
      <c r="AD2410" s="1"/>
      <c r="AE2410" s="1"/>
      <c r="AF2410" s="46"/>
      <c r="AG2410" s="1"/>
      <c r="AH2410" s="165"/>
      <c r="AI2410" s="165"/>
      <c r="AJ2410" s="165"/>
      <c r="AK2410" s="165"/>
      <c r="AL2410" s="165"/>
      <c r="AM2410" s="165"/>
      <c r="AN2410" s="165"/>
    </row>
    <row r="2411" spans="3:40">
      <c r="C2411" s="46"/>
      <c r="F2411" s="173"/>
      <c r="G2411" s="1"/>
      <c r="H2411" s="165"/>
      <c r="I2411" s="160"/>
      <c r="J2411" s="160"/>
      <c r="K2411" s="1"/>
      <c r="L2411" s="123"/>
      <c r="M2411" s="1"/>
      <c r="N2411" s="590"/>
      <c r="O2411" s="165"/>
      <c r="P2411" s="165"/>
      <c r="Q2411" s="165"/>
      <c r="R2411" s="165"/>
      <c r="S2411" s="165"/>
      <c r="V2411" s="46"/>
      <c r="W2411" s="46"/>
      <c r="X2411" s="1"/>
      <c r="Y2411" s="1"/>
      <c r="Z2411" s="173"/>
      <c r="AA2411" s="1"/>
      <c r="AB2411" s="165"/>
      <c r="AC2411" s="1"/>
      <c r="AD2411" s="1"/>
      <c r="AE2411" s="1"/>
      <c r="AF2411" s="46"/>
      <c r="AG2411" s="1"/>
      <c r="AH2411" s="165"/>
      <c r="AI2411" s="165"/>
      <c r="AJ2411" s="165"/>
      <c r="AK2411" s="165"/>
      <c r="AL2411" s="165"/>
      <c r="AM2411" s="165"/>
      <c r="AN2411" s="165"/>
    </row>
    <row r="2412" spans="3:40">
      <c r="C2412" s="46"/>
      <c r="F2412" s="173"/>
      <c r="G2412" s="1"/>
      <c r="H2412" s="165"/>
      <c r="I2412" s="160"/>
      <c r="J2412" s="160"/>
      <c r="K2412" s="1"/>
      <c r="L2412" s="123"/>
      <c r="M2412" s="1"/>
      <c r="N2412" s="590"/>
      <c r="O2412" s="165"/>
      <c r="P2412" s="165"/>
      <c r="Q2412" s="165"/>
      <c r="R2412" s="165"/>
      <c r="S2412" s="165"/>
      <c r="V2412" s="46"/>
      <c r="W2412" s="46"/>
      <c r="X2412" s="1"/>
      <c r="Y2412" s="1"/>
      <c r="Z2412" s="173"/>
      <c r="AA2412" s="1"/>
      <c r="AB2412" s="165"/>
      <c r="AC2412" s="1"/>
      <c r="AD2412" s="1"/>
      <c r="AE2412" s="1"/>
      <c r="AF2412" s="46"/>
      <c r="AG2412" s="1"/>
      <c r="AH2412" s="165"/>
      <c r="AI2412" s="165"/>
      <c r="AJ2412" s="165"/>
      <c r="AK2412" s="165"/>
      <c r="AL2412" s="165"/>
      <c r="AM2412" s="165"/>
      <c r="AN2412" s="165"/>
    </row>
    <row r="2413" spans="3:40">
      <c r="C2413" s="46"/>
      <c r="F2413" s="173"/>
      <c r="G2413" s="1"/>
      <c r="H2413" s="165"/>
      <c r="I2413" s="160"/>
      <c r="J2413" s="160"/>
      <c r="K2413" s="1"/>
      <c r="L2413" s="123"/>
      <c r="M2413" s="1"/>
      <c r="N2413" s="590"/>
      <c r="O2413" s="165"/>
      <c r="P2413" s="165"/>
      <c r="Q2413" s="165"/>
      <c r="R2413" s="165"/>
      <c r="S2413" s="165"/>
      <c r="V2413" s="46"/>
      <c r="W2413" s="46"/>
      <c r="X2413" s="1"/>
      <c r="Y2413" s="1"/>
      <c r="Z2413" s="173"/>
      <c r="AA2413" s="1"/>
      <c r="AB2413" s="165"/>
      <c r="AC2413" s="1"/>
      <c r="AD2413" s="1"/>
      <c r="AE2413" s="1"/>
      <c r="AF2413" s="46"/>
      <c r="AG2413" s="1"/>
      <c r="AH2413" s="165"/>
      <c r="AI2413" s="165"/>
      <c r="AJ2413" s="165"/>
      <c r="AK2413" s="165"/>
      <c r="AL2413" s="165"/>
      <c r="AM2413" s="165"/>
      <c r="AN2413" s="165"/>
    </row>
    <row r="2414" spans="3:40">
      <c r="C2414" s="46"/>
      <c r="F2414" s="173"/>
      <c r="G2414" s="1"/>
      <c r="H2414" s="165"/>
      <c r="I2414" s="160"/>
      <c r="J2414" s="160"/>
      <c r="K2414" s="1"/>
      <c r="L2414" s="123"/>
      <c r="M2414" s="1"/>
      <c r="N2414" s="590"/>
      <c r="O2414" s="165"/>
      <c r="P2414" s="165"/>
      <c r="Q2414" s="165"/>
      <c r="R2414" s="165"/>
      <c r="S2414" s="165"/>
      <c r="V2414" s="46"/>
      <c r="W2414" s="46"/>
      <c r="X2414" s="1"/>
      <c r="Y2414" s="1"/>
      <c r="Z2414" s="173"/>
      <c r="AA2414" s="1"/>
      <c r="AB2414" s="165"/>
      <c r="AC2414" s="1"/>
      <c r="AD2414" s="1"/>
      <c r="AE2414" s="1"/>
      <c r="AF2414" s="46"/>
      <c r="AG2414" s="1"/>
      <c r="AH2414" s="165"/>
      <c r="AI2414" s="165"/>
      <c r="AJ2414" s="165"/>
      <c r="AK2414" s="165"/>
      <c r="AL2414" s="165"/>
      <c r="AM2414" s="165"/>
      <c r="AN2414" s="165"/>
    </row>
    <row r="2415" spans="3:40">
      <c r="C2415" s="46"/>
      <c r="F2415" s="173"/>
      <c r="G2415" s="1"/>
      <c r="H2415" s="165"/>
      <c r="I2415" s="160"/>
      <c r="J2415" s="160"/>
      <c r="K2415" s="1"/>
      <c r="L2415" s="123"/>
      <c r="M2415" s="1"/>
      <c r="N2415" s="590"/>
      <c r="O2415" s="165"/>
      <c r="P2415" s="165"/>
      <c r="Q2415" s="165"/>
      <c r="R2415" s="165"/>
      <c r="S2415" s="165"/>
      <c r="V2415" s="46"/>
      <c r="W2415" s="46"/>
      <c r="X2415" s="1"/>
      <c r="Y2415" s="1"/>
      <c r="Z2415" s="173"/>
      <c r="AA2415" s="1"/>
      <c r="AB2415" s="165"/>
      <c r="AC2415" s="1"/>
      <c r="AD2415" s="1"/>
      <c r="AE2415" s="1"/>
      <c r="AF2415" s="46"/>
      <c r="AG2415" s="1"/>
      <c r="AH2415" s="165"/>
      <c r="AI2415" s="165"/>
      <c r="AJ2415" s="165"/>
      <c r="AK2415" s="165"/>
      <c r="AL2415" s="165"/>
      <c r="AM2415" s="165"/>
      <c r="AN2415" s="165"/>
    </row>
    <row r="2416" spans="3:40">
      <c r="C2416" s="46"/>
      <c r="F2416" s="173"/>
      <c r="G2416" s="1"/>
      <c r="H2416" s="165"/>
      <c r="I2416" s="160"/>
      <c r="J2416" s="160"/>
      <c r="K2416" s="1"/>
      <c r="L2416" s="123"/>
      <c r="M2416" s="1"/>
      <c r="N2416" s="590"/>
      <c r="O2416" s="165"/>
      <c r="P2416" s="165"/>
      <c r="Q2416" s="165"/>
      <c r="R2416" s="165"/>
      <c r="S2416" s="165"/>
      <c r="V2416" s="46"/>
      <c r="W2416" s="46"/>
      <c r="X2416" s="1"/>
      <c r="Y2416" s="1"/>
      <c r="Z2416" s="173"/>
      <c r="AA2416" s="1"/>
      <c r="AB2416" s="165"/>
      <c r="AC2416" s="1"/>
      <c r="AD2416" s="1"/>
      <c r="AE2416" s="1"/>
      <c r="AF2416" s="46"/>
      <c r="AG2416" s="1"/>
      <c r="AH2416" s="165"/>
      <c r="AI2416" s="165"/>
      <c r="AJ2416" s="165"/>
      <c r="AK2416" s="165"/>
      <c r="AL2416" s="165"/>
      <c r="AM2416" s="165"/>
      <c r="AN2416" s="165"/>
    </row>
    <row r="2417" spans="3:40">
      <c r="C2417" s="46"/>
      <c r="F2417" s="173"/>
      <c r="G2417" s="1"/>
      <c r="H2417" s="165"/>
      <c r="I2417" s="160"/>
      <c r="J2417" s="160"/>
      <c r="K2417" s="1"/>
      <c r="L2417" s="123"/>
      <c r="M2417" s="1"/>
      <c r="N2417" s="590"/>
      <c r="O2417" s="165"/>
      <c r="P2417" s="165"/>
      <c r="Q2417" s="165"/>
      <c r="R2417" s="165"/>
      <c r="S2417" s="165"/>
      <c r="V2417" s="46"/>
      <c r="W2417" s="46"/>
      <c r="X2417" s="1"/>
      <c r="Y2417" s="1"/>
      <c r="Z2417" s="173"/>
      <c r="AA2417" s="1"/>
      <c r="AB2417" s="165"/>
      <c r="AC2417" s="1"/>
      <c r="AD2417" s="1"/>
      <c r="AE2417" s="1"/>
      <c r="AF2417" s="46"/>
      <c r="AG2417" s="1"/>
      <c r="AH2417" s="165"/>
      <c r="AI2417" s="165"/>
      <c r="AJ2417" s="165"/>
      <c r="AK2417" s="165"/>
      <c r="AL2417" s="165"/>
      <c r="AM2417" s="165"/>
      <c r="AN2417" s="165"/>
    </row>
    <row r="2418" spans="3:40">
      <c r="C2418" s="46"/>
      <c r="F2418" s="173"/>
      <c r="G2418" s="1"/>
      <c r="H2418" s="165"/>
      <c r="I2418" s="160"/>
      <c r="J2418" s="160"/>
      <c r="K2418" s="1"/>
      <c r="L2418" s="123"/>
      <c r="M2418" s="1"/>
      <c r="N2418" s="590"/>
      <c r="O2418" s="165"/>
      <c r="P2418" s="165"/>
      <c r="Q2418" s="165"/>
      <c r="R2418" s="165"/>
      <c r="S2418" s="165"/>
      <c r="V2418" s="46"/>
      <c r="W2418" s="46"/>
      <c r="X2418" s="1"/>
      <c r="Y2418" s="1"/>
      <c r="Z2418" s="173"/>
      <c r="AA2418" s="1"/>
      <c r="AB2418" s="165"/>
      <c r="AC2418" s="1"/>
      <c r="AD2418" s="1"/>
      <c r="AE2418" s="1"/>
      <c r="AF2418" s="46"/>
      <c r="AG2418" s="1"/>
      <c r="AH2418" s="165"/>
      <c r="AI2418" s="165"/>
      <c r="AJ2418" s="165"/>
      <c r="AK2418" s="165"/>
      <c r="AL2418" s="165"/>
      <c r="AM2418" s="165"/>
      <c r="AN2418" s="165"/>
    </row>
    <row r="2419" spans="3:40">
      <c r="C2419" s="46"/>
      <c r="F2419" s="173"/>
      <c r="G2419" s="1"/>
      <c r="H2419" s="165"/>
      <c r="I2419" s="160"/>
      <c r="J2419" s="160"/>
      <c r="K2419" s="1"/>
      <c r="L2419" s="123"/>
      <c r="M2419" s="1"/>
      <c r="N2419" s="590"/>
      <c r="O2419" s="165"/>
      <c r="P2419" s="165"/>
      <c r="Q2419" s="165"/>
      <c r="R2419" s="165"/>
      <c r="S2419" s="165"/>
      <c r="V2419" s="46"/>
      <c r="W2419" s="46"/>
      <c r="X2419" s="1"/>
      <c r="Y2419" s="1"/>
      <c r="Z2419" s="173"/>
      <c r="AA2419" s="1"/>
      <c r="AB2419" s="165"/>
      <c r="AC2419" s="1"/>
      <c r="AD2419" s="1"/>
      <c r="AE2419" s="1"/>
      <c r="AF2419" s="46"/>
      <c r="AG2419" s="1"/>
      <c r="AH2419" s="165"/>
      <c r="AI2419" s="165"/>
      <c r="AJ2419" s="165"/>
      <c r="AK2419" s="165"/>
      <c r="AL2419" s="165"/>
      <c r="AM2419" s="165"/>
      <c r="AN2419" s="165"/>
    </row>
    <row r="2420" spans="3:40">
      <c r="C2420" s="46"/>
      <c r="F2420" s="173"/>
      <c r="G2420" s="1"/>
      <c r="H2420" s="165"/>
      <c r="I2420" s="160"/>
      <c r="J2420" s="160"/>
      <c r="K2420" s="1"/>
      <c r="L2420" s="123"/>
      <c r="M2420" s="1"/>
      <c r="N2420" s="590"/>
      <c r="O2420" s="165"/>
      <c r="P2420" s="165"/>
      <c r="Q2420" s="165"/>
      <c r="R2420" s="165"/>
      <c r="S2420" s="165"/>
      <c r="V2420" s="46"/>
      <c r="W2420" s="46"/>
      <c r="X2420" s="1"/>
      <c r="Y2420" s="1"/>
      <c r="Z2420" s="173"/>
      <c r="AA2420" s="1"/>
      <c r="AB2420" s="165"/>
      <c r="AC2420" s="1"/>
      <c r="AD2420" s="1"/>
      <c r="AE2420" s="1"/>
      <c r="AF2420" s="46"/>
      <c r="AG2420" s="1"/>
      <c r="AH2420" s="165"/>
      <c r="AI2420" s="165"/>
      <c r="AJ2420" s="165"/>
      <c r="AK2420" s="165"/>
      <c r="AL2420" s="165"/>
      <c r="AM2420" s="165"/>
      <c r="AN2420" s="165"/>
    </row>
    <row r="2421" spans="3:40">
      <c r="C2421" s="46"/>
      <c r="F2421" s="173"/>
      <c r="G2421" s="1"/>
      <c r="H2421" s="165"/>
      <c r="I2421" s="160"/>
      <c r="J2421" s="160"/>
      <c r="K2421" s="1"/>
      <c r="L2421" s="123"/>
      <c r="M2421" s="1"/>
      <c r="N2421" s="590"/>
      <c r="O2421" s="165"/>
      <c r="P2421" s="165"/>
      <c r="Q2421" s="165"/>
      <c r="R2421" s="165"/>
      <c r="S2421" s="165"/>
      <c r="V2421" s="46"/>
      <c r="W2421" s="46"/>
      <c r="X2421" s="1"/>
      <c r="Y2421" s="1"/>
      <c r="Z2421" s="173"/>
      <c r="AA2421" s="1"/>
      <c r="AB2421" s="165"/>
      <c r="AC2421" s="1"/>
      <c r="AD2421" s="1"/>
      <c r="AE2421" s="1"/>
      <c r="AF2421" s="46"/>
      <c r="AG2421" s="1"/>
      <c r="AH2421" s="165"/>
      <c r="AI2421" s="165"/>
      <c r="AJ2421" s="165"/>
      <c r="AK2421" s="165"/>
      <c r="AL2421" s="165"/>
      <c r="AM2421" s="165"/>
      <c r="AN2421" s="165"/>
    </row>
    <row r="2422" spans="3:40">
      <c r="C2422" s="46"/>
      <c r="F2422" s="173"/>
      <c r="G2422" s="1"/>
      <c r="H2422" s="165"/>
      <c r="I2422" s="160"/>
      <c r="J2422" s="160"/>
      <c r="K2422" s="1"/>
      <c r="L2422" s="123"/>
      <c r="M2422" s="1"/>
      <c r="N2422" s="590"/>
      <c r="O2422" s="165"/>
      <c r="P2422" s="165"/>
      <c r="Q2422" s="165"/>
      <c r="R2422" s="165"/>
      <c r="S2422" s="165"/>
      <c r="V2422" s="46"/>
      <c r="W2422" s="46"/>
      <c r="X2422" s="1"/>
      <c r="Y2422" s="1"/>
      <c r="Z2422" s="173"/>
      <c r="AA2422" s="1"/>
      <c r="AB2422" s="165"/>
      <c r="AC2422" s="1"/>
      <c r="AD2422" s="1"/>
      <c r="AE2422" s="1"/>
      <c r="AF2422" s="46"/>
      <c r="AG2422" s="1"/>
      <c r="AH2422" s="165"/>
      <c r="AI2422" s="165"/>
      <c r="AJ2422" s="165"/>
      <c r="AK2422" s="165"/>
      <c r="AL2422" s="165"/>
      <c r="AM2422" s="165"/>
      <c r="AN2422" s="165"/>
    </row>
    <row r="2423" spans="3:40">
      <c r="C2423" s="46"/>
      <c r="F2423" s="173"/>
      <c r="G2423" s="1"/>
      <c r="H2423" s="165"/>
      <c r="I2423" s="160"/>
      <c r="J2423" s="160"/>
      <c r="K2423" s="1"/>
      <c r="L2423" s="123"/>
      <c r="M2423" s="1"/>
      <c r="N2423" s="590"/>
      <c r="O2423" s="165"/>
      <c r="P2423" s="165"/>
      <c r="Q2423" s="165"/>
      <c r="R2423" s="165"/>
      <c r="S2423" s="165"/>
      <c r="V2423" s="46"/>
      <c r="W2423" s="46"/>
      <c r="X2423" s="1"/>
      <c r="Y2423" s="1"/>
      <c r="Z2423" s="173"/>
      <c r="AA2423" s="1"/>
      <c r="AB2423" s="165"/>
      <c r="AC2423" s="1"/>
      <c r="AD2423" s="1"/>
      <c r="AE2423" s="1"/>
      <c r="AF2423" s="46"/>
      <c r="AG2423" s="1"/>
      <c r="AH2423" s="165"/>
      <c r="AI2423" s="165"/>
      <c r="AJ2423" s="165"/>
      <c r="AK2423" s="165"/>
      <c r="AL2423" s="165"/>
      <c r="AM2423" s="165"/>
      <c r="AN2423" s="165"/>
    </row>
    <row r="2424" spans="3:40">
      <c r="C2424" s="46"/>
      <c r="F2424" s="173"/>
      <c r="G2424" s="1"/>
      <c r="H2424" s="165"/>
      <c r="I2424" s="160"/>
      <c r="J2424" s="160"/>
      <c r="K2424" s="1"/>
      <c r="L2424" s="123"/>
      <c r="M2424" s="1"/>
      <c r="N2424" s="590"/>
      <c r="O2424" s="165"/>
      <c r="P2424" s="165"/>
      <c r="Q2424" s="165"/>
      <c r="R2424" s="165"/>
      <c r="S2424" s="165"/>
      <c r="V2424" s="46"/>
      <c r="W2424" s="46"/>
      <c r="X2424" s="1"/>
      <c r="Y2424" s="1"/>
      <c r="Z2424" s="173"/>
      <c r="AA2424" s="1"/>
      <c r="AB2424" s="165"/>
      <c r="AC2424" s="1"/>
      <c r="AD2424" s="1"/>
      <c r="AE2424" s="1"/>
      <c r="AF2424" s="46"/>
      <c r="AG2424" s="1"/>
      <c r="AH2424" s="165"/>
      <c r="AI2424" s="165"/>
      <c r="AJ2424" s="165"/>
      <c r="AK2424" s="165"/>
      <c r="AL2424" s="165"/>
      <c r="AM2424" s="165"/>
      <c r="AN2424" s="165"/>
    </row>
    <row r="2425" spans="3:40">
      <c r="C2425" s="46"/>
      <c r="F2425" s="173"/>
      <c r="G2425" s="1"/>
      <c r="H2425" s="165"/>
      <c r="I2425" s="160"/>
      <c r="J2425" s="160"/>
      <c r="K2425" s="1"/>
      <c r="L2425" s="123"/>
      <c r="M2425" s="1"/>
      <c r="N2425" s="590"/>
      <c r="O2425" s="165"/>
      <c r="P2425" s="165"/>
      <c r="Q2425" s="165"/>
      <c r="R2425" s="165"/>
      <c r="S2425" s="165"/>
      <c r="V2425" s="46"/>
      <c r="W2425" s="46"/>
      <c r="X2425" s="1"/>
      <c r="Y2425" s="1"/>
      <c r="Z2425" s="173"/>
      <c r="AA2425" s="1"/>
      <c r="AB2425" s="165"/>
      <c r="AC2425" s="1"/>
      <c r="AD2425" s="1"/>
      <c r="AE2425" s="1"/>
      <c r="AF2425" s="46"/>
      <c r="AG2425" s="1"/>
      <c r="AH2425" s="165"/>
      <c r="AI2425" s="165"/>
      <c r="AJ2425" s="165"/>
      <c r="AK2425" s="165"/>
      <c r="AL2425" s="165"/>
      <c r="AM2425" s="165"/>
      <c r="AN2425" s="165"/>
    </row>
    <row r="2426" spans="3:40">
      <c r="C2426" s="46"/>
      <c r="F2426" s="173"/>
      <c r="G2426" s="1"/>
      <c r="H2426" s="165"/>
      <c r="I2426" s="160"/>
      <c r="J2426" s="160"/>
      <c r="K2426" s="1"/>
      <c r="L2426" s="123"/>
      <c r="M2426" s="1"/>
      <c r="N2426" s="590"/>
      <c r="O2426" s="165"/>
      <c r="P2426" s="165"/>
      <c r="Q2426" s="165"/>
      <c r="R2426" s="165"/>
      <c r="S2426" s="165"/>
      <c r="V2426" s="46"/>
      <c r="W2426" s="46"/>
      <c r="X2426" s="1"/>
      <c r="Y2426" s="1"/>
      <c r="Z2426" s="173"/>
      <c r="AA2426" s="1"/>
      <c r="AB2426" s="165"/>
      <c r="AC2426" s="1"/>
      <c r="AD2426" s="1"/>
      <c r="AE2426" s="1"/>
      <c r="AF2426" s="46"/>
      <c r="AG2426" s="1"/>
      <c r="AH2426" s="165"/>
      <c r="AI2426" s="165"/>
      <c r="AJ2426" s="165"/>
      <c r="AK2426" s="165"/>
      <c r="AL2426" s="165"/>
      <c r="AM2426" s="165"/>
      <c r="AN2426" s="165"/>
    </row>
    <row r="2427" spans="3:40">
      <c r="C2427" s="46"/>
      <c r="F2427" s="173"/>
      <c r="G2427" s="1"/>
      <c r="H2427" s="165"/>
      <c r="I2427" s="160"/>
      <c r="J2427" s="160"/>
      <c r="K2427" s="1"/>
      <c r="L2427" s="123"/>
      <c r="M2427" s="1"/>
      <c r="N2427" s="590"/>
      <c r="O2427" s="165"/>
      <c r="P2427" s="165"/>
      <c r="Q2427" s="165"/>
      <c r="R2427" s="165"/>
      <c r="S2427" s="165"/>
      <c r="V2427" s="46"/>
      <c r="W2427" s="46"/>
      <c r="X2427" s="1"/>
      <c r="Y2427" s="1"/>
      <c r="Z2427" s="173"/>
      <c r="AA2427" s="1"/>
      <c r="AB2427" s="165"/>
      <c r="AC2427" s="1"/>
      <c r="AD2427" s="1"/>
      <c r="AE2427" s="1"/>
      <c r="AF2427" s="46"/>
      <c r="AG2427" s="1"/>
      <c r="AH2427" s="165"/>
      <c r="AI2427" s="165"/>
      <c r="AJ2427" s="165"/>
      <c r="AK2427" s="165"/>
      <c r="AL2427" s="165"/>
      <c r="AM2427" s="165"/>
      <c r="AN2427" s="165"/>
    </row>
    <row r="2428" spans="3:40">
      <c r="C2428" s="46"/>
      <c r="F2428" s="173"/>
      <c r="G2428" s="1"/>
      <c r="H2428" s="165"/>
      <c r="I2428" s="160"/>
      <c r="J2428" s="160"/>
      <c r="K2428" s="1"/>
      <c r="L2428" s="123"/>
      <c r="M2428" s="1"/>
      <c r="N2428" s="590"/>
      <c r="O2428" s="165"/>
      <c r="P2428" s="165"/>
      <c r="Q2428" s="165"/>
      <c r="R2428" s="165"/>
      <c r="S2428" s="165"/>
      <c r="V2428" s="46"/>
      <c r="W2428" s="46"/>
      <c r="X2428" s="1"/>
      <c r="Y2428" s="1"/>
      <c r="Z2428" s="173"/>
      <c r="AA2428" s="1"/>
      <c r="AB2428" s="165"/>
      <c r="AC2428" s="1"/>
      <c r="AD2428" s="1"/>
      <c r="AE2428" s="1"/>
      <c r="AF2428" s="46"/>
      <c r="AG2428" s="1"/>
      <c r="AH2428" s="165"/>
      <c r="AI2428" s="165"/>
      <c r="AJ2428" s="165"/>
      <c r="AK2428" s="165"/>
      <c r="AL2428" s="165"/>
      <c r="AM2428" s="165"/>
      <c r="AN2428" s="165"/>
    </row>
    <row r="2429" spans="3:40">
      <c r="C2429" s="46"/>
      <c r="F2429" s="173"/>
      <c r="G2429" s="1"/>
      <c r="H2429" s="165"/>
      <c r="I2429" s="160"/>
      <c r="J2429" s="160"/>
      <c r="K2429" s="1"/>
      <c r="L2429" s="123"/>
      <c r="M2429" s="1"/>
      <c r="N2429" s="590"/>
      <c r="O2429" s="165"/>
      <c r="P2429" s="165"/>
      <c r="Q2429" s="165"/>
      <c r="R2429" s="165"/>
      <c r="S2429" s="165"/>
      <c r="V2429" s="46"/>
      <c r="W2429" s="46"/>
      <c r="X2429" s="1"/>
      <c r="Y2429" s="1"/>
      <c r="Z2429" s="173"/>
      <c r="AA2429" s="1"/>
      <c r="AB2429" s="165"/>
      <c r="AC2429" s="1"/>
      <c r="AD2429" s="1"/>
      <c r="AE2429" s="1"/>
      <c r="AF2429" s="46"/>
      <c r="AG2429" s="1"/>
      <c r="AH2429" s="165"/>
      <c r="AI2429" s="165"/>
      <c r="AJ2429" s="165"/>
      <c r="AK2429" s="165"/>
      <c r="AL2429" s="165"/>
      <c r="AM2429" s="165"/>
      <c r="AN2429" s="165"/>
    </row>
    <row r="2430" spans="3:40">
      <c r="C2430" s="46"/>
      <c r="F2430" s="173"/>
      <c r="G2430" s="1"/>
      <c r="H2430" s="165"/>
      <c r="I2430" s="160"/>
      <c r="J2430" s="160"/>
      <c r="K2430" s="1"/>
      <c r="L2430" s="123"/>
      <c r="M2430" s="1"/>
      <c r="N2430" s="590"/>
      <c r="O2430" s="165"/>
      <c r="P2430" s="165"/>
      <c r="Q2430" s="165"/>
      <c r="R2430" s="165"/>
      <c r="S2430" s="165"/>
      <c r="V2430" s="46"/>
      <c r="W2430" s="46"/>
      <c r="X2430" s="1"/>
      <c r="Y2430" s="1"/>
      <c r="Z2430" s="173"/>
      <c r="AA2430" s="1"/>
      <c r="AB2430" s="165"/>
      <c r="AC2430" s="1"/>
      <c r="AD2430" s="1"/>
      <c r="AE2430" s="1"/>
      <c r="AF2430" s="46"/>
      <c r="AG2430" s="1"/>
      <c r="AH2430" s="165"/>
      <c r="AI2430" s="165"/>
      <c r="AJ2430" s="165"/>
      <c r="AK2430" s="165"/>
      <c r="AL2430" s="165"/>
      <c r="AM2430" s="165"/>
      <c r="AN2430" s="165"/>
    </row>
    <row r="2431" spans="3:40">
      <c r="C2431" s="46"/>
      <c r="F2431" s="173"/>
      <c r="G2431" s="1"/>
      <c r="H2431" s="165"/>
      <c r="I2431" s="160"/>
      <c r="J2431" s="160"/>
      <c r="K2431" s="1"/>
      <c r="L2431" s="123"/>
      <c r="M2431" s="1"/>
      <c r="N2431" s="590"/>
      <c r="O2431" s="165"/>
      <c r="P2431" s="165"/>
      <c r="Q2431" s="165"/>
      <c r="R2431" s="165"/>
      <c r="S2431" s="165"/>
      <c r="V2431" s="46"/>
      <c r="W2431" s="46"/>
      <c r="X2431" s="1"/>
      <c r="Y2431" s="1"/>
      <c r="Z2431" s="173"/>
      <c r="AA2431" s="1"/>
      <c r="AB2431" s="165"/>
      <c r="AC2431" s="1"/>
      <c r="AD2431" s="1"/>
      <c r="AE2431" s="1"/>
      <c r="AF2431" s="46"/>
      <c r="AG2431" s="1"/>
      <c r="AH2431" s="165"/>
      <c r="AI2431" s="165"/>
      <c r="AJ2431" s="165"/>
      <c r="AK2431" s="165"/>
      <c r="AL2431" s="165"/>
      <c r="AM2431" s="165"/>
      <c r="AN2431" s="165"/>
    </row>
    <row r="2432" spans="3:40">
      <c r="C2432" s="46"/>
      <c r="F2432" s="173"/>
      <c r="G2432" s="1"/>
      <c r="H2432" s="165"/>
      <c r="I2432" s="160"/>
      <c r="J2432" s="160"/>
      <c r="K2432" s="1"/>
      <c r="L2432" s="123"/>
      <c r="M2432" s="1"/>
      <c r="N2432" s="590"/>
      <c r="O2432" s="165"/>
      <c r="P2432" s="165"/>
      <c r="Q2432" s="165"/>
      <c r="R2432" s="165"/>
      <c r="S2432" s="165"/>
      <c r="V2432" s="46"/>
      <c r="W2432" s="46"/>
      <c r="X2432" s="1"/>
      <c r="Y2432" s="1"/>
      <c r="Z2432" s="173"/>
      <c r="AA2432" s="1"/>
      <c r="AB2432" s="165"/>
      <c r="AC2432" s="1"/>
      <c r="AD2432" s="1"/>
      <c r="AE2432" s="1"/>
      <c r="AF2432" s="46"/>
      <c r="AG2432" s="1"/>
      <c r="AH2432" s="165"/>
      <c r="AI2432" s="165"/>
      <c r="AJ2432" s="165"/>
      <c r="AK2432" s="165"/>
      <c r="AL2432" s="165"/>
      <c r="AM2432" s="165"/>
      <c r="AN2432" s="165"/>
    </row>
    <row r="2433" spans="3:40">
      <c r="C2433" s="46"/>
      <c r="F2433" s="173"/>
      <c r="G2433" s="1"/>
      <c r="H2433" s="165"/>
      <c r="I2433" s="160"/>
      <c r="J2433" s="160"/>
      <c r="K2433" s="1"/>
      <c r="L2433" s="123"/>
      <c r="M2433" s="1"/>
      <c r="N2433" s="590"/>
      <c r="O2433" s="165"/>
      <c r="P2433" s="165"/>
      <c r="Q2433" s="165"/>
      <c r="R2433" s="165"/>
      <c r="S2433" s="165"/>
      <c r="V2433" s="46"/>
      <c r="W2433" s="46"/>
      <c r="X2433" s="1"/>
      <c r="Y2433" s="1"/>
      <c r="Z2433" s="173"/>
      <c r="AA2433" s="1"/>
      <c r="AB2433" s="165"/>
      <c r="AC2433" s="1"/>
      <c r="AD2433" s="1"/>
      <c r="AE2433" s="1"/>
      <c r="AF2433" s="46"/>
      <c r="AG2433" s="1"/>
      <c r="AH2433" s="165"/>
      <c r="AI2433" s="165"/>
      <c r="AJ2433" s="165"/>
      <c r="AK2433" s="165"/>
      <c r="AL2433" s="165"/>
      <c r="AM2433" s="165"/>
      <c r="AN2433" s="165"/>
    </row>
    <row r="2434" spans="3:40">
      <c r="C2434" s="46"/>
      <c r="F2434" s="173"/>
      <c r="G2434" s="1"/>
      <c r="H2434" s="165"/>
      <c r="I2434" s="160"/>
      <c r="J2434" s="160"/>
      <c r="K2434" s="1"/>
      <c r="L2434" s="123"/>
      <c r="M2434" s="1"/>
      <c r="N2434" s="590"/>
      <c r="O2434" s="165"/>
      <c r="P2434" s="165"/>
      <c r="Q2434" s="165"/>
      <c r="R2434" s="165"/>
      <c r="S2434" s="165"/>
      <c r="V2434" s="46"/>
      <c r="W2434" s="46"/>
      <c r="X2434" s="1"/>
      <c r="Y2434" s="1"/>
      <c r="Z2434" s="173"/>
      <c r="AA2434" s="1"/>
      <c r="AB2434" s="165"/>
      <c r="AC2434" s="1"/>
      <c r="AD2434" s="1"/>
      <c r="AE2434" s="1"/>
      <c r="AF2434" s="46"/>
      <c r="AG2434" s="1"/>
      <c r="AH2434" s="165"/>
      <c r="AI2434" s="165"/>
      <c r="AJ2434" s="165"/>
      <c r="AK2434" s="165"/>
      <c r="AL2434" s="165"/>
      <c r="AM2434" s="165"/>
      <c r="AN2434" s="165"/>
    </row>
    <row r="2435" spans="3:40">
      <c r="C2435" s="46"/>
      <c r="F2435" s="173"/>
      <c r="G2435" s="1"/>
      <c r="H2435" s="165"/>
      <c r="I2435" s="160"/>
      <c r="J2435" s="160"/>
      <c r="K2435" s="1"/>
      <c r="L2435" s="123"/>
      <c r="M2435" s="1"/>
      <c r="N2435" s="590"/>
      <c r="O2435" s="165"/>
      <c r="P2435" s="165"/>
      <c r="Q2435" s="165"/>
      <c r="R2435" s="165"/>
      <c r="S2435" s="165"/>
      <c r="V2435" s="46"/>
      <c r="W2435" s="46"/>
      <c r="X2435" s="1"/>
      <c r="Y2435" s="1"/>
      <c r="Z2435" s="173"/>
      <c r="AA2435" s="1"/>
      <c r="AB2435" s="165"/>
      <c r="AC2435" s="1"/>
      <c r="AD2435" s="1"/>
      <c r="AE2435" s="1"/>
      <c r="AF2435" s="46"/>
      <c r="AG2435" s="1"/>
      <c r="AH2435" s="165"/>
      <c r="AI2435" s="165"/>
      <c r="AJ2435" s="165"/>
      <c r="AK2435" s="165"/>
      <c r="AL2435" s="165"/>
      <c r="AM2435" s="165"/>
      <c r="AN2435" s="165"/>
    </row>
    <row r="2436" spans="3:40">
      <c r="C2436" s="46"/>
      <c r="F2436" s="173"/>
      <c r="G2436" s="1"/>
      <c r="H2436" s="165"/>
      <c r="I2436" s="160"/>
      <c r="J2436" s="160"/>
      <c r="K2436" s="1"/>
      <c r="L2436" s="123"/>
      <c r="M2436" s="1"/>
      <c r="N2436" s="590"/>
      <c r="O2436" s="165"/>
      <c r="P2436" s="165"/>
      <c r="Q2436" s="165"/>
      <c r="R2436" s="165"/>
      <c r="S2436" s="165"/>
      <c r="V2436" s="46"/>
      <c r="W2436" s="46"/>
      <c r="X2436" s="1"/>
      <c r="Y2436" s="1"/>
      <c r="Z2436" s="173"/>
      <c r="AA2436" s="1"/>
      <c r="AB2436" s="165"/>
      <c r="AC2436" s="1"/>
      <c r="AD2436" s="1"/>
      <c r="AE2436" s="1"/>
      <c r="AF2436" s="46"/>
      <c r="AG2436" s="1"/>
      <c r="AH2436" s="165"/>
      <c r="AI2436" s="165"/>
      <c r="AJ2436" s="165"/>
      <c r="AK2436" s="165"/>
      <c r="AL2436" s="165"/>
      <c r="AM2436" s="165"/>
      <c r="AN2436" s="165"/>
    </row>
    <row r="2437" spans="3:40">
      <c r="C2437" s="46"/>
      <c r="F2437" s="173"/>
      <c r="G2437" s="1"/>
      <c r="H2437" s="165"/>
      <c r="I2437" s="160"/>
      <c r="J2437" s="160"/>
      <c r="K2437" s="1"/>
      <c r="L2437" s="123"/>
      <c r="M2437" s="1"/>
      <c r="N2437" s="590"/>
      <c r="O2437" s="165"/>
      <c r="P2437" s="165"/>
      <c r="Q2437" s="165"/>
      <c r="R2437" s="165"/>
      <c r="S2437" s="165"/>
      <c r="V2437" s="46"/>
      <c r="W2437" s="46"/>
      <c r="X2437" s="1"/>
      <c r="Y2437" s="1"/>
      <c r="Z2437" s="173"/>
      <c r="AA2437" s="1"/>
      <c r="AB2437" s="165"/>
      <c r="AC2437" s="1"/>
      <c r="AD2437" s="1"/>
      <c r="AE2437" s="1"/>
      <c r="AF2437" s="46"/>
      <c r="AG2437" s="1"/>
      <c r="AH2437" s="165"/>
      <c r="AI2437" s="165"/>
      <c r="AJ2437" s="165"/>
      <c r="AK2437" s="165"/>
      <c r="AL2437" s="165"/>
      <c r="AM2437" s="165"/>
      <c r="AN2437" s="165"/>
    </row>
    <row r="2438" spans="3:40">
      <c r="C2438" s="46"/>
      <c r="F2438" s="173"/>
      <c r="G2438" s="1"/>
      <c r="H2438" s="165"/>
      <c r="I2438" s="160"/>
      <c r="J2438" s="160"/>
      <c r="K2438" s="1"/>
      <c r="L2438" s="123"/>
      <c r="M2438" s="1"/>
      <c r="N2438" s="590"/>
      <c r="O2438" s="165"/>
      <c r="P2438" s="165"/>
      <c r="Q2438" s="165"/>
      <c r="R2438" s="165"/>
      <c r="S2438" s="165"/>
      <c r="V2438" s="46"/>
      <c r="W2438" s="46"/>
      <c r="X2438" s="1"/>
      <c r="Y2438" s="1"/>
      <c r="Z2438" s="173"/>
      <c r="AA2438" s="1"/>
      <c r="AB2438" s="165"/>
      <c r="AC2438" s="1"/>
      <c r="AD2438" s="1"/>
      <c r="AE2438" s="1"/>
      <c r="AF2438" s="46"/>
      <c r="AG2438" s="1"/>
      <c r="AH2438" s="165"/>
      <c r="AI2438" s="165"/>
      <c r="AJ2438" s="165"/>
      <c r="AK2438" s="165"/>
      <c r="AL2438" s="165"/>
      <c r="AM2438" s="165"/>
      <c r="AN2438" s="165"/>
    </row>
    <row r="2439" spans="3:40">
      <c r="C2439" s="46"/>
      <c r="F2439" s="173"/>
      <c r="G2439" s="1"/>
      <c r="H2439" s="165"/>
      <c r="I2439" s="160"/>
      <c r="J2439" s="160"/>
      <c r="K2439" s="1"/>
      <c r="L2439" s="123"/>
      <c r="M2439" s="1"/>
      <c r="N2439" s="590"/>
      <c r="O2439" s="165"/>
      <c r="P2439" s="165"/>
      <c r="Q2439" s="165"/>
      <c r="R2439" s="165"/>
      <c r="S2439" s="165"/>
      <c r="V2439" s="46"/>
      <c r="W2439" s="46"/>
      <c r="X2439" s="1"/>
      <c r="Y2439" s="1"/>
      <c r="Z2439" s="173"/>
      <c r="AA2439" s="1"/>
      <c r="AB2439" s="165"/>
      <c r="AC2439" s="1"/>
      <c r="AD2439" s="1"/>
      <c r="AE2439" s="1"/>
      <c r="AF2439" s="46"/>
      <c r="AG2439" s="1"/>
      <c r="AH2439" s="165"/>
      <c r="AI2439" s="165"/>
      <c r="AJ2439" s="165"/>
      <c r="AK2439" s="165"/>
      <c r="AL2439" s="165"/>
      <c r="AM2439" s="165"/>
      <c r="AN2439" s="165"/>
    </row>
    <row r="2440" spans="3:40">
      <c r="C2440" s="46"/>
      <c r="F2440" s="173"/>
      <c r="G2440" s="1"/>
      <c r="H2440" s="165"/>
      <c r="I2440" s="160"/>
      <c r="J2440" s="160"/>
      <c r="K2440" s="1"/>
      <c r="L2440" s="123"/>
      <c r="M2440" s="1"/>
      <c r="N2440" s="590"/>
      <c r="O2440" s="165"/>
      <c r="P2440" s="165"/>
      <c r="Q2440" s="165"/>
      <c r="R2440" s="165"/>
      <c r="S2440" s="165"/>
      <c r="V2440" s="46"/>
      <c r="W2440" s="46"/>
      <c r="X2440" s="1"/>
      <c r="Y2440" s="1"/>
      <c r="Z2440" s="173"/>
      <c r="AA2440" s="1"/>
      <c r="AB2440" s="165"/>
      <c r="AC2440" s="1"/>
      <c r="AD2440" s="1"/>
      <c r="AE2440" s="1"/>
      <c r="AF2440" s="46"/>
      <c r="AG2440" s="1"/>
      <c r="AH2440" s="165"/>
      <c r="AI2440" s="165"/>
      <c r="AJ2440" s="165"/>
      <c r="AK2440" s="165"/>
      <c r="AL2440" s="165"/>
      <c r="AM2440" s="165"/>
      <c r="AN2440" s="165"/>
    </row>
    <row r="2441" spans="3:40">
      <c r="C2441" s="46"/>
      <c r="F2441" s="173"/>
      <c r="G2441" s="1"/>
      <c r="H2441" s="165"/>
      <c r="I2441" s="160"/>
      <c r="J2441" s="160"/>
      <c r="K2441" s="1"/>
      <c r="L2441" s="123"/>
      <c r="M2441" s="1"/>
      <c r="N2441" s="590"/>
      <c r="O2441" s="165"/>
      <c r="P2441" s="165"/>
      <c r="Q2441" s="165"/>
      <c r="R2441" s="165"/>
      <c r="S2441" s="165"/>
      <c r="V2441" s="46"/>
      <c r="W2441" s="46"/>
      <c r="X2441" s="1"/>
      <c r="Y2441" s="1"/>
      <c r="Z2441" s="173"/>
      <c r="AA2441" s="1"/>
      <c r="AB2441" s="165"/>
      <c r="AC2441" s="1"/>
      <c r="AD2441" s="1"/>
      <c r="AE2441" s="1"/>
      <c r="AF2441" s="46"/>
      <c r="AG2441" s="1"/>
      <c r="AH2441" s="165"/>
      <c r="AI2441" s="165"/>
      <c r="AJ2441" s="165"/>
      <c r="AK2441" s="165"/>
      <c r="AL2441" s="165"/>
      <c r="AM2441" s="165"/>
      <c r="AN2441" s="165"/>
    </row>
    <row r="2442" spans="3:40">
      <c r="C2442" s="46"/>
      <c r="F2442" s="173"/>
      <c r="G2442" s="1"/>
      <c r="H2442" s="165"/>
      <c r="I2442" s="160"/>
      <c r="J2442" s="160"/>
      <c r="K2442" s="1"/>
      <c r="L2442" s="123"/>
      <c r="M2442" s="1"/>
      <c r="N2442" s="590"/>
      <c r="O2442" s="165"/>
      <c r="P2442" s="165"/>
      <c r="Q2442" s="165"/>
      <c r="R2442" s="165"/>
      <c r="S2442" s="165"/>
      <c r="V2442" s="46"/>
      <c r="W2442" s="46"/>
      <c r="X2442" s="1"/>
      <c r="Y2442" s="1"/>
      <c r="Z2442" s="173"/>
      <c r="AA2442" s="1"/>
      <c r="AB2442" s="165"/>
      <c r="AC2442" s="1"/>
      <c r="AD2442" s="1"/>
      <c r="AE2442" s="1"/>
      <c r="AF2442" s="46"/>
      <c r="AG2442" s="1"/>
      <c r="AH2442" s="165"/>
      <c r="AI2442" s="165"/>
      <c r="AJ2442" s="165"/>
      <c r="AK2442" s="165"/>
      <c r="AL2442" s="165"/>
      <c r="AM2442" s="165"/>
      <c r="AN2442" s="165"/>
    </row>
    <row r="2443" spans="3:40">
      <c r="C2443" s="46"/>
      <c r="F2443" s="173"/>
      <c r="G2443" s="1"/>
      <c r="H2443" s="165"/>
      <c r="I2443" s="160"/>
      <c r="J2443" s="160"/>
      <c r="K2443" s="1"/>
      <c r="L2443" s="123"/>
      <c r="M2443" s="1"/>
      <c r="N2443" s="590"/>
      <c r="O2443" s="165"/>
      <c r="P2443" s="165"/>
      <c r="Q2443" s="165"/>
      <c r="R2443" s="165"/>
      <c r="S2443" s="165"/>
      <c r="V2443" s="46"/>
      <c r="W2443" s="46"/>
      <c r="X2443" s="1"/>
      <c r="Y2443" s="1"/>
      <c r="Z2443" s="173"/>
      <c r="AA2443" s="1"/>
      <c r="AB2443" s="165"/>
      <c r="AC2443" s="1"/>
      <c r="AD2443" s="1"/>
      <c r="AE2443" s="1"/>
      <c r="AF2443" s="46"/>
      <c r="AG2443" s="1"/>
      <c r="AH2443" s="165"/>
      <c r="AI2443" s="165"/>
      <c r="AJ2443" s="165"/>
      <c r="AK2443" s="165"/>
      <c r="AL2443" s="165"/>
      <c r="AM2443" s="165"/>
      <c r="AN2443" s="165"/>
    </row>
    <row r="2444" spans="3:40">
      <c r="C2444" s="46"/>
      <c r="F2444" s="173"/>
      <c r="G2444" s="1"/>
      <c r="H2444" s="165"/>
      <c r="I2444" s="160"/>
      <c r="J2444" s="160"/>
      <c r="K2444" s="1"/>
      <c r="L2444" s="123"/>
      <c r="M2444" s="1"/>
      <c r="N2444" s="590"/>
      <c r="O2444" s="165"/>
      <c r="P2444" s="165"/>
      <c r="Q2444" s="165"/>
      <c r="R2444" s="165"/>
      <c r="S2444" s="165"/>
      <c r="V2444" s="46"/>
      <c r="W2444" s="46"/>
      <c r="X2444" s="1"/>
      <c r="Y2444" s="1"/>
      <c r="Z2444" s="173"/>
      <c r="AA2444" s="1"/>
      <c r="AB2444" s="165"/>
      <c r="AC2444" s="1"/>
      <c r="AD2444" s="1"/>
      <c r="AE2444" s="1"/>
      <c r="AF2444" s="46"/>
      <c r="AG2444" s="1"/>
      <c r="AH2444" s="165"/>
      <c r="AI2444" s="165"/>
      <c r="AJ2444" s="165"/>
      <c r="AK2444" s="165"/>
      <c r="AL2444" s="165"/>
      <c r="AM2444" s="165"/>
      <c r="AN2444" s="165"/>
    </row>
    <row r="2445" spans="3:40">
      <c r="C2445" s="46"/>
      <c r="F2445" s="173"/>
      <c r="G2445" s="1"/>
      <c r="H2445" s="165"/>
      <c r="I2445" s="160"/>
      <c r="J2445" s="160"/>
      <c r="K2445" s="1"/>
      <c r="L2445" s="123"/>
      <c r="M2445" s="1"/>
      <c r="N2445" s="590"/>
      <c r="O2445" s="165"/>
      <c r="P2445" s="165"/>
      <c r="Q2445" s="165"/>
      <c r="R2445" s="165"/>
      <c r="S2445" s="165"/>
      <c r="V2445" s="46"/>
      <c r="W2445" s="46"/>
      <c r="X2445" s="1"/>
      <c r="Y2445" s="1"/>
      <c r="Z2445" s="173"/>
      <c r="AA2445" s="1"/>
      <c r="AB2445" s="165"/>
      <c r="AC2445" s="1"/>
      <c r="AD2445" s="1"/>
      <c r="AE2445" s="1"/>
      <c r="AF2445" s="46"/>
      <c r="AG2445" s="1"/>
      <c r="AH2445" s="165"/>
      <c r="AI2445" s="165"/>
      <c r="AJ2445" s="165"/>
      <c r="AK2445" s="165"/>
      <c r="AL2445" s="165"/>
      <c r="AM2445" s="165"/>
      <c r="AN2445" s="165"/>
    </row>
    <row r="2446" spans="3:40">
      <c r="C2446" s="46"/>
      <c r="F2446" s="173"/>
      <c r="G2446" s="1"/>
      <c r="H2446" s="165"/>
      <c r="I2446" s="160"/>
      <c r="J2446" s="160"/>
      <c r="K2446" s="1"/>
      <c r="L2446" s="123"/>
      <c r="M2446" s="1"/>
      <c r="N2446" s="590"/>
      <c r="O2446" s="165"/>
      <c r="P2446" s="165"/>
      <c r="Q2446" s="165"/>
      <c r="R2446" s="165"/>
      <c r="S2446" s="165"/>
      <c r="V2446" s="46"/>
      <c r="W2446" s="46"/>
      <c r="X2446" s="1"/>
      <c r="Y2446" s="1"/>
      <c r="Z2446" s="173"/>
      <c r="AA2446" s="1"/>
      <c r="AB2446" s="165"/>
      <c r="AC2446" s="1"/>
      <c r="AD2446" s="1"/>
      <c r="AE2446" s="1"/>
      <c r="AF2446" s="46"/>
      <c r="AG2446" s="1"/>
      <c r="AH2446" s="165"/>
      <c r="AI2446" s="165"/>
      <c r="AJ2446" s="165"/>
      <c r="AK2446" s="165"/>
      <c r="AL2446" s="165"/>
      <c r="AM2446" s="165"/>
      <c r="AN2446" s="165"/>
    </row>
    <row r="2447" spans="3:40">
      <c r="C2447" s="46"/>
      <c r="F2447" s="173"/>
      <c r="G2447" s="1"/>
      <c r="H2447" s="165"/>
      <c r="I2447" s="160"/>
      <c r="J2447" s="160"/>
      <c r="K2447" s="1"/>
      <c r="L2447" s="123"/>
      <c r="M2447" s="1"/>
      <c r="N2447" s="590"/>
      <c r="O2447" s="165"/>
      <c r="P2447" s="165"/>
      <c r="Q2447" s="165"/>
      <c r="R2447" s="165"/>
      <c r="S2447" s="165"/>
      <c r="V2447" s="46"/>
      <c r="W2447" s="46"/>
      <c r="X2447" s="1"/>
      <c r="Y2447" s="1"/>
      <c r="Z2447" s="173"/>
      <c r="AA2447" s="1"/>
      <c r="AB2447" s="165"/>
      <c r="AC2447" s="1"/>
      <c r="AD2447" s="1"/>
      <c r="AE2447" s="1"/>
      <c r="AF2447" s="46"/>
      <c r="AG2447" s="1"/>
      <c r="AH2447" s="165"/>
      <c r="AI2447" s="165"/>
      <c r="AJ2447" s="165"/>
      <c r="AK2447" s="165"/>
      <c r="AL2447" s="165"/>
      <c r="AM2447" s="165"/>
      <c r="AN2447" s="165"/>
    </row>
    <row r="2448" spans="3:40">
      <c r="C2448" s="46"/>
      <c r="F2448" s="173"/>
      <c r="G2448" s="1"/>
      <c r="H2448" s="165"/>
      <c r="I2448" s="160"/>
      <c r="J2448" s="160"/>
      <c r="K2448" s="1"/>
      <c r="L2448" s="123"/>
      <c r="M2448" s="1"/>
      <c r="N2448" s="590"/>
      <c r="O2448" s="165"/>
      <c r="P2448" s="165"/>
      <c r="Q2448" s="165"/>
      <c r="R2448" s="165"/>
      <c r="S2448" s="165"/>
      <c r="V2448" s="46"/>
      <c r="W2448" s="46"/>
      <c r="X2448" s="1"/>
      <c r="Y2448" s="1"/>
      <c r="Z2448" s="173"/>
      <c r="AA2448" s="1"/>
      <c r="AB2448" s="165"/>
      <c r="AC2448" s="1"/>
      <c r="AD2448" s="1"/>
      <c r="AE2448" s="1"/>
      <c r="AF2448" s="46"/>
      <c r="AG2448" s="1"/>
      <c r="AH2448" s="165"/>
      <c r="AI2448" s="165"/>
      <c r="AJ2448" s="165"/>
      <c r="AK2448" s="165"/>
      <c r="AL2448" s="165"/>
      <c r="AM2448" s="165"/>
      <c r="AN2448" s="165"/>
    </row>
    <row r="2449" spans="3:40">
      <c r="C2449" s="46"/>
      <c r="F2449" s="173"/>
      <c r="G2449" s="1"/>
      <c r="H2449" s="165"/>
      <c r="I2449" s="160"/>
      <c r="J2449" s="160"/>
      <c r="K2449" s="1"/>
      <c r="L2449" s="123"/>
      <c r="M2449" s="1"/>
      <c r="N2449" s="590"/>
      <c r="O2449" s="165"/>
      <c r="P2449" s="165"/>
      <c r="Q2449" s="165"/>
      <c r="R2449" s="165"/>
      <c r="S2449" s="165"/>
      <c r="V2449" s="46"/>
      <c r="W2449" s="46"/>
      <c r="X2449" s="1"/>
      <c r="Y2449" s="1"/>
      <c r="Z2449" s="173"/>
      <c r="AA2449" s="1"/>
      <c r="AB2449" s="165"/>
      <c r="AC2449" s="1"/>
      <c r="AD2449" s="1"/>
      <c r="AE2449" s="1"/>
      <c r="AF2449" s="46"/>
      <c r="AG2449" s="1"/>
      <c r="AH2449" s="165"/>
      <c r="AI2449" s="165"/>
      <c r="AJ2449" s="165"/>
      <c r="AK2449" s="165"/>
      <c r="AL2449" s="165"/>
      <c r="AM2449" s="165"/>
      <c r="AN2449" s="165"/>
    </row>
    <row r="2450" spans="3:40">
      <c r="C2450" s="46"/>
      <c r="F2450" s="173"/>
      <c r="G2450" s="1"/>
      <c r="H2450" s="165"/>
      <c r="I2450" s="160"/>
      <c r="J2450" s="160"/>
      <c r="K2450" s="1"/>
      <c r="L2450" s="123"/>
      <c r="M2450" s="1"/>
      <c r="N2450" s="590"/>
      <c r="O2450" s="165"/>
      <c r="P2450" s="165"/>
      <c r="Q2450" s="165"/>
      <c r="R2450" s="165"/>
      <c r="S2450" s="165"/>
      <c r="V2450" s="46"/>
      <c r="W2450" s="46"/>
      <c r="X2450" s="1"/>
      <c r="Y2450" s="1"/>
      <c r="Z2450" s="173"/>
      <c r="AA2450" s="1"/>
      <c r="AB2450" s="165"/>
      <c r="AC2450" s="1"/>
      <c r="AD2450" s="1"/>
      <c r="AE2450" s="1"/>
      <c r="AF2450" s="46"/>
      <c r="AG2450" s="1"/>
      <c r="AH2450" s="165"/>
      <c r="AI2450" s="165"/>
      <c r="AJ2450" s="165"/>
      <c r="AK2450" s="165"/>
      <c r="AL2450" s="165"/>
      <c r="AM2450" s="165"/>
      <c r="AN2450" s="165"/>
    </row>
    <row r="2451" spans="3:40">
      <c r="C2451" s="46"/>
      <c r="F2451" s="173"/>
      <c r="G2451" s="1"/>
      <c r="H2451" s="165"/>
      <c r="I2451" s="160"/>
      <c r="J2451" s="160"/>
      <c r="K2451" s="1"/>
      <c r="L2451" s="123"/>
      <c r="M2451" s="1"/>
      <c r="N2451" s="590"/>
      <c r="O2451" s="165"/>
      <c r="P2451" s="165"/>
      <c r="Q2451" s="165"/>
      <c r="R2451" s="165"/>
      <c r="S2451" s="165"/>
      <c r="V2451" s="46"/>
      <c r="W2451" s="46"/>
      <c r="X2451" s="1"/>
      <c r="Y2451" s="1"/>
      <c r="Z2451" s="173"/>
      <c r="AA2451" s="1"/>
      <c r="AB2451" s="165"/>
      <c r="AC2451" s="1"/>
      <c r="AD2451" s="1"/>
      <c r="AE2451" s="1"/>
      <c r="AF2451" s="46"/>
      <c r="AG2451" s="1"/>
      <c r="AH2451" s="165"/>
      <c r="AI2451" s="165"/>
      <c r="AJ2451" s="165"/>
      <c r="AK2451" s="165"/>
      <c r="AL2451" s="165"/>
      <c r="AM2451" s="165"/>
      <c r="AN2451" s="165"/>
    </row>
    <row r="2452" spans="3:40">
      <c r="C2452" s="46"/>
      <c r="F2452" s="173"/>
      <c r="G2452" s="1"/>
      <c r="H2452" s="165"/>
      <c r="I2452" s="160"/>
      <c r="J2452" s="160"/>
      <c r="K2452" s="1"/>
      <c r="L2452" s="123"/>
      <c r="M2452" s="1"/>
      <c r="N2452" s="590"/>
      <c r="O2452" s="165"/>
      <c r="P2452" s="165"/>
      <c r="Q2452" s="165"/>
      <c r="R2452" s="165"/>
      <c r="S2452" s="165"/>
      <c r="V2452" s="46"/>
      <c r="W2452" s="46"/>
      <c r="X2452" s="1"/>
      <c r="Y2452" s="1"/>
      <c r="Z2452" s="173"/>
      <c r="AA2452" s="1"/>
      <c r="AB2452" s="165"/>
      <c r="AC2452" s="1"/>
      <c r="AD2452" s="1"/>
      <c r="AE2452" s="1"/>
      <c r="AF2452" s="46"/>
      <c r="AG2452" s="1"/>
      <c r="AH2452" s="165"/>
      <c r="AI2452" s="165"/>
      <c r="AJ2452" s="165"/>
      <c r="AK2452" s="165"/>
      <c r="AL2452" s="165"/>
      <c r="AM2452" s="165"/>
      <c r="AN2452" s="165"/>
    </row>
    <row r="2453" spans="3:40">
      <c r="C2453" s="46"/>
      <c r="F2453" s="173"/>
      <c r="G2453" s="1"/>
      <c r="H2453" s="165"/>
      <c r="I2453" s="160"/>
      <c r="J2453" s="160"/>
      <c r="K2453" s="1"/>
      <c r="L2453" s="123"/>
      <c r="M2453" s="1"/>
      <c r="N2453" s="590"/>
      <c r="O2453" s="165"/>
      <c r="P2453" s="165"/>
      <c r="Q2453" s="165"/>
      <c r="R2453" s="165"/>
      <c r="S2453" s="165"/>
      <c r="V2453" s="46"/>
      <c r="W2453" s="46"/>
      <c r="X2453" s="1"/>
      <c r="Y2453" s="1"/>
      <c r="Z2453" s="173"/>
      <c r="AA2453" s="1"/>
      <c r="AB2453" s="165"/>
      <c r="AC2453" s="1"/>
      <c r="AD2453" s="1"/>
      <c r="AE2453" s="1"/>
      <c r="AF2453" s="46"/>
      <c r="AG2453" s="1"/>
      <c r="AH2453" s="165"/>
      <c r="AI2453" s="165"/>
      <c r="AJ2453" s="165"/>
      <c r="AK2453" s="165"/>
      <c r="AL2453" s="165"/>
      <c r="AM2453" s="165"/>
      <c r="AN2453" s="165"/>
    </row>
    <row r="2454" spans="3:40">
      <c r="C2454" s="46"/>
      <c r="F2454" s="173"/>
      <c r="G2454" s="1"/>
      <c r="H2454" s="165"/>
      <c r="I2454" s="160"/>
      <c r="J2454" s="160"/>
      <c r="K2454" s="1"/>
      <c r="L2454" s="123"/>
      <c r="M2454" s="1"/>
      <c r="N2454" s="590"/>
      <c r="O2454" s="165"/>
      <c r="P2454" s="165"/>
      <c r="Q2454" s="165"/>
      <c r="R2454" s="165"/>
      <c r="S2454" s="165"/>
      <c r="V2454" s="46"/>
      <c r="W2454" s="46"/>
      <c r="X2454" s="1"/>
      <c r="Y2454" s="1"/>
      <c r="Z2454" s="173"/>
      <c r="AA2454" s="1"/>
      <c r="AB2454" s="165"/>
      <c r="AC2454" s="1"/>
      <c r="AD2454" s="1"/>
      <c r="AE2454" s="1"/>
      <c r="AF2454" s="46"/>
      <c r="AG2454" s="1"/>
      <c r="AH2454" s="165"/>
      <c r="AI2454" s="165"/>
      <c r="AJ2454" s="165"/>
      <c r="AK2454" s="165"/>
      <c r="AL2454" s="165"/>
      <c r="AM2454" s="165"/>
      <c r="AN2454" s="165"/>
    </row>
    <row r="2455" spans="3:40">
      <c r="C2455" s="46"/>
      <c r="F2455" s="173"/>
      <c r="G2455" s="1"/>
      <c r="H2455" s="165"/>
      <c r="I2455" s="160"/>
      <c r="J2455" s="160"/>
      <c r="K2455" s="1"/>
      <c r="L2455" s="123"/>
      <c r="M2455" s="1"/>
      <c r="N2455" s="590"/>
      <c r="O2455" s="165"/>
      <c r="P2455" s="165"/>
      <c r="Q2455" s="165"/>
      <c r="R2455" s="165"/>
      <c r="S2455" s="165"/>
      <c r="V2455" s="46"/>
      <c r="W2455" s="46"/>
      <c r="X2455" s="1"/>
      <c r="Y2455" s="1"/>
      <c r="Z2455" s="173"/>
      <c r="AA2455" s="1"/>
      <c r="AB2455" s="165"/>
      <c r="AC2455" s="1"/>
      <c r="AD2455" s="1"/>
      <c r="AE2455" s="1"/>
      <c r="AF2455" s="46"/>
      <c r="AG2455" s="1"/>
      <c r="AH2455" s="165"/>
      <c r="AI2455" s="165"/>
      <c r="AJ2455" s="165"/>
      <c r="AK2455" s="165"/>
      <c r="AL2455" s="165"/>
      <c r="AM2455" s="165"/>
      <c r="AN2455" s="165"/>
    </row>
    <row r="2456" spans="3:40">
      <c r="C2456" s="46"/>
      <c r="F2456" s="173"/>
      <c r="G2456" s="1"/>
      <c r="H2456" s="165"/>
      <c r="I2456" s="160"/>
      <c r="J2456" s="160"/>
      <c r="K2456" s="1"/>
      <c r="L2456" s="123"/>
      <c r="M2456" s="1"/>
      <c r="N2456" s="590"/>
      <c r="O2456" s="165"/>
      <c r="P2456" s="165"/>
      <c r="Q2456" s="165"/>
      <c r="R2456" s="165"/>
      <c r="S2456" s="165"/>
      <c r="V2456" s="46"/>
      <c r="W2456" s="46"/>
      <c r="X2456" s="1"/>
      <c r="Y2456" s="1"/>
      <c r="Z2456" s="173"/>
      <c r="AA2456" s="1"/>
      <c r="AB2456" s="165"/>
      <c r="AC2456" s="1"/>
      <c r="AD2456" s="1"/>
      <c r="AE2456" s="1"/>
      <c r="AF2456" s="46"/>
      <c r="AG2456" s="1"/>
      <c r="AH2456" s="165"/>
      <c r="AI2456" s="165"/>
      <c r="AJ2456" s="165"/>
      <c r="AK2456" s="165"/>
      <c r="AL2456" s="165"/>
      <c r="AM2456" s="165"/>
      <c r="AN2456" s="165"/>
    </row>
    <row r="2457" spans="3:40">
      <c r="C2457" s="46"/>
      <c r="F2457" s="173"/>
      <c r="G2457" s="1"/>
      <c r="H2457" s="165"/>
      <c r="I2457" s="160"/>
      <c r="J2457" s="160"/>
      <c r="K2457" s="1"/>
      <c r="L2457" s="123"/>
      <c r="M2457" s="1"/>
      <c r="N2457" s="590"/>
      <c r="O2457" s="165"/>
      <c r="P2457" s="165"/>
      <c r="Q2457" s="165"/>
      <c r="R2457" s="165"/>
      <c r="S2457" s="165"/>
      <c r="V2457" s="46"/>
      <c r="W2457" s="46"/>
      <c r="X2457" s="1"/>
      <c r="Y2457" s="1"/>
      <c r="Z2457" s="173"/>
      <c r="AA2457" s="1"/>
      <c r="AB2457" s="165"/>
      <c r="AC2457" s="1"/>
      <c r="AD2457" s="1"/>
      <c r="AE2457" s="1"/>
      <c r="AF2457" s="46"/>
      <c r="AG2457" s="1"/>
      <c r="AH2457" s="165"/>
      <c r="AI2457" s="165"/>
      <c r="AJ2457" s="165"/>
      <c r="AK2457" s="165"/>
      <c r="AL2457" s="165"/>
      <c r="AM2457" s="165"/>
      <c r="AN2457" s="165"/>
    </row>
    <row r="2458" spans="3:40">
      <c r="C2458" s="46"/>
      <c r="F2458" s="173"/>
      <c r="G2458" s="1"/>
      <c r="H2458" s="165"/>
      <c r="I2458" s="160"/>
      <c r="J2458" s="160"/>
      <c r="K2458" s="1"/>
      <c r="L2458" s="123"/>
      <c r="M2458" s="1"/>
      <c r="N2458" s="590"/>
      <c r="O2458" s="165"/>
      <c r="P2458" s="165"/>
      <c r="Q2458" s="165"/>
      <c r="R2458" s="165"/>
      <c r="S2458" s="165"/>
      <c r="V2458" s="46"/>
      <c r="W2458" s="46"/>
      <c r="X2458" s="1"/>
      <c r="Y2458" s="1"/>
      <c r="Z2458" s="173"/>
      <c r="AA2458" s="1"/>
      <c r="AB2458" s="165"/>
      <c r="AC2458" s="1"/>
      <c r="AD2458" s="1"/>
      <c r="AE2458" s="1"/>
      <c r="AF2458" s="46"/>
      <c r="AG2458" s="1"/>
      <c r="AH2458" s="165"/>
      <c r="AI2458" s="165"/>
      <c r="AJ2458" s="165"/>
      <c r="AK2458" s="165"/>
      <c r="AL2458" s="165"/>
      <c r="AM2458" s="165"/>
      <c r="AN2458" s="165"/>
    </row>
    <row r="2459" spans="3:40">
      <c r="C2459" s="46"/>
      <c r="F2459" s="173"/>
      <c r="G2459" s="1"/>
      <c r="H2459" s="165"/>
      <c r="I2459" s="160"/>
      <c r="J2459" s="160"/>
      <c r="K2459" s="1"/>
      <c r="L2459" s="123"/>
      <c r="M2459" s="1"/>
      <c r="N2459" s="590"/>
      <c r="O2459" s="165"/>
      <c r="P2459" s="165"/>
      <c r="Q2459" s="165"/>
      <c r="R2459" s="165"/>
      <c r="S2459" s="165"/>
      <c r="V2459" s="46"/>
      <c r="W2459" s="46"/>
      <c r="X2459" s="1"/>
      <c r="Y2459" s="1"/>
      <c r="Z2459" s="173"/>
      <c r="AA2459" s="1"/>
      <c r="AB2459" s="165"/>
      <c r="AC2459" s="1"/>
      <c r="AD2459" s="1"/>
      <c r="AE2459" s="1"/>
      <c r="AF2459" s="46"/>
      <c r="AG2459" s="1"/>
      <c r="AH2459" s="165"/>
      <c r="AI2459" s="165"/>
      <c r="AJ2459" s="165"/>
      <c r="AK2459" s="165"/>
      <c r="AL2459" s="165"/>
      <c r="AM2459" s="165"/>
      <c r="AN2459" s="165"/>
    </row>
    <row r="2460" spans="3:40">
      <c r="C2460" s="46"/>
      <c r="F2460" s="173"/>
      <c r="G2460" s="1"/>
      <c r="H2460" s="165"/>
      <c r="I2460" s="160"/>
      <c r="J2460" s="160"/>
      <c r="K2460" s="1"/>
      <c r="L2460" s="123"/>
      <c r="M2460" s="1"/>
      <c r="N2460" s="590"/>
      <c r="O2460" s="165"/>
      <c r="P2460" s="165"/>
      <c r="Q2460" s="165"/>
      <c r="R2460" s="165"/>
      <c r="S2460" s="165"/>
      <c r="V2460" s="46"/>
      <c r="W2460" s="46"/>
      <c r="X2460" s="1"/>
      <c r="Y2460" s="1"/>
      <c r="Z2460" s="173"/>
      <c r="AA2460" s="1"/>
      <c r="AB2460" s="165"/>
      <c r="AC2460" s="1"/>
      <c r="AD2460" s="1"/>
      <c r="AE2460" s="1"/>
      <c r="AF2460" s="46"/>
      <c r="AG2460" s="1"/>
      <c r="AH2460" s="165"/>
      <c r="AI2460" s="165"/>
      <c r="AJ2460" s="165"/>
      <c r="AK2460" s="165"/>
      <c r="AL2460" s="165"/>
      <c r="AM2460" s="165"/>
      <c r="AN2460" s="165"/>
    </row>
    <row r="2461" spans="3:40">
      <c r="C2461" s="46"/>
      <c r="F2461" s="173"/>
      <c r="G2461" s="1"/>
      <c r="H2461" s="165"/>
      <c r="I2461" s="160"/>
      <c r="J2461" s="160"/>
      <c r="K2461" s="1"/>
      <c r="L2461" s="123"/>
      <c r="M2461" s="1"/>
      <c r="N2461" s="590"/>
      <c r="O2461" s="165"/>
      <c r="P2461" s="165"/>
      <c r="Q2461" s="165"/>
      <c r="R2461" s="165"/>
      <c r="S2461" s="165"/>
      <c r="V2461" s="46"/>
      <c r="W2461" s="46"/>
      <c r="X2461" s="1"/>
      <c r="Y2461" s="1"/>
      <c r="Z2461" s="173"/>
      <c r="AA2461" s="1"/>
      <c r="AB2461" s="165"/>
      <c r="AC2461" s="1"/>
      <c r="AD2461" s="1"/>
      <c r="AE2461" s="1"/>
      <c r="AF2461" s="46"/>
      <c r="AG2461" s="1"/>
      <c r="AH2461" s="165"/>
      <c r="AI2461" s="165"/>
      <c r="AJ2461" s="165"/>
      <c r="AK2461" s="165"/>
      <c r="AL2461" s="165"/>
      <c r="AM2461" s="165"/>
      <c r="AN2461" s="165"/>
    </row>
    <row r="2462" spans="3:40">
      <c r="C2462" s="46"/>
      <c r="F2462" s="173"/>
      <c r="G2462" s="1"/>
      <c r="H2462" s="165"/>
      <c r="I2462" s="160"/>
      <c r="J2462" s="160"/>
      <c r="K2462" s="1"/>
      <c r="L2462" s="123"/>
      <c r="M2462" s="1"/>
      <c r="N2462" s="590"/>
      <c r="O2462" s="165"/>
      <c r="P2462" s="165"/>
      <c r="Q2462" s="165"/>
      <c r="R2462" s="165"/>
      <c r="S2462" s="165"/>
      <c r="V2462" s="46"/>
      <c r="W2462" s="46"/>
      <c r="X2462" s="1"/>
      <c r="Y2462" s="1"/>
      <c r="Z2462" s="173"/>
      <c r="AA2462" s="1"/>
      <c r="AB2462" s="165"/>
      <c r="AC2462" s="1"/>
      <c r="AD2462" s="1"/>
      <c r="AE2462" s="1"/>
      <c r="AF2462" s="46"/>
      <c r="AG2462" s="1"/>
      <c r="AH2462" s="165"/>
      <c r="AI2462" s="165"/>
      <c r="AJ2462" s="165"/>
      <c r="AK2462" s="165"/>
      <c r="AL2462" s="165"/>
      <c r="AM2462" s="165"/>
      <c r="AN2462" s="165"/>
    </row>
    <row r="2463" spans="3:40">
      <c r="C2463" s="46"/>
      <c r="F2463" s="173"/>
      <c r="G2463" s="1"/>
      <c r="H2463" s="165"/>
      <c r="I2463" s="160"/>
      <c r="J2463" s="160"/>
      <c r="K2463" s="1"/>
      <c r="L2463" s="123"/>
      <c r="M2463" s="1"/>
      <c r="N2463" s="590"/>
      <c r="O2463" s="165"/>
      <c r="P2463" s="165"/>
      <c r="Q2463" s="165"/>
      <c r="R2463" s="165"/>
      <c r="S2463" s="165"/>
      <c r="V2463" s="46"/>
      <c r="W2463" s="46"/>
      <c r="X2463" s="1"/>
      <c r="Y2463" s="1"/>
      <c r="Z2463" s="173"/>
      <c r="AA2463" s="1"/>
      <c r="AB2463" s="165"/>
      <c r="AC2463" s="1"/>
      <c r="AD2463" s="1"/>
      <c r="AE2463" s="1"/>
      <c r="AF2463" s="46"/>
      <c r="AG2463" s="1"/>
      <c r="AH2463" s="165"/>
      <c r="AI2463" s="165"/>
      <c r="AJ2463" s="165"/>
      <c r="AK2463" s="165"/>
      <c r="AL2463" s="165"/>
      <c r="AM2463" s="165"/>
      <c r="AN2463" s="165"/>
    </row>
    <row r="2464" spans="3:40">
      <c r="C2464" s="46"/>
      <c r="F2464" s="173"/>
      <c r="G2464" s="1"/>
      <c r="H2464" s="165"/>
      <c r="I2464" s="160"/>
      <c r="J2464" s="160"/>
      <c r="K2464" s="1"/>
      <c r="L2464" s="123"/>
      <c r="M2464" s="1"/>
      <c r="N2464" s="590"/>
      <c r="O2464" s="165"/>
      <c r="P2464" s="165"/>
      <c r="Q2464" s="165"/>
      <c r="R2464" s="165"/>
      <c r="S2464" s="165"/>
      <c r="V2464" s="46"/>
      <c r="W2464" s="46"/>
      <c r="X2464" s="1"/>
      <c r="Y2464" s="1"/>
      <c r="Z2464" s="173"/>
      <c r="AA2464" s="1"/>
      <c r="AB2464" s="165"/>
      <c r="AC2464" s="1"/>
      <c r="AD2464" s="1"/>
      <c r="AE2464" s="1"/>
      <c r="AF2464" s="46"/>
      <c r="AG2464" s="1"/>
      <c r="AH2464" s="165"/>
      <c r="AI2464" s="165"/>
      <c r="AJ2464" s="165"/>
      <c r="AK2464" s="165"/>
      <c r="AL2464" s="165"/>
      <c r="AM2464" s="165"/>
      <c r="AN2464" s="165"/>
    </row>
    <row r="2465" spans="3:40">
      <c r="C2465" s="46"/>
      <c r="F2465" s="173"/>
      <c r="G2465" s="1"/>
      <c r="H2465" s="165"/>
      <c r="I2465" s="160"/>
      <c r="J2465" s="160"/>
      <c r="K2465" s="1"/>
      <c r="L2465" s="123"/>
      <c r="M2465" s="1"/>
      <c r="N2465" s="590"/>
      <c r="O2465" s="165"/>
      <c r="P2465" s="165"/>
      <c r="Q2465" s="165"/>
      <c r="R2465" s="165"/>
      <c r="S2465" s="165"/>
      <c r="V2465" s="46"/>
      <c r="W2465" s="46"/>
      <c r="X2465" s="1"/>
      <c r="Y2465" s="1"/>
      <c r="Z2465" s="173"/>
      <c r="AA2465" s="1"/>
      <c r="AB2465" s="165"/>
      <c r="AC2465" s="1"/>
      <c r="AD2465" s="1"/>
      <c r="AE2465" s="1"/>
      <c r="AF2465" s="46"/>
      <c r="AG2465" s="1"/>
      <c r="AH2465" s="165"/>
      <c r="AI2465" s="165"/>
      <c r="AJ2465" s="165"/>
      <c r="AK2465" s="165"/>
      <c r="AL2465" s="165"/>
      <c r="AM2465" s="165"/>
      <c r="AN2465" s="165"/>
    </row>
    <row r="2466" spans="3:40">
      <c r="C2466" s="46"/>
      <c r="F2466" s="173"/>
      <c r="G2466" s="1"/>
      <c r="H2466" s="165"/>
      <c r="I2466" s="160"/>
      <c r="J2466" s="160"/>
      <c r="K2466" s="1"/>
      <c r="L2466" s="123"/>
      <c r="M2466" s="1"/>
      <c r="N2466" s="590"/>
      <c r="O2466" s="165"/>
      <c r="P2466" s="165"/>
      <c r="Q2466" s="165"/>
      <c r="R2466" s="165"/>
      <c r="S2466" s="165"/>
      <c r="V2466" s="46"/>
      <c r="W2466" s="46"/>
      <c r="X2466" s="1"/>
      <c r="Y2466" s="1"/>
      <c r="Z2466" s="173"/>
      <c r="AA2466" s="1"/>
      <c r="AB2466" s="165"/>
      <c r="AC2466" s="1"/>
      <c r="AD2466" s="1"/>
      <c r="AE2466" s="1"/>
      <c r="AF2466" s="46"/>
      <c r="AG2466" s="1"/>
      <c r="AH2466" s="165"/>
      <c r="AI2466" s="165"/>
      <c r="AJ2466" s="165"/>
      <c r="AK2466" s="165"/>
      <c r="AL2466" s="165"/>
      <c r="AM2466" s="165"/>
      <c r="AN2466" s="165"/>
    </row>
    <row r="2467" spans="3:40">
      <c r="C2467" s="46"/>
      <c r="F2467" s="173"/>
      <c r="G2467" s="1"/>
      <c r="H2467" s="165"/>
      <c r="I2467" s="160"/>
      <c r="J2467" s="160"/>
      <c r="K2467" s="1"/>
      <c r="L2467" s="123"/>
      <c r="M2467" s="1"/>
      <c r="N2467" s="590"/>
      <c r="O2467" s="165"/>
      <c r="P2467" s="165"/>
      <c r="Q2467" s="165"/>
      <c r="R2467" s="165"/>
      <c r="S2467" s="165"/>
      <c r="V2467" s="46"/>
      <c r="W2467" s="46"/>
      <c r="X2467" s="1"/>
      <c r="Y2467" s="1"/>
      <c r="Z2467" s="173"/>
      <c r="AA2467" s="1"/>
      <c r="AB2467" s="165"/>
      <c r="AC2467" s="1"/>
      <c r="AD2467" s="1"/>
      <c r="AE2467" s="1"/>
      <c r="AF2467" s="46"/>
      <c r="AG2467" s="1"/>
      <c r="AH2467" s="165"/>
      <c r="AI2467" s="165"/>
      <c r="AJ2467" s="165"/>
      <c r="AK2467" s="165"/>
      <c r="AL2467" s="165"/>
      <c r="AM2467" s="165"/>
      <c r="AN2467" s="165"/>
    </row>
    <row r="2468" spans="3:40">
      <c r="C2468" s="46"/>
      <c r="F2468" s="173"/>
      <c r="G2468" s="1"/>
      <c r="H2468" s="165"/>
      <c r="I2468" s="160"/>
      <c r="J2468" s="160"/>
      <c r="K2468" s="1"/>
      <c r="L2468" s="123"/>
      <c r="M2468" s="1"/>
      <c r="N2468" s="590"/>
      <c r="O2468" s="165"/>
      <c r="P2468" s="165"/>
      <c r="Q2468" s="165"/>
      <c r="R2468" s="165"/>
      <c r="S2468" s="165"/>
      <c r="V2468" s="46"/>
      <c r="W2468" s="46"/>
      <c r="X2468" s="1"/>
      <c r="Y2468" s="1"/>
      <c r="Z2468" s="173"/>
      <c r="AA2468" s="1"/>
      <c r="AB2468" s="165"/>
      <c r="AC2468" s="1"/>
      <c r="AD2468" s="1"/>
      <c r="AE2468" s="1"/>
      <c r="AF2468" s="46"/>
      <c r="AG2468" s="1"/>
      <c r="AH2468" s="165"/>
      <c r="AI2468" s="165"/>
      <c r="AJ2468" s="165"/>
      <c r="AK2468" s="165"/>
      <c r="AL2468" s="165"/>
      <c r="AM2468" s="165"/>
      <c r="AN2468" s="165"/>
    </row>
    <row r="2469" spans="3:40">
      <c r="C2469" s="46"/>
      <c r="F2469" s="173"/>
      <c r="G2469" s="1"/>
      <c r="H2469" s="165"/>
      <c r="I2469" s="160"/>
      <c r="J2469" s="160"/>
      <c r="K2469" s="1"/>
      <c r="L2469" s="123"/>
      <c r="M2469" s="1"/>
      <c r="N2469" s="590"/>
      <c r="O2469" s="165"/>
      <c r="P2469" s="165"/>
      <c r="Q2469" s="165"/>
      <c r="R2469" s="165"/>
      <c r="S2469" s="165"/>
      <c r="V2469" s="46"/>
      <c r="W2469" s="46"/>
      <c r="X2469" s="1"/>
      <c r="Y2469" s="1"/>
      <c r="Z2469" s="173"/>
      <c r="AA2469" s="1"/>
      <c r="AB2469" s="165"/>
      <c r="AC2469" s="1"/>
      <c r="AD2469" s="1"/>
      <c r="AE2469" s="1"/>
      <c r="AF2469" s="46"/>
      <c r="AG2469" s="1"/>
      <c r="AH2469" s="165"/>
      <c r="AI2469" s="165"/>
      <c r="AJ2469" s="165"/>
      <c r="AK2469" s="165"/>
      <c r="AL2469" s="165"/>
      <c r="AM2469" s="165"/>
      <c r="AN2469" s="165"/>
    </row>
    <row r="2470" spans="3:40">
      <c r="C2470" s="46"/>
      <c r="F2470" s="173"/>
      <c r="G2470" s="1"/>
      <c r="H2470" s="165"/>
      <c r="I2470" s="160"/>
      <c r="J2470" s="160"/>
      <c r="K2470" s="1"/>
      <c r="L2470" s="123"/>
      <c r="M2470" s="1"/>
      <c r="N2470" s="590"/>
      <c r="O2470" s="165"/>
      <c r="P2470" s="165"/>
      <c r="Q2470" s="165"/>
      <c r="R2470" s="165"/>
      <c r="S2470" s="165"/>
      <c r="V2470" s="46"/>
      <c r="W2470" s="46"/>
      <c r="X2470" s="1"/>
      <c r="Y2470" s="1"/>
      <c r="Z2470" s="173"/>
      <c r="AA2470" s="1"/>
      <c r="AB2470" s="165"/>
      <c r="AC2470" s="1"/>
      <c r="AD2470" s="1"/>
      <c r="AE2470" s="1"/>
      <c r="AF2470" s="46"/>
      <c r="AG2470" s="1"/>
      <c r="AH2470" s="165"/>
      <c r="AI2470" s="165"/>
      <c r="AJ2470" s="165"/>
      <c r="AK2470" s="165"/>
      <c r="AL2470" s="165"/>
      <c r="AM2470" s="165"/>
      <c r="AN2470" s="165"/>
    </row>
    <row r="2471" spans="3:40">
      <c r="C2471" s="46"/>
      <c r="F2471" s="173"/>
      <c r="G2471" s="1"/>
      <c r="H2471" s="165"/>
      <c r="I2471" s="160"/>
      <c r="J2471" s="160"/>
      <c r="K2471" s="1"/>
      <c r="L2471" s="123"/>
      <c r="M2471" s="1"/>
      <c r="N2471" s="590"/>
      <c r="O2471" s="165"/>
      <c r="P2471" s="165"/>
      <c r="Q2471" s="165"/>
      <c r="R2471" s="165"/>
      <c r="S2471" s="165"/>
      <c r="V2471" s="46"/>
      <c r="W2471" s="46"/>
      <c r="X2471" s="1"/>
      <c r="Y2471" s="1"/>
      <c r="Z2471" s="173"/>
      <c r="AA2471" s="1"/>
      <c r="AB2471" s="165"/>
      <c r="AC2471" s="1"/>
      <c r="AD2471" s="1"/>
      <c r="AE2471" s="1"/>
      <c r="AF2471" s="46"/>
      <c r="AG2471" s="1"/>
      <c r="AH2471" s="165"/>
      <c r="AI2471" s="165"/>
      <c r="AJ2471" s="165"/>
      <c r="AK2471" s="165"/>
      <c r="AL2471" s="165"/>
      <c r="AM2471" s="165"/>
      <c r="AN2471" s="165"/>
    </row>
    <row r="2472" spans="3:40">
      <c r="C2472" s="46"/>
      <c r="F2472" s="173"/>
      <c r="G2472" s="1"/>
      <c r="H2472" s="165"/>
      <c r="I2472" s="160"/>
      <c r="J2472" s="160"/>
      <c r="K2472" s="1"/>
      <c r="L2472" s="123"/>
      <c r="M2472" s="1"/>
      <c r="N2472" s="590"/>
      <c r="O2472" s="165"/>
      <c r="P2472" s="165"/>
      <c r="Q2472" s="165"/>
      <c r="R2472" s="165"/>
      <c r="S2472" s="165"/>
      <c r="V2472" s="46"/>
      <c r="W2472" s="46"/>
      <c r="X2472" s="1"/>
      <c r="Y2472" s="1"/>
      <c r="Z2472" s="173"/>
      <c r="AA2472" s="1"/>
      <c r="AB2472" s="165"/>
      <c r="AC2472" s="1"/>
      <c r="AD2472" s="1"/>
      <c r="AE2472" s="1"/>
      <c r="AF2472" s="46"/>
      <c r="AG2472" s="1"/>
      <c r="AH2472" s="165"/>
      <c r="AI2472" s="165"/>
      <c r="AJ2472" s="165"/>
      <c r="AK2472" s="165"/>
      <c r="AL2472" s="165"/>
      <c r="AM2472" s="165"/>
      <c r="AN2472" s="165"/>
    </row>
    <row r="2473" spans="3:40">
      <c r="C2473" s="46"/>
      <c r="F2473" s="173"/>
      <c r="G2473" s="1"/>
      <c r="H2473" s="165"/>
      <c r="I2473" s="160"/>
      <c r="J2473" s="160"/>
      <c r="K2473" s="1"/>
      <c r="L2473" s="123"/>
      <c r="M2473" s="1"/>
      <c r="N2473" s="590"/>
      <c r="O2473" s="165"/>
      <c r="P2473" s="165"/>
      <c r="Q2473" s="165"/>
      <c r="R2473" s="165"/>
      <c r="S2473" s="165"/>
      <c r="V2473" s="46"/>
      <c r="W2473" s="46"/>
      <c r="X2473" s="1"/>
      <c r="Y2473" s="1"/>
      <c r="Z2473" s="173"/>
      <c r="AA2473" s="1"/>
      <c r="AB2473" s="165"/>
      <c r="AC2473" s="1"/>
      <c r="AD2473" s="1"/>
      <c r="AE2473" s="1"/>
      <c r="AF2473" s="46"/>
      <c r="AG2473" s="1"/>
      <c r="AH2473" s="165"/>
      <c r="AI2473" s="165"/>
      <c r="AJ2473" s="165"/>
      <c r="AK2473" s="165"/>
      <c r="AL2473" s="165"/>
      <c r="AM2473" s="165"/>
      <c r="AN2473" s="165"/>
    </row>
    <row r="2474" spans="3:40">
      <c r="C2474" s="46"/>
      <c r="F2474" s="173"/>
      <c r="G2474" s="1"/>
      <c r="H2474" s="165"/>
      <c r="I2474" s="160"/>
      <c r="J2474" s="160"/>
      <c r="K2474" s="1"/>
      <c r="L2474" s="123"/>
      <c r="M2474" s="1"/>
      <c r="N2474" s="590"/>
      <c r="O2474" s="165"/>
      <c r="P2474" s="165"/>
      <c r="Q2474" s="165"/>
      <c r="R2474" s="165"/>
      <c r="S2474" s="165"/>
      <c r="V2474" s="46"/>
      <c r="W2474" s="46"/>
      <c r="X2474" s="1"/>
      <c r="Y2474" s="1"/>
      <c r="Z2474" s="173"/>
      <c r="AA2474" s="1"/>
      <c r="AB2474" s="165"/>
      <c r="AC2474" s="1"/>
      <c r="AD2474" s="1"/>
      <c r="AE2474" s="1"/>
      <c r="AF2474" s="46"/>
      <c r="AG2474" s="1"/>
      <c r="AH2474" s="165"/>
      <c r="AI2474" s="165"/>
      <c r="AJ2474" s="165"/>
      <c r="AK2474" s="165"/>
      <c r="AL2474" s="165"/>
      <c r="AM2474" s="165"/>
      <c r="AN2474" s="165"/>
    </row>
    <row r="2475" spans="3:40">
      <c r="C2475" s="46"/>
      <c r="F2475" s="173"/>
      <c r="G2475" s="1"/>
      <c r="H2475" s="165"/>
      <c r="I2475" s="160"/>
      <c r="J2475" s="160"/>
      <c r="K2475" s="1"/>
      <c r="L2475" s="123"/>
      <c r="M2475" s="1"/>
      <c r="N2475" s="590"/>
      <c r="O2475" s="165"/>
      <c r="P2475" s="165"/>
      <c r="Q2475" s="165"/>
      <c r="R2475" s="165"/>
      <c r="S2475" s="165"/>
      <c r="V2475" s="46"/>
      <c r="W2475" s="46"/>
      <c r="X2475" s="1"/>
      <c r="Y2475" s="1"/>
      <c r="Z2475" s="173"/>
      <c r="AA2475" s="1"/>
      <c r="AB2475" s="165"/>
      <c r="AC2475" s="1"/>
      <c r="AD2475" s="1"/>
      <c r="AE2475" s="1"/>
      <c r="AF2475" s="46"/>
      <c r="AG2475" s="1"/>
      <c r="AH2475" s="165"/>
      <c r="AI2475" s="165"/>
      <c r="AJ2475" s="165"/>
      <c r="AK2475" s="165"/>
      <c r="AL2475" s="165"/>
      <c r="AM2475" s="165"/>
      <c r="AN2475" s="165"/>
    </row>
    <row r="2476" spans="3:40">
      <c r="C2476" s="46"/>
      <c r="F2476" s="173"/>
      <c r="G2476" s="1"/>
      <c r="H2476" s="165"/>
      <c r="I2476" s="160"/>
      <c r="J2476" s="160"/>
      <c r="K2476" s="1"/>
      <c r="L2476" s="123"/>
      <c r="M2476" s="1"/>
      <c r="N2476" s="590"/>
      <c r="O2476" s="165"/>
      <c r="P2476" s="165"/>
      <c r="Q2476" s="165"/>
      <c r="R2476" s="165"/>
      <c r="S2476" s="165"/>
      <c r="V2476" s="46"/>
      <c r="W2476" s="46"/>
      <c r="X2476" s="1"/>
      <c r="Y2476" s="1"/>
      <c r="Z2476" s="173"/>
      <c r="AA2476" s="1"/>
      <c r="AB2476" s="165"/>
      <c r="AC2476" s="1"/>
      <c r="AD2476" s="1"/>
      <c r="AE2476" s="1"/>
      <c r="AF2476" s="46"/>
      <c r="AG2476" s="1"/>
      <c r="AH2476" s="165"/>
      <c r="AI2476" s="165"/>
      <c r="AJ2476" s="165"/>
      <c r="AK2476" s="165"/>
      <c r="AL2476" s="165"/>
      <c r="AM2476" s="165"/>
      <c r="AN2476" s="165"/>
    </row>
    <row r="2477" spans="3:40">
      <c r="C2477" s="46"/>
      <c r="F2477" s="173"/>
      <c r="G2477" s="1"/>
      <c r="H2477" s="165"/>
      <c r="I2477" s="160"/>
      <c r="J2477" s="160"/>
      <c r="K2477" s="1"/>
      <c r="L2477" s="123"/>
      <c r="M2477" s="1"/>
      <c r="N2477" s="590"/>
      <c r="O2477" s="165"/>
      <c r="P2477" s="165"/>
      <c r="Q2477" s="165"/>
      <c r="R2477" s="165"/>
      <c r="S2477" s="165"/>
      <c r="V2477" s="46"/>
      <c r="W2477" s="46"/>
      <c r="X2477" s="1"/>
      <c r="Y2477" s="1"/>
      <c r="Z2477" s="173"/>
      <c r="AA2477" s="1"/>
      <c r="AB2477" s="165"/>
      <c r="AC2477" s="1"/>
      <c r="AD2477" s="1"/>
      <c r="AE2477" s="1"/>
      <c r="AF2477" s="46"/>
      <c r="AG2477" s="1"/>
      <c r="AH2477" s="165"/>
      <c r="AI2477" s="165"/>
      <c r="AJ2477" s="165"/>
      <c r="AK2477" s="165"/>
      <c r="AL2477" s="165"/>
      <c r="AM2477" s="165"/>
      <c r="AN2477" s="165"/>
    </row>
    <row r="2478" spans="3:40">
      <c r="C2478" s="46"/>
      <c r="F2478" s="173"/>
      <c r="G2478" s="1"/>
      <c r="H2478" s="165"/>
      <c r="I2478" s="160"/>
      <c r="J2478" s="160"/>
      <c r="K2478" s="1"/>
      <c r="L2478" s="123"/>
      <c r="M2478" s="1"/>
      <c r="N2478" s="590"/>
      <c r="O2478" s="165"/>
      <c r="P2478" s="165"/>
      <c r="Q2478" s="165"/>
      <c r="R2478" s="165"/>
      <c r="S2478" s="165"/>
      <c r="V2478" s="46"/>
      <c r="W2478" s="46"/>
      <c r="X2478" s="1"/>
      <c r="Y2478" s="1"/>
      <c r="Z2478" s="173"/>
      <c r="AA2478" s="1"/>
      <c r="AB2478" s="165"/>
      <c r="AC2478" s="1"/>
      <c r="AD2478" s="1"/>
      <c r="AE2478" s="1"/>
      <c r="AF2478" s="46"/>
      <c r="AG2478" s="1"/>
      <c r="AH2478" s="165"/>
      <c r="AI2478" s="165"/>
      <c r="AJ2478" s="165"/>
      <c r="AK2478" s="165"/>
      <c r="AL2478" s="165"/>
      <c r="AM2478" s="165"/>
      <c r="AN2478" s="165"/>
    </row>
    <row r="2479" spans="3:40">
      <c r="C2479" s="46"/>
      <c r="F2479" s="173"/>
      <c r="G2479" s="1"/>
      <c r="H2479" s="165"/>
      <c r="I2479" s="160"/>
      <c r="J2479" s="160"/>
      <c r="K2479" s="1"/>
      <c r="L2479" s="123"/>
      <c r="M2479" s="1"/>
      <c r="N2479" s="590"/>
      <c r="O2479" s="165"/>
      <c r="P2479" s="165"/>
      <c r="Q2479" s="165"/>
      <c r="R2479" s="165"/>
      <c r="S2479" s="165"/>
      <c r="V2479" s="46"/>
      <c r="W2479" s="46"/>
      <c r="X2479" s="1"/>
      <c r="Y2479" s="1"/>
      <c r="Z2479" s="173"/>
      <c r="AA2479" s="1"/>
      <c r="AB2479" s="165"/>
      <c r="AC2479" s="1"/>
      <c r="AD2479" s="1"/>
      <c r="AE2479" s="1"/>
      <c r="AF2479" s="46"/>
      <c r="AG2479" s="1"/>
      <c r="AH2479" s="165"/>
      <c r="AI2479" s="165"/>
      <c r="AJ2479" s="165"/>
      <c r="AK2479" s="165"/>
      <c r="AL2479" s="165"/>
      <c r="AM2479" s="165"/>
      <c r="AN2479" s="165"/>
    </row>
    <row r="2480" spans="3:40">
      <c r="C2480" s="46"/>
      <c r="F2480" s="173"/>
      <c r="G2480" s="1"/>
      <c r="H2480" s="165"/>
      <c r="I2480" s="160"/>
      <c r="J2480" s="160"/>
      <c r="K2480" s="1"/>
      <c r="L2480" s="123"/>
      <c r="M2480" s="1"/>
      <c r="N2480" s="590"/>
      <c r="O2480" s="165"/>
      <c r="P2480" s="165"/>
      <c r="Q2480" s="165"/>
      <c r="R2480" s="165"/>
      <c r="S2480" s="165"/>
      <c r="V2480" s="46"/>
      <c r="W2480" s="46"/>
      <c r="X2480" s="1"/>
      <c r="Y2480" s="1"/>
      <c r="Z2480" s="173"/>
      <c r="AA2480" s="1"/>
      <c r="AB2480" s="165"/>
      <c r="AC2480" s="1"/>
      <c r="AD2480" s="1"/>
      <c r="AE2480" s="1"/>
      <c r="AF2480" s="46"/>
      <c r="AG2480" s="1"/>
      <c r="AH2480" s="165"/>
      <c r="AI2480" s="165"/>
      <c r="AJ2480" s="165"/>
      <c r="AK2480" s="165"/>
      <c r="AL2480" s="165"/>
      <c r="AM2480" s="165"/>
      <c r="AN2480" s="165"/>
    </row>
    <row r="2481" spans="3:40">
      <c r="C2481" s="46"/>
      <c r="F2481" s="173"/>
      <c r="G2481" s="1"/>
      <c r="H2481" s="165"/>
      <c r="I2481" s="160"/>
      <c r="J2481" s="160"/>
      <c r="K2481" s="1"/>
      <c r="L2481" s="123"/>
      <c r="M2481" s="1"/>
      <c r="N2481" s="590"/>
      <c r="O2481" s="165"/>
      <c r="P2481" s="165"/>
      <c r="Q2481" s="165"/>
      <c r="R2481" s="165"/>
      <c r="S2481" s="165"/>
      <c r="V2481" s="46"/>
      <c r="W2481" s="46"/>
      <c r="X2481" s="1"/>
      <c r="Y2481" s="1"/>
      <c r="Z2481" s="173"/>
      <c r="AA2481" s="1"/>
      <c r="AB2481" s="165"/>
      <c r="AC2481" s="1"/>
      <c r="AD2481" s="1"/>
      <c r="AE2481" s="1"/>
      <c r="AF2481" s="46"/>
      <c r="AG2481" s="1"/>
      <c r="AH2481" s="165"/>
      <c r="AI2481" s="165"/>
      <c r="AJ2481" s="165"/>
      <c r="AK2481" s="165"/>
      <c r="AL2481" s="165"/>
      <c r="AM2481" s="165"/>
      <c r="AN2481" s="165"/>
    </row>
    <row r="2482" spans="3:40">
      <c r="C2482" s="46"/>
      <c r="F2482" s="173"/>
      <c r="G2482" s="1"/>
      <c r="H2482" s="165"/>
      <c r="I2482" s="160"/>
      <c r="J2482" s="160"/>
      <c r="K2482" s="1"/>
      <c r="L2482" s="123"/>
      <c r="M2482" s="1"/>
      <c r="N2482" s="590"/>
      <c r="O2482" s="165"/>
      <c r="P2482" s="165"/>
      <c r="Q2482" s="165"/>
      <c r="R2482" s="165"/>
      <c r="S2482" s="165"/>
      <c r="V2482" s="46"/>
      <c r="W2482" s="46"/>
      <c r="X2482" s="1"/>
      <c r="Y2482" s="1"/>
      <c r="Z2482" s="173"/>
      <c r="AA2482" s="1"/>
      <c r="AB2482" s="165"/>
      <c r="AC2482" s="1"/>
      <c r="AD2482" s="1"/>
      <c r="AE2482" s="1"/>
      <c r="AF2482" s="46"/>
      <c r="AG2482" s="1"/>
      <c r="AH2482" s="165"/>
      <c r="AI2482" s="165"/>
      <c r="AJ2482" s="165"/>
      <c r="AK2482" s="165"/>
      <c r="AL2482" s="165"/>
      <c r="AM2482" s="165"/>
      <c r="AN2482" s="165"/>
    </row>
    <row r="2483" spans="3:40">
      <c r="C2483" s="46"/>
      <c r="F2483" s="173"/>
      <c r="G2483" s="1"/>
      <c r="H2483" s="165"/>
      <c r="I2483" s="160"/>
      <c r="J2483" s="160"/>
      <c r="K2483" s="1"/>
      <c r="L2483" s="123"/>
      <c r="M2483" s="1"/>
      <c r="N2483" s="590"/>
      <c r="O2483" s="165"/>
      <c r="P2483" s="165"/>
      <c r="Q2483" s="165"/>
      <c r="R2483" s="165"/>
      <c r="S2483" s="165"/>
      <c r="V2483" s="46"/>
      <c r="W2483" s="46"/>
      <c r="X2483" s="1"/>
      <c r="Y2483" s="1"/>
      <c r="Z2483" s="173"/>
      <c r="AA2483" s="1"/>
      <c r="AB2483" s="165"/>
      <c r="AC2483" s="1"/>
      <c r="AD2483" s="1"/>
      <c r="AE2483" s="1"/>
      <c r="AF2483" s="46"/>
      <c r="AG2483" s="1"/>
      <c r="AH2483" s="165"/>
      <c r="AI2483" s="165"/>
      <c r="AJ2483" s="165"/>
      <c r="AK2483" s="165"/>
      <c r="AL2483" s="165"/>
      <c r="AM2483" s="165"/>
      <c r="AN2483" s="165"/>
    </row>
    <row r="2484" spans="3:40">
      <c r="C2484" s="46"/>
      <c r="F2484" s="173"/>
      <c r="G2484" s="1"/>
      <c r="H2484" s="165"/>
      <c r="I2484" s="160"/>
      <c r="J2484" s="160"/>
      <c r="K2484" s="1"/>
      <c r="L2484" s="123"/>
      <c r="M2484" s="1"/>
      <c r="N2484" s="590"/>
      <c r="O2484" s="165"/>
      <c r="P2484" s="165"/>
      <c r="Q2484" s="165"/>
      <c r="R2484" s="165"/>
      <c r="S2484" s="165"/>
      <c r="V2484" s="46"/>
      <c r="W2484" s="46"/>
      <c r="X2484" s="1"/>
      <c r="Y2484" s="1"/>
      <c r="Z2484" s="173"/>
      <c r="AA2484" s="1"/>
      <c r="AB2484" s="165"/>
      <c r="AC2484" s="1"/>
      <c r="AD2484" s="1"/>
      <c r="AE2484" s="1"/>
      <c r="AF2484" s="46"/>
      <c r="AG2484" s="1"/>
      <c r="AH2484" s="165"/>
      <c r="AI2484" s="165"/>
      <c r="AJ2484" s="165"/>
      <c r="AK2484" s="165"/>
      <c r="AL2484" s="165"/>
      <c r="AM2484" s="165"/>
      <c r="AN2484" s="165"/>
    </row>
    <row r="2485" spans="3:40">
      <c r="C2485" s="46"/>
      <c r="F2485" s="173"/>
      <c r="G2485" s="1"/>
      <c r="H2485" s="165"/>
      <c r="I2485" s="160"/>
      <c r="J2485" s="160"/>
      <c r="K2485" s="1"/>
      <c r="L2485" s="123"/>
      <c r="M2485" s="1"/>
      <c r="N2485" s="590"/>
      <c r="O2485" s="165"/>
      <c r="P2485" s="165"/>
      <c r="Q2485" s="165"/>
      <c r="R2485" s="165"/>
      <c r="S2485" s="165"/>
      <c r="V2485" s="46"/>
      <c r="W2485" s="46"/>
      <c r="X2485" s="1"/>
      <c r="Y2485" s="1"/>
      <c r="Z2485" s="173"/>
      <c r="AA2485" s="1"/>
      <c r="AB2485" s="165"/>
      <c r="AC2485" s="1"/>
      <c r="AD2485" s="1"/>
      <c r="AE2485" s="1"/>
      <c r="AF2485" s="46"/>
      <c r="AG2485" s="1"/>
      <c r="AH2485" s="165"/>
      <c r="AI2485" s="165"/>
      <c r="AJ2485" s="165"/>
      <c r="AK2485" s="165"/>
      <c r="AL2485" s="165"/>
      <c r="AM2485" s="165"/>
      <c r="AN2485" s="165"/>
    </row>
    <row r="2486" spans="3:40">
      <c r="C2486" s="46"/>
      <c r="F2486" s="173"/>
      <c r="G2486" s="1"/>
      <c r="H2486" s="165"/>
      <c r="I2486" s="160"/>
      <c r="J2486" s="160"/>
      <c r="K2486" s="1"/>
      <c r="L2486" s="123"/>
      <c r="M2486" s="1"/>
      <c r="N2486" s="590"/>
      <c r="O2486" s="165"/>
      <c r="P2486" s="165"/>
      <c r="Q2486" s="165"/>
      <c r="R2486" s="165"/>
      <c r="S2486" s="165"/>
      <c r="V2486" s="46"/>
      <c r="W2486" s="46"/>
      <c r="X2486" s="1"/>
      <c r="Y2486" s="1"/>
      <c r="Z2486" s="173"/>
      <c r="AA2486" s="1"/>
      <c r="AB2486" s="165"/>
      <c r="AC2486" s="1"/>
      <c r="AD2486" s="1"/>
      <c r="AE2486" s="1"/>
      <c r="AF2486" s="46"/>
      <c r="AG2486" s="1"/>
      <c r="AH2486" s="165"/>
      <c r="AI2486" s="165"/>
      <c r="AJ2486" s="165"/>
      <c r="AK2486" s="165"/>
      <c r="AL2486" s="165"/>
      <c r="AM2486" s="165"/>
      <c r="AN2486" s="165"/>
    </row>
    <row r="2487" spans="3:40">
      <c r="C2487" s="46"/>
      <c r="F2487" s="173"/>
      <c r="G2487" s="1"/>
      <c r="H2487" s="165"/>
      <c r="I2487" s="160"/>
      <c r="J2487" s="160"/>
      <c r="K2487" s="1"/>
      <c r="L2487" s="123"/>
      <c r="M2487" s="1"/>
      <c r="N2487" s="590"/>
      <c r="O2487" s="165"/>
      <c r="P2487" s="165"/>
      <c r="Q2487" s="165"/>
      <c r="R2487" s="165"/>
      <c r="S2487" s="165"/>
      <c r="V2487" s="46"/>
      <c r="W2487" s="46"/>
      <c r="X2487" s="1"/>
      <c r="Y2487" s="1"/>
      <c r="Z2487" s="173"/>
      <c r="AA2487" s="1"/>
      <c r="AB2487" s="165"/>
      <c r="AC2487" s="1"/>
      <c r="AD2487" s="1"/>
      <c r="AE2487" s="1"/>
      <c r="AF2487" s="46"/>
      <c r="AG2487" s="1"/>
      <c r="AH2487" s="165"/>
      <c r="AI2487" s="165"/>
      <c r="AJ2487" s="165"/>
      <c r="AK2487" s="165"/>
      <c r="AL2487" s="165"/>
      <c r="AM2487" s="165"/>
      <c r="AN2487" s="165"/>
    </row>
    <row r="2488" spans="3:40">
      <c r="C2488" s="46"/>
      <c r="F2488" s="173"/>
      <c r="G2488" s="1"/>
      <c r="H2488" s="165"/>
      <c r="I2488" s="160"/>
      <c r="J2488" s="160"/>
      <c r="K2488" s="1"/>
      <c r="L2488" s="123"/>
      <c r="M2488" s="1"/>
      <c r="N2488" s="590"/>
      <c r="O2488" s="165"/>
      <c r="P2488" s="165"/>
      <c r="Q2488" s="165"/>
      <c r="R2488" s="165"/>
      <c r="S2488" s="165"/>
      <c r="V2488" s="46"/>
      <c r="W2488" s="46"/>
      <c r="X2488" s="1"/>
      <c r="Y2488" s="1"/>
      <c r="Z2488" s="173"/>
      <c r="AA2488" s="1"/>
      <c r="AB2488" s="165"/>
      <c r="AC2488" s="1"/>
      <c r="AD2488" s="1"/>
      <c r="AE2488" s="1"/>
      <c r="AF2488" s="46"/>
      <c r="AG2488" s="1"/>
      <c r="AH2488" s="165"/>
      <c r="AI2488" s="165"/>
      <c r="AJ2488" s="165"/>
      <c r="AK2488" s="165"/>
      <c r="AL2488" s="165"/>
      <c r="AM2488" s="165"/>
      <c r="AN2488" s="165"/>
    </row>
    <row r="2489" spans="3:40">
      <c r="C2489" s="46"/>
      <c r="F2489" s="173"/>
      <c r="G2489" s="1"/>
      <c r="H2489" s="165"/>
      <c r="I2489" s="160"/>
      <c r="J2489" s="160"/>
      <c r="K2489" s="1"/>
      <c r="L2489" s="123"/>
      <c r="M2489" s="1"/>
      <c r="N2489" s="590"/>
      <c r="O2489" s="165"/>
      <c r="P2489" s="165"/>
      <c r="Q2489" s="165"/>
      <c r="R2489" s="165"/>
      <c r="S2489" s="165"/>
      <c r="V2489" s="46"/>
      <c r="W2489" s="46"/>
      <c r="X2489" s="1"/>
      <c r="Y2489" s="1"/>
      <c r="Z2489" s="173"/>
      <c r="AA2489" s="1"/>
      <c r="AB2489" s="165"/>
      <c r="AC2489" s="1"/>
      <c r="AD2489" s="1"/>
      <c r="AE2489" s="1"/>
      <c r="AF2489" s="46"/>
      <c r="AG2489" s="1"/>
      <c r="AH2489" s="165"/>
      <c r="AI2489" s="165"/>
      <c r="AJ2489" s="165"/>
      <c r="AK2489" s="165"/>
      <c r="AL2489" s="165"/>
      <c r="AM2489" s="165"/>
      <c r="AN2489" s="165"/>
    </row>
    <row r="2490" spans="3:40">
      <c r="C2490" s="46"/>
      <c r="F2490" s="173"/>
      <c r="G2490" s="1"/>
      <c r="H2490" s="165"/>
      <c r="I2490" s="160"/>
      <c r="J2490" s="160"/>
      <c r="K2490" s="1"/>
      <c r="L2490" s="123"/>
      <c r="M2490" s="1"/>
      <c r="N2490" s="590"/>
      <c r="O2490" s="165"/>
      <c r="P2490" s="165"/>
      <c r="Q2490" s="165"/>
      <c r="R2490" s="165"/>
      <c r="S2490" s="165"/>
      <c r="V2490" s="46"/>
      <c r="W2490" s="46"/>
      <c r="X2490" s="1"/>
      <c r="Y2490" s="1"/>
      <c r="Z2490" s="173"/>
      <c r="AA2490" s="1"/>
      <c r="AB2490" s="165"/>
      <c r="AC2490" s="1"/>
      <c r="AD2490" s="1"/>
      <c r="AE2490" s="1"/>
      <c r="AF2490" s="46"/>
      <c r="AG2490" s="1"/>
      <c r="AH2490" s="165"/>
      <c r="AI2490" s="165"/>
      <c r="AJ2490" s="165"/>
      <c r="AK2490" s="165"/>
      <c r="AL2490" s="165"/>
      <c r="AM2490" s="165"/>
      <c r="AN2490" s="165"/>
    </row>
    <row r="2491" spans="3:40">
      <c r="C2491" s="46"/>
      <c r="F2491" s="173"/>
      <c r="G2491" s="1"/>
      <c r="H2491" s="165"/>
      <c r="I2491" s="160"/>
      <c r="J2491" s="160"/>
      <c r="K2491" s="1"/>
      <c r="L2491" s="123"/>
      <c r="M2491" s="1"/>
      <c r="N2491" s="590"/>
      <c r="O2491" s="165"/>
      <c r="P2491" s="165"/>
      <c r="Q2491" s="165"/>
      <c r="R2491" s="165"/>
      <c r="S2491" s="165"/>
      <c r="V2491" s="46"/>
      <c r="W2491" s="46"/>
      <c r="X2491" s="1"/>
      <c r="Y2491" s="1"/>
      <c r="Z2491" s="173"/>
      <c r="AA2491" s="1"/>
      <c r="AB2491" s="165"/>
      <c r="AC2491" s="1"/>
      <c r="AD2491" s="1"/>
      <c r="AE2491" s="1"/>
      <c r="AF2491" s="46"/>
      <c r="AG2491" s="1"/>
      <c r="AH2491" s="165"/>
      <c r="AI2491" s="165"/>
      <c r="AJ2491" s="165"/>
      <c r="AK2491" s="165"/>
      <c r="AL2491" s="165"/>
      <c r="AM2491" s="165"/>
      <c r="AN2491" s="165"/>
    </row>
    <row r="2492" spans="3:40">
      <c r="C2492" s="46"/>
      <c r="F2492" s="173"/>
      <c r="G2492" s="1"/>
      <c r="H2492" s="165"/>
      <c r="I2492" s="160"/>
      <c r="J2492" s="160"/>
      <c r="K2492" s="1"/>
      <c r="L2492" s="123"/>
      <c r="M2492" s="1"/>
      <c r="N2492" s="590"/>
      <c r="O2492" s="165"/>
      <c r="P2492" s="165"/>
      <c r="Q2492" s="165"/>
      <c r="R2492" s="165"/>
      <c r="S2492" s="165"/>
      <c r="V2492" s="46"/>
      <c r="W2492" s="46"/>
      <c r="X2492" s="1"/>
      <c r="Y2492" s="1"/>
      <c r="Z2492" s="173"/>
      <c r="AA2492" s="1"/>
      <c r="AB2492" s="165"/>
      <c r="AC2492" s="1"/>
      <c r="AD2492" s="1"/>
      <c r="AE2492" s="1"/>
      <c r="AF2492" s="46"/>
      <c r="AG2492" s="1"/>
      <c r="AH2492" s="165"/>
      <c r="AI2492" s="165"/>
      <c r="AJ2492" s="165"/>
      <c r="AK2492" s="165"/>
      <c r="AL2492" s="165"/>
      <c r="AM2492" s="165"/>
      <c r="AN2492" s="165"/>
    </row>
    <row r="2493" spans="3:40">
      <c r="C2493" s="46"/>
      <c r="F2493" s="173"/>
      <c r="G2493" s="1"/>
      <c r="H2493" s="165"/>
      <c r="I2493" s="160"/>
      <c r="J2493" s="160"/>
      <c r="K2493" s="1"/>
      <c r="L2493" s="123"/>
      <c r="M2493" s="1"/>
      <c r="N2493" s="590"/>
      <c r="O2493" s="165"/>
      <c r="P2493" s="165"/>
      <c r="Q2493" s="165"/>
      <c r="R2493" s="165"/>
      <c r="S2493" s="165"/>
      <c r="V2493" s="46"/>
      <c r="W2493" s="46"/>
      <c r="X2493" s="1"/>
      <c r="Y2493" s="1"/>
      <c r="Z2493" s="173"/>
      <c r="AA2493" s="1"/>
      <c r="AB2493" s="165"/>
      <c r="AC2493" s="1"/>
      <c r="AD2493" s="1"/>
      <c r="AE2493" s="1"/>
      <c r="AF2493" s="46"/>
      <c r="AG2493" s="1"/>
      <c r="AH2493" s="165"/>
      <c r="AI2493" s="165"/>
      <c r="AJ2493" s="165"/>
      <c r="AK2493" s="165"/>
      <c r="AL2493" s="165"/>
      <c r="AM2493" s="165"/>
      <c r="AN2493" s="165"/>
    </row>
    <row r="2494" spans="3:40">
      <c r="C2494" s="46"/>
      <c r="F2494" s="173"/>
      <c r="G2494" s="1"/>
      <c r="H2494" s="165"/>
      <c r="I2494" s="160"/>
      <c r="J2494" s="160"/>
      <c r="K2494" s="1"/>
      <c r="L2494" s="123"/>
      <c r="M2494" s="1"/>
      <c r="N2494" s="590"/>
      <c r="O2494" s="165"/>
      <c r="P2494" s="165"/>
      <c r="Q2494" s="165"/>
      <c r="R2494" s="165"/>
      <c r="S2494" s="165"/>
      <c r="V2494" s="46"/>
      <c r="W2494" s="46"/>
      <c r="X2494" s="1"/>
      <c r="Y2494" s="1"/>
      <c r="Z2494" s="173"/>
      <c r="AA2494" s="1"/>
      <c r="AB2494" s="165"/>
      <c r="AC2494" s="1"/>
      <c r="AD2494" s="1"/>
      <c r="AE2494" s="1"/>
      <c r="AF2494" s="46"/>
      <c r="AG2494" s="1"/>
      <c r="AH2494" s="165"/>
      <c r="AI2494" s="165"/>
      <c r="AJ2494" s="165"/>
      <c r="AK2494" s="165"/>
      <c r="AL2494" s="165"/>
      <c r="AM2494" s="165"/>
      <c r="AN2494" s="165"/>
    </row>
    <row r="2495" spans="3:40">
      <c r="C2495" s="46"/>
      <c r="F2495" s="173"/>
      <c r="G2495" s="1"/>
      <c r="H2495" s="165"/>
      <c r="I2495" s="160"/>
      <c r="J2495" s="160"/>
      <c r="K2495" s="1"/>
      <c r="L2495" s="123"/>
      <c r="M2495" s="1"/>
      <c r="N2495" s="590"/>
      <c r="O2495" s="165"/>
      <c r="P2495" s="165"/>
      <c r="Q2495" s="165"/>
      <c r="R2495" s="165"/>
      <c r="S2495" s="165"/>
      <c r="V2495" s="46"/>
      <c r="W2495" s="46"/>
      <c r="X2495" s="1"/>
      <c r="Y2495" s="1"/>
      <c r="Z2495" s="173"/>
      <c r="AA2495" s="1"/>
      <c r="AB2495" s="165"/>
      <c r="AC2495" s="1"/>
      <c r="AD2495" s="1"/>
      <c r="AE2495" s="1"/>
      <c r="AF2495" s="46"/>
      <c r="AG2495" s="1"/>
      <c r="AH2495" s="165"/>
      <c r="AI2495" s="165"/>
      <c r="AJ2495" s="165"/>
      <c r="AK2495" s="165"/>
      <c r="AL2495" s="165"/>
      <c r="AM2495" s="165"/>
      <c r="AN2495" s="165"/>
    </row>
    <row r="2496" spans="3:40">
      <c r="C2496" s="46"/>
      <c r="F2496" s="173"/>
      <c r="G2496" s="1"/>
      <c r="H2496" s="165"/>
      <c r="I2496" s="160"/>
      <c r="J2496" s="160"/>
      <c r="K2496" s="1"/>
      <c r="L2496" s="123"/>
      <c r="M2496" s="1"/>
      <c r="N2496" s="590"/>
      <c r="O2496" s="165"/>
      <c r="P2496" s="165"/>
      <c r="Q2496" s="165"/>
      <c r="R2496" s="165"/>
      <c r="S2496" s="165"/>
      <c r="V2496" s="46"/>
      <c r="W2496" s="46"/>
      <c r="X2496" s="1"/>
      <c r="Y2496" s="1"/>
      <c r="Z2496" s="173"/>
      <c r="AA2496" s="1"/>
      <c r="AB2496" s="165"/>
      <c r="AC2496" s="1"/>
      <c r="AD2496" s="1"/>
      <c r="AE2496" s="1"/>
      <c r="AF2496" s="46"/>
      <c r="AG2496" s="1"/>
      <c r="AH2496" s="165"/>
      <c r="AI2496" s="165"/>
      <c r="AJ2496" s="165"/>
      <c r="AK2496" s="165"/>
      <c r="AL2496" s="165"/>
      <c r="AM2496" s="165"/>
      <c r="AN2496" s="165"/>
    </row>
    <row r="2497" spans="3:40">
      <c r="C2497" s="46"/>
      <c r="F2497" s="173"/>
      <c r="G2497" s="1"/>
      <c r="H2497" s="165"/>
      <c r="I2497" s="160"/>
      <c r="J2497" s="160"/>
      <c r="K2497" s="1"/>
      <c r="L2497" s="123"/>
      <c r="M2497" s="1"/>
      <c r="N2497" s="590"/>
      <c r="O2497" s="165"/>
      <c r="P2497" s="165"/>
      <c r="Q2497" s="165"/>
      <c r="R2497" s="165"/>
      <c r="S2497" s="165"/>
      <c r="V2497" s="46"/>
      <c r="W2497" s="46"/>
      <c r="X2497" s="1"/>
      <c r="Y2497" s="1"/>
      <c r="Z2497" s="173"/>
      <c r="AA2497" s="1"/>
      <c r="AB2497" s="165"/>
      <c r="AC2497" s="1"/>
      <c r="AD2497" s="1"/>
      <c r="AE2497" s="1"/>
      <c r="AF2497" s="46"/>
      <c r="AG2497" s="1"/>
      <c r="AH2497" s="165"/>
      <c r="AI2497" s="165"/>
      <c r="AJ2497" s="165"/>
      <c r="AK2497" s="165"/>
      <c r="AL2497" s="165"/>
      <c r="AM2497" s="165"/>
      <c r="AN2497" s="165"/>
    </row>
    <row r="2498" spans="3:40">
      <c r="C2498" s="46"/>
      <c r="F2498" s="173"/>
      <c r="G2498" s="1"/>
      <c r="H2498" s="165"/>
      <c r="I2498" s="160"/>
      <c r="J2498" s="160"/>
      <c r="K2498" s="1"/>
      <c r="L2498" s="123"/>
      <c r="M2498" s="1"/>
      <c r="N2498" s="590"/>
      <c r="O2498" s="165"/>
      <c r="P2498" s="165"/>
      <c r="Q2498" s="165"/>
      <c r="R2498" s="165"/>
      <c r="S2498" s="165"/>
      <c r="V2498" s="46"/>
      <c r="W2498" s="46"/>
      <c r="X2498" s="1"/>
      <c r="Y2498" s="1"/>
      <c r="Z2498" s="173"/>
      <c r="AA2498" s="1"/>
      <c r="AB2498" s="165"/>
      <c r="AC2498" s="1"/>
      <c r="AD2498" s="1"/>
      <c r="AE2498" s="1"/>
      <c r="AF2498" s="46"/>
      <c r="AG2498" s="1"/>
      <c r="AH2498" s="165"/>
      <c r="AI2498" s="165"/>
      <c r="AJ2498" s="165"/>
      <c r="AK2498" s="165"/>
      <c r="AL2498" s="165"/>
      <c r="AM2498" s="165"/>
      <c r="AN2498" s="165"/>
    </row>
    <row r="2499" spans="3:40">
      <c r="C2499" s="46"/>
      <c r="F2499" s="173"/>
      <c r="G2499" s="1"/>
      <c r="H2499" s="165"/>
      <c r="I2499" s="160"/>
      <c r="J2499" s="160"/>
      <c r="K2499" s="1"/>
      <c r="L2499" s="123"/>
      <c r="M2499" s="1"/>
      <c r="N2499" s="590"/>
      <c r="O2499" s="165"/>
      <c r="P2499" s="165"/>
      <c r="Q2499" s="165"/>
      <c r="R2499" s="165"/>
      <c r="S2499" s="165"/>
      <c r="V2499" s="46"/>
      <c r="W2499" s="46"/>
      <c r="X2499" s="1"/>
      <c r="Y2499" s="1"/>
      <c r="Z2499" s="173"/>
      <c r="AA2499" s="1"/>
      <c r="AB2499" s="165"/>
      <c r="AC2499" s="1"/>
      <c r="AD2499" s="1"/>
      <c r="AE2499" s="1"/>
      <c r="AF2499" s="46"/>
      <c r="AG2499" s="1"/>
      <c r="AH2499" s="165"/>
      <c r="AI2499" s="165"/>
      <c r="AJ2499" s="165"/>
      <c r="AK2499" s="165"/>
      <c r="AL2499" s="165"/>
      <c r="AM2499" s="165"/>
      <c r="AN2499" s="165"/>
    </row>
    <row r="2500" spans="3:40">
      <c r="C2500" s="46"/>
      <c r="F2500" s="173"/>
      <c r="G2500" s="1"/>
      <c r="H2500" s="165"/>
      <c r="I2500" s="160"/>
      <c r="J2500" s="160"/>
      <c r="K2500" s="1"/>
      <c r="L2500" s="123"/>
      <c r="M2500" s="1"/>
      <c r="N2500" s="590"/>
      <c r="O2500" s="165"/>
      <c r="P2500" s="165"/>
      <c r="Q2500" s="165"/>
      <c r="R2500" s="165"/>
      <c r="S2500" s="165"/>
      <c r="V2500" s="46"/>
      <c r="W2500" s="46"/>
      <c r="X2500" s="1"/>
      <c r="Y2500" s="1"/>
      <c r="Z2500" s="173"/>
      <c r="AA2500" s="1"/>
      <c r="AB2500" s="165"/>
      <c r="AC2500" s="1"/>
      <c r="AD2500" s="1"/>
      <c r="AE2500" s="1"/>
      <c r="AF2500" s="46"/>
      <c r="AG2500" s="1"/>
      <c r="AH2500" s="165"/>
      <c r="AI2500" s="165"/>
      <c r="AJ2500" s="165"/>
      <c r="AK2500" s="165"/>
      <c r="AL2500" s="165"/>
      <c r="AM2500" s="165"/>
      <c r="AN2500" s="165"/>
    </row>
    <row r="2501" spans="3:40">
      <c r="C2501" s="46"/>
      <c r="F2501" s="173"/>
      <c r="G2501" s="1"/>
      <c r="H2501" s="165"/>
      <c r="I2501" s="160"/>
      <c r="J2501" s="160"/>
      <c r="K2501" s="1"/>
      <c r="L2501" s="123"/>
      <c r="M2501" s="1"/>
      <c r="N2501" s="590"/>
      <c r="O2501" s="165"/>
      <c r="P2501" s="165"/>
      <c r="Q2501" s="165"/>
      <c r="R2501" s="165"/>
      <c r="S2501" s="165"/>
      <c r="V2501" s="46"/>
      <c r="W2501" s="46"/>
      <c r="X2501" s="1"/>
      <c r="Y2501" s="1"/>
      <c r="Z2501" s="173"/>
      <c r="AA2501" s="1"/>
      <c r="AB2501" s="165"/>
      <c r="AC2501" s="1"/>
      <c r="AD2501" s="1"/>
      <c r="AE2501" s="1"/>
      <c r="AF2501" s="46"/>
      <c r="AG2501" s="1"/>
      <c r="AH2501" s="165"/>
      <c r="AI2501" s="165"/>
      <c r="AJ2501" s="165"/>
      <c r="AK2501" s="165"/>
      <c r="AL2501" s="165"/>
      <c r="AM2501" s="165"/>
      <c r="AN2501" s="165"/>
    </row>
    <row r="2502" spans="3:40">
      <c r="C2502" s="46"/>
      <c r="F2502" s="173"/>
      <c r="G2502" s="1"/>
      <c r="H2502" s="165"/>
      <c r="I2502" s="160"/>
      <c r="J2502" s="160"/>
      <c r="K2502" s="1"/>
      <c r="L2502" s="123"/>
      <c r="M2502" s="1"/>
      <c r="N2502" s="590"/>
      <c r="O2502" s="165"/>
      <c r="P2502" s="165"/>
      <c r="Q2502" s="165"/>
      <c r="R2502" s="165"/>
      <c r="S2502" s="165"/>
      <c r="V2502" s="46"/>
      <c r="W2502" s="46"/>
      <c r="X2502" s="1"/>
      <c r="Y2502" s="1"/>
      <c r="Z2502" s="173"/>
      <c r="AA2502" s="1"/>
      <c r="AB2502" s="165"/>
      <c r="AC2502" s="1"/>
      <c r="AD2502" s="1"/>
      <c r="AE2502" s="1"/>
      <c r="AF2502" s="46"/>
      <c r="AG2502" s="1"/>
      <c r="AH2502" s="165"/>
      <c r="AI2502" s="165"/>
      <c r="AJ2502" s="165"/>
      <c r="AK2502" s="165"/>
      <c r="AL2502" s="165"/>
      <c r="AM2502" s="165"/>
      <c r="AN2502" s="165"/>
    </row>
    <row r="2503" spans="3:40">
      <c r="C2503" s="46"/>
      <c r="F2503" s="173"/>
      <c r="G2503" s="1"/>
      <c r="H2503" s="165"/>
      <c r="I2503" s="160"/>
      <c r="J2503" s="160"/>
      <c r="K2503" s="1"/>
      <c r="L2503" s="123"/>
      <c r="M2503" s="1"/>
      <c r="N2503" s="590"/>
      <c r="O2503" s="165"/>
      <c r="P2503" s="165"/>
      <c r="Q2503" s="165"/>
      <c r="R2503" s="165"/>
      <c r="S2503" s="165"/>
      <c r="V2503" s="46"/>
      <c r="W2503" s="46"/>
      <c r="X2503" s="1"/>
      <c r="Y2503" s="1"/>
      <c r="Z2503" s="173"/>
      <c r="AA2503" s="1"/>
      <c r="AB2503" s="165"/>
      <c r="AC2503" s="1"/>
      <c r="AD2503" s="1"/>
      <c r="AE2503" s="1"/>
      <c r="AF2503" s="46"/>
      <c r="AG2503" s="1"/>
      <c r="AH2503" s="165"/>
      <c r="AI2503" s="165"/>
      <c r="AJ2503" s="165"/>
      <c r="AK2503" s="165"/>
      <c r="AL2503" s="165"/>
      <c r="AM2503" s="165"/>
      <c r="AN2503" s="165"/>
    </row>
    <row r="2504" spans="3:40">
      <c r="C2504" s="46"/>
      <c r="F2504" s="173"/>
      <c r="G2504" s="1"/>
      <c r="H2504" s="165"/>
      <c r="I2504" s="160"/>
      <c r="J2504" s="160"/>
      <c r="K2504" s="1"/>
      <c r="L2504" s="123"/>
      <c r="M2504" s="1"/>
      <c r="N2504" s="590"/>
      <c r="O2504" s="165"/>
      <c r="P2504" s="165"/>
      <c r="Q2504" s="165"/>
      <c r="R2504" s="165"/>
      <c r="S2504" s="165"/>
      <c r="V2504" s="46"/>
      <c r="W2504" s="46"/>
      <c r="X2504" s="1"/>
      <c r="Y2504" s="1"/>
      <c r="Z2504" s="173"/>
      <c r="AA2504" s="1"/>
      <c r="AB2504" s="165"/>
      <c r="AC2504" s="1"/>
      <c r="AD2504" s="1"/>
      <c r="AE2504" s="1"/>
      <c r="AF2504" s="46"/>
      <c r="AG2504" s="1"/>
      <c r="AH2504" s="165"/>
      <c r="AI2504" s="165"/>
      <c r="AJ2504" s="165"/>
      <c r="AK2504" s="165"/>
      <c r="AL2504" s="165"/>
      <c r="AM2504" s="165"/>
      <c r="AN2504" s="165"/>
    </row>
    <row r="2505" spans="3:40">
      <c r="C2505" s="46"/>
      <c r="F2505" s="173"/>
      <c r="G2505" s="1"/>
      <c r="H2505" s="165"/>
      <c r="I2505" s="160"/>
      <c r="J2505" s="160"/>
      <c r="K2505" s="1"/>
      <c r="L2505" s="123"/>
      <c r="M2505" s="1"/>
      <c r="N2505" s="590"/>
      <c r="O2505" s="165"/>
      <c r="P2505" s="165"/>
      <c r="Q2505" s="165"/>
      <c r="R2505" s="165"/>
      <c r="S2505" s="165"/>
      <c r="V2505" s="46"/>
      <c r="W2505" s="46"/>
      <c r="X2505" s="1"/>
      <c r="Y2505" s="1"/>
      <c r="Z2505" s="173"/>
      <c r="AA2505" s="1"/>
      <c r="AB2505" s="165"/>
      <c r="AC2505" s="1"/>
      <c r="AD2505" s="1"/>
      <c r="AE2505" s="1"/>
      <c r="AF2505" s="46"/>
      <c r="AG2505" s="1"/>
      <c r="AH2505" s="165"/>
      <c r="AI2505" s="165"/>
      <c r="AJ2505" s="165"/>
      <c r="AK2505" s="165"/>
      <c r="AL2505" s="165"/>
      <c r="AM2505" s="165"/>
      <c r="AN2505" s="165"/>
    </row>
    <row r="2506" spans="3:40">
      <c r="C2506" s="46"/>
      <c r="F2506" s="173"/>
      <c r="G2506" s="1"/>
      <c r="H2506" s="165"/>
      <c r="I2506" s="160"/>
      <c r="J2506" s="160"/>
      <c r="K2506" s="1"/>
      <c r="L2506" s="123"/>
      <c r="M2506" s="1"/>
      <c r="N2506" s="590"/>
      <c r="O2506" s="165"/>
      <c r="P2506" s="165"/>
      <c r="Q2506" s="165"/>
      <c r="R2506" s="165"/>
      <c r="S2506" s="165"/>
      <c r="V2506" s="46"/>
      <c r="W2506" s="46"/>
      <c r="X2506" s="1"/>
      <c r="Y2506" s="1"/>
      <c r="Z2506" s="173"/>
      <c r="AA2506" s="1"/>
      <c r="AB2506" s="165"/>
      <c r="AC2506" s="1"/>
      <c r="AD2506" s="1"/>
      <c r="AE2506" s="1"/>
      <c r="AF2506" s="46"/>
      <c r="AG2506" s="1"/>
      <c r="AH2506" s="165"/>
      <c r="AI2506" s="165"/>
      <c r="AJ2506" s="165"/>
      <c r="AK2506" s="165"/>
      <c r="AL2506" s="165"/>
      <c r="AM2506" s="165"/>
      <c r="AN2506" s="165"/>
    </row>
    <row r="2507" spans="3:40">
      <c r="C2507" s="46"/>
      <c r="F2507" s="173"/>
      <c r="G2507" s="1"/>
      <c r="H2507" s="165"/>
      <c r="I2507" s="160"/>
      <c r="J2507" s="160"/>
      <c r="K2507" s="1"/>
      <c r="L2507" s="123"/>
      <c r="M2507" s="1"/>
      <c r="N2507" s="590"/>
      <c r="O2507" s="165"/>
      <c r="P2507" s="165"/>
      <c r="Q2507" s="165"/>
      <c r="R2507" s="165"/>
      <c r="S2507" s="165"/>
      <c r="V2507" s="46"/>
      <c r="W2507" s="46"/>
      <c r="X2507" s="1"/>
      <c r="Y2507" s="1"/>
      <c r="Z2507" s="173"/>
      <c r="AA2507" s="1"/>
      <c r="AB2507" s="165"/>
      <c r="AC2507" s="1"/>
      <c r="AD2507" s="1"/>
      <c r="AE2507" s="1"/>
      <c r="AF2507" s="46"/>
      <c r="AG2507" s="1"/>
      <c r="AH2507" s="165"/>
      <c r="AI2507" s="165"/>
      <c r="AJ2507" s="165"/>
      <c r="AK2507" s="165"/>
      <c r="AL2507" s="165"/>
      <c r="AM2507" s="165"/>
      <c r="AN2507" s="165"/>
    </row>
    <row r="2508" spans="3:40">
      <c r="C2508" s="46"/>
      <c r="F2508" s="173"/>
      <c r="G2508" s="1"/>
      <c r="H2508" s="165"/>
      <c r="I2508" s="160"/>
      <c r="J2508" s="160"/>
      <c r="K2508" s="1"/>
      <c r="L2508" s="123"/>
      <c r="M2508" s="1"/>
      <c r="N2508" s="590"/>
      <c r="O2508" s="165"/>
      <c r="P2508" s="165"/>
      <c r="Q2508" s="165"/>
      <c r="R2508" s="165"/>
      <c r="S2508" s="165"/>
      <c r="V2508" s="46"/>
      <c r="W2508" s="46"/>
      <c r="X2508" s="1"/>
      <c r="Y2508" s="1"/>
      <c r="Z2508" s="173"/>
      <c r="AA2508" s="1"/>
      <c r="AB2508" s="165"/>
      <c r="AC2508" s="1"/>
      <c r="AD2508" s="1"/>
      <c r="AE2508" s="1"/>
      <c r="AF2508" s="46"/>
      <c r="AG2508" s="1"/>
      <c r="AH2508" s="165"/>
      <c r="AI2508" s="165"/>
      <c r="AJ2508" s="165"/>
      <c r="AK2508" s="165"/>
      <c r="AL2508" s="165"/>
      <c r="AM2508" s="165"/>
      <c r="AN2508" s="165"/>
    </row>
    <row r="2509" spans="3:40">
      <c r="C2509" s="46"/>
      <c r="F2509" s="173"/>
      <c r="G2509" s="1"/>
      <c r="H2509" s="165"/>
      <c r="I2509" s="160"/>
      <c r="J2509" s="160"/>
      <c r="K2509" s="1"/>
      <c r="L2509" s="123"/>
      <c r="M2509" s="1"/>
      <c r="N2509" s="590"/>
      <c r="O2509" s="165"/>
      <c r="P2509" s="165"/>
      <c r="Q2509" s="165"/>
      <c r="R2509" s="165"/>
      <c r="S2509" s="165"/>
      <c r="V2509" s="46"/>
      <c r="W2509" s="46"/>
      <c r="X2509" s="1"/>
      <c r="Y2509" s="1"/>
      <c r="Z2509" s="173"/>
      <c r="AA2509" s="1"/>
      <c r="AB2509" s="165"/>
      <c r="AC2509" s="1"/>
      <c r="AD2509" s="1"/>
      <c r="AE2509" s="1"/>
      <c r="AF2509" s="46"/>
      <c r="AG2509" s="1"/>
      <c r="AH2509" s="165"/>
      <c r="AI2509" s="165"/>
      <c r="AJ2509" s="165"/>
      <c r="AK2509" s="165"/>
      <c r="AL2509" s="165"/>
      <c r="AM2509" s="165"/>
      <c r="AN2509" s="165"/>
    </row>
    <row r="2510" spans="3:40">
      <c r="C2510" s="46"/>
      <c r="F2510" s="173"/>
      <c r="G2510" s="1"/>
      <c r="H2510" s="165"/>
      <c r="I2510" s="160"/>
      <c r="J2510" s="160"/>
      <c r="K2510" s="1"/>
      <c r="L2510" s="123"/>
      <c r="M2510" s="1"/>
      <c r="N2510" s="590"/>
      <c r="O2510" s="165"/>
      <c r="P2510" s="165"/>
      <c r="Q2510" s="165"/>
      <c r="R2510" s="165"/>
      <c r="S2510" s="165"/>
      <c r="V2510" s="46"/>
      <c r="W2510" s="46"/>
      <c r="X2510" s="1"/>
      <c r="Y2510" s="1"/>
      <c r="Z2510" s="173"/>
      <c r="AA2510" s="1"/>
      <c r="AB2510" s="165"/>
      <c r="AC2510" s="1"/>
      <c r="AD2510" s="1"/>
      <c r="AE2510" s="1"/>
      <c r="AF2510" s="46"/>
      <c r="AG2510" s="1"/>
      <c r="AH2510" s="165"/>
      <c r="AI2510" s="165"/>
      <c r="AJ2510" s="165"/>
      <c r="AK2510" s="165"/>
      <c r="AL2510" s="165"/>
      <c r="AM2510" s="165"/>
      <c r="AN2510" s="165"/>
    </row>
    <row r="2511" spans="3:40">
      <c r="C2511" s="46"/>
      <c r="F2511" s="173"/>
      <c r="G2511" s="1"/>
      <c r="H2511" s="165"/>
      <c r="I2511" s="160"/>
      <c r="J2511" s="160"/>
      <c r="K2511" s="1"/>
      <c r="L2511" s="123"/>
      <c r="M2511" s="1"/>
      <c r="N2511" s="590"/>
      <c r="O2511" s="165"/>
      <c r="P2511" s="165"/>
      <c r="Q2511" s="165"/>
      <c r="R2511" s="165"/>
      <c r="S2511" s="165"/>
      <c r="V2511" s="46"/>
      <c r="W2511" s="46"/>
      <c r="X2511" s="1"/>
      <c r="Y2511" s="1"/>
      <c r="Z2511" s="173"/>
      <c r="AA2511" s="1"/>
      <c r="AB2511" s="165"/>
      <c r="AC2511" s="1"/>
      <c r="AD2511" s="1"/>
      <c r="AE2511" s="1"/>
      <c r="AF2511" s="46"/>
      <c r="AG2511" s="1"/>
      <c r="AH2511" s="165"/>
      <c r="AI2511" s="165"/>
      <c r="AJ2511" s="165"/>
      <c r="AK2511" s="165"/>
      <c r="AL2511" s="165"/>
      <c r="AM2511" s="165"/>
      <c r="AN2511" s="165"/>
    </row>
    <row r="2512" spans="3:40">
      <c r="C2512" s="46"/>
      <c r="F2512" s="173"/>
      <c r="G2512" s="1"/>
      <c r="H2512" s="165"/>
      <c r="I2512" s="160"/>
      <c r="J2512" s="160"/>
      <c r="K2512" s="1"/>
      <c r="L2512" s="123"/>
      <c r="M2512" s="1"/>
      <c r="N2512" s="590"/>
      <c r="O2512" s="165"/>
      <c r="P2512" s="165"/>
      <c r="Q2512" s="165"/>
      <c r="R2512" s="165"/>
      <c r="S2512" s="165"/>
      <c r="V2512" s="46"/>
      <c r="W2512" s="46"/>
      <c r="X2512" s="1"/>
      <c r="Y2512" s="1"/>
      <c r="Z2512" s="173"/>
      <c r="AA2512" s="1"/>
      <c r="AB2512" s="165"/>
      <c r="AC2512" s="1"/>
      <c r="AD2512" s="1"/>
      <c r="AE2512" s="1"/>
      <c r="AF2512" s="46"/>
      <c r="AG2512" s="1"/>
      <c r="AH2512" s="165"/>
      <c r="AI2512" s="165"/>
      <c r="AJ2512" s="165"/>
      <c r="AK2512" s="165"/>
      <c r="AL2512" s="165"/>
      <c r="AM2512" s="165"/>
      <c r="AN2512" s="165"/>
    </row>
    <row r="2513" spans="3:40">
      <c r="C2513" s="46"/>
      <c r="F2513" s="173"/>
      <c r="G2513" s="1"/>
      <c r="H2513" s="165"/>
      <c r="I2513" s="160"/>
      <c r="J2513" s="160"/>
      <c r="K2513" s="1"/>
      <c r="L2513" s="123"/>
      <c r="M2513" s="1"/>
      <c r="N2513" s="590"/>
      <c r="O2513" s="165"/>
      <c r="P2513" s="165"/>
      <c r="Q2513" s="165"/>
      <c r="R2513" s="165"/>
      <c r="S2513" s="165"/>
      <c r="V2513" s="46"/>
      <c r="W2513" s="46"/>
      <c r="X2513" s="1"/>
      <c r="Y2513" s="1"/>
      <c r="Z2513" s="173"/>
      <c r="AA2513" s="1"/>
      <c r="AB2513" s="165"/>
      <c r="AC2513" s="1"/>
      <c r="AD2513" s="1"/>
      <c r="AE2513" s="1"/>
      <c r="AF2513" s="46"/>
      <c r="AG2513" s="1"/>
      <c r="AH2513" s="165"/>
      <c r="AI2513" s="165"/>
      <c r="AJ2513" s="165"/>
      <c r="AK2513" s="165"/>
      <c r="AL2513" s="165"/>
      <c r="AM2513" s="165"/>
      <c r="AN2513" s="165"/>
    </row>
    <row r="2514" spans="3:40">
      <c r="C2514" s="46"/>
      <c r="F2514" s="173"/>
      <c r="G2514" s="1"/>
      <c r="H2514" s="165"/>
      <c r="I2514" s="160"/>
      <c r="J2514" s="160"/>
      <c r="K2514" s="1"/>
      <c r="L2514" s="123"/>
      <c r="M2514" s="1"/>
      <c r="N2514" s="590"/>
      <c r="O2514" s="165"/>
      <c r="P2514" s="165"/>
      <c r="Q2514" s="165"/>
      <c r="R2514" s="165"/>
      <c r="S2514" s="165"/>
      <c r="V2514" s="46"/>
      <c r="W2514" s="46"/>
      <c r="X2514" s="1"/>
      <c r="Y2514" s="1"/>
      <c r="Z2514" s="173"/>
      <c r="AA2514" s="1"/>
      <c r="AB2514" s="165"/>
      <c r="AC2514" s="1"/>
      <c r="AD2514" s="1"/>
      <c r="AE2514" s="1"/>
      <c r="AF2514" s="46"/>
      <c r="AG2514" s="1"/>
      <c r="AH2514" s="165"/>
      <c r="AI2514" s="165"/>
      <c r="AJ2514" s="165"/>
      <c r="AK2514" s="165"/>
      <c r="AL2514" s="165"/>
      <c r="AM2514" s="165"/>
      <c r="AN2514" s="165"/>
    </row>
    <row r="2515" spans="3:40">
      <c r="C2515" s="46"/>
      <c r="F2515" s="173"/>
      <c r="G2515" s="1"/>
      <c r="H2515" s="165"/>
      <c r="I2515" s="160"/>
      <c r="J2515" s="160"/>
      <c r="K2515" s="1"/>
      <c r="L2515" s="123"/>
      <c r="M2515" s="1"/>
      <c r="N2515" s="590"/>
      <c r="O2515" s="165"/>
      <c r="P2515" s="165"/>
      <c r="Q2515" s="165"/>
      <c r="R2515" s="165"/>
      <c r="S2515" s="165"/>
      <c r="V2515" s="46"/>
      <c r="W2515" s="46"/>
      <c r="X2515" s="1"/>
      <c r="Y2515" s="1"/>
      <c r="Z2515" s="173"/>
      <c r="AA2515" s="1"/>
      <c r="AB2515" s="165"/>
      <c r="AC2515" s="1"/>
      <c r="AD2515" s="1"/>
      <c r="AE2515" s="1"/>
      <c r="AF2515" s="46"/>
      <c r="AG2515" s="1"/>
      <c r="AH2515" s="165"/>
      <c r="AI2515" s="165"/>
      <c r="AJ2515" s="165"/>
      <c r="AK2515" s="165"/>
      <c r="AL2515" s="165"/>
      <c r="AM2515" s="165"/>
      <c r="AN2515" s="165"/>
    </row>
    <row r="2516" spans="3:40">
      <c r="C2516" s="46"/>
      <c r="F2516" s="173"/>
      <c r="G2516" s="1"/>
      <c r="H2516" s="165"/>
      <c r="I2516" s="160"/>
      <c r="J2516" s="160"/>
      <c r="K2516" s="1"/>
      <c r="L2516" s="123"/>
      <c r="M2516" s="1"/>
      <c r="N2516" s="590"/>
      <c r="O2516" s="165"/>
      <c r="P2516" s="165"/>
      <c r="Q2516" s="165"/>
      <c r="R2516" s="165"/>
      <c r="S2516" s="165"/>
      <c r="V2516" s="46"/>
      <c r="W2516" s="46"/>
      <c r="X2516" s="1"/>
      <c r="Y2516" s="1"/>
      <c r="Z2516" s="173"/>
      <c r="AA2516" s="1"/>
      <c r="AB2516" s="165"/>
      <c r="AC2516" s="1"/>
      <c r="AD2516" s="1"/>
      <c r="AE2516" s="1"/>
      <c r="AF2516" s="46"/>
      <c r="AG2516" s="1"/>
      <c r="AH2516" s="165"/>
      <c r="AI2516" s="165"/>
      <c r="AJ2516" s="165"/>
      <c r="AK2516" s="165"/>
      <c r="AL2516" s="165"/>
      <c r="AM2516" s="165"/>
      <c r="AN2516" s="165"/>
    </row>
    <row r="2517" spans="3:40">
      <c r="C2517" s="46"/>
      <c r="F2517" s="173"/>
      <c r="G2517" s="1"/>
      <c r="H2517" s="165"/>
      <c r="I2517" s="160"/>
      <c r="J2517" s="160"/>
      <c r="K2517" s="1"/>
      <c r="L2517" s="123"/>
      <c r="M2517" s="1"/>
      <c r="N2517" s="590"/>
      <c r="O2517" s="165"/>
      <c r="P2517" s="165"/>
      <c r="Q2517" s="165"/>
      <c r="R2517" s="165"/>
      <c r="S2517" s="165"/>
      <c r="V2517" s="46"/>
      <c r="W2517" s="46"/>
      <c r="X2517" s="1"/>
      <c r="Y2517" s="1"/>
      <c r="Z2517" s="173"/>
      <c r="AA2517" s="1"/>
      <c r="AB2517" s="165"/>
      <c r="AC2517" s="1"/>
      <c r="AD2517" s="1"/>
      <c r="AE2517" s="1"/>
      <c r="AF2517" s="46"/>
      <c r="AG2517" s="1"/>
      <c r="AH2517" s="165"/>
      <c r="AI2517" s="165"/>
      <c r="AJ2517" s="165"/>
      <c r="AK2517" s="165"/>
      <c r="AL2517" s="165"/>
      <c r="AM2517" s="165"/>
      <c r="AN2517" s="165"/>
    </row>
    <row r="2518" spans="3:40">
      <c r="C2518" s="46"/>
      <c r="F2518" s="173"/>
      <c r="G2518" s="1"/>
      <c r="H2518" s="165"/>
      <c r="I2518" s="160"/>
      <c r="J2518" s="160"/>
      <c r="K2518" s="1"/>
      <c r="L2518" s="123"/>
      <c r="M2518" s="1"/>
      <c r="N2518" s="590"/>
      <c r="O2518" s="165"/>
      <c r="P2518" s="165"/>
      <c r="Q2518" s="165"/>
      <c r="R2518" s="165"/>
      <c r="S2518" s="165"/>
      <c r="V2518" s="46"/>
      <c r="W2518" s="46"/>
      <c r="X2518" s="1"/>
      <c r="Y2518" s="1"/>
      <c r="Z2518" s="173"/>
      <c r="AA2518" s="1"/>
      <c r="AB2518" s="165"/>
      <c r="AC2518" s="1"/>
      <c r="AD2518" s="1"/>
      <c r="AE2518" s="1"/>
      <c r="AF2518" s="46"/>
      <c r="AG2518" s="1"/>
      <c r="AH2518" s="165"/>
      <c r="AI2518" s="165"/>
      <c r="AJ2518" s="165"/>
      <c r="AK2518" s="165"/>
      <c r="AL2518" s="165"/>
      <c r="AM2518" s="165"/>
      <c r="AN2518" s="165"/>
    </row>
    <row r="2519" spans="3:40">
      <c r="C2519" s="46"/>
      <c r="F2519" s="173"/>
      <c r="G2519" s="1"/>
      <c r="H2519" s="165"/>
      <c r="I2519" s="160"/>
      <c r="J2519" s="160"/>
      <c r="K2519" s="1"/>
      <c r="L2519" s="123"/>
      <c r="M2519" s="1"/>
      <c r="N2519" s="590"/>
      <c r="O2519" s="165"/>
      <c r="P2519" s="165"/>
      <c r="Q2519" s="165"/>
      <c r="R2519" s="165"/>
      <c r="S2519" s="165"/>
      <c r="V2519" s="46"/>
      <c r="W2519" s="46"/>
      <c r="X2519" s="1"/>
      <c r="Y2519" s="1"/>
      <c r="Z2519" s="173"/>
      <c r="AA2519" s="1"/>
      <c r="AB2519" s="165"/>
      <c r="AC2519" s="1"/>
      <c r="AD2519" s="1"/>
      <c r="AE2519" s="1"/>
      <c r="AF2519" s="46"/>
      <c r="AG2519" s="1"/>
      <c r="AH2519" s="165"/>
      <c r="AI2519" s="165"/>
      <c r="AJ2519" s="165"/>
      <c r="AK2519" s="165"/>
      <c r="AL2519" s="165"/>
      <c r="AM2519" s="165"/>
      <c r="AN2519" s="165"/>
    </row>
    <row r="2520" spans="3:40">
      <c r="C2520" s="46"/>
      <c r="F2520" s="173"/>
      <c r="G2520" s="1"/>
      <c r="H2520" s="165"/>
      <c r="I2520" s="160"/>
      <c r="J2520" s="160"/>
      <c r="K2520" s="1"/>
      <c r="L2520" s="123"/>
      <c r="M2520" s="1"/>
      <c r="N2520" s="590"/>
      <c r="O2520" s="165"/>
      <c r="P2520" s="165"/>
      <c r="Q2520" s="165"/>
      <c r="R2520" s="165"/>
      <c r="S2520" s="165"/>
      <c r="V2520" s="46"/>
      <c r="W2520" s="46"/>
      <c r="X2520" s="1"/>
      <c r="Y2520" s="1"/>
      <c r="Z2520" s="173"/>
      <c r="AA2520" s="1"/>
      <c r="AB2520" s="165"/>
      <c r="AC2520" s="1"/>
      <c r="AD2520" s="1"/>
      <c r="AE2520" s="1"/>
      <c r="AF2520" s="46"/>
      <c r="AG2520" s="1"/>
      <c r="AH2520" s="165"/>
      <c r="AI2520" s="165"/>
      <c r="AJ2520" s="165"/>
      <c r="AK2520" s="165"/>
      <c r="AL2520" s="165"/>
      <c r="AM2520" s="165"/>
      <c r="AN2520" s="165"/>
    </row>
    <row r="2521" spans="3:40">
      <c r="C2521" s="46"/>
      <c r="F2521" s="173"/>
      <c r="G2521" s="1"/>
      <c r="H2521" s="165"/>
      <c r="I2521" s="160"/>
      <c r="J2521" s="160"/>
      <c r="K2521" s="1"/>
      <c r="L2521" s="123"/>
      <c r="M2521" s="1"/>
      <c r="N2521" s="590"/>
      <c r="O2521" s="165"/>
      <c r="P2521" s="165"/>
      <c r="Q2521" s="165"/>
      <c r="R2521" s="165"/>
      <c r="S2521" s="165"/>
      <c r="V2521" s="46"/>
      <c r="W2521" s="46"/>
      <c r="X2521" s="1"/>
      <c r="Y2521" s="1"/>
      <c r="Z2521" s="173"/>
      <c r="AA2521" s="1"/>
      <c r="AB2521" s="165"/>
      <c r="AC2521" s="1"/>
      <c r="AD2521" s="1"/>
      <c r="AE2521" s="1"/>
      <c r="AF2521" s="46"/>
      <c r="AG2521" s="1"/>
      <c r="AH2521" s="165"/>
      <c r="AI2521" s="165"/>
      <c r="AJ2521" s="165"/>
      <c r="AK2521" s="165"/>
      <c r="AL2521" s="165"/>
      <c r="AM2521" s="165"/>
      <c r="AN2521" s="165"/>
    </row>
    <row r="2522" spans="3:40">
      <c r="C2522" s="46"/>
      <c r="F2522" s="173"/>
      <c r="G2522" s="1"/>
      <c r="H2522" s="165"/>
      <c r="I2522" s="160"/>
      <c r="J2522" s="160"/>
      <c r="K2522" s="1"/>
      <c r="L2522" s="123"/>
      <c r="M2522" s="1"/>
      <c r="N2522" s="590"/>
      <c r="O2522" s="165"/>
      <c r="P2522" s="165"/>
      <c r="Q2522" s="165"/>
      <c r="R2522" s="165"/>
      <c r="S2522" s="165"/>
      <c r="V2522" s="46"/>
      <c r="W2522" s="46"/>
      <c r="X2522" s="1"/>
      <c r="Y2522" s="1"/>
      <c r="Z2522" s="173"/>
      <c r="AA2522" s="1"/>
      <c r="AB2522" s="165"/>
      <c r="AC2522" s="1"/>
      <c r="AD2522" s="1"/>
      <c r="AE2522" s="1"/>
      <c r="AF2522" s="46"/>
      <c r="AG2522" s="1"/>
      <c r="AH2522" s="165"/>
      <c r="AI2522" s="165"/>
      <c r="AJ2522" s="165"/>
      <c r="AK2522" s="165"/>
      <c r="AL2522" s="165"/>
      <c r="AM2522" s="165"/>
      <c r="AN2522" s="165"/>
    </row>
    <row r="2523" spans="3:40">
      <c r="C2523" s="46"/>
      <c r="F2523" s="173"/>
      <c r="G2523" s="1"/>
      <c r="H2523" s="165"/>
      <c r="I2523" s="160"/>
      <c r="J2523" s="160"/>
      <c r="K2523" s="1"/>
      <c r="L2523" s="123"/>
      <c r="M2523" s="1"/>
      <c r="N2523" s="590"/>
      <c r="O2523" s="165"/>
      <c r="P2523" s="165"/>
      <c r="Q2523" s="165"/>
      <c r="R2523" s="165"/>
      <c r="S2523" s="165"/>
      <c r="V2523" s="46"/>
      <c r="W2523" s="46"/>
      <c r="X2523" s="1"/>
      <c r="Y2523" s="1"/>
      <c r="Z2523" s="173"/>
      <c r="AA2523" s="1"/>
      <c r="AB2523" s="165"/>
      <c r="AC2523" s="1"/>
      <c r="AD2523" s="1"/>
      <c r="AE2523" s="1"/>
      <c r="AF2523" s="46"/>
      <c r="AG2523" s="1"/>
      <c r="AH2523" s="165"/>
      <c r="AI2523" s="165"/>
      <c r="AJ2523" s="165"/>
      <c r="AK2523" s="165"/>
      <c r="AL2523" s="165"/>
      <c r="AM2523" s="165"/>
      <c r="AN2523" s="165"/>
    </row>
    <row r="2524" spans="3:40">
      <c r="C2524" s="46"/>
      <c r="F2524" s="173"/>
      <c r="G2524" s="1"/>
      <c r="H2524" s="165"/>
      <c r="I2524" s="160"/>
      <c r="J2524" s="160"/>
      <c r="K2524" s="1"/>
      <c r="L2524" s="123"/>
      <c r="M2524" s="1"/>
      <c r="N2524" s="590"/>
      <c r="O2524" s="165"/>
      <c r="P2524" s="165"/>
      <c r="Q2524" s="165"/>
      <c r="R2524" s="165"/>
      <c r="S2524" s="165"/>
      <c r="V2524" s="46"/>
      <c r="W2524" s="46"/>
      <c r="X2524" s="1"/>
      <c r="Y2524" s="1"/>
      <c r="Z2524" s="173"/>
      <c r="AA2524" s="1"/>
      <c r="AB2524" s="165"/>
      <c r="AC2524" s="1"/>
      <c r="AD2524" s="1"/>
      <c r="AE2524" s="1"/>
      <c r="AF2524" s="46"/>
      <c r="AG2524" s="1"/>
      <c r="AH2524" s="165"/>
      <c r="AI2524" s="165"/>
      <c r="AJ2524" s="165"/>
      <c r="AK2524" s="165"/>
      <c r="AL2524" s="165"/>
      <c r="AM2524" s="165"/>
      <c r="AN2524" s="165"/>
    </row>
    <row r="2525" spans="3:40">
      <c r="C2525" s="46"/>
      <c r="F2525" s="173"/>
      <c r="G2525" s="1"/>
      <c r="H2525" s="165"/>
      <c r="I2525" s="160"/>
      <c r="J2525" s="160"/>
      <c r="K2525" s="1"/>
      <c r="L2525" s="123"/>
      <c r="M2525" s="1"/>
      <c r="N2525" s="590"/>
      <c r="O2525" s="165"/>
      <c r="P2525" s="165"/>
      <c r="Q2525" s="165"/>
      <c r="R2525" s="165"/>
      <c r="S2525" s="165"/>
      <c r="V2525" s="46"/>
      <c r="W2525" s="46"/>
      <c r="X2525" s="1"/>
      <c r="Y2525" s="1"/>
      <c r="Z2525" s="173"/>
      <c r="AA2525" s="1"/>
      <c r="AB2525" s="165"/>
      <c r="AC2525" s="1"/>
      <c r="AD2525" s="1"/>
      <c r="AE2525" s="1"/>
      <c r="AF2525" s="46"/>
      <c r="AG2525" s="1"/>
      <c r="AH2525" s="165"/>
      <c r="AI2525" s="165"/>
      <c r="AJ2525" s="165"/>
      <c r="AK2525" s="165"/>
      <c r="AL2525" s="165"/>
      <c r="AM2525" s="165"/>
      <c r="AN2525" s="165"/>
    </row>
    <row r="2526" spans="3:40">
      <c r="C2526" s="46"/>
      <c r="F2526" s="173"/>
      <c r="G2526" s="1"/>
      <c r="H2526" s="165"/>
      <c r="I2526" s="160"/>
      <c r="J2526" s="160"/>
      <c r="K2526" s="1"/>
      <c r="L2526" s="123"/>
      <c r="M2526" s="1"/>
      <c r="N2526" s="590"/>
      <c r="O2526" s="165"/>
      <c r="P2526" s="165"/>
      <c r="Q2526" s="165"/>
      <c r="R2526" s="165"/>
      <c r="S2526" s="165"/>
      <c r="V2526" s="46"/>
      <c r="W2526" s="46"/>
      <c r="X2526" s="1"/>
      <c r="Y2526" s="1"/>
      <c r="Z2526" s="173"/>
      <c r="AA2526" s="1"/>
      <c r="AB2526" s="165"/>
      <c r="AC2526" s="1"/>
      <c r="AD2526" s="1"/>
      <c r="AE2526" s="1"/>
      <c r="AF2526" s="46"/>
      <c r="AG2526" s="1"/>
      <c r="AH2526" s="165"/>
      <c r="AI2526" s="165"/>
      <c r="AJ2526" s="165"/>
      <c r="AK2526" s="165"/>
      <c r="AL2526" s="165"/>
      <c r="AM2526" s="165"/>
      <c r="AN2526" s="165"/>
    </row>
    <row r="2527" spans="3:40">
      <c r="C2527" s="46"/>
      <c r="F2527" s="173"/>
      <c r="G2527" s="1"/>
      <c r="H2527" s="165"/>
      <c r="I2527" s="160"/>
      <c r="J2527" s="160"/>
      <c r="K2527" s="1"/>
      <c r="L2527" s="123"/>
      <c r="M2527" s="1"/>
      <c r="N2527" s="590"/>
      <c r="O2527" s="165"/>
      <c r="P2527" s="165"/>
      <c r="Q2527" s="165"/>
      <c r="R2527" s="165"/>
      <c r="S2527" s="165"/>
      <c r="V2527" s="46"/>
      <c r="W2527" s="46"/>
      <c r="X2527" s="1"/>
      <c r="Y2527" s="1"/>
      <c r="Z2527" s="173"/>
      <c r="AA2527" s="1"/>
      <c r="AB2527" s="165"/>
      <c r="AC2527" s="1"/>
      <c r="AD2527" s="1"/>
      <c r="AE2527" s="1"/>
      <c r="AF2527" s="46"/>
      <c r="AG2527" s="1"/>
      <c r="AH2527" s="165"/>
      <c r="AI2527" s="165"/>
      <c r="AJ2527" s="165"/>
      <c r="AK2527" s="165"/>
      <c r="AL2527" s="165"/>
      <c r="AM2527" s="165"/>
      <c r="AN2527" s="165"/>
    </row>
    <row r="2528" spans="3:40">
      <c r="C2528" s="46"/>
      <c r="F2528" s="173"/>
      <c r="G2528" s="1"/>
      <c r="H2528" s="165"/>
      <c r="I2528" s="160"/>
      <c r="J2528" s="160"/>
      <c r="K2528" s="1"/>
      <c r="L2528" s="123"/>
      <c r="M2528" s="1"/>
      <c r="N2528" s="590"/>
      <c r="O2528" s="165"/>
      <c r="P2528" s="165"/>
      <c r="Q2528" s="165"/>
      <c r="R2528" s="165"/>
      <c r="S2528" s="165"/>
      <c r="V2528" s="46"/>
      <c r="W2528" s="46"/>
      <c r="X2528" s="1"/>
      <c r="Y2528" s="1"/>
      <c r="Z2528" s="173"/>
      <c r="AA2528" s="1"/>
      <c r="AB2528" s="165"/>
      <c r="AC2528" s="1"/>
      <c r="AD2528" s="1"/>
      <c r="AE2528" s="1"/>
      <c r="AF2528" s="46"/>
      <c r="AG2528" s="1"/>
      <c r="AH2528" s="165"/>
      <c r="AI2528" s="165"/>
      <c r="AJ2528" s="165"/>
      <c r="AK2528" s="165"/>
      <c r="AL2528" s="165"/>
      <c r="AM2528" s="165"/>
      <c r="AN2528" s="165"/>
    </row>
    <row r="2529" spans="3:40">
      <c r="C2529" s="46"/>
      <c r="F2529" s="173"/>
      <c r="G2529" s="1"/>
      <c r="H2529" s="165"/>
      <c r="I2529" s="160"/>
      <c r="J2529" s="160"/>
      <c r="K2529" s="1"/>
      <c r="L2529" s="123"/>
      <c r="M2529" s="1"/>
      <c r="N2529" s="590"/>
      <c r="O2529" s="165"/>
      <c r="P2529" s="165"/>
      <c r="Q2529" s="165"/>
      <c r="R2529" s="165"/>
      <c r="S2529" s="165"/>
      <c r="V2529" s="46"/>
      <c r="W2529" s="46"/>
      <c r="X2529" s="1"/>
      <c r="Y2529" s="1"/>
      <c r="Z2529" s="173"/>
      <c r="AA2529" s="1"/>
      <c r="AB2529" s="165"/>
      <c r="AC2529" s="1"/>
      <c r="AD2529" s="1"/>
      <c r="AE2529" s="1"/>
      <c r="AF2529" s="46"/>
      <c r="AG2529" s="1"/>
      <c r="AH2529" s="165"/>
      <c r="AI2529" s="165"/>
      <c r="AJ2529" s="165"/>
      <c r="AK2529" s="165"/>
      <c r="AL2529" s="165"/>
      <c r="AM2529" s="165"/>
      <c r="AN2529" s="165"/>
    </row>
    <row r="2530" spans="3:40">
      <c r="C2530" s="46"/>
      <c r="F2530" s="173"/>
      <c r="G2530" s="1"/>
      <c r="H2530" s="165"/>
      <c r="I2530" s="160"/>
      <c r="J2530" s="160"/>
      <c r="K2530" s="1"/>
      <c r="L2530" s="123"/>
      <c r="M2530" s="1"/>
      <c r="N2530" s="590"/>
      <c r="O2530" s="165"/>
      <c r="P2530" s="165"/>
      <c r="Q2530" s="165"/>
      <c r="R2530" s="165"/>
      <c r="S2530" s="165"/>
      <c r="V2530" s="46"/>
      <c r="W2530" s="46"/>
      <c r="X2530" s="1"/>
      <c r="Y2530" s="1"/>
      <c r="Z2530" s="173"/>
      <c r="AA2530" s="1"/>
      <c r="AB2530" s="165"/>
      <c r="AC2530" s="1"/>
      <c r="AD2530" s="1"/>
      <c r="AE2530" s="1"/>
      <c r="AF2530" s="46"/>
      <c r="AG2530" s="1"/>
      <c r="AH2530" s="165"/>
      <c r="AI2530" s="165"/>
      <c r="AJ2530" s="165"/>
      <c r="AK2530" s="165"/>
      <c r="AL2530" s="165"/>
      <c r="AM2530" s="165"/>
      <c r="AN2530" s="165"/>
    </row>
    <row r="2531" spans="3:40">
      <c r="C2531" s="46"/>
      <c r="F2531" s="173"/>
      <c r="G2531" s="1"/>
      <c r="H2531" s="165"/>
      <c r="I2531" s="160"/>
      <c r="J2531" s="160"/>
      <c r="K2531" s="1"/>
      <c r="L2531" s="123"/>
      <c r="M2531" s="1"/>
      <c r="N2531" s="590"/>
      <c r="O2531" s="165"/>
      <c r="P2531" s="165"/>
      <c r="Q2531" s="165"/>
      <c r="R2531" s="165"/>
      <c r="S2531" s="165"/>
      <c r="V2531" s="46"/>
      <c r="W2531" s="46"/>
      <c r="X2531" s="1"/>
      <c r="Y2531" s="1"/>
      <c r="Z2531" s="173"/>
      <c r="AA2531" s="1"/>
      <c r="AB2531" s="165"/>
      <c r="AC2531" s="1"/>
      <c r="AD2531" s="1"/>
      <c r="AE2531" s="1"/>
      <c r="AF2531" s="46"/>
      <c r="AG2531" s="1"/>
      <c r="AH2531" s="165"/>
      <c r="AI2531" s="165"/>
      <c r="AJ2531" s="165"/>
      <c r="AK2531" s="165"/>
      <c r="AL2531" s="165"/>
      <c r="AM2531" s="165"/>
      <c r="AN2531" s="165"/>
    </row>
    <row r="2532" spans="3:40">
      <c r="C2532" s="46"/>
      <c r="F2532" s="173"/>
      <c r="G2532" s="1"/>
      <c r="H2532" s="165"/>
      <c r="I2532" s="160"/>
      <c r="J2532" s="160"/>
      <c r="K2532" s="1"/>
      <c r="L2532" s="123"/>
      <c r="M2532" s="1"/>
      <c r="N2532" s="590"/>
      <c r="O2532" s="165"/>
      <c r="P2532" s="165"/>
      <c r="Q2532" s="165"/>
      <c r="R2532" s="165"/>
      <c r="S2532" s="165"/>
      <c r="V2532" s="46"/>
      <c r="W2532" s="46"/>
      <c r="X2532" s="1"/>
      <c r="Y2532" s="1"/>
      <c r="Z2532" s="173"/>
      <c r="AA2532" s="1"/>
      <c r="AB2532" s="165"/>
      <c r="AC2532" s="1"/>
      <c r="AD2532" s="1"/>
      <c r="AE2532" s="1"/>
      <c r="AF2532" s="46"/>
      <c r="AG2532" s="1"/>
      <c r="AH2532" s="165"/>
      <c r="AI2532" s="165"/>
      <c r="AJ2532" s="165"/>
      <c r="AK2532" s="165"/>
      <c r="AL2532" s="165"/>
      <c r="AM2532" s="165"/>
      <c r="AN2532" s="165"/>
    </row>
    <row r="2533" spans="3:40">
      <c r="C2533" s="46"/>
      <c r="F2533" s="173"/>
      <c r="G2533" s="1"/>
      <c r="H2533" s="165"/>
      <c r="I2533" s="160"/>
      <c r="J2533" s="160"/>
      <c r="K2533" s="1"/>
      <c r="L2533" s="123"/>
      <c r="M2533" s="1"/>
      <c r="N2533" s="590"/>
      <c r="O2533" s="165"/>
      <c r="P2533" s="165"/>
      <c r="Q2533" s="165"/>
      <c r="R2533" s="165"/>
      <c r="S2533" s="165"/>
      <c r="V2533" s="46"/>
      <c r="W2533" s="46"/>
      <c r="X2533" s="1"/>
      <c r="Y2533" s="1"/>
      <c r="Z2533" s="173"/>
      <c r="AA2533" s="1"/>
      <c r="AB2533" s="165"/>
      <c r="AC2533" s="1"/>
      <c r="AD2533" s="1"/>
      <c r="AE2533" s="1"/>
      <c r="AF2533" s="46"/>
      <c r="AG2533" s="1"/>
      <c r="AH2533" s="165"/>
      <c r="AI2533" s="165"/>
      <c r="AJ2533" s="165"/>
      <c r="AK2533" s="165"/>
      <c r="AL2533" s="165"/>
      <c r="AM2533" s="165"/>
      <c r="AN2533" s="165"/>
    </row>
    <row r="2534" spans="3:40">
      <c r="C2534" s="46"/>
      <c r="F2534" s="173"/>
      <c r="G2534" s="1"/>
      <c r="H2534" s="165"/>
      <c r="I2534" s="160"/>
      <c r="J2534" s="160"/>
      <c r="K2534" s="1"/>
      <c r="L2534" s="123"/>
      <c r="M2534" s="1"/>
      <c r="N2534" s="590"/>
      <c r="O2534" s="165"/>
      <c r="P2534" s="165"/>
      <c r="Q2534" s="165"/>
      <c r="R2534" s="165"/>
      <c r="S2534" s="165"/>
      <c r="V2534" s="46"/>
      <c r="W2534" s="46"/>
      <c r="X2534" s="1"/>
      <c r="Y2534" s="1"/>
      <c r="Z2534" s="173"/>
      <c r="AA2534" s="1"/>
      <c r="AB2534" s="165"/>
      <c r="AC2534" s="1"/>
      <c r="AD2534" s="1"/>
      <c r="AE2534" s="1"/>
      <c r="AF2534" s="46"/>
      <c r="AG2534" s="1"/>
      <c r="AH2534" s="165"/>
      <c r="AI2534" s="165"/>
      <c r="AJ2534" s="165"/>
      <c r="AK2534" s="165"/>
      <c r="AL2534" s="165"/>
      <c r="AM2534" s="165"/>
      <c r="AN2534" s="165"/>
    </row>
    <row r="2535" spans="3:40">
      <c r="C2535" s="46"/>
      <c r="F2535" s="173"/>
      <c r="G2535" s="1"/>
      <c r="H2535" s="165"/>
      <c r="I2535" s="160"/>
      <c r="J2535" s="160"/>
      <c r="K2535" s="1"/>
      <c r="L2535" s="123"/>
      <c r="M2535" s="1"/>
      <c r="N2535" s="590"/>
      <c r="O2535" s="165"/>
      <c r="P2535" s="165"/>
      <c r="Q2535" s="165"/>
      <c r="R2535" s="165"/>
      <c r="S2535" s="165"/>
      <c r="V2535" s="46"/>
      <c r="W2535" s="46"/>
      <c r="X2535" s="1"/>
      <c r="Y2535" s="1"/>
      <c r="Z2535" s="173"/>
      <c r="AA2535" s="1"/>
      <c r="AB2535" s="165"/>
      <c r="AC2535" s="1"/>
      <c r="AD2535" s="1"/>
      <c r="AE2535" s="1"/>
      <c r="AF2535" s="46"/>
      <c r="AG2535" s="1"/>
      <c r="AH2535" s="165"/>
      <c r="AI2535" s="165"/>
      <c r="AJ2535" s="165"/>
      <c r="AK2535" s="165"/>
      <c r="AL2535" s="165"/>
      <c r="AM2535" s="165"/>
      <c r="AN2535" s="165"/>
    </row>
    <row r="2536" spans="3:40">
      <c r="C2536" s="46"/>
      <c r="F2536" s="173"/>
      <c r="G2536" s="1"/>
      <c r="H2536" s="165"/>
      <c r="I2536" s="160"/>
      <c r="J2536" s="160"/>
      <c r="K2536" s="1"/>
      <c r="L2536" s="123"/>
      <c r="M2536" s="1"/>
      <c r="N2536" s="590"/>
      <c r="O2536" s="165"/>
      <c r="P2536" s="165"/>
      <c r="Q2536" s="165"/>
      <c r="R2536" s="165"/>
      <c r="S2536" s="165"/>
      <c r="V2536" s="46"/>
      <c r="W2536" s="46"/>
      <c r="X2536" s="1"/>
      <c r="Y2536" s="1"/>
      <c r="Z2536" s="173"/>
      <c r="AA2536" s="1"/>
      <c r="AB2536" s="165"/>
      <c r="AC2536" s="1"/>
      <c r="AD2536" s="1"/>
      <c r="AE2536" s="1"/>
      <c r="AF2536" s="46"/>
      <c r="AG2536" s="1"/>
      <c r="AH2536" s="165"/>
      <c r="AI2536" s="165"/>
      <c r="AJ2536" s="165"/>
      <c r="AK2536" s="165"/>
      <c r="AL2536" s="165"/>
      <c r="AM2536" s="165"/>
      <c r="AN2536" s="165"/>
    </row>
    <row r="2537" spans="3:40">
      <c r="C2537" s="46"/>
      <c r="F2537" s="173"/>
      <c r="G2537" s="1"/>
      <c r="H2537" s="165"/>
      <c r="I2537" s="160"/>
      <c r="J2537" s="160"/>
      <c r="K2537" s="1"/>
      <c r="L2537" s="123"/>
      <c r="M2537" s="1"/>
      <c r="N2537" s="590"/>
      <c r="O2537" s="165"/>
      <c r="P2537" s="165"/>
      <c r="Q2537" s="165"/>
      <c r="R2537" s="165"/>
      <c r="S2537" s="165"/>
      <c r="V2537" s="46"/>
      <c r="W2537" s="46"/>
      <c r="X2537" s="1"/>
      <c r="Y2537" s="1"/>
      <c r="Z2537" s="173"/>
      <c r="AA2537" s="1"/>
      <c r="AB2537" s="165"/>
      <c r="AC2537" s="1"/>
      <c r="AD2537" s="1"/>
      <c r="AE2537" s="1"/>
      <c r="AF2537" s="46"/>
      <c r="AG2537" s="1"/>
      <c r="AH2537" s="165"/>
      <c r="AI2537" s="165"/>
      <c r="AJ2537" s="165"/>
      <c r="AK2537" s="165"/>
      <c r="AL2537" s="165"/>
      <c r="AM2537" s="165"/>
      <c r="AN2537" s="165"/>
    </row>
    <row r="2538" spans="3:40">
      <c r="C2538" s="46"/>
      <c r="F2538" s="173"/>
      <c r="G2538" s="1"/>
      <c r="H2538" s="165"/>
      <c r="I2538" s="160"/>
      <c r="J2538" s="160"/>
      <c r="K2538" s="1"/>
      <c r="L2538" s="123"/>
      <c r="M2538" s="1"/>
      <c r="N2538" s="590"/>
      <c r="O2538" s="165"/>
      <c r="P2538" s="165"/>
      <c r="Q2538" s="165"/>
      <c r="R2538" s="165"/>
      <c r="S2538" s="165"/>
      <c r="V2538" s="46"/>
      <c r="W2538" s="46"/>
      <c r="X2538" s="1"/>
      <c r="Y2538" s="1"/>
      <c r="Z2538" s="173"/>
      <c r="AA2538" s="1"/>
      <c r="AB2538" s="165"/>
      <c r="AC2538" s="1"/>
      <c r="AD2538" s="1"/>
      <c r="AE2538" s="1"/>
      <c r="AF2538" s="46"/>
      <c r="AG2538" s="1"/>
      <c r="AH2538" s="165"/>
      <c r="AI2538" s="165"/>
      <c r="AJ2538" s="165"/>
      <c r="AK2538" s="165"/>
      <c r="AL2538" s="165"/>
      <c r="AM2538" s="165"/>
      <c r="AN2538" s="165"/>
    </row>
    <row r="2539" spans="3:40">
      <c r="C2539" s="46"/>
      <c r="F2539" s="173"/>
      <c r="G2539" s="1"/>
      <c r="H2539" s="165"/>
      <c r="I2539" s="160"/>
      <c r="J2539" s="160"/>
      <c r="K2539" s="1"/>
      <c r="L2539" s="123"/>
      <c r="M2539" s="1"/>
      <c r="N2539" s="590"/>
      <c r="O2539" s="165"/>
      <c r="P2539" s="165"/>
      <c r="Q2539" s="165"/>
      <c r="R2539" s="165"/>
      <c r="S2539" s="165"/>
      <c r="V2539" s="46"/>
      <c r="W2539" s="46"/>
      <c r="X2539" s="1"/>
      <c r="Y2539" s="1"/>
      <c r="Z2539" s="173"/>
      <c r="AA2539" s="1"/>
      <c r="AB2539" s="165"/>
      <c r="AC2539" s="1"/>
      <c r="AD2539" s="1"/>
      <c r="AE2539" s="1"/>
      <c r="AF2539" s="46"/>
      <c r="AG2539" s="1"/>
      <c r="AH2539" s="165"/>
      <c r="AI2539" s="165"/>
      <c r="AJ2539" s="165"/>
      <c r="AK2539" s="165"/>
      <c r="AL2539" s="165"/>
      <c r="AM2539" s="165"/>
      <c r="AN2539" s="165"/>
    </row>
    <row r="2540" spans="3:40">
      <c r="C2540" s="46"/>
      <c r="F2540" s="173"/>
      <c r="G2540" s="1"/>
      <c r="H2540" s="165"/>
      <c r="I2540" s="160"/>
      <c r="J2540" s="160"/>
      <c r="K2540" s="1"/>
      <c r="L2540" s="123"/>
      <c r="M2540" s="1"/>
      <c r="N2540" s="590"/>
      <c r="O2540" s="165"/>
      <c r="P2540" s="165"/>
      <c r="Q2540" s="165"/>
      <c r="R2540" s="165"/>
      <c r="S2540" s="165"/>
      <c r="V2540" s="46"/>
      <c r="W2540" s="46"/>
      <c r="X2540" s="1"/>
      <c r="Y2540" s="1"/>
      <c r="Z2540" s="173"/>
      <c r="AA2540" s="1"/>
      <c r="AB2540" s="165"/>
      <c r="AC2540" s="1"/>
      <c r="AD2540" s="1"/>
      <c r="AE2540" s="1"/>
      <c r="AF2540" s="46"/>
      <c r="AG2540" s="1"/>
      <c r="AH2540" s="165"/>
      <c r="AI2540" s="165"/>
      <c r="AJ2540" s="165"/>
      <c r="AK2540" s="165"/>
      <c r="AL2540" s="165"/>
      <c r="AM2540" s="165"/>
      <c r="AN2540" s="165"/>
    </row>
    <row r="2541" spans="3:40">
      <c r="C2541" s="46"/>
      <c r="F2541" s="173"/>
      <c r="G2541" s="1"/>
      <c r="H2541" s="165"/>
      <c r="I2541" s="160"/>
      <c r="J2541" s="160"/>
      <c r="K2541" s="1"/>
      <c r="L2541" s="123"/>
      <c r="M2541" s="1"/>
      <c r="N2541" s="590"/>
      <c r="O2541" s="165"/>
      <c r="P2541" s="165"/>
      <c r="Q2541" s="165"/>
      <c r="R2541" s="165"/>
      <c r="S2541" s="165"/>
      <c r="V2541" s="46"/>
      <c r="W2541" s="46"/>
      <c r="X2541" s="1"/>
      <c r="Y2541" s="1"/>
      <c r="Z2541" s="173"/>
      <c r="AA2541" s="1"/>
      <c r="AB2541" s="165"/>
      <c r="AC2541" s="1"/>
      <c r="AD2541" s="1"/>
      <c r="AE2541" s="1"/>
      <c r="AF2541" s="46"/>
      <c r="AG2541" s="1"/>
      <c r="AH2541" s="165"/>
      <c r="AI2541" s="165"/>
      <c r="AJ2541" s="165"/>
      <c r="AK2541" s="165"/>
      <c r="AL2541" s="165"/>
      <c r="AM2541" s="165"/>
      <c r="AN2541" s="165"/>
    </row>
    <row r="2542" spans="3:40">
      <c r="C2542" s="46"/>
      <c r="F2542" s="173"/>
      <c r="G2542" s="1"/>
      <c r="H2542" s="165"/>
      <c r="I2542" s="160"/>
      <c r="J2542" s="160"/>
      <c r="K2542" s="1"/>
      <c r="L2542" s="123"/>
      <c r="M2542" s="1"/>
      <c r="N2542" s="590"/>
      <c r="O2542" s="165"/>
      <c r="P2542" s="165"/>
      <c r="Q2542" s="165"/>
      <c r="R2542" s="165"/>
      <c r="S2542" s="165"/>
      <c r="V2542" s="46"/>
      <c r="W2542" s="46"/>
      <c r="X2542" s="1"/>
      <c r="Y2542" s="1"/>
      <c r="Z2542" s="173"/>
      <c r="AA2542" s="1"/>
      <c r="AB2542" s="165"/>
      <c r="AC2542" s="1"/>
      <c r="AD2542" s="1"/>
      <c r="AE2542" s="1"/>
      <c r="AF2542" s="46"/>
      <c r="AG2542" s="1"/>
      <c r="AH2542" s="165"/>
      <c r="AI2542" s="165"/>
      <c r="AJ2542" s="165"/>
      <c r="AK2542" s="165"/>
      <c r="AL2542" s="165"/>
      <c r="AM2542" s="165"/>
      <c r="AN2542" s="165"/>
    </row>
    <row r="2543" spans="3:40">
      <c r="C2543" s="46"/>
      <c r="F2543" s="173"/>
      <c r="G2543" s="1"/>
      <c r="H2543" s="165"/>
      <c r="I2543" s="160"/>
      <c r="J2543" s="160"/>
      <c r="K2543" s="1"/>
      <c r="L2543" s="123"/>
      <c r="M2543" s="1"/>
      <c r="N2543" s="590"/>
      <c r="O2543" s="165"/>
      <c r="P2543" s="165"/>
      <c r="Q2543" s="165"/>
      <c r="R2543" s="165"/>
      <c r="S2543" s="165"/>
      <c r="V2543" s="46"/>
      <c r="W2543" s="46"/>
      <c r="X2543" s="1"/>
      <c r="Y2543" s="1"/>
      <c r="Z2543" s="173"/>
      <c r="AA2543" s="1"/>
      <c r="AB2543" s="165"/>
      <c r="AC2543" s="1"/>
      <c r="AD2543" s="1"/>
      <c r="AE2543" s="1"/>
      <c r="AF2543" s="46"/>
      <c r="AG2543" s="1"/>
      <c r="AH2543" s="165"/>
      <c r="AI2543" s="165"/>
      <c r="AJ2543" s="165"/>
      <c r="AK2543" s="165"/>
      <c r="AL2543" s="165"/>
      <c r="AM2543" s="165"/>
      <c r="AN2543" s="165"/>
    </row>
    <row r="2544" spans="3:40">
      <c r="C2544" s="46"/>
      <c r="F2544" s="173"/>
      <c r="G2544" s="1"/>
      <c r="H2544" s="165"/>
      <c r="I2544" s="160"/>
      <c r="J2544" s="160"/>
      <c r="K2544" s="1"/>
      <c r="L2544" s="123"/>
      <c r="M2544" s="1"/>
      <c r="N2544" s="590"/>
      <c r="O2544" s="165"/>
      <c r="P2544" s="165"/>
      <c r="Q2544" s="165"/>
      <c r="R2544" s="165"/>
      <c r="S2544" s="165"/>
      <c r="V2544" s="46"/>
      <c r="W2544" s="46"/>
      <c r="X2544" s="1"/>
      <c r="Y2544" s="1"/>
      <c r="Z2544" s="173"/>
      <c r="AA2544" s="1"/>
      <c r="AB2544" s="165"/>
      <c r="AC2544" s="1"/>
      <c r="AD2544" s="1"/>
      <c r="AE2544" s="1"/>
      <c r="AF2544" s="46"/>
      <c r="AG2544" s="1"/>
      <c r="AH2544" s="165"/>
      <c r="AI2544" s="165"/>
      <c r="AJ2544" s="165"/>
      <c r="AK2544" s="165"/>
      <c r="AL2544" s="165"/>
      <c r="AM2544" s="165"/>
      <c r="AN2544" s="165"/>
    </row>
    <row r="2545" spans="3:40">
      <c r="C2545" s="46"/>
      <c r="F2545" s="173"/>
      <c r="G2545" s="1"/>
      <c r="H2545" s="165"/>
      <c r="I2545" s="160"/>
      <c r="J2545" s="160"/>
      <c r="K2545" s="1"/>
      <c r="L2545" s="123"/>
      <c r="M2545" s="1"/>
      <c r="N2545" s="590"/>
      <c r="O2545" s="165"/>
      <c r="P2545" s="165"/>
      <c r="Q2545" s="165"/>
      <c r="R2545" s="165"/>
      <c r="S2545" s="165"/>
      <c r="V2545" s="46"/>
      <c r="W2545" s="46"/>
      <c r="X2545" s="1"/>
      <c r="Y2545" s="1"/>
      <c r="Z2545" s="173"/>
      <c r="AA2545" s="1"/>
      <c r="AB2545" s="165"/>
      <c r="AC2545" s="1"/>
      <c r="AD2545" s="1"/>
      <c r="AE2545" s="1"/>
      <c r="AF2545" s="46"/>
      <c r="AG2545" s="1"/>
      <c r="AH2545" s="165"/>
      <c r="AI2545" s="165"/>
      <c r="AJ2545" s="165"/>
      <c r="AK2545" s="165"/>
      <c r="AL2545" s="165"/>
      <c r="AM2545" s="165"/>
      <c r="AN2545" s="165"/>
    </row>
    <row r="2546" spans="3:40">
      <c r="C2546" s="46"/>
      <c r="F2546" s="173"/>
      <c r="G2546" s="1"/>
      <c r="H2546" s="165"/>
      <c r="I2546" s="160"/>
      <c r="J2546" s="160"/>
      <c r="K2546" s="1"/>
      <c r="L2546" s="123"/>
      <c r="M2546" s="1"/>
      <c r="N2546" s="590"/>
      <c r="O2546" s="165"/>
      <c r="P2546" s="165"/>
      <c r="Q2546" s="165"/>
      <c r="R2546" s="165"/>
      <c r="S2546" s="165"/>
      <c r="V2546" s="46"/>
      <c r="W2546" s="46"/>
      <c r="X2546" s="1"/>
      <c r="Y2546" s="1"/>
      <c r="Z2546" s="173"/>
      <c r="AA2546" s="1"/>
      <c r="AB2546" s="165"/>
      <c r="AC2546" s="1"/>
      <c r="AD2546" s="1"/>
      <c r="AE2546" s="1"/>
      <c r="AF2546" s="46"/>
      <c r="AG2546" s="1"/>
      <c r="AH2546" s="165"/>
      <c r="AI2546" s="165"/>
      <c r="AJ2546" s="165"/>
      <c r="AK2546" s="165"/>
      <c r="AL2546" s="165"/>
      <c r="AM2546" s="165"/>
      <c r="AN2546" s="165"/>
    </row>
    <row r="2547" spans="3:40">
      <c r="C2547" s="46"/>
      <c r="F2547" s="173"/>
      <c r="G2547" s="1"/>
      <c r="H2547" s="165"/>
      <c r="I2547" s="160"/>
      <c r="J2547" s="160"/>
      <c r="K2547" s="1"/>
      <c r="L2547" s="123"/>
      <c r="M2547" s="1"/>
      <c r="N2547" s="590"/>
      <c r="O2547" s="165"/>
      <c r="P2547" s="165"/>
      <c r="Q2547" s="165"/>
      <c r="R2547" s="165"/>
      <c r="S2547" s="165"/>
      <c r="V2547" s="46"/>
      <c r="W2547" s="46"/>
      <c r="X2547" s="1"/>
      <c r="Y2547" s="1"/>
      <c r="Z2547" s="173"/>
      <c r="AA2547" s="1"/>
      <c r="AB2547" s="165"/>
      <c r="AC2547" s="1"/>
      <c r="AD2547" s="1"/>
      <c r="AE2547" s="1"/>
      <c r="AF2547" s="46"/>
      <c r="AG2547" s="1"/>
      <c r="AH2547" s="165"/>
      <c r="AI2547" s="165"/>
      <c r="AJ2547" s="165"/>
      <c r="AK2547" s="165"/>
      <c r="AL2547" s="165"/>
      <c r="AM2547" s="165"/>
      <c r="AN2547" s="165"/>
    </row>
    <row r="2548" spans="3:40">
      <c r="C2548" s="46"/>
      <c r="F2548" s="173"/>
      <c r="G2548" s="1"/>
      <c r="H2548" s="165"/>
      <c r="I2548" s="160"/>
      <c r="J2548" s="160"/>
      <c r="K2548" s="1"/>
      <c r="L2548" s="123"/>
      <c r="M2548" s="1"/>
      <c r="N2548" s="590"/>
      <c r="O2548" s="165"/>
      <c r="P2548" s="165"/>
      <c r="Q2548" s="165"/>
      <c r="R2548" s="165"/>
      <c r="S2548" s="165"/>
      <c r="V2548" s="46"/>
      <c r="W2548" s="46"/>
      <c r="X2548" s="1"/>
      <c r="Y2548" s="1"/>
      <c r="Z2548" s="173"/>
      <c r="AA2548" s="1"/>
      <c r="AB2548" s="165"/>
      <c r="AC2548" s="1"/>
      <c r="AD2548" s="1"/>
      <c r="AE2548" s="1"/>
      <c r="AF2548" s="46"/>
      <c r="AG2548" s="1"/>
      <c r="AH2548" s="165"/>
      <c r="AI2548" s="165"/>
      <c r="AJ2548" s="165"/>
      <c r="AK2548" s="165"/>
      <c r="AL2548" s="165"/>
      <c r="AM2548" s="165"/>
      <c r="AN2548" s="165"/>
    </row>
    <row r="2549" spans="3:40">
      <c r="C2549" s="46"/>
      <c r="F2549" s="173"/>
      <c r="G2549" s="1"/>
      <c r="H2549" s="165"/>
      <c r="I2549" s="160"/>
      <c r="J2549" s="160"/>
      <c r="K2549" s="1"/>
      <c r="L2549" s="123"/>
      <c r="M2549" s="1"/>
      <c r="N2549" s="590"/>
      <c r="O2549" s="165"/>
      <c r="P2549" s="165"/>
      <c r="Q2549" s="165"/>
      <c r="R2549" s="165"/>
      <c r="S2549" s="165"/>
      <c r="V2549" s="46"/>
      <c r="W2549" s="46"/>
      <c r="X2549" s="1"/>
      <c r="Y2549" s="1"/>
      <c r="Z2549" s="173"/>
      <c r="AA2549" s="1"/>
      <c r="AB2549" s="165"/>
      <c r="AC2549" s="1"/>
      <c r="AD2549" s="1"/>
      <c r="AE2549" s="1"/>
      <c r="AF2549" s="46"/>
      <c r="AG2549" s="1"/>
      <c r="AH2549" s="165"/>
      <c r="AI2549" s="165"/>
      <c r="AJ2549" s="165"/>
      <c r="AK2549" s="165"/>
      <c r="AL2549" s="165"/>
      <c r="AM2549" s="165"/>
      <c r="AN2549" s="165"/>
    </row>
    <row r="2550" spans="3:40">
      <c r="C2550" s="46"/>
      <c r="F2550" s="173"/>
      <c r="G2550" s="1"/>
      <c r="H2550" s="165"/>
      <c r="I2550" s="160"/>
      <c r="J2550" s="160"/>
      <c r="K2550" s="1"/>
      <c r="L2550" s="123"/>
      <c r="M2550" s="1"/>
      <c r="N2550" s="590"/>
      <c r="O2550" s="165"/>
      <c r="P2550" s="165"/>
      <c r="Q2550" s="165"/>
      <c r="R2550" s="165"/>
      <c r="S2550" s="165"/>
      <c r="V2550" s="46"/>
      <c r="W2550" s="46"/>
      <c r="X2550" s="1"/>
      <c r="Y2550" s="1"/>
      <c r="Z2550" s="173"/>
      <c r="AA2550" s="1"/>
      <c r="AB2550" s="165"/>
      <c r="AC2550" s="1"/>
      <c r="AD2550" s="1"/>
      <c r="AE2550" s="1"/>
      <c r="AF2550" s="46"/>
      <c r="AG2550" s="1"/>
      <c r="AH2550" s="165"/>
      <c r="AI2550" s="165"/>
      <c r="AJ2550" s="165"/>
      <c r="AK2550" s="165"/>
      <c r="AL2550" s="165"/>
      <c r="AM2550" s="165"/>
      <c r="AN2550" s="165"/>
    </row>
    <row r="2551" spans="3:40">
      <c r="C2551" s="46"/>
      <c r="F2551" s="173"/>
      <c r="G2551" s="1"/>
      <c r="H2551" s="165"/>
      <c r="I2551" s="160"/>
      <c r="J2551" s="160"/>
      <c r="K2551" s="1"/>
      <c r="L2551" s="123"/>
      <c r="M2551" s="1"/>
      <c r="N2551" s="590"/>
      <c r="O2551" s="165"/>
      <c r="P2551" s="165"/>
      <c r="Q2551" s="165"/>
      <c r="R2551" s="165"/>
      <c r="S2551" s="165"/>
      <c r="V2551" s="46"/>
      <c r="W2551" s="46"/>
      <c r="X2551" s="1"/>
      <c r="Y2551" s="1"/>
      <c r="Z2551" s="173"/>
      <c r="AA2551" s="1"/>
      <c r="AB2551" s="165"/>
      <c r="AC2551" s="1"/>
      <c r="AD2551" s="1"/>
      <c r="AE2551" s="1"/>
      <c r="AF2551" s="46"/>
      <c r="AG2551" s="1"/>
      <c r="AH2551" s="165"/>
      <c r="AI2551" s="165"/>
      <c r="AJ2551" s="165"/>
      <c r="AK2551" s="165"/>
      <c r="AL2551" s="165"/>
      <c r="AM2551" s="165"/>
      <c r="AN2551" s="165"/>
    </row>
    <row r="2552" spans="3:40">
      <c r="C2552" s="46"/>
      <c r="F2552" s="173"/>
      <c r="G2552" s="1"/>
      <c r="H2552" s="165"/>
      <c r="I2552" s="160"/>
      <c r="J2552" s="160"/>
      <c r="K2552" s="1"/>
      <c r="L2552" s="123"/>
      <c r="M2552" s="1"/>
      <c r="N2552" s="590"/>
      <c r="O2552" s="165"/>
      <c r="P2552" s="165"/>
      <c r="Q2552" s="165"/>
      <c r="R2552" s="165"/>
      <c r="S2552" s="165"/>
      <c r="V2552" s="46"/>
      <c r="W2552" s="46"/>
      <c r="X2552" s="1"/>
      <c r="Y2552" s="1"/>
      <c r="Z2552" s="173"/>
      <c r="AA2552" s="1"/>
      <c r="AB2552" s="165"/>
      <c r="AC2552" s="1"/>
      <c r="AD2552" s="1"/>
      <c r="AE2552" s="1"/>
      <c r="AF2552" s="46"/>
      <c r="AG2552" s="1"/>
      <c r="AH2552" s="165"/>
      <c r="AI2552" s="165"/>
      <c r="AJ2552" s="165"/>
      <c r="AK2552" s="165"/>
      <c r="AL2552" s="165"/>
      <c r="AM2552" s="165"/>
      <c r="AN2552" s="165"/>
    </row>
    <row r="2553" spans="3:40">
      <c r="C2553" s="46"/>
      <c r="F2553" s="173"/>
      <c r="G2553" s="1"/>
      <c r="H2553" s="165"/>
      <c r="I2553" s="160"/>
      <c r="J2553" s="160"/>
      <c r="K2553" s="1"/>
      <c r="L2553" s="123"/>
      <c r="M2553" s="1"/>
      <c r="N2553" s="590"/>
      <c r="O2553" s="165"/>
      <c r="P2553" s="165"/>
      <c r="Q2553" s="165"/>
      <c r="R2553" s="165"/>
      <c r="S2553" s="165"/>
      <c r="V2553" s="46"/>
      <c r="W2553" s="46"/>
      <c r="X2553" s="1"/>
      <c r="Y2553" s="1"/>
      <c r="Z2553" s="173"/>
      <c r="AA2553" s="1"/>
      <c r="AB2553" s="165"/>
      <c r="AC2553" s="1"/>
      <c r="AD2553" s="1"/>
      <c r="AE2553" s="1"/>
      <c r="AF2553" s="46"/>
      <c r="AG2553" s="1"/>
      <c r="AH2553" s="165"/>
      <c r="AI2553" s="165"/>
      <c r="AJ2553" s="165"/>
      <c r="AK2553" s="165"/>
      <c r="AL2553" s="165"/>
      <c r="AM2553" s="165"/>
      <c r="AN2553" s="165"/>
    </row>
    <row r="2554" spans="3:40">
      <c r="C2554" s="46"/>
      <c r="F2554" s="173"/>
      <c r="G2554" s="1"/>
      <c r="H2554" s="165"/>
      <c r="I2554" s="160"/>
      <c r="J2554" s="160"/>
      <c r="K2554" s="1"/>
      <c r="L2554" s="123"/>
      <c r="M2554" s="1"/>
      <c r="N2554" s="590"/>
      <c r="O2554" s="165"/>
      <c r="P2554" s="165"/>
      <c r="Q2554" s="165"/>
      <c r="R2554" s="165"/>
      <c r="S2554" s="165"/>
      <c r="V2554" s="46"/>
      <c r="W2554" s="46"/>
      <c r="X2554" s="1"/>
      <c r="Y2554" s="1"/>
      <c r="Z2554" s="173"/>
      <c r="AA2554" s="1"/>
      <c r="AB2554" s="165"/>
      <c r="AC2554" s="1"/>
      <c r="AD2554" s="1"/>
      <c r="AE2554" s="1"/>
      <c r="AF2554" s="46"/>
      <c r="AG2554" s="1"/>
      <c r="AH2554" s="165"/>
      <c r="AI2554" s="165"/>
      <c r="AJ2554" s="165"/>
      <c r="AK2554" s="165"/>
      <c r="AL2554" s="165"/>
      <c r="AM2554" s="165"/>
      <c r="AN2554" s="165"/>
    </row>
    <row r="2555" spans="3:40">
      <c r="C2555" s="46"/>
      <c r="F2555" s="173"/>
      <c r="G2555" s="1"/>
      <c r="H2555" s="165"/>
      <c r="I2555" s="160"/>
      <c r="J2555" s="160"/>
      <c r="K2555" s="1"/>
      <c r="L2555" s="123"/>
      <c r="M2555" s="1"/>
      <c r="N2555" s="590"/>
      <c r="O2555" s="165"/>
      <c r="P2555" s="165"/>
      <c r="Q2555" s="165"/>
      <c r="R2555" s="165"/>
      <c r="S2555" s="165"/>
      <c r="V2555" s="46"/>
      <c r="W2555" s="46"/>
      <c r="X2555" s="1"/>
      <c r="Y2555" s="1"/>
      <c r="Z2555" s="173"/>
      <c r="AA2555" s="1"/>
      <c r="AB2555" s="165"/>
      <c r="AC2555" s="1"/>
      <c r="AD2555" s="1"/>
      <c r="AE2555" s="1"/>
      <c r="AF2555" s="46"/>
      <c r="AG2555" s="1"/>
      <c r="AH2555" s="165"/>
      <c r="AI2555" s="165"/>
      <c r="AJ2555" s="165"/>
      <c r="AK2555" s="165"/>
      <c r="AL2555" s="165"/>
      <c r="AM2555" s="165"/>
      <c r="AN2555" s="165"/>
    </row>
    <row r="2556" spans="3:40">
      <c r="C2556" s="46"/>
      <c r="F2556" s="173"/>
      <c r="G2556" s="1"/>
      <c r="H2556" s="165"/>
      <c r="I2556" s="160"/>
      <c r="J2556" s="160"/>
      <c r="K2556" s="1"/>
      <c r="L2556" s="123"/>
      <c r="M2556" s="1"/>
      <c r="N2556" s="590"/>
      <c r="O2556" s="165"/>
      <c r="P2556" s="165"/>
      <c r="Q2556" s="165"/>
      <c r="R2556" s="165"/>
      <c r="S2556" s="165"/>
      <c r="V2556" s="46"/>
      <c r="W2556" s="46"/>
      <c r="X2556" s="1"/>
      <c r="Y2556" s="1"/>
      <c r="Z2556" s="173"/>
      <c r="AA2556" s="1"/>
      <c r="AB2556" s="165"/>
      <c r="AC2556" s="1"/>
      <c r="AD2556" s="1"/>
      <c r="AE2556" s="1"/>
      <c r="AF2556" s="46"/>
      <c r="AG2556" s="1"/>
      <c r="AH2556" s="165"/>
      <c r="AI2556" s="165"/>
      <c r="AJ2556" s="165"/>
      <c r="AK2556" s="165"/>
      <c r="AL2556" s="165"/>
      <c r="AM2556" s="165"/>
      <c r="AN2556" s="165"/>
    </row>
    <row r="2557" spans="3:40">
      <c r="C2557" s="46"/>
      <c r="F2557" s="173"/>
      <c r="G2557" s="1"/>
      <c r="H2557" s="165"/>
      <c r="I2557" s="160"/>
      <c r="J2557" s="160"/>
      <c r="K2557" s="1"/>
      <c r="L2557" s="123"/>
      <c r="M2557" s="1"/>
      <c r="N2557" s="590"/>
      <c r="O2557" s="165"/>
      <c r="P2557" s="165"/>
      <c r="Q2557" s="165"/>
      <c r="R2557" s="165"/>
      <c r="S2557" s="165"/>
      <c r="V2557" s="46"/>
      <c r="W2557" s="46"/>
      <c r="X2557" s="1"/>
      <c r="Y2557" s="1"/>
      <c r="Z2557" s="173"/>
      <c r="AA2557" s="1"/>
      <c r="AB2557" s="165"/>
      <c r="AC2557" s="1"/>
      <c r="AD2557" s="1"/>
      <c r="AE2557" s="1"/>
      <c r="AF2557" s="46"/>
      <c r="AG2557" s="1"/>
      <c r="AH2557" s="165"/>
      <c r="AI2557" s="165"/>
      <c r="AJ2557" s="165"/>
      <c r="AK2557" s="165"/>
      <c r="AL2557" s="165"/>
      <c r="AM2557" s="165"/>
      <c r="AN2557" s="165"/>
    </row>
    <row r="2558" spans="3:40">
      <c r="C2558" s="46"/>
      <c r="F2558" s="173"/>
      <c r="G2558" s="1"/>
      <c r="H2558" s="165"/>
      <c r="I2558" s="160"/>
      <c r="J2558" s="160"/>
      <c r="K2558" s="1"/>
      <c r="L2558" s="123"/>
      <c r="M2558" s="1"/>
      <c r="N2558" s="590"/>
      <c r="O2558" s="165"/>
      <c r="P2558" s="165"/>
      <c r="Q2558" s="165"/>
      <c r="R2558" s="165"/>
      <c r="S2558" s="165"/>
      <c r="V2558" s="46"/>
      <c r="W2558" s="46"/>
      <c r="X2558" s="1"/>
      <c r="Y2558" s="1"/>
      <c r="Z2558" s="173"/>
      <c r="AA2558" s="1"/>
      <c r="AB2558" s="165"/>
      <c r="AC2558" s="1"/>
      <c r="AD2558" s="1"/>
      <c r="AE2558" s="1"/>
      <c r="AF2558" s="46"/>
      <c r="AG2558" s="1"/>
      <c r="AH2558" s="165"/>
      <c r="AI2558" s="165"/>
      <c r="AJ2558" s="165"/>
      <c r="AK2558" s="165"/>
      <c r="AL2558" s="165"/>
      <c r="AM2558" s="165"/>
      <c r="AN2558" s="165"/>
    </row>
    <row r="2559" spans="3:40">
      <c r="C2559" s="46"/>
      <c r="F2559" s="173"/>
      <c r="G2559" s="1"/>
      <c r="H2559" s="165"/>
      <c r="I2559" s="160"/>
      <c r="J2559" s="160"/>
      <c r="K2559" s="1"/>
      <c r="L2559" s="123"/>
      <c r="M2559" s="1"/>
      <c r="N2559" s="590"/>
      <c r="O2559" s="165"/>
      <c r="P2559" s="165"/>
      <c r="Q2559" s="165"/>
      <c r="R2559" s="165"/>
      <c r="S2559" s="165"/>
      <c r="V2559" s="46"/>
      <c r="W2559" s="46"/>
      <c r="X2559" s="1"/>
      <c r="Y2559" s="1"/>
      <c r="Z2559" s="173"/>
      <c r="AA2559" s="1"/>
      <c r="AB2559" s="165"/>
      <c r="AC2559" s="1"/>
      <c r="AD2559" s="1"/>
      <c r="AE2559" s="1"/>
      <c r="AF2559" s="46"/>
      <c r="AG2559" s="1"/>
      <c r="AH2559" s="165"/>
      <c r="AI2559" s="165"/>
      <c r="AJ2559" s="165"/>
      <c r="AK2559" s="165"/>
      <c r="AL2559" s="165"/>
      <c r="AM2559" s="165"/>
      <c r="AN2559" s="165"/>
    </row>
    <row r="2560" spans="3:40">
      <c r="C2560" s="46"/>
      <c r="F2560" s="173"/>
      <c r="G2560" s="1"/>
      <c r="H2560" s="165"/>
      <c r="I2560" s="160"/>
      <c r="J2560" s="160"/>
      <c r="K2560" s="1"/>
      <c r="L2560" s="123"/>
      <c r="M2560" s="1"/>
      <c r="N2560" s="590"/>
      <c r="O2560" s="165"/>
      <c r="P2560" s="165"/>
      <c r="Q2560" s="165"/>
      <c r="R2560" s="165"/>
      <c r="S2560" s="165"/>
      <c r="V2560" s="46"/>
      <c r="W2560" s="46"/>
      <c r="X2560" s="1"/>
      <c r="Y2560" s="1"/>
      <c r="Z2560" s="173"/>
      <c r="AA2560" s="1"/>
      <c r="AB2560" s="165"/>
      <c r="AC2560" s="1"/>
      <c r="AD2560" s="1"/>
      <c r="AE2560" s="1"/>
      <c r="AF2560" s="46"/>
      <c r="AG2560" s="1"/>
      <c r="AH2560" s="165"/>
      <c r="AI2560" s="165"/>
      <c r="AJ2560" s="165"/>
      <c r="AK2560" s="165"/>
      <c r="AL2560" s="165"/>
      <c r="AM2560" s="165"/>
      <c r="AN2560" s="165"/>
    </row>
    <row r="2561" spans="3:40">
      <c r="C2561" s="46"/>
      <c r="F2561" s="173"/>
      <c r="G2561" s="1"/>
      <c r="H2561" s="165"/>
      <c r="I2561" s="160"/>
      <c r="J2561" s="160"/>
      <c r="K2561" s="1"/>
      <c r="L2561" s="123"/>
      <c r="M2561" s="1"/>
      <c r="N2561" s="590"/>
      <c r="O2561" s="165"/>
      <c r="P2561" s="165"/>
      <c r="Q2561" s="165"/>
      <c r="R2561" s="165"/>
      <c r="S2561" s="165"/>
      <c r="V2561" s="46"/>
      <c r="W2561" s="46"/>
      <c r="X2561" s="1"/>
      <c r="Y2561" s="1"/>
      <c r="Z2561" s="173"/>
      <c r="AA2561" s="1"/>
      <c r="AB2561" s="165"/>
      <c r="AC2561" s="1"/>
      <c r="AD2561" s="1"/>
      <c r="AE2561" s="1"/>
      <c r="AF2561" s="46"/>
      <c r="AG2561" s="1"/>
      <c r="AH2561" s="165"/>
      <c r="AI2561" s="165"/>
      <c r="AJ2561" s="165"/>
      <c r="AK2561" s="165"/>
      <c r="AL2561" s="165"/>
      <c r="AM2561" s="165"/>
      <c r="AN2561" s="165"/>
    </row>
    <row r="2562" spans="3:40">
      <c r="C2562" s="46"/>
      <c r="F2562" s="173"/>
      <c r="G2562" s="1"/>
      <c r="H2562" s="165"/>
      <c r="I2562" s="160"/>
      <c r="J2562" s="160"/>
      <c r="K2562" s="1"/>
      <c r="L2562" s="123"/>
      <c r="M2562" s="1"/>
      <c r="N2562" s="590"/>
      <c r="O2562" s="165"/>
      <c r="P2562" s="165"/>
      <c r="Q2562" s="165"/>
      <c r="R2562" s="165"/>
      <c r="S2562" s="165"/>
      <c r="V2562" s="46"/>
      <c r="W2562" s="46"/>
      <c r="X2562" s="1"/>
      <c r="Y2562" s="1"/>
      <c r="Z2562" s="173"/>
      <c r="AA2562" s="1"/>
      <c r="AB2562" s="165"/>
      <c r="AC2562" s="1"/>
      <c r="AD2562" s="1"/>
      <c r="AE2562" s="1"/>
      <c r="AF2562" s="46"/>
      <c r="AG2562" s="1"/>
      <c r="AH2562" s="165"/>
      <c r="AI2562" s="165"/>
      <c r="AJ2562" s="165"/>
      <c r="AK2562" s="165"/>
      <c r="AL2562" s="165"/>
      <c r="AM2562" s="165"/>
      <c r="AN2562" s="165"/>
    </row>
    <row r="2563" spans="3:40">
      <c r="C2563" s="46"/>
      <c r="F2563" s="173"/>
      <c r="G2563" s="1"/>
      <c r="H2563" s="165"/>
      <c r="I2563" s="160"/>
      <c r="J2563" s="160"/>
      <c r="K2563" s="1"/>
      <c r="L2563" s="123"/>
      <c r="M2563" s="1"/>
      <c r="N2563" s="590"/>
      <c r="O2563" s="165"/>
      <c r="P2563" s="165"/>
      <c r="Q2563" s="165"/>
      <c r="R2563" s="165"/>
      <c r="S2563" s="165"/>
      <c r="V2563" s="46"/>
      <c r="W2563" s="46"/>
      <c r="X2563" s="1"/>
      <c r="Y2563" s="1"/>
      <c r="Z2563" s="173"/>
      <c r="AA2563" s="1"/>
      <c r="AB2563" s="165"/>
      <c r="AC2563" s="1"/>
      <c r="AD2563" s="1"/>
      <c r="AE2563" s="1"/>
      <c r="AF2563" s="46"/>
      <c r="AG2563" s="1"/>
      <c r="AH2563" s="165"/>
      <c r="AI2563" s="165"/>
      <c r="AJ2563" s="165"/>
      <c r="AK2563" s="165"/>
      <c r="AL2563" s="165"/>
      <c r="AM2563" s="165"/>
      <c r="AN2563" s="165"/>
    </row>
    <row r="2564" spans="3:40">
      <c r="C2564" s="46"/>
      <c r="F2564" s="173"/>
      <c r="G2564" s="1"/>
      <c r="H2564" s="165"/>
      <c r="I2564" s="160"/>
      <c r="J2564" s="160"/>
      <c r="K2564" s="1"/>
      <c r="L2564" s="123"/>
      <c r="M2564" s="1"/>
      <c r="N2564" s="590"/>
      <c r="O2564" s="165"/>
      <c r="P2564" s="165"/>
      <c r="Q2564" s="165"/>
      <c r="R2564" s="165"/>
      <c r="S2564" s="165"/>
      <c r="V2564" s="46"/>
      <c r="W2564" s="46"/>
      <c r="X2564" s="1"/>
      <c r="Y2564" s="1"/>
      <c r="Z2564" s="173"/>
      <c r="AA2564" s="1"/>
      <c r="AB2564" s="165"/>
      <c r="AC2564" s="1"/>
      <c r="AD2564" s="1"/>
      <c r="AE2564" s="1"/>
      <c r="AF2564" s="46"/>
      <c r="AG2564" s="1"/>
      <c r="AH2564" s="165"/>
      <c r="AI2564" s="165"/>
      <c r="AJ2564" s="165"/>
      <c r="AK2564" s="165"/>
      <c r="AL2564" s="165"/>
      <c r="AM2564" s="165"/>
      <c r="AN2564" s="165"/>
    </row>
    <row r="2565" spans="3:40">
      <c r="C2565" s="46"/>
      <c r="F2565" s="173"/>
      <c r="G2565" s="1"/>
      <c r="H2565" s="165"/>
      <c r="I2565" s="160"/>
      <c r="J2565" s="160"/>
      <c r="K2565" s="1"/>
      <c r="L2565" s="123"/>
      <c r="M2565" s="1"/>
      <c r="N2565" s="590"/>
      <c r="O2565" s="165"/>
      <c r="P2565" s="165"/>
      <c r="Q2565" s="165"/>
      <c r="R2565" s="165"/>
      <c r="S2565" s="165"/>
      <c r="V2565" s="46"/>
      <c r="W2565" s="46"/>
      <c r="X2565" s="1"/>
      <c r="Y2565" s="1"/>
      <c r="Z2565" s="173"/>
      <c r="AA2565" s="1"/>
      <c r="AB2565" s="165"/>
      <c r="AC2565" s="1"/>
      <c r="AD2565" s="1"/>
      <c r="AE2565" s="1"/>
      <c r="AF2565" s="46"/>
      <c r="AG2565" s="1"/>
      <c r="AH2565" s="165"/>
      <c r="AI2565" s="165"/>
      <c r="AJ2565" s="165"/>
      <c r="AK2565" s="165"/>
      <c r="AL2565" s="165"/>
      <c r="AM2565" s="165"/>
      <c r="AN2565" s="165"/>
    </row>
    <row r="2566" spans="3:40">
      <c r="C2566" s="46"/>
      <c r="F2566" s="173"/>
      <c r="G2566" s="1"/>
      <c r="H2566" s="165"/>
      <c r="I2566" s="160"/>
      <c r="J2566" s="160"/>
      <c r="K2566" s="1"/>
      <c r="L2566" s="123"/>
      <c r="M2566" s="1"/>
      <c r="N2566" s="590"/>
      <c r="O2566" s="165"/>
      <c r="P2566" s="165"/>
      <c r="Q2566" s="165"/>
      <c r="R2566" s="165"/>
      <c r="S2566" s="165"/>
      <c r="V2566" s="46"/>
      <c r="W2566" s="46"/>
      <c r="X2566" s="1"/>
      <c r="Y2566" s="1"/>
      <c r="Z2566" s="173"/>
      <c r="AA2566" s="1"/>
      <c r="AB2566" s="165"/>
      <c r="AC2566" s="1"/>
      <c r="AD2566" s="1"/>
      <c r="AE2566" s="1"/>
      <c r="AF2566" s="46"/>
      <c r="AG2566" s="1"/>
      <c r="AH2566" s="165"/>
      <c r="AI2566" s="165"/>
      <c r="AJ2566" s="165"/>
      <c r="AK2566" s="165"/>
      <c r="AL2566" s="165"/>
      <c r="AM2566" s="165"/>
      <c r="AN2566" s="165"/>
    </row>
    <row r="2567" spans="3:40">
      <c r="C2567" s="46"/>
      <c r="F2567" s="173"/>
      <c r="G2567" s="1"/>
      <c r="H2567" s="165"/>
      <c r="I2567" s="160"/>
      <c r="J2567" s="160"/>
      <c r="K2567" s="1"/>
      <c r="L2567" s="123"/>
      <c r="M2567" s="1"/>
      <c r="N2567" s="590"/>
      <c r="O2567" s="165"/>
      <c r="P2567" s="165"/>
      <c r="Q2567" s="165"/>
      <c r="R2567" s="165"/>
      <c r="S2567" s="165"/>
      <c r="V2567" s="46"/>
      <c r="W2567" s="46"/>
      <c r="X2567" s="1"/>
      <c r="Y2567" s="1"/>
      <c r="Z2567" s="173"/>
      <c r="AA2567" s="1"/>
      <c r="AB2567" s="165"/>
      <c r="AC2567" s="1"/>
      <c r="AD2567" s="1"/>
      <c r="AE2567" s="1"/>
      <c r="AF2567" s="46"/>
      <c r="AG2567" s="1"/>
      <c r="AH2567" s="165"/>
      <c r="AI2567" s="165"/>
      <c r="AJ2567" s="165"/>
      <c r="AK2567" s="165"/>
      <c r="AL2567" s="165"/>
      <c r="AM2567" s="165"/>
      <c r="AN2567" s="165"/>
    </row>
    <row r="2568" spans="3:40">
      <c r="C2568" s="46"/>
      <c r="F2568" s="173"/>
      <c r="G2568" s="1"/>
      <c r="H2568" s="165"/>
      <c r="I2568" s="160"/>
      <c r="J2568" s="160"/>
      <c r="K2568" s="1"/>
      <c r="L2568" s="123"/>
      <c r="M2568" s="1"/>
      <c r="N2568" s="590"/>
      <c r="O2568" s="165"/>
      <c r="P2568" s="165"/>
      <c r="Q2568" s="165"/>
      <c r="R2568" s="165"/>
      <c r="S2568" s="165"/>
      <c r="V2568" s="46"/>
      <c r="W2568" s="46"/>
      <c r="X2568" s="1"/>
      <c r="Y2568" s="1"/>
      <c r="Z2568" s="173"/>
      <c r="AA2568" s="1"/>
      <c r="AB2568" s="165"/>
      <c r="AC2568" s="1"/>
      <c r="AD2568" s="1"/>
      <c r="AE2568" s="1"/>
      <c r="AF2568" s="46"/>
      <c r="AG2568" s="1"/>
      <c r="AH2568" s="165"/>
      <c r="AI2568" s="165"/>
      <c r="AJ2568" s="165"/>
      <c r="AK2568" s="165"/>
      <c r="AL2568" s="165"/>
      <c r="AM2568" s="165"/>
      <c r="AN2568" s="165"/>
    </row>
    <row r="2569" spans="3:40">
      <c r="C2569" s="46"/>
      <c r="F2569" s="173"/>
      <c r="G2569" s="1"/>
      <c r="H2569" s="165"/>
      <c r="I2569" s="160"/>
      <c r="J2569" s="160"/>
      <c r="K2569" s="1"/>
      <c r="L2569" s="123"/>
      <c r="M2569" s="1"/>
      <c r="N2569" s="590"/>
      <c r="O2569" s="165"/>
      <c r="P2569" s="165"/>
      <c r="Q2569" s="165"/>
      <c r="R2569" s="165"/>
      <c r="S2569" s="165"/>
      <c r="V2569" s="46"/>
      <c r="W2569" s="46"/>
      <c r="X2569" s="1"/>
      <c r="Y2569" s="1"/>
      <c r="Z2569" s="173"/>
      <c r="AA2569" s="1"/>
      <c r="AB2569" s="165"/>
      <c r="AC2569" s="1"/>
      <c r="AD2569" s="1"/>
      <c r="AE2569" s="1"/>
      <c r="AF2569" s="46"/>
      <c r="AG2569" s="1"/>
      <c r="AH2569" s="165"/>
      <c r="AI2569" s="165"/>
      <c r="AJ2569" s="165"/>
      <c r="AK2569" s="165"/>
      <c r="AL2569" s="165"/>
      <c r="AM2569" s="165"/>
      <c r="AN2569" s="165"/>
    </row>
    <row r="2570" spans="3:40">
      <c r="C2570" s="46"/>
      <c r="F2570" s="173"/>
      <c r="G2570" s="1"/>
      <c r="H2570" s="165"/>
      <c r="I2570" s="160"/>
      <c r="J2570" s="160"/>
      <c r="K2570" s="1"/>
      <c r="L2570" s="123"/>
      <c r="M2570" s="1"/>
      <c r="N2570" s="590"/>
      <c r="O2570" s="165"/>
      <c r="P2570" s="165"/>
      <c r="Q2570" s="165"/>
      <c r="R2570" s="165"/>
      <c r="S2570" s="165"/>
      <c r="V2570" s="46"/>
      <c r="W2570" s="46"/>
      <c r="X2570" s="1"/>
      <c r="Y2570" s="1"/>
      <c r="Z2570" s="173"/>
      <c r="AA2570" s="1"/>
      <c r="AB2570" s="165"/>
      <c r="AC2570" s="1"/>
      <c r="AD2570" s="1"/>
      <c r="AE2570" s="1"/>
      <c r="AF2570" s="46"/>
      <c r="AG2570" s="1"/>
      <c r="AH2570" s="165"/>
      <c r="AI2570" s="165"/>
      <c r="AJ2570" s="165"/>
      <c r="AK2570" s="165"/>
      <c r="AL2570" s="165"/>
      <c r="AM2570" s="165"/>
      <c r="AN2570" s="165"/>
    </row>
    <row r="2571" spans="3:40">
      <c r="C2571" s="46"/>
      <c r="F2571" s="173"/>
      <c r="G2571" s="1"/>
      <c r="H2571" s="165"/>
      <c r="I2571" s="160"/>
      <c r="J2571" s="160"/>
      <c r="K2571" s="1"/>
      <c r="L2571" s="123"/>
      <c r="M2571" s="1"/>
      <c r="N2571" s="590"/>
      <c r="O2571" s="165"/>
      <c r="P2571" s="165"/>
      <c r="Q2571" s="165"/>
      <c r="R2571" s="165"/>
      <c r="S2571" s="165"/>
      <c r="V2571" s="46"/>
      <c r="W2571" s="46"/>
      <c r="X2571" s="1"/>
      <c r="Y2571" s="1"/>
      <c r="Z2571" s="173"/>
      <c r="AA2571" s="1"/>
      <c r="AB2571" s="165"/>
      <c r="AC2571" s="1"/>
      <c r="AD2571" s="1"/>
      <c r="AE2571" s="1"/>
      <c r="AF2571" s="46"/>
      <c r="AG2571" s="1"/>
      <c r="AH2571" s="165"/>
      <c r="AI2571" s="165"/>
      <c r="AJ2571" s="165"/>
      <c r="AK2571" s="165"/>
      <c r="AL2571" s="165"/>
      <c r="AM2571" s="165"/>
      <c r="AN2571" s="165"/>
    </row>
    <row r="2572" spans="3:40">
      <c r="C2572" s="46"/>
      <c r="F2572" s="173"/>
      <c r="G2572" s="1"/>
      <c r="H2572" s="165"/>
      <c r="I2572" s="160"/>
      <c r="J2572" s="160"/>
      <c r="K2572" s="1"/>
      <c r="L2572" s="123"/>
      <c r="M2572" s="1"/>
      <c r="N2572" s="590"/>
      <c r="O2572" s="165"/>
      <c r="P2572" s="165"/>
      <c r="Q2572" s="165"/>
      <c r="R2572" s="165"/>
      <c r="S2572" s="165"/>
      <c r="V2572" s="46"/>
      <c r="W2572" s="46"/>
      <c r="X2572" s="1"/>
      <c r="Y2572" s="1"/>
      <c r="Z2572" s="173"/>
      <c r="AA2572" s="1"/>
      <c r="AB2572" s="165"/>
      <c r="AC2572" s="1"/>
      <c r="AD2572" s="1"/>
      <c r="AE2572" s="1"/>
      <c r="AF2572" s="46"/>
      <c r="AG2572" s="1"/>
      <c r="AH2572" s="165"/>
      <c r="AI2572" s="165"/>
      <c r="AJ2572" s="165"/>
      <c r="AK2572" s="165"/>
      <c r="AL2572" s="165"/>
      <c r="AM2572" s="165"/>
      <c r="AN2572" s="165"/>
    </row>
    <row r="2573" spans="3:40">
      <c r="C2573" s="46"/>
      <c r="F2573" s="173"/>
      <c r="G2573" s="1"/>
      <c r="H2573" s="165"/>
      <c r="I2573" s="160"/>
      <c r="J2573" s="160"/>
      <c r="K2573" s="1"/>
      <c r="L2573" s="123"/>
      <c r="M2573" s="1"/>
      <c r="N2573" s="590"/>
      <c r="O2573" s="165"/>
      <c r="P2573" s="165"/>
      <c r="Q2573" s="165"/>
      <c r="R2573" s="165"/>
      <c r="S2573" s="165"/>
      <c r="V2573" s="46"/>
      <c r="W2573" s="46"/>
      <c r="X2573" s="1"/>
      <c r="Y2573" s="1"/>
      <c r="Z2573" s="173"/>
      <c r="AA2573" s="1"/>
      <c r="AB2573" s="165"/>
      <c r="AC2573" s="1"/>
      <c r="AD2573" s="1"/>
      <c r="AE2573" s="1"/>
      <c r="AF2573" s="46"/>
      <c r="AG2573" s="1"/>
      <c r="AH2573" s="165"/>
      <c r="AI2573" s="165"/>
      <c r="AJ2573" s="165"/>
      <c r="AK2573" s="165"/>
      <c r="AL2573" s="165"/>
      <c r="AM2573" s="165"/>
      <c r="AN2573" s="165"/>
    </row>
    <row r="2574" spans="3:40">
      <c r="C2574" s="46"/>
      <c r="F2574" s="173"/>
      <c r="G2574" s="1"/>
      <c r="H2574" s="165"/>
      <c r="I2574" s="160"/>
      <c r="J2574" s="160"/>
      <c r="K2574" s="1"/>
      <c r="L2574" s="123"/>
      <c r="M2574" s="1"/>
      <c r="N2574" s="590"/>
      <c r="O2574" s="165"/>
      <c r="P2574" s="165"/>
      <c r="Q2574" s="165"/>
      <c r="R2574" s="165"/>
      <c r="S2574" s="165"/>
      <c r="V2574" s="46"/>
      <c r="W2574" s="46"/>
      <c r="X2574" s="1"/>
      <c r="Y2574" s="1"/>
      <c r="Z2574" s="173"/>
      <c r="AA2574" s="1"/>
      <c r="AB2574" s="165"/>
      <c r="AC2574" s="1"/>
      <c r="AD2574" s="1"/>
      <c r="AE2574" s="1"/>
      <c r="AF2574" s="46"/>
      <c r="AG2574" s="1"/>
      <c r="AH2574" s="165"/>
      <c r="AI2574" s="165"/>
      <c r="AJ2574" s="165"/>
      <c r="AK2574" s="165"/>
      <c r="AL2574" s="165"/>
      <c r="AM2574" s="165"/>
      <c r="AN2574" s="165"/>
    </row>
    <row r="2575" spans="3:40">
      <c r="C2575" s="46"/>
      <c r="F2575" s="173"/>
      <c r="G2575" s="1"/>
      <c r="H2575" s="165"/>
      <c r="I2575" s="160"/>
      <c r="J2575" s="160"/>
      <c r="K2575" s="1"/>
      <c r="L2575" s="123"/>
      <c r="M2575" s="1"/>
      <c r="N2575" s="590"/>
      <c r="O2575" s="165"/>
      <c r="P2575" s="165"/>
      <c r="Q2575" s="165"/>
      <c r="R2575" s="165"/>
      <c r="S2575" s="165"/>
      <c r="V2575" s="46"/>
      <c r="W2575" s="46"/>
      <c r="X2575" s="1"/>
      <c r="Y2575" s="1"/>
      <c r="Z2575" s="173"/>
      <c r="AA2575" s="1"/>
      <c r="AB2575" s="165"/>
      <c r="AC2575" s="1"/>
      <c r="AD2575" s="1"/>
      <c r="AE2575" s="1"/>
      <c r="AF2575" s="46"/>
      <c r="AG2575" s="1"/>
      <c r="AH2575" s="165"/>
      <c r="AI2575" s="165"/>
      <c r="AJ2575" s="165"/>
      <c r="AK2575" s="165"/>
      <c r="AL2575" s="165"/>
      <c r="AM2575" s="165"/>
      <c r="AN2575" s="165"/>
    </row>
    <row r="2576" spans="3:40">
      <c r="C2576" s="46"/>
      <c r="F2576" s="173"/>
      <c r="G2576" s="1"/>
      <c r="H2576" s="165"/>
      <c r="I2576" s="160"/>
      <c r="J2576" s="160"/>
      <c r="K2576" s="1"/>
      <c r="L2576" s="123"/>
      <c r="M2576" s="1"/>
      <c r="N2576" s="590"/>
      <c r="O2576" s="165"/>
      <c r="P2576" s="165"/>
      <c r="Q2576" s="165"/>
      <c r="R2576" s="165"/>
      <c r="S2576" s="165"/>
      <c r="V2576" s="46"/>
      <c r="W2576" s="46"/>
      <c r="X2576" s="1"/>
      <c r="Y2576" s="1"/>
      <c r="Z2576" s="173"/>
      <c r="AA2576" s="1"/>
      <c r="AB2576" s="165"/>
      <c r="AC2576" s="1"/>
      <c r="AD2576" s="1"/>
      <c r="AE2576" s="1"/>
      <c r="AF2576" s="46"/>
      <c r="AG2576" s="1"/>
      <c r="AH2576" s="165"/>
      <c r="AI2576" s="165"/>
      <c r="AJ2576" s="165"/>
      <c r="AK2576" s="165"/>
      <c r="AL2576" s="165"/>
      <c r="AM2576" s="165"/>
      <c r="AN2576" s="165"/>
    </row>
    <row r="2577" spans="3:40">
      <c r="C2577" s="46"/>
      <c r="F2577" s="173"/>
      <c r="G2577" s="1"/>
      <c r="H2577" s="165"/>
      <c r="I2577" s="160"/>
      <c r="J2577" s="160"/>
      <c r="K2577" s="1"/>
      <c r="L2577" s="123"/>
      <c r="M2577" s="1"/>
      <c r="N2577" s="590"/>
      <c r="O2577" s="165"/>
      <c r="P2577" s="165"/>
      <c r="Q2577" s="165"/>
      <c r="R2577" s="165"/>
      <c r="S2577" s="165"/>
      <c r="V2577" s="46"/>
      <c r="W2577" s="46"/>
      <c r="X2577" s="1"/>
      <c r="Y2577" s="1"/>
      <c r="Z2577" s="173"/>
      <c r="AA2577" s="1"/>
      <c r="AB2577" s="165"/>
      <c r="AC2577" s="1"/>
      <c r="AD2577" s="1"/>
      <c r="AE2577" s="1"/>
      <c r="AF2577" s="46"/>
      <c r="AG2577" s="1"/>
      <c r="AH2577" s="165"/>
      <c r="AI2577" s="165"/>
      <c r="AJ2577" s="165"/>
      <c r="AK2577" s="165"/>
      <c r="AL2577" s="165"/>
      <c r="AM2577" s="165"/>
      <c r="AN2577" s="165"/>
    </row>
    <row r="2578" spans="3:40">
      <c r="C2578" s="46"/>
      <c r="F2578" s="173"/>
      <c r="G2578" s="1"/>
      <c r="H2578" s="165"/>
      <c r="I2578" s="160"/>
      <c r="J2578" s="160"/>
      <c r="K2578" s="1"/>
      <c r="L2578" s="123"/>
      <c r="M2578" s="1"/>
      <c r="N2578" s="590"/>
      <c r="O2578" s="165"/>
      <c r="P2578" s="165"/>
      <c r="Q2578" s="165"/>
      <c r="R2578" s="165"/>
      <c r="S2578" s="165"/>
      <c r="V2578" s="46"/>
      <c r="W2578" s="46"/>
      <c r="X2578" s="1"/>
      <c r="Y2578" s="1"/>
      <c r="Z2578" s="173"/>
      <c r="AA2578" s="1"/>
      <c r="AB2578" s="165"/>
      <c r="AC2578" s="1"/>
      <c r="AD2578" s="1"/>
      <c r="AE2578" s="1"/>
      <c r="AF2578" s="46"/>
      <c r="AG2578" s="1"/>
      <c r="AH2578" s="165"/>
      <c r="AI2578" s="165"/>
      <c r="AJ2578" s="165"/>
      <c r="AK2578" s="165"/>
      <c r="AL2578" s="165"/>
      <c r="AM2578" s="165"/>
      <c r="AN2578" s="165"/>
    </row>
    <row r="2579" spans="3:40">
      <c r="C2579" s="46"/>
      <c r="F2579" s="173"/>
      <c r="G2579" s="1"/>
      <c r="H2579" s="165"/>
      <c r="I2579" s="160"/>
      <c r="J2579" s="160"/>
      <c r="K2579" s="1"/>
      <c r="L2579" s="123"/>
      <c r="M2579" s="1"/>
      <c r="N2579" s="590"/>
      <c r="O2579" s="165"/>
      <c r="P2579" s="165"/>
      <c r="Q2579" s="165"/>
      <c r="R2579" s="165"/>
      <c r="S2579" s="165"/>
      <c r="V2579" s="46"/>
      <c r="W2579" s="46"/>
      <c r="X2579" s="1"/>
      <c r="Y2579" s="1"/>
      <c r="Z2579" s="173"/>
      <c r="AA2579" s="1"/>
      <c r="AB2579" s="165"/>
      <c r="AC2579" s="1"/>
      <c r="AD2579" s="1"/>
      <c r="AE2579" s="1"/>
      <c r="AF2579" s="46"/>
      <c r="AG2579" s="1"/>
      <c r="AH2579" s="165"/>
      <c r="AI2579" s="165"/>
      <c r="AJ2579" s="165"/>
      <c r="AK2579" s="165"/>
      <c r="AL2579" s="165"/>
      <c r="AM2579" s="165"/>
      <c r="AN2579" s="165"/>
    </row>
    <row r="2580" spans="3:40">
      <c r="C2580" s="46"/>
      <c r="F2580" s="173"/>
      <c r="G2580" s="1"/>
      <c r="H2580" s="165"/>
      <c r="I2580" s="160"/>
      <c r="J2580" s="160"/>
      <c r="K2580" s="1"/>
      <c r="L2580" s="123"/>
      <c r="M2580" s="1"/>
      <c r="N2580" s="590"/>
      <c r="O2580" s="165"/>
      <c r="P2580" s="165"/>
      <c r="Q2580" s="165"/>
      <c r="R2580" s="165"/>
      <c r="S2580" s="165"/>
      <c r="V2580" s="46"/>
      <c r="W2580" s="46"/>
      <c r="X2580" s="1"/>
      <c r="Y2580" s="1"/>
      <c r="Z2580" s="173"/>
      <c r="AA2580" s="1"/>
      <c r="AB2580" s="165"/>
      <c r="AC2580" s="1"/>
      <c r="AD2580" s="1"/>
      <c r="AE2580" s="1"/>
      <c r="AF2580" s="46"/>
      <c r="AG2580" s="1"/>
      <c r="AH2580" s="165"/>
      <c r="AI2580" s="165"/>
      <c r="AJ2580" s="165"/>
      <c r="AK2580" s="165"/>
      <c r="AL2580" s="165"/>
      <c r="AM2580" s="165"/>
      <c r="AN2580" s="165"/>
    </row>
    <row r="2581" spans="3:40">
      <c r="C2581" s="46"/>
      <c r="F2581" s="173"/>
      <c r="G2581" s="1"/>
      <c r="H2581" s="165"/>
      <c r="I2581" s="160"/>
      <c r="J2581" s="160"/>
      <c r="K2581" s="1"/>
      <c r="L2581" s="123"/>
      <c r="M2581" s="1"/>
      <c r="N2581" s="590"/>
      <c r="O2581" s="165"/>
      <c r="P2581" s="165"/>
      <c r="Q2581" s="165"/>
      <c r="R2581" s="165"/>
      <c r="S2581" s="165"/>
      <c r="V2581" s="46"/>
      <c r="W2581" s="46"/>
      <c r="X2581" s="1"/>
      <c r="Y2581" s="1"/>
      <c r="Z2581" s="173"/>
      <c r="AA2581" s="1"/>
      <c r="AB2581" s="165"/>
      <c r="AC2581" s="1"/>
      <c r="AD2581" s="1"/>
      <c r="AE2581" s="1"/>
      <c r="AF2581" s="46"/>
      <c r="AG2581" s="1"/>
      <c r="AH2581" s="165"/>
      <c r="AI2581" s="165"/>
      <c r="AJ2581" s="165"/>
      <c r="AK2581" s="165"/>
      <c r="AL2581" s="165"/>
      <c r="AM2581" s="165"/>
      <c r="AN2581" s="165"/>
    </row>
    <row r="2582" spans="3:40">
      <c r="C2582" s="46"/>
      <c r="F2582" s="173"/>
      <c r="G2582" s="1"/>
      <c r="H2582" s="165"/>
      <c r="I2582" s="160"/>
      <c r="J2582" s="160"/>
      <c r="K2582" s="1"/>
      <c r="L2582" s="123"/>
      <c r="M2582" s="1"/>
      <c r="N2582" s="590"/>
      <c r="O2582" s="165"/>
      <c r="P2582" s="165"/>
      <c r="Q2582" s="165"/>
      <c r="R2582" s="165"/>
      <c r="S2582" s="165"/>
      <c r="V2582" s="46"/>
      <c r="W2582" s="46"/>
      <c r="X2582" s="1"/>
      <c r="Y2582" s="1"/>
      <c r="Z2582" s="173"/>
      <c r="AA2582" s="1"/>
      <c r="AB2582" s="165"/>
      <c r="AC2582" s="1"/>
      <c r="AD2582" s="1"/>
      <c r="AE2582" s="1"/>
      <c r="AF2582" s="46"/>
      <c r="AG2582" s="1"/>
      <c r="AH2582" s="165"/>
      <c r="AI2582" s="165"/>
      <c r="AJ2582" s="165"/>
      <c r="AK2582" s="165"/>
      <c r="AL2582" s="165"/>
      <c r="AM2582" s="165"/>
      <c r="AN2582" s="165"/>
    </row>
    <row r="2583" spans="3:40">
      <c r="C2583" s="46"/>
      <c r="F2583" s="173"/>
      <c r="G2583" s="1"/>
      <c r="H2583" s="165"/>
      <c r="I2583" s="160"/>
      <c r="J2583" s="160"/>
      <c r="K2583" s="1"/>
      <c r="L2583" s="123"/>
      <c r="M2583" s="1"/>
      <c r="N2583" s="590"/>
      <c r="O2583" s="165"/>
      <c r="P2583" s="165"/>
      <c r="Q2583" s="165"/>
      <c r="R2583" s="165"/>
      <c r="S2583" s="165"/>
      <c r="V2583" s="46"/>
      <c r="W2583" s="46"/>
      <c r="X2583" s="1"/>
      <c r="Y2583" s="1"/>
      <c r="Z2583" s="173"/>
      <c r="AA2583" s="1"/>
      <c r="AB2583" s="165"/>
      <c r="AC2583" s="1"/>
      <c r="AD2583" s="1"/>
      <c r="AE2583" s="1"/>
      <c r="AF2583" s="46"/>
      <c r="AG2583" s="1"/>
      <c r="AH2583" s="165"/>
      <c r="AI2583" s="165"/>
      <c r="AJ2583" s="165"/>
      <c r="AK2583" s="165"/>
      <c r="AL2583" s="165"/>
      <c r="AM2583" s="165"/>
      <c r="AN2583" s="165"/>
    </row>
    <row r="2584" spans="3:40">
      <c r="C2584" s="46"/>
      <c r="F2584" s="173"/>
      <c r="G2584" s="1"/>
      <c r="H2584" s="165"/>
      <c r="I2584" s="160"/>
      <c r="J2584" s="160"/>
      <c r="K2584" s="1"/>
      <c r="L2584" s="123"/>
      <c r="M2584" s="1"/>
      <c r="N2584" s="590"/>
      <c r="O2584" s="165"/>
      <c r="P2584" s="165"/>
      <c r="Q2584" s="165"/>
      <c r="R2584" s="165"/>
      <c r="S2584" s="165"/>
      <c r="V2584" s="46"/>
      <c r="W2584" s="46"/>
      <c r="X2584" s="1"/>
      <c r="Y2584" s="1"/>
      <c r="Z2584" s="173"/>
      <c r="AA2584" s="1"/>
      <c r="AB2584" s="165"/>
      <c r="AC2584" s="1"/>
      <c r="AD2584" s="1"/>
      <c r="AE2584" s="1"/>
      <c r="AF2584" s="46"/>
      <c r="AG2584" s="1"/>
      <c r="AH2584" s="165"/>
      <c r="AI2584" s="165"/>
      <c r="AJ2584" s="165"/>
      <c r="AK2584" s="165"/>
      <c r="AL2584" s="165"/>
      <c r="AM2584" s="165"/>
      <c r="AN2584" s="165"/>
    </row>
    <row r="2585" spans="3:40">
      <c r="C2585" s="46"/>
      <c r="F2585" s="173"/>
      <c r="G2585" s="1"/>
      <c r="H2585" s="165"/>
      <c r="I2585" s="160"/>
      <c r="J2585" s="160"/>
      <c r="K2585" s="1"/>
      <c r="L2585" s="123"/>
      <c r="M2585" s="1"/>
      <c r="N2585" s="590"/>
      <c r="O2585" s="165"/>
      <c r="P2585" s="165"/>
      <c r="Q2585" s="165"/>
      <c r="R2585" s="165"/>
      <c r="S2585" s="165"/>
      <c r="V2585" s="46"/>
      <c r="W2585" s="46"/>
      <c r="X2585" s="1"/>
      <c r="Y2585" s="1"/>
      <c r="Z2585" s="173"/>
      <c r="AA2585" s="1"/>
      <c r="AB2585" s="165"/>
      <c r="AC2585" s="1"/>
      <c r="AD2585" s="1"/>
      <c r="AE2585" s="1"/>
      <c r="AF2585" s="46"/>
      <c r="AG2585" s="1"/>
      <c r="AH2585" s="165"/>
      <c r="AI2585" s="165"/>
      <c r="AJ2585" s="165"/>
      <c r="AK2585" s="165"/>
      <c r="AL2585" s="165"/>
      <c r="AM2585" s="165"/>
      <c r="AN2585" s="165"/>
    </row>
    <row r="2586" spans="3:40">
      <c r="C2586" s="46"/>
      <c r="F2586" s="173"/>
      <c r="G2586" s="1"/>
      <c r="H2586" s="165"/>
      <c r="I2586" s="160"/>
      <c r="J2586" s="160"/>
      <c r="K2586" s="1"/>
      <c r="L2586" s="123"/>
      <c r="M2586" s="1"/>
      <c r="N2586" s="590"/>
      <c r="O2586" s="165"/>
      <c r="P2586" s="165"/>
      <c r="Q2586" s="165"/>
      <c r="R2586" s="165"/>
      <c r="S2586" s="165"/>
      <c r="V2586" s="46"/>
      <c r="W2586" s="46"/>
      <c r="X2586" s="1"/>
      <c r="Y2586" s="1"/>
      <c r="Z2586" s="173"/>
      <c r="AA2586" s="1"/>
      <c r="AB2586" s="165"/>
      <c r="AC2586" s="1"/>
      <c r="AD2586" s="1"/>
      <c r="AE2586" s="1"/>
      <c r="AF2586" s="46"/>
      <c r="AG2586" s="1"/>
      <c r="AH2586" s="165"/>
      <c r="AI2586" s="165"/>
      <c r="AJ2586" s="165"/>
      <c r="AK2586" s="165"/>
      <c r="AL2586" s="165"/>
      <c r="AM2586" s="165"/>
      <c r="AN2586" s="165"/>
    </row>
    <row r="2587" spans="3:40">
      <c r="C2587" s="46"/>
      <c r="F2587" s="173"/>
      <c r="G2587" s="1"/>
      <c r="H2587" s="165"/>
      <c r="I2587" s="160"/>
      <c r="J2587" s="160"/>
      <c r="K2587" s="1"/>
      <c r="L2587" s="123"/>
      <c r="M2587" s="1"/>
      <c r="N2587" s="590"/>
      <c r="O2587" s="165"/>
      <c r="P2587" s="165"/>
      <c r="Q2587" s="165"/>
      <c r="R2587" s="165"/>
      <c r="S2587" s="165"/>
      <c r="V2587" s="46"/>
      <c r="W2587" s="46"/>
      <c r="X2587" s="1"/>
      <c r="Y2587" s="1"/>
      <c r="Z2587" s="173"/>
      <c r="AA2587" s="1"/>
      <c r="AB2587" s="165"/>
      <c r="AC2587" s="1"/>
      <c r="AD2587" s="1"/>
      <c r="AE2587" s="1"/>
      <c r="AF2587" s="46"/>
      <c r="AG2587" s="1"/>
      <c r="AH2587" s="165"/>
      <c r="AI2587" s="165"/>
      <c r="AJ2587" s="165"/>
      <c r="AK2587" s="165"/>
      <c r="AL2587" s="165"/>
      <c r="AM2587" s="165"/>
      <c r="AN2587" s="165"/>
    </row>
    <row r="2588" spans="3:40">
      <c r="C2588" s="46"/>
      <c r="F2588" s="173"/>
      <c r="G2588" s="1"/>
      <c r="H2588" s="165"/>
      <c r="I2588" s="160"/>
      <c r="J2588" s="160"/>
      <c r="K2588" s="1"/>
      <c r="L2588" s="123"/>
      <c r="M2588" s="1"/>
      <c r="N2588" s="590"/>
      <c r="O2588" s="165"/>
      <c r="P2588" s="165"/>
      <c r="Q2588" s="165"/>
      <c r="R2588" s="165"/>
      <c r="S2588" s="165"/>
      <c r="V2588" s="46"/>
      <c r="W2588" s="46"/>
      <c r="X2588" s="1"/>
      <c r="Y2588" s="1"/>
      <c r="Z2588" s="173"/>
      <c r="AA2588" s="1"/>
      <c r="AB2588" s="165"/>
      <c r="AC2588" s="1"/>
      <c r="AD2588" s="1"/>
      <c r="AE2588" s="1"/>
      <c r="AF2588" s="46"/>
      <c r="AG2588" s="1"/>
      <c r="AH2588" s="165"/>
      <c r="AI2588" s="165"/>
      <c r="AJ2588" s="165"/>
      <c r="AK2588" s="165"/>
      <c r="AL2588" s="165"/>
      <c r="AM2588" s="165"/>
      <c r="AN2588" s="165"/>
    </row>
    <row r="2589" spans="3:40">
      <c r="C2589" s="46"/>
      <c r="F2589" s="173"/>
      <c r="G2589" s="1"/>
      <c r="H2589" s="165"/>
      <c r="I2589" s="160"/>
      <c r="J2589" s="160"/>
      <c r="K2589" s="1"/>
      <c r="L2589" s="123"/>
      <c r="M2589" s="1"/>
      <c r="N2589" s="590"/>
      <c r="O2589" s="165"/>
      <c r="P2589" s="165"/>
      <c r="Q2589" s="165"/>
      <c r="R2589" s="165"/>
      <c r="S2589" s="165"/>
      <c r="V2589" s="46"/>
      <c r="W2589" s="46"/>
      <c r="X2589" s="1"/>
      <c r="Y2589" s="1"/>
      <c r="Z2589" s="173"/>
      <c r="AA2589" s="1"/>
      <c r="AB2589" s="165"/>
      <c r="AC2589" s="1"/>
      <c r="AD2589" s="1"/>
      <c r="AE2589" s="1"/>
      <c r="AF2589" s="46"/>
      <c r="AG2589" s="1"/>
      <c r="AH2589" s="165"/>
      <c r="AI2589" s="165"/>
      <c r="AJ2589" s="165"/>
      <c r="AK2589" s="165"/>
      <c r="AL2589" s="165"/>
      <c r="AM2589" s="165"/>
      <c r="AN2589" s="165"/>
    </row>
    <row r="2590" spans="3:40">
      <c r="C2590" s="46"/>
      <c r="F2590" s="173"/>
      <c r="G2590" s="1"/>
      <c r="H2590" s="165"/>
      <c r="I2590" s="160"/>
      <c r="J2590" s="160"/>
      <c r="K2590" s="1"/>
      <c r="L2590" s="123"/>
      <c r="M2590" s="1"/>
      <c r="N2590" s="590"/>
      <c r="O2590" s="165"/>
      <c r="P2590" s="165"/>
      <c r="Q2590" s="165"/>
      <c r="R2590" s="165"/>
      <c r="S2590" s="165"/>
      <c r="V2590" s="46"/>
      <c r="W2590" s="46"/>
      <c r="X2590" s="1"/>
      <c r="Y2590" s="1"/>
      <c r="Z2590" s="173"/>
      <c r="AA2590" s="1"/>
      <c r="AB2590" s="165"/>
      <c r="AC2590" s="1"/>
      <c r="AD2590" s="1"/>
      <c r="AE2590" s="1"/>
      <c r="AF2590" s="46"/>
      <c r="AG2590" s="1"/>
      <c r="AH2590" s="165"/>
      <c r="AI2590" s="165"/>
      <c r="AJ2590" s="165"/>
      <c r="AK2590" s="165"/>
      <c r="AL2590" s="165"/>
      <c r="AM2590" s="165"/>
      <c r="AN2590" s="165"/>
    </row>
    <row r="2591" spans="3:40">
      <c r="C2591" s="46"/>
      <c r="F2591" s="173"/>
      <c r="G2591" s="1"/>
      <c r="H2591" s="165"/>
      <c r="I2591" s="160"/>
      <c r="J2591" s="160"/>
      <c r="K2591" s="1"/>
      <c r="L2591" s="123"/>
      <c r="M2591" s="1"/>
      <c r="N2591" s="590"/>
      <c r="O2591" s="165"/>
      <c r="P2591" s="165"/>
      <c r="Q2591" s="165"/>
      <c r="R2591" s="165"/>
      <c r="S2591" s="165"/>
      <c r="V2591" s="46"/>
      <c r="W2591" s="46"/>
      <c r="X2591" s="1"/>
      <c r="Y2591" s="1"/>
      <c r="Z2591" s="173"/>
      <c r="AA2591" s="1"/>
      <c r="AB2591" s="165"/>
      <c r="AC2591" s="1"/>
      <c r="AD2591" s="1"/>
      <c r="AE2591" s="1"/>
      <c r="AF2591" s="46"/>
      <c r="AG2591" s="1"/>
      <c r="AH2591" s="165"/>
      <c r="AI2591" s="165"/>
      <c r="AJ2591" s="165"/>
      <c r="AK2591" s="165"/>
      <c r="AL2591" s="165"/>
      <c r="AM2591" s="165"/>
      <c r="AN2591" s="165"/>
    </row>
    <row r="2592" spans="3:40">
      <c r="C2592" s="46"/>
      <c r="F2592" s="173"/>
      <c r="G2592" s="1"/>
      <c r="H2592" s="165"/>
      <c r="I2592" s="160"/>
      <c r="J2592" s="160"/>
      <c r="K2592" s="1"/>
      <c r="L2592" s="123"/>
      <c r="M2592" s="1"/>
      <c r="N2592" s="590"/>
      <c r="O2592" s="165"/>
      <c r="P2592" s="165"/>
      <c r="Q2592" s="165"/>
      <c r="R2592" s="165"/>
      <c r="S2592" s="165"/>
      <c r="V2592" s="46"/>
      <c r="W2592" s="46"/>
      <c r="X2592" s="1"/>
      <c r="Y2592" s="1"/>
      <c r="Z2592" s="173"/>
      <c r="AA2592" s="1"/>
      <c r="AB2592" s="165"/>
      <c r="AC2592" s="1"/>
      <c r="AD2592" s="1"/>
      <c r="AE2592" s="1"/>
      <c r="AF2592" s="46"/>
      <c r="AG2592" s="1"/>
      <c r="AH2592" s="165"/>
      <c r="AI2592" s="165"/>
      <c r="AJ2592" s="165"/>
      <c r="AK2592" s="165"/>
      <c r="AL2592" s="165"/>
      <c r="AM2592" s="165"/>
      <c r="AN2592" s="165"/>
    </row>
    <row r="2593" spans="3:40">
      <c r="C2593" s="46"/>
      <c r="F2593" s="173"/>
      <c r="G2593" s="1"/>
      <c r="H2593" s="165"/>
      <c r="I2593" s="160"/>
      <c r="J2593" s="160"/>
      <c r="K2593" s="1"/>
      <c r="L2593" s="123"/>
      <c r="M2593" s="1"/>
      <c r="N2593" s="590"/>
      <c r="O2593" s="165"/>
      <c r="P2593" s="165"/>
      <c r="Q2593" s="165"/>
      <c r="R2593" s="165"/>
      <c r="S2593" s="165"/>
      <c r="V2593" s="46"/>
      <c r="W2593" s="46"/>
      <c r="X2593" s="1"/>
      <c r="Y2593" s="1"/>
      <c r="Z2593" s="173"/>
      <c r="AA2593" s="1"/>
      <c r="AB2593" s="165"/>
      <c r="AC2593" s="1"/>
      <c r="AD2593" s="1"/>
      <c r="AE2593" s="1"/>
      <c r="AF2593" s="46"/>
      <c r="AG2593" s="1"/>
      <c r="AH2593" s="165"/>
      <c r="AI2593" s="165"/>
      <c r="AJ2593" s="165"/>
      <c r="AK2593" s="165"/>
      <c r="AL2593" s="165"/>
      <c r="AM2593" s="165"/>
      <c r="AN2593" s="165"/>
    </row>
    <row r="2594" spans="3:40">
      <c r="C2594" s="46"/>
      <c r="F2594" s="173"/>
      <c r="G2594" s="1"/>
      <c r="H2594" s="165"/>
      <c r="I2594" s="160"/>
      <c r="J2594" s="160"/>
      <c r="K2594" s="1"/>
      <c r="L2594" s="123"/>
      <c r="M2594" s="1"/>
      <c r="N2594" s="590"/>
      <c r="O2594" s="165"/>
      <c r="P2594" s="165"/>
      <c r="Q2594" s="165"/>
      <c r="R2594" s="165"/>
      <c r="S2594" s="165"/>
      <c r="V2594" s="46"/>
      <c r="W2594" s="46"/>
      <c r="X2594" s="1"/>
      <c r="Y2594" s="1"/>
      <c r="Z2594" s="173"/>
      <c r="AA2594" s="1"/>
      <c r="AB2594" s="165"/>
      <c r="AC2594" s="1"/>
      <c r="AD2594" s="1"/>
      <c r="AE2594" s="1"/>
      <c r="AF2594" s="46"/>
      <c r="AG2594" s="1"/>
      <c r="AH2594" s="165"/>
      <c r="AI2594" s="165"/>
      <c r="AJ2594" s="165"/>
      <c r="AK2594" s="165"/>
      <c r="AL2594" s="165"/>
      <c r="AM2594" s="165"/>
      <c r="AN2594" s="165"/>
    </row>
    <row r="2595" spans="3:40">
      <c r="C2595" s="46"/>
      <c r="F2595" s="173"/>
      <c r="G2595" s="1"/>
      <c r="H2595" s="165"/>
      <c r="I2595" s="160"/>
      <c r="J2595" s="160"/>
      <c r="K2595" s="1"/>
      <c r="L2595" s="123"/>
      <c r="M2595" s="1"/>
      <c r="N2595" s="590"/>
      <c r="O2595" s="165"/>
      <c r="P2595" s="165"/>
      <c r="Q2595" s="165"/>
      <c r="R2595" s="165"/>
      <c r="S2595" s="165"/>
      <c r="V2595" s="46"/>
      <c r="W2595" s="46"/>
      <c r="X2595" s="1"/>
      <c r="Y2595" s="1"/>
      <c r="Z2595" s="173"/>
      <c r="AA2595" s="1"/>
      <c r="AB2595" s="165"/>
      <c r="AC2595" s="1"/>
      <c r="AD2595" s="1"/>
      <c r="AE2595" s="1"/>
      <c r="AF2595" s="46"/>
      <c r="AG2595" s="1"/>
      <c r="AH2595" s="165"/>
      <c r="AI2595" s="165"/>
      <c r="AJ2595" s="165"/>
      <c r="AK2595" s="165"/>
      <c r="AL2595" s="165"/>
      <c r="AM2595" s="165"/>
      <c r="AN2595" s="165"/>
    </row>
    <row r="2596" spans="3:40">
      <c r="C2596" s="46"/>
      <c r="F2596" s="173"/>
      <c r="G2596" s="1"/>
      <c r="H2596" s="165"/>
      <c r="I2596" s="160"/>
      <c r="J2596" s="160"/>
      <c r="K2596" s="1"/>
      <c r="L2596" s="123"/>
      <c r="M2596" s="1"/>
      <c r="N2596" s="590"/>
      <c r="O2596" s="165"/>
      <c r="P2596" s="165"/>
      <c r="Q2596" s="165"/>
      <c r="R2596" s="165"/>
      <c r="S2596" s="165"/>
      <c r="V2596" s="46"/>
      <c r="W2596" s="46"/>
      <c r="X2596" s="1"/>
      <c r="Y2596" s="1"/>
      <c r="Z2596" s="173"/>
      <c r="AA2596" s="1"/>
      <c r="AB2596" s="165"/>
      <c r="AC2596" s="1"/>
      <c r="AD2596" s="1"/>
      <c r="AE2596" s="1"/>
      <c r="AF2596" s="46"/>
      <c r="AG2596" s="1"/>
      <c r="AH2596" s="165"/>
      <c r="AI2596" s="165"/>
      <c r="AJ2596" s="165"/>
      <c r="AK2596" s="165"/>
      <c r="AL2596" s="165"/>
      <c r="AM2596" s="165"/>
      <c r="AN2596" s="165"/>
    </row>
    <row r="2597" spans="3:40">
      <c r="C2597" s="46"/>
      <c r="F2597" s="173"/>
      <c r="G2597" s="1"/>
      <c r="H2597" s="165"/>
      <c r="I2597" s="160"/>
      <c r="J2597" s="160"/>
      <c r="K2597" s="1"/>
      <c r="L2597" s="123"/>
      <c r="M2597" s="1"/>
      <c r="N2597" s="590"/>
      <c r="O2597" s="165"/>
      <c r="P2597" s="165"/>
      <c r="Q2597" s="165"/>
      <c r="R2597" s="165"/>
      <c r="S2597" s="165"/>
      <c r="V2597" s="46"/>
      <c r="W2597" s="46"/>
      <c r="X2597" s="1"/>
      <c r="Y2597" s="1"/>
      <c r="Z2597" s="173"/>
      <c r="AA2597" s="1"/>
      <c r="AB2597" s="165"/>
      <c r="AC2597" s="1"/>
      <c r="AD2597" s="1"/>
      <c r="AE2597" s="1"/>
      <c r="AF2597" s="46"/>
      <c r="AG2597" s="1"/>
      <c r="AH2597" s="165"/>
      <c r="AI2597" s="165"/>
      <c r="AJ2597" s="165"/>
      <c r="AK2597" s="165"/>
      <c r="AL2597" s="165"/>
      <c r="AM2597" s="165"/>
      <c r="AN2597" s="165"/>
    </row>
    <row r="2598" spans="3:40">
      <c r="C2598" s="46"/>
      <c r="F2598" s="173"/>
      <c r="G2598" s="1"/>
      <c r="H2598" s="165"/>
      <c r="I2598" s="160"/>
      <c r="J2598" s="160"/>
      <c r="K2598" s="1"/>
      <c r="L2598" s="123"/>
      <c r="M2598" s="1"/>
      <c r="N2598" s="590"/>
      <c r="O2598" s="165"/>
      <c r="P2598" s="165"/>
      <c r="Q2598" s="165"/>
      <c r="R2598" s="165"/>
      <c r="S2598" s="165"/>
      <c r="V2598" s="46"/>
      <c r="W2598" s="46"/>
      <c r="X2598" s="1"/>
      <c r="Y2598" s="1"/>
      <c r="Z2598" s="173"/>
      <c r="AA2598" s="1"/>
      <c r="AB2598" s="165"/>
      <c r="AC2598" s="1"/>
      <c r="AD2598" s="1"/>
      <c r="AE2598" s="1"/>
      <c r="AF2598" s="46"/>
      <c r="AG2598" s="1"/>
      <c r="AH2598" s="165"/>
      <c r="AI2598" s="165"/>
      <c r="AJ2598" s="165"/>
      <c r="AK2598" s="165"/>
      <c r="AL2598" s="165"/>
      <c r="AM2598" s="165"/>
      <c r="AN2598" s="165"/>
    </row>
    <row r="2599" spans="3:40">
      <c r="C2599" s="46"/>
      <c r="F2599" s="173"/>
      <c r="G2599" s="1"/>
      <c r="H2599" s="165"/>
      <c r="I2599" s="160"/>
      <c r="J2599" s="160"/>
      <c r="K2599" s="1"/>
      <c r="L2599" s="123"/>
      <c r="M2599" s="1"/>
      <c r="N2599" s="590"/>
      <c r="O2599" s="165"/>
      <c r="P2599" s="165"/>
      <c r="Q2599" s="165"/>
      <c r="R2599" s="165"/>
      <c r="S2599" s="165"/>
      <c r="V2599" s="46"/>
      <c r="W2599" s="46"/>
      <c r="X2599" s="1"/>
      <c r="Y2599" s="1"/>
      <c r="Z2599" s="173"/>
      <c r="AA2599" s="1"/>
      <c r="AB2599" s="165"/>
      <c r="AC2599" s="1"/>
      <c r="AD2599" s="1"/>
      <c r="AE2599" s="1"/>
      <c r="AF2599" s="46"/>
      <c r="AG2599" s="1"/>
      <c r="AH2599" s="165"/>
      <c r="AI2599" s="165"/>
      <c r="AJ2599" s="165"/>
      <c r="AK2599" s="165"/>
      <c r="AL2599" s="165"/>
      <c r="AM2599" s="165"/>
      <c r="AN2599" s="165"/>
    </row>
    <row r="2600" spans="3:40">
      <c r="C2600" s="46"/>
      <c r="F2600" s="173"/>
      <c r="G2600" s="1"/>
      <c r="H2600" s="165"/>
      <c r="I2600" s="160"/>
      <c r="J2600" s="160"/>
      <c r="K2600" s="1"/>
      <c r="L2600" s="123"/>
      <c r="M2600" s="1"/>
      <c r="N2600" s="590"/>
      <c r="O2600" s="165"/>
      <c r="P2600" s="165"/>
      <c r="Q2600" s="165"/>
      <c r="R2600" s="165"/>
      <c r="S2600" s="165"/>
      <c r="V2600" s="46"/>
      <c r="W2600" s="46"/>
      <c r="X2600" s="1"/>
      <c r="Y2600" s="1"/>
      <c r="Z2600" s="173"/>
      <c r="AA2600" s="1"/>
      <c r="AB2600" s="165"/>
      <c r="AC2600" s="1"/>
      <c r="AD2600" s="1"/>
      <c r="AE2600" s="1"/>
      <c r="AF2600" s="46"/>
      <c r="AG2600" s="1"/>
      <c r="AH2600" s="165"/>
      <c r="AI2600" s="165"/>
      <c r="AJ2600" s="165"/>
      <c r="AK2600" s="165"/>
      <c r="AL2600" s="165"/>
      <c r="AM2600" s="165"/>
      <c r="AN2600" s="165"/>
    </row>
    <row r="2601" spans="3:40">
      <c r="C2601" s="46"/>
      <c r="F2601" s="173"/>
      <c r="G2601" s="1"/>
      <c r="H2601" s="165"/>
      <c r="I2601" s="160"/>
      <c r="J2601" s="160"/>
      <c r="K2601" s="1"/>
      <c r="L2601" s="123"/>
      <c r="M2601" s="1"/>
      <c r="N2601" s="590"/>
      <c r="O2601" s="165"/>
      <c r="P2601" s="165"/>
      <c r="Q2601" s="165"/>
      <c r="R2601" s="165"/>
      <c r="S2601" s="165"/>
      <c r="V2601" s="46"/>
      <c r="W2601" s="46"/>
      <c r="X2601" s="1"/>
      <c r="Y2601" s="1"/>
      <c r="Z2601" s="173"/>
      <c r="AA2601" s="1"/>
      <c r="AB2601" s="165"/>
      <c r="AC2601" s="1"/>
      <c r="AD2601" s="1"/>
      <c r="AE2601" s="1"/>
      <c r="AF2601" s="46"/>
      <c r="AG2601" s="1"/>
      <c r="AH2601" s="165"/>
      <c r="AI2601" s="165"/>
      <c r="AJ2601" s="165"/>
      <c r="AK2601" s="165"/>
      <c r="AL2601" s="165"/>
      <c r="AM2601" s="165"/>
      <c r="AN2601" s="165"/>
    </row>
    <row r="2602" spans="3:40">
      <c r="C2602" s="46"/>
      <c r="F2602" s="173"/>
      <c r="G2602" s="1"/>
      <c r="H2602" s="165"/>
      <c r="I2602" s="160"/>
      <c r="J2602" s="160"/>
      <c r="K2602" s="1"/>
      <c r="L2602" s="123"/>
      <c r="M2602" s="1"/>
      <c r="N2602" s="590"/>
      <c r="O2602" s="165"/>
      <c r="P2602" s="165"/>
      <c r="Q2602" s="165"/>
      <c r="R2602" s="165"/>
      <c r="S2602" s="165"/>
      <c r="V2602" s="46"/>
      <c r="W2602" s="46"/>
      <c r="X2602" s="1"/>
      <c r="Y2602" s="1"/>
      <c r="Z2602" s="173"/>
      <c r="AA2602" s="1"/>
      <c r="AB2602" s="165"/>
      <c r="AC2602" s="1"/>
      <c r="AD2602" s="1"/>
      <c r="AE2602" s="1"/>
      <c r="AF2602" s="46"/>
      <c r="AG2602" s="1"/>
      <c r="AH2602" s="165"/>
      <c r="AI2602" s="165"/>
      <c r="AJ2602" s="165"/>
      <c r="AK2602" s="165"/>
      <c r="AL2602" s="165"/>
      <c r="AM2602" s="165"/>
      <c r="AN2602" s="165"/>
    </row>
    <row r="2603" spans="3:40">
      <c r="C2603" s="46"/>
      <c r="F2603" s="173"/>
      <c r="G2603" s="1"/>
      <c r="H2603" s="165"/>
      <c r="I2603" s="160"/>
      <c r="J2603" s="160"/>
      <c r="K2603" s="1"/>
      <c r="L2603" s="123"/>
      <c r="M2603" s="1"/>
      <c r="N2603" s="590"/>
      <c r="O2603" s="165"/>
      <c r="P2603" s="165"/>
      <c r="Q2603" s="165"/>
      <c r="R2603" s="165"/>
      <c r="S2603" s="165"/>
      <c r="V2603" s="46"/>
      <c r="W2603" s="46"/>
      <c r="X2603" s="1"/>
      <c r="Y2603" s="1"/>
      <c r="Z2603" s="173"/>
      <c r="AA2603" s="1"/>
      <c r="AB2603" s="165"/>
      <c r="AC2603" s="1"/>
      <c r="AD2603" s="1"/>
      <c r="AE2603" s="1"/>
      <c r="AF2603" s="46"/>
      <c r="AG2603" s="1"/>
      <c r="AH2603" s="165"/>
      <c r="AI2603" s="165"/>
      <c r="AJ2603" s="165"/>
      <c r="AK2603" s="165"/>
      <c r="AL2603" s="165"/>
      <c r="AM2603" s="165"/>
      <c r="AN2603" s="165"/>
    </row>
    <row r="2604" spans="3:40">
      <c r="C2604" s="46"/>
      <c r="F2604" s="173"/>
      <c r="G2604" s="1"/>
      <c r="H2604" s="165"/>
      <c r="I2604" s="160"/>
      <c r="J2604" s="160"/>
      <c r="K2604" s="1"/>
      <c r="L2604" s="123"/>
      <c r="M2604" s="1"/>
      <c r="N2604" s="590"/>
      <c r="O2604" s="165"/>
      <c r="P2604" s="165"/>
      <c r="Q2604" s="165"/>
      <c r="R2604" s="165"/>
      <c r="S2604" s="165"/>
      <c r="V2604" s="46"/>
      <c r="W2604" s="46"/>
      <c r="X2604" s="1"/>
      <c r="Y2604" s="1"/>
      <c r="Z2604" s="173"/>
      <c r="AA2604" s="1"/>
      <c r="AB2604" s="165"/>
      <c r="AC2604" s="1"/>
      <c r="AD2604" s="1"/>
      <c r="AE2604" s="1"/>
      <c r="AF2604" s="46"/>
      <c r="AG2604" s="1"/>
      <c r="AH2604" s="165"/>
      <c r="AI2604" s="165"/>
      <c r="AJ2604" s="165"/>
      <c r="AK2604" s="165"/>
      <c r="AL2604" s="165"/>
      <c r="AM2604" s="165"/>
      <c r="AN2604" s="165"/>
    </row>
    <row r="2605" spans="3:40">
      <c r="C2605" s="46"/>
      <c r="F2605" s="173"/>
      <c r="G2605" s="1"/>
      <c r="H2605" s="165"/>
      <c r="I2605" s="160"/>
      <c r="J2605" s="160"/>
      <c r="K2605" s="1"/>
      <c r="L2605" s="123"/>
      <c r="M2605" s="1"/>
      <c r="N2605" s="590"/>
      <c r="O2605" s="165"/>
      <c r="P2605" s="165"/>
      <c r="Q2605" s="165"/>
      <c r="R2605" s="165"/>
      <c r="S2605" s="165"/>
      <c r="V2605" s="46"/>
      <c r="W2605" s="46"/>
      <c r="X2605" s="1"/>
      <c r="Y2605" s="1"/>
      <c r="Z2605" s="173"/>
      <c r="AA2605" s="1"/>
      <c r="AB2605" s="165"/>
      <c r="AC2605" s="1"/>
      <c r="AD2605" s="1"/>
      <c r="AE2605" s="1"/>
      <c r="AF2605" s="46"/>
      <c r="AG2605" s="1"/>
      <c r="AH2605" s="165"/>
      <c r="AI2605" s="165"/>
      <c r="AJ2605" s="165"/>
      <c r="AK2605" s="165"/>
      <c r="AL2605" s="165"/>
      <c r="AM2605" s="165"/>
      <c r="AN2605" s="165"/>
    </row>
    <row r="2606" spans="3:40">
      <c r="C2606" s="46"/>
      <c r="F2606" s="173"/>
      <c r="G2606" s="1"/>
      <c r="H2606" s="165"/>
      <c r="I2606" s="160"/>
      <c r="J2606" s="160"/>
      <c r="K2606" s="1"/>
      <c r="L2606" s="123"/>
      <c r="M2606" s="1"/>
      <c r="N2606" s="590"/>
      <c r="O2606" s="165"/>
      <c r="P2606" s="165"/>
      <c r="Q2606" s="165"/>
      <c r="R2606" s="165"/>
      <c r="S2606" s="165"/>
      <c r="V2606" s="46"/>
      <c r="W2606" s="46"/>
      <c r="X2606" s="1"/>
      <c r="Y2606" s="1"/>
      <c r="Z2606" s="173"/>
      <c r="AA2606" s="1"/>
      <c r="AB2606" s="165"/>
      <c r="AC2606" s="1"/>
      <c r="AD2606" s="1"/>
      <c r="AE2606" s="1"/>
      <c r="AF2606" s="46"/>
      <c r="AG2606" s="1"/>
      <c r="AH2606" s="165"/>
      <c r="AI2606" s="165"/>
      <c r="AJ2606" s="165"/>
      <c r="AK2606" s="165"/>
      <c r="AL2606" s="165"/>
      <c r="AM2606" s="165"/>
      <c r="AN2606" s="165"/>
    </row>
    <row r="2607" spans="3:40">
      <c r="C2607" s="46"/>
      <c r="F2607" s="173"/>
      <c r="G2607" s="1"/>
      <c r="H2607" s="165"/>
      <c r="I2607" s="160"/>
      <c r="J2607" s="160"/>
      <c r="K2607" s="1"/>
      <c r="L2607" s="123"/>
      <c r="M2607" s="1"/>
      <c r="N2607" s="590"/>
      <c r="O2607" s="165"/>
      <c r="P2607" s="165"/>
      <c r="Q2607" s="165"/>
      <c r="R2607" s="165"/>
      <c r="S2607" s="165"/>
      <c r="V2607" s="46"/>
      <c r="W2607" s="46"/>
      <c r="X2607" s="1"/>
      <c r="Y2607" s="1"/>
      <c r="Z2607" s="173"/>
      <c r="AA2607" s="1"/>
      <c r="AB2607" s="165"/>
      <c r="AC2607" s="1"/>
      <c r="AD2607" s="1"/>
      <c r="AE2607" s="1"/>
      <c r="AF2607" s="46"/>
      <c r="AG2607" s="1"/>
      <c r="AH2607" s="165"/>
      <c r="AI2607" s="165"/>
      <c r="AJ2607" s="165"/>
      <c r="AK2607" s="165"/>
      <c r="AL2607" s="165"/>
      <c r="AM2607" s="165"/>
      <c r="AN2607" s="165"/>
    </row>
    <row r="2608" spans="3:40">
      <c r="C2608" s="46"/>
      <c r="F2608" s="173"/>
      <c r="G2608" s="1"/>
      <c r="H2608" s="165"/>
      <c r="I2608" s="160"/>
      <c r="J2608" s="160"/>
      <c r="K2608" s="1"/>
      <c r="L2608" s="123"/>
      <c r="M2608" s="1"/>
      <c r="N2608" s="590"/>
      <c r="O2608" s="165"/>
      <c r="P2608" s="165"/>
      <c r="Q2608" s="165"/>
      <c r="R2608" s="165"/>
      <c r="S2608" s="165"/>
      <c r="V2608" s="46"/>
      <c r="W2608" s="46"/>
      <c r="X2608" s="1"/>
      <c r="Y2608" s="1"/>
      <c r="Z2608" s="173"/>
      <c r="AA2608" s="1"/>
      <c r="AB2608" s="165"/>
      <c r="AC2608" s="1"/>
      <c r="AD2608" s="1"/>
      <c r="AE2608" s="1"/>
      <c r="AF2608" s="46"/>
      <c r="AG2608" s="1"/>
      <c r="AH2608" s="165"/>
      <c r="AI2608" s="165"/>
      <c r="AJ2608" s="165"/>
      <c r="AK2608" s="165"/>
      <c r="AL2608" s="165"/>
      <c r="AM2608" s="165"/>
      <c r="AN2608" s="165"/>
    </row>
    <row r="2609" spans="3:40">
      <c r="C2609" s="46"/>
      <c r="F2609" s="173"/>
      <c r="G2609" s="1"/>
      <c r="H2609" s="165"/>
      <c r="I2609" s="160"/>
      <c r="J2609" s="160"/>
      <c r="K2609" s="1"/>
      <c r="L2609" s="123"/>
      <c r="M2609" s="1"/>
      <c r="N2609" s="590"/>
      <c r="O2609" s="165"/>
      <c r="P2609" s="165"/>
      <c r="Q2609" s="165"/>
      <c r="R2609" s="165"/>
      <c r="S2609" s="165"/>
      <c r="V2609" s="46"/>
      <c r="W2609" s="46"/>
      <c r="X2609" s="1"/>
      <c r="Y2609" s="1"/>
      <c r="Z2609" s="173"/>
      <c r="AA2609" s="1"/>
      <c r="AB2609" s="165"/>
      <c r="AC2609" s="1"/>
      <c r="AD2609" s="1"/>
      <c r="AE2609" s="1"/>
      <c r="AF2609" s="46"/>
      <c r="AG2609" s="1"/>
      <c r="AH2609" s="165"/>
      <c r="AI2609" s="165"/>
      <c r="AJ2609" s="165"/>
      <c r="AK2609" s="165"/>
      <c r="AL2609" s="165"/>
      <c r="AM2609" s="165"/>
      <c r="AN2609" s="165"/>
    </row>
    <row r="2610" spans="3:40">
      <c r="C2610" s="46"/>
      <c r="F2610" s="173"/>
      <c r="G2610" s="1"/>
      <c r="H2610" s="165"/>
      <c r="I2610" s="160"/>
      <c r="J2610" s="160"/>
      <c r="K2610" s="1"/>
      <c r="L2610" s="123"/>
      <c r="M2610" s="1"/>
      <c r="N2610" s="590"/>
      <c r="O2610" s="165"/>
      <c r="P2610" s="165"/>
      <c r="Q2610" s="165"/>
      <c r="R2610" s="165"/>
      <c r="S2610" s="165"/>
      <c r="V2610" s="46"/>
      <c r="W2610" s="46"/>
      <c r="X2610" s="1"/>
      <c r="Y2610" s="1"/>
      <c r="Z2610" s="173"/>
      <c r="AA2610" s="1"/>
      <c r="AB2610" s="165"/>
      <c r="AC2610" s="1"/>
      <c r="AD2610" s="1"/>
      <c r="AE2610" s="1"/>
      <c r="AF2610" s="46"/>
      <c r="AG2610" s="1"/>
      <c r="AH2610" s="165"/>
      <c r="AI2610" s="165"/>
      <c r="AJ2610" s="165"/>
      <c r="AK2610" s="165"/>
      <c r="AL2610" s="165"/>
      <c r="AM2610" s="165"/>
      <c r="AN2610" s="165"/>
    </row>
    <row r="2611" spans="3:40">
      <c r="C2611" s="46"/>
      <c r="F2611" s="173"/>
      <c r="G2611" s="1"/>
      <c r="H2611" s="165"/>
      <c r="I2611" s="160"/>
      <c r="J2611" s="160"/>
      <c r="K2611" s="1"/>
      <c r="L2611" s="123"/>
      <c r="M2611" s="1"/>
      <c r="N2611" s="590"/>
      <c r="O2611" s="165"/>
      <c r="P2611" s="165"/>
      <c r="Q2611" s="165"/>
      <c r="R2611" s="165"/>
      <c r="S2611" s="165"/>
      <c r="V2611" s="46"/>
      <c r="W2611" s="46"/>
      <c r="X2611" s="1"/>
      <c r="Y2611" s="1"/>
      <c r="Z2611" s="173"/>
      <c r="AA2611" s="1"/>
      <c r="AB2611" s="165"/>
      <c r="AC2611" s="1"/>
      <c r="AD2611" s="1"/>
      <c r="AE2611" s="1"/>
      <c r="AF2611" s="46"/>
      <c r="AG2611" s="1"/>
      <c r="AH2611" s="165"/>
      <c r="AI2611" s="165"/>
      <c r="AJ2611" s="165"/>
      <c r="AK2611" s="165"/>
      <c r="AL2611" s="165"/>
      <c r="AM2611" s="165"/>
      <c r="AN2611" s="165"/>
    </row>
    <row r="2612" spans="3:40">
      <c r="C2612" s="46"/>
      <c r="F2612" s="173"/>
      <c r="G2612" s="1"/>
      <c r="H2612" s="165"/>
      <c r="I2612" s="160"/>
      <c r="J2612" s="160"/>
      <c r="K2612" s="1"/>
      <c r="L2612" s="123"/>
      <c r="M2612" s="1"/>
      <c r="N2612" s="590"/>
      <c r="O2612" s="165"/>
      <c r="P2612" s="165"/>
      <c r="Q2612" s="165"/>
      <c r="R2612" s="165"/>
      <c r="S2612" s="165"/>
      <c r="V2612" s="46"/>
      <c r="W2612" s="46"/>
      <c r="X2612" s="1"/>
      <c r="Y2612" s="1"/>
      <c r="Z2612" s="173"/>
      <c r="AA2612" s="1"/>
      <c r="AB2612" s="165"/>
      <c r="AC2612" s="1"/>
      <c r="AD2612" s="1"/>
      <c r="AE2612" s="1"/>
      <c r="AF2612" s="46"/>
      <c r="AG2612" s="1"/>
      <c r="AH2612" s="165"/>
      <c r="AI2612" s="165"/>
      <c r="AJ2612" s="165"/>
      <c r="AK2612" s="165"/>
      <c r="AL2612" s="165"/>
      <c r="AM2612" s="165"/>
      <c r="AN2612" s="165"/>
    </row>
    <row r="2613" spans="3:40">
      <c r="C2613" s="46"/>
      <c r="F2613" s="173"/>
      <c r="G2613" s="1"/>
      <c r="H2613" s="165"/>
      <c r="I2613" s="160"/>
      <c r="J2613" s="160"/>
      <c r="K2613" s="1"/>
      <c r="L2613" s="123"/>
      <c r="M2613" s="1"/>
      <c r="N2613" s="590"/>
      <c r="O2613" s="165"/>
      <c r="P2613" s="165"/>
      <c r="Q2613" s="165"/>
      <c r="R2613" s="165"/>
      <c r="S2613" s="165"/>
      <c r="V2613" s="46"/>
      <c r="W2613" s="46"/>
      <c r="X2613" s="1"/>
      <c r="Y2613" s="1"/>
      <c r="Z2613" s="173"/>
      <c r="AA2613" s="1"/>
      <c r="AB2613" s="165"/>
      <c r="AC2613" s="1"/>
      <c r="AD2613" s="1"/>
      <c r="AE2613" s="1"/>
      <c r="AF2613" s="46"/>
      <c r="AG2613" s="1"/>
      <c r="AH2613" s="165"/>
      <c r="AI2613" s="165"/>
      <c r="AJ2613" s="165"/>
      <c r="AK2613" s="165"/>
      <c r="AL2613" s="165"/>
      <c r="AM2613" s="165"/>
      <c r="AN2613" s="165"/>
    </row>
    <row r="2614" spans="3:40">
      <c r="C2614" s="46"/>
      <c r="F2614" s="173"/>
      <c r="G2614" s="1"/>
      <c r="H2614" s="165"/>
      <c r="I2614" s="160"/>
      <c r="J2614" s="160"/>
      <c r="K2614" s="1"/>
      <c r="L2614" s="123"/>
      <c r="M2614" s="1"/>
      <c r="N2614" s="590"/>
      <c r="O2614" s="165"/>
      <c r="P2614" s="165"/>
      <c r="Q2614" s="165"/>
      <c r="R2614" s="165"/>
      <c r="S2614" s="165"/>
      <c r="V2614" s="46"/>
      <c r="W2614" s="46"/>
      <c r="X2614" s="1"/>
      <c r="Y2614" s="1"/>
      <c r="Z2614" s="173"/>
      <c r="AA2614" s="1"/>
      <c r="AB2614" s="165"/>
      <c r="AC2614" s="1"/>
      <c r="AD2614" s="1"/>
      <c r="AE2614" s="1"/>
      <c r="AF2614" s="46"/>
      <c r="AG2614" s="1"/>
      <c r="AH2614" s="165"/>
      <c r="AI2614" s="165"/>
      <c r="AJ2614" s="165"/>
      <c r="AK2614" s="165"/>
      <c r="AL2614" s="165"/>
      <c r="AM2614" s="165"/>
      <c r="AN2614" s="165"/>
    </row>
    <row r="2615" spans="3:40">
      <c r="C2615" s="46"/>
      <c r="F2615" s="173"/>
      <c r="G2615" s="1"/>
      <c r="H2615" s="165"/>
      <c r="I2615" s="160"/>
      <c r="J2615" s="160"/>
      <c r="K2615" s="1"/>
      <c r="L2615" s="123"/>
      <c r="M2615" s="1"/>
      <c r="N2615" s="590"/>
      <c r="O2615" s="165"/>
      <c r="P2615" s="165"/>
      <c r="Q2615" s="165"/>
      <c r="R2615" s="165"/>
      <c r="S2615" s="165"/>
      <c r="V2615" s="46"/>
      <c r="W2615" s="46"/>
      <c r="X2615" s="1"/>
      <c r="Y2615" s="1"/>
      <c r="Z2615" s="173"/>
      <c r="AA2615" s="1"/>
      <c r="AB2615" s="165"/>
      <c r="AC2615" s="1"/>
      <c r="AD2615" s="1"/>
      <c r="AE2615" s="1"/>
      <c r="AF2615" s="46"/>
      <c r="AG2615" s="1"/>
      <c r="AH2615" s="165"/>
      <c r="AI2615" s="165"/>
      <c r="AJ2615" s="165"/>
      <c r="AK2615" s="165"/>
      <c r="AL2615" s="165"/>
      <c r="AM2615" s="165"/>
      <c r="AN2615" s="165"/>
    </row>
    <row r="2616" spans="3:40">
      <c r="C2616" s="46"/>
      <c r="F2616" s="173"/>
      <c r="G2616" s="1"/>
      <c r="H2616" s="165"/>
      <c r="I2616" s="160"/>
      <c r="J2616" s="160"/>
      <c r="K2616" s="1"/>
      <c r="L2616" s="123"/>
      <c r="M2616" s="1"/>
      <c r="N2616" s="590"/>
      <c r="O2616" s="165"/>
      <c r="P2616" s="165"/>
      <c r="Q2616" s="165"/>
      <c r="R2616" s="165"/>
      <c r="S2616" s="165"/>
      <c r="V2616" s="46"/>
      <c r="W2616" s="46"/>
      <c r="X2616" s="1"/>
      <c r="Y2616" s="1"/>
      <c r="Z2616" s="173"/>
      <c r="AA2616" s="1"/>
      <c r="AB2616" s="165"/>
      <c r="AC2616" s="1"/>
      <c r="AD2616" s="1"/>
      <c r="AE2616" s="1"/>
      <c r="AF2616" s="46"/>
      <c r="AG2616" s="1"/>
      <c r="AH2616" s="165"/>
      <c r="AI2616" s="165"/>
      <c r="AJ2616" s="165"/>
      <c r="AK2616" s="165"/>
      <c r="AL2616" s="165"/>
      <c r="AM2616" s="165"/>
      <c r="AN2616" s="165"/>
    </row>
    <row r="2617" spans="3:40">
      <c r="C2617" s="46"/>
      <c r="F2617" s="173"/>
      <c r="G2617" s="1"/>
      <c r="H2617" s="165"/>
      <c r="I2617" s="160"/>
      <c r="J2617" s="160"/>
      <c r="K2617" s="1"/>
      <c r="L2617" s="123"/>
      <c r="M2617" s="1"/>
      <c r="N2617" s="590"/>
      <c r="O2617" s="165"/>
      <c r="P2617" s="165"/>
      <c r="Q2617" s="165"/>
      <c r="R2617" s="165"/>
      <c r="S2617" s="165"/>
      <c r="V2617" s="46"/>
      <c r="W2617" s="46"/>
      <c r="X2617" s="1"/>
      <c r="Y2617" s="1"/>
      <c r="Z2617" s="173"/>
      <c r="AA2617" s="1"/>
      <c r="AB2617" s="165"/>
      <c r="AC2617" s="1"/>
      <c r="AD2617" s="1"/>
      <c r="AE2617" s="1"/>
      <c r="AF2617" s="46"/>
      <c r="AG2617" s="1"/>
      <c r="AH2617" s="165"/>
      <c r="AI2617" s="165"/>
      <c r="AJ2617" s="165"/>
      <c r="AK2617" s="165"/>
      <c r="AL2617" s="165"/>
      <c r="AM2617" s="165"/>
      <c r="AN2617" s="165"/>
    </row>
    <row r="2618" spans="3:40">
      <c r="C2618" s="46"/>
      <c r="F2618" s="173"/>
      <c r="G2618" s="1"/>
      <c r="H2618" s="165"/>
      <c r="I2618" s="160"/>
      <c r="J2618" s="160"/>
      <c r="K2618" s="1"/>
      <c r="L2618" s="123"/>
      <c r="M2618" s="1"/>
      <c r="N2618" s="590"/>
      <c r="O2618" s="165"/>
      <c r="P2618" s="165"/>
      <c r="Q2618" s="165"/>
      <c r="R2618" s="165"/>
      <c r="S2618" s="165"/>
      <c r="V2618" s="46"/>
      <c r="W2618" s="46"/>
      <c r="X2618" s="1"/>
      <c r="Y2618" s="1"/>
      <c r="Z2618" s="173"/>
      <c r="AA2618" s="1"/>
      <c r="AB2618" s="165"/>
      <c r="AC2618" s="1"/>
      <c r="AD2618" s="1"/>
      <c r="AE2618" s="1"/>
      <c r="AF2618" s="46"/>
      <c r="AG2618" s="1"/>
      <c r="AH2618" s="165"/>
      <c r="AI2618" s="165"/>
      <c r="AJ2618" s="165"/>
      <c r="AK2618" s="165"/>
      <c r="AL2618" s="165"/>
      <c r="AM2618" s="165"/>
      <c r="AN2618" s="165"/>
    </row>
    <row r="2619" spans="3:40">
      <c r="C2619" s="46"/>
      <c r="F2619" s="173"/>
      <c r="G2619" s="1"/>
      <c r="H2619" s="165"/>
      <c r="I2619" s="160"/>
      <c r="J2619" s="160"/>
      <c r="K2619" s="1"/>
      <c r="L2619" s="123"/>
      <c r="M2619" s="1"/>
      <c r="N2619" s="590"/>
      <c r="O2619" s="165"/>
      <c r="P2619" s="165"/>
      <c r="Q2619" s="165"/>
      <c r="R2619" s="165"/>
      <c r="S2619" s="165"/>
      <c r="V2619" s="46"/>
      <c r="W2619" s="46"/>
      <c r="X2619" s="1"/>
      <c r="Y2619" s="1"/>
      <c r="Z2619" s="173"/>
      <c r="AA2619" s="1"/>
      <c r="AB2619" s="165"/>
      <c r="AC2619" s="1"/>
      <c r="AD2619" s="1"/>
      <c r="AE2619" s="1"/>
      <c r="AF2619" s="46"/>
      <c r="AG2619" s="1"/>
      <c r="AH2619" s="165"/>
      <c r="AI2619" s="165"/>
      <c r="AJ2619" s="165"/>
      <c r="AK2619" s="165"/>
      <c r="AL2619" s="165"/>
      <c r="AM2619" s="165"/>
      <c r="AN2619" s="165"/>
    </row>
    <row r="2620" spans="3:40">
      <c r="C2620" s="46"/>
      <c r="F2620" s="173"/>
      <c r="G2620" s="1"/>
      <c r="H2620" s="165"/>
      <c r="I2620" s="160"/>
      <c r="J2620" s="160"/>
      <c r="K2620" s="1"/>
      <c r="L2620" s="123"/>
      <c r="M2620" s="1"/>
      <c r="N2620" s="590"/>
      <c r="O2620" s="165"/>
      <c r="P2620" s="165"/>
      <c r="Q2620" s="165"/>
      <c r="R2620" s="165"/>
      <c r="S2620" s="165"/>
      <c r="V2620" s="46"/>
      <c r="W2620" s="46"/>
      <c r="X2620" s="1"/>
      <c r="Y2620" s="1"/>
      <c r="Z2620" s="173"/>
      <c r="AA2620" s="1"/>
      <c r="AB2620" s="165"/>
      <c r="AC2620" s="1"/>
      <c r="AD2620" s="1"/>
      <c r="AE2620" s="1"/>
      <c r="AF2620" s="46"/>
      <c r="AG2620" s="1"/>
      <c r="AH2620" s="165"/>
      <c r="AI2620" s="165"/>
      <c r="AJ2620" s="165"/>
      <c r="AK2620" s="165"/>
      <c r="AL2620" s="165"/>
      <c r="AM2620" s="165"/>
      <c r="AN2620" s="165"/>
    </row>
    <row r="2621" spans="3:40">
      <c r="C2621" s="46"/>
      <c r="F2621" s="173"/>
      <c r="G2621" s="1"/>
      <c r="H2621" s="165"/>
      <c r="I2621" s="160"/>
      <c r="J2621" s="160"/>
      <c r="K2621" s="1"/>
      <c r="L2621" s="123"/>
      <c r="M2621" s="1"/>
      <c r="N2621" s="590"/>
      <c r="O2621" s="165"/>
      <c r="P2621" s="165"/>
      <c r="Q2621" s="165"/>
      <c r="R2621" s="165"/>
      <c r="S2621" s="165"/>
      <c r="V2621" s="46"/>
      <c r="W2621" s="46"/>
      <c r="X2621" s="1"/>
      <c r="Y2621" s="1"/>
      <c r="Z2621" s="173"/>
      <c r="AA2621" s="1"/>
      <c r="AB2621" s="165"/>
      <c r="AC2621" s="1"/>
      <c r="AD2621" s="1"/>
      <c r="AE2621" s="1"/>
      <c r="AF2621" s="46"/>
      <c r="AG2621" s="1"/>
      <c r="AH2621" s="165"/>
      <c r="AI2621" s="165"/>
      <c r="AJ2621" s="165"/>
      <c r="AK2621" s="165"/>
      <c r="AL2621" s="165"/>
      <c r="AM2621" s="165"/>
      <c r="AN2621" s="165"/>
    </row>
    <row r="2622" spans="3:40">
      <c r="C2622" s="46"/>
      <c r="F2622" s="173"/>
      <c r="G2622" s="1"/>
      <c r="H2622" s="165"/>
      <c r="I2622" s="160"/>
      <c r="J2622" s="160"/>
      <c r="K2622" s="1"/>
      <c r="L2622" s="123"/>
      <c r="M2622" s="1"/>
      <c r="N2622" s="590"/>
      <c r="O2622" s="165"/>
      <c r="P2622" s="165"/>
      <c r="Q2622" s="165"/>
      <c r="R2622" s="165"/>
      <c r="S2622" s="165"/>
      <c r="V2622" s="46"/>
      <c r="W2622" s="46"/>
      <c r="X2622" s="1"/>
      <c r="Y2622" s="1"/>
      <c r="Z2622" s="173"/>
      <c r="AA2622" s="1"/>
      <c r="AB2622" s="165"/>
      <c r="AC2622" s="1"/>
      <c r="AD2622" s="1"/>
      <c r="AE2622" s="1"/>
      <c r="AF2622" s="46"/>
      <c r="AG2622" s="1"/>
      <c r="AH2622" s="165"/>
      <c r="AI2622" s="165"/>
      <c r="AJ2622" s="165"/>
      <c r="AK2622" s="165"/>
      <c r="AL2622" s="165"/>
      <c r="AM2622" s="165"/>
      <c r="AN2622" s="165"/>
    </row>
    <row r="2623" spans="3:40">
      <c r="C2623" s="46"/>
      <c r="F2623" s="173"/>
      <c r="G2623" s="1"/>
      <c r="H2623" s="165"/>
      <c r="I2623" s="160"/>
      <c r="J2623" s="160"/>
      <c r="K2623" s="1"/>
      <c r="L2623" s="123"/>
      <c r="M2623" s="1"/>
      <c r="N2623" s="590"/>
      <c r="O2623" s="165"/>
      <c r="P2623" s="165"/>
      <c r="Q2623" s="165"/>
      <c r="R2623" s="165"/>
      <c r="S2623" s="165"/>
      <c r="V2623" s="46"/>
      <c r="W2623" s="46"/>
      <c r="X2623" s="1"/>
      <c r="Y2623" s="1"/>
      <c r="Z2623" s="173"/>
      <c r="AA2623" s="1"/>
      <c r="AB2623" s="165"/>
      <c r="AC2623" s="1"/>
      <c r="AD2623" s="1"/>
      <c r="AE2623" s="1"/>
      <c r="AF2623" s="46"/>
      <c r="AG2623" s="1"/>
      <c r="AH2623" s="165"/>
      <c r="AI2623" s="165"/>
      <c r="AJ2623" s="165"/>
      <c r="AK2623" s="165"/>
      <c r="AL2623" s="165"/>
      <c r="AM2623" s="165"/>
      <c r="AN2623" s="165"/>
    </row>
    <row r="2624" spans="3:40">
      <c r="C2624" s="46"/>
      <c r="F2624" s="173"/>
      <c r="G2624" s="1"/>
      <c r="H2624" s="165"/>
      <c r="I2624" s="160"/>
      <c r="J2624" s="160"/>
      <c r="K2624" s="1"/>
      <c r="L2624" s="123"/>
      <c r="M2624" s="1"/>
      <c r="N2624" s="590"/>
      <c r="O2624" s="165"/>
      <c r="P2624" s="165"/>
      <c r="Q2624" s="165"/>
      <c r="R2624" s="165"/>
      <c r="S2624" s="165"/>
      <c r="V2624" s="46"/>
      <c r="W2624" s="46"/>
      <c r="X2624" s="1"/>
      <c r="Y2624" s="1"/>
      <c r="Z2624" s="173"/>
      <c r="AA2624" s="1"/>
      <c r="AB2624" s="165"/>
      <c r="AC2624" s="1"/>
      <c r="AD2624" s="1"/>
      <c r="AE2624" s="1"/>
      <c r="AF2624" s="46"/>
      <c r="AG2624" s="1"/>
      <c r="AH2624" s="165"/>
      <c r="AI2624" s="165"/>
      <c r="AJ2624" s="165"/>
      <c r="AK2624" s="165"/>
      <c r="AL2624" s="165"/>
      <c r="AM2624" s="165"/>
      <c r="AN2624" s="165"/>
    </row>
    <row r="2625" spans="3:40">
      <c r="C2625" s="46"/>
      <c r="F2625" s="173"/>
      <c r="G2625" s="1"/>
      <c r="H2625" s="165"/>
      <c r="I2625" s="160"/>
      <c r="J2625" s="160"/>
      <c r="K2625" s="1"/>
      <c r="L2625" s="123"/>
      <c r="M2625" s="1"/>
      <c r="N2625" s="590"/>
      <c r="O2625" s="165"/>
      <c r="P2625" s="165"/>
      <c r="Q2625" s="165"/>
      <c r="R2625" s="165"/>
      <c r="S2625" s="165"/>
      <c r="V2625" s="46"/>
      <c r="W2625" s="46"/>
      <c r="X2625" s="1"/>
      <c r="Y2625" s="1"/>
      <c r="Z2625" s="173"/>
      <c r="AA2625" s="1"/>
      <c r="AB2625" s="165"/>
      <c r="AC2625" s="1"/>
      <c r="AD2625" s="1"/>
      <c r="AE2625" s="1"/>
      <c r="AF2625" s="46"/>
      <c r="AG2625" s="1"/>
      <c r="AH2625" s="165"/>
      <c r="AI2625" s="165"/>
      <c r="AJ2625" s="165"/>
      <c r="AK2625" s="165"/>
      <c r="AL2625" s="165"/>
      <c r="AM2625" s="165"/>
      <c r="AN2625" s="165"/>
    </row>
    <row r="2626" spans="3:40">
      <c r="C2626" s="46"/>
      <c r="F2626" s="173"/>
      <c r="G2626" s="1"/>
      <c r="H2626" s="165"/>
      <c r="I2626" s="160"/>
      <c r="J2626" s="160"/>
      <c r="K2626" s="1"/>
      <c r="L2626" s="123"/>
      <c r="M2626" s="1"/>
      <c r="N2626" s="590"/>
      <c r="O2626" s="165"/>
      <c r="P2626" s="165"/>
      <c r="Q2626" s="165"/>
      <c r="R2626" s="165"/>
      <c r="S2626" s="165"/>
      <c r="V2626" s="46"/>
      <c r="W2626" s="46"/>
      <c r="X2626" s="1"/>
      <c r="Y2626" s="1"/>
      <c r="Z2626" s="173"/>
      <c r="AA2626" s="1"/>
      <c r="AB2626" s="165"/>
      <c r="AC2626" s="1"/>
      <c r="AD2626" s="1"/>
      <c r="AE2626" s="1"/>
      <c r="AF2626" s="46"/>
      <c r="AG2626" s="1"/>
      <c r="AH2626" s="165"/>
      <c r="AI2626" s="165"/>
      <c r="AJ2626" s="165"/>
      <c r="AK2626" s="165"/>
      <c r="AL2626" s="165"/>
      <c r="AM2626" s="165"/>
      <c r="AN2626" s="165"/>
    </row>
    <row r="2627" spans="3:40">
      <c r="C2627" s="46"/>
      <c r="F2627" s="173"/>
      <c r="G2627" s="1"/>
      <c r="H2627" s="165"/>
      <c r="I2627" s="160"/>
      <c r="J2627" s="160"/>
      <c r="K2627" s="1"/>
      <c r="L2627" s="123"/>
      <c r="M2627" s="1"/>
      <c r="N2627" s="590"/>
      <c r="O2627" s="165"/>
      <c r="P2627" s="165"/>
      <c r="Q2627" s="165"/>
      <c r="R2627" s="165"/>
      <c r="S2627" s="165"/>
      <c r="V2627" s="46"/>
      <c r="W2627" s="46"/>
      <c r="X2627" s="1"/>
      <c r="Y2627" s="1"/>
      <c r="Z2627" s="173"/>
      <c r="AA2627" s="1"/>
      <c r="AB2627" s="165"/>
      <c r="AC2627" s="1"/>
      <c r="AD2627" s="1"/>
      <c r="AE2627" s="1"/>
      <c r="AF2627" s="46"/>
      <c r="AG2627" s="1"/>
      <c r="AH2627" s="165"/>
      <c r="AI2627" s="165"/>
      <c r="AJ2627" s="165"/>
      <c r="AK2627" s="165"/>
      <c r="AL2627" s="165"/>
      <c r="AM2627" s="165"/>
      <c r="AN2627" s="165"/>
    </row>
    <row r="2628" spans="3:40">
      <c r="C2628" s="46"/>
      <c r="F2628" s="173"/>
      <c r="G2628" s="1"/>
      <c r="H2628" s="165"/>
      <c r="I2628" s="160"/>
      <c r="J2628" s="160"/>
      <c r="K2628" s="1"/>
      <c r="L2628" s="123"/>
      <c r="M2628" s="1"/>
      <c r="N2628" s="590"/>
      <c r="O2628" s="165"/>
      <c r="P2628" s="165"/>
      <c r="Q2628" s="165"/>
      <c r="R2628" s="165"/>
      <c r="S2628" s="165"/>
      <c r="V2628" s="46"/>
      <c r="W2628" s="46"/>
      <c r="X2628" s="1"/>
      <c r="Y2628" s="1"/>
      <c r="Z2628" s="173"/>
      <c r="AA2628" s="1"/>
      <c r="AB2628" s="165"/>
      <c r="AC2628" s="1"/>
      <c r="AD2628" s="1"/>
      <c r="AE2628" s="1"/>
      <c r="AF2628" s="46"/>
      <c r="AG2628" s="1"/>
      <c r="AH2628" s="165"/>
      <c r="AI2628" s="165"/>
      <c r="AJ2628" s="165"/>
      <c r="AK2628" s="165"/>
      <c r="AL2628" s="165"/>
      <c r="AM2628" s="165"/>
      <c r="AN2628" s="165"/>
    </row>
    <row r="2629" spans="3:40">
      <c r="C2629" s="46"/>
      <c r="F2629" s="173"/>
      <c r="G2629" s="1"/>
      <c r="H2629" s="165"/>
      <c r="I2629" s="160"/>
      <c r="J2629" s="160"/>
      <c r="K2629" s="1"/>
      <c r="L2629" s="123"/>
      <c r="M2629" s="1"/>
      <c r="N2629" s="590"/>
      <c r="O2629" s="165"/>
      <c r="P2629" s="165"/>
      <c r="Q2629" s="165"/>
      <c r="R2629" s="165"/>
      <c r="S2629" s="165"/>
      <c r="V2629" s="46"/>
      <c r="W2629" s="46"/>
      <c r="X2629" s="1"/>
      <c r="Y2629" s="1"/>
      <c r="Z2629" s="173"/>
      <c r="AA2629" s="1"/>
      <c r="AB2629" s="165"/>
      <c r="AC2629" s="1"/>
      <c r="AD2629" s="1"/>
      <c r="AE2629" s="1"/>
      <c r="AF2629" s="46"/>
      <c r="AG2629" s="1"/>
      <c r="AH2629" s="165"/>
      <c r="AI2629" s="165"/>
      <c r="AJ2629" s="165"/>
      <c r="AK2629" s="165"/>
      <c r="AL2629" s="165"/>
      <c r="AM2629" s="165"/>
      <c r="AN2629" s="165"/>
    </row>
    <row r="2630" spans="3:40">
      <c r="C2630" s="46"/>
      <c r="F2630" s="173"/>
      <c r="G2630" s="1"/>
      <c r="H2630" s="165"/>
      <c r="I2630" s="160"/>
      <c r="J2630" s="160"/>
      <c r="K2630" s="1"/>
      <c r="L2630" s="123"/>
      <c r="M2630" s="1"/>
      <c r="N2630" s="590"/>
      <c r="O2630" s="165"/>
      <c r="P2630" s="165"/>
      <c r="Q2630" s="165"/>
      <c r="R2630" s="165"/>
      <c r="S2630" s="165"/>
      <c r="V2630" s="46"/>
      <c r="W2630" s="46"/>
      <c r="X2630" s="1"/>
      <c r="Y2630" s="1"/>
      <c r="Z2630" s="173"/>
      <c r="AA2630" s="1"/>
      <c r="AB2630" s="165"/>
      <c r="AC2630" s="1"/>
      <c r="AD2630" s="1"/>
      <c r="AE2630" s="1"/>
      <c r="AF2630" s="46"/>
      <c r="AG2630" s="1"/>
      <c r="AH2630" s="165"/>
      <c r="AI2630" s="165"/>
      <c r="AJ2630" s="165"/>
      <c r="AK2630" s="165"/>
      <c r="AL2630" s="165"/>
      <c r="AM2630" s="165"/>
      <c r="AN2630" s="165"/>
    </row>
    <row r="2631" spans="3:40">
      <c r="C2631" s="46"/>
      <c r="F2631" s="173"/>
      <c r="G2631" s="1"/>
      <c r="H2631" s="165"/>
      <c r="I2631" s="160"/>
      <c r="J2631" s="160"/>
      <c r="K2631" s="1"/>
      <c r="L2631" s="123"/>
      <c r="M2631" s="1"/>
      <c r="N2631" s="590"/>
      <c r="O2631" s="165"/>
      <c r="P2631" s="165"/>
      <c r="Q2631" s="165"/>
      <c r="R2631" s="165"/>
      <c r="S2631" s="165"/>
      <c r="V2631" s="46"/>
      <c r="W2631" s="46"/>
      <c r="X2631" s="1"/>
      <c r="Y2631" s="1"/>
      <c r="Z2631" s="173"/>
      <c r="AA2631" s="1"/>
      <c r="AB2631" s="165"/>
      <c r="AC2631" s="1"/>
      <c r="AD2631" s="1"/>
      <c r="AE2631" s="1"/>
      <c r="AF2631" s="46"/>
      <c r="AG2631" s="1"/>
      <c r="AH2631" s="165"/>
      <c r="AI2631" s="165"/>
      <c r="AJ2631" s="165"/>
      <c r="AK2631" s="165"/>
      <c r="AL2631" s="165"/>
      <c r="AM2631" s="165"/>
      <c r="AN2631" s="165"/>
    </row>
    <row r="2632" spans="3:40">
      <c r="C2632" s="46"/>
      <c r="F2632" s="173"/>
      <c r="G2632" s="1"/>
      <c r="H2632" s="165"/>
      <c r="I2632" s="160"/>
      <c r="J2632" s="160"/>
      <c r="K2632" s="1"/>
      <c r="L2632" s="123"/>
      <c r="M2632" s="1"/>
      <c r="N2632" s="590"/>
      <c r="O2632" s="165"/>
      <c r="P2632" s="165"/>
      <c r="Q2632" s="165"/>
      <c r="R2632" s="165"/>
      <c r="S2632" s="165"/>
      <c r="V2632" s="46"/>
      <c r="W2632" s="46"/>
      <c r="X2632" s="1"/>
      <c r="Y2632" s="1"/>
      <c r="Z2632" s="173"/>
      <c r="AA2632" s="1"/>
      <c r="AB2632" s="165"/>
      <c r="AC2632" s="1"/>
      <c r="AD2632" s="1"/>
      <c r="AE2632" s="1"/>
      <c r="AF2632" s="46"/>
      <c r="AG2632" s="1"/>
      <c r="AH2632" s="165"/>
      <c r="AI2632" s="165"/>
      <c r="AJ2632" s="165"/>
      <c r="AK2632" s="165"/>
      <c r="AL2632" s="165"/>
      <c r="AM2632" s="165"/>
      <c r="AN2632" s="165"/>
    </row>
    <row r="2633" spans="3:40">
      <c r="C2633" s="46"/>
      <c r="F2633" s="173"/>
      <c r="G2633" s="1"/>
      <c r="H2633" s="165"/>
      <c r="I2633" s="160"/>
      <c r="J2633" s="160"/>
      <c r="K2633" s="1"/>
      <c r="L2633" s="123"/>
      <c r="M2633" s="1"/>
      <c r="N2633" s="590"/>
      <c r="O2633" s="165"/>
      <c r="P2633" s="165"/>
      <c r="Q2633" s="165"/>
      <c r="R2633" s="165"/>
      <c r="S2633" s="165"/>
      <c r="V2633" s="46"/>
      <c r="W2633" s="46"/>
      <c r="X2633" s="1"/>
      <c r="Y2633" s="1"/>
      <c r="Z2633" s="173"/>
      <c r="AA2633" s="1"/>
      <c r="AB2633" s="165"/>
      <c r="AC2633" s="1"/>
      <c r="AD2633" s="1"/>
      <c r="AE2633" s="1"/>
      <c r="AF2633" s="46"/>
      <c r="AG2633" s="1"/>
      <c r="AH2633" s="165"/>
      <c r="AI2633" s="165"/>
      <c r="AJ2633" s="165"/>
      <c r="AK2633" s="165"/>
      <c r="AL2633" s="165"/>
      <c r="AM2633" s="165"/>
      <c r="AN2633" s="165"/>
    </row>
    <row r="2634" spans="3:40">
      <c r="C2634" s="46"/>
      <c r="F2634" s="173"/>
      <c r="G2634" s="1"/>
      <c r="H2634" s="165"/>
      <c r="I2634" s="160"/>
      <c r="J2634" s="160"/>
      <c r="K2634" s="1"/>
      <c r="L2634" s="123"/>
      <c r="M2634" s="1"/>
      <c r="N2634" s="590"/>
      <c r="O2634" s="165"/>
      <c r="P2634" s="165"/>
      <c r="Q2634" s="165"/>
      <c r="R2634" s="165"/>
      <c r="S2634" s="165"/>
      <c r="V2634" s="46"/>
      <c r="W2634" s="46"/>
      <c r="X2634" s="1"/>
      <c r="Y2634" s="1"/>
      <c r="Z2634" s="173"/>
      <c r="AA2634" s="1"/>
      <c r="AB2634" s="165"/>
      <c r="AC2634" s="1"/>
      <c r="AD2634" s="1"/>
      <c r="AE2634" s="1"/>
      <c r="AF2634" s="46"/>
      <c r="AG2634" s="1"/>
      <c r="AH2634" s="165"/>
      <c r="AI2634" s="165"/>
      <c r="AJ2634" s="165"/>
      <c r="AK2634" s="165"/>
      <c r="AL2634" s="165"/>
      <c r="AM2634" s="165"/>
      <c r="AN2634" s="165"/>
    </row>
    <row r="2635" spans="3:40">
      <c r="C2635" s="46"/>
      <c r="F2635" s="173"/>
      <c r="G2635" s="1"/>
      <c r="H2635" s="165"/>
      <c r="I2635" s="160"/>
      <c r="J2635" s="160"/>
      <c r="K2635" s="1"/>
      <c r="L2635" s="123"/>
      <c r="M2635" s="1"/>
      <c r="N2635" s="590"/>
      <c r="O2635" s="165"/>
      <c r="P2635" s="165"/>
      <c r="Q2635" s="165"/>
      <c r="R2635" s="165"/>
      <c r="S2635" s="165"/>
      <c r="V2635" s="46"/>
      <c r="W2635" s="46"/>
      <c r="X2635" s="1"/>
      <c r="Y2635" s="1"/>
      <c r="Z2635" s="173"/>
      <c r="AA2635" s="1"/>
      <c r="AB2635" s="165"/>
      <c r="AC2635" s="1"/>
      <c r="AD2635" s="1"/>
      <c r="AE2635" s="1"/>
      <c r="AF2635" s="46"/>
      <c r="AG2635" s="1"/>
      <c r="AH2635" s="165"/>
      <c r="AI2635" s="165"/>
      <c r="AJ2635" s="165"/>
      <c r="AK2635" s="165"/>
      <c r="AL2635" s="165"/>
      <c r="AM2635" s="165"/>
      <c r="AN2635" s="165"/>
    </row>
    <row r="2636" spans="3:40">
      <c r="C2636" s="46"/>
      <c r="F2636" s="173"/>
      <c r="G2636" s="1"/>
      <c r="H2636" s="165"/>
      <c r="I2636" s="160"/>
      <c r="J2636" s="160"/>
      <c r="K2636" s="1"/>
      <c r="L2636" s="123"/>
      <c r="M2636" s="1"/>
      <c r="N2636" s="590"/>
      <c r="O2636" s="165"/>
      <c r="P2636" s="165"/>
      <c r="Q2636" s="165"/>
      <c r="R2636" s="165"/>
      <c r="S2636" s="165"/>
      <c r="V2636" s="46"/>
      <c r="W2636" s="46"/>
      <c r="X2636" s="1"/>
      <c r="Y2636" s="1"/>
      <c r="Z2636" s="173"/>
      <c r="AA2636" s="1"/>
      <c r="AB2636" s="165"/>
      <c r="AC2636" s="1"/>
      <c r="AD2636" s="1"/>
      <c r="AE2636" s="1"/>
      <c r="AF2636" s="46"/>
      <c r="AG2636" s="1"/>
      <c r="AH2636" s="165"/>
      <c r="AI2636" s="165"/>
      <c r="AJ2636" s="165"/>
      <c r="AK2636" s="165"/>
      <c r="AL2636" s="165"/>
      <c r="AM2636" s="165"/>
      <c r="AN2636" s="165"/>
    </row>
    <row r="2637" spans="3:40">
      <c r="C2637" s="46"/>
      <c r="F2637" s="173"/>
      <c r="G2637" s="1"/>
      <c r="H2637" s="165"/>
      <c r="I2637" s="160"/>
      <c r="J2637" s="160"/>
      <c r="K2637" s="1"/>
      <c r="L2637" s="123"/>
      <c r="M2637" s="1"/>
      <c r="N2637" s="590"/>
      <c r="O2637" s="165"/>
      <c r="P2637" s="165"/>
      <c r="Q2637" s="165"/>
      <c r="R2637" s="165"/>
      <c r="S2637" s="165"/>
      <c r="V2637" s="46"/>
      <c r="W2637" s="46"/>
      <c r="X2637" s="1"/>
      <c r="Y2637" s="1"/>
      <c r="Z2637" s="173"/>
      <c r="AA2637" s="1"/>
      <c r="AB2637" s="165"/>
      <c r="AC2637" s="1"/>
      <c r="AD2637" s="1"/>
      <c r="AE2637" s="1"/>
      <c r="AF2637" s="46"/>
      <c r="AG2637" s="1"/>
      <c r="AH2637" s="165"/>
      <c r="AI2637" s="165"/>
      <c r="AJ2637" s="165"/>
      <c r="AK2637" s="165"/>
      <c r="AL2637" s="165"/>
      <c r="AM2637" s="165"/>
      <c r="AN2637" s="165"/>
    </row>
    <row r="2638" spans="3:40">
      <c r="C2638" s="46"/>
      <c r="F2638" s="173"/>
      <c r="G2638" s="1"/>
      <c r="H2638" s="165"/>
      <c r="I2638" s="160"/>
      <c r="J2638" s="160"/>
      <c r="K2638" s="1"/>
      <c r="L2638" s="123"/>
      <c r="M2638" s="1"/>
      <c r="N2638" s="590"/>
      <c r="O2638" s="165"/>
      <c r="P2638" s="165"/>
      <c r="Q2638" s="165"/>
      <c r="R2638" s="165"/>
      <c r="S2638" s="165"/>
      <c r="V2638" s="46"/>
      <c r="W2638" s="46"/>
      <c r="X2638" s="1"/>
      <c r="Y2638" s="1"/>
      <c r="Z2638" s="173"/>
      <c r="AA2638" s="1"/>
      <c r="AB2638" s="165"/>
      <c r="AC2638" s="1"/>
      <c r="AD2638" s="1"/>
      <c r="AE2638" s="1"/>
      <c r="AF2638" s="46"/>
      <c r="AG2638" s="1"/>
      <c r="AH2638" s="165"/>
      <c r="AI2638" s="165"/>
      <c r="AJ2638" s="165"/>
      <c r="AK2638" s="165"/>
      <c r="AL2638" s="165"/>
      <c r="AM2638" s="165"/>
      <c r="AN2638" s="165"/>
    </row>
    <row r="2639" spans="3:40">
      <c r="C2639" s="46"/>
      <c r="F2639" s="173"/>
      <c r="G2639" s="1"/>
      <c r="H2639" s="165"/>
      <c r="I2639" s="160"/>
      <c r="J2639" s="160"/>
      <c r="K2639" s="1"/>
      <c r="L2639" s="123"/>
      <c r="M2639" s="1"/>
      <c r="N2639" s="590"/>
      <c r="O2639" s="165"/>
      <c r="P2639" s="165"/>
      <c r="Q2639" s="165"/>
      <c r="R2639" s="165"/>
      <c r="S2639" s="165"/>
      <c r="V2639" s="46"/>
      <c r="W2639" s="46"/>
      <c r="X2639" s="1"/>
      <c r="Y2639" s="1"/>
      <c r="Z2639" s="173"/>
      <c r="AA2639" s="1"/>
      <c r="AB2639" s="165"/>
      <c r="AC2639" s="1"/>
      <c r="AD2639" s="1"/>
      <c r="AE2639" s="1"/>
      <c r="AF2639" s="46"/>
      <c r="AG2639" s="1"/>
      <c r="AH2639" s="165"/>
      <c r="AI2639" s="165"/>
      <c r="AJ2639" s="165"/>
      <c r="AK2639" s="165"/>
      <c r="AL2639" s="165"/>
      <c r="AM2639" s="165"/>
      <c r="AN2639" s="165"/>
    </row>
    <row r="2640" spans="3:40">
      <c r="C2640" s="46"/>
      <c r="F2640" s="173"/>
      <c r="G2640" s="1"/>
      <c r="H2640" s="165"/>
      <c r="I2640" s="160"/>
      <c r="J2640" s="160"/>
      <c r="K2640" s="1"/>
      <c r="L2640" s="123"/>
      <c r="M2640" s="1"/>
      <c r="N2640" s="590"/>
      <c r="O2640" s="165"/>
      <c r="P2640" s="165"/>
      <c r="Q2640" s="165"/>
      <c r="R2640" s="165"/>
      <c r="S2640" s="165"/>
      <c r="V2640" s="46"/>
      <c r="W2640" s="46"/>
      <c r="X2640" s="1"/>
      <c r="Y2640" s="1"/>
      <c r="Z2640" s="173"/>
      <c r="AA2640" s="1"/>
      <c r="AB2640" s="165"/>
      <c r="AC2640" s="1"/>
      <c r="AD2640" s="1"/>
      <c r="AE2640" s="1"/>
      <c r="AF2640" s="46"/>
      <c r="AG2640" s="1"/>
      <c r="AH2640" s="165"/>
      <c r="AI2640" s="165"/>
      <c r="AJ2640" s="165"/>
      <c r="AK2640" s="165"/>
      <c r="AL2640" s="165"/>
      <c r="AM2640" s="165"/>
      <c r="AN2640" s="165"/>
    </row>
    <row r="2641" spans="3:40">
      <c r="C2641" s="46"/>
      <c r="F2641" s="173"/>
      <c r="G2641" s="1"/>
      <c r="H2641" s="165"/>
      <c r="I2641" s="160"/>
      <c r="J2641" s="160"/>
      <c r="K2641" s="1"/>
      <c r="L2641" s="123"/>
      <c r="M2641" s="1"/>
      <c r="N2641" s="590"/>
      <c r="O2641" s="165"/>
      <c r="P2641" s="165"/>
      <c r="Q2641" s="165"/>
      <c r="R2641" s="165"/>
      <c r="S2641" s="165"/>
      <c r="V2641" s="46"/>
      <c r="W2641" s="46"/>
      <c r="X2641" s="1"/>
      <c r="Y2641" s="1"/>
      <c r="Z2641" s="173"/>
      <c r="AA2641" s="1"/>
      <c r="AB2641" s="165"/>
      <c r="AC2641" s="1"/>
      <c r="AD2641" s="1"/>
      <c r="AE2641" s="1"/>
      <c r="AF2641" s="46"/>
      <c r="AG2641" s="1"/>
      <c r="AH2641" s="165"/>
      <c r="AI2641" s="165"/>
      <c r="AJ2641" s="165"/>
      <c r="AK2641" s="165"/>
      <c r="AL2641" s="165"/>
      <c r="AM2641" s="165"/>
      <c r="AN2641" s="165"/>
    </row>
    <row r="2642" spans="3:40">
      <c r="C2642" s="46"/>
      <c r="F2642" s="173"/>
      <c r="G2642" s="1"/>
      <c r="H2642" s="165"/>
      <c r="I2642" s="160"/>
      <c r="J2642" s="160"/>
      <c r="K2642" s="1"/>
      <c r="L2642" s="123"/>
      <c r="M2642" s="1"/>
      <c r="N2642" s="590"/>
      <c r="O2642" s="165"/>
      <c r="P2642" s="165"/>
      <c r="Q2642" s="165"/>
      <c r="R2642" s="165"/>
      <c r="S2642" s="165"/>
      <c r="V2642" s="46"/>
      <c r="W2642" s="46"/>
      <c r="X2642" s="1"/>
      <c r="Y2642" s="1"/>
      <c r="Z2642" s="173"/>
      <c r="AA2642" s="1"/>
      <c r="AB2642" s="165"/>
      <c r="AC2642" s="1"/>
      <c r="AD2642" s="1"/>
      <c r="AE2642" s="1"/>
      <c r="AF2642" s="46"/>
      <c r="AG2642" s="1"/>
      <c r="AH2642" s="165"/>
      <c r="AI2642" s="165"/>
      <c r="AJ2642" s="165"/>
      <c r="AK2642" s="165"/>
      <c r="AL2642" s="165"/>
      <c r="AM2642" s="165"/>
      <c r="AN2642" s="165"/>
    </row>
    <row r="2643" spans="3:40">
      <c r="C2643" s="46"/>
      <c r="F2643" s="173"/>
      <c r="G2643" s="1"/>
      <c r="H2643" s="165"/>
      <c r="I2643" s="160"/>
      <c r="J2643" s="160"/>
      <c r="K2643" s="1"/>
      <c r="L2643" s="123"/>
      <c r="M2643" s="1"/>
      <c r="N2643" s="590"/>
      <c r="O2643" s="165"/>
      <c r="P2643" s="165"/>
      <c r="Q2643" s="165"/>
      <c r="R2643" s="165"/>
      <c r="S2643" s="165"/>
      <c r="V2643" s="46"/>
      <c r="W2643" s="46"/>
      <c r="X2643" s="1"/>
      <c r="Y2643" s="1"/>
      <c r="Z2643" s="173"/>
      <c r="AA2643" s="1"/>
      <c r="AB2643" s="165"/>
      <c r="AC2643" s="1"/>
      <c r="AD2643" s="1"/>
      <c r="AE2643" s="1"/>
      <c r="AF2643" s="46"/>
      <c r="AG2643" s="1"/>
      <c r="AH2643" s="165"/>
      <c r="AI2643" s="165"/>
      <c r="AJ2643" s="165"/>
      <c r="AK2643" s="165"/>
      <c r="AL2643" s="165"/>
      <c r="AM2643" s="165"/>
      <c r="AN2643" s="165"/>
    </row>
    <row r="2644" spans="3:40">
      <c r="C2644" s="46"/>
      <c r="F2644" s="173"/>
      <c r="G2644" s="1"/>
      <c r="H2644" s="165"/>
      <c r="I2644" s="160"/>
      <c r="J2644" s="160"/>
      <c r="K2644" s="1"/>
      <c r="L2644" s="123"/>
      <c r="M2644" s="1"/>
      <c r="N2644" s="590"/>
      <c r="O2644" s="165"/>
      <c r="P2644" s="165"/>
      <c r="Q2644" s="165"/>
      <c r="R2644" s="165"/>
      <c r="S2644" s="165"/>
      <c r="V2644" s="46"/>
      <c r="W2644" s="46"/>
      <c r="X2644" s="1"/>
      <c r="Y2644" s="1"/>
      <c r="Z2644" s="173"/>
      <c r="AA2644" s="1"/>
      <c r="AB2644" s="165"/>
      <c r="AC2644" s="1"/>
      <c r="AD2644" s="1"/>
      <c r="AE2644" s="1"/>
      <c r="AF2644" s="46"/>
      <c r="AG2644" s="1"/>
      <c r="AH2644" s="165"/>
      <c r="AI2644" s="165"/>
      <c r="AJ2644" s="165"/>
      <c r="AK2644" s="165"/>
      <c r="AL2644" s="165"/>
      <c r="AM2644" s="165"/>
      <c r="AN2644" s="165"/>
    </row>
    <row r="2645" spans="3:40">
      <c r="C2645" s="46"/>
      <c r="F2645" s="173"/>
      <c r="G2645" s="1"/>
      <c r="H2645" s="165"/>
      <c r="I2645" s="160"/>
      <c r="J2645" s="160"/>
      <c r="K2645" s="1"/>
      <c r="L2645" s="123"/>
      <c r="M2645" s="1"/>
      <c r="N2645" s="590"/>
      <c r="O2645" s="165"/>
      <c r="P2645" s="165"/>
      <c r="Q2645" s="165"/>
      <c r="R2645" s="165"/>
      <c r="S2645" s="165"/>
      <c r="V2645" s="46"/>
      <c r="W2645" s="46"/>
      <c r="X2645" s="1"/>
      <c r="Y2645" s="1"/>
      <c r="Z2645" s="173"/>
      <c r="AA2645" s="1"/>
      <c r="AB2645" s="165"/>
      <c r="AC2645" s="1"/>
      <c r="AD2645" s="1"/>
      <c r="AE2645" s="1"/>
      <c r="AF2645" s="46"/>
      <c r="AG2645" s="1"/>
      <c r="AH2645" s="165"/>
      <c r="AI2645" s="165"/>
      <c r="AJ2645" s="165"/>
      <c r="AK2645" s="165"/>
      <c r="AL2645" s="165"/>
      <c r="AM2645" s="165"/>
      <c r="AN2645" s="165"/>
    </row>
    <row r="2646" spans="3:40">
      <c r="C2646" s="46"/>
      <c r="F2646" s="173"/>
      <c r="G2646" s="1"/>
      <c r="H2646" s="165"/>
      <c r="I2646" s="160"/>
      <c r="J2646" s="160"/>
      <c r="K2646" s="1"/>
      <c r="L2646" s="123"/>
      <c r="M2646" s="1"/>
      <c r="N2646" s="590"/>
      <c r="O2646" s="165"/>
      <c r="P2646" s="165"/>
      <c r="Q2646" s="165"/>
      <c r="R2646" s="165"/>
      <c r="S2646" s="165"/>
      <c r="V2646" s="46"/>
      <c r="W2646" s="46"/>
      <c r="X2646" s="1"/>
      <c r="Y2646" s="1"/>
      <c r="Z2646" s="173"/>
      <c r="AA2646" s="1"/>
      <c r="AB2646" s="165"/>
      <c r="AC2646" s="1"/>
      <c r="AD2646" s="1"/>
      <c r="AE2646" s="1"/>
      <c r="AF2646" s="46"/>
      <c r="AG2646" s="1"/>
      <c r="AH2646" s="165"/>
      <c r="AI2646" s="165"/>
      <c r="AJ2646" s="165"/>
      <c r="AK2646" s="165"/>
      <c r="AL2646" s="165"/>
      <c r="AM2646" s="165"/>
      <c r="AN2646" s="165"/>
    </row>
    <row r="2647" spans="3:40">
      <c r="C2647" s="46"/>
      <c r="F2647" s="173"/>
      <c r="G2647" s="1"/>
      <c r="H2647" s="165"/>
      <c r="I2647" s="160"/>
      <c r="J2647" s="160"/>
      <c r="K2647" s="1"/>
      <c r="L2647" s="123"/>
      <c r="M2647" s="1"/>
      <c r="N2647" s="590"/>
      <c r="O2647" s="165"/>
      <c r="P2647" s="165"/>
      <c r="Q2647" s="165"/>
      <c r="R2647" s="165"/>
      <c r="S2647" s="165"/>
      <c r="V2647" s="46"/>
      <c r="W2647" s="46"/>
      <c r="X2647" s="1"/>
      <c r="Y2647" s="1"/>
      <c r="Z2647" s="173"/>
      <c r="AA2647" s="1"/>
      <c r="AB2647" s="165"/>
      <c r="AC2647" s="1"/>
      <c r="AD2647" s="1"/>
      <c r="AE2647" s="1"/>
      <c r="AF2647" s="46"/>
      <c r="AG2647" s="1"/>
      <c r="AH2647" s="165"/>
      <c r="AI2647" s="165"/>
      <c r="AJ2647" s="165"/>
      <c r="AK2647" s="165"/>
      <c r="AL2647" s="165"/>
      <c r="AM2647" s="165"/>
      <c r="AN2647" s="165"/>
    </row>
    <row r="2648" spans="3:40">
      <c r="C2648" s="46"/>
      <c r="F2648" s="173"/>
      <c r="G2648" s="1"/>
      <c r="H2648" s="165"/>
      <c r="I2648" s="160"/>
      <c r="J2648" s="160"/>
      <c r="K2648" s="1"/>
      <c r="L2648" s="123"/>
      <c r="M2648" s="1"/>
      <c r="N2648" s="590"/>
      <c r="O2648" s="165"/>
      <c r="P2648" s="165"/>
      <c r="Q2648" s="165"/>
      <c r="R2648" s="165"/>
      <c r="S2648" s="165"/>
      <c r="V2648" s="46"/>
      <c r="W2648" s="46"/>
      <c r="X2648" s="1"/>
      <c r="Y2648" s="1"/>
      <c r="Z2648" s="173"/>
      <c r="AA2648" s="1"/>
      <c r="AB2648" s="165"/>
      <c r="AC2648" s="1"/>
      <c r="AD2648" s="1"/>
      <c r="AE2648" s="1"/>
      <c r="AF2648" s="46"/>
      <c r="AG2648" s="1"/>
      <c r="AH2648" s="165"/>
      <c r="AI2648" s="165"/>
      <c r="AJ2648" s="165"/>
      <c r="AK2648" s="165"/>
      <c r="AL2648" s="165"/>
      <c r="AM2648" s="165"/>
      <c r="AN2648" s="165"/>
    </row>
    <row r="2649" spans="3:40">
      <c r="C2649" s="46"/>
      <c r="F2649" s="173"/>
      <c r="G2649" s="1"/>
      <c r="H2649" s="165"/>
      <c r="I2649" s="160"/>
      <c r="J2649" s="160"/>
      <c r="K2649" s="1"/>
      <c r="L2649" s="123"/>
      <c r="M2649" s="1"/>
      <c r="N2649" s="590"/>
      <c r="O2649" s="165"/>
      <c r="P2649" s="165"/>
      <c r="Q2649" s="165"/>
      <c r="R2649" s="165"/>
      <c r="S2649" s="165"/>
      <c r="V2649" s="46"/>
      <c r="W2649" s="46"/>
      <c r="X2649" s="1"/>
      <c r="Y2649" s="1"/>
      <c r="Z2649" s="173"/>
      <c r="AA2649" s="1"/>
      <c r="AB2649" s="165"/>
      <c r="AC2649" s="1"/>
      <c r="AD2649" s="1"/>
      <c r="AE2649" s="1"/>
      <c r="AF2649" s="46"/>
      <c r="AG2649" s="1"/>
      <c r="AH2649" s="165"/>
      <c r="AI2649" s="165"/>
      <c r="AJ2649" s="165"/>
      <c r="AK2649" s="165"/>
      <c r="AL2649" s="165"/>
      <c r="AM2649" s="165"/>
      <c r="AN2649" s="165"/>
    </row>
    <row r="2650" spans="3:40">
      <c r="C2650" s="46"/>
      <c r="F2650" s="173"/>
      <c r="G2650" s="1"/>
      <c r="H2650" s="165"/>
      <c r="I2650" s="160"/>
      <c r="J2650" s="160"/>
      <c r="K2650" s="1"/>
      <c r="L2650" s="123"/>
      <c r="M2650" s="1"/>
      <c r="N2650" s="590"/>
      <c r="O2650" s="165"/>
      <c r="P2650" s="165"/>
      <c r="Q2650" s="165"/>
      <c r="R2650" s="165"/>
      <c r="S2650" s="165"/>
      <c r="V2650" s="46"/>
      <c r="W2650" s="46"/>
      <c r="X2650" s="1"/>
      <c r="Y2650" s="1"/>
      <c r="Z2650" s="173"/>
      <c r="AA2650" s="1"/>
      <c r="AB2650" s="165"/>
      <c r="AC2650" s="1"/>
      <c r="AD2650" s="1"/>
      <c r="AE2650" s="1"/>
      <c r="AF2650" s="46"/>
      <c r="AG2650" s="1"/>
      <c r="AH2650" s="165"/>
      <c r="AI2650" s="165"/>
      <c r="AJ2650" s="165"/>
      <c r="AK2650" s="165"/>
      <c r="AL2650" s="165"/>
      <c r="AM2650" s="165"/>
      <c r="AN2650" s="165"/>
    </row>
    <row r="2651" spans="3:40">
      <c r="C2651" s="46"/>
      <c r="F2651" s="173"/>
      <c r="G2651" s="1"/>
      <c r="H2651" s="165"/>
      <c r="I2651" s="160"/>
      <c r="J2651" s="160"/>
      <c r="K2651" s="1"/>
      <c r="L2651" s="123"/>
      <c r="M2651" s="1"/>
      <c r="N2651" s="590"/>
      <c r="O2651" s="165"/>
      <c r="P2651" s="165"/>
      <c r="Q2651" s="165"/>
      <c r="R2651" s="165"/>
      <c r="S2651" s="165"/>
      <c r="V2651" s="46"/>
      <c r="W2651" s="46"/>
      <c r="X2651" s="1"/>
      <c r="Y2651" s="1"/>
      <c r="Z2651" s="173"/>
      <c r="AA2651" s="1"/>
      <c r="AB2651" s="165"/>
      <c r="AC2651" s="1"/>
      <c r="AD2651" s="1"/>
      <c r="AE2651" s="1"/>
      <c r="AF2651" s="46"/>
      <c r="AG2651" s="1"/>
      <c r="AH2651" s="165"/>
      <c r="AI2651" s="165"/>
      <c r="AJ2651" s="165"/>
      <c r="AK2651" s="165"/>
      <c r="AL2651" s="165"/>
      <c r="AM2651" s="165"/>
      <c r="AN2651" s="165"/>
    </row>
    <row r="2652" spans="3:40">
      <c r="C2652" s="46"/>
      <c r="F2652" s="173"/>
      <c r="G2652" s="1"/>
      <c r="H2652" s="165"/>
      <c r="I2652" s="160"/>
      <c r="J2652" s="160"/>
      <c r="K2652" s="1"/>
      <c r="L2652" s="123"/>
      <c r="M2652" s="1"/>
      <c r="N2652" s="590"/>
      <c r="O2652" s="165"/>
      <c r="P2652" s="165"/>
      <c r="Q2652" s="165"/>
      <c r="R2652" s="165"/>
      <c r="S2652" s="165"/>
      <c r="V2652" s="46"/>
      <c r="W2652" s="46"/>
      <c r="X2652" s="1"/>
      <c r="Y2652" s="1"/>
      <c r="Z2652" s="173"/>
      <c r="AA2652" s="1"/>
      <c r="AB2652" s="165"/>
      <c r="AC2652" s="1"/>
      <c r="AD2652" s="1"/>
      <c r="AE2652" s="1"/>
      <c r="AF2652" s="46"/>
      <c r="AG2652" s="1"/>
      <c r="AH2652" s="165"/>
      <c r="AI2652" s="165"/>
      <c r="AJ2652" s="165"/>
      <c r="AK2652" s="165"/>
      <c r="AL2652" s="165"/>
      <c r="AM2652" s="165"/>
      <c r="AN2652" s="165"/>
    </row>
    <row r="2653" spans="3:40">
      <c r="C2653" s="46"/>
      <c r="F2653" s="173"/>
      <c r="G2653" s="1"/>
      <c r="H2653" s="165"/>
      <c r="I2653" s="160"/>
      <c r="J2653" s="160"/>
      <c r="K2653" s="1"/>
      <c r="L2653" s="123"/>
      <c r="M2653" s="1"/>
      <c r="N2653" s="590"/>
      <c r="O2653" s="165"/>
      <c r="P2653" s="165"/>
      <c r="Q2653" s="165"/>
      <c r="R2653" s="165"/>
      <c r="S2653" s="165"/>
      <c r="V2653" s="46"/>
      <c r="W2653" s="46"/>
      <c r="X2653" s="1"/>
      <c r="Y2653" s="1"/>
      <c r="Z2653" s="173"/>
      <c r="AA2653" s="1"/>
      <c r="AB2653" s="165"/>
      <c r="AC2653" s="1"/>
      <c r="AD2653" s="1"/>
      <c r="AE2653" s="1"/>
      <c r="AF2653" s="46"/>
      <c r="AG2653" s="1"/>
      <c r="AH2653" s="165"/>
      <c r="AI2653" s="165"/>
      <c r="AJ2653" s="165"/>
      <c r="AK2653" s="165"/>
      <c r="AL2653" s="165"/>
      <c r="AM2653" s="165"/>
      <c r="AN2653" s="165"/>
    </row>
    <row r="2654" spans="3:40">
      <c r="C2654" s="46"/>
      <c r="F2654" s="173"/>
      <c r="G2654" s="1"/>
      <c r="H2654" s="165"/>
      <c r="I2654" s="160"/>
      <c r="J2654" s="160"/>
      <c r="K2654" s="1"/>
      <c r="L2654" s="123"/>
      <c r="M2654" s="1"/>
      <c r="N2654" s="590"/>
      <c r="O2654" s="165"/>
      <c r="P2654" s="165"/>
      <c r="Q2654" s="165"/>
      <c r="R2654" s="165"/>
      <c r="S2654" s="165"/>
      <c r="V2654" s="46"/>
      <c r="W2654" s="46"/>
      <c r="X2654" s="1"/>
      <c r="Y2654" s="1"/>
      <c r="Z2654" s="173"/>
      <c r="AA2654" s="1"/>
      <c r="AB2654" s="165"/>
      <c r="AC2654" s="1"/>
      <c r="AD2654" s="1"/>
      <c r="AE2654" s="1"/>
      <c r="AF2654" s="46"/>
      <c r="AG2654" s="1"/>
      <c r="AH2654" s="165"/>
      <c r="AI2654" s="165"/>
      <c r="AJ2654" s="165"/>
      <c r="AK2654" s="165"/>
      <c r="AL2654" s="165"/>
      <c r="AM2654" s="165"/>
      <c r="AN2654" s="165"/>
    </row>
    <row r="2655" spans="3:40">
      <c r="C2655" s="46"/>
      <c r="F2655" s="173"/>
      <c r="G2655" s="1"/>
      <c r="H2655" s="165"/>
      <c r="I2655" s="160"/>
      <c r="J2655" s="160"/>
      <c r="K2655" s="1"/>
      <c r="L2655" s="123"/>
      <c r="M2655" s="1"/>
      <c r="N2655" s="590"/>
      <c r="O2655" s="165"/>
      <c r="P2655" s="165"/>
      <c r="Q2655" s="165"/>
      <c r="R2655" s="165"/>
      <c r="S2655" s="165"/>
      <c r="V2655" s="46"/>
      <c r="W2655" s="46"/>
      <c r="X2655" s="1"/>
      <c r="Y2655" s="1"/>
      <c r="Z2655" s="173"/>
      <c r="AA2655" s="1"/>
      <c r="AB2655" s="165"/>
      <c r="AC2655" s="1"/>
      <c r="AD2655" s="1"/>
      <c r="AE2655" s="1"/>
      <c r="AF2655" s="46"/>
      <c r="AG2655" s="1"/>
      <c r="AH2655" s="165"/>
      <c r="AI2655" s="165"/>
      <c r="AJ2655" s="165"/>
      <c r="AK2655" s="165"/>
      <c r="AL2655" s="165"/>
      <c r="AM2655" s="165"/>
      <c r="AN2655" s="165"/>
    </row>
    <row r="2656" spans="3:40">
      <c r="C2656" s="46"/>
      <c r="F2656" s="173"/>
      <c r="G2656" s="1"/>
      <c r="H2656" s="165"/>
      <c r="I2656" s="160"/>
      <c r="J2656" s="160"/>
      <c r="K2656" s="1"/>
      <c r="L2656" s="123"/>
      <c r="M2656" s="1"/>
      <c r="N2656" s="590"/>
      <c r="O2656" s="165"/>
      <c r="P2656" s="165"/>
      <c r="Q2656" s="165"/>
      <c r="R2656" s="165"/>
      <c r="S2656" s="165"/>
      <c r="V2656" s="46"/>
      <c r="W2656" s="46"/>
      <c r="X2656" s="1"/>
      <c r="Y2656" s="1"/>
      <c r="Z2656" s="173"/>
      <c r="AA2656" s="1"/>
      <c r="AB2656" s="165"/>
      <c r="AC2656" s="1"/>
      <c r="AD2656" s="1"/>
      <c r="AE2656" s="1"/>
      <c r="AF2656" s="46"/>
      <c r="AG2656" s="1"/>
      <c r="AH2656" s="165"/>
      <c r="AI2656" s="165"/>
      <c r="AJ2656" s="165"/>
      <c r="AK2656" s="165"/>
      <c r="AL2656" s="165"/>
      <c r="AM2656" s="165"/>
      <c r="AN2656" s="165"/>
    </row>
    <row r="2657" spans="3:40">
      <c r="C2657" s="46"/>
      <c r="F2657" s="173"/>
      <c r="G2657" s="1"/>
      <c r="H2657" s="165"/>
      <c r="I2657" s="160"/>
      <c r="J2657" s="160"/>
      <c r="K2657" s="1"/>
      <c r="L2657" s="123"/>
      <c r="M2657" s="1"/>
      <c r="N2657" s="590"/>
      <c r="O2657" s="165"/>
      <c r="P2657" s="165"/>
      <c r="Q2657" s="165"/>
      <c r="R2657" s="165"/>
      <c r="S2657" s="165"/>
      <c r="V2657" s="46"/>
      <c r="W2657" s="46"/>
      <c r="X2657" s="1"/>
      <c r="Y2657" s="1"/>
      <c r="Z2657" s="173"/>
      <c r="AA2657" s="1"/>
      <c r="AB2657" s="165"/>
      <c r="AC2657" s="1"/>
      <c r="AD2657" s="1"/>
      <c r="AE2657" s="1"/>
      <c r="AF2657" s="46"/>
      <c r="AG2657" s="1"/>
      <c r="AH2657" s="165"/>
      <c r="AI2657" s="165"/>
      <c r="AJ2657" s="165"/>
      <c r="AK2657" s="165"/>
      <c r="AL2657" s="165"/>
      <c r="AM2657" s="165"/>
      <c r="AN2657" s="165"/>
    </row>
    <row r="2658" spans="3:40">
      <c r="C2658" s="46"/>
      <c r="F2658" s="173"/>
      <c r="G2658" s="1"/>
      <c r="H2658" s="165"/>
      <c r="I2658" s="160"/>
      <c r="J2658" s="160"/>
      <c r="K2658" s="1"/>
      <c r="L2658" s="123"/>
      <c r="M2658" s="1"/>
      <c r="N2658" s="590"/>
      <c r="O2658" s="165"/>
      <c r="P2658" s="165"/>
      <c r="Q2658" s="165"/>
      <c r="R2658" s="165"/>
      <c r="S2658" s="165"/>
      <c r="V2658" s="46"/>
      <c r="W2658" s="46"/>
      <c r="X2658" s="1"/>
      <c r="Y2658" s="1"/>
      <c r="Z2658" s="173"/>
      <c r="AA2658" s="1"/>
      <c r="AB2658" s="165"/>
      <c r="AC2658" s="1"/>
      <c r="AD2658" s="1"/>
      <c r="AE2658" s="1"/>
      <c r="AF2658" s="46"/>
      <c r="AG2658" s="1"/>
      <c r="AH2658" s="165"/>
      <c r="AI2658" s="165"/>
      <c r="AJ2658" s="165"/>
      <c r="AK2658" s="165"/>
      <c r="AL2658" s="165"/>
      <c r="AM2658" s="165"/>
      <c r="AN2658" s="165"/>
    </row>
    <row r="2659" spans="3:40">
      <c r="C2659" s="46"/>
      <c r="F2659" s="173"/>
      <c r="G2659" s="1"/>
      <c r="H2659" s="165"/>
      <c r="I2659" s="160"/>
      <c r="J2659" s="160"/>
      <c r="K2659" s="1"/>
      <c r="L2659" s="123"/>
      <c r="M2659" s="1"/>
      <c r="N2659" s="590"/>
      <c r="O2659" s="165"/>
      <c r="P2659" s="165"/>
      <c r="Q2659" s="165"/>
      <c r="R2659" s="165"/>
      <c r="S2659" s="165"/>
      <c r="V2659" s="46"/>
      <c r="W2659" s="46"/>
      <c r="X2659" s="1"/>
      <c r="Y2659" s="1"/>
      <c r="Z2659" s="173"/>
      <c r="AA2659" s="1"/>
      <c r="AB2659" s="165"/>
      <c r="AC2659" s="1"/>
      <c r="AD2659" s="1"/>
      <c r="AE2659" s="1"/>
      <c r="AF2659" s="46"/>
      <c r="AG2659" s="1"/>
      <c r="AH2659" s="165"/>
      <c r="AI2659" s="165"/>
      <c r="AJ2659" s="165"/>
      <c r="AK2659" s="165"/>
      <c r="AL2659" s="165"/>
      <c r="AM2659" s="165"/>
      <c r="AN2659" s="165"/>
    </row>
    <row r="2660" spans="3:40">
      <c r="C2660" s="46"/>
      <c r="F2660" s="173"/>
      <c r="G2660" s="1"/>
      <c r="H2660" s="165"/>
      <c r="I2660" s="160"/>
      <c r="J2660" s="160"/>
      <c r="K2660" s="1"/>
      <c r="L2660" s="123"/>
      <c r="M2660" s="1"/>
      <c r="N2660" s="590"/>
      <c r="O2660" s="165"/>
      <c r="P2660" s="165"/>
      <c r="Q2660" s="165"/>
      <c r="R2660" s="165"/>
      <c r="S2660" s="165"/>
      <c r="V2660" s="46"/>
      <c r="W2660" s="46"/>
      <c r="X2660" s="1"/>
      <c r="Y2660" s="1"/>
      <c r="Z2660" s="173"/>
      <c r="AA2660" s="1"/>
      <c r="AB2660" s="165"/>
      <c r="AC2660" s="1"/>
      <c r="AD2660" s="1"/>
      <c r="AE2660" s="1"/>
      <c r="AF2660" s="46"/>
      <c r="AG2660" s="1"/>
      <c r="AH2660" s="165"/>
      <c r="AI2660" s="165"/>
      <c r="AJ2660" s="165"/>
      <c r="AK2660" s="165"/>
      <c r="AL2660" s="165"/>
      <c r="AM2660" s="165"/>
      <c r="AN2660" s="165"/>
    </row>
    <row r="2661" spans="3:40">
      <c r="C2661" s="46"/>
      <c r="F2661" s="173"/>
      <c r="G2661" s="1"/>
      <c r="H2661" s="165"/>
      <c r="I2661" s="160"/>
      <c r="J2661" s="160"/>
      <c r="K2661" s="1"/>
      <c r="L2661" s="123"/>
      <c r="M2661" s="1"/>
      <c r="N2661" s="590"/>
      <c r="O2661" s="165"/>
      <c r="P2661" s="165"/>
      <c r="Q2661" s="165"/>
      <c r="R2661" s="165"/>
      <c r="S2661" s="165"/>
      <c r="V2661" s="46"/>
      <c r="W2661" s="46"/>
      <c r="X2661" s="1"/>
      <c r="Y2661" s="1"/>
      <c r="Z2661" s="173"/>
      <c r="AA2661" s="1"/>
      <c r="AB2661" s="165"/>
      <c r="AC2661" s="1"/>
      <c r="AD2661" s="1"/>
      <c r="AE2661" s="1"/>
      <c r="AF2661" s="46"/>
      <c r="AG2661" s="1"/>
      <c r="AH2661" s="165"/>
      <c r="AI2661" s="165"/>
      <c r="AJ2661" s="165"/>
      <c r="AK2661" s="165"/>
      <c r="AL2661" s="165"/>
      <c r="AM2661" s="165"/>
      <c r="AN2661" s="165"/>
    </row>
    <row r="2662" spans="3:40">
      <c r="C2662" s="46"/>
      <c r="F2662" s="173"/>
      <c r="G2662" s="1"/>
      <c r="H2662" s="165"/>
      <c r="I2662" s="160"/>
      <c r="J2662" s="160"/>
      <c r="K2662" s="1"/>
      <c r="L2662" s="123"/>
      <c r="M2662" s="1"/>
      <c r="N2662" s="590"/>
      <c r="O2662" s="165"/>
      <c r="P2662" s="165"/>
      <c r="Q2662" s="165"/>
      <c r="R2662" s="165"/>
      <c r="S2662" s="165"/>
      <c r="V2662" s="46"/>
      <c r="W2662" s="46"/>
      <c r="X2662" s="1"/>
      <c r="Y2662" s="1"/>
      <c r="Z2662" s="173"/>
      <c r="AA2662" s="1"/>
      <c r="AB2662" s="165"/>
      <c r="AC2662" s="1"/>
      <c r="AD2662" s="1"/>
      <c r="AE2662" s="1"/>
      <c r="AF2662" s="46"/>
      <c r="AG2662" s="1"/>
      <c r="AH2662" s="165"/>
      <c r="AI2662" s="165"/>
      <c r="AJ2662" s="165"/>
      <c r="AK2662" s="165"/>
      <c r="AL2662" s="165"/>
      <c r="AM2662" s="165"/>
      <c r="AN2662" s="165"/>
    </row>
    <row r="2663" spans="3:40">
      <c r="C2663" s="46"/>
      <c r="F2663" s="173"/>
      <c r="G2663" s="1"/>
      <c r="H2663" s="165"/>
      <c r="I2663" s="160"/>
      <c r="J2663" s="160"/>
      <c r="K2663" s="1"/>
      <c r="L2663" s="123"/>
      <c r="M2663" s="1"/>
      <c r="N2663" s="590"/>
      <c r="O2663" s="165"/>
      <c r="P2663" s="165"/>
      <c r="Q2663" s="165"/>
      <c r="R2663" s="165"/>
      <c r="S2663" s="165"/>
      <c r="V2663" s="46"/>
      <c r="W2663" s="46"/>
      <c r="X2663" s="1"/>
      <c r="Y2663" s="1"/>
      <c r="Z2663" s="173"/>
      <c r="AA2663" s="1"/>
      <c r="AB2663" s="165"/>
      <c r="AC2663" s="1"/>
      <c r="AD2663" s="1"/>
      <c r="AE2663" s="1"/>
      <c r="AF2663" s="46"/>
      <c r="AG2663" s="1"/>
      <c r="AH2663" s="165"/>
      <c r="AI2663" s="165"/>
      <c r="AJ2663" s="165"/>
      <c r="AK2663" s="165"/>
      <c r="AL2663" s="165"/>
      <c r="AM2663" s="165"/>
      <c r="AN2663" s="165"/>
    </row>
    <row r="2664" spans="3:40">
      <c r="C2664" s="46"/>
      <c r="F2664" s="173"/>
      <c r="G2664" s="1"/>
      <c r="H2664" s="165"/>
      <c r="I2664" s="160"/>
      <c r="J2664" s="160"/>
      <c r="K2664" s="1"/>
      <c r="L2664" s="123"/>
      <c r="M2664" s="1"/>
      <c r="N2664" s="590"/>
      <c r="O2664" s="165"/>
      <c r="P2664" s="165"/>
      <c r="Q2664" s="165"/>
      <c r="R2664" s="165"/>
      <c r="S2664" s="165"/>
      <c r="V2664" s="46"/>
      <c r="W2664" s="46"/>
      <c r="X2664" s="1"/>
      <c r="Y2664" s="1"/>
      <c r="Z2664" s="173"/>
      <c r="AA2664" s="1"/>
      <c r="AB2664" s="165"/>
      <c r="AC2664" s="1"/>
      <c r="AD2664" s="1"/>
      <c r="AE2664" s="1"/>
      <c r="AF2664" s="46"/>
      <c r="AG2664" s="1"/>
      <c r="AH2664" s="165"/>
      <c r="AI2664" s="165"/>
      <c r="AJ2664" s="165"/>
      <c r="AK2664" s="165"/>
      <c r="AL2664" s="165"/>
      <c r="AM2664" s="165"/>
      <c r="AN2664" s="165"/>
    </row>
    <row r="2665" spans="3:40">
      <c r="C2665" s="46"/>
      <c r="F2665" s="173"/>
      <c r="G2665" s="1"/>
      <c r="H2665" s="165"/>
      <c r="I2665" s="160"/>
      <c r="J2665" s="160"/>
      <c r="K2665" s="1"/>
      <c r="L2665" s="123"/>
      <c r="M2665" s="1"/>
      <c r="N2665" s="590"/>
      <c r="O2665" s="165"/>
      <c r="P2665" s="165"/>
      <c r="Q2665" s="165"/>
      <c r="R2665" s="165"/>
      <c r="S2665" s="165"/>
      <c r="V2665" s="46"/>
      <c r="W2665" s="46"/>
      <c r="X2665" s="1"/>
      <c r="Y2665" s="1"/>
      <c r="Z2665" s="173"/>
      <c r="AA2665" s="1"/>
      <c r="AB2665" s="165"/>
      <c r="AC2665" s="1"/>
      <c r="AD2665" s="1"/>
      <c r="AE2665" s="1"/>
      <c r="AF2665" s="46"/>
      <c r="AG2665" s="1"/>
      <c r="AH2665" s="165"/>
      <c r="AI2665" s="165"/>
      <c r="AJ2665" s="165"/>
      <c r="AK2665" s="165"/>
      <c r="AL2665" s="165"/>
      <c r="AM2665" s="165"/>
      <c r="AN2665" s="165"/>
    </row>
    <row r="2666" spans="3:40">
      <c r="C2666" s="46"/>
      <c r="F2666" s="173"/>
      <c r="G2666" s="1"/>
      <c r="H2666" s="165"/>
      <c r="I2666" s="160"/>
      <c r="J2666" s="160"/>
      <c r="K2666" s="1"/>
      <c r="L2666" s="123"/>
      <c r="M2666" s="1"/>
      <c r="N2666" s="590"/>
      <c r="O2666" s="165"/>
      <c r="P2666" s="165"/>
      <c r="Q2666" s="165"/>
      <c r="R2666" s="165"/>
      <c r="S2666" s="165"/>
      <c r="V2666" s="46"/>
      <c r="W2666" s="46"/>
      <c r="X2666" s="1"/>
      <c r="Y2666" s="1"/>
      <c r="Z2666" s="173"/>
      <c r="AA2666" s="1"/>
      <c r="AB2666" s="165"/>
      <c r="AC2666" s="1"/>
      <c r="AD2666" s="1"/>
      <c r="AE2666" s="1"/>
      <c r="AF2666" s="46"/>
      <c r="AG2666" s="1"/>
      <c r="AH2666" s="165"/>
      <c r="AI2666" s="165"/>
      <c r="AJ2666" s="165"/>
      <c r="AK2666" s="165"/>
      <c r="AL2666" s="165"/>
      <c r="AM2666" s="165"/>
      <c r="AN2666" s="165"/>
    </row>
    <row r="2667" spans="3:40">
      <c r="C2667" s="46"/>
      <c r="F2667" s="173"/>
      <c r="G2667" s="1"/>
      <c r="H2667" s="165"/>
      <c r="I2667" s="160"/>
      <c r="J2667" s="160"/>
      <c r="K2667" s="1"/>
      <c r="L2667" s="123"/>
      <c r="M2667" s="1"/>
      <c r="N2667" s="590"/>
      <c r="O2667" s="165"/>
      <c r="P2667" s="165"/>
      <c r="Q2667" s="165"/>
      <c r="R2667" s="165"/>
      <c r="S2667" s="165"/>
      <c r="V2667" s="46"/>
      <c r="W2667" s="46"/>
      <c r="X2667" s="1"/>
      <c r="Y2667" s="1"/>
      <c r="Z2667" s="173"/>
      <c r="AA2667" s="1"/>
      <c r="AB2667" s="165"/>
      <c r="AC2667" s="1"/>
      <c r="AD2667" s="1"/>
      <c r="AE2667" s="1"/>
      <c r="AF2667" s="46"/>
      <c r="AG2667" s="1"/>
      <c r="AH2667" s="165"/>
      <c r="AI2667" s="165"/>
      <c r="AJ2667" s="165"/>
      <c r="AK2667" s="165"/>
      <c r="AL2667" s="165"/>
      <c r="AM2667" s="165"/>
      <c r="AN2667" s="165"/>
    </row>
    <row r="2668" spans="3:40">
      <c r="C2668" s="46"/>
      <c r="F2668" s="173"/>
      <c r="G2668" s="1"/>
      <c r="H2668" s="165"/>
      <c r="I2668" s="160"/>
      <c r="J2668" s="160"/>
      <c r="K2668" s="1"/>
      <c r="L2668" s="123"/>
      <c r="M2668" s="1"/>
      <c r="N2668" s="590"/>
      <c r="O2668" s="165"/>
      <c r="P2668" s="165"/>
      <c r="Q2668" s="165"/>
      <c r="R2668" s="165"/>
      <c r="S2668" s="165"/>
      <c r="V2668" s="46"/>
      <c r="W2668" s="46"/>
      <c r="X2668" s="1"/>
      <c r="Y2668" s="1"/>
      <c r="Z2668" s="173"/>
      <c r="AA2668" s="1"/>
      <c r="AB2668" s="165"/>
      <c r="AC2668" s="1"/>
      <c r="AD2668" s="1"/>
      <c r="AE2668" s="1"/>
      <c r="AF2668" s="46"/>
      <c r="AG2668" s="1"/>
      <c r="AH2668" s="165"/>
      <c r="AI2668" s="165"/>
      <c r="AJ2668" s="165"/>
      <c r="AK2668" s="165"/>
      <c r="AL2668" s="165"/>
      <c r="AM2668" s="165"/>
      <c r="AN2668" s="165"/>
    </row>
    <row r="2669" spans="3:40">
      <c r="C2669" s="46"/>
      <c r="F2669" s="173"/>
      <c r="G2669" s="1"/>
      <c r="H2669" s="165"/>
      <c r="I2669" s="160"/>
      <c r="J2669" s="160"/>
      <c r="K2669" s="1"/>
      <c r="L2669" s="123"/>
      <c r="M2669" s="1"/>
      <c r="N2669" s="590"/>
      <c r="O2669" s="165"/>
      <c r="P2669" s="165"/>
      <c r="Q2669" s="165"/>
      <c r="R2669" s="165"/>
      <c r="S2669" s="165"/>
      <c r="V2669" s="46"/>
      <c r="W2669" s="46"/>
      <c r="X2669" s="1"/>
      <c r="Y2669" s="1"/>
      <c r="Z2669" s="173"/>
      <c r="AA2669" s="1"/>
      <c r="AB2669" s="165"/>
      <c r="AC2669" s="1"/>
      <c r="AD2669" s="1"/>
      <c r="AE2669" s="1"/>
      <c r="AF2669" s="46"/>
      <c r="AG2669" s="1"/>
      <c r="AH2669" s="165"/>
      <c r="AI2669" s="165"/>
      <c r="AJ2669" s="165"/>
      <c r="AK2669" s="165"/>
      <c r="AL2669" s="165"/>
      <c r="AM2669" s="165"/>
      <c r="AN2669" s="165"/>
    </row>
    <row r="2670" spans="3:40">
      <c r="C2670" s="46"/>
      <c r="F2670" s="173"/>
      <c r="G2670" s="1"/>
      <c r="H2670" s="165"/>
      <c r="I2670" s="160"/>
      <c r="J2670" s="160"/>
      <c r="K2670" s="1"/>
      <c r="L2670" s="123"/>
      <c r="M2670" s="1"/>
      <c r="N2670" s="590"/>
      <c r="O2670" s="165"/>
      <c r="P2670" s="165"/>
      <c r="Q2670" s="165"/>
      <c r="R2670" s="165"/>
      <c r="S2670" s="165"/>
      <c r="V2670" s="46"/>
      <c r="W2670" s="46"/>
      <c r="X2670" s="1"/>
      <c r="Y2670" s="1"/>
      <c r="Z2670" s="173"/>
      <c r="AA2670" s="1"/>
      <c r="AB2670" s="165"/>
      <c r="AC2670" s="1"/>
      <c r="AD2670" s="1"/>
      <c r="AE2670" s="1"/>
      <c r="AF2670" s="46"/>
      <c r="AG2670" s="1"/>
      <c r="AH2670" s="165"/>
      <c r="AI2670" s="165"/>
      <c r="AJ2670" s="165"/>
      <c r="AK2670" s="165"/>
      <c r="AL2670" s="165"/>
      <c r="AM2670" s="165"/>
      <c r="AN2670" s="165"/>
    </row>
    <row r="2671" spans="3:40">
      <c r="C2671" s="46"/>
      <c r="F2671" s="173"/>
      <c r="G2671" s="1"/>
      <c r="H2671" s="165"/>
      <c r="I2671" s="160"/>
      <c r="J2671" s="160"/>
      <c r="K2671" s="1"/>
      <c r="L2671" s="123"/>
      <c r="M2671" s="1"/>
      <c r="N2671" s="590"/>
      <c r="O2671" s="165"/>
      <c r="P2671" s="165"/>
      <c r="Q2671" s="165"/>
      <c r="R2671" s="165"/>
      <c r="S2671" s="165"/>
      <c r="V2671" s="46"/>
      <c r="W2671" s="46"/>
      <c r="X2671" s="1"/>
      <c r="Y2671" s="1"/>
      <c r="Z2671" s="173"/>
      <c r="AA2671" s="1"/>
      <c r="AB2671" s="165"/>
      <c r="AC2671" s="1"/>
      <c r="AD2671" s="1"/>
      <c r="AE2671" s="1"/>
      <c r="AF2671" s="46"/>
      <c r="AG2671" s="1"/>
      <c r="AH2671" s="165"/>
      <c r="AI2671" s="165"/>
      <c r="AJ2671" s="165"/>
      <c r="AK2671" s="165"/>
      <c r="AL2671" s="165"/>
      <c r="AM2671" s="165"/>
      <c r="AN2671" s="165"/>
    </row>
    <row r="2672" spans="3:40">
      <c r="C2672" s="46"/>
      <c r="F2672" s="173"/>
      <c r="G2672" s="1"/>
      <c r="H2672" s="165"/>
      <c r="I2672" s="160"/>
      <c r="J2672" s="160"/>
      <c r="K2672" s="1"/>
      <c r="L2672" s="123"/>
      <c r="M2672" s="1"/>
      <c r="N2672" s="590"/>
      <c r="O2672" s="165"/>
      <c r="P2672" s="165"/>
      <c r="Q2672" s="165"/>
      <c r="R2672" s="165"/>
      <c r="S2672" s="165"/>
      <c r="V2672" s="46"/>
      <c r="W2672" s="46"/>
      <c r="X2672" s="1"/>
      <c r="Y2672" s="1"/>
      <c r="Z2672" s="173"/>
      <c r="AA2672" s="1"/>
      <c r="AB2672" s="165"/>
      <c r="AC2672" s="1"/>
      <c r="AD2672" s="1"/>
      <c r="AE2672" s="1"/>
      <c r="AF2672" s="46"/>
      <c r="AG2672" s="1"/>
      <c r="AH2672" s="165"/>
      <c r="AI2672" s="165"/>
      <c r="AJ2672" s="165"/>
      <c r="AK2672" s="165"/>
      <c r="AL2672" s="165"/>
      <c r="AM2672" s="165"/>
      <c r="AN2672" s="165"/>
    </row>
    <row r="2673" spans="3:40">
      <c r="C2673" s="46"/>
      <c r="F2673" s="173"/>
      <c r="G2673" s="1"/>
      <c r="H2673" s="165"/>
      <c r="I2673" s="160"/>
      <c r="J2673" s="160"/>
      <c r="K2673" s="1"/>
      <c r="L2673" s="123"/>
      <c r="M2673" s="1"/>
      <c r="N2673" s="590"/>
      <c r="O2673" s="165"/>
      <c r="P2673" s="165"/>
      <c r="Q2673" s="165"/>
      <c r="R2673" s="165"/>
      <c r="S2673" s="165"/>
      <c r="V2673" s="46"/>
      <c r="W2673" s="46"/>
      <c r="X2673" s="1"/>
      <c r="Y2673" s="1"/>
      <c r="Z2673" s="173"/>
      <c r="AA2673" s="1"/>
      <c r="AB2673" s="165"/>
      <c r="AC2673" s="1"/>
      <c r="AD2673" s="1"/>
      <c r="AE2673" s="1"/>
      <c r="AF2673" s="46"/>
      <c r="AG2673" s="1"/>
      <c r="AH2673" s="165"/>
      <c r="AI2673" s="165"/>
      <c r="AJ2673" s="165"/>
      <c r="AK2673" s="165"/>
      <c r="AL2673" s="165"/>
      <c r="AM2673" s="165"/>
      <c r="AN2673" s="165"/>
    </row>
    <row r="2674" spans="3:40">
      <c r="C2674" s="46"/>
      <c r="F2674" s="173"/>
      <c r="G2674" s="1"/>
      <c r="H2674" s="165"/>
      <c r="I2674" s="160"/>
      <c r="J2674" s="160"/>
      <c r="K2674" s="1"/>
      <c r="L2674" s="123"/>
      <c r="M2674" s="1"/>
      <c r="N2674" s="590"/>
      <c r="O2674" s="165"/>
      <c r="P2674" s="165"/>
      <c r="Q2674" s="165"/>
      <c r="R2674" s="165"/>
      <c r="S2674" s="165"/>
      <c r="V2674" s="46"/>
      <c r="W2674" s="46"/>
      <c r="X2674" s="1"/>
      <c r="Y2674" s="1"/>
      <c r="Z2674" s="173"/>
      <c r="AA2674" s="1"/>
      <c r="AB2674" s="165"/>
      <c r="AC2674" s="1"/>
      <c r="AD2674" s="1"/>
      <c r="AE2674" s="1"/>
      <c r="AF2674" s="46"/>
      <c r="AG2674" s="1"/>
      <c r="AH2674" s="165"/>
      <c r="AI2674" s="165"/>
      <c r="AJ2674" s="165"/>
      <c r="AK2674" s="165"/>
      <c r="AL2674" s="165"/>
      <c r="AM2674" s="165"/>
      <c r="AN2674" s="165"/>
    </row>
    <row r="2675" spans="3:40">
      <c r="C2675" s="46"/>
      <c r="F2675" s="173"/>
      <c r="G2675" s="1"/>
      <c r="H2675" s="165"/>
      <c r="I2675" s="160"/>
      <c r="J2675" s="160"/>
      <c r="K2675" s="1"/>
      <c r="L2675" s="123"/>
      <c r="M2675" s="1"/>
      <c r="N2675" s="590"/>
      <c r="O2675" s="165"/>
      <c r="P2675" s="165"/>
      <c r="Q2675" s="165"/>
      <c r="R2675" s="165"/>
      <c r="S2675" s="165"/>
      <c r="V2675" s="46"/>
      <c r="W2675" s="46"/>
      <c r="X2675" s="1"/>
      <c r="Y2675" s="1"/>
      <c r="Z2675" s="173"/>
      <c r="AA2675" s="1"/>
      <c r="AB2675" s="165"/>
      <c r="AC2675" s="1"/>
      <c r="AD2675" s="1"/>
      <c r="AE2675" s="1"/>
      <c r="AF2675" s="46"/>
      <c r="AG2675" s="1"/>
      <c r="AH2675" s="165"/>
      <c r="AI2675" s="165"/>
      <c r="AJ2675" s="165"/>
      <c r="AK2675" s="165"/>
      <c r="AL2675" s="165"/>
      <c r="AM2675" s="165"/>
      <c r="AN2675" s="165"/>
    </row>
    <row r="2676" spans="3:40">
      <c r="C2676" s="46"/>
      <c r="F2676" s="173"/>
      <c r="G2676" s="1"/>
      <c r="H2676" s="165"/>
      <c r="I2676" s="160"/>
      <c r="J2676" s="160"/>
      <c r="K2676" s="1"/>
      <c r="L2676" s="123"/>
      <c r="M2676" s="1"/>
      <c r="N2676" s="590"/>
      <c r="O2676" s="165"/>
      <c r="P2676" s="165"/>
      <c r="Q2676" s="165"/>
      <c r="R2676" s="165"/>
      <c r="S2676" s="165"/>
      <c r="V2676" s="46"/>
      <c r="W2676" s="46"/>
      <c r="X2676" s="1"/>
      <c r="Y2676" s="1"/>
      <c r="Z2676" s="173"/>
      <c r="AA2676" s="1"/>
      <c r="AB2676" s="165"/>
      <c r="AC2676" s="1"/>
      <c r="AD2676" s="1"/>
      <c r="AE2676" s="1"/>
      <c r="AF2676" s="46"/>
      <c r="AG2676" s="1"/>
      <c r="AH2676" s="165"/>
      <c r="AI2676" s="165"/>
      <c r="AJ2676" s="165"/>
      <c r="AK2676" s="165"/>
      <c r="AL2676" s="165"/>
      <c r="AM2676" s="165"/>
      <c r="AN2676" s="165"/>
    </row>
    <row r="2677" spans="3:40">
      <c r="C2677" s="46"/>
      <c r="F2677" s="173"/>
      <c r="G2677" s="1"/>
      <c r="H2677" s="165"/>
      <c r="I2677" s="160"/>
      <c r="J2677" s="160"/>
      <c r="K2677" s="1"/>
      <c r="L2677" s="123"/>
      <c r="M2677" s="1"/>
      <c r="N2677" s="590"/>
      <c r="O2677" s="165"/>
      <c r="P2677" s="165"/>
      <c r="Q2677" s="165"/>
      <c r="R2677" s="165"/>
      <c r="S2677" s="165"/>
      <c r="V2677" s="46"/>
      <c r="W2677" s="46"/>
      <c r="X2677" s="1"/>
      <c r="Y2677" s="1"/>
      <c r="Z2677" s="173"/>
      <c r="AA2677" s="1"/>
      <c r="AB2677" s="165"/>
      <c r="AC2677" s="1"/>
      <c r="AD2677" s="1"/>
      <c r="AE2677" s="1"/>
      <c r="AF2677" s="46"/>
      <c r="AG2677" s="1"/>
      <c r="AH2677" s="165"/>
      <c r="AI2677" s="165"/>
      <c r="AJ2677" s="165"/>
      <c r="AK2677" s="165"/>
      <c r="AL2677" s="165"/>
      <c r="AM2677" s="165"/>
      <c r="AN2677" s="165"/>
    </row>
    <row r="2678" spans="3:40">
      <c r="C2678" s="46"/>
      <c r="F2678" s="173"/>
      <c r="G2678" s="1"/>
      <c r="H2678" s="165"/>
      <c r="I2678" s="160"/>
      <c r="J2678" s="160"/>
      <c r="K2678" s="1"/>
      <c r="L2678" s="123"/>
      <c r="M2678" s="1"/>
      <c r="N2678" s="590"/>
      <c r="O2678" s="165"/>
      <c r="P2678" s="165"/>
      <c r="Q2678" s="165"/>
      <c r="R2678" s="165"/>
      <c r="S2678" s="165"/>
      <c r="V2678" s="46"/>
      <c r="W2678" s="46"/>
      <c r="X2678" s="1"/>
      <c r="Y2678" s="1"/>
      <c r="Z2678" s="173"/>
      <c r="AA2678" s="1"/>
      <c r="AB2678" s="165"/>
      <c r="AC2678" s="1"/>
      <c r="AD2678" s="1"/>
      <c r="AE2678" s="1"/>
      <c r="AF2678" s="46"/>
      <c r="AG2678" s="1"/>
      <c r="AH2678" s="165"/>
      <c r="AI2678" s="165"/>
      <c r="AJ2678" s="165"/>
      <c r="AK2678" s="165"/>
      <c r="AL2678" s="165"/>
      <c r="AM2678" s="165"/>
      <c r="AN2678" s="165"/>
    </row>
    <row r="2679" spans="3:40">
      <c r="C2679" s="46"/>
      <c r="F2679" s="173"/>
      <c r="G2679" s="1"/>
      <c r="H2679" s="165"/>
      <c r="I2679" s="160"/>
      <c r="J2679" s="160"/>
      <c r="K2679" s="1"/>
      <c r="L2679" s="123"/>
      <c r="M2679" s="1"/>
      <c r="N2679" s="590"/>
      <c r="O2679" s="165"/>
      <c r="P2679" s="165"/>
      <c r="Q2679" s="165"/>
      <c r="R2679" s="165"/>
      <c r="S2679" s="165"/>
      <c r="V2679" s="46"/>
      <c r="W2679" s="46"/>
      <c r="X2679" s="1"/>
      <c r="Y2679" s="1"/>
      <c r="Z2679" s="173"/>
      <c r="AA2679" s="1"/>
      <c r="AB2679" s="165"/>
      <c r="AC2679" s="1"/>
      <c r="AD2679" s="1"/>
      <c r="AE2679" s="1"/>
      <c r="AF2679" s="46"/>
      <c r="AG2679" s="1"/>
      <c r="AH2679" s="165"/>
      <c r="AI2679" s="165"/>
      <c r="AJ2679" s="165"/>
      <c r="AK2679" s="165"/>
      <c r="AL2679" s="165"/>
      <c r="AM2679" s="165"/>
      <c r="AN2679" s="165"/>
    </row>
    <row r="2680" spans="3:40">
      <c r="C2680" s="46"/>
      <c r="F2680" s="173"/>
      <c r="G2680" s="1"/>
      <c r="H2680" s="165"/>
      <c r="I2680" s="160"/>
      <c r="J2680" s="160"/>
      <c r="K2680" s="1"/>
      <c r="L2680" s="123"/>
      <c r="M2680" s="1"/>
      <c r="N2680" s="590"/>
      <c r="O2680" s="165"/>
      <c r="P2680" s="165"/>
      <c r="Q2680" s="165"/>
      <c r="R2680" s="165"/>
      <c r="S2680" s="165"/>
      <c r="V2680" s="46"/>
      <c r="W2680" s="46"/>
      <c r="X2680" s="1"/>
      <c r="Y2680" s="1"/>
      <c r="Z2680" s="173"/>
      <c r="AA2680" s="1"/>
      <c r="AB2680" s="165"/>
      <c r="AC2680" s="1"/>
      <c r="AD2680" s="1"/>
      <c r="AE2680" s="1"/>
      <c r="AF2680" s="46"/>
      <c r="AG2680" s="1"/>
      <c r="AH2680" s="165"/>
      <c r="AI2680" s="165"/>
      <c r="AJ2680" s="165"/>
      <c r="AK2680" s="165"/>
      <c r="AL2680" s="165"/>
      <c r="AM2680" s="165"/>
      <c r="AN2680" s="165"/>
    </row>
    <row r="2681" spans="3:40">
      <c r="C2681" s="46"/>
      <c r="F2681" s="173"/>
      <c r="G2681" s="1"/>
      <c r="H2681" s="165"/>
      <c r="I2681" s="160"/>
      <c r="J2681" s="160"/>
      <c r="K2681" s="1"/>
      <c r="L2681" s="123"/>
      <c r="M2681" s="1"/>
      <c r="N2681" s="590"/>
      <c r="O2681" s="165"/>
      <c r="P2681" s="165"/>
      <c r="Q2681" s="165"/>
      <c r="R2681" s="165"/>
      <c r="S2681" s="165"/>
      <c r="V2681" s="46"/>
      <c r="W2681" s="46"/>
      <c r="X2681" s="1"/>
      <c r="Y2681" s="1"/>
      <c r="Z2681" s="173"/>
      <c r="AA2681" s="1"/>
      <c r="AB2681" s="165"/>
      <c r="AC2681" s="1"/>
      <c r="AD2681" s="1"/>
      <c r="AE2681" s="1"/>
      <c r="AF2681" s="46"/>
      <c r="AG2681" s="1"/>
      <c r="AH2681" s="165"/>
      <c r="AI2681" s="165"/>
      <c r="AJ2681" s="165"/>
      <c r="AK2681" s="165"/>
      <c r="AL2681" s="165"/>
      <c r="AM2681" s="165"/>
      <c r="AN2681" s="165"/>
    </row>
    <row r="2682" spans="3:40">
      <c r="C2682" s="46"/>
      <c r="F2682" s="173"/>
      <c r="G2682" s="1"/>
      <c r="H2682" s="165"/>
      <c r="I2682" s="160"/>
      <c r="J2682" s="160"/>
      <c r="K2682" s="1"/>
      <c r="L2682" s="123"/>
      <c r="M2682" s="1"/>
      <c r="N2682" s="590"/>
      <c r="O2682" s="165"/>
      <c r="P2682" s="165"/>
      <c r="Q2682" s="165"/>
      <c r="R2682" s="165"/>
      <c r="S2682" s="165"/>
      <c r="V2682" s="46"/>
      <c r="W2682" s="46"/>
      <c r="X2682" s="1"/>
      <c r="Y2682" s="1"/>
      <c r="Z2682" s="173"/>
      <c r="AA2682" s="1"/>
      <c r="AB2682" s="165"/>
      <c r="AC2682" s="1"/>
      <c r="AD2682" s="1"/>
      <c r="AE2682" s="1"/>
      <c r="AF2682" s="46"/>
      <c r="AG2682" s="1"/>
      <c r="AH2682" s="165"/>
      <c r="AI2682" s="165"/>
      <c r="AJ2682" s="165"/>
      <c r="AK2682" s="165"/>
      <c r="AL2682" s="165"/>
      <c r="AM2682" s="165"/>
      <c r="AN2682" s="165"/>
    </row>
    <row r="2683" spans="3:40">
      <c r="C2683" s="46"/>
      <c r="F2683" s="173"/>
      <c r="G2683" s="1"/>
      <c r="H2683" s="165"/>
      <c r="I2683" s="160"/>
      <c r="J2683" s="160"/>
      <c r="K2683" s="1"/>
      <c r="L2683" s="123"/>
      <c r="M2683" s="1"/>
      <c r="N2683" s="590"/>
      <c r="O2683" s="165"/>
      <c r="P2683" s="165"/>
      <c r="Q2683" s="165"/>
      <c r="R2683" s="165"/>
      <c r="S2683" s="165"/>
      <c r="V2683" s="46"/>
      <c r="W2683" s="46"/>
      <c r="X2683" s="1"/>
      <c r="Y2683" s="1"/>
      <c r="Z2683" s="173"/>
      <c r="AA2683" s="1"/>
      <c r="AB2683" s="165"/>
      <c r="AC2683" s="1"/>
      <c r="AD2683" s="1"/>
      <c r="AE2683" s="1"/>
      <c r="AF2683" s="46"/>
      <c r="AG2683" s="1"/>
      <c r="AH2683" s="165"/>
      <c r="AI2683" s="165"/>
      <c r="AJ2683" s="165"/>
      <c r="AK2683" s="165"/>
      <c r="AL2683" s="165"/>
      <c r="AM2683" s="165"/>
      <c r="AN2683" s="165"/>
    </row>
    <row r="2684" spans="3:40">
      <c r="C2684" s="46"/>
      <c r="F2684" s="173"/>
      <c r="G2684" s="1"/>
      <c r="H2684" s="165"/>
      <c r="I2684" s="160"/>
      <c r="J2684" s="160"/>
      <c r="K2684" s="1"/>
      <c r="L2684" s="123"/>
      <c r="M2684" s="1"/>
      <c r="N2684" s="590"/>
      <c r="O2684" s="165"/>
      <c r="P2684" s="165"/>
      <c r="Q2684" s="165"/>
      <c r="R2684" s="165"/>
      <c r="S2684" s="165"/>
      <c r="V2684" s="46"/>
      <c r="W2684" s="46"/>
      <c r="X2684" s="1"/>
      <c r="Y2684" s="1"/>
      <c r="Z2684" s="173"/>
      <c r="AA2684" s="1"/>
      <c r="AB2684" s="165"/>
      <c r="AC2684" s="1"/>
      <c r="AD2684" s="1"/>
      <c r="AE2684" s="1"/>
      <c r="AF2684" s="46"/>
      <c r="AG2684" s="1"/>
      <c r="AH2684" s="165"/>
      <c r="AI2684" s="165"/>
      <c r="AJ2684" s="165"/>
      <c r="AK2684" s="165"/>
      <c r="AL2684" s="165"/>
      <c r="AM2684" s="165"/>
      <c r="AN2684" s="165"/>
    </row>
    <row r="2685" spans="3:40">
      <c r="C2685" s="46"/>
      <c r="F2685" s="173"/>
      <c r="G2685" s="1"/>
      <c r="H2685" s="165"/>
      <c r="I2685" s="160"/>
      <c r="J2685" s="160"/>
      <c r="K2685" s="1"/>
      <c r="L2685" s="123"/>
      <c r="M2685" s="1"/>
      <c r="N2685" s="590"/>
      <c r="O2685" s="165"/>
      <c r="P2685" s="165"/>
      <c r="Q2685" s="165"/>
      <c r="R2685" s="165"/>
      <c r="S2685" s="165"/>
      <c r="V2685" s="46"/>
      <c r="W2685" s="46"/>
      <c r="X2685" s="1"/>
      <c r="Y2685" s="1"/>
      <c r="Z2685" s="173"/>
      <c r="AA2685" s="1"/>
      <c r="AB2685" s="165"/>
      <c r="AC2685" s="1"/>
      <c r="AD2685" s="1"/>
      <c r="AE2685" s="1"/>
      <c r="AF2685" s="46"/>
      <c r="AG2685" s="1"/>
      <c r="AH2685" s="165"/>
      <c r="AI2685" s="165"/>
      <c r="AJ2685" s="165"/>
      <c r="AK2685" s="165"/>
      <c r="AL2685" s="165"/>
      <c r="AM2685" s="165"/>
      <c r="AN2685" s="165"/>
    </row>
    <row r="2686" spans="3:40">
      <c r="C2686" s="46"/>
      <c r="F2686" s="173"/>
      <c r="G2686" s="1"/>
      <c r="H2686" s="165"/>
      <c r="I2686" s="160"/>
      <c r="J2686" s="160"/>
      <c r="K2686" s="1"/>
      <c r="L2686" s="123"/>
      <c r="M2686" s="1"/>
      <c r="N2686" s="590"/>
      <c r="O2686" s="165"/>
      <c r="P2686" s="165"/>
      <c r="Q2686" s="165"/>
      <c r="R2686" s="165"/>
      <c r="S2686" s="165"/>
      <c r="V2686" s="46"/>
      <c r="W2686" s="46"/>
      <c r="X2686" s="1"/>
      <c r="Y2686" s="1"/>
      <c r="Z2686" s="173"/>
      <c r="AA2686" s="1"/>
      <c r="AB2686" s="165"/>
      <c r="AC2686" s="1"/>
      <c r="AD2686" s="1"/>
      <c r="AE2686" s="1"/>
      <c r="AF2686" s="46"/>
      <c r="AG2686" s="1"/>
      <c r="AH2686" s="165"/>
      <c r="AI2686" s="165"/>
      <c r="AJ2686" s="165"/>
      <c r="AK2686" s="165"/>
      <c r="AL2686" s="165"/>
      <c r="AM2686" s="165"/>
      <c r="AN2686" s="165"/>
    </row>
    <row r="2687" spans="3:40">
      <c r="C2687" s="46"/>
      <c r="F2687" s="173"/>
      <c r="G2687" s="1"/>
      <c r="H2687" s="165"/>
      <c r="I2687" s="160"/>
      <c r="J2687" s="160"/>
      <c r="K2687" s="1"/>
      <c r="L2687" s="123"/>
      <c r="M2687" s="1"/>
      <c r="N2687" s="590"/>
      <c r="O2687" s="165"/>
      <c r="P2687" s="165"/>
      <c r="Q2687" s="165"/>
      <c r="R2687" s="165"/>
      <c r="S2687" s="165"/>
      <c r="V2687" s="46"/>
      <c r="W2687" s="46"/>
      <c r="X2687" s="1"/>
      <c r="Y2687" s="1"/>
      <c r="Z2687" s="173"/>
      <c r="AA2687" s="1"/>
      <c r="AB2687" s="165"/>
      <c r="AC2687" s="1"/>
      <c r="AD2687" s="1"/>
      <c r="AE2687" s="1"/>
      <c r="AF2687" s="46"/>
      <c r="AG2687" s="1"/>
      <c r="AH2687" s="165"/>
      <c r="AI2687" s="165"/>
      <c r="AJ2687" s="165"/>
      <c r="AK2687" s="165"/>
      <c r="AL2687" s="165"/>
      <c r="AM2687" s="165"/>
      <c r="AN2687" s="165"/>
    </row>
    <row r="2688" spans="3:40">
      <c r="C2688" s="46"/>
      <c r="F2688" s="173"/>
      <c r="G2688" s="1"/>
      <c r="H2688" s="165"/>
      <c r="I2688" s="160"/>
      <c r="J2688" s="160"/>
      <c r="K2688" s="1"/>
      <c r="L2688" s="123"/>
      <c r="M2688" s="1"/>
      <c r="N2688" s="590"/>
      <c r="O2688" s="165"/>
      <c r="P2688" s="165"/>
      <c r="Q2688" s="165"/>
      <c r="R2688" s="165"/>
      <c r="S2688" s="165"/>
      <c r="V2688" s="46"/>
      <c r="W2688" s="46"/>
      <c r="X2688" s="1"/>
      <c r="Y2688" s="1"/>
      <c r="Z2688" s="173"/>
      <c r="AA2688" s="1"/>
      <c r="AB2688" s="165"/>
      <c r="AC2688" s="1"/>
      <c r="AD2688" s="1"/>
      <c r="AE2688" s="1"/>
      <c r="AF2688" s="46"/>
      <c r="AG2688" s="1"/>
      <c r="AH2688" s="165"/>
      <c r="AI2688" s="165"/>
      <c r="AJ2688" s="165"/>
      <c r="AK2688" s="165"/>
      <c r="AL2688" s="165"/>
      <c r="AM2688" s="165"/>
      <c r="AN2688" s="165"/>
    </row>
    <row r="2689" spans="3:40">
      <c r="C2689" s="46"/>
      <c r="F2689" s="173"/>
      <c r="G2689" s="1"/>
      <c r="H2689" s="165"/>
      <c r="I2689" s="160"/>
      <c r="J2689" s="160"/>
      <c r="K2689" s="1"/>
      <c r="L2689" s="123"/>
      <c r="M2689" s="1"/>
      <c r="N2689" s="590"/>
      <c r="O2689" s="165"/>
      <c r="P2689" s="165"/>
      <c r="Q2689" s="165"/>
      <c r="R2689" s="165"/>
      <c r="S2689" s="165"/>
      <c r="V2689" s="46"/>
      <c r="W2689" s="46"/>
      <c r="X2689" s="1"/>
      <c r="Y2689" s="1"/>
      <c r="Z2689" s="173"/>
      <c r="AA2689" s="1"/>
      <c r="AB2689" s="165"/>
      <c r="AC2689" s="1"/>
      <c r="AD2689" s="1"/>
      <c r="AE2689" s="1"/>
      <c r="AF2689" s="46"/>
      <c r="AG2689" s="1"/>
      <c r="AH2689" s="165"/>
      <c r="AI2689" s="165"/>
      <c r="AJ2689" s="165"/>
      <c r="AK2689" s="165"/>
      <c r="AL2689" s="165"/>
      <c r="AM2689" s="165"/>
      <c r="AN2689" s="165"/>
    </row>
    <row r="2690" spans="3:40">
      <c r="C2690" s="46"/>
      <c r="F2690" s="173"/>
      <c r="G2690" s="1"/>
      <c r="H2690" s="165"/>
      <c r="I2690" s="160"/>
      <c r="J2690" s="160"/>
      <c r="K2690" s="1"/>
      <c r="L2690" s="123"/>
      <c r="M2690" s="1"/>
      <c r="N2690" s="590"/>
      <c r="O2690" s="165"/>
      <c r="P2690" s="165"/>
      <c r="Q2690" s="165"/>
      <c r="R2690" s="165"/>
      <c r="S2690" s="165"/>
      <c r="V2690" s="46"/>
      <c r="W2690" s="46"/>
      <c r="X2690" s="1"/>
      <c r="Y2690" s="1"/>
      <c r="Z2690" s="173"/>
      <c r="AA2690" s="1"/>
      <c r="AB2690" s="165"/>
      <c r="AC2690" s="1"/>
      <c r="AD2690" s="1"/>
      <c r="AE2690" s="1"/>
      <c r="AF2690" s="46"/>
      <c r="AG2690" s="1"/>
      <c r="AH2690" s="165"/>
      <c r="AI2690" s="165"/>
      <c r="AJ2690" s="165"/>
      <c r="AK2690" s="165"/>
      <c r="AL2690" s="165"/>
      <c r="AM2690" s="165"/>
      <c r="AN2690" s="165"/>
    </row>
    <row r="2691" spans="3:40">
      <c r="C2691" s="46"/>
      <c r="F2691" s="173"/>
      <c r="G2691" s="1"/>
      <c r="H2691" s="165"/>
      <c r="I2691" s="160"/>
      <c r="J2691" s="160"/>
      <c r="K2691" s="1"/>
      <c r="L2691" s="123"/>
      <c r="M2691" s="1"/>
      <c r="N2691" s="590"/>
      <c r="O2691" s="165"/>
      <c r="P2691" s="165"/>
      <c r="Q2691" s="165"/>
      <c r="R2691" s="165"/>
      <c r="S2691" s="165"/>
      <c r="V2691" s="46"/>
      <c r="W2691" s="46"/>
      <c r="X2691" s="1"/>
      <c r="Y2691" s="1"/>
      <c r="Z2691" s="173"/>
      <c r="AA2691" s="1"/>
      <c r="AB2691" s="165"/>
      <c r="AC2691" s="1"/>
      <c r="AD2691" s="1"/>
      <c r="AE2691" s="1"/>
      <c r="AF2691" s="46"/>
      <c r="AG2691" s="1"/>
      <c r="AH2691" s="165"/>
      <c r="AI2691" s="165"/>
      <c r="AJ2691" s="165"/>
      <c r="AK2691" s="165"/>
      <c r="AL2691" s="165"/>
      <c r="AM2691" s="165"/>
      <c r="AN2691" s="165"/>
    </row>
    <row r="2692" spans="3:40">
      <c r="C2692" s="46"/>
      <c r="F2692" s="173"/>
      <c r="G2692" s="1"/>
      <c r="H2692" s="165"/>
      <c r="I2692" s="160"/>
      <c r="J2692" s="160"/>
      <c r="K2692" s="1"/>
      <c r="L2692" s="123"/>
      <c r="M2692" s="1"/>
      <c r="N2692" s="590"/>
      <c r="O2692" s="165"/>
      <c r="P2692" s="165"/>
      <c r="Q2692" s="165"/>
      <c r="R2692" s="165"/>
      <c r="S2692" s="165"/>
      <c r="V2692" s="46"/>
      <c r="W2692" s="46"/>
      <c r="X2692" s="1"/>
      <c r="Y2692" s="1"/>
      <c r="Z2692" s="173"/>
      <c r="AA2692" s="1"/>
      <c r="AB2692" s="165"/>
      <c r="AC2692" s="1"/>
      <c r="AD2692" s="1"/>
      <c r="AE2692" s="1"/>
      <c r="AF2692" s="46"/>
      <c r="AG2692" s="1"/>
      <c r="AH2692" s="165"/>
      <c r="AI2692" s="165"/>
      <c r="AJ2692" s="165"/>
      <c r="AK2692" s="165"/>
      <c r="AL2692" s="165"/>
      <c r="AM2692" s="165"/>
      <c r="AN2692" s="165"/>
    </row>
    <row r="2693" spans="3:40">
      <c r="C2693" s="46"/>
      <c r="F2693" s="173"/>
      <c r="G2693" s="1"/>
      <c r="H2693" s="165"/>
      <c r="I2693" s="160"/>
      <c r="J2693" s="160"/>
      <c r="K2693" s="1"/>
      <c r="L2693" s="123"/>
      <c r="M2693" s="1"/>
      <c r="N2693" s="590"/>
      <c r="O2693" s="165"/>
      <c r="P2693" s="165"/>
      <c r="Q2693" s="165"/>
      <c r="R2693" s="165"/>
      <c r="S2693" s="165"/>
      <c r="V2693" s="46"/>
      <c r="W2693" s="46"/>
      <c r="X2693" s="1"/>
      <c r="Y2693" s="1"/>
      <c r="Z2693" s="173"/>
      <c r="AA2693" s="1"/>
      <c r="AB2693" s="165"/>
      <c r="AC2693" s="1"/>
      <c r="AD2693" s="1"/>
      <c r="AE2693" s="1"/>
      <c r="AF2693" s="46"/>
      <c r="AG2693" s="1"/>
      <c r="AH2693" s="165"/>
      <c r="AI2693" s="165"/>
      <c r="AJ2693" s="165"/>
      <c r="AK2693" s="165"/>
      <c r="AL2693" s="165"/>
      <c r="AM2693" s="165"/>
      <c r="AN2693" s="165"/>
    </row>
    <row r="2694" spans="3:40">
      <c r="C2694" s="46"/>
      <c r="F2694" s="173"/>
      <c r="G2694" s="1"/>
      <c r="H2694" s="165"/>
      <c r="I2694" s="160"/>
      <c r="J2694" s="160"/>
      <c r="K2694" s="1"/>
      <c r="L2694" s="123"/>
      <c r="M2694" s="1"/>
      <c r="N2694" s="590"/>
      <c r="O2694" s="165"/>
      <c r="P2694" s="165"/>
      <c r="Q2694" s="165"/>
      <c r="R2694" s="165"/>
      <c r="S2694" s="165"/>
      <c r="V2694" s="46"/>
      <c r="W2694" s="46"/>
      <c r="X2694" s="1"/>
      <c r="Y2694" s="1"/>
      <c r="Z2694" s="173"/>
      <c r="AA2694" s="1"/>
      <c r="AB2694" s="165"/>
      <c r="AC2694" s="1"/>
      <c r="AD2694" s="1"/>
      <c r="AE2694" s="1"/>
      <c r="AF2694" s="46"/>
      <c r="AG2694" s="1"/>
      <c r="AH2694" s="165"/>
      <c r="AI2694" s="165"/>
      <c r="AJ2694" s="165"/>
      <c r="AK2694" s="165"/>
      <c r="AL2694" s="165"/>
      <c r="AM2694" s="165"/>
      <c r="AN2694" s="165"/>
    </row>
    <row r="2695" spans="3:40">
      <c r="C2695" s="46"/>
      <c r="F2695" s="173"/>
      <c r="G2695" s="1"/>
      <c r="H2695" s="165"/>
      <c r="I2695" s="160"/>
      <c r="J2695" s="160"/>
      <c r="K2695" s="1"/>
      <c r="L2695" s="123"/>
      <c r="M2695" s="1"/>
      <c r="N2695" s="590"/>
      <c r="O2695" s="165"/>
      <c r="P2695" s="165"/>
      <c r="Q2695" s="165"/>
      <c r="R2695" s="165"/>
      <c r="S2695" s="165"/>
      <c r="V2695" s="46"/>
      <c r="W2695" s="46"/>
      <c r="X2695" s="1"/>
      <c r="Y2695" s="1"/>
      <c r="Z2695" s="173"/>
      <c r="AA2695" s="1"/>
      <c r="AB2695" s="165"/>
      <c r="AC2695" s="1"/>
      <c r="AD2695" s="1"/>
      <c r="AE2695" s="1"/>
      <c r="AF2695" s="46"/>
      <c r="AG2695" s="1"/>
      <c r="AH2695" s="165"/>
      <c r="AI2695" s="165"/>
      <c r="AJ2695" s="165"/>
      <c r="AK2695" s="165"/>
      <c r="AL2695" s="165"/>
      <c r="AM2695" s="165"/>
      <c r="AN2695" s="165"/>
    </row>
    <row r="2696" spans="3:40">
      <c r="C2696" s="46"/>
      <c r="F2696" s="173"/>
      <c r="G2696" s="1"/>
      <c r="H2696" s="165"/>
      <c r="I2696" s="160"/>
      <c r="J2696" s="160"/>
      <c r="K2696" s="1"/>
      <c r="L2696" s="123"/>
      <c r="M2696" s="1"/>
      <c r="N2696" s="590"/>
      <c r="O2696" s="165"/>
      <c r="P2696" s="165"/>
      <c r="Q2696" s="165"/>
      <c r="R2696" s="165"/>
      <c r="S2696" s="165"/>
      <c r="V2696" s="46"/>
      <c r="W2696" s="46"/>
      <c r="X2696" s="1"/>
      <c r="Y2696" s="1"/>
      <c r="Z2696" s="173"/>
      <c r="AA2696" s="1"/>
      <c r="AB2696" s="165"/>
      <c r="AC2696" s="1"/>
      <c r="AD2696" s="1"/>
      <c r="AE2696" s="1"/>
      <c r="AF2696" s="46"/>
      <c r="AG2696" s="1"/>
      <c r="AH2696" s="165"/>
      <c r="AI2696" s="165"/>
      <c r="AJ2696" s="165"/>
      <c r="AK2696" s="165"/>
      <c r="AL2696" s="165"/>
      <c r="AM2696" s="165"/>
      <c r="AN2696" s="165"/>
    </row>
    <row r="2697" spans="3:40">
      <c r="C2697" s="46"/>
      <c r="F2697" s="173"/>
      <c r="G2697" s="1"/>
      <c r="H2697" s="165"/>
      <c r="I2697" s="160"/>
      <c r="J2697" s="160"/>
      <c r="K2697" s="1"/>
      <c r="L2697" s="123"/>
      <c r="M2697" s="1"/>
      <c r="N2697" s="590"/>
      <c r="O2697" s="165"/>
      <c r="P2697" s="165"/>
      <c r="Q2697" s="165"/>
      <c r="R2697" s="165"/>
      <c r="S2697" s="165"/>
      <c r="V2697" s="46"/>
      <c r="W2697" s="46"/>
      <c r="X2697" s="1"/>
      <c r="Y2697" s="1"/>
      <c r="Z2697" s="173"/>
      <c r="AA2697" s="1"/>
      <c r="AB2697" s="165"/>
      <c r="AC2697" s="1"/>
      <c r="AD2697" s="1"/>
      <c r="AE2697" s="1"/>
      <c r="AF2697" s="46"/>
      <c r="AG2697" s="1"/>
      <c r="AH2697" s="165"/>
      <c r="AI2697" s="165"/>
      <c r="AJ2697" s="165"/>
      <c r="AK2697" s="165"/>
      <c r="AL2697" s="165"/>
      <c r="AM2697" s="165"/>
      <c r="AN2697" s="165"/>
    </row>
    <row r="2698" spans="3:40">
      <c r="C2698" s="46"/>
      <c r="F2698" s="173"/>
      <c r="G2698" s="1"/>
      <c r="H2698" s="165"/>
      <c r="I2698" s="160"/>
      <c r="J2698" s="160"/>
      <c r="K2698" s="1"/>
      <c r="L2698" s="123"/>
      <c r="M2698" s="1"/>
      <c r="N2698" s="590"/>
      <c r="O2698" s="165"/>
      <c r="P2698" s="165"/>
      <c r="Q2698" s="165"/>
      <c r="R2698" s="165"/>
      <c r="S2698" s="165"/>
      <c r="V2698" s="46"/>
      <c r="W2698" s="46"/>
      <c r="X2698" s="1"/>
      <c r="Y2698" s="1"/>
      <c r="Z2698" s="173"/>
      <c r="AA2698" s="1"/>
      <c r="AB2698" s="165"/>
      <c r="AC2698" s="1"/>
      <c r="AD2698" s="1"/>
      <c r="AE2698" s="1"/>
      <c r="AF2698" s="46"/>
      <c r="AG2698" s="1"/>
      <c r="AH2698" s="165"/>
      <c r="AI2698" s="165"/>
      <c r="AJ2698" s="165"/>
      <c r="AK2698" s="165"/>
      <c r="AL2698" s="165"/>
      <c r="AM2698" s="165"/>
      <c r="AN2698" s="165"/>
    </row>
    <row r="2699" spans="3:40">
      <c r="C2699" s="46"/>
      <c r="F2699" s="173"/>
      <c r="G2699" s="1"/>
      <c r="H2699" s="165"/>
      <c r="I2699" s="160"/>
      <c r="J2699" s="160"/>
      <c r="K2699" s="1"/>
      <c r="L2699" s="123"/>
      <c r="M2699" s="1"/>
      <c r="N2699" s="590"/>
      <c r="O2699" s="165"/>
      <c r="P2699" s="165"/>
      <c r="Q2699" s="165"/>
      <c r="R2699" s="165"/>
      <c r="S2699" s="165"/>
      <c r="V2699" s="46"/>
      <c r="W2699" s="46"/>
      <c r="X2699" s="1"/>
      <c r="Y2699" s="1"/>
      <c r="Z2699" s="173"/>
      <c r="AA2699" s="1"/>
      <c r="AB2699" s="165"/>
      <c r="AC2699" s="1"/>
      <c r="AD2699" s="1"/>
      <c r="AE2699" s="1"/>
      <c r="AF2699" s="46"/>
      <c r="AG2699" s="1"/>
      <c r="AH2699" s="165"/>
      <c r="AI2699" s="165"/>
      <c r="AJ2699" s="165"/>
      <c r="AK2699" s="165"/>
      <c r="AL2699" s="165"/>
      <c r="AM2699" s="165"/>
      <c r="AN2699" s="165"/>
    </row>
    <row r="2700" spans="3:40">
      <c r="C2700" s="46"/>
      <c r="F2700" s="173"/>
      <c r="G2700" s="1"/>
      <c r="H2700" s="165"/>
      <c r="I2700" s="160"/>
      <c r="J2700" s="160"/>
      <c r="K2700" s="1"/>
      <c r="L2700" s="123"/>
      <c r="M2700" s="1"/>
      <c r="N2700" s="590"/>
      <c r="O2700" s="165"/>
      <c r="P2700" s="165"/>
      <c r="Q2700" s="165"/>
      <c r="R2700" s="165"/>
      <c r="S2700" s="165"/>
      <c r="V2700" s="46"/>
      <c r="W2700" s="46"/>
      <c r="X2700" s="1"/>
      <c r="Y2700" s="1"/>
      <c r="Z2700" s="173"/>
      <c r="AA2700" s="1"/>
      <c r="AB2700" s="165"/>
      <c r="AC2700" s="1"/>
      <c r="AD2700" s="1"/>
      <c r="AE2700" s="1"/>
      <c r="AF2700" s="46"/>
      <c r="AG2700" s="1"/>
      <c r="AH2700" s="165"/>
      <c r="AI2700" s="165"/>
      <c r="AJ2700" s="165"/>
      <c r="AK2700" s="165"/>
      <c r="AL2700" s="165"/>
      <c r="AM2700" s="165"/>
      <c r="AN2700" s="165"/>
    </row>
    <row r="2701" spans="3:40">
      <c r="C2701" s="46"/>
      <c r="F2701" s="173"/>
      <c r="G2701" s="1"/>
      <c r="H2701" s="165"/>
      <c r="I2701" s="160"/>
      <c r="J2701" s="160"/>
      <c r="K2701" s="1"/>
      <c r="L2701" s="123"/>
      <c r="M2701" s="1"/>
      <c r="N2701" s="590"/>
      <c r="O2701" s="165"/>
      <c r="P2701" s="165"/>
      <c r="Q2701" s="165"/>
      <c r="R2701" s="165"/>
      <c r="S2701" s="165"/>
      <c r="V2701" s="46"/>
      <c r="W2701" s="46"/>
      <c r="X2701" s="1"/>
      <c r="Y2701" s="1"/>
      <c r="Z2701" s="173"/>
      <c r="AA2701" s="1"/>
      <c r="AB2701" s="165"/>
      <c r="AC2701" s="1"/>
      <c r="AD2701" s="1"/>
      <c r="AE2701" s="1"/>
      <c r="AF2701" s="46"/>
      <c r="AG2701" s="1"/>
      <c r="AH2701" s="165"/>
      <c r="AI2701" s="165"/>
      <c r="AJ2701" s="165"/>
      <c r="AK2701" s="165"/>
      <c r="AL2701" s="165"/>
      <c r="AM2701" s="165"/>
      <c r="AN2701" s="165"/>
    </row>
    <row r="2702" spans="3:40">
      <c r="C2702" s="46"/>
      <c r="F2702" s="173"/>
      <c r="G2702" s="1"/>
      <c r="H2702" s="165"/>
      <c r="I2702" s="160"/>
      <c r="J2702" s="160"/>
      <c r="K2702" s="1"/>
      <c r="L2702" s="123"/>
      <c r="M2702" s="1"/>
      <c r="N2702" s="590"/>
      <c r="O2702" s="165"/>
      <c r="P2702" s="165"/>
      <c r="Q2702" s="165"/>
      <c r="R2702" s="165"/>
      <c r="S2702" s="165"/>
      <c r="V2702" s="46"/>
      <c r="W2702" s="46"/>
      <c r="X2702" s="1"/>
      <c r="Y2702" s="1"/>
      <c r="Z2702" s="173"/>
      <c r="AA2702" s="1"/>
      <c r="AB2702" s="165"/>
      <c r="AC2702" s="1"/>
      <c r="AD2702" s="1"/>
      <c r="AE2702" s="1"/>
      <c r="AF2702" s="46"/>
      <c r="AG2702" s="1"/>
      <c r="AH2702" s="165"/>
      <c r="AI2702" s="165"/>
      <c r="AJ2702" s="165"/>
      <c r="AK2702" s="165"/>
      <c r="AL2702" s="165"/>
      <c r="AM2702" s="165"/>
      <c r="AN2702" s="165"/>
    </row>
    <row r="2703" spans="3:40">
      <c r="C2703" s="46"/>
      <c r="F2703" s="173"/>
      <c r="G2703" s="1"/>
      <c r="H2703" s="165"/>
      <c r="I2703" s="160"/>
      <c r="J2703" s="160"/>
      <c r="K2703" s="1"/>
      <c r="L2703" s="123"/>
      <c r="M2703" s="1"/>
      <c r="N2703" s="590"/>
      <c r="O2703" s="165"/>
      <c r="P2703" s="165"/>
      <c r="Q2703" s="165"/>
      <c r="R2703" s="165"/>
      <c r="S2703" s="165"/>
      <c r="V2703" s="46"/>
      <c r="W2703" s="46"/>
      <c r="X2703" s="1"/>
      <c r="Y2703" s="1"/>
      <c r="Z2703" s="173"/>
      <c r="AA2703" s="1"/>
      <c r="AB2703" s="165"/>
      <c r="AC2703" s="1"/>
      <c r="AD2703" s="1"/>
      <c r="AE2703" s="1"/>
      <c r="AF2703" s="46"/>
      <c r="AG2703" s="1"/>
      <c r="AH2703" s="165"/>
      <c r="AI2703" s="165"/>
      <c r="AJ2703" s="165"/>
      <c r="AK2703" s="165"/>
      <c r="AL2703" s="165"/>
      <c r="AM2703" s="165"/>
      <c r="AN2703" s="165"/>
    </row>
    <row r="2704" spans="3:40">
      <c r="C2704" s="46"/>
      <c r="F2704" s="173"/>
      <c r="G2704" s="1"/>
      <c r="H2704" s="165"/>
      <c r="I2704" s="160"/>
      <c r="J2704" s="160"/>
      <c r="K2704" s="1"/>
      <c r="L2704" s="123"/>
      <c r="M2704" s="1"/>
      <c r="N2704" s="590"/>
      <c r="O2704" s="165"/>
      <c r="P2704" s="165"/>
      <c r="Q2704" s="165"/>
      <c r="R2704" s="165"/>
      <c r="S2704" s="165"/>
      <c r="V2704" s="46"/>
      <c r="W2704" s="46"/>
      <c r="X2704" s="1"/>
      <c r="Y2704" s="1"/>
      <c r="Z2704" s="173"/>
      <c r="AA2704" s="1"/>
      <c r="AB2704" s="165"/>
      <c r="AC2704" s="1"/>
      <c r="AD2704" s="1"/>
      <c r="AE2704" s="1"/>
      <c r="AF2704" s="46"/>
      <c r="AG2704" s="1"/>
      <c r="AH2704" s="165"/>
      <c r="AI2704" s="165"/>
      <c r="AJ2704" s="165"/>
      <c r="AK2704" s="165"/>
      <c r="AL2704" s="165"/>
      <c r="AM2704" s="165"/>
      <c r="AN2704" s="165"/>
    </row>
    <row r="2705" spans="3:40">
      <c r="C2705" s="46"/>
      <c r="F2705" s="173"/>
      <c r="G2705" s="1"/>
      <c r="H2705" s="165"/>
      <c r="I2705" s="160"/>
      <c r="J2705" s="160"/>
      <c r="K2705" s="1"/>
      <c r="L2705" s="123"/>
      <c r="M2705" s="1"/>
      <c r="N2705" s="590"/>
      <c r="O2705" s="165"/>
      <c r="P2705" s="165"/>
      <c r="Q2705" s="165"/>
      <c r="R2705" s="165"/>
      <c r="S2705" s="165"/>
      <c r="V2705" s="46"/>
      <c r="W2705" s="46"/>
      <c r="X2705" s="1"/>
      <c r="Y2705" s="1"/>
      <c r="Z2705" s="173"/>
      <c r="AA2705" s="1"/>
      <c r="AB2705" s="165"/>
      <c r="AC2705" s="1"/>
      <c r="AD2705" s="1"/>
      <c r="AE2705" s="1"/>
      <c r="AF2705" s="46"/>
      <c r="AG2705" s="1"/>
      <c r="AH2705" s="165"/>
      <c r="AI2705" s="165"/>
      <c r="AJ2705" s="165"/>
      <c r="AK2705" s="165"/>
      <c r="AL2705" s="165"/>
      <c r="AM2705" s="165"/>
      <c r="AN2705" s="165"/>
    </row>
    <row r="2706" spans="3:40">
      <c r="C2706" s="46"/>
      <c r="F2706" s="173"/>
      <c r="G2706" s="1"/>
      <c r="H2706" s="165"/>
      <c r="I2706" s="160"/>
      <c r="J2706" s="160"/>
      <c r="K2706" s="1"/>
      <c r="L2706" s="123"/>
      <c r="M2706" s="1"/>
      <c r="N2706" s="590"/>
      <c r="O2706" s="165"/>
      <c r="P2706" s="165"/>
      <c r="Q2706" s="165"/>
      <c r="R2706" s="165"/>
      <c r="S2706" s="165"/>
      <c r="V2706" s="46"/>
      <c r="W2706" s="46"/>
      <c r="X2706" s="1"/>
      <c r="Y2706" s="1"/>
      <c r="Z2706" s="173"/>
      <c r="AA2706" s="1"/>
      <c r="AB2706" s="165"/>
      <c r="AC2706" s="1"/>
      <c r="AD2706" s="1"/>
      <c r="AE2706" s="1"/>
      <c r="AF2706" s="46"/>
      <c r="AG2706" s="1"/>
      <c r="AH2706" s="165"/>
      <c r="AI2706" s="165"/>
      <c r="AJ2706" s="165"/>
      <c r="AK2706" s="165"/>
      <c r="AL2706" s="165"/>
      <c r="AM2706" s="165"/>
      <c r="AN2706" s="165"/>
    </row>
    <row r="2707" spans="3:40">
      <c r="C2707" s="46"/>
      <c r="F2707" s="173"/>
      <c r="G2707" s="1"/>
      <c r="H2707" s="165"/>
      <c r="I2707" s="160"/>
      <c r="J2707" s="160"/>
      <c r="K2707" s="1"/>
      <c r="L2707" s="123"/>
      <c r="M2707" s="1"/>
      <c r="N2707" s="590"/>
      <c r="O2707" s="165"/>
      <c r="P2707" s="165"/>
      <c r="Q2707" s="165"/>
      <c r="R2707" s="165"/>
      <c r="S2707" s="165"/>
      <c r="V2707" s="46"/>
      <c r="W2707" s="46"/>
      <c r="X2707" s="1"/>
      <c r="Y2707" s="1"/>
      <c r="Z2707" s="173"/>
      <c r="AA2707" s="1"/>
      <c r="AB2707" s="165"/>
      <c r="AC2707" s="1"/>
      <c r="AD2707" s="1"/>
      <c r="AE2707" s="1"/>
      <c r="AF2707" s="46"/>
      <c r="AG2707" s="1"/>
      <c r="AH2707" s="165"/>
      <c r="AI2707" s="165"/>
      <c r="AJ2707" s="165"/>
      <c r="AK2707" s="165"/>
      <c r="AL2707" s="165"/>
      <c r="AM2707" s="165"/>
      <c r="AN2707" s="165"/>
    </row>
    <row r="2708" spans="3:40">
      <c r="C2708" s="46"/>
      <c r="F2708" s="173"/>
      <c r="G2708" s="1"/>
      <c r="H2708" s="165"/>
      <c r="I2708" s="160"/>
      <c r="J2708" s="160"/>
      <c r="K2708" s="1"/>
      <c r="L2708" s="123"/>
      <c r="M2708" s="1"/>
      <c r="N2708" s="590"/>
      <c r="O2708" s="165"/>
      <c r="P2708" s="165"/>
      <c r="Q2708" s="165"/>
      <c r="R2708" s="165"/>
      <c r="S2708" s="165"/>
      <c r="V2708" s="46"/>
      <c r="W2708" s="46"/>
      <c r="X2708" s="1"/>
      <c r="Y2708" s="1"/>
      <c r="Z2708" s="173"/>
      <c r="AA2708" s="1"/>
      <c r="AB2708" s="165"/>
      <c r="AC2708" s="1"/>
      <c r="AD2708" s="1"/>
      <c r="AE2708" s="1"/>
      <c r="AF2708" s="46"/>
      <c r="AG2708" s="1"/>
      <c r="AH2708" s="165"/>
      <c r="AI2708" s="165"/>
      <c r="AJ2708" s="165"/>
      <c r="AK2708" s="165"/>
      <c r="AL2708" s="165"/>
      <c r="AM2708" s="165"/>
      <c r="AN2708" s="165"/>
    </row>
    <row r="2709" spans="3:40">
      <c r="C2709" s="46"/>
      <c r="F2709" s="173"/>
      <c r="G2709" s="1"/>
      <c r="H2709" s="165"/>
      <c r="I2709" s="160"/>
      <c r="J2709" s="160"/>
      <c r="K2709" s="1"/>
      <c r="L2709" s="123"/>
      <c r="M2709" s="1"/>
      <c r="N2709" s="590"/>
      <c r="O2709" s="165"/>
      <c r="P2709" s="165"/>
      <c r="Q2709" s="165"/>
      <c r="R2709" s="165"/>
      <c r="S2709" s="165"/>
      <c r="V2709" s="46"/>
      <c r="W2709" s="46"/>
      <c r="X2709" s="1"/>
      <c r="Y2709" s="1"/>
      <c r="Z2709" s="173"/>
      <c r="AA2709" s="1"/>
      <c r="AB2709" s="165"/>
      <c r="AC2709" s="1"/>
      <c r="AD2709" s="1"/>
      <c r="AE2709" s="1"/>
      <c r="AF2709" s="46"/>
      <c r="AG2709" s="1"/>
      <c r="AH2709" s="165"/>
      <c r="AI2709" s="165"/>
      <c r="AJ2709" s="165"/>
      <c r="AK2709" s="165"/>
      <c r="AL2709" s="165"/>
      <c r="AM2709" s="165"/>
      <c r="AN2709" s="165"/>
    </row>
    <row r="2710" spans="3:40">
      <c r="C2710" s="46"/>
      <c r="F2710" s="173"/>
      <c r="G2710" s="1"/>
      <c r="H2710" s="165"/>
      <c r="I2710" s="160"/>
      <c r="J2710" s="160"/>
      <c r="K2710" s="1"/>
      <c r="L2710" s="123"/>
      <c r="M2710" s="1"/>
      <c r="N2710" s="590"/>
      <c r="O2710" s="165"/>
      <c r="P2710" s="165"/>
      <c r="Q2710" s="165"/>
      <c r="R2710" s="165"/>
      <c r="S2710" s="165"/>
      <c r="V2710" s="46"/>
      <c r="W2710" s="46"/>
      <c r="X2710" s="1"/>
      <c r="Y2710" s="1"/>
      <c r="Z2710" s="173"/>
      <c r="AA2710" s="1"/>
      <c r="AB2710" s="165"/>
      <c r="AC2710" s="1"/>
      <c r="AD2710" s="1"/>
      <c r="AE2710" s="1"/>
      <c r="AF2710" s="46"/>
      <c r="AG2710" s="1"/>
      <c r="AH2710" s="165"/>
      <c r="AI2710" s="165"/>
      <c r="AJ2710" s="165"/>
      <c r="AK2710" s="165"/>
      <c r="AL2710" s="165"/>
      <c r="AM2710" s="165"/>
      <c r="AN2710" s="165"/>
    </row>
    <row r="2711" spans="3:40">
      <c r="C2711" s="46"/>
      <c r="F2711" s="173"/>
      <c r="G2711" s="1"/>
      <c r="H2711" s="165"/>
      <c r="I2711" s="160"/>
      <c r="J2711" s="160"/>
      <c r="K2711" s="1"/>
      <c r="L2711" s="123"/>
      <c r="M2711" s="1"/>
      <c r="N2711" s="590"/>
      <c r="O2711" s="165"/>
      <c r="P2711" s="165"/>
      <c r="Q2711" s="165"/>
      <c r="R2711" s="165"/>
      <c r="S2711" s="165"/>
      <c r="V2711" s="46"/>
      <c r="W2711" s="46"/>
      <c r="X2711" s="1"/>
      <c r="Y2711" s="1"/>
      <c r="Z2711" s="173"/>
      <c r="AA2711" s="1"/>
      <c r="AB2711" s="165"/>
      <c r="AC2711" s="1"/>
      <c r="AD2711" s="1"/>
      <c r="AE2711" s="1"/>
      <c r="AF2711" s="46"/>
      <c r="AG2711" s="1"/>
      <c r="AH2711" s="165"/>
      <c r="AI2711" s="165"/>
      <c r="AJ2711" s="165"/>
      <c r="AK2711" s="165"/>
      <c r="AL2711" s="165"/>
      <c r="AM2711" s="165"/>
      <c r="AN2711" s="165"/>
    </row>
    <row r="2712" spans="3:40">
      <c r="C2712" s="46"/>
      <c r="F2712" s="173"/>
      <c r="G2712" s="1"/>
      <c r="H2712" s="165"/>
      <c r="I2712" s="160"/>
      <c r="J2712" s="160"/>
      <c r="K2712" s="1"/>
      <c r="L2712" s="123"/>
      <c r="M2712" s="1"/>
      <c r="N2712" s="590"/>
      <c r="O2712" s="165"/>
      <c r="P2712" s="165"/>
      <c r="Q2712" s="165"/>
      <c r="R2712" s="165"/>
      <c r="S2712" s="165"/>
      <c r="V2712" s="46"/>
      <c r="W2712" s="46"/>
      <c r="X2712" s="1"/>
      <c r="Y2712" s="1"/>
      <c r="Z2712" s="173"/>
      <c r="AA2712" s="1"/>
      <c r="AB2712" s="165"/>
      <c r="AC2712" s="1"/>
      <c r="AD2712" s="1"/>
      <c r="AE2712" s="1"/>
      <c r="AF2712" s="46"/>
      <c r="AG2712" s="1"/>
      <c r="AH2712" s="165"/>
      <c r="AI2712" s="165"/>
      <c r="AJ2712" s="165"/>
      <c r="AK2712" s="165"/>
      <c r="AL2712" s="165"/>
      <c r="AM2712" s="165"/>
      <c r="AN2712" s="165"/>
    </row>
    <row r="2713" spans="3:40">
      <c r="C2713" s="46"/>
      <c r="F2713" s="173"/>
      <c r="G2713" s="1"/>
      <c r="H2713" s="165"/>
      <c r="I2713" s="160"/>
      <c r="J2713" s="160"/>
      <c r="K2713" s="1"/>
      <c r="L2713" s="123"/>
      <c r="M2713" s="1"/>
      <c r="N2713" s="590"/>
      <c r="O2713" s="165"/>
      <c r="P2713" s="165"/>
      <c r="Q2713" s="165"/>
      <c r="R2713" s="165"/>
      <c r="S2713" s="165"/>
      <c r="V2713" s="46"/>
      <c r="W2713" s="46"/>
      <c r="X2713" s="1"/>
      <c r="Y2713" s="1"/>
      <c r="Z2713" s="173"/>
      <c r="AA2713" s="1"/>
      <c r="AB2713" s="165"/>
      <c r="AC2713" s="1"/>
      <c r="AD2713" s="1"/>
      <c r="AE2713" s="1"/>
      <c r="AF2713" s="46"/>
      <c r="AG2713" s="1"/>
      <c r="AH2713" s="165"/>
      <c r="AI2713" s="165"/>
      <c r="AJ2713" s="165"/>
      <c r="AK2713" s="165"/>
      <c r="AL2713" s="165"/>
      <c r="AM2713" s="165"/>
      <c r="AN2713" s="165"/>
    </row>
    <row r="2714" spans="3:40">
      <c r="C2714" s="46"/>
      <c r="F2714" s="173"/>
      <c r="G2714" s="1"/>
      <c r="H2714" s="165"/>
      <c r="I2714" s="160"/>
      <c r="J2714" s="160"/>
      <c r="K2714" s="1"/>
      <c r="L2714" s="123"/>
      <c r="M2714" s="1"/>
      <c r="N2714" s="590"/>
      <c r="O2714" s="165"/>
      <c r="P2714" s="165"/>
      <c r="Q2714" s="165"/>
      <c r="R2714" s="165"/>
      <c r="S2714" s="165"/>
      <c r="V2714" s="46"/>
      <c r="W2714" s="46"/>
      <c r="X2714" s="1"/>
      <c r="Y2714" s="1"/>
      <c r="Z2714" s="173"/>
      <c r="AA2714" s="1"/>
      <c r="AB2714" s="165"/>
      <c r="AC2714" s="1"/>
      <c r="AD2714" s="1"/>
      <c r="AE2714" s="1"/>
      <c r="AF2714" s="46"/>
      <c r="AG2714" s="1"/>
      <c r="AH2714" s="165"/>
      <c r="AI2714" s="165"/>
      <c r="AJ2714" s="165"/>
      <c r="AK2714" s="165"/>
      <c r="AL2714" s="165"/>
      <c r="AM2714" s="165"/>
      <c r="AN2714" s="165"/>
    </row>
    <row r="2715" spans="3:40">
      <c r="C2715" s="46"/>
      <c r="F2715" s="173"/>
      <c r="G2715" s="1"/>
      <c r="H2715" s="165"/>
      <c r="I2715" s="160"/>
      <c r="J2715" s="160"/>
      <c r="K2715" s="1"/>
      <c r="L2715" s="123"/>
      <c r="M2715" s="1"/>
      <c r="N2715" s="590"/>
      <c r="O2715" s="165"/>
      <c r="P2715" s="165"/>
      <c r="Q2715" s="165"/>
      <c r="R2715" s="165"/>
      <c r="S2715" s="165"/>
      <c r="V2715" s="46"/>
      <c r="W2715" s="46"/>
      <c r="X2715" s="1"/>
      <c r="Y2715" s="1"/>
      <c r="Z2715" s="173"/>
      <c r="AA2715" s="1"/>
      <c r="AB2715" s="165"/>
      <c r="AC2715" s="1"/>
      <c r="AD2715" s="1"/>
      <c r="AE2715" s="1"/>
      <c r="AF2715" s="46"/>
      <c r="AG2715" s="1"/>
      <c r="AH2715" s="165"/>
      <c r="AI2715" s="165"/>
      <c r="AJ2715" s="165"/>
      <c r="AK2715" s="165"/>
      <c r="AL2715" s="165"/>
      <c r="AM2715" s="165"/>
      <c r="AN2715" s="165"/>
    </row>
    <row r="2716" spans="3:40">
      <c r="C2716" s="46"/>
      <c r="F2716" s="173"/>
      <c r="G2716" s="1"/>
      <c r="H2716" s="165"/>
      <c r="I2716" s="160"/>
      <c r="J2716" s="160"/>
      <c r="K2716" s="1"/>
      <c r="L2716" s="123"/>
      <c r="M2716" s="1"/>
      <c r="N2716" s="590"/>
      <c r="O2716" s="165"/>
      <c r="P2716" s="165"/>
      <c r="Q2716" s="165"/>
      <c r="R2716" s="165"/>
      <c r="S2716" s="165"/>
      <c r="V2716" s="46"/>
      <c r="W2716" s="46"/>
      <c r="X2716" s="1"/>
      <c r="Y2716" s="1"/>
      <c r="Z2716" s="173"/>
      <c r="AA2716" s="1"/>
      <c r="AB2716" s="165"/>
      <c r="AC2716" s="1"/>
      <c r="AD2716" s="1"/>
      <c r="AE2716" s="1"/>
      <c r="AF2716" s="46"/>
      <c r="AG2716" s="1"/>
      <c r="AH2716" s="165"/>
      <c r="AI2716" s="165"/>
      <c r="AJ2716" s="165"/>
      <c r="AK2716" s="165"/>
      <c r="AL2716" s="165"/>
      <c r="AM2716" s="165"/>
      <c r="AN2716" s="165"/>
    </row>
    <row r="2717" spans="3:40">
      <c r="C2717" s="46"/>
      <c r="F2717" s="173"/>
      <c r="G2717" s="1"/>
      <c r="H2717" s="165"/>
      <c r="I2717" s="160"/>
      <c r="J2717" s="160"/>
      <c r="K2717" s="1"/>
      <c r="L2717" s="123"/>
      <c r="M2717" s="1"/>
      <c r="N2717" s="590"/>
      <c r="O2717" s="165"/>
      <c r="P2717" s="165"/>
      <c r="Q2717" s="165"/>
      <c r="R2717" s="165"/>
      <c r="S2717" s="165"/>
      <c r="V2717" s="46"/>
      <c r="W2717" s="46"/>
      <c r="X2717" s="1"/>
      <c r="Y2717" s="1"/>
      <c r="Z2717" s="173"/>
      <c r="AA2717" s="1"/>
      <c r="AB2717" s="165"/>
      <c r="AC2717" s="1"/>
      <c r="AD2717" s="1"/>
      <c r="AE2717" s="1"/>
      <c r="AF2717" s="46"/>
      <c r="AG2717" s="1"/>
      <c r="AH2717" s="165"/>
      <c r="AI2717" s="165"/>
      <c r="AJ2717" s="165"/>
      <c r="AK2717" s="165"/>
      <c r="AL2717" s="165"/>
      <c r="AM2717" s="165"/>
      <c r="AN2717" s="165"/>
    </row>
    <row r="2718" spans="3:40">
      <c r="C2718" s="46"/>
      <c r="F2718" s="173"/>
      <c r="G2718" s="1"/>
      <c r="H2718" s="165"/>
      <c r="I2718" s="160"/>
      <c r="J2718" s="160"/>
      <c r="K2718" s="1"/>
      <c r="L2718" s="123"/>
      <c r="M2718" s="1"/>
      <c r="N2718" s="590"/>
      <c r="O2718" s="165"/>
      <c r="P2718" s="165"/>
      <c r="Q2718" s="165"/>
      <c r="R2718" s="165"/>
      <c r="S2718" s="165"/>
      <c r="V2718" s="46"/>
      <c r="W2718" s="46"/>
      <c r="X2718" s="1"/>
      <c r="Y2718" s="1"/>
      <c r="Z2718" s="173"/>
      <c r="AA2718" s="1"/>
      <c r="AB2718" s="165"/>
      <c r="AC2718" s="1"/>
      <c r="AD2718" s="1"/>
      <c r="AE2718" s="1"/>
      <c r="AF2718" s="46"/>
      <c r="AG2718" s="1"/>
      <c r="AH2718" s="165"/>
      <c r="AI2718" s="165"/>
      <c r="AJ2718" s="165"/>
      <c r="AK2718" s="165"/>
      <c r="AL2718" s="165"/>
      <c r="AM2718" s="165"/>
      <c r="AN2718" s="165"/>
    </row>
    <row r="2719" spans="3:40">
      <c r="C2719" s="46"/>
      <c r="F2719" s="173"/>
      <c r="G2719" s="1"/>
      <c r="H2719" s="165"/>
      <c r="I2719" s="160"/>
      <c r="J2719" s="160"/>
      <c r="K2719" s="1"/>
      <c r="L2719" s="123"/>
      <c r="M2719" s="1"/>
      <c r="N2719" s="590"/>
      <c r="O2719" s="165"/>
      <c r="P2719" s="165"/>
      <c r="Q2719" s="165"/>
      <c r="R2719" s="165"/>
      <c r="S2719" s="165"/>
      <c r="V2719" s="46"/>
      <c r="W2719" s="46"/>
      <c r="X2719" s="1"/>
      <c r="Y2719" s="1"/>
      <c r="Z2719" s="173"/>
      <c r="AA2719" s="1"/>
      <c r="AB2719" s="165"/>
      <c r="AC2719" s="1"/>
      <c r="AD2719" s="1"/>
      <c r="AE2719" s="1"/>
      <c r="AF2719" s="46"/>
      <c r="AG2719" s="1"/>
      <c r="AH2719" s="165"/>
      <c r="AI2719" s="165"/>
      <c r="AJ2719" s="165"/>
      <c r="AK2719" s="165"/>
      <c r="AL2719" s="165"/>
      <c r="AM2719" s="165"/>
      <c r="AN2719" s="165"/>
    </row>
    <row r="2720" spans="3:40">
      <c r="C2720" s="46"/>
      <c r="F2720" s="173"/>
      <c r="G2720" s="1"/>
      <c r="H2720" s="165"/>
      <c r="I2720" s="160"/>
      <c r="J2720" s="160"/>
      <c r="K2720" s="1"/>
      <c r="L2720" s="123"/>
      <c r="M2720" s="1"/>
      <c r="N2720" s="590"/>
      <c r="O2720" s="165"/>
      <c r="P2720" s="165"/>
      <c r="Q2720" s="165"/>
      <c r="R2720" s="165"/>
      <c r="S2720" s="165"/>
      <c r="V2720" s="46"/>
      <c r="W2720" s="46"/>
      <c r="X2720" s="1"/>
      <c r="Y2720" s="1"/>
      <c r="Z2720" s="173"/>
      <c r="AA2720" s="1"/>
      <c r="AB2720" s="165"/>
      <c r="AC2720" s="1"/>
      <c r="AD2720" s="1"/>
      <c r="AE2720" s="1"/>
      <c r="AF2720" s="46"/>
      <c r="AG2720" s="1"/>
      <c r="AH2720" s="165"/>
      <c r="AI2720" s="165"/>
      <c r="AJ2720" s="165"/>
      <c r="AK2720" s="165"/>
      <c r="AL2720" s="165"/>
      <c r="AM2720" s="165"/>
      <c r="AN2720" s="165"/>
    </row>
    <row r="2721" spans="3:40">
      <c r="C2721" s="46"/>
      <c r="F2721" s="173"/>
      <c r="G2721" s="1"/>
      <c r="H2721" s="165"/>
      <c r="I2721" s="160"/>
      <c r="J2721" s="160"/>
      <c r="K2721" s="1"/>
      <c r="L2721" s="123"/>
      <c r="M2721" s="1"/>
      <c r="N2721" s="590"/>
      <c r="O2721" s="165"/>
      <c r="P2721" s="165"/>
      <c r="Q2721" s="165"/>
      <c r="R2721" s="165"/>
      <c r="S2721" s="165"/>
      <c r="V2721" s="46"/>
      <c r="W2721" s="46"/>
      <c r="X2721" s="1"/>
      <c r="Y2721" s="1"/>
      <c r="Z2721" s="173"/>
      <c r="AA2721" s="1"/>
      <c r="AB2721" s="165"/>
      <c r="AC2721" s="1"/>
      <c r="AD2721" s="1"/>
      <c r="AE2721" s="1"/>
      <c r="AF2721" s="46"/>
      <c r="AG2721" s="1"/>
      <c r="AH2721" s="165"/>
      <c r="AI2721" s="165"/>
      <c r="AJ2721" s="165"/>
      <c r="AK2721" s="165"/>
      <c r="AL2721" s="165"/>
      <c r="AM2721" s="165"/>
      <c r="AN2721" s="165"/>
    </row>
    <row r="2722" spans="3:40">
      <c r="C2722" s="46"/>
      <c r="F2722" s="173"/>
      <c r="G2722" s="1"/>
      <c r="H2722" s="165"/>
      <c r="I2722" s="160"/>
      <c r="J2722" s="160"/>
      <c r="K2722" s="1"/>
      <c r="L2722" s="123"/>
      <c r="M2722" s="1"/>
      <c r="N2722" s="590"/>
      <c r="O2722" s="165"/>
      <c r="P2722" s="165"/>
      <c r="Q2722" s="165"/>
      <c r="R2722" s="165"/>
      <c r="S2722" s="165"/>
      <c r="V2722" s="46"/>
      <c r="W2722" s="46"/>
      <c r="X2722" s="1"/>
      <c r="Y2722" s="1"/>
      <c r="Z2722" s="173"/>
      <c r="AA2722" s="1"/>
      <c r="AB2722" s="165"/>
      <c r="AC2722" s="1"/>
      <c r="AD2722" s="1"/>
      <c r="AE2722" s="1"/>
      <c r="AF2722" s="46"/>
      <c r="AG2722" s="1"/>
      <c r="AH2722" s="165"/>
      <c r="AI2722" s="165"/>
      <c r="AJ2722" s="165"/>
      <c r="AK2722" s="165"/>
      <c r="AL2722" s="165"/>
      <c r="AM2722" s="165"/>
      <c r="AN2722" s="165"/>
    </row>
    <row r="2723" spans="3:40">
      <c r="C2723" s="46"/>
      <c r="F2723" s="173"/>
      <c r="G2723" s="1"/>
      <c r="H2723" s="165"/>
      <c r="I2723" s="160"/>
      <c r="J2723" s="160"/>
      <c r="K2723" s="1"/>
      <c r="L2723" s="123"/>
      <c r="M2723" s="1"/>
      <c r="N2723" s="590"/>
      <c r="O2723" s="165"/>
      <c r="P2723" s="165"/>
      <c r="Q2723" s="165"/>
      <c r="R2723" s="165"/>
      <c r="S2723" s="165"/>
      <c r="V2723" s="46"/>
      <c r="W2723" s="46"/>
      <c r="X2723" s="1"/>
      <c r="Y2723" s="1"/>
      <c r="Z2723" s="173"/>
      <c r="AA2723" s="1"/>
      <c r="AB2723" s="165"/>
      <c r="AC2723" s="1"/>
      <c r="AD2723" s="1"/>
      <c r="AE2723" s="1"/>
      <c r="AF2723" s="46"/>
      <c r="AG2723" s="1"/>
      <c r="AH2723" s="165"/>
      <c r="AI2723" s="165"/>
      <c r="AJ2723" s="165"/>
      <c r="AK2723" s="165"/>
      <c r="AL2723" s="165"/>
      <c r="AM2723" s="165"/>
      <c r="AN2723" s="165"/>
    </row>
    <row r="2724" spans="3:40">
      <c r="C2724" s="46"/>
      <c r="F2724" s="173"/>
      <c r="G2724" s="1"/>
      <c r="H2724" s="165"/>
      <c r="I2724" s="160"/>
      <c r="J2724" s="160"/>
      <c r="K2724" s="1"/>
      <c r="L2724" s="123"/>
      <c r="M2724" s="1"/>
      <c r="N2724" s="590"/>
      <c r="O2724" s="165"/>
      <c r="P2724" s="165"/>
      <c r="Q2724" s="165"/>
      <c r="R2724" s="165"/>
      <c r="S2724" s="165"/>
      <c r="V2724" s="46"/>
      <c r="W2724" s="46"/>
      <c r="X2724" s="1"/>
      <c r="Y2724" s="1"/>
      <c r="Z2724" s="173"/>
      <c r="AA2724" s="1"/>
      <c r="AB2724" s="165"/>
      <c r="AC2724" s="1"/>
      <c r="AD2724" s="1"/>
      <c r="AE2724" s="1"/>
      <c r="AF2724" s="46"/>
      <c r="AG2724" s="1"/>
      <c r="AH2724" s="165"/>
      <c r="AI2724" s="165"/>
      <c r="AJ2724" s="165"/>
      <c r="AK2724" s="165"/>
      <c r="AL2724" s="165"/>
      <c r="AM2724" s="165"/>
      <c r="AN2724" s="165"/>
    </row>
    <row r="2725" spans="3:40">
      <c r="C2725" s="46"/>
      <c r="F2725" s="173"/>
      <c r="G2725" s="1"/>
      <c r="H2725" s="165"/>
      <c r="I2725" s="160"/>
      <c r="J2725" s="160"/>
      <c r="K2725" s="1"/>
      <c r="L2725" s="123"/>
      <c r="M2725" s="1"/>
      <c r="N2725" s="590"/>
      <c r="O2725" s="165"/>
      <c r="P2725" s="165"/>
      <c r="Q2725" s="165"/>
      <c r="R2725" s="165"/>
      <c r="S2725" s="165"/>
      <c r="V2725" s="46"/>
      <c r="W2725" s="46"/>
      <c r="X2725" s="1"/>
      <c r="Y2725" s="1"/>
      <c r="Z2725" s="173"/>
      <c r="AA2725" s="1"/>
      <c r="AB2725" s="165"/>
      <c r="AC2725" s="1"/>
      <c r="AD2725" s="1"/>
      <c r="AE2725" s="1"/>
      <c r="AF2725" s="46"/>
      <c r="AG2725" s="1"/>
      <c r="AH2725" s="165"/>
      <c r="AI2725" s="165"/>
      <c r="AJ2725" s="165"/>
      <c r="AK2725" s="165"/>
      <c r="AL2725" s="165"/>
      <c r="AM2725" s="165"/>
      <c r="AN2725" s="165"/>
    </row>
    <row r="2726" spans="3:40">
      <c r="C2726" s="46"/>
      <c r="F2726" s="173"/>
      <c r="G2726" s="1"/>
      <c r="H2726" s="165"/>
      <c r="I2726" s="160"/>
      <c r="J2726" s="160"/>
      <c r="K2726" s="1"/>
      <c r="L2726" s="123"/>
      <c r="M2726" s="1"/>
      <c r="N2726" s="590"/>
      <c r="O2726" s="165"/>
      <c r="P2726" s="165"/>
      <c r="Q2726" s="165"/>
      <c r="R2726" s="165"/>
      <c r="S2726" s="165"/>
      <c r="V2726" s="46"/>
      <c r="W2726" s="46"/>
      <c r="X2726" s="1"/>
      <c r="Y2726" s="1"/>
      <c r="Z2726" s="173"/>
      <c r="AA2726" s="1"/>
      <c r="AB2726" s="165"/>
      <c r="AC2726" s="1"/>
      <c r="AD2726" s="1"/>
      <c r="AE2726" s="1"/>
      <c r="AF2726" s="46"/>
      <c r="AG2726" s="1"/>
      <c r="AH2726" s="165"/>
      <c r="AI2726" s="165"/>
      <c r="AJ2726" s="165"/>
      <c r="AK2726" s="165"/>
      <c r="AL2726" s="165"/>
      <c r="AM2726" s="165"/>
      <c r="AN2726" s="165"/>
    </row>
    <row r="2727" spans="3:40">
      <c r="C2727" s="46"/>
      <c r="F2727" s="173"/>
      <c r="G2727" s="1"/>
      <c r="H2727" s="165"/>
      <c r="I2727" s="160"/>
      <c r="J2727" s="160"/>
      <c r="K2727" s="1"/>
      <c r="L2727" s="123"/>
      <c r="M2727" s="1"/>
      <c r="N2727" s="590"/>
      <c r="O2727" s="165"/>
      <c r="P2727" s="165"/>
      <c r="Q2727" s="165"/>
      <c r="R2727" s="165"/>
      <c r="S2727" s="165"/>
      <c r="V2727" s="46"/>
      <c r="W2727" s="46"/>
      <c r="X2727" s="1"/>
      <c r="Y2727" s="1"/>
      <c r="Z2727" s="173"/>
      <c r="AA2727" s="1"/>
      <c r="AB2727" s="165"/>
      <c r="AC2727" s="1"/>
      <c r="AD2727" s="1"/>
      <c r="AE2727" s="1"/>
      <c r="AF2727" s="46"/>
      <c r="AG2727" s="1"/>
      <c r="AH2727" s="165"/>
      <c r="AI2727" s="165"/>
      <c r="AJ2727" s="165"/>
      <c r="AK2727" s="165"/>
      <c r="AL2727" s="165"/>
      <c r="AM2727" s="165"/>
      <c r="AN2727" s="165"/>
    </row>
    <row r="2728" spans="3:40">
      <c r="C2728" s="46"/>
      <c r="F2728" s="173"/>
      <c r="G2728" s="1"/>
      <c r="H2728" s="165"/>
      <c r="I2728" s="160"/>
      <c r="J2728" s="160"/>
      <c r="K2728" s="1"/>
      <c r="L2728" s="123"/>
      <c r="M2728" s="1"/>
      <c r="N2728" s="590"/>
      <c r="O2728" s="165"/>
      <c r="P2728" s="165"/>
      <c r="Q2728" s="165"/>
      <c r="R2728" s="165"/>
      <c r="S2728" s="165"/>
      <c r="V2728" s="46"/>
      <c r="W2728" s="46"/>
      <c r="X2728" s="1"/>
      <c r="Y2728" s="1"/>
      <c r="Z2728" s="173"/>
      <c r="AA2728" s="1"/>
      <c r="AB2728" s="165"/>
      <c r="AC2728" s="1"/>
      <c r="AD2728" s="1"/>
      <c r="AE2728" s="1"/>
      <c r="AF2728" s="46"/>
      <c r="AG2728" s="1"/>
      <c r="AH2728" s="165"/>
      <c r="AI2728" s="165"/>
      <c r="AJ2728" s="165"/>
      <c r="AK2728" s="165"/>
      <c r="AL2728" s="165"/>
      <c r="AM2728" s="165"/>
      <c r="AN2728" s="165"/>
    </row>
    <row r="2729" spans="3:40">
      <c r="C2729" s="46"/>
      <c r="F2729" s="173"/>
      <c r="G2729" s="1"/>
      <c r="H2729" s="165"/>
      <c r="I2729" s="160"/>
      <c r="J2729" s="160"/>
      <c r="K2729" s="1"/>
      <c r="L2729" s="123"/>
      <c r="M2729" s="1"/>
      <c r="N2729" s="590"/>
      <c r="O2729" s="165"/>
      <c r="P2729" s="165"/>
      <c r="Q2729" s="165"/>
      <c r="R2729" s="165"/>
      <c r="S2729" s="165"/>
      <c r="V2729" s="46"/>
      <c r="W2729" s="46"/>
      <c r="X2729" s="1"/>
      <c r="Y2729" s="1"/>
      <c r="Z2729" s="173"/>
      <c r="AA2729" s="1"/>
      <c r="AB2729" s="165"/>
      <c r="AC2729" s="1"/>
      <c r="AD2729" s="1"/>
      <c r="AE2729" s="1"/>
      <c r="AF2729" s="46"/>
      <c r="AG2729" s="1"/>
      <c r="AH2729" s="165"/>
      <c r="AI2729" s="165"/>
      <c r="AJ2729" s="165"/>
      <c r="AK2729" s="165"/>
      <c r="AL2729" s="165"/>
      <c r="AM2729" s="165"/>
      <c r="AN2729" s="165"/>
    </row>
    <row r="2730" spans="3:40">
      <c r="C2730" s="46"/>
      <c r="F2730" s="173"/>
      <c r="G2730" s="1"/>
      <c r="H2730" s="165"/>
      <c r="I2730" s="160"/>
      <c r="J2730" s="160"/>
      <c r="K2730" s="1"/>
      <c r="L2730" s="123"/>
      <c r="M2730" s="1"/>
      <c r="N2730" s="590"/>
      <c r="O2730" s="165"/>
      <c r="P2730" s="165"/>
      <c r="Q2730" s="165"/>
      <c r="R2730" s="165"/>
      <c r="S2730" s="165"/>
      <c r="V2730" s="46"/>
      <c r="W2730" s="46"/>
      <c r="X2730" s="1"/>
      <c r="Y2730" s="1"/>
      <c r="Z2730" s="173"/>
      <c r="AA2730" s="1"/>
      <c r="AB2730" s="165"/>
      <c r="AC2730" s="1"/>
      <c r="AD2730" s="1"/>
      <c r="AE2730" s="1"/>
      <c r="AF2730" s="46"/>
      <c r="AG2730" s="1"/>
      <c r="AH2730" s="165"/>
      <c r="AI2730" s="165"/>
      <c r="AJ2730" s="165"/>
      <c r="AK2730" s="165"/>
      <c r="AL2730" s="165"/>
      <c r="AM2730" s="165"/>
      <c r="AN2730" s="165"/>
    </row>
    <row r="2731" spans="3:40">
      <c r="C2731" s="46"/>
      <c r="F2731" s="173"/>
      <c r="G2731" s="1"/>
      <c r="H2731" s="165"/>
      <c r="I2731" s="160"/>
      <c r="J2731" s="160"/>
      <c r="K2731" s="1"/>
      <c r="L2731" s="123"/>
      <c r="M2731" s="1"/>
      <c r="N2731" s="590"/>
      <c r="O2731" s="165"/>
      <c r="P2731" s="165"/>
      <c r="Q2731" s="165"/>
      <c r="R2731" s="165"/>
      <c r="S2731" s="165"/>
      <c r="V2731" s="46"/>
      <c r="W2731" s="46"/>
      <c r="X2731" s="1"/>
      <c r="Y2731" s="1"/>
      <c r="Z2731" s="173"/>
      <c r="AA2731" s="1"/>
      <c r="AB2731" s="165"/>
      <c r="AC2731" s="1"/>
      <c r="AD2731" s="1"/>
      <c r="AE2731" s="1"/>
      <c r="AF2731" s="46"/>
      <c r="AG2731" s="1"/>
      <c r="AH2731" s="165"/>
      <c r="AI2731" s="165"/>
      <c r="AJ2731" s="165"/>
      <c r="AK2731" s="165"/>
      <c r="AL2731" s="165"/>
      <c r="AM2731" s="165"/>
      <c r="AN2731" s="165"/>
    </row>
    <row r="2732" spans="3:40">
      <c r="C2732" s="46"/>
      <c r="F2732" s="173"/>
      <c r="G2732" s="1"/>
      <c r="H2732" s="165"/>
      <c r="I2732" s="160"/>
      <c r="J2732" s="160"/>
      <c r="K2732" s="1"/>
      <c r="L2732" s="123"/>
      <c r="M2732" s="1"/>
      <c r="N2732" s="590"/>
      <c r="O2732" s="165"/>
      <c r="P2732" s="165"/>
      <c r="Q2732" s="165"/>
      <c r="R2732" s="165"/>
      <c r="S2732" s="165"/>
      <c r="V2732" s="46"/>
      <c r="W2732" s="46"/>
      <c r="X2732" s="1"/>
      <c r="Y2732" s="1"/>
      <c r="Z2732" s="173"/>
      <c r="AA2732" s="1"/>
      <c r="AB2732" s="165"/>
      <c r="AC2732" s="1"/>
      <c r="AD2732" s="1"/>
      <c r="AE2732" s="1"/>
      <c r="AF2732" s="46"/>
      <c r="AG2732" s="1"/>
      <c r="AH2732" s="165"/>
      <c r="AI2732" s="165"/>
      <c r="AJ2732" s="165"/>
      <c r="AK2732" s="165"/>
      <c r="AL2732" s="165"/>
      <c r="AM2732" s="165"/>
      <c r="AN2732" s="165"/>
    </row>
    <row r="2733" spans="3:40">
      <c r="C2733" s="46"/>
      <c r="F2733" s="173"/>
      <c r="G2733" s="1"/>
      <c r="H2733" s="165"/>
      <c r="I2733" s="160"/>
      <c r="J2733" s="160"/>
      <c r="K2733" s="1"/>
      <c r="L2733" s="123"/>
      <c r="M2733" s="1"/>
      <c r="N2733" s="590"/>
      <c r="O2733" s="165"/>
      <c r="P2733" s="165"/>
      <c r="Q2733" s="165"/>
      <c r="R2733" s="165"/>
      <c r="S2733" s="165"/>
      <c r="V2733" s="46"/>
      <c r="W2733" s="46"/>
      <c r="X2733" s="1"/>
      <c r="Y2733" s="1"/>
      <c r="Z2733" s="173"/>
      <c r="AA2733" s="1"/>
      <c r="AB2733" s="165"/>
      <c r="AC2733" s="1"/>
      <c r="AD2733" s="1"/>
      <c r="AE2733" s="1"/>
      <c r="AF2733" s="46"/>
      <c r="AG2733" s="1"/>
      <c r="AH2733" s="165"/>
      <c r="AI2733" s="165"/>
      <c r="AJ2733" s="165"/>
      <c r="AK2733" s="165"/>
      <c r="AL2733" s="165"/>
      <c r="AM2733" s="165"/>
      <c r="AN2733" s="165"/>
    </row>
    <row r="2734" spans="3:40">
      <c r="C2734" s="46"/>
      <c r="F2734" s="173"/>
      <c r="G2734" s="1"/>
      <c r="H2734" s="165"/>
      <c r="I2734" s="160"/>
      <c r="J2734" s="160"/>
      <c r="K2734" s="1"/>
      <c r="L2734" s="123"/>
      <c r="M2734" s="1"/>
      <c r="N2734" s="590"/>
      <c r="O2734" s="165"/>
      <c r="P2734" s="165"/>
      <c r="Q2734" s="165"/>
      <c r="R2734" s="165"/>
      <c r="S2734" s="165"/>
      <c r="V2734" s="46"/>
      <c r="W2734" s="46"/>
      <c r="X2734" s="1"/>
      <c r="Y2734" s="1"/>
      <c r="Z2734" s="173"/>
      <c r="AA2734" s="1"/>
      <c r="AB2734" s="165"/>
      <c r="AC2734" s="1"/>
      <c r="AD2734" s="1"/>
      <c r="AE2734" s="1"/>
      <c r="AF2734" s="46"/>
      <c r="AG2734" s="1"/>
      <c r="AH2734" s="165"/>
      <c r="AI2734" s="165"/>
      <c r="AJ2734" s="165"/>
      <c r="AK2734" s="165"/>
      <c r="AL2734" s="165"/>
      <c r="AM2734" s="165"/>
      <c r="AN2734" s="165"/>
    </row>
    <row r="2735" spans="3:40">
      <c r="C2735" s="46"/>
      <c r="F2735" s="173"/>
      <c r="G2735" s="1"/>
      <c r="H2735" s="165"/>
      <c r="I2735" s="160"/>
      <c r="J2735" s="160"/>
      <c r="K2735" s="1"/>
      <c r="L2735" s="123"/>
      <c r="M2735" s="1"/>
      <c r="N2735" s="590"/>
      <c r="O2735" s="165"/>
      <c r="P2735" s="165"/>
      <c r="Q2735" s="165"/>
      <c r="R2735" s="165"/>
      <c r="S2735" s="165"/>
      <c r="V2735" s="46"/>
      <c r="W2735" s="46"/>
      <c r="X2735" s="1"/>
      <c r="Y2735" s="1"/>
      <c r="Z2735" s="173"/>
      <c r="AA2735" s="1"/>
      <c r="AB2735" s="165"/>
      <c r="AC2735" s="1"/>
      <c r="AD2735" s="1"/>
      <c r="AE2735" s="1"/>
      <c r="AF2735" s="46"/>
      <c r="AG2735" s="1"/>
      <c r="AH2735" s="165"/>
      <c r="AI2735" s="165"/>
      <c r="AJ2735" s="165"/>
      <c r="AK2735" s="165"/>
      <c r="AL2735" s="165"/>
      <c r="AM2735" s="165"/>
      <c r="AN2735" s="165"/>
    </row>
    <row r="2736" spans="3:40">
      <c r="C2736" s="46"/>
      <c r="F2736" s="173"/>
      <c r="G2736" s="1"/>
      <c r="H2736" s="165"/>
      <c r="I2736" s="160"/>
      <c r="J2736" s="160"/>
      <c r="K2736" s="1"/>
      <c r="L2736" s="123"/>
      <c r="M2736" s="1"/>
      <c r="N2736" s="590"/>
      <c r="O2736" s="165"/>
      <c r="P2736" s="165"/>
      <c r="Q2736" s="165"/>
      <c r="R2736" s="165"/>
      <c r="S2736" s="165"/>
      <c r="V2736" s="46"/>
      <c r="W2736" s="46"/>
      <c r="X2736" s="1"/>
      <c r="Y2736" s="1"/>
      <c r="Z2736" s="173"/>
      <c r="AA2736" s="1"/>
      <c r="AB2736" s="165"/>
      <c r="AC2736" s="1"/>
      <c r="AD2736" s="1"/>
      <c r="AE2736" s="1"/>
      <c r="AF2736" s="46"/>
      <c r="AG2736" s="1"/>
      <c r="AH2736" s="165"/>
      <c r="AI2736" s="165"/>
      <c r="AJ2736" s="165"/>
      <c r="AK2736" s="165"/>
      <c r="AL2736" s="165"/>
      <c r="AM2736" s="165"/>
      <c r="AN2736" s="165"/>
    </row>
    <row r="2737" spans="3:40">
      <c r="C2737" s="46"/>
      <c r="F2737" s="173"/>
      <c r="G2737" s="1"/>
      <c r="H2737" s="165"/>
      <c r="I2737" s="160"/>
      <c r="J2737" s="160"/>
      <c r="K2737" s="1"/>
      <c r="L2737" s="123"/>
      <c r="M2737" s="1"/>
      <c r="N2737" s="590"/>
      <c r="O2737" s="165"/>
      <c r="P2737" s="165"/>
      <c r="Q2737" s="165"/>
      <c r="R2737" s="165"/>
      <c r="S2737" s="165"/>
      <c r="V2737" s="46"/>
      <c r="W2737" s="46"/>
      <c r="X2737" s="1"/>
      <c r="Y2737" s="1"/>
      <c r="Z2737" s="173"/>
      <c r="AA2737" s="1"/>
      <c r="AB2737" s="165"/>
      <c r="AC2737" s="1"/>
      <c r="AD2737" s="1"/>
      <c r="AE2737" s="1"/>
      <c r="AF2737" s="46"/>
      <c r="AG2737" s="1"/>
      <c r="AH2737" s="165"/>
      <c r="AI2737" s="165"/>
      <c r="AJ2737" s="165"/>
      <c r="AK2737" s="165"/>
      <c r="AL2737" s="165"/>
      <c r="AM2737" s="165"/>
      <c r="AN2737" s="165"/>
    </row>
    <row r="2738" spans="3:40">
      <c r="C2738" s="46"/>
      <c r="F2738" s="173"/>
      <c r="G2738" s="1"/>
      <c r="H2738" s="165"/>
      <c r="I2738" s="160"/>
      <c r="J2738" s="160"/>
      <c r="K2738" s="1"/>
      <c r="L2738" s="123"/>
      <c r="M2738" s="1"/>
      <c r="N2738" s="590"/>
      <c r="O2738" s="165"/>
      <c r="P2738" s="165"/>
      <c r="Q2738" s="165"/>
      <c r="R2738" s="165"/>
      <c r="S2738" s="165"/>
      <c r="V2738" s="46"/>
      <c r="W2738" s="46"/>
      <c r="X2738" s="1"/>
      <c r="Y2738" s="1"/>
      <c r="Z2738" s="173"/>
      <c r="AA2738" s="1"/>
      <c r="AB2738" s="165"/>
      <c r="AC2738" s="1"/>
      <c r="AD2738" s="1"/>
      <c r="AE2738" s="1"/>
      <c r="AF2738" s="46"/>
      <c r="AG2738" s="1"/>
      <c r="AH2738" s="165"/>
      <c r="AI2738" s="165"/>
      <c r="AJ2738" s="165"/>
      <c r="AK2738" s="165"/>
      <c r="AL2738" s="165"/>
      <c r="AM2738" s="165"/>
      <c r="AN2738" s="165"/>
    </row>
    <row r="2739" spans="3:40">
      <c r="C2739" s="46"/>
      <c r="F2739" s="173"/>
      <c r="G2739" s="1"/>
      <c r="H2739" s="165"/>
      <c r="I2739" s="160"/>
      <c r="J2739" s="160"/>
      <c r="K2739" s="1"/>
      <c r="L2739" s="123"/>
      <c r="M2739" s="1"/>
      <c r="N2739" s="590"/>
      <c r="O2739" s="165"/>
      <c r="P2739" s="165"/>
      <c r="Q2739" s="165"/>
      <c r="R2739" s="165"/>
      <c r="S2739" s="165"/>
      <c r="V2739" s="46"/>
      <c r="W2739" s="46"/>
      <c r="X2739" s="1"/>
      <c r="Y2739" s="1"/>
      <c r="Z2739" s="173"/>
      <c r="AA2739" s="1"/>
      <c r="AB2739" s="165"/>
      <c r="AC2739" s="1"/>
      <c r="AD2739" s="1"/>
      <c r="AE2739" s="1"/>
      <c r="AF2739" s="46"/>
      <c r="AG2739" s="1"/>
      <c r="AH2739" s="165"/>
      <c r="AI2739" s="165"/>
      <c r="AJ2739" s="165"/>
      <c r="AK2739" s="165"/>
      <c r="AL2739" s="165"/>
      <c r="AM2739" s="165"/>
      <c r="AN2739" s="165"/>
    </row>
    <row r="2740" spans="3:40">
      <c r="C2740" s="46"/>
      <c r="F2740" s="173"/>
      <c r="G2740" s="1"/>
      <c r="H2740" s="165"/>
      <c r="I2740" s="160"/>
      <c r="J2740" s="160"/>
      <c r="K2740" s="1"/>
      <c r="L2740" s="123"/>
      <c r="M2740" s="1"/>
      <c r="N2740" s="590"/>
      <c r="O2740" s="165"/>
      <c r="P2740" s="165"/>
      <c r="Q2740" s="165"/>
      <c r="R2740" s="165"/>
      <c r="S2740" s="165"/>
      <c r="V2740" s="46"/>
      <c r="W2740" s="46"/>
      <c r="X2740" s="1"/>
      <c r="Y2740" s="1"/>
      <c r="Z2740" s="173"/>
      <c r="AA2740" s="1"/>
      <c r="AB2740" s="165"/>
      <c r="AC2740" s="1"/>
      <c r="AD2740" s="1"/>
      <c r="AE2740" s="1"/>
      <c r="AF2740" s="46"/>
      <c r="AG2740" s="1"/>
      <c r="AH2740" s="165"/>
      <c r="AI2740" s="165"/>
      <c r="AJ2740" s="165"/>
      <c r="AK2740" s="165"/>
      <c r="AL2740" s="165"/>
      <c r="AM2740" s="165"/>
      <c r="AN2740" s="165"/>
    </row>
    <row r="2741" spans="3:40">
      <c r="C2741" s="46"/>
      <c r="F2741" s="173"/>
      <c r="G2741" s="1"/>
      <c r="H2741" s="165"/>
      <c r="I2741" s="160"/>
      <c r="J2741" s="160"/>
      <c r="K2741" s="1"/>
      <c r="L2741" s="123"/>
      <c r="M2741" s="1"/>
      <c r="N2741" s="590"/>
      <c r="O2741" s="165"/>
      <c r="P2741" s="165"/>
      <c r="Q2741" s="165"/>
      <c r="R2741" s="165"/>
      <c r="S2741" s="165"/>
      <c r="V2741" s="46"/>
      <c r="W2741" s="46"/>
      <c r="X2741" s="1"/>
      <c r="Y2741" s="1"/>
      <c r="Z2741" s="173"/>
      <c r="AA2741" s="1"/>
      <c r="AB2741" s="165"/>
      <c r="AC2741" s="1"/>
      <c r="AD2741" s="1"/>
      <c r="AE2741" s="1"/>
      <c r="AF2741" s="46"/>
      <c r="AG2741" s="1"/>
      <c r="AH2741" s="165"/>
      <c r="AI2741" s="165"/>
      <c r="AJ2741" s="165"/>
      <c r="AK2741" s="165"/>
      <c r="AL2741" s="165"/>
      <c r="AM2741" s="165"/>
      <c r="AN2741" s="165"/>
    </row>
    <row r="2742" spans="3:40">
      <c r="C2742" s="46"/>
      <c r="F2742" s="173"/>
      <c r="G2742" s="1"/>
      <c r="H2742" s="165"/>
      <c r="I2742" s="160"/>
      <c r="J2742" s="160"/>
      <c r="K2742" s="1"/>
      <c r="L2742" s="123"/>
      <c r="M2742" s="1"/>
      <c r="N2742" s="590"/>
      <c r="O2742" s="165"/>
      <c r="P2742" s="165"/>
      <c r="Q2742" s="165"/>
      <c r="R2742" s="165"/>
      <c r="S2742" s="165"/>
      <c r="V2742" s="46"/>
      <c r="W2742" s="46"/>
      <c r="X2742" s="1"/>
      <c r="Y2742" s="1"/>
      <c r="Z2742" s="173"/>
      <c r="AA2742" s="1"/>
      <c r="AB2742" s="165"/>
      <c r="AC2742" s="1"/>
      <c r="AD2742" s="1"/>
      <c r="AE2742" s="1"/>
      <c r="AF2742" s="46"/>
      <c r="AG2742" s="1"/>
      <c r="AH2742" s="165"/>
      <c r="AI2742" s="165"/>
      <c r="AJ2742" s="165"/>
      <c r="AK2742" s="165"/>
      <c r="AL2742" s="165"/>
      <c r="AM2742" s="165"/>
      <c r="AN2742" s="165"/>
    </row>
    <row r="2743" spans="3:40">
      <c r="C2743" s="46"/>
      <c r="F2743" s="173"/>
      <c r="G2743" s="1"/>
      <c r="H2743" s="165"/>
      <c r="I2743" s="160"/>
      <c r="J2743" s="160"/>
      <c r="K2743" s="1"/>
      <c r="L2743" s="123"/>
      <c r="M2743" s="1"/>
      <c r="N2743" s="590"/>
      <c r="O2743" s="165"/>
      <c r="P2743" s="165"/>
      <c r="Q2743" s="165"/>
      <c r="R2743" s="165"/>
      <c r="S2743" s="165"/>
      <c r="V2743" s="46"/>
      <c r="W2743" s="46"/>
      <c r="X2743" s="1"/>
      <c r="Y2743" s="1"/>
      <c r="Z2743" s="173"/>
      <c r="AA2743" s="1"/>
      <c r="AB2743" s="165"/>
      <c r="AC2743" s="1"/>
      <c r="AD2743" s="1"/>
      <c r="AE2743" s="1"/>
      <c r="AF2743" s="46"/>
      <c r="AG2743" s="1"/>
      <c r="AH2743" s="165"/>
      <c r="AI2743" s="165"/>
      <c r="AJ2743" s="165"/>
      <c r="AK2743" s="165"/>
      <c r="AL2743" s="165"/>
      <c r="AM2743" s="165"/>
      <c r="AN2743" s="165"/>
    </row>
    <row r="2744" spans="3:40">
      <c r="C2744" s="46"/>
      <c r="F2744" s="173"/>
      <c r="G2744" s="1"/>
      <c r="H2744" s="165"/>
      <c r="I2744" s="160"/>
      <c r="J2744" s="160"/>
      <c r="K2744" s="1"/>
      <c r="L2744" s="123"/>
      <c r="M2744" s="1"/>
      <c r="N2744" s="590"/>
      <c r="O2744" s="165"/>
      <c r="P2744" s="165"/>
      <c r="Q2744" s="165"/>
      <c r="R2744" s="165"/>
      <c r="S2744" s="165"/>
      <c r="V2744" s="46"/>
      <c r="W2744" s="46"/>
      <c r="X2744" s="1"/>
      <c r="Y2744" s="1"/>
      <c r="Z2744" s="173"/>
      <c r="AA2744" s="1"/>
      <c r="AB2744" s="165"/>
      <c r="AC2744" s="1"/>
      <c r="AD2744" s="1"/>
      <c r="AE2744" s="1"/>
      <c r="AF2744" s="46"/>
      <c r="AG2744" s="1"/>
      <c r="AH2744" s="165"/>
      <c r="AI2744" s="165"/>
      <c r="AJ2744" s="165"/>
      <c r="AK2744" s="165"/>
      <c r="AL2744" s="165"/>
      <c r="AM2744" s="165"/>
      <c r="AN2744" s="165"/>
    </row>
    <row r="2745" spans="3:40">
      <c r="C2745" s="46"/>
      <c r="F2745" s="173"/>
      <c r="G2745" s="1"/>
      <c r="H2745" s="165"/>
      <c r="I2745" s="160"/>
      <c r="J2745" s="160"/>
      <c r="K2745" s="1"/>
      <c r="L2745" s="123"/>
      <c r="M2745" s="1"/>
      <c r="N2745" s="590"/>
      <c r="O2745" s="165"/>
      <c r="P2745" s="165"/>
      <c r="Q2745" s="165"/>
      <c r="R2745" s="165"/>
      <c r="S2745" s="165"/>
      <c r="V2745" s="46"/>
      <c r="W2745" s="46"/>
      <c r="X2745" s="1"/>
      <c r="Y2745" s="1"/>
      <c r="Z2745" s="173"/>
      <c r="AA2745" s="1"/>
      <c r="AB2745" s="165"/>
      <c r="AC2745" s="1"/>
      <c r="AD2745" s="1"/>
      <c r="AE2745" s="1"/>
      <c r="AF2745" s="46"/>
      <c r="AG2745" s="1"/>
      <c r="AH2745" s="165"/>
      <c r="AI2745" s="165"/>
      <c r="AJ2745" s="165"/>
      <c r="AK2745" s="165"/>
      <c r="AL2745" s="165"/>
      <c r="AM2745" s="165"/>
      <c r="AN2745" s="165"/>
    </row>
    <row r="2746" spans="3:40">
      <c r="C2746" s="46"/>
      <c r="F2746" s="173"/>
      <c r="G2746" s="1"/>
      <c r="H2746" s="165"/>
      <c r="I2746" s="160"/>
      <c r="J2746" s="160"/>
      <c r="K2746" s="1"/>
      <c r="L2746" s="123"/>
      <c r="M2746" s="1"/>
      <c r="N2746" s="590"/>
      <c r="O2746" s="165"/>
      <c r="P2746" s="165"/>
      <c r="Q2746" s="165"/>
      <c r="R2746" s="165"/>
      <c r="S2746" s="165"/>
      <c r="V2746" s="46"/>
      <c r="W2746" s="46"/>
      <c r="X2746" s="1"/>
      <c r="Y2746" s="1"/>
      <c r="Z2746" s="173"/>
      <c r="AA2746" s="1"/>
      <c r="AB2746" s="165"/>
      <c r="AC2746" s="1"/>
      <c r="AD2746" s="1"/>
      <c r="AE2746" s="1"/>
      <c r="AF2746" s="46"/>
      <c r="AG2746" s="1"/>
      <c r="AH2746" s="165"/>
      <c r="AI2746" s="165"/>
      <c r="AJ2746" s="165"/>
      <c r="AK2746" s="165"/>
      <c r="AL2746" s="165"/>
      <c r="AM2746" s="165"/>
      <c r="AN2746" s="165"/>
    </row>
    <row r="2747" spans="3:40">
      <c r="C2747" s="46"/>
      <c r="F2747" s="173"/>
      <c r="G2747" s="1"/>
      <c r="H2747" s="165"/>
      <c r="I2747" s="160"/>
      <c r="J2747" s="160"/>
      <c r="K2747" s="1"/>
      <c r="L2747" s="123"/>
      <c r="M2747" s="1"/>
      <c r="N2747" s="590"/>
      <c r="O2747" s="165"/>
      <c r="P2747" s="165"/>
      <c r="Q2747" s="165"/>
      <c r="R2747" s="165"/>
      <c r="S2747" s="165"/>
      <c r="V2747" s="46"/>
      <c r="W2747" s="46"/>
      <c r="X2747" s="1"/>
      <c r="Y2747" s="1"/>
      <c r="Z2747" s="173"/>
      <c r="AA2747" s="1"/>
      <c r="AB2747" s="165"/>
      <c r="AC2747" s="1"/>
      <c r="AD2747" s="1"/>
      <c r="AE2747" s="1"/>
      <c r="AF2747" s="46"/>
      <c r="AG2747" s="1"/>
      <c r="AH2747" s="165"/>
      <c r="AI2747" s="165"/>
      <c r="AJ2747" s="165"/>
      <c r="AK2747" s="165"/>
      <c r="AL2747" s="165"/>
      <c r="AM2747" s="165"/>
      <c r="AN2747" s="165"/>
    </row>
    <row r="2748" spans="3:40">
      <c r="C2748" s="46"/>
      <c r="F2748" s="173"/>
      <c r="G2748" s="1"/>
      <c r="H2748" s="165"/>
      <c r="I2748" s="160"/>
      <c r="J2748" s="160"/>
      <c r="K2748" s="1"/>
      <c r="L2748" s="123"/>
      <c r="M2748" s="1"/>
      <c r="N2748" s="590"/>
      <c r="O2748" s="165"/>
      <c r="P2748" s="165"/>
      <c r="Q2748" s="165"/>
      <c r="R2748" s="165"/>
      <c r="S2748" s="165"/>
      <c r="V2748" s="46"/>
      <c r="W2748" s="46"/>
      <c r="X2748" s="1"/>
      <c r="Y2748" s="1"/>
      <c r="Z2748" s="173"/>
      <c r="AA2748" s="1"/>
      <c r="AB2748" s="165"/>
      <c r="AC2748" s="1"/>
      <c r="AD2748" s="1"/>
      <c r="AE2748" s="1"/>
      <c r="AF2748" s="46"/>
      <c r="AG2748" s="1"/>
      <c r="AH2748" s="165"/>
      <c r="AI2748" s="165"/>
      <c r="AJ2748" s="165"/>
      <c r="AK2748" s="165"/>
      <c r="AL2748" s="165"/>
      <c r="AM2748" s="165"/>
      <c r="AN2748" s="165"/>
    </row>
    <row r="2749" spans="3:40">
      <c r="C2749" s="46"/>
      <c r="F2749" s="173"/>
      <c r="G2749" s="1"/>
      <c r="H2749" s="165"/>
      <c r="I2749" s="160"/>
      <c r="J2749" s="160"/>
      <c r="K2749" s="1"/>
      <c r="L2749" s="123"/>
      <c r="M2749" s="1"/>
      <c r="N2749" s="590"/>
      <c r="O2749" s="165"/>
      <c r="P2749" s="165"/>
      <c r="Q2749" s="165"/>
      <c r="R2749" s="165"/>
      <c r="S2749" s="165"/>
      <c r="V2749" s="46"/>
      <c r="W2749" s="46"/>
      <c r="X2749" s="1"/>
      <c r="Y2749" s="1"/>
      <c r="Z2749" s="173"/>
      <c r="AA2749" s="1"/>
      <c r="AB2749" s="165"/>
      <c r="AC2749" s="1"/>
      <c r="AD2749" s="1"/>
      <c r="AE2749" s="1"/>
      <c r="AF2749" s="46"/>
      <c r="AG2749" s="1"/>
      <c r="AH2749" s="165"/>
      <c r="AI2749" s="165"/>
      <c r="AJ2749" s="165"/>
      <c r="AK2749" s="165"/>
      <c r="AL2749" s="165"/>
      <c r="AM2749" s="165"/>
      <c r="AN2749" s="165"/>
    </row>
    <row r="2750" spans="3:40">
      <c r="C2750" s="46"/>
      <c r="F2750" s="173"/>
      <c r="G2750" s="1"/>
      <c r="H2750" s="165"/>
      <c r="I2750" s="160"/>
      <c r="J2750" s="160"/>
      <c r="K2750" s="1"/>
      <c r="L2750" s="123"/>
      <c r="M2750" s="1"/>
      <c r="N2750" s="590"/>
      <c r="O2750" s="165"/>
      <c r="P2750" s="165"/>
      <c r="Q2750" s="165"/>
      <c r="R2750" s="165"/>
      <c r="S2750" s="165"/>
      <c r="V2750" s="46"/>
      <c r="W2750" s="46"/>
      <c r="X2750" s="1"/>
      <c r="Y2750" s="1"/>
      <c r="Z2750" s="173"/>
      <c r="AA2750" s="1"/>
      <c r="AB2750" s="165"/>
      <c r="AC2750" s="1"/>
      <c r="AD2750" s="1"/>
      <c r="AE2750" s="1"/>
      <c r="AF2750" s="46"/>
      <c r="AG2750" s="1"/>
      <c r="AH2750" s="165"/>
      <c r="AI2750" s="165"/>
      <c r="AJ2750" s="165"/>
      <c r="AK2750" s="165"/>
      <c r="AL2750" s="165"/>
      <c r="AM2750" s="165"/>
      <c r="AN2750" s="165"/>
    </row>
    <row r="2751" spans="3:40">
      <c r="C2751" s="46"/>
      <c r="F2751" s="173"/>
      <c r="G2751" s="1"/>
      <c r="H2751" s="165"/>
      <c r="I2751" s="160"/>
      <c r="J2751" s="160"/>
      <c r="K2751" s="1"/>
      <c r="L2751" s="123"/>
      <c r="M2751" s="1"/>
      <c r="N2751" s="590"/>
      <c r="O2751" s="165"/>
      <c r="P2751" s="165"/>
      <c r="Q2751" s="165"/>
      <c r="R2751" s="165"/>
      <c r="S2751" s="165"/>
      <c r="V2751" s="46"/>
      <c r="W2751" s="46"/>
      <c r="X2751" s="1"/>
      <c r="Y2751" s="1"/>
      <c r="Z2751" s="173"/>
      <c r="AA2751" s="1"/>
      <c r="AB2751" s="165"/>
      <c r="AC2751" s="1"/>
      <c r="AD2751" s="1"/>
      <c r="AE2751" s="1"/>
      <c r="AF2751" s="46"/>
      <c r="AG2751" s="1"/>
      <c r="AH2751" s="165"/>
      <c r="AI2751" s="165"/>
      <c r="AJ2751" s="165"/>
      <c r="AK2751" s="165"/>
      <c r="AL2751" s="165"/>
      <c r="AM2751" s="165"/>
      <c r="AN2751" s="165"/>
    </row>
    <row r="2752" spans="3:40">
      <c r="C2752" s="46"/>
      <c r="F2752" s="173"/>
      <c r="G2752" s="1"/>
      <c r="H2752" s="165"/>
      <c r="I2752" s="160"/>
      <c r="J2752" s="160"/>
      <c r="K2752" s="1"/>
      <c r="L2752" s="123"/>
      <c r="M2752" s="1"/>
      <c r="N2752" s="590"/>
      <c r="O2752" s="165"/>
      <c r="P2752" s="165"/>
      <c r="Q2752" s="165"/>
      <c r="R2752" s="165"/>
      <c r="S2752" s="165"/>
      <c r="V2752" s="46"/>
      <c r="W2752" s="46"/>
      <c r="X2752" s="1"/>
      <c r="Y2752" s="1"/>
      <c r="Z2752" s="173"/>
      <c r="AA2752" s="1"/>
      <c r="AB2752" s="165"/>
      <c r="AC2752" s="1"/>
      <c r="AD2752" s="1"/>
      <c r="AE2752" s="1"/>
      <c r="AF2752" s="46"/>
      <c r="AG2752" s="1"/>
      <c r="AH2752" s="165"/>
      <c r="AI2752" s="165"/>
      <c r="AJ2752" s="165"/>
      <c r="AK2752" s="165"/>
      <c r="AL2752" s="165"/>
      <c r="AM2752" s="165"/>
      <c r="AN2752" s="165"/>
    </row>
    <row r="2753" spans="3:40">
      <c r="C2753" s="46"/>
      <c r="F2753" s="173"/>
      <c r="G2753" s="1"/>
      <c r="H2753" s="165"/>
      <c r="I2753" s="160"/>
      <c r="J2753" s="160"/>
      <c r="K2753" s="1"/>
      <c r="L2753" s="123"/>
      <c r="M2753" s="1"/>
      <c r="N2753" s="590"/>
      <c r="O2753" s="165"/>
      <c r="P2753" s="165"/>
      <c r="Q2753" s="165"/>
      <c r="R2753" s="165"/>
      <c r="S2753" s="165"/>
      <c r="V2753" s="46"/>
      <c r="W2753" s="46"/>
      <c r="X2753" s="1"/>
      <c r="Y2753" s="1"/>
      <c r="Z2753" s="173"/>
      <c r="AA2753" s="1"/>
      <c r="AB2753" s="165"/>
      <c r="AC2753" s="1"/>
      <c r="AD2753" s="1"/>
      <c r="AE2753" s="1"/>
      <c r="AF2753" s="46"/>
      <c r="AG2753" s="1"/>
      <c r="AH2753" s="165"/>
      <c r="AI2753" s="165"/>
      <c r="AJ2753" s="165"/>
      <c r="AK2753" s="165"/>
      <c r="AL2753" s="165"/>
      <c r="AM2753" s="165"/>
      <c r="AN2753" s="165"/>
    </row>
    <row r="2754" spans="3:40">
      <c r="C2754" s="46"/>
      <c r="F2754" s="173"/>
      <c r="G2754" s="1"/>
      <c r="H2754" s="165"/>
      <c r="I2754" s="160"/>
      <c r="J2754" s="160"/>
      <c r="K2754" s="1"/>
      <c r="L2754" s="123"/>
      <c r="M2754" s="1"/>
      <c r="N2754" s="590"/>
      <c r="O2754" s="165"/>
      <c r="P2754" s="165"/>
      <c r="Q2754" s="165"/>
      <c r="R2754" s="165"/>
      <c r="S2754" s="165"/>
      <c r="V2754" s="46"/>
      <c r="W2754" s="46"/>
      <c r="X2754" s="1"/>
      <c r="Y2754" s="1"/>
      <c r="Z2754" s="173"/>
      <c r="AA2754" s="1"/>
      <c r="AB2754" s="165"/>
      <c r="AC2754" s="1"/>
      <c r="AD2754" s="1"/>
      <c r="AE2754" s="1"/>
      <c r="AF2754" s="46"/>
      <c r="AG2754" s="1"/>
      <c r="AH2754" s="165"/>
      <c r="AI2754" s="165"/>
      <c r="AJ2754" s="165"/>
      <c r="AK2754" s="165"/>
      <c r="AL2754" s="165"/>
      <c r="AM2754" s="165"/>
      <c r="AN2754" s="165"/>
    </row>
    <row r="2755" spans="3:40">
      <c r="C2755" s="46"/>
      <c r="F2755" s="173"/>
      <c r="G2755" s="1"/>
      <c r="H2755" s="165"/>
      <c r="I2755" s="160"/>
      <c r="J2755" s="160"/>
      <c r="K2755" s="1"/>
      <c r="L2755" s="123"/>
      <c r="M2755" s="1"/>
      <c r="N2755" s="590"/>
      <c r="O2755" s="165"/>
      <c r="P2755" s="165"/>
      <c r="Q2755" s="165"/>
      <c r="R2755" s="165"/>
      <c r="S2755" s="165"/>
      <c r="V2755" s="46"/>
      <c r="W2755" s="46"/>
      <c r="X2755" s="1"/>
      <c r="Y2755" s="1"/>
      <c r="Z2755" s="173"/>
      <c r="AA2755" s="1"/>
      <c r="AB2755" s="165"/>
      <c r="AC2755" s="1"/>
      <c r="AD2755" s="1"/>
      <c r="AE2755" s="1"/>
      <c r="AF2755" s="46"/>
      <c r="AG2755" s="1"/>
      <c r="AH2755" s="165"/>
      <c r="AI2755" s="165"/>
      <c r="AJ2755" s="165"/>
      <c r="AK2755" s="165"/>
      <c r="AL2755" s="165"/>
      <c r="AM2755" s="165"/>
      <c r="AN2755" s="165"/>
    </row>
    <row r="2756" spans="3:40">
      <c r="C2756" s="46"/>
      <c r="F2756" s="173"/>
      <c r="G2756" s="1"/>
      <c r="H2756" s="165"/>
      <c r="I2756" s="160"/>
      <c r="J2756" s="160"/>
      <c r="K2756" s="1"/>
      <c r="L2756" s="123"/>
      <c r="M2756" s="1"/>
      <c r="N2756" s="590"/>
      <c r="O2756" s="165"/>
      <c r="P2756" s="165"/>
      <c r="Q2756" s="165"/>
      <c r="R2756" s="165"/>
      <c r="S2756" s="165"/>
      <c r="V2756" s="46"/>
      <c r="W2756" s="46"/>
      <c r="X2756" s="1"/>
      <c r="Y2756" s="1"/>
      <c r="Z2756" s="173"/>
      <c r="AA2756" s="1"/>
      <c r="AB2756" s="165"/>
      <c r="AC2756" s="1"/>
      <c r="AD2756" s="1"/>
      <c r="AE2756" s="1"/>
      <c r="AF2756" s="46"/>
      <c r="AG2756" s="1"/>
      <c r="AH2756" s="165"/>
      <c r="AI2756" s="165"/>
      <c r="AJ2756" s="165"/>
      <c r="AK2756" s="165"/>
      <c r="AL2756" s="165"/>
      <c r="AM2756" s="165"/>
      <c r="AN2756" s="165"/>
    </row>
    <row r="2757" spans="3:40">
      <c r="C2757" s="46"/>
      <c r="F2757" s="173"/>
      <c r="G2757" s="1"/>
      <c r="H2757" s="165"/>
      <c r="I2757" s="160"/>
      <c r="J2757" s="160"/>
      <c r="K2757" s="1"/>
      <c r="L2757" s="123"/>
      <c r="M2757" s="1"/>
      <c r="N2757" s="590"/>
      <c r="O2757" s="165"/>
      <c r="P2757" s="165"/>
      <c r="Q2757" s="165"/>
      <c r="R2757" s="165"/>
      <c r="S2757" s="165"/>
      <c r="V2757" s="46"/>
      <c r="W2757" s="46"/>
      <c r="X2757" s="1"/>
      <c r="Y2757" s="1"/>
      <c r="Z2757" s="173"/>
      <c r="AA2757" s="1"/>
      <c r="AB2757" s="165"/>
      <c r="AC2757" s="1"/>
      <c r="AD2757" s="1"/>
      <c r="AE2757" s="1"/>
      <c r="AF2757" s="46"/>
      <c r="AG2757" s="1"/>
      <c r="AH2757" s="165"/>
      <c r="AI2757" s="165"/>
      <c r="AJ2757" s="165"/>
      <c r="AK2757" s="165"/>
      <c r="AL2757" s="165"/>
      <c r="AM2757" s="165"/>
      <c r="AN2757" s="165"/>
    </row>
    <row r="2758" spans="3:40">
      <c r="C2758" s="46"/>
      <c r="F2758" s="173"/>
      <c r="G2758" s="1"/>
      <c r="H2758" s="165"/>
      <c r="I2758" s="160"/>
      <c r="J2758" s="160"/>
      <c r="K2758" s="1"/>
      <c r="L2758" s="123"/>
      <c r="M2758" s="1"/>
      <c r="N2758" s="590"/>
      <c r="O2758" s="165"/>
      <c r="P2758" s="165"/>
      <c r="Q2758" s="165"/>
      <c r="R2758" s="165"/>
      <c r="S2758" s="165"/>
      <c r="V2758" s="46"/>
      <c r="W2758" s="46"/>
      <c r="X2758" s="1"/>
      <c r="Y2758" s="1"/>
      <c r="Z2758" s="173"/>
      <c r="AA2758" s="1"/>
      <c r="AB2758" s="165"/>
      <c r="AC2758" s="1"/>
      <c r="AD2758" s="1"/>
      <c r="AE2758" s="1"/>
      <c r="AF2758" s="46"/>
      <c r="AG2758" s="1"/>
      <c r="AH2758" s="165"/>
      <c r="AI2758" s="165"/>
      <c r="AJ2758" s="165"/>
      <c r="AK2758" s="165"/>
      <c r="AL2758" s="165"/>
      <c r="AM2758" s="165"/>
      <c r="AN2758" s="165"/>
    </row>
    <row r="2759" spans="3:40">
      <c r="C2759" s="46"/>
      <c r="F2759" s="173"/>
      <c r="G2759" s="1"/>
      <c r="H2759" s="165"/>
      <c r="I2759" s="160"/>
      <c r="J2759" s="160"/>
      <c r="K2759" s="1"/>
      <c r="L2759" s="123"/>
      <c r="M2759" s="1"/>
      <c r="N2759" s="590"/>
      <c r="O2759" s="165"/>
      <c r="P2759" s="165"/>
      <c r="Q2759" s="165"/>
      <c r="R2759" s="165"/>
      <c r="S2759" s="165"/>
      <c r="V2759" s="46"/>
      <c r="W2759" s="46"/>
      <c r="X2759" s="1"/>
      <c r="Y2759" s="1"/>
      <c r="Z2759" s="173"/>
      <c r="AA2759" s="1"/>
      <c r="AB2759" s="165"/>
      <c r="AC2759" s="1"/>
      <c r="AD2759" s="1"/>
      <c r="AE2759" s="1"/>
      <c r="AF2759" s="46"/>
      <c r="AG2759" s="1"/>
      <c r="AH2759" s="165"/>
      <c r="AI2759" s="165"/>
      <c r="AJ2759" s="165"/>
      <c r="AK2759" s="165"/>
      <c r="AL2759" s="165"/>
      <c r="AM2759" s="165"/>
      <c r="AN2759" s="165"/>
    </row>
    <row r="2760" spans="3:40">
      <c r="C2760" s="46"/>
      <c r="F2760" s="173"/>
      <c r="G2760" s="1"/>
      <c r="H2760" s="165"/>
      <c r="I2760" s="160"/>
      <c r="J2760" s="160"/>
      <c r="K2760" s="1"/>
      <c r="L2760" s="123"/>
      <c r="M2760" s="1"/>
      <c r="N2760" s="590"/>
      <c r="O2760" s="165"/>
      <c r="P2760" s="165"/>
      <c r="Q2760" s="165"/>
      <c r="R2760" s="165"/>
      <c r="S2760" s="165"/>
      <c r="V2760" s="46"/>
      <c r="W2760" s="46"/>
      <c r="X2760" s="1"/>
      <c r="Y2760" s="1"/>
      <c r="Z2760" s="173"/>
      <c r="AA2760" s="1"/>
      <c r="AB2760" s="165"/>
      <c r="AC2760" s="1"/>
      <c r="AD2760" s="1"/>
      <c r="AE2760" s="1"/>
      <c r="AF2760" s="46"/>
      <c r="AG2760" s="1"/>
      <c r="AH2760" s="165"/>
      <c r="AI2760" s="165"/>
      <c r="AJ2760" s="165"/>
      <c r="AK2760" s="165"/>
      <c r="AL2760" s="165"/>
      <c r="AM2760" s="165"/>
      <c r="AN2760" s="165"/>
    </row>
    <row r="2761" spans="3:40">
      <c r="C2761" s="46"/>
      <c r="F2761" s="173"/>
      <c r="G2761" s="1"/>
      <c r="H2761" s="165"/>
      <c r="I2761" s="160"/>
      <c r="J2761" s="160"/>
      <c r="K2761" s="1"/>
      <c r="L2761" s="123"/>
      <c r="M2761" s="1"/>
      <c r="N2761" s="590"/>
      <c r="O2761" s="165"/>
      <c r="P2761" s="165"/>
      <c r="Q2761" s="165"/>
      <c r="R2761" s="165"/>
      <c r="S2761" s="165"/>
      <c r="V2761" s="46"/>
      <c r="W2761" s="46"/>
      <c r="X2761" s="1"/>
      <c r="Y2761" s="1"/>
      <c r="Z2761" s="173"/>
      <c r="AA2761" s="1"/>
      <c r="AB2761" s="165"/>
      <c r="AC2761" s="1"/>
      <c r="AD2761" s="1"/>
      <c r="AE2761" s="1"/>
      <c r="AF2761" s="46"/>
      <c r="AG2761" s="1"/>
      <c r="AH2761" s="165"/>
      <c r="AI2761" s="165"/>
      <c r="AJ2761" s="165"/>
      <c r="AK2761" s="165"/>
      <c r="AL2761" s="165"/>
      <c r="AM2761" s="165"/>
      <c r="AN2761" s="165"/>
    </row>
    <row r="2762" spans="3:40">
      <c r="C2762" s="46"/>
      <c r="F2762" s="173"/>
      <c r="G2762" s="1"/>
      <c r="H2762" s="165"/>
      <c r="I2762" s="160"/>
      <c r="J2762" s="160"/>
      <c r="K2762" s="1"/>
      <c r="L2762" s="123"/>
      <c r="M2762" s="1"/>
      <c r="N2762" s="590"/>
      <c r="O2762" s="165"/>
      <c r="P2762" s="165"/>
      <c r="Q2762" s="165"/>
      <c r="R2762" s="165"/>
      <c r="S2762" s="165"/>
      <c r="V2762" s="46"/>
      <c r="W2762" s="46"/>
      <c r="X2762" s="1"/>
      <c r="Y2762" s="1"/>
      <c r="Z2762" s="173"/>
      <c r="AA2762" s="1"/>
      <c r="AB2762" s="165"/>
      <c r="AC2762" s="1"/>
      <c r="AD2762" s="1"/>
      <c r="AE2762" s="1"/>
      <c r="AF2762" s="46"/>
      <c r="AG2762" s="1"/>
      <c r="AH2762" s="165"/>
      <c r="AI2762" s="165"/>
      <c r="AJ2762" s="165"/>
      <c r="AK2762" s="165"/>
      <c r="AL2762" s="165"/>
      <c r="AM2762" s="165"/>
      <c r="AN2762" s="165"/>
    </row>
    <row r="2763" spans="3:40">
      <c r="C2763" s="46"/>
      <c r="F2763" s="173"/>
      <c r="G2763" s="1"/>
      <c r="H2763" s="165"/>
      <c r="I2763" s="160"/>
      <c r="J2763" s="160"/>
      <c r="K2763" s="1"/>
      <c r="L2763" s="123"/>
      <c r="M2763" s="1"/>
      <c r="N2763" s="590"/>
      <c r="O2763" s="165"/>
      <c r="P2763" s="165"/>
      <c r="Q2763" s="165"/>
      <c r="R2763" s="165"/>
      <c r="S2763" s="165"/>
      <c r="V2763" s="46"/>
      <c r="W2763" s="46"/>
      <c r="X2763" s="1"/>
      <c r="Y2763" s="1"/>
      <c r="Z2763" s="173"/>
      <c r="AA2763" s="1"/>
      <c r="AB2763" s="165"/>
      <c r="AC2763" s="1"/>
      <c r="AD2763" s="1"/>
      <c r="AE2763" s="1"/>
      <c r="AF2763" s="46"/>
      <c r="AG2763" s="1"/>
      <c r="AH2763" s="165"/>
      <c r="AI2763" s="165"/>
      <c r="AJ2763" s="165"/>
      <c r="AK2763" s="165"/>
      <c r="AL2763" s="165"/>
      <c r="AM2763" s="165"/>
      <c r="AN2763" s="165"/>
    </row>
    <row r="2764" spans="3:40">
      <c r="C2764" s="46"/>
      <c r="F2764" s="173"/>
      <c r="G2764" s="1"/>
      <c r="H2764" s="165"/>
      <c r="I2764" s="160"/>
      <c r="J2764" s="160"/>
      <c r="K2764" s="1"/>
      <c r="L2764" s="123"/>
      <c r="M2764" s="1"/>
      <c r="N2764" s="590"/>
      <c r="O2764" s="165"/>
      <c r="P2764" s="165"/>
      <c r="Q2764" s="165"/>
      <c r="R2764" s="165"/>
      <c r="S2764" s="165"/>
      <c r="V2764" s="46"/>
      <c r="W2764" s="46"/>
      <c r="X2764" s="1"/>
      <c r="Y2764" s="1"/>
      <c r="Z2764" s="173"/>
      <c r="AA2764" s="1"/>
      <c r="AB2764" s="165"/>
      <c r="AC2764" s="1"/>
      <c r="AD2764" s="1"/>
      <c r="AE2764" s="1"/>
      <c r="AF2764" s="46"/>
      <c r="AG2764" s="1"/>
      <c r="AH2764" s="165"/>
      <c r="AI2764" s="165"/>
      <c r="AJ2764" s="165"/>
      <c r="AK2764" s="165"/>
      <c r="AL2764" s="165"/>
      <c r="AM2764" s="165"/>
      <c r="AN2764" s="165"/>
    </row>
    <row r="2765" spans="3:40">
      <c r="C2765" s="46"/>
      <c r="F2765" s="173"/>
      <c r="G2765" s="1"/>
      <c r="H2765" s="165"/>
      <c r="I2765" s="160"/>
      <c r="J2765" s="160"/>
      <c r="K2765" s="1"/>
      <c r="L2765" s="123"/>
      <c r="M2765" s="1"/>
      <c r="N2765" s="590"/>
      <c r="O2765" s="165"/>
      <c r="P2765" s="165"/>
      <c r="Q2765" s="165"/>
      <c r="R2765" s="165"/>
      <c r="S2765" s="165"/>
      <c r="V2765" s="46"/>
      <c r="W2765" s="46"/>
      <c r="X2765" s="1"/>
      <c r="Y2765" s="1"/>
      <c r="Z2765" s="173"/>
      <c r="AA2765" s="1"/>
      <c r="AB2765" s="165"/>
      <c r="AC2765" s="1"/>
      <c r="AD2765" s="1"/>
      <c r="AE2765" s="1"/>
      <c r="AF2765" s="46"/>
      <c r="AG2765" s="1"/>
      <c r="AH2765" s="165"/>
      <c r="AI2765" s="165"/>
      <c r="AJ2765" s="165"/>
      <c r="AK2765" s="165"/>
      <c r="AL2765" s="165"/>
      <c r="AM2765" s="165"/>
      <c r="AN2765" s="165"/>
    </row>
    <row r="2766" spans="3:40">
      <c r="C2766" s="46"/>
      <c r="F2766" s="173"/>
      <c r="G2766" s="1"/>
      <c r="H2766" s="165"/>
      <c r="I2766" s="160"/>
      <c r="J2766" s="160"/>
      <c r="K2766" s="1"/>
      <c r="L2766" s="123"/>
      <c r="M2766" s="1"/>
      <c r="N2766" s="590"/>
      <c r="O2766" s="165"/>
      <c r="P2766" s="165"/>
      <c r="Q2766" s="165"/>
      <c r="R2766" s="165"/>
      <c r="S2766" s="165"/>
      <c r="V2766" s="46"/>
      <c r="W2766" s="46"/>
      <c r="X2766" s="1"/>
      <c r="Y2766" s="1"/>
      <c r="Z2766" s="173"/>
      <c r="AA2766" s="1"/>
      <c r="AB2766" s="165"/>
      <c r="AC2766" s="1"/>
      <c r="AD2766" s="1"/>
      <c r="AE2766" s="1"/>
      <c r="AF2766" s="46"/>
      <c r="AG2766" s="1"/>
      <c r="AH2766" s="165"/>
      <c r="AI2766" s="165"/>
      <c r="AJ2766" s="165"/>
      <c r="AK2766" s="165"/>
      <c r="AL2766" s="165"/>
      <c r="AM2766" s="165"/>
      <c r="AN2766" s="165"/>
    </row>
    <row r="2767" spans="3:40">
      <c r="C2767" s="46"/>
      <c r="F2767" s="173"/>
      <c r="G2767" s="1"/>
      <c r="H2767" s="165"/>
      <c r="I2767" s="160"/>
      <c r="J2767" s="160"/>
      <c r="K2767" s="1"/>
      <c r="L2767" s="123"/>
      <c r="M2767" s="1"/>
      <c r="N2767" s="590"/>
      <c r="O2767" s="165"/>
      <c r="P2767" s="165"/>
      <c r="Q2767" s="165"/>
      <c r="R2767" s="165"/>
      <c r="S2767" s="165"/>
      <c r="V2767" s="46"/>
      <c r="W2767" s="46"/>
      <c r="X2767" s="1"/>
      <c r="Y2767" s="1"/>
      <c r="Z2767" s="173"/>
      <c r="AA2767" s="1"/>
      <c r="AB2767" s="165"/>
      <c r="AC2767" s="1"/>
      <c r="AD2767" s="1"/>
      <c r="AE2767" s="1"/>
      <c r="AF2767" s="46"/>
      <c r="AG2767" s="1"/>
      <c r="AH2767" s="165"/>
      <c r="AI2767" s="165"/>
      <c r="AJ2767" s="165"/>
      <c r="AK2767" s="165"/>
      <c r="AL2767" s="165"/>
      <c r="AM2767" s="165"/>
      <c r="AN2767" s="165"/>
    </row>
    <row r="2768" spans="3:40">
      <c r="C2768" s="46"/>
      <c r="F2768" s="173"/>
      <c r="G2768" s="1"/>
      <c r="H2768" s="165"/>
      <c r="I2768" s="160"/>
      <c r="J2768" s="160"/>
      <c r="K2768" s="1"/>
      <c r="L2768" s="123"/>
      <c r="M2768" s="1"/>
      <c r="N2768" s="590"/>
      <c r="O2768" s="165"/>
      <c r="P2768" s="165"/>
      <c r="Q2768" s="165"/>
      <c r="R2768" s="165"/>
      <c r="S2768" s="165"/>
      <c r="V2768" s="46"/>
      <c r="W2768" s="46"/>
      <c r="X2768" s="1"/>
      <c r="Y2768" s="1"/>
      <c r="Z2768" s="173"/>
      <c r="AA2768" s="1"/>
      <c r="AB2768" s="165"/>
      <c r="AC2768" s="1"/>
      <c r="AD2768" s="1"/>
      <c r="AE2768" s="1"/>
      <c r="AF2768" s="46"/>
      <c r="AG2768" s="1"/>
      <c r="AH2768" s="165"/>
      <c r="AI2768" s="165"/>
      <c r="AJ2768" s="165"/>
      <c r="AK2768" s="165"/>
      <c r="AL2768" s="165"/>
      <c r="AM2768" s="165"/>
      <c r="AN2768" s="165"/>
    </row>
    <row r="2769" spans="3:40">
      <c r="C2769" s="46"/>
      <c r="F2769" s="173"/>
      <c r="G2769" s="1"/>
      <c r="H2769" s="165"/>
      <c r="I2769" s="160"/>
      <c r="J2769" s="160"/>
      <c r="K2769" s="1"/>
      <c r="L2769" s="123"/>
      <c r="M2769" s="1"/>
      <c r="N2769" s="590"/>
      <c r="O2769" s="165"/>
      <c r="P2769" s="165"/>
      <c r="Q2769" s="165"/>
      <c r="R2769" s="165"/>
      <c r="S2769" s="165"/>
      <c r="V2769" s="46"/>
      <c r="W2769" s="46"/>
      <c r="X2769" s="1"/>
      <c r="Y2769" s="1"/>
      <c r="Z2769" s="173"/>
      <c r="AA2769" s="1"/>
      <c r="AB2769" s="165"/>
      <c r="AC2769" s="1"/>
      <c r="AD2769" s="1"/>
      <c r="AE2769" s="1"/>
      <c r="AF2769" s="46"/>
      <c r="AG2769" s="1"/>
      <c r="AH2769" s="165"/>
      <c r="AI2769" s="165"/>
      <c r="AJ2769" s="165"/>
      <c r="AK2769" s="165"/>
      <c r="AL2769" s="165"/>
      <c r="AM2769" s="165"/>
      <c r="AN2769" s="165"/>
    </row>
    <row r="2770" spans="3:40">
      <c r="C2770" s="46"/>
      <c r="F2770" s="173"/>
      <c r="G2770" s="1"/>
      <c r="H2770" s="165"/>
      <c r="I2770" s="160"/>
      <c r="J2770" s="160"/>
      <c r="K2770" s="1"/>
      <c r="L2770" s="123"/>
      <c r="M2770" s="1"/>
      <c r="N2770" s="590"/>
      <c r="O2770" s="165"/>
      <c r="P2770" s="165"/>
      <c r="Q2770" s="165"/>
      <c r="R2770" s="165"/>
      <c r="S2770" s="165"/>
      <c r="V2770" s="46"/>
      <c r="W2770" s="46"/>
      <c r="X2770" s="1"/>
      <c r="Y2770" s="1"/>
      <c r="Z2770" s="173"/>
      <c r="AA2770" s="1"/>
      <c r="AB2770" s="165"/>
      <c r="AC2770" s="1"/>
      <c r="AD2770" s="1"/>
      <c r="AE2770" s="1"/>
      <c r="AF2770" s="46"/>
      <c r="AG2770" s="1"/>
      <c r="AH2770" s="165"/>
      <c r="AI2770" s="165"/>
      <c r="AJ2770" s="165"/>
      <c r="AK2770" s="165"/>
      <c r="AL2770" s="165"/>
      <c r="AM2770" s="165"/>
      <c r="AN2770" s="165"/>
    </row>
    <row r="2771" spans="3:40">
      <c r="C2771" s="46"/>
      <c r="F2771" s="173"/>
      <c r="G2771" s="1"/>
      <c r="H2771" s="165"/>
      <c r="I2771" s="160"/>
      <c r="J2771" s="160"/>
      <c r="K2771" s="1"/>
      <c r="L2771" s="123"/>
      <c r="M2771" s="1"/>
      <c r="N2771" s="590"/>
      <c r="O2771" s="165"/>
      <c r="P2771" s="165"/>
      <c r="Q2771" s="165"/>
      <c r="R2771" s="165"/>
      <c r="S2771" s="165"/>
      <c r="V2771" s="46"/>
      <c r="W2771" s="46"/>
      <c r="X2771" s="1"/>
      <c r="Y2771" s="1"/>
      <c r="Z2771" s="173"/>
      <c r="AA2771" s="1"/>
      <c r="AB2771" s="165"/>
      <c r="AC2771" s="1"/>
      <c r="AD2771" s="1"/>
      <c r="AE2771" s="1"/>
      <c r="AF2771" s="46"/>
      <c r="AG2771" s="1"/>
      <c r="AH2771" s="165"/>
      <c r="AI2771" s="165"/>
      <c r="AJ2771" s="165"/>
      <c r="AK2771" s="165"/>
      <c r="AL2771" s="165"/>
      <c r="AM2771" s="165"/>
      <c r="AN2771" s="165"/>
    </row>
    <row r="2772" spans="3:40">
      <c r="C2772" s="46"/>
      <c r="F2772" s="173"/>
      <c r="G2772" s="1"/>
      <c r="H2772" s="165"/>
      <c r="I2772" s="160"/>
      <c r="J2772" s="160"/>
      <c r="K2772" s="1"/>
      <c r="L2772" s="123"/>
      <c r="M2772" s="1"/>
      <c r="N2772" s="590"/>
      <c r="O2772" s="165"/>
      <c r="P2772" s="165"/>
      <c r="Q2772" s="165"/>
      <c r="R2772" s="165"/>
      <c r="S2772" s="165"/>
      <c r="V2772" s="46"/>
      <c r="W2772" s="46"/>
      <c r="X2772" s="1"/>
      <c r="Y2772" s="1"/>
      <c r="Z2772" s="173"/>
      <c r="AA2772" s="1"/>
      <c r="AB2772" s="165"/>
      <c r="AC2772" s="1"/>
      <c r="AD2772" s="1"/>
      <c r="AE2772" s="1"/>
      <c r="AF2772" s="46"/>
      <c r="AG2772" s="1"/>
      <c r="AH2772" s="165"/>
      <c r="AI2772" s="165"/>
      <c r="AJ2772" s="165"/>
      <c r="AK2772" s="165"/>
      <c r="AL2772" s="165"/>
      <c r="AM2772" s="165"/>
      <c r="AN2772" s="165"/>
    </row>
    <row r="2773" spans="3:40">
      <c r="C2773" s="46"/>
      <c r="F2773" s="173"/>
      <c r="G2773" s="1"/>
      <c r="H2773" s="165"/>
      <c r="I2773" s="160"/>
      <c r="J2773" s="160"/>
      <c r="K2773" s="1"/>
      <c r="L2773" s="123"/>
      <c r="M2773" s="1"/>
      <c r="N2773" s="590"/>
      <c r="O2773" s="165"/>
      <c r="P2773" s="165"/>
      <c r="Q2773" s="165"/>
      <c r="R2773" s="165"/>
      <c r="S2773" s="165"/>
      <c r="V2773" s="46"/>
      <c r="W2773" s="46"/>
      <c r="X2773" s="1"/>
      <c r="Y2773" s="1"/>
      <c r="Z2773" s="173"/>
      <c r="AA2773" s="1"/>
      <c r="AB2773" s="165"/>
      <c r="AC2773" s="1"/>
      <c r="AD2773" s="1"/>
      <c r="AE2773" s="1"/>
      <c r="AF2773" s="46"/>
      <c r="AG2773" s="1"/>
      <c r="AH2773" s="165"/>
      <c r="AI2773" s="165"/>
      <c r="AJ2773" s="165"/>
      <c r="AK2773" s="165"/>
      <c r="AL2773" s="165"/>
      <c r="AM2773" s="165"/>
      <c r="AN2773" s="165"/>
    </row>
    <row r="2774" spans="3:40">
      <c r="C2774" s="46"/>
      <c r="F2774" s="173"/>
      <c r="G2774" s="1"/>
      <c r="H2774" s="165"/>
      <c r="I2774" s="160"/>
      <c r="J2774" s="160"/>
      <c r="K2774" s="1"/>
      <c r="L2774" s="123"/>
      <c r="M2774" s="1"/>
      <c r="N2774" s="590"/>
      <c r="O2774" s="165"/>
      <c r="P2774" s="165"/>
      <c r="Q2774" s="165"/>
      <c r="R2774" s="165"/>
      <c r="S2774" s="165"/>
      <c r="V2774" s="46"/>
      <c r="W2774" s="46"/>
      <c r="X2774" s="1"/>
      <c r="Y2774" s="1"/>
      <c r="Z2774" s="173"/>
      <c r="AA2774" s="1"/>
      <c r="AB2774" s="165"/>
      <c r="AC2774" s="1"/>
      <c r="AD2774" s="1"/>
      <c r="AE2774" s="1"/>
      <c r="AF2774" s="46"/>
      <c r="AG2774" s="1"/>
      <c r="AH2774" s="165"/>
      <c r="AI2774" s="165"/>
      <c r="AJ2774" s="165"/>
      <c r="AK2774" s="165"/>
      <c r="AL2774" s="165"/>
      <c r="AM2774" s="165"/>
      <c r="AN2774" s="165"/>
    </row>
    <row r="2775" spans="3:40">
      <c r="C2775" s="46"/>
      <c r="F2775" s="173"/>
      <c r="G2775" s="1"/>
      <c r="H2775" s="165"/>
      <c r="I2775" s="160"/>
      <c r="J2775" s="160"/>
      <c r="K2775" s="1"/>
      <c r="L2775" s="123"/>
      <c r="M2775" s="1"/>
      <c r="N2775" s="590"/>
      <c r="O2775" s="165"/>
      <c r="P2775" s="165"/>
      <c r="Q2775" s="165"/>
      <c r="R2775" s="165"/>
      <c r="S2775" s="165"/>
      <c r="V2775" s="46"/>
      <c r="W2775" s="46"/>
      <c r="X2775" s="1"/>
      <c r="Y2775" s="1"/>
      <c r="Z2775" s="173"/>
      <c r="AA2775" s="1"/>
      <c r="AB2775" s="165"/>
      <c r="AC2775" s="1"/>
      <c r="AD2775" s="1"/>
      <c r="AE2775" s="1"/>
      <c r="AF2775" s="46"/>
      <c r="AG2775" s="1"/>
      <c r="AH2775" s="165"/>
      <c r="AI2775" s="165"/>
      <c r="AJ2775" s="165"/>
      <c r="AK2775" s="165"/>
      <c r="AL2775" s="165"/>
      <c r="AM2775" s="165"/>
      <c r="AN2775" s="165"/>
    </row>
    <row r="2776" spans="3:40">
      <c r="C2776" s="46"/>
      <c r="F2776" s="173"/>
      <c r="G2776" s="1"/>
      <c r="H2776" s="165"/>
      <c r="I2776" s="160"/>
      <c r="J2776" s="160"/>
      <c r="K2776" s="1"/>
      <c r="L2776" s="123"/>
      <c r="M2776" s="1"/>
      <c r="N2776" s="590"/>
      <c r="O2776" s="165"/>
      <c r="P2776" s="165"/>
      <c r="Q2776" s="165"/>
      <c r="R2776" s="165"/>
      <c r="S2776" s="165"/>
      <c r="V2776" s="46"/>
      <c r="W2776" s="46"/>
      <c r="X2776" s="1"/>
      <c r="Y2776" s="1"/>
      <c r="Z2776" s="173"/>
      <c r="AA2776" s="1"/>
      <c r="AB2776" s="165"/>
      <c r="AC2776" s="1"/>
      <c r="AD2776" s="1"/>
      <c r="AE2776" s="1"/>
      <c r="AF2776" s="46"/>
      <c r="AG2776" s="1"/>
      <c r="AH2776" s="165"/>
      <c r="AI2776" s="165"/>
      <c r="AJ2776" s="165"/>
      <c r="AK2776" s="165"/>
      <c r="AL2776" s="165"/>
      <c r="AM2776" s="165"/>
      <c r="AN2776" s="165"/>
    </row>
    <row r="2777" spans="3:40">
      <c r="C2777" s="46"/>
      <c r="F2777" s="173"/>
      <c r="G2777" s="1"/>
      <c r="H2777" s="165"/>
      <c r="I2777" s="160"/>
      <c r="J2777" s="160"/>
      <c r="K2777" s="1"/>
      <c r="L2777" s="123"/>
      <c r="M2777" s="1"/>
      <c r="N2777" s="590"/>
      <c r="O2777" s="165"/>
      <c r="P2777" s="165"/>
      <c r="Q2777" s="165"/>
      <c r="R2777" s="165"/>
      <c r="S2777" s="165"/>
      <c r="V2777" s="46"/>
      <c r="W2777" s="46"/>
      <c r="X2777" s="1"/>
      <c r="Y2777" s="1"/>
      <c r="Z2777" s="173"/>
      <c r="AA2777" s="1"/>
      <c r="AB2777" s="165"/>
      <c r="AC2777" s="1"/>
      <c r="AD2777" s="1"/>
      <c r="AE2777" s="1"/>
      <c r="AF2777" s="46"/>
      <c r="AG2777" s="1"/>
      <c r="AH2777" s="165"/>
      <c r="AI2777" s="165"/>
      <c r="AJ2777" s="165"/>
      <c r="AK2777" s="165"/>
      <c r="AL2777" s="165"/>
      <c r="AM2777" s="165"/>
      <c r="AN2777" s="165"/>
    </row>
    <row r="2778" spans="3:40">
      <c r="C2778" s="46"/>
      <c r="F2778" s="173"/>
      <c r="G2778" s="1"/>
      <c r="H2778" s="165"/>
      <c r="I2778" s="160"/>
      <c r="J2778" s="160"/>
      <c r="K2778" s="1"/>
      <c r="L2778" s="123"/>
      <c r="M2778" s="1"/>
      <c r="N2778" s="590"/>
      <c r="O2778" s="165"/>
      <c r="P2778" s="165"/>
      <c r="Q2778" s="165"/>
      <c r="R2778" s="165"/>
      <c r="S2778" s="165"/>
      <c r="V2778" s="46"/>
      <c r="W2778" s="46"/>
      <c r="X2778" s="1"/>
      <c r="Y2778" s="1"/>
      <c r="Z2778" s="173"/>
      <c r="AA2778" s="1"/>
      <c r="AB2778" s="165"/>
      <c r="AC2778" s="1"/>
      <c r="AD2778" s="1"/>
      <c r="AE2778" s="1"/>
      <c r="AF2778" s="46"/>
      <c r="AG2778" s="1"/>
      <c r="AH2778" s="165"/>
      <c r="AI2778" s="165"/>
      <c r="AJ2778" s="165"/>
      <c r="AK2778" s="165"/>
      <c r="AL2778" s="165"/>
      <c r="AM2778" s="165"/>
      <c r="AN2778" s="165"/>
    </row>
    <row r="2779" spans="3:40">
      <c r="C2779" s="46"/>
      <c r="F2779" s="173"/>
      <c r="G2779" s="1"/>
      <c r="H2779" s="165"/>
      <c r="I2779" s="160"/>
      <c r="J2779" s="160"/>
      <c r="K2779" s="1"/>
      <c r="L2779" s="123"/>
      <c r="M2779" s="1"/>
      <c r="N2779" s="590"/>
      <c r="O2779" s="165"/>
      <c r="P2779" s="165"/>
      <c r="Q2779" s="165"/>
      <c r="R2779" s="165"/>
      <c r="S2779" s="165"/>
      <c r="V2779" s="46"/>
      <c r="W2779" s="46"/>
      <c r="X2779" s="1"/>
      <c r="Y2779" s="1"/>
      <c r="Z2779" s="173"/>
      <c r="AA2779" s="1"/>
      <c r="AB2779" s="165"/>
      <c r="AC2779" s="1"/>
      <c r="AD2779" s="1"/>
      <c r="AE2779" s="1"/>
      <c r="AF2779" s="46"/>
      <c r="AG2779" s="1"/>
      <c r="AH2779" s="165"/>
      <c r="AI2779" s="165"/>
      <c r="AJ2779" s="165"/>
      <c r="AK2779" s="165"/>
      <c r="AL2779" s="165"/>
      <c r="AM2779" s="165"/>
      <c r="AN2779" s="165"/>
    </row>
    <row r="2780" spans="3:40">
      <c r="C2780" s="46"/>
      <c r="F2780" s="173"/>
      <c r="G2780" s="1"/>
      <c r="H2780" s="165"/>
      <c r="I2780" s="160"/>
      <c r="J2780" s="160"/>
      <c r="K2780" s="1"/>
      <c r="L2780" s="123"/>
      <c r="M2780" s="1"/>
      <c r="N2780" s="590"/>
      <c r="O2780" s="165"/>
      <c r="P2780" s="165"/>
      <c r="Q2780" s="165"/>
      <c r="R2780" s="165"/>
      <c r="S2780" s="165"/>
      <c r="V2780" s="46"/>
      <c r="W2780" s="46"/>
      <c r="X2780" s="1"/>
      <c r="Y2780" s="1"/>
      <c r="Z2780" s="173"/>
      <c r="AA2780" s="1"/>
      <c r="AB2780" s="165"/>
      <c r="AC2780" s="1"/>
      <c r="AD2780" s="1"/>
      <c r="AE2780" s="1"/>
      <c r="AF2780" s="46"/>
      <c r="AG2780" s="1"/>
      <c r="AH2780" s="165"/>
      <c r="AI2780" s="165"/>
      <c r="AJ2780" s="165"/>
      <c r="AK2780" s="165"/>
      <c r="AL2780" s="165"/>
      <c r="AM2780" s="165"/>
      <c r="AN2780" s="165"/>
    </row>
    <row r="2781" spans="3:40">
      <c r="C2781" s="46"/>
      <c r="F2781" s="173"/>
      <c r="G2781" s="1"/>
      <c r="H2781" s="165"/>
      <c r="I2781" s="160"/>
      <c r="J2781" s="160"/>
      <c r="K2781" s="1"/>
      <c r="L2781" s="123"/>
      <c r="M2781" s="1"/>
      <c r="N2781" s="590"/>
      <c r="O2781" s="165"/>
      <c r="P2781" s="165"/>
      <c r="Q2781" s="165"/>
      <c r="R2781" s="165"/>
      <c r="S2781" s="165"/>
      <c r="V2781" s="46"/>
      <c r="W2781" s="46"/>
      <c r="X2781" s="1"/>
      <c r="Y2781" s="1"/>
      <c r="Z2781" s="173"/>
      <c r="AA2781" s="1"/>
      <c r="AB2781" s="165"/>
      <c r="AC2781" s="1"/>
      <c r="AD2781" s="1"/>
      <c r="AE2781" s="1"/>
      <c r="AF2781" s="46"/>
      <c r="AG2781" s="1"/>
      <c r="AH2781" s="165"/>
      <c r="AI2781" s="165"/>
      <c r="AJ2781" s="165"/>
      <c r="AK2781" s="165"/>
      <c r="AL2781" s="165"/>
      <c r="AM2781" s="165"/>
      <c r="AN2781" s="165"/>
    </row>
    <row r="2782" spans="3:40">
      <c r="C2782" s="46"/>
      <c r="F2782" s="173"/>
      <c r="G2782" s="1"/>
      <c r="H2782" s="165"/>
      <c r="I2782" s="160"/>
      <c r="J2782" s="160"/>
      <c r="K2782" s="1"/>
      <c r="L2782" s="123"/>
      <c r="M2782" s="1"/>
      <c r="N2782" s="590"/>
      <c r="O2782" s="165"/>
      <c r="P2782" s="165"/>
      <c r="Q2782" s="165"/>
      <c r="R2782" s="165"/>
      <c r="S2782" s="165"/>
      <c r="V2782" s="46"/>
      <c r="W2782" s="46"/>
      <c r="X2782" s="1"/>
      <c r="Y2782" s="1"/>
      <c r="Z2782" s="173"/>
      <c r="AA2782" s="1"/>
      <c r="AB2782" s="165"/>
      <c r="AC2782" s="1"/>
      <c r="AD2782" s="1"/>
      <c r="AE2782" s="1"/>
      <c r="AF2782" s="46"/>
      <c r="AG2782" s="1"/>
      <c r="AH2782" s="165"/>
      <c r="AI2782" s="165"/>
      <c r="AJ2782" s="165"/>
      <c r="AK2782" s="165"/>
      <c r="AL2782" s="165"/>
      <c r="AM2782" s="165"/>
      <c r="AN2782" s="165"/>
    </row>
    <row r="2783" spans="3:40">
      <c r="C2783" s="46"/>
      <c r="F2783" s="173"/>
      <c r="G2783" s="1"/>
      <c r="H2783" s="165"/>
      <c r="I2783" s="160"/>
      <c r="J2783" s="160"/>
      <c r="K2783" s="1"/>
      <c r="L2783" s="123"/>
      <c r="M2783" s="1"/>
      <c r="N2783" s="590"/>
      <c r="O2783" s="165"/>
      <c r="P2783" s="165"/>
      <c r="Q2783" s="165"/>
      <c r="R2783" s="165"/>
      <c r="S2783" s="165"/>
      <c r="V2783" s="46"/>
      <c r="W2783" s="46"/>
      <c r="X2783" s="1"/>
      <c r="Y2783" s="1"/>
      <c r="Z2783" s="173"/>
      <c r="AA2783" s="1"/>
      <c r="AB2783" s="165"/>
      <c r="AC2783" s="1"/>
      <c r="AD2783" s="1"/>
      <c r="AE2783" s="1"/>
      <c r="AF2783" s="46"/>
      <c r="AG2783" s="1"/>
      <c r="AH2783" s="165"/>
      <c r="AI2783" s="165"/>
      <c r="AJ2783" s="165"/>
      <c r="AK2783" s="165"/>
      <c r="AL2783" s="165"/>
      <c r="AM2783" s="165"/>
      <c r="AN2783" s="165"/>
    </row>
    <row r="2784" spans="3:40">
      <c r="C2784" s="46"/>
      <c r="F2784" s="173"/>
      <c r="G2784" s="1"/>
      <c r="H2784" s="165"/>
      <c r="I2784" s="160"/>
      <c r="J2784" s="160"/>
      <c r="K2784" s="1"/>
      <c r="L2784" s="123"/>
      <c r="M2784" s="1"/>
      <c r="N2784" s="590"/>
      <c r="O2784" s="165"/>
      <c r="P2784" s="165"/>
      <c r="Q2784" s="165"/>
      <c r="R2784" s="165"/>
      <c r="S2784" s="165"/>
      <c r="V2784" s="46"/>
      <c r="W2784" s="46"/>
      <c r="X2784" s="1"/>
      <c r="Y2784" s="1"/>
      <c r="Z2784" s="173"/>
      <c r="AA2784" s="1"/>
      <c r="AB2784" s="165"/>
      <c r="AC2784" s="1"/>
      <c r="AD2784" s="1"/>
      <c r="AE2784" s="1"/>
      <c r="AF2784" s="46"/>
      <c r="AG2784" s="1"/>
      <c r="AH2784" s="165"/>
      <c r="AI2784" s="165"/>
      <c r="AJ2784" s="165"/>
      <c r="AK2784" s="165"/>
      <c r="AL2784" s="165"/>
      <c r="AM2784" s="165"/>
      <c r="AN2784" s="165"/>
    </row>
    <row r="2785" spans="3:40">
      <c r="C2785" s="46"/>
      <c r="F2785" s="173"/>
      <c r="G2785" s="1"/>
      <c r="H2785" s="165"/>
      <c r="I2785" s="160"/>
      <c r="J2785" s="160"/>
      <c r="K2785" s="1"/>
      <c r="L2785" s="123"/>
      <c r="M2785" s="1"/>
      <c r="N2785" s="590"/>
      <c r="O2785" s="165"/>
      <c r="P2785" s="165"/>
      <c r="Q2785" s="165"/>
      <c r="R2785" s="165"/>
      <c r="S2785" s="165"/>
      <c r="V2785" s="46"/>
      <c r="W2785" s="46"/>
      <c r="X2785" s="1"/>
      <c r="Y2785" s="1"/>
      <c r="Z2785" s="173"/>
      <c r="AA2785" s="1"/>
      <c r="AB2785" s="165"/>
      <c r="AC2785" s="1"/>
      <c r="AD2785" s="1"/>
      <c r="AE2785" s="1"/>
      <c r="AF2785" s="46"/>
      <c r="AG2785" s="1"/>
      <c r="AH2785" s="165"/>
      <c r="AI2785" s="165"/>
      <c r="AJ2785" s="165"/>
      <c r="AK2785" s="165"/>
      <c r="AL2785" s="165"/>
      <c r="AM2785" s="165"/>
      <c r="AN2785" s="165"/>
    </row>
    <row r="2786" spans="3:40">
      <c r="C2786" s="46"/>
      <c r="F2786" s="173"/>
      <c r="G2786" s="1"/>
      <c r="H2786" s="165"/>
      <c r="I2786" s="160"/>
      <c r="J2786" s="160"/>
      <c r="K2786" s="1"/>
      <c r="L2786" s="123"/>
      <c r="M2786" s="1"/>
      <c r="N2786" s="590"/>
      <c r="O2786" s="165"/>
      <c r="P2786" s="165"/>
      <c r="Q2786" s="165"/>
      <c r="R2786" s="165"/>
      <c r="S2786" s="165"/>
      <c r="V2786" s="46"/>
      <c r="W2786" s="46"/>
      <c r="X2786" s="1"/>
      <c r="Y2786" s="1"/>
      <c r="Z2786" s="173"/>
      <c r="AA2786" s="1"/>
      <c r="AB2786" s="165"/>
      <c r="AC2786" s="1"/>
      <c r="AD2786" s="1"/>
      <c r="AE2786" s="1"/>
      <c r="AF2786" s="46"/>
      <c r="AG2786" s="1"/>
      <c r="AH2786" s="165"/>
      <c r="AI2786" s="165"/>
      <c r="AJ2786" s="165"/>
      <c r="AK2786" s="165"/>
      <c r="AL2786" s="165"/>
      <c r="AM2786" s="165"/>
      <c r="AN2786" s="165"/>
    </row>
    <row r="2787" spans="3:40">
      <c r="C2787" s="46"/>
      <c r="F2787" s="173"/>
      <c r="G2787" s="1"/>
      <c r="H2787" s="165"/>
      <c r="I2787" s="160"/>
      <c r="J2787" s="160"/>
      <c r="K2787" s="1"/>
      <c r="L2787" s="123"/>
      <c r="M2787" s="1"/>
      <c r="N2787" s="590"/>
      <c r="O2787" s="165"/>
      <c r="P2787" s="165"/>
      <c r="Q2787" s="165"/>
      <c r="R2787" s="165"/>
      <c r="S2787" s="165"/>
      <c r="V2787" s="46"/>
      <c r="W2787" s="46"/>
      <c r="X2787" s="1"/>
      <c r="Y2787" s="1"/>
      <c r="Z2787" s="173"/>
      <c r="AA2787" s="1"/>
      <c r="AB2787" s="165"/>
      <c r="AC2787" s="1"/>
      <c r="AD2787" s="1"/>
      <c r="AE2787" s="1"/>
      <c r="AF2787" s="46"/>
      <c r="AG2787" s="1"/>
      <c r="AH2787" s="165"/>
      <c r="AI2787" s="165"/>
      <c r="AJ2787" s="165"/>
      <c r="AK2787" s="165"/>
      <c r="AL2787" s="165"/>
      <c r="AM2787" s="165"/>
      <c r="AN2787" s="165"/>
    </row>
    <row r="2788" spans="3:40">
      <c r="C2788" s="46"/>
      <c r="F2788" s="173"/>
      <c r="G2788" s="1"/>
      <c r="H2788" s="165"/>
      <c r="I2788" s="160"/>
      <c r="J2788" s="160"/>
      <c r="K2788" s="1"/>
      <c r="L2788" s="123"/>
      <c r="M2788" s="1"/>
      <c r="N2788" s="590"/>
      <c r="O2788" s="165"/>
      <c r="P2788" s="165"/>
      <c r="Q2788" s="165"/>
      <c r="R2788" s="165"/>
      <c r="S2788" s="165"/>
      <c r="V2788" s="46"/>
      <c r="W2788" s="46"/>
      <c r="X2788" s="1"/>
      <c r="Y2788" s="1"/>
      <c r="Z2788" s="173"/>
      <c r="AA2788" s="1"/>
      <c r="AB2788" s="165"/>
      <c r="AC2788" s="1"/>
      <c r="AD2788" s="1"/>
      <c r="AE2788" s="1"/>
      <c r="AF2788" s="46"/>
      <c r="AG2788" s="1"/>
      <c r="AH2788" s="165"/>
      <c r="AI2788" s="165"/>
      <c r="AJ2788" s="165"/>
      <c r="AK2788" s="165"/>
      <c r="AL2788" s="165"/>
      <c r="AM2788" s="165"/>
      <c r="AN2788" s="165"/>
    </row>
    <row r="2789" spans="3:40">
      <c r="C2789" s="46"/>
      <c r="F2789" s="173"/>
      <c r="G2789" s="1"/>
      <c r="H2789" s="165"/>
      <c r="I2789" s="160"/>
      <c r="J2789" s="160"/>
      <c r="K2789" s="1"/>
      <c r="L2789" s="123"/>
      <c r="M2789" s="1"/>
      <c r="N2789" s="590"/>
      <c r="O2789" s="165"/>
      <c r="P2789" s="165"/>
      <c r="Q2789" s="165"/>
      <c r="R2789" s="165"/>
      <c r="S2789" s="165"/>
      <c r="V2789" s="46"/>
      <c r="W2789" s="46"/>
      <c r="X2789" s="1"/>
      <c r="Y2789" s="1"/>
      <c r="Z2789" s="173"/>
      <c r="AA2789" s="1"/>
      <c r="AB2789" s="165"/>
      <c r="AC2789" s="1"/>
      <c r="AD2789" s="1"/>
      <c r="AE2789" s="1"/>
      <c r="AF2789" s="46"/>
      <c r="AG2789" s="1"/>
      <c r="AH2789" s="165"/>
      <c r="AI2789" s="165"/>
      <c r="AJ2789" s="165"/>
      <c r="AK2789" s="165"/>
      <c r="AL2789" s="165"/>
      <c r="AM2789" s="165"/>
      <c r="AN2789" s="165"/>
    </row>
    <row r="2790" spans="3:40">
      <c r="C2790" s="46"/>
      <c r="F2790" s="173"/>
      <c r="G2790" s="1"/>
      <c r="H2790" s="165"/>
      <c r="I2790" s="160"/>
      <c r="J2790" s="160"/>
      <c r="K2790" s="1"/>
      <c r="L2790" s="123"/>
      <c r="M2790" s="1"/>
      <c r="N2790" s="590"/>
      <c r="O2790" s="165"/>
      <c r="P2790" s="165"/>
      <c r="Q2790" s="165"/>
      <c r="R2790" s="165"/>
      <c r="S2790" s="165"/>
      <c r="V2790" s="46"/>
      <c r="W2790" s="46"/>
      <c r="X2790" s="1"/>
      <c r="Y2790" s="1"/>
      <c r="Z2790" s="173"/>
      <c r="AA2790" s="1"/>
      <c r="AB2790" s="165"/>
      <c r="AC2790" s="1"/>
      <c r="AD2790" s="1"/>
      <c r="AE2790" s="1"/>
      <c r="AF2790" s="46"/>
      <c r="AG2790" s="1"/>
      <c r="AH2790" s="165"/>
      <c r="AI2790" s="165"/>
      <c r="AJ2790" s="165"/>
      <c r="AK2790" s="165"/>
      <c r="AL2790" s="165"/>
      <c r="AM2790" s="165"/>
      <c r="AN2790" s="165"/>
    </row>
    <row r="2791" spans="3:40">
      <c r="C2791" s="46"/>
      <c r="F2791" s="173"/>
      <c r="G2791" s="1"/>
      <c r="H2791" s="165"/>
      <c r="I2791" s="160"/>
      <c r="J2791" s="160"/>
      <c r="K2791" s="1"/>
      <c r="L2791" s="123"/>
      <c r="M2791" s="1"/>
      <c r="N2791" s="590"/>
      <c r="O2791" s="165"/>
      <c r="P2791" s="165"/>
      <c r="Q2791" s="165"/>
      <c r="R2791" s="165"/>
      <c r="S2791" s="165"/>
      <c r="V2791" s="46"/>
      <c r="W2791" s="46"/>
      <c r="X2791" s="1"/>
      <c r="Y2791" s="1"/>
      <c r="Z2791" s="173"/>
      <c r="AA2791" s="1"/>
      <c r="AB2791" s="165"/>
      <c r="AC2791" s="1"/>
      <c r="AD2791" s="1"/>
      <c r="AE2791" s="1"/>
      <c r="AF2791" s="46"/>
      <c r="AG2791" s="1"/>
      <c r="AH2791" s="165"/>
      <c r="AI2791" s="165"/>
      <c r="AJ2791" s="165"/>
      <c r="AK2791" s="165"/>
      <c r="AL2791" s="165"/>
      <c r="AM2791" s="165"/>
      <c r="AN2791" s="165"/>
    </row>
    <row r="2792" spans="3:40">
      <c r="C2792" s="46"/>
      <c r="F2792" s="173"/>
      <c r="G2792" s="1"/>
      <c r="H2792" s="165"/>
      <c r="I2792" s="160"/>
      <c r="J2792" s="160"/>
      <c r="K2792" s="1"/>
      <c r="L2792" s="123"/>
      <c r="M2792" s="1"/>
      <c r="N2792" s="590"/>
      <c r="O2792" s="165"/>
      <c r="P2792" s="165"/>
      <c r="Q2792" s="165"/>
      <c r="R2792" s="165"/>
      <c r="S2792" s="165"/>
      <c r="V2792" s="46"/>
      <c r="W2792" s="46"/>
      <c r="X2792" s="1"/>
      <c r="Y2792" s="1"/>
      <c r="Z2792" s="173"/>
      <c r="AA2792" s="1"/>
      <c r="AB2792" s="165"/>
      <c r="AC2792" s="1"/>
      <c r="AD2792" s="1"/>
      <c r="AE2792" s="1"/>
      <c r="AF2792" s="46"/>
      <c r="AG2792" s="1"/>
      <c r="AH2792" s="165"/>
      <c r="AI2792" s="165"/>
      <c r="AJ2792" s="165"/>
      <c r="AK2792" s="165"/>
      <c r="AL2792" s="165"/>
      <c r="AM2792" s="165"/>
      <c r="AN2792" s="165"/>
    </row>
    <row r="2793" spans="3:40">
      <c r="C2793" s="46"/>
      <c r="F2793" s="173"/>
      <c r="G2793" s="1"/>
      <c r="H2793" s="165"/>
      <c r="I2793" s="160"/>
      <c r="J2793" s="160"/>
      <c r="K2793" s="1"/>
      <c r="L2793" s="123"/>
      <c r="M2793" s="1"/>
      <c r="N2793" s="590"/>
      <c r="O2793" s="165"/>
      <c r="P2793" s="165"/>
      <c r="Q2793" s="165"/>
      <c r="R2793" s="165"/>
      <c r="S2793" s="165"/>
      <c r="V2793" s="46"/>
      <c r="W2793" s="46"/>
      <c r="X2793" s="1"/>
      <c r="Y2793" s="1"/>
      <c r="Z2793" s="173"/>
      <c r="AA2793" s="1"/>
      <c r="AB2793" s="165"/>
      <c r="AC2793" s="1"/>
      <c r="AD2793" s="1"/>
      <c r="AE2793" s="1"/>
      <c r="AF2793" s="46"/>
      <c r="AG2793" s="1"/>
      <c r="AH2793" s="165"/>
      <c r="AI2793" s="165"/>
      <c r="AJ2793" s="165"/>
      <c r="AK2793" s="165"/>
      <c r="AL2793" s="165"/>
      <c r="AM2793" s="165"/>
      <c r="AN2793" s="165"/>
    </row>
    <row r="2794" spans="3:40">
      <c r="C2794" s="46"/>
      <c r="F2794" s="173"/>
      <c r="G2794" s="1"/>
      <c r="H2794" s="165"/>
      <c r="I2794" s="160"/>
      <c r="J2794" s="160"/>
      <c r="K2794" s="1"/>
      <c r="L2794" s="123"/>
      <c r="M2794" s="1"/>
      <c r="N2794" s="590"/>
      <c r="O2794" s="165"/>
      <c r="P2794" s="165"/>
      <c r="Q2794" s="165"/>
      <c r="R2794" s="165"/>
      <c r="S2794" s="165"/>
      <c r="V2794" s="46"/>
      <c r="W2794" s="46"/>
      <c r="X2794" s="1"/>
      <c r="Y2794" s="1"/>
      <c r="Z2794" s="173"/>
      <c r="AA2794" s="1"/>
      <c r="AB2794" s="165"/>
      <c r="AC2794" s="1"/>
      <c r="AD2794" s="1"/>
      <c r="AE2794" s="1"/>
      <c r="AF2794" s="46"/>
      <c r="AG2794" s="1"/>
      <c r="AH2794" s="165"/>
      <c r="AI2794" s="165"/>
      <c r="AJ2794" s="165"/>
      <c r="AK2794" s="165"/>
      <c r="AL2794" s="165"/>
      <c r="AM2794" s="165"/>
      <c r="AN2794" s="165"/>
    </row>
    <row r="2795" spans="3:40">
      <c r="S2795" s="165"/>
    </row>
  </sheetData>
  <autoFilter ref="A1:AM712" xr:uid="{00000000-0001-0000-0000-000000000000}"/>
  <dataConsolidate/>
  <mergeCells count="10">
    <mergeCell ref="A524:B524"/>
    <mergeCell ref="AJ3:AM3"/>
    <mergeCell ref="P3:S3"/>
    <mergeCell ref="T700:U700"/>
    <mergeCell ref="T3:AA3"/>
    <mergeCell ref="AH3:AH4"/>
    <mergeCell ref="A3:G3"/>
    <mergeCell ref="N3:N4"/>
    <mergeCell ref="O3:O4"/>
    <mergeCell ref="AI3:AI4"/>
  </mergeCells>
  <phoneticPr fontId="65"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5FD08-E3CE-7241-9F1D-BE345CEC27B9}">
  <sheetPr>
    <tabColor rgb="FF92D050"/>
  </sheetPr>
  <dimension ref="A1:AE710"/>
  <sheetViews>
    <sheetView zoomScaleNormal="100" workbookViewId="0">
      <pane xSplit="1" ySplit="4" topLeftCell="B5" activePane="bottomRight" state="frozen"/>
      <selection pane="topRight" activeCell="B1" sqref="B1"/>
      <selection pane="bottomLeft" activeCell="A5" sqref="A5"/>
      <selection pane="bottomRight" activeCell="A2" sqref="A2"/>
    </sheetView>
  </sheetViews>
  <sheetFormatPr baseColWidth="10" defaultColWidth="11.42578125" defaultRowHeight="12.75"/>
  <cols>
    <col min="1" max="1" width="31" style="426" customWidth="1"/>
    <col min="2" max="2" width="113" customWidth="1"/>
    <col min="3" max="3" width="10.7109375" customWidth="1"/>
    <col min="4" max="4" width="13" customWidth="1"/>
    <col min="5" max="5" width="11.42578125" style="981" customWidth="1"/>
    <col min="6" max="6" width="11.42578125" customWidth="1"/>
    <col min="7" max="11" width="10.7109375" customWidth="1"/>
    <col min="12" max="12" width="10.7109375" style="172" customWidth="1"/>
    <col min="13" max="13" width="33" style="625" customWidth="1"/>
    <col min="14" max="15" width="10.7109375" style="628" customWidth="1"/>
    <col min="16" max="16" width="28.7109375" customWidth="1"/>
    <col min="17" max="17" width="91.140625" customWidth="1"/>
    <col min="18" max="18" width="10.7109375" customWidth="1"/>
    <col min="19" max="19" width="13" customWidth="1"/>
    <col min="20" max="20" width="21.5703125" customWidth="1"/>
    <col min="21" max="22" width="10.7109375" customWidth="1"/>
    <col min="28" max="28" width="10.7109375" style="172"/>
    <col min="29" max="29" width="33" customWidth="1"/>
  </cols>
  <sheetData>
    <row r="1" spans="1:31" s="1" customFormat="1" ht="24" customHeight="1">
      <c r="A1" s="418" t="s">
        <v>65</v>
      </c>
      <c r="B1" s="11"/>
      <c r="C1" s="54"/>
      <c r="D1" s="1000"/>
      <c r="E1" s="970"/>
      <c r="F1" s="31"/>
      <c r="G1" s="24"/>
      <c r="H1" s="147"/>
      <c r="I1" s="22"/>
      <c r="J1" s="22"/>
      <c r="K1" s="22"/>
      <c r="L1" s="47"/>
      <c r="M1" s="621"/>
      <c r="N1" s="163"/>
      <c r="O1" s="282"/>
      <c r="P1" s="418" t="s">
        <v>65</v>
      </c>
      <c r="Q1" s="11"/>
      <c r="R1" s="54"/>
      <c r="S1" s="55"/>
      <c r="T1" s="30"/>
      <c r="U1" s="24"/>
      <c r="V1" s="31"/>
      <c r="W1" s="24"/>
      <c r="X1" s="147"/>
      <c r="Y1" s="22"/>
      <c r="Z1" s="22"/>
      <c r="AA1" s="22"/>
      <c r="AB1" s="47"/>
      <c r="AC1" s="22"/>
      <c r="AD1" s="163"/>
      <c r="AE1" s="282"/>
    </row>
    <row r="2" spans="1:31" s="1" customFormat="1" ht="18.75">
      <c r="A2" s="419"/>
      <c r="B2" s="176" t="s">
        <v>66</v>
      </c>
      <c r="C2" s="134"/>
      <c r="D2" s="1001"/>
      <c r="E2" s="971"/>
      <c r="F2" s="32"/>
      <c r="G2" s="136"/>
      <c r="H2" s="136"/>
      <c r="I2" s="137"/>
      <c r="J2" s="137"/>
      <c r="K2" s="137"/>
      <c r="L2" s="170"/>
      <c r="M2" s="621"/>
      <c r="N2" s="626"/>
      <c r="O2" s="627"/>
      <c r="P2" s="419"/>
      <c r="Q2" s="176" t="s">
        <v>66</v>
      </c>
      <c r="R2" s="134"/>
      <c r="S2" s="143"/>
      <c r="T2" s="135"/>
      <c r="U2" s="136"/>
      <c r="V2" s="32"/>
      <c r="W2" s="136"/>
      <c r="X2" s="136"/>
      <c r="Y2" s="137"/>
      <c r="Z2" s="137"/>
      <c r="AA2" s="137"/>
      <c r="AB2" s="170"/>
      <c r="AC2" s="22"/>
      <c r="AD2" s="144"/>
      <c r="AE2" s="415"/>
    </row>
    <row r="3" spans="1:31" s="1" customFormat="1" ht="30.95" customHeight="1">
      <c r="A3" s="1174" t="s">
        <v>1483</v>
      </c>
      <c r="B3" s="1175"/>
      <c r="C3" s="1175"/>
      <c r="D3" s="1175"/>
      <c r="E3" s="1175"/>
      <c r="F3" s="1175"/>
      <c r="G3" s="1175"/>
      <c r="H3" s="35"/>
      <c r="I3" s="36"/>
      <c r="J3" s="36"/>
      <c r="K3" s="167"/>
      <c r="L3" s="167"/>
      <c r="M3" s="622" t="s">
        <v>68</v>
      </c>
      <c r="N3" s="1170" t="s">
        <v>69</v>
      </c>
      <c r="O3" s="1172" t="s">
        <v>70</v>
      </c>
      <c r="P3" s="1176" t="s">
        <v>1484</v>
      </c>
      <c r="Q3" s="1166"/>
      <c r="R3" s="1166"/>
      <c r="S3" s="1166"/>
      <c r="T3" s="1166"/>
      <c r="U3" s="1166"/>
      <c r="V3" s="1166"/>
      <c r="W3" s="1166"/>
      <c r="X3" s="35"/>
      <c r="Y3" s="36"/>
      <c r="Z3" s="36"/>
      <c r="AA3" s="167"/>
      <c r="AB3" s="167"/>
      <c r="AC3" s="39" t="s">
        <v>68</v>
      </c>
      <c r="AD3" s="1170" t="s">
        <v>69</v>
      </c>
      <c r="AE3" s="1172" t="s">
        <v>70</v>
      </c>
    </row>
    <row r="4" spans="1:31" s="1" customFormat="1" ht="63.75">
      <c r="A4" s="714" t="s">
        <v>73</v>
      </c>
      <c r="B4" s="713" t="s">
        <v>87</v>
      </c>
      <c r="C4" s="493" t="s">
        <v>75</v>
      </c>
      <c r="D4" s="1002" t="s">
        <v>76</v>
      </c>
      <c r="E4" s="1007" t="s">
        <v>78</v>
      </c>
      <c r="F4" s="496" t="s">
        <v>79</v>
      </c>
      <c r="G4" s="495" t="s">
        <v>80</v>
      </c>
      <c r="H4" s="150" t="s">
        <v>81</v>
      </c>
      <c r="I4" s="497" t="s">
        <v>82</v>
      </c>
      <c r="J4" s="497" t="s">
        <v>83</v>
      </c>
      <c r="K4" s="498" t="s">
        <v>84</v>
      </c>
      <c r="L4" s="498" t="s">
        <v>85</v>
      </c>
      <c r="M4" s="623" t="s">
        <v>86</v>
      </c>
      <c r="N4" s="1171"/>
      <c r="O4" s="1173"/>
      <c r="P4" s="491" t="s">
        <v>73</v>
      </c>
      <c r="Q4" s="492" t="s">
        <v>87</v>
      </c>
      <c r="R4" s="493" t="s">
        <v>75</v>
      </c>
      <c r="S4" s="494" t="s">
        <v>76</v>
      </c>
      <c r="T4" s="494" t="s">
        <v>77</v>
      </c>
      <c r="U4" s="495" t="s">
        <v>78</v>
      </c>
      <c r="V4" s="496" t="s">
        <v>79</v>
      </c>
      <c r="W4" s="495" t="s">
        <v>80</v>
      </c>
      <c r="X4" s="150" t="s">
        <v>81</v>
      </c>
      <c r="Y4" s="497" t="s">
        <v>82</v>
      </c>
      <c r="Z4" s="497" t="s">
        <v>83</v>
      </c>
      <c r="AA4" s="498" t="s">
        <v>84</v>
      </c>
      <c r="AB4" s="498" t="s">
        <v>85</v>
      </c>
      <c r="AC4" s="40" t="s">
        <v>86</v>
      </c>
      <c r="AD4" s="1171"/>
      <c r="AE4" s="1173"/>
    </row>
    <row r="5" spans="1:31" s="1" customFormat="1" ht="24" customHeight="1">
      <c r="A5" s="499" t="s">
        <v>1485</v>
      </c>
      <c r="B5" s="165"/>
      <c r="C5" s="428"/>
      <c r="D5" s="585"/>
      <c r="E5" s="1008"/>
      <c r="F5" s="500"/>
      <c r="G5" s="147"/>
      <c r="H5" s="147"/>
      <c r="I5" s="163"/>
      <c r="J5" s="163"/>
      <c r="K5" s="163"/>
      <c r="L5" s="428"/>
      <c r="M5" s="621"/>
      <c r="N5" s="159"/>
      <c r="O5" s="221"/>
      <c r="P5" s="499" t="s">
        <v>1485</v>
      </c>
      <c r="Q5" s="165"/>
      <c r="R5" s="428"/>
      <c r="S5" s="106"/>
      <c r="T5" s="147"/>
      <c r="U5" s="147"/>
      <c r="V5" s="500"/>
      <c r="W5" s="147"/>
      <c r="X5" s="147"/>
      <c r="Y5" s="163"/>
      <c r="Z5" s="163"/>
      <c r="AA5" s="163"/>
      <c r="AB5" s="428"/>
      <c r="AC5" s="22"/>
      <c r="AD5" s="14"/>
      <c r="AE5" s="157"/>
    </row>
    <row r="6" spans="1:31" s="1" customFormat="1">
      <c r="A6" s="477" t="s">
        <v>1486</v>
      </c>
      <c r="B6" s="501" t="s">
        <v>1487</v>
      </c>
      <c r="C6" s="502">
        <v>1</v>
      </c>
      <c r="D6" s="585" t="s">
        <v>1488</v>
      </c>
      <c r="E6" s="1009">
        <v>160</v>
      </c>
      <c r="F6" s="430">
        <f>rv_iiyama</f>
        <v>0.2</v>
      </c>
      <c r="G6" s="145">
        <f>E6-(E6*F6)</f>
        <v>128</v>
      </c>
      <c r="H6" s="145"/>
      <c r="I6" s="503"/>
      <c r="J6" s="503"/>
      <c r="K6" s="503"/>
      <c r="L6" s="504">
        <v>1.42</v>
      </c>
      <c r="M6" s="624" t="s">
        <v>1489</v>
      </c>
      <c r="N6" s="159" t="s">
        <v>700</v>
      </c>
      <c r="O6" s="221" t="s">
        <v>1224</v>
      </c>
      <c r="P6" s="477" t="s">
        <v>1486</v>
      </c>
      <c r="Q6" s="501" t="s">
        <v>1487</v>
      </c>
      <c r="R6" s="502">
        <v>1</v>
      </c>
      <c r="S6" s="106" t="s">
        <v>1488</v>
      </c>
      <c r="T6" s="585" t="s">
        <v>1486</v>
      </c>
      <c r="U6" s="428">
        <v>160</v>
      </c>
      <c r="V6" s="430">
        <v>0.2</v>
      </c>
      <c r="W6" s="145">
        <v>128</v>
      </c>
      <c r="X6" s="145"/>
      <c r="Y6" s="503"/>
      <c r="Z6" s="503"/>
      <c r="AA6" s="503" t="s">
        <v>92</v>
      </c>
      <c r="AB6" s="504">
        <v>1.42</v>
      </c>
      <c r="AC6" s="41" t="s">
        <v>1489</v>
      </c>
      <c r="AD6" s="14" t="s">
        <v>700</v>
      </c>
      <c r="AE6" s="157" t="s">
        <v>1224</v>
      </c>
    </row>
    <row r="7" spans="1:31" s="1" customFormat="1">
      <c r="A7" s="718" t="s">
        <v>3167</v>
      </c>
      <c r="B7" s="719" t="s">
        <v>3171</v>
      </c>
      <c r="C7" s="720">
        <v>1</v>
      </c>
      <c r="D7" s="723" t="s">
        <v>1488</v>
      </c>
      <c r="E7" s="978">
        <v>175.96</v>
      </c>
      <c r="F7" s="721">
        <f>rv_iiyama</f>
        <v>0.2</v>
      </c>
      <c r="G7" s="262">
        <f>E7-(E7*F7)</f>
        <v>140.768</v>
      </c>
      <c r="H7" s="262"/>
      <c r="I7" s="99"/>
      <c r="J7" s="99"/>
      <c r="K7" s="99"/>
      <c r="L7" s="724">
        <v>1.42</v>
      </c>
      <c r="M7" s="624" t="s">
        <v>1489</v>
      </c>
      <c r="N7" s="159" t="s">
        <v>700</v>
      </c>
      <c r="O7" s="221" t="s">
        <v>1224</v>
      </c>
      <c r="P7" s="650" t="s">
        <v>1490</v>
      </c>
      <c r="Q7" s="651" t="s">
        <v>1491</v>
      </c>
      <c r="R7" s="652">
        <v>1</v>
      </c>
      <c r="S7" s="690" t="s">
        <v>1488</v>
      </c>
      <c r="T7" s="653" t="s">
        <v>1490</v>
      </c>
      <c r="U7" s="654">
        <v>189</v>
      </c>
      <c r="V7" s="655">
        <v>0.2</v>
      </c>
      <c r="W7" s="702">
        <v>151.19999999999999</v>
      </c>
      <c r="X7" s="702"/>
      <c r="Y7" s="658"/>
      <c r="Z7" s="658"/>
      <c r="AA7" s="658" t="s">
        <v>92</v>
      </c>
      <c r="AB7" s="717">
        <v>1.42</v>
      </c>
      <c r="AC7" s="660" t="s">
        <v>1489</v>
      </c>
      <c r="AD7" s="715" t="s">
        <v>700</v>
      </c>
      <c r="AE7" s="716" t="s">
        <v>1224</v>
      </c>
    </row>
    <row r="8" spans="1:31" s="1" customFormat="1">
      <c r="A8" s="684" t="s">
        <v>3168</v>
      </c>
      <c r="B8" s="719" t="s">
        <v>3170</v>
      </c>
      <c r="C8" s="720">
        <v>1</v>
      </c>
      <c r="D8" s="723" t="s">
        <v>1488</v>
      </c>
      <c r="E8" s="978">
        <v>225</v>
      </c>
      <c r="F8" s="721">
        <f>rv_iiyama</f>
        <v>0.2</v>
      </c>
      <c r="G8" s="262">
        <f>E8-(E8*F8)</f>
        <v>180</v>
      </c>
      <c r="H8" s="262"/>
      <c r="I8" s="99"/>
      <c r="J8" s="99"/>
      <c r="K8" s="99"/>
      <c r="L8" s="724">
        <v>2.5</v>
      </c>
      <c r="M8" s="624" t="s">
        <v>1489</v>
      </c>
      <c r="N8" s="159" t="s">
        <v>700</v>
      </c>
      <c r="O8" s="221" t="s">
        <v>1224</v>
      </c>
      <c r="P8" s="650" t="s">
        <v>1492</v>
      </c>
      <c r="Q8" s="651" t="s">
        <v>1493</v>
      </c>
      <c r="R8" s="652">
        <v>1</v>
      </c>
      <c r="S8" s="690" t="s">
        <v>1488</v>
      </c>
      <c r="T8" s="653" t="s">
        <v>1492</v>
      </c>
      <c r="U8" s="654">
        <v>235</v>
      </c>
      <c r="V8" s="655">
        <v>0.2</v>
      </c>
      <c r="W8" s="702">
        <v>188</v>
      </c>
      <c r="X8" s="702"/>
      <c r="Y8" s="658"/>
      <c r="Z8" s="658"/>
      <c r="AA8" s="658" t="s">
        <v>92</v>
      </c>
      <c r="AB8" s="717">
        <v>2.5</v>
      </c>
      <c r="AC8" s="660" t="s">
        <v>1489</v>
      </c>
      <c r="AD8" s="715" t="s">
        <v>700</v>
      </c>
      <c r="AE8" s="716" t="s">
        <v>1224</v>
      </c>
    </row>
    <row r="9" spans="1:31" s="1" customFormat="1">
      <c r="A9" s="477" t="s">
        <v>1494</v>
      </c>
      <c r="B9" s="507" t="s">
        <v>3172</v>
      </c>
      <c r="C9" s="506">
        <v>1</v>
      </c>
      <c r="D9" s="585" t="s">
        <v>1488</v>
      </c>
      <c r="E9" s="1009">
        <v>489</v>
      </c>
      <c r="F9" s="430">
        <f>rv_iiyama</f>
        <v>0.2</v>
      </c>
      <c r="G9" s="145">
        <f>E9-(E9*F9)</f>
        <v>391.2</v>
      </c>
      <c r="H9" s="145"/>
      <c r="I9" s="503"/>
      <c r="J9" s="503"/>
      <c r="K9" s="503"/>
      <c r="L9" s="504">
        <v>1.42</v>
      </c>
      <c r="M9" s="624" t="s">
        <v>1489</v>
      </c>
      <c r="N9" s="159" t="s">
        <v>700</v>
      </c>
      <c r="O9" s="221" t="s">
        <v>1224</v>
      </c>
      <c r="P9" s="477" t="s">
        <v>1494</v>
      </c>
      <c r="Q9" s="507" t="s">
        <v>1495</v>
      </c>
      <c r="R9" s="506">
        <v>1</v>
      </c>
      <c r="S9" s="585" t="s">
        <v>1488</v>
      </c>
      <c r="T9" s="508" t="s">
        <v>1494</v>
      </c>
      <c r="U9" s="428">
        <v>489</v>
      </c>
      <c r="V9" s="430">
        <v>0.2</v>
      </c>
      <c r="W9" s="145">
        <v>391.2</v>
      </c>
      <c r="X9" s="145"/>
      <c r="Y9" s="503"/>
      <c r="Z9" s="503"/>
      <c r="AA9" s="503"/>
      <c r="AB9" s="504">
        <v>1.42</v>
      </c>
      <c r="AC9" s="41" t="s">
        <v>1489</v>
      </c>
      <c r="AD9" s="14" t="s">
        <v>700</v>
      </c>
      <c r="AE9" s="157" t="s">
        <v>1224</v>
      </c>
    </row>
    <row r="10" spans="1:31" s="1" customFormat="1">
      <c r="A10" s="684" t="s">
        <v>3169</v>
      </c>
      <c r="B10" s="719" t="s">
        <v>3173</v>
      </c>
      <c r="C10" s="686">
        <v>1</v>
      </c>
      <c r="D10" s="693" t="s">
        <v>1488</v>
      </c>
      <c r="E10" s="977">
        <v>449.17</v>
      </c>
      <c r="F10" s="161">
        <f>rv_iiyama</f>
        <v>0.2</v>
      </c>
      <c r="G10" s="93">
        <f>E10-(E10*F10)</f>
        <v>359.33600000000001</v>
      </c>
      <c r="H10" s="145"/>
      <c r="I10" s="503"/>
      <c r="J10" s="503"/>
      <c r="K10" s="503"/>
      <c r="L10" s="223">
        <v>2.5</v>
      </c>
      <c r="M10" s="624" t="s">
        <v>1489</v>
      </c>
      <c r="N10" s="159" t="s">
        <v>700</v>
      </c>
      <c r="O10" s="221" t="s">
        <v>1224</v>
      </c>
      <c r="P10" s="650" t="s">
        <v>1496</v>
      </c>
      <c r="Q10" s="651" t="s">
        <v>1497</v>
      </c>
      <c r="R10" s="652">
        <v>1</v>
      </c>
      <c r="S10" s="690" t="s">
        <v>1488</v>
      </c>
      <c r="T10" s="653" t="s">
        <v>1496</v>
      </c>
      <c r="U10" s="654">
        <v>449.17</v>
      </c>
      <c r="V10" s="655">
        <v>0.2</v>
      </c>
      <c r="W10" s="702">
        <v>359.33600000000001</v>
      </c>
      <c r="X10" s="702"/>
      <c r="Y10" s="658"/>
      <c r="Z10" s="658"/>
      <c r="AA10" s="658" t="s">
        <v>92</v>
      </c>
      <c r="AB10" s="717">
        <v>2.5</v>
      </c>
      <c r="AC10" s="660" t="s">
        <v>1489</v>
      </c>
      <c r="AD10" s="715" t="s">
        <v>700</v>
      </c>
      <c r="AE10" s="716" t="s">
        <v>1224</v>
      </c>
    </row>
    <row r="11" spans="1:31" s="1" customFormat="1" ht="23.1" customHeight="1">
      <c r="A11" s="509" t="s">
        <v>1498</v>
      </c>
      <c r="B11" s="163"/>
      <c r="C11" s="428"/>
      <c r="D11" s="585"/>
      <c r="E11" s="1008"/>
      <c r="F11" s="500"/>
      <c r="G11" s="147"/>
      <c r="H11" s="147"/>
      <c r="I11" s="163"/>
      <c r="J11" s="163"/>
      <c r="K11" s="163"/>
      <c r="L11" s="428"/>
      <c r="M11" s="624"/>
      <c r="N11" s="159"/>
      <c r="O11" s="221"/>
      <c r="P11" s="509" t="s">
        <v>1498</v>
      </c>
      <c r="Q11" s="163"/>
      <c r="R11" s="428"/>
      <c r="S11" s="106"/>
      <c r="T11" s="147"/>
      <c r="U11" s="147"/>
      <c r="V11" s="500"/>
      <c r="W11" s="147"/>
      <c r="X11" s="147"/>
      <c r="Y11" s="163"/>
      <c r="Z11" s="163"/>
      <c r="AA11" s="163"/>
      <c r="AB11" s="428"/>
      <c r="AC11" s="41"/>
      <c r="AD11" s="14"/>
      <c r="AE11" s="157"/>
    </row>
    <row r="12" spans="1:31" s="1" customFormat="1">
      <c r="A12" s="477" t="s">
        <v>1499</v>
      </c>
      <c r="B12" s="472" t="s">
        <v>1500</v>
      </c>
      <c r="C12" s="473">
        <v>1</v>
      </c>
      <c r="D12" s="585" t="s">
        <v>1501</v>
      </c>
      <c r="E12" s="1009">
        <v>384.28</v>
      </c>
      <c r="F12" s="430">
        <f t="shared" ref="F12:F17" si="0">rv_philips</f>
        <v>0.2</v>
      </c>
      <c r="G12" s="145">
        <f t="shared" ref="G12:G26" si="1">E12-(E12*F12)</f>
        <v>307.42399999999998</v>
      </c>
      <c r="H12" s="145"/>
      <c r="I12" s="503"/>
      <c r="J12" s="503"/>
      <c r="K12" s="503"/>
      <c r="L12" s="503">
        <v>2.5</v>
      </c>
      <c r="M12" s="624" t="s">
        <v>1489</v>
      </c>
      <c r="N12" s="159" t="s">
        <v>700</v>
      </c>
      <c r="O12" s="221" t="s">
        <v>1224</v>
      </c>
      <c r="P12" s="477" t="s">
        <v>1499</v>
      </c>
      <c r="Q12" s="472" t="s">
        <v>1500</v>
      </c>
      <c r="R12" s="473">
        <v>1</v>
      </c>
      <c r="S12" s="585" t="s">
        <v>1501</v>
      </c>
      <c r="T12" s="508" t="s">
        <v>1499</v>
      </c>
      <c r="U12" s="428">
        <v>384.28</v>
      </c>
      <c r="V12" s="430">
        <v>0.2</v>
      </c>
      <c r="W12" s="145">
        <v>307.42399999999998</v>
      </c>
      <c r="X12" s="145"/>
      <c r="Y12" s="503"/>
      <c r="Z12" s="503"/>
      <c r="AA12" s="503" t="s">
        <v>92</v>
      </c>
      <c r="AB12" s="503">
        <v>2.5</v>
      </c>
      <c r="AC12" s="41" t="s">
        <v>1489</v>
      </c>
      <c r="AD12" s="14" t="s">
        <v>700</v>
      </c>
      <c r="AE12" s="157" t="s">
        <v>1224</v>
      </c>
    </row>
    <row r="13" spans="1:31" s="1" customFormat="1">
      <c r="A13" s="477" t="s">
        <v>1502</v>
      </c>
      <c r="B13" s="472" t="s">
        <v>1503</v>
      </c>
      <c r="C13" s="473">
        <v>1</v>
      </c>
      <c r="D13" s="585" t="s">
        <v>1501</v>
      </c>
      <c r="E13" s="1009">
        <v>510.75</v>
      </c>
      <c r="F13" s="430">
        <f t="shared" si="0"/>
        <v>0.2</v>
      </c>
      <c r="G13" s="145">
        <f t="shared" si="1"/>
        <v>408.6</v>
      </c>
      <c r="H13" s="145"/>
      <c r="I13" s="503"/>
      <c r="J13" s="503"/>
      <c r="K13" s="503"/>
      <c r="L13" s="503">
        <v>2.5</v>
      </c>
      <c r="M13" s="624" t="s">
        <v>1489</v>
      </c>
      <c r="N13" s="159" t="s">
        <v>700</v>
      </c>
      <c r="O13" s="221" t="s">
        <v>1224</v>
      </c>
      <c r="P13" s="477" t="s">
        <v>1502</v>
      </c>
      <c r="Q13" s="472" t="s">
        <v>1503</v>
      </c>
      <c r="R13" s="473">
        <v>1</v>
      </c>
      <c r="S13" s="585" t="s">
        <v>1501</v>
      </c>
      <c r="T13" s="508" t="s">
        <v>1502</v>
      </c>
      <c r="U13" s="428">
        <v>510.75</v>
      </c>
      <c r="V13" s="430">
        <v>0.2</v>
      </c>
      <c r="W13" s="145">
        <v>408.6</v>
      </c>
      <c r="X13" s="145"/>
      <c r="Y13" s="503"/>
      <c r="Z13" s="503"/>
      <c r="AA13" s="503" t="s">
        <v>92</v>
      </c>
      <c r="AB13" s="503">
        <v>2.5</v>
      </c>
      <c r="AC13" s="41" t="s">
        <v>1489</v>
      </c>
      <c r="AD13" s="14" t="s">
        <v>700</v>
      </c>
      <c r="AE13" s="157" t="s">
        <v>1224</v>
      </c>
    </row>
    <row r="14" spans="1:31" s="1" customFormat="1">
      <c r="A14" s="477" t="s">
        <v>1504</v>
      </c>
      <c r="B14" s="472" t="s">
        <v>1505</v>
      </c>
      <c r="C14" s="473">
        <v>1</v>
      </c>
      <c r="D14" s="585" t="s">
        <v>1501</v>
      </c>
      <c r="E14" s="1009">
        <v>463.06</v>
      </c>
      <c r="F14" s="430">
        <f t="shared" si="0"/>
        <v>0.2</v>
      </c>
      <c r="G14" s="145">
        <f t="shared" si="1"/>
        <v>370.44799999999998</v>
      </c>
      <c r="H14" s="145"/>
      <c r="I14" s="503"/>
      <c r="J14" s="503"/>
      <c r="K14" s="503"/>
      <c r="L14" s="503">
        <v>2.5</v>
      </c>
      <c r="M14" s="624" t="s">
        <v>1489</v>
      </c>
      <c r="N14" s="159" t="s">
        <v>700</v>
      </c>
      <c r="O14" s="221" t="s">
        <v>1224</v>
      </c>
      <c r="P14" s="477" t="s">
        <v>1504</v>
      </c>
      <c r="Q14" s="472" t="s">
        <v>1505</v>
      </c>
      <c r="R14" s="473">
        <v>1</v>
      </c>
      <c r="S14" s="585" t="s">
        <v>1501</v>
      </c>
      <c r="T14" s="508" t="s">
        <v>1504</v>
      </c>
      <c r="U14" s="428">
        <v>463.06</v>
      </c>
      <c r="V14" s="430">
        <v>0.2</v>
      </c>
      <c r="W14" s="145">
        <v>370.44799999999998</v>
      </c>
      <c r="X14" s="145"/>
      <c r="Y14" s="503"/>
      <c r="Z14" s="503"/>
      <c r="AA14" s="503" t="s">
        <v>92</v>
      </c>
      <c r="AB14" s="503">
        <v>2.5</v>
      </c>
      <c r="AC14" s="41" t="s">
        <v>1489</v>
      </c>
      <c r="AD14" s="14" t="s">
        <v>700</v>
      </c>
      <c r="AE14" s="157" t="s">
        <v>1224</v>
      </c>
    </row>
    <row r="15" spans="1:31" s="156" customFormat="1">
      <c r="A15" s="684" t="s">
        <v>3198</v>
      </c>
      <c r="B15" s="761" t="s">
        <v>3667</v>
      </c>
      <c r="C15" s="687">
        <v>1</v>
      </c>
      <c r="D15" s="693" t="s">
        <v>1501</v>
      </c>
      <c r="E15" s="977">
        <v>624.96</v>
      </c>
      <c r="F15" s="161">
        <f t="shared" si="0"/>
        <v>0.2</v>
      </c>
      <c r="G15" s="93">
        <f t="shared" si="1"/>
        <v>499.96800000000002</v>
      </c>
      <c r="H15" s="93"/>
      <c r="I15" s="121"/>
      <c r="J15" s="121"/>
      <c r="K15" s="121"/>
      <c r="L15" s="121">
        <v>2.5</v>
      </c>
      <c r="M15" s="624" t="s">
        <v>1489</v>
      </c>
      <c r="N15" s="159" t="s">
        <v>700</v>
      </c>
      <c r="O15" s="221" t="s">
        <v>1224</v>
      </c>
      <c r="P15" s="650" t="s">
        <v>1506</v>
      </c>
      <c r="Q15" s="759" t="s">
        <v>1507</v>
      </c>
      <c r="R15" s="653">
        <v>1</v>
      </c>
      <c r="S15" s="690" t="s">
        <v>1501</v>
      </c>
      <c r="T15" s="691" t="s">
        <v>1506</v>
      </c>
      <c r="U15" s="659">
        <v>558.05999999999995</v>
      </c>
      <c r="V15" s="655">
        <v>0.2</v>
      </c>
      <c r="W15" s="702">
        <v>446.44799999999998</v>
      </c>
      <c r="X15" s="702"/>
      <c r="Y15" s="658"/>
      <c r="Z15" s="658"/>
      <c r="AA15" s="658" t="s">
        <v>92</v>
      </c>
      <c r="AB15" s="658">
        <v>2.5</v>
      </c>
      <c r="AC15" s="660" t="s">
        <v>1489</v>
      </c>
      <c r="AD15" s="715" t="s">
        <v>700</v>
      </c>
      <c r="AE15" s="716" t="s">
        <v>1224</v>
      </c>
    </row>
    <row r="16" spans="1:31" s="1" customFormat="1">
      <c r="A16" s="718" t="s">
        <v>3195</v>
      </c>
      <c r="B16" s="760" t="s">
        <v>3197</v>
      </c>
      <c r="C16" s="263">
        <v>1</v>
      </c>
      <c r="D16" s="723" t="s">
        <v>1501</v>
      </c>
      <c r="E16" s="978">
        <v>227.78</v>
      </c>
      <c r="F16" s="721">
        <f t="shared" si="0"/>
        <v>0.2</v>
      </c>
      <c r="G16" s="262">
        <f t="shared" si="1"/>
        <v>182.22399999999999</v>
      </c>
      <c r="H16" s="262"/>
      <c r="I16" s="99"/>
      <c r="J16" s="99"/>
      <c r="K16" s="99"/>
      <c r="L16" s="99">
        <v>1.42</v>
      </c>
      <c r="M16" s="624" t="s">
        <v>1489</v>
      </c>
      <c r="N16" s="159" t="s">
        <v>700</v>
      </c>
      <c r="O16" s="221" t="s">
        <v>1224</v>
      </c>
      <c r="P16" s="650" t="s">
        <v>1508</v>
      </c>
      <c r="Q16" s="759" t="s">
        <v>3196</v>
      </c>
      <c r="R16" s="653">
        <v>1</v>
      </c>
      <c r="S16" s="690" t="s">
        <v>1501</v>
      </c>
      <c r="T16" s="691" t="s">
        <v>1508</v>
      </c>
      <c r="U16" s="659">
        <v>227.78</v>
      </c>
      <c r="V16" s="655">
        <v>0.2</v>
      </c>
      <c r="W16" s="702">
        <v>182.22399999999999</v>
      </c>
      <c r="X16" s="702"/>
      <c r="Y16" s="658"/>
      <c r="Z16" s="658"/>
      <c r="AA16" s="658" t="s">
        <v>92</v>
      </c>
      <c r="AB16" s="658">
        <v>1.42</v>
      </c>
      <c r="AC16" s="660" t="s">
        <v>1489</v>
      </c>
      <c r="AD16" s="715" t="s">
        <v>700</v>
      </c>
      <c r="AE16" s="716" t="s">
        <v>1224</v>
      </c>
    </row>
    <row r="17" spans="1:31" s="1" customFormat="1">
      <c r="A17" s="477" t="s">
        <v>1509</v>
      </c>
      <c r="B17" s="472" t="s">
        <v>1510</v>
      </c>
      <c r="C17" s="473">
        <v>1</v>
      </c>
      <c r="D17" s="585" t="s">
        <v>1501</v>
      </c>
      <c r="E17" s="1009">
        <v>421.39</v>
      </c>
      <c r="F17" s="430">
        <f t="shared" si="0"/>
        <v>0.2</v>
      </c>
      <c r="G17" s="145">
        <f t="shared" si="1"/>
        <v>337.11199999999997</v>
      </c>
      <c r="H17" s="145"/>
      <c r="I17" s="503"/>
      <c r="J17" s="503"/>
      <c r="K17" s="503"/>
      <c r="L17" s="503">
        <v>1.42</v>
      </c>
      <c r="M17" s="624" t="s">
        <v>1489</v>
      </c>
      <c r="N17" s="159" t="s">
        <v>700</v>
      </c>
      <c r="O17" s="221" t="s">
        <v>1224</v>
      </c>
      <c r="P17" s="477" t="s">
        <v>1509</v>
      </c>
      <c r="Q17" s="472" t="s">
        <v>1510</v>
      </c>
      <c r="R17" s="473">
        <v>1</v>
      </c>
      <c r="S17" s="585" t="s">
        <v>1501</v>
      </c>
      <c r="T17" s="508" t="s">
        <v>1509</v>
      </c>
      <c r="U17" s="428">
        <v>421.39</v>
      </c>
      <c r="V17" s="430">
        <v>0.2</v>
      </c>
      <c r="W17" s="145">
        <v>337.11199999999997</v>
      </c>
      <c r="X17" s="145"/>
      <c r="Y17" s="503"/>
      <c r="Z17" s="503"/>
      <c r="AA17" s="503" t="s">
        <v>92</v>
      </c>
      <c r="AB17" s="503">
        <v>1.42</v>
      </c>
      <c r="AC17" s="41" t="s">
        <v>1489</v>
      </c>
      <c r="AD17" s="14" t="s">
        <v>700</v>
      </c>
      <c r="AE17" s="157" t="s">
        <v>1224</v>
      </c>
    </row>
    <row r="18" spans="1:31" s="1" customFormat="1">
      <c r="A18" s="510" t="s">
        <v>1511</v>
      </c>
      <c r="B18" s="511" t="s">
        <v>1512</v>
      </c>
      <c r="C18" s="512">
        <v>1</v>
      </c>
      <c r="D18" s="516" t="s">
        <v>1513</v>
      </c>
      <c r="E18" s="1010">
        <v>185</v>
      </c>
      <c r="F18" s="514">
        <f>rv_samsung</f>
        <v>0.2</v>
      </c>
      <c r="G18" s="515">
        <f t="shared" si="1"/>
        <v>148</v>
      </c>
      <c r="H18" s="147"/>
      <c r="I18" s="163"/>
      <c r="J18" s="163"/>
      <c r="K18" s="428"/>
      <c r="L18" s="428">
        <v>1.25</v>
      </c>
      <c r="M18" s="624" t="s">
        <v>1489</v>
      </c>
      <c r="N18" s="159" t="s">
        <v>700</v>
      </c>
      <c r="O18" s="221" t="s">
        <v>1224</v>
      </c>
      <c r="P18" s="510" t="s">
        <v>1511</v>
      </c>
      <c r="Q18" s="511" t="s">
        <v>1512</v>
      </c>
      <c r="R18" s="512">
        <v>1</v>
      </c>
      <c r="S18" s="512" t="s">
        <v>1513</v>
      </c>
      <c r="T18" s="586" t="s">
        <v>1511</v>
      </c>
      <c r="U18" s="513">
        <v>185</v>
      </c>
      <c r="V18" s="514">
        <v>0.2</v>
      </c>
      <c r="W18" s="515">
        <v>148</v>
      </c>
      <c r="X18" s="147"/>
      <c r="Y18" s="163"/>
      <c r="Z18" s="163"/>
      <c r="AA18" s="428" t="s">
        <v>92</v>
      </c>
      <c r="AB18" s="428">
        <v>1.25</v>
      </c>
      <c r="AC18" s="41" t="s">
        <v>1489</v>
      </c>
      <c r="AD18" s="14" t="s">
        <v>700</v>
      </c>
      <c r="AE18" s="157" t="s">
        <v>1224</v>
      </c>
    </row>
    <row r="19" spans="1:31" s="1" customFormat="1">
      <c r="A19" s="510" t="s">
        <v>1514</v>
      </c>
      <c r="B19" s="511" t="s">
        <v>1515</v>
      </c>
      <c r="C19" s="512">
        <v>1</v>
      </c>
      <c r="D19" s="516" t="s">
        <v>1513</v>
      </c>
      <c r="E19" s="1010">
        <v>410</v>
      </c>
      <c r="F19" s="514">
        <f>rv_samsung</f>
        <v>0.2</v>
      </c>
      <c r="G19" s="515">
        <f t="shared" si="1"/>
        <v>328</v>
      </c>
      <c r="H19" s="147"/>
      <c r="I19" s="163"/>
      <c r="J19" s="163"/>
      <c r="K19" s="428"/>
      <c r="L19" s="428">
        <v>2.08</v>
      </c>
      <c r="M19" s="624" t="s">
        <v>1489</v>
      </c>
      <c r="N19" s="159" t="s">
        <v>700</v>
      </c>
      <c r="O19" s="221" t="s">
        <v>1224</v>
      </c>
      <c r="P19" s="510" t="s">
        <v>1514</v>
      </c>
      <c r="Q19" s="511" t="s">
        <v>1515</v>
      </c>
      <c r="R19" s="512">
        <v>1</v>
      </c>
      <c r="S19" s="516" t="s">
        <v>1513</v>
      </c>
      <c r="T19" s="517" t="s">
        <v>1516</v>
      </c>
      <c r="U19" s="513">
        <v>410</v>
      </c>
      <c r="V19" s="514">
        <v>0.2</v>
      </c>
      <c r="W19" s="515">
        <v>328</v>
      </c>
      <c r="X19" s="147"/>
      <c r="Y19" s="163"/>
      <c r="Z19" s="163"/>
      <c r="AA19" s="428" t="s">
        <v>92</v>
      </c>
      <c r="AB19" s="428">
        <v>2.08</v>
      </c>
      <c r="AC19" s="41" t="s">
        <v>1489</v>
      </c>
      <c r="AD19" s="14" t="s">
        <v>700</v>
      </c>
      <c r="AE19" s="157" t="s">
        <v>1224</v>
      </c>
    </row>
    <row r="20" spans="1:31" s="1" customFormat="1">
      <c r="A20" s="510" t="s">
        <v>1517</v>
      </c>
      <c r="B20" s="511" t="s">
        <v>1518</v>
      </c>
      <c r="C20" s="512">
        <v>1</v>
      </c>
      <c r="D20" s="516" t="s">
        <v>1513</v>
      </c>
      <c r="E20" s="1010">
        <v>430</v>
      </c>
      <c r="F20" s="514">
        <f>rv_samsung</f>
        <v>0.2</v>
      </c>
      <c r="G20" s="515">
        <f t="shared" si="1"/>
        <v>344</v>
      </c>
      <c r="H20" s="147"/>
      <c r="I20" s="163"/>
      <c r="J20" s="163"/>
      <c r="K20" s="428"/>
      <c r="L20" s="428">
        <v>2.08</v>
      </c>
      <c r="M20" s="624" t="s">
        <v>1489</v>
      </c>
      <c r="N20" s="159" t="s">
        <v>700</v>
      </c>
      <c r="O20" s="221" t="s">
        <v>1224</v>
      </c>
      <c r="P20" s="510" t="s">
        <v>1517</v>
      </c>
      <c r="Q20" s="511" t="s">
        <v>1518</v>
      </c>
      <c r="R20" s="512">
        <v>1</v>
      </c>
      <c r="S20" s="512" t="s">
        <v>1513</v>
      </c>
      <c r="T20" s="518" t="s">
        <v>1519</v>
      </c>
      <c r="U20" s="515">
        <v>430</v>
      </c>
      <c r="V20" s="514">
        <v>0.2</v>
      </c>
      <c r="W20" s="515">
        <v>344</v>
      </c>
      <c r="X20" s="147"/>
      <c r="Y20" s="163"/>
      <c r="Z20" s="163"/>
      <c r="AA20" s="428" t="s">
        <v>92</v>
      </c>
      <c r="AB20" s="428">
        <v>2.08</v>
      </c>
      <c r="AC20" s="41" t="s">
        <v>1489</v>
      </c>
      <c r="AD20" s="14" t="s">
        <v>700</v>
      </c>
      <c r="AE20" s="157" t="s">
        <v>1224</v>
      </c>
    </row>
    <row r="21" spans="1:31" s="162" customFormat="1" ht="15.95" customHeight="1">
      <c r="A21" s="519" t="s">
        <v>1520</v>
      </c>
      <c r="B21" s="520" t="s">
        <v>1521</v>
      </c>
      <c r="C21" s="521">
        <v>1</v>
      </c>
      <c r="D21" s="587" t="s">
        <v>1522</v>
      </c>
      <c r="E21" s="1011">
        <v>166.62</v>
      </c>
      <c r="F21" s="524">
        <f t="shared" ref="F21:F26" si="2">rv_moniteur</f>
        <v>0.1</v>
      </c>
      <c r="G21" s="525">
        <f t="shared" si="1"/>
        <v>149.958</v>
      </c>
      <c r="H21" s="526"/>
      <c r="I21" s="527"/>
      <c r="J21" s="527"/>
      <c r="K21" s="523"/>
      <c r="L21" s="523">
        <v>1.42</v>
      </c>
      <c r="M21" s="624" t="s">
        <v>1489</v>
      </c>
      <c r="N21" s="159" t="s">
        <v>700</v>
      </c>
      <c r="O21" s="221" t="s">
        <v>1224</v>
      </c>
      <c r="P21" s="519" t="s">
        <v>1520</v>
      </c>
      <c r="Q21" s="520" t="s">
        <v>1521</v>
      </c>
      <c r="R21" s="521">
        <v>1</v>
      </c>
      <c r="S21" s="587" t="s">
        <v>1522</v>
      </c>
      <c r="T21" s="522" t="s">
        <v>1520</v>
      </c>
      <c r="U21" s="523">
        <v>166.62</v>
      </c>
      <c r="V21" s="524">
        <v>0.1</v>
      </c>
      <c r="W21" s="525">
        <v>149.958</v>
      </c>
      <c r="X21" s="526"/>
      <c r="Y21" s="527"/>
      <c r="Z21" s="527"/>
      <c r="AA21" s="523"/>
      <c r="AB21" s="523">
        <v>1.42</v>
      </c>
      <c r="AC21" s="41" t="s">
        <v>1489</v>
      </c>
      <c r="AD21" s="14" t="s">
        <v>700</v>
      </c>
      <c r="AE21" s="157" t="s">
        <v>1224</v>
      </c>
    </row>
    <row r="22" spans="1:31" s="1" customFormat="1">
      <c r="A22" s="510" t="s">
        <v>1523</v>
      </c>
      <c r="B22" s="507" t="s">
        <v>1524</v>
      </c>
      <c r="C22" s="512">
        <v>1</v>
      </c>
      <c r="D22" s="588" t="s">
        <v>1522</v>
      </c>
      <c r="E22" s="1009">
        <v>261.62</v>
      </c>
      <c r="F22" s="514">
        <f t="shared" si="2"/>
        <v>0.1</v>
      </c>
      <c r="G22" s="515">
        <f t="shared" si="1"/>
        <v>235.458</v>
      </c>
      <c r="H22" s="147"/>
      <c r="I22" s="163"/>
      <c r="J22" s="163"/>
      <c r="K22" s="428"/>
      <c r="L22" s="428">
        <v>2.5</v>
      </c>
      <c r="M22" s="624" t="s">
        <v>1489</v>
      </c>
      <c r="N22" s="159" t="s">
        <v>700</v>
      </c>
      <c r="O22" s="221" t="s">
        <v>1224</v>
      </c>
      <c r="P22" s="510" t="s">
        <v>1523</v>
      </c>
      <c r="Q22" s="507" t="s">
        <v>1524</v>
      </c>
      <c r="R22" s="512">
        <v>1</v>
      </c>
      <c r="S22" s="588" t="s">
        <v>1522</v>
      </c>
      <c r="T22" s="517" t="s">
        <v>1523</v>
      </c>
      <c r="U22" s="428">
        <v>261.62</v>
      </c>
      <c r="V22" s="514">
        <v>0.1</v>
      </c>
      <c r="W22" s="515">
        <v>235.458</v>
      </c>
      <c r="X22" s="147"/>
      <c r="Y22" s="163"/>
      <c r="Z22" s="163"/>
      <c r="AA22" s="428"/>
      <c r="AB22" s="428">
        <v>2.5</v>
      </c>
      <c r="AC22" s="41" t="s">
        <v>1489</v>
      </c>
      <c r="AD22" s="14" t="s">
        <v>700</v>
      </c>
      <c r="AE22" s="157" t="s">
        <v>1224</v>
      </c>
    </row>
    <row r="23" spans="1:31" s="1" customFormat="1">
      <c r="A23" s="510" t="s">
        <v>1525</v>
      </c>
      <c r="B23" s="507" t="s">
        <v>1526</v>
      </c>
      <c r="C23" s="512">
        <v>1</v>
      </c>
      <c r="D23" s="588" t="s">
        <v>1522</v>
      </c>
      <c r="E23" s="1009">
        <v>323.2</v>
      </c>
      <c r="F23" s="514">
        <f t="shared" si="2"/>
        <v>0.1</v>
      </c>
      <c r="G23" s="515">
        <f t="shared" si="1"/>
        <v>290.88</v>
      </c>
      <c r="H23" s="147"/>
      <c r="I23" s="163"/>
      <c r="J23" s="163"/>
      <c r="K23" s="428"/>
      <c r="L23" s="428">
        <v>2.5</v>
      </c>
      <c r="M23" s="624" t="s">
        <v>1489</v>
      </c>
      <c r="N23" s="159" t="s">
        <v>700</v>
      </c>
      <c r="O23" s="221" t="s">
        <v>1224</v>
      </c>
      <c r="P23" s="510" t="s">
        <v>1525</v>
      </c>
      <c r="Q23" s="507" t="s">
        <v>1526</v>
      </c>
      <c r="R23" s="512">
        <v>1</v>
      </c>
      <c r="S23" s="588" t="s">
        <v>1522</v>
      </c>
      <c r="T23" s="517" t="s">
        <v>1525</v>
      </c>
      <c r="U23" s="428">
        <v>323.2</v>
      </c>
      <c r="V23" s="514">
        <v>0.1</v>
      </c>
      <c r="W23" s="515">
        <v>290.88</v>
      </c>
      <c r="X23" s="147"/>
      <c r="Y23" s="163"/>
      <c r="Z23" s="163"/>
      <c r="AA23" s="428"/>
      <c r="AB23" s="428">
        <v>2.5</v>
      </c>
      <c r="AC23" s="41" t="s">
        <v>1489</v>
      </c>
      <c r="AD23" s="14" t="s">
        <v>700</v>
      </c>
      <c r="AE23" s="157" t="s">
        <v>1224</v>
      </c>
    </row>
    <row r="24" spans="1:31" s="1" customFormat="1">
      <c r="A24" s="510" t="s">
        <v>1527</v>
      </c>
      <c r="B24" s="507" t="s">
        <v>1528</v>
      </c>
      <c r="C24" s="512">
        <v>1</v>
      </c>
      <c r="D24" s="588" t="s">
        <v>1522</v>
      </c>
      <c r="E24" s="1010">
        <v>825.5</v>
      </c>
      <c r="F24" s="514">
        <f t="shared" si="2"/>
        <v>0.1</v>
      </c>
      <c r="G24" s="515">
        <f t="shared" si="1"/>
        <v>742.95</v>
      </c>
      <c r="H24" s="147"/>
      <c r="I24" s="163"/>
      <c r="J24" s="163"/>
      <c r="K24" s="428"/>
      <c r="L24" s="428">
        <v>2.5</v>
      </c>
      <c r="M24" s="624" t="s">
        <v>1489</v>
      </c>
      <c r="N24" s="159" t="s">
        <v>700</v>
      </c>
      <c r="O24" s="221" t="s">
        <v>1224</v>
      </c>
      <c r="P24" s="510" t="s">
        <v>1527</v>
      </c>
      <c r="Q24" s="507" t="s">
        <v>1528</v>
      </c>
      <c r="R24" s="512">
        <v>1</v>
      </c>
      <c r="S24" s="588" t="s">
        <v>1522</v>
      </c>
      <c r="T24" s="517" t="s">
        <v>1527</v>
      </c>
      <c r="U24" s="513">
        <v>825.5</v>
      </c>
      <c r="V24" s="514">
        <v>0.1</v>
      </c>
      <c r="W24" s="515">
        <v>742.95</v>
      </c>
      <c r="X24" s="147"/>
      <c r="Y24" s="163"/>
      <c r="Z24" s="163"/>
      <c r="AA24" s="428"/>
      <c r="AB24" s="428">
        <v>2.5</v>
      </c>
      <c r="AC24" s="41" t="s">
        <v>1489</v>
      </c>
      <c r="AD24" s="14" t="s">
        <v>700</v>
      </c>
      <c r="AE24" s="157" t="s">
        <v>1224</v>
      </c>
    </row>
    <row r="25" spans="1:31" s="1" customFormat="1">
      <c r="A25" s="510" t="s">
        <v>1529</v>
      </c>
      <c r="B25" s="507" t="s">
        <v>1530</v>
      </c>
      <c r="C25" s="512">
        <v>1</v>
      </c>
      <c r="D25" s="588" t="s">
        <v>1522</v>
      </c>
      <c r="E25" s="1009">
        <v>274.17</v>
      </c>
      <c r="F25" s="514">
        <f t="shared" si="2"/>
        <v>0.1</v>
      </c>
      <c r="G25" s="515">
        <f t="shared" si="1"/>
        <v>246.75300000000001</v>
      </c>
      <c r="H25" s="147"/>
      <c r="I25" s="163"/>
      <c r="J25" s="163"/>
      <c r="K25" s="428"/>
      <c r="L25" s="428">
        <v>2.5</v>
      </c>
      <c r="M25" s="624" t="s">
        <v>1489</v>
      </c>
      <c r="N25" s="159" t="s">
        <v>700</v>
      </c>
      <c r="O25" s="221" t="s">
        <v>1224</v>
      </c>
      <c r="P25" s="510" t="s">
        <v>1529</v>
      </c>
      <c r="Q25" s="507" t="s">
        <v>1530</v>
      </c>
      <c r="R25" s="512">
        <v>1</v>
      </c>
      <c r="S25" s="588" t="s">
        <v>1522</v>
      </c>
      <c r="T25" s="517" t="s">
        <v>1529</v>
      </c>
      <c r="U25" s="428">
        <v>274.17</v>
      </c>
      <c r="V25" s="514">
        <v>0.1</v>
      </c>
      <c r="W25" s="515">
        <v>246.75300000000001</v>
      </c>
      <c r="X25" s="147"/>
      <c r="Y25" s="163"/>
      <c r="Z25" s="163"/>
      <c r="AA25" s="428"/>
      <c r="AB25" s="428">
        <v>2.5</v>
      </c>
      <c r="AC25" s="41" t="s">
        <v>1489</v>
      </c>
      <c r="AD25" s="14" t="s">
        <v>700</v>
      </c>
      <c r="AE25" s="157" t="s">
        <v>1224</v>
      </c>
    </row>
    <row r="26" spans="1:31" s="1" customFormat="1" ht="13.5" thickBot="1">
      <c r="A26" s="510" t="s">
        <v>1531</v>
      </c>
      <c r="B26" s="507" t="s">
        <v>1532</v>
      </c>
      <c r="C26" s="512">
        <v>1</v>
      </c>
      <c r="D26" s="588" t="s">
        <v>1522</v>
      </c>
      <c r="E26" s="1010">
        <v>845</v>
      </c>
      <c r="F26" s="514">
        <f t="shared" si="2"/>
        <v>0.1</v>
      </c>
      <c r="G26" s="515">
        <f t="shared" si="1"/>
        <v>760.5</v>
      </c>
      <c r="H26" s="147"/>
      <c r="I26" s="163"/>
      <c r="J26" s="163"/>
      <c r="K26" s="428"/>
      <c r="L26" s="428">
        <v>2.5</v>
      </c>
      <c r="M26" s="624" t="s">
        <v>1489</v>
      </c>
      <c r="N26" s="159" t="s">
        <v>700</v>
      </c>
      <c r="O26" s="221" t="s">
        <v>1224</v>
      </c>
      <c r="P26" s="510" t="s">
        <v>1531</v>
      </c>
      <c r="Q26" s="507" t="s">
        <v>1532</v>
      </c>
      <c r="R26" s="512">
        <v>1</v>
      </c>
      <c r="S26" s="588" t="s">
        <v>1522</v>
      </c>
      <c r="T26" s="517" t="s">
        <v>1531</v>
      </c>
      <c r="U26" s="513">
        <v>845</v>
      </c>
      <c r="V26" s="514">
        <v>0.1</v>
      </c>
      <c r="W26" s="515">
        <v>760.5</v>
      </c>
      <c r="X26" s="147"/>
      <c r="Y26" s="163"/>
      <c r="Z26" s="163"/>
      <c r="AA26" s="428"/>
      <c r="AB26" s="428">
        <v>2.5</v>
      </c>
      <c r="AC26" s="41" t="s">
        <v>1489</v>
      </c>
      <c r="AD26" s="14" t="s">
        <v>700</v>
      </c>
      <c r="AE26" s="157" t="s">
        <v>1224</v>
      </c>
    </row>
    <row r="27" spans="1:31" s="1100" customFormat="1" ht="26.1" customHeight="1" thickBot="1">
      <c r="A27" s="1082" t="s">
        <v>3674</v>
      </c>
      <c r="B27" s="1083"/>
      <c r="C27" s="1084"/>
      <c r="D27" s="1085"/>
      <c r="E27" s="1086"/>
      <c r="F27" s="1087"/>
      <c r="G27" s="1088"/>
      <c r="H27" s="1089"/>
      <c r="I27" s="1090"/>
      <c r="J27" s="1090"/>
      <c r="K27" s="1091"/>
      <c r="L27" s="1091"/>
      <c r="M27" s="1092"/>
      <c r="N27" s="1093"/>
      <c r="O27" s="1094"/>
      <c r="P27" s="1082" t="s">
        <v>3674</v>
      </c>
      <c r="Q27" s="1095"/>
      <c r="R27" s="1084"/>
      <c r="S27" s="1085"/>
      <c r="T27" s="1096"/>
      <c r="U27" s="1091"/>
      <c r="V27" s="1087"/>
      <c r="W27" s="1088"/>
      <c r="X27" s="1089"/>
      <c r="Y27" s="1090"/>
      <c r="Z27" s="1090"/>
      <c r="AA27" s="1091"/>
      <c r="AB27" s="1091"/>
      <c r="AC27" s="1097"/>
      <c r="AD27" s="1098"/>
      <c r="AE27" s="1099"/>
    </row>
    <row r="28" spans="1:31" s="1" customFormat="1" ht="27.95" customHeight="1">
      <c r="A28" s="712" t="s">
        <v>1533</v>
      </c>
      <c r="B28" s="712"/>
      <c r="C28" s="506"/>
      <c r="D28" s="589"/>
      <c r="E28" s="1009"/>
      <c r="F28" s="430"/>
      <c r="G28" s="106"/>
      <c r="H28" s="147"/>
      <c r="I28" s="163"/>
      <c r="J28" s="163"/>
      <c r="K28" s="428"/>
      <c r="L28" s="428"/>
      <c r="M28" s="624"/>
      <c r="N28" s="159"/>
      <c r="O28" s="1068"/>
      <c r="P28" s="712" t="s">
        <v>1533</v>
      </c>
      <c r="Q28" s="712"/>
      <c r="R28" s="506"/>
      <c r="S28" s="589"/>
      <c r="T28" s="528"/>
      <c r="U28" s="428"/>
      <c r="V28" s="430"/>
      <c r="W28" s="106"/>
      <c r="X28" s="147"/>
      <c r="Y28" s="163"/>
      <c r="Z28" s="163"/>
      <c r="AA28" s="428"/>
      <c r="AB28" s="428"/>
      <c r="AC28" s="41"/>
      <c r="AD28" s="14"/>
      <c r="AE28" s="157"/>
    </row>
    <row r="29" spans="1:31" s="90" customFormat="1">
      <c r="A29" s="510" t="s">
        <v>1534</v>
      </c>
      <c r="B29" s="529" t="s">
        <v>1535</v>
      </c>
      <c r="C29" s="512">
        <v>1</v>
      </c>
      <c r="D29" s="591" t="s">
        <v>90</v>
      </c>
      <c r="E29" s="1012">
        <v>90.78</v>
      </c>
      <c r="F29" s="514">
        <f t="shared" ref="F29:F60" si="3">rv_apple_acc_mac</f>
        <v>0.09</v>
      </c>
      <c r="G29" s="515">
        <f t="shared" ref="G29:G55" si="4">E29-(E29*F29)</f>
        <v>82.609800000000007</v>
      </c>
      <c r="H29" s="531"/>
      <c r="I29" s="532"/>
      <c r="J29" s="532"/>
      <c r="K29" s="532"/>
      <c r="L29" s="513">
        <v>0.05</v>
      </c>
      <c r="M29" s="624" t="s">
        <v>1223</v>
      </c>
      <c r="N29" s="158" t="s">
        <v>700</v>
      </c>
      <c r="O29" s="417" t="s">
        <v>1224</v>
      </c>
      <c r="P29" s="510" t="s">
        <v>1534</v>
      </c>
      <c r="Q29" s="529" t="s">
        <v>1535</v>
      </c>
      <c r="R29" s="512">
        <v>1</v>
      </c>
      <c r="S29" s="591" t="s">
        <v>90</v>
      </c>
      <c r="T29" s="518" t="s">
        <v>1534</v>
      </c>
      <c r="U29" s="530">
        <v>90.78</v>
      </c>
      <c r="V29" s="514">
        <v>0.09</v>
      </c>
      <c r="W29" s="515">
        <v>82.609800000000007</v>
      </c>
      <c r="X29" s="531"/>
      <c r="Y29" s="532"/>
      <c r="Z29" s="532"/>
      <c r="AA29" s="532"/>
      <c r="AB29" s="513">
        <v>0.05</v>
      </c>
      <c r="AC29" s="41" t="s">
        <v>1223</v>
      </c>
      <c r="AD29" s="42" t="s">
        <v>700</v>
      </c>
      <c r="AE29" s="416" t="s">
        <v>1224</v>
      </c>
    </row>
    <row r="30" spans="1:31" s="1" customFormat="1">
      <c r="A30" s="510" t="s">
        <v>1536</v>
      </c>
      <c r="B30" s="529" t="s">
        <v>1537</v>
      </c>
      <c r="C30" s="506">
        <v>1</v>
      </c>
      <c r="D30" s="590" t="s">
        <v>90</v>
      </c>
      <c r="E30" s="1013">
        <v>154.12</v>
      </c>
      <c r="F30" s="430">
        <f t="shared" si="3"/>
        <v>0.09</v>
      </c>
      <c r="G30" s="106">
        <f t="shared" ref="G30" si="5">E30-(E30*F30)</f>
        <v>140.2492</v>
      </c>
      <c r="H30" s="147"/>
      <c r="I30" s="163"/>
      <c r="J30" s="163"/>
      <c r="K30" s="163"/>
      <c r="L30" s="428">
        <v>0.05</v>
      </c>
      <c r="M30" s="624" t="s">
        <v>1223</v>
      </c>
      <c r="N30" s="158" t="s">
        <v>700</v>
      </c>
      <c r="O30" s="417" t="s">
        <v>1224</v>
      </c>
      <c r="P30" s="510" t="s">
        <v>1536</v>
      </c>
      <c r="Q30" s="529" t="s">
        <v>1537</v>
      </c>
      <c r="R30" s="506">
        <v>1</v>
      </c>
      <c r="S30" s="590" t="s">
        <v>90</v>
      </c>
      <c r="T30" s="518" t="s">
        <v>1536</v>
      </c>
      <c r="U30" s="504">
        <v>154.12</v>
      </c>
      <c r="V30" s="430">
        <v>0.09</v>
      </c>
      <c r="W30" s="106">
        <v>140.2492</v>
      </c>
      <c r="X30" s="147"/>
      <c r="Y30" s="163"/>
      <c r="Z30" s="163"/>
      <c r="AA30" s="163"/>
      <c r="AB30" s="428">
        <v>0.05</v>
      </c>
      <c r="AC30" s="41" t="s">
        <v>1223</v>
      </c>
      <c r="AD30" s="42" t="s">
        <v>700</v>
      </c>
      <c r="AE30" s="416" t="s">
        <v>1224</v>
      </c>
    </row>
    <row r="31" spans="1:31" s="1" customFormat="1">
      <c r="A31" s="510" t="s">
        <v>1538</v>
      </c>
      <c r="B31" s="529" t="s">
        <v>1539</v>
      </c>
      <c r="C31" s="506">
        <v>1</v>
      </c>
      <c r="D31" s="590" t="s">
        <v>90</v>
      </c>
      <c r="E31" s="1013">
        <v>132.44999999999999</v>
      </c>
      <c r="F31" s="430">
        <f t="shared" si="3"/>
        <v>0.09</v>
      </c>
      <c r="G31" s="106">
        <f t="shared" ref="G31" si="6">E31-(E31*F31)</f>
        <v>120.52949999999998</v>
      </c>
      <c r="H31" s="147"/>
      <c r="I31" s="163"/>
      <c r="J31" s="163"/>
      <c r="K31" s="163"/>
      <c r="L31" s="428">
        <v>0.05</v>
      </c>
      <c r="M31" s="624" t="s">
        <v>1223</v>
      </c>
      <c r="N31" s="158" t="s">
        <v>700</v>
      </c>
      <c r="O31" s="417" t="s">
        <v>1224</v>
      </c>
      <c r="P31" s="510" t="s">
        <v>1538</v>
      </c>
      <c r="Q31" s="529" t="s">
        <v>1539</v>
      </c>
      <c r="R31" s="506">
        <v>1</v>
      </c>
      <c r="S31" s="590" t="s">
        <v>90</v>
      </c>
      <c r="T31" s="518" t="s">
        <v>1538</v>
      </c>
      <c r="U31" s="504">
        <v>132.44999999999999</v>
      </c>
      <c r="V31" s="430">
        <v>0.09</v>
      </c>
      <c r="W31" s="106">
        <v>120.52949999999998</v>
      </c>
      <c r="X31" s="147"/>
      <c r="Y31" s="163"/>
      <c r="Z31" s="163"/>
      <c r="AA31" s="163"/>
      <c r="AB31" s="428">
        <v>0.05</v>
      </c>
      <c r="AC31" s="41" t="s">
        <v>1223</v>
      </c>
      <c r="AD31" s="42" t="s">
        <v>700</v>
      </c>
      <c r="AE31" s="416" t="s">
        <v>1224</v>
      </c>
    </row>
    <row r="32" spans="1:31" s="90" customFormat="1">
      <c r="A32" s="510" t="s">
        <v>1540</v>
      </c>
      <c r="B32" s="529" t="s">
        <v>1541</v>
      </c>
      <c r="C32" s="512">
        <v>1</v>
      </c>
      <c r="D32" s="591" t="s">
        <v>90</v>
      </c>
      <c r="E32" s="1012">
        <v>112.45</v>
      </c>
      <c r="F32" s="514">
        <f t="shared" si="3"/>
        <v>0.09</v>
      </c>
      <c r="G32" s="515">
        <f t="shared" si="4"/>
        <v>102.3295</v>
      </c>
      <c r="H32" s="531"/>
      <c r="I32" s="532"/>
      <c r="J32" s="532"/>
      <c r="K32" s="532"/>
      <c r="L32" s="513">
        <v>0.05</v>
      </c>
      <c r="M32" s="624" t="s">
        <v>1223</v>
      </c>
      <c r="N32" s="158" t="s">
        <v>700</v>
      </c>
      <c r="O32" s="417" t="s">
        <v>1224</v>
      </c>
      <c r="P32" s="510" t="s">
        <v>1540</v>
      </c>
      <c r="Q32" s="529" t="s">
        <v>1541</v>
      </c>
      <c r="R32" s="512">
        <v>1</v>
      </c>
      <c r="S32" s="591" t="s">
        <v>90</v>
      </c>
      <c r="T32" s="533" t="s">
        <v>1540</v>
      </c>
      <c r="U32" s="530">
        <v>112.45</v>
      </c>
      <c r="V32" s="514">
        <v>0.09</v>
      </c>
      <c r="W32" s="515">
        <v>102.3295</v>
      </c>
      <c r="X32" s="531"/>
      <c r="Y32" s="532"/>
      <c r="Z32" s="532"/>
      <c r="AA32" s="532"/>
      <c r="AB32" s="513">
        <v>0.05</v>
      </c>
      <c r="AC32" s="41" t="s">
        <v>1223</v>
      </c>
      <c r="AD32" s="42" t="s">
        <v>700</v>
      </c>
      <c r="AE32" s="416" t="s">
        <v>1224</v>
      </c>
    </row>
    <row r="33" spans="1:31" s="90" customFormat="1">
      <c r="A33" s="510" t="s">
        <v>1542</v>
      </c>
      <c r="B33" s="529" t="s">
        <v>1543</v>
      </c>
      <c r="C33" s="512">
        <v>1</v>
      </c>
      <c r="D33" s="592" t="s">
        <v>90</v>
      </c>
      <c r="E33" s="1012">
        <v>112.45</v>
      </c>
      <c r="F33" s="535">
        <f t="shared" ref="F33:F59" si="7">rv_apple_acc_mac</f>
        <v>0.09</v>
      </c>
      <c r="G33" s="515">
        <f>E33-(E33*F33)</f>
        <v>102.3295</v>
      </c>
      <c r="H33" s="531"/>
      <c r="I33" s="532"/>
      <c r="J33" s="532"/>
      <c r="K33" s="532"/>
      <c r="L33" s="513">
        <v>0.05</v>
      </c>
      <c r="M33" s="624" t="s">
        <v>1223</v>
      </c>
      <c r="N33" s="158" t="s">
        <v>700</v>
      </c>
      <c r="O33" s="417" t="s">
        <v>1224</v>
      </c>
      <c r="P33" s="510" t="s">
        <v>1542</v>
      </c>
      <c r="Q33" s="529" t="s">
        <v>1543</v>
      </c>
      <c r="R33" s="512">
        <v>1</v>
      </c>
      <c r="S33" s="515" t="s">
        <v>90</v>
      </c>
      <c r="T33" s="518" t="s">
        <v>1542</v>
      </c>
      <c r="U33" s="534">
        <v>112.45</v>
      </c>
      <c r="V33" s="535">
        <v>0.09</v>
      </c>
      <c r="W33" s="515">
        <v>102.3295</v>
      </c>
      <c r="X33" s="531"/>
      <c r="Y33" s="532"/>
      <c r="Z33" s="532"/>
      <c r="AA33" s="532"/>
      <c r="AB33" s="513">
        <v>0.05</v>
      </c>
      <c r="AC33" s="41" t="s">
        <v>1223</v>
      </c>
      <c r="AD33" s="42" t="s">
        <v>700</v>
      </c>
      <c r="AE33" s="416" t="s">
        <v>1224</v>
      </c>
    </row>
    <row r="34" spans="1:31" s="90" customFormat="1">
      <c r="A34" s="510" t="s">
        <v>1544</v>
      </c>
      <c r="B34" s="529" t="s">
        <v>1545</v>
      </c>
      <c r="C34" s="512">
        <v>1</v>
      </c>
      <c r="D34" s="592" t="s">
        <v>90</v>
      </c>
      <c r="E34" s="1012">
        <v>112.45</v>
      </c>
      <c r="F34" s="535">
        <f t="shared" si="7"/>
        <v>0.09</v>
      </c>
      <c r="G34" s="515">
        <f>E34-(E34*F34)</f>
        <v>102.3295</v>
      </c>
      <c r="H34" s="531"/>
      <c r="I34" s="532"/>
      <c r="J34" s="532"/>
      <c r="K34" s="532"/>
      <c r="L34" s="513">
        <v>0.05</v>
      </c>
      <c r="M34" s="624" t="s">
        <v>1223</v>
      </c>
      <c r="N34" s="158" t="s">
        <v>700</v>
      </c>
      <c r="O34" s="417" t="s">
        <v>1224</v>
      </c>
      <c r="P34" s="510" t="s">
        <v>1544</v>
      </c>
      <c r="Q34" s="529" t="s">
        <v>1545</v>
      </c>
      <c r="R34" s="512">
        <v>1</v>
      </c>
      <c r="S34" s="515" t="s">
        <v>90</v>
      </c>
      <c r="T34" s="518" t="s">
        <v>1544</v>
      </c>
      <c r="U34" s="534">
        <v>112.45</v>
      </c>
      <c r="V34" s="535">
        <v>0.09</v>
      </c>
      <c r="W34" s="515">
        <v>102.3295</v>
      </c>
      <c r="X34" s="531"/>
      <c r="Y34" s="532"/>
      <c r="Z34" s="532"/>
      <c r="AA34" s="532"/>
      <c r="AB34" s="513">
        <v>0.05</v>
      </c>
      <c r="AC34" s="41" t="s">
        <v>1223</v>
      </c>
      <c r="AD34" s="42" t="s">
        <v>700</v>
      </c>
      <c r="AE34" s="416" t="s">
        <v>1224</v>
      </c>
    </row>
    <row r="35" spans="1:31" s="90" customFormat="1">
      <c r="A35" s="477" t="s">
        <v>1546</v>
      </c>
      <c r="B35" s="529" t="s">
        <v>1547</v>
      </c>
      <c r="C35" s="512">
        <v>1</v>
      </c>
      <c r="D35" s="591" t="s">
        <v>90</v>
      </c>
      <c r="E35" s="1012">
        <v>170.78</v>
      </c>
      <c r="F35" s="430">
        <f t="shared" si="3"/>
        <v>0.09</v>
      </c>
      <c r="G35" s="515">
        <f>E35-(E35*F35)</f>
        <v>155.40979999999999</v>
      </c>
      <c r="H35" s="531"/>
      <c r="I35" s="532"/>
      <c r="J35" s="532"/>
      <c r="K35" s="532"/>
      <c r="L35" s="428">
        <v>0.05</v>
      </c>
      <c r="M35" s="624" t="s">
        <v>1223</v>
      </c>
      <c r="N35" s="158" t="s">
        <v>700</v>
      </c>
      <c r="O35" s="417" t="s">
        <v>1224</v>
      </c>
      <c r="P35" s="477" t="s">
        <v>1546</v>
      </c>
      <c r="Q35" s="529" t="s">
        <v>1547</v>
      </c>
      <c r="R35" s="512">
        <v>1</v>
      </c>
      <c r="S35" s="591" t="s">
        <v>90</v>
      </c>
      <c r="T35" s="533" t="s">
        <v>1546</v>
      </c>
      <c r="U35" s="530">
        <v>170.78</v>
      </c>
      <c r="V35" s="430">
        <v>0.09</v>
      </c>
      <c r="W35" s="515">
        <v>155.40979999999999</v>
      </c>
      <c r="X35" s="531"/>
      <c r="Y35" s="532"/>
      <c r="Z35" s="532"/>
      <c r="AA35" s="532"/>
      <c r="AB35" s="428">
        <v>0.05</v>
      </c>
      <c r="AC35" s="41" t="s">
        <v>1223</v>
      </c>
      <c r="AD35" s="42" t="s">
        <v>700</v>
      </c>
      <c r="AE35" s="416" t="s">
        <v>1224</v>
      </c>
    </row>
    <row r="36" spans="1:31" s="90" customFormat="1">
      <c r="A36" s="477" t="s">
        <v>1548</v>
      </c>
      <c r="B36" s="529" t="s">
        <v>1549</v>
      </c>
      <c r="C36" s="512">
        <v>1</v>
      </c>
      <c r="D36" s="591" t="s">
        <v>90</v>
      </c>
      <c r="E36" s="1012">
        <v>90.78</v>
      </c>
      <c r="F36" s="430">
        <f t="shared" si="3"/>
        <v>0.09</v>
      </c>
      <c r="G36" s="515">
        <f t="shared" si="4"/>
        <v>82.609800000000007</v>
      </c>
      <c r="H36" s="531"/>
      <c r="I36" s="532"/>
      <c r="J36" s="532"/>
      <c r="K36" s="532"/>
      <c r="L36" s="428">
        <v>0.05</v>
      </c>
      <c r="M36" s="624" t="s">
        <v>1223</v>
      </c>
      <c r="N36" s="158" t="s">
        <v>700</v>
      </c>
      <c r="O36" s="417" t="s">
        <v>1224</v>
      </c>
      <c r="P36" s="477" t="s">
        <v>1548</v>
      </c>
      <c r="Q36" s="529" t="s">
        <v>1549</v>
      </c>
      <c r="R36" s="512">
        <v>1</v>
      </c>
      <c r="S36" s="591" t="s">
        <v>90</v>
      </c>
      <c r="T36" s="536" t="s">
        <v>1548</v>
      </c>
      <c r="U36" s="530">
        <v>90.78</v>
      </c>
      <c r="V36" s="430">
        <v>0.09</v>
      </c>
      <c r="W36" s="515">
        <v>82.609800000000007</v>
      </c>
      <c r="X36" s="531"/>
      <c r="Y36" s="532"/>
      <c r="Z36" s="532"/>
      <c r="AA36" s="532"/>
      <c r="AB36" s="428">
        <v>0.05</v>
      </c>
      <c r="AC36" s="41" t="s">
        <v>1223</v>
      </c>
      <c r="AD36" s="42" t="s">
        <v>700</v>
      </c>
      <c r="AE36" s="416" t="s">
        <v>1224</v>
      </c>
    </row>
    <row r="37" spans="1:31" s="90" customFormat="1">
      <c r="A37" s="477" t="s">
        <v>1550</v>
      </c>
      <c r="B37" s="529" t="s">
        <v>1551</v>
      </c>
      <c r="C37" s="512">
        <v>1</v>
      </c>
      <c r="D37" s="591" t="s">
        <v>90</v>
      </c>
      <c r="E37" s="1012">
        <v>124.16</v>
      </c>
      <c r="F37" s="430">
        <f t="shared" si="3"/>
        <v>0.09</v>
      </c>
      <c r="G37" s="515">
        <f t="shared" si="4"/>
        <v>112.98560000000001</v>
      </c>
      <c r="H37" s="531"/>
      <c r="I37" s="532"/>
      <c r="J37" s="532"/>
      <c r="K37" s="532"/>
      <c r="L37" s="428">
        <v>0.01</v>
      </c>
      <c r="M37" s="624" t="s">
        <v>1223</v>
      </c>
      <c r="N37" s="158" t="s">
        <v>700</v>
      </c>
      <c r="O37" s="417" t="s">
        <v>1224</v>
      </c>
      <c r="P37" s="477" t="s">
        <v>1550</v>
      </c>
      <c r="Q37" s="529" t="s">
        <v>1551</v>
      </c>
      <c r="R37" s="512">
        <v>1</v>
      </c>
      <c r="S37" s="591" t="s">
        <v>90</v>
      </c>
      <c r="T37" s="537" t="s">
        <v>1550</v>
      </c>
      <c r="U37" s="530">
        <v>124.16</v>
      </c>
      <c r="V37" s="430">
        <v>0.09</v>
      </c>
      <c r="W37" s="515">
        <v>112.98560000000001</v>
      </c>
      <c r="X37" s="531"/>
      <c r="Y37" s="532"/>
      <c r="Z37" s="532"/>
      <c r="AA37" s="532"/>
      <c r="AB37" s="428">
        <v>0.01</v>
      </c>
      <c r="AC37" s="41" t="s">
        <v>1223</v>
      </c>
      <c r="AD37" s="42" t="s">
        <v>700</v>
      </c>
      <c r="AE37" s="416" t="s">
        <v>1224</v>
      </c>
    </row>
    <row r="38" spans="1:31" s="90" customFormat="1">
      <c r="A38" s="477" t="s">
        <v>1552</v>
      </c>
      <c r="B38" s="529" t="s">
        <v>1553</v>
      </c>
      <c r="C38" s="512">
        <v>1</v>
      </c>
      <c r="D38" s="591" t="s">
        <v>90</v>
      </c>
      <c r="E38" s="1012">
        <v>149.16</v>
      </c>
      <c r="F38" s="430">
        <f t="shared" si="3"/>
        <v>0.09</v>
      </c>
      <c r="G38" s="515">
        <f t="shared" si="4"/>
        <v>135.73560000000001</v>
      </c>
      <c r="H38" s="531"/>
      <c r="I38" s="532"/>
      <c r="J38" s="532"/>
      <c r="K38" s="532"/>
      <c r="L38" s="428">
        <v>0.01</v>
      </c>
      <c r="M38" s="624" t="s">
        <v>1223</v>
      </c>
      <c r="N38" s="158" t="s">
        <v>700</v>
      </c>
      <c r="O38" s="417" t="s">
        <v>1224</v>
      </c>
      <c r="P38" s="477" t="s">
        <v>1552</v>
      </c>
      <c r="Q38" s="529" t="s">
        <v>1553</v>
      </c>
      <c r="R38" s="512">
        <v>1</v>
      </c>
      <c r="S38" s="591" t="s">
        <v>90</v>
      </c>
      <c r="T38" s="537" t="s">
        <v>1552</v>
      </c>
      <c r="U38" s="530">
        <v>149.16</v>
      </c>
      <c r="V38" s="430">
        <v>0.09</v>
      </c>
      <c r="W38" s="515">
        <v>135.73560000000001</v>
      </c>
      <c r="X38" s="531"/>
      <c r="Y38" s="532"/>
      <c r="Z38" s="532"/>
      <c r="AA38" s="532"/>
      <c r="AB38" s="428">
        <v>0.01</v>
      </c>
      <c r="AC38" s="41" t="s">
        <v>1223</v>
      </c>
      <c r="AD38" s="42" t="s">
        <v>700</v>
      </c>
      <c r="AE38" s="416" t="s">
        <v>1224</v>
      </c>
    </row>
    <row r="39" spans="1:31" s="1" customFormat="1">
      <c r="A39" s="477" t="s">
        <v>1554</v>
      </c>
      <c r="B39" s="505" t="s">
        <v>1555</v>
      </c>
      <c r="C39" s="506">
        <v>1</v>
      </c>
      <c r="D39" s="590" t="s">
        <v>90</v>
      </c>
      <c r="E39" s="1014">
        <v>165.78</v>
      </c>
      <c r="F39" s="430">
        <f t="shared" ref="F39:F54" si="8">rv_apple_acc_nodac</f>
        <v>0</v>
      </c>
      <c r="G39" s="648">
        <f t="shared" si="4"/>
        <v>165.78</v>
      </c>
      <c r="H39" s="147"/>
      <c r="I39" s="163"/>
      <c r="J39" s="163"/>
      <c r="K39" s="163"/>
      <c r="L39" s="428">
        <v>0.05</v>
      </c>
      <c r="M39" s="624" t="s">
        <v>1223</v>
      </c>
      <c r="N39" s="158" t="s">
        <v>700</v>
      </c>
      <c r="O39" s="417" t="s">
        <v>1224</v>
      </c>
      <c r="P39" s="477" t="s">
        <v>1554</v>
      </c>
      <c r="Q39" s="505" t="s">
        <v>1555</v>
      </c>
      <c r="R39" s="506">
        <v>1</v>
      </c>
      <c r="S39" s="590" t="s">
        <v>90</v>
      </c>
      <c r="T39" s="538" t="s">
        <v>1554</v>
      </c>
      <c r="U39" s="717">
        <v>149.12</v>
      </c>
      <c r="V39" s="430">
        <v>0</v>
      </c>
      <c r="W39" s="654">
        <v>149.12</v>
      </c>
      <c r="X39" s="147"/>
      <c r="Y39" s="163"/>
      <c r="Z39" s="163"/>
      <c r="AA39" s="163"/>
      <c r="AB39" s="428">
        <v>0.05</v>
      </c>
      <c r="AC39" s="41" t="s">
        <v>1223</v>
      </c>
      <c r="AD39" s="42" t="s">
        <v>700</v>
      </c>
      <c r="AE39" s="416" t="s">
        <v>1224</v>
      </c>
    </row>
    <row r="40" spans="1:31" s="1" customFormat="1">
      <c r="A40" s="477" t="s">
        <v>1556</v>
      </c>
      <c r="B40" s="505" t="s">
        <v>1557</v>
      </c>
      <c r="C40" s="506">
        <v>1</v>
      </c>
      <c r="D40" s="590" t="s">
        <v>90</v>
      </c>
      <c r="E40" s="1014">
        <v>165.78</v>
      </c>
      <c r="F40" s="430">
        <f t="shared" si="8"/>
        <v>0</v>
      </c>
      <c r="G40" s="648">
        <f t="shared" si="4"/>
        <v>165.78</v>
      </c>
      <c r="H40" s="147"/>
      <c r="I40" s="163"/>
      <c r="J40" s="163"/>
      <c r="K40" s="163"/>
      <c r="L40" s="428">
        <v>0.05</v>
      </c>
      <c r="M40" s="624" t="s">
        <v>1223</v>
      </c>
      <c r="N40" s="158" t="s">
        <v>700</v>
      </c>
      <c r="O40" s="417" t="s">
        <v>1224</v>
      </c>
      <c r="P40" s="477" t="s">
        <v>1556</v>
      </c>
      <c r="Q40" s="505" t="s">
        <v>1557</v>
      </c>
      <c r="R40" s="506">
        <v>1</v>
      </c>
      <c r="S40" s="590" t="s">
        <v>90</v>
      </c>
      <c r="T40" s="538" t="s">
        <v>1556</v>
      </c>
      <c r="U40" s="717">
        <v>149.12</v>
      </c>
      <c r="V40" s="430">
        <v>0</v>
      </c>
      <c r="W40" s="654">
        <v>149.12</v>
      </c>
      <c r="X40" s="147"/>
      <c r="Y40" s="163"/>
      <c r="Z40" s="163"/>
      <c r="AA40" s="163"/>
      <c r="AB40" s="428">
        <v>0.05</v>
      </c>
      <c r="AC40" s="41" t="s">
        <v>1223</v>
      </c>
      <c r="AD40" s="42" t="s">
        <v>700</v>
      </c>
      <c r="AE40" s="416" t="s">
        <v>1224</v>
      </c>
    </row>
    <row r="41" spans="1:31" s="1" customFormat="1">
      <c r="A41" s="477" t="s">
        <v>1558</v>
      </c>
      <c r="B41" s="505" t="s">
        <v>1559</v>
      </c>
      <c r="C41" s="506">
        <v>1</v>
      </c>
      <c r="D41" s="590" t="s">
        <v>90</v>
      </c>
      <c r="E41" s="1014">
        <v>182.45</v>
      </c>
      <c r="F41" s="430">
        <f t="shared" si="8"/>
        <v>0</v>
      </c>
      <c r="G41" s="648">
        <f t="shared" si="4"/>
        <v>182.45</v>
      </c>
      <c r="H41" s="147"/>
      <c r="I41" s="163"/>
      <c r="J41" s="163"/>
      <c r="K41" s="163"/>
      <c r="L41" s="428">
        <v>0.05</v>
      </c>
      <c r="M41" s="624" t="s">
        <v>1223</v>
      </c>
      <c r="N41" s="158" t="s">
        <v>700</v>
      </c>
      <c r="O41" s="417" t="s">
        <v>1224</v>
      </c>
      <c r="P41" s="477" t="s">
        <v>1558</v>
      </c>
      <c r="Q41" s="505" t="s">
        <v>1559</v>
      </c>
      <c r="R41" s="506">
        <v>1</v>
      </c>
      <c r="S41" s="590" t="s">
        <v>90</v>
      </c>
      <c r="T41" s="538" t="s">
        <v>1558</v>
      </c>
      <c r="U41" s="717">
        <v>165.78</v>
      </c>
      <c r="V41" s="430">
        <v>0</v>
      </c>
      <c r="W41" s="654">
        <v>165.78</v>
      </c>
      <c r="X41" s="147"/>
      <c r="Y41" s="163"/>
      <c r="Z41" s="163"/>
      <c r="AA41" s="163"/>
      <c r="AB41" s="428">
        <v>0.05</v>
      </c>
      <c r="AC41" s="41" t="s">
        <v>1223</v>
      </c>
      <c r="AD41" s="42" t="s">
        <v>700</v>
      </c>
      <c r="AE41" s="416" t="s">
        <v>1224</v>
      </c>
    </row>
    <row r="42" spans="1:31" s="1" customFormat="1">
      <c r="A42" s="477" t="s">
        <v>1560</v>
      </c>
      <c r="B42" s="505" t="s">
        <v>1561</v>
      </c>
      <c r="C42" s="506">
        <v>1</v>
      </c>
      <c r="D42" s="590" t="s">
        <v>90</v>
      </c>
      <c r="E42" s="1014">
        <v>182.45</v>
      </c>
      <c r="F42" s="430">
        <f t="shared" si="8"/>
        <v>0</v>
      </c>
      <c r="G42" s="648">
        <f t="shared" si="4"/>
        <v>182.45</v>
      </c>
      <c r="H42" s="147"/>
      <c r="I42" s="163"/>
      <c r="J42" s="163"/>
      <c r="K42" s="163"/>
      <c r="L42" s="428">
        <v>0.05</v>
      </c>
      <c r="M42" s="624" t="s">
        <v>1223</v>
      </c>
      <c r="N42" s="158" t="s">
        <v>700</v>
      </c>
      <c r="O42" s="417" t="s">
        <v>1224</v>
      </c>
      <c r="P42" s="477" t="s">
        <v>1560</v>
      </c>
      <c r="Q42" s="505" t="s">
        <v>1561</v>
      </c>
      <c r="R42" s="506">
        <v>1</v>
      </c>
      <c r="S42" s="590" t="s">
        <v>90</v>
      </c>
      <c r="T42" s="538" t="s">
        <v>1560</v>
      </c>
      <c r="U42" s="717">
        <v>165.78</v>
      </c>
      <c r="V42" s="430">
        <v>0</v>
      </c>
      <c r="W42" s="654">
        <v>165.78</v>
      </c>
      <c r="X42" s="147"/>
      <c r="Y42" s="163"/>
      <c r="Z42" s="163"/>
      <c r="AA42" s="163"/>
      <c r="AB42" s="428">
        <v>0.05</v>
      </c>
      <c r="AC42" s="41" t="s">
        <v>1223</v>
      </c>
      <c r="AD42" s="42" t="s">
        <v>700</v>
      </c>
      <c r="AE42" s="416" t="s">
        <v>1224</v>
      </c>
    </row>
    <row r="43" spans="1:31" s="1" customFormat="1">
      <c r="A43" s="477" t="s">
        <v>1562</v>
      </c>
      <c r="B43" s="505" t="s">
        <v>1563</v>
      </c>
      <c r="C43" s="506">
        <v>1</v>
      </c>
      <c r="D43" s="590" t="s">
        <v>90</v>
      </c>
      <c r="E43" s="1014">
        <v>207.45</v>
      </c>
      <c r="F43" s="430">
        <f t="shared" si="8"/>
        <v>0</v>
      </c>
      <c r="G43" s="648">
        <f t="shared" si="4"/>
        <v>207.45</v>
      </c>
      <c r="H43" s="147"/>
      <c r="I43" s="163"/>
      <c r="J43" s="163"/>
      <c r="K43" s="163"/>
      <c r="L43" s="428">
        <v>0.05</v>
      </c>
      <c r="M43" s="624" t="s">
        <v>1223</v>
      </c>
      <c r="N43" s="158" t="s">
        <v>700</v>
      </c>
      <c r="O43" s="417" t="s">
        <v>1224</v>
      </c>
      <c r="P43" s="477" t="s">
        <v>1562</v>
      </c>
      <c r="Q43" s="505" t="s">
        <v>1563</v>
      </c>
      <c r="R43" s="506">
        <v>1</v>
      </c>
      <c r="S43" s="590" t="s">
        <v>90</v>
      </c>
      <c r="T43" s="538" t="s">
        <v>1562</v>
      </c>
      <c r="U43" s="717">
        <v>182.45</v>
      </c>
      <c r="V43" s="430">
        <v>0</v>
      </c>
      <c r="W43" s="654">
        <v>182.45</v>
      </c>
      <c r="X43" s="147"/>
      <c r="Y43" s="163"/>
      <c r="Z43" s="163"/>
      <c r="AA43" s="163"/>
      <c r="AB43" s="428">
        <v>0.05</v>
      </c>
      <c r="AC43" s="41" t="s">
        <v>1223</v>
      </c>
      <c r="AD43" s="42" t="s">
        <v>700</v>
      </c>
      <c r="AE43" s="416" t="s">
        <v>1224</v>
      </c>
    </row>
    <row r="44" spans="1:31" s="1" customFormat="1">
      <c r="A44" s="477" t="s">
        <v>1564</v>
      </c>
      <c r="B44" s="505" t="s">
        <v>1565</v>
      </c>
      <c r="C44" s="506">
        <v>1</v>
      </c>
      <c r="D44" s="590" t="s">
        <v>90</v>
      </c>
      <c r="E44" s="1015">
        <v>207.45</v>
      </c>
      <c r="F44" s="430">
        <f t="shared" si="8"/>
        <v>0</v>
      </c>
      <c r="G44" s="727">
        <f t="shared" si="4"/>
        <v>207.45</v>
      </c>
      <c r="H44" s="147"/>
      <c r="I44" s="163"/>
      <c r="J44" s="163"/>
      <c r="K44" s="163"/>
      <c r="L44" s="428">
        <v>0.05</v>
      </c>
      <c r="M44" s="624" t="s">
        <v>1223</v>
      </c>
      <c r="N44" s="158" t="s">
        <v>700</v>
      </c>
      <c r="O44" s="417" t="s">
        <v>1224</v>
      </c>
      <c r="P44" s="477" t="s">
        <v>1564</v>
      </c>
      <c r="Q44" s="505" t="s">
        <v>1565</v>
      </c>
      <c r="R44" s="506">
        <v>1</v>
      </c>
      <c r="S44" s="590" t="s">
        <v>90</v>
      </c>
      <c r="T44" s="538" t="s">
        <v>1564</v>
      </c>
      <c r="U44" s="717">
        <v>182.45</v>
      </c>
      <c r="V44" s="430">
        <v>0</v>
      </c>
      <c r="W44" s="654">
        <v>182.45</v>
      </c>
      <c r="X44" s="147"/>
      <c r="Y44" s="163"/>
      <c r="Z44" s="163"/>
      <c r="AA44" s="163"/>
      <c r="AB44" s="428">
        <v>0.05</v>
      </c>
      <c r="AC44" s="41" t="s">
        <v>1223</v>
      </c>
      <c r="AD44" s="42" t="s">
        <v>700</v>
      </c>
      <c r="AE44" s="416" t="s">
        <v>1224</v>
      </c>
    </row>
    <row r="45" spans="1:31" s="1" customFormat="1">
      <c r="A45" s="477" t="s">
        <v>1566</v>
      </c>
      <c r="B45" s="505" t="s">
        <v>1567</v>
      </c>
      <c r="C45" s="506">
        <v>1</v>
      </c>
      <c r="D45" s="590" t="s">
        <v>90</v>
      </c>
      <c r="E45" s="1013">
        <v>249.12</v>
      </c>
      <c r="F45" s="430">
        <f t="shared" si="8"/>
        <v>0</v>
      </c>
      <c r="G45" s="106">
        <f t="shared" ref="G45:G46" si="9">E45-(E45*F45)</f>
        <v>249.12</v>
      </c>
      <c r="H45" s="147"/>
      <c r="I45" s="163"/>
      <c r="J45" s="163"/>
      <c r="K45" s="163"/>
      <c r="L45" s="428">
        <v>0.05</v>
      </c>
      <c r="M45" s="624" t="s">
        <v>1223</v>
      </c>
      <c r="N45" s="158" t="s">
        <v>700</v>
      </c>
      <c r="O45" s="417" t="s">
        <v>1224</v>
      </c>
      <c r="P45" s="477" t="s">
        <v>1566</v>
      </c>
      <c r="Q45" s="505" t="s">
        <v>1567</v>
      </c>
      <c r="R45" s="506">
        <v>1</v>
      </c>
      <c r="S45" s="590" t="s">
        <v>90</v>
      </c>
      <c r="T45" s="473" t="s">
        <v>1566</v>
      </c>
      <c r="U45" s="504">
        <v>249.12</v>
      </c>
      <c r="V45" s="430">
        <v>0</v>
      </c>
      <c r="W45" s="106">
        <v>249.12</v>
      </c>
      <c r="X45" s="147"/>
      <c r="Y45" s="163"/>
      <c r="Z45" s="163"/>
      <c r="AA45" s="163"/>
      <c r="AB45" s="428">
        <v>0.05</v>
      </c>
      <c r="AC45" s="41" t="s">
        <v>1223</v>
      </c>
      <c r="AD45" s="42" t="s">
        <v>700</v>
      </c>
      <c r="AE45" s="416" t="s">
        <v>1224</v>
      </c>
    </row>
    <row r="46" spans="1:31" s="1" customFormat="1">
      <c r="A46" s="477" t="s">
        <v>1568</v>
      </c>
      <c r="B46" s="505" t="s">
        <v>1569</v>
      </c>
      <c r="C46" s="506">
        <v>1</v>
      </c>
      <c r="D46" s="590" t="s">
        <v>90</v>
      </c>
      <c r="E46" s="1013">
        <v>249.12</v>
      </c>
      <c r="F46" s="430">
        <f t="shared" si="8"/>
        <v>0</v>
      </c>
      <c r="G46" s="106">
        <f t="shared" si="9"/>
        <v>249.12</v>
      </c>
      <c r="H46" s="147"/>
      <c r="I46" s="163"/>
      <c r="J46" s="163"/>
      <c r="K46" s="163"/>
      <c r="L46" s="428">
        <v>0.05</v>
      </c>
      <c r="M46" s="624" t="s">
        <v>1223</v>
      </c>
      <c r="N46" s="158" t="s">
        <v>700</v>
      </c>
      <c r="O46" s="417" t="s">
        <v>1224</v>
      </c>
      <c r="P46" s="477" t="s">
        <v>1568</v>
      </c>
      <c r="Q46" s="505" t="s">
        <v>1569</v>
      </c>
      <c r="R46" s="506">
        <v>1</v>
      </c>
      <c r="S46" s="590" t="s">
        <v>90</v>
      </c>
      <c r="T46" s="473" t="s">
        <v>1568</v>
      </c>
      <c r="U46" s="504">
        <v>249.12</v>
      </c>
      <c r="V46" s="430">
        <v>0</v>
      </c>
      <c r="W46" s="106">
        <v>249.12</v>
      </c>
      <c r="X46" s="147"/>
      <c r="Y46" s="163"/>
      <c r="Z46" s="163"/>
      <c r="AA46" s="163"/>
      <c r="AB46" s="428">
        <v>0.05</v>
      </c>
      <c r="AC46" s="41" t="s">
        <v>1223</v>
      </c>
      <c r="AD46" s="42" t="s">
        <v>700</v>
      </c>
      <c r="AE46" s="416" t="s">
        <v>1224</v>
      </c>
    </row>
    <row r="47" spans="1:31" s="1" customFormat="1">
      <c r="A47" s="477" t="s">
        <v>1570</v>
      </c>
      <c r="B47" s="505" t="s">
        <v>1571</v>
      </c>
      <c r="C47" s="506">
        <v>1</v>
      </c>
      <c r="D47" s="590" t="s">
        <v>90</v>
      </c>
      <c r="E47" s="1012">
        <v>307.45</v>
      </c>
      <c r="F47" s="430">
        <f t="shared" si="8"/>
        <v>0</v>
      </c>
      <c r="G47" s="515">
        <f t="shared" si="4"/>
        <v>307.45</v>
      </c>
      <c r="H47" s="147"/>
      <c r="I47" s="163"/>
      <c r="J47" s="163"/>
      <c r="K47" s="163"/>
      <c r="L47" s="428">
        <v>0.05</v>
      </c>
      <c r="M47" s="624" t="s">
        <v>1223</v>
      </c>
      <c r="N47" s="158" t="s">
        <v>700</v>
      </c>
      <c r="O47" s="417" t="s">
        <v>1224</v>
      </c>
      <c r="P47" s="477" t="s">
        <v>1570</v>
      </c>
      <c r="Q47" s="505" t="s">
        <v>1571</v>
      </c>
      <c r="R47" s="506">
        <v>1</v>
      </c>
      <c r="S47" s="590" t="s">
        <v>90</v>
      </c>
      <c r="T47" s="473" t="s">
        <v>1570</v>
      </c>
      <c r="U47" s="530">
        <v>307.45</v>
      </c>
      <c r="V47" s="430">
        <v>0</v>
      </c>
      <c r="W47" s="515">
        <v>307.45</v>
      </c>
      <c r="X47" s="147"/>
      <c r="Y47" s="163"/>
      <c r="Z47" s="163"/>
      <c r="AA47" s="163"/>
      <c r="AB47" s="428">
        <v>0.05</v>
      </c>
      <c r="AC47" s="41" t="s">
        <v>1223</v>
      </c>
      <c r="AD47" s="42" t="s">
        <v>700</v>
      </c>
      <c r="AE47" s="416" t="s">
        <v>1224</v>
      </c>
    </row>
    <row r="48" spans="1:31" s="1" customFormat="1">
      <c r="A48" s="477" t="s">
        <v>1572</v>
      </c>
      <c r="B48" s="505" t="s">
        <v>1573</v>
      </c>
      <c r="C48" s="506">
        <v>1</v>
      </c>
      <c r="D48" s="590" t="s">
        <v>90</v>
      </c>
      <c r="E48" s="1012">
        <v>307.45</v>
      </c>
      <c r="F48" s="430">
        <f t="shared" si="8"/>
        <v>0</v>
      </c>
      <c r="G48" s="515">
        <f>E48-(E48*F48)</f>
        <v>307.45</v>
      </c>
      <c r="H48" s="147"/>
      <c r="I48" s="163"/>
      <c r="J48" s="163"/>
      <c r="K48" s="163"/>
      <c r="L48" s="428">
        <v>0.05</v>
      </c>
      <c r="M48" s="624" t="s">
        <v>1223</v>
      </c>
      <c r="N48" s="158" t="s">
        <v>700</v>
      </c>
      <c r="O48" s="417" t="s">
        <v>1224</v>
      </c>
      <c r="P48" s="477" t="s">
        <v>1572</v>
      </c>
      <c r="Q48" s="505" t="s">
        <v>1573</v>
      </c>
      <c r="R48" s="506">
        <v>1</v>
      </c>
      <c r="S48" s="590" t="s">
        <v>90</v>
      </c>
      <c r="T48" s="538" t="s">
        <v>1572</v>
      </c>
      <c r="U48" s="530">
        <v>307.45</v>
      </c>
      <c r="V48" s="430">
        <v>0</v>
      </c>
      <c r="W48" s="515">
        <v>307.45</v>
      </c>
      <c r="X48" s="147"/>
      <c r="Y48" s="163"/>
      <c r="Z48" s="163"/>
      <c r="AA48" s="163"/>
      <c r="AB48" s="428">
        <v>0.05</v>
      </c>
      <c r="AC48" s="41" t="s">
        <v>1223</v>
      </c>
      <c r="AD48" s="42" t="s">
        <v>700</v>
      </c>
      <c r="AE48" s="416" t="s">
        <v>1224</v>
      </c>
    </row>
    <row r="49" spans="1:31" s="1" customFormat="1">
      <c r="A49" s="477" t="s">
        <v>1574</v>
      </c>
      <c r="B49" s="505" t="s">
        <v>1575</v>
      </c>
      <c r="C49" s="506">
        <v>1</v>
      </c>
      <c r="D49" s="590" t="s">
        <v>90</v>
      </c>
      <c r="E49" s="1012">
        <v>307.45</v>
      </c>
      <c r="F49" s="430">
        <f t="shared" si="8"/>
        <v>0</v>
      </c>
      <c r="G49" s="515">
        <f t="shared" si="4"/>
        <v>307.45</v>
      </c>
      <c r="H49" s="147"/>
      <c r="I49" s="163"/>
      <c r="J49" s="163"/>
      <c r="K49" s="163"/>
      <c r="L49" s="428">
        <v>0.05</v>
      </c>
      <c r="M49" s="624" t="s">
        <v>1223</v>
      </c>
      <c r="N49" s="158" t="s">
        <v>700</v>
      </c>
      <c r="O49" s="417" t="s">
        <v>1224</v>
      </c>
      <c r="P49" s="477" t="s">
        <v>1574</v>
      </c>
      <c r="Q49" s="505" t="s">
        <v>1575</v>
      </c>
      <c r="R49" s="506">
        <v>1</v>
      </c>
      <c r="S49" s="590" t="s">
        <v>90</v>
      </c>
      <c r="T49" s="473" t="s">
        <v>1574</v>
      </c>
      <c r="U49" s="530">
        <v>307.45</v>
      </c>
      <c r="V49" s="430">
        <v>0</v>
      </c>
      <c r="W49" s="515">
        <v>307.45</v>
      </c>
      <c r="X49" s="147"/>
      <c r="Y49" s="163"/>
      <c r="Z49" s="163"/>
      <c r="AA49" s="163"/>
      <c r="AB49" s="428">
        <v>0.05</v>
      </c>
      <c r="AC49" s="41" t="s">
        <v>1223</v>
      </c>
      <c r="AD49" s="42" t="s">
        <v>700</v>
      </c>
      <c r="AE49" s="416" t="s">
        <v>1224</v>
      </c>
    </row>
    <row r="50" spans="1:31" s="1" customFormat="1">
      <c r="A50" s="477" t="s">
        <v>1576</v>
      </c>
      <c r="B50" s="505" t="s">
        <v>1577</v>
      </c>
      <c r="C50" s="506">
        <v>1</v>
      </c>
      <c r="D50" s="590" t="s">
        <v>90</v>
      </c>
      <c r="E50" s="1012">
        <v>307.45</v>
      </c>
      <c r="F50" s="430">
        <f t="shared" si="8"/>
        <v>0</v>
      </c>
      <c r="G50" s="515">
        <f>E50-(E50*F50)</f>
        <v>307.45</v>
      </c>
      <c r="H50" s="147"/>
      <c r="I50" s="163"/>
      <c r="J50" s="163"/>
      <c r="K50" s="163"/>
      <c r="L50" s="428">
        <v>0.05</v>
      </c>
      <c r="M50" s="624" t="s">
        <v>1223</v>
      </c>
      <c r="N50" s="158" t="s">
        <v>700</v>
      </c>
      <c r="O50" s="417" t="s">
        <v>1224</v>
      </c>
      <c r="P50" s="477" t="s">
        <v>1576</v>
      </c>
      <c r="Q50" s="505" t="s">
        <v>1577</v>
      </c>
      <c r="R50" s="506">
        <v>1</v>
      </c>
      <c r="S50" s="590" t="s">
        <v>90</v>
      </c>
      <c r="T50" s="538" t="s">
        <v>1576</v>
      </c>
      <c r="U50" s="530">
        <v>307.45</v>
      </c>
      <c r="V50" s="430">
        <v>0</v>
      </c>
      <c r="W50" s="515">
        <v>307.45</v>
      </c>
      <c r="X50" s="147"/>
      <c r="Y50" s="163"/>
      <c r="Z50" s="163"/>
      <c r="AA50" s="163"/>
      <c r="AB50" s="428">
        <v>0.05</v>
      </c>
      <c r="AC50" s="41" t="s">
        <v>1223</v>
      </c>
      <c r="AD50" s="42" t="s">
        <v>700</v>
      </c>
      <c r="AE50" s="416" t="s">
        <v>1224</v>
      </c>
    </row>
    <row r="51" spans="1:31" s="1" customFormat="1">
      <c r="A51" s="477" t="s">
        <v>1578</v>
      </c>
      <c r="B51" s="505" t="s">
        <v>1579</v>
      </c>
      <c r="C51" s="506">
        <v>1</v>
      </c>
      <c r="D51" s="590" t="s">
        <v>90</v>
      </c>
      <c r="E51" s="1012">
        <v>357.45</v>
      </c>
      <c r="F51" s="430">
        <f t="shared" si="8"/>
        <v>0</v>
      </c>
      <c r="G51" s="515">
        <f t="shared" si="4"/>
        <v>357.45</v>
      </c>
      <c r="H51" s="147"/>
      <c r="I51" s="163"/>
      <c r="J51" s="163"/>
      <c r="K51" s="163"/>
      <c r="L51" s="428">
        <v>0.05</v>
      </c>
      <c r="M51" s="624" t="s">
        <v>1223</v>
      </c>
      <c r="N51" s="158" t="s">
        <v>700</v>
      </c>
      <c r="O51" s="417" t="s">
        <v>1224</v>
      </c>
      <c r="P51" s="477" t="s">
        <v>1578</v>
      </c>
      <c r="Q51" s="505" t="s">
        <v>1579</v>
      </c>
      <c r="R51" s="506">
        <v>1</v>
      </c>
      <c r="S51" s="590" t="s">
        <v>90</v>
      </c>
      <c r="T51" s="473" t="s">
        <v>1578</v>
      </c>
      <c r="U51" s="530">
        <v>357.45</v>
      </c>
      <c r="V51" s="430">
        <v>0</v>
      </c>
      <c r="W51" s="515">
        <v>357.45</v>
      </c>
      <c r="X51" s="147"/>
      <c r="Y51" s="163"/>
      <c r="Z51" s="163"/>
      <c r="AA51" s="163"/>
      <c r="AB51" s="428">
        <v>0.05</v>
      </c>
      <c r="AC51" s="41" t="s">
        <v>1223</v>
      </c>
      <c r="AD51" s="42" t="s">
        <v>700</v>
      </c>
      <c r="AE51" s="416" t="s">
        <v>1224</v>
      </c>
    </row>
    <row r="52" spans="1:31" s="1" customFormat="1">
      <c r="A52" s="477" t="s">
        <v>1580</v>
      </c>
      <c r="B52" s="505" t="s">
        <v>1581</v>
      </c>
      <c r="C52" s="506">
        <v>1</v>
      </c>
      <c r="D52" s="590" t="s">
        <v>90</v>
      </c>
      <c r="E52" s="1012">
        <v>357.45</v>
      </c>
      <c r="F52" s="430">
        <f t="shared" si="8"/>
        <v>0</v>
      </c>
      <c r="G52" s="515">
        <f t="shared" ref="G52:G54" si="10">E52-(E52*F52)</f>
        <v>357.45</v>
      </c>
      <c r="H52" s="147"/>
      <c r="I52" s="163"/>
      <c r="J52" s="163"/>
      <c r="K52" s="163"/>
      <c r="L52" s="428">
        <v>0.05</v>
      </c>
      <c r="M52" s="624" t="s">
        <v>1223</v>
      </c>
      <c r="N52" s="158" t="s">
        <v>700</v>
      </c>
      <c r="O52" s="417" t="s">
        <v>1224</v>
      </c>
      <c r="P52" s="477" t="s">
        <v>1580</v>
      </c>
      <c r="Q52" s="505" t="s">
        <v>1581</v>
      </c>
      <c r="R52" s="506">
        <v>1</v>
      </c>
      <c r="S52" s="590" t="s">
        <v>90</v>
      </c>
      <c r="T52" s="518" t="s">
        <v>1580</v>
      </c>
      <c r="U52" s="530">
        <v>357.45</v>
      </c>
      <c r="V52" s="430">
        <v>0</v>
      </c>
      <c r="W52" s="515">
        <v>357.45</v>
      </c>
      <c r="X52" s="147"/>
      <c r="Y52" s="163"/>
      <c r="Z52" s="163"/>
      <c r="AA52" s="163"/>
      <c r="AB52" s="428">
        <v>0.05</v>
      </c>
      <c r="AC52" s="41" t="s">
        <v>1223</v>
      </c>
      <c r="AD52" s="42" t="s">
        <v>700</v>
      </c>
      <c r="AE52" s="416" t="s">
        <v>1224</v>
      </c>
    </row>
    <row r="53" spans="1:31" s="1" customFormat="1">
      <c r="A53" s="477" t="s">
        <v>1582</v>
      </c>
      <c r="B53" s="505" t="s">
        <v>1583</v>
      </c>
      <c r="C53" s="506">
        <v>1</v>
      </c>
      <c r="D53" s="590" t="s">
        <v>90</v>
      </c>
      <c r="E53" s="1012">
        <v>357.45</v>
      </c>
      <c r="F53" s="430">
        <f t="shared" si="8"/>
        <v>0</v>
      </c>
      <c r="G53" s="515">
        <f>E53-(E53*F53)</f>
        <v>357.45</v>
      </c>
      <c r="H53" s="147"/>
      <c r="I53" s="163"/>
      <c r="J53" s="163"/>
      <c r="K53" s="163"/>
      <c r="L53" s="428">
        <v>0.05</v>
      </c>
      <c r="M53" s="624" t="s">
        <v>1223</v>
      </c>
      <c r="N53" s="158" t="s">
        <v>700</v>
      </c>
      <c r="O53" s="417" t="s">
        <v>1224</v>
      </c>
      <c r="P53" s="477" t="s">
        <v>1582</v>
      </c>
      <c r="Q53" s="505" t="s">
        <v>1583</v>
      </c>
      <c r="R53" s="506">
        <v>1</v>
      </c>
      <c r="S53" s="590" t="s">
        <v>90</v>
      </c>
      <c r="T53" s="473" t="s">
        <v>1582</v>
      </c>
      <c r="U53" s="530">
        <v>357.45</v>
      </c>
      <c r="V53" s="430">
        <v>0</v>
      </c>
      <c r="W53" s="515">
        <v>357.45</v>
      </c>
      <c r="X53" s="147"/>
      <c r="Y53" s="163"/>
      <c r="Z53" s="163"/>
      <c r="AA53" s="163"/>
      <c r="AB53" s="428">
        <v>0.05</v>
      </c>
      <c r="AC53" s="41" t="s">
        <v>1223</v>
      </c>
      <c r="AD53" s="42" t="s">
        <v>700</v>
      </c>
      <c r="AE53" s="416" t="s">
        <v>1224</v>
      </c>
    </row>
    <row r="54" spans="1:31" s="1" customFormat="1">
      <c r="A54" s="477" t="s">
        <v>1584</v>
      </c>
      <c r="B54" s="505" t="s">
        <v>1585</v>
      </c>
      <c r="C54" s="506">
        <v>1</v>
      </c>
      <c r="D54" s="590" t="s">
        <v>90</v>
      </c>
      <c r="E54" s="1012">
        <v>357.45</v>
      </c>
      <c r="F54" s="430">
        <f t="shared" si="8"/>
        <v>0</v>
      </c>
      <c r="G54" s="515">
        <f t="shared" si="10"/>
        <v>357.45</v>
      </c>
      <c r="H54" s="147"/>
      <c r="I54" s="163"/>
      <c r="J54" s="163"/>
      <c r="K54" s="163"/>
      <c r="L54" s="428">
        <v>0.05</v>
      </c>
      <c r="M54" s="624" t="s">
        <v>1223</v>
      </c>
      <c r="N54" s="158" t="s">
        <v>700</v>
      </c>
      <c r="O54" s="417" t="s">
        <v>1224</v>
      </c>
      <c r="P54" s="477" t="s">
        <v>1584</v>
      </c>
      <c r="Q54" s="505" t="s">
        <v>1585</v>
      </c>
      <c r="R54" s="506">
        <v>1</v>
      </c>
      <c r="S54" s="590" t="s">
        <v>90</v>
      </c>
      <c r="T54" s="518" t="s">
        <v>1584</v>
      </c>
      <c r="U54" s="530">
        <v>357.45</v>
      </c>
      <c r="V54" s="430">
        <v>0</v>
      </c>
      <c r="W54" s="515">
        <v>357.45</v>
      </c>
      <c r="X54" s="147"/>
      <c r="Y54" s="163"/>
      <c r="Z54" s="163"/>
      <c r="AA54" s="163"/>
      <c r="AB54" s="428">
        <v>0.05</v>
      </c>
      <c r="AC54" s="41" t="s">
        <v>1223</v>
      </c>
      <c r="AD54" s="42" t="s">
        <v>700</v>
      </c>
      <c r="AE54" s="416" t="s">
        <v>1224</v>
      </c>
    </row>
    <row r="55" spans="1:31" s="1" customFormat="1">
      <c r="A55" s="477" t="s">
        <v>1586</v>
      </c>
      <c r="B55" s="505" t="s">
        <v>1587</v>
      </c>
      <c r="C55" s="506">
        <v>1</v>
      </c>
      <c r="D55" s="590" t="s">
        <v>1588</v>
      </c>
      <c r="E55" s="1013">
        <v>109</v>
      </c>
      <c r="F55" s="430">
        <f>rv_10</f>
        <v>0.1</v>
      </c>
      <c r="G55" s="106">
        <f t="shared" si="4"/>
        <v>98.1</v>
      </c>
      <c r="H55" s="147"/>
      <c r="I55" s="163"/>
      <c r="J55" s="163"/>
      <c r="K55" s="163"/>
      <c r="L55" s="428">
        <v>0.02</v>
      </c>
      <c r="M55" s="624" t="s">
        <v>1223</v>
      </c>
      <c r="N55" s="158" t="s">
        <v>700</v>
      </c>
      <c r="O55" s="417" t="s">
        <v>1224</v>
      </c>
      <c r="P55" s="477" t="s">
        <v>1586</v>
      </c>
      <c r="Q55" s="505" t="s">
        <v>1587</v>
      </c>
      <c r="R55" s="506">
        <v>1</v>
      </c>
      <c r="S55" s="590" t="s">
        <v>1588</v>
      </c>
      <c r="T55" s="473" t="s">
        <v>1586</v>
      </c>
      <c r="U55" s="504">
        <v>109</v>
      </c>
      <c r="V55" s="430">
        <v>0.1</v>
      </c>
      <c r="W55" s="106">
        <v>98.1</v>
      </c>
      <c r="X55" s="147"/>
      <c r="Y55" s="163"/>
      <c r="Z55" s="163"/>
      <c r="AA55" s="163"/>
      <c r="AB55" s="428">
        <v>0.02</v>
      </c>
      <c r="AC55" s="41" t="s">
        <v>1223</v>
      </c>
      <c r="AD55" s="42" t="s">
        <v>700</v>
      </c>
      <c r="AE55" s="416" t="s">
        <v>1224</v>
      </c>
    </row>
    <row r="56" spans="1:31" s="1" customFormat="1">
      <c r="A56" s="477" t="s">
        <v>1589</v>
      </c>
      <c r="B56" s="505" t="s">
        <v>1590</v>
      </c>
      <c r="C56" s="506">
        <v>1</v>
      </c>
      <c r="D56" s="590" t="s">
        <v>1588</v>
      </c>
      <c r="E56" s="1013">
        <v>129.99</v>
      </c>
      <c r="F56" s="430">
        <f>rv_10</f>
        <v>0.1</v>
      </c>
      <c r="G56" s="106">
        <f t="shared" ref="G56:G61" si="11">E56-(E56*F56)</f>
        <v>116.99100000000001</v>
      </c>
      <c r="H56" s="147"/>
      <c r="I56" s="163"/>
      <c r="J56" s="163"/>
      <c r="K56" s="163"/>
      <c r="L56" s="428">
        <v>0.02</v>
      </c>
      <c r="M56" s="624" t="s">
        <v>1223</v>
      </c>
      <c r="N56" s="158" t="s">
        <v>700</v>
      </c>
      <c r="O56" s="417" t="s">
        <v>1224</v>
      </c>
      <c r="P56" s="477" t="s">
        <v>1589</v>
      </c>
      <c r="Q56" s="505" t="s">
        <v>1590</v>
      </c>
      <c r="R56" s="506">
        <v>1</v>
      </c>
      <c r="S56" s="590" t="s">
        <v>1588</v>
      </c>
      <c r="T56" s="473" t="s">
        <v>1589</v>
      </c>
      <c r="U56" s="504">
        <v>129.99</v>
      </c>
      <c r="V56" s="430">
        <v>0.1</v>
      </c>
      <c r="W56" s="106">
        <v>116.99100000000001</v>
      </c>
      <c r="X56" s="147"/>
      <c r="Y56" s="163"/>
      <c r="Z56" s="163"/>
      <c r="AA56" s="163"/>
      <c r="AB56" s="428">
        <v>0.02</v>
      </c>
      <c r="AC56" s="223" t="s">
        <v>1223</v>
      </c>
      <c r="AD56" s="218" t="s">
        <v>700</v>
      </c>
      <c r="AE56" s="218" t="s">
        <v>1224</v>
      </c>
    </row>
    <row r="57" spans="1:31" s="1" customFormat="1">
      <c r="A57" s="477" t="s">
        <v>1591</v>
      </c>
      <c r="B57" s="505" t="s">
        <v>1592</v>
      </c>
      <c r="C57" s="506">
        <v>1</v>
      </c>
      <c r="D57" s="590" t="s">
        <v>1588</v>
      </c>
      <c r="E57" s="1013">
        <v>8.99</v>
      </c>
      <c r="F57" s="430">
        <f>rv_10</f>
        <v>0.1</v>
      </c>
      <c r="G57" s="106">
        <f t="shared" si="11"/>
        <v>8.0910000000000011</v>
      </c>
      <c r="H57" s="147"/>
      <c r="I57" s="163"/>
      <c r="J57" s="163"/>
      <c r="K57" s="163"/>
      <c r="L57" s="428">
        <v>0.02</v>
      </c>
      <c r="M57" s="624" t="s">
        <v>1223</v>
      </c>
      <c r="N57" s="158" t="s">
        <v>700</v>
      </c>
      <c r="O57" s="417" t="s">
        <v>1224</v>
      </c>
      <c r="P57" s="477" t="s">
        <v>1591</v>
      </c>
      <c r="Q57" s="505" t="s">
        <v>1592</v>
      </c>
      <c r="R57" s="506">
        <v>1</v>
      </c>
      <c r="S57" s="590" t="s">
        <v>1588</v>
      </c>
      <c r="T57" s="473" t="s">
        <v>1591</v>
      </c>
      <c r="U57" s="504">
        <v>8.99</v>
      </c>
      <c r="V57" s="430">
        <v>0.1</v>
      </c>
      <c r="W57" s="106">
        <v>8.0910000000000011</v>
      </c>
      <c r="X57" s="147"/>
      <c r="Y57" s="163"/>
      <c r="Z57" s="163"/>
      <c r="AA57" s="163"/>
      <c r="AB57" s="428">
        <v>0.02</v>
      </c>
      <c r="AC57" s="41" t="s">
        <v>1223</v>
      </c>
      <c r="AD57" s="42" t="s">
        <v>700</v>
      </c>
      <c r="AE57" s="416" t="s">
        <v>1224</v>
      </c>
    </row>
    <row r="58" spans="1:31" s="90" customFormat="1">
      <c r="A58" s="510" t="s">
        <v>1593</v>
      </c>
      <c r="B58" s="529" t="s">
        <v>1594</v>
      </c>
      <c r="C58" s="512">
        <v>1</v>
      </c>
      <c r="D58" s="592" t="s">
        <v>90</v>
      </c>
      <c r="E58" s="1012">
        <v>70.78</v>
      </c>
      <c r="F58" s="535">
        <f t="shared" si="7"/>
        <v>0.09</v>
      </c>
      <c r="G58" s="515">
        <f t="shared" si="11"/>
        <v>64.409800000000004</v>
      </c>
      <c r="H58" s="531"/>
      <c r="I58" s="532"/>
      <c r="J58" s="532"/>
      <c r="K58" s="532"/>
      <c r="L58" s="513">
        <v>0.05</v>
      </c>
      <c r="M58" s="624" t="s">
        <v>1223</v>
      </c>
      <c r="N58" s="158" t="s">
        <v>700</v>
      </c>
      <c r="O58" s="417" t="s">
        <v>1224</v>
      </c>
      <c r="P58" s="510" t="s">
        <v>1593</v>
      </c>
      <c r="Q58" s="529" t="s">
        <v>1594</v>
      </c>
      <c r="R58" s="512">
        <v>1</v>
      </c>
      <c r="S58" s="592" t="s">
        <v>90</v>
      </c>
      <c r="T58" s="517" t="s">
        <v>1593</v>
      </c>
      <c r="U58" s="530">
        <v>70.78</v>
      </c>
      <c r="V58" s="535">
        <v>0.09</v>
      </c>
      <c r="W58" s="515">
        <v>64.409800000000004</v>
      </c>
      <c r="X58" s="531"/>
      <c r="Y58" s="532"/>
      <c r="Z58" s="532"/>
      <c r="AA58" s="532"/>
      <c r="AB58" s="513">
        <v>0.05</v>
      </c>
      <c r="AC58" s="41" t="s">
        <v>1223</v>
      </c>
      <c r="AD58" s="42" t="s">
        <v>700</v>
      </c>
      <c r="AE58" s="416" t="s">
        <v>1224</v>
      </c>
    </row>
    <row r="59" spans="1:31" s="90" customFormat="1">
      <c r="A59" s="510" t="s">
        <v>1595</v>
      </c>
      <c r="B59" s="529" t="s">
        <v>1596</v>
      </c>
      <c r="C59" s="512">
        <v>1</v>
      </c>
      <c r="D59" s="592" t="s">
        <v>90</v>
      </c>
      <c r="E59" s="1012">
        <v>112.45</v>
      </c>
      <c r="F59" s="535">
        <f t="shared" si="7"/>
        <v>0.09</v>
      </c>
      <c r="G59" s="515">
        <f t="shared" si="11"/>
        <v>102.3295</v>
      </c>
      <c r="H59" s="531"/>
      <c r="I59" s="532"/>
      <c r="J59" s="532"/>
      <c r="K59" s="532"/>
      <c r="L59" s="513">
        <v>0.05</v>
      </c>
      <c r="M59" s="624" t="s">
        <v>1223</v>
      </c>
      <c r="N59" s="158" t="s">
        <v>700</v>
      </c>
      <c r="O59" s="417" t="s">
        <v>1224</v>
      </c>
      <c r="P59" s="510" t="s">
        <v>1595</v>
      </c>
      <c r="Q59" s="529" t="s">
        <v>1596</v>
      </c>
      <c r="R59" s="512">
        <v>1</v>
      </c>
      <c r="S59" s="592" t="s">
        <v>90</v>
      </c>
      <c r="T59" s="517" t="s">
        <v>1595</v>
      </c>
      <c r="U59" s="530">
        <v>112.45</v>
      </c>
      <c r="V59" s="535">
        <v>0.09</v>
      </c>
      <c r="W59" s="515">
        <v>102.3295</v>
      </c>
      <c r="X59" s="531"/>
      <c r="Y59" s="532"/>
      <c r="Z59" s="532"/>
      <c r="AA59" s="532"/>
      <c r="AB59" s="513">
        <v>0.05</v>
      </c>
      <c r="AC59" s="41" t="s">
        <v>1223</v>
      </c>
      <c r="AD59" s="42" t="s">
        <v>700</v>
      </c>
      <c r="AE59" s="416" t="s">
        <v>1224</v>
      </c>
    </row>
    <row r="60" spans="1:31" s="90" customFormat="1">
      <c r="A60" s="477" t="s">
        <v>1597</v>
      </c>
      <c r="B60" s="529" t="s">
        <v>1598</v>
      </c>
      <c r="C60" s="512">
        <v>1</v>
      </c>
      <c r="D60" s="591" t="s">
        <v>90</v>
      </c>
      <c r="E60" s="1012">
        <v>129.12</v>
      </c>
      <c r="F60" s="430">
        <f t="shared" si="3"/>
        <v>0.09</v>
      </c>
      <c r="G60" s="515">
        <f t="shared" si="11"/>
        <v>117.4992</v>
      </c>
      <c r="H60" s="531"/>
      <c r="I60" s="532"/>
      <c r="J60" s="532"/>
      <c r="K60" s="532"/>
      <c r="L60" s="428">
        <v>0.05</v>
      </c>
      <c r="M60" s="624" t="s">
        <v>1223</v>
      </c>
      <c r="N60" s="158" t="s">
        <v>700</v>
      </c>
      <c r="O60" s="417" t="s">
        <v>1224</v>
      </c>
      <c r="P60" s="477" t="s">
        <v>1597</v>
      </c>
      <c r="Q60" s="529" t="s">
        <v>1598</v>
      </c>
      <c r="R60" s="512">
        <v>1</v>
      </c>
      <c r="S60" s="591" t="s">
        <v>90</v>
      </c>
      <c r="T60" s="536" t="s">
        <v>1597</v>
      </c>
      <c r="U60" s="530">
        <v>129.12</v>
      </c>
      <c r="V60" s="430">
        <v>0.09</v>
      </c>
      <c r="W60" s="515">
        <v>117.4992</v>
      </c>
      <c r="X60" s="531"/>
      <c r="Y60" s="532"/>
      <c r="Z60" s="532"/>
      <c r="AA60" s="532"/>
      <c r="AB60" s="428">
        <v>0.05</v>
      </c>
      <c r="AC60" s="41" t="s">
        <v>1223</v>
      </c>
      <c r="AD60" s="42" t="s">
        <v>700</v>
      </c>
      <c r="AE60" s="416" t="s">
        <v>1224</v>
      </c>
    </row>
    <row r="61" spans="1:31" s="90" customFormat="1">
      <c r="A61" s="718" t="s">
        <v>3185</v>
      </c>
      <c r="B61" s="685" t="s">
        <v>3190</v>
      </c>
      <c r="C61" s="720">
        <v>1</v>
      </c>
      <c r="D61" s="723" t="s">
        <v>90</v>
      </c>
      <c r="E61" s="1016">
        <v>99.15</v>
      </c>
      <c r="F61" s="728">
        <f>rv_pencil</f>
        <v>0.02</v>
      </c>
      <c r="G61" s="268">
        <f t="shared" si="11"/>
        <v>97.167000000000002</v>
      </c>
      <c r="H61" s="722"/>
      <c r="I61" s="222"/>
      <c r="J61" s="222"/>
      <c r="K61" s="222"/>
      <c r="L61" s="444">
        <v>0.02</v>
      </c>
      <c r="M61" s="624" t="s">
        <v>1223</v>
      </c>
      <c r="N61" s="158" t="s">
        <v>700</v>
      </c>
      <c r="O61" s="417" t="s">
        <v>1224</v>
      </c>
      <c r="P61" s="703" t="s">
        <v>1599</v>
      </c>
      <c r="Q61" s="651" t="s">
        <v>1600</v>
      </c>
      <c r="R61" s="705">
        <v>1</v>
      </c>
      <c r="S61" s="701" t="s">
        <v>90</v>
      </c>
      <c r="T61" s="706" t="s">
        <v>1599</v>
      </c>
      <c r="U61" s="729">
        <v>99.15</v>
      </c>
      <c r="V61" s="730">
        <v>0.02</v>
      </c>
      <c r="W61" s="729">
        <v>97.167000000000002</v>
      </c>
      <c r="X61" s="709"/>
      <c r="Y61" s="710"/>
      <c r="Z61" s="710"/>
      <c r="AA61" s="710"/>
      <c r="AB61" s="711">
        <v>0.02</v>
      </c>
      <c r="AC61" s="660" t="s">
        <v>1223</v>
      </c>
      <c r="AD61" s="661" t="s">
        <v>700</v>
      </c>
      <c r="AE61" s="662" t="s">
        <v>1224</v>
      </c>
    </row>
    <row r="62" spans="1:31" s="90" customFormat="1">
      <c r="A62" s="510" t="s">
        <v>1601</v>
      </c>
      <c r="B62" s="505" t="s">
        <v>1602</v>
      </c>
      <c r="C62" s="512">
        <v>1</v>
      </c>
      <c r="D62" s="592" t="s">
        <v>90</v>
      </c>
      <c r="E62" s="1013">
        <v>124.15</v>
      </c>
      <c r="F62" s="535">
        <f>rv_pencil_2</f>
        <v>0.02</v>
      </c>
      <c r="G62" s="180">
        <f t="shared" ref="G62:G64" si="12">E62-(E62*F62)</f>
        <v>121.667</v>
      </c>
      <c r="H62" s="531"/>
      <c r="I62" s="532"/>
      <c r="J62" s="532"/>
      <c r="K62" s="532"/>
      <c r="L62" s="513">
        <v>0.02</v>
      </c>
      <c r="M62" s="624" t="s">
        <v>1223</v>
      </c>
      <c r="N62" s="158" t="s">
        <v>700</v>
      </c>
      <c r="O62" s="417" t="s">
        <v>1224</v>
      </c>
      <c r="P62" s="510" t="s">
        <v>1601</v>
      </c>
      <c r="Q62" s="505" t="s">
        <v>1602</v>
      </c>
      <c r="R62" s="512">
        <v>1</v>
      </c>
      <c r="S62" s="515" t="s">
        <v>90</v>
      </c>
      <c r="T62" s="518" t="s">
        <v>1601</v>
      </c>
      <c r="U62" s="180">
        <v>124.15</v>
      </c>
      <c r="V62" s="535">
        <v>0.02</v>
      </c>
      <c r="W62" s="180">
        <v>121.667</v>
      </c>
      <c r="X62" s="531"/>
      <c r="Y62" s="532"/>
      <c r="Z62" s="532"/>
      <c r="AA62" s="532"/>
      <c r="AB62" s="513">
        <v>0.02</v>
      </c>
      <c r="AC62" s="41" t="s">
        <v>1223</v>
      </c>
      <c r="AD62" s="42" t="s">
        <v>700</v>
      </c>
      <c r="AE62" s="416" t="s">
        <v>1224</v>
      </c>
    </row>
    <row r="63" spans="1:31" s="1" customFormat="1">
      <c r="A63" s="477" t="s">
        <v>1603</v>
      </c>
      <c r="B63" s="505" t="s">
        <v>1604</v>
      </c>
      <c r="C63" s="506">
        <v>1</v>
      </c>
      <c r="D63" s="585" t="s">
        <v>90</v>
      </c>
      <c r="E63" s="1014">
        <v>20.83</v>
      </c>
      <c r="F63" s="539">
        <f>rv_pencil</f>
        <v>0.02</v>
      </c>
      <c r="G63" s="696">
        <f t="shared" si="12"/>
        <v>20.413399999999999</v>
      </c>
      <c r="H63" s="147"/>
      <c r="I63" s="163"/>
      <c r="J63" s="163"/>
      <c r="K63" s="163"/>
      <c r="L63" s="428">
        <v>0</v>
      </c>
      <c r="M63" s="624" t="s">
        <v>1223</v>
      </c>
      <c r="N63" s="158" t="s">
        <v>700</v>
      </c>
      <c r="O63" s="417" t="s">
        <v>1224</v>
      </c>
      <c r="P63" s="477" t="s">
        <v>1603</v>
      </c>
      <c r="Q63" s="505" t="s">
        <v>1604</v>
      </c>
      <c r="R63" s="506">
        <v>1</v>
      </c>
      <c r="S63" s="106" t="s">
        <v>90</v>
      </c>
      <c r="T63" s="473" t="s">
        <v>1603</v>
      </c>
      <c r="U63" s="729">
        <v>20.82</v>
      </c>
      <c r="V63" s="539">
        <v>0.02</v>
      </c>
      <c r="W63" s="729">
        <v>20.403600000000001</v>
      </c>
      <c r="X63" s="147"/>
      <c r="Y63" s="163"/>
      <c r="Z63" s="163"/>
      <c r="AA63" s="163"/>
      <c r="AB63" s="428">
        <v>0</v>
      </c>
      <c r="AC63" s="41" t="s">
        <v>1223</v>
      </c>
      <c r="AD63" s="42" t="s">
        <v>700</v>
      </c>
      <c r="AE63" s="416" t="s">
        <v>1224</v>
      </c>
    </row>
    <row r="64" spans="1:31" s="1" customFormat="1">
      <c r="A64" s="477" t="s">
        <v>1605</v>
      </c>
      <c r="B64" s="582" t="s">
        <v>1606</v>
      </c>
      <c r="C64" s="506">
        <v>1</v>
      </c>
      <c r="D64" s="585" t="s">
        <v>90</v>
      </c>
      <c r="E64" s="1013">
        <v>8.33</v>
      </c>
      <c r="F64" s="539">
        <v>0.02</v>
      </c>
      <c r="G64" s="180">
        <f t="shared" si="12"/>
        <v>8.1633999999999993</v>
      </c>
      <c r="H64" s="147"/>
      <c r="I64" s="163"/>
      <c r="J64" s="163"/>
      <c r="K64" s="163"/>
      <c r="L64" s="428">
        <v>0</v>
      </c>
      <c r="M64" s="624" t="s">
        <v>1223</v>
      </c>
      <c r="N64" s="158" t="s">
        <v>700</v>
      </c>
      <c r="O64" s="417" t="s">
        <v>1224</v>
      </c>
      <c r="P64" s="477" t="s">
        <v>1605</v>
      </c>
      <c r="Q64" s="582" t="s">
        <v>1606</v>
      </c>
      <c r="R64" s="506">
        <v>1</v>
      </c>
      <c r="S64" s="106" t="s">
        <v>90</v>
      </c>
      <c r="T64" s="540" t="s">
        <v>1605</v>
      </c>
      <c r="U64" s="180">
        <v>8.33</v>
      </c>
      <c r="V64" s="539">
        <v>0.02</v>
      </c>
      <c r="W64" s="180">
        <v>8.1633999999999993</v>
      </c>
      <c r="X64" s="147"/>
      <c r="Y64" s="163"/>
      <c r="Z64" s="163"/>
      <c r="AA64" s="163"/>
      <c r="AB64" s="428">
        <v>0</v>
      </c>
      <c r="AC64" s="41" t="s">
        <v>1223</v>
      </c>
      <c r="AD64" s="42" t="s">
        <v>700</v>
      </c>
      <c r="AE64" s="416" t="s">
        <v>1224</v>
      </c>
    </row>
    <row r="65" spans="1:31" s="1" customFormat="1" ht="21" customHeight="1">
      <c r="A65" s="509" t="s">
        <v>1607</v>
      </c>
      <c r="B65" s="165"/>
      <c r="C65" s="506"/>
      <c r="D65" s="585"/>
      <c r="E65" s="1008"/>
      <c r="F65" s="500"/>
      <c r="G65" s="147"/>
      <c r="H65" s="147"/>
      <c r="I65" s="163"/>
      <c r="J65" s="163"/>
      <c r="K65" s="163"/>
      <c r="L65" s="428"/>
      <c r="M65" s="624"/>
      <c r="N65" s="159"/>
      <c r="O65" s="221"/>
      <c r="P65" s="509" t="s">
        <v>1607</v>
      </c>
      <c r="Q65" s="165"/>
      <c r="R65" s="506"/>
      <c r="S65" s="106"/>
      <c r="T65" s="147"/>
      <c r="U65" s="147"/>
      <c r="V65" s="500"/>
      <c r="W65" s="147"/>
      <c r="X65" s="147"/>
      <c r="Y65" s="163"/>
      <c r="Z65" s="163"/>
      <c r="AA65" s="163"/>
      <c r="AB65" s="428"/>
      <c r="AC65" s="41"/>
      <c r="AD65" s="14"/>
      <c r="AE65" s="157"/>
    </row>
    <row r="66" spans="1:31" s="1" customFormat="1">
      <c r="A66" s="477" t="s">
        <v>1608</v>
      </c>
      <c r="B66" s="505" t="s">
        <v>1609</v>
      </c>
      <c r="C66" s="506">
        <v>1</v>
      </c>
      <c r="D66" s="585" t="s">
        <v>90</v>
      </c>
      <c r="E66" s="1013">
        <v>20.81</v>
      </c>
      <c r="F66" s="430">
        <f t="shared" ref="F66:F71" si="13">rv_apple_acc_ipad</f>
        <v>0.15</v>
      </c>
      <c r="G66" s="180">
        <f t="shared" ref="G66:G87" si="14">E66-(E66*F66)</f>
        <v>17.688499999999998</v>
      </c>
      <c r="H66" s="147"/>
      <c r="I66" s="163"/>
      <c r="J66" s="163"/>
      <c r="K66" s="163"/>
      <c r="L66" s="428">
        <v>0.02</v>
      </c>
      <c r="M66" s="624" t="s">
        <v>1223</v>
      </c>
      <c r="N66" s="158" t="s">
        <v>700</v>
      </c>
      <c r="O66" s="417" t="s">
        <v>1224</v>
      </c>
      <c r="P66" s="477" t="s">
        <v>1608</v>
      </c>
      <c r="Q66" s="505" t="s">
        <v>1609</v>
      </c>
      <c r="R66" s="506">
        <v>1</v>
      </c>
      <c r="S66" s="106" t="s">
        <v>90</v>
      </c>
      <c r="T66" s="473" t="s">
        <v>1608</v>
      </c>
      <c r="U66" s="180">
        <v>20.81</v>
      </c>
      <c r="V66" s="430">
        <v>0.15</v>
      </c>
      <c r="W66" s="180">
        <v>17.688499999999998</v>
      </c>
      <c r="X66" s="147"/>
      <c r="Y66" s="163"/>
      <c r="Z66" s="163"/>
      <c r="AA66" s="163"/>
      <c r="AB66" s="428">
        <v>0.02</v>
      </c>
      <c r="AC66" s="41" t="s">
        <v>1223</v>
      </c>
      <c r="AD66" s="42" t="s">
        <v>700</v>
      </c>
      <c r="AE66" s="416" t="s">
        <v>1224</v>
      </c>
    </row>
    <row r="67" spans="1:31" s="1" customFormat="1">
      <c r="A67" s="477" t="s">
        <v>1610</v>
      </c>
      <c r="B67" s="505" t="s">
        <v>1611</v>
      </c>
      <c r="C67" s="506">
        <v>1</v>
      </c>
      <c r="D67" s="585" t="s">
        <v>90</v>
      </c>
      <c r="E67" s="1013">
        <v>32.479999999999997</v>
      </c>
      <c r="F67" s="430">
        <f t="shared" si="13"/>
        <v>0.15</v>
      </c>
      <c r="G67" s="180">
        <f t="shared" si="14"/>
        <v>27.607999999999997</v>
      </c>
      <c r="H67" s="147"/>
      <c r="I67" s="165"/>
      <c r="J67" s="163"/>
      <c r="K67" s="163"/>
      <c r="L67" s="428">
        <v>0.02</v>
      </c>
      <c r="M67" s="624" t="s">
        <v>1223</v>
      </c>
      <c r="N67" s="158" t="s">
        <v>700</v>
      </c>
      <c r="O67" s="417" t="s">
        <v>1224</v>
      </c>
      <c r="P67" s="477" t="s">
        <v>1610</v>
      </c>
      <c r="Q67" s="505" t="s">
        <v>1611</v>
      </c>
      <c r="R67" s="506">
        <v>1</v>
      </c>
      <c r="S67" s="106" t="s">
        <v>90</v>
      </c>
      <c r="T67" s="473" t="s">
        <v>1610</v>
      </c>
      <c r="U67" s="180">
        <v>32.479999999999997</v>
      </c>
      <c r="V67" s="430">
        <v>0.15</v>
      </c>
      <c r="W67" s="180">
        <v>27.607999999999997</v>
      </c>
      <c r="X67" s="147"/>
      <c r="Y67" s="165"/>
      <c r="Z67" s="163"/>
      <c r="AA67" s="163"/>
      <c r="AB67" s="428">
        <v>0.02</v>
      </c>
      <c r="AC67" s="41" t="s">
        <v>1223</v>
      </c>
      <c r="AD67" s="42" t="s">
        <v>700</v>
      </c>
      <c r="AE67" s="416" t="s">
        <v>1224</v>
      </c>
    </row>
    <row r="68" spans="1:31" s="90" customFormat="1">
      <c r="A68" s="510" t="s">
        <v>1612</v>
      </c>
      <c r="B68" s="505" t="s">
        <v>1613</v>
      </c>
      <c r="C68" s="512">
        <v>1</v>
      </c>
      <c r="D68" s="592" t="s">
        <v>90</v>
      </c>
      <c r="E68" s="1013">
        <v>49.16</v>
      </c>
      <c r="F68" s="514">
        <f t="shared" si="13"/>
        <v>0.15</v>
      </c>
      <c r="G68" s="180">
        <f t="shared" si="14"/>
        <v>41.786000000000001</v>
      </c>
      <c r="H68" s="531"/>
      <c r="I68" s="532"/>
      <c r="J68" s="532"/>
      <c r="K68" s="532"/>
      <c r="L68" s="513">
        <v>0.01</v>
      </c>
      <c r="M68" s="624" t="s">
        <v>1223</v>
      </c>
      <c r="N68" s="158" t="s">
        <v>700</v>
      </c>
      <c r="O68" s="417" t="s">
        <v>1224</v>
      </c>
      <c r="P68" s="510" t="s">
        <v>1612</v>
      </c>
      <c r="Q68" s="505" t="s">
        <v>1613</v>
      </c>
      <c r="R68" s="512">
        <v>1</v>
      </c>
      <c r="S68" s="515" t="s">
        <v>90</v>
      </c>
      <c r="T68" s="518" t="s">
        <v>1612</v>
      </c>
      <c r="U68" s="180">
        <v>49.16</v>
      </c>
      <c r="V68" s="514">
        <v>0.15</v>
      </c>
      <c r="W68" s="180">
        <v>41.786000000000001</v>
      </c>
      <c r="X68" s="531"/>
      <c r="Y68" s="532"/>
      <c r="Z68" s="532"/>
      <c r="AA68" s="532"/>
      <c r="AB68" s="513">
        <v>0.01</v>
      </c>
      <c r="AC68" s="41" t="s">
        <v>1223</v>
      </c>
      <c r="AD68" s="42" t="s">
        <v>700</v>
      </c>
      <c r="AE68" s="416" t="s">
        <v>1224</v>
      </c>
    </row>
    <row r="69" spans="1:31" s="90" customFormat="1">
      <c r="A69" s="510" t="s">
        <v>1614</v>
      </c>
      <c r="B69" s="505" t="s">
        <v>1615</v>
      </c>
      <c r="C69" s="512">
        <v>1</v>
      </c>
      <c r="D69" s="592" t="s">
        <v>90</v>
      </c>
      <c r="E69" s="1012">
        <v>32.49</v>
      </c>
      <c r="F69" s="514">
        <f t="shared" si="13"/>
        <v>0.15</v>
      </c>
      <c r="G69" s="534">
        <f>E69-(E69*F69)</f>
        <v>27.616500000000002</v>
      </c>
      <c r="H69" s="531"/>
      <c r="I69" s="532"/>
      <c r="J69" s="532"/>
      <c r="K69" s="532"/>
      <c r="L69" s="513">
        <v>0.01</v>
      </c>
      <c r="M69" s="624" t="s">
        <v>1223</v>
      </c>
      <c r="N69" s="158" t="s">
        <v>700</v>
      </c>
      <c r="O69" s="417" t="s">
        <v>1224</v>
      </c>
      <c r="P69" s="510" t="s">
        <v>1614</v>
      </c>
      <c r="Q69" s="505" t="s">
        <v>1615</v>
      </c>
      <c r="R69" s="512">
        <v>1</v>
      </c>
      <c r="S69" s="515" t="s">
        <v>90</v>
      </c>
      <c r="T69" s="518" t="s">
        <v>1614</v>
      </c>
      <c r="U69" s="534">
        <v>32.49</v>
      </c>
      <c r="V69" s="514">
        <v>0.15</v>
      </c>
      <c r="W69" s="534">
        <v>27.616500000000002</v>
      </c>
      <c r="X69" s="531"/>
      <c r="Y69" s="532"/>
      <c r="Z69" s="532"/>
      <c r="AA69" s="532"/>
      <c r="AB69" s="513">
        <v>0.01</v>
      </c>
      <c r="AC69" s="41" t="s">
        <v>1223</v>
      </c>
      <c r="AD69" s="42" t="s">
        <v>700</v>
      </c>
      <c r="AE69" s="416" t="s">
        <v>1224</v>
      </c>
    </row>
    <row r="70" spans="1:31" s="1" customFormat="1">
      <c r="A70" s="477" t="s">
        <v>1616</v>
      </c>
      <c r="B70" s="505" t="s">
        <v>1617</v>
      </c>
      <c r="C70" s="506">
        <v>1</v>
      </c>
      <c r="D70" s="585" t="s">
        <v>90</v>
      </c>
      <c r="E70" s="1012">
        <v>40.82</v>
      </c>
      <c r="F70" s="430">
        <f>rv_apple_acc_ipad</f>
        <v>0.15</v>
      </c>
      <c r="G70" s="534">
        <f>E70-(E70*F70)</f>
        <v>34.697000000000003</v>
      </c>
      <c r="H70" s="147"/>
      <c r="I70" s="163"/>
      <c r="J70" s="163"/>
      <c r="K70" s="163"/>
      <c r="L70" s="428">
        <v>0.02</v>
      </c>
      <c r="M70" s="624" t="s">
        <v>1223</v>
      </c>
      <c r="N70" s="158" t="s">
        <v>700</v>
      </c>
      <c r="O70" s="417" t="s">
        <v>1224</v>
      </c>
      <c r="P70" s="477" t="s">
        <v>1616</v>
      </c>
      <c r="Q70" s="505" t="s">
        <v>1617</v>
      </c>
      <c r="R70" s="506">
        <v>1</v>
      </c>
      <c r="S70" s="106" t="s">
        <v>90</v>
      </c>
      <c r="T70" s="473" t="s">
        <v>1616</v>
      </c>
      <c r="U70" s="534">
        <v>40.82</v>
      </c>
      <c r="V70" s="430">
        <v>0.15</v>
      </c>
      <c r="W70" s="534">
        <v>34.697000000000003</v>
      </c>
      <c r="X70" s="147"/>
      <c r="Y70" s="163"/>
      <c r="Z70" s="163"/>
      <c r="AA70" s="163"/>
      <c r="AB70" s="428">
        <v>0.02</v>
      </c>
      <c r="AC70" s="41" t="s">
        <v>1223</v>
      </c>
      <c r="AD70" s="42" t="s">
        <v>700</v>
      </c>
      <c r="AE70" s="416" t="s">
        <v>1224</v>
      </c>
    </row>
    <row r="71" spans="1:31" s="90" customFormat="1">
      <c r="A71" s="510" t="s">
        <v>1618</v>
      </c>
      <c r="B71" s="505" t="s">
        <v>1619</v>
      </c>
      <c r="C71" s="512">
        <v>1</v>
      </c>
      <c r="D71" s="592" t="s">
        <v>90</v>
      </c>
      <c r="E71" s="1013">
        <v>49.16</v>
      </c>
      <c r="F71" s="514">
        <f t="shared" si="13"/>
        <v>0.15</v>
      </c>
      <c r="G71" s="534">
        <f t="shared" si="14"/>
        <v>41.786000000000001</v>
      </c>
      <c r="H71" s="531"/>
      <c r="I71" s="532"/>
      <c r="J71" s="532"/>
      <c r="K71" s="532"/>
      <c r="L71" s="513">
        <v>0.01</v>
      </c>
      <c r="M71" s="624" t="s">
        <v>1223</v>
      </c>
      <c r="N71" s="158" t="s">
        <v>700</v>
      </c>
      <c r="O71" s="417" t="s">
        <v>1224</v>
      </c>
      <c r="P71" s="510" t="s">
        <v>1618</v>
      </c>
      <c r="Q71" s="505" t="s">
        <v>1619</v>
      </c>
      <c r="R71" s="512">
        <v>1</v>
      </c>
      <c r="S71" s="515" t="s">
        <v>90</v>
      </c>
      <c r="T71" s="518" t="s">
        <v>1618</v>
      </c>
      <c r="U71" s="180">
        <v>49.16</v>
      </c>
      <c r="V71" s="514">
        <v>0.15</v>
      </c>
      <c r="W71" s="534">
        <v>41.786000000000001</v>
      </c>
      <c r="X71" s="531"/>
      <c r="Y71" s="532"/>
      <c r="Z71" s="532"/>
      <c r="AA71" s="532"/>
      <c r="AB71" s="513">
        <v>0.01</v>
      </c>
      <c r="AC71" s="41" t="s">
        <v>1223</v>
      </c>
      <c r="AD71" s="42" t="s">
        <v>700</v>
      </c>
      <c r="AE71" s="416" t="s">
        <v>1224</v>
      </c>
    </row>
    <row r="72" spans="1:31" s="90" customFormat="1">
      <c r="A72" s="510" t="s">
        <v>1620</v>
      </c>
      <c r="B72" s="529" t="s">
        <v>1621</v>
      </c>
      <c r="C72" s="512">
        <v>1</v>
      </c>
      <c r="D72" s="592" t="s">
        <v>90</v>
      </c>
      <c r="E72" s="1012">
        <v>37.479999999999997</v>
      </c>
      <c r="F72" s="514">
        <f>rv_apple_acc_mac</f>
        <v>0.09</v>
      </c>
      <c r="G72" s="534">
        <f t="shared" si="14"/>
        <v>34.1068</v>
      </c>
      <c r="H72" s="531"/>
      <c r="I72" s="532"/>
      <c r="J72" s="532"/>
      <c r="K72" s="532"/>
      <c r="L72" s="513">
        <v>0.02</v>
      </c>
      <c r="M72" s="624" t="s">
        <v>1223</v>
      </c>
      <c r="N72" s="158" t="s">
        <v>700</v>
      </c>
      <c r="O72" s="417" t="s">
        <v>1224</v>
      </c>
      <c r="P72" s="510" t="s">
        <v>1620</v>
      </c>
      <c r="Q72" s="529" t="s">
        <v>1621</v>
      </c>
      <c r="R72" s="512">
        <v>1</v>
      </c>
      <c r="S72" s="515" t="s">
        <v>90</v>
      </c>
      <c r="T72" s="518" t="s">
        <v>1620</v>
      </c>
      <c r="U72" s="534">
        <v>37.479999999999997</v>
      </c>
      <c r="V72" s="514">
        <v>0.09</v>
      </c>
      <c r="W72" s="534">
        <v>34.1068</v>
      </c>
      <c r="X72" s="531"/>
      <c r="Y72" s="532"/>
      <c r="Z72" s="532"/>
      <c r="AA72" s="532"/>
      <c r="AB72" s="513">
        <v>0.02</v>
      </c>
      <c r="AC72" s="41" t="s">
        <v>1223</v>
      </c>
      <c r="AD72" s="42" t="s">
        <v>700</v>
      </c>
      <c r="AE72" s="416" t="s">
        <v>1224</v>
      </c>
    </row>
    <row r="73" spans="1:31" s="90" customFormat="1">
      <c r="A73" s="510" t="s">
        <v>1622</v>
      </c>
      <c r="B73" s="529" t="s">
        <v>1623</v>
      </c>
      <c r="C73" s="512">
        <v>1</v>
      </c>
      <c r="D73" s="592" t="s">
        <v>90</v>
      </c>
      <c r="E73" s="1012">
        <v>29.15</v>
      </c>
      <c r="F73" s="514">
        <f>rv_apple_acc_mac</f>
        <v>0.09</v>
      </c>
      <c r="G73" s="534">
        <f t="shared" si="14"/>
        <v>26.526499999999999</v>
      </c>
      <c r="H73" s="531"/>
      <c r="I73" s="532"/>
      <c r="J73" s="532"/>
      <c r="K73" s="532"/>
      <c r="L73" s="513">
        <v>0.02</v>
      </c>
      <c r="M73" s="624" t="s">
        <v>1223</v>
      </c>
      <c r="N73" s="158" t="s">
        <v>700</v>
      </c>
      <c r="O73" s="417" t="s">
        <v>1224</v>
      </c>
      <c r="P73" s="510" t="s">
        <v>1622</v>
      </c>
      <c r="Q73" s="529" t="s">
        <v>1623</v>
      </c>
      <c r="R73" s="512">
        <v>1</v>
      </c>
      <c r="S73" s="515" t="s">
        <v>90</v>
      </c>
      <c r="T73" s="518" t="s">
        <v>1622</v>
      </c>
      <c r="U73" s="534">
        <v>29.15</v>
      </c>
      <c r="V73" s="514">
        <v>0.09</v>
      </c>
      <c r="W73" s="534">
        <v>26.526499999999999</v>
      </c>
      <c r="X73" s="531"/>
      <c r="Y73" s="532"/>
      <c r="Z73" s="532"/>
      <c r="AA73" s="532"/>
      <c r="AB73" s="513">
        <v>0.02</v>
      </c>
      <c r="AC73" s="41" t="s">
        <v>1223</v>
      </c>
      <c r="AD73" s="42" t="s">
        <v>700</v>
      </c>
      <c r="AE73" s="416" t="s">
        <v>1224</v>
      </c>
    </row>
    <row r="74" spans="1:31" s="90" customFormat="1">
      <c r="A74" s="510" t="s">
        <v>1624</v>
      </c>
      <c r="B74" s="529" t="s">
        <v>1625</v>
      </c>
      <c r="C74" s="512">
        <v>1</v>
      </c>
      <c r="D74" s="592" t="s">
        <v>90</v>
      </c>
      <c r="E74" s="1012">
        <v>20.82</v>
      </c>
      <c r="F74" s="514">
        <f>rv_apple_acc_ipad</f>
        <v>0.15</v>
      </c>
      <c r="G74" s="534">
        <f t="shared" si="14"/>
        <v>17.696999999999999</v>
      </c>
      <c r="H74" s="531"/>
      <c r="I74" s="532"/>
      <c r="J74" s="532"/>
      <c r="K74" s="532"/>
      <c r="L74" s="513">
        <v>0.01</v>
      </c>
      <c r="M74" s="624" t="s">
        <v>1223</v>
      </c>
      <c r="N74" s="158" t="s">
        <v>700</v>
      </c>
      <c r="O74" s="417" t="s">
        <v>1224</v>
      </c>
      <c r="P74" s="510" t="s">
        <v>1624</v>
      </c>
      <c r="Q74" s="529" t="s">
        <v>1625</v>
      </c>
      <c r="R74" s="512">
        <v>1</v>
      </c>
      <c r="S74" s="515" t="s">
        <v>90</v>
      </c>
      <c r="T74" s="518" t="s">
        <v>1624</v>
      </c>
      <c r="U74" s="534">
        <v>20.82</v>
      </c>
      <c r="V74" s="514">
        <v>0.15</v>
      </c>
      <c r="W74" s="534">
        <v>17.696999999999999</v>
      </c>
      <c r="X74" s="531"/>
      <c r="Y74" s="532"/>
      <c r="Z74" s="532"/>
      <c r="AA74" s="532"/>
      <c r="AB74" s="513">
        <v>0.01</v>
      </c>
      <c r="AC74" s="41" t="s">
        <v>1223</v>
      </c>
      <c r="AD74" s="42" t="s">
        <v>700</v>
      </c>
      <c r="AE74" s="416" t="s">
        <v>1224</v>
      </c>
    </row>
    <row r="75" spans="1:31" s="90" customFormat="1">
      <c r="A75" s="510" t="s">
        <v>1626</v>
      </c>
      <c r="B75" s="529" t="s">
        <v>1627</v>
      </c>
      <c r="C75" s="512">
        <v>1</v>
      </c>
      <c r="D75" s="592" t="s">
        <v>90</v>
      </c>
      <c r="E75" s="1012">
        <v>20.82</v>
      </c>
      <c r="F75" s="514">
        <f>rv_apple_acc_mac</f>
        <v>0.09</v>
      </c>
      <c r="G75" s="534">
        <f t="shared" si="14"/>
        <v>18.946200000000001</v>
      </c>
      <c r="H75" s="531"/>
      <c r="I75" s="532"/>
      <c r="J75" s="532"/>
      <c r="K75" s="532"/>
      <c r="L75" s="513">
        <v>0.01</v>
      </c>
      <c r="M75" s="624" t="s">
        <v>1223</v>
      </c>
      <c r="N75" s="158" t="s">
        <v>700</v>
      </c>
      <c r="O75" s="417" t="s">
        <v>1224</v>
      </c>
      <c r="P75" s="510" t="s">
        <v>1626</v>
      </c>
      <c r="Q75" s="529" t="s">
        <v>1627</v>
      </c>
      <c r="R75" s="512">
        <v>1</v>
      </c>
      <c r="S75" s="515" t="s">
        <v>90</v>
      </c>
      <c r="T75" s="518" t="s">
        <v>1626</v>
      </c>
      <c r="U75" s="534">
        <v>20.82</v>
      </c>
      <c r="V75" s="514">
        <v>0.09</v>
      </c>
      <c r="W75" s="534">
        <v>18.946200000000001</v>
      </c>
      <c r="X75" s="531"/>
      <c r="Y75" s="532"/>
      <c r="Z75" s="532"/>
      <c r="AA75" s="532"/>
      <c r="AB75" s="513">
        <v>0.01</v>
      </c>
      <c r="AC75" s="41" t="s">
        <v>1223</v>
      </c>
      <c r="AD75" s="42" t="s">
        <v>700</v>
      </c>
      <c r="AE75" s="416" t="s">
        <v>1224</v>
      </c>
    </row>
    <row r="76" spans="1:31" s="90" customFormat="1">
      <c r="A76" s="510" t="s">
        <v>1628</v>
      </c>
      <c r="B76" s="529" t="s">
        <v>1629</v>
      </c>
      <c r="C76" s="512">
        <v>1</v>
      </c>
      <c r="D76" s="592" t="s">
        <v>90</v>
      </c>
      <c r="E76" s="1010">
        <v>8.32</v>
      </c>
      <c r="F76" s="514">
        <f>rv_apple_acc_ipad</f>
        <v>0.15</v>
      </c>
      <c r="G76" s="534">
        <f t="shared" si="14"/>
        <v>7.0720000000000001</v>
      </c>
      <c r="H76" s="531"/>
      <c r="I76" s="532"/>
      <c r="J76" s="532"/>
      <c r="K76" s="532"/>
      <c r="L76" s="513">
        <v>0.01</v>
      </c>
      <c r="M76" s="624" t="s">
        <v>1223</v>
      </c>
      <c r="N76" s="158" t="s">
        <v>700</v>
      </c>
      <c r="O76" s="417" t="s">
        <v>1224</v>
      </c>
      <c r="P76" s="510" t="s">
        <v>1628</v>
      </c>
      <c r="Q76" s="529" t="s">
        <v>1629</v>
      </c>
      <c r="R76" s="512">
        <v>1</v>
      </c>
      <c r="S76" s="592" t="s">
        <v>90</v>
      </c>
      <c r="T76" s="517" t="s">
        <v>1628</v>
      </c>
      <c r="U76" s="513">
        <v>8.32</v>
      </c>
      <c r="V76" s="514">
        <v>0.15</v>
      </c>
      <c r="W76" s="534">
        <v>7.0720000000000001</v>
      </c>
      <c r="X76" s="531"/>
      <c r="Y76" s="532"/>
      <c r="Z76" s="532"/>
      <c r="AA76" s="532"/>
      <c r="AB76" s="513">
        <v>0.01</v>
      </c>
      <c r="AC76" s="41" t="s">
        <v>1223</v>
      </c>
      <c r="AD76" s="42" t="s">
        <v>700</v>
      </c>
      <c r="AE76" s="416" t="s">
        <v>1224</v>
      </c>
    </row>
    <row r="77" spans="1:31" s="90" customFormat="1">
      <c r="A77" s="510" t="s">
        <v>1630</v>
      </c>
      <c r="B77" s="529" t="s">
        <v>1631</v>
      </c>
      <c r="C77" s="512">
        <v>1</v>
      </c>
      <c r="D77" s="592" t="s">
        <v>90</v>
      </c>
      <c r="E77" s="1012">
        <v>65.81</v>
      </c>
      <c r="F77" s="514">
        <f>rv_apple_acc_mac</f>
        <v>0.09</v>
      </c>
      <c r="G77" s="534">
        <f t="shared" si="14"/>
        <v>59.887100000000004</v>
      </c>
      <c r="H77" s="531"/>
      <c r="I77" s="532"/>
      <c r="J77" s="532"/>
      <c r="K77" s="532"/>
      <c r="L77" s="513">
        <v>0.02</v>
      </c>
      <c r="M77" s="624" t="s">
        <v>1223</v>
      </c>
      <c r="N77" s="158" t="s">
        <v>700</v>
      </c>
      <c r="O77" s="417" t="s">
        <v>1224</v>
      </c>
      <c r="P77" s="510" t="s">
        <v>1630</v>
      </c>
      <c r="Q77" s="529" t="s">
        <v>1631</v>
      </c>
      <c r="R77" s="512">
        <v>1</v>
      </c>
      <c r="S77" s="515" t="s">
        <v>90</v>
      </c>
      <c r="T77" s="518" t="s">
        <v>1630</v>
      </c>
      <c r="U77" s="534">
        <v>65.81</v>
      </c>
      <c r="V77" s="514">
        <v>0.09</v>
      </c>
      <c r="W77" s="534">
        <v>59.887100000000004</v>
      </c>
      <c r="X77" s="531"/>
      <c r="Y77" s="532"/>
      <c r="Z77" s="532"/>
      <c r="AA77" s="532"/>
      <c r="AB77" s="513">
        <v>0.02</v>
      </c>
      <c r="AC77" s="41" t="s">
        <v>1223</v>
      </c>
      <c r="AD77" s="42" t="s">
        <v>700</v>
      </c>
      <c r="AE77" s="416" t="s">
        <v>1224</v>
      </c>
    </row>
    <row r="78" spans="1:31" s="90" customFormat="1">
      <c r="A78" s="510" t="s">
        <v>1632</v>
      </c>
      <c r="B78" s="529" t="s">
        <v>1633</v>
      </c>
      <c r="C78" s="512">
        <v>1</v>
      </c>
      <c r="D78" s="592" t="s">
        <v>90</v>
      </c>
      <c r="E78" s="1012">
        <v>65.81</v>
      </c>
      <c r="F78" s="514">
        <f>rv_apple_acc_mac</f>
        <v>0.09</v>
      </c>
      <c r="G78" s="534">
        <f t="shared" si="14"/>
        <v>59.887100000000004</v>
      </c>
      <c r="H78" s="531"/>
      <c r="I78" s="532"/>
      <c r="J78" s="532"/>
      <c r="K78" s="532"/>
      <c r="L78" s="513">
        <v>0.02</v>
      </c>
      <c r="M78" s="624" t="s">
        <v>1223</v>
      </c>
      <c r="N78" s="158" t="s">
        <v>700</v>
      </c>
      <c r="O78" s="417" t="s">
        <v>1224</v>
      </c>
      <c r="P78" s="510" t="s">
        <v>1632</v>
      </c>
      <c r="Q78" s="529" t="s">
        <v>1633</v>
      </c>
      <c r="R78" s="512">
        <v>1</v>
      </c>
      <c r="S78" s="515" t="s">
        <v>90</v>
      </c>
      <c r="T78" s="518" t="s">
        <v>1632</v>
      </c>
      <c r="U78" s="534">
        <v>65.81</v>
      </c>
      <c r="V78" s="514">
        <v>0.09</v>
      </c>
      <c r="W78" s="534">
        <v>59.887100000000004</v>
      </c>
      <c r="X78" s="531"/>
      <c r="Y78" s="532"/>
      <c r="Z78" s="532"/>
      <c r="AA78" s="532"/>
      <c r="AB78" s="513">
        <v>0.02</v>
      </c>
      <c r="AC78" s="41" t="s">
        <v>1223</v>
      </c>
      <c r="AD78" s="42" t="s">
        <v>700</v>
      </c>
      <c r="AE78" s="416" t="s">
        <v>1224</v>
      </c>
    </row>
    <row r="79" spans="1:31" s="1" customFormat="1">
      <c r="A79" s="477" t="s">
        <v>1634</v>
      </c>
      <c r="B79" s="505" t="s">
        <v>1635</v>
      </c>
      <c r="C79" s="506">
        <v>1</v>
      </c>
      <c r="D79" s="585" t="s">
        <v>90</v>
      </c>
      <c r="E79" s="1013">
        <v>32.49</v>
      </c>
      <c r="F79" s="430">
        <f>rv_apple_acc_ipad</f>
        <v>0.15</v>
      </c>
      <c r="G79" s="180">
        <f t="shared" si="14"/>
        <v>27.616500000000002</v>
      </c>
      <c r="H79" s="147"/>
      <c r="I79" s="163"/>
      <c r="J79" s="163"/>
      <c r="K79" s="163"/>
      <c r="L79" s="429">
        <v>0.01</v>
      </c>
      <c r="M79" s="624" t="s">
        <v>1223</v>
      </c>
      <c r="N79" s="158" t="s">
        <v>700</v>
      </c>
      <c r="O79" s="417" t="s">
        <v>1224</v>
      </c>
      <c r="P79" s="477" t="s">
        <v>1634</v>
      </c>
      <c r="Q79" s="505" t="s">
        <v>1635</v>
      </c>
      <c r="R79" s="506">
        <v>1</v>
      </c>
      <c r="S79" s="106" t="s">
        <v>90</v>
      </c>
      <c r="T79" s="473" t="s">
        <v>1634</v>
      </c>
      <c r="U79" s="180">
        <v>32.49</v>
      </c>
      <c r="V79" s="430">
        <v>0.15</v>
      </c>
      <c r="W79" s="180">
        <v>27.616500000000002</v>
      </c>
      <c r="X79" s="147"/>
      <c r="Y79" s="163"/>
      <c r="Z79" s="163"/>
      <c r="AA79" s="163"/>
      <c r="AB79" s="659">
        <v>0.02</v>
      </c>
      <c r="AC79" s="41" t="s">
        <v>1223</v>
      </c>
      <c r="AD79" s="42" t="s">
        <v>700</v>
      </c>
      <c r="AE79" s="416" t="s">
        <v>1224</v>
      </c>
    </row>
    <row r="80" spans="1:31" s="1" customFormat="1">
      <c r="A80" s="477" t="s">
        <v>1636</v>
      </c>
      <c r="B80" s="505" t="s">
        <v>1637</v>
      </c>
      <c r="C80" s="506">
        <v>1</v>
      </c>
      <c r="D80" s="585" t="s">
        <v>90</v>
      </c>
      <c r="E80" s="1013">
        <v>20.81</v>
      </c>
      <c r="F80" s="430">
        <f>rv_apple_acc_ipad</f>
        <v>0.15</v>
      </c>
      <c r="G80" s="180">
        <f t="shared" si="14"/>
        <v>17.688499999999998</v>
      </c>
      <c r="H80" s="147"/>
      <c r="I80" s="163"/>
      <c r="J80" s="163"/>
      <c r="K80" s="163"/>
      <c r="L80" s="428">
        <v>0.02</v>
      </c>
      <c r="M80" s="624" t="s">
        <v>1223</v>
      </c>
      <c r="N80" s="158" t="s">
        <v>700</v>
      </c>
      <c r="O80" s="417" t="s">
        <v>1224</v>
      </c>
      <c r="P80" s="477" t="s">
        <v>1636</v>
      </c>
      <c r="Q80" s="505" t="s">
        <v>1637</v>
      </c>
      <c r="R80" s="506">
        <v>1</v>
      </c>
      <c r="S80" s="106" t="s">
        <v>90</v>
      </c>
      <c r="T80" s="473" t="s">
        <v>1636</v>
      </c>
      <c r="U80" s="180">
        <v>20.81</v>
      </c>
      <c r="V80" s="430">
        <v>0.15</v>
      </c>
      <c r="W80" s="180">
        <v>17.688499999999998</v>
      </c>
      <c r="X80" s="147"/>
      <c r="Y80" s="163"/>
      <c r="Z80" s="163"/>
      <c r="AA80" s="163"/>
      <c r="AB80" s="428">
        <v>0.02</v>
      </c>
      <c r="AC80" s="41" t="s">
        <v>1223</v>
      </c>
      <c r="AD80" s="42" t="s">
        <v>700</v>
      </c>
      <c r="AE80" s="416" t="s">
        <v>1224</v>
      </c>
    </row>
    <row r="81" spans="1:31" s="90" customFormat="1">
      <c r="A81" s="510" t="s">
        <v>1638</v>
      </c>
      <c r="B81" s="529" t="s">
        <v>1639</v>
      </c>
      <c r="C81" s="512">
        <v>1</v>
      </c>
      <c r="D81" s="592" t="s">
        <v>90</v>
      </c>
      <c r="E81" s="1013">
        <v>29.16</v>
      </c>
      <c r="F81" s="514">
        <f>rv_apple_acc_ipad</f>
        <v>0.15</v>
      </c>
      <c r="G81" s="534">
        <f t="shared" si="14"/>
        <v>24.786000000000001</v>
      </c>
      <c r="H81" s="531"/>
      <c r="I81" s="532"/>
      <c r="J81" s="532"/>
      <c r="K81" s="532"/>
      <c r="L81" s="428">
        <v>0.01</v>
      </c>
      <c r="M81" s="624" t="s">
        <v>1223</v>
      </c>
      <c r="N81" s="158" t="s">
        <v>700</v>
      </c>
      <c r="O81" s="417" t="s">
        <v>1224</v>
      </c>
      <c r="P81" s="510" t="s">
        <v>1638</v>
      </c>
      <c r="Q81" s="529" t="s">
        <v>1639</v>
      </c>
      <c r="R81" s="512">
        <v>1</v>
      </c>
      <c r="S81" s="592" t="s">
        <v>90</v>
      </c>
      <c r="T81" s="517" t="s">
        <v>1638</v>
      </c>
      <c r="U81" s="504">
        <v>29.16</v>
      </c>
      <c r="V81" s="514">
        <v>0.15</v>
      </c>
      <c r="W81" s="534">
        <v>24.786000000000001</v>
      </c>
      <c r="X81" s="531"/>
      <c r="Y81" s="532"/>
      <c r="Z81" s="532"/>
      <c r="AA81" s="532"/>
      <c r="AB81" s="428">
        <v>0.01</v>
      </c>
      <c r="AC81" s="41" t="s">
        <v>1223</v>
      </c>
      <c r="AD81" s="42" t="s">
        <v>700</v>
      </c>
      <c r="AE81" s="416" t="s">
        <v>1224</v>
      </c>
    </row>
    <row r="82" spans="1:31" s="1" customFormat="1">
      <c r="A82" s="477" t="s">
        <v>1640</v>
      </c>
      <c r="B82" s="505" t="s">
        <v>1641</v>
      </c>
      <c r="C82" s="506">
        <v>1</v>
      </c>
      <c r="D82" s="585" t="s">
        <v>90</v>
      </c>
      <c r="E82" s="1013">
        <v>37.49</v>
      </c>
      <c r="F82" s="430">
        <f t="shared" ref="F82:F87" si="15">rv_apple_acc_mac</f>
        <v>0.09</v>
      </c>
      <c r="G82" s="180">
        <f t="shared" si="14"/>
        <v>34.115900000000003</v>
      </c>
      <c r="H82" s="147"/>
      <c r="I82" s="163"/>
      <c r="J82" s="163"/>
      <c r="K82" s="163"/>
      <c r="L82" s="428">
        <v>0.01</v>
      </c>
      <c r="M82" s="624" t="s">
        <v>1223</v>
      </c>
      <c r="N82" s="158" t="s">
        <v>700</v>
      </c>
      <c r="O82" s="417" t="s">
        <v>1224</v>
      </c>
      <c r="P82" s="477" t="s">
        <v>1640</v>
      </c>
      <c r="Q82" s="505" t="s">
        <v>1641</v>
      </c>
      <c r="R82" s="506">
        <v>1</v>
      </c>
      <c r="S82" s="106" t="s">
        <v>90</v>
      </c>
      <c r="T82" s="473" t="s">
        <v>1640</v>
      </c>
      <c r="U82" s="180">
        <v>37.49</v>
      </c>
      <c r="V82" s="430">
        <v>0.09</v>
      </c>
      <c r="W82" s="180">
        <v>34.115900000000003</v>
      </c>
      <c r="X82" s="147"/>
      <c r="Y82" s="163"/>
      <c r="Z82" s="163"/>
      <c r="AA82" s="163"/>
      <c r="AB82" s="428">
        <v>0.01</v>
      </c>
      <c r="AC82" s="41" t="s">
        <v>1223</v>
      </c>
      <c r="AD82" s="42" t="s">
        <v>700</v>
      </c>
      <c r="AE82" s="416" t="s">
        <v>1224</v>
      </c>
    </row>
    <row r="83" spans="1:31" s="90" customFormat="1">
      <c r="A83" s="510" t="s">
        <v>1642</v>
      </c>
      <c r="B83" s="529" t="s">
        <v>1643</v>
      </c>
      <c r="C83" s="512">
        <v>1</v>
      </c>
      <c r="D83" s="592" t="s">
        <v>90</v>
      </c>
      <c r="E83" s="1012">
        <v>45.81</v>
      </c>
      <c r="F83" s="514">
        <f t="shared" si="15"/>
        <v>0.09</v>
      </c>
      <c r="G83" s="534">
        <f t="shared" si="14"/>
        <v>41.687100000000001</v>
      </c>
      <c r="H83" s="531"/>
      <c r="I83" s="532"/>
      <c r="J83" s="532"/>
      <c r="K83" s="532"/>
      <c r="L83" s="513">
        <v>0.02</v>
      </c>
      <c r="M83" s="624" t="s">
        <v>1223</v>
      </c>
      <c r="N83" s="158" t="s">
        <v>700</v>
      </c>
      <c r="O83" s="417" t="s">
        <v>1224</v>
      </c>
      <c r="P83" s="510" t="s">
        <v>1642</v>
      </c>
      <c r="Q83" s="529" t="s">
        <v>1643</v>
      </c>
      <c r="R83" s="512">
        <v>1</v>
      </c>
      <c r="S83" s="515" t="s">
        <v>90</v>
      </c>
      <c r="T83" s="518" t="s">
        <v>1642</v>
      </c>
      <c r="U83" s="534">
        <v>45.81</v>
      </c>
      <c r="V83" s="514">
        <v>0.09</v>
      </c>
      <c r="W83" s="534">
        <v>41.687100000000001</v>
      </c>
      <c r="X83" s="531"/>
      <c r="Y83" s="532"/>
      <c r="Z83" s="532"/>
      <c r="AA83" s="532"/>
      <c r="AB83" s="513">
        <v>0.02</v>
      </c>
      <c r="AC83" s="41" t="s">
        <v>1223</v>
      </c>
      <c r="AD83" s="42" t="s">
        <v>700</v>
      </c>
      <c r="AE83" s="416" t="s">
        <v>1224</v>
      </c>
    </row>
    <row r="84" spans="1:31" s="90" customFormat="1">
      <c r="A84" s="510" t="s">
        <v>1644</v>
      </c>
      <c r="B84" s="529" t="s">
        <v>1631</v>
      </c>
      <c r="C84" s="512">
        <v>1</v>
      </c>
      <c r="D84" s="592" t="s">
        <v>90</v>
      </c>
      <c r="E84" s="1012">
        <v>65.81</v>
      </c>
      <c r="F84" s="514">
        <f t="shared" si="15"/>
        <v>0.09</v>
      </c>
      <c r="G84" s="534">
        <f t="shared" si="14"/>
        <v>59.887100000000004</v>
      </c>
      <c r="H84" s="531"/>
      <c r="I84" s="532"/>
      <c r="J84" s="532"/>
      <c r="K84" s="532"/>
      <c r="L84" s="513">
        <v>0.02</v>
      </c>
      <c r="M84" s="624" t="s">
        <v>1223</v>
      </c>
      <c r="N84" s="158" t="s">
        <v>700</v>
      </c>
      <c r="O84" s="417" t="s">
        <v>1224</v>
      </c>
      <c r="P84" s="510" t="s">
        <v>1644</v>
      </c>
      <c r="Q84" s="529" t="s">
        <v>1631</v>
      </c>
      <c r="R84" s="512">
        <v>1</v>
      </c>
      <c r="S84" s="592" t="s">
        <v>90</v>
      </c>
      <c r="T84" s="518" t="s">
        <v>1644</v>
      </c>
      <c r="U84" s="530">
        <v>65.81</v>
      </c>
      <c r="V84" s="514">
        <v>0.09</v>
      </c>
      <c r="W84" s="534">
        <v>59.887100000000004</v>
      </c>
      <c r="X84" s="531"/>
      <c r="Y84" s="532"/>
      <c r="Z84" s="532"/>
      <c r="AA84" s="532"/>
      <c r="AB84" s="513">
        <v>0.02</v>
      </c>
      <c r="AC84" s="41" t="s">
        <v>1223</v>
      </c>
      <c r="AD84" s="42" t="s">
        <v>700</v>
      </c>
      <c r="AE84" s="416" t="s">
        <v>1224</v>
      </c>
    </row>
    <row r="85" spans="1:31" s="90" customFormat="1">
      <c r="A85" s="510" t="s">
        <v>1645</v>
      </c>
      <c r="B85" s="505" t="s">
        <v>1646</v>
      </c>
      <c r="C85" s="512">
        <v>1</v>
      </c>
      <c r="D85" s="592" t="s">
        <v>90</v>
      </c>
      <c r="E85" s="1013">
        <v>32.450000000000003</v>
      </c>
      <c r="F85" s="430">
        <f>rv_apple_acc_ipad</f>
        <v>0.15</v>
      </c>
      <c r="G85" s="180">
        <f t="shared" si="14"/>
        <v>27.582500000000003</v>
      </c>
      <c r="H85" s="531"/>
      <c r="I85" s="532"/>
      <c r="J85" s="532"/>
      <c r="K85" s="532"/>
      <c r="L85" s="428">
        <v>0.05</v>
      </c>
      <c r="M85" s="624" t="s">
        <v>1223</v>
      </c>
      <c r="N85" s="158" t="s">
        <v>700</v>
      </c>
      <c r="O85" s="417" t="s">
        <v>1224</v>
      </c>
      <c r="P85" s="510" t="s">
        <v>1645</v>
      </c>
      <c r="Q85" s="505" t="s">
        <v>1646</v>
      </c>
      <c r="R85" s="512">
        <v>1</v>
      </c>
      <c r="S85" s="592" t="s">
        <v>90</v>
      </c>
      <c r="T85" s="518" t="s">
        <v>1645</v>
      </c>
      <c r="U85" s="504">
        <v>32.450000000000003</v>
      </c>
      <c r="V85" s="430">
        <v>0.15</v>
      </c>
      <c r="W85" s="180">
        <v>27.582500000000003</v>
      </c>
      <c r="X85" s="531"/>
      <c r="Y85" s="532"/>
      <c r="Z85" s="532"/>
      <c r="AA85" s="532"/>
      <c r="AB85" s="428">
        <v>0.05</v>
      </c>
      <c r="AC85" s="41" t="s">
        <v>1223</v>
      </c>
      <c r="AD85" s="42" t="s">
        <v>700</v>
      </c>
      <c r="AE85" s="416" t="s">
        <v>1224</v>
      </c>
    </row>
    <row r="86" spans="1:31" s="90" customFormat="1">
      <c r="A86" s="510" t="s">
        <v>1647</v>
      </c>
      <c r="B86" s="529" t="s">
        <v>1648</v>
      </c>
      <c r="C86" s="512">
        <v>1</v>
      </c>
      <c r="D86" s="592" t="s">
        <v>90</v>
      </c>
      <c r="E86" s="1012">
        <v>74.17</v>
      </c>
      <c r="F86" s="514">
        <f t="shared" si="15"/>
        <v>0.09</v>
      </c>
      <c r="G86" s="534">
        <f t="shared" ref="G86" si="16">E86-(E86*F86)</f>
        <v>67.494699999999995</v>
      </c>
      <c r="H86" s="531"/>
      <c r="I86" s="532"/>
      <c r="J86" s="532"/>
      <c r="K86" s="532"/>
      <c r="L86" s="513">
        <v>0.02</v>
      </c>
      <c r="M86" s="624" t="s">
        <v>1223</v>
      </c>
      <c r="N86" s="158" t="s">
        <v>700</v>
      </c>
      <c r="O86" s="417" t="s">
        <v>1224</v>
      </c>
      <c r="P86" s="510" t="s">
        <v>1647</v>
      </c>
      <c r="Q86" s="529" t="s">
        <v>1648</v>
      </c>
      <c r="R86" s="512">
        <v>1</v>
      </c>
      <c r="S86" s="592" t="s">
        <v>90</v>
      </c>
      <c r="T86" s="517" t="s">
        <v>1647</v>
      </c>
      <c r="U86" s="530">
        <v>74.17</v>
      </c>
      <c r="V86" s="514">
        <v>0.09</v>
      </c>
      <c r="W86" s="534">
        <v>67.494699999999995</v>
      </c>
      <c r="X86" s="531"/>
      <c r="Y86" s="532"/>
      <c r="Z86" s="532"/>
      <c r="AA86" s="532"/>
      <c r="AB86" s="513">
        <v>0.02</v>
      </c>
      <c r="AC86" s="41" t="s">
        <v>1223</v>
      </c>
      <c r="AD86" s="42" t="s">
        <v>700</v>
      </c>
      <c r="AE86" s="416" t="s">
        <v>1224</v>
      </c>
    </row>
    <row r="87" spans="1:31" s="90" customFormat="1">
      <c r="A87" s="510" t="s">
        <v>1649</v>
      </c>
      <c r="B87" s="529" t="s">
        <v>1650</v>
      </c>
      <c r="C87" s="512">
        <v>1</v>
      </c>
      <c r="D87" s="592" t="s">
        <v>90</v>
      </c>
      <c r="E87" s="1012">
        <v>37.49</v>
      </c>
      <c r="F87" s="514">
        <f t="shared" si="15"/>
        <v>0.09</v>
      </c>
      <c r="G87" s="534">
        <f t="shared" si="14"/>
        <v>34.115900000000003</v>
      </c>
      <c r="H87" s="531"/>
      <c r="I87" s="532"/>
      <c r="J87" s="532"/>
      <c r="K87" s="532"/>
      <c r="L87" s="513">
        <v>0.01</v>
      </c>
      <c r="M87" s="624" t="s">
        <v>1223</v>
      </c>
      <c r="N87" s="158" t="s">
        <v>700</v>
      </c>
      <c r="O87" s="417" t="s">
        <v>1224</v>
      </c>
      <c r="P87" s="510" t="s">
        <v>1649</v>
      </c>
      <c r="Q87" s="529" t="s">
        <v>1650</v>
      </c>
      <c r="R87" s="512">
        <v>1</v>
      </c>
      <c r="S87" s="515" t="s">
        <v>90</v>
      </c>
      <c r="T87" s="518" t="s">
        <v>1649</v>
      </c>
      <c r="U87" s="534">
        <v>37.49</v>
      </c>
      <c r="V87" s="514">
        <v>0.09</v>
      </c>
      <c r="W87" s="534">
        <v>34.115900000000003</v>
      </c>
      <c r="X87" s="531"/>
      <c r="Y87" s="532"/>
      <c r="Z87" s="532"/>
      <c r="AA87" s="532"/>
      <c r="AB87" s="513">
        <v>0.01</v>
      </c>
      <c r="AC87" s="41" t="s">
        <v>1223</v>
      </c>
      <c r="AD87" s="42" t="s">
        <v>700</v>
      </c>
      <c r="AE87" s="416" t="s">
        <v>1224</v>
      </c>
    </row>
    <row r="88" spans="1:31" s="1" customFormat="1" ht="24.95" customHeight="1">
      <c r="A88" s="541" t="s">
        <v>1651</v>
      </c>
      <c r="B88" s="165"/>
      <c r="C88" s="428"/>
      <c r="D88" s="585"/>
      <c r="E88" s="1008"/>
      <c r="F88" s="500"/>
      <c r="G88" s="147"/>
      <c r="H88" s="147"/>
      <c r="I88" s="163"/>
      <c r="J88" s="163"/>
      <c r="K88" s="163"/>
      <c r="L88" s="428"/>
      <c r="M88" s="624"/>
      <c r="N88" s="159"/>
      <c r="O88" s="221"/>
      <c r="P88" s="541" t="s">
        <v>1651</v>
      </c>
      <c r="Q88" s="165"/>
      <c r="R88" s="428"/>
      <c r="S88" s="106"/>
      <c r="T88" s="147"/>
      <c r="U88" s="147"/>
      <c r="V88" s="500"/>
      <c r="W88" s="147"/>
      <c r="X88" s="147"/>
      <c r="Y88" s="163"/>
      <c r="Z88" s="163"/>
      <c r="AA88" s="163"/>
      <c r="AB88" s="428"/>
      <c r="AC88" s="41"/>
      <c r="AD88" s="14"/>
      <c r="AE88" s="157"/>
    </row>
    <row r="89" spans="1:31" s="1" customFormat="1">
      <c r="A89" s="477" t="s">
        <v>1652</v>
      </c>
      <c r="B89" s="505" t="s">
        <v>1653</v>
      </c>
      <c r="C89" s="506">
        <v>1</v>
      </c>
      <c r="D89" s="585" t="s">
        <v>90</v>
      </c>
      <c r="E89" s="1013">
        <v>20.81</v>
      </c>
      <c r="F89" s="430">
        <f>rv_apple_acc_ipad</f>
        <v>0.15</v>
      </c>
      <c r="G89" s="180">
        <f t="shared" ref="G89:G115" si="17">E89-(E89*F89)</f>
        <v>17.688499999999998</v>
      </c>
      <c r="H89" s="147"/>
      <c r="I89" s="163"/>
      <c r="J89" s="163"/>
      <c r="K89" s="163"/>
      <c r="L89" s="428">
        <v>0.02</v>
      </c>
      <c r="M89" s="624" t="s">
        <v>1223</v>
      </c>
      <c r="N89" s="158" t="s">
        <v>700</v>
      </c>
      <c r="O89" s="417" t="s">
        <v>1224</v>
      </c>
      <c r="P89" s="477" t="s">
        <v>1652</v>
      </c>
      <c r="Q89" s="505" t="s">
        <v>1653</v>
      </c>
      <c r="R89" s="506">
        <v>1</v>
      </c>
      <c r="S89" s="106" t="s">
        <v>90</v>
      </c>
      <c r="T89" s="473" t="s">
        <v>1652</v>
      </c>
      <c r="U89" s="180">
        <v>20.81</v>
      </c>
      <c r="V89" s="430">
        <v>0.15</v>
      </c>
      <c r="W89" s="180">
        <v>17.688499999999998</v>
      </c>
      <c r="X89" s="147"/>
      <c r="Y89" s="163"/>
      <c r="Z89" s="163"/>
      <c r="AA89" s="163"/>
      <c r="AB89" s="428">
        <v>0.02</v>
      </c>
      <c r="AC89" s="41" t="s">
        <v>1223</v>
      </c>
      <c r="AD89" s="42" t="s">
        <v>700</v>
      </c>
      <c r="AE89" s="416" t="s">
        <v>1224</v>
      </c>
    </row>
    <row r="90" spans="1:31" s="1" customFormat="1">
      <c r="A90" s="477" t="s">
        <v>1654</v>
      </c>
      <c r="B90" s="505" t="s">
        <v>1655</v>
      </c>
      <c r="C90" s="506">
        <v>1</v>
      </c>
      <c r="D90" s="585" t="s">
        <v>90</v>
      </c>
      <c r="E90" s="1013">
        <v>37.479999999999997</v>
      </c>
      <c r="F90" s="542">
        <f t="shared" ref="F90:F96" si="18">rv_apple_acc_mac</f>
        <v>0.09</v>
      </c>
      <c r="G90" s="180">
        <f t="shared" si="17"/>
        <v>34.1068</v>
      </c>
      <c r="H90" s="147"/>
      <c r="I90" s="163"/>
      <c r="J90" s="163"/>
      <c r="K90" s="163"/>
      <c r="L90" s="428">
        <v>0.02</v>
      </c>
      <c r="M90" s="624" t="s">
        <v>1223</v>
      </c>
      <c r="N90" s="158" t="s">
        <v>700</v>
      </c>
      <c r="O90" s="417" t="s">
        <v>1224</v>
      </c>
      <c r="P90" s="477" t="s">
        <v>1654</v>
      </c>
      <c r="Q90" s="505" t="s">
        <v>1655</v>
      </c>
      <c r="R90" s="506">
        <v>1</v>
      </c>
      <c r="S90" s="106" t="s">
        <v>90</v>
      </c>
      <c r="T90" s="473" t="s">
        <v>1654</v>
      </c>
      <c r="U90" s="180">
        <v>37.479999999999997</v>
      </c>
      <c r="V90" s="542">
        <v>0.09</v>
      </c>
      <c r="W90" s="180">
        <v>34.1068</v>
      </c>
      <c r="X90" s="147"/>
      <c r="Y90" s="163"/>
      <c r="Z90" s="163"/>
      <c r="AA90" s="163"/>
      <c r="AB90" s="428">
        <v>0.02</v>
      </c>
      <c r="AC90" s="41" t="s">
        <v>1223</v>
      </c>
      <c r="AD90" s="42" t="s">
        <v>700</v>
      </c>
      <c r="AE90" s="416" t="s">
        <v>1224</v>
      </c>
    </row>
    <row r="91" spans="1:31" s="1" customFormat="1">
      <c r="A91" s="477" t="s">
        <v>1656</v>
      </c>
      <c r="B91" s="505" t="s">
        <v>1657</v>
      </c>
      <c r="C91" s="506">
        <v>1</v>
      </c>
      <c r="D91" s="585" t="s">
        <v>90</v>
      </c>
      <c r="E91" s="1013">
        <v>54.15</v>
      </c>
      <c r="F91" s="542">
        <f t="shared" si="18"/>
        <v>0.09</v>
      </c>
      <c r="G91" s="180">
        <f t="shared" ref="G91" si="19">E91-(E91*F91)</f>
        <v>49.276499999999999</v>
      </c>
      <c r="H91" s="147"/>
      <c r="I91" s="163"/>
      <c r="J91" s="163"/>
      <c r="K91" s="163"/>
      <c r="L91" s="428">
        <v>0.02</v>
      </c>
      <c r="M91" s="624" t="s">
        <v>1223</v>
      </c>
      <c r="N91" s="158" t="s">
        <v>700</v>
      </c>
      <c r="O91" s="417" t="s">
        <v>1224</v>
      </c>
      <c r="P91" s="477" t="s">
        <v>1656</v>
      </c>
      <c r="Q91" s="505" t="s">
        <v>1657</v>
      </c>
      <c r="R91" s="506">
        <v>1</v>
      </c>
      <c r="S91" s="585" t="s">
        <v>90</v>
      </c>
      <c r="T91" s="508" t="s">
        <v>1656</v>
      </c>
      <c r="U91" s="180">
        <v>54.15</v>
      </c>
      <c r="V91" s="542">
        <v>0.09</v>
      </c>
      <c r="W91" s="180">
        <v>49.276499999999999</v>
      </c>
      <c r="X91" s="147"/>
      <c r="Y91" s="163"/>
      <c r="Z91" s="163"/>
      <c r="AA91" s="163"/>
      <c r="AB91" s="428">
        <v>0.02</v>
      </c>
      <c r="AC91" s="41" t="s">
        <v>1223</v>
      </c>
      <c r="AD91" s="42" t="s">
        <v>700</v>
      </c>
      <c r="AE91" s="416" t="s">
        <v>1224</v>
      </c>
    </row>
    <row r="92" spans="1:31" s="90" customFormat="1">
      <c r="A92" s="477" t="s">
        <v>1658</v>
      </c>
      <c r="B92" s="505" t="s">
        <v>1659</v>
      </c>
      <c r="C92" s="506">
        <v>1</v>
      </c>
      <c r="D92" s="585" t="s">
        <v>90</v>
      </c>
      <c r="E92" s="1014">
        <v>54.15</v>
      </c>
      <c r="F92" s="542">
        <f t="shared" si="18"/>
        <v>0.09</v>
      </c>
      <c r="G92" s="696">
        <f t="shared" si="17"/>
        <v>49.276499999999999</v>
      </c>
      <c r="H92" s="147"/>
      <c r="I92" s="163"/>
      <c r="J92" s="163"/>
      <c r="K92" s="163"/>
      <c r="L92" s="429">
        <v>0.02</v>
      </c>
      <c r="M92" s="624" t="s">
        <v>1223</v>
      </c>
      <c r="N92" s="158" t="s">
        <v>700</v>
      </c>
      <c r="O92" s="417" t="s">
        <v>1224</v>
      </c>
      <c r="P92" s="477" t="s">
        <v>1658</v>
      </c>
      <c r="Q92" s="505" t="s">
        <v>1659</v>
      </c>
      <c r="R92" s="506">
        <v>1</v>
      </c>
      <c r="S92" s="585" t="s">
        <v>90</v>
      </c>
      <c r="T92" s="473" t="s">
        <v>1658</v>
      </c>
      <c r="U92" s="729">
        <v>54.12</v>
      </c>
      <c r="V92" s="542">
        <v>0.09</v>
      </c>
      <c r="W92" s="729">
        <v>49.249199999999995</v>
      </c>
      <c r="X92" s="147"/>
      <c r="Y92" s="163"/>
      <c r="Z92" s="163"/>
      <c r="AA92" s="163"/>
      <c r="AB92" s="659">
        <v>0.05</v>
      </c>
      <c r="AC92" s="41" t="s">
        <v>1223</v>
      </c>
      <c r="AD92" s="42" t="s">
        <v>700</v>
      </c>
      <c r="AE92" s="416" t="s">
        <v>1224</v>
      </c>
    </row>
    <row r="93" spans="1:31" s="1" customFormat="1">
      <c r="A93" s="477" t="s">
        <v>1660</v>
      </c>
      <c r="B93" s="505" t="s">
        <v>1661</v>
      </c>
      <c r="C93" s="506">
        <v>1</v>
      </c>
      <c r="D93" s="585" t="s">
        <v>90</v>
      </c>
      <c r="E93" s="1013">
        <v>70.78</v>
      </c>
      <c r="F93" s="542">
        <f t="shared" si="18"/>
        <v>0.09</v>
      </c>
      <c r="G93" s="180">
        <f t="shared" si="17"/>
        <v>64.409800000000004</v>
      </c>
      <c r="H93" s="147"/>
      <c r="I93" s="163"/>
      <c r="J93" s="163"/>
      <c r="K93" s="163"/>
      <c r="L93" s="428">
        <v>0.05</v>
      </c>
      <c r="M93" s="624" t="s">
        <v>1223</v>
      </c>
      <c r="N93" s="158" t="s">
        <v>700</v>
      </c>
      <c r="O93" s="417" t="s">
        <v>1224</v>
      </c>
      <c r="P93" s="477" t="s">
        <v>1660</v>
      </c>
      <c r="Q93" s="505" t="s">
        <v>1661</v>
      </c>
      <c r="R93" s="506">
        <v>1</v>
      </c>
      <c r="S93" s="106" t="s">
        <v>90</v>
      </c>
      <c r="T93" s="473" t="s">
        <v>1660</v>
      </c>
      <c r="U93" s="180">
        <v>70.78</v>
      </c>
      <c r="V93" s="542">
        <v>0.09</v>
      </c>
      <c r="W93" s="180">
        <v>64.409800000000004</v>
      </c>
      <c r="X93" s="147"/>
      <c r="Y93" s="163"/>
      <c r="Z93" s="163"/>
      <c r="AA93" s="163"/>
      <c r="AB93" s="428">
        <v>0.05</v>
      </c>
      <c r="AC93" s="41" t="s">
        <v>1223</v>
      </c>
      <c r="AD93" s="42" t="s">
        <v>700</v>
      </c>
      <c r="AE93" s="416" t="s">
        <v>1224</v>
      </c>
    </row>
    <row r="94" spans="1:31" s="1" customFormat="1">
      <c r="A94" s="477" t="s">
        <v>1662</v>
      </c>
      <c r="B94" s="505" t="s">
        <v>1663</v>
      </c>
      <c r="C94" s="506">
        <v>1</v>
      </c>
      <c r="D94" s="585" t="s">
        <v>90</v>
      </c>
      <c r="E94" s="1013">
        <v>20.81</v>
      </c>
      <c r="F94" s="542">
        <f t="shared" si="18"/>
        <v>0.09</v>
      </c>
      <c r="G94" s="180">
        <f t="shared" si="17"/>
        <v>18.937099999999997</v>
      </c>
      <c r="H94" s="147"/>
      <c r="I94" s="163"/>
      <c r="J94" s="163"/>
      <c r="K94" s="163"/>
      <c r="L94" s="428">
        <v>0.02</v>
      </c>
      <c r="M94" s="624" t="s">
        <v>1223</v>
      </c>
      <c r="N94" s="158" t="s">
        <v>700</v>
      </c>
      <c r="O94" s="417" t="s">
        <v>1224</v>
      </c>
      <c r="P94" s="477" t="s">
        <v>1662</v>
      </c>
      <c r="Q94" s="505" t="s">
        <v>1663</v>
      </c>
      <c r="R94" s="506">
        <v>1</v>
      </c>
      <c r="S94" s="106" t="s">
        <v>90</v>
      </c>
      <c r="T94" s="473" t="s">
        <v>1662</v>
      </c>
      <c r="U94" s="180">
        <v>20.81</v>
      </c>
      <c r="V94" s="542">
        <v>0.09</v>
      </c>
      <c r="W94" s="180">
        <v>18.937099999999997</v>
      </c>
      <c r="X94" s="147"/>
      <c r="Y94" s="163"/>
      <c r="Z94" s="163"/>
      <c r="AA94" s="163"/>
      <c r="AB94" s="428">
        <v>0.02</v>
      </c>
      <c r="AC94" s="41" t="s">
        <v>1223</v>
      </c>
      <c r="AD94" s="42" t="s">
        <v>700</v>
      </c>
      <c r="AE94" s="416" t="s">
        <v>1224</v>
      </c>
    </row>
    <row r="95" spans="1:31" s="1" customFormat="1">
      <c r="A95" s="477" t="s">
        <v>1664</v>
      </c>
      <c r="B95" s="505" t="s">
        <v>1665</v>
      </c>
      <c r="C95" s="506">
        <v>1</v>
      </c>
      <c r="D95" s="585" t="s">
        <v>90</v>
      </c>
      <c r="E95" s="1013">
        <v>20.81</v>
      </c>
      <c r="F95" s="542">
        <f t="shared" si="18"/>
        <v>0.09</v>
      </c>
      <c r="G95" s="180">
        <f t="shared" si="17"/>
        <v>18.937099999999997</v>
      </c>
      <c r="H95" s="147"/>
      <c r="I95" s="163"/>
      <c r="J95" s="163"/>
      <c r="K95" s="163"/>
      <c r="L95" s="428">
        <v>0.02</v>
      </c>
      <c r="M95" s="624" t="s">
        <v>1223</v>
      </c>
      <c r="N95" s="158" t="s">
        <v>700</v>
      </c>
      <c r="O95" s="417" t="s">
        <v>1224</v>
      </c>
      <c r="P95" s="477" t="s">
        <v>1664</v>
      </c>
      <c r="Q95" s="505" t="s">
        <v>1665</v>
      </c>
      <c r="R95" s="506">
        <v>1</v>
      </c>
      <c r="S95" s="585" t="s">
        <v>90</v>
      </c>
      <c r="T95" s="508" t="s">
        <v>1664</v>
      </c>
      <c r="U95" s="504">
        <v>20.81</v>
      </c>
      <c r="V95" s="542">
        <v>0.09</v>
      </c>
      <c r="W95" s="180">
        <v>18.937099999999997</v>
      </c>
      <c r="X95" s="147"/>
      <c r="Y95" s="163"/>
      <c r="Z95" s="163"/>
      <c r="AA95" s="163"/>
      <c r="AB95" s="428">
        <v>0.02</v>
      </c>
      <c r="AC95" s="41" t="s">
        <v>1223</v>
      </c>
      <c r="AD95" s="42" t="s">
        <v>700</v>
      </c>
      <c r="AE95" s="416" t="s">
        <v>1224</v>
      </c>
    </row>
    <row r="96" spans="1:31" s="1" customFormat="1">
      <c r="A96" s="477" t="s">
        <v>1666</v>
      </c>
      <c r="B96" s="505" t="s">
        <v>1667</v>
      </c>
      <c r="C96" s="506">
        <v>1</v>
      </c>
      <c r="D96" s="585" t="s">
        <v>90</v>
      </c>
      <c r="E96" s="1013">
        <v>20.82</v>
      </c>
      <c r="F96" s="542">
        <f t="shared" si="18"/>
        <v>0.09</v>
      </c>
      <c r="G96" s="180">
        <f t="shared" si="17"/>
        <v>18.946200000000001</v>
      </c>
      <c r="H96" s="147"/>
      <c r="I96" s="163"/>
      <c r="J96" s="163"/>
      <c r="K96" s="163"/>
      <c r="L96" s="428">
        <v>0.01</v>
      </c>
      <c r="M96" s="624" t="s">
        <v>1223</v>
      </c>
      <c r="N96" s="158" t="s">
        <v>700</v>
      </c>
      <c r="O96" s="417" t="s">
        <v>1224</v>
      </c>
      <c r="P96" s="477" t="s">
        <v>1666</v>
      </c>
      <c r="Q96" s="505" t="s">
        <v>1667</v>
      </c>
      <c r="R96" s="506">
        <v>1</v>
      </c>
      <c r="S96" s="106" t="s">
        <v>90</v>
      </c>
      <c r="T96" s="473" t="s">
        <v>1666</v>
      </c>
      <c r="U96" s="180">
        <v>20.82</v>
      </c>
      <c r="V96" s="542">
        <v>0.09</v>
      </c>
      <c r="W96" s="180">
        <v>18.946200000000001</v>
      </c>
      <c r="X96" s="147"/>
      <c r="Y96" s="163"/>
      <c r="Z96" s="163"/>
      <c r="AA96" s="163"/>
      <c r="AB96" s="428">
        <v>0.01</v>
      </c>
      <c r="AC96" s="41" t="s">
        <v>1223</v>
      </c>
      <c r="AD96" s="42" t="s">
        <v>700</v>
      </c>
      <c r="AE96" s="416" t="s">
        <v>1224</v>
      </c>
    </row>
    <row r="97" spans="1:31" s="1" customFormat="1">
      <c r="A97" s="684" t="s">
        <v>3142</v>
      </c>
      <c r="B97" s="685" t="s">
        <v>3146</v>
      </c>
      <c r="C97" s="686">
        <v>1</v>
      </c>
      <c r="D97" s="693" t="s">
        <v>1670</v>
      </c>
      <c r="E97" s="1016">
        <v>12.42</v>
      </c>
      <c r="F97" s="161">
        <f t="shared" ref="F97:F100" si="20">rv_20</f>
        <v>0.2</v>
      </c>
      <c r="G97" s="268">
        <f t="shared" si="17"/>
        <v>9.9359999999999999</v>
      </c>
      <c r="H97" s="688"/>
      <c r="I97" s="215"/>
      <c r="J97" s="215"/>
      <c r="K97" s="215"/>
      <c r="L97" s="44">
        <v>0.01</v>
      </c>
      <c r="M97" s="624" t="s">
        <v>1223</v>
      </c>
      <c r="N97" s="158" t="s">
        <v>700</v>
      </c>
      <c r="O97" s="417" t="s">
        <v>1224</v>
      </c>
      <c r="P97" s="477"/>
      <c r="Q97" s="505"/>
      <c r="R97" s="506"/>
      <c r="S97" s="106"/>
      <c r="T97" s="473"/>
      <c r="U97" s="180"/>
      <c r="V97" s="542"/>
      <c r="W97" s="180"/>
      <c r="X97" s="147"/>
      <c r="Y97" s="163"/>
      <c r="Z97" s="163"/>
      <c r="AA97" s="163"/>
      <c r="AB97" s="428"/>
      <c r="AC97" s="41"/>
      <c r="AD97" s="42"/>
      <c r="AE97" s="416"/>
    </row>
    <row r="98" spans="1:31" s="1" customFormat="1">
      <c r="A98" s="684" t="s">
        <v>3143</v>
      </c>
      <c r="B98" s="685" t="s">
        <v>3147</v>
      </c>
      <c r="C98" s="686">
        <v>1</v>
      </c>
      <c r="D98" s="693" t="s">
        <v>1670</v>
      </c>
      <c r="E98" s="1016">
        <v>12.42</v>
      </c>
      <c r="F98" s="161">
        <f t="shared" si="20"/>
        <v>0.2</v>
      </c>
      <c r="G98" s="268">
        <f t="shared" ref="G98:G100" si="21">E98-(E98*F98)</f>
        <v>9.9359999999999999</v>
      </c>
      <c r="H98" s="688"/>
      <c r="I98" s="215"/>
      <c r="J98" s="215"/>
      <c r="K98" s="215"/>
      <c r="L98" s="44">
        <v>0.01</v>
      </c>
      <c r="M98" s="624" t="s">
        <v>1223</v>
      </c>
      <c r="N98" s="158" t="s">
        <v>700</v>
      </c>
      <c r="O98" s="417" t="s">
        <v>1224</v>
      </c>
      <c r="P98" s="477"/>
      <c r="Q98" s="505"/>
      <c r="R98" s="506"/>
      <c r="S98" s="106"/>
      <c r="T98" s="473"/>
      <c r="U98" s="180"/>
      <c r="V98" s="542"/>
      <c r="W98" s="180"/>
      <c r="X98" s="147"/>
      <c r="Y98" s="163"/>
      <c r="Z98" s="163"/>
      <c r="AA98" s="163"/>
      <c r="AB98" s="428"/>
      <c r="AC98" s="41"/>
      <c r="AD98" s="42"/>
      <c r="AE98" s="416"/>
    </row>
    <row r="99" spans="1:31" s="1" customFormat="1">
      <c r="A99" s="684" t="s">
        <v>3144</v>
      </c>
      <c r="B99" s="685" t="s">
        <v>3148</v>
      </c>
      <c r="C99" s="686">
        <v>1</v>
      </c>
      <c r="D99" s="693" t="s">
        <v>1670</v>
      </c>
      <c r="E99" s="1016">
        <v>16.579999999999998</v>
      </c>
      <c r="F99" s="161">
        <f t="shared" si="20"/>
        <v>0.2</v>
      </c>
      <c r="G99" s="268">
        <f t="shared" si="21"/>
        <v>13.263999999999999</v>
      </c>
      <c r="H99" s="688"/>
      <c r="I99" s="215"/>
      <c r="J99" s="215"/>
      <c r="K99" s="215"/>
      <c r="L99" s="44">
        <v>0.01</v>
      </c>
      <c r="M99" s="624" t="s">
        <v>1223</v>
      </c>
      <c r="N99" s="158" t="s">
        <v>700</v>
      </c>
      <c r="O99" s="417" t="s">
        <v>1224</v>
      </c>
      <c r="P99" s="477"/>
      <c r="Q99" s="505"/>
      <c r="R99" s="506"/>
      <c r="S99" s="106"/>
      <c r="T99" s="473"/>
      <c r="U99" s="180"/>
      <c r="V99" s="542"/>
      <c r="W99" s="180"/>
      <c r="X99" s="147"/>
      <c r="Y99" s="163"/>
      <c r="Z99" s="163"/>
      <c r="AA99" s="163"/>
      <c r="AB99" s="428"/>
      <c r="AC99" s="41"/>
      <c r="AD99" s="42"/>
      <c r="AE99" s="416"/>
    </row>
    <row r="100" spans="1:31" s="1" customFormat="1">
      <c r="A100" s="684" t="s">
        <v>3145</v>
      </c>
      <c r="B100" s="685" t="s">
        <v>3149</v>
      </c>
      <c r="C100" s="686">
        <v>1</v>
      </c>
      <c r="D100" s="693" t="s">
        <v>1670</v>
      </c>
      <c r="E100" s="1016">
        <v>16.579999999999998</v>
      </c>
      <c r="F100" s="161">
        <f t="shared" si="20"/>
        <v>0.2</v>
      </c>
      <c r="G100" s="268">
        <f t="shared" si="21"/>
        <v>13.263999999999999</v>
      </c>
      <c r="H100" s="688"/>
      <c r="I100" s="215"/>
      <c r="J100" s="215"/>
      <c r="K100" s="215"/>
      <c r="L100" s="44">
        <v>0.01</v>
      </c>
      <c r="M100" s="624" t="s">
        <v>1223</v>
      </c>
      <c r="N100" s="158" t="s">
        <v>700</v>
      </c>
      <c r="O100" s="417" t="s">
        <v>1224</v>
      </c>
      <c r="P100" s="477"/>
      <c r="Q100" s="505"/>
      <c r="R100" s="506"/>
      <c r="S100" s="106"/>
      <c r="T100" s="473"/>
      <c r="U100" s="180"/>
      <c r="V100" s="542"/>
      <c r="W100" s="180"/>
      <c r="X100" s="147"/>
      <c r="Y100" s="163"/>
      <c r="Z100" s="163"/>
      <c r="AA100" s="163"/>
      <c r="AB100" s="428"/>
      <c r="AC100" s="41"/>
      <c r="AD100" s="42"/>
      <c r="AE100" s="416"/>
    </row>
    <row r="101" spans="1:31" s="90" customFormat="1">
      <c r="A101" s="510" t="s">
        <v>1777</v>
      </c>
      <c r="B101" s="529" t="s">
        <v>1778</v>
      </c>
      <c r="C101" s="512">
        <v>1</v>
      </c>
      <c r="D101" s="592" t="s">
        <v>90</v>
      </c>
      <c r="E101" s="1012">
        <v>70.73</v>
      </c>
      <c r="F101" s="564">
        <f t="shared" ref="F101:F172" si="22">rv_apple_acc_mac</f>
        <v>0.09</v>
      </c>
      <c r="G101" s="534">
        <f t="shared" ref="G101:G108" si="23">E101-(E101*F101)</f>
        <v>64.3643</v>
      </c>
      <c r="H101" s="531"/>
      <c r="I101" s="532"/>
      <c r="J101" s="532"/>
      <c r="K101" s="532"/>
      <c r="L101" s="513">
        <v>0.1</v>
      </c>
      <c r="M101" s="624" t="s">
        <v>1223</v>
      </c>
      <c r="N101" s="158" t="s">
        <v>700</v>
      </c>
      <c r="O101" s="417" t="s">
        <v>1224</v>
      </c>
      <c r="P101" s="510" t="s">
        <v>1777</v>
      </c>
      <c r="Q101" s="529" t="s">
        <v>1778</v>
      </c>
      <c r="R101" s="512">
        <v>1</v>
      </c>
      <c r="S101" s="515" t="s">
        <v>90</v>
      </c>
      <c r="T101" s="518" t="s">
        <v>1777</v>
      </c>
      <c r="U101" s="534">
        <v>70.73</v>
      </c>
      <c r="V101" s="564">
        <v>0.09</v>
      </c>
      <c r="W101" s="534">
        <v>64.3643</v>
      </c>
      <c r="X101" s="531"/>
      <c r="Y101" s="532"/>
      <c r="Z101" s="532"/>
      <c r="AA101" s="532"/>
      <c r="AB101" s="513">
        <v>0.1</v>
      </c>
      <c r="AC101" s="41" t="s">
        <v>1223</v>
      </c>
      <c r="AD101" s="42" t="s">
        <v>700</v>
      </c>
      <c r="AE101" s="416" t="s">
        <v>1224</v>
      </c>
    </row>
    <row r="102" spans="1:31" s="90" customFormat="1">
      <c r="A102" s="510" t="s">
        <v>1779</v>
      </c>
      <c r="B102" s="529" t="s">
        <v>1780</v>
      </c>
      <c r="C102" s="512">
        <v>1</v>
      </c>
      <c r="D102" s="592" t="s">
        <v>90</v>
      </c>
      <c r="E102" s="1012">
        <v>70.73</v>
      </c>
      <c r="F102" s="564">
        <f t="shared" si="22"/>
        <v>0.09</v>
      </c>
      <c r="G102" s="534">
        <f t="shared" si="23"/>
        <v>64.3643</v>
      </c>
      <c r="H102" s="531"/>
      <c r="I102" s="532"/>
      <c r="J102" s="532"/>
      <c r="K102" s="532"/>
      <c r="L102" s="513">
        <v>0.1</v>
      </c>
      <c r="M102" s="624" t="s">
        <v>1223</v>
      </c>
      <c r="N102" s="158" t="s">
        <v>700</v>
      </c>
      <c r="O102" s="417" t="s">
        <v>1224</v>
      </c>
      <c r="P102" s="510" t="s">
        <v>1779</v>
      </c>
      <c r="Q102" s="529" t="s">
        <v>1780</v>
      </c>
      <c r="R102" s="512">
        <v>1</v>
      </c>
      <c r="S102" s="515" t="s">
        <v>90</v>
      </c>
      <c r="T102" s="518" t="s">
        <v>1779</v>
      </c>
      <c r="U102" s="534">
        <v>70.73</v>
      </c>
      <c r="V102" s="564">
        <v>0.09</v>
      </c>
      <c r="W102" s="534">
        <v>64.3643</v>
      </c>
      <c r="X102" s="531"/>
      <c r="Y102" s="532"/>
      <c r="Z102" s="532"/>
      <c r="AA102" s="532"/>
      <c r="AB102" s="513">
        <v>0.1</v>
      </c>
      <c r="AC102" s="41" t="s">
        <v>1223</v>
      </c>
      <c r="AD102" s="42" t="s">
        <v>700</v>
      </c>
      <c r="AE102" s="416" t="s">
        <v>1224</v>
      </c>
    </row>
    <row r="103" spans="1:31" s="90" customFormat="1">
      <c r="A103" s="510" t="s">
        <v>1781</v>
      </c>
      <c r="B103" s="529" t="s">
        <v>1782</v>
      </c>
      <c r="C103" s="512">
        <v>1</v>
      </c>
      <c r="D103" s="592" t="s">
        <v>90</v>
      </c>
      <c r="E103" s="1012">
        <v>70.73</v>
      </c>
      <c r="F103" s="564">
        <f t="shared" si="22"/>
        <v>0.09</v>
      </c>
      <c r="G103" s="534">
        <f t="shared" si="23"/>
        <v>64.3643</v>
      </c>
      <c r="H103" s="531"/>
      <c r="I103" s="532"/>
      <c r="J103" s="532"/>
      <c r="K103" s="532"/>
      <c r="L103" s="513">
        <v>0.1</v>
      </c>
      <c r="M103" s="624" t="s">
        <v>1223</v>
      </c>
      <c r="N103" s="158" t="s">
        <v>700</v>
      </c>
      <c r="O103" s="417" t="s">
        <v>1224</v>
      </c>
      <c r="P103" s="510" t="s">
        <v>1781</v>
      </c>
      <c r="Q103" s="529" t="s">
        <v>1782</v>
      </c>
      <c r="R103" s="512">
        <v>1</v>
      </c>
      <c r="S103" s="515" t="s">
        <v>90</v>
      </c>
      <c r="T103" s="518" t="s">
        <v>1781</v>
      </c>
      <c r="U103" s="534">
        <v>70.73</v>
      </c>
      <c r="V103" s="564">
        <v>0.09</v>
      </c>
      <c r="W103" s="534">
        <v>64.3643</v>
      </c>
      <c r="X103" s="531"/>
      <c r="Y103" s="532"/>
      <c r="Z103" s="532"/>
      <c r="AA103" s="532"/>
      <c r="AB103" s="513">
        <v>0.1</v>
      </c>
      <c r="AC103" s="41" t="s">
        <v>1223</v>
      </c>
      <c r="AD103" s="42" t="s">
        <v>700</v>
      </c>
      <c r="AE103" s="416" t="s">
        <v>1224</v>
      </c>
    </row>
    <row r="104" spans="1:31" s="90" customFormat="1">
      <c r="A104" s="510" t="s">
        <v>1783</v>
      </c>
      <c r="B104" s="529" t="s">
        <v>1784</v>
      </c>
      <c r="C104" s="512">
        <v>1</v>
      </c>
      <c r="D104" s="592" t="s">
        <v>90</v>
      </c>
      <c r="E104" s="1012">
        <v>70.81</v>
      </c>
      <c r="F104" s="564">
        <f t="shared" si="22"/>
        <v>0.09</v>
      </c>
      <c r="G104" s="534">
        <f t="shared" si="23"/>
        <v>64.437100000000001</v>
      </c>
      <c r="H104" s="531"/>
      <c r="I104" s="532"/>
      <c r="J104" s="532"/>
      <c r="K104" s="532"/>
      <c r="L104" s="513">
        <v>0.05</v>
      </c>
      <c r="M104" s="624" t="s">
        <v>1223</v>
      </c>
      <c r="N104" s="158" t="s">
        <v>700</v>
      </c>
      <c r="O104" s="417" t="s">
        <v>1224</v>
      </c>
      <c r="P104" s="510" t="s">
        <v>1783</v>
      </c>
      <c r="Q104" s="529" t="s">
        <v>1784</v>
      </c>
      <c r="R104" s="512">
        <v>1</v>
      </c>
      <c r="S104" s="515" t="s">
        <v>90</v>
      </c>
      <c r="T104" s="518" t="s">
        <v>1783</v>
      </c>
      <c r="U104" s="534">
        <v>70.81</v>
      </c>
      <c r="V104" s="564">
        <v>0.09</v>
      </c>
      <c r="W104" s="534">
        <v>64.437100000000001</v>
      </c>
      <c r="X104" s="531"/>
      <c r="Y104" s="532"/>
      <c r="Z104" s="532"/>
      <c r="AA104" s="532"/>
      <c r="AB104" s="513">
        <v>0.05</v>
      </c>
      <c r="AC104" s="41" t="s">
        <v>1223</v>
      </c>
      <c r="AD104" s="42" t="s">
        <v>700</v>
      </c>
      <c r="AE104" s="416" t="s">
        <v>1224</v>
      </c>
    </row>
    <row r="105" spans="1:31" s="90" customFormat="1">
      <c r="A105" s="510" t="s">
        <v>1785</v>
      </c>
      <c r="B105" s="529" t="s">
        <v>1786</v>
      </c>
      <c r="C105" s="512">
        <v>1</v>
      </c>
      <c r="D105" s="592" t="s">
        <v>90</v>
      </c>
      <c r="E105" s="1012">
        <v>70.78</v>
      </c>
      <c r="F105" s="564">
        <f t="shared" si="22"/>
        <v>0.09</v>
      </c>
      <c r="G105" s="534">
        <f t="shared" si="23"/>
        <v>64.409800000000004</v>
      </c>
      <c r="H105" s="531"/>
      <c r="I105" s="532"/>
      <c r="J105" s="532"/>
      <c r="K105" s="532"/>
      <c r="L105" s="513">
        <v>0.05</v>
      </c>
      <c r="M105" s="624" t="s">
        <v>1223</v>
      </c>
      <c r="N105" s="158" t="s">
        <v>700</v>
      </c>
      <c r="O105" s="417" t="s">
        <v>1224</v>
      </c>
      <c r="P105" s="510" t="s">
        <v>1785</v>
      </c>
      <c r="Q105" s="529" t="s">
        <v>1786</v>
      </c>
      <c r="R105" s="512">
        <v>1</v>
      </c>
      <c r="S105" s="515" t="s">
        <v>90</v>
      </c>
      <c r="T105" s="518" t="s">
        <v>1785</v>
      </c>
      <c r="U105" s="534">
        <v>70.78</v>
      </c>
      <c r="V105" s="564">
        <v>0.09</v>
      </c>
      <c r="W105" s="534">
        <v>64.409800000000004</v>
      </c>
      <c r="X105" s="531"/>
      <c r="Y105" s="532"/>
      <c r="Z105" s="532"/>
      <c r="AA105" s="532"/>
      <c r="AB105" s="513">
        <v>0.05</v>
      </c>
      <c r="AC105" s="41" t="s">
        <v>1223</v>
      </c>
      <c r="AD105" s="42" t="s">
        <v>700</v>
      </c>
      <c r="AE105" s="416" t="s">
        <v>1224</v>
      </c>
    </row>
    <row r="106" spans="1:31" s="90" customFormat="1">
      <c r="A106" s="510" t="s">
        <v>1787</v>
      </c>
      <c r="B106" s="529" t="s">
        <v>1788</v>
      </c>
      <c r="C106" s="512">
        <v>1</v>
      </c>
      <c r="D106" s="592" t="s">
        <v>90</v>
      </c>
      <c r="E106" s="1012">
        <v>70.78</v>
      </c>
      <c r="F106" s="564">
        <f t="shared" si="22"/>
        <v>0.09</v>
      </c>
      <c r="G106" s="534">
        <f t="shared" si="23"/>
        <v>64.409800000000004</v>
      </c>
      <c r="H106" s="531"/>
      <c r="I106" s="532"/>
      <c r="J106" s="532"/>
      <c r="K106" s="532"/>
      <c r="L106" s="513">
        <v>0.05</v>
      </c>
      <c r="M106" s="624" t="s">
        <v>1223</v>
      </c>
      <c r="N106" s="158" t="s">
        <v>700</v>
      </c>
      <c r="O106" s="417" t="s">
        <v>1224</v>
      </c>
      <c r="P106" s="510" t="s">
        <v>1787</v>
      </c>
      <c r="Q106" s="529" t="s">
        <v>1788</v>
      </c>
      <c r="R106" s="512">
        <v>1</v>
      </c>
      <c r="S106" s="515" t="s">
        <v>90</v>
      </c>
      <c r="T106" s="518" t="s">
        <v>1787</v>
      </c>
      <c r="U106" s="534">
        <v>70.78</v>
      </c>
      <c r="V106" s="564">
        <v>0.09</v>
      </c>
      <c r="W106" s="534">
        <v>64.409800000000004</v>
      </c>
      <c r="X106" s="531"/>
      <c r="Y106" s="532"/>
      <c r="Z106" s="532"/>
      <c r="AA106" s="532"/>
      <c r="AB106" s="513">
        <v>0.05</v>
      </c>
      <c r="AC106" s="41" t="s">
        <v>1223</v>
      </c>
      <c r="AD106" s="42" t="s">
        <v>700</v>
      </c>
      <c r="AE106" s="416" t="s">
        <v>1224</v>
      </c>
    </row>
    <row r="107" spans="1:31" s="90" customFormat="1">
      <c r="A107" s="510" t="s">
        <v>1797</v>
      </c>
      <c r="B107" s="529" t="s">
        <v>1798</v>
      </c>
      <c r="C107" s="512">
        <v>1</v>
      </c>
      <c r="D107" s="592" t="s">
        <v>90</v>
      </c>
      <c r="E107" s="1012">
        <v>20.81</v>
      </c>
      <c r="F107" s="514">
        <f>rv_apple_acc_ipad</f>
        <v>0.15</v>
      </c>
      <c r="G107" s="534">
        <f t="shared" si="23"/>
        <v>17.688499999999998</v>
      </c>
      <c r="H107" s="531"/>
      <c r="I107" s="532"/>
      <c r="J107" s="532"/>
      <c r="K107" s="532"/>
      <c r="L107" s="513">
        <v>0.02</v>
      </c>
      <c r="M107" s="624" t="s">
        <v>1223</v>
      </c>
      <c r="N107" s="158" t="s">
        <v>700</v>
      </c>
      <c r="O107" s="417" t="s">
        <v>1224</v>
      </c>
      <c r="P107" s="510" t="s">
        <v>1797</v>
      </c>
      <c r="Q107" s="529" t="s">
        <v>1798</v>
      </c>
      <c r="R107" s="512">
        <v>1</v>
      </c>
      <c r="S107" s="515" t="s">
        <v>90</v>
      </c>
      <c r="T107" s="518" t="s">
        <v>1797</v>
      </c>
      <c r="U107" s="534">
        <v>20.81</v>
      </c>
      <c r="V107" s="514">
        <v>0.15</v>
      </c>
      <c r="W107" s="534">
        <v>17.688499999999998</v>
      </c>
      <c r="X107" s="531"/>
      <c r="Y107" s="532"/>
      <c r="Z107" s="532"/>
      <c r="AA107" s="532"/>
      <c r="AB107" s="513">
        <v>0.02</v>
      </c>
      <c r="AC107" s="41" t="s">
        <v>1223</v>
      </c>
      <c r="AD107" s="42" t="s">
        <v>700</v>
      </c>
      <c r="AE107" s="416" t="s">
        <v>1224</v>
      </c>
    </row>
    <row r="108" spans="1:31" s="90" customFormat="1">
      <c r="A108" s="510" t="s">
        <v>1799</v>
      </c>
      <c r="B108" s="529" t="s">
        <v>1800</v>
      </c>
      <c r="C108" s="512">
        <v>1</v>
      </c>
      <c r="D108" s="592" t="s">
        <v>90</v>
      </c>
      <c r="E108" s="1012">
        <v>20.81</v>
      </c>
      <c r="F108" s="514">
        <f>rv_apple_acc_ipad</f>
        <v>0.15</v>
      </c>
      <c r="G108" s="534">
        <f t="shared" si="23"/>
        <v>17.688499999999998</v>
      </c>
      <c r="H108" s="531"/>
      <c r="I108" s="532"/>
      <c r="J108" s="532"/>
      <c r="K108" s="532"/>
      <c r="L108" s="513">
        <v>0.02</v>
      </c>
      <c r="M108" s="624" t="s">
        <v>1223</v>
      </c>
      <c r="N108" s="158" t="s">
        <v>700</v>
      </c>
      <c r="O108" s="417" t="s">
        <v>1224</v>
      </c>
      <c r="P108" s="510" t="s">
        <v>1799</v>
      </c>
      <c r="Q108" s="529" t="s">
        <v>1800</v>
      </c>
      <c r="R108" s="512">
        <v>1</v>
      </c>
      <c r="S108" s="515" t="s">
        <v>90</v>
      </c>
      <c r="T108" s="518" t="s">
        <v>1799</v>
      </c>
      <c r="U108" s="534">
        <v>20.81</v>
      </c>
      <c r="V108" s="514">
        <v>0.15</v>
      </c>
      <c r="W108" s="534">
        <v>17.688499999999998</v>
      </c>
      <c r="X108" s="531"/>
      <c r="Y108" s="532"/>
      <c r="Z108" s="532"/>
      <c r="AA108" s="532"/>
      <c r="AB108" s="513">
        <v>0.02</v>
      </c>
      <c r="AC108" s="41" t="s">
        <v>1223</v>
      </c>
      <c r="AD108" s="42" t="s">
        <v>700</v>
      </c>
      <c r="AE108" s="416" t="s">
        <v>1224</v>
      </c>
    </row>
    <row r="109" spans="1:31" s="90" customFormat="1">
      <c r="A109" s="477" t="s">
        <v>1658</v>
      </c>
      <c r="B109" s="505" t="s">
        <v>1789</v>
      </c>
      <c r="C109" s="506">
        <v>1</v>
      </c>
      <c r="D109" s="585" t="s">
        <v>90</v>
      </c>
      <c r="E109" s="1013">
        <v>54.17</v>
      </c>
      <c r="F109" s="542">
        <f t="shared" si="22"/>
        <v>0.09</v>
      </c>
      <c r="G109" s="180">
        <f t="shared" ref="G109:G110" si="24">E109-(E109*F109)</f>
        <v>49.294699999999999</v>
      </c>
      <c r="H109" s="531"/>
      <c r="I109" s="532"/>
      <c r="J109" s="532"/>
      <c r="K109" s="532"/>
      <c r="L109" s="513">
        <v>0.05</v>
      </c>
      <c r="M109" s="624" t="s">
        <v>1223</v>
      </c>
      <c r="N109" s="158" t="s">
        <v>700</v>
      </c>
      <c r="O109" s="417" t="s">
        <v>1224</v>
      </c>
      <c r="P109" s="477" t="s">
        <v>1658</v>
      </c>
      <c r="Q109" s="505" t="s">
        <v>1789</v>
      </c>
      <c r="R109" s="506">
        <v>1</v>
      </c>
      <c r="S109" s="106" t="s">
        <v>90</v>
      </c>
      <c r="T109" s="508" t="s">
        <v>1658</v>
      </c>
      <c r="U109" s="504">
        <v>54.17</v>
      </c>
      <c r="V109" s="542">
        <v>0.09</v>
      </c>
      <c r="W109" s="180">
        <v>49.294699999999999</v>
      </c>
      <c r="X109" s="531"/>
      <c r="Y109" s="532"/>
      <c r="Z109" s="532"/>
      <c r="AA109" s="532"/>
      <c r="AB109" s="513">
        <v>0.05</v>
      </c>
      <c r="AC109" s="41" t="s">
        <v>1223</v>
      </c>
      <c r="AD109" s="42" t="s">
        <v>700</v>
      </c>
      <c r="AE109" s="416" t="s">
        <v>1224</v>
      </c>
    </row>
    <row r="110" spans="1:31" s="90" customFormat="1">
      <c r="A110" s="565" t="s">
        <v>1660</v>
      </c>
      <c r="B110" s="505" t="s">
        <v>1790</v>
      </c>
      <c r="C110" s="506">
        <v>1</v>
      </c>
      <c r="D110" s="585" t="s">
        <v>90</v>
      </c>
      <c r="E110" s="1013">
        <v>70.83</v>
      </c>
      <c r="F110" s="542">
        <f t="shared" si="22"/>
        <v>0.09</v>
      </c>
      <c r="G110" s="180">
        <f t="shared" si="24"/>
        <v>64.455299999999994</v>
      </c>
      <c r="H110" s="531"/>
      <c r="I110" s="532"/>
      <c r="J110" s="532"/>
      <c r="K110" s="532"/>
      <c r="L110" s="513">
        <v>0.05</v>
      </c>
      <c r="M110" s="624" t="s">
        <v>1223</v>
      </c>
      <c r="N110" s="158" t="s">
        <v>1694</v>
      </c>
      <c r="O110" s="417" t="s">
        <v>1695</v>
      </c>
      <c r="P110" s="565" t="s">
        <v>1660</v>
      </c>
      <c r="Q110" s="505" t="s">
        <v>1790</v>
      </c>
      <c r="R110" s="506">
        <v>1</v>
      </c>
      <c r="S110" s="585" t="s">
        <v>90</v>
      </c>
      <c r="T110" s="473" t="s">
        <v>1660</v>
      </c>
      <c r="U110" s="504">
        <v>70.83</v>
      </c>
      <c r="V110" s="542">
        <v>0.09</v>
      </c>
      <c r="W110" s="180">
        <v>64.455299999999994</v>
      </c>
      <c r="X110" s="531"/>
      <c r="Y110" s="532"/>
      <c r="Z110" s="532"/>
      <c r="AA110" s="532"/>
      <c r="AB110" s="513">
        <v>0.05</v>
      </c>
      <c r="AC110" s="41" t="s">
        <v>1223</v>
      </c>
      <c r="AD110" s="42" t="s">
        <v>1694</v>
      </c>
      <c r="AE110" s="416" t="s">
        <v>1695</v>
      </c>
    </row>
    <row r="111" spans="1:31" s="90" customFormat="1">
      <c r="A111" s="477" t="s">
        <v>1791</v>
      </c>
      <c r="B111" s="505" t="s">
        <v>1792</v>
      </c>
      <c r="C111" s="506">
        <v>1</v>
      </c>
      <c r="D111" s="585" t="s">
        <v>90</v>
      </c>
      <c r="E111" s="1013">
        <v>87.5</v>
      </c>
      <c r="F111" s="542">
        <f t="shared" si="22"/>
        <v>0.09</v>
      </c>
      <c r="G111" s="180">
        <f t="shared" ref="G111" si="25">E111-(E111*F111)</f>
        <v>79.625</v>
      </c>
      <c r="H111" s="531"/>
      <c r="I111" s="532"/>
      <c r="J111" s="532"/>
      <c r="K111" s="532"/>
      <c r="L111" s="513">
        <v>0.05</v>
      </c>
      <c r="M111" s="624" t="s">
        <v>1223</v>
      </c>
      <c r="N111" s="158" t="s">
        <v>700</v>
      </c>
      <c r="O111" s="417" t="s">
        <v>1224</v>
      </c>
      <c r="P111" s="477" t="s">
        <v>1791</v>
      </c>
      <c r="Q111" s="505" t="s">
        <v>1792</v>
      </c>
      <c r="R111" s="506">
        <v>1</v>
      </c>
      <c r="S111" s="585" t="s">
        <v>90</v>
      </c>
      <c r="T111" s="508" t="s">
        <v>1791</v>
      </c>
      <c r="U111" s="504">
        <v>87.5</v>
      </c>
      <c r="V111" s="542">
        <v>0.09</v>
      </c>
      <c r="W111" s="180">
        <v>79.625</v>
      </c>
      <c r="X111" s="531"/>
      <c r="Y111" s="532"/>
      <c r="Z111" s="532"/>
      <c r="AA111" s="532"/>
      <c r="AB111" s="513">
        <v>0.05</v>
      </c>
      <c r="AC111" s="41" t="s">
        <v>1223</v>
      </c>
      <c r="AD111" s="42" t="s">
        <v>700</v>
      </c>
      <c r="AE111" s="416" t="s">
        <v>1224</v>
      </c>
    </row>
    <row r="112" spans="1:31" s="90" customFormat="1">
      <c r="A112" s="510"/>
      <c r="B112" s="529"/>
      <c r="C112" s="512"/>
      <c r="D112" s="592"/>
      <c r="E112" s="1012"/>
      <c r="F112" s="514"/>
      <c r="G112" s="534"/>
      <c r="H112" s="531"/>
      <c r="I112" s="532"/>
      <c r="J112" s="532"/>
      <c r="K112" s="532"/>
      <c r="L112" s="513"/>
      <c r="M112" s="624"/>
      <c r="N112" s="158"/>
      <c r="O112" s="417"/>
      <c r="P112" s="703" t="s">
        <v>1671</v>
      </c>
      <c r="Q112" s="704" t="s">
        <v>1672</v>
      </c>
      <c r="R112" s="705">
        <v>1</v>
      </c>
      <c r="S112" s="701" t="s">
        <v>1670</v>
      </c>
      <c r="T112" s="706" t="s">
        <v>1671</v>
      </c>
      <c r="U112" s="707">
        <v>83.33</v>
      </c>
      <c r="V112" s="708">
        <v>0.2</v>
      </c>
      <c r="W112" s="707">
        <v>66.664000000000001</v>
      </c>
      <c r="X112" s="709"/>
      <c r="Y112" s="710"/>
      <c r="Z112" s="710"/>
      <c r="AA112" s="710"/>
      <c r="AB112" s="711">
        <v>0.01</v>
      </c>
      <c r="AC112" s="660" t="s">
        <v>1223</v>
      </c>
      <c r="AD112" s="661" t="s">
        <v>700</v>
      </c>
      <c r="AE112" s="662" t="s">
        <v>1224</v>
      </c>
    </row>
    <row r="113" spans="1:31" s="90" customFormat="1">
      <c r="A113" s="477" t="s">
        <v>1673</v>
      </c>
      <c r="B113" s="697" t="s">
        <v>3109</v>
      </c>
      <c r="C113" s="506">
        <v>1</v>
      </c>
      <c r="D113" s="585" t="s">
        <v>1670</v>
      </c>
      <c r="E113" s="1013">
        <v>74.989999999999995</v>
      </c>
      <c r="F113" s="430">
        <f t="shared" ref="F113:F231" si="26">rv_20</f>
        <v>0.2</v>
      </c>
      <c r="G113" s="180">
        <f t="shared" si="17"/>
        <v>59.991999999999997</v>
      </c>
      <c r="H113" s="147"/>
      <c r="I113" s="163"/>
      <c r="J113" s="163"/>
      <c r="K113" s="163"/>
      <c r="L113" s="428">
        <v>0.02</v>
      </c>
      <c r="M113" s="624" t="s">
        <v>1223</v>
      </c>
      <c r="N113" s="158" t="s">
        <v>700</v>
      </c>
      <c r="O113" s="417" t="s">
        <v>1224</v>
      </c>
      <c r="P113" s="477" t="s">
        <v>1673</v>
      </c>
      <c r="Q113" s="651" t="s">
        <v>1674</v>
      </c>
      <c r="R113" s="506">
        <v>1</v>
      </c>
      <c r="S113" s="106" t="s">
        <v>1670</v>
      </c>
      <c r="T113" s="473" t="s">
        <v>1673</v>
      </c>
      <c r="U113" s="180">
        <v>74.989999999999995</v>
      </c>
      <c r="V113" s="430">
        <v>0.2</v>
      </c>
      <c r="W113" s="180">
        <v>59.991999999999997</v>
      </c>
      <c r="X113" s="147"/>
      <c r="Y113" s="163"/>
      <c r="Z113" s="163"/>
      <c r="AA113" s="163"/>
      <c r="AB113" s="428">
        <v>0.02</v>
      </c>
      <c r="AC113" s="41" t="s">
        <v>1223</v>
      </c>
      <c r="AD113" s="42" t="s">
        <v>700</v>
      </c>
      <c r="AE113" s="42" t="s">
        <v>1224</v>
      </c>
    </row>
    <row r="114" spans="1:31" s="90" customFormat="1">
      <c r="A114" s="684" t="s">
        <v>3106</v>
      </c>
      <c r="B114" s="685" t="s">
        <v>3110</v>
      </c>
      <c r="C114" s="686">
        <v>1</v>
      </c>
      <c r="D114" s="693" t="s">
        <v>1670</v>
      </c>
      <c r="E114" s="1016">
        <v>74.989999999999995</v>
      </c>
      <c r="F114" s="161">
        <f t="shared" si="26"/>
        <v>0.2</v>
      </c>
      <c r="G114" s="268">
        <f t="shared" ref="G114" si="27">E114-(E114*F114)</f>
        <v>59.991999999999997</v>
      </c>
      <c r="H114" s="688"/>
      <c r="I114" s="215"/>
      <c r="J114" s="215"/>
      <c r="K114" s="215"/>
      <c r="L114" s="44">
        <v>0.02</v>
      </c>
      <c r="M114" s="624" t="s">
        <v>1223</v>
      </c>
      <c r="N114" s="158" t="s">
        <v>700</v>
      </c>
      <c r="O114" s="417" t="s">
        <v>1224</v>
      </c>
      <c r="P114" s="510"/>
      <c r="Q114" s="529"/>
      <c r="R114" s="512"/>
      <c r="S114" s="515"/>
      <c r="T114" s="518"/>
      <c r="U114" s="534"/>
      <c r="V114" s="514"/>
      <c r="W114" s="534"/>
      <c r="X114" s="531"/>
      <c r="Y114" s="532"/>
      <c r="Z114" s="532"/>
      <c r="AA114" s="532"/>
      <c r="AB114" s="513"/>
      <c r="AC114" s="41"/>
      <c r="AD114" s="42"/>
      <c r="AE114" s="416"/>
    </row>
    <row r="115" spans="1:31" s="90" customFormat="1">
      <c r="A115" s="684" t="s">
        <v>3108</v>
      </c>
      <c r="B115" s="685" t="s">
        <v>3114</v>
      </c>
      <c r="C115" s="686">
        <v>1</v>
      </c>
      <c r="D115" s="693" t="s">
        <v>1670</v>
      </c>
      <c r="E115" s="1016">
        <v>39.99</v>
      </c>
      <c r="F115" s="161">
        <f t="shared" si="26"/>
        <v>0.2</v>
      </c>
      <c r="G115" s="268">
        <f t="shared" si="17"/>
        <v>31.992000000000001</v>
      </c>
      <c r="H115" s="688"/>
      <c r="I115" s="215"/>
      <c r="J115" s="215"/>
      <c r="K115" s="215"/>
      <c r="L115" s="44">
        <v>0.02</v>
      </c>
      <c r="M115" s="624" t="s">
        <v>1223</v>
      </c>
      <c r="N115" s="158" t="s">
        <v>700</v>
      </c>
      <c r="O115" s="417" t="s">
        <v>1224</v>
      </c>
      <c r="P115" s="477"/>
      <c r="Q115" s="505"/>
      <c r="R115" s="506"/>
      <c r="S115" s="106"/>
      <c r="T115" s="473"/>
      <c r="U115" s="180"/>
      <c r="V115" s="430"/>
      <c r="W115" s="180"/>
      <c r="X115" s="147"/>
      <c r="Y115" s="163"/>
      <c r="Z115" s="163"/>
      <c r="AA115" s="163"/>
      <c r="AB115" s="428"/>
      <c r="AC115" s="41"/>
      <c r="AD115" s="42"/>
      <c r="AE115" s="42"/>
    </row>
    <row r="116" spans="1:31" s="90" customFormat="1">
      <c r="A116" s="684" t="s">
        <v>3111</v>
      </c>
      <c r="B116" s="685" t="s">
        <v>3115</v>
      </c>
      <c r="C116" s="686">
        <v>1</v>
      </c>
      <c r="D116" s="693" t="s">
        <v>1670</v>
      </c>
      <c r="E116" s="1016">
        <v>39.99</v>
      </c>
      <c r="F116" s="161">
        <f t="shared" si="26"/>
        <v>0.2</v>
      </c>
      <c r="G116" s="268">
        <f t="shared" ref="G116" si="28">E116-(E116*F116)</f>
        <v>31.992000000000001</v>
      </c>
      <c r="H116" s="688"/>
      <c r="I116" s="215"/>
      <c r="J116" s="215"/>
      <c r="K116" s="215"/>
      <c r="L116" s="44">
        <v>0.02</v>
      </c>
      <c r="M116" s="624" t="s">
        <v>1223</v>
      </c>
      <c r="N116" s="158" t="s">
        <v>700</v>
      </c>
      <c r="O116" s="417" t="s">
        <v>1224</v>
      </c>
      <c r="P116" s="477"/>
      <c r="Q116" s="505"/>
      <c r="R116" s="506"/>
      <c r="S116" s="106"/>
      <c r="T116" s="473"/>
      <c r="U116" s="180"/>
      <c r="V116" s="430"/>
      <c r="W116" s="180"/>
      <c r="X116" s="147"/>
      <c r="Y116" s="163"/>
      <c r="Z116" s="163"/>
      <c r="AA116" s="163"/>
      <c r="AB116" s="428"/>
      <c r="AC116" s="41"/>
      <c r="AD116" s="42"/>
      <c r="AE116" s="42"/>
    </row>
    <row r="117" spans="1:31" s="90" customFormat="1">
      <c r="A117" s="684" t="s">
        <v>3112</v>
      </c>
      <c r="B117" s="685" t="s">
        <v>3117</v>
      </c>
      <c r="C117" s="686">
        <v>1</v>
      </c>
      <c r="D117" s="693" t="s">
        <v>1670</v>
      </c>
      <c r="E117" s="1016">
        <v>41.66</v>
      </c>
      <c r="F117" s="161">
        <f t="shared" si="26"/>
        <v>0.2</v>
      </c>
      <c r="G117" s="268">
        <f t="shared" ref="G117:G118" si="29">E117-(E117*F117)</f>
        <v>33.327999999999996</v>
      </c>
      <c r="H117" s="688"/>
      <c r="I117" s="215"/>
      <c r="J117" s="215"/>
      <c r="K117" s="215"/>
      <c r="L117" s="44">
        <v>0.02</v>
      </c>
      <c r="M117" s="624" t="s">
        <v>1223</v>
      </c>
      <c r="N117" s="158" t="s">
        <v>700</v>
      </c>
      <c r="O117" s="417" t="s">
        <v>1224</v>
      </c>
      <c r="P117" s="477"/>
      <c r="Q117" s="505"/>
      <c r="R117" s="506"/>
      <c r="S117" s="106"/>
      <c r="T117" s="473"/>
      <c r="U117" s="180"/>
      <c r="V117" s="430"/>
      <c r="W117" s="180"/>
      <c r="X117" s="147"/>
      <c r="Y117" s="163"/>
      <c r="Z117" s="163"/>
      <c r="AA117" s="163"/>
      <c r="AB117" s="428"/>
      <c r="AC117" s="41"/>
      <c r="AD117" s="42"/>
      <c r="AE117" s="42"/>
    </row>
    <row r="118" spans="1:31" s="90" customFormat="1">
      <c r="A118" s="684" t="s">
        <v>3113</v>
      </c>
      <c r="B118" s="685" t="s">
        <v>3116</v>
      </c>
      <c r="C118" s="686">
        <v>1</v>
      </c>
      <c r="D118" s="693" t="s">
        <v>1670</v>
      </c>
      <c r="E118" s="1016">
        <v>41.66</v>
      </c>
      <c r="F118" s="161">
        <f t="shared" si="26"/>
        <v>0.2</v>
      </c>
      <c r="G118" s="268">
        <f t="shared" si="29"/>
        <v>33.327999999999996</v>
      </c>
      <c r="H118" s="688"/>
      <c r="I118" s="215"/>
      <c r="J118" s="215"/>
      <c r="K118" s="215"/>
      <c r="L118" s="44">
        <v>0.02</v>
      </c>
      <c r="M118" s="624" t="s">
        <v>1223</v>
      </c>
      <c r="N118" s="158" t="s">
        <v>700</v>
      </c>
      <c r="O118" s="417" t="s">
        <v>1224</v>
      </c>
      <c r="P118" s="477"/>
      <c r="Q118" s="505"/>
      <c r="R118" s="506"/>
      <c r="S118" s="106"/>
      <c r="T118" s="473"/>
      <c r="U118" s="180"/>
      <c r="V118" s="430"/>
      <c r="W118" s="180"/>
      <c r="X118" s="147"/>
      <c r="Y118" s="163"/>
      <c r="Z118" s="163"/>
      <c r="AA118" s="163"/>
      <c r="AB118" s="428"/>
      <c r="AC118" s="41"/>
      <c r="AD118" s="42"/>
      <c r="AE118" s="42"/>
    </row>
    <row r="119" spans="1:31" s="90" customFormat="1">
      <c r="A119" s="477" t="s">
        <v>1675</v>
      </c>
      <c r="B119" s="505" t="s">
        <v>1676</v>
      </c>
      <c r="C119" s="506">
        <v>1</v>
      </c>
      <c r="D119" s="585" t="s">
        <v>1677</v>
      </c>
      <c r="E119" s="1013">
        <v>108.33</v>
      </c>
      <c r="F119" s="430">
        <f>rv_20</f>
        <v>0.2</v>
      </c>
      <c r="G119" s="180">
        <f>E119-(E119*F119)</f>
        <v>86.664000000000001</v>
      </c>
      <c r="H119" s="147"/>
      <c r="I119" s="163"/>
      <c r="J119" s="163"/>
      <c r="K119" s="163"/>
      <c r="L119" s="428">
        <v>0.02</v>
      </c>
      <c r="M119" s="624" t="s">
        <v>1223</v>
      </c>
      <c r="N119" s="158" t="s">
        <v>700</v>
      </c>
      <c r="O119" s="417" t="s">
        <v>1224</v>
      </c>
      <c r="P119" s="477" t="s">
        <v>1675</v>
      </c>
      <c r="Q119" s="505" t="s">
        <v>1676</v>
      </c>
      <c r="R119" s="506">
        <v>1</v>
      </c>
      <c r="S119" s="106" t="s">
        <v>1677</v>
      </c>
      <c r="T119" s="473" t="s">
        <v>1675</v>
      </c>
      <c r="U119" s="180">
        <v>108.33</v>
      </c>
      <c r="V119" s="430">
        <v>0.2</v>
      </c>
      <c r="W119" s="180">
        <v>86.664000000000001</v>
      </c>
      <c r="X119" s="147"/>
      <c r="Y119" s="163"/>
      <c r="Z119" s="163"/>
      <c r="AA119" s="163"/>
      <c r="AB119" s="428">
        <v>0.02</v>
      </c>
      <c r="AC119" s="41" t="s">
        <v>1223</v>
      </c>
      <c r="AD119" s="42" t="s">
        <v>700</v>
      </c>
      <c r="AE119" s="42" t="s">
        <v>1224</v>
      </c>
    </row>
    <row r="120" spans="1:31" s="90" customFormat="1">
      <c r="A120" s="477" t="s">
        <v>1678</v>
      </c>
      <c r="B120" s="505" t="s">
        <v>1679</v>
      </c>
      <c r="C120" s="506">
        <v>1</v>
      </c>
      <c r="D120" s="585" t="s">
        <v>1677</v>
      </c>
      <c r="E120" s="1013">
        <v>66.66</v>
      </c>
      <c r="F120" s="430">
        <f>rv_20</f>
        <v>0.2</v>
      </c>
      <c r="G120" s="180">
        <f>E120-(E120*F120)</f>
        <v>53.327999999999996</v>
      </c>
      <c r="H120" s="147"/>
      <c r="I120" s="163"/>
      <c r="J120" s="163"/>
      <c r="K120" s="163"/>
      <c r="L120" s="428">
        <v>0.02</v>
      </c>
      <c r="M120" s="624" t="s">
        <v>1223</v>
      </c>
      <c r="N120" s="158" t="s">
        <v>700</v>
      </c>
      <c r="O120" s="417" t="s">
        <v>1224</v>
      </c>
      <c r="P120" s="477" t="s">
        <v>1678</v>
      </c>
      <c r="Q120" s="505" t="s">
        <v>1679</v>
      </c>
      <c r="R120" s="506">
        <v>1</v>
      </c>
      <c r="S120" s="106" t="s">
        <v>1677</v>
      </c>
      <c r="T120" s="473" t="s">
        <v>1678</v>
      </c>
      <c r="U120" s="180">
        <v>66.66</v>
      </c>
      <c r="V120" s="430">
        <v>0.2</v>
      </c>
      <c r="W120" s="180">
        <v>53.327999999999996</v>
      </c>
      <c r="X120" s="147"/>
      <c r="Y120" s="163"/>
      <c r="Z120" s="163"/>
      <c r="AA120" s="163"/>
      <c r="AB120" s="428">
        <v>0.02</v>
      </c>
      <c r="AC120" s="41" t="s">
        <v>1223</v>
      </c>
      <c r="AD120" s="42" t="s">
        <v>700</v>
      </c>
      <c r="AE120" s="42" t="s">
        <v>1224</v>
      </c>
    </row>
    <row r="121" spans="1:31" s="125" customFormat="1" ht="24" customHeight="1">
      <c r="A121" s="543" t="s">
        <v>1688</v>
      </c>
      <c r="B121" s="584"/>
      <c r="C121" s="544"/>
      <c r="D121" s="590"/>
      <c r="E121" s="1013"/>
      <c r="F121" s="546"/>
      <c r="G121" s="180"/>
      <c r="H121" s="547"/>
      <c r="I121" s="548"/>
      <c r="J121" s="548"/>
      <c r="K121" s="548"/>
      <c r="L121" s="504"/>
      <c r="M121" s="624"/>
      <c r="N121" s="159"/>
      <c r="O121" s="221"/>
      <c r="P121" s="543" t="s">
        <v>1688</v>
      </c>
      <c r="Q121" s="584"/>
      <c r="R121" s="544"/>
      <c r="S121" s="180"/>
      <c r="T121" s="545"/>
      <c r="U121" s="180"/>
      <c r="V121" s="546"/>
      <c r="W121" s="180"/>
      <c r="X121" s="547"/>
      <c r="Y121" s="548"/>
      <c r="Z121" s="548"/>
      <c r="AA121" s="548"/>
      <c r="AB121" s="504"/>
      <c r="AC121" s="41"/>
      <c r="AD121" s="14"/>
      <c r="AE121" s="157"/>
    </row>
    <row r="122" spans="1:31" s="1" customFormat="1">
      <c r="A122" s="477" t="s">
        <v>1689</v>
      </c>
      <c r="B122" s="505" t="s">
        <v>1690</v>
      </c>
      <c r="C122" s="506">
        <v>1</v>
      </c>
      <c r="D122" s="585" t="s">
        <v>90</v>
      </c>
      <c r="E122" s="1013">
        <v>62.5</v>
      </c>
      <c r="F122" s="430">
        <f t="shared" ref="F122:F125" si="30">rv_apple_acc_ipad</f>
        <v>0.15</v>
      </c>
      <c r="G122" s="534">
        <f t="shared" ref="G122" si="31">E122-(E122*F122)</f>
        <v>53.125</v>
      </c>
      <c r="H122" s="147"/>
      <c r="I122" s="163"/>
      <c r="J122" s="163"/>
      <c r="K122" s="163"/>
      <c r="L122" s="428">
        <v>0</v>
      </c>
      <c r="M122" s="624" t="s">
        <v>1223</v>
      </c>
      <c r="N122" s="158" t="s">
        <v>700</v>
      </c>
      <c r="O122" s="417" t="s">
        <v>1224</v>
      </c>
      <c r="P122" s="477" t="s">
        <v>1689</v>
      </c>
      <c r="Q122" s="505" t="s">
        <v>1691</v>
      </c>
      <c r="R122" s="506">
        <v>1</v>
      </c>
      <c r="S122" s="106" t="s">
        <v>90</v>
      </c>
      <c r="T122" s="473" t="s">
        <v>1689</v>
      </c>
      <c r="U122" s="180">
        <v>62.5</v>
      </c>
      <c r="V122" s="430">
        <v>0.15</v>
      </c>
      <c r="W122" s="534">
        <v>53.125</v>
      </c>
      <c r="X122" s="147"/>
      <c r="Y122" s="163"/>
      <c r="Z122" s="163"/>
      <c r="AA122" s="163"/>
      <c r="AB122" s="428">
        <v>0</v>
      </c>
      <c r="AC122" s="41" t="s">
        <v>1223</v>
      </c>
      <c r="AD122" s="42" t="s">
        <v>700</v>
      </c>
      <c r="AE122" s="416" t="s">
        <v>1224</v>
      </c>
    </row>
    <row r="123" spans="1:31" s="1" customFormat="1">
      <c r="A123" s="477" t="s">
        <v>1692</v>
      </c>
      <c r="B123" s="505" t="s">
        <v>1693</v>
      </c>
      <c r="C123" s="506">
        <v>1</v>
      </c>
      <c r="D123" s="585" t="s">
        <v>90</v>
      </c>
      <c r="E123" s="1013">
        <v>49.17</v>
      </c>
      <c r="F123" s="430">
        <f t="shared" si="30"/>
        <v>0.15</v>
      </c>
      <c r="G123" s="180">
        <f>E123-(E123*F123)</f>
        <v>41.794499999999999</v>
      </c>
      <c r="H123" s="147"/>
      <c r="I123" s="163"/>
      <c r="J123" s="163"/>
      <c r="K123" s="163"/>
      <c r="L123" s="428">
        <v>0</v>
      </c>
      <c r="M123" s="624" t="s">
        <v>1223</v>
      </c>
      <c r="N123" s="158" t="s">
        <v>1694</v>
      </c>
      <c r="O123" s="417" t="s">
        <v>1695</v>
      </c>
      <c r="P123" s="477" t="s">
        <v>1692</v>
      </c>
      <c r="Q123" s="505" t="s">
        <v>1693</v>
      </c>
      <c r="R123" s="506">
        <v>1</v>
      </c>
      <c r="S123" s="106" t="s">
        <v>90</v>
      </c>
      <c r="T123" s="473" t="s">
        <v>1692</v>
      </c>
      <c r="U123" s="180">
        <v>49.17</v>
      </c>
      <c r="V123" s="430">
        <v>0.15</v>
      </c>
      <c r="W123" s="180">
        <v>41.794499999999999</v>
      </c>
      <c r="X123" s="147"/>
      <c r="Y123" s="163"/>
      <c r="Z123" s="163"/>
      <c r="AA123" s="163"/>
      <c r="AB123" s="428">
        <v>0</v>
      </c>
      <c r="AC123" s="41" t="s">
        <v>1223</v>
      </c>
      <c r="AD123" s="42" t="s">
        <v>1694</v>
      </c>
      <c r="AE123" s="416" t="s">
        <v>1695</v>
      </c>
    </row>
    <row r="124" spans="1:31" s="1" customFormat="1">
      <c r="A124" s="477" t="s">
        <v>1696</v>
      </c>
      <c r="B124" s="505" t="s">
        <v>1697</v>
      </c>
      <c r="C124" s="506">
        <v>1</v>
      </c>
      <c r="D124" s="585" t="s">
        <v>90</v>
      </c>
      <c r="E124" s="1012">
        <v>82.5</v>
      </c>
      <c r="F124" s="430">
        <f t="shared" si="30"/>
        <v>0.15</v>
      </c>
      <c r="G124" s="534">
        <f>E124-(E124*F124)</f>
        <v>70.125</v>
      </c>
      <c r="H124" s="147"/>
      <c r="I124" s="163"/>
      <c r="J124" s="163"/>
      <c r="K124" s="163"/>
      <c r="L124" s="428">
        <v>0</v>
      </c>
      <c r="M124" s="624" t="s">
        <v>1223</v>
      </c>
      <c r="N124" s="158" t="s">
        <v>700</v>
      </c>
      <c r="O124" s="417" t="s">
        <v>1224</v>
      </c>
      <c r="P124" s="477" t="s">
        <v>1696</v>
      </c>
      <c r="Q124" s="505" t="s">
        <v>1697</v>
      </c>
      <c r="R124" s="506">
        <v>1</v>
      </c>
      <c r="S124" s="106" t="s">
        <v>90</v>
      </c>
      <c r="T124" s="473" t="s">
        <v>1698</v>
      </c>
      <c r="U124" s="534">
        <v>82.5</v>
      </c>
      <c r="V124" s="430">
        <v>0.15</v>
      </c>
      <c r="W124" s="534">
        <v>70.125</v>
      </c>
      <c r="X124" s="147"/>
      <c r="Y124" s="163"/>
      <c r="Z124" s="163"/>
      <c r="AA124" s="163"/>
      <c r="AB124" s="428">
        <v>0</v>
      </c>
      <c r="AC124" s="41" t="s">
        <v>1223</v>
      </c>
      <c r="AD124" s="42" t="s">
        <v>700</v>
      </c>
      <c r="AE124" s="416" t="s">
        <v>1224</v>
      </c>
    </row>
    <row r="125" spans="1:31" s="1" customFormat="1">
      <c r="A125" s="477" t="s">
        <v>1698</v>
      </c>
      <c r="B125" s="505" t="s">
        <v>3687</v>
      </c>
      <c r="C125" s="506">
        <v>1</v>
      </c>
      <c r="D125" s="585" t="s">
        <v>90</v>
      </c>
      <c r="E125" s="1012">
        <v>82.5</v>
      </c>
      <c r="F125" s="430">
        <f t="shared" si="30"/>
        <v>0.15</v>
      </c>
      <c r="G125" s="534">
        <f>E125-(E125*F125)</f>
        <v>70.125</v>
      </c>
      <c r="H125" s="147"/>
      <c r="I125" s="163"/>
      <c r="J125" s="163"/>
      <c r="K125" s="163"/>
      <c r="L125" s="428">
        <v>0</v>
      </c>
      <c r="M125" s="624" t="s">
        <v>1223</v>
      </c>
      <c r="N125" s="158" t="s">
        <v>700</v>
      </c>
      <c r="O125" s="417" t="s">
        <v>1224</v>
      </c>
      <c r="P125" s="477" t="s">
        <v>1698</v>
      </c>
      <c r="Q125" s="505" t="s">
        <v>1699</v>
      </c>
      <c r="R125" s="506">
        <v>1</v>
      </c>
      <c r="S125" s="106" t="s">
        <v>90</v>
      </c>
      <c r="T125" s="473" t="s">
        <v>1698</v>
      </c>
      <c r="U125" s="534">
        <v>82.5</v>
      </c>
      <c r="V125" s="430">
        <v>0.15</v>
      </c>
      <c r="W125" s="534">
        <v>70.125</v>
      </c>
      <c r="X125" s="147"/>
      <c r="Y125" s="163"/>
      <c r="Z125" s="163"/>
      <c r="AA125" s="163"/>
      <c r="AB125" s="428">
        <v>0</v>
      </c>
      <c r="AC125" s="41" t="s">
        <v>1223</v>
      </c>
      <c r="AD125" s="42" t="s">
        <v>700</v>
      </c>
      <c r="AE125" s="416" t="s">
        <v>1224</v>
      </c>
    </row>
    <row r="126" spans="1:31" s="1" customFormat="1">
      <c r="A126" s="549" t="s">
        <v>1700</v>
      </c>
      <c r="B126" s="550" t="s">
        <v>1701</v>
      </c>
      <c r="C126" s="551">
        <v>1</v>
      </c>
      <c r="D126" s="593" t="s">
        <v>90</v>
      </c>
      <c r="E126" s="1017">
        <v>82.5</v>
      </c>
      <c r="F126" s="555">
        <f t="shared" ref="F126:F131" si="32">rv_apple_acc_ipad</f>
        <v>0.15</v>
      </c>
      <c r="G126" s="554">
        <f t="shared" ref="G126:G127" si="33">E126-(E126*F126)</f>
        <v>70.125</v>
      </c>
      <c r="H126" s="147"/>
      <c r="I126" s="163"/>
      <c r="J126" s="163"/>
      <c r="K126" s="163"/>
      <c r="L126" s="428">
        <v>0</v>
      </c>
      <c r="M126" s="624" t="s">
        <v>1223</v>
      </c>
      <c r="N126" s="158" t="s">
        <v>700</v>
      </c>
      <c r="O126" s="417" t="s">
        <v>1224</v>
      </c>
      <c r="P126" s="549" t="s">
        <v>1700</v>
      </c>
      <c r="Q126" s="550" t="s">
        <v>1701</v>
      </c>
      <c r="R126" s="551">
        <v>1</v>
      </c>
      <c r="S126" s="552" t="s">
        <v>90</v>
      </c>
      <c r="T126" s="553" t="s">
        <v>1700</v>
      </c>
      <c r="U126" s="554">
        <v>82.5</v>
      </c>
      <c r="V126" s="555">
        <v>0.15</v>
      </c>
      <c r="W126" s="554">
        <v>70.125</v>
      </c>
      <c r="X126" s="147"/>
      <c r="Y126" s="163"/>
      <c r="Z126" s="163"/>
      <c r="AA126" s="163"/>
      <c r="AB126" s="428">
        <v>0</v>
      </c>
      <c r="AC126" s="41" t="s">
        <v>1223</v>
      </c>
      <c r="AD126" s="42" t="s">
        <v>700</v>
      </c>
      <c r="AE126" s="416" t="s">
        <v>1224</v>
      </c>
    </row>
    <row r="127" spans="1:31" s="1" customFormat="1">
      <c r="A127" s="549" t="s">
        <v>1702</v>
      </c>
      <c r="B127" s="556" t="s">
        <v>1703</v>
      </c>
      <c r="C127" s="551">
        <v>1</v>
      </c>
      <c r="D127" s="593" t="s">
        <v>90</v>
      </c>
      <c r="E127" s="1017">
        <v>104.17</v>
      </c>
      <c r="F127" s="555">
        <f t="shared" si="32"/>
        <v>0.15</v>
      </c>
      <c r="G127" s="554">
        <f t="shared" si="33"/>
        <v>88.544499999999999</v>
      </c>
      <c r="H127" s="147"/>
      <c r="I127" s="163"/>
      <c r="J127" s="163"/>
      <c r="K127" s="163"/>
      <c r="L127" s="428">
        <v>0</v>
      </c>
      <c r="M127" s="624" t="s">
        <v>1223</v>
      </c>
      <c r="N127" s="158" t="s">
        <v>700</v>
      </c>
      <c r="O127" s="417" t="s">
        <v>1224</v>
      </c>
      <c r="P127" s="549" t="s">
        <v>1702</v>
      </c>
      <c r="Q127" s="556" t="s">
        <v>1703</v>
      </c>
      <c r="R127" s="551">
        <v>1</v>
      </c>
      <c r="S127" s="552" t="s">
        <v>90</v>
      </c>
      <c r="T127" s="553" t="s">
        <v>1702</v>
      </c>
      <c r="U127" s="554">
        <v>104.17</v>
      </c>
      <c r="V127" s="555">
        <v>0.15</v>
      </c>
      <c r="W127" s="554">
        <v>88.544499999999999</v>
      </c>
      <c r="X127" s="147"/>
      <c r="Y127" s="163"/>
      <c r="Z127" s="163"/>
      <c r="AA127" s="163"/>
      <c r="AB127" s="428">
        <v>0</v>
      </c>
      <c r="AC127" s="41" t="s">
        <v>1223</v>
      </c>
      <c r="AD127" s="42" t="s">
        <v>700</v>
      </c>
      <c r="AE127" s="416" t="s">
        <v>1224</v>
      </c>
    </row>
    <row r="128" spans="1:31" s="203" customFormat="1">
      <c r="A128" s="477" t="s">
        <v>1704</v>
      </c>
      <c r="B128" s="550" t="s">
        <v>1705</v>
      </c>
      <c r="C128" s="551">
        <v>1</v>
      </c>
      <c r="D128" s="593" t="s">
        <v>1706</v>
      </c>
      <c r="E128" s="1018">
        <v>30</v>
      </c>
      <c r="F128" s="555">
        <f t="shared" si="32"/>
        <v>0.15</v>
      </c>
      <c r="G128" s="557">
        <f t="shared" ref="G128:G131" si="34">E128-(E128*F128)</f>
        <v>25.5</v>
      </c>
      <c r="H128" s="147"/>
      <c r="I128" s="163"/>
      <c r="J128" s="163"/>
      <c r="K128" s="163"/>
      <c r="L128" s="428">
        <v>0</v>
      </c>
      <c r="M128" s="624" t="s">
        <v>1223</v>
      </c>
      <c r="N128" s="158" t="s">
        <v>700</v>
      </c>
      <c r="O128" s="417" t="s">
        <v>1224</v>
      </c>
      <c r="P128" s="477" t="s">
        <v>1704</v>
      </c>
      <c r="Q128" s="550" t="s">
        <v>1705</v>
      </c>
      <c r="R128" s="551">
        <v>1</v>
      </c>
      <c r="S128" s="593" t="s">
        <v>1706</v>
      </c>
      <c r="T128" s="473" t="s">
        <v>1704</v>
      </c>
      <c r="U128" s="557">
        <v>30</v>
      </c>
      <c r="V128" s="555">
        <v>0.15</v>
      </c>
      <c r="W128" s="557">
        <v>25.5</v>
      </c>
      <c r="X128" s="147"/>
      <c r="Y128" s="163"/>
      <c r="Z128" s="163"/>
      <c r="AA128" s="163"/>
      <c r="AB128" s="428">
        <v>0</v>
      </c>
      <c r="AC128" s="41" t="s">
        <v>1223</v>
      </c>
      <c r="AD128" s="42" t="s">
        <v>700</v>
      </c>
      <c r="AE128" s="416" t="s">
        <v>1224</v>
      </c>
    </row>
    <row r="129" spans="1:31" s="203" customFormat="1" ht="14.1" customHeight="1">
      <c r="A129" s="477" t="s">
        <v>1707</v>
      </c>
      <c r="B129" s="550" t="s">
        <v>1708</v>
      </c>
      <c r="C129" s="558">
        <v>1</v>
      </c>
      <c r="D129" s="559" t="s">
        <v>1706</v>
      </c>
      <c r="E129" s="1018">
        <v>35</v>
      </c>
      <c r="F129" s="555">
        <f t="shared" si="32"/>
        <v>0.15</v>
      </c>
      <c r="G129" s="557">
        <f t="shared" si="34"/>
        <v>29.75</v>
      </c>
      <c r="H129" s="147"/>
      <c r="I129" s="163"/>
      <c r="J129" s="163"/>
      <c r="K129" s="163"/>
      <c r="L129" s="428">
        <v>0</v>
      </c>
      <c r="M129" s="624" t="s">
        <v>1223</v>
      </c>
      <c r="N129" s="158" t="s">
        <v>700</v>
      </c>
      <c r="O129" s="417" t="s">
        <v>1224</v>
      </c>
      <c r="P129" s="477" t="s">
        <v>1707</v>
      </c>
      <c r="Q129" s="550" t="s">
        <v>1708</v>
      </c>
      <c r="R129" s="558">
        <v>1</v>
      </c>
      <c r="S129" s="559" t="s">
        <v>1706</v>
      </c>
      <c r="T129" s="473" t="s">
        <v>1707</v>
      </c>
      <c r="U129" s="557">
        <v>35</v>
      </c>
      <c r="V129" s="555">
        <v>0.15</v>
      </c>
      <c r="W129" s="557">
        <v>29.75</v>
      </c>
      <c r="X129" s="147"/>
      <c r="Y129" s="163"/>
      <c r="Z129" s="163"/>
      <c r="AA129" s="163"/>
      <c r="AB129" s="428">
        <v>0</v>
      </c>
      <c r="AC129" s="41" t="s">
        <v>1223</v>
      </c>
      <c r="AD129" s="42" t="s">
        <v>700</v>
      </c>
      <c r="AE129" s="416" t="s">
        <v>1224</v>
      </c>
    </row>
    <row r="130" spans="1:31" s="203" customFormat="1" ht="14.1" customHeight="1">
      <c r="A130" s="477" t="s">
        <v>1709</v>
      </c>
      <c r="B130" s="550" t="s">
        <v>1710</v>
      </c>
      <c r="C130" s="558">
        <v>1</v>
      </c>
      <c r="D130" s="559" t="s">
        <v>1706</v>
      </c>
      <c r="E130" s="1018">
        <v>32</v>
      </c>
      <c r="F130" s="555">
        <f t="shared" si="32"/>
        <v>0.15</v>
      </c>
      <c r="G130" s="557">
        <f t="shared" si="34"/>
        <v>27.2</v>
      </c>
      <c r="H130" s="147"/>
      <c r="I130" s="163"/>
      <c r="J130" s="163"/>
      <c r="K130" s="163"/>
      <c r="L130" s="428">
        <v>0</v>
      </c>
      <c r="M130" s="624" t="s">
        <v>1223</v>
      </c>
      <c r="N130" s="158" t="s">
        <v>700</v>
      </c>
      <c r="O130" s="417" t="s">
        <v>1224</v>
      </c>
      <c r="P130" s="477" t="s">
        <v>1709</v>
      </c>
      <c r="Q130" s="550" t="s">
        <v>1710</v>
      </c>
      <c r="R130" s="558">
        <v>1</v>
      </c>
      <c r="S130" s="559" t="s">
        <v>1706</v>
      </c>
      <c r="T130" s="473" t="s">
        <v>1709</v>
      </c>
      <c r="U130" s="557">
        <v>32</v>
      </c>
      <c r="V130" s="555">
        <v>0.15</v>
      </c>
      <c r="W130" s="557">
        <v>27.2</v>
      </c>
      <c r="X130" s="147"/>
      <c r="Y130" s="163"/>
      <c r="Z130" s="163"/>
      <c r="AA130" s="163"/>
      <c r="AB130" s="428">
        <v>0</v>
      </c>
      <c r="AC130" s="41" t="s">
        <v>1223</v>
      </c>
      <c r="AD130" s="42" t="s">
        <v>700</v>
      </c>
      <c r="AE130" s="416" t="s">
        <v>1224</v>
      </c>
    </row>
    <row r="131" spans="1:31" s="203" customFormat="1" ht="14.1" customHeight="1">
      <c r="A131" s="477" t="s">
        <v>1711</v>
      </c>
      <c r="B131" s="550" t="s">
        <v>1712</v>
      </c>
      <c r="C131" s="553">
        <v>1</v>
      </c>
      <c r="D131" s="559" t="s">
        <v>1706</v>
      </c>
      <c r="E131" s="1018">
        <v>35</v>
      </c>
      <c r="F131" s="555">
        <f t="shared" si="32"/>
        <v>0.15</v>
      </c>
      <c r="G131" s="557">
        <f t="shared" si="34"/>
        <v>29.75</v>
      </c>
      <c r="H131" s="147"/>
      <c r="I131" s="163"/>
      <c r="J131" s="163"/>
      <c r="K131" s="163"/>
      <c r="L131" s="428">
        <v>0</v>
      </c>
      <c r="M131" s="624" t="s">
        <v>1223</v>
      </c>
      <c r="N131" s="158" t="s">
        <v>700</v>
      </c>
      <c r="O131" s="417" t="s">
        <v>1224</v>
      </c>
      <c r="P131" s="477" t="s">
        <v>1711</v>
      </c>
      <c r="Q131" s="550" t="s">
        <v>1712</v>
      </c>
      <c r="R131" s="553">
        <v>1</v>
      </c>
      <c r="S131" s="559" t="s">
        <v>1706</v>
      </c>
      <c r="T131" s="473" t="s">
        <v>1711</v>
      </c>
      <c r="U131" s="557">
        <v>35</v>
      </c>
      <c r="V131" s="555">
        <v>0.15</v>
      </c>
      <c r="W131" s="557">
        <v>29.75</v>
      </c>
      <c r="X131" s="147"/>
      <c r="Y131" s="163"/>
      <c r="Z131" s="163"/>
      <c r="AA131" s="163"/>
      <c r="AB131" s="428">
        <v>0</v>
      </c>
      <c r="AC131" s="41" t="s">
        <v>1223</v>
      </c>
      <c r="AD131" s="42" t="s">
        <v>700</v>
      </c>
      <c r="AE131" s="416" t="s">
        <v>1224</v>
      </c>
    </row>
    <row r="132" spans="1:31" s="146" customFormat="1">
      <c r="A132" s="560" t="s">
        <v>1713</v>
      </c>
      <c r="B132" s="501" t="s">
        <v>1714</v>
      </c>
      <c r="C132" s="473">
        <v>1</v>
      </c>
      <c r="D132" s="594" t="s">
        <v>1715</v>
      </c>
      <c r="E132" s="1010">
        <v>41.66</v>
      </c>
      <c r="F132" s="430">
        <f t="shared" ref="F132:F149" si="35">rv_20</f>
        <v>0.2</v>
      </c>
      <c r="G132" s="145">
        <f t="shared" ref="G132:G146" si="36">E132-(E132*F132)</f>
        <v>33.327999999999996</v>
      </c>
      <c r="H132" s="145"/>
      <c r="I132" s="503"/>
      <c r="J132" s="503"/>
      <c r="K132" s="503" t="s">
        <v>92</v>
      </c>
      <c r="L132" s="503" t="s">
        <v>92</v>
      </c>
      <c r="M132" s="624" t="s">
        <v>1223</v>
      </c>
      <c r="N132" s="158" t="s">
        <v>700</v>
      </c>
      <c r="O132" s="417" t="s">
        <v>1224</v>
      </c>
      <c r="P132" s="560" t="s">
        <v>1713</v>
      </c>
      <c r="Q132" s="501" t="s">
        <v>1714</v>
      </c>
      <c r="R132" s="473">
        <v>1</v>
      </c>
      <c r="S132" s="594" t="s">
        <v>1715</v>
      </c>
      <c r="T132" s="561" t="s">
        <v>1713</v>
      </c>
      <c r="U132" s="515">
        <v>41.66</v>
      </c>
      <c r="V132" s="430">
        <v>0.2</v>
      </c>
      <c r="W132" s="145">
        <v>33.327999999999996</v>
      </c>
      <c r="X132" s="145"/>
      <c r="Y132" s="503"/>
      <c r="Z132" s="503"/>
      <c r="AA132" s="503" t="s">
        <v>92</v>
      </c>
      <c r="AB132" s="503" t="s">
        <v>92</v>
      </c>
      <c r="AC132" s="41" t="s">
        <v>1223</v>
      </c>
      <c r="AD132" s="42" t="s">
        <v>700</v>
      </c>
      <c r="AE132" s="416" t="s">
        <v>1224</v>
      </c>
    </row>
    <row r="133" spans="1:31" s="146" customFormat="1">
      <c r="A133" s="560" t="s">
        <v>1716</v>
      </c>
      <c r="B133" s="501" t="s">
        <v>1717</v>
      </c>
      <c r="C133" s="473">
        <v>1</v>
      </c>
      <c r="D133" s="594" t="s">
        <v>1715</v>
      </c>
      <c r="E133" s="1010">
        <v>20.83</v>
      </c>
      <c r="F133" s="430">
        <f t="shared" si="35"/>
        <v>0.2</v>
      </c>
      <c r="G133" s="145">
        <f t="shared" si="36"/>
        <v>16.663999999999998</v>
      </c>
      <c r="H133" s="145"/>
      <c r="I133" s="503"/>
      <c r="J133" s="503"/>
      <c r="K133" s="503" t="s">
        <v>92</v>
      </c>
      <c r="L133" s="503" t="s">
        <v>92</v>
      </c>
      <c r="M133" s="624" t="s">
        <v>1223</v>
      </c>
      <c r="N133" s="158" t="s">
        <v>700</v>
      </c>
      <c r="O133" s="417" t="s">
        <v>1224</v>
      </c>
      <c r="P133" s="560" t="s">
        <v>1716</v>
      </c>
      <c r="Q133" s="501" t="s">
        <v>1717</v>
      </c>
      <c r="R133" s="473">
        <v>1</v>
      </c>
      <c r="S133" s="594" t="s">
        <v>1715</v>
      </c>
      <c r="T133" s="561" t="s">
        <v>1716</v>
      </c>
      <c r="U133" s="515">
        <v>20.83</v>
      </c>
      <c r="V133" s="430">
        <v>0.2</v>
      </c>
      <c r="W133" s="145">
        <v>16.663999999999998</v>
      </c>
      <c r="X133" s="145"/>
      <c r="Y133" s="503"/>
      <c r="Z133" s="503"/>
      <c r="AA133" s="503" t="s">
        <v>92</v>
      </c>
      <c r="AB133" s="503" t="s">
        <v>92</v>
      </c>
      <c r="AC133" s="41" t="s">
        <v>1223</v>
      </c>
      <c r="AD133" s="42" t="s">
        <v>700</v>
      </c>
      <c r="AE133" s="416" t="s">
        <v>1224</v>
      </c>
    </row>
    <row r="134" spans="1:31" s="146" customFormat="1">
      <c r="A134" s="560" t="s">
        <v>1718</v>
      </c>
      <c r="B134" s="501" t="s">
        <v>1719</v>
      </c>
      <c r="C134" s="473">
        <v>1</v>
      </c>
      <c r="D134" s="594" t="s">
        <v>1715</v>
      </c>
      <c r="E134" s="1010">
        <v>24.99</v>
      </c>
      <c r="F134" s="430">
        <f t="shared" si="35"/>
        <v>0.2</v>
      </c>
      <c r="G134" s="145">
        <f t="shared" si="36"/>
        <v>19.991999999999997</v>
      </c>
      <c r="H134" s="145"/>
      <c r="I134" s="503"/>
      <c r="J134" s="503"/>
      <c r="K134" s="503" t="s">
        <v>92</v>
      </c>
      <c r="L134" s="503" t="s">
        <v>92</v>
      </c>
      <c r="M134" s="624" t="s">
        <v>1223</v>
      </c>
      <c r="N134" s="158" t="s">
        <v>700</v>
      </c>
      <c r="O134" s="417" t="s">
        <v>1224</v>
      </c>
      <c r="P134" s="560" t="s">
        <v>1718</v>
      </c>
      <c r="Q134" s="501" t="s">
        <v>1719</v>
      </c>
      <c r="R134" s="473">
        <v>1</v>
      </c>
      <c r="S134" s="594" t="s">
        <v>1715</v>
      </c>
      <c r="T134" s="561" t="s">
        <v>1718</v>
      </c>
      <c r="U134" s="515">
        <v>24.99</v>
      </c>
      <c r="V134" s="430">
        <v>0.2</v>
      </c>
      <c r="W134" s="145">
        <v>19.991999999999997</v>
      </c>
      <c r="X134" s="145"/>
      <c r="Y134" s="503"/>
      <c r="Z134" s="503"/>
      <c r="AA134" s="503" t="s">
        <v>92</v>
      </c>
      <c r="AB134" s="503" t="s">
        <v>92</v>
      </c>
      <c r="AC134" s="41" t="s">
        <v>1223</v>
      </c>
      <c r="AD134" s="42" t="s">
        <v>700</v>
      </c>
      <c r="AE134" s="416" t="s">
        <v>1224</v>
      </c>
    </row>
    <row r="135" spans="1:31" s="146" customFormat="1">
      <c r="A135" s="560" t="s">
        <v>1720</v>
      </c>
      <c r="B135" s="501" t="s">
        <v>1721</v>
      </c>
      <c r="C135" s="473">
        <v>1</v>
      </c>
      <c r="D135" s="594" t="s">
        <v>1715</v>
      </c>
      <c r="E135" s="1010">
        <v>24.99</v>
      </c>
      <c r="F135" s="430">
        <f t="shared" si="35"/>
        <v>0.2</v>
      </c>
      <c r="G135" s="145">
        <f t="shared" si="36"/>
        <v>19.991999999999997</v>
      </c>
      <c r="H135" s="145"/>
      <c r="I135" s="503"/>
      <c r="J135" s="503"/>
      <c r="K135" s="503" t="s">
        <v>92</v>
      </c>
      <c r="L135" s="503" t="s">
        <v>92</v>
      </c>
      <c r="M135" s="624" t="s">
        <v>1223</v>
      </c>
      <c r="N135" s="158" t="s">
        <v>700</v>
      </c>
      <c r="O135" s="417" t="s">
        <v>1224</v>
      </c>
      <c r="P135" s="560" t="s">
        <v>1720</v>
      </c>
      <c r="Q135" s="501" t="s">
        <v>1721</v>
      </c>
      <c r="R135" s="473">
        <v>1</v>
      </c>
      <c r="S135" s="594" t="s">
        <v>1715</v>
      </c>
      <c r="T135" s="561" t="s">
        <v>1720</v>
      </c>
      <c r="U135" s="515">
        <v>24.99</v>
      </c>
      <c r="V135" s="430">
        <v>0.2</v>
      </c>
      <c r="W135" s="145">
        <v>19.991999999999997</v>
      </c>
      <c r="X135" s="145"/>
      <c r="Y135" s="503"/>
      <c r="Z135" s="503"/>
      <c r="AA135" s="503" t="s">
        <v>92</v>
      </c>
      <c r="AB135" s="503" t="s">
        <v>92</v>
      </c>
      <c r="AC135" s="41" t="s">
        <v>1223</v>
      </c>
      <c r="AD135" s="42" t="s">
        <v>700</v>
      </c>
      <c r="AE135" s="416" t="s">
        <v>1224</v>
      </c>
    </row>
    <row r="136" spans="1:31" s="146" customFormat="1">
      <c r="A136" s="477" t="s">
        <v>1722</v>
      </c>
      <c r="B136" s="501" t="s">
        <v>1723</v>
      </c>
      <c r="C136" s="473">
        <v>1</v>
      </c>
      <c r="D136" s="594" t="s">
        <v>1715</v>
      </c>
      <c r="E136" s="1010">
        <v>45.83</v>
      </c>
      <c r="F136" s="430">
        <f t="shared" si="35"/>
        <v>0.2</v>
      </c>
      <c r="G136" s="145">
        <f t="shared" si="36"/>
        <v>36.664000000000001</v>
      </c>
      <c r="H136" s="145"/>
      <c r="I136" s="503"/>
      <c r="J136" s="503"/>
      <c r="K136" s="503" t="s">
        <v>92</v>
      </c>
      <c r="L136" s="503" t="s">
        <v>92</v>
      </c>
      <c r="M136" s="624" t="s">
        <v>1223</v>
      </c>
      <c r="N136" s="158" t="s">
        <v>700</v>
      </c>
      <c r="O136" s="417" t="s">
        <v>1224</v>
      </c>
      <c r="P136" s="477" t="s">
        <v>1722</v>
      </c>
      <c r="Q136" s="501" t="s">
        <v>1723</v>
      </c>
      <c r="R136" s="473">
        <v>1</v>
      </c>
      <c r="S136" s="594" t="s">
        <v>1715</v>
      </c>
      <c r="T136" s="561" t="s">
        <v>1722</v>
      </c>
      <c r="U136" s="515">
        <v>45.83</v>
      </c>
      <c r="V136" s="430">
        <v>0.2</v>
      </c>
      <c r="W136" s="145">
        <v>36.664000000000001</v>
      </c>
      <c r="X136" s="145"/>
      <c r="Y136" s="503"/>
      <c r="Z136" s="503"/>
      <c r="AA136" s="503" t="s">
        <v>92</v>
      </c>
      <c r="AB136" s="503" t="s">
        <v>92</v>
      </c>
      <c r="AC136" s="41" t="s">
        <v>1223</v>
      </c>
      <c r="AD136" s="42" t="s">
        <v>700</v>
      </c>
      <c r="AE136" s="416" t="s">
        <v>1224</v>
      </c>
    </row>
    <row r="137" spans="1:31" s="146" customFormat="1">
      <c r="A137" s="560" t="s">
        <v>1724</v>
      </c>
      <c r="B137" s="501" t="s">
        <v>1725</v>
      </c>
      <c r="C137" s="473">
        <v>1</v>
      </c>
      <c r="D137" s="594" t="s">
        <v>1715</v>
      </c>
      <c r="E137" s="1010">
        <v>45.825000000000003</v>
      </c>
      <c r="F137" s="430">
        <f t="shared" si="35"/>
        <v>0.2</v>
      </c>
      <c r="G137" s="145">
        <f t="shared" si="36"/>
        <v>36.660000000000004</v>
      </c>
      <c r="H137" s="145"/>
      <c r="I137" s="503"/>
      <c r="J137" s="503"/>
      <c r="K137" s="503" t="s">
        <v>92</v>
      </c>
      <c r="L137" s="503" t="s">
        <v>92</v>
      </c>
      <c r="M137" s="624" t="s">
        <v>1223</v>
      </c>
      <c r="N137" s="158" t="s">
        <v>700</v>
      </c>
      <c r="O137" s="417" t="s">
        <v>1224</v>
      </c>
      <c r="P137" s="560" t="s">
        <v>1724</v>
      </c>
      <c r="Q137" s="501" t="s">
        <v>1725</v>
      </c>
      <c r="R137" s="473">
        <v>1</v>
      </c>
      <c r="S137" s="594" t="s">
        <v>1715</v>
      </c>
      <c r="T137" s="561" t="s">
        <v>1724</v>
      </c>
      <c r="U137" s="515">
        <v>45.825000000000003</v>
      </c>
      <c r="V137" s="430">
        <v>0.2</v>
      </c>
      <c r="W137" s="145">
        <v>36.660000000000004</v>
      </c>
      <c r="X137" s="145"/>
      <c r="Y137" s="503"/>
      <c r="Z137" s="503"/>
      <c r="AA137" s="503" t="s">
        <v>92</v>
      </c>
      <c r="AB137" s="503" t="s">
        <v>92</v>
      </c>
      <c r="AC137" s="41" t="s">
        <v>1223</v>
      </c>
      <c r="AD137" s="42" t="s">
        <v>700</v>
      </c>
      <c r="AE137" s="416" t="s">
        <v>1224</v>
      </c>
    </row>
    <row r="138" spans="1:31" s="146" customFormat="1">
      <c r="A138" s="477" t="s">
        <v>1726</v>
      </c>
      <c r="B138" s="501" t="s">
        <v>1727</v>
      </c>
      <c r="C138" s="473">
        <v>1</v>
      </c>
      <c r="D138" s="594" t="s">
        <v>1715</v>
      </c>
      <c r="E138" s="1010">
        <v>29.16</v>
      </c>
      <c r="F138" s="430">
        <f t="shared" si="35"/>
        <v>0.2</v>
      </c>
      <c r="G138" s="145">
        <f t="shared" si="36"/>
        <v>23.327999999999999</v>
      </c>
      <c r="H138" s="145"/>
      <c r="I138" s="503"/>
      <c r="J138" s="503"/>
      <c r="K138" s="503" t="s">
        <v>92</v>
      </c>
      <c r="L138" s="503" t="s">
        <v>92</v>
      </c>
      <c r="M138" s="624" t="s">
        <v>1223</v>
      </c>
      <c r="N138" s="158" t="s">
        <v>700</v>
      </c>
      <c r="O138" s="417" t="s">
        <v>1224</v>
      </c>
      <c r="P138" s="477" t="s">
        <v>1726</v>
      </c>
      <c r="Q138" s="501" t="s">
        <v>1727</v>
      </c>
      <c r="R138" s="473">
        <v>1</v>
      </c>
      <c r="S138" s="594" t="s">
        <v>1715</v>
      </c>
      <c r="T138" s="561" t="s">
        <v>1726</v>
      </c>
      <c r="U138" s="515">
        <v>29.16</v>
      </c>
      <c r="V138" s="430">
        <v>0.2</v>
      </c>
      <c r="W138" s="145">
        <v>23.327999999999999</v>
      </c>
      <c r="X138" s="145"/>
      <c r="Y138" s="503"/>
      <c r="Z138" s="503"/>
      <c r="AA138" s="503" t="s">
        <v>92</v>
      </c>
      <c r="AB138" s="503" t="s">
        <v>92</v>
      </c>
      <c r="AC138" s="41" t="s">
        <v>1223</v>
      </c>
      <c r="AD138" s="42" t="s">
        <v>700</v>
      </c>
      <c r="AE138" s="416" t="s">
        <v>1224</v>
      </c>
    </row>
    <row r="139" spans="1:31" s="146" customFormat="1">
      <c r="A139" s="477" t="s">
        <v>1728</v>
      </c>
      <c r="B139" s="501" t="s">
        <v>1729</v>
      </c>
      <c r="C139" s="473">
        <v>1</v>
      </c>
      <c r="D139" s="594" t="s">
        <v>1715</v>
      </c>
      <c r="E139" s="1010">
        <v>29.16</v>
      </c>
      <c r="F139" s="430">
        <f t="shared" si="35"/>
        <v>0.2</v>
      </c>
      <c r="G139" s="145">
        <f t="shared" si="36"/>
        <v>23.327999999999999</v>
      </c>
      <c r="H139" s="145"/>
      <c r="I139" s="503"/>
      <c r="J139" s="503"/>
      <c r="K139" s="503" t="s">
        <v>92</v>
      </c>
      <c r="L139" s="503" t="s">
        <v>92</v>
      </c>
      <c r="M139" s="624" t="s">
        <v>1223</v>
      </c>
      <c r="N139" s="158" t="s">
        <v>700</v>
      </c>
      <c r="O139" s="417" t="s">
        <v>1224</v>
      </c>
      <c r="P139" s="477" t="s">
        <v>1728</v>
      </c>
      <c r="Q139" s="501" t="s">
        <v>1729</v>
      </c>
      <c r="R139" s="473">
        <v>1</v>
      </c>
      <c r="S139" s="594" t="s">
        <v>1715</v>
      </c>
      <c r="T139" s="561" t="s">
        <v>1728</v>
      </c>
      <c r="U139" s="515">
        <v>29.16</v>
      </c>
      <c r="V139" s="430">
        <v>0.2</v>
      </c>
      <c r="W139" s="145">
        <v>23.327999999999999</v>
      </c>
      <c r="X139" s="145"/>
      <c r="Y139" s="503"/>
      <c r="Z139" s="503"/>
      <c r="AA139" s="503" t="s">
        <v>92</v>
      </c>
      <c r="AB139" s="503" t="s">
        <v>92</v>
      </c>
      <c r="AC139" s="41" t="s">
        <v>1223</v>
      </c>
      <c r="AD139" s="42" t="s">
        <v>700</v>
      </c>
      <c r="AE139" s="416" t="s">
        <v>1224</v>
      </c>
    </row>
    <row r="140" spans="1:31" s="146" customFormat="1">
      <c r="A140" s="477" t="s">
        <v>1730</v>
      </c>
      <c r="B140" s="501" t="s">
        <v>1731</v>
      </c>
      <c r="C140" s="473">
        <v>1</v>
      </c>
      <c r="D140" s="594" t="s">
        <v>1715</v>
      </c>
      <c r="E140" s="1010">
        <v>33.33</v>
      </c>
      <c r="F140" s="430">
        <f t="shared" si="35"/>
        <v>0.2</v>
      </c>
      <c r="G140" s="145">
        <f t="shared" si="36"/>
        <v>26.663999999999998</v>
      </c>
      <c r="H140" s="145"/>
      <c r="I140" s="503"/>
      <c r="J140" s="503"/>
      <c r="K140" s="503" t="s">
        <v>92</v>
      </c>
      <c r="L140" s="503" t="s">
        <v>92</v>
      </c>
      <c r="M140" s="624" t="s">
        <v>1223</v>
      </c>
      <c r="N140" s="158" t="s">
        <v>700</v>
      </c>
      <c r="O140" s="417" t="s">
        <v>1224</v>
      </c>
      <c r="P140" s="477" t="s">
        <v>1730</v>
      </c>
      <c r="Q140" s="501" t="s">
        <v>1731</v>
      </c>
      <c r="R140" s="473">
        <v>1</v>
      </c>
      <c r="S140" s="594" t="s">
        <v>1715</v>
      </c>
      <c r="T140" s="561" t="s">
        <v>1730</v>
      </c>
      <c r="U140" s="515">
        <v>33.33</v>
      </c>
      <c r="V140" s="430">
        <v>0.2</v>
      </c>
      <c r="W140" s="145">
        <v>26.663999999999998</v>
      </c>
      <c r="X140" s="145"/>
      <c r="Y140" s="503"/>
      <c r="Z140" s="503"/>
      <c r="AA140" s="503" t="s">
        <v>92</v>
      </c>
      <c r="AB140" s="503" t="s">
        <v>92</v>
      </c>
      <c r="AC140" s="41" t="s">
        <v>1223</v>
      </c>
      <c r="AD140" s="42" t="s">
        <v>700</v>
      </c>
      <c r="AE140" s="416" t="s">
        <v>1224</v>
      </c>
    </row>
    <row r="141" spans="1:31" s="146" customFormat="1">
      <c r="A141" s="477" t="s">
        <v>1732</v>
      </c>
      <c r="B141" s="501" t="s">
        <v>1733</v>
      </c>
      <c r="C141" s="473">
        <v>1</v>
      </c>
      <c r="D141" s="594" t="s">
        <v>1715</v>
      </c>
      <c r="E141" s="1010">
        <v>33.33</v>
      </c>
      <c r="F141" s="430">
        <f t="shared" si="35"/>
        <v>0.2</v>
      </c>
      <c r="G141" s="145">
        <f t="shared" si="36"/>
        <v>26.663999999999998</v>
      </c>
      <c r="H141" s="145"/>
      <c r="I141" s="503"/>
      <c r="J141" s="503"/>
      <c r="K141" s="503" t="s">
        <v>92</v>
      </c>
      <c r="L141" s="503" t="s">
        <v>92</v>
      </c>
      <c r="M141" s="624" t="s">
        <v>1223</v>
      </c>
      <c r="N141" s="158" t="s">
        <v>700</v>
      </c>
      <c r="O141" s="417" t="s">
        <v>1224</v>
      </c>
      <c r="P141" s="477" t="s">
        <v>1732</v>
      </c>
      <c r="Q141" s="501" t="s">
        <v>1733</v>
      </c>
      <c r="R141" s="473">
        <v>1</v>
      </c>
      <c r="S141" s="594" t="s">
        <v>1715</v>
      </c>
      <c r="T141" s="561" t="s">
        <v>1732</v>
      </c>
      <c r="U141" s="515">
        <v>33.33</v>
      </c>
      <c r="V141" s="430">
        <v>0.2</v>
      </c>
      <c r="W141" s="145">
        <v>26.663999999999998</v>
      </c>
      <c r="X141" s="145"/>
      <c r="Y141" s="503"/>
      <c r="Z141" s="503"/>
      <c r="AA141" s="503" t="s">
        <v>92</v>
      </c>
      <c r="AB141" s="503" t="s">
        <v>92</v>
      </c>
      <c r="AC141" s="41" t="s">
        <v>1223</v>
      </c>
      <c r="AD141" s="42" t="s">
        <v>700</v>
      </c>
      <c r="AE141" s="416" t="s">
        <v>1224</v>
      </c>
    </row>
    <row r="142" spans="1:31" s="146" customFormat="1">
      <c r="A142" s="477" t="s">
        <v>1734</v>
      </c>
      <c r="B142" s="501" t="s">
        <v>1735</v>
      </c>
      <c r="C142" s="473">
        <v>1</v>
      </c>
      <c r="D142" s="594" t="s">
        <v>1715</v>
      </c>
      <c r="E142" s="1010">
        <v>33.33</v>
      </c>
      <c r="F142" s="430">
        <f t="shared" si="35"/>
        <v>0.2</v>
      </c>
      <c r="G142" s="145">
        <f t="shared" si="36"/>
        <v>26.663999999999998</v>
      </c>
      <c r="H142" s="145"/>
      <c r="I142" s="503"/>
      <c r="J142" s="503"/>
      <c r="K142" s="503" t="s">
        <v>92</v>
      </c>
      <c r="L142" s="503" t="s">
        <v>92</v>
      </c>
      <c r="M142" s="624" t="s">
        <v>1223</v>
      </c>
      <c r="N142" s="158" t="s">
        <v>700</v>
      </c>
      <c r="O142" s="417" t="s">
        <v>1224</v>
      </c>
      <c r="P142" s="477" t="s">
        <v>1734</v>
      </c>
      <c r="Q142" s="501" t="s">
        <v>1735</v>
      </c>
      <c r="R142" s="473">
        <v>1</v>
      </c>
      <c r="S142" s="594" t="s">
        <v>1715</v>
      </c>
      <c r="T142" s="561" t="s">
        <v>1734</v>
      </c>
      <c r="U142" s="515">
        <v>33.33</v>
      </c>
      <c r="V142" s="430">
        <v>0.2</v>
      </c>
      <c r="W142" s="145">
        <v>26.663999999999998</v>
      </c>
      <c r="X142" s="145"/>
      <c r="Y142" s="503"/>
      <c r="Z142" s="503"/>
      <c r="AA142" s="503" t="s">
        <v>92</v>
      </c>
      <c r="AB142" s="503" t="s">
        <v>92</v>
      </c>
      <c r="AC142" s="41" t="s">
        <v>1223</v>
      </c>
      <c r="AD142" s="42" t="s">
        <v>700</v>
      </c>
      <c r="AE142" s="416" t="s">
        <v>1224</v>
      </c>
    </row>
    <row r="143" spans="1:31" s="146" customFormat="1">
      <c r="A143" s="477"/>
      <c r="B143" s="501"/>
      <c r="C143" s="473"/>
      <c r="D143" s="594"/>
      <c r="E143" s="1010"/>
      <c r="F143" s="430"/>
      <c r="G143" s="145"/>
      <c r="H143" s="145"/>
      <c r="I143" s="503"/>
      <c r="J143" s="503"/>
      <c r="K143" s="503"/>
      <c r="L143" s="503"/>
      <c r="M143" s="624"/>
      <c r="N143" s="158"/>
      <c r="O143" s="417"/>
      <c r="P143" s="650" t="s">
        <v>1736</v>
      </c>
      <c r="Q143" s="698" t="s">
        <v>1737</v>
      </c>
      <c r="R143" s="653">
        <v>1</v>
      </c>
      <c r="S143" s="699" t="s">
        <v>1715</v>
      </c>
      <c r="T143" s="700" t="s">
        <v>1736</v>
      </c>
      <c r="U143" s="701">
        <v>15</v>
      </c>
      <c r="V143" s="655">
        <v>0.2</v>
      </c>
      <c r="W143" s="702">
        <v>12</v>
      </c>
      <c r="X143" s="702"/>
      <c r="Y143" s="658"/>
      <c r="Z143" s="658"/>
      <c r="AA143" s="658" t="s">
        <v>92</v>
      </c>
      <c r="AB143" s="658" t="s">
        <v>92</v>
      </c>
      <c r="AC143" s="660" t="s">
        <v>1223</v>
      </c>
      <c r="AD143" s="661" t="s">
        <v>700</v>
      </c>
      <c r="AE143" s="662" t="s">
        <v>1224</v>
      </c>
    </row>
    <row r="144" spans="1:31" s="146" customFormat="1">
      <c r="A144" s="560" t="s">
        <v>1738</v>
      </c>
      <c r="B144" s="501" t="s">
        <v>1739</v>
      </c>
      <c r="C144" s="473">
        <v>1</v>
      </c>
      <c r="D144" s="594" t="s">
        <v>1715</v>
      </c>
      <c r="E144" s="1010">
        <v>15</v>
      </c>
      <c r="F144" s="430">
        <f t="shared" si="35"/>
        <v>0.2</v>
      </c>
      <c r="G144" s="145">
        <f t="shared" si="36"/>
        <v>12</v>
      </c>
      <c r="H144" s="145"/>
      <c r="I144" s="503"/>
      <c r="J144" s="503"/>
      <c r="K144" s="503" t="s">
        <v>92</v>
      </c>
      <c r="L144" s="503" t="s">
        <v>92</v>
      </c>
      <c r="M144" s="624" t="s">
        <v>1223</v>
      </c>
      <c r="N144" s="158" t="s">
        <v>700</v>
      </c>
      <c r="O144" s="417" t="s">
        <v>1224</v>
      </c>
      <c r="P144" s="560" t="s">
        <v>1738</v>
      </c>
      <c r="Q144" s="501" t="s">
        <v>1739</v>
      </c>
      <c r="R144" s="473">
        <v>1</v>
      </c>
      <c r="S144" s="594" t="s">
        <v>1715</v>
      </c>
      <c r="T144" s="561" t="s">
        <v>1738</v>
      </c>
      <c r="U144" s="515">
        <v>15</v>
      </c>
      <c r="V144" s="430">
        <v>0.2</v>
      </c>
      <c r="W144" s="145">
        <v>12</v>
      </c>
      <c r="X144" s="145"/>
      <c r="Y144" s="503"/>
      <c r="Z144" s="503"/>
      <c r="AA144" s="503" t="s">
        <v>92</v>
      </c>
      <c r="AB144" s="503" t="s">
        <v>92</v>
      </c>
      <c r="AC144" s="41" t="s">
        <v>1223</v>
      </c>
      <c r="AD144" s="42" t="s">
        <v>700</v>
      </c>
      <c r="AE144" s="416" t="s">
        <v>1224</v>
      </c>
    </row>
    <row r="145" spans="1:31" s="146" customFormat="1">
      <c r="A145" s="477" t="s">
        <v>1740</v>
      </c>
      <c r="B145" s="501" t="s">
        <v>1741</v>
      </c>
      <c r="C145" s="473">
        <v>1</v>
      </c>
      <c r="D145" s="1003" t="s">
        <v>1715</v>
      </c>
      <c r="E145" s="1010">
        <v>24.99</v>
      </c>
      <c r="F145" s="430">
        <f t="shared" si="35"/>
        <v>0.2</v>
      </c>
      <c r="G145" s="145">
        <f t="shared" si="36"/>
        <v>19.991999999999997</v>
      </c>
      <c r="H145" s="145"/>
      <c r="I145" s="503"/>
      <c r="J145" s="503"/>
      <c r="K145" s="503" t="s">
        <v>92</v>
      </c>
      <c r="L145" s="503" t="s">
        <v>92</v>
      </c>
      <c r="M145" s="624" t="s">
        <v>1223</v>
      </c>
      <c r="N145" s="158" t="s">
        <v>700</v>
      </c>
      <c r="O145" s="417" t="s">
        <v>1224</v>
      </c>
      <c r="P145" s="477" t="s">
        <v>1740</v>
      </c>
      <c r="Q145" s="501" t="s">
        <v>1741</v>
      </c>
      <c r="R145" s="473">
        <v>1</v>
      </c>
      <c r="S145" s="503" t="s">
        <v>1715</v>
      </c>
      <c r="T145" s="562" t="s">
        <v>1740</v>
      </c>
      <c r="U145" s="515">
        <v>24.99</v>
      </c>
      <c r="V145" s="430">
        <v>0.2</v>
      </c>
      <c r="W145" s="145">
        <v>19.991999999999997</v>
      </c>
      <c r="X145" s="145"/>
      <c r="Y145" s="503"/>
      <c r="Z145" s="503"/>
      <c r="AA145" s="503" t="s">
        <v>92</v>
      </c>
      <c r="AB145" s="503" t="s">
        <v>92</v>
      </c>
      <c r="AC145" s="41" t="s">
        <v>1223</v>
      </c>
      <c r="AD145" s="42" t="s">
        <v>700</v>
      </c>
      <c r="AE145" s="416" t="s">
        <v>1224</v>
      </c>
    </row>
    <row r="146" spans="1:31" s="146" customFormat="1" ht="15" customHeight="1">
      <c r="A146" s="477" t="s">
        <v>1742</v>
      </c>
      <c r="B146" s="501" t="s">
        <v>1743</v>
      </c>
      <c r="C146" s="473">
        <v>1</v>
      </c>
      <c r="D146" s="1003" t="s">
        <v>1715</v>
      </c>
      <c r="E146" s="1010">
        <v>16.66</v>
      </c>
      <c r="F146" s="430">
        <f t="shared" si="35"/>
        <v>0.2</v>
      </c>
      <c r="G146" s="145">
        <f t="shared" si="36"/>
        <v>13.327999999999999</v>
      </c>
      <c r="H146" s="145"/>
      <c r="I146" s="503"/>
      <c r="J146" s="503"/>
      <c r="K146" s="503" t="s">
        <v>92</v>
      </c>
      <c r="L146" s="503" t="s">
        <v>92</v>
      </c>
      <c r="M146" s="624" t="s">
        <v>1223</v>
      </c>
      <c r="N146" s="158" t="s">
        <v>700</v>
      </c>
      <c r="O146" s="417" t="s">
        <v>1224</v>
      </c>
      <c r="P146" s="477" t="s">
        <v>1742</v>
      </c>
      <c r="Q146" s="501" t="s">
        <v>1743</v>
      </c>
      <c r="R146" s="473">
        <v>1</v>
      </c>
      <c r="S146" s="503" t="s">
        <v>1715</v>
      </c>
      <c r="T146" s="562" t="s">
        <v>1742</v>
      </c>
      <c r="U146" s="515">
        <v>16.66</v>
      </c>
      <c r="V146" s="430">
        <v>0.2</v>
      </c>
      <c r="W146" s="145">
        <v>13.327999999999999</v>
      </c>
      <c r="X146" s="145"/>
      <c r="Y146" s="503"/>
      <c r="Z146" s="503"/>
      <c r="AA146" s="503" t="s">
        <v>92</v>
      </c>
      <c r="AB146" s="503" t="s">
        <v>92</v>
      </c>
      <c r="AC146" s="41" t="s">
        <v>1223</v>
      </c>
      <c r="AD146" s="42" t="s">
        <v>700</v>
      </c>
      <c r="AE146" s="416" t="s">
        <v>1224</v>
      </c>
    </row>
    <row r="147" spans="1:31" s="146" customFormat="1" ht="14.1" customHeight="1">
      <c r="A147" s="477" t="s">
        <v>1744</v>
      </c>
      <c r="B147" s="550" t="s">
        <v>1745</v>
      </c>
      <c r="C147" s="558">
        <v>1</v>
      </c>
      <c r="D147" s="563" t="s">
        <v>1746</v>
      </c>
      <c r="E147" s="1010">
        <v>30</v>
      </c>
      <c r="F147" s="430">
        <f t="shared" si="35"/>
        <v>0.2</v>
      </c>
      <c r="G147" s="145">
        <f t="shared" ref="G147:G149" si="37">E147-(E147*F147)</f>
        <v>24</v>
      </c>
      <c r="H147" s="145"/>
      <c r="I147" s="503"/>
      <c r="J147" s="503"/>
      <c r="K147" s="503" t="s">
        <v>92</v>
      </c>
      <c r="L147" s="503" t="s">
        <v>92</v>
      </c>
      <c r="M147" s="624" t="s">
        <v>1223</v>
      </c>
      <c r="N147" s="158" t="s">
        <v>700</v>
      </c>
      <c r="O147" s="417" t="s">
        <v>1224</v>
      </c>
      <c r="P147" s="477" t="s">
        <v>1744</v>
      </c>
      <c r="Q147" s="550" t="s">
        <v>1745</v>
      </c>
      <c r="R147" s="558">
        <v>1</v>
      </c>
      <c r="S147" s="563" t="s">
        <v>1746</v>
      </c>
      <c r="T147" s="508" t="s">
        <v>1744</v>
      </c>
      <c r="U147" s="513">
        <v>30</v>
      </c>
      <c r="V147" s="430">
        <v>0.2</v>
      </c>
      <c r="W147" s="145">
        <v>24</v>
      </c>
      <c r="X147" s="145"/>
      <c r="Y147" s="503"/>
      <c r="Z147" s="503"/>
      <c r="AA147" s="503" t="s">
        <v>92</v>
      </c>
      <c r="AB147" s="503" t="s">
        <v>92</v>
      </c>
      <c r="AC147" s="41" t="s">
        <v>1223</v>
      </c>
      <c r="AD147" s="42" t="s">
        <v>700</v>
      </c>
      <c r="AE147" s="416" t="s">
        <v>1224</v>
      </c>
    </row>
    <row r="148" spans="1:31" s="146" customFormat="1" ht="15" customHeight="1">
      <c r="A148" s="477" t="s">
        <v>1747</v>
      </c>
      <c r="B148" s="550" t="s">
        <v>1748</v>
      </c>
      <c r="C148" s="558">
        <v>1</v>
      </c>
      <c r="D148" s="563" t="s">
        <v>1746</v>
      </c>
      <c r="E148" s="1010">
        <v>35</v>
      </c>
      <c r="F148" s="430">
        <f t="shared" si="35"/>
        <v>0.2</v>
      </c>
      <c r="G148" s="145">
        <f t="shared" si="37"/>
        <v>28</v>
      </c>
      <c r="H148" s="145"/>
      <c r="I148" s="503"/>
      <c r="J148" s="503"/>
      <c r="K148" s="503" t="s">
        <v>92</v>
      </c>
      <c r="L148" s="503" t="s">
        <v>92</v>
      </c>
      <c r="M148" s="624" t="s">
        <v>1223</v>
      </c>
      <c r="N148" s="158" t="s">
        <v>700</v>
      </c>
      <c r="O148" s="417" t="s">
        <v>1224</v>
      </c>
      <c r="P148" s="477" t="s">
        <v>1747</v>
      </c>
      <c r="Q148" s="550" t="s">
        <v>1748</v>
      </c>
      <c r="R148" s="558">
        <v>1</v>
      </c>
      <c r="S148" s="563" t="s">
        <v>1746</v>
      </c>
      <c r="T148" s="508" t="s">
        <v>1747</v>
      </c>
      <c r="U148" s="513">
        <v>35</v>
      </c>
      <c r="V148" s="430">
        <v>0.2</v>
      </c>
      <c r="W148" s="145">
        <v>28</v>
      </c>
      <c r="X148" s="145"/>
      <c r="Y148" s="503"/>
      <c r="Z148" s="503"/>
      <c r="AA148" s="503" t="s">
        <v>92</v>
      </c>
      <c r="AB148" s="503" t="s">
        <v>92</v>
      </c>
      <c r="AC148" s="41" t="s">
        <v>1223</v>
      </c>
      <c r="AD148" s="42" t="s">
        <v>700</v>
      </c>
      <c r="AE148" s="416" t="s">
        <v>1224</v>
      </c>
    </row>
    <row r="149" spans="1:31" s="146" customFormat="1" ht="14.1" customHeight="1">
      <c r="A149" s="477" t="s">
        <v>1749</v>
      </c>
      <c r="B149" s="550" t="s">
        <v>1750</v>
      </c>
      <c r="C149" s="558">
        <v>1</v>
      </c>
      <c r="D149" s="563" t="s">
        <v>1746</v>
      </c>
      <c r="E149" s="1010">
        <v>38</v>
      </c>
      <c r="F149" s="430">
        <f t="shared" si="35"/>
        <v>0.2</v>
      </c>
      <c r="G149" s="145">
        <f t="shared" si="37"/>
        <v>30.4</v>
      </c>
      <c r="H149" s="145"/>
      <c r="I149" s="503"/>
      <c r="J149" s="503"/>
      <c r="K149" s="503" t="s">
        <v>92</v>
      </c>
      <c r="L149" s="503" t="s">
        <v>92</v>
      </c>
      <c r="M149" s="624" t="s">
        <v>1223</v>
      </c>
      <c r="N149" s="158" t="s">
        <v>700</v>
      </c>
      <c r="O149" s="417" t="s">
        <v>1224</v>
      </c>
      <c r="P149" s="477" t="s">
        <v>1749</v>
      </c>
      <c r="Q149" s="550" t="s">
        <v>1750</v>
      </c>
      <c r="R149" s="558">
        <v>1</v>
      </c>
      <c r="S149" s="563" t="s">
        <v>1746</v>
      </c>
      <c r="T149" s="508" t="s">
        <v>1749</v>
      </c>
      <c r="U149" s="513">
        <v>38</v>
      </c>
      <c r="V149" s="430">
        <v>0.2</v>
      </c>
      <c r="W149" s="145">
        <v>30.4</v>
      </c>
      <c r="X149" s="145"/>
      <c r="Y149" s="503"/>
      <c r="Z149" s="503"/>
      <c r="AA149" s="503" t="s">
        <v>92</v>
      </c>
      <c r="AB149" s="503" t="s">
        <v>92</v>
      </c>
      <c r="AC149" s="41" t="s">
        <v>1223</v>
      </c>
      <c r="AD149" s="42" t="s">
        <v>700</v>
      </c>
      <c r="AE149" s="416" t="s">
        <v>1224</v>
      </c>
    </row>
    <row r="150" spans="1:31" s="1" customFormat="1" ht="27.95" customHeight="1">
      <c r="A150" s="543" t="s">
        <v>1751</v>
      </c>
      <c r="B150" s="582"/>
      <c r="C150" s="506"/>
      <c r="D150" s="585"/>
      <c r="E150" s="1013"/>
      <c r="F150" s="430"/>
      <c r="G150" s="180"/>
      <c r="H150" s="147"/>
      <c r="I150" s="163"/>
      <c r="J150" s="163"/>
      <c r="K150" s="163"/>
      <c r="L150" s="428"/>
      <c r="M150" s="624"/>
      <c r="N150" s="159"/>
      <c r="O150" s="221"/>
      <c r="P150" s="543" t="s">
        <v>1751</v>
      </c>
      <c r="Q150" s="582"/>
      <c r="R150" s="506"/>
      <c r="S150" s="106"/>
      <c r="T150" s="540"/>
      <c r="U150" s="180"/>
      <c r="V150" s="430"/>
      <c r="W150" s="180"/>
      <c r="X150" s="147"/>
      <c r="Y150" s="163"/>
      <c r="Z150" s="163"/>
      <c r="AA150" s="163"/>
      <c r="AB150" s="428"/>
      <c r="AC150" s="41"/>
      <c r="AD150" s="14"/>
      <c r="AE150" s="157"/>
    </row>
    <row r="151" spans="1:31" s="90" customFormat="1">
      <c r="A151" s="477" t="s">
        <v>1752</v>
      </c>
      <c r="B151" s="505" t="s">
        <v>1753</v>
      </c>
      <c r="C151" s="506">
        <v>1</v>
      </c>
      <c r="D151" s="585" t="s">
        <v>90</v>
      </c>
      <c r="E151" s="1014">
        <v>140.77000000000001</v>
      </c>
      <c r="F151" s="430">
        <f>rv_atv</f>
        <v>0.05</v>
      </c>
      <c r="G151" s="696">
        <f>E151-(E151*F151)</f>
        <v>133.73150000000001</v>
      </c>
      <c r="H151" s="531"/>
      <c r="I151" s="532"/>
      <c r="J151" s="532"/>
      <c r="K151" s="532"/>
      <c r="L151" s="429">
        <v>0.06</v>
      </c>
      <c r="M151" s="624" t="s">
        <v>1223</v>
      </c>
      <c r="N151" s="158" t="s">
        <v>700</v>
      </c>
      <c r="O151" s="417" t="s">
        <v>1224</v>
      </c>
      <c r="P151" s="477" t="s">
        <v>1752</v>
      </c>
      <c r="Q151" s="505" t="s">
        <v>1753</v>
      </c>
      <c r="R151" s="506">
        <v>1</v>
      </c>
      <c r="S151" s="585" t="s">
        <v>90</v>
      </c>
      <c r="T151" s="508" t="s">
        <v>1752</v>
      </c>
      <c r="U151" s="717">
        <v>140.72</v>
      </c>
      <c r="V151" s="430">
        <v>0.05</v>
      </c>
      <c r="W151" s="729">
        <v>133.684</v>
      </c>
      <c r="X151" s="531"/>
      <c r="Y151" s="532"/>
      <c r="Z151" s="532"/>
      <c r="AA151" s="532"/>
      <c r="AB151" s="659">
        <v>0.11</v>
      </c>
      <c r="AC151" s="41" t="s">
        <v>1223</v>
      </c>
      <c r="AD151" s="42" t="s">
        <v>700</v>
      </c>
      <c r="AE151" s="416" t="s">
        <v>1224</v>
      </c>
    </row>
    <row r="152" spans="1:31" s="90" customFormat="1">
      <c r="A152" s="477" t="s">
        <v>1754</v>
      </c>
      <c r="B152" s="505" t="s">
        <v>1755</v>
      </c>
      <c r="C152" s="506">
        <v>1</v>
      </c>
      <c r="D152" s="585" t="s">
        <v>90</v>
      </c>
      <c r="E152" s="1014">
        <v>157.44</v>
      </c>
      <c r="F152" s="430">
        <f>rv_atv</f>
        <v>0.05</v>
      </c>
      <c r="G152" s="696">
        <f>E152-(E152*F152)</f>
        <v>149.56799999999998</v>
      </c>
      <c r="H152" s="531"/>
      <c r="I152" s="532"/>
      <c r="J152" s="532"/>
      <c r="K152" s="532"/>
      <c r="L152" s="429">
        <v>0.06</v>
      </c>
      <c r="M152" s="624" t="s">
        <v>1223</v>
      </c>
      <c r="N152" s="158" t="s">
        <v>700</v>
      </c>
      <c r="O152" s="417" t="s">
        <v>1224</v>
      </c>
      <c r="P152" s="477" t="s">
        <v>1754</v>
      </c>
      <c r="Q152" s="505" t="s">
        <v>1755</v>
      </c>
      <c r="R152" s="506">
        <v>1</v>
      </c>
      <c r="S152" s="585" t="s">
        <v>90</v>
      </c>
      <c r="T152" s="517" t="s">
        <v>1754</v>
      </c>
      <c r="U152" s="717">
        <v>157.38999999999999</v>
      </c>
      <c r="V152" s="430">
        <v>0.05</v>
      </c>
      <c r="W152" s="729">
        <v>149.5205</v>
      </c>
      <c r="X152" s="531"/>
      <c r="Y152" s="532"/>
      <c r="Z152" s="532"/>
      <c r="AA152" s="532"/>
      <c r="AB152" s="659">
        <v>0.11</v>
      </c>
      <c r="AC152" s="41" t="s">
        <v>1223</v>
      </c>
      <c r="AD152" s="42" t="s">
        <v>700</v>
      </c>
      <c r="AE152" s="416" t="s">
        <v>1224</v>
      </c>
    </row>
    <row r="153" spans="1:31" s="90" customFormat="1">
      <c r="A153" s="477" t="s">
        <v>1756</v>
      </c>
      <c r="B153" s="505" t="s">
        <v>1757</v>
      </c>
      <c r="C153" s="506">
        <v>1</v>
      </c>
      <c r="D153" s="585" t="s">
        <v>90</v>
      </c>
      <c r="E153" s="1013">
        <v>57.49</v>
      </c>
      <c r="F153" s="430">
        <f>rv_atv</f>
        <v>0.05</v>
      </c>
      <c r="G153" s="180">
        <f>E153-(E153*F153)</f>
        <v>54.615500000000004</v>
      </c>
      <c r="H153" s="531"/>
      <c r="I153" s="532"/>
      <c r="J153" s="532"/>
      <c r="K153" s="532"/>
      <c r="L153" s="428">
        <v>0.01</v>
      </c>
      <c r="M153" s="624" t="s">
        <v>1223</v>
      </c>
      <c r="N153" s="158" t="s">
        <v>700</v>
      </c>
      <c r="O153" s="417" t="s">
        <v>1224</v>
      </c>
      <c r="P153" s="477" t="s">
        <v>1756</v>
      </c>
      <c r="Q153" s="505" t="s">
        <v>1757</v>
      </c>
      <c r="R153" s="506">
        <v>1</v>
      </c>
      <c r="S153" s="585" t="s">
        <v>90</v>
      </c>
      <c r="T153" s="473" t="s">
        <v>1756</v>
      </c>
      <c r="U153" s="180">
        <v>57.49</v>
      </c>
      <c r="V153" s="430">
        <v>0.05</v>
      </c>
      <c r="W153" s="180">
        <v>54.615500000000004</v>
      </c>
      <c r="X153" s="531"/>
      <c r="Y153" s="532"/>
      <c r="Z153" s="532"/>
      <c r="AA153" s="532"/>
      <c r="AB153" s="428">
        <v>0.01</v>
      </c>
      <c r="AC153" s="41" t="s">
        <v>1223</v>
      </c>
      <c r="AD153" s="42" t="s">
        <v>700</v>
      </c>
      <c r="AE153" s="416" t="s">
        <v>1224</v>
      </c>
    </row>
    <row r="154" spans="1:31" s="125" customFormat="1" ht="24" customHeight="1">
      <c r="A154" s="543" t="s">
        <v>1758</v>
      </c>
      <c r="B154" s="584"/>
      <c r="C154" s="544"/>
      <c r="D154" s="590"/>
      <c r="E154" s="1013"/>
      <c r="F154" s="546"/>
      <c r="G154" s="180"/>
      <c r="H154" s="547"/>
      <c r="I154" s="548"/>
      <c r="J154" s="548"/>
      <c r="K154" s="548"/>
      <c r="L154" s="504"/>
      <c r="M154" s="624"/>
      <c r="N154" s="159"/>
      <c r="O154" s="221"/>
      <c r="P154" s="543" t="s">
        <v>1758</v>
      </c>
      <c r="Q154" s="584"/>
      <c r="R154" s="544"/>
      <c r="S154" s="180"/>
      <c r="T154" s="545"/>
      <c r="U154" s="180"/>
      <c r="V154" s="546"/>
      <c r="W154" s="180"/>
      <c r="X154" s="547"/>
      <c r="Y154" s="548"/>
      <c r="Z154" s="548"/>
      <c r="AA154" s="548"/>
      <c r="AB154" s="504"/>
      <c r="AC154" s="41"/>
      <c r="AD154" s="14"/>
      <c r="AE154" s="157"/>
    </row>
    <row r="155" spans="1:31" s="1" customFormat="1">
      <c r="A155" s="477" t="s">
        <v>1759</v>
      </c>
      <c r="B155" s="505" t="s">
        <v>1760</v>
      </c>
      <c r="C155" s="506">
        <v>1</v>
      </c>
      <c r="D155" s="585" t="s">
        <v>90</v>
      </c>
      <c r="E155" s="1013">
        <v>94.99</v>
      </c>
      <c r="F155" s="430"/>
      <c r="G155" s="180">
        <f t="shared" ref="G155:G160" si="38">E155-(E155*F155)</f>
        <v>94.99</v>
      </c>
      <c r="H155" s="147"/>
      <c r="I155" s="163"/>
      <c r="J155" s="163"/>
      <c r="K155" s="163"/>
      <c r="L155" s="428">
        <v>0</v>
      </c>
      <c r="M155" s="624" t="s">
        <v>1761</v>
      </c>
      <c r="N155" s="159" t="s">
        <v>1762</v>
      </c>
      <c r="O155" s="221" t="s">
        <v>1763</v>
      </c>
      <c r="P155" s="477" t="s">
        <v>1759</v>
      </c>
      <c r="Q155" s="505" t="s">
        <v>1760</v>
      </c>
      <c r="R155" s="506">
        <v>1</v>
      </c>
      <c r="S155" s="106" t="s">
        <v>90</v>
      </c>
      <c r="T155" s="473" t="s">
        <v>1759</v>
      </c>
      <c r="U155" s="180">
        <v>94.99</v>
      </c>
      <c r="V155" s="430"/>
      <c r="W155" s="180">
        <v>94.99</v>
      </c>
      <c r="X155" s="147"/>
      <c r="Y155" s="163"/>
      <c r="Z155" s="163"/>
      <c r="AA155" s="163"/>
      <c r="AB155" s="428">
        <v>0</v>
      </c>
      <c r="AC155" s="41" t="s">
        <v>1761</v>
      </c>
      <c r="AD155" s="14" t="s">
        <v>1762</v>
      </c>
      <c r="AE155" s="157" t="s">
        <v>1763</v>
      </c>
    </row>
    <row r="156" spans="1:31" s="1" customFormat="1">
      <c r="A156" s="477" t="s">
        <v>1764</v>
      </c>
      <c r="B156" s="505" t="s">
        <v>1765</v>
      </c>
      <c r="C156" s="506">
        <v>1</v>
      </c>
      <c r="D156" s="585" t="s">
        <v>90</v>
      </c>
      <c r="E156" s="1013">
        <v>349.99</v>
      </c>
      <c r="F156" s="430"/>
      <c r="G156" s="180">
        <f t="shared" si="38"/>
        <v>349.99</v>
      </c>
      <c r="H156" s="147"/>
      <c r="I156" s="163"/>
      <c r="J156" s="163"/>
      <c r="K156" s="163"/>
      <c r="L156" s="428">
        <v>0</v>
      </c>
      <c r="M156" s="624" t="s">
        <v>1761</v>
      </c>
      <c r="N156" s="159" t="s">
        <v>1762</v>
      </c>
      <c r="O156" s="221" t="s">
        <v>1763</v>
      </c>
      <c r="P156" s="477" t="s">
        <v>1764</v>
      </c>
      <c r="Q156" s="505" t="s">
        <v>1765</v>
      </c>
      <c r="R156" s="506">
        <v>1</v>
      </c>
      <c r="S156" s="106" t="s">
        <v>90</v>
      </c>
      <c r="T156" s="473" t="s">
        <v>1764</v>
      </c>
      <c r="U156" s="180">
        <v>349.99</v>
      </c>
      <c r="V156" s="430"/>
      <c r="W156" s="180">
        <v>349.99</v>
      </c>
      <c r="X156" s="147"/>
      <c r="Y156" s="163"/>
      <c r="Z156" s="163"/>
      <c r="AA156" s="163"/>
      <c r="AB156" s="428">
        <v>0</v>
      </c>
      <c r="AC156" s="41" t="s">
        <v>1761</v>
      </c>
      <c r="AD156" s="14" t="s">
        <v>1762</v>
      </c>
      <c r="AE156" s="157" t="s">
        <v>1763</v>
      </c>
    </row>
    <row r="157" spans="1:31" s="1" customFormat="1">
      <c r="A157" s="477" t="s">
        <v>1766</v>
      </c>
      <c r="B157" s="505" t="s">
        <v>1767</v>
      </c>
      <c r="C157" s="506">
        <v>1</v>
      </c>
      <c r="D157" s="585" t="s">
        <v>90</v>
      </c>
      <c r="E157" s="1013">
        <v>59.99</v>
      </c>
      <c r="F157" s="430"/>
      <c r="G157" s="180">
        <f t="shared" si="38"/>
        <v>59.99</v>
      </c>
      <c r="H157" s="147"/>
      <c r="I157" s="163"/>
      <c r="J157" s="163"/>
      <c r="K157" s="163"/>
      <c r="L157" s="428">
        <v>0</v>
      </c>
      <c r="M157" s="624" t="s">
        <v>1761</v>
      </c>
      <c r="N157" s="159" t="s">
        <v>1762</v>
      </c>
      <c r="O157" s="221" t="s">
        <v>1763</v>
      </c>
      <c r="P157" s="477" t="s">
        <v>1766</v>
      </c>
      <c r="Q157" s="505" t="s">
        <v>1767</v>
      </c>
      <c r="R157" s="506">
        <v>1</v>
      </c>
      <c r="S157" s="106" t="s">
        <v>90</v>
      </c>
      <c r="T157" s="473" t="s">
        <v>1766</v>
      </c>
      <c r="U157" s="180">
        <v>59.99</v>
      </c>
      <c r="V157" s="430"/>
      <c r="W157" s="180">
        <v>59.99</v>
      </c>
      <c r="X157" s="147"/>
      <c r="Y157" s="163"/>
      <c r="Z157" s="163"/>
      <c r="AA157" s="163"/>
      <c r="AB157" s="428">
        <v>0</v>
      </c>
      <c r="AC157" s="41" t="s">
        <v>1761</v>
      </c>
      <c r="AD157" s="14" t="s">
        <v>1762</v>
      </c>
      <c r="AE157" s="157" t="s">
        <v>1763</v>
      </c>
    </row>
    <row r="158" spans="1:31" s="1" customFormat="1">
      <c r="A158" s="477" t="s">
        <v>1768</v>
      </c>
      <c r="B158" s="505" t="s">
        <v>1769</v>
      </c>
      <c r="C158" s="506">
        <v>1</v>
      </c>
      <c r="D158" s="585" t="s">
        <v>90</v>
      </c>
      <c r="E158" s="1013">
        <v>59.99</v>
      </c>
      <c r="F158" s="430"/>
      <c r="G158" s="180">
        <f t="shared" si="38"/>
        <v>59.99</v>
      </c>
      <c r="H158" s="147"/>
      <c r="I158" s="163"/>
      <c r="J158" s="163"/>
      <c r="K158" s="163"/>
      <c r="L158" s="428">
        <v>0</v>
      </c>
      <c r="M158" s="624" t="s">
        <v>1761</v>
      </c>
      <c r="N158" s="159" t="s">
        <v>1762</v>
      </c>
      <c r="O158" s="221" t="s">
        <v>1763</v>
      </c>
      <c r="P158" s="477" t="s">
        <v>1768</v>
      </c>
      <c r="Q158" s="505" t="s">
        <v>1769</v>
      </c>
      <c r="R158" s="506">
        <v>1</v>
      </c>
      <c r="S158" s="106" t="s">
        <v>90</v>
      </c>
      <c r="T158" s="473" t="s">
        <v>1768</v>
      </c>
      <c r="U158" s="180">
        <v>59.99</v>
      </c>
      <c r="V158" s="430"/>
      <c r="W158" s="180">
        <v>59.99</v>
      </c>
      <c r="X158" s="147"/>
      <c r="Y158" s="163"/>
      <c r="Z158" s="163"/>
      <c r="AA158" s="163"/>
      <c r="AB158" s="428">
        <v>0</v>
      </c>
      <c r="AC158" s="41" t="s">
        <v>1761</v>
      </c>
      <c r="AD158" s="14" t="s">
        <v>1762</v>
      </c>
      <c r="AE158" s="157" t="s">
        <v>1763</v>
      </c>
    </row>
    <row r="159" spans="1:31" s="1" customFormat="1">
      <c r="A159" s="477" t="s">
        <v>1770</v>
      </c>
      <c r="B159" s="505" t="s">
        <v>1771</v>
      </c>
      <c r="C159" s="506">
        <v>1</v>
      </c>
      <c r="D159" s="585" t="s">
        <v>90</v>
      </c>
      <c r="E159" s="1013">
        <v>239.99</v>
      </c>
      <c r="F159" s="430"/>
      <c r="G159" s="180">
        <f t="shared" si="38"/>
        <v>239.99</v>
      </c>
      <c r="H159" s="147"/>
      <c r="I159" s="163"/>
      <c r="J159" s="163"/>
      <c r="K159" s="163"/>
      <c r="L159" s="428">
        <v>0</v>
      </c>
      <c r="M159" s="624" t="s">
        <v>1761</v>
      </c>
      <c r="N159" s="159" t="s">
        <v>1762</v>
      </c>
      <c r="O159" s="221" t="s">
        <v>1763</v>
      </c>
      <c r="P159" s="477" t="s">
        <v>1770</v>
      </c>
      <c r="Q159" s="505" t="s">
        <v>1771</v>
      </c>
      <c r="R159" s="506">
        <v>1</v>
      </c>
      <c r="S159" s="106" t="s">
        <v>90</v>
      </c>
      <c r="T159" s="473" t="s">
        <v>1770</v>
      </c>
      <c r="U159" s="180">
        <v>239.99</v>
      </c>
      <c r="V159" s="430"/>
      <c r="W159" s="180">
        <v>239.99</v>
      </c>
      <c r="X159" s="147"/>
      <c r="Y159" s="163"/>
      <c r="Z159" s="163"/>
      <c r="AA159" s="163"/>
      <c r="AB159" s="428">
        <v>0</v>
      </c>
      <c r="AC159" s="41" t="s">
        <v>1761</v>
      </c>
      <c r="AD159" s="14" t="s">
        <v>1762</v>
      </c>
      <c r="AE159" s="157" t="s">
        <v>1763</v>
      </c>
    </row>
    <row r="160" spans="1:31" s="1" customFormat="1">
      <c r="A160" s="477" t="s">
        <v>1772</v>
      </c>
      <c r="B160" s="505" t="s">
        <v>1773</v>
      </c>
      <c r="C160" s="506">
        <v>1</v>
      </c>
      <c r="D160" s="585" t="s">
        <v>90</v>
      </c>
      <c r="E160" s="1013">
        <v>35.99</v>
      </c>
      <c r="F160" s="430"/>
      <c r="G160" s="180">
        <f t="shared" si="38"/>
        <v>35.99</v>
      </c>
      <c r="H160" s="147"/>
      <c r="I160" s="163"/>
      <c r="J160" s="163"/>
      <c r="K160" s="163"/>
      <c r="L160" s="428">
        <v>0</v>
      </c>
      <c r="M160" s="624" t="s">
        <v>1761</v>
      </c>
      <c r="N160" s="159" t="s">
        <v>1762</v>
      </c>
      <c r="O160" s="221" t="s">
        <v>1763</v>
      </c>
      <c r="P160" s="477" t="s">
        <v>1772</v>
      </c>
      <c r="Q160" s="505" t="s">
        <v>1773</v>
      </c>
      <c r="R160" s="506">
        <v>1</v>
      </c>
      <c r="S160" s="106" t="s">
        <v>90</v>
      </c>
      <c r="T160" s="473" t="s">
        <v>1772</v>
      </c>
      <c r="U160" s="180">
        <v>35.99</v>
      </c>
      <c r="V160" s="430"/>
      <c r="W160" s="180">
        <v>35.99</v>
      </c>
      <c r="X160" s="147"/>
      <c r="Y160" s="163"/>
      <c r="Z160" s="163"/>
      <c r="AA160" s="163"/>
      <c r="AB160" s="428">
        <v>0</v>
      </c>
      <c r="AC160" s="41" t="s">
        <v>1761</v>
      </c>
      <c r="AD160" s="14" t="s">
        <v>1762</v>
      </c>
      <c r="AE160" s="157" t="s">
        <v>1763</v>
      </c>
    </row>
    <row r="161" spans="1:31" s="1" customFormat="1" ht="24" customHeight="1">
      <c r="A161" s="543" t="s">
        <v>1774</v>
      </c>
      <c r="B161" s="165"/>
      <c r="C161" s="506"/>
      <c r="D161" s="585"/>
      <c r="E161" s="1008"/>
      <c r="F161" s="500"/>
      <c r="G161" s="147"/>
      <c r="H161" s="147"/>
      <c r="I161" s="163"/>
      <c r="J161" s="163"/>
      <c r="K161" s="163"/>
      <c r="L161" s="428"/>
      <c r="M161" s="624"/>
      <c r="N161" s="159"/>
      <c r="O161" s="221"/>
      <c r="P161" s="543" t="s">
        <v>1774</v>
      </c>
      <c r="Q161" s="165"/>
      <c r="R161" s="506"/>
      <c r="S161" s="106"/>
      <c r="T161" s="147"/>
      <c r="U161" s="147"/>
      <c r="V161" s="500"/>
      <c r="W161" s="147"/>
      <c r="X161" s="147"/>
      <c r="Y161" s="163"/>
      <c r="Z161" s="163"/>
      <c r="AA161" s="163"/>
      <c r="AB161" s="428"/>
      <c r="AC161" s="41"/>
      <c r="AD161" s="14"/>
      <c r="AE161" s="157"/>
    </row>
    <row r="162" spans="1:31" s="1" customFormat="1">
      <c r="A162" s="477" t="s">
        <v>1624</v>
      </c>
      <c r="B162" s="505" t="s">
        <v>1625</v>
      </c>
      <c r="C162" s="506">
        <v>1</v>
      </c>
      <c r="D162" s="585" t="s">
        <v>90</v>
      </c>
      <c r="E162" s="1013">
        <v>20.82</v>
      </c>
      <c r="F162" s="430">
        <f>rv_apple_acc_ipad</f>
        <v>0.15</v>
      </c>
      <c r="G162" s="180">
        <f t="shared" ref="G162:G164" si="39">E162-(E162*F162)</f>
        <v>17.696999999999999</v>
      </c>
      <c r="H162" s="147"/>
      <c r="I162" s="163"/>
      <c r="J162" s="163"/>
      <c r="K162" s="163"/>
      <c r="L162" s="428">
        <v>0.01</v>
      </c>
      <c r="M162" s="624" t="s">
        <v>1223</v>
      </c>
      <c r="N162" s="158" t="s">
        <v>700</v>
      </c>
      <c r="O162" s="417" t="s">
        <v>1224</v>
      </c>
      <c r="P162" s="477" t="s">
        <v>1624</v>
      </c>
      <c r="Q162" s="505" t="s">
        <v>1625</v>
      </c>
      <c r="R162" s="506">
        <v>1</v>
      </c>
      <c r="S162" s="106" t="s">
        <v>90</v>
      </c>
      <c r="T162" s="473" t="s">
        <v>1624</v>
      </c>
      <c r="U162" s="180">
        <v>20.82</v>
      </c>
      <c r="V162" s="430">
        <v>0.15</v>
      </c>
      <c r="W162" s="180">
        <v>17.696999999999999</v>
      </c>
      <c r="X162" s="147"/>
      <c r="Y162" s="163"/>
      <c r="Z162" s="163"/>
      <c r="AA162" s="163"/>
      <c r="AB162" s="428">
        <v>0.01</v>
      </c>
      <c r="AC162" s="41" t="s">
        <v>1223</v>
      </c>
      <c r="AD162" s="42" t="s">
        <v>700</v>
      </c>
      <c r="AE162" s="416" t="s">
        <v>1224</v>
      </c>
    </row>
    <row r="163" spans="1:31" s="1" customFormat="1">
      <c r="A163" s="477" t="s">
        <v>1626</v>
      </c>
      <c r="B163" s="505" t="s">
        <v>1627</v>
      </c>
      <c r="C163" s="506">
        <v>1</v>
      </c>
      <c r="D163" s="585" t="s">
        <v>90</v>
      </c>
      <c r="E163" s="1013">
        <v>20.83</v>
      </c>
      <c r="F163" s="430">
        <f>rv_apple_acc_mac</f>
        <v>0.09</v>
      </c>
      <c r="G163" s="180">
        <f t="shared" si="39"/>
        <v>18.955299999999998</v>
      </c>
      <c r="H163" s="147"/>
      <c r="I163" s="163"/>
      <c r="J163" s="163"/>
      <c r="K163" s="163"/>
      <c r="L163" s="428">
        <v>0.01</v>
      </c>
      <c r="M163" s="624" t="s">
        <v>1223</v>
      </c>
      <c r="N163" s="158" t="s">
        <v>700</v>
      </c>
      <c r="O163" s="417" t="s">
        <v>1224</v>
      </c>
      <c r="P163" s="477" t="s">
        <v>1626</v>
      </c>
      <c r="Q163" s="505" t="s">
        <v>1627</v>
      </c>
      <c r="R163" s="506">
        <v>1</v>
      </c>
      <c r="S163" s="106" t="s">
        <v>90</v>
      </c>
      <c r="T163" s="473" t="s">
        <v>1626</v>
      </c>
      <c r="U163" s="180">
        <v>20.83</v>
      </c>
      <c r="V163" s="430">
        <v>0.09</v>
      </c>
      <c r="W163" s="180">
        <v>18.955299999999998</v>
      </c>
      <c r="X163" s="147"/>
      <c r="Y163" s="163"/>
      <c r="Z163" s="163"/>
      <c r="AA163" s="163"/>
      <c r="AB163" s="428">
        <v>0.01</v>
      </c>
      <c r="AC163" s="41" t="s">
        <v>1223</v>
      </c>
      <c r="AD163" s="42" t="s">
        <v>700</v>
      </c>
      <c r="AE163" s="416" t="s">
        <v>1224</v>
      </c>
    </row>
    <row r="164" spans="1:31" s="1" customFormat="1">
      <c r="A164" s="477" t="s">
        <v>1616</v>
      </c>
      <c r="B164" s="505" t="s">
        <v>1775</v>
      </c>
      <c r="C164" s="506">
        <v>1</v>
      </c>
      <c r="D164" s="585" t="s">
        <v>90</v>
      </c>
      <c r="E164" s="1013">
        <v>37.5</v>
      </c>
      <c r="F164" s="430">
        <f>rv_apple_acc_ipad</f>
        <v>0.15</v>
      </c>
      <c r="G164" s="180">
        <f t="shared" si="39"/>
        <v>31.875</v>
      </c>
      <c r="H164" s="147"/>
      <c r="I164" s="163"/>
      <c r="J164" s="163"/>
      <c r="K164" s="163"/>
      <c r="L164" s="428">
        <v>0.01</v>
      </c>
      <c r="M164" s="624" t="s">
        <v>1223</v>
      </c>
      <c r="N164" s="158" t="s">
        <v>700</v>
      </c>
      <c r="O164" s="417" t="s">
        <v>1224</v>
      </c>
      <c r="P164" s="477" t="s">
        <v>1616</v>
      </c>
      <c r="Q164" s="505" t="s">
        <v>1775</v>
      </c>
      <c r="R164" s="506">
        <v>1</v>
      </c>
      <c r="S164" s="106" t="s">
        <v>90</v>
      </c>
      <c r="T164" s="473" t="s">
        <v>1616</v>
      </c>
      <c r="U164" s="180">
        <v>37.5</v>
      </c>
      <c r="V164" s="430">
        <v>0.15</v>
      </c>
      <c r="W164" s="180">
        <v>31.875</v>
      </c>
      <c r="X164" s="147"/>
      <c r="Y164" s="163"/>
      <c r="Z164" s="163"/>
      <c r="AA164" s="163"/>
      <c r="AB164" s="428">
        <v>0.01</v>
      </c>
      <c r="AC164" s="41" t="s">
        <v>1223</v>
      </c>
      <c r="AD164" s="42" t="s">
        <v>700</v>
      </c>
      <c r="AE164" s="416" t="s">
        <v>1224</v>
      </c>
    </row>
    <row r="165" spans="1:31" s="1" customFormat="1">
      <c r="A165" s="684" t="s">
        <v>3150</v>
      </c>
      <c r="B165" s="685" t="s">
        <v>3152</v>
      </c>
      <c r="C165" s="686">
        <v>1</v>
      </c>
      <c r="D165" s="693" t="s">
        <v>1670</v>
      </c>
      <c r="E165" s="1016">
        <v>83.33</v>
      </c>
      <c r="F165" s="161">
        <f>rv_10</f>
        <v>0.1</v>
      </c>
      <c r="G165" s="268">
        <f>E165-(E165*F165)</f>
        <v>74.997</v>
      </c>
      <c r="H165" s="688"/>
      <c r="I165" s="215"/>
      <c r="J165" s="215"/>
      <c r="K165" s="215"/>
      <c r="L165" s="44">
        <v>0.01</v>
      </c>
      <c r="M165" s="624" t="s">
        <v>1223</v>
      </c>
      <c r="N165" s="158" t="s">
        <v>700</v>
      </c>
      <c r="O165" s="417" t="s">
        <v>1224</v>
      </c>
      <c r="P165" s="477"/>
      <c r="Q165" s="505"/>
      <c r="R165" s="506"/>
      <c r="S165" s="106"/>
      <c r="T165" s="473"/>
      <c r="U165" s="180"/>
      <c r="V165" s="430"/>
      <c r="W165" s="180"/>
      <c r="X165" s="147"/>
      <c r="Y165" s="163"/>
      <c r="Z165" s="163"/>
      <c r="AA165" s="163"/>
      <c r="AB165" s="428"/>
      <c r="AC165" s="41"/>
      <c r="AD165" s="14"/>
      <c r="AE165" s="157"/>
    </row>
    <row r="166" spans="1:31" s="1" customFormat="1">
      <c r="A166" s="684" t="s">
        <v>3151</v>
      </c>
      <c r="B166" s="685" t="s">
        <v>3153</v>
      </c>
      <c r="C166" s="686">
        <v>1</v>
      </c>
      <c r="D166" s="693" t="s">
        <v>1670</v>
      </c>
      <c r="E166" s="1016">
        <v>29.16</v>
      </c>
      <c r="F166" s="161">
        <f t="shared" ref="F166:F169" si="40">rv_20</f>
        <v>0.2</v>
      </c>
      <c r="G166" s="268">
        <f>E166-(E166*F166)</f>
        <v>23.327999999999999</v>
      </c>
      <c r="H166" s="688"/>
      <c r="I166" s="215"/>
      <c r="J166" s="215"/>
      <c r="K166" s="215"/>
      <c r="L166" s="44">
        <v>0.01</v>
      </c>
      <c r="M166" s="624" t="s">
        <v>1223</v>
      </c>
      <c r="N166" s="158" t="s">
        <v>700</v>
      </c>
      <c r="O166" s="417" t="s">
        <v>1224</v>
      </c>
      <c r="P166" s="477"/>
      <c r="Q166" s="505"/>
      <c r="R166" s="506"/>
      <c r="S166" s="106"/>
      <c r="T166" s="473"/>
      <c r="U166" s="180"/>
      <c r="V166" s="430"/>
      <c r="W166" s="180"/>
      <c r="X166" s="147"/>
      <c r="Y166" s="163"/>
      <c r="Z166" s="163"/>
      <c r="AA166" s="163"/>
      <c r="AB166" s="428"/>
      <c r="AC166" s="41"/>
      <c r="AD166" s="42"/>
      <c r="AE166" s="416"/>
    </row>
    <row r="167" spans="1:31" s="1" customFormat="1">
      <c r="A167" s="684" t="s">
        <v>3154</v>
      </c>
      <c r="B167" s="685" t="s">
        <v>3174</v>
      </c>
      <c r="C167" s="686">
        <v>1</v>
      </c>
      <c r="D167" s="693" t="s">
        <v>1670</v>
      </c>
      <c r="E167" s="1016">
        <v>24.99</v>
      </c>
      <c r="F167" s="161">
        <f t="shared" si="40"/>
        <v>0.2</v>
      </c>
      <c r="G167" s="268">
        <f>E167-(E167*F167)</f>
        <v>19.991999999999997</v>
      </c>
      <c r="H167" s="688"/>
      <c r="I167" s="215"/>
      <c r="J167" s="215"/>
      <c r="K167" s="215"/>
      <c r="L167" s="44">
        <v>0.01</v>
      </c>
      <c r="M167" s="624" t="s">
        <v>1223</v>
      </c>
      <c r="N167" s="158" t="s">
        <v>700</v>
      </c>
      <c r="O167" s="417" t="s">
        <v>1224</v>
      </c>
      <c r="P167" s="477"/>
      <c r="Q167" s="505"/>
      <c r="R167" s="506"/>
      <c r="S167" s="106"/>
      <c r="T167" s="473"/>
      <c r="U167" s="180"/>
      <c r="V167" s="430"/>
      <c r="W167" s="180"/>
      <c r="X167" s="147"/>
      <c r="Y167" s="163"/>
      <c r="Z167" s="163"/>
      <c r="AA167" s="163"/>
      <c r="AB167" s="428"/>
      <c r="AC167" s="41"/>
      <c r="AD167" s="14"/>
      <c r="AE167" s="157"/>
    </row>
    <row r="168" spans="1:31" s="1" customFormat="1">
      <c r="A168" s="684" t="s">
        <v>3177</v>
      </c>
      <c r="B168" s="685" t="s">
        <v>3178</v>
      </c>
      <c r="C168" s="686">
        <v>1</v>
      </c>
      <c r="D168" s="693" t="s">
        <v>1670</v>
      </c>
      <c r="E168" s="1016">
        <v>44.99</v>
      </c>
      <c r="F168" s="161">
        <f t="shared" si="40"/>
        <v>0.2</v>
      </c>
      <c r="G168" s="268">
        <f>E168-(E168*F168)</f>
        <v>35.992000000000004</v>
      </c>
      <c r="H168" s="688"/>
      <c r="I168" s="215"/>
      <c r="J168" s="215"/>
      <c r="K168" s="215"/>
      <c r="L168" s="44">
        <v>0.01</v>
      </c>
      <c r="M168" s="624" t="s">
        <v>1223</v>
      </c>
      <c r="N168" s="158" t="s">
        <v>700</v>
      </c>
      <c r="O168" s="417" t="s">
        <v>1224</v>
      </c>
      <c r="P168" s="477"/>
      <c r="Q168" s="505"/>
      <c r="R168" s="506"/>
      <c r="S168" s="106"/>
      <c r="T168" s="473"/>
      <c r="U168" s="180"/>
      <c r="V168" s="430"/>
      <c r="W168" s="180"/>
      <c r="X168" s="147"/>
      <c r="Y168" s="163"/>
      <c r="Z168" s="163"/>
      <c r="AA168" s="163"/>
      <c r="AB168" s="428"/>
      <c r="AC168" s="41"/>
      <c r="AD168" s="14"/>
      <c r="AE168" s="157"/>
    </row>
    <row r="169" spans="1:31" s="1" customFormat="1">
      <c r="A169" s="684" t="s">
        <v>3175</v>
      </c>
      <c r="B169" s="685" t="s">
        <v>3176</v>
      </c>
      <c r="C169" s="686">
        <v>1</v>
      </c>
      <c r="D169" s="693" t="s">
        <v>1670</v>
      </c>
      <c r="E169" s="1016">
        <v>24.99</v>
      </c>
      <c r="F169" s="161">
        <f t="shared" si="40"/>
        <v>0.2</v>
      </c>
      <c r="G169" s="268">
        <f>E169-(E169*F169)</f>
        <v>19.991999999999997</v>
      </c>
      <c r="H169" s="688"/>
      <c r="I169" s="215"/>
      <c r="J169" s="215"/>
      <c r="K169" s="215"/>
      <c r="L169" s="44">
        <v>0.01</v>
      </c>
      <c r="M169" s="624" t="s">
        <v>1223</v>
      </c>
      <c r="N169" s="158" t="s">
        <v>700</v>
      </c>
      <c r="O169" s="417" t="s">
        <v>1224</v>
      </c>
      <c r="P169" s="477"/>
      <c r="Q169" s="505"/>
      <c r="R169" s="506"/>
      <c r="S169" s="106"/>
      <c r="T169" s="473"/>
      <c r="U169" s="180"/>
      <c r="V169" s="430"/>
      <c r="W169" s="180"/>
      <c r="X169" s="147"/>
      <c r="Y169" s="163"/>
      <c r="Z169" s="163"/>
      <c r="AA169" s="163"/>
      <c r="AB169" s="428"/>
      <c r="AC169" s="41"/>
      <c r="AD169" s="42"/>
      <c r="AE169" s="416"/>
    </row>
    <row r="170" spans="1:31" s="1" customFormat="1" ht="27.95" customHeight="1">
      <c r="A170" s="543" t="s">
        <v>1776</v>
      </c>
      <c r="B170" s="582"/>
      <c r="C170" s="506"/>
      <c r="D170" s="585"/>
      <c r="E170" s="1013"/>
      <c r="F170" s="542"/>
      <c r="G170" s="180"/>
      <c r="H170" s="147"/>
      <c r="I170" s="163"/>
      <c r="J170" s="163"/>
      <c r="K170" s="163"/>
      <c r="L170" s="428"/>
      <c r="M170" s="624"/>
      <c r="N170" s="159"/>
      <c r="O170" s="221"/>
      <c r="P170" s="543" t="s">
        <v>1776</v>
      </c>
      <c r="Q170" s="582"/>
      <c r="R170" s="506"/>
      <c r="S170" s="106"/>
      <c r="T170" s="540"/>
      <c r="U170" s="180"/>
      <c r="V170" s="542"/>
      <c r="W170" s="180"/>
      <c r="X170" s="147"/>
      <c r="Y170" s="163"/>
      <c r="Z170" s="163"/>
      <c r="AA170" s="163"/>
      <c r="AB170" s="428"/>
      <c r="AC170" s="41"/>
      <c r="AD170" s="14"/>
      <c r="AE170" s="157"/>
    </row>
    <row r="171" spans="1:31" s="90" customFormat="1">
      <c r="A171" s="477" t="s">
        <v>1793</v>
      </c>
      <c r="B171" s="505" t="s">
        <v>1794</v>
      </c>
      <c r="C171" s="506">
        <v>1</v>
      </c>
      <c r="D171" s="585" t="s">
        <v>90</v>
      </c>
      <c r="E171" s="1013">
        <v>45.83</v>
      </c>
      <c r="F171" s="542">
        <f t="shared" si="22"/>
        <v>0.09</v>
      </c>
      <c r="G171" s="180">
        <f t="shared" ref="G171" si="41">E171-(E171*F171)</f>
        <v>41.705300000000001</v>
      </c>
      <c r="H171" s="531"/>
      <c r="I171" s="532"/>
      <c r="J171" s="532"/>
      <c r="K171" s="532"/>
      <c r="L171" s="428">
        <v>0.01</v>
      </c>
      <c r="M171" s="624" t="s">
        <v>1223</v>
      </c>
      <c r="N171" s="158" t="s">
        <v>700</v>
      </c>
      <c r="O171" s="417" t="s">
        <v>1224</v>
      </c>
      <c r="P171" s="477" t="s">
        <v>1793</v>
      </c>
      <c r="Q171" s="505" t="s">
        <v>1794</v>
      </c>
      <c r="R171" s="506">
        <v>1</v>
      </c>
      <c r="S171" s="585" t="s">
        <v>90</v>
      </c>
      <c r="T171" s="508" t="s">
        <v>1793</v>
      </c>
      <c r="U171" s="504">
        <v>45.83</v>
      </c>
      <c r="V171" s="542">
        <v>0.09</v>
      </c>
      <c r="W171" s="180">
        <v>41.705300000000001</v>
      </c>
      <c r="X171" s="531"/>
      <c r="Y171" s="532"/>
      <c r="Z171" s="532"/>
      <c r="AA171" s="532"/>
      <c r="AB171" s="428">
        <v>0.01</v>
      </c>
      <c r="AC171" s="41" t="s">
        <v>1223</v>
      </c>
      <c r="AD171" s="42" t="s">
        <v>700</v>
      </c>
      <c r="AE171" s="416" t="s">
        <v>1224</v>
      </c>
    </row>
    <row r="172" spans="1:31" s="90" customFormat="1">
      <c r="A172" s="477" t="s">
        <v>1795</v>
      </c>
      <c r="B172" s="505" t="s">
        <v>1796</v>
      </c>
      <c r="C172" s="506">
        <v>1</v>
      </c>
      <c r="D172" s="585" t="s">
        <v>90</v>
      </c>
      <c r="E172" s="1013">
        <v>20.83</v>
      </c>
      <c r="F172" s="542">
        <f t="shared" si="22"/>
        <v>0.09</v>
      </c>
      <c r="G172" s="180">
        <f t="shared" ref="G172" si="42">E172-(E172*F172)</f>
        <v>18.955299999999998</v>
      </c>
      <c r="H172" s="531"/>
      <c r="I172" s="532"/>
      <c r="J172" s="532"/>
      <c r="K172" s="532"/>
      <c r="L172" s="513">
        <v>0.05</v>
      </c>
      <c r="M172" s="624" t="s">
        <v>1223</v>
      </c>
      <c r="N172" s="158" t="s">
        <v>700</v>
      </c>
      <c r="O172" s="417" t="s">
        <v>1224</v>
      </c>
      <c r="P172" s="477" t="s">
        <v>1795</v>
      </c>
      <c r="Q172" s="505" t="s">
        <v>1796</v>
      </c>
      <c r="R172" s="506">
        <v>1</v>
      </c>
      <c r="S172" s="585" t="s">
        <v>90</v>
      </c>
      <c r="T172" s="473" t="s">
        <v>1795</v>
      </c>
      <c r="U172" s="504">
        <v>20.83</v>
      </c>
      <c r="V172" s="542">
        <v>0.09</v>
      </c>
      <c r="W172" s="180">
        <v>18.955299999999998</v>
      </c>
      <c r="X172" s="531"/>
      <c r="Y172" s="532"/>
      <c r="Z172" s="532"/>
      <c r="AA172" s="532"/>
      <c r="AB172" s="513">
        <v>0.05</v>
      </c>
      <c r="AC172" s="41" t="s">
        <v>1223</v>
      </c>
      <c r="AD172" s="42" t="s">
        <v>700</v>
      </c>
      <c r="AE172" s="416" t="s">
        <v>1224</v>
      </c>
    </row>
    <row r="173" spans="1:31" s="90" customFormat="1">
      <c r="A173" s="510" t="s">
        <v>1801</v>
      </c>
      <c r="B173" s="529" t="s">
        <v>1802</v>
      </c>
      <c r="C173" s="512">
        <v>1</v>
      </c>
      <c r="D173" s="592" t="s">
        <v>90</v>
      </c>
      <c r="E173" s="1012">
        <v>9.32</v>
      </c>
      <c r="F173" s="514">
        <f>rv_apple_acc_mac</f>
        <v>0.09</v>
      </c>
      <c r="G173" s="534">
        <f t="shared" ref="G173:G193" si="43">E173-(E173*F173)</f>
        <v>8.4812000000000012</v>
      </c>
      <c r="H173" s="531"/>
      <c r="I173" s="532"/>
      <c r="J173" s="532"/>
      <c r="K173" s="532"/>
      <c r="L173" s="513">
        <v>0.01</v>
      </c>
      <c r="M173" s="624" t="s">
        <v>1223</v>
      </c>
      <c r="N173" s="158" t="s">
        <v>700</v>
      </c>
      <c r="O173" s="417" t="s">
        <v>1224</v>
      </c>
      <c r="P173" s="510" t="s">
        <v>1801</v>
      </c>
      <c r="Q173" s="529" t="s">
        <v>1802</v>
      </c>
      <c r="R173" s="512">
        <v>1</v>
      </c>
      <c r="S173" s="515" t="s">
        <v>90</v>
      </c>
      <c r="T173" s="518" t="s">
        <v>1801</v>
      </c>
      <c r="U173" s="534">
        <v>9.32</v>
      </c>
      <c r="V173" s="514">
        <v>0.09</v>
      </c>
      <c r="W173" s="534">
        <v>8.4812000000000012</v>
      </c>
      <c r="X173" s="531"/>
      <c r="Y173" s="532"/>
      <c r="Z173" s="532"/>
      <c r="AA173" s="532"/>
      <c r="AB173" s="513">
        <v>0.01</v>
      </c>
      <c r="AC173" s="41" t="s">
        <v>1223</v>
      </c>
      <c r="AD173" s="42" t="s">
        <v>700</v>
      </c>
      <c r="AE173" s="416" t="s">
        <v>1224</v>
      </c>
    </row>
    <row r="174" spans="1:31" s="90" customFormat="1">
      <c r="A174" s="510" t="s">
        <v>1803</v>
      </c>
      <c r="B174" s="529" t="s">
        <v>1804</v>
      </c>
      <c r="C174" s="512">
        <v>1</v>
      </c>
      <c r="D174" s="592" t="s">
        <v>90</v>
      </c>
      <c r="E174" s="1012">
        <v>29.15</v>
      </c>
      <c r="F174" s="514">
        <f>rv_apple_acc_mac</f>
        <v>0.09</v>
      </c>
      <c r="G174" s="534">
        <f t="shared" si="43"/>
        <v>26.526499999999999</v>
      </c>
      <c r="H174" s="531"/>
      <c r="I174" s="532"/>
      <c r="J174" s="532"/>
      <c r="K174" s="532"/>
      <c r="L174" s="513">
        <v>0.02</v>
      </c>
      <c r="M174" s="624" t="s">
        <v>1223</v>
      </c>
      <c r="N174" s="158" t="s">
        <v>700</v>
      </c>
      <c r="O174" s="417" t="s">
        <v>1224</v>
      </c>
      <c r="P174" s="510" t="s">
        <v>1803</v>
      </c>
      <c r="Q174" s="529" t="s">
        <v>1804</v>
      </c>
      <c r="R174" s="512">
        <v>1</v>
      </c>
      <c r="S174" s="515" t="s">
        <v>90</v>
      </c>
      <c r="T174" s="518" t="s">
        <v>1803</v>
      </c>
      <c r="U174" s="534">
        <v>29.15</v>
      </c>
      <c r="V174" s="514">
        <v>0.09</v>
      </c>
      <c r="W174" s="534">
        <v>26.526499999999999</v>
      </c>
      <c r="X174" s="531"/>
      <c r="Y174" s="532"/>
      <c r="Z174" s="532"/>
      <c r="AA174" s="532"/>
      <c r="AB174" s="513">
        <v>0.02</v>
      </c>
      <c r="AC174" s="41" t="s">
        <v>1223</v>
      </c>
      <c r="AD174" s="42" t="s">
        <v>700</v>
      </c>
      <c r="AE174" s="416" t="s">
        <v>1224</v>
      </c>
    </row>
    <row r="175" spans="1:31" s="90" customFormat="1">
      <c r="A175" s="510" t="s">
        <v>1805</v>
      </c>
      <c r="B175" s="529" t="s">
        <v>1806</v>
      </c>
      <c r="C175" s="512">
        <v>1</v>
      </c>
      <c r="D175" s="592" t="s">
        <v>90</v>
      </c>
      <c r="E175" s="1012">
        <v>29.16</v>
      </c>
      <c r="F175" s="514">
        <f>rv_apple_acc_mac</f>
        <v>0.09</v>
      </c>
      <c r="G175" s="534">
        <f t="shared" si="43"/>
        <v>26.535599999999999</v>
      </c>
      <c r="H175" s="531"/>
      <c r="I175" s="532"/>
      <c r="J175" s="532"/>
      <c r="K175" s="532"/>
      <c r="L175" s="513">
        <v>0.01</v>
      </c>
      <c r="M175" s="624" t="s">
        <v>1223</v>
      </c>
      <c r="N175" s="158" t="s">
        <v>700</v>
      </c>
      <c r="O175" s="417" t="s">
        <v>1224</v>
      </c>
      <c r="P175" s="510" t="s">
        <v>1805</v>
      </c>
      <c r="Q175" s="529" t="s">
        <v>1806</v>
      </c>
      <c r="R175" s="512">
        <v>1</v>
      </c>
      <c r="S175" s="515" t="s">
        <v>90</v>
      </c>
      <c r="T175" s="518" t="s">
        <v>1805</v>
      </c>
      <c r="U175" s="534">
        <v>29.16</v>
      </c>
      <c r="V175" s="514">
        <v>0.09</v>
      </c>
      <c r="W175" s="534">
        <v>26.535599999999999</v>
      </c>
      <c r="X175" s="531"/>
      <c r="Y175" s="532"/>
      <c r="Z175" s="532"/>
      <c r="AA175" s="532"/>
      <c r="AB175" s="513">
        <v>0.01</v>
      </c>
      <c r="AC175" s="41" t="s">
        <v>1223</v>
      </c>
      <c r="AD175" s="42" t="s">
        <v>700</v>
      </c>
      <c r="AE175" s="416" t="s">
        <v>1224</v>
      </c>
    </row>
    <row r="176" spans="1:31" s="90" customFormat="1">
      <c r="A176" s="510" t="s">
        <v>1807</v>
      </c>
      <c r="B176" s="529" t="s">
        <v>1808</v>
      </c>
      <c r="C176" s="512">
        <v>1</v>
      </c>
      <c r="D176" s="592" t="s">
        <v>90</v>
      </c>
      <c r="E176" s="1012">
        <v>29.15</v>
      </c>
      <c r="F176" s="514">
        <f>rv_apple_acc_mac</f>
        <v>0.09</v>
      </c>
      <c r="G176" s="534">
        <f t="shared" si="43"/>
        <v>26.526499999999999</v>
      </c>
      <c r="H176" s="531"/>
      <c r="I176" s="532"/>
      <c r="J176" s="532"/>
      <c r="K176" s="532"/>
      <c r="L176" s="513">
        <v>0.02</v>
      </c>
      <c r="M176" s="624" t="s">
        <v>1223</v>
      </c>
      <c r="N176" s="158" t="s">
        <v>700</v>
      </c>
      <c r="O176" s="417" t="s">
        <v>1224</v>
      </c>
      <c r="P176" s="510" t="s">
        <v>1807</v>
      </c>
      <c r="Q176" s="529" t="s">
        <v>1808</v>
      </c>
      <c r="R176" s="512">
        <v>1</v>
      </c>
      <c r="S176" s="515" t="s">
        <v>90</v>
      </c>
      <c r="T176" s="518" t="s">
        <v>1807</v>
      </c>
      <c r="U176" s="534">
        <v>29.15</v>
      </c>
      <c r="V176" s="514">
        <v>0.09</v>
      </c>
      <c r="W176" s="534">
        <v>26.526499999999999</v>
      </c>
      <c r="X176" s="531"/>
      <c r="Y176" s="532"/>
      <c r="Z176" s="532"/>
      <c r="AA176" s="532"/>
      <c r="AB176" s="513">
        <v>0.02</v>
      </c>
      <c r="AC176" s="41" t="s">
        <v>1223</v>
      </c>
      <c r="AD176" s="42" t="s">
        <v>700</v>
      </c>
      <c r="AE176" s="416" t="s">
        <v>1224</v>
      </c>
    </row>
    <row r="177" spans="1:31" s="90" customFormat="1">
      <c r="A177" s="510">
        <v>84315</v>
      </c>
      <c r="B177" s="529" t="s">
        <v>1809</v>
      </c>
      <c r="C177" s="512">
        <v>1</v>
      </c>
      <c r="D177" s="592" t="s">
        <v>1810</v>
      </c>
      <c r="E177" s="1012">
        <v>39.15</v>
      </c>
      <c r="F177" s="514">
        <f>rv_30</f>
        <v>0.3</v>
      </c>
      <c r="G177" s="534">
        <f t="shared" si="43"/>
        <v>27.405000000000001</v>
      </c>
      <c r="H177" s="531"/>
      <c r="I177" s="532"/>
      <c r="J177" s="532"/>
      <c r="K177" s="532"/>
      <c r="L177" s="513">
        <v>0</v>
      </c>
      <c r="M177" s="624" t="s">
        <v>1223</v>
      </c>
      <c r="N177" s="158" t="s">
        <v>700</v>
      </c>
      <c r="O177" s="417" t="s">
        <v>1224</v>
      </c>
      <c r="P177" s="510">
        <v>84315</v>
      </c>
      <c r="Q177" s="529" t="s">
        <v>1809</v>
      </c>
      <c r="R177" s="512">
        <v>1</v>
      </c>
      <c r="S177" s="515" t="s">
        <v>1810</v>
      </c>
      <c r="T177" s="518">
        <v>84315</v>
      </c>
      <c r="U177" s="534">
        <v>39.15</v>
      </c>
      <c r="V177" s="514">
        <v>0.3</v>
      </c>
      <c r="W177" s="534">
        <v>27.405000000000001</v>
      </c>
      <c r="X177" s="531"/>
      <c r="Y177" s="532"/>
      <c r="Z177" s="532"/>
      <c r="AA177" s="532"/>
      <c r="AB177" s="513">
        <v>0</v>
      </c>
      <c r="AC177" s="41" t="s">
        <v>1223</v>
      </c>
      <c r="AD177" s="42" t="s">
        <v>700</v>
      </c>
      <c r="AE177" s="416" t="s">
        <v>1224</v>
      </c>
    </row>
    <row r="178" spans="1:31" s="90" customFormat="1">
      <c r="A178" s="510" t="s">
        <v>1811</v>
      </c>
      <c r="B178" s="529" t="s">
        <v>1812</v>
      </c>
      <c r="C178" s="512">
        <v>1</v>
      </c>
      <c r="D178" s="592" t="s">
        <v>1813</v>
      </c>
      <c r="E178" s="1012">
        <v>11.99</v>
      </c>
      <c r="F178" s="514">
        <f>rv_10</f>
        <v>0.1</v>
      </c>
      <c r="G178" s="534">
        <f t="shared" si="43"/>
        <v>10.791</v>
      </c>
      <c r="H178" s="531"/>
      <c r="I178" s="532"/>
      <c r="J178" s="532"/>
      <c r="K178" s="532"/>
      <c r="L178" s="513">
        <v>0.02</v>
      </c>
      <c r="M178" s="624" t="s">
        <v>1223</v>
      </c>
      <c r="N178" s="158" t="s">
        <v>700</v>
      </c>
      <c r="O178" s="417" t="s">
        <v>1224</v>
      </c>
      <c r="P178" s="510" t="s">
        <v>1811</v>
      </c>
      <c r="Q178" s="529" t="s">
        <v>1812</v>
      </c>
      <c r="R178" s="512">
        <v>1</v>
      </c>
      <c r="S178" s="515" t="s">
        <v>1813</v>
      </c>
      <c r="T178" s="518" t="s">
        <v>1811</v>
      </c>
      <c r="U178" s="534">
        <v>11.99</v>
      </c>
      <c r="V178" s="514">
        <v>0.1</v>
      </c>
      <c r="W178" s="534">
        <v>10.791</v>
      </c>
      <c r="X178" s="531"/>
      <c r="Y178" s="532"/>
      <c r="Z178" s="532"/>
      <c r="AA178" s="532"/>
      <c r="AB178" s="513">
        <v>0.02</v>
      </c>
      <c r="AC178" s="41" t="s">
        <v>1223</v>
      </c>
      <c r="AD178" s="42" t="s">
        <v>700</v>
      </c>
      <c r="AE178" s="416" t="s">
        <v>1224</v>
      </c>
    </row>
    <row r="179" spans="1:31" s="90" customFormat="1">
      <c r="A179" s="510" t="s">
        <v>1814</v>
      </c>
      <c r="B179" s="529" t="s">
        <v>1815</v>
      </c>
      <c r="C179" s="512">
        <v>1</v>
      </c>
      <c r="D179" s="592" t="s">
        <v>1813</v>
      </c>
      <c r="E179" s="1012">
        <v>43.99</v>
      </c>
      <c r="F179" s="514">
        <f>rv_10</f>
        <v>0.1</v>
      </c>
      <c r="G179" s="534">
        <f t="shared" si="43"/>
        <v>39.591000000000001</v>
      </c>
      <c r="H179" s="531"/>
      <c r="I179" s="532"/>
      <c r="J179" s="532"/>
      <c r="K179" s="532"/>
      <c r="L179" s="428">
        <v>0.01</v>
      </c>
      <c r="M179" s="624" t="s">
        <v>1223</v>
      </c>
      <c r="N179" s="158" t="s">
        <v>700</v>
      </c>
      <c r="O179" s="417" t="s">
        <v>1224</v>
      </c>
      <c r="P179" s="510" t="s">
        <v>1814</v>
      </c>
      <c r="Q179" s="529" t="s">
        <v>1815</v>
      </c>
      <c r="R179" s="512">
        <v>1</v>
      </c>
      <c r="S179" s="515" t="s">
        <v>1813</v>
      </c>
      <c r="T179" s="518" t="s">
        <v>1814</v>
      </c>
      <c r="U179" s="534">
        <v>43.99</v>
      </c>
      <c r="V179" s="514">
        <v>0.1</v>
      </c>
      <c r="W179" s="534">
        <v>39.591000000000001</v>
      </c>
      <c r="X179" s="531"/>
      <c r="Y179" s="532"/>
      <c r="Z179" s="532"/>
      <c r="AA179" s="532"/>
      <c r="AB179" s="428">
        <v>0.01</v>
      </c>
      <c r="AC179" s="41" t="s">
        <v>1223</v>
      </c>
      <c r="AD179" s="42" t="s">
        <v>700</v>
      </c>
      <c r="AE179" s="416" t="s">
        <v>1224</v>
      </c>
    </row>
    <row r="180" spans="1:31" s="90" customFormat="1">
      <c r="A180" s="566" t="s">
        <v>1816</v>
      </c>
      <c r="B180" s="505" t="s">
        <v>1817</v>
      </c>
      <c r="C180" s="512">
        <v>1</v>
      </c>
      <c r="D180" s="592" t="s">
        <v>1813</v>
      </c>
      <c r="E180" s="1012">
        <v>41.99</v>
      </c>
      <c r="F180" s="514">
        <f>rv_10</f>
        <v>0.1</v>
      </c>
      <c r="G180" s="534">
        <f t="shared" ref="G180" si="44">E180-(E180*F180)</f>
        <v>37.791000000000004</v>
      </c>
      <c r="H180" s="531"/>
      <c r="I180" s="532"/>
      <c r="J180" s="532"/>
      <c r="K180" s="532"/>
      <c r="L180" s="428">
        <v>0.01</v>
      </c>
      <c r="M180" s="624" t="s">
        <v>1223</v>
      </c>
      <c r="N180" s="158" t="s">
        <v>700</v>
      </c>
      <c r="O180" s="417" t="s">
        <v>1224</v>
      </c>
      <c r="P180" s="566" t="s">
        <v>1816</v>
      </c>
      <c r="Q180" s="505" t="s">
        <v>1817</v>
      </c>
      <c r="R180" s="512">
        <v>1</v>
      </c>
      <c r="S180" s="515" t="s">
        <v>1813</v>
      </c>
      <c r="T180" s="518" t="s">
        <v>1814</v>
      </c>
      <c r="U180" s="534">
        <v>41.99</v>
      </c>
      <c r="V180" s="514">
        <v>0.1</v>
      </c>
      <c r="W180" s="534">
        <v>37.791000000000004</v>
      </c>
      <c r="X180" s="531"/>
      <c r="Y180" s="532"/>
      <c r="Z180" s="532"/>
      <c r="AA180" s="532"/>
      <c r="AB180" s="428">
        <v>0.01</v>
      </c>
      <c r="AC180" s="41" t="s">
        <v>1223</v>
      </c>
      <c r="AD180" s="42" t="s">
        <v>700</v>
      </c>
      <c r="AE180" s="416" t="s">
        <v>1224</v>
      </c>
    </row>
    <row r="181" spans="1:31" s="155" customFormat="1" ht="39" customHeight="1">
      <c r="A181" s="567" t="s">
        <v>1818</v>
      </c>
      <c r="B181" s="583"/>
      <c r="C181" s="512"/>
      <c r="D181" s="592"/>
      <c r="E181" s="1012"/>
      <c r="F181" s="514"/>
      <c r="G181" s="534"/>
      <c r="H181" s="531"/>
      <c r="I181" s="532"/>
      <c r="J181" s="532"/>
      <c r="K181" s="532"/>
      <c r="L181" s="513"/>
      <c r="M181" s="624"/>
      <c r="N181" s="158"/>
      <c r="O181" s="417"/>
      <c r="P181" s="567" t="s">
        <v>1818</v>
      </c>
      <c r="Q181" s="583"/>
      <c r="R181" s="512"/>
      <c r="S181" s="515"/>
      <c r="T181" s="568"/>
      <c r="U181" s="534"/>
      <c r="V181" s="514"/>
      <c r="W181" s="534"/>
      <c r="X181" s="531"/>
      <c r="Y181" s="532"/>
      <c r="Z181" s="532"/>
      <c r="AA181" s="532"/>
      <c r="AB181" s="513"/>
      <c r="AC181" s="41"/>
      <c r="AD181" s="158"/>
      <c r="AE181" s="417"/>
    </row>
    <row r="182" spans="1:31" s="155" customFormat="1" ht="15.95" customHeight="1">
      <c r="A182" s="569" t="s">
        <v>1819</v>
      </c>
      <c r="B182" s="532"/>
      <c r="C182" s="512"/>
      <c r="D182" s="592"/>
      <c r="E182" s="1012"/>
      <c r="F182" s="514"/>
      <c r="G182" s="534"/>
      <c r="H182" s="531"/>
      <c r="I182" s="532"/>
      <c r="J182" s="532"/>
      <c r="K182" s="532"/>
      <c r="L182" s="513"/>
      <c r="M182" s="624"/>
      <c r="N182" s="158"/>
      <c r="O182" s="417"/>
      <c r="P182" s="569" t="s">
        <v>1819</v>
      </c>
      <c r="Q182" s="532"/>
      <c r="R182" s="512"/>
      <c r="S182" s="515"/>
      <c r="T182" s="568"/>
      <c r="U182" s="534"/>
      <c r="V182" s="514"/>
      <c r="W182" s="534"/>
      <c r="X182" s="531"/>
      <c r="Y182" s="532"/>
      <c r="Z182" s="532"/>
      <c r="AA182" s="532"/>
      <c r="AB182" s="513"/>
      <c r="AC182" s="41"/>
      <c r="AD182" s="158"/>
      <c r="AE182" s="417"/>
    </row>
    <row r="183" spans="1:31" s="90" customFormat="1" ht="15.95" customHeight="1">
      <c r="A183" s="570" t="s">
        <v>1820</v>
      </c>
      <c r="B183" s="505" t="s">
        <v>1821</v>
      </c>
      <c r="C183" s="512">
        <v>1</v>
      </c>
      <c r="D183" s="592" t="s">
        <v>1822</v>
      </c>
      <c r="E183" s="1012">
        <v>48</v>
      </c>
      <c r="F183" s="514">
        <f>rv_32</f>
        <v>0.32</v>
      </c>
      <c r="G183" s="534">
        <f t="shared" si="43"/>
        <v>32.64</v>
      </c>
      <c r="H183" s="531"/>
      <c r="I183" s="532"/>
      <c r="J183" s="532"/>
      <c r="K183" s="532"/>
      <c r="L183" s="513">
        <v>0.01</v>
      </c>
      <c r="M183" s="624" t="s">
        <v>1223</v>
      </c>
      <c r="N183" s="158" t="s">
        <v>700</v>
      </c>
      <c r="O183" s="417" t="s">
        <v>1224</v>
      </c>
      <c r="P183" s="570" t="s">
        <v>1820</v>
      </c>
      <c r="Q183" s="505" t="s">
        <v>1821</v>
      </c>
      <c r="R183" s="512">
        <v>1</v>
      </c>
      <c r="S183" s="515" t="s">
        <v>1822</v>
      </c>
      <c r="T183" s="537" t="s">
        <v>1820</v>
      </c>
      <c r="U183" s="534">
        <v>48</v>
      </c>
      <c r="V183" s="514">
        <v>0.32</v>
      </c>
      <c r="W183" s="534">
        <v>32.64</v>
      </c>
      <c r="X183" s="531"/>
      <c r="Y183" s="532"/>
      <c r="Z183" s="532"/>
      <c r="AA183" s="532"/>
      <c r="AB183" s="513">
        <v>0.01</v>
      </c>
      <c r="AC183" s="41" t="s">
        <v>1223</v>
      </c>
      <c r="AD183" s="42" t="s">
        <v>700</v>
      </c>
      <c r="AE183" s="416" t="s">
        <v>1224</v>
      </c>
    </row>
    <row r="184" spans="1:31" s="90" customFormat="1" ht="15.95" customHeight="1">
      <c r="A184" s="570" t="s">
        <v>1823</v>
      </c>
      <c r="B184" s="505" t="s">
        <v>1824</v>
      </c>
      <c r="C184" s="512">
        <v>1</v>
      </c>
      <c r="D184" s="592" t="s">
        <v>1822</v>
      </c>
      <c r="E184" s="1012">
        <v>85</v>
      </c>
      <c r="F184" s="514">
        <f>rv_32</f>
        <v>0.32</v>
      </c>
      <c r="G184" s="534">
        <f t="shared" si="43"/>
        <v>57.8</v>
      </c>
      <c r="H184" s="531"/>
      <c r="I184" s="532"/>
      <c r="J184" s="532"/>
      <c r="K184" s="532"/>
      <c r="L184" s="513">
        <v>0.01</v>
      </c>
      <c r="M184" s="624" t="s">
        <v>1223</v>
      </c>
      <c r="N184" s="158" t="s">
        <v>700</v>
      </c>
      <c r="O184" s="417" t="s">
        <v>1224</v>
      </c>
      <c r="P184" s="570" t="s">
        <v>1823</v>
      </c>
      <c r="Q184" s="505" t="s">
        <v>1824</v>
      </c>
      <c r="R184" s="512">
        <v>1</v>
      </c>
      <c r="S184" s="515" t="s">
        <v>1822</v>
      </c>
      <c r="T184" s="537" t="s">
        <v>1823</v>
      </c>
      <c r="U184" s="534">
        <v>85</v>
      </c>
      <c r="V184" s="514">
        <v>0.32</v>
      </c>
      <c r="W184" s="534">
        <v>57.8</v>
      </c>
      <c r="X184" s="531"/>
      <c r="Y184" s="532"/>
      <c r="Z184" s="532"/>
      <c r="AA184" s="532"/>
      <c r="AB184" s="513">
        <v>0.01</v>
      </c>
      <c r="AC184" s="41" t="s">
        <v>1223</v>
      </c>
      <c r="AD184" s="42" t="s">
        <v>700</v>
      </c>
      <c r="AE184" s="416" t="s">
        <v>1224</v>
      </c>
    </row>
    <row r="185" spans="1:31" s="90" customFormat="1" ht="17.100000000000001" customHeight="1">
      <c r="A185" s="570" t="s">
        <v>1825</v>
      </c>
      <c r="B185" s="505" t="s">
        <v>1826</v>
      </c>
      <c r="C185" s="512">
        <v>1</v>
      </c>
      <c r="D185" s="592" t="s">
        <v>1822</v>
      </c>
      <c r="E185" s="1012">
        <v>159</v>
      </c>
      <c r="F185" s="514">
        <f>rv_32</f>
        <v>0.32</v>
      </c>
      <c r="G185" s="534">
        <f t="shared" si="43"/>
        <v>108.12</v>
      </c>
      <c r="H185" s="531"/>
      <c r="I185" s="532"/>
      <c r="J185" s="532"/>
      <c r="K185" s="532"/>
      <c r="L185" s="513">
        <v>0.01</v>
      </c>
      <c r="M185" s="624" t="s">
        <v>1223</v>
      </c>
      <c r="N185" s="158" t="s">
        <v>700</v>
      </c>
      <c r="O185" s="417" t="s">
        <v>1224</v>
      </c>
      <c r="P185" s="570" t="s">
        <v>1825</v>
      </c>
      <c r="Q185" s="505" t="s">
        <v>1826</v>
      </c>
      <c r="R185" s="512">
        <v>1</v>
      </c>
      <c r="S185" s="515" t="s">
        <v>1822</v>
      </c>
      <c r="T185" s="537" t="s">
        <v>1825</v>
      </c>
      <c r="U185" s="534">
        <v>159</v>
      </c>
      <c r="V185" s="514">
        <v>0.32</v>
      </c>
      <c r="W185" s="534">
        <v>108.12</v>
      </c>
      <c r="X185" s="531"/>
      <c r="Y185" s="532"/>
      <c r="Z185" s="532"/>
      <c r="AA185" s="532"/>
      <c r="AB185" s="513">
        <v>0.01</v>
      </c>
      <c r="AC185" s="41" t="s">
        <v>1223</v>
      </c>
      <c r="AD185" s="42" t="s">
        <v>700</v>
      </c>
      <c r="AE185" s="416" t="s">
        <v>1224</v>
      </c>
    </row>
    <row r="186" spans="1:31" s="90" customFormat="1" ht="14.1" customHeight="1">
      <c r="A186" s="569" t="s">
        <v>1827</v>
      </c>
      <c r="B186" s="529"/>
      <c r="C186" s="512"/>
      <c r="D186" s="592"/>
      <c r="E186" s="1012"/>
      <c r="F186" s="514"/>
      <c r="G186" s="534"/>
      <c r="H186" s="531"/>
      <c r="I186" s="532"/>
      <c r="J186" s="532"/>
      <c r="K186" s="532"/>
      <c r="L186" s="513"/>
      <c r="M186" s="624" t="s">
        <v>1223</v>
      </c>
      <c r="N186" s="158" t="s">
        <v>700</v>
      </c>
      <c r="O186" s="417" t="s">
        <v>1224</v>
      </c>
      <c r="P186" s="569" t="s">
        <v>1827</v>
      </c>
      <c r="Q186" s="529"/>
      <c r="R186" s="512"/>
      <c r="S186" s="515"/>
      <c r="T186" s="568"/>
      <c r="U186" s="534"/>
      <c r="V186" s="514"/>
      <c r="W186" s="534"/>
      <c r="X186" s="531"/>
      <c r="Y186" s="532"/>
      <c r="Z186" s="532"/>
      <c r="AA186" s="532"/>
      <c r="AB186" s="513"/>
      <c r="AC186" s="41" t="s">
        <v>1223</v>
      </c>
      <c r="AD186" s="42" t="s">
        <v>700</v>
      </c>
      <c r="AE186" s="416" t="s">
        <v>1224</v>
      </c>
    </row>
    <row r="187" spans="1:31" s="90" customFormat="1" ht="14.1" customHeight="1">
      <c r="A187" s="570" t="s">
        <v>1828</v>
      </c>
      <c r="B187" s="529" t="s">
        <v>1829</v>
      </c>
      <c r="C187" s="512">
        <v>1</v>
      </c>
      <c r="D187" s="592" t="s">
        <v>1822</v>
      </c>
      <c r="E187" s="1012">
        <v>89</v>
      </c>
      <c r="F187" s="514">
        <f>rv_32</f>
        <v>0.32</v>
      </c>
      <c r="G187" s="534">
        <f t="shared" si="43"/>
        <v>60.519999999999996</v>
      </c>
      <c r="H187" s="531"/>
      <c r="I187" s="532"/>
      <c r="J187" s="532"/>
      <c r="K187" s="532"/>
      <c r="L187" s="513">
        <v>0.01</v>
      </c>
      <c r="M187" s="624" t="s">
        <v>1223</v>
      </c>
      <c r="N187" s="158" t="s">
        <v>700</v>
      </c>
      <c r="O187" s="417" t="s">
        <v>1224</v>
      </c>
      <c r="P187" s="570" t="s">
        <v>1828</v>
      </c>
      <c r="Q187" s="529" t="s">
        <v>1829</v>
      </c>
      <c r="R187" s="512">
        <v>1</v>
      </c>
      <c r="S187" s="515" t="s">
        <v>1822</v>
      </c>
      <c r="T187" s="595" t="s">
        <v>1828</v>
      </c>
      <c r="U187" s="530">
        <v>89</v>
      </c>
      <c r="V187" s="514">
        <v>0.32</v>
      </c>
      <c r="W187" s="534">
        <v>60.519999999999996</v>
      </c>
      <c r="X187" s="531"/>
      <c r="Y187" s="532"/>
      <c r="Z187" s="532"/>
      <c r="AA187" s="532"/>
      <c r="AB187" s="513">
        <v>0.01</v>
      </c>
      <c r="AC187" s="41" t="s">
        <v>1223</v>
      </c>
      <c r="AD187" s="42" t="s">
        <v>700</v>
      </c>
      <c r="AE187" s="416" t="s">
        <v>1224</v>
      </c>
    </row>
    <row r="188" spans="1:31" s="90" customFormat="1" ht="14.1" customHeight="1">
      <c r="A188" s="570" t="s">
        <v>1830</v>
      </c>
      <c r="B188" s="529" t="s">
        <v>1831</v>
      </c>
      <c r="C188" s="512">
        <v>1</v>
      </c>
      <c r="D188" s="592" t="s">
        <v>1822</v>
      </c>
      <c r="E188" s="1012">
        <v>179</v>
      </c>
      <c r="F188" s="514">
        <f>rv_32</f>
        <v>0.32</v>
      </c>
      <c r="G188" s="534">
        <f t="shared" si="43"/>
        <v>121.72</v>
      </c>
      <c r="H188" s="531"/>
      <c r="I188" s="532"/>
      <c r="J188" s="532"/>
      <c r="K188" s="532"/>
      <c r="L188" s="513">
        <v>0.01</v>
      </c>
      <c r="M188" s="624" t="s">
        <v>1223</v>
      </c>
      <c r="N188" s="158" t="s">
        <v>700</v>
      </c>
      <c r="O188" s="417" t="s">
        <v>1224</v>
      </c>
      <c r="P188" s="570" t="s">
        <v>1830</v>
      </c>
      <c r="Q188" s="529" t="s">
        <v>1831</v>
      </c>
      <c r="R188" s="512">
        <v>1</v>
      </c>
      <c r="S188" s="515" t="s">
        <v>1822</v>
      </c>
      <c r="T188" s="595" t="s">
        <v>1830</v>
      </c>
      <c r="U188" s="530">
        <v>179</v>
      </c>
      <c r="V188" s="514">
        <v>0.32</v>
      </c>
      <c r="W188" s="534">
        <v>121.72</v>
      </c>
      <c r="X188" s="531"/>
      <c r="Y188" s="532"/>
      <c r="Z188" s="532"/>
      <c r="AA188" s="532"/>
      <c r="AB188" s="513">
        <v>0.01</v>
      </c>
      <c r="AC188" s="41" t="s">
        <v>1223</v>
      </c>
      <c r="AD188" s="42" t="s">
        <v>700</v>
      </c>
      <c r="AE188" s="416" t="s">
        <v>1224</v>
      </c>
    </row>
    <row r="189" spans="1:31" s="90" customFormat="1" ht="14.1" customHeight="1">
      <c r="A189" s="570" t="s">
        <v>1832</v>
      </c>
      <c r="B189" s="529" t="s">
        <v>1833</v>
      </c>
      <c r="C189" s="512">
        <v>1</v>
      </c>
      <c r="D189" s="592" t="s">
        <v>1822</v>
      </c>
      <c r="E189" s="1012">
        <v>359</v>
      </c>
      <c r="F189" s="514">
        <f>rv_32</f>
        <v>0.32</v>
      </c>
      <c r="G189" s="534">
        <f t="shared" si="43"/>
        <v>244.12</v>
      </c>
      <c r="H189" s="531"/>
      <c r="I189" s="532"/>
      <c r="J189" s="532"/>
      <c r="K189" s="532"/>
      <c r="L189" s="513">
        <v>0.01</v>
      </c>
      <c r="M189" s="624" t="s">
        <v>1223</v>
      </c>
      <c r="N189" s="158" t="s">
        <v>700</v>
      </c>
      <c r="O189" s="417" t="s">
        <v>1224</v>
      </c>
      <c r="P189" s="570" t="s">
        <v>1832</v>
      </c>
      <c r="Q189" s="529" t="s">
        <v>1833</v>
      </c>
      <c r="R189" s="512">
        <v>1</v>
      </c>
      <c r="S189" s="515" t="s">
        <v>1822</v>
      </c>
      <c r="T189" s="595" t="s">
        <v>1832</v>
      </c>
      <c r="U189" s="530">
        <v>359</v>
      </c>
      <c r="V189" s="514">
        <v>0.32</v>
      </c>
      <c r="W189" s="534">
        <v>244.12</v>
      </c>
      <c r="X189" s="531"/>
      <c r="Y189" s="532"/>
      <c r="Z189" s="532"/>
      <c r="AA189" s="532"/>
      <c r="AB189" s="513">
        <v>0.01</v>
      </c>
      <c r="AC189" s="41" t="s">
        <v>1223</v>
      </c>
      <c r="AD189" s="42" t="s">
        <v>700</v>
      </c>
      <c r="AE189" s="416" t="s">
        <v>1224</v>
      </c>
    </row>
    <row r="190" spans="1:31" s="90" customFormat="1" ht="15.95" customHeight="1">
      <c r="A190" s="569" t="s">
        <v>1834</v>
      </c>
      <c r="B190" s="529"/>
      <c r="C190" s="512"/>
      <c r="D190" s="592"/>
      <c r="E190" s="1012"/>
      <c r="F190" s="514"/>
      <c r="G190" s="534"/>
      <c r="H190" s="531"/>
      <c r="I190" s="532"/>
      <c r="J190" s="532"/>
      <c r="K190" s="532"/>
      <c r="L190" s="513"/>
      <c r="M190" s="624" t="s">
        <v>1223</v>
      </c>
      <c r="N190" s="158" t="s">
        <v>700</v>
      </c>
      <c r="O190" s="417" t="s">
        <v>1224</v>
      </c>
      <c r="P190" s="569" t="s">
        <v>1834</v>
      </c>
      <c r="Q190" s="529"/>
      <c r="R190" s="512"/>
      <c r="S190" s="515"/>
      <c r="T190" s="568"/>
      <c r="U190" s="534"/>
      <c r="V190" s="514"/>
      <c r="W190" s="534"/>
      <c r="X190" s="531"/>
      <c r="Y190" s="532"/>
      <c r="Z190" s="532"/>
      <c r="AA190" s="532"/>
      <c r="AB190" s="513"/>
      <c r="AC190" s="41" t="s">
        <v>1223</v>
      </c>
      <c r="AD190" s="42" t="s">
        <v>700</v>
      </c>
      <c r="AE190" s="416" t="s">
        <v>1224</v>
      </c>
    </row>
    <row r="191" spans="1:31" s="90" customFormat="1" ht="12.95" customHeight="1">
      <c r="A191" s="570" t="s">
        <v>1835</v>
      </c>
      <c r="B191" s="571" t="s">
        <v>1836</v>
      </c>
      <c r="C191" s="512">
        <v>1</v>
      </c>
      <c r="D191" s="592" t="s">
        <v>1822</v>
      </c>
      <c r="E191" s="1012">
        <v>48</v>
      </c>
      <c r="F191" s="514">
        <f>rv_32</f>
        <v>0.32</v>
      </c>
      <c r="G191" s="534">
        <f t="shared" si="43"/>
        <v>32.64</v>
      </c>
      <c r="H191" s="531"/>
      <c r="I191" s="532"/>
      <c r="J191" s="532"/>
      <c r="K191" s="532"/>
      <c r="L191" s="513">
        <v>0.01</v>
      </c>
      <c r="M191" s="624" t="s">
        <v>1223</v>
      </c>
      <c r="N191" s="158" t="s">
        <v>700</v>
      </c>
      <c r="O191" s="417" t="s">
        <v>1224</v>
      </c>
      <c r="P191" s="570" t="s">
        <v>1835</v>
      </c>
      <c r="Q191" s="571" t="s">
        <v>1836</v>
      </c>
      <c r="R191" s="512">
        <v>1</v>
      </c>
      <c r="S191" s="515" t="s">
        <v>1822</v>
      </c>
      <c r="T191" s="595" t="s">
        <v>1835</v>
      </c>
      <c r="U191" s="530">
        <v>48</v>
      </c>
      <c r="V191" s="514">
        <v>0.32</v>
      </c>
      <c r="W191" s="534">
        <v>32.64</v>
      </c>
      <c r="X191" s="531"/>
      <c r="Y191" s="532"/>
      <c r="Z191" s="532"/>
      <c r="AA191" s="532"/>
      <c r="AB191" s="513">
        <v>0.01</v>
      </c>
      <c r="AC191" s="41" t="s">
        <v>1223</v>
      </c>
      <c r="AD191" s="42" t="s">
        <v>700</v>
      </c>
      <c r="AE191" s="416" t="s">
        <v>1224</v>
      </c>
    </row>
    <row r="192" spans="1:31" s="90" customFormat="1" ht="12.95" customHeight="1">
      <c r="A192" s="570" t="s">
        <v>1837</v>
      </c>
      <c r="B192" s="529" t="s">
        <v>1838</v>
      </c>
      <c r="C192" s="512">
        <v>1</v>
      </c>
      <c r="D192" s="592" t="s">
        <v>1822</v>
      </c>
      <c r="E192" s="1012">
        <v>69</v>
      </c>
      <c r="F192" s="514">
        <f>rv_32</f>
        <v>0.32</v>
      </c>
      <c r="G192" s="534">
        <f t="shared" si="43"/>
        <v>46.92</v>
      </c>
      <c r="H192" s="531"/>
      <c r="I192" s="532"/>
      <c r="J192" s="532"/>
      <c r="K192" s="532"/>
      <c r="L192" s="513">
        <v>0.01</v>
      </c>
      <c r="M192" s="624" t="s">
        <v>1223</v>
      </c>
      <c r="N192" s="158" t="s">
        <v>700</v>
      </c>
      <c r="O192" s="417" t="s">
        <v>1224</v>
      </c>
      <c r="P192" s="570" t="s">
        <v>1837</v>
      </c>
      <c r="Q192" s="529" t="s">
        <v>1838</v>
      </c>
      <c r="R192" s="512">
        <v>1</v>
      </c>
      <c r="S192" s="515" t="s">
        <v>1822</v>
      </c>
      <c r="T192" s="595" t="s">
        <v>1837</v>
      </c>
      <c r="U192" s="530">
        <v>69</v>
      </c>
      <c r="V192" s="514">
        <v>0.32</v>
      </c>
      <c r="W192" s="534">
        <v>46.92</v>
      </c>
      <c r="X192" s="531"/>
      <c r="Y192" s="532"/>
      <c r="Z192" s="532"/>
      <c r="AA192" s="532"/>
      <c r="AB192" s="513">
        <v>0.01</v>
      </c>
      <c r="AC192" s="41" t="s">
        <v>1223</v>
      </c>
      <c r="AD192" s="42" t="s">
        <v>700</v>
      </c>
      <c r="AE192" s="416" t="s">
        <v>1224</v>
      </c>
    </row>
    <row r="193" spans="1:31" s="90" customFormat="1" ht="12.95" customHeight="1">
      <c r="A193" s="570" t="s">
        <v>1839</v>
      </c>
      <c r="B193" s="529" t="s">
        <v>1840</v>
      </c>
      <c r="C193" s="512">
        <v>1</v>
      </c>
      <c r="D193" s="592" t="s">
        <v>1822</v>
      </c>
      <c r="E193" s="1012">
        <v>111</v>
      </c>
      <c r="F193" s="514">
        <f>rv_32</f>
        <v>0.32</v>
      </c>
      <c r="G193" s="534">
        <f t="shared" si="43"/>
        <v>75.47999999999999</v>
      </c>
      <c r="H193" s="531"/>
      <c r="I193" s="532"/>
      <c r="J193" s="532"/>
      <c r="K193" s="532"/>
      <c r="L193" s="513">
        <v>0.01</v>
      </c>
      <c r="M193" s="624" t="s">
        <v>1223</v>
      </c>
      <c r="N193" s="158" t="s">
        <v>700</v>
      </c>
      <c r="O193" s="417" t="s">
        <v>1224</v>
      </c>
      <c r="P193" s="570" t="s">
        <v>1839</v>
      </c>
      <c r="Q193" s="529" t="s">
        <v>1840</v>
      </c>
      <c r="R193" s="512">
        <v>1</v>
      </c>
      <c r="S193" s="515" t="s">
        <v>1822</v>
      </c>
      <c r="T193" s="595" t="s">
        <v>1839</v>
      </c>
      <c r="U193" s="530">
        <v>111</v>
      </c>
      <c r="V193" s="514">
        <v>0.32</v>
      </c>
      <c r="W193" s="534">
        <v>75.47999999999999</v>
      </c>
      <c r="X193" s="531"/>
      <c r="Y193" s="532"/>
      <c r="Z193" s="532"/>
      <c r="AA193" s="532"/>
      <c r="AB193" s="513">
        <v>0.01</v>
      </c>
      <c r="AC193" s="41" t="s">
        <v>1223</v>
      </c>
      <c r="AD193" s="42" t="s">
        <v>700</v>
      </c>
      <c r="AE193" s="416" t="s">
        <v>1224</v>
      </c>
    </row>
    <row r="194" spans="1:31" s="1" customFormat="1" ht="27.95" customHeight="1">
      <c r="A194" s="543" t="s">
        <v>1841</v>
      </c>
      <c r="B194" s="165"/>
      <c r="C194" s="506"/>
      <c r="D194" s="585"/>
      <c r="E194" s="1008"/>
      <c r="F194" s="500"/>
      <c r="G194" s="147"/>
      <c r="H194" s="147"/>
      <c r="I194" s="163"/>
      <c r="J194" s="163"/>
      <c r="K194" s="163"/>
      <c r="L194" s="428"/>
      <c r="M194" s="624"/>
      <c r="N194" s="159"/>
      <c r="O194" s="221"/>
      <c r="P194" s="543" t="s">
        <v>1841</v>
      </c>
      <c r="Q194" s="165"/>
      <c r="R194" s="506"/>
      <c r="S194" s="106"/>
      <c r="T194" s="147"/>
      <c r="U194" s="147"/>
      <c r="V194" s="500"/>
      <c r="W194" s="147"/>
      <c r="X194" s="147"/>
      <c r="Y194" s="163"/>
      <c r="Z194" s="163"/>
      <c r="AA194" s="163"/>
      <c r="AB194" s="428"/>
      <c r="AC194" s="41"/>
      <c r="AD194" s="159"/>
      <c r="AE194" s="221"/>
    </row>
    <row r="195" spans="1:31" s="1" customFormat="1">
      <c r="A195" s="477" t="s">
        <v>1842</v>
      </c>
      <c r="B195" s="505" t="s">
        <v>1843</v>
      </c>
      <c r="C195" s="506">
        <v>1</v>
      </c>
      <c r="D195" s="585" t="s">
        <v>1844</v>
      </c>
      <c r="E195" s="1009">
        <v>29.16</v>
      </c>
      <c r="F195" s="430">
        <f>rv_10</f>
        <v>0.1</v>
      </c>
      <c r="G195" s="180">
        <f>E195-(E195*F195)</f>
        <v>26.244</v>
      </c>
      <c r="H195" s="147"/>
      <c r="I195" s="163"/>
      <c r="J195" s="163"/>
      <c r="K195" s="163"/>
      <c r="L195" s="428">
        <v>0.02</v>
      </c>
      <c r="M195" s="624" t="s">
        <v>1223</v>
      </c>
      <c r="N195" s="158" t="s">
        <v>700</v>
      </c>
      <c r="O195" s="417" t="s">
        <v>1224</v>
      </c>
      <c r="P195" s="477" t="s">
        <v>1842</v>
      </c>
      <c r="Q195" s="505" t="s">
        <v>1843</v>
      </c>
      <c r="R195" s="506">
        <v>1</v>
      </c>
      <c r="S195" s="106" t="s">
        <v>1844</v>
      </c>
      <c r="T195" s="473" t="s">
        <v>1842</v>
      </c>
      <c r="U195" s="106">
        <v>29.16</v>
      </c>
      <c r="V195" s="430">
        <v>0.1</v>
      </c>
      <c r="W195" s="180">
        <v>26.244</v>
      </c>
      <c r="X195" s="147"/>
      <c r="Y195" s="163"/>
      <c r="Z195" s="163"/>
      <c r="AA195" s="163"/>
      <c r="AB195" s="428">
        <v>0.02</v>
      </c>
      <c r="AC195" s="41" t="s">
        <v>1223</v>
      </c>
      <c r="AD195" s="42" t="s">
        <v>700</v>
      </c>
      <c r="AE195" s="416" t="s">
        <v>1224</v>
      </c>
    </row>
    <row r="196" spans="1:31" s="1" customFormat="1">
      <c r="A196" s="477" t="s">
        <v>1845</v>
      </c>
      <c r="B196" s="505" t="s">
        <v>1846</v>
      </c>
      <c r="C196" s="506">
        <v>1</v>
      </c>
      <c r="D196" s="585" t="s">
        <v>1844</v>
      </c>
      <c r="E196" s="1009">
        <v>49.99</v>
      </c>
      <c r="F196" s="430">
        <f>rv_10</f>
        <v>0.1</v>
      </c>
      <c r="G196" s="180">
        <f>E196-(E196*F196)</f>
        <v>44.991</v>
      </c>
      <c r="H196" s="147"/>
      <c r="I196" s="163"/>
      <c r="J196" s="163"/>
      <c r="K196" s="163"/>
      <c r="L196" s="428">
        <v>0.02</v>
      </c>
      <c r="M196" s="624" t="s">
        <v>1223</v>
      </c>
      <c r="N196" s="158" t="s">
        <v>700</v>
      </c>
      <c r="O196" s="417" t="s">
        <v>1224</v>
      </c>
      <c r="P196" s="477" t="s">
        <v>1845</v>
      </c>
      <c r="Q196" s="505" t="s">
        <v>1846</v>
      </c>
      <c r="R196" s="506">
        <v>1</v>
      </c>
      <c r="S196" s="106" t="s">
        <v>1844</v>
      </c>
      <c r="T196" s="473" t="s">
        <v>1845</v>
      </c>
      <c r="U196" s="106">
        <v>49.99</v>
      </c>
      <c r="V196" s="430">
        <v>0.1</v>
      </c>
      <c r="W196" s="180">
        <v>44.991</v>
      </c>
      <c r="X196" s="147"/>
      <c r="Y196" s="163"/>
      <c r="Z196" s="163"/>
      <c r="AA196" s="163"/>
      <c r="AB196" s="428">
        <v>0.02</v>
      </c>
      <c r="AC196" s="41" t="s">
        <v>1223</v>
      </c>
      <c r="AD196" s="42" t="s">
        <v>700</v>
      </c>
      <c r="AE196" s="416" t="s">
        <v>1224</v>
      </c>
    </row>
    <row r="197" spans="1:31" s="1" customFormat="1">
      <c r="A197" s="477" t="s">
        <v>1847</v>
      </c>
      <c r="B197" s="505" t="s">
        <v>1848</v>
      </c>
      <c r="C197" s="506">
        <v>1</v>
      </c>
      <c r="D197" s="585" t="s">
        <v>1849</v>
      </c>
      <c r="E197" s="1009">
        <v>36.979999999999997</v>
      </c>
      <c r="F197" s="430">
        <f t="shared" ref="F197:F215" si="45">rv_20</f>
        <v>0.2</v>
      </c>
      <c r="G197" s="180">
        <f t="shared" ref="G197:G277" si="46">E197-(E197*F197)</f>
        <v>29.583999999999996</v>
      </c>
      <c r="H197" s="147"/>
      <c r="I197" s="163"/>
      <c r="J197" s="163"/>
      <c r="K197" s="163"/>
      <c r="L197" s="428">
        <v>0.1</v>
      </c>
      <c r="M197" s="624" t="s">
        <v>1223</v>
      </c>
      <c r="N197" s="158" t="s">
        <v>700</v>
      </c>
      <c r="O197" s="417" t="s">
        <v>1224</v>
      </c>
      <c r="P197" s="477" t="s">
        <v>1847</v>
      </c>
      <c r="Q197" s="505" t="s">
        <v>1848</v>
      </c>
      <c r="R197" s="506">
        <v>1</v>
      </c>
      <c r="S197" s="106" t="s">
        <v>1849</v>
      </c>
      <c r="T197" s="473" t="s">
        <v>1847</v>
      </c>
      <c r="U197" s="106">
        <v>36.979999999999997</v>
      </c>
      <c r="V197" s="430">
        <v>0.2</v>
      </c>
      <c r="W197" s="180">
        <v>29.583999999999996</v>
      </c>
      <c r="X197" s="147"/>
      <c r="Y197" s="163"/>
      <c r="Z197" s="163"/>
      <c r="AA197" s="163"/>
      <c r="AB197" s="428">
        <v>0.1</v>
      </c>
      <c r="AC197" s="41" t="s">
        <v>1223</v>
      </c>
      <c r="AD197" s="42" t="s">
        <v>700</v>
      </c>
      <c r="AE197" s="416" t="s">
        <v>1224</v>
      </c>
    </row>
    <row r="198" spans="1:31" s="1" customFormat="1">
      <c r="A198" s="477" t="s">
        <v>1850</v>
      </c>
      <c r="B198" s="505" t="s">
        <v>1851</v>
      </c>
      <c r="C198" s="506">
        <v>1</v>
      </c>
      <c r="D198" s="585" t="s">
        <v>1849</v>
      </c>
      <c r="E198" s="1009">
        <v>143.07</v>
      </c>
      <c r="F198" s="430">
        <f t="shared" si="45"/>
        <v>0.2</v>
      </c>
      <c r="G198" s="180">
        <f t="shared" si="46"/>
        <v>114.45599999999999</v>
      </c>
      <c r="H198" s="147"/>
      <c r="I198" s="163"/>
      <c r="J198" s="163"/>
      <c r="K198" s="163"/>
      <c r="L198" s="428">
        <v>0.63</v>
      </c>
      <c r="M198" s="624" t="s">
        <v>1223</v>
      </c>
      <c r="N198" s="158" t="s">
        <v>700</v>
      </c>
      <c r="O198" s="417" t="s">
        <v>1224</v>
      </c>
      <c r="P198" s="477" t="s">
        <v>1850</v>
      </c>
      <c r="Q198" s="505" t="s">
        <v>1851</v>
      </c>
      <c r="R198" s="506">
        <v>1</v>
      </c>
      <c r="S198" s="106" t="s">
        <v>1849</v>
      </c>
      <c r="T198" s="473" t="s">
        <v>1850</v>
      </c>
      <c r="U198" s="106">
        <v>143.07</v>
      </c>
      <c r="V198" s="430">
        <v>0.2</v>
      </c>
      <c r="W198" s="180">
        <v>114.45599999999999</v>
      </c>
      <c r="X198" s="147"/>
      <c r="Y198" s="163"/>
      <c r="Z198" s="163"/>
      <c r="AA198" s="163"/>
      <c r="AB198" s="428">
        <v>0.63</v>
      </c>
      <c r="AC198" s="41" t="s">
        <v>1223</v>
      </c>
      <c r="AD198" s="42" t="s">
        <v>700</v>
      </c>
      <c r="AE198" s="416" t="s">
        <v>1224</v>
      </c>
    </row>
    <row r="199" spans="1:31" s="1" customFormat="1">
      <c r="A199" s="477" t="s">
        <v>1852</v>
      </c>
      <c r="B199" s="505" t="s">
        <v>1853</v>
      </c>
      <c r="C199" s="506">
        <v>1</v>
      </c>
      <c r="D199" s="585" t="s">
        <v>1849</v>
      </c>
      <c r="E199" s="1009">
        <v>152.11000000000001</v>
      </c>
      <c r="F199" s="430">
        <f t="shared" si="45"/>
        <v>0.2</v>
      </c>
      <c r="G199" s="180">
        <f t="shared" si="46"/>
        <v>121.68800000000002</v>
      </c>
      <c r="H199" s="147"/>
      <c r="I199" s="163"/>
      <c r="J199" s="163"/>
      <c r="K199" s="163"/>
      <c r="L199" s="428">
        <v>0.92</v>
      </c>
      <c r="M199" s="624" t="s">
        <v>1223</v>
      </c>
      <c r="N199" s="158" t="s">
        <v>700</v>
      </c>
      <c r="O199" s="417" t="s">
        <v>1224</v>
      </c>
      <c r="P199" s="477" t="s">
        <v>1852</v>
      </c>
      <c r="Q199" s="505" t="s">
        <v>1853</v>
      </c>
      <c r="R199" s="506">
        <v>1</v>
      </c>
      <c r="S199" s="106" t="s">
        <v>1849</v>
      </c>
      <c r="T199" s="473" t="s">
        <v>1852</v>
      </c>
      <c r="U199" s="106">
        <v>152.11000000000001</v>
      </c>
      <c r="V199" s="430">
        <v>0.2</v>
      </c>
      <c r="W199" s="180">
        <v>121.68800000000002</v>
      </c>
      <c r="X199" s="147"/>
      <c r="Y199" s="163"/>
      <c r="Z199" s="163"/>
      <c r="AA199" s="163"/>
      <c r="AB199" s="428">
        <v>0.92</v>
      </c>
      <c r="AC199" s="41" t="s">
        <v>1223</v>
      </c>
      <c r="AD199" s="42" t="s">
        <v>700</v>
      </c>
      <c r="AE199" s="416" t="s">
        <v>1224</v>
      </c>
    </row>
    <row r="200" spans="1:31" s="1" customFormat="1">
      <c r="A200" s="477" t="s">
        <v>1854</v>
      </c>
      <c r="B200" s="505" t="s">
        <v>1855</v>
      </c>
      <c r="C200" s="506">
        <v>1</v>
      </c>
      <c r="D200" s="585" t="s">
        <v>1849</v>
      </c>
      <c r="E200" s="1009">
        <v>33.93</v>
      </c>
      <c r="F200" s="430">
        <f t="shared" si="45"/>
        <v>0.2</v>
      </c>
      <c r="G200" s="180">
        <f t="shared" si="46"/>
        <v>27.143999999999998</v>
      </c>
      <c r="H200" s="147"/>
      <c r="I200" s="163"/>
      <c r="J200" s="163"/>
      <c r="K200" s="163"/>
      <c r="L200" s="428">
        <v>0.02</v>
      </c>
      <c r="M200" s="624" t="s">
        <v>1223</v>
      </c>
      <c r="N200" s="158" t="s">
        <v>700</v>
      </c>
      <c r="O200" s="417" t="s">
        <v>1224</v>
      </c>
      <c r="P200" s="477" t="s">
        <v>1854</v>
      </c>
      <c r="Q200" s="505" t="s">
        <v>1855</v>
      </c>
      <c r="R200" s="506">
        <v>1</v>
      </c>
      <c r="S200" s="106" t="s">
        <v>1849</v>
      </c>
      <c r="T200" s="473" t="s">
        <v>1854</v>
      </c>
      <c r="U200" s="106">
        <v>33.93</v>
      </c>
      <c r="V200" s="430">
        <v>0.2</v>
      </c>
      <c r="W200" s="180">
        <v>27.143999999999998</v>
      </c>
      <c r="X200" s="147"/>
      <c r="Y200" s="163"/>
      <c r="Z200" s="163"/>
      <c r="AA200" s="163"/>
      <c r="AB200" s="428">
        <v>0.02</v>
      </c>
      <c r="AC200" s="41" t="s">
        <v>1223</v>
      </c>
      <c r="AD200" s="42" t="s">
        <v>700</v>
      </c>
      <c r="AE200" s="416" t="s">
        <v>1224</v>
      </c>
    </row>
    <row r="201" spans="1:31" s="1" customFormat="1">
      <c r="A201" s="684" t="s">
        <v>3155</v>
      </c>
      <c r="B201" s="685" t="s">
        <v>3157</v>
      </c>
      <c r="C201" s="720">
        <v>1</v>
      </c>
      <c r="D201" s="723" t="s">
        <v>1670</v>
      </c>
      <c r="E201" s="1016">
        <v>12.99</v>
      </c>
      <c r="F201" s="161">
        <f>rv_20</f>
        <v>0.2</v>
      </c>
      <c r="G201" s="268">
        <f t="shared" si="46"/>
        <v>10.391999999999999</v>
      </c>
      <c r="H201" s="722"/>
      <c r="I201" s="222"/>
      <c r="J201" s="222"/>
      <c r="K201" s="222"/>
      <c r="L201" s="444">
        <v>0.02</v>
      </c>
      <c r="M201" s="624" t="s">
        <v>1223</v>
      </c>
      <c r="N201" s="158" t="s">
        <v>700</v>
      </c>
      <c r="O201" s="417" t="s">
        <v>1224</v>
      </c>
      <c r="P201" s="477"/>
      <c r="Q201" s="505"/>
      <c r="R201" s="506"/>
      <c r="S201" s="106"/>
      <c r="T201" s="473"/>
      <c r="U201" s="106"/>
      <c r="V201" s="430"/>
      <c r="W201" s="180"/>
      <c r="X201" s="147"/>
      <c r="Y201" s="163"/>
      <c r="Z201" s="163"/>
      <c r="AA201" s="163"/>
      <c r="AB201" s="428"/>
      <c r="AC201" s="41"/>
      <c r="AD201" s="42"/>
      <c r="AE201" s="416"/>
    </row>
    <row r="202" spans="1:31" s="1" customFormat="1">
      <c r="A202" s="684" t="s">
        <v>3156</v>
      </c>
      <c r="B202" s="685" t="s">
        <v>3158</v>
      </c>
      <c r="C202" s="720">
        <v>1</v>
      </c>
      <c r="D202" s="723" t="s">
        <v>1670</v>
      </c>
      <c r="E202" s="1016">
        <v>19.989999999999998</v>
      </c>
      <c r="F202" s="161">
        <f t="shared" si="26"/>
        <v>0.2</v>
      </c>
      <c r="G202" s="268">
        <f t="shared" ref="G202:G204" si="47">E202-(E202*F202)</f>
        <v>15.991999999999999</v>
      </c>
      <c r="H202" s="722"/>
      <c r="I202" s="222"/>
      <c r="J202" s="222"/>
      <c r="K202" s="222"/>
      <c r="L202" s="444">
        <v>0.1</v>
      </c>
      <c r="M202" s="624" t="s">
        <v>1223</v>
      </c>
      <c r="N202" s="158" t="s">
        <v>700</v>
      </c>
      <c r="O202" s="417" t="s">
        <v>1224</v>
      </c>
      <c r="P202" s="477"/>
      <c r="Q202" s="505"/>
      <c r="R202" s="506"/>
      <c r="S202" s="106"/>
      <c r="T202" s="473"/>
      <c r="U202" s="106"/>
      <c r="V202" s="430"/>
      <c r="W202" s="180"/>
      <c r="X202" s="147"/>
      <c r="Y202" s="163"/>
      <c r="Z202" s="163"/>
      <c r="AA202" s="163"/>
      <c r="AB202" s="428"/>
      <c r="AC202" s="41"/>
      <c r="AD202" s="42"/>
      <c r="AE202" s="416"/>
    </row>
    <row r="203" spans="1:31" s="1" customFormat="1">
      <c r="A203" s="684" t="s">
        <v>3159</v>
      </c>
      <c r="B203" s="685" t="s">
        <v>3160</v>
      </c>
      <c r="C203" s="720">
        <v>1</v>
      </c>
      <c r="D203" s="723" t="s">
        <v>1670</v>
      </c>
      <c r="E203" s="1016">
        <v>24.99</v>
      </c>
      <c r="F203" s="161">
        <f t="shared" si="26"/>
        <v>0.2</v>
      </c>
      <c r="G203" s="268">
        <f t="shared" si="47"/>
        <v>19.991999999999997</v>
      </c>
      <c r="H203" s="722"/>
      <c r="I203" s="222"/>
      <c r="J203" s="222"/>
      <c r="K203" s="222"/>
      <c r="L203" s="444">
        <v>0.1</v>
      </c>
      <c r="M203" s="624" t="s">
        <v>1223</v>
      </c>
      <c r="N203" s="158" t="s">
        <v>700</v>
      </c>
      <c r="O203" s="417" t="s">
        <v>1224</v>
      </c>
      <c r="P203" s="477"/>
      <c r="Q203" s="505"/>
      <c r="R203" s="506"/>
      <c r="S203" s="106"/>
      <c r="T203" s="473"/>
      <c r="U203" s="106"/>
      <c r="V203" s="430"/>
      <c r="W203" s="180"/>
      <c r="X203" s="147"/>
      <c r="Y203" s="163"/>
      <c r="Z203" s="163"/>
      <c r="AA203" s="163"/>
      <c r="AB203" s="428"/>
      <c r="AC203" s="41"/>
      <c r="AD203" s="42"/>
      <c r="AE203" s="416"/>
    </row>
    <row r="204" spans="1:31" s="1" customFormat="1">
      <c r="A204" s="684" t="s">
        <v>3161</v>
      </c>
      <c r="B204" s="685" t="s">
        <v>3164</v>
      </c>
      <c r="C204" s="720">
        <v>1</v>
      </c>
      <c r="D204" s="723" t="s">
        <v>1670</v>
      </c>
      <c r="E204" s="1016">
        <v>24.99</v>
      </c>
      <c r="F204" s="161">
        <f>rv_20</f>
        <v>0.2</v>
      </c>
      <c r="G204" s="268">
        <f t="shared" si="47"/>
        <v>19.991999999999997</v>
      </c>
      <c r="H204" s="722"/>
      <c r="I204" s="222"/>
      <c r="J204" s="222"/>
      <c r="K204" s="222"/>
      <c r="L204" s="444">
        <v>0.02</v>
      </c>
      <c r="M204" s="624" t="s">
        <v>1223</v>
      </c>
      <c r="N204" s="158" t="s">
        <v>700</v>
      </c>
      <c r="O204" s="417" t="s">
        <v>1224</v>
      </c>
      <c r="P204" s="477"/>
      <c r="Q204" s="505"/>
      <c r="R204" s="506"/>
      <c r="S204" s="106"/>
      <c r="T204" s="473"/>
      <c r="U204" s="106"/>
      <c r="V204" s="430"/>
      <c r="W204" s="180"/>
      <c r="X204" s="147"/>
      <c r="Y204" s="163"/>
      <c r="Z204" s="163"/>
      <c r="AA204" s="163"/>
      <c r="AB204" s="428"/>
      <c r="AC204" s="41"/>
      <c r="AD204" s="42"/>
      <c r="AE204" s="416"/>
    </row>
    <row r="205" spans="1:31" s="1" customFormat="1">
      <c r="A205" s="684" t="s">
        <v>3162</v>
      </c>
      <c r="B205" s="685" t="s">
        <v>3165</v>
      </c>
      <c r="C205" s="720">
        <v>1</v>
      </c>
      <c r="D205" s="723" t="s">
        <v>1670</v>
      </c>
      <c r="E205" s="1016">
        <v>29.99</v>
      </c>
      <c r="F205" s="161">
        <f t="shared" si="26"/>
        <v>0.2</v>
      </c>
      <c r="G205" s="268">
        <f t="shared" ref="G205:G206" si="48">E205-(E205*F205)</f>
        <v>23.991999999999997</v>
      </c>
      <c r="H205" s="722"/>
      <c r="I205" s="222"/>
      <c r="J205" s="222"/>
      <c r="K205" s="222"/>
      <c r="L205" s="444">
        <v>0.1</v>
      </c>
      <c r="M205" s="624" t="s">
        <v>1223</v>
      </c>
      <c r="N205" s="158" t="s">
        <v>700</v>
      </c>
      <c r="O205" s="417" t="s">
        <v>1224</v>
      </c>
      <c r="P205" s="477"/>
      <c r="Q205" s="505"/>
      <c r="R205" s="506"/>
      <c r="S205" s="106"/>
      <c r="T205" s="473"/>
      <c r="U205" s="106"/>
      <c r="V205" s="430"/>
      <c r="W205" s="180"/>
      <c r="X205" s="147"/>
      <c r="Y205" s="163"/>
      <c r="Z205" s="163"/>
      <c r="AA205" s="163"/>
      <c r="AB205" s="428"/>
      <c r="AC205" s="41"/>
      <c r="AD205" s="42"/>
      <c r="AE205" s="416"/>
    </row>
    <row r="206" spans="1:31" s="1" customFormat="1">
      <c r="A206" s="684" t="s">
        <v>3163</v>
      </c>
      <c r="B206" s="685" t="s">
        <v>3166</v>
      </c>
      <c r="C206" s="720">
        <v>1</v>
      </c>
      <c r="D206" s="723" t="s">
        <v>1670</v>
      </c>
      <c r="E206" s="1016">
        <v>39.99</v>
      </c>
      <c r="F206" s="161">
        <f t="shared" si="26"/>
        <v>0.2</v>
      </c>
      <c r="G206" s="268">
        <f t="shared" si="48"/>
        <v>31.992000000000001</v>
      </c>
      <c r="H206" s="722"/>
      <c r="I206" s="222"/>
      <c r="J206" s="222"/>
      <c r="K206" s="222"/>
      <c r="L206" s="444">
        <v>0.1</v>
      </c>
      <c r="M206" s="624" t="s">
        <v>1223</v>
      </c>
      <c r="N206" s="158" t="s">
        <v>700</v>
      </c>
      <c r="O206" s="417" t="s">
        <v>1224</v>
      </c>
      <c r="P206" s="477"/>
      <c r="Q206" s="505"/>
      <c r="R206" s="506"/>
      <c r="S206" s="106"/>
      <c r="T206" s="473"/>
      <c r="U206" s="106"/>
      <c r="V206" s="430"/>
      <c r="W206" s="180"/>
      <c r="X206" s="147"/>
      <c r="Y206" s="163"/>
      <c r="Z206" s="163"/>
      <c r="AA206" s="163"/>
      <c r="AB206" s="428"/>
      <c r="AC206" s="41"/>
      <c r="AD206" s="42"/>
      <c r="AE206" s="416"/>
    </row>
    <row r="207" spans="1:31" s="1" customFormat="1">
      <c r="A207" s="477" t="s">
        <v>1856</v>
      </c>
      <c r="B207" s="505" t="s">
        <v>1857</v>
      </c>
      <c r="C207" s="506">
        <v>1</v>
      </c>
      <c r="D207" s="585" t="s">
        <v>1670</v>
      </c>
      <c r="E207" s="1019">
        <v>33.33</v>
      </c>
      <c r="F207" s="692">
        <f>rv_30</f>
        <v>0.3</v>
      </c>
      <c r="G207" s="648">
        <f t="shared" si="46"/>
        <v>23.331</v>
      </c>
      <c r="H207" s="147"/>
      <c r="I207" s="163"/>
      <c r="J207" s="163"/>
      <c r="K207" s="163"/>
      <c r="L207" s="428">
        <v>0.05</v>
      </c>
      <c r="M207" s="624" t="s">
        <v>1223</v>
      </c>
      <c r="N207" s="158" t="s">
        <v>700</v>
      </c>
      <c r="O207" s="417" t="s">
        <v>1224</v>
      </c>
      <c r="P207" s="477" t="s">
        <v>1856</v>
      </c>
      <c r="Q207" s="505" t="s">
        <v>1857</v>
      </c>
      <c r="R207" s="506">
        <v>1</v>
      </c>
      <c r="S207" s="106" t="s">
        <v>1670</v>
      </c>
      <c r="T207" s="473" t="s">
        <v>1856</v>
      </c>
      <c r="U207" s="654">
        <v>25.89</v>
      </c>
      <c r="V207" s="655">
        <v>0.2</v>
      </c>
      <c r="W207" s="654">
        <v>20.712</v>
      </c>
      <c r="X207" s="147"/>
      <c r="Y207" s="163"/>
      <c r="Z207" s="163"/>
      <c r="AA207" s="163"/>
      <c r="AB207" s="428">
        <v>0.05</v>
      </c>
      <c r="AC207" s="41" t="s">
        <v>1223</v>
      </c>
      <c r="AD207" s="42" t="s">
        <v>700</v>
      </c>
      <c r="AE207" s="416" t="s">
        <v>1224</v>
      </c>
    </row>
    <row r="208" spans="1:31" s="1" customFormat="1">
      <c r="A208" s="477" t="s">
        <v>1858</v>
      </c>
      <c r="B208" s="505" t="s">
        <v>1859</v>
      </c>
      <c r="C208" s="506">
        <v>1</v>
      </c>
      <c r="D208" s="585" t="s">
        <v>1670</v>
      </c>
      <c r="E208" s="1019">
        <v>33.33</v>
      </c>
      <c r="F208" s="692">
        <f>rv_30</f>
        <v>0.3</v>
      </c>
      <c r="G208" s="648">
        <f t="shared" si="46"/>
        <v>23.331</v>
      </c>
      <c r="H208" s="147"/>
      <c r="I208" s="163"/>
      <c r="J208" s="163"/>
      <c r="K208" s="163"/>
      <c r="L208" s="428">
        <v>0.01</v>
      </c>
      <c r="M208" s="624" t="s">
        <v>1223</v>
      </c>
      <c r="N208" s="158" t="s">
        <v>700</v>
      </c>
      <c r="O208" s="417" t="s">
        <v>1224</v>
      </c>
      <c r="P208" s="477" t="s">
        <v>1858</v>
      </c>
      <c r="Q208" s="505" t="s">
        <v>1859</v>
      </c>
      <c r="R208" s="506">
        <v>1</v>
      </c>
      <c r="S208" s="106" t="s">
        <v>1670</v>
      </c>
      <c r="T208" s="473" t="s">
        <v>1858</v>
      </c>
      <c r="U208" s="654">
        <v>25.89</v>
      </c>
      <c r="V208" s="655">
        <v>0.2</v>
      </c>
      <c r="W208" s="654">
        <v>20.712</v>
      </c>
      <c r="X208" s="147"/>
      <c r="Y208" s="163"/>
      <c r="Z208" s="163"/>
      <c r="AA208" s="163"/>
      <c r="AB208" s="428">
        <v>0.01</v>
      </c>
      <c r="AC208" s="41" t="s">
        <v>1223</v>
      </c>
      <c r="AD208" s="42" t="s">
        <v>700</v>
      </c>
      <c r="AE208" s="416" t="s">
        <v>1224</v>
      </c>
    </row>
    <row r="209" spans="1:31" s="1" customFormat="1">
      <c r="A209" s="477" t="s">
        <v>1860</v>
      </c>
      <c r="B209" s="505" t="s">
        <v>1861</v>
      </c>
      <c r="C209" s="506">
        <v>1</v>
      </c>
      <c r="D209" s="585" t="s">
        <v>1670</v>
      </c>
      <c r="E209" s="1019">
        <v>24.99</v>
      </c>
      <c r="F209" s="692">
        <f>rv_30</f>
        <v>0.3</v>
      </c>
      <c r="G209" s="648">
        <f t="shared" si="46"/>
        <v>17.492999999999999</v>
      </c>
      <c r="H209" s="147"/>
      <c r="I209" s="163"/>
      <c r="J209" s="163"/>
      <c r="K209" s="163"/>
      <c r="L209" s="428">
        <v>0.05</v>
      </c>
      <c r="M209" s="624" t="s">
        <v>1223</v>
      </c>
      <c r="N209" s="158" t="s">
        <v>700</v>
      </c>
      <c r="O209" s="417" t="s">
        <v>1224</v>
      </c>
      <c r="P209" s="477" t="s">
        <v>1860</v>
      </c>
      <c r="Q209" s="505" t="s">
        <v>1861</v>
      </c>
      <c r="R209" s="506">
        <v>1</v>
      </c>
      <c r="S209" s="106" t="s">
        <v>1670</v>
      </c>
      <c r="T209" s="473" t="s">
        <v>1860</v>
      </c>
      <c r="U209" s="654">
        <v>20.14</v>
      </c>
      <c r="V209" s="655">
        <v>0.2</v>
      </c>
      <c r="W209" s="654">
        <v>16.112000000000002</v>
      </c>
      <c r="X209" s="147"/>
      <c r="Y209" s="163"/>
      <c r="Z209" s="163"/>
      <c r="AA209" s="163"/>
      <c r="AB209" s="428">
        <v>0.05</v>
      </c>
      <c r="AC209" s="41" t="s">
        <v>1223</v>
      </c>
      <c r="AD209" s="42" t="s">
        <v>700</v>
      </c>
      <c r="AE209" s="416" t="s">
        <v>1224</v>
      </c>
    </row>
    <row r="210" spans="1:31" s="1" customFormat="1">
      <c r="A210" s="477" t="s">
        <v>1862</v>
      </c>
      <c r="B210" s="505" t="s">
        <v>1863</v>
      </c>
      <c r="C210" s="506">
        <v>1</v>
      </c>
      <c r="D210" s="585" t="s">
        <v>1670</v>
      </c>
      <c r="E210" s="1019">
        <v>49.99</v>
      </c>
      <c r="F210" s="430">
        <f t="shared" si="45"/>
        <v>0.2</v>
      </c>
      <c r="G210" s="648">
        <f t="shared" si="46"/>
        <v>39.992000000000004</v>
      </c>
      <c r="H210" s="147"/>
      <c r="I210" s="163"/>
      <c r="J210" s="163"/>
      <c r="K210" s="163"/>
      <c r="L210" s="428">
        <v>0.01</v>
      </c>
      <c r="M210" s="624" t="s">
        <v>1223</v>
      </c>
      <c r="N210" s="158" t="s">
        <v>700</v>
      </c>
      <c r="O210" s="417" t="s">
        <v>1224</v>
      </c>
      <c r="P210" s="477" t="s">
        <v>1862</v>
      </c>
      <c r="Q210" s="505" t="s">
        <v>1863</v>
      </c>
      <c r="R210" s="506">
        <v>1</v>
      </c>
      <c r="S210" s="106" t="s">
        <v>1670</v>
      </c>
      <c r="T210" s="473" t="s">
        <v>1862</v>
      </c>
      <c r="U210" s="654">
        <v>44.64</v>
      </c>
      <c r="V210" s="430">
        <v>0.2</v>
      </c>
      <c r="W210" s="654">
        <v>35.712000000000003</v>
      </c>
      <c r="X210" s="147"/>
      <c r="Y210" s="163"/>
      <c r="Z210" s="163"/>
      <c r="AA210" s="163"/>
      <c r="AB210" s="428">
        <v>0.01</v>
      </c>
      <c r="AC210" s="41" t="s">
        <v>1223</v>
      </c>
      <c r="AD210" s="42" t="s">
        <v>700</v>
      </c>
      <c r="AE210" s="416" t="s">
        <v>1224</v>
      </c>
    </row>
    <row r="211" spans="1:31" s="1" customFormat="1">
      <c r="A211" s="477" t="s">
        <v>1668</v>
      </c>
      <c r="B211" s="697" t="s">
        <v>3136</v>
      </c>
      <c r="C211" s="512">
        <v>1</v>
      </c>
      <c r="D211" s="592" t="s">
        <v>1670</v>
      </c>
      <c r="E211" s="1014">
        <v>24.99</v>
      </c>
      <c r="F211" s="430">
        <f t="shared" si="26"/>
        <v>0.2</v>
      </c>
      <c r="G211" s="696">
        <f t="shared" ref="G211" si="49">E211-(E211*F211)</f>
        <v>19.991999999999997</v>
      </c>
      <c r="H211" s="531"/>
      <c r="I211" s="532"/>
      <c r="J211" s="532"/>
      <c r="K211" s="532"/>
      <c r="L211" s="513">
        <v>0.01</v>
      </c>
      <c r="M211" s="624" t="s">
        <v>1223</v>
      </c>
      <c r="N211" s="158" t="s">
        <v>700</v>
      </c>
      <c r="O211" s="417" t="s">
        <v>1224</v>
      </c>
      <c r="P211" s="477" t="s">
        <v>1668</v>
      </c>
      <c r="Q211" s="651" t="s">
        <v>1669</v>
      </c>
      <c r="R211" s="512">
        <v>1</v>
      </c>
      <c r="S211" s="592" t="s">
        <v>1670</v>
      </c>
      <c r="T211" s="508" t="s">
        <v>1668</v>
      </c>
      <c r="U211" s="1024">
        <v>25.78</v>
      </c>
      <c r="V211" s="514">
        <v>0.2</v>
      </c>
      <c r="W211" s="707">
        <v>20.624000000000002</v>
      </c>
      <c r="X211" s="531"/>
      <c r="Y211" s="532"/>
      <c r="Z211" s="532"/>
      <c r="AA211" s="532"/>
      <c r="AB211" s="513">
        <v>0.01</v>
      </c>
      <c r="AC211" s="41" t="s">
        <v>1223</v>
      </c>
      <c r="AD211" s="42" t="s">
        <v>700</v>
      </c>
      <c r="AE211" s="416" t="s">
        <v>1224</v>
      </c>
    </row>
    <row r="212" spans="1:31" s="1" customFormat="1">
      <c r="A212" s="684" t="s">
        <v>3135</v>
      </c>
      <c r="B212" s="685" t="s">
        <v>3139</v>
      </c>
      <c r="C212" s="720">
        <v>1</v>
      </c>
      <c r="D212" s="723" t="s">
        <v>1670</v>
      </c>
      <c r="E212" s="1016">
        <v>33.33</v>
      </c>
      <c r="F212" s="161">
        <f t="shared" si="26"/>
        <v>0.2</v>
      </c>
      <c r="G212" s="268">
        <f t="shared" ref="G212" si="50">E212-(E212*F212)</f>
        <v>26.663999999999998</v>
      </c>
      <c r="H212" s="722"/>
      <c r="I212" s="222"/>
      <c r="J212" s="222"/>
      <c r="K212" s="222"/>
      <c r="L212" s="444">
        <v>0.02</v>
      </c>
      <c r="M212" s="624" t="s">
        <v>1223</v>
      </c>
      <c r="N212" s="158" t="s">
        <v>700</v>
      </c>
      <c r="O212" s="417" t="s">
        <v>1224</v>
      </c>
      <c r="P212" s="477"/>
      <c r="Q212" s="505"/>
      <c r="R212" s="512"/>
      <c r="S212" s="592"/>
      <c r="T212" s="508"/>
      <c r="U212" s="534"/>
      <c r="V212" s="514"/>
      <c r="W212" s="534"/>
      <c r="X212" s="531"/>
      <c r="Y212" s="532"/>
      <c r="Z212" s="532"/>
      <c r="AA212" s="532"/>
      <c r="AB212" s="513"/>
      <c r="AC212" s="41"/>
      <c r="AD212" s="42"/>
      <c r="AE212" s="416"/>
    </row>
    <row r="213" spans="1:31" s="1" customFormat="1">
      <c r="A213" s="684" t="s">
        <v>3137</v>
      </c>
      <c r="B213" s="685" t="s">
        <v>3138</v>
      </c>
      <c r="C213" s="720">
        <v>1</v>
      </c>
      <c r="D213" s="723" t="s">
        <v>1670</v>
      </c>
      <c r="E213" s="1016">
        <v>24.99</v>
      </c>
      <c r="F213" s="161">
        <f t="shared" si="26"/>
        <v>0.2</v>
      </c>
      <c r="G213" s="268">
        <f t="shared" ref="G213" si="51">E213-(E213*F213)</f>
        <v>19.991999999999997</v>
      </c>
      <c r="H213" s="722"/>
      <c r="I213" s="222"/>
      <c r="J213" s="222"/>
      <c r="K213" s="222"/>
      <c r="L213" s="444">
        <v>0.02</v>
      </c>
      <c r="M213" s="624" t="s">
        <v>1223</v>
      </c>
      <c r="N213" s="158" t="s">
        <v>700</v>
      </c>
      <c r="O213" s="417" t="s">
        <v>1224</v>
      </c>
      <c r="P213" s="477"/>
      <c r="Q213" s="505"/>
      <c r="R213" s="512"/>
      <c r="S213" s="592"/>
      <c r="T213" s="508"/>
      <c r="U213" s="534"/>
      <c r="V213" s="514"/>
      <c r="W213" s="534"/>
      <c r="X213" s="531"/>
      <c r="Y213" s="532"/>
      <c r="Z213" s="532"/>
      <c r="AA213" s="532"/>
      <c r="AB213" s="513"/>
      <c r="AC213" s="41"/>
      <c r="AD213" s="42"/>
      <c r="AE213" s="416"/>
    </row>
    <row r="214" spans="1:31" s="1" customFormat="1">
      <c r="A214" s="684" t="s">
        <v>3140</v>
      </c>
      <c r="B214" s="685" t="s">
        <v>3141</v>
      </c>
      <c r="C214" s="720">
        <v>1</v>
      </c>
      <c r="D214" s="723" t="s">
        <v>1670</v>
      </c>
      <c r="E214" s="1016">
        <v>74.989999999999995</v>
      </c>
      <c r="F214" s="161">
        <f t="shared" si="26"/>
        <v>0.2</v>
      </c>
      <c r="G214" s="268">
        <f t="shared" ref="G214" si="52">E214-(E214*F214)</f>
        <v>59.991999999999997</v>
      </c>
      <c r="H214" s="722"/>
      <c r="I214" s="222"/>
      <c r="J214" s="222"/>
      <c r="K214" s="222"/>
      <c r="L214" s="444">
        <v>0.02</v>
      </c>
      <c r="M214" s="624" t="s">
        <v>1223</v>
      </c>
      <c r="N214" s="158" t="s">
        <v>700</v>
      </c>
      <c r="O214" s="417" t="s">
        <v>1224</v>
      </c>
      <c r="P214" s="477"/>
      <c r="Q214" s="505"/>
      <c r="R214" s="512"/>
      <c r="S214" s="592"/>
      <c r="T214" s="508"/>
      <c r="U214" s="534"/>
      <c r="V214" s="514"/>
      <c r="W214" s="534"/>
      <c r="X214" s="531"/>
      <c r="Y214" s="532"/>
      <c r="Z214" s="532"/>
      <c r="AA214" s="532"/>
      <c r="AB214" s="513"/>
      <c r="AC214" s="41"/>
      <c r="AD214" s="42"/>
      <c r="AE214" s="416"/>
    </row>
    <row r="215" spans="1:31" s="1" customFormat="1">
      <c r="A215" s="684" t="s">
        <v>3105</v>
      </c>
      <c r="B215" s="685" t="s">
        <v>3124</v>
      </c>
      <c r="C215" s="686">
        <v>1</v>
      </c>
      <c r="D215" s="693" t="s">
        <v>1670</v>
      </c>
      <c r="E215" s="977">
        <v>34.99</v>
      </c>
      <c r="F215" s="161">
        <f t="shared" si="45"/>
        <v>0.2</v>
      </c>
      <c r="G215" s="647">
        <f t="shared" si="46"/>
        <v>27.992000000000001</v>
      </c>
      <c r="H215" s="688"/>
      <c r="I215" s="215"/>
      <c r="J215" s="215"/>
      <c r="K215" s="215"/>
      <c r="L215" s="44">
        <v>0.02</v>
      </c>
      <c r="M215" s="624" t="s">
        <v>1223</v>
      </c>
      <c r="N215" s="158" t="s">
        <v>700</v>
      </c>
      <c r="O215" s="417" t="s">
        <v>1224</v>
      </c>
      <c r="P215" s="650" t="s">
        <v>1864</v>
      </c>
      <c r="Q215" s="651" t="s">
        <v>1865</v>
      </c>
      <c r="R215" s="652">
        <v>1</v>
      </c>
      <c r="S215" s="654" t="s">
        <v>1670</v>
      </c>
      <c r="T215" s="653" t="s">
        <v>1864</v>
      </c>
      <c r="U215" s="654">
        <v>36</v>
      </c>
      <c r="V215" s="655">
        <v>0.2</v>
      </c>
      <c r="W215" s="654">
        <v>28.8</v>
      </c>
      <c r="X215" s="656"/>
      <c r="Y215" s="657"/>
      <c r="Z215" s="657"/>
      <c r="AA215" s="657"/>
      <c r="AB215" s="659">
        <v>0.02</v>
      </c>
      <c r="AC215" s="660" t="s">
        <v>1223</v>
      </c>
      <c r="AD215" s="661" t="s">
        <v>700</v>
      </c>
      <c r="AE215" s="662" t="s">
        <v>1224</v>
      </c>
    </row>
    <row r="216" spans="1:31" s="1" customFormat="1">
      <c r="A216" s="477" t="s">
        <v>1866</v>
      </c>
      <c r="B216" s="697" t="s">
        <v>3123</v>
      </c>
      <c r="C216" s="506">
        <v>1</v>
      </c>
      <c r="D216" s="585" t="s">
        <v>1670</v>
      </c>
      <c r="E216" s="1019">
        <v>24.99</v>
      </c>
      <c r="F216" s="692">
        <f t="shared" ref="F216:F222" si="53">rv_20</f>
        <v>0.2</v>
      </c>
      <c r="G216" s="648">
        <f t="shared" si="46"/>
        <v>19.991999999999997</v>
      </c>
      <c r="H216" s="147"/>
      <c r="I216" s="163"/>
      <c r="J216" s="163"/>
      <c r="K216" s="163"/>
      <c r="L216" s="428">
        <v>0.02</v>
      </c>
      <c r="M216" s="624" t="s">
        <v>1223</v>
      </c>
      <c r="N216" s="158" t="s">
        <v>700</v>
      </c>
      <c r="O216" s="417" t="s">
        <v>1224</v>
      </c>
      <c r="P216" s="477" t="s">
        <v>1866</v>
      </c>
      <c r="Q216" s="651" t="s">
        <v>1867</v>
      </c>
      <c r="R216" s="506">
        <v>1</v>
      </c>
      <c r="S216" s="106" t="s">
        <v>1670</v>
      </c>
      <c r="T216" s="473" t="s">
        <v>1866</v>
      </c>
      <c r="U216" s="654">
        <v>12.16</v>
      </c>
      <c r="V216" s="655">
        <v>0.3</v>
      </c>
      <c r="W216" s="654">
        <v>8.5120000000000005</v>
      </c>
      <c r="X216" s="147"/>
      <c r="Y216" s="163"/>
      <c r="Z216" s="163"/>
      <c r="AA216" s="163"/>
      <c r="AB216" s="428">
        <v>0.02</v>
      </c>
      <c r="AC216" s="41" t="s">
        <v>1223</v>
      </c>
      <c r="AD216" s="42" t="s">
        <v>700</v>
      </c>
      <c r="AE216" s="416" t="s">
        <v>1224</v>
      </c>
    </row>
    <row r="217" spans="1:31" s="1" customFormat="1">
      <c r="A217" s="684" t="s">
        <v>3120</v>
      </c>
      <c r="B217" s="685" t="s">
        <v>3122</v>
      </c>
      <c r="C217" s="686">
        <v>1</v>
      </c>
      <c r="D217" s="693" t="s">
        <v>1670</v>
      </c>
      <c r="E217" s="977">
        <v>14.95</v>
      </c>
      <c r="F217" s="161">
        <f t="shared" si="53"/>
        <v>0.2</v>
      </c>
      <c r="G217" s="647">
        <f t="shared" ref="G217" si="54">E217-(E217*F217)</f>
        <v>11.959999999999999</v>
      </c>
      <c r="H217" s="688"/>
      <c r="I217" s="215"/>
      <c r="J217" s="215"/>
      <c r="K217" s="215"/>
      <c r="L217" s="44">
        <v>0.02</v>
      </c>
      <c r="M217" s="624" t="s">
        <v>1223</v>
      </c>
      <c r="N217" s="158" t="s">
        <v>700</v>
      </c>
      <c r="O217" s="417" t="s">
        <v>1224</v>
      </c>
      <c r="P217" s="477"/>
      <c r="Q217" s="505"/>
      <c r="R217" s="506"/>
      <c r="S217" s="106"/>
      <c r="T217" s="473"/>
      <c r="U217" s="106"/>
      <c r="V217" s="430"/>
      <c r="W217" s="106"/>
      <c r="X217" s="147"/>
      <c r="Y217" s="163"/>
      <c r="Z217" s="163"/>
      <c r="AA217" s="163"/>
      <c r="AB217" s="428"/>
      <c r="AC217" s="41"/>
      <c r="AD217" s="42"/>
      <c r="AE217" s="416"/>
    </row>
    <row r="218" spans="1:31" s="1" customFormat="1">
      <c r="A218" s="684" t="s">
        <v>3121</v>
      </c>
      <c r="B218" s="685" t="s">
        <v>3125</v>
      </c>
      <c r="C218" s="686">
        <v>1</v>
      </c>
      <c r="D218" s="693" t="s">
        <v>1813</v>
      </c>
      <c r="E218" s="977">
        <v>33.29</v>
      </c>
      <c r="F218" s="161">
        <f t="shared" si="53"/>
        <v>0.2</v>
      </c>
      <c r="G218" s="647">
        <f t="shared" ref="G218" si="55">E218-(E218*F218)</f>
        <v>26.631999999999998</v>
      </c>
      <c r="H218" s="688"/>
      <c r="I218" s="215"/>
      <c r="J218" s="215"/>
      <c r="K218" s="215"/>
      <c r="L218" s="44">
        <v>0.02</v>
      </c>
      <c r="M218" s="624" t="s">
        <v>1223</v>
      </c>
      <c r="N218" s="158" t="s">
        <v>700</v>
      </c>
      <c r="O218" s="417" t="s">
        <v>1224</v>
      </c>
      <c r="P218" s="477"/>
      <c r="Q218" s="505"/>
      <c r="R218" s="506"/>
      <c r="S218" s="106"/>
      <c r="T218" s="473"/>
      <c r="U218" s="106"/>
      <c r="V218" s="430"/>
      <c r="W218" s="106"/>
      <c r="X218" s="147"/>
      <c r="Y218" s="163"/>
      <c r="Z218" s="163"/>
      <c r="AA218" s="163"/>
      <c r="AB218" s="428"/>
      <c r="AC218" s="41"/>
      <c r="AD218" s="42"/>
      <c r="AE218" s="416"/>
    </row>
    <row r="219" spans="1:31" s="1" customFormat="1">
      <c r="A219" s="684" t="s">
        <v>3128</v>
      </c>
      <c r="B219" s="685" t="s">
        <v>3126</v>
      </c>
      <c r="C219" s="686">
        <v>1</v>
      </c>
      <c r="D219" s="693" t="s">
        <v>1813</v>
      </c>
      <c r="E219" s="977">
        <v>37.46</v>
      </c>
      <c r="F219" s="161">
        <f t="shared" si="53"/>
        <v>0.2</v>
      </c>
      <c r="G219" s="647">
        <f t="shared" ref="G219" si="56">E219-(E219*F219)</f>
        <v>29.968</v>
      </c>
      <c r="H219" s="688"/>
      <c r="I219" s="215"/>
      <c r="J219" s="215"/>
      <c r="K219" s="215"/>
      <c r="L219" s="44">
        <v>0.02</v>
      </c>
      <c r="M219" s="624" t="s">
        <v>1223</v>
      </c>
      <c r="N219" s="158" t="s">
        <v>700</v>
      </c>
      <c r="O219" s="417" t="s">
        <v>1224</v>
      </c>
      <c r="P219" s="477"/>
      <c r="Q219" s="505"/>
      <c r="R219" s="506"/>
      <c r="S219" s="106"/>
      <c r="T219" s="473"/>
      <c r="U219" s="106"/>
      <c r="V219" s="430"/>
      <c r="W219" s="106"/>
      <c r="X219" s="147"/>
      <c r="Y219" s="163"/>
      <c r="Z219" s="163"/>
      <c r="AA219" s="163"/>
      <c r="AB219" s="428"/>
      <c r="AC219" s="41"/>
      <c r="AD219" s="42"/>
      <c r="AE219" s="416"/>
    </row>
    <row r="220" spans="1:31" s="1" customFormat="1">
      <c r="A220" s="684" t="s">
        <v>3129</v>
      </c>
      <c r="B220" s="685" t="s">
        <v>3127</v>
      </c>
      <c r="C220" s="686">
        <v>1</v>
      </c>
      <c r="D220" s="693" t="s">
        <v>1813</v>
      </c>
      <c r="E220" s="977">
        <v>76.62</v>
      </c>
      <c r="F220" s="161">
        <f t="shared" si="53"/>
        <v>0.2</v>
      </c>
      <c r="G220" s="647">
        <f t="shared" ref="G220" si="57">E220-(E220*F220)</f>
        <v>61.296000000000006</v>
      </c>
      <c r="H220" s="688"/>
      <c r="I220" s="215"/>
      <c r="J220" s="215"/>
      <c r="K220" s="215"/>
      <c r="L220" s="44">
        <v>0.02</v>
      </c>
      <c r="M220" s="624" t="s">
        <v>1223</v>
      </c>
      <c r="N220" s="158" t="s">
        <v>700</v>
      </c>
      <c r="O220" s="417" t="s">
        <v>1224</v>
      </c>
      <c r="P220" s="477"/>
      <c r="Q220" s="505"/>
      <c r="R220" s="506"/>
      <c r="S220" s="106"/>
      <c r="T220" s="473"/>
      <c r="U220" s="106"/>
      <c r="V220" s="430"/>
      <c r="W220" s="106"/>
      <c r="X220" s="147"/>
      <c r="Y220" s="163"/>
      <c r="Z220" s="163"/>
      <c r="AA220" s="163"/>
      <c r="AB220" s="428"/>
      <c r="AC220" s="41"/>
      <c r="AD220" s="42"/>
      <c r="AE220" s="416"/>
    </row>
    <row r="221" spans="1:31" s="1" customFormat="1">
      <c r="A221" s="684" t="s">
        <v>3130</v>
      </c>
      <c r="B221" s="685" t="s">
        <v>3131</v>
      </c>
      <c r="C221" s="686">
        <v>1</v>
      </c>
      <c r="D221" s="693" t="s">
        <v>1813</v>
      </c>
      <c r="E221" s="977">
        <v>51.59</v>
      </c>
      <c r="F221" s="161">
        <f t="shared" si="53"/>
        <v>0.2</v>
      </c>
      <c r="G221" s="647">
        <f t="shared" ref="G221" si="58">E221-(E221*F221)</f>
        <v>41.272000000000006</v>
      </c>
      <c r="H221" s="688"/>
      <c r="I221" s="215"/>
      <c r="J221" s="215"/>
      <c r="K221" s="215"/>
      <c r="L221" s="44">
        <v>0.02</v>
      </c>
      <c r="M221" s="624" t="s">
        <v>1223</v>
      </c>
      <c r="N221" s="158" t="s">
        <v>700</v>
      </c>
      <c r="O221" s="417" t="s">
        <v>1224</v>
      </c>
      <c r="P221" s="477"/>
      <c r="Q221" s="505"/>
      <c r="R221" s="506"/>
      <c r="S221" s="106"/>
      <c r="T221" s="473"/>
      <c r="U221" s="106"/>
      <c r="V221" s="430"/>
      <c r="W221" s="106"/>
      <c r="X221" s="147"/>
      <c r="Y221" s="163"/>
      <c r="Z221" s="163"/>
      <c r="AA221" s="163"/>
      <c r="AB221" s="428"/>
      <c r="AC221" s="41"/>
      <c r="AD221" s="42"/>
      <c r="AE221" s="416"/>
    </row>
    <row r="222" spans="1:31" s="1" customFormat="1">
      <c r="A222" s="684" t="s">
        <v>3132</v>
      </c>
      <c r="B222" s="685" t="s">
        <v>3622</v>
      </c>
      <c r="C222" s="686">
        <v>1</v>
      </c>
      <c r="D222" s="693" t="s">
        <v>1813</v>
      </c>
      <c r="E222" s="977">
        <v>55.99</v>
      </c>
      <c r="F222" s="161">
        <f t="shared" si="53"/>
        <v>0.2</v>
      </c>
      <c r="G222" s="647">
        <f t="shared" ref="G222" si="59">E222-(E222*F222)</f>
        <v>44.792000000000002</v>
      </c>
      <c r="H222" s="688"/>
      <c r="I222" s="215"/>
      <c r="J222" s="215"/>
      <c r="K222" s="215"/>
      <c r="L222" s="44">
        <v>0.05</v>
      </c>
      <c r="M222" s="624" t="s">
        <v>1223</v>
      </c>
      <c r="N222" s="158" t="s">
        <v>700</v>
      </c>
      <c r="O222" s="417" t="s">
        <v>1224</v>
      </c>
      <c r="P222" s="477"/>
      <c r="Q222" s="505"/>
      <c r="R222" s="506"/>
      <c r="S222" s="106"/>
      <c r="T222" s="473"/>
      <c r="U222" s="106"/>
      <c r="V222" s="430"/>
      <c r="W222" s="106"/>
      <c r="X222" s="147"/>
      <c r="Y222" s="163"/>
      <c r="Z222" s="163"/>
      <c r="AA222" s="163"/>
      <c r="AB222" s="428"/>
      <c r="AC222" s="41"/>
      <c r="AD222" s="42"/>
      <c r="AE222" s="416"/>
    </row>
    <row r="223" spans="1:31" s="1" customFormat="1">
      <c r="A223" s="477" t="s">
        <v>1868</v>
      </c>
      <c r="B223" s="505" t="s">
        <v>1869</v>
      </c>
      <c r="C223" s="506">
        <v>1</v>
      </c>
      <c r="D223" s="585" t="s">
        <v>1670</v>
      </c>
      <c r="E223" s="1009">
        <v>203.55</v>
      </c>
      <c r="F223" s="430">
        <f t="shared" ref="F223:F332" si="60">rv_20</f>
        <v>0.2</v>
      </c>
      <c r="G223" s="106">
        <f t="shared" si="46"/>
        <v>162.84</v>
      </c>
      <c r="H223" s="147"/>
      <c r="I223" s="163"/>
      <c r="J223" s="163"/>
      <c r="K223" s="163"/>
      <c r="L223" s="428">
        <v>0.02</v>
      </c>
      <c r="M223" s="624" t="s">
        <v>1223</v>
      </c>
      <c r="N223" s="158" t="s">
        <v>700</v>
      </c>
      <c r="O223" s="417" t="s">
        <v>1224</v>
      </c>
      <c r="P223" s="477" t="s">
        <v>1868</v>
      </c>
      <c r="Q223" s="505" t="s">
        <v>1869</v>
      </c>
      <c r="R223" s="506">
        <v>1</v>
      </c>
      <c r="S223" s="106" t="s">
        <v>1670</v>
      </c>
      <c r="T223" s="473" t="s">
        <v>1868</v>
      </c>
      <c r="U223" s="106">
        <v>203.55</v>
      </c>
      <c r="V223" s="430">
        <v>0.2</v>
      </c>
      <c r="W223" s="106">
        <v>162.84</v>
      </c>
      <c r="X223" s="147"/>
      <c r="Y223" s="163"/>
      <c r="Z223" s="163"/>
      <c r="AA223" s="163"/>
      <c r="AB223" s="428">
        <v>0.02</v>
      </c>
      <c r="AC223" s="41" t="s">
        <v>1223</v>
      </c>
      <c r="AD223" s="42" t="s">
        <v>700</v>
      </c>
      <c r="AE223" s="416" t="s">
        <v>1224</v>
      </c>
    </row>
    <row r="224" spans="1:31" s="1" customFormat="1">
      <c r="A224" s="477" t="s">
        <v>1870</v>
      </c>
      <c r="B224" s="505" t="s">
        <v>1871</v>
      </c>
      <c r="C224" s="506">
        <v>1</v>
      </c>
      <c r="D224" s="585" t="s">
        <v>1670</v>
      </c>
      <c r="E224" s="1009">
        <v>265.16000000000003</v>
      </c>
      <c r="F224" s="430">
        <f t="shared" si="60"/>
        <v>0.2</v>
      </c>
      <c r="G224" s="106">
        <f t="shared" si="46"/>
        <v>212.12800000000001</v>
      </c>
      <c r="H224" s="147"/>
      <c r="I224" s="163"/>
      <c r="J224" s="163"/>
      <c r="K224" s="163"/>
      <c r="L224" s="428">
        <v>0.02</v>
      </c>
      <c r="M224" s="624" t="s">
        <v>1223</v>
      </c>
      <c r="N224" s="158" t="s">
        <v>700</v>
      </c>
      <c r="O224" s="417" t="s">
        <v>1224</v>
      </c>
      <c r="P224" s="477" t="s">
        <v>1870</v>
      </c>
      <c r="Q224" s="505" t="s">
        <v>1871</v>
      </c>
      <c r="R224" s="506">
        <v>1</v>
      </c>
      <c r="S224" s="106" t="s">
        <v>1670</v>
      </c>
      <c r="T224" s="473" t="s">
        <v>1870</v>
      </c>
      <c r="U224" s="106">
        <v>265.16000000000003</v>
      </c>
      <c r="V224" s="430">
        <v>0.2</v>
      </c>
      <c r="W224" s="106">
        <v>212.12800000000001</v>
      </c>
      <c r="X224" s="147"/>
      <c r="Y224" s="163"/>
      <c r="Z224" s="163"/>
      <c r="AA224" s="163"/>
      <c r="AB224" s="428">
        <v>0.02</v>
      </c>
      <c r="AC224" s="41" t="s">
        <v>1223</v>
      </c>
      <c r="AD224" s="42" t="s">
        <v>700</v>
      </c>
      <c r="AE224" s="416" t="s">
        <v>1224</v>
      </c>
    </row>
    <row r="225" spans="1:31" s="1" customFormat="1">
      <c r="A225" s="477" t="s">
        <v>1872</v>
      </c>
      <c r="B225" s="505" t="s">
        <v>1873</v>
      </c>
      <c r="C225" s="506">
        <v>1</v>
      </c>
      <c r="D225" s="585" t="s">
        <v>1670</v>
      </c>
      <c r="E225" s="1019">
        <v>291.66000000000003</v>
      </c>
      <c r="F225" s="692">
        <f>rv_10</f>
        <v>0.1</v>
      </c>
      <c r="G225" s="648">
        <f t="shared" si="46"/>
        <v>262.49400000000003</v>
      </c>
      <c r="H225" s="147"/>
      <c r="I225" s="163"/>
      <c r="J225" s="163"/>
      <c r="K225" s="163"/>
      <c r="L225" s="428">
        <v>0.2</v>
      </c>
      <c r="M225" s="624" t="s">
        <v>1223</v>
      </c>
      <c r="N225" s="158" t="s">
        <v>700</v>
      </c>
      <c r="O225" s="417" t="s">
        <v>1224</v>
      </c>
      <c r="P225" s="477" t="s">
        <v>1872</v>
      </c>
      <c r="Q225" s="505" t="s">
        <v>1873</v>
      </c>
      <c r="R225" s="506">
        <v>1</v>
      </c>
      <c r="S225" s="106" t="s">
        <v>1670</v>
      </c>
      <c r="T225" s="473" t="s">
        <v>1872</v>
      </c>
      <c r="U225" s="654">
        <v>290</v>
      </c>
      <c r="V225" s="655">
        <v>0.2</v>
      </c>
      <c r="W225" s="654">
        <v>232</v>
      </c>
      <c r="X225" s="147"/>
      <c r="Y225" s="163"/>
      <c r="Z225" s="163"/>
      <c r="AA225" s="163"/>
      <c r="AB225" s="428">
        <v>0.2</v>
      </c>
      <c r="AC225" s="41" t="s">
        <v>1223</v>
      </c>
      <c r="AD225" s="42" t="s">
        <v>700</v>
      </c>
      <c r="AE225" s="416" t="s">
        <v>1224</v>
      </c>
    </row>
    <row r="226" spans="1:31" s="1" customFormat="1">
      <c r="A226" s="477" t="s">
        <v>1874</v>
      </c>
      <c r="B226" s="505" t="s">
        <v>1875</v>
      </c>
      <c r="C226" s="506">
        <v>1</v>
      </c>
      <c r="D226" s="585" t="s">
        <v>1670</v>
      </c>
      <c r="E226" s="1019">
        <v>332.5</v>
      </c>
      <c r="F226" s="692">
        <f>rv_10</f>
        <v>0.1</v>
      </c>
      <c r="G226" s="648">
        <f t="shared" ref="G226:G233" si="61">E226-(E226*F226)</f>
        <v>299.25</v>
      </c>
      <c r="H226" s="147"/>
      <c r="I226" s="163"/>
      <c r="J226" s="163"/>
      <c r="K226" s="163"/>
      <c r="L226" s="428">
        <v>0.02</v>
      </c>
      <c r="M226" s="624" t="s">
        <v>1223</v>
      </c>
      <c r="N226" s="158" t="s">
        <v>700</v>
      </c>
      <c r="O226" s="417" t="s">
        <v>1224</v>
      </c>
      <c r="P226" s="477" t="s">
        <v>1874</v>
      </c>
      <c r="Q226" s="505" t="s">
        <v>1875</v>
      </c>
      <c r="R226" s="506">
        <v>1</v>
      </c>
      <c r="S226" s="106" t="s">
        <v>1670</v>
      </c>
      <c r="T226" s="473" t="s">
        <v>1874</v>
      </c>
      <c r="U226" s="654">
        <v>433.2</v>
      </c>
      <c r="V226" s="655">
        <v>0.2</v>
      </c>
      <c r="W226" s="654">
        <v>346.56</v>
      </c>
      <c r="X226" s="147"/>
      <c r="Y226" s="163"/>
      <c r="Z226" s="163"/>
      <c r="AA226" s="163"/>
      <c r="AB226" s="428">
        <v>0.02</v>
      </c>
      <c r="AC226" s="223" t="s">
        <v>1223</v>
      </c>
      <c r="AD226" s="218" t="s">
        <v>700</v>
      </c>
      <c r="AE226" s="478" t="s">
        <v>1224</v>
      </c>
    </row>
    <row r="227" spans="1:31" s="1" customFormat="1">
      <c r="A227" s="477" t="s">
        <v>1876</v>
      </c>
      <c r="B227" s="505" t="s">
        <v>1877</v>
      </c>
      <c r="C227" s="506">
        <v>1</v>
      </c>
      <c r="D227" s="585" t="s">
        <v>1670</v>
      </c>
      <c r="E227" s="1009">
        <v>266.66000000000003</v>
      </c>
      <c r="F227" s="430">
        <f>rv_20</f>
        <v>0.2</v>
      </c>
      <c r="G227" s="106">
        <f t="shared" si="61"/>
        <v>213.32800000000003</v>
      </c>
      <c r="H227" s="147"/>
      <c r="I227" s="163"/>
      <c r="J227" s="163"/>
      <c r="K227" s="163"/>
      <c r="L227" s="428">
        <v>0</v>
      </c>
      <c r="M227" s="624" t="s">
        <v>1223</v>
      </c>
      <c r="N227" s="158" t="s">
        <v>700</v>
      </c>
      <c r="O227" s="417" t="s">
        <v>1224</v>
      </c>
      <c r="P227" s="477" t="s">
        <v>1876</v>
      </c>
      <c r="Q227" s="505" t="s">
        <v>1877</v>
      </c>
      <c r="R227" s="506">
        <v>1</v>
      </c>
      <c r="S227" s="106" t="s">
        <v>1670</v>
      </c>
      <c r="T227" s="473" t="s">
        <v>1876</v>
      </c>
      <c r="U227" s="106">
        <v>266.66000000000003</v>
      </c>
      <c r="V227" s="430">
        <v>0.2</v>
      </c>
      <c r="W227" s="106">
        <v>213.32800000000003</v>
      </c>
      <c r="X227" s="147"/>
      <c r="Y227" s="163"/>
      <c r="Z227" s="163"/>
      <c r="AA227" s="163"/>
      <c r="AB227" s="428">
        <v>0</v>
      </c>
      <c r="AC227" s="223" t="s">
        <v>1223</v>
      </c>
      <c r="AD227" s="218" t="s">
        <v>700</v>
      </c>
      <c r="AE227" s="478" t="s">
        <v>1224</v>
      </c>
    </row>
    <row r="228" spans="1:31" s="90" customFormat="1">
      <c r="A228" s="477" t="s">
        <v>1680</v>
      </c>
      <c r="B228" s="505" t="s">
        <v>3107</v>
      </c>
      <c r="C228" s="506">
        <v>1</v>
      </c>
      <c r="D228" s="585" t="s">
        <v>1670</v>
      </c>
      <c r="E228" s="1009">
        <v>66.66</v>
      </c>
      <c r="F228" s="430">
        <f t="shared" si="26"/>
        <v>0.2</v>
      </c>
      <c r="G228" s="106">
        <f t="shared" si="61"/>
        <v>53.327999999999996</v>
      </c>
      <c r="H228" s="147"/>
      <c r="I228" s="163"/>
      <c r="J228" s="163"/>
      <c r="K228" s="163"/>
      <c r="L228" s="428">
        <v>0.01</v>
      </c>
      <c r="M228" s="624" t="s">
        <v>1223</v>
      </c>
      <c r="N228" s="158" t="s">
        <v>700</v>
      </c>
      <c r="O228" s="417" t="s">
        <v>1224</v>
      </c>
      <c r="P228" s="510" t="s">
        <v>1680</v>
      </c>
      <c r="Q228" s="529" t="s">
        <v>1681</v>
      </c>
      <c r="R228" s="512">
        <v>1</v>
      </c>
      <c r="S228" s="515" t="s">
        <v>1670</v>
      </c>
      <c r="T228" s="518" t="s">
        <v>1680</v>
      </c>
      <c r="U228" s="515">
        <v>66.66</v>
      </c>
      <c r="V228" s="514">
        <v>0.2</v>
      </c>
      <c r="W228" s="515">
        <v>53.327999999999996</v>
      </c>
      <c r="X228" s="531"/>
      <c r="Y228" s="532"/>
      <c r="Z228" s="532"/>
      <c r="AA228" s="532"/>
      <c r="AB228" s="513">
        <v>0.01</v>
      </c>
      <c r="AC228" s="41" t="s">
        <v>1223</v>
      </c>
      <c r="AD228" s="42" t="s">
        <v>700</v>
      </c>
      <c r="AE228" s="416" t="s">
        <v>1224</v>
      </c>
    </row>
    <row r="229" spans="1:31" s="90" customFormat="1">
      <c r="A229" s="510" t="s">
        <v>1682</v>
      </c>
      <c r="B229" s="529" t="s">
        <v>1683</v>
      </c>
      <c r="C229" s="512">
        <v>1</v>
      </c>
      <c r="D229" s="592" t="s">
        <v>1670</v>
      </c>
      <c r="E229" s="1010">
        <v>41.66</v>
      </c>
      <c r="F229" s="514">
        <f t="shared" si="26"/>
        <v>0.2</v>
      </c>
      <c r="G229" s="515">
        <f t="shared" si="61"/>
        <v>33.327999999999996</v>
      </c>
      <c r="H229" s="531"/>
      <c r="I229" s="532"/>
      <c r="J229" s="532"/>
      <c r="K229" s="532"/>
      <c r="L229" s="513">
        <v>0.01</v>
      </c>
      <c r="M229" s="624" t="s">
        <v>1223</v>
      </c>
      <c r="N229" s="158" t="s">
        <v>700</v>
      </c>
      <c r="O229" s="417" t="s">
        <v>1224</v>
      </c>
      <c r="P229" s="510" t="s">
        <v>1682</v>
      </c>
      <c r="Q229" s="529" t="s">
        <v>1683</v>
      </c>
      <c r="R229" s="512">
        <v>1</v>
      </c>
      <c r="S229" s="515" t="s">
        <v>1670</v>
      </c>
      <c r="T229" s="518" t="s">
        <v>1682</v>
      </c>
      <c r="U229" s="515">
        <v>41.66</v>
      </c>
      <c r="V229" s="514">
        <v>0.2</v>
      </c>
      <c r="W229" s="515">
        <v>33.327999999999996</v>
      </c>
      <c r="X229" s="531"/>
      <c r="Y229" s="532"/>
      <c r="Z229" s="532"/>
      <c r="AA229" s="532"/>
      <c r="AB229" s="513">
        <v>0.01</v>
      </c>
      <c r="AC229" s="41" t="s">
        <v>1223</v>
      </c>
      <c r="AD229" s="42" t="s">
        <v>700</v>
      </c>
      <c r="AE229" s="416" t="s">
        <v>1224</v>
      </c>
    </row>
    <row r="230" spans="1:31" s="90" customFormat="1">
      <c r="A230" s="718" t="s">
        <v>3133</v>
      </c>
      <c r="B230" s="719" t="s">
        <v>3134</v>
      </c>
      <c r="C230" s="720">
        <v>1</v>
      </c>
      <c r="D230" s="723" t="s">
        <v>1670</v>
      </c>
      <c r="E230" s="978">
        <v>37.49</v>
      </c>
      <c r="F230" s="721">
        <f t="shared" si="26"/>
        <v>0.2</v>
      </c>
      <c r="G230" s="264">
        <f t="shared" si="61"/>
        <v>29.992000000000001</v>
      </c>
      <c r="H230" s="722"/>
      <c r="I230" s="222"/>
      <c r="J230" s="222"/>
      <c r="K230" s="222"/>
      <c r="L230" s="444">
        <v>0.02</v>
      </c>
      <c r="M230" s="624" t="s">
        <v>1223</v>
      </c>
      <c r="N230" s="158" t="s">
        <v>700</v>
      </c>
      <c r="O230" s="417" t="s">
        <v>1224</v>
      </c>
      <c r="P230" s="510"/>
      <c r="Q230" s="529"/>
      <c r="R230" s="512"/>
      <c r="S230" s="515"/>
      <c r="T230" s="518"/>
      <c r="U230" s="515"/>
      <c r="V230" s="514"/>
      <c r="W230" s="515"/>
      <c r="X230" s="531"/>
      <c r="Y230" s="532"/>
      <c r="Z230" s="532"/>
      <c r="AA230" s="532"/>
      <c r="AB230" s="513"/>
      <c r="AC230" s="41"/>
      <c r="AD230" s="42"/>
      <c r="AE230" s="416"/>
    </row>
    <row r="231" spans="1:31" s="90" customFormat="1">
      <c r="A231" s="684" t="s">
        <v>3118</v>
      </c>
      <c r="B231" s="685" t="s">
        <v>3119</v>
      </c>
      <c r="C231" s="686">
        <v>1</v>
      </c>
      <c r="D231" s="693" t="s">
        <v>1670</v>
      </c>
      <c r="E231" s="977">
        <v>66.66</v>
      </c>
      <c r="F231" s="161">
        <f t="shared" si="26"/>
        <v>0.2</v>
      </c>
      <c r="G231" s="647">
        <f t="shared" si="61"/>
        <v>53.327999999999996</v>
      </c>
      <c r="H231" s="531"/>
      <c r="I231" s="532"/>
      <c r="J231" s="532"/>
      <c r="K231" s="532"/>
      <c r="L231" s="44">
        <v>0.01</v>
      </c>
      <c r="M231" s="624" t="s">
        <v>1223</v>
      </c>
      <c r="N231" s="158" t="s">
        <v>700</v>
      </c>
      <c r="O231" s="417" t="s">
        <v>1224</v>
      </c>
      <c r="P231" s="510"/>
      <c r="Q231" s="529"/>
      <c r="R231" s="512"/>
      <c r="S231" s="515"/>
      <c r="T231" s="518"/>
      <c r="U231" s="515"/>
      <c r="V231" s="514"/>
      <c r="W231" s="515"/>
      <c r="X231" s="531"/>
      <c r="Y231" s="532"/>
      <c r="Z231" s="532"/>
      <c r="AA231" s="532"/>
      <c r="AB231" s="513"/>
      <c r="AC231" s="41"/>
      <c r="AD231" s="42"/>
      <c r="AE231" s="416"/>
    </row>
    <row r="232" spans="1:31" s="90" customFormat="1">
      <c r="A232" s="510" t="s">
        <v>1684</v>
      </c>
      <c r="B232" s="529" t="s">
        <v>1685</v>
      </c>
      <c r="C232" s="512">
        <v>1</v>
      </c>
      <c r="D232" s="592" t="s">
        <v>1670</v>
      </c>
      <c r="E232" s="1010">
        <v>83.33</v>
      </c>
      <c r="F232" s="692">
        <f>rv_10</f>
        <v>0.1</v>
      </c>
      <c r="G232" s="515">
        <f t="shared" si="61"/>
        <v>74.997</v>
      </c>
      <c r="H232" s="531"/>
      <c r="I232" s="532"/>
      <c r="J232" s="532"/>
      <c r="K232" s="532"/>
      <c r="L232" s="513">
        <v>0.01</v>
      </c>
      <c r="M232" s="624" t="s">
        <v>1223</v>
      </c>
      <c r="N232" s="158" t="s">
        <v>700</v>
      </c>
      <c r="O232" s="417" t="s">
        <v>1224</v>
      </c>
      <c r="P232" s="510" t="s">
        <v>1684</v>
      </c>
      <c r="Q232" s="529" t="s">
        <v>1685</v>
      </c>
      <c r="R232" s="512">
        <v>1</v>
      </c>
      <c r="S232" s="515" t="s">
        <v>1670</v>
      </c>
      <c r="T232" s="518" t="s">
        <v>1684</v>
      </c>
      <c r="U232" s="515">
        <v>83.33</v>
      </c>
      <c r="V232" s="708">
        <v>0.2</v>
      </c>
      <c r="W232" s="515">
        <v>66.664000000000001</v>
      </c>
      <c r="X232" s="531"/>
      <c r="Y232" s="532"/>
      <c r="Z232" s="532"/>
      <c r="AA232" s="532"/>
      <c r="AB232" s="513">
        <v>0.01</v>
      </c>
      <c r="AC232" s="41" t="s">
        <v>1223</v>
      </c>
      <c r="AD232" s="42" t="s">
        <v>700</v>
      </c>
      <c r="AE232" s="416" t="s">
        <v>1224</v>
      </c>
    </row>
    <row r="233" spans="1:31" s="90" customFormat="1">
      <c r="A233" s="477" t="s">
        <v>1686</v>
      </c>
      <c r="B233" s="505" t="s">
        <v>1687</v>
      </c>
      <c r="C233" s="512">
        <v>1</v>
      </c>
      <c r="D233" s="592" t="s">
        <v>1670</v>
      </c>
      <c r="E233" s="1010">
        <v>141.66</v>
      </c>
      <c r="F233" s="692">
        <f>rv_10</f>
        <v>0.1</v>
      </c>
      <c r="G233" s="515">
        <f t="shared" si="61"/>
        <v>127.494</v>
      </c>
      <c r="H233" s="531"/>
      <c r="I233" s="532"/>
      <c r="J233" s="532"/>
      <c r="K233" s="532"/>
      <c r="L233" s="513">
        <v>0.01</v>
      </c>
      <c r="M233" s="624" t="s">
        <v>1223</v>
      </c>
      <c r="N233" s="158" t="s">
        <v>700</v>
      </c>
      <c r="O233" s="417" t="s">
        <v>1224</v>
      </c>
      <c r="P233" s="477" t="s">
        <v>1686</v>
      </c>
      <c r="Q233" s="505" t="s">
        <v>1687</v>
      </c>
      <c r="R233" s="512">
        <v>1</v>
      </c>
      <c r="S233" s="592" t="s">
        <v>1670</v>
      </c>
      <c r="T233" s="508" t="s">
        <v>1686</v>
      </c>
      <c r="U233" s="513">
        <v>141.66</v>
      </c>
      <c r="V233" s="708">
        <v>0.2</v>
      </c>
      <c r="W233" s="515">
        <v>113.328</v>
      </c>
      <c r="X233" s="531"/>
      <c r="Y233" s="532"/>
      <c r="Z233" s="532"/>
      <c r="AA233" s="532"/>
      <c r="AB233" s="513">
        <v>0.01</v>
      </c>
      <c r="AC233" s="41" t="s">
        <v>1223</v>
      </c>
      <c r="AD233" s="42" t="s">
        <v>700</v>
      </c>
      <c r="AE233" s="416" t="s">
        <v>1224</v>
      </c>
    </row>
    <row r="234" spans="1:31" s="1" customFormat="1">
      <c r="A234" s="477" t="s">
        <v>1896</v>
      </c>
      <c r="B234" s="505" t="s">
        <v>1897</v>
      </c>
      <c r="C234" s="506">
        <v>1</v>
      </c>
      <c r="D234" s="585" t="s">
        <v>1898</v>
      </c>
      <c r="E234" s="1009">
        <v>39.99</v>
      </c>
      <c r="F234" s="430">
        <f t="shared" si="60"/>
        <v>0.2</v>
      </c>
      <c r="G234" s="106">
        <f t="shared" ref="G234" si="62">E234-(E234*F234)</f>
        <v>31.992000000000001</v>
      </c>
      <c r="H234" s="147"/>
      <c r="I234" s="163"/>
      <c r="J234" s="163"/>
      <c r="K234" s="163"/>
      <c r="L234" s="428">
        <v>0.1</v>
      </c>
      <c r="M234" s="624" t="s">
        <v>1223</v>
      </c>
      <c r="N234" s="158" t="s">
        <v>700</v>
      </c>
      <c r="O234" s="417" t="s">
        <v>1224</v>
      </c>
      <c r="P234" s="477" t="s">
        <v>1896</v>
      </c>
      <c r="Q234" s="505" t="s">
        <v>1897</v>
      </c>
      <c r="R234" s="506">
        <v>1</v>
      </c>
      <c r="S234" s="585" t="s">
        <v>1898</v>
      </c>
      <c r="T234" s="508" t="s">
        <v>1896</v>
      </c>
      <c r="U234" s="106">
        <v>39.99</v>
      </c>
      <c r="V234" s="430">
        <v>0.2</v>
      </c>
      <c r="W234" s="106">
        <v>31.992000000000001</v>
      </c>
      <c r="X234" s="147"/>
      <c r="Y234" s="163"/>
      <c r="Z234" s="163"/>
      <c r="AA234" s="163"/>
      <c r="AB234" s="428">
        <v>0.1</v>
      </c>
      <c r="AC234" s="41" t="s">
        <v>1223</v>
      </c>
      <c r="AD234" s="42" t="s">
        <v>700</v>
      </c>
      <c r="AE234" s="416" t="s">
        <v>1224</v>
      </c>
    </row>
    <row r="235" spans="1:31" s="1" customFormat="1">
      <c r="A235" s="477" t="s">
        <v>1899</v>
      </c>
      <c r="B235" s="505" t="s">
        <v>1900</v>
      </c>
      <c r="C235" s="506">
        <v>1</v>
      </c>
      <c r="D235" s="585" t="s">
        <v>1898</v>
      </c>
      <c r="E235" s="1009">
        <v>8.93</v>
      </c>
      <c r="F235" s="430">
        <f t="shared" ref="F235:F245" si="63">rv_20</f>
        <v>0.2</v>
      </c>
      <c r="G235" s="106">
        <f t="shared" si="46"/>
        <v>7.1440000000000001</v>
      </c>
      <c r="H235" s="147"/>
      <c r="I235" s="163"/>
      <c r="J235" s="163"/>
      <c r="K235" s="163"/>
      <c r="L235" s="428">
        <v>0.02</v>
      </c>
      <c r="M235" s="624" t="s">
        <v>1223</v>
      </c>
      <c r="N235" s="158" t="s">
        <v>700</v>
      </c>
      <c r="O235" s="417" t="s">
        <v>1224</v>
      </c>
      <c r="P235" s="477" t="s">
        <v>1899</v>
      </c>
      <c r="Q235" s="505" t="s">
        <v>1900</v>
      </c>
      <c r="R235" s="506">
        <v>1</v>
      </c>
      <c r="S235" s="106" t="s">
        <v>1898</v>
      </c>
      <c r="T235" s="473" t="s">
        <v>1899</v>
      </c>
      <c r="U235" s="106">
        <v>8.93</v>
      </c>
      <c r="V235" s="430">
        <v>0.2</v>
      </c>
      <c r="W235" s="106">
        <v>7.1440000000000001</v>
      </c>
      <c r="X235" s="147"/>
      <c r="Y235" s="163"/>
      <c r="Z235" s="163"/>
      <c r="AA235" s="163"/>
      <c r="AB235" s="428">
        <v>0.02</v>
      </c>
      <c r="AC235" s="41" t="s">
        <v>1223</v>
      </c>
      <c r="AD235" s="42" t="s">
        <v>700</v>
      </c>
      <c r="AE235" s="416" t="s">
        <v>1224</v>
      </c>
    </row>
    <row r="236" spans="1:31" s="1" customFormat="1">
      <c r="A236" s="477" t="s">
        <v>1901</v>
      </c>
      <c r="B236" s="505" t="s">
        <v>1902</v>
      </c>
      <c r="C236" s="506">
        <v>1</v>
      </c>
      <c r="D236" s="585" t="s">
        <v>1903</v>
      </c>
      <c r="E236" s="1009">
        <v>60.13</v>
      </c>
      <c r="F236" s="430">
        <f t="shared" si="63"/>
        <v>0.2</v>
      </c>
      <c r="G236" s="106">
        <f t="shared" si="46"/>
        <v>48.103999999999999</v>
      </c>
      <c r="H236" s="147"/>
      <c r="I236" s="163"/>
      <c r="J236" s="163"/>
      <c r="K236" s="163"/>
      <c r="L236" s="428">
        <v>0</v>
      </c>
      <c r="M236" s="624" t="s">
        <v>1223</v>
      </c>
      <c r="N236" s="158" t="s">
        <v>700</v>
      </c>
      <c r="O236" s="417" t="s">
        <v>1224</v>
      </c>
      <c r="P236" s="477" t="s">
        <v>1901</v>
      </c>
      <c r="Q236" s="505" t="s">
        <v>1902</v>
      </c>
      <c r="R236" s="506">
        <v>1</v>
      </c>
      <c r="S236" s="106" t="s">
        <v>1903</v>
      </c>
      <c r="T236" s="473" t="s">
        <v>1901</v>
      </c>
      <c r="U236" s="106">
        <v>60.13</v>
      </c>
      <c r="V236" s="430">
        <v>0.2</v>
      </c>
      <c r="W236" s="106">
        <v>48.103999999999999</v>
      </c>
      <c r="X236" s="147"/>
      <c r="Y236" s="163"/>
      <c r="Z236" s="163"/>
      <c r="AA236" s="163"/>
      <c r="AB236" s="428">
        <v>0</v>
      </c>
      <c r="AC236" s="41" t="s">
        <v>1223</v>
      </c>
      <c r="AD236" s="42" t="s">
        <v>700</v>
      </c>
      <c r="AE236" s="416" t="s">
        <v>1224</v>
      </c>
    </row>
    <row r="237" spans="1:31" s="1" customFormat="1">
      <c r="A237" s="477" t="s">
        <v>1904</v>
      </c>
      <c r="B237" s="505" t="s">
        <v>1905</v>
      </c>
      <c r="C237" s="506">
        <v>1</v>
      </c>
      <c r="D237" s="585" t="s">
        <v>1903</v>
      </c>
      <c r="E237" s="1009">
        <v>127.93</v>
      </c>
      <c r="F237" s="430">
        <f t="shared" si="63"/>
        <v>0.2</v>
      </c>
      <c r="G237" s="106">
        <f t="shared" si="46"/>
        <v>102.34400000000001</v>
      </c>
      <c r="H237" s="147"/>
      <c r="I237" s="163"/>
      <c r="J237" s="163"/>
      <c r="K237" s="163"/>
      <c r="L237" s="428">
        <v>0</v>
      </c>
      <c r="M237" s="624" t="s">
        <v>1223</v>
      </c>
      <c r="N237" s="158" t="s">
        <v>700</v>
      </c>
      <c r="O237" s="417" t="s">
        <v>1224</v>
      </c>
      <c r="P237" s="477" t="s">
        <v>1904</v>
      </c>
      <c r="Q237" s="505" t="s">
        <v>1905</v>
      </c>
      <c r="R237" s="506">
        <v>1</v>
      </c>
      <c r="S237" s="106" t="s">
        <v>1903</v>
      </c>
      <c r="T237" s="473" t="s">
        <v>1904</v>
      </c>
      <c r="U237" s="106">
        <v>127.93</v>
      </c>
      <c r="V237" s="430">
        <v>0.2</v>
      </c>
      <c r="W237" s="106">
        <v>102.34400000000001</v>
      </c>
      <c r="X237" s="147"/>
      <c r="Y237" s="163"/>
      <c r="Z237" s="163"/>
      <c r="AA237" s="163"/>
      <c r="AB237" s="428">
        <v>0</v>
      </c>
      <c r="AC237" s="41" t="s">
        <v>1223</v>
      </c>
      <c r="AD237" s="42" t="s">
        <v>700</v>
      </c>
      <c r="AE237" s="416" t="s">
        <v>1224</v>
      </c>
    </row>
    <row r="238" spans="1:31" s="1" customFormat="1">
      <c r="A238" s="477" t="s">
        <v>1906</v>
      </c>
      <c r="B238" s="505" t="s">
        <v>1907</v>
      </c>
      <c r="C238" s="506">
        <v>1</v>
      </c>
      <c r="D238" s="585" t="s">
        <v>1903</v>
      </c>
      <c r="E238" s="1009">
        <v>149.29</v>
      </c>
      <c r="F238" s="430">
        <f t="shared" si="63"/>
        <v>0.2</v>
      </c>
      <c r="G238" s="106">
        <f t="shared" si="46"/>
        <v>119.43199999999999</v>
      </c>
      <c r="H238" s="147"/>
      <c r="I238" s="163"/>
      <c r="J238" s="163"/>
      <c r="K238" s="163"/>
      <c r="L238" s="428">
        <v>0</v>
      </c>
      <c r="M238" s="624" t="s">
        <v>1223</v>
      </c>
      <c r="N238" s="158" t="s">
        <v>700</v>
      </c>
      <c r="O238" s="417" t="s">
        <v>1224</v>
      </c>
      <c r="P238" s="477" t="s">
        <v>1906</v>
      </c>
      <c r="Q238" s="505" t="s">
        <v>1907</v>
      </c>
      <c r="R238" s="506">
        <v>1</v>
      </c>
      <c r="S238" s="106" t="s">
        <v>1903</v>
      </c>
      <c r="T238" s="473" t="s">
        <v>1906</v>
      </c>
      <c r="U238" s="106">
        <v>149.29</v>
      </c>
      <c r="V238" s="430">
        <v>0.2</v>
      </c>
      <c r="W238" s="106">
        <v>119.43199999999999</v>
      </c>
      <c r="X238" s="147"/>
      <c r="Y238" s="163"/>
      <c r="Z238" s="163"/>
      <c r="AA238" s="163"/>
      <c r="AB238" s="428">
        <v>0</v>
      </c>
      <c r="AC238" s="41" t="s">
        <v>1223</v>
      </c>
      <c r="AD238" s="42" t="s">
        <v>700</v>
      </c>
      <c r="AE238" s="416" t="s">
        <v>1224</v>
      </c>
    </row>
    <row r="239" spans="1:31" s="1" customFormat="1">
      <c r="A239" s="477" t="s">
        <v>1908</v>
      </c>
      <c r="B239" s="505" t="s">
        <v>1909</v>
      </c>
      <c r="C239" s="506">
        <v>1</v>
      </c>
      <c r="D239" s="585" t="s">
        <v>1903</v>
      </c>
      <c r="E239" s="1009">
        <v>65.13</v>
      </c>
      <c r="F239" s="430">
        <f t="shared" si="63"/>
        <v>0.2</v>
      </c>
      <c r="G239" s="106">
        <f t="shared" si="46"/>
        <v>52.103999999999999</v>
      </c>
      <c r="H239" s="147"/>
      <c r="I239" s="163"/>
      <c r="J239" s="163"/>
      <c r="K239" s="163"/>
      <c r="L239" s="428">
        <v>0</v>
      </c>
      <c r="M239" s="624" t="s">
        <v>1223</v>
      </c>
      <c r="N239" s="158" t="s">
        <v>700</v>
      </c>
      <c r="O239" s="417" t="s">
        <v>1224</v>
      </c>
      <c r="P239" s="477" t="s">
        <v>1908</v>
      </c>
      <c r="Q239" s="505" t="s">
        <v>1909</v>
      </c>
      <c r="R239" s="506">
        <v>1</v>
      </c>
      <c r="S239" s="106" t="s">
        <v>1903</v>
      </c>
      <c r="T239" s="473" t="s">
        <v>1908</v>
      </c>
      <c r="U239" s="106">
        <v>65.13</v>
      </c>
      <c r="V239" s="430">
        <v>0.2</v>
      </c>
      <c r="W239" s="106">
        <v>52.103999999999999</v>
      </c>
      <c r="X239" s="147"/>
      <c r="Y239" s="163"/>
      <c r="Z239" s="163"/>
      <c r="AA239" s="163"/>
      <c r="AB239" s="428">
        <v>0</v>
      </c>
      <c r="AC239" s="41" t="s">
        <v>1223</v>
      </c>
      <c r="AD239" s="42" t="s">
        <v>700</v>
      </c>
      <c r="AE239" s="416" t="s">
        <v>1224</v>
      </c>
    </row>
    <row r="240" spans="1:31" s="1" customFormat="1">
      <c r="A240" s="477" t="s">
        <v>1910</v>
      </c>
      <c r="B240" s="505" t="s">
        <v>1911</v>
      </c>
      <c r="C240" s="506">
        <v>1</v>
      </c>
      <c r="D240" s="585" t="s">
        <v>1903</v>
      </c>
      <c r="E240" s="1009">
        <v>67.23</v>
      </c>
      <c r="F240" s="430">
        <f t="shared" si="63"/>
        <v>0.2</v>
      </c>
      <c r="G240" s="106">
        <f t="shared" si="46"/>
        <v>53.784000000000006</v>
      </c>
      <c r="H240" s="147"/>
      <c r="I240" s="163"/>
      <c r="J240" s="163"/>
      <c r="K240" s="163"/>
      <c r="L240" s="428">
        <v>0</v>
      </c>
      <c r="M240" s="624" t="s">
        <v>1223</v>
      </c>
      <c r="N240" s="158" t="s">
        <v>700</v>
      </c>
      <c r="O240" s="417" t="s">
        <v>1224</v>
      </c>
      <c r="P240" s="477" t="s">
        <v>1910</v>
      </c>
      <c r="Q240" s="505" t="s">
        <v>1911</v>
      </c>
      <c r="R240" s="506">
        <v>1</v>
      </c>
      <c r="S240" s="106" t="s">
        <v>1903</v>
      </c>
      <c r="T240" s="473" t="s">
        <v>1910</v>
      </c>
      <c r="U240" s="106">
        <v>67.23</v>
      </c>
      <c r="V240" s="430">
        <v>0.2</v>
      </c>
      <c r="W240" s="106">
        <v>53.784000000000006</v>
      </c>
      <c r="X240" s="147"/>
      <c r="Y240" s="163"/>
      <c r="Z240" s="163"/>
      <c r="AA240" s="163"/>
      <c r="AB240" s="428">
        <v>0</v>
      </c>
      <c r="AC240" s="41" t="s">
        <v>1223</v>
      </c>
      <c r="AD240" s="42" t="s">
        <v>700</v>
      </c>
      <c r="AE240" s="416" t="s">
        <v>1224</v>
      </c>
    </row>
    <row r="241" spans="1:31" s="1" customFormat="1">
      <c r="A241" s="477" t="s">
        <v>1912</v>
      </c>
      <c r="B241" s="505" t="s">
        <v>1913</v>
      </c>
      <c r="C241" s="506">
        <v>1</v>
      </c>
      <c r="D241" s="585" t="s">
        <v>1903</v>
      </c>
      <c r="E241" s="1009">
        <v>88.23</v>
      </c>
      <c r="F241" s="430">
        <f t="shared" si="63"/>
        <v>0.2</v>
      </c>
      <c r="G241" s="106">
        <f t="shared" si="46"/>
        <v>70.584000000000003</v>
      </c>
      <c r="H241" s="147"/>
      <c r="I241" s="163"/>
      <c r="J241" s="163"/>
      <c r="K241" s="163"/>
      <c r="L241" s="428">
        <v>0</v>
      </c>
      <c r="M241" s="624" t="s">
        <v>1223</v>
      </c>
      <c r="N241" s="158" t="s">
        <v>700</v>
      </c>
      <c r="O241" s="417" t="s">
        <v>1224</v>
      </c>
      <c r="P241" s="477" t="s">
        <v>1912</v>
      </c>
      <c r="Q241" s="505" t="s">
        <v>1913</v>
      </c>
      <c r="R241" s="506">
        <v>1</v>
      </c>
      <c r="S241" s="106" t="s">
        <v>1903</v>
      </c>
      <c r="T241" s="473" t="s">
        <v>1912</v>
      </c>
      <c r="U241" s="106">
        <v>88.23</v>
      </c>
      <c r="V241" s="430">
        <v>0.2</v>
      </c>
      <c r="W241" s="106">
        <v>70.584000000000003</v>
      </c>
      <c r="X241" s="147"/>
      <c r="Y241" s="163"/>
      <c r="Z241" s="163"/>
      <c r="AA241" s="163"/>
      <c r="AB241" s="428">
        <v>0</v>
      </c>
      <c r="AC241" s="41" t="s">
        <v>1223</v>
      </c>
      <c r="AD241" s="42" t="s">
        <v>700</v>
      </c>
      <c r="AE241" s="416" t="s">
        <v>1224</v>
      </c>
    </row>
    <row r="242" spans="1:31" s="1" customFormat="1">
      <c r="A242" s="477" t="s">
        <v>1914</v>
      </c>
      <c r="B242" s="505" t="s">
        <v>1915</v>
      </c>
      <c r="C242" s="506">
        <v>1</v>
      </c>
      <c r="D242" s="585" t="s">
        <v>1903</v>
      </c>
      <c r="E242" s="1009">
        <v>100.84</v>
      </c>
      <c r="F242" s="430">
        <f t="shared" si="63"/>
        <v>0.2</v>
      </c>
      <c r="G242" s="106">
        <f t="shared" si="46"/>
        <v>80.671999999999997</v>
      </c>
      <c r="H242" s="147"/>
      <c r="I242" s="163"/>
      <c r="J242" s="163"/>
      <c r="K242" s="163"/>
      <c r="L242" s="428">
        <v>0</v>
      </c>
      <c r="M242" s="624" t="s">
        <v>1223</v>
      </c>
      <c r="N242" s="158" t="s">
        <v>700</v>
      </c>
      <c r="O242" s="417" t="s">
        <v>1224</v>
      </c>
      <c r="P242" s="477" t="s">
        <v>1914</v>
      </c>
      <c r="Q242" s="505" t="s">
        <v>1915</v>
      </c>
      <c r="R242" s="506">
        <v>1</v>
      </c>
      <c r="S242" s="106" t="s">
        <v>1903</v>
      </c>
      <c r="T242" s="473" t="s">
        <v>1914</v>
      </c>
      <c r="U242" s="106">
        <v>100.84</v>
      </c>
      <c r="V242" s="430">
        <v>0.2</v>
      </c>
      <c r="W242" s="106">
        <v>80.671999999999997</v>
      </c>
      <c r="X242" s="147"/>
      <c r="Y242" s="163"/>
      <c r="Z242" s="163"/>
      <c r="AA242" s="163"/>
      <c r="AB242" s="428">
        <v>0</v>
      </c>
      <c r="AC242" s="41" t="s">
        <v>1223</v>
      </c>
      <c r="AD242" s="42" t="s">
        <v>700</v>
      </c>
      <c r="AE242" s="416" t="s">
        <v>1224</v>
      </c>
    </row>
    <row r="243" spans="1:31" s="1" customFormat="1">
      <c r="A243" s="477"/>
      <c r="B243" s="505"/>
      <c r="C243" s="506"/>
      <c r="D243" s="585"/>
      <c r="E243" s="1009"/>
      <c r="F243" s="430"/>
      <c r="G243" s="106"/>
      <c r="H243" s="147"/>
      <c r="I243" s="163"/>
      <c r="J243" s="163"/>
      <c r="K243" s="163"/>
      <c r="L243" s="428"/>
      <c r="M243" s="624"/>
      <c r="N243" s="158"/>
      <c r="O243" s="417"/>
      <c r="P243" s="650">
        <v>508317</v>
      </c>
      <c r="Q243" s="651" t="s">
        <v>1916</v>
      </c>
      <c r="R243" s="652">
        <v>1</v>
      </c>
      <c r="S243" s="654" t="s">
        <v>1917</v>
      </c>
      <c r="T243" s="653">
        <v>508317</v>
      </c>
      <c r="U243" s="654">
        <v>75.2</v>
      </c>
      <c r="V243" s="655">
        <v>0.2</v>
      </c>
      <c r="W243" s="654">
        <v>60.160000000000004</v>
      </c>
      <c r="X243" s="656"/>
      <c r="Y243" s="657"/>
      <c r="Z243" s="657"/>
      <c r="AA243" s="657"/>
      <c r="AB243" s="659">
        <v>0</v>
      </c>
      <c r="AC243" s="660" t="s">
        <v>1223</v>
      </c>
      <c r="AD243" s="661" t="s">
        <v>700</v>
      </c>
      <c r="AE243" s="662" t="s">
        <v>1224</v>
      </c>
    </row>
    <row r="244" spans="1:31" s="1" customFormat="1">
      <c r="A244" s="477">
        <v>1000645</v>
      </c>
      <c r="B244" s="505" t="s">
        <v>1918</v>
      </c>
      <c r="C244" s="506">
        <v>1</v>
      </c>
      <c r="D244" s="585" t="s">
        <v>1917</v>
      </c>
      <c r="E244" s="1009">
        <v>212.54</v>
      </c>
      <c r="F244" s="430">
        <f t="shared" si="63"/>
        <v>0.2</v>
      </c>
      <c r="G244" s="106">
        <f t="shared" si="46"/>
        <v>170.03199999999998</v>
      </c>
      <c r="H244" s="147"/>
      <c r="I244" s="163"/>
      <c r="J244" s="163"/>
      <c r="K244" s="163"/>
      <c r="L244" s="428">
        <v>0</v>
      </c>
      <c r="M244" s="624" t="s">
        <v>1223</v>
      </c>
      <c r="N244" s="158" t="s">
        <v>700</v>
      </c>
      <c r="O244" s="417" t="s">
        <v>1224</v>
      </c>
      <c r="P244" s="477">
        <v>1000645</v>
      </c>
      <c r="Q244" s="505" t="s">
        <v>1918</v>
      </c>
      <c r="R244" s="506">
        <v>1</v>
      </c>
      <c r="S244" s="106" t="s">
        <v>1917</v>
      </c>
      <c r="T244" s="473">
        <v>1000645</v>
      </c>
      <c r="U244" s="106">
        <v>212.54</v>
      </c>
      <c r="V244" s="430">
        <v>0.2</v>
      </c>
      <c r="W244" s="106">
        <v>170.03199999999998</v>
      </c>
      <c r="X244" s="147"/>
      <c r="Y244" s="163"/>
      <c r="Z244" s="163"/>
      <c r="AA244" s="163"/>
      <c r="AB244" s="428">
        <v>0</v>
      </c>
      <c r="AC244" s="41" t="s">
        <v>1223</v>
      </c>
      <c r="AD244" s="42" t="s">
        <v>700</v>
      </c>
      <c r="AE244" s="416" t="s">
        <v>1224</v>
      </c>
    </row>
    <row r="245" spans="1:31" s="1" customFormat="1">
      <c r="A245" s="477">
        <v>1000567</v>
      </c>
      <c r="B245" s="505" t="s">
        <v>1919</v>
      </c>
      <c r="C245" s="506">
        <v>1</v>
      </c>
      <c r="D245" s="585" t="s">
        <v>1917</v>
      </c>
      <c r="E245" s="1009">
        <v>213.39</v>
      </c>
      <c r="F245" s="430">
        <f t="shared" si="63"/>
        <v>0.2</v>
      </c>
      <c r="G245" s="106">
        <f t="shared" si="46"/>
        <v>170.71199999999999</v>
      </c>
      <c r="H245" s="147"/>
      <c r="I245" s="163"/>
      <c r="J245" s="163"/>
      <c r="K245" s="163"/>
      <c r="L245" s="428">
        <v>0</v>
      </c>
      <c r="M245" s="624" t="s">
        <v>1223</v>
      </c>
      <c r="N245" s="158" t="s">
        <v>700</v>
      </c>
      <c r="O245" s="417" t="s">
        <v>1224</v>
      </c>
      <c r="P245" s="477">
        <v>1000567</v>
      </c>
      <c r="Q245" s="505" t="s">
        <v>1919</v>
      </c>
      <c r="R245" s="506">
        <v>1</v>
      </c>
      <c r="S245" s="106" t="s">
        <v>1917</v>
      </c>
      <c r="T245" s="473">
        <v>1000567</v>
      </c>
      <c r="U245" s="106">
        <v>213.39</v>
      </c>
      <c r="V245" s="430">
        <v>0.2</v>
      </c>
      <c r="W245" s="106">
        <v>170.71199999999999</v>
      </c>
      <c r="X245" s="147"/>
      <c r="Y245" s="163"/>
      <c r="Z245" s="163"/>
      <c r="AA245" s="163"/>
      <c r="AB245" s="428">
        <v>0</v>
      </c>
      <c r="AC245" s="41" t="s">
        <v>1223</v>
      </c>
      <c r="AD245" s="42" t="s">
        <v>700</v>
      </c>
      <c r="AE245" s="416" t="s">
        <v>1224</v>
      </c>
    </row>
    <row r="246" spans="1:31" s="1" customFormat="1">
      <c r="A246" s="477" t="s">
        <v>1920</v>
      </c>
      <c r="B246" s="505" t="s">
        <v>1921</v>
      </c>
      <c r="C246" s="506">
        <v>1</v>
      </c>
      <c r="D246" s="585" t="s">
        <v>1922</v>
      </c>
      <c r="E246" s="1009">
        <v>173.92</v>
      </c>
      <c r="F246" s="430">
        <f>rv_10</f>
        <v>0.1</v>
      </c>
      <c r="G246" s="106">
        <f t="shared" si="46"/>
        <v>156.52799999999999</v>
      </c>
      <c r="H246" s="147"/>
      <c r="I246" s="163"/>
      <c r="J246" s="163"/>
      <c r="K246" s="163"/>
      <c r="L246" s="428">
        <v>0</v>
      </c>
      <c r="M246" s="624" t="s">
        <v>1223</v>
      </c>
      <c r="N246" s="158" t="s">
        <v>700</v>
      </c>
      <c r="O246" s="417" t="s">
        <v>1224</v>
      </c>
      <c r="P246" s="477" t="s">
        <v>1920</v>
      </c>
      <c r="Q246" s="505" t="s">
        <v>1921</v>
      </c>
      <c r="R246" s="506">
        <v>1</v>
      </c>
      <c r="S246" s="106" t="s">
        <v>1922</v>
      </c>
      <c r="T246" s="473" t="s">
        <v>1920</v>
      </c>
      <c r="U246" s="106">
        <v>173.92</v>
      </c>
      <c r="V246" s="430">
        <v>0.1</v>
      </c>
      <c r="W246" s="106">
        <v>156.52799999999999</v>
      </c>
      <c r="X246" s="147"/>
      <c r="Y246" s="163"/>
      <c r="Z246" s="163"/>
      <c r="AA246" s="163"/>
      <c r="AB246" s="428">
        <v>0</v>
      </c>
      <c r="AC246" s="41" t="s">
        <v>1223</v>
      </c>
      <c r="AD246" s="42" t="s">
        <v>700</v>
      </c>
      <c r="AE246" s="416" t="s">
        <v>1224</v>
      </c>
    </row>
    <row r="247" spans="1:31" s="1" customFormat="1">
      <c r="A247" s="477" t="s">
        <v>1923</v>
      </c>
      <c r="B247" s="505" t="s">
        <v>1924</v>
      </c>
      <c r="C247" s="506">
        <v>1</v>
      </c>
      <c r="D247" s="585" t="s">
        <v>1922</v>
      </c>
      <c r="E247" s="1009">
        <v>356.11</v>
      </c>
      <c r="F247" s="430">
        <f>rv_10</f>
        <v>0.1</v>
      </c>
      <c r="G247" s="106">
        <f t="shared" si="46"/>
        <v>320.49900000000002</v>
      </c>
      <c r="H247" s="147"/>
      <c r="I247" s="163"/>
      <c r="J247" s="163"/>
      <c r="K247" s="163"/>
      <c r="L247" s="428">
        <v>0</v>
      </c>
      <c r="M247" s="624" t="s">
        <v>1223</v>
      </c>
      <c r="N247" s="158" t="s">
        <v>700</v>
      </c>
      <c r="O247" s="417" t="s">
        <v>1224</v>
      </c>
      <c r="P247" s="477" t="s">
        <v>1923</v>
      </c>
      <c r="Q247" s="505" t="s">
        <v>1924</v>
      </c>
      <c r="R247" s="506">
        <v>1</v>
      </c>
      <c r="S247" s="106" t="s">
        <v>1922</v>
      </c>
      <c r="T247" s="473" t="s">
        <v>1923</v>
      </c>
      <c r="U247" s="106">
        <v>356.11</v>
      </c>
      <c r="V247" s="430">
        <v>0.1</v>
      </c>
      <c r="W247" s="106">
        <v>320.49900000000002</v>
      </c>
      <c r="X247" s="147"/>
      <c r="Y247" s="163"/>
      <c r="Z247" s="163"/>
      <c r="AA247" s="163"/>
      <c r="AB247" s="428">
        <v>0</v>
      </c>
      <c r="AC247" s="41" t="s">
        <v>1223</v>
      </c>
      <c r="AD247" s="42" t="s">
        <v>700</v>
      </c>
      <c r="AE247" s="416" t="s">
        <v>1224</v>
      </c>
    </row>
    <row r="248" spans="1:31" s="1" customFormat="1">
      <c r="A248" s="477" t="s">
        <v>1925</v>
      </c>
      <c r="B248" s="505" t="s">
        <v>1926</v>
      </c>
      <c r="C248" s="506">
        <v>1</v>
      </c>
      <c r="D248" s="585" t="s">
        <v>1922</v>
      </c>
      <c r="E248" s="1009">
        <v>368.52</v>
      </c>
      <c r="F248" s="430">
        <f>rv_10</f>
        <v>0.1</v>
      </c>
      <c r="G248" s="106">
        <f t="shared" si="46"/>
        <v>331.66800000000001</v>
      </c>
      <c r="H248" s="147"/>
      <c r="I248" s="163"/>
      <c r="J248" s="163"/>
      <c r="K248" s="163"/>
      <c r="L248" s="428">
        <v>0</v>
      </c>
      <c r="M248" s="624" t="s">
        <v>1223</v>
      </c>
      <c r="N248" s="158" t="s">
        <v>700</v>
      </c>
      <c r="O248" s="417" t="s">
        <v>1224</v>
      </c>
      <c r="P248" s="477" t="s">
        <v>1925</v>
      </c>
      <c r="Q248" s="505" t="s">
        <v>1926</v>
      </c>
      <c r="R248" s="506">
        <v>1</v>
      </c>
      <c r="S248" s="106" t="s">
        <v>1922</v>
      </c>
      <c r="T248" s="473" t="s">
        <v>1925</v>
      </c>
      <c r="U248" s="106">
        <v>368.52</v>
      </c>
      <c r="V248" s="430">
        <v>0.1</v>
      </c>
      <c r="W248" s="106">
        <v>331.66800000000001</v>
      </c>
      <c r="X248" s="147"/>
      <c r="Y248" s="163"/>
      <c r="Z248" s="163"/>
      <c r="AA248" s="163"/>
      <c r="AB248" s="428">
        <v>0</v>
      </c>
      <c r="AC248" s="41" t="s">
        <v>1223</v>
      </c>
      <c r="AD248" s="42" t="s">
        <v>700</v>
      </c>
      <c r="AE248" s="416" t="s">
        <v>1224</v>
      </c>
    </row>
    <row r="249" spans="1:31" s="1" customFormat="1">
      <c r="A249" s="477" t="s">
        <v>1927</v>
      </c>
      <c r="B249" s="505" t="s">
        <v>1928</v>
      </c>
      <c r="C249" s="506">
        <v>1</v>
      </c>
      <c r="D249" s="585" t="s">
        <v>1922</v>
      </c>
      <c r="E249" s="1009">
        <v>612.84</v>
      </c>
      <c r="F249" s="430">
        <f>rv_10</f>
        <v>0.1</v>
      </c>
      <c r="G249" s="106">
        <f t="shared" si="46"/>
        <v>551.55600000000004</v>
      </c>
      <c r="H249" s="147"/>
      <c r="I249" s="163"/>
      <c r="J249" s="163"/>
      <c r="K249" s="163"/>
      <c r="L249" s="428">
        <v>0</v>
      </c>
      <c r="M249" s="624" t="s">
        <v>1223</v>
      </c>
      <c r="N249" s="158" t="s">
        <v>700</v>
      </c>
      <c r="O249" s="417" t="s">
        <v>1224</v>
      </c>
      <c r="P249" s="477" t="s">
        <v>1927</v>
      </c>
      <c r="Q249" s="505" t="s">
        <v>1928</v>
      </c>
      <c r="R249" s="506">
        <v>1</v>
      </c>
      <c r="S249" s="106" t="s">
        <v>1922</v>
      </c>
      <c r="T249" s="473" t="s">
        <v>1927</v>
      </c>
      <c r="U249" s="106">
        <v>612.84</v>
      </c>
      <c r="V249" s="430">
        <v>0.1</v>
      </c>
      <c r="W249" s="106">
        <v>551.55600000000004</v>
      </c>
      <c r="X249" s="147"/>
      <c r="Y249" s="163"/>
      <c r="Z249" s="163"/>
      <c r="AA249" s="163"/>
      <c r="AB249" s="428">
        <v>0</v>
      </c>
      <c r="AC249" s="41" t="s">
        <v>1223</v>
      </c>
      <c r="AD249" s="42" t="s">
        <v>700</v>
      </c>
      <c r="AE249" s="416" t="s">
        <v>1224</v>
      </c>
    </row>
    <row r="250" spans="1:31" s="1" customFormat="1">
      <c r="A250" s="477"/>
      <c r="B250" s="505"/>
      <c r="C250" s="506"/>
      <c r="D250" s="585"/>
      <c r="E250" s="1009"/>
      <c r="F250" s="430"/>
      <c r="G250" s="106"/>
      <c r="H250" s="147"/>
      <c r="I250" s="163"/>
      <c r="J250" s="163"/>
      <c r="K250" s="163"/>
      <c r="L250" s="428"/>
      <c r="M250" s="624"/>
      <c r="N250" s="158"/>
      <c r="O250" s="417"/>
      <c r="P250" s="650">
        <v>225130</v>
      </c>
      <c r="Q250" s="651" t="s">
        <v>1929</v>
      </c>
      <c r="R250" s="652">
        <v>1</v>
      </c>
      <c r="S250" s="654" t="s">
        <v>1930</v>
      </c>
      <c r="T250" s="653">
        <v>225130</v>
      </c>
      <c r="U250" s="654">
        <v>104.98</v>
      </c>
      <c r="V250" s="655">
        <v>0.2</v>
      </c>
      <c r="W250" s="654">
        <v>83.984000000000009</v>
      </c>
      <c r="X250" s="656"/>
      <c r="Y250" s="657"/>
      <c r="Z250" s="657"/>
      <c r="AA250" s="657"/>
      <c r="AB250" s="659">
        <v>0.05</v>
      </c>
      <c r="AC250" s="660" t="s">
        <v>1223</v>
      </c>
      <c r="AD250" s="661" t="s">
        <v>700</v>
      </c>
      <c r="AE250" s="662" t="s">
        <v>1224</v>
      </c>
    </row>
    <row r="251" spans="1:31" s="1" customFormat="1">
      <c r="A251" s="477"/>
      <c r="B251" s="505"/>
      <c r="C251" s="506"/>
      <c r="D251" s="585"/>
      <c r="E251" s="1009"/>
      <c r="F251" s="430"/>
      <c r="G251" s="106"/>
      <c r="H251" s="147"/>
      <c r="I251" s="163"/>
      <c r="J251" s="163"/>
      <c r="K251" s="163"/>
      <c r="L251" s="428"/>
      <c r="M251" s="624"/>
      <c r="N251" s="158"/>
      <c r="O251" s="417"/>
      <c r="P251" s="650">
        <v>225131</v>
      </c>
      <c r="Q251" s="651" t="s">
        <v>1931</v>
      </c>
      <c r="R251" s="652">
        <v>1</v>
      </c>
      <c r="S251" s="654" t="s">
        <v>1930</v>
      </c>
      <c r="T251" s="653">
        <v>225131</v>
      </c>
      <c r="U251" s="654">
        <v>138.91</v>
      </c>
      <c r="V251" s="655">
        <v>0.2</v>
      </c>
      <c r="W251" s="654">
        <v>111.128</v>
      </c>
      <c r="X251" s="656"/>
      <c r="Y251" s="657"/>
      <c r="Z251" s="657"/>
      <c r="AA251" s="657"/>
      <c r="AB251" s="659">
        <v>0.05</v>
      </c>
      <c r="AC251" s="660" t="s">
        <v>1223</v>
      </c>
      <c r="AD251" s="661" t="s">
        <v>700</v>
      </c>
      <c r="AE251" s="662" t="s">
        <v>1224</v>
      </c>
    </row>
    <row r="252" spans="1:31" s="1" customFormat="1">
      <c r="A252" s="477"/>
      <c r="B252" s="505"/>
      <c r="C252" s="506"/>
      <c r="D252" s="585"/>
      <c r="E252" s="1009"/>
      <c r="F252" s="430"/>
      <c r="G252" s="106"/>
      <c r="H252" s="147"/>
      <c r="I252" s="163"/>
      <c r="J252" s="163"/>
      <c r="K252" s="163"/>
      <c r="L252" s="428"/>
      <c r="M252" s="624"/>
      <c r="N252" s="158"/>
      <c r="O252" s="417"/>
      <c r="P252" s="650">
        <v>225132</v>
      </c>
      <c r="Q252" s="651" t="s">
        <v>1932</v>
      </c>
      <c r="R252" s="652">
        <v>1</v>
      </c>
      <c r="S252" s="654" t="s">
        <v>1930</v>
      </c>
      <c r="T252" s="653">
        <v>225132</v>
      </c>
      <c r="U252" s="654">
        <v>138.91</v>
      </c>
      <c r="V252" s="655">
        <v>0.2</v>
      </c>
      <c r="W252" s="654">
        <v>111.128</v>
      </c>
      <c r="X252" s="656"/>
      <c r="Y252" s="657"/>
      <c r="Z252" s="657"/>
      <c r="AA252" s="657"/>
      <c r="AB252" s="659">
        <v>0.05</v>
      </c>
      <c r="AC252" s="660" t="s">
        <v>1223</v>
      </c>
      <c r="AD252" s="661" t="s">
        <v>700</v>
      </c>
      <c r="AE252" s="662" t="s">
        <v>1224</v>
      </c>
    </row>
    <row r="253" spans="1:31" s="1" customFormat="1">
      <c r="A253" s="684" t="s">
        <v>3183</v>
      </c>
      <c r="B253" s="685" t="s">
        <v>3184</v>
      </c>
      <c r="C253" s="686">
        <v>1</v>
      </c>
      <c r="D253" s="693" t="s">
        <v>1588</v>
      </c>
      <c r="E253" s="977">
        <v>119.99</v>
      </c>
      <c r="F253" s="161">
        <f>rv_10</f>
        <v>0.1</v>
      </c>
      <c r="G253" s="647">
        <f t="shared" si="46"/>
        <v>107.991</v>
      </c>
      <c r="H253" s="688"/>
      <c r="I253" s="215"/>
      <c r="J253" s="215"/>
      <c r="K253" s="215"/>
      <c r="L253" s="44">
        <v>0.02</v>
      </c>
      <c r="M253" s="624" t="s">
        <v>1223</v>
      </c>
      <c r="N253" s="158" t="s">
        <v>700</v>
      </c>
      <c r="O253" s="417" t="s">
        <v>1224</v>
      </c>
      <c r="P253" s="650">
        <v>225137</v>
      </c>
      <c r="Q253" s="651" t="s">
        <v>1933</v>
      </c>
      <c r="R253" s="652">
        <v>1</v>
      </c>
      <c r="S253" s="654" t="s">
        <v>1930</v>
      </c>
      <c r="T253" s="653">
        <v>225137</v>
      </c>
      <c r="U253" s="654">
        <v>158.02000000000001</v>
      </c>
      <c r="V253" s="655">
        <v>0.2</v>
      </c>
      <c r="W253" s="654">
        <v>126.41600000000001</v>
      </c>
      <c r="X253" s="656"/>
      <c r="Y253" s="657"/>
      <c r="Z253" s="657"/>
      <c r="AA253" s="657"/>
      <c r="AB253" s="659">
        <v>0.05</v>
      </c>
      <c r="AC253" s="660" t="s">
        <v>1223</v>
      </c>
      <c r="AD253" s="661" t="s">
        <v>700</v>
      </c>
      <c r="AE253" s="662" t="s">
        <v>1224</v>
      </c>
    </row>
    <row r="254" spans="1:31" s="1" customFormat="1">
      <c r="A254" s="477"/>
      <c r="B254" s="505"/>
      <c r="C254" s="506"/>
      <c r="D254" s="585"/>
      <c r="E254" s="1009"/>
      <c r="F254" s="430"/>
      <c r="G254" s="106"/>
      <c r="H254" s="147"/>
      <c r="I254" s="163"/>
      <c r="J254" s="163"/>
      <c r="K254" s="163"/>
      <c r="L254" s="428"/>
      <c r="M254" s="624"/>
      <c r="N254" s="158"/>
      <c r="O254" s="417"/>
      <c r="P254" s="650" t="s">
        <v>1934</v>
      </c>
      <c r="Q254" s="651" t="s">
        <v>1935</v>
      </c>
      <c r="R254" s="652">
        <v>1</v>
      </c>
      <c r="S254" s="654" t="s">
        <v>1936</v>
      </c>
      <c r="T254" s="653" t="s">
        <v>1934</v>
      </c>
      <c r="U254" s="654">
        <v>58.73</v>
      </c>
      <c r="V254" s="655">
        <v>0.2</v>
      </c>
      <c r="W254" s="654">
        <v>46.983999999999995</v>
      </c>
      <c r="X254" s="656"/>
      <c r="Y254" s="657"/>
      <c r="Z254" s="657"/>
      <c r="AA254" s="657"/>
      <c r="AB254" s="659">
        <v>0</v>
      </c>
      <c r="AC254" s="660" t="s">
        <v>1223</v>
      </c>
      <c r="AD254" s="661" t="s">
        <v>700</v>
      </c>
      <c r="AE254" s="662" t="s">
        <v>1224</v>
      </c>
    </row>
    <row r="255" spans="1:31" s="1" customFormat="1">
      <c r="A255" s="477" t="s">
        <v>1937</v>
      </c>
      <c r="B255" s="505" t="s">
        <v>1938</v>
      </c>
      <c r="C255" s="506">
        <v>1</v>
      </c>
      <c r="D255" s="585" t="s">
        <v>1936</v>
      </c>
      <c r="E255" s="1009">
        <v>58.73</v>
      </c>
      <c r="F255" s="430">
        <f t="shared" ref="F255:F261" si="64">rv_20</f>
        <v>0.2</v>
      </c>
      <c r="G255" s="106">
        <f t="shared" si="46"/>
        <v>46.983999999999995</v>
      </c>
      <c r="H255" s="147"/>
      <c r="I255" s="163"/>
      <c r="J255" s="163"/>
      <c r="K255" s="163"/>
      <c r="L255" s="428">
        <v>0</v>
      </c>
      <c r="M255" s="624" t="s">
        <v>1223</v>
      </c>
      <c r="N255" s="158" t="s">
        <v>700</v>
      </c>
      <c r="O255" s="417" t="s">
        <v>1224</v>
      </c>
      <c r="P255" s="477" t="s">
        <v>1937</v>
      </c>
      <c r="Q255" s="505" t="s">
        <v>1938</v>
      </c>
      <c r="R255" s="506">
        <v>1</v>
      </c>
      <c r="S255" s="106" t="s">
        <v>1936</v>
      </c>
      <c r="T255" s="473" t="s">
        <v>1937</v>
      </c>
      <c r="U255" s="106">
        <v>58.73</v>
      </c>
      <c r="V255" s="430">
        <v>0.2</v>
      </c>
      <c r="W255" s="106">
        <v>46.983999999999995</v>
      </c>
      <c r="X255" s="147"/>
      <c r="Y255" s="163"/>
      <c r="Z255" s="163"/>
      <c r="AA255" s="163"/>
      <c r="AB255" s="428">
        <v>0</v>
      </c>
      <c r="AC255" s="41" t="s">
        <v>1223</v>
      </c>
      <c r="AD255" s="42" t="s">
        <v>700</v>
      </c>
      <c r="AE255" s="416" t="s">
        <v>1224</v>
      </c>
    </row>
    <row r="256" spans="1:31" s="1" customFormat="1">
      <c r="A256" s="477" t="s">
        <v>1939</v>
      </c>
      <c r="B256" s="505" t="s">
        <v>1940</v>
      </c>
      <c r="C256" s="506">
        <v>1</v>
      </c>
      <c r="D256" s="585" t="s">
        <v>1936</v>
      </c>
      <c r="E256" s="1009">
        <v>184.41</v>
      </c>
      <c r="F256" s="430">
        <f t="shared" si="64"/>
        <v>0.2</v>
      </c>
      <c r="G256" s="106">
        <f t="shared" si="46"/>
        <v>147.52799999999999</v>
      </c>
      <c r="H256" s="147"/>
      <c r="I256" s="163"/>
      <c r="J256" s="163"/>
      <c r="K256" s="163"/>
      <c r="L256" s="428">
        <v>0</v>
      </c>
      <c r="M256" s="624" t="s">
        <v>1223</v>
      </c>
      <c r="N256" s="158" t="s">
        <v>700</v>
      </c>
      <c r="O256" s="417" t="s">
        <v>1224</v>
      </c>
      <c r="P256" s="477" t="s">
        <v>1939</v>
      </c>
      <c r="Q256" s="505" t="s">
        <v>1940</v>
      </c>
      <c r="R256" s="506">
        <v>1</v>
      </c>
      <c r="S256" s="106" t="s">
        <v>1936</v>
      </c>
      <c r="T256" s="473" t="s">
        <v>1939</v>
      </c>
      <c r="U256" s="106">
        <v>184.41</v>
      </c>
      <c r="V256" s="430">
        <v>0.2</v>
      </c>
      <c r="W256" s="106">
        <v>147.52799999999999</v>
      </c>
      <c r="X256" s="147"/>
      <c r="Y256" s="163"/>
      <c r="Z256" s="163"/>
      <c r="AA256" s="163"/>
      <c r="AB256" s="428">
        <v>0</v>
      </c>
      <c r="AC256" s="41" t="s">
        <v>1223</v>
      </c>
      <c r="AD256" s="42" t="s">
        <v>700</v>
      </c>
      <c r="AE256" s="416" t="s">
        <v>1224</v>
      </c>
    </row>
    <row r="257" spans="1:31" s="1" customFormat="1">
      <c r="A257" s="477" t="s">
        <v>1941</v>
      </c>
      <c r="B257" s="505" t="s">
        <v>1942</v>
      </c>
      <c r="C257" s="506">
        <v>1</v>
      </c>
      <c r="D257" s="585" t="s">
        <v>1936</v>
      </c>
      <c r="E257" s="1009">
        <v>184.41</v>
      </c>
      <c r="F257" s="430">
        <f t="shared" si="64"/>
        <v>0.2</v>
      </c>
      <c r="G257" s="106">
        <f t="shared" si="46"/>
        <v>147.52799999999999</v>
      </c>
      <c r="H257" s="147"/>
      <c r="I257" s="163"/>
      <c r="J257" s="163"/>
      <c r="K257" s="163"/>
      <c r="L257" s="428">
        <v>0</v>
      </c>
      <c r="M257" s="624" t="s">
        <v>1223</v>
      </c>
      <c r="N257" s="158" t="s">
        <v>700</v>
      </c>
      <c r="O257" s="417" t="s">
        <v>1224</v>
      </c>
      <c r="P257" s="477" t="s">
        <v>1941</v>
      </c>
      <c r="Q257" s="505" t="s">
        <v>1942</v>
      </c>
      <c r="R257" s="506">
        <v>1</v>
      </c>
      <c r="S257" s="106" t="s">
        <v>1936</v>
      </c>
      <c r="T257" s="473" t="s">
        <v>1941</v>
      </c>
      <c r="U257" s="106">
        <v>184.41</v>
      </c>
      <c r="V257" s="430">
        <v>0.2</v>
      </c>
      <c r="W257" s="106">
        <v>147.52799999999999</v>
      </c>
      <c r="X257" s="147"/>
      <c r="Y257" s="163"/>
      <c r="Z257" s="163"/>
      <c r="AA257" s="163"/>
      <c r="AB257" s="428">
        <v>0</v>
      </c>
      <c r="AC257" s="41" t="s">
        <v>1223</v>
      </c>
      <c r="AD257" s="42" t="s">
        <v>700</v>
      </c>
      <c r="AE257" s="416" t="s">
        <v>1224</v>
      </c>
    </row>
    <row r="258" spans="1:31" s="1" customFormat="1">
      <c r="A258" s="477" t="s">
        <v>1943</v>
      </c>
      <c r="B258" s="505" t="s">
        <v>1944</v>
      </c>
      <c r="C258" s="506">
        <v>1</v>
      </c>
      <c r="D258" s="585" t="s">
        <v>1936</v>
      </c>
      <c r="E258" s="1009">
        <v>44.34</v>
      </c>
      <c r="F258" s="430">
        <f t="shared" si="64"/>
        <v>0.2</v>
      </c>
      <c r="G258" s="106">
        <f t="shared" si="46"/>
        <v>35.472000000000001</v>
      </c>
      <c r="H258" s="147"/>
      <c r="I258" s="163"/>
      <c r="J258" s="163"/>
      <c r="K258" s="163"/>
      <c r="L258" s="428">
        <v>0</v>
      </c>
      <c r="M258" s="624" t="s">
        <v>1223</v>
      </c>
      <c r="N258" s="158" t="s">
        <v>700</v>
      </c>
      <c r="O258" s="417" t="s">
        <v>1224</v>
      </c>
      <c r="P258" s="477" t="s">
        <v>1943</v>
      </c>
      <c r="Q258" s="505" t="s">
        <v>1944</v>
      </c>
      <c r="R258" s="506">
        <v>1</v>
      </c>
      <c r="S258" s="106" t="s">
        <v>1936</v>
      </c>
      <c r="T258" s="473" t="s">
        <v>1943</v>
      </c>
      <c r="U258" s="106">
        <v>44.34</v>
      </c>
      <c r="V258" s="430">
        <v>0.2</v>
      </c>
      <c r="W258" s="106">
        <v>35.472000000000001</v>
      </c>
      <c r="X258" s="147"/>
      <c r="Y258" s="163"/>
      <c r="Z258" s="163"/>
      <c r="AA258" s="163"/>
      <c r="AB258" s="428">
        <v>0</v>
      </c>
      <c r="AC258" s="41" t="s">
        <v>1223</v>
      </c>
      <c r="AD258" s="42" t="s">
        <v>700</v>
      </c>
      <c r="AE258" s="416" t="s">
        <v>1224</v>
      </c>
    </row>
    <row r="259" spans="1:31" s="90" customFormat="1">
      <c r="A259" s="510" t="s">
        <v>1945</v>
      </c>
      <c r="B259" s="529" t="s">
        <v>1946</v>
      </c>
      <c r="C259" s="512">
        <v>1</v>
      </c>
      <c r="D259" s="592" t="s">
        <v>1936</v>
      </c>
      <c r="E259" s="1010">
        <v>44.34</v>
      </c>
      <c r="F259" s="514">
        <f t="shared" si="64"/>
        <v>0.2</v>
      </c>
      <c r="G259" s="515">
        <f t="shared" si="46"/>
        <v>35.472000000000001</v>
      </c>
      <c r="H259" s="531"/>
      <c r="I259" s="532"/>
      <c r="J259" s="532"/>
      <c r="K259" s="532"/>
      <c r="L259" s="513">
        <v>0</v>
      </c>
      <c r="M259" s="624" t="s">
        <v>1223</v>
      </c>
      <c r="N259" s="158" t="s">
        <v>700</v>
      </c>
      <c r="O259" s="417" t="s">
        <v>1224</v>
      </c>
      <c r="P259" s="510" t="s">
        <v>1945</v>
      </c>
      <c r="Q259" s="529" t="s">
        <v>1946</v>
      </c>
      <c r="R259" s="512">
        <v>1</v>
      </c>
      <c r="S259" s="592" t="s">
        <v>1936</v>
      </c>
      <c r="T259" s="517" t="s">
        <v>1945</v>
      </c>
      <c r="U259" s="515">
        <v>44.34</v>
      </c>
      <c r="V259" s="514">
        <v>0.2</v>
      </c>
      <c r="W259" s="515">
        <v>35.472000000000001</v>
      </c>
      <c r="X259" s="531"/>
      <c r="Y259" s="532"/>
      <c r="Z259" s="532"/>
      <c r="AA259" s="532"/>
      <c r="AB259" s="513">
        <v>0</v>
      </c>
      <c r="AC259" s="41" t="s">
        <v>1223</v>
      </c>
      <c r="AD259" s="42" t="s">
        <v>700</v>
      </c>
      <c r="AE259" s="416" t="s">
        <v>1224</v>
      </c>
    </row>
    <row r="260" spans="1:31" s="90" customFormat="1">
      <c r="A260" s="510" t="s">
        <v>1947</v>
      </c>
      <c r="B260" s="529" t="s">
        <v>1948</v>
      </c>
      <c r="C260" s="512">
        <v>1</v>
      </c>
      <c r="D260" s="592" t="s">
        <v>1936</v>
      </c>
      <c r="E260" s="1010">
        <v>44.34</v>
      </c>
      <c r="F260" s="514">
        <f t="shared" si="64"/>
        <v>0.2</v>
      </c>
      <c r="G260" s="515">
        <f t="shared" si="46"/>
        <v>35.472000000000001</v>
      </c>
      <c r="H260" s="531"/>
      <c r="I260" s="532"/>
      <c r="J260" s="532"/>
      <c r="K260" s="532"/>
      <c r="L260" s="513">
        <v>0</v>
      </c>
      <c r="M260" s="624" t="s">
        <v>1223</v>
      </c>
      <c r="N260" s="158" t="s">
        <v>700</v>
      </c>
      <c r="O260" s="417" t="s">
        <v>1224</v>
      </c>
      <c r="P260" s="510" t="s">
        <v>1947</v>
      </c>
      <c r="Q260" s="529" t="s">
        <v>1948</v>
      </c>
      <c r="R260" s="512">
        <v>1</v>
      </c>
      <c r="S260" s="515" t="s">
        <v>1936</v>
      </c>
      <c r="T260" s="518" t="s">
        <v>1947</v>
      </c>
      <c r="U260" s="515">
        <v>44.34</v>
      </c>
      <c r="V260" s="514">
        <v>0.2</v>
      </c>
      <c r="W260" s="515">
        <v>35.472000000000001</v>
      </c>
      <c r="X260" s="531"/>
      <c r="Y260" s="532"/>
      <c r="Z260" s="532"/>
      <c r="AA260" s="532"/>
      <c r="AB260" s="513">
        <v>0</v>
      </c>
      <c r="AC260" s="41" t="s">
        <v>1223</v>
      </c>
      <c r="AD260" s="42" t="s">
        <v>700</v>
      </c>
      <c r="AE260" s="416" t="s">
        <v>1224</v>
      </c>
    </row>
    <row r="261" spans="1:31" s="90" customFormat="1">
      <c r="A261" s="510" t="s">
        <v>1949</v>
      </c>
      <c r="B261" s="529" t="s">
        <v>1950</v>
      </c>
      <c r="C261" s="512">
        <v>1</v>
      </c>
      <c r="D261" s="592" t="s">
        <v>1936</v>
      </c>
      <c r="E261" s="1010">
        <v>57.54</v>
      </c>
      <c r="F261" s="514">
        <f t="shared" si="64"/>
        <v>0.2</v>
      </c>
      <c r="G261" s="515">
        <f t="shared" si="46"/>
        <v>46.031999999999996</v>
      </c>
      <c r="H261" s="531"/>
      <c r="I261" s="532"/>
      <c r="J261" s="532"/>
      <c r="K261" s="532"/>
      <c r="L261" s="513">
        <v>0</v>
      </c>
      <c r="M261" s="624" t="s">
        <v>1223</v>
      </c>
      <c r="N261" s="158" t="s">
        <v>700</v>
      </c>
      <c r="O261" s="417" t="s">
        <v>1224</v>
      </c>
      <c r="P261" s="510" t="s">
        <v>1949</v>
      </c>
      <c r="Q261" s="529" t="s">
        <v>1950</v>
      </c>
      <c r="R261" s="512">
        <v>1</v>
      </c>
      <c r="S261" s="515" t="s">
        <v>1936</v>
      </c>
      <c r="T261" s="518" t="s">
        <v>1949</v>
      </c>
      <c r="U261" s="515">
        <v>57.54</v>
      </c>
      <c r="V261" s="514">
        <v>0.2</v>
      </c>
      <c r="W261" s="515">
        <v>46.031999999999996</v>
      </c>
      <c r="X261" s="531"/>
      <c r="Y261" s="532"/>
      <c r="Z261" s="532"/>
      <c r="AA261" s="532"/>
      <c r="AB261" s="513">
        <v>0</v>
      </c>
      <c r="AC261" s="41" t="s">
        <v>1223</v>
      </c>
      <c r="AD261" s="42" t="s">
        <v>700</v>
      </c>
      <c r="AE261" s="416" t="s">
        <v>1224</v>
      </c>
    </row>
    <row r="262" spans="1:31" s="90" customFormat="1">
      <c r="A262" s="510" t="s">
        <v>1951</v>
      </c>
      <c r="B262" s="529" t="s">
        <v>1952</v>
      </c>
      <c r="C262" s="512">
        <v>1</v>
      </c>
      <c r="D262" s="592" t="s">
        <v>1953</v>
      </c>
      <c r="E262" s="1009">
        <v>45.79</v>
      </c>
      <c r="F262" s="430">
        <f t="shared" ref="F262:F270" si="65">rv_20</f>
        <v>0.2</v>
      </c>
      <c r="G262" s="106">
        <f t="shared" si="46"/>
        <v>36.631999999999998</v>
      </c>
      <c r="H262" s="531"/>
      <c r="I262" s="532"/>
      <c r="J262" s="532"/>
      <c r="K262" s="532"/>
      <c r="L262" s="513">
        <v>0</v>
      </c>
      <c r="M262" s="624" t="s">
        <v>1223</v>
      </c>
      <c r="N262" s="158" t="s">
        <v>700</v>
      </c>
      <c r="O262" s="417" t="s">
        <v>1224</v>
      </c>
      <c r="P262" s="510" t="s">
        <v>1951</v>
      </c>
      <c r="Q262" s="529" t="s">
        <v>1952</v>
      </c>
      <c r="R262" s="512">
        <v>1</v>
      </c>
      <c r="S262" s="515" t="s">
        <v>1953</v>
      </c>
      <c r="T262" s="518" t="s">
        <v>1951</v>
      </c>
      <c r="U262" s="106">
        <v>45.79</v>
      </c>
      <c r="V262" s="430">
        <v>0.2</v>
      </c>
      <c r="W262" s="106">
        <v>36.631999999999998</v>
      </c>
      <c r="X262" s="531"/>
      <c r="Y262" s="532"/>
      <c r="Z262" s="532"/>
      <c r="AA262" s="532"/>
      <c r="AB262" s="513">
        <v>0</v>
      </c>
      <c r="AC262" s="41" t="s">
        <v>1223</v>
      </c>
      <c r="AD262" s="42" t="s">
        <v>700</v>
      </c>
      <c r="AE262" s="416" t="s">
        <v>1224</v>
      </c>
    </row>
    <row r="263" spans="1:31" s="90" customFormat="1">
      <c r="A263" s="718" t="s">
        <v>3186</v>
      </c>
      <c r="B263" s="719" t="s">
        <v>3187</v>
      </c>
      <c r="C263" s="720">
        <v>1</v>
      </c>
      <c r="D263" s="723" t="s">
        <v>1953</v>
      </c>
      <c r="E263" s="977">
        <v>45.79</v>
      </c>
      <c r="F263" s="161">
        <f t="shared" si="65"/>
        <v>0.2</v>
      </c>
      <c r="G263" s="647">
        <f t="shared" ref="G263:G264" si="66">E263-(E263*F263)</f>
        <v>36.631999999999998</v>
      </c>
      <c r="H263" s="722"/>
      <c r="I263" s="222"/>
      <c r="J263" s="222"/>
      <c r="K263" s="222"/>
      <c r="L263" s="444">
        <v>0</v>
      </c>
      <c r="M263" s="624" t="s">
        <v>1223</v>
      </c>
      <c r="N263" s="158" t="s">
        <v>700</v>
      </c>
      <c r="O263" s="417" t="s">
        <v>1224</v>
      </c>
      <c r="P263" s="510"/>
      <c r="Q263" s="529"/>
      <c r="R263" s="512"/>
      <c r="S263" s="515"/>
      <c r="T263" s="518"/>
      <c r="U263" s="106"/>
      <c r="V263" s="430"/>
      <c r="W263" s="106"/>
      <c r="X263" s="531"/>
      <c r="Y263" s="532"/>
      <c r="Z263" s="532"/>
      <c r="AA263" s="532"/>
      <c r="AB263" s="513"/>
      <c r="AC263" s="41"/>
      <c r="AD263" s="42"/>
      <c r="AE263" s="416"/>
    </row>
    <row r="264" spans="1:31" s="90" customFormat="1">
      <c r="A264" s="718" t="s">
        <v>3189</v>
      </c>
      <c r="B264" s="719" t="s">
        <v>3188</v>
      </c>
      <c r="C264" s="720">
        <v>1</v>
      </c>
      <c r="D264" s="723" t="s">
        <v>1953</v>
      </c>
      <c r="E264" s="977">
        <v>45.79</v>
      </c>
      <c r="F264" s="161">
        <f t="shared" si="65"/>
        <v>0.2</v>
      </c>
      <c r="G264" s="647">
        <f t="shared" si="66"/>
        <v>36.631999999999998</v>
      </c>
      <c r="H264" s="722"/>
      <c r="I264" s="222"/>
      <c r="J264" s="222"/>
      <c r="K264" s="222"/>
      <c r="L264" s="444">
        <v>0</v>
      </c>
      <c r="M264" s="624" t="s">
        <v>1223</v>
      </c>
      <c r="N264" s="158" t="s">
        <v>700</v>
      </c>
      <c r="O264" s="417" t="s">
        <v>1224</v>
      </c>
      <c r="P264" s="510"/>
      <c r="Q264" s="529"/>
      <c r="R264" s="512"/>
      <c r="S264" s="515"/>
      <c r="T264" s="518"/>
      <c r="U264" s="106"/>
      <c r="V264" s="430"/>
      <c r="W264" s="106"/>
      <c r="X264" s="531"/>
      <c r="Y264" s="532"/>
      <c r="Z264" s="532"/>
      <c r="AA264" s="532"/>
      <c r="AB264" s="513"/>
      <c r="AC264" s="41"/>
      <c r="AD264" s="42"/>
      <c r="AE264" s="416"/>
    </row>
    <row r="265" spans="1:31" s="90" customFormat="1">
      <c r="A265" s="510" t="s">
        <v>1954</v>
      </c>
      <c r="B265" s="529" t="s">
        <v>1955</v>
      </c>
      <c r="C265" s="512">
        <v>1</v>
      </c>
      <c r="D265" s="592" t="s">
        <v>1953</v>
      </c>
      <c r="E265" s="1009">
        <v>45.79</v>
      </c>
      <c r="F265" s="430">
        <f t="shared" si="65"/>
        <v>0.2</v>
      </c>
      <c r="G265" s="106">
        <f t="shared" si="46"/>
        <v>36.631999999999998</v>
      </c>
      <c r="H265" s="531"/>
      <c r="I265" s="532"/>
      <c r="J265" s="532"/>
      <c r="K265" s="532"/>
      <c r="L265" s="513">
        <v>0</v>
      </c>
      <c r="M265" s="624" t="s">
        <v>1223</v>
      </c>
      <c r="N265" s="158" t="s">
        <v>700</v>
      </c>
      <c r="O265" s="417" t="s">
        <v>1224</v>
      </c>
      <c r="P265" s="510" t="s">
        <v>1954</v>
      </c>
      <c r="Q265" s="529" t="s">
        <v>1955</v>
      </c>
      <c r="R265" s="512">
        <v>1</v>
      </c>
      <c r="S265" s="515" t="s">
        <v>1953</v>
      </c>
      <c r="T265" s="518" t="s">
        <v>1954</v>
      </c>
      <c r="U265" s="106">
        <v>45.79</v>
      </c>
      <c r="V265" s="430">
        <v>0.2</v>
      </c>
      <c r="W265" s="106">
        <v>36.631999999999998</v>
      </c>
      <c r="X265" s="531"/>
      <c r="Y265" s="532"/>
      <c r="Z265" s="532"/>
      <c r="AA265" s="532"/>
      <c r="AB265" s="513">
        <v>0</v>
      </c>
      <c r="AC265" s="41" t="s">
        <v>1223</v>
      </c>
      <c r="AD265" s="42" t="s">
        <v>700</v>
      </c>
      <c r="AE265" s="416" t="s">
        <v>1224</v>
      </c>
    </row>
    <row r="266" spans="1:31" s="90" customFormat="1">
      <c r="A266" s="477" t="s">
        <v>1956</v>
      </c>
      <c r="B266" s="505" t="s">
        <v>1957</v>
      </c>
      <c r="C266" s="506">
        <v>1</v>
      </c>
      <c r="D266" s="585" t="s">
        <v>1953</v>
      </c>
      <c r="E266" s="1009">
        <v>45.79</v>
      </c>
      <c r="F266" s="430">
        <f t="shared" si="65"/>
        <v>0.2</v>
      </c>
      <c r="G266" s="106">
        <f t="shared" si="46"/>
        <v>36.631999999999998</v>
      </c>
      <c r="H266" s="531"/>
      <c r="I266" s="532"/>
      <c r="J266" s="532"/>
      <c r="K266" s="532"/>
      <c r="L266" s="513">
        <v>0</v>
      </c>
      <c r="M266" s="624" t="s">
        <v>1223</v>
      </c>
      <c r="N266" s="158" t="s">
        <v>700</v>
      </c>
      <c r="O266" s="417" t="s">
        <v>1224</v>
      </c>
      <c r="P266" s="477" t="s">
        <v>1956</v>
      </c>
      <c r="Q266" s="505" t="s">
        <v>1957</v>
      </c>
      <c r="R266" s="506">
        <v>1</v>
      </c>
      <c r="S266" s="585" t="s">
        <v>1953</v>
      </c>
      <c r="T266" s="508" t="s">
        <v>1956</v>
      </c>
      <c r="U266" s="106">
        <v>45.79</v>
      </c>
      <c r="V266" s="430">
        <v>0.2</v>
      </c>
      <c r="W266" s="106">
        <v>36.631999999999998</v>
      </c>
      <c r="X266" s="531"/>
      <c r="Y266" s="532"/>
      <c r="Z266" s="532"/>
      <c r="AA266" s="532"/>
      <c r="AB266" s="513">
        <v>0</v>
      </c>
      <c r="AC266" s="41" t="s">
        <v>1223</v>
      </c>
      <c r="AD266" s="42" t="s">
        <v>700</v>
      </c>
      <c r="AE266" s="416" t="s">
        <v>1224</v>
      </c>
    </row>
    <row r="267" spans="1:31" s="479" customFormat="1">
      <c r="A267" s="477" t="s">
        <v>1958</v>
      </c>
      <c r="B267" s="505" t="s">
        <v>1959</v>
      </c>
      <c r="C267" s="506">
        <v>1</v>
      </c>
      <c r="D267" s="585" t="s">
        <v>1953</v>
      </c>
      <c r="E267" s="1009">
        <v>45.79</v>
      </c>
      <c r="F267" s="430">
        <f t="shared" si="65"/>
        <v>0.2</v>
      </c>
      <c r="G267" s="106">
        <f>E267-(E267*F267)</f>
        <v>36.631999999999998</v>
      </c>
      <c r="H267" s="531"/>
      <c r="I267" s="532"/>
      <c r="J267" s="532"/>
      <c r="K267" s="532"/>
      <c r="L267" s="513">
        <v>0</v>
      </c>
      <c r="M267" s="624" t="s">
        <v>1223</v>
      </c>
      <c r="N267" s="158" t="s">
        <v>700</v>
      </c>
      <c r="O267" s="417" t="s">
        <v>1224</v>
      </c>
      <c r="P267" s="477" t="s">
        <v>1958</v>
      </c>
      <c r="Q267" s="505" t="s">
        <v>1959</v>
      </c>
      <c r="R267" s="506">
        <v>1</v>
      </c>
      <c r="S267" s="585" t="s">
        <v>1953</v>
      </c>
      <c r="T267" s="508" t="s">
        <v>1958</v>
      </c>
      <c r="U267" s="106">
        <v>45.79</v>
      </c>
      <c r="V267" s="430">
        <v>0.2</v>
      </c>
      <c r="W267" s="106">
        <v>36.631999999999998</v>
      </c>
      <c r="X267" s="531"/>
      <c r="Y267" s="532"/>
      <c r="Z267" s="532"/>
      <c r="AA267" s="532"/>
      <c r="AB267" s="513">
        <v>0</v>
      </c>
      <c r="AC267" s="41" t="s">
        <v>1223</v>
      </c>
      <c r="AD267" s="218" t="s">
        <v>700</v>
      </c>
      <c r="AE267" s="478" t="s">
        <v>1224</v>
      </c>
    </row>
    <row r="268" spans="1:31" s="479" customFormat="1">
      <c r="A268" s="477" t="s">
        <v>1960</v>
      </c>
      <c r="B268" s="505" t="s">
        <v>1961</v>
      </c>
      <c r="C268" s="506">
        <v>1</v>
      </c>
      <c r="D268" s="585" t="s">
        <v>1953</v>
      </c>
      <c r="E268" s="1009">
        <v>45.79</v>
      </c>
      <c r="F268" s="430">
        <f t="shared" si="65"/>
        <v>0.2</v>
      </c>
      <c r="G268" s="106">
        <f>E268-(E268*F268)</f>
        <v>36.631999999999998</v>
      </c>
      <c r="H268" s="531"/>
      <c r="I268" s="532"/>
      <c r="J268" s="532"/>
      <c r="K268" s="532"/>
      <c r="L268" s="513">
        <v>0</v>
      </c>
      <c r="M268" s="624" t="s">
        <v>1223</v>
      </c>
      <c r="N268" s="158" t="s">
        <v>700</v>
      </c>
      <c r="O268" s="417" t="s">
        <v>1224</v>
      </c>
      <c r="P268" s="477" t="s">
        <v>1960</v>
      </c>
      <c r="Q268" s="505" t="s">
        <v>1961</v>
      </c>
      <c r="R268" s="506">
        <v>1</v>
      </c>
      <c r="S268" s="585" t="s">
        <v>1953</v>
      </c>
      <c r="T268" s="508" t="s">
        <v>1960</v>
      </c>
      <c r="U268" s="106">
        <v>45.79</v>
      </c>
      <c r="V268" s="430">
        <v>0.2</v>
      </c>
      <c r="W268" s="106">
        <v>36.631999999999998</v>
      </c>
      <c r="X268" s="531"/>
      <c r="Y268" s="532"/>
      <c r="Z268" s="532"/>
      <c r="AA268" s="532"/>
      <c r="AB268" s="513">
        <v>0</v>
      </c>
      <c r="AC268" s="41" t="s">
        <v>1223</v>
      </c>
      <c r="AD268" s="218" t="s">
        <v>700</v>
      </c>
      <c r="AE268" s="478" t="s">
        <v>1224</v>
      </c>
    </row>
    <row r="269" spans="1:31" s="479" customFormat="1">
      <c r="A269" s="477" t="s">
        <v>1962</v>
      </c>
      <c r="B269" s="505" t="s">
        <v>1963</v>
      </c>
      <c r="C269" s="506">
        <v>1</v>
      </c>
      <c r="D269" s="585" t="s">
        <v>1953</v>
      </c>
      <c r="E269" s="1009">
        <v>45.79</v>
      </c>
      <c r="F269" s="430">
        <f t="shared" si="65"/>
        <v>0.2</v>
      </c>
      <c r="G269" s="106">
        <f>E269-(E269*F269)</f>
        <v>36.631999999999998</v>
      </c>
      <c r="H269" s="531"/>
      <c r="I269" s="532"/>
      <c r="J269" s="532"/>
      <c r="K269" s="532"/>
      <c r="L269" s="513">
        <v>0</v>
      </c>
      <c r="M269" s="624" t="s">
        <v>1223</v>
      </c>
      <c r="N269" s="158" t="s">
        <v>700</v>
      </c>
      <c r="O269" s="417" t="s">
        <v>1224</v>
      </c>
      <c r="P269" s="477" t="s">
        <v>1962</v>
      </c>
      <c r="Q269" s="505" t="s">
        <v>1963</v>
      </c>
      <c r="R269" s="506">
        <v>1</v>
      </c>
      <c r="S269" s="585" t="s">
        <v>1953</v>
      </c>
      <c r="T269" s="508" t="s">
        <v>1962</v>
      </c>
      <c r="U269" s="106">
        <v>45.79</v>
      </c>
      <c r="V269" s="430">
        <v>0.2</v>
      </c>
      <c r="W269" s="106">
        <v>36.631999999999998</v>
      </c>
      <c r="X269" s="531"/>
      <c r="Y269" s="532"/>
      <c r="Z269" s="532"/>
      <c r="AA269" s="532"/>
      <c r="AB269" s="513">
        <v>0</v>
      </c>
      <c r="AC269" s="41" t="s">
        <v>1223</v>
      </c>
      <c r="AD269" s="218" t="s">
        <v>700</v>
      </c>
      <c r="AE269" s="478" t="s">
        <v>1224</v>
      </c>
    </row>
    <row r="270" spans="1:31" s="90" customFormat="1">
      <c r="A270" s="510" t="s">
        <v>1964</v>
      </c>
      <c r="B270" s="505" t="s">
        <v>1965</v>
      </c>
      <c r="C270" s="512">
        <v>1</v>
      </c>
      <c r="D270" s="592" t="s">
        <v>1953</v>
      </c>
      <c r="E270" s="1009">
        <v>45.79</v>
      </c>
      <c r="F270" s="430">
        <f t="shared" si="65"/>
        <v>0.2</v>
      </c>
      <c r="G270" s="106">
        <f t="shared" si="46"/>
        <v>36.631999999999998</v>
      </c>
      <c r="H270" s="531"/>
      <c r="I270" s="532"/>
      <c r="J270" s="532"/>
      <c r="K270" s="532"/>
      <c r="L270" s="513">
        <v>0</v>
      </c>
      <c r="M270" s="624" t="s">
        <v>1223</v>
      </c>
      <c r="N270" s="158" t="s">
        <v>700</v>
      </c>
      <c r="O270" s="417" t="s">
        <v>1224</v>
      </c>
      <c r="P270" s="510" t="s">
        <v>1964</v>
      </c>
      <c r="Q270" s="505" t="s">
        <v>1965</v>
      </c>
      <c r="R270" s="512">
        <v>1</v>
      </c>
      <c r="S270" s="515" t="s">
        <v>1953</v>
      </c>
      <c r="T270" s="518" t="s">
        <v>1964</v>
      </c>
      <c r="U270" s="106">
        <v>45.79</v>
      </c>
      <c r="V270" s="430">
        <v>0.2</v>
      </c>
      <c r="W270" s="106">
        <v>36.631999999999998</v>
      </c>
      <c r="X270" s="531"/>
      <c r="Y270" s="532"/>
      <c r="Z270" s="532"/>
      <c r="AA270" s="532"/>
      <c r="AB270" s="513">
        <v>0</v>
      </c>
      <c r="AC270" s="41" t="s">
        <v>1223</v>
      </c>
      <c r="AD270" s="42" t="s">
        <v>700</v>
      </c>
      <c r="AE270" s="416" t="s">
        <v>1224</v>
      </c>
    </row>
    <row r="271" spans="1:31" s="90" customFormat="1">
      <c r="A271" s="510" t="s">
        <v>1966</v>
      </c>
      <c r="B271" s="529" t="s">
        <v>1967</v>
      </c>
      <c r="C271" s="512">
        <v>1</v>
      </c>
      <c r="D271" s="592" t="s">
        <v>1968</v>
      </c>
      <c r="E271" s="1010">
        <v>41.7</v>
      </c>
      <c r="F271" s="514">
        <f t="shared" ref="F271:F351" si="67">rv_20</f>
        <v>0.2</v>
      </c>
      <c r="G271" s="515">
        <f t="shared" si="46"/>
        <v>33.36</v>
      </c>
      <c r="H271" s="531"/>
      <c r="I271" s="532"/>
      <c r="J271" s="532"/>
      <c r="K271" s="532"/>
      <c r="L271" s="513">
        <v>0.02</v>
      </c>
      <c r="M271" s="624" t="s">
        <v>1223</v>
      </c>
      <c r="N271" s="158" t="s">
        <v>700</v>
      </c>
      <c r="O271" s="417" t="s">
        <v>1224</v>
      </c>
      <c r="P271" s="510" t="s">
        <v>1966</v>
      </c>
      <c r="Q271" s="529" t="s">
        <v>1967</v>
      </c>
      <c r="R271" s="512">
        <v>1</v>
      </c>
      <c r="S271" s="515" t="s">
        <v>1968</v>
      </c>
      <c r="T271" s="518" t="s">
        <v>1966</v>
      </c>
      <c r="U271" s="515">
        <v>41.7</v>
      </c>
      <c r="V271" s="514">
        <v>0.2</v>
      </c>
      <c r="W271" s="515">
        <v>33.36</v>
      </c>
      <c r="X271" s="531"/>
      <c r="Y271" s="532"/>
      <c r="Z271" s="532"/>
      <c r="AA271" s="532"/>
      <c r="AB271" s="513">
        <v>0.02</v>
      </c>
      <c r="AC271" s="41" t="s">
        <v>1223</v>
      </c>
      <c r="AD271" s="42" t="s">
        <v>700</v>
      </c>
      <c r="AE271" s="416" t="s">
        <v>1224</v>
      </c>
    </row>
    <row r="272" spans="1:31" s="90" customFormat="1">
      <c r="A272" s="510" t="s">
        <v>1969</v>
      </c>
      <c r="B272" s="529" t="s">
        <v>1970</v>
      </c>
      <c r="C272" s="512">
        <v>1</v>
      </c>
      <c r="D272" s="592" t="s">
        <v>1968</v>
      </c>
      <c r="E272" s="1010">
        <v>29.04</v>
      </c>
      <c r="F272" s="514">
        <f t="shared" si="67"/>
        <v>0.2</v>
      </c>
      <c r="G272" s="515">
        <f t="shared" si="46"/>
        <v>23.231999999999999</v>
      </c>
      <c r="H272" s="531"/>
      <c r="I272" s="532"/>
      <c r="J272" s="532"/>
      <c r="K272" s="532"/>
      <c r="L272" s="513">
        <v>0.02</v>
      </c>
      <c r="M272" s="624" t="s">
        <v>1223</v>
      </c>
      <c r="N272" s="158" t="s">
        <v>700</v>
      </c>
      <c r="O272" s="417" t="s">
        <v>1224</v>
      </c>
      <c r="P272" s="510" t="s">
        <v>1969</v>
      </c>
      <c r="Q272" s="529" t="s">
        <v>1970</v>
      </c>
      <c r="R272" s="512">
        <v>1</v>
      </c>
      <c r="S272" s="515" t="s">
        <v>1968</v>
      </c>
      <c r="T272" s="518" t="s">
        <v>1969</v>
      </c>
      <c r="U272" s="515">
        <v>29.04</v>
      </c>
      <c r="V272" s="514">
        <v>0.2</v>
      </c>
      <c r="W272" s="515">
        <v>23.231999999999999</v>
      </c>
      <c r="X272" s="531"/>
      <c r="Y272" s="532"/>
      <c r="Z272" s="532"/>
      <c r="AA272" s="532"/>
      <c r="AB272" s="513">
        <v>0.02</v>
      </c>
      <c r="AC272" s="41" t="s">
        <v>1223</v>
      </c>
      <c r="AD272" s="42" t="s">
        <v>700</v>
      </c>
      <c r="AE272" s="416" t="s">
        <v>1224</v>
      </c>
    </row>
    <row r="273" spans="1:31" s="90" customFormat="1">
      <c r="A273" s="510" t="s">
        <v>1971</v>
      </c>
      <c r="B273" s="529" t="s">
        <v>1972</v>
      </c>
      <c r="C273" s="512">
        <v>1</v>
      </c>
      <c r="D273" s="592" t="s">
        <v>1968</v>
      </c>
      <c r="E273" s="1010">
        <v>48.39</v>
      </c>
      <c r="F273" s="514">
        <f t="shared" si="67"/>
        <v>0.2</v>
      </c>
      <c r="G273" s="515">
        <f t="shared" si="46"/>
        <v>38.712000000000003</v>
      </c>
      <c r="H273" s="531"/>
      <c r="I273" s="532"/>
      <c r="J273" s="532"/>
      <c r="K273" s="532"/>
      <c r="L273" s="513">
        <v>0.05</v>
      </c>
      <c r="M273" s="624" t="s">
        <v>1223</v>
      </c>
      <c r="N273" s="158" t="s">
        <v>700</v>
      </c>
      <c r="O273" s="417" t="s">
        <v>1224</v>
      </c>
      <c r="P273" s="510" t="s">
        <v>1971</v>
      </c>
      <c r="Q273" s="529" t="s">
        <v>1972</v>
      </c>
      <c r="R273" s="512">
        <v>1</v>
      </c>
      <c r="S273" s="515" t="s">
        <v>1968</v>
      </c>
      <c r="T273" s="518" t="s">
        <v>1973</v>
      </c>
      <c r="U273" s="515">
        <v>48.39</v>
      </c>
      <c r="V273" s="514">
        <v>0.2</v>
      </c>
      <c r="W273" s="515">
        <v>38.712000000000003</v>
      </c>
      <c r="X273" s="531"/>
      <c r="Y273" s="532"/>
      <c r="Z273" s="532"/>
      <c r="AA273" s="532"/>
      <c r="AB273" s="513">
        <v>0.05</v>
      </c>
      <c r="AC273" s="41" t="s">
        <v>1223</v>
      </c>
      <c r="AD273" s="42" t="s">
        <v>700</v>
      </c>
      <c r="AE273" s="416" t="s">
        <v>1224</v>
      </c>
    </row>
    <row r="274" spans="1:31" s="90" customFormat="1">
      <c r="A274" s="510" t="s">
        <v>1974</v>
      </c>
      <c r="B274" s="529" t="s">
        <v>1975</v>
      </c>
      <c r="C274" s="512">
        <v>1</v>
      </c>
      <c r="D274" s="592" t="s">
        <v>1968</v>
      </c>
      <c r="E274" s="1010">
        <v>115</v>
      </c>
      <c r="F274" s="514">
        <f t="shared" si="67"/>
        <v>0.2</v>
      </c>
      <c r="G274" s="515">
        <f t="shared" si="46"/>
        <v>92</v>
      </c>
      <c r="H274" s="531"/>
      <c r="I274" s="532"/>
      <c r="J274" s="532"/>
      <c r="K274" s="532"/>
      <c r="L274" s="513">
        <v>0.05</v>
      </c>
      <c r="M274" s="624" t="s">
        <v>1223</v>
      </c>
      <c r="N274" s="158" t="s">
        <v>700</v>
      </c>
      <c r="O274" s="417" t="s">
        <v>1224</v>
      </c>
      <c r="P274" s="510" t="s">
        <v>1974</v>
      </c>
      <c r="Q274" s="529" t="s">
        <v>1975</v>
      </c>
      <c r="R274" s="512">
        <v>1</v>
      </c>
      <c r="S274" s="515" t="s">
        <v>1968</v>
      </c>
      <c r="T274" s="518" t="s">
        <v>1974</v>
      </c>
      <c r="U274" s="515">
        <v>115</v>
      </c>
      <c r="V274" s="514">
        <v>0.2</v>
      </c>
      <c r="W274" s="515">
        <v>92</v>
      </c>
      <c r="X274" s="531"/>
      <c r="Y274" s="532"/>
      <c r="Z274" s="532"/>
      <c r="AA274" s="532"/>
      <c r="AB274" s="513">
        <v>0.05</v>
      </c>
      <c r="AC274" s="41" t="s">
        <v>1223</v>
      </c>
      <c r="AD274" s="42" t="s">
        <v>700</v>
      </c>
      <c r="AE274" s="416" t="s">
        <v>1224</v>
      </c>
    </row>
    <row r="275" spans="1:31" s="90" customFormat="1">
      <c r="A275" s="477" t="s">
        <v>1976</v>
      </c>
      <c r="B275" s="505" t="s">
        <v>1977</v>
      </c>
      <c r="C275" s="506">
        <v>1</v>
      </c>
      <c r="D275" s="585" t="s">
        <v>1968</v>
      </c>
      <c r="E275" s="1009">
        <v>116.66</v>
      </c>
      <c r="F275" s="430">
        <f t="shared" si="67"/>
        <v>0.2</v>
      </c>
      <c r="G275" s="106">
        <f t="shared" ref="G275" si="68">E275-(E275*F275)</f>
        <v>93.328000000000003</v>
      </c>
      <c r="H275" s="147"/>
      <c r="I275" s="163"/>
      <c r="J275" s="163"/>
      <c r="K275" s="163"/>
      <c r="L275" s="428">
        <v>0.08</v>
      </c>
      <c r="M275" s="624" t="s">
        <v>1223</v>
      </c>
      <c r="N275" s="158" t="s">
        <v>700</v>
      </c>
      <c r="O275" s="417" t="s">
        <v>1224</v>
      </c>
      <c r="P275" s="477" t="s">
        <v>1976</v>
      </c>
      <c r="Q275" s="505" t="s">
        <v>1977</v>
      </c>
      <c r="R275" s="506">
        <v>1</v>
      </c>
      <c r="S275" s="106" t="s">
        <v>1968</v>
      </c>
      <c r="T275" s="473" t="s">
        <v>1976</v>
      </c>
      <c r="U275" s="106">
        <v>116.66</v>
      </c>
      <c r="V275" s="430">
        <v>0.2</v>
      </c>
      <c r="W275" s="106">
        <v>93.328000000000003</v>
      </c>
      <c r="X275" s="147"/>
      <c r="Y275" s="163"/>
      <c r="Z275" s="163"/>
      <c r="AA275" s="163"/>
      <c r="AB275" s="428">
        <v>0.08</v>
      </c>
      <c r="AC275" s="41" t="s">
        <v>1223</v>
      </c>
      <c r="AD275" s="42" t="s">
        <v>700</v>
      </c>
      <c r="AE275" s="416" t="s">
        <v>1224</v>
      </c>
    </row>
    <row r="276" spans="1:31" s="1" customFormat="1">
      <c r="A276" s="477" t="s">
        <v>1978</v>
      </c>
      <c r="B276" s="505" t="s">
        <v>1979</v>
      </c>
      <c r="C276" s="506">
        <v>1</v>
      </c>
      <c r="D276" s="585" t="s">
        <v>1980</v>
      </c>
      <c r="E276" s="1009">
        <v>76.290000000000006</v>
      </c>
      <c r="F276" s="430">
        <f t="shared" si="67"/>
        <v>0.2</v>
      </c>
      <c r="G276" s="106">
        <f t="shared" si="46"/>
        <v>61.032000000000004</v>
      </c>
      <c r="H276" s="147"/>
      <c r="I276" s="163"/>
      <c r="J276" s="163"/>
      <c r="K276" s="163"/>
      <c r="L276" s="428">
        <v>0.05</v>
      </c>
      <c r="M276" s="624" t="s">
        <v>1223</v>
      </c>
      <c r="N276" s="158" t="s">
        <v>700</v>
      </c>
      <c r="O276" s="417" t="s">
        <v>1224</v>
      </c>
      <c r="P276" s="477" t="s">
        <v>1978</v>
      </c>
      <c r="Q276" s="505" t="s">
        <v>1979</v>
      </c>
      <c r="R276" s="506">
        <v>1</v>
      </c>
      <c r="S276" s="106" t="s">
        <v>1980</v>
      </c>
      <c r="T276" s="473" t="s">
        <v>1978</v>
      </c>
      <c r="U276" s="106">
        <v>76.290000000000006</v>
      </c>
      <c r="V276" s="430">
        <v>0.2</v>
      </c>
      <c r="W276" s="106">
        <v>61.032000000000004</v>
      </c>
      <c r="X276" s="147"/>
      <c r="Y276" s="163"/>
      <c r="Z276" s="163"/>
      <c r="AA276" s="163"/>
      <c r="AB276" s="428">
        <v>0.05</v>
      </c>
      <c r="AC276" s="41" t="s">
        <v>1223</v>
      </c>
      <c r="AD276" s="42" t="s">
        <v>700</v>
      </c>
      <c r="AE276" s="416" t="s">
        <v>1224</v>
      </c>
    </row>
    <row r="277" spans="1:31" s="1" customFormat="1">
      <c r="A277" s="477" t="s">
        <v>1981</v>
      </c>
      <c r="B277" s="505" t="s">
        <v>1982</v>
      </c>
      <c r="C277" s="506">
        <v>1</v>
      </c>
      <c r="D277" s="585" t="s">
        <v>1980</v>
      </c>
      <c r="E277" s="1009">
        <v>95</v>
      </c>
      <c r="F277" s="430">
        <f t="shared" si="67"/>
        <v>0.2</v>
      </c>
      <c r="G277" s="106">
        <f t="shared" si="46"/>
        <v>76</v>
      </c>
      <c r="H277" s="147"/>
      <c r="I277" s="163"/>
      <c r="J277" s="163"/>
      <c r="K277" s="163"/>
      <c r="L277" s="428">
        <v>0</v>
      </c>
      <c r="M277" s="624" t="s">
        <v>1223</v>
      </c>
      <c r="N277" s="158" t="s">
        <v>700</v>
      </c>
      <c r="O277" s="417" t="s">
        <v>1224</v>
      </c>
      <c r="P277" s="477" t="s">
        <v>1981</v>
      </c>
      <c r="Q277" s="505" t="s">
        <v>1982</v>
      </c>
      <c r="R277" s="506">
        <v>1</v>
      </c>
      <c r="S277" s="585" t="s">
        <v>1980</v>
      </c>
      <c r="T277" s="473" t="s">
        <v>1981</v>
      </c>
      <c r="U277" s="106">
        <v>95</v>
      </c>
      <c r="V277" s="430">
        <v>0.2</v>
      </c>
      <c r="W277" s="106">
        <v>76</v>
      </c>
      <c r="X277" s="147"/>
      <c r="Y277" s="163"/>
      <c r="Z277" s="163"/>
      <c r="AA277" s="163"/>
      <c r="AB277" s="428">
        <v>0</v>
      </c>
      <c r="AC277" s="41" t="s">
        <v>1223</v>
      </c>
      <c r="AD277" s="42" t="s">
        <v>700</v>
      </c>
      <c r="AE277" s="416" t="s">
        <v>1224</v>
      </c>
    </row>
    <row r="278" spans="1:31" s="1" customFormat="1">
      <c r="A278" s="477" t="s">
        <v>1983</v>
      </c>
      <c r="B278" s="505" t="s">
        <v>1984</v>
      </c>
      <c r="C278" s="508">
        <v>1</v>
      </c>
      <c r="D278" s="508" t="s">
        <v>1980</v>
      </c>
      <c r="E278" s="1009">
        <v>373</v>
      </c>
      <c r="F278" s="430">
        <f t="shared" si="67"/>
        <v>0.2</v>
      </c>
      <c r="G278" s="106">
        <f t="shared" ref="G278:G396" si="69">E278-(E278*F278)</f>
        <v>298.39999999999998</v>
      </c>
      <c r="H278" s="147"/>
      <c r="I278" s="163"/>
      <c r="J278" s="163"/>
      <c r="K278" s="163"/>
      <c r="L278" s="428">
        <v>0.1</v>
      </c>
      <c r="M278" s="624" t="s">
        <v>1223</v>
      </c>
      <c r="N278" s="158" t="s">
        <v>700</v>
      </c>
      <c r="O278" s="417" t="s">
        <v>1224</v>
      </c>
      <c r="P278" s="477" t="s">
        <v>1983</v>
      </c>
      <c r="Q278" s="505" t="s">
        <v>1984</v>
      </c>
      <c r="R278" s="508">
        <v>1</v>
      </c>
      <c r="S278" s="508" t="s">
        <v>1980</v>
      </c>
      <c r="T278" s="508" t="s">
        <v>1983</v>
      </c>
      <c r="U278" s="106">
        <v>373</v>
      </c>
      <c r="V278" s="430">
        <v>0.2</v>
      </c>
      <c r="W278" s="106">
        <v>298.39999999999998</v>
      </c>
      <c r="X278" s="147"/>
      <c r="Y278" s="163"/>
      <c r="Z278" s="163"/>
      <c r="AA278" s="163"/>
      <c r="AB278" s="428">
        <v>0.1</v>
      </c>
      <c r="AC278" s="41" t="s">
        <v>1223</v>
      </c>
      <c r="AD278" s="42" t="s">
        <v>700</v>
      </c>
      <c r="AE278" s="416" t="s">
        <v>1224</v>
      </c>
    </row>
    <row r="279" spans="1:31" s="1" customFormat="1">
      <c r="A279" s="477" t="s">
        <v>1985</v>
      </c>
      <c r="B279" s="505" t="s">
        <v>1986</v>
      </c>
      <c r="C279" s="506">
        <v>1</v>
      </c>
      <c r="D279" s="585" t="s">
        <v>1980</v>
      </c>
      <c r="E279" s="1009">
        <v>46.09</v>
      </c>
      <c r="F279" s="430">
        <f t="shared" si="67"/>
        <v>0.2</v>
      </c>
      <c r="G279" s="106">
        <f t="shared" si="69"/>
        <v>36.872</v>
      </c>
      <c r="H279" s="147"/>
      <c r="I279" s="163"/>
      <c r="J279" s="163"/>
      <c r="K279" s="163"/>
      <c r="L279" s="428">
        <v>0.02</v>
      </c>
      <c r="M279" s="624" t="s">
        <v>1223</v>
      </c>
      <c r="N279" s="158" t="s">
        <v>700</v>
      </c>
      <c r="O279" s="417" t="s">
        <v>1224</v>
      </c>
      <c r="P279" s="477" t="s">
        <v>1985</v>
      </c>
      <c r="Q279" s="505" t="s">
        <v>1986</v>
      </c>
      <c r="R279" s="506">
        <v>1</v>
      </c>
      <c r="S279" s="106" t="s">
        <v>1980</v>
      </c>
      <c r="T279" s="473" t="s">
        <v>1985</v>
      </c>
      <c r="U279" s="106">
        <v>46.09</v>
      </c>
      <c r="V279" s="430">
        <v>0.2</v>
      </c>
      <c r="W279" s="106">
        <v>36.872</v>
      </c>
      <c r="X279" s="147"/>
      <c r="Y279" s="163"/>
      <c r="Z279" s="163"/>
      <c r="AA279" s="163"/>
      <c r="AB279" s="428">
        <v>0.02</v>
      </c>
      <c r="AC279" s="41" t="s">
        <v>1223</v>
      </c>
      <c r="AD279" s="42" t="s">
        <v>700</v>
      </c>
      <c r="AE279" s="416" t="s">
        <v>1224</v>
      </c>
    </row>
    <row r="280" spans="1:31" s="1" customFormat="1">
      <c r="A280" s="477" t="s">
        <v>1987</v>
      </c>
      <c r="B280" s="505" t="s">
        <v>1988</v>
      </c>
      <c r="C280" s="506">
        <v>1</v>
      </c>
      <c r="D280" s="585" t="s">
        <v>1980</v>
      </c>
      <c r="E280" s="1009">
        <v>135.59</v>
      </c>
      <c r="F280" s="430">
        <f t="shared" si="67"/>
        <v>0.2</v>
      </c>
      <c r="G280" s="106">
        <f t="shared" si="69"/>
        <v>108.47200000000001</v>
      </c>
      <c r="H280" s="147"/>
      <c r="I280" s="163"/>
      <c r="J280" s="163"/>
      <c r="K280" s="163"/>
      <c r="L280" s="428">
        <v>0</v>
      </c>
      <c r="M280" s="624" t="s">
        <v>1223</v>
      </c>
      <c r="N280" s="158" t="s">
        <v>700</v>
      </c>
      <c r="O280" s="417" t="s">
        <v>1224</v>
      </c>
      <c r="P280" s="477" t="s">
        <v>1987</v>
      </c>
      <c r="Q280" s="505" t="s">
        <v>1988</v>
      </c>
      <c r="R280" s="506">
        <v>1</v>
      </c>
      <c r="S280" s="106" t="s">
        <v>1980</v>
      </c>
      <c r="T280" s="473" t="s">
        <v>1987</v>
      </c>
      <c r="U280" s="106">
        <v>135.59</v>
      </c>
      <c r="V280" s="430">
        <v>0.2</v>
      </c>
      <c r="W280" s="106">
        <v>108.47200000000001</v>
      </c>
      <c r="X280" s="147"/>
      <c r="Y280" s="163"/>
      <c r="Z280" s="163"/>
      <c r="AA280" s="163"/>
      <c r="AB280" s="428">
        <v>0</v>
      </c>
      <c r="AC280" s="41" t="s">
        <v>1223</v>
      </c>
      <c r="AD280" s="42" t="s">
        <v>700</v>
      </c>
      <c r="AE280" s="416" t="s">
        <v>1224</v>
      </c>
    </row>
    <row r="281" spans="1:31" s="1" customFormat="1" ht="13.5" thickBot="1">
      <c r="A281" s="477" t="s">
        <v>1989</v>
      </c>
      <c r="B281" s="505" t="s">
        <v>1990</v>
      </c>
      <c r="C281" s="506">
        <v>1</v>
      </c>
      <c r="D281" s="585" t="s">
        <v>1980</v>
      </c>
      <c r="E281" s="1009">
        <v>110.71</v>
      </c>
      <c r="F281" s="430">
        <f t="shared" si="67"/>
        <v>0.2</v>
      </c>
      <c r="G281" s="106">
        <f t="shared" si="69"/>
        <v>88.567999999999998</v>
      </c>
      <c r="H281" s="147"/>
      <c r="I281" s="163"/>
      <c r="J281" s="163"/>
      <c r="K281" s="163"/>
      <c r="L281" s="428">
        <v>0</v>
      </c>
      <c r="M281" s="624" t="s">
        <v>1223</v>
      </c>
      <c r="N281" s="158" t="s">
        <v>700</v>
      </c>
      <c r="O281" s="417" t="s">
        <v>1224</v>
      </c>
      <c r="P281" s="477" t="s">
        <v>1989</v>
      </c>
      <c r="Q281" s="505" t="s">
        <v>1990</v>
      </c>
      <c r="R281" s="506">
        <v>1</v>
      </c>
      <c r="S281" s="106" t="s">
        <v>1980</v>
      </c>
      <c r="T281" s="473" t="s">
        <v>1989</v>
      </c>
      <c r="U281" s="106">
        <v>110.71</v>
      </c>
      <c r="V281" s="430">
        <v>0.2</v>
      </c>
      <c r="W281" s="106">
        <v>88.567999999999998</v>
      </c>
      <c r="X281" s="147"/>
      <c r="Y281" s="163"/>
      <c r="Z281" s="163"/>
      <c r="AA281" s="163"/>
      <c r="AB281" s="428">
        <v>0</v>
      </c>
      <c r="AC281" s="41" t="s">
        <v>1223</v>
      </c>
      <c r="AD281" s="42" t="s">
        <v>700</v>
      </c>
      <c r="AE281" s="416" t="s">
        <v>1224</v>
      </c>
    </row>
    <row r="282" spans="1:31" s="1" customFormat="1" ht="19.5" thickBot="1">
      <c r="A282" s="673" t="s">
        <v>3046</v>
      </c>
      <c r="B282" s="672" t="s">
        <v>3047</v>
      </c>
      <c r="C282" s="663"/>
      <c r="D282" s="1004"/>
      <c r="E282" s="1020"/>
      <c r="F282" s="665"/>
      <c r="G282" s="664"/>
      <c r="H282" s="666"/>
      <c r="I282" s="667"/>
      <c r="J282" s="667"/>
      <c r="K282" s="667"/>
      <c r="L282" s="668"/>
      <c r="M282" s="669"/>
      <c r="N282" s="670"/>
      <c r="O282" s="671"/>
      <c r="P282" s="477"/>
      <c r="Q282" s="505"/>
      <c r="R282" s="506"/>
      <c r="S282" s="106"/>
      <c r="T282" s="473"/>
      <c r="U282" s="106"/>
      <c r="V282" s="430"/>
      <c r="W282" s="106"/>
      <c r="X282" s="147"/>
      <c r="Y282" s="163"/>
      <c r="Z282" s="163"/>
      <c r="AA282" s="163"/>
      <c r="AB282" s="428"/>
      <c r="AC282" s="41"/>
      <c r="AD282" s="42"/>
      <c r="AE282" s="416"/>
    </row>
    <row r="283" spans="1:31" s="1" customFormat="1">
      <c r="A283" s="477" t="s">
        <v>1991</v>
      </c>
      <c r="B283" s="505" t="s">
        <v>1992</v>
      </c>
      <c r="C283" s="506">
        <v>1</v>
      </c>
      <c r="D283" s="508" t="s">
        <v>1993</v>
      </c>
      <c r="E283" s="1009">
        <v>126.48</v>
      </c>
      <c r="F283" s="430">
        <f t="shared" si="67"/>
        <v>0.2</v>
      </c>
      <c r="G283" s="106">
        <f t="shared" si="69"/>
        <v>101.184</v>
      </c>
      <c r="H283" s="147"/>
      <c r="I283" s="163"/>
      <c r="J283" s="163"/>
      <c r="K283" s="503">
        <v>6</v>
      </c>
      <c r="L283" s="428">
        <v>0.05</v>
      </c>
      <c r="M283" s="624" t="s">
        <v>1223</v>
      </c>
      <c r="N283" s="158" t="s">
        <v>700</v>
      </c>
      <c r="O283" s="417" t="s">
        <v>1224</v>
      </c>
      <c r="P283" s="477" t="s">
        <v>1991</v>
      </c>
      <c r="Q283" s="505" t="s">
        <v>1992</v>
      </c>
      <c r="R283" s="506">
        <v>1</v>
      </c>
      <c r="S283" s="473" t="s">
        <v>1993</v>
      </c>
      <c r="T283" s="473" t="s">
        <v>1991</v>
      </c>
      <c r="U283" s="106">
        <v>126.48</v>
      </c>
      <c r="V283" s="430">
        <v>0.2</v>
      </c>
      <c r="W283" s="106">
        <v>101.184</v>
      </c>
      <c r="X283" s="147"/>
      <c r="Y283" s="163"/>
      <c r="Z283" s="163"/>
      <c r="AA283" s="503">
        <v>6</v>
      </c>
      <c r="AB283" s="428">
        <v>0.05</v>
      </c>
      <c r="AC283" s="41" t="s">
        <v>1223</v>
      </c>
      <c r="AD283" s="42" t="s">
        <v>700</v>
      </c>
      <c r="AE283" s="416" t="s">
        <v>1224</v>
      </c>
    </row>
    <row r="284" spans="1:31" s="1" customFormat="1">
      <c r="A284" s="477" t="s">
        <v>1994</v>
      </c>
      <c r="B284" s="505" t="s">
        <v>1995</v>
      </c>
      <c r="C284" s="506">
        <v>1</v>
      </c>
      <c r="D284" s="508" t="s">
        <v>1993</v>
      </c>
      <c r="E284" s="1009">
        <v>154.02000000000001</v>
      </c>
      <c r="F284" s="430">
        <f t="shared" si="67"/>
        <v>0.2</v>
      </c>
      <c r="G284" s="106">
        <f t="shared" si="69"/>
        <v>123.21600000000001</v>
      </c>
      <c r="H284" s="147"/>
      <c r="I284" s="163"/>
      <c r="J284" s="163"/>
      <c r="K284" s="503">
        <v>6</v>
      </c>
      <c r="L284" s="428">
        <v>0</v>
      </c>
      <c r="M284" s="624" t="s">
        <v>1223</v>
      </c>
      <c r="N284" s="158" t="s">
        <v>700</v>
      </c>
      <c r="O284" s="417" t="s">
        <v>1224</v>
      </c>
      <c r="P284" s="477" t="s">
        <v>1994</v>
      </c>
      <c r="Q284" s="505" t="s">
        <v>1995</v>
      </c>
      <c r="R284" s="506">
        <v>1</v>
      </c>
      <c r="S284" s="473" t="s">
        <v>1993</v>
      </c>
      <c r="T284" s="473" t="s">
        <v>1994</v>
      </c>
      <c r="U284" s="106">
        <v>154.02000000000001</v>
      </c>
      <c r="V284" s="430">
        <v>0.2</v>
      </c>
      <c r="W284" s="106">
        <v>123.21600000000001</v>
      </c>
      <c r="X284" s="147"/>
      <c r="Y284" s="163"/>
      <c r="Z284" s="163"/>
      <c r="AA284" s="503">
        <v>6</v>
      </c>
      <c r="AB284" s="428">
        <v>0</v>
      </c>
      <c r="AC284" s="41" t="s">
        <v>1223</v>
      </c>
      <c r="AD284" s="42" t="s">
        <v>700</v>
      </c>
      <c r="AE284" s="416" t="s">
        <v>1224</v>
      </c>
    </row>
    <row r="285" spans="1:31" s="1" customFormat="1">
      <c r="A285" s="477" t="s">
        <v>1996</v>
      </c>
      <c r="B285" s="505" t="s">
        <v>1997</v>
      </c>
      <c r="C285" s="506">
        <v>1</v>
      </c>
      <c r="D285" s="508" t="s">
        <v>1993</v>
      </c>
      <c r="E285" s="1009">
        <v>224.95</v>
      </c>
      <c r="F285" s="430">
        <f t="shared" si="67"/>
        <v>0.2</v>
      </c>
      <c r="G285" s="106">
        <f t="shared" si="69"/>
        <v>179.95999999999998</v>
      </c>
      <c r="H285" s="147"/>
      <c r="I285" s="163"/>
      <c r="J285" s="163"/>
      <c r="K285" s="503">
        <v>6</v>
      </c>
      <c r="L285" s="428">
        <v>0.05</v>
      </c>
      <c r="M285" s="624" t="s">
        <v>1223</v>
      </c>
      <c r="N285" s="158" t="s">
        <v>700</v>
      </c>
      <c r="O285" s="417" t="s">
        <v>1224</v>
      </c>
      <c r="P285" s="477" t="s">
        <v>1996</v>
      </c>
      <c r="Q285" s="505" t="s">
        <v>1997</v>
      </c>
      <c r="R285" s="506">
        <v>1</v>
      </c>
      <c r="S285" s="473" t="s">
        <v>1993</v>
      </c>
      <c r="T285" s="473" t="s">
        <v>1996</v>
      </c>
      <c r="U285" s="106">
        <v>224.95</v>
      </c>
      <c r="V285" s="430">
        <v>0.2</v>
      </c>
      <c r="W285" s="106">
        <v>179.95999999999998</v>
      </c>
      <c r="X285" s="147"/>
      <c r="Y285" s="163"/>
      <c r="Z285" s="163"/>
      <c r="AA285" s="503">
        <v>6</v>
      </c>
      <c r="AB285" s="428">
        <v>0.05</v>
      </c>
      <c r="AC285" s="41" t="s">
        <v>1223</v>
      </c>
      <c r="AD285" s="42" t="s">
        <v>700</v>
      </c>
      <c r="AE285" s="416" t="s">
        <v>1224</v>
      </c>
    </row>
    <row r="286" spans="1:31" s="1" customFormat="1">
      <c r="A286" s="477" t="s">
        <v>1998</v>
      </c>
      <c r="B286" s="505" t="s">
        <v>1999</v>
      </c>
      <c r="C286" s="506">
        <v>1</v>
      </c>
      <c r="D286" s="508" t="s">
        <v>1993</v>
      </c>
      <c r="E286" s="1009">
        <v>258.18</v>
      </c>
      <c r="F286" s="430">
        <f t="shared" si="67"/>
        <v>0.2</v>
      </c>
      <c r="G286" s="106">
        <f t="shared" si="69"/>
        <v>206.54400000000001</v>
      </c>
      <c r="H286" s="147"/>
      <c r="I286" s="163"/>
      <c r="J286" s="163"/>
      <c r="K286" s="503">
        <v>10</v>
      </c>
      <c r="L286" s="428">
        <v>0.05</v>
      </c>
      <c r="M286" s="624" t="s">
        <v>1223</v>
      </c>
      <c r="N286" s="158" t="s">
        <v>700</v>
      </c>
      <c r="O286" s="417" t="s">
        <v>1224</v>
      </c>
      <c r="P286" s="477" t="s">
        <v>1998</v>
      </c>
      <c r="Q286" s="505" t="s">
        <v>1999</v>
      </c>
      <c r="R286" s="506">
        <v>1</v>
      </c>
      <c r="S286" s="473" t="s">
        <v>1993</v>
      </c>
      <c r="T286" s="473" t="s">
        <v>1998</v>
      </c>
      <c r="U286" s="106">
        <v>258.18</v>
      </c>
      <c r="V286" s="430">
        <v>0.2</v>
      </c>
      <c r="W286" s="106">
        <v>206.54400000000001</v>
      </c>
      <c r="X286" s="147"/>
      <c r="Y286" s="163"/>
      <c r="Z286" s="163"/>
      <c r="AA286" s="503">
        <v>10</v>
      </c>
      <c r="AB286" s="428">
        <v>0.05</v>
      </c>
      <c r="AC286" s="41" t="s">
        <v>1223</v>
      </c>
      <c r="AD286" s="42" t="s">
        <v>700</v>
      </c>
      <c r="AE286" s="416" t="s">
        <v>1224</v>
      </c>
    </row>
    <row r="287" spans="1:31" s="1" customFormat="1">
      <c r="A287" s="477" t="s">
        <v>2000</v>
      </c>
      <c r="B287" s="505" t="s">
        <v>2001</v>
      </c>
      <c r="C287" s="506">
        <v>1</v>
      </c>
      <c r="D287" s="508" t="s">
        <v>1993</v>
      </c>
      <c r="E287" s="1009">
        <v>186.29</v>
      </c>
      <c r="F287" s="430">
        <f t="shared" si="67"/>
        <v>0.2</v>
      </c>
      <c r="G287" s="106">
        <f t="shared" si="69"/>
        <v>149.03199999999998</v>
      </c>
      <c r="H287" s="147"/>
      <c r="I287" s="163"/>
      <c r="J287" s="163"/>
      <c r="K287" s="503">
        <v>6</v>
      </c>
      <c r="L287" s="428">
        <v>0.05</v>
      </c>
      <c r="M287" s="624" t="s">
        <v>1223</v>
      </c>
      <c r="N287" s="158" t="s">
        <v>700</v>
      </c>
      <c r="O287" s="417" t="s">
        <v>1224</v>
      </c>
      <c r="P287" s="477" t="s">
        <v>2000</v>
      </c>
      <c r="Q287" s="505" t="s">
        <v>2001</v>
      </c>
      <c r="R287" s="506">
        <v>1</v>
      </c>
      <c r="S287" s="473" t="s">
        <v>1993</v>
      </c>
      <c r="T287" s="473" t="s">
        <v>2000</v>
      </c>
      <c r="U287" s="106">
        <v>186.29</v>
      </c>
      <c r="V287" s="430">
        <v>0.2</v>
      </c>
      <c r="W287" s="106">
        <v>149.03199999999998</v>
      </c>
      <c r="X287" s="147"/>
      <c r="Y287" s="163"/>
      <c r="Z287" s="163"/>
      <c r="AA287" s="503">
        <v>6</v>
      </c>
      <c r="AB287" s="428">
        <v>0.05</v>
      </c>
      <c r="AC287" s="41" t="s">
        <v>1223</v>
      </c>
      <c r="AD287" s="42" t="s">
        <v>700</v>
      </c>
      <c r="AE287" s="416" t="s">
        <v>1224</v>
      </c>
    </row>
    <row r="288" spans="1:31" s="1" customFormat="1">
      <c r="A288" s="477"/>
      <c r="B288" s="505"/>
      <c r="C288" s="506"/>
      <c r="D288" s="508"/>
      <c r="E288" s="1009"/>
      <c r="F288" s="430"/>
      <c r="G288" s="106"/>
      <c r="H288" s="147"/>
      <c r="I288" s="163"/>
      <c r="J288" s="163"/>
      <c r="K288" s="503"/>
      <c r="L288" s="428"/>
      <c r="M288" s="624"/>
      <c r="N288" s="158"/>
      <c r="O288" s="417"/>
      <c r="P288" s="650" t="s">
        <v>2002</v>
      </c>
      <c r="Q288" s="651" t="s">
        <v>2003</v>
      </c>
      <c r="R288" s="652">
        <v>1</v>
      </c>
      <c r="S288" s="653" t="s">
        <v>1993</v>
      </c>
      <c r="T288" s="653" t="s">
        <v>2002</v>
      </c>
      <c r="U288" s="654">
        <v>351.84</v>
      </c>
      <c r="V288" s="655">
        <v>0.2</v>
      </c>
      <c r="W288" s="654">
        <v>281.47199999999998</v>
      </c>
      <c r="X288" s="656"/>
      <c r="Y288" s="657"/>
      <c r="Z288" s="657"/>
      <c r="AA288" s="658">
        <v>6</v>
      </c>
      <c r="AB288" s="659">
        <v>0.05</v>
      </c>
      <c r="AC288" s="660" t="s">
        <v>1223</v>
      </c>
      <c r="AD288" s="661" t="s">
        <v>700</v>
      </c>
      <c r="AE288" s="662" t="s">
        <v>1224</v>
      </c>
    </row>
    <row r="289" spans="1:31" s="1" customFormat="1">
      <c r="A289" s="477">
        <v>9000298</v>
      </c>
      <c r="B289" s="505" t="s">
        <v>2004</v>
      </c>
      <c r="C289" s="506">
        <v>1</v>
      </c>
      <c r="D289" s="508" t="s">
        <v>1993</v>
      </c>
      <c r="E289" s="1009">
        <v>148.22999999999999</v>
      </c>
      <c r="F289" s="430">
        <f t="shared" si="67"/>
        <v>0.2</v>
      </c>
      <c r="G289" s="106">
        <f>E289-(E289*F289)</f>
        <v>118.58399999999999</v>
      </c>
      <c r="H289" s="147"/>
      <c r="I289" s="163"/>
      <c r="J289" s="163"/>
      <c r="K289" s="503">
        <v>6</v>
      </c>
      <c r="L289" s="428">
        <v>0.05</v>
      </c>
      <c r="M289" s="624" t="s">
        <v>1223</v>
      </c>
      <c r="N289" s="158" t="s">
        <v>700</v>
      </c>
      <c r="O289" s="417" t="s">
        <v>1224</v>
      </c>
      <c r="P289" s="477">
        <v>9000298</v>
      </c>
      <c r="Q289" s="505" t="s">
        <v>2004</v>
      </c>
      <c r="R289" s="506">
        <v>1</v>
      </c>
      <c r="S289" s="473" t="s">
        <v>1993</v>
      </c>
      <c r="T289" s="473">
        <v>9000298</v>
      </c>
      <c r="U289" s="106">
        <v>148.22999999999999</v>
      </c>
      <c r="V289" s="430">
        <v>0.2</v>
      </c>
      <c r="W289" s="106">
        <v>118.58399999999999</v>
      </c>
      <c r="X289" s="147"/>
      <c r="Y289" s="163"/>
      <c r="Z289" s="163"/>
      <c r="AA289" s="503">
        <v>6</v>
      </c>
      <c r="AB289" s="428">
        <v>0.05</v>
      </c>
      <c r="AC289" s="41" t="s">
        <v>1223</v>
      </c>
      <c r="AD289" s="42" t="s">
        <v>700</v>
      </c>
      <c r="AE289" s="416" t="s">
        <v>1224</v>
      </c>
    </row>
    <row r="290" spans="1:31" s="1" customFormat="1">
      <c r="A290" s="477" t="s">
        <v>2039</v>
      </c>
      <c r="B290" s="505" t="s">
        <v>2040</v>
      </c>
      <c r="C290" s="506">
        <v>1</v>
      </c>
      <c r="D290" s="508" t="s">
        <v>1993</v>
      </c>
      <c r="E290" s="1019">
        <v>109.99</v>
      </c>
      <c r="F290" s="430">
        <f t="shared" si="67"/>
        <v>0.2</v>
      </c>
      <c r="G290" s="648">
        <f>E290-(E290*F290)</f>
        <v>87.99199999999999</v>
      </c>
      <c r="H290" s="147"/>
      <c r="I290" s="163"/>
      <c r="J290" s="428"/>
      <c r="K290" s="503">
        <v>6</v>
      </c>
      <c r="L290" s="428">
        <v>0.05</v>
      </c>
      <c r="M290" s="624" t="s">
        <v>1223</v>
      </c>
      <c r="N290" s="158" t="s">
        <v>700</v>
      </c>
      <c r="O290" s="417" t="s">
        <v>1224</v>
      </c>
      <c r="P290" s="477" t="s">
        <v>2039</v>
      </c>
      <c r="Q290" s="505" t="s">
        <v>2040</v>
      </c>
      <c r="R290" s="506">
        <v>1</v>
      </c>
      <c r="S290" s="473" t="s">
        <v>1993</v>
      </c>
      <c r="T290" s="473" t="s">
        <v>2039</v>
      </c>
      <c r="U290" s="654">
        <v>83.33</v>
      </c>
      <c r="V290" s="430">
        <v>0.2</v>
      </c>
      <c r="W290" s="654">
        <v>66.664000000000001</v>
      </c>
      <c r="X290" s="147"/>
      <c r="Y290" s="163"/>
      <c r="Z290" s="428"/>
      <c r="AA290" s="503">
        <v>6</v>
      </c>
      <c r="AB290" s="428">
        <v>0.05</v>
      </c>
      <c r="AC290" s="41" t="s">
        <v>1223</v>
      </c>
      <c r="AD290" s="42" t="s">
        <v>700</v>
      </c>
      <c r="AE290" s="416" t="s">
        <v>1224</v>
      </c>
    </row>
    <row r="291" spans="1:31" s="1" customFormat="1">
      <c r="A291" s="477" t="s">
        <v>2041</v>
      </c>
      <c r="B291" s="505" t="s">
        <v>2042</v>
      </c>
      <c r="C291" s="506">
        <v>1</v>
      </c>
      <c r="D291" s="508" t="s">
        <v>1993</v>
      </c>
      <c r="E291" s="1019">
        <v>149.99</v>
      </c>
      <c r="F291" s="430">
        <f>rv_20</f>
        <v>0.2</v>
      </c>
      <c r="G291" s="648">
        <f>E291-(E291*F291)</f>
        <v>119.992</v>
      </c>
      <c r="H291" s="147"/>
      <c r="I291" s="163"/>
      <c r="J291" s="428"/>
      <c r="K291" s="503">
        <v>6</v>
      </c>
      <c r="L291" s="428">
        <v>0.05</v>
      </c>
      <c r="M291" s="624" t="s">
        <v>1223</v>
      </c>
      <c r="N291" s="158" t="s">
        <v>700</v>
      </c>
      <c r="O291" s="417" t="s">
        <v>1224</v>
      </c>
      <c r="P291" s="477" t="s">
        <v>2041</v>
      </c>
      <c r="Q291" s="505" t="s">
        <v>2042</v>
      </c>
      <c r="R291" s="506">
        <v>1</v>
      </c>
      <c r="S291" s="473" t="s">
        <v>1993</v>
      </c>
      <c r="T291" s="473" t="s">
        <v>2041</v>
      </c>
      <c r="U291" s="654">
        <v>108.33</v>
      </c>
      <c r="V291" s="430">
        <v>0.2</v>
      </c>
      <c r="W291" s="654">
        <v>86.664000000000001</v>
      </c>
      <c r="X291" s="147"/>
      <c r="Y291" s="163"/>
      <c r="Z291" s="428"/>
      <c r="AA291" s="503">
        <v>6</v>
      </c>
      <c r="AB291" s="428">
        <v>0.05</v>
      </c>
      <c r="AC291" s="41" t="s">
        <v>1223</v>
      </c>
      <c r="AD291" s="42" t="s">
        <v>700</v>
      </c>
      <c r="AE291" s="416" t="s">
        <v>1224</v>
      </c>
    </row>
    <row r="292" spans="1:31" s="1" customFormat="1">
      <c r="A292" s="477" t="s">
        <v>2043</v>
      </c>
      <c r="B292" s="505" t="s">
        <v>2044</v>
      </c>
      <c r="C292" s="506">
        <v>1</v>
      </c>
      <c r="D292" s="508" t="s">
        <v>1993</v>
      </c>
      <c r="E292" s="1019">
        <v>210.99</v>
      </c>
      <c r="F292" s="430">
        <f t="shared" si="67"/>
        <v>0.2</v>
      </c>
      <c r="G292" s="648">
        <f>E292-(E292*F292)</f>
        <v>168.792</v>
      </c>
      <c r="H292" s="147"/>
      <c r="I292" s="163"/>
      <c r="J292" s="428"/>
      <c r="K292" s="503">
        <v>6</v>
      </c>
      <c r="L292" s="428">
        <v>0.05</v>
      </c>
      <c r="M292" s="624" t="s">
        <v>1223</v>
      </c>
      <c r="N292" s="158" t="s">
        <v>700</v>
      </c>
      <c r="O292" s="417" t="s">
        <v>1224</v>
      </c>
      <c r="P292" s="477" t="s">
        <v>2043</v>
      </c>
      <c r="Q292" s="505" t="s">
        <v>2044</v>
      </c>
      <c r="R292" s="506">
        <v>1</v>
      </c>
      <c r="S292" s="473" t="s">
        <v>1993</v>
      </c>
      <c r="T292" s="473" t="s">
        <v>2043</v>
      </c>
      <c r="U292" s="654">
        <v>154.16</v>
      </c>
      <c r="V292" s="430">
        <v>0.2</v>
      </c>
      <c r="W292" s="654">
        <v>123.328</v>
      </c>
      <c r="X292" s="147"/>
      <c r="Y292" s="163"/>
      <c r="Z292" s="428"/>
      <c r="AA292" s="503">
        <v>6</v>
      </c>
      <c r="AB292" s="428">
        <v>0.05</v>
      </c>
      <c r="AC292" s="41" t="s">
        <v>1223</v>
      </c>
      <c r="AD292" s="42" t="s">
        <v>700</v>
      </c>
      <c r="AE292" s="416" t="s">
        <v>1224</v>
      </c>
    </row>
    <row r="293" spans="1:31" s="1" customFormat="1">
      <c r="A293" s="477" t="s">
        <v>2045</v>
      </c>
      <c r="B293" s="505" t="s">
        <v>2046</v>
      </c>
      <c r="C293" s="506">
        <v>1</v>
      </c>
      <c r="D293" s="508" t="s">
        <v>1993</v>
      </c>
      <c r="E293" s="1019">
        <v>229.98</v>
      </c>
      <c r="F293" s="430">
        <f t="shared" si="67"/>
        <v>0.2</v>
      </c>
      <c r="G293" s="648">
        <f t="shared" ref="G293" si="70">E293-(E293*F293)</f>
        <v>183.98399999999998</v>
      </c>
      <c r="H293" s="147"/>
      <c r="I293" s="163"/>
      <c r="J293" s="428"/>
      <c r="K293" s="646">
        <v>10</v>
      </c>
      <c r="L293" s="428">
        <v>0.05</v>
      </c>
      <c r="M293" s="624" t="s">
        <v>1223</v>
      </c>
      <c r="N293" s="158" t="s">
        <v>700</v>
      </c>
      <c r="O293" s="417" t="s">
        <v>1224</v>
      </c>
      <c r="P293" s="477" t="s">
        <v>2045</v>
      </c>
      <c r="Q293" s="505" t="s">
        <v>2046</v>
      </c>
      <c r="R293" s="506">
        <v>1</v>
      </c>
      <c r="S293" s="473" t="s">
        <v>1993</v>
      </c>
      <c r="T293" s="473" t="s">
        <v>2045</v>
      </c>
      <c r="U293" s="654">
        <v>174.99</v>
      </c>
      <c r="V293" s="430">
        <v>0.2</v>
      </c>
      <c r="W293" s="654">
        <v>139.99200000000002</v>
      </c>
      <c r="X293" s="147"/>
      <c r="Y293" s="163"/>
      <c r="Z293" s="428"/>
      <c r="AA293" s="658">
        <v>6</v>
      </c>
      <c r="AB293" s="428">
        <v>0.05</v>
      </c>
      <c r="AC293" s="41" t="s">
        <v>1223</v>
      </c>
      <c r="AD293" s="42" t="s">
        <v>700</v>
      </c>
      <c r="AE293" s="416" t="s">
        <v>1224</v>
      </c>
    </row>
    <row r="294" spans="1:31" s="1" customFormat="1">
      <c r="A294" s="477" t="s">
        <v>2025</v>
      </c>
      <c r="B294" s="505" t="s">
        <v>2026</v>
      </c>
      <c r="C294" s="506">
        <v>1</v>
      </c>
      <c r="D294" s="508" t="s">
        <v>1993</v>
      </c>
      <c r="E294" s="1009">
        <v>343.89</v>
      </c>
      <c r="F294" s="430">
        <f t="shared" si="67"/>
        <v>0.2</v>
      </c>
      <c r="G294" s="106">
        <f>E294-(E294*F294)</f>
        <v>275.11199999999997</v>
      </c>
      <c r="H294" s="147"/>
      <c r="I294" s="163"/>
      <c r="J294" s="163"/>
      <c r="K294" s="503">
        <v>0</v>
      </c>
      <c r="L294" s="428">
        <v>0</v>
      </c>
      <c r="M294" s="624" t="s">
        <v>1223</v>
      </c>
      <c r="N294" s="158" t="s">
        <v>700</v>
      </c>
      <c r="O294" s="417" t="s">
        <v>1224</v>
      </c>
      <c r="P294" s="477" t="s">
        <v>2025</v>
      </c>
      <c r="Q294" s="505" t="s">
        <v>2026</v>
      </c>
      <c r="R294" s="506">
        <v>1</v>
      </c>
      <c r="S294" s="473" t="s">
        <v>1993</v>
      </c>
      <c r="T294" s="473" t="s">
        <v>2025</v>
      </c>
      <c r="U294" s="106">
        <v>343.89</v>
      </c>
      <c r="V294" s="430">
        <v>0.2</v>
      </c>
      <c r="W294" s="106">
        <v>275.11199999999997</v>
      </c>
      <c r="X294" s="147"/>
      <c r="Y294" s="163"/>
      <c r="Z294" s="163"/>
      <c r="AA294" s="503">
        <v>0</v>
      </c>
      <c r="AB294" s="428">
        <v>0</v>
      </c>
      <c r="AC294" s="41" t="s">
        <v>1223</v>
      </c>
      <c r="AD294" s="42" t="s">
        <v>700</v>
      </c>
      <c r="AE294" s="416" t="s">
        <v>1224</v>
      </c>
    </row>
    <row r="295" spans="1:31" s="1" customFormat="1">
      <c r="A295" s="477" t="s">
        <v>2027</v>
      </c>
      <c r="B295" s="505" t="s">
        <v>2028</v>
      </c>
      <c r="C295" s="506">
        <v>1</v>
      </c>
      <c r="D295" s="508" t="s">
        <v>1993</v>
      </c>
      <c r="E295" s="1009">
        <v>408.91</v>
      </c>
      <c r="F295" s="430">
        <f t="shared" si="67"/>
        <v>0.2</v>
      </c>
      <c r="G295" s="106">
        <f>E295-(E295*F295)</f>
        <v>327.12800000000004</v>
      </c>
      <c r="H295" s="147"/>
      <c r="I295" s="163"/>
      <c r="J295" s="163"/>
      <c r="K295" s="503">
        <v>15</v>
      </c>
      <c r="L295" s="428">
        <v>0.2</v>
      </c>
      <c r="M295" s="624" t="s">
        <v>1223</v>
      </c>
      <c r="N295" s="158" t="s">
        <v>700</v>
      </c>
      <c r="O295" s="417" t="s">
        <v>1224</v>
      </c>
      <c r="P295" s="477" t="s">
        <v>2027</v>
      </c>
      <c r="Q295" s="505" t="s">
        <v>2028</v>
      </c>
      <c r="R295" s="506">
        <v>1</v>
      </c>
      <c r="S295" s="473" t="s">
        <v>1993</v>
      </c>
      <c r="T295" s="473" t="s">
        <v>2027</v>
      </c>
      <c r="U295" s="106">
        <v>408.91</v>
      </c>
      <c r="V295" s="430">
        <v>0.2</v>
      </c>
      <c r="W295" s="106">
        <v>327.12800000000004</v>
      </c>
      <c r="X295" s="147"/>
      <c r="Y295" s="163"/>
      <c r="Z295" s="163"/>
      <c r="AA295" s="503">
        <v>15</v>
      </c>
      <c r="AB295" s="428">
        <v>0.2</v>
      </c>
      <c r="AC295" s="41" t="s">
        <v>1223</v>
      </c>
      <c r="AD295" s="42" t="s">
        <v>700</v>
      </c>
      <c r="AE295" s="416" t="s">
        <v>1224</v>
      </c>
    </row>
    <row r="296" spans="1:31" s="1" customFormat="1">
      <c r="A296" s="477" t="s">
        <v>2005</v>
      </c>
      <c r="B296" s="505" t="s">
        <v>2006</v>
      </c>
      <c r="C296" s="506">
        <v>1</v>
      </c>
      <c r="D296" s="508" t="s">
        <v>1993</v>
      </c>
      <c r="E296" s="1021">
        <v>1179.9000000000001</v>
      </c>
      <c r="F296" s="430">
        <f t="shared" si="67"/>
        <v>0.2</v>
      </c>
      <c r="G296" s="106">
        <f>E296-(E296*F296)</f>
        <v>943.92000000000007</v>
      </c>
      <c r="H296" s="147"/>
      <c r="I296" s="163"/>
      <c r="J296" s="163"/>
      <c r="K296" s="503">
        <v>15</v>
      </c>
      <c r="L296" s="428">
        <v>0</v>
      </c>
      <c r="M296" s="624" t="s">
        <v>1223</v>
      </c>
      <c r="N296" s="158" t="s">
        <v>700</v>
      </c>
      <c r="O296" s="417" t="s">
        <v>1224</v>
      </c>
      <c r="P296" s="477" t="s">
        <v>2005</v>
      </c>
      <c r="Q296" s="505" t="s">
        <v>2006</v>
      </c>
      <c r="R296" s="506">
        <v>1</v>
      </c>
      <c r="S296" s="473" t="s">
        <v>1993</v>
      </c>
      <c r="T296" s="473" t="s">
        <v>2005</v>
      </c>
      <c r="U296" s="572">
        <v>1179.9000000000001</v>
      </c>
      <c r="V296" s="430">
        <v>0.2</v>
      </c>
      <c r="W296" s="106">
        <v>943.92000000000007</v>
      </c>
      <c r="X296" s="147"/>
      <c r="Y296" s="163"/>
      <c r="Z296" s="163"/>
      <c r="AA296" s="503">
        <v>15</v>
      </c>
      <c r="AB296" s="428">
        <v>0</v>
      </c>
      <c r="AC296" s="41" t="s">
        <v>1223</v>
      </c>
      <c r="AD296" s="42" t="s">
        <v>700</v>
      </c>
      <c r="AE296" s="416" t="s">
        <v>1224</v>
      </c>
    </row>
    <row r="297" spans="1:31" s="1" customFormat="1">
      <c r="A297" s="477" t="s">
        <v>2007</v>
      </c>
      <c r="B297" s="505" t="s">
        <v>2008</v>
      </c>
      <c r="C297" s="506">
        <v>1</v>
      </c>
      <c r="D297" s="508" t="s">
        <v>1993</v>
      </c>
      <c r="E297" s="1021">
        <v>1429.95</v>
      </c>
      <c r="F297" s="430">
        <f t="shared" si="67"/>
        <v>0.2</v>
      </c>
      <c r="G297" s="106">
        <f t="shared" ref="G297" si="71">E297-(E297*F297)</f>
        <v>1143.96</v>
      </c>
      <c r="H297" s="147"/>
      <c r="I297" s="163"/>
      <c r="J297" s="163"/>
      <c r="K297" s="503">
        <v>15</v>
      </c>
      <c r="L297" s="428">
        <v>0</v>
      </c>
      <c r="M297" s="624" t="s">
        <v>1223</v>
      </c>
      <c r="N297" s="158" t="s">
        <v>700</v>
      </c>
      <c r="O297" s="417" t="s">
        <v>1224</v>
      </c>
      <c r="P297" s="477" t="s">
        <v>2007</v>
      </c>
      <c r="Q297" s="505" t="s">
        <v>2008</v>
      </c>
      <c r="R297" s="506">
        <v>1</v>
      </c>
      <c r="S297" s="473" t="s">
        <v>1993</v>
      </c>
      <c r="T297" s="473" t="s">
        <v>2007</v>
      </c>
      <c r="U297" s="572">
        <v>1429.95</v>
      </c>
      <c r="V297" s="430">
        <v>0.2</v>
      </c>
      <c r="W297" s="106">
        <v>1143.96</v>
      </c>
      <c r="X297" s="147"/>
      <c r="Y297" s="163"/>
      <c r="Z297" s="163"/>
      <c r="AA297" s="503">
        <v>15</v>
      </c>
      <c r="AB297" s="428">
        <v>0</v>
      </c>
      <c r="AC297" s="41" t="s">
        <v>1223</v>
      </c>
      <c r="AD297" s="42" t="s">
        <v>700</v>
      </c>
      <c r="AE297" s="416" t="s">
        <v>1224</v>
      </c>
    </row>
    <row r="298" spans="1:31" s="1" customFormat="1">
      <c r="A298" s="477" t="s">
        <v>2009</v>
      </c>
      <c r="B298" s="505" t="s">
        <v>2010</v>
      </c>
      <c r="C298" s="506">
        <v>1</v>
      </c>
      <c r="D298" s="508" t="s">
        <v>1993</v>
      </c>
      <c r="E298" s="1021">
        <v>1899.26</v>
      </c>
      <c r="F298" s="430">
        <f t="shared" si="67"/>
        <v>0.2</v>
      </c>
      <c r="G298" s="106">
        <f>E298-(E298*F298)</f>
        <v>1519.4079999999999</v>
      </c>
      <c r="H298" s="147"/>
      <c r="I298" s="163"/>
      <c r="J298" s="163"/>
      <c r="K298" s="503">
        <v>15</v>
      </c>
      <c r="L298" s="428">
        <v>0</v>
      </c>
      <c r="M298" s="624" t="s">
        <v>1223</v>
      </c>
      <c r="N298" s="158" t="s">
        <v>700</v>
      </c>
      <c r="O298" s="417" t="s">
        <v>1224</v>
      </c>
      <c r="P298" s="477" t="s">
        <v>2009</v>
      </c>
      <c r="Q298" s="505" t="s">
        <v>2010</v>
      </c>
      <c r="R298" s="506">
        <v>1</v>
      </c>
      <c r="S298" s="473" t="s">
        <v>1993</v>
      </c>
      <c r="T298" s="473" t="s">
        <v>2009</v>
      </c>
      <c r="U298" s="572">
        <v>1899.26</v>
      </c>
      <c r="V298" s="430">
        <v>0.2</v>
      </c>
      <c r="W298" s="106">
        <v>1519.4079999999999</v>
      </c>
      <c r="X298" s="147"/>
      <c r="Y298" s="163"/>
      <c r="Z298" s="163"/>
      <c r="AA298" s="503">
        <v>15</v>
      </c>
      <c r="AB298" s="428">
        <v>0</v>
      </c>
      <c r="AC298" s="41" t="s">
        <v>1223</v>
      </c>
      <c r="AD298" s="42" t="s">
        <v>700</v>
      </c>
      <c r="AE298" s="416" t="s">
        <v>1224</v>
      </c>
    </row>
    <row r="299" spans="1:31" s="1" customFormat="1">
      <c r="A299" s="477" t="s">
        <v>2011</v>
      </c>
      <c r="B299" s="505" t="s">
        <v>2012</v>
      </c>
      <c r="C299" s="506">
        <v>1</v>
      </c>
      <c r="D299" s="508" t="s">
        <v>1993</v>
      </c>
      <c r="E299" s="1021">
        <v>2090</v>
      </c>
      <c r="F299" s="430">
        <f t="shared" si="67"/>
        <v>0.2</v>
      </c>
      <c r="G299" s="106">
        <f t="shared" ref="G299:G301" si="72">E299-(E299*F299)</f>
        <v>1672</v>
      </c>
      <c r="H299" s="147"/>
      <c r="I299" s="163"/>
      <c r="J299" s="163"/>
      <c r="K299" s="503">
        <v>15</v>
      </c>
      <c r="L299" s="428">
        <v>0</v>
      </c>
      <c r="M299" s="624" t="s">
        <v>1223</v>
      </c>
      <c r="N299" s="158" t="s">
        <v>700</v>
      </c>
      <c r="O299" s="417" t="s">
        <v>1224</v>
      </c>
      <c r="P299" s="477" t="s">
        <v>2011</v>
      </c>
      <c r="Q299" s="505" t="s">
        <v>2012</v>
      </c>
      <c r="R299" s="506">
        <v>1</v>
      </c>
      <c r="S299" s="473" t="s">
        <v>1993</v>
      </c>
      <c r="T299" s="473" t="s">
        <v>2011</v>
      </c>
      <c r="U299" s="572">
        <v>2090</v>
      </c>
      <c r="V299" s="430">
        <v>0.2</v>
      </c>
      <c r="W299" s="106">
        <v>1672</v>
      </c>
      <c r="X299" s="147"/>
      <c r="Y299" s="163"/>
      <c r="Z299" s="163"/>
      <c r="AA299" s="503">
        <v>15</v>
      </c>
      <c r="AB299" s="428">
        <v>0</v>
      </c>
      <c r="AC299" s="41" t="s">
        <v>1223</v>
      </c>
      <c r="AD299" s="42" t="s">
        <v>700</v>
      </c>
      <c r="AE299" s="416" t="s">
        <v>1224</v>
      </c>
    </row>
    <row r="300" spans="1:31" s="1" customFormat="1">
      <c r="A300" s="477" t="s">
        <v>2013</v>
      </c>
      <c r="B300" s="505" t="s">
        <v>2014</v>
      </c>
      <c r="C300" s="506">
        <v>1</v>
      </c>
      <c r="D300" s="508" t="s">
        <v>1993</v>
      </c>
      <c r="E300" s="1021">
        <v>2250.2600000000002</v>
      </c>
      <c r="F300" s="430">
        <f t="shared" si="67"/>
        <v>0.2</v>
      </c>
      <c r="G300" s="106">
        <f t="shared" si="72"/>
        <v>1800.2080000000001</v>
      </c>
      <c r="H300" s="147"/>
      <c r="I300" s="163"/>
      <c r="J300" s="163"/>
      <c r="K300" s="503">
        <v>15</v>
      </c>
      <c r="L300" s="428">
        <v>0</v>
      </c>
      <c r="M300" s="624" t="s">
        <v>1223</v>
      </c>
      <c r="N300" s="158" t="s">
        <v>700</v>
      </c>
      <c r="O300" s="417" t="s">
        <v>1224</v>
      </c>
      <c r="P300" s="477" t="s">
        <v>2013</v>
      </c>
      <c r="Q300" s="505" t="s">
        <v>2014</v>
      </c>
      <c r="R300" s="506">
        <v>1</v>
      </c>
      <c r="S300" s="473" t="s">
        <v>1993</v>
      </c>
      <c r="T300" s="473" t="s">
        <v>2013</v>
      </c>
      <c r="U300" s="572">
        <v>2250.2600000000002</v>
      </c>
      <c r="V300" s="430">
        <v>0.2</v>
      </c>
      <c r="W300" s="106">
        <v>1800.2080000000001</v>
      </c>
      <c r="X300" s="147"/>
      <c r="Y300" s="163"/>
      <c r="Z300" s="163"/>
      <c r="AA300" s="503">
        <v>15</v>
      </c>
      <c r="AB300" s="428">
        <v>0</v>
      </c>
      <c r="AC300" s="41" t="s">
        <v>1223</v>
      </c>
      <c r="AD300" s="42" t="s">
        <v>700</v>
      </c>
      <c r="AE300" s="416" t="s">
        <v>1224</v>
      </c>
    </row>
    <row r="301" spans="1:31" s="1" customFormat="1">
      <c r="A301" s="477" t="s">
        <v>2015</v>
      </c>
      <c r="B301" s="505" t="s">
        <v>2016</v>
      </c>
      <c r="C301" s="506">
        <v>1</v>
      </c>
      <c r="D301" s="508" t="s">
        <v>1993</v>
      </c>
      <c r="E301" s="1021">
        <v>2650</v>
      </c>
      <c r="F301" s="430">
        <f t="shared" si="67"/>
        <v>0.2</v>
      </c>
      <c r="G301" s="106">
        <f t="shared" si="72"/>
        <v>2120</v>
      </c>
      <c r="H301" s="147"/>
      <c r="I301" s="163"/>
      <c r="J301" s="163"/>
      <c r="K301" s="503">
        <v>15</v>
      </c>
      <c r="L301" s="428">
        <v>0</v>
      </c>
      <c r="M301" s="624" t="s">
        <v>1223</v>
      </c>
      <c r="N301" s="158" t="s">
        <v>700</v>
      </c>
      <c r="O301" s="417" t="s">
        <v>1224</v>
      </c>
      <c r="P301" s="477" t="s">
        <v>2015</v>
      </c>
      <c r="Q301" s="505" t="s">
        <v>2016</v>
      </c>
      <c r="R301" s="506">
        <v>1</v>
      </c>
      <c r="S301" s="473" t="s">
        <v>1993</v>
      </c>
      <c r="T301" s="473" t="s">
        <v>2015</v>
      </c>
      <c r="U301" s="572">
        <v>2650</v>
      </c>
      <c r="V301" s="430">
        <v>0.2</v>
      </c>
      <c r="W301" s="106">
        <v>2120</v>
      </c>
      <c r="X301" s="147"/>
      <c r="Y301" s="163"/>
      <c r="Z301" s="163"/>
      <c r="AA301" s="503">
        <v>15</v>
      </c>
      <c r="AB301" s="428">
        <v>0</v>
      </c>
      <c r="AC301" s="41" t="s">
        <v>1223</v>
      </c>
      <c r="AD301" s="42" t="s">
        <v>700</v>
      </c>
      <c r="AE301" s="416" t="s">
        <v>1224</v>
      </c>
    </row>
    <row r="302" spans="1:31" s="90" customFormat="1">
      <c r="A302" s="510" t="s">
        <v>2017</v>
      </c>
      <c r="B302" s="529" t="s">
        <v>2018</v>
      </c>
      <c r="C302" s="512">
        <v>1</v>
      </c>
      <c r="D302" s="517" t="s">
        <v>1993</v>
      </c>
      <c r="E302" s="1010">
        <v>144.84</v>
      </c>
      <c r="F302" s="514">
        <f t="shared" si="67"/>
        <v>0.2</v>
      </c>
      <c r="G302" s="515">
        <f t="shared" si="69"/>
        <v>115.872</v>
      </c>
      <c r="H302" s="531"/>
      <c r="I302" s="532"/>
      <c r="J302" s="532"/>
      <c r="K302" s="503">
        <v>6</v>
      </c>
      <c r="L302" s="428">
        <v>0.02</v>
      </c>
      <c r="M302" s="624" t="s">
        <v>1223</v>
      </c>
      <c r="N302" s="158" t="s">
        <v>700</v>
      </c>
      <c r="O302" s="417" t="s">
        <v>1224</v>
      </c>
      <c r="P302" s="510" t="s">
        <v>2017</v>
      </c>
      <c r="Q302" s="529" t="s">
        <v>2018</v>
      </c>
      <c r="R302" s="512">
        <v>1</v>
      </c>
      <c r="S302" s="517" t="s">
        <v>1993</v>
      </c>
      <c r="T302" s="517" t="s">
        <v>2017</v>
      </c>
      <c r="U302" s="513">
        <v>144.84</v>
      </c>
      <c r="V302" s="514">
        <v>0.2</v>
      </c>
      <c r="W302" s="515">
        <v>115.872</v>
      </c>
      <c r="X302" s="531"/>
      <c r="Y302" s="532"/>
      <c r="Z302" s="532"/>
      <c r="AA302" s="503">
        <v>6</v>
      </c>
      <c r="AB302" s="428">
        <v>0.02</v>
      </c>
      <c r="AC302" s="41" t="s">
        <v>1223</v>
      </c>
      <c r="AD302" s="42" t="s">
        <v>700</v>
      </c>
      <c r="AE302" s="416" t="s">
        <v>1224</v>
      </c>
    </row>
    <row r="303" spans="1:31" s="90" customFormat="1">
      <c r="A303" s="477" t="s">
        <v>2019</v>
      </c>
      <c r="B303" s="505" t="s">
        <v>2020</v>
      </c>
      <c r="C303" s="506">
        <v>1</v>
      </c>
      <c r="D303" s="508" t="s">
        <v>1993</v>
      </c>
      <c r="E303" s="1009">
        <v>288</v>
      </c>
      <c r="F303" s="430">
        <f t="shared" si="67"/>
        <v>0.2</v>
      </c>
      <c r="G303" s="106">
        <f t="shared" ref="G303" si="73">E303-(E303*F303)</f>
        <v>230.4</v>
      </c>
      <c r="H303" s="531"/>
      <c r="I303" s="532"/>
      <c r="J303" s="532"/>
      <c r="K303" s="503">
        <v>6</v>
      </c>
      <c r="L303" s="428">
        <v>0</v>
      </c>
      <c r="M303" s="624" t="s">
        <v>1223</v>
      </c>
      <c r="N303" s="158" t="s">
        <v>700</v>
      </c>
      <c r="O303" s="417" t="s">
        <v>1224</v>
      </c>
      <c r="P303" s="477" t="s">
        <v>2019</v>
      </c>
      <c r="Q303" s="505" t="s">
        <v>2020</v>
      </c>
      <c r="R303" s="506">
        <v>1</v>
      </c>
      <c r="S303" s="508" t="s">
        <v>1993</v>
      </c>
      <c r="T303" s="508" t="s">
        <v>2019</v>
      </c>
      <c r="U303" s="428">
        <v>288</v>
      </c>
      <c r="V303" s="430">
        <v>0.2</v>
      </c>
      <c r="W303" s="106">
        <v>230.4</v>
      </c>
      <c r="X303" s="531"/>
      <c r="Y303" s="532"/>
      <c r="Z303" s="532"/>
      <c r="AA303" s="503">
        <v>6</v>
      </c>
      <c r="AB303" s="428">
        <v>0</v>
      </c>
      <c r="AC303" s="41" t="s">
        <v>1223</v>
      </c>
      <c r="AD303" s="42" t="s">
        <v>700</v>
      </c>
      <c r="AE303" s="416" t="s">
        <v>1224</v>
      </c>
    </row>
    <row r="304" spans="1:31" s="90" customFormat="1">
      <c r="A304" s="510" t="s">
        <v>2021</v>
      </c>
      <c r="B304" s="529" t="s">
        <v>2022</v>
      </c>
      <c r="C304" s="512">
        <v>1</v>
      </c>
      <c r="D304" s="517" t="s">
        <v>1993</v>
      </c>
      <c r="E304" s="1010">
        <v>378.68</v>
      </c>
      <c r="F304" s="514">
        <f t="shared" si="67"/>
        <v>0.2</v>
      </c>
      <c r="G304" s="515">
        <f t="shared" si="69"/>
        <v>302.94400000000002</v>
      </c>
      <c r="H304" s="531"/>
      <c r="I304" s="532"/>
      <c r="J304" s="532"/>
      <c r="K304" s="503">
        <v>6</v>
      </c>
      <c r="L304" s="428">
        <v>0.3</v>
      </c>
      <c r="M304" s="624" t="s">
        <v>1223</v>
      </c>
      <c r="N304" s="158" t="s">
        <v>700</v>
      </c>
      <c r="O304" s="417" t="s">
        <v>1224</v>
      </c>
      <c r="P304" s="510" t="s">
        <v>2021</v>
      </c>
      <c r="Q304" s="529" t="s">
        <v>2022</v>
      </c>
      <c r="R304" s="512">
        <v>1</v>
      </c>
      <c r="S304" s="518" t="s">
        <v>1993</v>
      </c>
      <c r="T304" s="518" t="s">
        <v>2021</v>
      </c>
      <c r="U304" s="515">
        <v>378.68</v>
      </c>
      <c r="V304" s="514">
        <v>0.2</v>
      </c>
      <c r="W304" s="515">
        <v>302.94400000000002</v>
      </c>
      <c r="X304" s="531"/>
      <c r="Y304" s="532"/>
      <c r="Z304" s="532"/>
      <c r="AA304" s="503">
        <v>6</v>
      </c>
      <c r="AB304" s="428">
        <v>0.3</v>
      </c>
      <c r="AC304" s="41" t="s">
        <v>1223</v>
      </c>
      <c r="AD304" s="42" t="s">
        <v>700</v>
      </c>
      <c r="AE304" s="416" t="s">
        <v>1224</v>
      </c>
    </row>
    <row r="305" spans="1:31" s="1" customFormat="1">
      <c r="A305" s="477"/>
      <c r="B305" s="505"/>
      <c r="C305" s="506"/>
      <c r="D305" s="508"/>
      <c r="E305" s="1009"/>
      <c r="F305" s="430"/>
      <c r="G305" s="106"/>
      <c r="H305" s="147"/>
      <c r="I305" s="163"/>
      <c r="J305" s="163"/>
      <c r="K305" s="503"/>
      <c r="L305" s="428"/>
      <c r="M305" s="624"/>
      <c r="N305" s="158"/>
      <c r="O305" s="417"/>
      <c r="P305" s="650" t="s">
        <v>2023</v>
      </c>
      <c r="Q305" s="651" t="s">
        <v>2024</v>
      </c>
      <c r="R305" s="652">
        <v>1</v>
      </c>
      <c r="S305" s="653" t="s">
        <v>1993</v>
      </c>
      <c r="T305" s="653" t="s">
        <v>2023</v>
      </c>
      <c r="U305" s="654">
        <v>339</v>
      </c>
      <c r="V305" s="655">
        <v>0.2</v>
      </c>
      <c r="W305" s="654">
        <v>271.2</v>
      </c>
      <c r="X305" s="656"/>
      <c r="Y305" s="657"/>
      <c r="Z305" s="657"/>
      <c r="AA305" s="658">
        <v>0</v>
      </c>
      <c r="AB305" s="659">
        <v>0</v>
      </c>
      <c r="AC305" s="660" t="s">
        <v>1223</v>
      </c>
      <c r="AD305" s="661" t="s">
        <v>700</v>
      </c>
      <c r="AE305" s="662" t="s">
        <v>1224</v>
      </c>
    </row>
    <row r="306" spans="1:31" s="1" customFormat="1">
      <c r="A306" s="477" t="s">
        <v>2029</v>
      </c>
      <c r="B306" s="505" t="s">
        <v>2030</v>
      </c>
      <c r="C306" s="506">
        <v>1</v>
      </c>
      <c r="D306" s="508" t="s">
        <v>1993</v>
      </c>
      <c r="E306" s="1009">
        <v>231.3</v>
      </c>
      <c r="F306" s="430">
        <f t="shared" si="67"/>
        <v>0.2</v>
      </c>
      <c r="G306" s="106">
        <f t="shared" si="69"/>
        <v>185.04000000000002</v>
      </c>
      <c r="H306" s="147"/>
      <c r="I306" s="163"/>
      <c r="J306" s="428"/>
      <c r="K306" s="503">
        <v>6</v>
      </c>
      <c r="L306" s="428">
        <v>0.05</v>
      </c>
      <c r="M306" s="624" t="s">
        <v>1223</v>
      </c>
      <c r="N306" s="158" t="s">
        <v>700</v>
      </c>
      <c r="O306" s="417" t="s">
        <v>1224</v>
      </c>
      <c r="P306" s="477" t="s">
        <v>2029</v>
      </c>
      <c r="Q306" s="505" t="s">
        <v>2030</v>
      </c>
      <c r="R306" s="506">
        <v>1</v>
      </c>
      <c r="S306" s="473" t="s">
        <v>1993</v>
      </c>
      <c r="T306" s="473" t="s">
        <v>2029</v>
      </c>
      <c r="U306" s="106">
        <v>231.3</v>
      </c>
      <c r="V306" s="430">
        <v>0.2</v>
      </c>
      <c r="W306" s="106">
        <v>185.04000000000002</v>
      </c>
      <c r="X306" s="147"/>
      <c r="Y306" s="163"/>
      <c r="Z306" s="428"/>
      <c r="AA306" s="503">
        <v>6</v>
      </c>
      <c r="AB306" s="428">
        <v>0.05</v>
      </c>
      <c r="AC306" s="41" t="s">
        <v>1223</v>
      </c>
      <c r="AD306" s="42" t="s">
        <v>700</v>
      </c>
      <c r="AE306" s="416" t="s">
        <v>1224</v>
      </c>
    </row>
    <row r="307" spans="1:31" s="1" customFormat="1">
      <c r="A307" s="477" t="s">
        <v>2031</v>
      </c>
      <c r="B307" s="505" t="s">
        <v>2032</v>
      </c>
      <c r="C307" s="506">
        <v>1</v>
      </c>
      <c r="D307" s="508" t="s">
        <v>1993</v>
      </c>
      <c r="E307" s="1009">
        <v>367.78</v>
      </c>
      <c r="F307" s="430">
        <f t="shared" si="67"/>
        <v>0.2</v>
      </c>
      <c r="G307" s="106">
        <f t="shared" si="69"/>
        <v>294.22399999999999</v>
      </c>
      <c r="H307" s="147"/>
      <c r="I307" s="163"/>
      <c r="J307" s="428"/>
      <c r="K307" s="503">
        <v>6</v>
      </c>
      <c r="L307" s="428">
        <v>0.05</v>
      </c>
      <c r="M307" s="624" t="s">
        <v>1223</v>
      </c>
      <c r="N307" s="158" t="s">
        <v>700</v>
      </c>
      <c r="O307" s="417" t="s">
        <v>1224</v>
      </c>
      <c r="P307" s="477" t="s">
        <v>2031</v>
      </c>
      <c r="Q307" s="505" t="s">
        <v>2032</v>
      </c>
      <c r="R307" s="506">
        <v>1</v>
      </c>
      <c r="S307" s="473" t="s">
        <v>1993</v>
      </c>
      <c r="T307" s="473" t="s">
        <v>2031</v>
      </c>
      <c r="U307" s="106">
        <v>367.78</v>
      </c>
      <c r="V307" s="430">
        <v>0.2</v>
      </c>
      <c r="W307" s="106">
        <v>294.22399999999999</v>
      </c>
      <c r="X307" s="147"/>
      <c r="Y307" s="163"/>
      <c r="Z307" s="428"/>
      <c r="AA307" s="503">
        <v>6</v>
      </c>
      <c r="AB307" s="428">
        <v>0.05</v>
      </c>
      <c r="AC307" s="41" t="s">
        <v>1223</v>
      </c>
      <c r="AD307" s="42" t="s">
        <v>700</v>
      </c>
      <c r="AE307" s="416" t="s">
        <v>1224</v>
      </c>
    </row>
    <row r="308" spans="1:31" s="1" customFormat="1">
      <c r="A308" s="477" t="s">
        <v>2033</v>
      </c>
      <c r="B308" s="505" t="s">
        <v>2034</v>
      </c>
      <c r="C308" s="506">
        <v>1</v>
      </c>
      <c r="D308" s="508" t="s">
        <v>1993</v>
      </c>
      <c r="E308" s="1009">
        <v>627.29999999999995</v>
      </c>
      <c r="F308" s="430">
        <f t="shared" si="67"/>
        <v>0.2</v>
      </c>
      <c r="G308" s="106">
        <f t="shared" si="69"/>
        <v>501.84</v>
      </c>
      <c r="H308" s="147"/>
      <c r="I308" s="163"/>
      <c r="J308" s="428"/>
      <c r="K308" s="503">
        <v>6</v>
      </c>
      <c r="L308" s="428">
        <v>0.05</v>
      </c>
      <c r="M308" s="624" t="s">
        <v>1223</v>
      </c>
      <c r="N308" s="158" t="s">
        <v>700</v>
      </c>
      <c r="O308" s="417" t="s">
        <v>1224</v>
      </c>
      <c r="P308" s="477" t="s">
        <v>2033</v>
      </c>
      <c r="Q308" s="505" t="s">
        <v>2034</v>
      </c>
      <c r="R308" s="506">
        <v>1</v>
      </c>
      <c r="S308" s="473" t="s">
        <v>1993</v>
      </c>
      <c r="T308" s="473" t="s">
        <v>2033</v>
      </c>
      <c r="U308" s="106">
        <v>627.29999999999995</v>
      </c>
      <c r="V308" s="430">
        <v>0.2</v>
      </c>
      <c r="W308" s="106">
        <v>501.84</v>
      </c>
      <c r="X308" s="147"/>
      <c r="Y308" s="163"/>
      <c r="Z308" s="428"/>
      <c r="AA308" s="503">
        <v>6</v>
      </c>
      <c r="AB308" s="428">
        <v>0.05</v>
      </c>
      <c r="AC308" s="41" t="s">
        <v>1223</v>
      </c>
      <c r="AD308" s="42" t="s">
        <v>700</v>
      </c>
      <c r="AE308" s="416" t="s">
        <v>1224</v>
      </c>
    </row>
    <row r="309" spans="1:31" s="1" customFormat="1">
      <c r="A309" s="477" t="s">
        <v>2035</v>
      </c>
      <c r="B309" s="505" t="s">
        <v>2036</v>
      </c>
      <c r="C309" s="506">
        <v>1</v>
      </c>
      <c r="D309" s="508" t="s">
        <v>1993</v>
      </c>
      <c r="E309" s="1009">
        <v>591.27</v>
      </c>
      <c r="F309" s="430">
        <f t="shared" si="67"/>
        <v>0.2</v>
      </c>
      <c r="G309" s="106">
        <f t="shared" si="69"/>
        <v>473.01599999999996</v>
      </c>
      <c r="H309" s="147"/>
      <c r="I309" s="163"/>
      <c r="J309" s="428"/>
      <c r="K309" s="503">
        <v>6</v>
      </c>
      <c r="L309" s="428">
        <v>0.05</v>
      </c>
      <c r="M309" s="624" t="s">
        <v>1223</v>
      </c>
      <c r="N309" s="158" t="s">
        <v>700</v>
      </c>
      <c r="O309" s="417" t="s">
        <v>1224</v>
      </c>
      <c r="P309" s="477" t="s">
        <v>2035</v>
      </c>
      <c r="Q309" s="505" t="s">
        <v>2036</v>
      </c>
      <c r="R309" s="506">
        <v>1</v>
      </c>
      <c r="S309" s="473" t="s">
        <v>1993</v>
      </c>
      <c r="T309" s="473" t="s">
        <v>2035</v>
      </c>
      <c r="U309" s="106">
        <v>591.27</v>
      </c>
      <c r="V309" s="430">
        <v>0.2</v>
      </c>
      <c r="W309" s="106">
        <v>473.01599999999996</v>
      </c>
      <c r="X309" s="147"/>
      <c r="Y309" s="163"/>
      <c r="Z309" s="428"/>
      <c r="AA309" s="503">
        <v>6</v>
      </c>
      <c r="AB309" s="428">
        <v>0.05</v>
      </c>
      <c r="AC309" s="41" t="s">
        <v>1223</v>
      </c>
      <c r="AD309" s="42" t="s">
        <v>700</v>
      </c>
      <c r="AE309" s="416" t="s">
        <v>1224</v>
      </c>
    </row>
    <row r="310" spans="1:31" s="1" customFormat="1">
      <c r="A310" s="477" t="s">
        <v>2037</v>
      </c>
      <c r="B310" s="505" t="s">
        <v>2038</v>
      </c>
      <c r="C310" s="506">
        <v>1</v>
      </c>
      <c r="D310" s="508" t="s">
        <v>1993</v>
      </c>
      <c r="E310" s="1009">
        <v>1017.46</v>
      </c>
      <c r="F310" s="430">
        <f t="shared" si="67"/>
        <v>0.2</v>
      </c>
      <c r="G310" s="106">
        <f t="shared" si="69"/>
        <v>813.96800000000007</v>
      </c>
      <c r="H310" s="147"/>
      <c r="I310" s="163"/>
      <c r="J310" s="428"/>
      <c r="K310" s="503">
        <v>6</v>
      </c>
      <c r="L310" s="428">
        <v>0.05</v>
      </c>
      <c r="M310" s="624" t="s">
        <v>1223</v>
      </c>
      <c r="N310" s="158" t="s">
        <v>700</v>
      </c>
      <c r="O310" s="417" t="s">
        <v>1224</v>
      </c>
      <c r="P310" s="477" t="s">
        <v>2037</v>
      </c>
      <c r="Q310" s="505" t="s">
        <v>2038</v>
      </c>
      <c r="R310" s="506">
        <v>1</v>
      </c>
      <c r="S310" s="473" t="s">
        <v>1993</v>
      </c>
      <c r="T310" s="473" t="s">
        <v>2037</v>
      </c>
      <c r="U310" s="106">
        <v>1017.46</v>
      </c>
      <c r="V310" s="430">
        <v>0.2</v>
      </c>
      <c r="W310" s="106">
        <v>813.96800000000007</v>
      </c>
      <c r="X310" s="147"/>
      <c r="Y310" s="163"/>
      <c r="Z310" s="428"/>
      <c r="AA310" s="503">
        <v>6</v>
      </c>
      <c r="AB310" s="428">
        <v>0.05</v>
      </c>
      <c r="AC310" s="41" t="s">
        <v>1223</v>
      </c>
      <c r="AD310" s="42" t="s">
        <v>700</v>
      </c>
      <c r="AE310" s="416" t="s">
        <v>1224</v>
      </c>
    </row>
    <row r="311" spans="1:31" s="1" customFormat="1">
      <c r="A311" s="477" t="s">
        <v>2047</v>
      </c>
      <c r="B311" s="505" t="s">
        <v>2048</v>
      </c>
      <c r="C311" s="506">
        <v>1</v>
      </c>
      <c r="D311" s="508" t="s">
        <v>1993</v>
      </c>
      <c r="E311" s="1009">
        <v>194.27</v>
      </c>
      <c r="F311" s="430">
        <f t="shared" si="67"/>
        <v>0.2</v>
      </c>
      <c r="G311" s="106">
        <f t="shared" si="69"/>
        <v>155.416</v>
      </c>
      <c r="H311" s="147"/>
      <c r="I311" s="163"/>
      <c r="J311" s="163"/>
      <c r="K311" s="503">
        <v>10</v>
      </c>
      <c r="L311" s="428">
        <v>0.05</v>
      </c>
      <c r="M311" s="624" t="s">
        <v>1223</v>
      </c>
      <c r="N311" s="158" t="s">
        <v>700</v>
      </c>
      <c r="O311" s="417" t="s">
        <v>1224</v>
      </c>
      <c r="P311" s="477" t="s">
        <v>2047</v>
      </c>
      <c r="Q311" s="505" t="s">
        <v>2049</v>
      </c>
      <c r="R311" s="506">
        <v>1</v>
      </c>
      <c r="S311" s="508" t="s">
        <v>1993</v>
      </c>
      <c r="T311" s="537" t="s">
        <v>2047</v>
      </c>
      <c r="U311" s="106">
        <v>194.27</v>
      </c>
      <c r="V311" s="430">
        <v>0.2</v>
      </c>
      <c r="W311" s="106">
        <v>155.416</v>
      </c>
      <c r="X311" s="147"/>
      <c r="Y311" s="163"/>
      <c r="Z311" s="163"/>
      <c r="AA311" s="503">
        <v>10</v>
      </c>
      <c r="AB311" s="428">
        <v>0.05</v>
      </c>
      <c r="AC311" s="41" t="s">
        <v>1223</v>
      </c>
      <c r="AD311" s="42" t="s">
        <v>700</v>
      </c>
      <c r="AE311" s="416" t="s">
        <v>1224</v>
      </c>
    </row>
    <row r="312" spans="1:31" s="1" customFormat="1">
      <c r="A312" s="477" t="s">
        <v>2050</v>
      </c>
      <c r="B312" s="505" t="s">
        <v>2051</v>
      </c>
      <c r="C312" s="506">
        <v>1</v>
      </c>
      <c r="D312" s="508" t="s">
        <v>1993</v>
      </c>
      <c r="E312" s="1009">
        <v>251.09</v>
      </c>
      <c r="F312" s="430">
        <f t="shared" si="67"/>
        <v>0.2</v>
      </c>
      <c r="G312" s="106">
        <f t="shared" si="69"/>
        <v>200.87200000000001</v>
      </c>
      <c r="H312" s="147"/>
      <c r="I312" s="163"/>
      <c r="J312" s="163"/>
      <c r="K312" s="503">
        <v>10</v>
      </c>
      <c r="L312" s="428">
        <v>0.05</v>
      </c>
      <c r="M312" s="624" t="s">
        <v>1223</v>
      </c>
      <c r="N312" s="158" t="s">
        <v>700</v>
      </c>
      <c r="O312" s="417" t="s">
        <v>1224</v>
      </c>
      <c r="P312" s="477" t="s">
        <v>2050</v>
      </c>
      <c r="Q312" s="505" t="s">
        <v>2052</v>
      </c>
      <c r="R312" s="506">
        <v>1</v>
      </c>
      <c r="S312" s="508" t="s">
        <v>1993</v>
      </c>
      <c r="T312" s="537" t="s">
        <v>2050</v>
      </c>
      <c r="U312" s="106">
        <v>251.09</v>
      </c>
      <c r="V312" s="430">
        <v>0.2</v>
      </c>
      <c r="W312" s="106">
        <v>200.87200000000001</v>
      </c>
      <c r="X312" s="147"/>
      <c r="Y312" s="163"/>
      <c r="Z312" s="163"/>
      <c r="AA312" s="503">
        <v>10</v>
      </c>
      <c r="AB312" s="428">
        <v>0.05</v>
      </c>
      <c r="AC312" s="41" t="s">
        <v>1223</v>
      </c>
      <c r="AD312" s="42" t="s">
        <v>700</v>
      </c>
      <c r="AE312" s="416" t="s">
        <v>1224</v>
      </c>
    </row>
    <row r="313" spans="1:31" s="1" customFormat="1">
      <c r="A313" s="477" t="s">
        <v>2053</v>
      </c>
      <c r="B313" s="505" t="s">
        <v>2054</v>
      </c>
      <c r="C313" s="506">
        <v>1</v>
      </c>
      <c r="D313" s="508" t="s">
        <v>1993</v>
      </c>
      <c r="E313" s="1009">
        <v>332.2</v>
      </c>
      <c r="F313" s="430">
        <f t="shared" si="67"/>
        <v>0.2</v>
      </c>
      <c r="G313" s="106">
        <f t="shared" si="69"/>
        <v>265.76</v>
      </c>
      <c r="H313" s="147"/>
      <c r="I313" s="163"/>
      <c r="J313" s="163"/>
      <c r="K313" s="503">
        <v>15</v>
      </c>
      <c r="L313" s="428">
        <v>0.05</v>
      </c>
      <c r="M313" s="624" t="s">
        <v>1223</v>
      </c>
      <c r="N313" s="158" t="s">
        <v>700</v>
      </c>
      <c r="O313" s="417" t="s">
        <v>1224</v>
      </c>
      <c r="P313" s="477" t="s">
        <v>2053</v>
      </c>
      <c r="Q313" s="505" t="s">
        <v>2055</v>
      </c>
      <c r="R313" s="506">
        <v>1</v>
      </c>
      <c r="S313" s="508" t="s">
        <v>1993</v>
      </c>
      <c r="T313" s="537" t="s">
        <v>2053</v>
      </c>
      <c r="U313" s="106">
        <v>332.2</v>
      </c>
      <c r="V313" s="430">
        <v>0.2</v>
      </c>
      <c r="W313" s="106">
        <v>265.76</v>
      </c>
      <c r="X313" s="147"/>
      <c r="Y313" s="163"/>
      <c r="Z313" s="163"/>
      <c r="AA313" s="503">
        <v>15</v>
      </c>
      <c r="AB313" s="428">
        <v>0.05</v>
      </c>
      <c r="AC313" s="41" t="s">
        <v>1223</v>
      </c>
      <c r="AD313" s="42" t="s">
        <v>700</v>
      </c>
      <c r="AE313" s="416" t="s">
        <v>1224</v>
      </c>
    </row>
    <row r="314" spans="1:31" s="1" customFormat="1">
      <c r="A314" s="477" t="s">
        <v>2056</v>
      </c>
      <c r="B314" s="505" t="s">
        <v>2057</v>
      </c>
      <c r="C314" s="506">
        <v>1</v>
      </c>
      <c r="D314" s="508" t="s">
        <v>1993</v>
      </c>
      <c r="E314" s="1009">
        <v>92.68</v>
      </c>
      <c r="F314" s="430">
        <f t="shared" si="67"/>
        <v>0.2</v>
      </c>
      <c r="G314" s="106">
        <f t="shared" si="69"/>
        <v>74.144000000000005</v>
      </c>
      <c r="H314" s="147"/>
      <c r="I314" s="163"/>
      <c r="J314" s="163"/>
      <c r="K314" s="503">
        <v>6</v>
      </c>
      <c r="L314" s="428">
        <v>0.05</v>
      </c>
      <c r="M314" s="624" t="s">
        <v>1223</v>
      </c>
      <c r="N314" s="158" t="s">
        <v>700</v>
      </c>
      <c r="O314" s="417" t="s">
        <v>1224</v>
      </c>
      <c r="P314" s="477" t="s">
        <v>2056</v>
      </c>
      <c r="Q314" s="505" t="s">
        <v>2058</v>
      </c>
      <c r="R314" s="506">
        <v>1</v>
      </c>
      <c r="S314" s="508" t="s">
        <v>1993</v>
      </c>
      <c r="T314" s="537" t="s">
        <v>2056</v>
      </c>
      <c r="U314" s="106">
        <v>92.68</v>
      </c>
      <c r="V314" s="430">
        <v>0.2</v>
      </c>
      <c r="W314" s="106">
        <v>74.144000000000005</v>
      </c>
      <c r="X314" s="147"/>
      <c r="Y314" s="163"/>
      <c r="Z314" s="163"/>
      <c r="AA314" s="503">
        <v>6</v>
      </c>
      <c r="AB314" s="428">
        <v>0.05</v>
      </c>
      <c r="AC314" s="41" t="s">
        <v>1223</v>
      </c>
      <c r="AD314" s="42" t="s">
        <v>700</v>
      </c>
      <c r="AE314" s="416" t="s">
        <v>1224</v>
      </c>
    </row>
    <row r="315" spans="1:31" s="1" customFormat="1">
      <c r="A315" s="477" t="s">
        <v>2059</v>
      </c>
      <c r="B315" s="505" t="s">
        <v>2060</v>
      </c>
      <c r="C315" s="506">
        <v>1</v>
      </c>
      <c r="D315" s="508" t="s">
        <v>1993</v>
      </c>
      <c r="E315" s="1009">
        <v>115.73</v>
      </c>
      <c r="F315" s="430">
        <f t="shared" si="67"/>
        <v>0.2</v>
      </c>
      <c r="G315" s="106">
        <f t="shared" si="69"/>
        <v>92.584000000000003</v>
      </c>
      <c r="H315" s="147"/>
      <c r="I315" s="163"/>
      <c r="J315" s="163"/>
      <c r="K315" s="503">
        <v>6</v>
      </c>
      <c r="L315" s="428">
        <v>0.05</v>
      </c>
      <c r="M315" s="624" t="s">
        <v>1223</v>
      </c>
      <c r="N315" s="158" t="s">
        <v>700</v>
      </c>
      <c r="O315" s="417" t="s">
        <v>1224</v>
      </c>
      <c r="P315" s="477" t="s">
        <v>2059</v>
      </c>
      <c r="Q315" s="505" t="s">
        <v>2061</v>
      </c>
      <c r="R315" s="506">
        <v>1</v>
      </c>
      <c r="S315" s="508" t="s">
        <v>1993</v>
      </c>
      <c r="T315" s="537" t="s">
        <v>2059</v>
      </c>
      <c r="U315" s="106">
        <v>115.73</v>
      </c>
      <c r="V315" s="430">
        <v>0.2</v>
      </c>
      <c r="W315" s="106">
        <v>92.584000000000003</v>
      </c>
      <c r="X315" s="147"/>
      <c r="Y315" s="163"/>
      <c r="Z315" s="163"/>
      <c r="AA315" s="503">
        <v>6</v>
      </c>
      <c r="AB315" s="428">
        <v>0.05</v>
      </c>
      <c r="AC315" s="41" t="s">
        <v>1223</v>
      </c>
      <c r="AD315" s="42" t="s">
        <v>700</v>
      </c>
      <c r="AE315" s="416" t="s">
        <v>1224</v>
      </c>
    </row>
    <row r="316" spans="1:31" s="1" customFormat="1">
      <c r="A316" s="477" t="s">
        <v>2062</v>
      </c>
      <c r="B316" s="505" t="s">
        <v>2063</v>
      </c>
      <c r="C316" s="506">
        <v>1</v>
      </c>
      <c r="D316" s="508" t="s">
        <v>1993</v>
      </c>
      <c r="E316" s="1009">
        <v>157.94999999999999</v>
      </c>
      <c r="F316" s="430">
        <f t="shared" si="67"/>
        <v>0.2</v>
      </c>
      <c r="G316" s="106">
        <f t="shared" si="69"/>
        <v>126.35999999999999</v>
      </c>
      <c r="H316" s="147"/>
      <c r="I316" s="163"/>
      <c r="J316" s="163"/>
      <c r="K316" s="503">
        <v>6</v>
      </c>
      <c r="L316" s="428">
        <v>0.05</v>
      </c>
      <c r="M316" s="624" t="s">
        <v>1223</v>
      </c>
      <c r="N316" s="158" t="s">
        <v>700</v>
      </c>
      <c r="O316" s="417" t="s">
        <v>1224</v>
      </c>
      <c r="P316" s="477" t="s">
        <v>2062</v>
      </c>
      <c r="Q316" s="505" t="s">
        <v>2064</v>
      </c>
      <c r="R316" s="506">
        <v>1</v>
      </c>
      <c r="S316" s="508" t="s">
        <v>1993</v>
      </c>
      <c r="T316" s="537" t="s">
        <v>2062</v>
      </c>
      <c r="U316" s="106">
        <v>157.94999999999999</v>
      </c>
      <c r="V316" s="430">
        <v>0.2</v>
      </c>
      <c r="W316" s="106">
        <v>126.35999999999999</v>
      </c>
      <c r="X316" s="147"/>
      <c r="Y316" s="163"/>
      <c r="Z316" s="163"/>
      <c r="AA316" s="503">
        <v>6</v>
      </c>
      <c r="AB316" s="428">
        <v>0.05</v>
      </c>
      <c r="AC316" s="41" t="s">
        <v>1223</v>
      </c>
      <c r="AD316" s="42" t="s">
        <v>700</v>
      </c>
      <c r="AE316" s="416" t="s">
        <v>1224</v>
      </c>
    </row>
    <row r="317" spans="1:31" s="1" customFormat="1">
      <c r="A317" s="477" t="s">
        <v>2065</v>
      </c>
      <c r="B317" s="505" t="s">
        <v>2066</v>
      </c>
      <c r="C317" s="506">
        <v>1</v>
      </c>
      <c r="D317" s="508" t="s">
        <v>1993</v>
      </c>
      <c r="E317" s="1009">
        <v>186.5</v>
      </c>
      <c r="F317" s="430">
        <f t="shared" si="67"/>
        <v>0.2</v>
      </c>
      <c r="G317" s="106">
        <f t="shared" si="69"/>
        <v>149.19999999999999</v>
      </c>
      <c r="H317" s="147"/>
      <c r="I317" s="163"/>
      <c r="J317" s="163"/>
      <c r="K317" s="503">
        <v>10</v>
      </c>
      <c r="L317" s="428">
        <v>0.05</v>
      </c>
      <c r="M317" s="624" t="s">
        <v>1223</v>
      </c>
      <c r="N317" s="158" t="s">
        <v>700</v>
      </c>
      <c r="O317" s="417" t="s">
        <v>1224</v>
      </c>
      <c r="P317" s="477" t="s">
        <v>2065</v>
      </c>
      <c r="Q317" s="505" t="s">
        <v>2067</v>
      </c>
      <c r="R317" s="506">
        <v>1</v>
      </c>
      <c r="S317" s="508" t="s">
        <v>1993</v>
      </c>
      <c r="T317" s="537" t="s">
        <v>2065</v>
      </c>
      <c r="U317" s="106">
        <v>186.5</v>
      </c>
      <c r="V317" s="430">
        <v>0.2</v>
      </c>
      <c r="W317" s="106">
        <v>149.19999999999999</v>
      </c>
      <c r="X317" s="147"/>
      <c r="Y317" s="163"/>
      <c r="Z317" s="163"/>
      <c r="AA317" s="503">
        <v>10</v>
      </c>
      <c r="AB317" s="428">
        <v>0.05</v>
      </c>
      <c r="AC317" s="41" t="s">
        <v>1223</v>
      </c>
      <c r="AD317" s="42" t="s">
        <v>700</v>
      </c>
      <c r="AE317" s="416" t="s">
        <v>1224</v>
      </c>
    </row>
    <row r="318" spans="1:31" s="1" customFormat="1">
      <c r="A318" s="477"/>
      <c r="B318" s="505"/>
      <c r="C318" s="506"/>
      <c r="D318" s="508"/>
      <c r="E318" s="1009"/>
      <c r="F318" s="430"/>
      <c r="G318" s="106"/>
      <c r="H318" s="147"/>
      <c r="I318" s="163"/>
      <c r="J318" s="163"/>
      <c r="K318" s="503"/>
      <c r="L318" s="428"/>
      <c r="M318" s="624"/>
      <c r="N318" s="158"/>
      <c r="O318" s="417"/>
      <c r="P318" s="650" t="s">
        <v>2068</v>
      </c>
      <c r="Q318" s="651" t="s">
        <v>2069</v>
      </c>
      <c r="R318" s="652">
        <v>1</v>
      </c>
      <c r="S318" s="653" t="s">
        <v>1993</v>
      </c>
      <c r="T318" s="653" t="s">
        <v>2068</v>
      </c>
      <c r="U318" s="654">
        <v>86.46</v>
      </c>
      <c r="V318" s="655">
        <v>0.2</v>
      </c>
      <c r="W318" s="654">
        <v>69.167999999999992</v>
      </c>
      <c r="X318" s="656"/>
      <c r="Y318" s="657"/>
      <c r="Z318" s="657"/>
      <c r="AA318" s="658">
        <v>6</v>
      </c>
      <c r="AB318" s="659">
        <v>0.05</v>
      </c>
      <c r="AC318" s="660" t="s">
        <v>1223</v>
      </c>
      <c r="AD318" s="661" t="s">
        <v>700</v>
      </c>
      <c r="AE318" s="662" t="s">
        <v>1224</v>
      </c>
    </row>
    <row r="319" spans="1:31" s="1" customFormat="1">
      <c r="A319" s="477" t="s">
        <v>2070</v>
      </c>
      <c r="B319" s="505" t="s">
        <v>2071</v>
      </c>
      <c r="C319" s="506">
        <v>1</v>
      </c>
      <c r="D319" s="508" t="s">
        <v>2072</v>
      </c>
      <c r="E319" s="1009">
        <v>394</v>
      </c>
      <c r="F319" s="430">
        <f t="shared" si="67"/>
        <v>0.2</v>
      </c>
      <c r="G319" s="106">
        <f t="shared" ref="G319:G334" si="74">E319-(E319*F319)</f>
        <v>315.2</v>
      </c>
      <c r="H319" s="147"/>
      <c r="I319" s="163"/>
      <c r="J319" s="163"/>
      <c r="K319" s="503">
        <v>6</v>
      </c>
      <c r="L319" s="428">
        <v>0.38</v>
      </c>
      <c r="M319" s="624" t="s">
        <v>1223</v>
      </c>
      <c r="N319" s="158" t="s">
        <v>700</v>
      </c>
      <c r="O319" s="417" t="s">
        <v>1224</v>
      </c>
      <c r="P319" s="477" t="s">
        <v>2070</v>
      </c>
      <c r="Q319" s="505" t="s">
        <v>2071</v>
      </c>
      <c r="R319" s="506">
        <v>1</v>
      </c>
      <c r="S319" s="508" t="s">
        <v>2072</v>
      </c>
      <c r="T319" s="508" t="s">
        <v>2070</v>
      </c>
      <c r="U319" s="106">
        <v>394</v>
      </c>
      <c r="V319" s="430">
        <v>0.2</v>
      </c>
      <c r="W319" s="106">
        <v>315.2</v>
      </c>
      <c r="X319" s="147"/>
      <c r="Y319" s="163"/>
      <c r="Z319" s="163"/>
      <c r="AA319" s="503">
        <v>6</v>
      </c>
      <c r="AB319" s="428">
        <v>0.38</v>
      </c>
      <c r="AC319" s="41" t="s">
        <v>1223</v>
      </c>
      <c r="AD319" s="42" t="s">
        <v>700</v>
      </c>
      <c r="AE319" s="416" t="s">
        <v>1224</v>
      </c>
    </row>
    <row r="320" spans="1:31" s="1" customFormat="1">
      <c r="A320" s="477" t="s">
        <v>1878</v>
      </c>
      <c r="B320" s="505" t="s">
        <v>1879</v>
      </c>
      <c r="C320" s="506">
        <v>1</v>
      </c>
      <c r="D320" s="585" t="s">
        <v>1880</v>
      </c>
      <c r="E320" s="1009">
        <v>5.0199999999999996</v>
      </c>
      <c r="F320" s="430">
        <f t="shared" si="60"/>
        <v>0.2</v>
      </c>
      <c r="G320" s="106">
        <f t="shared" ref="G320:G332" si="75">E320-(E320*F320)</f>
        <v>4.016</v>
      </c>
      <c r="H320" s="147"/>
      <c r="I320" s="163"/>
      <c r="J320" s="163"/>
      <c r="K320" s="428">
        <v>2</v>
      </c>
      <c r="L320" s="428">
        <v>0.01</v>
      </c>
      <c r="M320" s="624" t="s">
        <v>1223</v>
      </c>
      <c r="N320" s="158" t="s">
        <v>700</v>
      </c>
      <c r="O320" s="417" t="s">
        <v>1224</v>
      </c>
      <c r="P320" s="477" t="s">
        <v>1878</v>
      </c>
      <c r="Q320" s="505" t="s">
        <v>1879</v>
      </c>
      <c r="R320" s="506">
        <v>1</v>
      </c>
      <c r="S320" s="106" t="s">
        <v>1880</v>
      </c>
      <c r="T320" s="473" t="s">
        <v>1878</v>
      </c>
      <c r="U320" s="106">
        <v>5.0199999999999996</v>
      </c>
      <c r="V320" s="430">
        <v>0.2</v>
      </c>
      <c r="W320" s="106">
        <v>4.016</v>
      </c>
      <c r="X320" s="147"/>
      <c r="Y320" s="163"/>
      <c r="Z320" s="163"/>
      <c r="AA320" s="428">
        <v>2</v>
      </c>
      <c r="AB320" s="428">
        <v>0.01</v>
      </c>
      <c r="AC320" s="41" t="s">
        <v>1223</v>
      </c>
      <c r="AD320" s="42" t="s">
        <v>700</v>
      </c>
      <c r="AE320" s="416" t="s">
        <v>1224</v>
      </c>
    </row>
    <row r="321" spans="1:31" s="1" customFormat="1">
      <c r="A321" s="477" t="s">
        <v>1881</v>
      </c>
      <c r="B321" s="505" t="s">
        <v>1882</v>
      </c>
      <c r="C321" s="506">
        <v>1</v>
      </c>
      <c r="D321" s="585" t="s">
        <v>1880</v>
      </c>
      <c r="E321" s="1009">
        <v>9.18</v>
      </c>
      <c r="F321" s="430">
        <f t="shared" si="60"/>
        <v>0.2</v>
      </c>
      <c r="G321" s="106">
        <f t="shared" si="75"/>
        <v>7.3439999999999994</v>
      </c>
      <c r="H321" s="147"/>
      <c r="I321" s="163"/>
      <c r="J321" s="163"/>
      <c r="K321" s="428">
        <v>2.8</v>
      </c>
      <c r="L321" s="428">
        <v>0.01</v>
      </c>
      <c r="M321" s="624" t="s">
        <v>1223</v>
      </c>
      <c r="N321" s="158" t="s">
        <v>700</v>
      </c>
      <c r="O321" s="417" t="s">
        <v>1224</v>
      </c>
      <c r="P321" s="477" t="s">
        <v>1881</v>
      </c>
      <c r="Q321" s="505" t="s">
        <v>1882</v>
      </c>
      <c r="R321" s="506">
        <v>1</v>
      </c>
      <c r="S321" s="106" t="s">
        <v>1880</v>
      </c>
      <c r="T321" s="473" t="s">
        <v>1881</v>
      </c>
      <c r="U321" s="106">
        <v>9.18</v>
      </c>
      <c r="V321" s="430">
        <v>0.2</v>
      </c>
      <c r="W321" s="106">
        <v>7.3439999999999994</v>
      </c>
      <c r="X321" s="147"/>
      <c r="Y321" s="163"/>
      <c r="Z321" s="163"/>
      <c r="AA321" s="428">
        <v>2.8</v>
      </c>
      <c r="AB321" s="428">
        <v>0.01</v>
      </c>
      <c r="AC321" s="41" t="s">
        <v>1223</v>
      </c>
      <c r="AD321" s="42" t="s">
        <v>700</v>
      </c>
      <c r="AE321" s="416" t="s">
        <v>1224</v>
      </c>
    </row>
    <row r="322" spans="1:31" s="1" customFormat="1">
      <c r="A322" s="477" t="s">
        <v>1883</v>
      </c>
      <c r="B322" s="505" t="s">
        <v>1884</v>
      </c>
      <c r="C322" s="506">
        <v>1</v>
      </c>
      <c r="D322" s="585" t="s">
        <v>1880</v>
      </c>
      <c r="E322" s="1009">
        <v>17.52</v>
      </c>
      <c r="F322" s="430">
        <f t="shared" si="60"/>
        <v>0.2</v>
      </c>
      <c r="G322" s="106">
        <f t="shared" si="75"/>
        <v>14.016</v>
      </c>
      <c r="H322" s="147"/>
      <c r="I322" s="163"/>
      <c r="J322" s="163"/>
      <c r="K322" s="428">
        <v>3.4</v>
      </c>
      <c r="L322" s="428">
        <v>0.01</v>
      </c>
      <c r="M322" s="624" t="s">
        <v>1223</v>
      </c>
      <c r="N322" s="158" t="s">
        <v>700</v>
      </c>
      <c r="O322" s="417" t="s">
        <v>1224</v>
      </c>
      <c r="P322" s="477" t="s">
        <v>1883</v>
      </c>
      <c r="Q322" s="505" t="s">
        <v>1884</v>
      </c>
      <c r="R322" s="506">
        <v>1</v>
      </c>
      <c r="S322" s="106" t="s">
        <v>1880</v>
      </c>
      <c r="T322" s="473" t="s">
        <v>1883</v>
      </c>
      <c r="U322" s="106">
        <v>17.52</v>
      </c>
      <c r="V322" s="430">
        <v>0.2</v>
      </c>
      <c r="W322" s="106">
        <v>14.016</v>
      </c>
      <c r="X322" s="147"/>
      <c r="Y322" s="163"/>
      <c r="Z322" s="163"/>
      <c r="AA322" s="428">
        <v>3.4</v>
      </c>
      <c r="AB322" s="428">
        <v>0.01</v>
      </c>
      <c r="AC322" s="41" t="s">
        <v>1223</v>
      </c>
      <c r="AD322" s="42" t="s">
        <v>700</v>
      </c>
      <c r="AE322" s="416" t="s">
        <v>1224</v>
      </c>
    </row>
    <row r="323" spans="1:31" s="1" customFormat="1">
      <c r="A323" s="477" t="s">
        <v>1885</v>
      </c>
      <c r="B323" s="505" t="s">
        <v>1886</v>
      </c>
      <c r="C323" s="506">
        <v>1</v>
      </c>
      <c r="D323" s="585" t="s">
        <v>1880</v>
      </c>
      <c r="E323" s="1009">
        <v>44.04</v>
      </c>
      <c r="F323" s="430">
        <f t="shared" si="60"/>
        <v>0.2</v>
      </c>
      <c r="G323" s="106">
        <f t="shared" si="75"/>
        <v>35.231999999999999</v>
      </c>
      <c r="H323" s="147"/>
      <c r="I323" s="163"/>
      <c r="J323" s="163"/>
      <c r="K323" s="428">
        <v>4</v>
      </c>
      <c r="L323" s="428">
        <v>0.01</v>
      </c>
      <c r="M323" s="624" t="s">
        <v>1223</v>
      </c>
      <c r="N323" s="158" t="s">
        <v>700</v>
      </c>
      <c r="O323" s="417" t="s">
        <v>1224</v>
      </c>
      <c r="P323" s="477" t="s">
        <v>1885</v>
      </c>
      <c r="Q323" s="505" t="s">
        <v>1886</v>
      </c>
      <c r="R323" s="506">
        <v>1</v>
      </c>
      <c r="S323" s="106" t="s">
        <v>1880</v>
      </c>
      <c r="T323" s="473" t="s">
        <v>1885</v>
      </c>
      <c r="U323" s="106">
        <v>44.04</v>
      </c>
      <c r="V323" s="430">
        <v>0.2</v>
      </c>
      <c r="W323" s="106">
        <v>35.231999999999999</v>
      </c>
      <c r="X323" s="147"/>
      <c r="Y323" s="163"/>
      <c r="Z323" s="163"/>
      <c r="AA323" s="428">
        <v>4</v>
      </c>
      <c r="AB323" s="428">
        <v>0.01</v>
      </c>
      <c r="AC323" s="41" t="s">
        <v>1223</v>
      </c>
      <c r="AD323" s="42" t="s">
        <v>700</v>
      </c>
      <c r="AE323" s="416" t="s">
        <v>1224</v>
      </c>
    </row>
    <row r="324" spans="1:31" s="1" customFormat="1">
      <c r="A324" s="477">
        <v>49062</v>
      </c>
      <c r="B324" s="505" t="s">
        <v>1893</v>
      </c>
      <c r="C324" s="506">
        <v>1</v>
      </c>
      <c r="D324" s="585" t="s">
        <v>1894</v>
      </c>
      <c r="E324" s="1009">
        <v>5.07</v>
      </c>
      <c r="F324" s="430">
        <f t="shared" si="60"/>
        <v>0.2</v>
      </c>
      <c r="G324" s="106">
        <f t="shared" si="75"/>
        <v>4.056</v>
      </c>
      <c r="H324" s="147"/>
      <c r="I324" s="163"/>
      <c r="J324" s="163"/>
      <c r="K324" s="428">
        <v>1</v>
      </c>
      <c r="L324" s="428">
        <v>0.01</v>
      </c>
      <c r="M324" s="624" t="s">
        <v>1223</v>
      </c>
      <c r="N324" s="158" t="s">
        <v>700</v>
      </c>
      <c r="O324" s="417" t="s">
        <v>1224</v>
      </c>
      <c r="P324" s="477">
        <v>49062</v>
      </c>
      <c r="Q324" s="505" t="s">
        <v>1893</v>
      </c>
      <c r="R324" s="506">
        <v>1</v>
      </c>
      <c r="S324" s="106" t="s">
        <v>1894</v>
      </c>
      <c r="T324" s="473">
        <v>49062</v>
      </c>
      <c r="U324" s="106">
        <v>5.07</v>
      </c>
      <c r="V324" s="430">
        <v>0.2</v>
      </c>
      <c r="W324" s="106">
        <v>4.056</v>
      </c>
      <c r="X324" s="147"/>
      <c r="Y324" s="163"/>
      <c r="Z324" s="163"/>
      <c r="AA324" s="428">
        <v>1</v>
      </c>
      <c r="AB324" s="428">
        <v>0.01</v>
      </c>
      <c r="AC324" s="41" t="s">
        <v>1223</v>
      </c>
      <c r="AD324" s="42" t="s">
        <v>700</v>
      </c>
      <c r="AE324" s="416" t="s">
        <v>1224</v>
      </c>
    </row>
    <row r="325" spans="1:31" s="1" customFormat="1">
      <c r="A325" s="477">
        <v>49063</v>
      </c>
      <c r="B325" s="505" t="s">
        <v>1895</v>
      </c>
      <c r="C325" s="506">
        <v>1</v>
      </c>
      <c r="D325" s="585" t="s">
        <v>1894</v>
      </c>
      <c r="E325" s="1019">
        <v>6.32</v>
      </c>
      <c r="F325" s="430">
        <f t="shared" si="60"/>
        <v>0.2</v>
      </c>
      <c r="G325" s="648">
        <f t="shared" si="75"/>
        <v>5.056</v>
      </c>
      <c r="H325" s="147"/>
      <c r="I325" s="163"/>
      <c r="J325" s="163"/>
      <c r="K325" s="428">
        <v>1.5</v>
      </c>
      <c r="L325" s="428">
        <v>0.01</v>
      </c>
      <c r="M325" s="624" t="s">
        <v>1223</v>
      </c>
      <c r="N325" s="158" t="s">
        <v>700</v>
      </c>
      <c r="O325" s="417" t="s">
        <v>1224</v>
      </c>
      <c r="P325" s="477">
        <v>49063</v>
      </c>
      <c r="Q325" s="505" t="s">
        <v>1895</v>
      </c>
      <c r="R325" s="506">
        <v>1</v>
      </c>
      <c r="S325" s="106" t="s">
        <v>1894</v>
      </c>
      <c r="T325" s="473">
        <v>49063</v>
      </c>
      <c r="U325" s="654">
        <v>5.32</v>
      </c>
      <c r="V325" s="430">
        <v>0.2</v>
      </c>
      <c r="W325" s="654">
        <v>4.2560000000000002</v>
      </c>
      <c r="X325" s="147"/>
      <c r="Y325" s="163"/>
      <c r="Z325" s="163"/>
      <c r="AA325" s="428">
        <v>1.5</v>
      </c>
      <c r="AB325" s="428">
        <v>0.01</v>
      </c>
      <c r="AC325" s="41" t="s">
        <v>1223</v>
      </c>
      <c r="AD325" s="42" t="s">
        <v>700</v>
      </c>
      <c r="AE325" s="416" t="s">
        <v>1224</v>
      </c>
    </row>
    <row r="326" spans="1:31" s="1" customFormat="1">
      <c r="A326" s="684" t="s">
        <v>3051</v>
      </c>
      <c r="B326" s="685" t="s">
        <v>3065</v>
      </c>
      <c r="C326" s="686">
        <v>1</v>
      </c>
      <c r="D326" s="693" t="s">
        <v>3052</v>
      </c>
      <c r="E326" s="977">
        <v>15.33</v>
      </c>
      <c r="F326" s="161">
        <f t="shared" si="60"/>
        <v>0.2</v>
      </c>
      <c r="G326" s="647">
        <f t="shared" si="75"/>
        <v>12.263999999999999</v>
      </c>
      <c r="H326" s="688"/>
      <c r="I326" s="215"/>
      <c r="J326" s="215"/>
      <c r="K326" s="44">
        <v>2</v>
      </c>
      <c r="L326" s="44">
        <v>0.01</v>
      </c>
      <c r="M326" s="624" t="s">
        <v>1223</v>
      </c>
      <c r="N326" s="158" t="s">
        <v>700</v>
      </c>
      <c r="O326" s="417" t="s">
        <v>1224</v>
      </c>
      <c r="P326" s="477"/>
      <c r="Q326" s="505"/>
      <c r="R326" s="506"/>
      <c r="S326" s="106"/>
      <c r="T326" s="473"/>
      <c r="U326" s="106"/>
      <c r="V326" s="430"/>
      <c r="W326" s="106"/>
      <c r="X326" s="147"/>
      <c r="Y326" s="163"/>
      <c r="Z326" s="163"/>
      <c r="AA326" s="428"/>
      <c r="AB326" s="428"/>
      <c r="AC326" s="41"/>
      <c r="AD326" s="42"/>
      <c r="AE326" s="416"/>
    </row>
    <row r="327" spans="1:31" s="1" customFormat="1">
      <c r="A327" s="684" t="s">
        <v>3053</v>
      </c>
      <c r="B327" s="685" t="s">
        <v>3066</v>
      </c>
      <c r="C327" s="686">
        <v>1</v>
      </c>
      <c r="D327" s="693" t="s">
        <v>3052</v>
      </c>
      <c r="E327" s="977">
        <v>22.49</v>
      </c>
      <c r="F327" s="161">
        <f t="shared" si="60"/>
        <v>0.2</v>
      </c>
      <c r="G327" s="647">
        <f t="shared" si="75"/>
        <v>17.991999999999997</v>
      </c>
      <c r="H327" s="688"/>
      <c r="I327" s="215"/>
      <c r="J327" s="215"/>
      <c r="K327" s="44">
        <v>2.8</v>
      </c>
      <c r="L327" s="44">
        <v>0.01</v>
      </c>
      <c r="M327" s="624" t="s">
        <v>1223</v>
      </c>
      <c r="N327" s="158" t="s">
        <v>700</v>
      </c>
      <c r="O327" s="417" t="s">
        <v>1224</v>
      </c>
      <c r="P327" s="650" t="s">
        <v>1887</v>
      </c>
      <c r="Q327" s="651" t="s">
        <v>1888</v>
      </c>
      <c r="R327" s="652">
        <v>1</v>
      </c>
      <c r="S327" s="654" t="s">
        <v>1880</v>
      </c>
      <c r="T327" s="653" t="s">
        <v>1887</v>
      </c>
      <c r="U327" s="654">
        <v>8.8000000000000007</v>
      </c>
      <c r="V327" s="655">
        <v>0.2</v>
      </c>
      <c r="W327" s="654">
        <v>7.0400000000000009</v>
      </c>
      <c r="X327" s="656"/>
      <c r="Y327" s="657"/>
      <c r="Z327" s="657"/>
      <c r="AA327" s="659">
        <v>2.8</v>
      </c>
      <c r="AB327" s="659">
        <v>0.01</v>
      </c>
      <c r="AC327" s="660" t="s">
        <v>1223</v>
      </c>
      <c r="AD327" s="661" t="s">
        <v>700</v>
      </c>
      <c r="AE327" s="662" t="s">
        <v>1224</v>
      </c>
    </row>
    <row r="328" spans="1:31" s="1" customFormat="1">
      <c r="A328" s="684" t="s">
        <v>3054</v>
      </c>
      <c r="B328" s="685" t="s">
        <v>3067</v>
      </c>
      <c r="C328" s="686">
        <v>1</v>
      </c>
      <c r="D328" s="693" t="s">
        <v>3052</v>
      </c>
      <c r="E328" s="977">
        <v>32.99</v>
      </c>
      <c r="F328" s="161">
        <f t="shared" si="60"/>
        <v>0.2</v>
      </c>
      <c r="G328" s="647">
        <f t="shared" si="75"/>
        <v>26.392000000000003</v>
      </c>
      <c r="H328" s="688"/>
      <c r="I328" s="215"/>
      <c r="J328" s="215"/>
      <c r="K328" s="44">
        <v>3.4</v>
      </c>
      <c r="L328" s="44">
        <v>0.01</v>
      </c>
      <c r="M328" s="624" t="s">
        <v>1223</v>
      </c>
      <c r="N328" s="158" t="s">
        <v>700</v>
      </c>
      <c r="O328" s="417" t="s">
        <v>1224</v>
      </c>
      <c r="P328" s="650" t="s">
        <v>1889</v>
      </c>
      <c r="Q328" s="651" t="s">
        <v>1890</v>
      </c>
      <c r="R328" s="652">
        <v>1</v>
      </c>
      <c r="S328" s="654" t="s">
        <v>1880</v>
      </c>
      <c r="T328" s="653" t="s">
        <v>1889</v>
      </c>
      <c r="U328" s="654">
        <v>17.29</v>
      </c>
      <c r="V328" s="655">
        <v>0.2</v>
      </c>
      <c r="W328" s="654">
        <v>13.831999999999999</v>
      </c>
      <c r="X328" s="656"/>
      <c r="Y328" s="657"/>
      <c r="Z328" s="657"/>
      <c r="AA328" s="659">
        <v>3.4</v>
      </c>
      <c r="AB328" s="659">
        <v>0.01</v>
      </c>
      <c r="AC328" s="660" t="s">
        <v>1223</v>
      </c>
      <c r="AD328" s="661" t="s">
        <v>700</v>
      </c>
      <c r="AE328" s="662" t="s">
        <v>1224</v>
      </c>
    </row>
    <row r="329" spans="1:31" s="1" customFormat="1">
      <c r="A329" s="684" t="s">
        <v>3055</v>
      </c>
      <c r="B329" s="685" t="s">
        <v>3068</v>
      </c>
      <c r="C329" s="686">
        <v>1</v>
      </c>
      <c r="D329" s="693" t="s">
        <v>3052</v>
      </c>
      <c r="E329" s="977">
        <v>70.989999999999995</v>
      </c>
      <c r="F329" s="161">
        <f t="shared" si="60"/>
        <v>0.2</v>
      </c>
      <c r="G329" s="647">
        <f t="shared" si="75"/>
        <v>56.791999999999994</v>
      </c>
      <c r="H329" s="688"/>
      <c r="I329" s="215"/>
      <c r="J329" s="215"/>
      <c r="K329" s="44">
        <v>4</v>
      </c>
      <c r="L329" s="44">
        <v>0.01</v>
      </c>
      <c r="M329" s="624" t="s">
        <v>1223</v>
      </c>
      <c r="N329" s="158" t="s">
        <v>700</v>
      </c>
      <c r="O329" s="417" t="s">
        <v>1224</v>
      </c>
      <c r="P329" s="650" t="s">
        <v>1891</v>
      </c>
      <c r="Q329" s="651" t="s">
        <v>1892</v>
      </c>
      <c r="R329" s="652">
        <v>1</v>
      </c>
      <c r="S329" s="654" t="s">
        <v>1880</v>
      </c>
      <c r="T329" s="653" t="s">
        <v>1891</v>
      </c>
      <c r="U329" s="654">
        <v>52.14</v>
      </c>
      <c r="V329" s="655">
        <v>0.2</v>
      </c>
      <c r="W329" s="654">
        <v>41.712000000000003</v>
      </c>
      <c r="X329" s="656"/>
      <c r="Y329" s="657"/>
      <c r="Z329" s="657"/>
      <c r="AA329" s="659">
        <v>4</v>
      </c>
      <c r="AB329" s="659">
        <v>0.01</v>
      </c>
      <c r="AC329" s="660" t="s">
        <v>1223</v>
      </c>
      <c r="AD329" s="661" t="s">
        <v>700</v>
      </c>
      <c r="AE329" s="662" t="s">
        <v>1224</v>
      </c>
    </row>
    <row r="330" spans="1:31" s="1" customFormat="1">
      <c r="A330" s="684" t="s">
        <v>3059</v>
      </c>
      <c r="B330" s="685" t="s">
        <v>3062</v>
      </c>
      <c r="C330" s="686">
        <v>1</v>
      </c>
      <c r="D330" s="693" t="s">
        <v>1513</v>
      </c>
      <c r="E330" s="977">
        <v>16.579999999999998</v>
      </c>
      <c r="F330" s="161">
        <f t="shared" si="60"/>
        <v>0.2</v>
      </c>
      <c r="G330" s="647">
        <f t="shared" si="75"/>
        <v>13.263999999999999</v>
      </c>
      <c r="H330" s="688"/>
      <c r="I330" s="215"/>
      <c r="J330" s="215"/>
      <c r="K330" s="44">
        <v>2.8</v>
      </c>
      <c r="L330" s="44">
        <v>0.02</v>
      </c>
      <c r="M330" s="624" t="s">
        <v>1223</v>
      </c>
      <c r="N330" s="158" t="s">
        <v>700</v>
      </c>
      <c r="O330" s="417" t="s">
        <v>1224</v>
      </c>
      <c r="P330" s="477"/>
      <c r="Q330" s="505"/>
      <c r="R330" s="506"/>
      <c r="S330" s="585"/>
      <c r="T330" s="508"/>
      <c r="U330" s="106"/>
      <c r="V330" s="430"/>
      <c r="W330" s="106"/>
      <c r="X330" s="147"/>
      <c r="Y330" s="163"/>
      <c r="Z330" s="163"/>
      <c r="AA330" s="428"/>
      <c r="AB330" s="428"/>
      <c r="AC330" s="41"/>
      <c r="AD330" s="42"/>
      <c r="AE330" s="416"/>
    </row>
    <row r="331" spans="1:31" s="1" customFormat="1">
      <c r="A331" s="684" t="s">
        <v>3060</v>
      </c>
      <c r="B331" s="685" t="s">
        <v>3063</v>
      </c>
      <c r="C331" s="686">
        <v>1</v>
      </c>
      <c r="D331" s="693" t="s">
        <v>1513</v>
      </c>
      <c r="E331" s="977">
        <v>24.92</v>
      </c>
      <c r="F331" s="161">
        <f t="shared" si="60"/>
        <v>0.2</v>
      </c>
      <c r="G331" s="647">
        <f t="shared" si="75"/>
        <v>19.936</v>
      </c>
      <c r="H331" s="688"/>
      <c r="I331" s="215"/>
      <c r="J331" s="215"/>
      <c r="K331" s="44">
        <v>3.4</v>
      </c>
      <c r="L331" s="44">
        <v>0.02</v>
      </c>
      <c r="M331" s="624" t="s">
        <v>1223</v>
      </c>
      <c r="N331" s="158" t="s">
        <v>700</v>
      </c>
      <c r="O331" s="417" t="s">
        <v>1224</v>
      </c>
      <c r="P331" s="477"/>
      <c r="Q331" s="505"/>
      <c r="R331" s="506"/>
      <c r="S331" s="585"/>
      <c r="T331" s="508"/>
      <c r="U331" s="106"/>
      <c r="V331" s="430"/>
      <c r="W331" s="106"/>
      <c r="X331" s="147"/>
      <c r="Y331" s="163"/>
      <c r="Z331" s="163"/>
      <c r="AA331" s="428"/>
      <c r="AB331" s="428"/>
      <c r="AC331" s="41"/>
      <c r="AD331" s="42"/>
      <c r="AE331" s="416"/>
    </row>
    <row r="332" spans="1:31" s="1" customFormat="1">
      <c r="A332" s="684" t="s">
        <v>3061</v>
      </c>
      <c r="B332" s="685" t="s">
        <v>3064</v>
      </c>
      <c r="C332" s="686">
        <v>1</v>
      </c>
      <c r="D332" s="693" t="s">
        <v>1513</v>
      </c>
      <c r="E332" s="977">
        <v>59.88</v>
      </c>
      <c r="F332" s="161">
        <f t="shared" si="60"/>
        <v>0.2</v>
      </c>
      <c r="G332" s="647">
        <f t="shared" si="75"/>
        <v>47.904000000000003</v>
      </c>
      <c r="H332" s="688"/>
      <c r="I332" s="215"/>
      <c r="J332" s="215"/>
      <c r="K332" s="44">
        <v>4</v>
      </c>
      <c r="L332" s="44">
        <v>0.02</v>
      </c>
      <c r="M332" s="624" t="s">
        <v>1223</v>
      </c>
      <c r="N332" s="158" t="s">
        <v>700</v>
      </c>
      <c r="O332" s="417" t="s">
        <v>1224</v>
      </c>
      <c r="P332" s="477"/>
      <c r="Q332" s="505"/>
      <c r="R332" s="506"/>
      <c r="S332" s="585"/>
      <c r="T332" s="508"/>
      <c r="U332" s="106"/>
      <c r="V332" s="430"/>
      <c r="W332" s="106"/>
      <c r="X332" s="147"/>
      <c r="Y332" s="163"/>
      <c r="Z332" s="163"/>
      <c r="AA332" s="428"/>
      <c r="AB332" s="428"/>
      <c r="AC332" s="41"/>
      <c r="AD332" s="42"/>
      <c r="AE332" s="416"/>
    </row>
    <row r="333" spans="1:31" s="1" customFormat="1">
      <c r="A333" s="684" t="s">
        <v>3050</v>
      </c>
      <c r="B333" s="685" t="s">
        <v>3056</v>
      </c>
      <c r="C333" s="686">
        <v>1</v>
      </c>
      <c r="D333" s="1005" t="s">
        <v>1880</v>
      </c>
      <c r="E333" s="1022">
        <v>57.95</v>
      </c>
      <c r="F333" s="161">
        <f>rv_10</f>
        <v>0.1</v>
      </c>
      <c r="G333" s="647">
        <f t="shared" ref="G333" si="76">E333-(E333*F333)</f>
        <v>52.155000000000001</v>
      </c>
      <c r="H333" s="688"/>
      <c r="I333" s="215"/>
      <c r="J333" s="215"/>
      <c r="K333" s="121">
        <v>4</v>
      </c>
      <c r="L333" s="44">
        <v>0.01</v>
      </c>
      <c r="M333" s="624" t="s">
        <v>1223</v>
      </c>
      <c r="N333" s="158" t="s">
        <v>700</v>
      </c>
      <c r="O333" s="417" t="s">
        <v>1224</v>
      </c>
      <c r="P333" s="477"/>
      <c r="Q333" s="505"/>
      <c r="R333" s="506"/>
      <c r="S333" s="508"/>
      <c r="T333" s="508"/>
      <c r="U333" s="106"/>
      <c r="V333" s="430"/>
      <c r="W333" s="106"/>
      <c r="X333" s="147"/>
      <c r="Y333" s="163"/>
      <c r="Z333" s="163"/>
      <c r="AA333" s="503"/>
      <c r="AB333" s="428"/>
      <c r="AC333" s="41"/>
      <c r="AD333" s="42"/>
      <c r="AE333" s="416"/>
    </row>
    <row r="334" spans="1:31" s="1" customFormat="1">
      <c r="A334" s="684" t="s">
        <v>3049</v>
      </c>
      <c r="B334" s="685" t="s">
        <v>3057</v>
      </c>
      <c r="C334" s="686">
        <v>1</v>
      </c>
      <c r="D334" s="1005" t="s">
        <v>1880</v>
      </c>
      <c r="E334" s="1022">
        <v>99.95</v>
      </c>
      <c r="F334" s="161">
        <f>rv_10</f>
        <v>0.1</v>
      </c>
      <c r="G334" s="647">
        <f t="shared" si="74"/>
        <v>89.954999999999998</v>
      </c>
      <c r="H334" s="688"/>
      <c r="I334" s="215"/>
      <c r="J334" s="215"/>
      <c r="K334" s="121">
        <v>4.5999999999999996</v>
      </c>
      <c r="L334" s="44">
        <v>0.01</v>
      </c>
      <c r="M334" s="624" t="s">
        <v>1223</v>
      </c>
      <c r="N334" s="158" t="s">
        <v>700</v>
      </c>
      <c r="O334" s="417" t="s">
        <v>1224</v>
      </c>
      <c r="P334" s="477"/>
      <c r="Q334" s="505"/>
      <c r="R334" s="506"/>
      <c r="S334" s="508"/>
      <c r="T334" s="508"/>
      <c r="U334" s="106"/>
      <c r="V334" s="430"/>
      <c r="W334" s="106"/>
      <c r="X334" s="147"/>
      <c r="Y334" s="163"/>
      <c r="Z334" s="163"/>
      <c r="AA334" s="503"/>
      <c r="AB334" s="428"/>
      <c r="AC334" s="41"/>
      <c r="AD334" s="42"/>
      <c r="AE334" s="416"/>
    </row>
    <row r="335" spans="1:31" s="1" customFormat="1" ht="13.5" thickBot="1">
      <c r="A335" s="684" t="s">
        <v>3048</v>
      </c>
      <c r="B335" s="685" t="s">
        <v>3058</v>
      </c>
      <c r="C335" s="686">
        <v>1</v>
      </c>
      <c r="D335" s="1005" t="s">
        <v>1880</v>
      </c>
      <c r="E335" s="1022">
        <v>174.95</v>
      </c>
      <c r="F335" s="161">
        <f>rv_10</f>
        <v>0.1</v>
      </c>
      <c r="G335" s="647">
        <f t="shared" ref="G335" si="77">E335-(E335*F335)</f>
        <v>157.45499999999998</v>
      </c>
      <c r="H335" s="688"/>
      <c r="I335" s="215"/>
      <c r="J335" s="215"/>
      <c r="K335" s="121">
        <v>4.5999999999999996</v>
      </c>
      <c r="L335" s="44">
        <v>0.01</v>
      </c>
      <c r="M335" s="624" t="s">
        <v>1223</v>
      </c>
      <c r="N335" s="158" t="s">
        <v>700</v>
      </c>
      <c r="O335" s="417" t="s">
        <v>1224</v>
      </c>
      <c r="P335" s="477"/>
      <c r="Q335" s="505"/>
      <c r="R335" s="506"/>
      <c r="S335" s="508"/>
      <c r="T335" s="508"/>
      <c r="U335" s="106"/>
      <c r="V335" s="430"/>
      <c r="W335" s="106"/>
      <c r="X335" s="147"/>
      <c r="Y335" s="163"/>
      <c r="Z335" s="163"/>
      <c r="AA335" s="503"/>
      <c r="AB335" s="428"/>
      <c r="AC335" s="41"/>
      <c r="AD335" s="42"/>
      <c r="AE335" s="416"/>
    </row>
    <row r="336" spans="1:31" s="1109" customFormat="1" ht="19.5" thickBot="1">
      <c r="A336" s="673" t="s">
        <v>3069</v>
      </c>
      <c r="B336" s="1111"/>
      <c r="C336" s="1101"/>
      <c r="D336" s="1112"/>
      <c r="E336" s="1102"/>
      <c r="F336" s="1103"/>
      <c r="G336" s="1104"/>
      <c r="H336" s="1105"/>
      <c r="I336" s="1106"/>
      <c r="J336" s="1106"/>
      <c r="K336" s="1113"/>
      <c r="L336" s="1107"/>
      <c r="M336" s="1108"/>
      <c r="N336" s="1114"/>
      <c r="O336" s="1115"/>
      <c r="P336" s="1116"/>
      <c r="Q336" s="1111"/>
      <c r="R336" s="1101"/>
      <c r="S336" s="1112"/>
      <c r="T336" s="1117"/>
      <c r="U336" s="1104"/>
      <c r="V336" s="1103"/>
      <c r="W336" s="1104"/>
      <c r="X336" s="1105"/>
      <c r="Y336" s="1106"/>
      <c r="Z336" s="1106"/>
      <c r="AA336" s="1113"/>
      <c r="AB336" s="1107"/>
      <c r="AC336" s="1110"/>
      <c r="AD336" s="1118"/>
      <c r="AE336" s="1119"/>
    </row>
    <row r="337" spans="1:31" s="1" customFormat="1">
      <c r="A337" s="684" t="s">
        <v>3074</v>
      </c>
      <c r="B337" s="685" t="s">
        <v>3270</v>
      </c>
      <c r="C337" s="686">
        <v>1</v>
      </c>
      <c r="D337" s="693" t="s">
        <v>2142</v>
      </c>
      <c r="E337" s="977">
        <v>29.16</v>
      </c>
      <c r="F337" s="161">
        <f t="shared" ref="F337:F342" si="78">rv_20</f>
        <v>0.2</v>
      </c>
      <c r="G337" s="647">
        <f>E337-(E337*F337)</f>
        <v>23.327999999999999</v>
      </c>
      <c r="H337" s="688"/>
      <c r="I337" s="215"/>
      <c r="J337" s="215"/>
      <c r="K337" s="215"/>
      <c r="L337" s="44">
        <v>0</v>
      </c>
      <c r="M337" s="624" t="s">
        <v>1223</v>
      </c>
      <c r="N337" s="158" t="s">
        <v>700</v>
      </c>
      <c r="O337" s="417" t="s">
        <v>1224</v>
      </c>
      <c r="P337" s="477" t="s">
        <v>2155</v>
      </c>
      <c r="Q337" s="505" t="s">
        <v>2156</v>
      </c>
      <c r="R337" s="506">
        <v>1</v>
      </c>
      <c r="S337" s="106" t="s">
        <v>2142</v>
      </c>
      <c r="T337" s="473" t="s">
        <v>2155</v>
      </c>
      <c r="U337" s="106">
        <v>29.16</v>
      </c>
      <c r="V337" s="430">
        <v>0.2</v>
      </c>
      <c r="W337" s="106">
        <v>23.327999999999999</v>
      </c>
      <c r="X337" s="147"/>
      <c r="Y337" s="163"/>
      <c r="Z337" s="163"/>
      <c r="AA337" s="163"/>
      <c r="AB337" s="428">
        <v>0</v>
      </c>
      <c r="AC337" s="41" t="s">
        <v>1223</v>
      </c>
      <c r="AD337" s="42" t="s">
        <v>700</v>
      </c>
      <c r="AE337" s="416" t="s">
        <v>1224</v>
      </c>
    </row>
    <row r="338" spans="1:31" s="1" customFormat="1">
      <c r="A338" s="684" t="s">
        <v>3075</v>
      </c>
      <c r="B338" s="685" t="s">
        <v>3269</v>
      </c>
      <c r="C338" s="686">
        <v>1</v>
      </c>
      <c r="D338" s="693" t="s">
        <v>2142</v>
      </c>
      <c r="E338" s="977">
        <v>29.16</v>
      </c>
      <c r="F338" s="161">
        <f t="shared" si="78"/>
        <v>0.2</v>
      </c>
      <c r="G338" s="647">
        <f>E338-(E338*F338)</f>
        <v>23.327999999999999</v>
      </c>
      <c r="H338" s="688"/>
      <c r="I338" s="215"/>
      <c r="J338" s="215"/>
      <c r="K338" s="215"/>
      <c r="L338" s="44">
        <v>0</v>
      </c>
      <c r="M338" s="624" t="s">
        <v>1223</v>
      </c>
      <c r="N338" s="158" t="s">
        <v>700</v>
      </c>
      <c r="O338" s="417" t="s">
        <v>1224</v>
      </c>
      <c r="P338" s="477"/>
      <c r="Q338" s="505"/>
      <c r="R338" s="506"/>
      <c r="S338" s="106"/>
      <c r="T338" s="473"/>
      <c r="U338" s="106"/>
      <c r="V338" s="430"/>
      <c r="W338" s="106"/>
      <c r="X338" s="147"/>
      <c r="Y338" s="163"/>
      <c r="Z338" s="163"/>
      <c r="AA338" s="163"/>
      <c r="AB338" s="428"/>
      <c r="AC338" s="41"/>
      <c r="AD338" s="42"/>
      <c r="AE338" s="416"/>
    </row>
    <row r="339" spans="1:31" s="1" customFormat="1">
      <c r="A339" s="684" t="s">
        <v>3076</v>
      </c>
      <c r="B339" s="685" t="s">
        <v>3268</v>
      </c>
      <c r="C339" s="686">
        <v>1</v>
      </c>
      <c r="D339" s="693" t="s">
        <v>2142</v>
      </c>
      <c r="E339" s="977">
        <v>29.16</v>
      </c>
      <c r="F339" s="161">
        <f t="shared" si="78"/>
        <v>0.2</v>
      </c>
      <c r="G339" s="647">
        <f>E339-(E339*F339)</f>
        <v>23.327999999999999</v>
      </c>
      <c r="H339" s="688"/>
      <c r="I339" s="215"/>
      <c r="J339" s="215"/>
      <c r="K339" s="215"/>
      <c r="L339" s="44">
        <v>0</v>
      </c>
      <c r="M339" s="624" t="s">
        <v>1223</v>
      </c>
      <c r="N339" s="158" t="s">
        <v>700</v>
      </c>
      <c r="O339" s="417" t="s">
        <v>1224</v>
      </c>
      <c r="P339" s="477"/>
      <c r="Q339" s="505"/>
      <c r="R339" s="506"/>
      <c r="S339" s="106"/>
      <c r="T339" s="473"/>
      <c r="U339" s="106"/>
      <c r="V339" s="430"/>
      <c r="W339" s="106"/>
      <c r="X339" s="147"/>
      <c r="Y339" s="163"/>
      <c r="Z339" s="163"/>
      <c r="AA339" s="163"/>
      <c r="AB339" s="428"/>
      <c r="AC339" s="41"/>
      <c r="AD339" s="42"/>
      <c r="AE339" s="416"/>
    </row>
    <row r="340" spans="1:31" s="1" customFormat="1">
      <c r="A340" s="477" t="s">
        <v>2157</v>
      </c>
      <c r="B340" s="505" t="s">
        <v>3267</v>
      </c>
      <c r="C340" s="506">
        <v>1</v>
      </c>
      <c r="D340" s="585" t="s">
        <v>2142</v>
      </c>
      <c r="E340" s="1009">
        <v>29.16</v>
      </c>
      <c r="F340" s="430">
        <f t="shared" si="78"/>
        <v>0.2</v>
      </c>
      <c r="G340" s="106">
        <f>E340-(E340*F340)</f>
        <v>23.327999999999999</v>
      </c>
      <c r="H340" s="147"/>
      <c r="I340" s="163"/>
      <c r="J340" s="163"/>
      <c r="K340" s="163"/>
      <c r="L340" s="428">
        <v>0</v>
      </c>
      <c r="M340" s="624" t="s">
        <v>1223</v>
      </c>
      <c r="N340" s="158" t="s">
        <v>700</v>
      </c>
      <c r="O340" s="417" t="s">
        <v>1224</v>
      </c>
      <c r="P340" s="477" t="s">
        <v>2157</v>
      </c>
      <c r="Q340" s="505" t="s">
        <v>2158</v>
      </c>
      <c r="R340" s="506">
        <v>1</v>
      </c>
      <c r="S340" s="106" t="s">
        <v>2142</v>
      </c>
      <c r="T340" s="473" t="s">
        <v>2157</v>
      </c>
      <c r="U340" s="428">
        <v>29.16</v>
      </c>
      <c r="V340" s="430">
        <v>0.2</v>
      </c>
      <c r="W340" s="106">
        <v>23.327999999999999</v>
      </c>
      <c r="X340" s="147"/>
      <c r="Y340" s="163"/>
      <c r="Z340" s="163"/>
      <c r="AA340" s="163"/>
      <c r="AB340" s="428">
        <v>0</v>
      </c>
      <c r="AC340" s="41" t="s">
        <v>1223</v>
      </c>
      <c r="AD340" s="42" t="s">
        <v>700</v>
      </c>
      <c r="AE340" s="416" t="s">
        <v>1224</v>
      </c>
    </row>
    <row r="341" spans="1:31" s="1" customFormat="1">
      <c r="A341" s="477" t="s">
        <v>2159</v>
      </c>
      <c r="B341" s="505" t="s">
        <v>3266</v>
      </c>
      <c r="C341" s="506">
        <v>1</v>
      </c>
      <c r="D341" s="585" t="s">
        <v>2142</v>
      </c>
      <c r="E341" s="1009">
        <v>29.16</v>
      </c>
      <c r="F341" s="430">
        <f t="shared" si="78"/>
        <v>0.2</v>
      </c>
      <c r="G341" s="106">
        <f t="shared" ref="G341:G342" si="79">E341-(E341*F341)</f>
        <v>23.327999999999999</v>
      </c>
      <c r="H341" s="147"/>
      <c r="I341" s="163"/>
      <c r="J341" s="163"/>
      <c r="K341" s="163"/>
      <c r="L341" s="428">
        <v>0</v>
      </c>
      <c r="M341" s="624" t="s">
        <v>1223</v>
      </c>
      <c r="N341" s="158" t="s">
        <v>700</v>
      </c>
      <c r="O341" s="417" t="s">
        <v>1224</v>
      </c>
      <c r="P341" s="477" t="s">
        <v>2159</v>
      </c>
      <c r="Q341" s="505" t="s">
        <v>2160</v>
      </c>
      <c r="R341" s="506">
        <v>1</v>
      </c>
      <c r="S341" s="585" t="s">
        <v>2142</v>
      </c>
      <c r="T341" s="508" t="s">
        <v>2159</v>
      </c>
      <c r="U341" s="428">
        <v>29.16</v>
      </c>
      <c r="V341" s="430">
        <v>0.2</v>
      </c>
      <c r="W341" s="106">
        <v>23.327999999999999</v>
      </c>
      <c r="X341" s="147"/>
      <c r="Y341" s="163"/>
      <c r="Z341" s="163"/>
      <c r="AA341" s="163"/>
      <c r="AB341" s="428">
        <v>0</v>
      </c>
      <c r="AC341" s="41" t="s">
        <v>1223</v>
      </c>
      <c r="AD341" s="42" t="s">
        <v>700</v>
      </c>
      <c r="AE341" s="416" t="s">
        <v>1224</v>
      </c>
    </row>
    <row r="342" spans="1:31" s="1" customFormat="1">
      <c r="A342" s="477" t="s">
        <v>2161</v>
      </c>
      <c r="B342" s="505" t="s">
        <v>3265</v>
      </c>
      <c r="C342" s="506">
        <v>1</v>
      </c>
      <c r="D342" s="585" t="s">
        <v>2142</v>
      </c>
      <c r="E342" s="1009">
        <v>29.16</v>
      </c>
      <c r="F342" s="430">
        <f t="shared" si="78"/>
        <v>0.2</v>
      </c>
      <c r="G342" s="106">
        <f t="shared" si="79"/>
        <v>23.327999999999999</v>
      </c>
      <c r="H342" s="147"/>
      <c r="I342" s="163"/>
      <c r="J342" s="163"/>
      <c r="K342" s="163"/>
      <c r="L342" s="428">
        <v>0</v>
      </c>
      <c r="M342" s="624" t="s">
        <v>1223</v>
      </c>
      <c r="N342" s="159" t="s">
        <v>700</v>
      </c>
      <c r="O342" s="221" t="s">
        <v>1224</v>
      </c>
      <c r="P342" s="477" t="s">
        <v>2161</v>
      </c>
      <c r="Q342" s="505" t="s">
        <v>2162</v>
      </c>
      <c r="R342" s="506">
        <v>1</v>
      </c>
      <c r="S342" s="585" t="s">
        <v>2142</v>
      </c>
      <c r="T342" s="508" t="s">
        <v>2161</v>
      </c>
      <c r="U342" s="428">
        <v>29.16</v>
      </c>
      <c r="V342" s="430">
        <v>0.2</v>
      </c>
      <c r="W342" s="106">
        <v>23.327999999999999</v>
      </c>
      <c r="X342" s="147"/>
      <c r="Y342" s="163"/>
      <c r="Z342" s="163"/>
      <c r="AA342" s="163"/>
      <c r="AB342" s="428">
        <v>0</v>
      </c>
      <c r="AC342" s="41" t="s">
        <v>1223</v>
      </c>
      <c r="AD342" s="14" t="s">
        <v>700</v>
      </c>
      <c r="AE342" s="157" t="s">
        <v>1224</v>
      </c>
    </row>
    <row r="343" spans="1:31" s="203" customFormat="1">
      <c r="A343" s="477"/>
      <c r="B343" s="505"/>
      <c r="C343" s="506"/>
      <c r="D343" s="585"/>
      <c r="E343" s="1009"/>
      <c r="F343" s="430"/>
      <c r="G343" s="106"/>
      <c r="H343" s="147"/>
      <c r="I343" s="163"/>
      <c r="J343" s="163"/>
      <c r="K343" s="163"/>
      <c r="L343" s="428"/>
      <c r="M343" s="624"/>
      <c r="N343" s="158"/>
      <c r="O343" s="417"/>
      <c r="P343" s="650" t="s">
        <v>2272</v>
      </c>
      <c r="Q343" s="651" t="s">
        <v>2273</v>
      </c>
      <c r="R343" s="652">
        <v>1</v>
      </c>
      <c r="S343" s="690" t="s">
        <v>2274</v>
      </c>
      <c r="T343" s="691" t="s">
        <v>2272</v>
      </c>
      <c r="U343" s="659">
        <v>34</v>
      </c>
      <c r="V343" s="655">
        <v>0.3</v>
      </c>
      <c r="W343" s="654">
        <v>23.8</v>
      </c>
      <c r="X343" s="656"/>
      <c r="Y343" s="657"/>
      <c r="Z343" s="657"/>
      <c r="AA343" s="657"/>
      <c r="AB343" s="659">
        <v>0</v>
      </c>
      <c r="AC343" s="660" t="s">
        <v>1223</v>
      </c>
      <c r="AD343" s="661" t="s">
        <v>700</v>
      </c>
      <c r="AE343" s="662" t="s">
        <v>1224</v>
      </c>
    </row>
    <row r="344" spans="1:31" s="203" customFormat="1">
      <c r="A344" s="477"/>
      <c r="B344" s="505"/>
      <c r="C344" s="506"/>
      <c r="D344" s="585"/>
      <c r="E344" s="1009"/>
      <c r="F344" s="430"/>
      <c r="G344" s="106"/>
      <c r="H344" s="147"/>
      <c r="I344" s="163"/>
      <c r="J344" s="163"/>
      <c r="K344" s="163"/>
      <c r="L344" s="428"/>
      <c r="M344" s="624"/>
      <c r="N344" s="158"/>
      <c r="O344" s="417"/>
      <c r="P344" s="650" t="s">
        <v>2275</v>
      </c>
      <c r="Q344" s="651" t="s">
        <v>2276</v>
      </c>
      <c r="R344" s="652">
        <v>1</v>
      </c>
      <c r="S344" s="690" t="s">
        <v>2274</v>
      </c>
      <c r="T344" s="691" t="s">
        <v>2275</v>
      </c>
      <c r="U344" s="659">
        <v>34</v>
      </c>
      <c r="V344" s="655">
        <v>0.3</v>
      </c>
      <c r="W344" s="654">
        <v>23.8</v>
      </c>
      <c r="X344" s="656"/>
      <c r="Y344" s="657"/>
      <c r="Z344" s="657"/>
      <c r="AA344" s="657"/>
      <c r="AB344" s="659">
        <v>0</v>
      </c>
      <c r="AC344" s="660" t="s">
        <v>1223</v>
      </c>
      <c r="AD344" s="661" t="s">
        <v>700</v>
      </c>
      <c r="AE344" s="662" t="s">
        <v>1224</v>
      </c>
    </row>
    <row r="345" spans="1:31" s="203" customFormat="1">
      <c r="A345" s="684" t="s">
        <v>3070</v>
      </c>
      <c r="B345" s="685" t="s">
        <v>3264</v>
      </c>
      <c r="C345" s="686">
        <v>1</v>
      </c>
      <c r="D345" s="693" t="s">
        <v>2142</v>
      </c>
      <c r="E345" s="977">
        <v>29.16</v>
      </c>
      <c r="F345" s="161">
        <f>rv_10</f>
        <v>0.1</v>
      </c>
      <c r="G345" s="647">
        <f t="shared" ref="G345" si="80">E345-(E345*F345)</f>
        <v>26.244</v>
      </c>
      <c r="H345" s="688"/>
      <c r="I345" s="215"/>
      <c r="J345" s="215"/>
      <c r="K345" s="215"/>
      <c r="L345" s="44">
        <v>0</v>
      </c>
      <c r="M345" s="624" t="s">
        <v>1223</v>
      </c>
      <c r="N345" s="159" t="s">
        <v>700</v>
      </c>
      <c r="O345" s="221" t="s">
        <v>1224</v>
      </c>
      <c r="P345" s="477"/>
      <c r="Q345" s="505"/>
      <c r="R345" s="506"/>
      <c r="S345" s="585"/>
      <c r="T345" s="508"/>
      <c r="U345" s="106"/>
      <c r="V345" s="430"/>
      <c r="W345" s="106"/>
      <c r="X345" s="147"/>
      <c r="Y345" s="163"/>
      <c r="Z345" s="163"/>
      <c r="AA345" s="163"/>
      <c r="AB345" s="428"/>
      <c r="AC345" s="41"/>
      <c r="AD345" s="42"/>
      <c r="AE345" s="416"/>
    </row>
    <row r="346" spans="1:31" s="203" customFormat="1">
      <c r="A346" s="684" t="s">
        <v>3071</v>
      </c>
      <c r="B346" s="685" t="s">
        <v>3263</v>
      </c>
      <c r="C346" s="686">
        <v>1</v>
      </c>
      <c r="D346" s="693" t="s">
        <v>2142</v>
      </c>
      <c r="E346" s="977">
        <v>29.16</v>
      </c>
      <c r="F346" s="161">
        <f>rv_10</f>
        <v>0.1</v>
      </c>
      <c r="G346" s="647">
        <f t="shared" ref="G346" si="81">E346-(E346*F346)</f>
        <v>26.244</v>
      </c>
      <c r="H346" s="688"/>
      <c r="I346" s="215"/>
      <c r="J346" s="215"/>
      <c r="K346" s="215"/>
      <c r="L346" s="44">
        <v>0</v>
      </c>
      <c r="M346" s="624" t="s">
        <v>1223</v>
      </c>
      <c r="N346" s="159" t="s">
        <v>700</v>
      </c>
      <c r="O346" s="221" t="s">
        <v>1224</v>
      </c>
      <c r="P346" s="477"/>
      <c r="Q346" s="505"/>
      <c r="R346" s="506"/>
      <c r="S346" s="585"/>
      <c r="T346" s="508"/>
      <c r="U346" s="106"/>
      <c r="V346" s="430"/>
      <c r="W346" s="106"/>
      <c r="X346" s="147"/>
      <c r="Y346" s="163"/>
      <c r="Z346" s="163"/>
      <c r="AA346" s="163"/>
      <c r="AB346" s="428"/>
      <c r="AC346" s="41"/>
      <c r="AD346" s="42"/>
      <c r="AE346" s="416"/>
    </row>
    <row r="347" spans="1:31" s="203" customFormat="1">
      <c r="A347" s="684" t="s">
        <v>3073</v>
      </c>
      <c r="B347" s="685" t="s">
        <v>3262</v>
      </c>
      <c r="C347" s="686">
        <v>1</v>
      </c>
      <c r="D347" s="693" t="s">
        <v>2142</v>
      </c>
      <c r="E347" s="977">
        <v>29.16</v>
      </c>
      <c r="F347" s="161">
        <f>rv_10</f>
        <v>0.1</v>
      </c>
      <c r="G347" s="647">
        <f t="shared" ref="G347" si="82">E347-(E347*F347)</f>
        <v>26.244</v>
      </c>
      <c r="H347" s="688"/>
      <c r="I347" s="215"/>
      <c r="J347" s="215"/>
      <c r="K347" s="215"/>
      <c r="L347" s="44">
        <v>0</v>
      </c>
      <c r="M347" s="624" t="s">
        <v>1223</v>
      </c>
      <c r="N347" s="159" t="s">
        <v>700</v>
      </c>
      <c r="O347" s="221" t="s">
        <v>1224</v>
      </c>
      <c r="P347" s="477"/>
      <c r="Q347" s="505"/>
      <c r="R347" s="506"/>
      <c r="S347" s="585"/>
      <c r="T347" s="508"/>
      <c r="U347" s="106"/>
      <c r="V347" s="430"/>
      <c r="W347" s="106"/>
      <c r="X347" s="147"/>
      <c r="Y347" s="163"/>
      <c r="Z347" s="163"/>
      <c r="AA347" s="163"/>
      <c r="AB347" s="428"/>
      <c r="AC347" s="41"/>
      <c r="AD347" s="42"/>
      <c r="AE347" s="416"/>
    </row>
    <row r="348" spans="1:31" s="203" customFormat="1">
      <c r="A348" s="684" t="s">
        <v>3072</v>
      </c>
      <c r="B348" s="685" t="s">
        <v>3261</v>
      </c>
      <c r="C348" s="686">
        <v>1</v>
      </c>
      <c r="D348" s="693" t="s">
        <v>2142</v>
      </c>
      <c r="E348" s="977">
        <v>29.16</v>
      </c>
      <c r="F348" s="161">
        <f>rv_10</f>
        <v>0.1</v>
      </c>
      <c r="G348" s="647">
        <f t="shared" ref="G348:G349" si="83">E348-(E348*F348)</f>
        <v>26.244</v>
      </c>
      <c r="H348" s="688"/>
      <c r="I348" s="215"/>
      <c r="J348" s="215"/>
      <c r="K348" s="215"/>
      <c r="L348" s="44">
        <v>0</v>
      </c>
      <c r="M348" s="624" t="s">
        <v>1223</v>
      </c>
      <c r="N348" s="159" t="s">
        <v>700</v>
      </c>
      <c r="O348" s="221" t="s">
        <v>1224</v>
      </c>
      <c r="P348" s="477"/>
      <c r="Q348" s="505"/>
      <c r="R348" s="506"/>
      <c r="S348" s="585"/>
      <c r="T348" s="508"/>
      <c r="U348" s="106"/>
      <c r="V348" s="430"/>
      <c r="W348" s="106"/>
      <c r="X348" s="147"/>
      <c r="Y348" s="163"/>
      <c r="Z348" s="163"/>
      <c r="AA348" s="163"/>
      <c r="AB348" s="428"/>
      <c r="AC348" s="41"/>
      <c r="AD348" s="42"/>
      <c r="AE348" s="416"/>
    </row>
    <row r="349" spans="1:31" s="203" customFormat="1" ht="13.5" thickBot="1">
      <c r="A349" s="684" t="s">
        <v>3259</v>
      </c>
      <c r="B349" s="685" t="s">
        <v>3260</v>
      </c>
      <c r="C349" s="686">
        <v>1</v>
      </c>
      <c r="D349" s="693" t="s">
        <v>3224</v>
      </c>
      <c r="E349" s="977">
        <v>16.579999999999998</v>
      </c>
      <c r="F349" s="161">
        <f>rv_10</f>
        <v>0.1</v>
      </c>
      <c r="G349" s="647">
        <f t="shared" si="83"/>
        <v>14.921999999999999</v>
      </c>
      <c r="H349" s="688"/>
      <c r="I349" s="215"/>
      <c r="J349" s="215"/>
      <c r="K349" s="215"/>
      <c r="L349" s="44">
        <v>0</v>
      </c>
      <c r="M349" s="624" t="s">
        <v>1223</v>
      </c>
      <c r="N349" s="158" t="s">
        <v>700</v>
      </c>
      <c r="O349" s="417" t="s">
        <v>1224</v>
      </c>
      <c r="P349" s="477"/>
      <c r="Q349" s="505"/>
      <c r="R349" s="506"/>
      <c r="S349" s="585"/>
      <c r="T349" s="508"/>
      <c r="U349" s="106"/>
      <c r="V349" s="430"/>
      <c r="W349" s="106"/>
      <c r="X349" s="147"/>
      <c r="Y349" s="163"/>
      <c r="Z349" s="163"/>
      <c r="AA349" s="163"/>
      <c r="AB349" s="428"/>
      <c r="AC349" s="41"/>
      <c r="AD349" s="42"/>
      <c r="AE349" s="416"/>
    </row>
    <row r="350" spans="1:31" s="683" customFormat="1" ht="19.5" thickBot="1">
      <c r="A350" s="673"/>
      <c r="B350" s="675"/>
      <c r="C350" s="663"/>
      <c r="D350" s="676"/>
      <c r="E350" s="1020"/>
      <c r="F350" s="665"/>
      <c r="G350" s="664"/>
      <c r="H350" s="666"/>
      <c r="I350" s="667"/>
      <c r="J350" s="667"/>
      <c r="K350" s="678"/>
      <c r="L350" s="668"/>
      <c r="M350" s="669"/>
      <c r="N350" s="670"/>
      <c r="O350" s="679"/>
      <c r="P350" s="674"/>
      <c r="Q350" s="675"/>
      <c r="R350" s="663"/>
      <c r="S350" s="676"/>
      <c r="T350" s="677"/>
      <c r="U350" s="664"/>
      <c r="V350" s="665"/>
      <c r="W350" s="664"/>
      <c r="X350" s="666"/>
      <c r="Y350" s="667"/>
      <c r="Z350" s="667"/>
      <c r="AA350" s="678"/>
      <c r="AB350" s="668"/>
      <c r="AC350" s="680"/>
      <c r="AD350" s="681"/>
      <c r="AE350" s="682"/>
    </row>
    <row r="351" spans="1:31" s="1" customFormat="1">
      <c r="A351" s="477" t="s">
        <v>2073</v>
      </c>
      <c r="B351" s="505" t="s">
        <v>2074</v>
      </c>
      <c r="C351" s="506">
        <v>1</v>
      </c>
      <c r="D351" s="585" t="s">
        <v>1588</v>
      </c>
      <c r="E351" s="1009">
        <v>42.34</v>
      </c>
      <c r="F351" s="430">
        <f t="shared" si="67"/>
        <v>0.2</v>
      </c>
      <c r="G351" s="106">
        <f t="shared" si="69"/>
        <v>33.872</v>
      </c>
      <c r="H351" s="147"/>
      <c r="I351" s="163"/>
      <c r="J351" s="163"/>
      <c r="K351" s="163"/>
      <c r="L351" s="428">
        <v>0.02</v>
      </c>
      <c r="M351" s="624" t="s">
        <v>1223</v>
      </c>
      <c r="N351" s="158" t="s">
        <v>700</v>
      </c>
      <c r="O351" s="417" t="s">
        <v>1224</v>
      </c>
      <c r="P351" s="477" t="s">
        <v>2073</v>
      </c>
      <c r="Q351" s="505" t="s">
        <v>2074</v>
      </c>
      <c r="R351" s="506">
        <v>1</v>
      </c>
      <c r="S351" s="106" t="s">
        <v>1588</v>
      </c>
      <c r="T351" s="473" t="s">
        <v>2073</v>
      </c>
      <c r="U351" s="106">
        <v>42.34</v>
      </c>
      <c r="V351" s="430">
        <v>0.2</v>
      </c>
      <c r="W351" s="106">
        <v>33.872</v>
      </c>
      <c r="X351" s="147"/>
      <c r="Y351" s="163"/>
      <c r="Z351" s="163"/>
      <c r="AA351" s="163"/>
      <c r="AB351" s="428">
        <v>0.02</v>
      </c>
      <c r="AC351" s="41" t="s">
        <v>1223</v>
      </c>
      <c r="AD351" s="42" t="s">
        <v>700</v>
      </c>
      <c r="AE351" s="416" t="s">
        <v>1224</v>
      </c>
    </row>
    <row r="352" spans="1:31" s="1" customFormat="1">
      <c r="A352" s="477" t="s">
        <v>2075</v>
      </c>
      <c r="B352" s="505" t="s">
        <v>2076</v>
      </c>
      <c r="C352" s="506">
        <v>1</v>
      </c>
      <c r="D352" s="585" t="s">
        <v>1588</v>
      </c>
      <c r="E352" s="1009">
        <v>134.02000000000001</v>
      </c>
      <c r="F352" s="430">
        <f>rv_10</f>
        <v>0.1</v>
      </c>
      <c r="G352" s="106">
        <f t="shared" si="69"/>
        <v>120.61800000000001</v>
      </c>
      <c r="H352" s="147"/>
      <c r="I352" s="163"/>
      <c r="J352" s="163"/>
      <c r="K352" s="163"/>
      <c r="L352" s="428">
        <v>0.2</v>
      </c>
      <c r="M352" s="624" t="s">
        <v>1223</v>
      </c>
      <c r="N352" s="158" t="s">
        <v>700</v>
      </c>
      <c r="O352" s="417" t="s">
        <v>1224</v>
      </c>
      <c r="P352" s="477" t="s">
        <v>2075</v>
      </c>
      <c r="Q352" s="505" t="s">
        <v>2076</v>
      </c>
      <c r="R352" s="506">
        <v>1</v>
      </c>
      <c r="S352" s="106" t="s">
        <v>1588</v>
      </c>
      <c r="T352" s="473" t="s">
        <v>2075</v>
      </c>
      <c r="U352" s="106">
        <v>134.02000000000001</v>
      </c>
      <c r="V352" s="430">
        <v>0.1</v>
      </c>
      <c r="W352" s="106">
        <v>120.61800000000001</v>
      </c>
      <c r="X352" s="147"/>
      <c r="Y352" s="163"/>
      <c r="Z352" s="163"/>
      <c r="AA352" s="163"/>
      <c r="AB352" s="428">
        <v>0.2</v>
      </c>
      <c r="AC352" s="41" t="s">
        <v>1223</v>
      </c>
      <c r="AD352" s="42" t="s">
        <v>700</v>
      </c>
      <c r="AE352" s="416" t="s">
        <v>1224</v>
      </c>
    </row>
    <row r="353" spans="1:31" s="1" customFormat="1">
      <c r="A353" s="477" t="s">
        <v>2077</v>
      </c>
      <c r="B353" s="505" t="s">
        <v>2078</v>
      </c>
      <c r="C353" s="506">
        <v>1</v>
      </c>
      <c r="D353" s="585" t="s">
        <v>1588</v>
      </c>
      <c r="E353" s="1009">
        <v>43.75</v>
      </c>
      <c r="F353" s="430">
        <f t="shared" ref="F353:F396" si="84">rv_20</f>
        <v>0.2</v>
      </c>
      <c r="G353" s="106">
        <f t="shared" si="69"/>
        <v>35</v>
      </c>
      <c r="H353" s="147"/>
      <c r="I353" s="163"/>
      <c r="J353" s="163"/>
      <c r="K353" s="163"/>
      <c r="L353" s="428">
        <v>0.1</v>
      </c>
      <c r="M353" s="624" t="s">
        <v>1223</v>
      </c>
      <c r="N353" s="158" t="s">
        <v>700</v>
      </c>
      <c r="O353" s="417" t="s">
        <v>1224</v>
      </c>
      <c r="P353" s="477" t="s">
        <v>2077</v>
      </c>
      <c r="Q353" s="505" t="s">
        <v>2078</v>
      </c>
      <c r="R353" s="506">
        <v>1</v>
      </c>
      <c r="S353" s="106" t="s">
        <v>1588</v>
      </c>
      <c r="T353" s="473" t="s">
        <v>2077</v>
      </c>
      <c r="U353" s="106">
        <v>43.75</v>
      </c>
      <c r="V353" s="430">
        <v>0.2</v>
      </c>
      <c r="W353" s="106">
        <v>35</v>
      </c>
      <c r="X353" s="147"/>
      <c r="Y353" s="163"/>
      <c r="Z353" s="163"/>
      <c r="AA353" s="163"/>
      <c r="AB353" s="428">
        <v>0.1</v>
      </c>
      <c r="AC353" s="41" t="s">
        <v>1223</v>
      </c>
      <c r="AD353" s="42" t="s">
        <v>700</v>
      </c>
      <c r="AE353" s="416" t="s">
        <v>1224</v>
      </c>
    </row>
    <row r="354" spans="1:31" s="1" customFormat="1">
      <c r="A354" s="477" t="s">
        <v>2079</v>
      </c>
      <c r="B354" s="505" t="s">
        <v>2080</v>
      </c>
      <c r="C354" s="506">
        <v>1</v>
      </c>
      <c r="D354" s="585" t="s">
        <v>1588</v>
      </c>
      <c r="E354" s="1009">
        <v>28.29</v>
      </c>
      <c r="F354" s="430">
        <f t="shared" si="84"/>
        <v>0.2</v>
      </c>
      <c r="G354" s="106">
        <f t="shared" si="69"/>
        <v>22.631999999999998</v>
      </c>
      <c r="H354" s="147"/>
      <c r="I354" s="163"/>
      <c r="J354" s="163"/>
      <c r="K354" s="163"/>
      <c r="L354" s="428">
        <v>0.1</v>
      </c>
      <c r="M354" s="624" t="s">
        <v>1223</v>
      </c>
      <c r="N354" s="158" t="s">
        <v>700</v>
      </c>
      <c r="O354" s="417" t="s">
        <v>1224</v>
      </c>
      <c r="P354" s="477" t="s">
        <v>2079</v>
      </c>
      <c r="Q354" s="505" t="s">
        <v>2080</v>
      </c>
      <c r="R354" s="506">
        <v>1</v>
      </c>
      <c r="S354" s="106" t="s">
        <v>1588</v>
      </c>
      <c r="T354" s="473" t="s">
        <v>2079</v>
      </c>
      <c r="U354" s="106">
        <v>28.29</v>
      </c>
      <c r="V354" s="430">
        <v>0.2</v>
      </c>
      <c r="W354" s="106">
        <v>22.631999999999998</v>
      </c>
      <c r="X354" s="147"/>
      <c r="Y354" s="163"/>
      <c r="Z354" s="163"/>
      <c r="AA354" s="163"/>
      <c r="AB354" s="428">
        <v>0.1</v>
      </c>
      <c r="AC354" s="41" t="s">
        <v>1223</v>
      </c>
      <c r="AD354" s="42" t="s">
        <v>700</v>
      </c>
      <c r="AE354" s="416" t="s">
        <v>1224</v>
      </c>
    </row>
    <row r="355" spans="1:31" s="1" customFormat="1">
      <c r="A355" s="477" t="s">
        <v>2081</v>
      </c>
      <c r="B355" s="505" t="s">
        <v>2082</v>
      </c>
      <c r="C355" s="506">
        <v>1</v>
      </c>
      <c r="D355" s="585" t="s">
        <v>1588</v>
      </c>
      <c r="E355" s="1009">
        <v>97.32</v>
      </c>
      <c r="F355" s="430">
        <f t="shared" si="84"/>
        <v>0.2</v>
      </c>
      <c r="G355" s="106">
        <f t="shared" si="69"/>
        <v>77.855999999999995</v>
      </c>
      <c r="H355" s="147"/>
      <c r="I355" s="163"/>
      <c r="J355" s="163"/>
      <c r="K355" s="163"/>
      <c r="L355" s="428">
        <v>0.38</v>
      </c>
      <c r="M355" s="624" t="s">
        <v>1223</v>
      </c>
      <c r="N355" s="158" t="s">
        <v>700</v>
      </c>
      <c r="O355" s="417" t="s">
        <v>1224</v>
      </c>
      <c r="P355" s="477" t="s">
        <v>2081</v>
      </c>
      <c r="Q355" s="505" t="s">
        <v>2082</v>
      </c>
      <c r="R355" s="506">
        <v>1</v>
      </c>
      <c r="S355" s="106" t="s">
        <v>1588</v>
      </c>
      <c r="T355" s="473" t="s">
        <v>2081</v>
      </c>
      <c r="U355" s="106">
        <v>97.32</v>
      </c>
      <c r="V355" s="430">
        <v>0.2</v>
      </c>
      <c r="W355" s="106">
        <v>77.855999999999995</v>
      </c>
      <c r="X355" s="147"/>
      <c r="Y355" s="163"/>
      <c r="Z355" s="163"/>
      <c r="AA355" s="163"/>
      <c r="AB355" s="428">
        <v>0.38</v>
      </c>
      <c r="AC355" s="41" t="s">
        <v>1223</v>
      </c>
      <c r="AD355" s="42" t="s">
        <v>700</v>
      </c>
      <c r="AE355" s="416" t="s">
        <v>1224</v>
      </c>
    </row>
    <row r="356" spans="1:31" s="1" customFormat="1">
      <c r="A356" s="477" t="s">
        <v>2083</v>
      </c>
      <c r="B356" s="505" t="s">
        <v>2084</v>
      </c>
      <c r="C356" s="506">
        <v>1</v>
      </c>
      <c r="D356" s="585" t="s">
        <v>1588</v>
      </c>
      <c r="E356" s="1009">
        <v>124.07</v>
      </c>
      <c r="F356" s="430">
        <f t="shared" si="84"/>
        <v>0.2</v>
      </c>
      <c r="G356" s="106">
        <f t="shared" si="69"/>
        <v>99.256</v>
      </c>
      <c r="H356" s="147"/>
      <c r="I356" s="163"/>
      <c r="J356" s="163"/>
      <c r="K356" s="163"/>
      <c r="L356" s="428">
        <v>0.63</v>
      </c>
      <c r="M356" s="624" t="s">
        <v>1223</v>
      </c>
      <c r="N356" s="158" t="s">
        <v>700</v>
      </c>
      <c r="O356" s="417" t="s">
        <v>1224</v>
      </c>
      <c r="P356" s="477" t="s">
        <v>2083</v>
      </c>
      <c r="Q356" s="505" t="s">
        <v>2084</v>
      </c>
      <c r="R356" s="506">
        <v>1</v>
      </c>
      <c r="S356" s="106" t="s">
        <v>1588</v>
      </c>
      <c r="T356" s="473" t="s">
        <v>2083</v>
      </c>
      <c r="U356" s="106">
        <v>124.07</v>
      </c>
      <c r="V356" s="430">
        <v>0.2</v>
      </c>
      <c r="W356" s="106">
        <v>99.256</v>
      </c>
      <c r="X356" s="147"/>
      <c r="Y356" s="163"/>
      <c r="Z356" s="163"/>
      <c r="AA356" s="163"/>
      <c r="AB356" s="428">
        <v>0.63</v>
      </c>
      <c r="AC356" s="41" t="s">
        <v>1223</v>
      </c>
      <c r="AD356" s="42" t="s">
        <v>700</v>
      </c>
      <c r="AE356" s="416" t="s">
        <v>1224</v>
      </c>
    </row>
    <row r="357" spans="1:31" s="1" customFormat="1">
      <c r="A357" s="477" t="s">
        <v>2085</v>
      </c>
      <c r="B357" s="505" t="s">
        <v>2086</v>
      </c>
      <c r="C357" s="506">
        <v>1</v>
      </c>
      <c r="D357" s="585" t="s">
        <v>1588</v>
      </c>
      <c r="E357" s="1009">
        <v>74.11</v>
      </c>
      <c r="F357" s="430">
        <f t="shared" si="84"/>
        <v>0.2</v>
      </c>
      <c r="G357" s="106">
        <f t="shared" si="69"/>
        <v>59.287999999999997</v>
      </c>
      <c r="H357" s="147"/>
      <c r="I357" s="163"/>
      <c r="J357" s="163"/>
      <c r="K357" s="163"/>
      <c r="L357" s="428">
        <v>0.05</v>
      </c>
      <c r="M357" s="624" t="s">
        <v>1223</v>
      </c>
      <c r="N357" s="158" t="s">
        <v>700</v>
      </c>
      <c r="O357" s="417" t="s">
        <v>1224</v>
      </c>
      <c r="P357" s="477" t="s">
        <v>2085</v>
      </c>
      <c r="Q357" s="505" t="s">
        <v>2086</v>
      </c>
      <c r="R357" s="506">
        <v>1</v>
      </c>
      <c r="S357" s="106" t="s">
        <v>1588</v>
      </c>
      <c r="T357" s="473" t="s">
        <v>2085</v>
      </c>
      <c r="U357" s="106">
        <v>74.11</v>
      </c>
      <c r="V357" s="430">
        <v>0.2</v>
      </c>
      <c r="W357" s="106">
        <v>59.287999999999997</v>
      </c>
      <c r="X357" s="147"/>
      <c r="Y357" s="163"/>
      <c r="Z357" s="163"/>
      <c r="AA357" s="163"/>
      <c r="AB357" s="428">
        <v>0.05</v>
      </c>
      <c r="AC357" s="41" t="s">
        <v>1223</v>
      </c>
      <c r="AD357" s="42" t="s">
        <v>700</v>
      </c>
      <c r="AE357" s="416" t="s">
        <v>1224</v>
      </c>
    </row>
    <row r="358" spans="1:31" s="1" customFormat="1">
      <c r="A358" s="477" t="s">
        <v>2087</v>
      </c>
      <c r="B358" s="505" t="s">
        <v>2088</v>
      </c>
      <c r="C358" s="506">
        <v>1</v>
      </c>
      <c r="D358" s="585" t="s">
        <v>2089</v>
      </c>
      <c r="E358" s="1009">
        <v>59.17</v>
      </c>
      <c r="F358" s="430">
        <f>rv_20</f>
        <v>0.2</v>
      </c>
      <c r="G358" s="106">
        <f t="shared" si="69"/>
        <v>47.335999999999999</v>
      </c>
      <c r="H358" s="147"/>
      <c r="I358" s="163"/>
      <c r="J358" s="163"/>
      <c r="K358" s="163"/>
      <c r="L358" s="428"/>
      <c r="M358" s="624" t="s">
        <v>1223</v>
      </c>
      <c r="N358" s="158" t="s">
        <v>700</v>
      </c>
      <c r="O358" s="417" t="s">
        <v>1224</v>
      </c>
      <c r="P358" s="477" t="s">
        <v>2087</v>
      </c>
      <c r="Q358" s="505" t="s">
        <v>2088</v>
      </c>
      <c r="R358" s="506">
        <v>1</v>
      </c>
      <c r="S358" s="106" t="s">
        <v>2089</v>
      </c>
      <c r="T358" s="473" t="s">
        <v>2087</v>
      </c>
      <c r="U358" s="106">
        <v>59.17</v>
      </c>
      <c r="V358" s="430">
        <v>0.2</v>
      </c>
      <c r="W358" s="106">
        <v>47.335999999999999</v>
      </c>
      <c r="X358" s="147"/>
      <c r="Y358" s="163"/>
      <c r="Z358" s="163"/>
      <c r="AA358" s="163"/>
      <c r="AB358" s="428">
        <v>0</v>
      </c>
      <c r="AC358" s="41" t="s">
        <v>1223</v>
      </c>
      <c r="AD358" s="42" t="s">
        <v>700</v>
      </c>
      <c r="AE358" s="416" t="s">
        <v>1224</v>
      </c>
    </row>
    <row r="359" spans="1:31" s="1" customFormat="1">
      <c r="A359" s="477" t="s">
        <v>2090</v>
      </c>
      <c r="B359" s="505" t="s">
        <v>2091</v>
      </c>
      <c r="C359" s="506">
        <v>1</v>
      </c>
      <c r="D359" s="585" t="s">
        <v>2089</v>
      </c>
      <c r="E359" s="1009">
        <v>79.17</v>
      </c>
      <c r="F359" s="430">
        <f t="shared" si="84"/>
        <v>0.2</v>
      </c>
      <c r="G359" s="106">
        <f t="shared" ref="G359" si="85">E359-(E359*F359)</f>
        <v>63.335999999999999</v>
      </c>
      <c r="H359" s="147"/>
      <c r="I359" s="163"/>
      <c r="J359" s="163"/>
      <c r="K359" s="163"/>
      <c r="L359" s="428"/>
      <c r="M359" s="624" t="s">
        <v>1223</v>
      </c>
      <c r="N359" s="158" t="s">
        <v>700</v>
      </c>
      <c r="O359" s="417" t="s">
        <v>1224</v>
      </c>
      <c r="P359" s="477" t="s">
        <v>2090</v>
      </c>
      <c r="Q359" s="505" t="s">
        <v>2091</v>
      </c>
      <c r="R359" s="506">
        <v>1</v>
      </c>
      <c r="S359" s="106" t="s">
        <v>2089</v>
      </c>
      <c r="T359" s="473" t="s">
        <v>2090</v>
      </c>
      <c r="U359" s="106">
        <v>79.17</v>
      </c>
      <c r="V359" s="430">
        <v>0.2</v>
      </c>
      <c r="W359" s="106">
        <v>63.335999999999999</v>
      </c>
      <c r="X359" s="147"/>
      <c r="Y359" s="163"/>
      <c r="Z359" s="163"/>
      <c r="AA359" s="163"/>
      <c r="AB359" s="428">
        <v>0</v>
      </c>
      <c r="AC359" s="41" t="s">
        <v>1223</v>
      </c>
      <c r="AD359" s="42" t="s">
        <v>700</v>
      </c>
      <c r="AE359" s="416" t="s">
        <v>1224</v>
      </c>
    </row>
    <row r="360" spans="1:31" s="1" customFormat="1">
      <c r="A360" s="477" t="s">
        <v>2092</v>
      </c>
      <c r="B360" s="505" t="s">
        <v>2093</v>
      </c>
      <c r="C360" s="506">
        <v>1</v>
      </c>
      <c r="D360" s="585" t="s">
        <v>2089</v>
      </c>
      <c r="E360" s="1009">
        <v>79.17</v>
      </c>
      <c r="F360" s="430">
        <f t="shared" si="84"/>
        <v>0.2</v>
      </c>
      <c r="G360" s="106">
        <f t="shared" si="69"/>
        <v>63.335999999999999</v>
      </c>
      <c r="H360" s="147"/>
      <c r="I360" s="163"/>
      <c r="J360" s="163"/>
      <c r="K360" s="163"/>
      <c r="L360" s="428"/>
      <c r="M360" s="624" t="s">
        <v>1223</v>
      </c>
      <c r="N360" s="158" t="s">
        <v>700</v>
      </c>
      <c r="O360" s="417" t="s">
        <v>1224</v>
      </c>
      <c r="P360" s="477" t="s">
        <v>2092</v>
      </c>
      <c r="Q360" s="505" t="s">
        <v>2093</v>
      </c>
      <c r="R360" s="506">
        <v>1</v>
      </c>
      <c r="S360" s="106" t="s">
        <v>2089</v>
      </c>
      <c r="T360" s="473" t="s">
        <v>2094</v>
      </c>
      <c r="U360" s="106">
        <v>79.17</v>
      </c>
      <c r="V360" s="430">
        <v>0.2</v>
      </c>
      <c r="W360" s="106">
        <v>63.335999999999999</v>
      </c>
      <c r="X360" s="147"/>
      <c r="Y360" s="163"/>
      <c r="Z360" s="163"/>
      <c r="AA360" s="163"/>
      <c r="AB360" s="428">
        <v>0</v>
      </c>
      <c r="AC360" s="41" t="s">
        <v>1223</v>
      </c>
      <c r="AD360" s="42" t="s">
        <v>700</v>
      </c>
      <c r="AE360" s="416" t="s">
        <v>1224</v>
      </c>
    </row>
    <row r="361" spans="1:31" s="1" customFormat="1">
      <c r="A361" s="684" t="s">
        <v>3209</v>
      </c>
      <c r="B361" s="685" t="s">
        <v>3212</v>
      </c>
      <c r="C361" s="686">
        <v>1</v>
      </c>
      <c r="D361" s="693" t="s">
        <v>2089</v>
      </c>
      <c r="E361" s="977">
        <v>59.17</v>
      </c>
      <c r="F361" s="161">
        <f>rv_20</f>
        <v>0.2</v>
      </c>
      <c r="G361" s="647">
        <f t="shared" ref="G361:G364" si="86">E361-(E361*F361)</f>
        <v>47.335999999999999</v>
      </c>
      <c r="H361" s="688"/>
      <c r="I361" s="215"/>
      <c r="J361" s="215"/>
      <c r="K361" s="215"/>
      <c r="L361" s="44"/>
      <c r="M361" s="624" t="s">
        <v>1223</v>
      </c>
      <c r="N361" s="158" t="s">
        <v>700</v>
      </c>
      <c r="O361" s="417" t="s">
        <v>1224</v>
      </c>
      <c r="P361" s="477"/>
      <c r="Q361" s="505"/>
      <c r="R361" s="506"/>
      <c r="S361" s="106"/>
      <c r="T361" s="473"/>
      <c r="U361" s="106"/>
      <c r="V361" s="430"/>
      <c r="W361" s="106"/>
      <c r="X361" s="147"/>
      <c r="Y361" s="163"/>
      <c r="Z361" s="163"/>
      <c r="AA361" s="163"/>
      <c r="AB361" s="428"/>
      <c r="AC361" s="41"/>
      <c r="AD361" s="42"/>
      <c r="AE361" s="416"/>
    </row>
    <row r="362" spans="1:31" s="1" customFormat="1">
      <c r="A362" s="684" t="s">
        <v>3210</v>
      </c>
      <c r="B362" s="685" t="s">
        <v>3213</v>
      </c>
      <c r="C362" s="686">
        <v>1</v>
      </c>
      <c r="D362" s="693" t="s">
        <v>2089</v>
      </c>
      <c r="E362" s="977">
        <v>79.17</v>
      </c>
      <c r="F362" s="161">
        <f t="shared" si="84"/>
        <v>0.2</v>
      </c>
      <c r="G362" s="647">
        <f t="shared" si="86"/>
        <v>63.335999999999999</v>
      </c>
      <c r="H362" s="688"/>
      <c r="I362" s="215"/>
      <c r="J362" s="215"/>
      <c r="K362" s="215"/>
      <c r="L362" s="44"/>
      <c r="M362" s="624" t="s">
        <v>1223</v>
      </c>
      <c r="N362" s="158" t="s">
        <v>700</v>
      </c>
      <c r="O362" s="417" t="s">
        <v>1224</v>
      </c>
      <c r="P362" s="477"/>
      <c r="Q362" s="505"/>
      <c r="R362" s="506"/>
      <c r="S362" s="106"/>
      <c r="T362" s="473"/>
      <c r="U362" s="106"/>
      <c r="V362" s="430"/>
      <c r="W362" s="106"/>
      <c r="X362" s="147"/>
      <c r="Y362" s="163"/>
      <c r="Z362" s="163"/>
      <c r="AA362" s="163"/>
      <c r="AB362" s="428"/>
      <c r="AC362" s="41"/>
      <c r="AD362" s="42"/>
      <c r="AE362" s="416"/>
    </row>
    <row r="363" spans="1:31" s="1" customFormat="1">
      <c r="A363" s="684" t="s">
        <v>3211</v>
      </c>
      <c r="B363" s="685" t="s">
        <v>3214</v>
      </c>
      <c r="C363" s="686">
        <v>1</v>
      </c>
      <c r="D363" s="693" t="s">
        <v>2089</v>
      </c>
      <c r="E363" s="977">
        <v>79.17</v>
      </c>
      <c r="F363" s="161">
        <f t="shared" si="84"/>
        <v>0.2</v>
      </c>
      <c r="G363" s="647">
        <f t="shared" si="86"/>
        <v>63.335999999999999</v>
      </c>
      <c r="H363" s="688"/>
      <c r="I363" s="215"/>
      <c r="J363" s="215"/>
      <c r="K363" s="215"/>
      <c r="L363" s="44"/>
      <c r="M363" s="624" t="s">
        <v>1223</v>
      </c>
      <c r="N363" s="158" t="s">
        <v>700</v>
      </c>
      <c r="O363" s="417" t="s">
        <v>1224</v>
      </c>
      <c r="P363" s="477"/>
      <c r="Q363" s="505"/>
      <c r="R363" s="506"/>
      <c r="S363" s="106"/>
      <c r="T363" s="473"/>
      <c r="U363" s="106"/>
      <c r="V363" s="430"/>
      <c r="W363" s="106"/>
      <c r="X363" s="147"/>
      <c r="Y363" s="163"/>
      <c r="Z363" s="163"/>
      <c r="AA363" s="163"/>
      <c r="AB363" s="428"/>
      <c r="AC363" s="41"/>
      <c r="AD363" s="42"/>
      <c r="AE363" s="416"/>
    </row>
    <row r="364" spans="1:31" s="1" customFormat="1">
      <c r="A364" s="684" t="s">
        <v>3215</v>
      </c>
      <c r="B364" s="685" t="s">
        <v>3216</v>
      </c>
      <c r="C364" s="506">
        <v>1</v>
      </c>
      <c r="D364" s="693" t="s">
        <v>2089</v>
      </c>
      <c r="E364" s="977">
        <v>59.17</v>
      </c>
      <c r="F364" s="161">
        <f t="shared" si="84"/>
        <v>0.2</v>
      </c>
      <c r="G364" s="647">
        <f t="shared" si="86"/>
        <v>47.335999999999999</v>
      </c>
      <c r="H364" s="688"/>
      <c r="I364" s="215"/>
      <c r="J364" s="215"/>
      <c r="K364" s="215"/>
      <c r="L364" s="44"/>
      <c r="M364" s="624" t="s">
        <v>1223</v>
      </c>
      <c r="N364" s="158" t="s">
        <v>700</v>
      </c>
      <c r="O364" s="417" t="s">
        <v>1224</v>
      </c>
      <c r="P364" s="477"/>
      <c r="Q364" s="505"/>
      <c r="R364" s="506"/>
      <c r="S364" s="106"/>
      <c r="T364" s="473"/>
      <c r="U364" s="106"/>
      <c r="V364" s="430"/>
      <c r="W364" s="106"/>
      <c r="X364" s="147"/>
      <c r="Y364" s="163"/>
      <c r="Z364" s="163"/>
      <c r="AA364" s="163"/>
      <c r="AB364" s="428"/>
      <c r="AC364" s="41"/>
      <c r="AD364" s="42"/>
      <c r="AE364" s="416"/>
    </row>
    <row r="365" spans="1:31" s="1" customFormat="1">
      <c r="A365" s="477" t="s">
        <v>2095</v>
      </c>
      <c r="B365" s="573" t="s">
        <v>3217</v>
      </c>
      <c r="C365" s="506">
        <v>1</v>
      </c>
      <c r="D365" s="585" t="s">
        <v>2089</v>
      </c>
      <c r="E365" s="1009">
        <v>79.17</v>
      </c>
      <c r="F365" s="430">
        <f t="shared" si="84"/>
        <v>0.2</v>
      </c>
      <c r="G365" s="106">
        <f t="shared" si="69"/>
        <v>63.335999999999999</v>
      </c>
      <c r="H365" s="147"/>
      <c r="I365" s="163"/>
      <c r="J365" s="163"/>
      <c r="K365" s="163"/>
      <c r="L365" s="428"/>
      <c r="M365" s="624" t="s">
        <v>1223</v>
      </c>
      <c r="N365" s="158" t="s">
        <v>700</v>
      </c>
      <c r="O365" s="417" t="s">
        <v>1224</v>
      </c>
      <c r="P365" s="477" t="s">
        <v>2095</v>
      </c>
      <c r="Q365" s="573" t="s">
        <v>2096</v>
      </c>
      <c r="R365" s="506">
        <v>1</v>
      </c>
      <c r="S365" s="106" t="s">
        <v>2089</v>
      </c>
      <c r="T365" s="473" t="s">
        <v>2095</v>
      </c>
      <c r="U365" s="106">
        <v>79.17</v>
      </c>
      <c r="V365" s="430">
        <v>0.2</v>
      </c>
      <c r="W365" s="106">
        <v>63.335999999999999</v>
      </c>
      <c r="X365" s="147"/>
      <c r="Y365" s="163"/>
      <c r="Z365" s="163"/>
      <c r="AA365" s="163"/>
      <c r="AB365" s="428">
        <v>0</v>
      </c>
      <c r="AC365" s="41" t="s">
        <v>1223</v>
      </c>
      <c r="AD365" s="42" t="s">
        <v>700</v>
      </c>
      <c r="AE365" s="416" t="s">
        <v>1224</v>
      </c>
    </row>
    <row r="366" spans="1:31" s="1" customFormat="1">
      <c r="A366" s="477" t="s">
        <v>2097</v>
      </c>
      <c r="B366" s="505" t="s">
        <v>2098</v>
      </c>
      <c r="C366" s="506">
        <v>1</v>
      </c>
      <c r="D366" s="585" t="s">
        <v>2089</v>
      </c>
      <c r="E366" s="1009">
        <v>79.17</v>
      </c>
      <c r="F366" s="430">
        <f t="shared" si="84"/>
        <v>0.2</v>
      </c>
      <c r="G366" s="106">
        <f t="shared" si="69"/>
        <v>63.335999999999999</v>
      </c>
      <c r="H366" s="147"/>
      <c r="I366" s="163"/>
      <c r="J366" s="163"/>
      <c r="K366" s="163"/>
      <c r="L366" s="428"/>
      <c r="M366" s="624" t="s">
        <v>1223</v>
      </c>
      <c r="N366" s="158" t="s">
        <v>700</v>
      </c>
      <c r="O366" s="417" t="s">
        <v>1224</v>
      </c>
      <c r="P366" s="477" t="s">
        <v>2097</v>
      </c>
      <c r="Q366" s="505" t="s">
        <v>2098</v>
      </c>
      <c r="R366" s="506">
        <v>1</v>
      </c>
      <c r="S366" s="106" t="s">
        <v>2089</v>
      </c>
      <c r="T366" s="473" t="s">
        <v>2097</v>
      </c>
      <c r="U366" s="106">
        <v>79.17</v>
      </c>
      <c r="V366" s="430">
        <v>0.2</v>
      </c>
      <c r="W366" s="106">
        <v>63.335999999999999</v>
      </c>
      <c r="X366" s="147"/>
      <c r="Y366" s="163"/>
      <c r="Z366" s="163"/>
      <c r="AA366" s="163"/>
      <c r="AB366" s="428">
        <v>0</v>
      </c>
      <c r="AC366" s="41" t="s">
        <v>1223</v>
      </c>
      <c r="AD366" s="42" t="s">
        <v>700</v>
      </c>
      <c r="AE366" s="416" t="s">
        <v>1224</v>
      </c>
    </row>
    <row r="367" spans="1:31" s="1" customFormat="1">
      <c r="A367" s="477" t="s">
        <v>2099</v>
      </c>
      <c r="B367" s="505" t="s">
        <v>2100</v>
      </c>
      <c r="C367" s="506">
        <v>1</v>
      </c>
      <c r="D367" s="585" t="s">
        <v>2089</v>
      </c>
      <c r="E367" s="1009">
        <v>79.17</v>
      </c>
      <c r="F367" s="430">
        <f t="shared" si="84"/>
        <v>0.2</v>
      </c>
      <c r="G367" s="106">
        <f t="shared" si="69"/>
        <v>63.335999999999999</v>
      </c>
      <c r="H367" s="147"/>
      <c r="I367" s="163"/>
      <c r="J367" s="163"/>
      <c r="K367" s="163"/>
      <c r="L367" s="428"/>
      <c r="M367" s="624" t="s">
        <v>1223</v>
      </c>
      <c r="N367" s="158" t="s">
        <v>700</v>
      </c>
      <c r="O367" s="417" t="s">
        <v>1224</v>
      </c>
      <c r="P367" s="477" t="s">
        <v>2099</v>
      </c>
      <c r="Q367" s="505" t="s">
        <v>2100</v>
      </c>
      <c r="R367" s="506">
        <v>1</v>
      </c>
      <c r="S367" s="106" t="s">
        <v>2089</v>
      </c>
      <c r="T367" s="473" t="s">
        <v>2099</v>
      </c>
      <c r="U367" s="106">
        <v>79.17</v>
      </c>
      <c r="V367" s="430">
        <v>0.2</v>
      </c>
      <c r="W367" s="106">
        <v>63.335999999999999</v>
      </c>
      <c r="X367" s="147"/>
      <c r="Y367" s="163"/>
      <c r="Z367" s="163"/>
      <c r="AA367" s="163"/>
      <c r="AB367" s="428">
        <v>0</v>
      </c>
      <c r="AC367" s="41" t="s">
        <v>1223</v>
      </c>
      <c r="AD367" s="42" t="s">
        <v>700</v>
      </c>
      <c r="AE367" s="416" t="s">
        <v>1224</v>
      </c>
    </row>
    <row r="368" spans="1:31" s="1" customFormat="1">
      <c r="A368" s="477" t="s">
        <v>2101</v>
      </c>
      <c r="B368" s="505" t="s">
        <v>2102</v>
      </c>
      <c r="C368" s="506">
        <v>1</v>
      </c>
      <c r="D368" s="585" t="s">
        <v>2089</v>
      </c>
      <c r="E368" s="1019">
        <v>62.71</v>
      </c>
      <c r="F368" s="430">
        <f t="shared" si="84"/>
        <v>0.2</v>
      </c>
      <c r="G368" s="648">
        <f t="shared" si="69"/>
        <v>50.167999999999999</v>
      </c>
      <c r="H368" s="147"/>
      <c r="I368" s="163"/>
      <c r="J368" s="163"/>
      <c r="K368" s="163"/>
      <c r="L368" s="428"/>
      <c r="M368" s="624" t="s">
        <v>1223</v>
      </c>
      <c r="N368" s="158" t="s">
        <v>700</v>
      </c>
      <c r="O368" s="417" t="s">
        <v>1224</v>
      </c>
      <c r="P368" s="477" t="s">
        <v>2101</v>
      </c>
      <c r="Q368" s="505" t="s">
        <v>2102</v>
      </c>
      <c r="R368" s="506">
        <v>1</v>
      </c>
      <c r="S368" s="106" t="s">
        <v>2089</v>
      </c>
      <c r="T368" s="473" t="s">
        <v>2101</v>
      </c>
      <c r="U368" s="654">
        <v>52.7</v>
      </c>
      <c r="V368" s="430">
        <v>0.2</v>
      </c>
      <c r="W368" s="654">
        <v>42.160000000000004</v>
      </c>
      <c r="X368" s="147"/>
      <c r="Y368" s="163"/>
      <c r="Z368" s="163"/>
      <c r="AA368" s="163"/>
      <c r="AB368" s="428">
        <v>0</v>
      </c>
      <c r="AC368" s="41" t="s">
        <v>1223</v>
      </c>
      <c r="AD368" s="42" t="s">
        <v>700</v>
      </c>
      <c r="AE368" s="416" t="s">
        <v>1224</v>
      </c>
    </row>
    <row r="369" spans="1:31" s="1" customFormat="1">
      <c r="A369" s="477" t="s">
        <v>2103</v>
      </c>
      <c r="B369" s="697" t="s">
        <v>3103</v>
      </c>
      <c r="C369" s="506">
        <v>1</v>
      </c>
      <c r="D369" s="585" t="s">
        <v>2089</v>
      </c>
      <c r="E369" s="1019">
        <v>62.71</v>
      </c>
      <c r="F369" s="430">
        <f t="shared" si="84"/>
        <v>0.2</v>
      </c>
      <c r="G369" s="648">
        <f t="shared" si="69"/>
        <v>50.167999999999999</v>
      </c>
      <c r="H369" s="147"/>
      <c r="I369" s="163"/>
      <c r="J369" s="163"/>
      <c r="K369" s="163"/>
      <c r="L369" s="428"/>
      <c r="M369" s="624" t="s">
        <v>1223</v>
      </c>
      <c r="N369" s="158" t="s">
        <v>700</v>
      </c>
      <c r="O369" s="417" t="s">
        <v>1224</v>
      </c>
      <c r="P369" s="477" t="s">
        <v>2103</v>
      </c>
      <c r="Q369" s="651" t="s">
        <v>2104</v>
      </c>
      <c r="R369" s="506">
        <v>1</v>
      </c>
      <c r="S369" s="106" t="s">
        <v>2089</v>
      </c>
      <c r="T369" s="473" t="s">
        <v>2103</v>
      </c>
      <c r="U369" s="654">
        <v>59.71</v>
      </c>
      <c r="V369" s="430">
        <v>0.2</v>
      </c>
      <c r="W369" s="654">
        <v>47.768000000000001</v>
      </c>
      <c r="X369" s="147"/>
      <c r="Y369" s="163"/>
      <c r="Z369" s="163"/>
      <c r="AA369" s="163"/>
      <c r="AB369" s="428">
        <v>0</v>
      </c>
      <c r="AC369" s="41" t="s">
        <v>1223</v>
      </c>
      <c r="AD369" s="42" t="s">
        <v>700</v>
      </c>
      <c r="AE369" s="416" t="s">
        <v>1224</v>
      </c>
    </row>
    <row r="370" spans="1:31" s="1" customFormat="1">
      <c r="A370" s="684" t="s">
        <v>3102</v>
      </c>
      <c r="B370" s="685" t="s">
        <v>3104</v>
      </c>
      <c r="C370" s="686">
        <v>1</v>
      </c>
      <c r="D370" s="693" t="s">
        <v>2089</v>
      </c>
      <c r="E370" s="977">
        <v>62.71</v>
      </c>
      <c r="F370" s="161">
        <f t="shared" si="84"/>
        <v>0.2</v>
      </c>
      <c r="G370" s="647">
        <f t="shared" ref="G370" si="87">E370-(E370*F370)</f>
        <v>50.167999999999999</v>
      </c>
      <c r="H370" s="688"/>
      <c r="I370" s="215"/>
      <c r="J370" s="215"/>
      <c r="K370" s="215"/>
      <c r="L370" s="44"/>
      <c r="M370" s="624" t="s">
        <v>1223</v>
      </c>
      <c r="N370" s="158" t="s">
        <v>700</v>
      </c>
      <c r="O370" s="417" t="s">
        <v>1224</v>
      </c>
      <c r="P370" s="477"/>
      <c r="Q370" s="505"/>
      <c r="R370" s="506"/>
      <c r="S370" s="106"/>
      <c r="T370" s="473"/>
      <c r="U370" s="106"/>
      <c r="V370" s="430"/>
      <c r="W370" s="106"/>
      <c r="X370" s="147"/>
      <c r="Y370" s="163"/>
      <c r="Z370" s="163"/>
      <c r="AA370" s="163"/>
      <c r="AB370" s="428"/>
      <c r="AC370" s="41"/>
      <c r="AD370" s="42"/>
      <c r="AE370" s="416"/>
    </row>
    <row r="371" spans="1:31" s="1" customFormat="1">
      <c r="A371" s="477" t="s">
        <v>2107</v>
      </c>
      <c r="B371" s="505" t="s">
        <v>2108</v>
      </c>
      <c r="C371" s="506">
        <v>1</v>
      </c>
      <c r="D371" s="585" t="s">
        <v>2089</v>
      </c>
      <c r="E371" s="1009">
        <v>97.34</v>
      </c>
      <c r="F371" s="430">
        <f t="shared" si="84"/>
        <v>0.2</v>
      </c>
      <c r="G371" s="106">
        <f t="shared" si="69"/>
        <v>77.872</v>
      </c>
      <c r="H371" s="147"/>
      <c r="I371" s="163"/>
      <c r="J371" s="163"/>
      <c r="K371" s="163"/>
      <c r="L371" s="428"/>
      <c r="M371" s="624" t="s">
        <v>1223</v>
      </c>
      <c r="N371" s="158" t="s">
        <v>700</v>
      </c>
      <c r="O371" s="417" t="s">
        <v>1224</v>
      </c>
      <c r="P371" s="477" t="s">
        <v>2107</v>
      </c>
      <c r="Q371" s="505" t="s">
        <v>2108</v>
      </c>
      <c r="R371" s="506">
        <v>1</v>
      </c>
      <c r="S371" s="106" t="s">
        <v>2089</v>
      </c>
      <c r="T371" s="473" t="s">
        <v>2107</v>
      </c>
      <c r="U371" s="106">
        <v>97.34</v>
      </c>
      <c r="V371" s="430">
        <v>0.2</v>
      </c>
      <c r="W371" s="106">
        <v>77.872</v>
      </c>
      <c r="X371" s="147"/>
      <c r="Y371" s="163"/>
      <c r="Z371" s="163"/>
      <c r="AA371" s="163"/>
      <c r="AB371" s="428">
        <v>0</v>
      </c>
      <c r="AC371" s="41" t="s">
        <v>1223</v>
      </c>
      <c r="AD371" s="42" t="s">
        <v>700</v>
      </c>
      <c r="AE371" s="416" t="s">
        <v>1224</v>
      </c>
    </row>
    <row r="372" spans="1:31" s="1" customFormat="1">
      <c r="A372" s="477" t="s">
        <v>2109</v>
      </c>
      <c r="B372" s="505" t="s">
        <v>2110</v>
      </c>
      <c r="C372" s="506">
        <v>1</v>
      </c>
      <c r="D372" s="585" t="s">
        <v>2089</v>
      </c>
      <c r="E372" s="1009">
        <v>97.34</v>
      </c>
      <c r="F372" s="430">
        <f t="shared" si="84"/>
        <v>0.2</v>
      </c>
      <c r="G372" s="106">
        <f t="shared" si="69"/>
        <v>77.872</v>
      </c>
      <c r="H372" s="147"/>
      <c r="I372" s="163"/>
      <c r="J372" s="163"/>
      <c r="K372" s="163"/>
      <c r="L372" s="428"/>
      <c r="M372" s="624" t="s">
        <v>1223</v>
      </c>
      <c r="N372" s="158" t="s">
        <v>700</v>
      </c>
      <c r="O372" s="417" t="s">
        <v>1224</v>
      </c>
      <c r="P372" s="477" t="s">
        <v>2109</v>
      </c>
      <c r="Q372" s="505" t="s">
        <v>2110</v>
      </c>
      <c r="R372" s="506">
        <v>1</v>
      </c>
      <c r="S372" s="106" t="s">
        <v>2089</v>
      </c>
      <c r="T372" s="473" t="s">
        <v>2109</v>
      </c>
      <c r="U372" s="106">
        <v>97.34</v>
      </c>
      <c r="V372" s="430">
        <v>0.2</v>
      </c>
      <c r="W372" s="106">
        <v>77.872</v>
      </c>
      <c r="X372" s="147"/>
      <c r="Y372" s="163"/>
      <c r="Z372" s="163"/>
      <c r="AA372" s="163"/>
      <c r="AB372" s="428">
        <v>0</v>
      </c>
      <c r="AC372" s="41" t="s">
        <v>1223</v>
      </c>
      <c r="AD372" s="42" t="s">
        <v>700</v>
      </c>
      <c r="AE372" s="416" t="s">
        <v>1224</v>
      </c>
    </row>
    <row r="373" spans="1:31" s="1" customFormat="1">
      <c r="A373" s="477" t="s">
        <v>2111</v>
      </c>
      <c r="B373" s="574" t="s">
        <v>2112</v>
      </c>
      <c r="C373" s="506">
        <v>1</v>
      </c>
      <c r="D373" s="585" t="s">
        <v>2089</v>
      </c>
      <c r="E373" s="1009">
        <v>59.17</v>
      </c>
      <c r="F373" s="430">
        <f t="shared" si="84"/>
        <v>0.2</v>
      </c>
      <c r="G373" s="106">
        <f t="shared" si="69"/>
        <v>47.335999999999999</v>
      </c>
      <c r="H373" s="147"/>
      <c r="I373" s="163"/>
      <c r="J373" s="163"/>
      <c r="K373" s="163"/>
      <c r="L373" s="428"/>
      <c r="M373" s="624" t="s">
        <v>1223</v>
      </c>
      <c r="N373" s="158" t="s">
        <v>700</v>
      </c>
      <c r="O373" s="417" t="s">
        <v>1224</v>
      </c>
      <c r="P373" s="477" t="s">
        <v>2111</v>
      </c>
      <c r="Q373" s="574" t="s">
        <v>2112</v>
      </c>
      <c r="R373" s="506">
        <v>1</v>
      </c>
      <c r="S373" s="106" t="s">
        <v>2089</v>
      </c>
      <c r="T373" s="473" t="s">
        <v>2111</v>
      </c>
      <c r="U373" s="106">
        <v>59.17</v>
      </c>
      <c r="V373" s="430">
        <v>0.2</v>
      </c>
      <c r="W373" s="106">
        <v>47.335999999999999</v>
      </c>
      <c r="X373" s="147"/>
      <c r="Y373" s="163"/>
      <c r="Z373" s="163"/>
      <c r="AA373" s="163"/>
      <c r="AB373" s="428">
        <v>0</v>
      </c>
      <c r="AC373" s="41" t="s">
        <v>1223</v>
      </c>
      <c r="AD373" s="42" t="s">
        <v>700</v>
      </c>
      <c r="AE373" s="416" t="s">
        <v>1224</v>
      </c>
    </row>
    <row r="374" spans="1:31" s="1" customFormat="1">
      <c r="A374" s="477" t="s">
        <v>2113</v>
      </c>
      <c r="B374" s="573" t="s">
        <v>2114</v>
      </c>
      <c r="C374" s="506">
        <v>1</v>
      </c>
      <c r="D374" s="585" t="s">
        <v>2089</v>
      </c>
      <c r="E374" s="1009">
        <v>79.17</v>
      </c>
      <c r="F374" s="430">
        <f t="shared" si="84"/>
        <v>0.2</v>
      </c>
      <c r="G374" s="106">
        <f>E374-(E374*F374)</f>
        <v>63.335999999999999</v>
      </c>
      <c r="H374" s="147"/>
      <c r="I374" s="163"/>
      <c r="J374" s="163"/>
      <c r="K374" s="163"/>
      <c r="L374" s="428"/>
      <c r="M374" s="624" t="s">
        <v>1223</v>
      </c>
      <c r="N374" s="158" t="s">
        <v>700</v>
      </c>
      <c r="O374" s="417" t="s">
        <v>1224</v>
      </c>
      <c r="P374" s="477" t="s">
        <v>2113</v>
      </c>
      <c r="Q374" s="573" t="s">
        <v>2114</v>
      </c>
      <c r="R374" s="506">
        <v>1</v>
      </c>
      <c r="S374" s="106" t="s">
        <v>2089</v>
      </c>
      <c r="T374" s="473" t="s">
        <v>2113</v>
      </c>
      <c r="U374" s="106">
        <v>79.17</v>
      </c>
      <c r="V374" s="430">
        <v>0.2</v>
      </c>
      <c r="W374" s="106">
        <v>63.335999999999999</v>
      </c>
      <c r="X374" s="147"/>
      <c r="Y374" s="163"/>
      <c r="Z374" s="163"/>
      <c r="AA374" s="163"/>
      <c r="AB374" s="428">
        <v>0</v>
      </c>
      <c r="AC374" s="41" t="s">
        <v>1223</v>
      </c>
      <c r="AD374" s="42" t="s">
        <v>700</v>
      </c>
      <c r="AE374" s="416" t="s">
        <v>1224</v>
      </c>
    </row>
    <row r="375" spans="1:31" s="1" customFormat="1">
      <c r="A375" s="477" t="s">
        <v>2115</v>
      </c>
      <c r="B375" s="573" t="s">
        <v>2116</v>
      </c>
      <c r="C375" s="506">
        <v>1</v>
      </c>
      <c r="D375" s="585" t="s">
        <v>2089</v>
      </c>
      <c r="E375" s="1019">
        <v>79.17</v>
      </c>
      <c r="F375" s="430">
        <f t="shared" si="84"/>
        <v>0.2</v>
      </c>
      <c r="G375" s="648">
        <f t="shared" si="69"/>
        <v>63.335999999999999</v>
      </c>
      <c r="H375" s="147"/>
      <c r="I375" s="163"/>
      <c r="J375" s="163"/>
      <c r="K375" s="163"/>
      <c r="L375" s="428"/>
      <c r="M375" s="624" t="s">
        <v>1223</v>
      </c>
      <c r="N375" s="158" t="s">
        <v>700</v>
      </c>
      <c r="O375" s="417" t="s">
        <v>1224</v>
      </c>
      <c r="P375" s="477" t="s">
        <v>2115</v>
      </c>
      <c r="Q375" s="573" t="s">
        <v>2116</v>
      </c>
      <c r="R375" s="506">
        <v>1</v>
      </c>
      <c r="S375" s="106" t="s">
        <v>2089</v>
      </c>
      <c r="T375" s="473" t="s">
        <v>2115</v>
      </c>
      <c r="U375" s="654">
        <v>56.9</v>
      </c>
      <c r="V375" s="430">
        <v>0.2</v>
      </c>
      <c r="W375" s="654">
        <v>45.519999999999996</v>
      </c>
      <c r="X375" s="147"/>
      <c r="Y375" s="163"/>
      <c r="Z375" s="163"/>
      <c r="AA375" s="163"/>
      <c r="AB375" s="428">
        <v>0</v>
      </c>
      <c r="AC375" s="41" t="s">
        <v>1223</v>
      </c>
      <c r="AD375" s="42" t="s">
        <v>700</v>
      </c>
      <c r="AE375" s="416" t="s">
        <v>1224</v>
      </c>
    </row>
    <row r="376" spans="1:31" s="1" customFormat="1">
      <c r="A376" s="565" t="s">
        <v>2117</v>
      </c>
      <c r="B376" s="505" t="s">
        <v>2118</v>
      </c>
      <c r="C376" s="506">
        <v>1</v>
      </c>
      <c r="D376" s="585" t="s">
        <v>2089</v>
      </c>
      <c r="E376" s="1009">
        <v>59.17</v>
      </c>
      <c r="F376" s="430">
        <f t="shared" si="84"/>
        <v>0.2</v>
      </c>
      <c r="G376" s="106">
        <f t="shared" si="69"/>
        <v>47.335999999999999</v>
      </c>
      <c r="H376" s="147"/>
      <c r="I376" s="163"/>
      <c r="J376" s="163"/>
      <c r="K376" s="163"/>
      <c r="L376" s="428"/>
      <c r="M376" s="624" t="s">
        <v>1223</v>
      </c>
      <c r="N376" s="158" t="s">
        <v>700</v>
      </c>
      <c r="O376" s="417" t="s">
        <v>1224</v>
      </c>
      <c r="P376" s="565" t="s">
        <v>2117</v>
      </c>
      <c r="Q376" s="505" t="s">
        <v>2118</v>
      </c>
      <c r="R376" s="506">
        <v>1</v>
      </c>
      <c r="S376" s="106" t="s">
        <v>2089</v>
      </c>
      <c r="T376" s="473" t="s">
        <v>2117</v>
      </c>
      <c r="U376" s="106">
        <v>59.17</v>
      </c>
      <c r="V376" s="430">
        <v>0.2</v>
      </c>
      <c r="W376" s="106">
        <v>47.335999999999999</v>
      </c>
      <c r="X376" s="147"/>
      <c r="Y376" s="163"/>
      <c r="Z376" s="163"/>
      <c r="AA376" s="163"/>
      <c r="AB376" s="428">
        <v>0</v>
      </c>
      <c r="AC376" s="41" t="s">
        <v>1223</v>
      </c>
      <c r="AD376" s="42" t="s">
        <v>700</v>
      </c>
      <c r="AE376" s="416" t="s">
        <v>1224</v>
      </c>
    </row>
    <row r="377" spans="1:31" s="1" customFormat="1">
      <c r="A377" s="565" t="s">
        <v>2119</v>
      </c>
      <c r="B377" s="505" t="s">
        <v>2120</v>
      </c>
      <c r="C377" s="506">
        <v>1</v>
      </c>
      <c r="D377" s="585" t="s">
        <v>2089</v>
      </c>
      <c r="E377" s="1009">
        <v>79.17</v>
      </c>
      <c r="F377" s="430">
        <f t="shared" si="84"/>
        <v>0.2</v>
      </c>
      <c r="G377" s="106">
        <f t="shared" ref="G377" si="88">E377-(E377*F377)</f>
        <v>63.335999999999999</v>
      </c>
      <c r="H377" s="147"/>
      <c r="I377" s="163"/>
      <c r="J377" s="163"/>
      <c r="K377" s="163"/>
      <c r="L377" s="428"/>
      <c r="M377" s="624" t="s">
        <v>1223</v>
      </c>
      <c r="N377" s="158" t="s">
        <v>700</v>
      </c>
      <c r="O377" s="417" t="s">
        <v>1224</v>
      </c>
      <c r="P377" s="565" t="s">
        <v>2119</v>
      </c>
      <c r="Q377" s="505" t="s">
        <v>2120</v>
      </c>
      <c r="R377" s="506">
        <v>1</v>
      </c>
      <c r="S377" s="106" t="s">
        <v>2089</v>
      </c>
      <c r="T377" s="473" t="s">
        <v>2119</v>
      </c>
      <c r="U377" s="106">
        <v>79.17</v>
      </c>
      <c r="V377" s="430">
        <v>0.2</v>
      </c>
      <c r="W377" s="106">
        <v>63.335999999999999</v>
      </c>
      <c r="X377" s="147"/>
      <c r="Y377" s="163"/>
      <c r="Z377" s="163"/>
      <c r="AA377" s="163"/>
      <c r="AB377" s="428">
        <v>0</v>
      </c>
      <c r="AC377" s="41" t="s">
        <v>1223</v>
      </c>
      <c r="AD377" s="42" t="s">
        <v>700</v>
      </c>
      <c r="AE377" s="416" t="s">
        <v>1224</v>
      </c>
    </row>
    <row r="378" spans="1:31" s="1" customFormat="1">
      <c r="A378" s="565" t="s">
        <v>2121</v>
      </c>
      <c r="B378" s="505" t="s">
        <v>2122</v>
      </c>
      <c r="C378" s="506">
        <v>1</v>
      </c>
      <c r="D378" s="585" t="s">
        <v>2089</v>
      </c>
      <c r="E378" s="1009">
        <v>79.17</v>
      </c>
      <c r="F378" s="430">
        <f t="shared" si="84"/>
        <v>0.2</v>
      </c>
      <c r="G378" s="106">
        <f t="shared" ref="G378" si="89">E378-(E378*F378)</f>
        <v>63.335999999999999</v>
      </c>
      <c r="H378" s="147"/>
      <c r="I378" s="163"/>
      <c r="J378" s="163"/>
      <c r="K378" s="163"/>
      <c r="L378" s="428"/>
      <c r="M378" s="624" t="s">
        <v>1223</v>
      </c>
      <c r="N378" s="158" t="s">
        <v>700</v>
      </c>
      <c r="O378" s="417" t="s">
        <v>1224</v>
      </c>
      <c r="P378" s="565" t="s">
        <v>2121</v>
      </c>
      <c r="Q378" s="505" t="s">
        <v>2122</v>
      </c>
      <c r="R378" s="506">
        <v>1</v>
      </c>
      <c r="S378" s="106" t="s">
        <v>2089</v>
      </c>
      <c r="T378" s="473" t="s">
        <v>2121</v>
      </c>
      <c r="U378" s="106">
        <v>79.17</v>
      </c>
      <c r="V378" s="430">
        <v>0.2</v>
      </c>
      <c r="W378" s="106">
        <v>63.335999999999999</v>
      </c>
      <c r="X378" s="147"/>
      <c r="Y378" s="163"/>
      <c r="Z378" s="163"/>
      <c r="AA378" s="163"/>
      <c r="AB378" s="428">
        <v>0</v>
      </c>
      <c r="AC378" s="41" t="s">
        <v>1223</v>
      </c>
      <c r="AD378" s="42" t="s">
        <v>700</v>
      </c>
      <c r="AE378" s="416" t="s">
        <v>1224</v>
      </c>
    </row>
    <row r="379" spans="1:31" s="1" customFormat="1">
      <c r="A379" s="565" t="s">
        <v>2123</v>
      </c>
      <c r="B379" s="505" t="s">
        <v>2124</v>
      </c>
      <c r="C379" s="506">
        <v>1</v>
      </c>
      <c r="D379" s="585" t="s">
        <v>2089</v>
      </c>
      <c r="E379" s="1009">
        <v>59.17</v>
      </c>
      <c r="F379" s="430">
        <f t="shared" si="84"/>
        <v>0.2</v>
      </c>
      <c r="G379" s="106">
        <f t="shared" ref="G379" si="90">E379-(E379*F379)</f>
        <v>47.335999999999999</v>
      </c>
      <c r="H379" s="147"/>
      <c r="I379" s="163"/>
      <c r="J379" s="163"/>
      <c r="K379" s="163"/>
      <c r="L379" s="428"/>
      <c r="M379" s="624" t="s">
        <v>1223</v>
      </c>
      <c r="N379" s="158" t="s">
        <v>700</v>
      </c>
      <c r="O379" s="417" t="s">
        <v>1224</v>
      </c>
      <c r="P379" s="565" t="s">
        <v>2123</v>
      </c>
      <c r="Q379" s="505" t="s">
        <v>2124</v>
      </c>
      <c r="R379" s="506">
        <v>1</v>
      </c>
      <c r="S379" s="106" t="s">
        <v>2089</v>
      </c>
      <c r="T379" s="473" t="s">
        <v>2123</v>
      </c>
      <c r="U379" s="106">
        <v>59.17</v>
      </c>
      <c r="V379" s="430">
        <v>0.2</v>
      </c>
      <c r="W379" s="106">
        <v>47.335999999999999</v>
      </c>
      <c r="X379" s="147"/>
      <c r="Y379" s="163"/>
      <c r="Z379" s="163"/>
      <c r="AA379" s="163"/>
      <c r="AB379" s="428">
        <v>0</v>
      </c>
      <c r="AC379" s="41" t="s">
        <v>1223</v>
      </c>
      <c r="AD379" s="42" t="s">
        <v>700</v>
      </c>
      <c r="AE379" s="416" t="s">
        <v>1224</v>
      </c>
    </row>
    <row r="380" spans="1:31" s="1" customFormat="1">
      <c r="A380" s="565" t="s">
        <v>2125</v>
      </c>
      <c r="B380" s="505" t="s">
        <v>2126</v>
      </c>
      <c r="C380" s="506">
        <v>1</v>
      </c>
      <c r="D380" s="585" t="s">
        <v>2089</v>
      </c>
      <c r="E380" s="1009">
        <v>79.17</v>
      </c>
      <c r="F380" s="430">
        <f t="shared" si="84"/>
        <v>0.2</v>
      </c>
      <c r="G380" s="106">
        <f t="shared" ref="G380:G394" si="91">E380-(E380*F380)</f>
        <v>63.335999999999999</v>
      </c>
      <c r="H380" s="147"/>
      <c r="I380" s="163"/>
      <c r="J380" s="163"/>
      <c r="K380" s="163"/>
      <c r="L380" s="428"/>
      <c r="M380" s="624" t="s">
        <v>1223</v>
      </c>
      <c r="N380" s="158" t="s">
        <v>700</v>
      </c>
      <c r="O380" s="417" t="s">
        <v>1224</v>
      </c>
      <c r="P380" s="565" t="s">
        <v>2125</v>
      </c>
      <c r="Q380" s="505" t="s">
        <v>2126</v>
      </c>
      <c r="R380" s="506">
        <v>1</v>
      </c>
      <c r="S380" s="106" t="s">
        <v>2089</v>
      </c>
      <c r="T380" s="473" t="s">
        <v>2125</v>
      </c>
      <c r="U380" s="106">
        <v>79.17</v>
      </c>
      <c r="V380" s="430">
        <v>0.2</v>
      </c>
      <c r="W380" s="106">
        <v>63.335999999999999</v>
      </c>
      <c r="X380" s="147"/>
      <c r="Y380" s="163"/>
      <c r="Z380" s="163"/>
      <c r="AA380" s="163"/>
      <c r="AB380" s="428">
        <v>0</v>
      </c>
      <c r="AC380" s="41" t="s">
        <v>1223</v>
      </c>
      <c r="AD380" s="42" t="s">
        <v>700</v>
      </c>
      <c r="AE380" s="416" t="s">
        <v>1224</v>
      </c>
    </row>
    <row r="381" spans="1:31" s="1" customFormat="1" ht="15.95" customHeight="1">
      <c r="A381" s="565" t="s">
        <v>2127</v>
      </c>
      <c r="B381" s="573" t="s">
        <v>2128</v>
      </c>
      <c r="C381" s="506">
        <v>1</v>
      </c>
      <c r="D381" s="585" t="s">
        <v>2089</v>
      </c>
      <c r="E381" s="1009">
        <v>79.17</v>
      </c>
      <c r="F381" s="430">
        <f t="shared" si="84"/>
        <v>0.2</v>
      </c>
      <c r="G381" s="106">
        <f t="shared" si="91"/>
        <v>63.335999999999999</v>
      </c>
      <c r="H381" s="147"/>
      <c r="I381" s="163"/>
      <c r="J381" s="163"/>
      <c r="K381" s="163"/>
      <c r="L381" s="428"/>
      <c r="M381" s="624" t="s">
        <v>1223</v>
      </c>
      <c r="N381" s="158" t="s">
        <v>700</v>
      </c>
      <c r="O381" s="417" t="s">
        <v>1224</v>
      </c>
      <c r="P381" s="565" t="s">
        <v>2127</v>
      </c>
      <c r="Q381" s="573" t="s">
        <v>2128</v>
      </c>
      <c r="R381" s="506">
        <v>1</v>
      </c>
      <c r="S381" s="106" t="s">
        <v>2089</v>
      </c>
      <c r="T381" s="473" t="s">
        <v>2127</v>
      </c>
      <c r="U381" s="106">
        <v>79.17</v>
      </c>
      <c r="V381" s="430">
        <v>0.2</v>
      </c>
      <c r="W381" s="106">
        <v>63.335999999999999</v>
      </c>
      <c r="X381" s="147"/>
      <c r="Y381" s="163"/>
      <c r="Z381" s="163"/>
      <c r="AA381" s="163"/>
      <c r="AB381" s="428">
        <v>0</v>
      </c>
      <c r="AC381" s="41" t="s">
        <v>1223</v>
      </c>
      <c r="AD381" s="42" t="s">
        <v>700</v>
      </c>
      <c r="AE381" s="416" t="s">
        <v>1224</v>
      </c>
    </row>
    <row r="382" spans="1:31" s="1" customFormat="1">
      <c r="A382" s="694" t="s">
        <v>3077</v>
      </c>
      <c r="B382" s="695" t="s">
        <v>3078</v>
      </c>
      <c r="C382" s="686">
        <v>1</v>
      </c>
      <c r="D382" s="693" t="s">
        <v>2089</v>
      </c>
      <c r="E382" s="977">
        <v>85.88</v>
      </c>
      <c r="F382" s="161">
        <f t="shared" si="84"/>
        <v>0.2</v>
      </c>
      <c r="G382" s="647">
        <f t="shared" si="91"/>
        <v>68.703999999999994</v>
      </c>
      <c r="H382" s="688"/>
      <c r="I382" s="215"/>
      <c r="J382" s="215"/>
      <c r="K382" s="215"/>
      <c r="L382" s="44"/>
      <c r="M382" s="624" t="s">
        <v>1223</v>
      </c>
      <c r="N382" s="158" t="s">
        <v>700</v>
      </c>
      <c r="O382" s="417" t="s">
        <v>1224</v>
      </c>
      <c r="P382" s="477"/>
      <c r="Q382" s="573"/>
      <c r="R382" s="506"/>
      <c r="S382" s="106"/>
      <c r="T382" s="473"/>
      <c r="U382" s="106"/>
      <c r="V382" s="430"/>
      <c r="W382" s="106"/>
      <c r="X382" s="147"/>
      <c r="Y382" s="163"/>
      <c r="Z382" s="163"/>
      <c r="AA382" s="163"/>
      <c r="AB382" s="428"/>
      <c r="AC382" s="41"/>
      <c r="AD382" s="42"/>
      <c r="AE382" s="416"/>
    </row>
    <row r="383" spans="1:31" s="1" customFormat="1">
      <c r="A383" s="694" t="s">
        <v>3079</v>
      </c>
      <c r="B383" s="695" t="s">
        <v>3081</v>
      </c>
      <c r="C383" s="686">
        <v>1</v>
      </c>
      <c r="D383" s="693" t="s">
        <v>2089</v>
      </c>
      <c r="E383" s="977">
        <v>115.88</v>
      </c>
      <c r="F383" s="161">
        <f t="shared" si="84"/>
        <v>0.2</v>
      </c>
      <c r="G383" s="647">
        <f t="shared" si="91"/>
        <v>92.703999999999994</v>
      </c>
      <c r="H383" s="688"/>
      <c r="I383" s="215"/>
      <c r="J383" s="215"/>
      <c r="K383" s="215"/>
      <c r="L383" s="44"/>
      <c r="M383" s="624" t="s">
        <v>1223</v>
      </c>
      <c r="N383" s="158" t="s">
        <v>700</v>
      </c>
      <c r="O383" s="417" t="s">
        <v>1224</v>
      </c>
      <c r="P383" s="477"/>
      <c r="Q383" s="573"/>
      <c r="R383" s="506"/>
      <c r="S383" s="106"/>
      <c r="T383" s="473"/>
      <c r="U383" s="106"/>
      <c r="V383" s="430"/>
      <c r="W383" s="106"/>
      <c r="X383" s="147"/>
      <c r="Y383" s="163"/>
      <c r="Z383" s="163"/>
      <c r="AA383" s="163"/>
      <c r="AB383" s="428"/>
      <c r="AC383" s="41"/>
      <c r="AD383" s="42"/>
      <c r="AE383" s="416"/>
    </row>
    <row r="384" spans="1:31" s="1" customFormat="1">
      <c r="A384" s="694" t="s">
        <v>3080</v>
      </c>
      <c r="B384" s="695" t="s">
        <v>3082</v>
      </c>
      <c r="C384" s="686">
        <v>1</v>
      </c>
      <c r="D384" s="693" t="s">
        <v>2089</v>
      </c>
      <c r="E384" s="977">
        <v>115.88</v>
      </c>
      <c r="F384" s="161">
        <f t="shared" si="84"/>
        <v>0.2</v>
      </c>
      <c r="G384" s="647">
        <f t="shared" si="91"/>
        <v>92.703999999999994</v>
      </c>
      <c r="H384" s="688"/>
      <c r="I384" s="215"/>
      <c r="J384" s="215"/>
      <c r="K384" s="215"/>
      <c r="L384" s="44"/>
      <c r="M384" s="624" t="s">
        <v>1223</v>
      </c>
      <c r="N384" s="158" t="s">
        <v>700</v>
      </c>
      <c r="O384" s="417" t="s">
        <v>1224</v>
      </c>
      <c r="P384" s="477"/>
      <c r="Q384" s="573"/>
      <c r="R384" s="506"/>
      <c r="S384" s="106"/>
      <c r="T384" s="473"/>
      <c r="U384" s="106"/>
      <c r="V384" s="430"/>
      <c r="W384" s="106"/>
      <c r="X384" s="147"/>
      <c r="Y384" s="163"/>
      <c r="Z384" s="163"/>
      <c r="AA384" s="163"/>
      <c r="AB384" s="428"/>
      <c r="AC384" s="41"/>
      <c r="AD384" s="42"/>
      <c r="AE384" s="416"/>
    </row>
    <row r="385" spans="1:31" s="1" customFormat="1">
      <c r="A385" s="694" t="s">
        <v>3083</v>
      </c>
      <c r="B385" s="695" t="s">
        <v>3084</v>
      </c>
      <c r="C385" s="686">
        <v>1</v>
      </c>
      <c r="D385" s="693" t="s">
        <v>2089</v>
      </c>
      <c r="E385" s="977">
        <v>32.090000000000003</v>
      </c>
      <c r="F385" s="161">
        <f t="shared" si="84"/>
        <v>0.2</v>
      </c>
      <c r="G385" s="647">
        <f t="shared" si="91"/>
        <v>25.672000000000004</v>
      </c>
      <c r="H385" s="688"/>
      <c r="I385" s="215"/>
      <c r="J385" s="215"/>
      <c r="K385" s="215"/>
      <c r="L385" s="44"/>
      <c r="M385" s="624" t="s">
        <v>1223</v>
      </c>
      <c r="N385" s="158" t="s">
        <v>700</v>
      </c>
      <c r="O385" s="417" t="s">
        <v>1224</v>
      </c>
      <c r="P385" s="477"/>
      <c r="Q385" s="573"/>
      <c r="R385" s="506"/>
      <c r="S385" s="106"/>
      <c r="T385" s="473"/>
      <c r="U385" s="106"/>
      <c r="V385" s="430"/>
      <c r="W385" s="106"/>
      <c r="X385" s="147"/>
      <c r="Y385" s="163"/>
      <c r="Z385" s="163"/>
      <c r="AA385" s="163"/>
      <c r="AB385" s="428"/>
      <c r="AC385" s="41"/>
      <c r="AD385" s="42"/>
      <c r="AE385" s="416"/>
    </row>
    <row r="386" spans="1:31" s="1" customFormat="1">
      <c r="A386" s="694" t="s">
        <v>3085</v>
      </c>
      <c r="B386" s="695" t="s">
        <v>3086</v>
      </c>
      <c r="C386" s="686">
        <v>1</v>
      </c>
      <c r="D386" s="693" t="s">
        <v>2089</v>
      </c>
      <c r="E386" s="977">
        <v>32.090000000000003</v>
      </c>
      <c r="F386" s="161">
        <f t="shared" si="84"/>
        <v>0.2</v>
      </c>
      <c r="G386" s="647">
        <f t="shared" si="91"/>
        <v>25.672000000000004</v>
      </c>
      <c r="H386" s="688"/>
      <c r="I386" s="215"/>
      <c r="J386" s="215"/>
      <c r="K386" s="215"/>
      <c r="L386" s="44"/>
      <c r="M386" s="624" t="s">
        <v>1223</v>
      </c>
      <c r="N386" s="158" t="s">
        <v>700</v>
      </c>
      <c r="O386" s="417" t="s">
        <v>1224</v>
      </c>
      <c r="P386" s="477"/>
      <c r="Q386" s="573"/>
      <c r="R386" s="506"/>
      <c r="S386" s="106"/>
      <c r="T386" s="473"/>
      <c r="U386" s="106"/>
      <c r="V386" s="430"/>
      <c r="W386" s="106"/>
      <c r="X386" s="147"/>
      <c r="Y386" s="163"/>
      <c r="Z386" s="163"/>
      <c r="AA386" s="163"/>
      <c r="AB386" s="428"/>
      <c r="AC386" s="41"/>
      <c r="AD386" s="42"/>
      <c r="AE386" s="416"/>
    </row>
    <row r="387" spans="1:31" s="1" customFormat="1">
      <c r="A387" s="694" t="s">
        <v>3091</v>
      </c>
      <c r="B387" s="695" t="s">
        <v>3092</v>
      </c>
      <c r="C387" s="686">
        <v>1</v>
      </c>
      <c r="D387" s="693" t="s">
        <v>2089</v>
      </c>
      <c r="E387" s="977">
        <v>32.090000000000003</v>
      </c>
      <c r="F387" s="161">
        <f t="shared" si="84"/>
        <v>0.2</v>
      </c>
      <c r="G387" s="647">
        <f t="shared" si="91"/>
        <v>25.672000000000004</v>
      </c>
      <c r="H387" s="688"/>
      <c r="I387" s="215"/>
      <c r="J387" s="215"/>
      <c r="K387" s="215"/>
      <c r="L387" s="44"/>
      <c r="M387" s="624" t="s">
        <v>1223</v>
      </c>
      <c r="N387" s="158" t="s">
        <v>700</v>
      </c>
      <c r="O387" s="417" t="s">
        <v>1224</v>
      </c>
      <c r="P387" s="477"/>
      <c r="Q387" s="573"/>
      <c r="R387" s="506"/>
      <c r="S387" s="106"/>
      <c r="T387" s="473"/>
      <c r="U387" s="106"/>
      <c r="V387" s="430"/>
      <c r="W387" s="106"/>
      <c r="X387" s="147"/>
      <c r="Y387" s="163"/>
      <c r="Z387" s="163"/>
      <c r="AA387" s="163"/>
      <c r="AB387" s="428"/>
      <c r="AC387" s="41"/>
      <c r="AD387" s="42"/>
      <c r="AE387" s="416"/>
    </row>
    <row r="388" spans="1:31" s="1" customFormat="1">
      <c r="A388" s="694" t="s">
        <v>3087</v>
      </c>
      <c r="B388" s="695" t="s">
        <v>3088</v>
      </c>
      <c r="C388" s="686">
        <v>1</v>
      </c>
      <c r="D388" s="693" t="s">
        <v>2089</v>
      </c>
      <c r="E388" s="977">
        <v>32.090000000000003</v>
      </c>
      <c r="F388" s="161">
        <f t="shared" si="84"/>
        <v>0.2</v>
      </c>
      <c r="G388" s="647">
        <f t="shared" si="91"/>
        <v>25.672000000000004</v>
      </c>
      <c r="H388" s="688"/>
      <c r="I388" s="215"/>
      <c r="J388" s="215"/>
      <c r="K388" s="215"/>
      <c r="L388" s="44"/>
      <c r="M388" s="624" t="s">
        <v>1223</v>
      </c>
      <c r="N388" s="158" t="s">
        <v>700</v>
      </c>
      <c r="O388" s="417" t="s">
        <v>1224</v>
      </c>
      <c r="P388" s="477"/>
      <c r="Q388" s="573"/>
      <c r="R388" s="506"/>
      <c r="S388" s="106"/>
      <c r="T388" s="473"/>
      <c r="U388" s="106"/>
      <c r="V388" s="430"/>
      <c r="W388" s="106"/>
      <c r="X388" s="147"/>
      <c r="Y388" s="163"/>
      <c r="Z388" s="163"/>
      <c r="AA388" s="163"/>
      <c r="AB388" s="428"/>
      <c r="AC388" s="41"/>
      <c r="AD388" s="42"/>
      <c r="AE388" s="416"/>
    </row>
    <row r="389" spans="1:31" s="1" customFormat="1">
      <c r="A389" s="694" t="s">
        <v>3089</v>
      </c>
      <c r="B389" s="695" t="s">
        <v>3090</v>
      </c>
      <c r="C389" s="686">
        <v>1</v>
      </c>
      <c r="D389" s="693" t="s">
        <v>2089</v>
      </c>
      <c r="E389" s="977">
        <v>46.5</v>
      </c>
      <c r="F389" s="161">
        <f t="shared" si="84"/>
        <v>0.2</v>
      </c>
      <c r="G389" s="647">
        <f t="shared" si="91"/>
        <v>37.200000000000003</v>
      </c>
      <c r="H389" s="688"/>
      <c r="I389" s="215"/>
      <c r="J389" s="215"/>
      <c r="K389" s="215"/>
      <c r="L389" s="44"/>
      <c r="M389" s="624" t="s">
        <v>1223</v>
      </c>
      <c r="N389" s="158" t="s">
        <v>700</v>
      </c>
      <c r="O389" s="417" t="s">
        <v>1224</v>
      </c>
      <c r="P389" s="477"/>
      <c r="Q389" s="573"/>
      <c r="R389" s="506"/>
      <c r="S389" s="106"/>
      <c r="T389" s="473"/>
      <c r="U389" s="106"/>
      <c r="V389" s="430"/>
      <c r="W389" s="106"/>
      <c r="X389" s="147"/>
      <c r="Y389" s="163"/>
      <c r="Z389" s="163"/>
      <c r="AA389" s="163"/>
      <c r="AB389" s="428"/>
      <c r="AC389" s="41"/>
      <c r="AD389" s="42"/>
      <c r="AE389" s="416"/>
    </row>
    <row r="390" spans="1:31" s="1" customFormat="1">
      <c r="A390" s="694" t="s">
        <v>3096</v>
      </c>
      <c r="B390" s="695" t="s">
        <v>3097</v>
      </c>
      <c r="C390" s="686">
        <v>1</v>
      </c>
      <c r="D390" s="693" t="s">
        <v>2089</v>
      </c>
      <c r="E390" s="977">
        <v>29.09</v>
      </c>
      <c r="F390" s="161">
        <f t="shared" si="84"/>
        <v>0.2</v>
      </c>
      <c r="G390" s="647">
        <f t="shared" si="91"/>
        <v>23.271999999999998</v>
      </c>
      <c r="H390" s="688"/>
      <c r="I390" s="215"/>
      <c r="J390" s="215"/>
      <c r="K390" s="215"/>
      <c r="L390" s="44"/>
      <c r="M390" s="624" t="s">
        <v>1223</v>
      </c>
      <c r="N390" s="158" t="s">
        <v>700</v>
      </c>
      <c r="O390" s="417" t="s">
        <v>1224</v>
      </c>
      <c r="P390" s="477"/>
      <c r="Q390" s="573"/>
      <c r="R390" s="506"/>
      <c r="S390" s="106"/>
      <c r="T390" s="473"/>
      <c r="U390" s="106"/>
      <c r="V390" s="430"/>
      <c r="W390" s="106"/>
      <c r="X390" s="147"/>
      <c r="Y390" s="163"/>
      <c r="Z390" s="163"/>
      <c r="AA390" s="163"/>
      <c r="AB390" s="428"/>
      <c r="AC390" s="41"/>
      <c r="AD390" s="42"/>
      <c r="AE390" s="416"/>
    </row>
    <row r="391" spans="1:31" s="1" customFormat="1">
      <c r="A391" s="477" t="s">
        <v>2105</v>
      </c>
      <c r="B391" s="505" t="s">
        <v>3095</v>
      </c>
      <c r="C391" s="506">
        <v>1</v>
      </c>
      <c r="D391" s="585" t="s">
        <v>2089</v>
      </c>
      <c r="E391" s="1019">
        <v>51.5</v>
      </c>
      <c r="F391" s="430">
        <f t="shared" si="84"/>
        <v>0.2</v>
      </c>
      <c r="G391" s="648">
        <f t="shared" si="91"/>
        <v>41.2</v>
      </c>
      <c r="H391" s="147"/>
      <c r="I391" s="163"/>
      <c r="J391" s="163"/>
      <c r="K391" s="163"/>
      <c r="L391" s="428"/>
      <c r="M391" s="624" t="s">
        <v>1223</v>
      </c>
      <c r="N391" s="158" t="s">
        <v>700</v>
      </c>
      <c r="O391" s="417" t="s">
        <v>1224</v>
      </c>
      <c r="P391" s="477" t="s">
        <v>2105</v>
      </c>
      <c r="Q391" s="505" t="s">
        <v>2106</v>
      </c>
      <c r="R391" s="506">
        <v>1</v>
      </c>
      <c r="S391" s="106" t="s">
        <v>2089</v>
      </c>
      <c r="T391" s="473" t="s">
        <v>2105</v>
      </c>
      <c r="U391" s="106">
        <v>52.5</v>
      </c>
      <c r="V391" s="430">
        <v>0.2</v>
      </c>
      <c r="W391" s="106">
        <v>42</v>
      </c>
      <c r="X391" s="147"/>
      <c r="Y391" s="163"/>
      <c r="Z391" s="163"/>
      <c r="AA391" s="163"/>
      <c r="AB391" s="428">
        <v>0</v>
      </c>
      <c r="AC391" s="41" t="s">
        <v>1223</v>
      </c>
      <c r="AD391" s="42" t="s">
        <v>700</v>
      </c>
      <c r="AE391" s="416" t="s">
        <v>1224</v>
      </c>
    </row>
    <row r="392" spans="1:31" s="1" customFormat="1">
      <c r="A392" s="694" t="s">
        <v>3098</v>
      </c>
      <c r="B392" s="695" t="s">
        <v>3099</v>
      </c>
      <c r="C392" s="686">
        <v>1</v>
      </c>
      <c r="D392" s="693" t="s">
        <v>2089</v>
      </c>
      <c r="E392" s="977">
        <v>51.5</v>
      </c>
      <c r="F392" s="161">
        <f t="shared" si="84"/>
        <v>0.2</v>
      </c>
      <c r="G392" s="647">
        <f t="shared" si="91"/>
        <v>41.2</v>
      </c>
      <c r="H392" s="688"/>
      <c r="I392" s="215"/>
      <c r="J392" s="215"/>
      <c r="K392" s="215"/>
      <c r="L392" s="44"/>
      <c r="M392" s="624" t="s">
        <v>1223</v>
      </c>
      <c r="N392" s="158" t="s">
        <v>700</v>
      </c>
      <c r="O392" s="417" t="s">
        <v>1224</v>
      </c>
      <c r="P392" s="477"/>
      <c r="Q392" s="573"/>
      <c r="R392" s="506"/>
      <c r="S392" s="106"/>
      <c r="T392" s="473"/>
      <c r="U392" s="106"/>
      <c r="V392" s="430"/>
      <c r="W392" s="106"/>
      <c r="X392" s="147"/>
      <c r="Y392" s="163"/>
      <c r="Z392" s="163"/>
      <c r="AA392" s="163"/>
      <c r="AB392" s="428"/>
      <c r="AC392" s="41"/>
      <c r="AD392" s="42"/>
      <c r="AE392" s="416"/>
    </row>
    <row r="393" spans="1:31" s="1" customFormat="1">
      <c r="A393" s="694" t="s">
        <v>3093</v>
      </c>
      <c r="B393" s="695" t="s">
        <v>3094</v>
      </c>
      <c r="C393" s="686">
        <v>1</v>
      </c>
      <c r="D393" s="693" t="s">
        <v>2089</v>
      </c>
      <c r="E393" s="977">
        <v>51.5</v>
      </c>
      <c r="F393" s="161">
        <f t="shared" si="84"/>
        <v>0.2</v>
      </c>
      <c r="G393" s="647">
        <f t="shared" si="91"/>
        <v>41.2</v>
      </c>
      <c r="H393" s="688"/>
      <c r="I393" s="215"/>
      <c r="J393" s="215"/>
      <c r="K393" s="215"/>
      <c r="L393" s="44"/>
      <c r="M393" s="624" t="s">
        <v>1223</v>
      </c>
      <c r="N393" s="158" t="s">
        <v>700</v>
      </c>
      <c r="O393" s="417" t="s">
        <v>1224</v>
      </c>
      <c r="P393" s="477"/>
      <c r="Q393" s="573"/>
      <c r="R393" s="506"/>
      <c r="S393" s="106"/>
      <c r="T393" s="473"/>
      <c r="U393" s="106"/>
      <c r="V393" s="430"/>
      <c r="W393" s="106"/>
      <c r="X393" s="147"/>
      <c r="Y393" s="163"/>
      <c r="Z393" s="163"/>
      <c r="AA393" s="163"/>
      <c r="AB393" s="428"/>
      <c r="AC393" s="41"/>
      <c r="AD393" s="42"/>
      <c r="AE393" s="416"/>
    </row>
    <row r="394" spans="1:31" s="1" customFormat="1">
      <c r="A394" s="694" t="s">
        <v>3100</v>
      </c>
      <c r="B394" s="695" t="s">
        <v>3101</v>
      </c>
      <c r="C394" s="686">
        <v>1</v>
      </c>
      <c r="D394" s="693" t="s">
        <v>2089</v>
      </c>
      <c r="E394" s="977">
        <v>15.86</v>
      </c>
      <c r="F394" s="161">
        <f t="shared" si="84"/>
        <v>0.2</v>
      </c>
      <c r="G394" s="647">
        <f t="shared" si="91"/>
        <v>12.687999999999999</v>
      </c>
      <c r="H394" s="688"/>
      <c r="I394" s="215"/>
      <c r="J394" s="215"/>
      <c r="K394" s="215"/>
      <c r="L394" s="44"/>
      <c r="M394" s="624" t="s">
        <v>1223</v>
      </c>
      <c r="N394" s="158" t="s">
        <v>700</v>
      </c>
      <c r="O394" s="417" t="s">
        <v>1224</v>
      </c>
      <c r="P394" s="477"/>
      <c r="Q394" s="573"/>
      <c r="R394" s="506"/>
      <c r="S394" s="106"/>
      <c r="T394" s="473"/>
      <c r="U394" s="106"/>
      <c r="V394" s="430"/>
      <c r="W394" s="106"/>
      <c r="X394" s="147"/>
      <c r="Y394" s="163"/>
      <c r="Z394" s="163"/>
      <c r="AA394" s="163"/>
      <c r="AB394" s="428"/>
      <c r="AC394" s="41"/>
      <c r="AD394" s="42"/>
      <c r="AE394" s="416"/>
    </row>
    <row r="395" spans="1:31" s="1" customFormat="1">
      <c r="A395" s="477" t="s">
        <v>2129</v>
      </c>
      <c r="B395" s="505" t="s">
        <v>2130</v>
      </c>
      <c r="C395" s="473">
        <v>1</v>
      </c>
      <c r="D395" s="508" t="s">
        <v>2131</v>
      </c>
      <c r="E395" s="1009">
        <v>68</v>
      </c>
      <c r="F395" s="430">
        <f t="shared" si="84"/>
        <v>0.2</v>
      </c>
      <c r="G395" s="106">
        <f t="shared" si="69"/>
        <v>54.4</v>
      </c>
      <c r="H395" s="147"/>
      <c r="I395" s="163"/>
      <c r="J395" s="163"/>
      <c r="K395" s="163"/>
      <c r="L395" s="428">
        <v>0.02</v>
      </c>
      <c r="M395" s="624" t="s">
        <v>1223</v>
      </c>
      <c r="N395" s="158" t="s">
        <v>700</v>
      </c>
      <c r="O395" s="417" t="s">
        <v>1224</v>
      </c>
      <c r="P395" s="477" t="s">
        <v>2129</v>
      </c>
      <c r="Q395" s="505" t="s">
        <v>2130</v>
      </c>
      <c r="R395" s="473">
        <v>1</v>
      </c>
      <c r="S395" s="473" t="s">
        <v>2131</v>
      </c>
      <c r="T395" s="473" t="s">
        <v>2129</v>
      </c>
      <c r="U395" s="106">
        <v>68</v>
      </c>
      <c r="V395" s="430">
        <v>0.2</v>
      </c>
      <c r="W395" s="106">
        <v>54.4</v>
      </c>
      <c r="X395" s="147"/>
      <c r="Y395" s="163"/>
      <c r="Z395" s="163"/>
      <c r="AA395" s="163"/>
      <c r="AB395" s="428">
        <v>0.02</v>
      </c>
      <c r="AC395" s="41" t="s">
        <v>1223</v>
      </c>
      <c r="AD395" s="42" t="s">
        <v>700</v>
      </c>
      <c r="AE395" s="416" t="s">
        <v>1224</v>
      </c>
    </row>
    <row r="396" spans="1:31" s="1" customFormat="1">
      <c r="A396" s="477" t="s">
        <v>2132</v>
      </c>
      <c r="B396" s="505" t="s">
        <v>2133</v>
      </c>
      <c r="C396" s="473">
        <v>1</v>
      </c>
      <c r="D396" s="508" t="s">
        <v>2131</v>
      </c>
      <c r="E396" s="1009">
        <v>84.79</v>
      </c>
      <c r="F396" s="430">
        <f t="shared" si="84"/>
        <v>0.2</v>
      </c>
      <c r="G396" s="106">
        <f t="shared" si="69"/>
        <v>67.832000000000008</v>
      </c>
      <c r="H396" s="147"/>
      <c r="I396" s="163"/>
      <c r="J396" s="163"/>
      <c r="K396" s="163"/>
      <c r="L396" s="428"/>
      <c r="M396" s="624" t="s">
        <v>1223</v>
      </c>
      <c r="N396" s="158" t="s">
        <v>700</v>
      </c>
      <c r="O396" s="417" t="s">
        <v>1224</v>
      </c>
      <c r="P396" s="477" t="s">
        <v>2132</v>
      </c>
      <c r="Q396" s="505" t="s">
        <v>2133</v>
      </c>
      <c r="R396" s="473">
        <v>1</v>
      </c>
      <c r="S396" s="473" t="s">
        <v>2131</v>
      </c>
      <c r="T396" s="473" t="s">
        <v>2132</v>
      </c>
      <c r="U396" s="106">
        <v>84.79</v>
      </c>
      <c r="V396" s="430">
        <v>0.2</v>
      </c>
      <c r="W396" s="106">
        <v>67.832000000000008</v>
      </c>
      <c r="X396" s="147"/>
      <c r="Y396" s="163"/>
      <c r="Z396" s="163"/>
      <c r="AA396" s="163"/>
      <c r="AB396" s="428">
        <v>0</v>
      </c>
      <c r="AC396" s="41" t="s">
        <v>1223</v>
      </c>
      <c r="AD396" s="42" t="s">
        <v>700</v>
      </c>
      <c r="AE396" s="416" t="s">
        <v>1224</v>
      </c>
    </row>
    <row r="397" spans="1:31" s="90" customFormat="1">
      <c r="A397" s="477" t="s">
        <v>2134</v>
      </c>
      <c r="B397" s="505" t="s">
        <v>2135</v>
      </c>
      <c r="C397" s="518">
        <v>1</v>
      </c>
      <c r="D397" s="517" t="s">
        <v>2131</v>
      </c>
      <c r="E397" s="1010">
        <v>35.369999999999997</v>
      </c>
      <c r="F397" s="514">
        <f>rv_30</f>
        <v>0.3</v>
      </c>
      <c r="G397" s="515">
        <f t="shared" ref="G397:G474" si="92">E397-(E397*F397)</f>
        <v>24.759</v>
      </c>
      <c r="H397" s="531"/>
      <c r="I397" s="532"/>
      <c r="J397" s="532"/>
      <c r="K397" s="532"/>
      <c r="L397" s="428"/>
      <c r="M397" s="624" t="s">
        <v>1223</v>
      </c>
      <c r="N397" s="158" t="s">
        <v>700</v>
      </c>
      <c r="O397" s="417" t="s">
        <v>1224</v>
      </c>
      <c r="P397" s="477" t="s">
        <v>2134</v>
      </c>
      <c r="Q397" s="505" t="s">
        <v>2135</v>
      </c>
      <c r="R397" s="518">
        <v>1</v>
      </c>
      <c r="S397" s="518" t="s">
        <v>2131</v>
      </c>
      <c r="T397" s="473" t="s">
        <v>2134</v>
      </c>
      <c r="U397" s="515">
        <v>35.369999999999997</v>
      </c>
      <c r="V397" s="514">
        <v>0.3</v>
      </c>
      <c r="W397" s="515">
        <v>24.759</v>
      </c>
      <c r="X397" s="531"/>
      <c r="Y397" s="532"/>
      <c r="Z397" s="532"/>
      <c r="AA397" s="532"/>
      <c r="AB397" s="428">
        <v>0</v>
      </c>
      <c r="AC397" s="41" t="s">
        <v>1223</v>
      </c>
      <c r="AD397" s="42" t="s">
        <v>700</v>
      </c>
      <c r="AE397" s="416" t="s">
        <v>1224</v>
      </c>
    </row>
    <row r="398" spans="1:31" s="1" customFormat="1">
      <c r="A398" s="477" t="s">
        <v>2136</v>
      </c>
      <c r="B398" s="505" t="s">
        <v>2137</v>
      </c>
      <c r="C398" s="473">
        <v>1</v>
      </c>
      <c r="D398" s="508" t="s">
        <v>2131</v>
      </c>
      <c r="E398" s="1009">
        <v>42.1</v>
      </c>
      <c r="F398" s="430">
        <f>rv_30</f>
        <v>0.3</v>
      </c>
      <c r="G398" s="106">
        <f t="shared" si="92"/>
        <v>29.47</v>
      </c>
      <c r="H398" s="147"/>
      <c r="I398" s="163"/>
      <c r="J398" s="163"/>
      <c r="K398" s="163"/>
      <c r="L398" s="428"/>
      <c r="M398" s="624" t="s">
        <v>1223</v>
      </c>
      <c r="N398" s="158" t="s">
        <v>700</v>
      </c>
      <c r="O398" s="417" t="s">
        <v>1224</v>
      </c>
      <c r="P398" s="477" t="s">
        <v>2136</v>
      </c>
      <c r="Q398" s="505" t="s">
        <v>2137</v>
      </c>
      <c r="R398" s="473">
        <v>1</v>
      </c>
      <c r="S398" s="473" t="s">
        <v>2131</v>
      </c>
      <c r="T398" s="473" t="s">
        <v>2136</v>
      </c>
      <c r="U398" s="106">
        <v>42.1</v>
      </c>
      <c r="V398" s="430">
        <v>0.3</v>
      </c>
      <c r="W398" s="106">
        <v>29.47</v>
      </c>
      <c r="X398" s="147"/>
      <c r="Y398" s="163"/>
      <c r="Z398" s="163"/>
      <c r="AA398" s="163"/>
      <c r="AB398" s="428">
        <v>0</v>
      </c>
      <c r="AC398" s="41" t="s">
        <v>1223</v>
      </c>
      <c r="AD398" s="42" t="s">
        <v>700</v>
      </c>
      <c r="AE398" s="416" t="s">
        <v>1224</v>
      </c>
    </row>
    <row r="399" spans="1:31" s="1" customFormat="1" ht="15" customHeight="1">
      <c r="A399" s="477" t="s">
        <v>2138</v>
      </c>
      <c r="B399" s="505" t="s">
        <v>2139</v>
      </c>
      <c r="C399" s="473">
        <v>1</v>
      </c>
      <c r="D399" s="508" t="s">
        <v>2131</v>
      </c>
      <c r="E399" s="1009">
        <v>53</v>
      </c>
      <c r="F399" s="430">
        <f>rv_30</f>
        <v>0.3</v>
      </c>
      <c r="G399" s="106">
        <f t="shared" si="92"/>
        <v>37.1</v>
      </c>
      <c r="H399" s="147"/>
      <c r="I399" s="163"/>
      <c r="J399" s="163"/>
      <c r="K399" s="163"/>
      <c r="L399" s="428"/>
      <c r="M399" s="624" t="s">
        <v>1223</v>
      </c>
      <c r="N399" s="158" t="s">
        <v>700</v>
      </c>
      <c r="O399" s="417" t="s">
        <v>1224</v>
      </c>
      <c r="P399" s="477" t="s">
        <v>2138</v>
      </c>
      <c r="Q399" s="505" t="s">
        <v>2139</v>
      </c>
      <c r="R399" s="473">
        <v>1</v>
      </c>
      <c r="S399" s="473" t="s">
        <v>2131</v>
      </c>
      <c r="T399" s="473" t="s">
        <v>2138</v>
      </c>
      <c r="U399" s="106">
        <v>53</v>
      </c>
      <c r="V399" s="430">
        <v>0.3</v>
      </c>
      <c r="W399" s="106">
        <v>37.1</v>
      </c>
      <c r="X399" s="147"/>
      <c r="Y399" s="163"/>
      <c r="Z399" s="163"/>
      <c r="AA399" s="163"/>
      <c r="AB399" s="428">
        <v>0</v>
      </c>
      <c r="AC399" s="41" t="s">
        <v>1223</v>
      </c>
      <c r="AD399" s="42" t="s">
        <v>700</v>
      </c>
      <c r="AE399" s="416" t="s">
        <v>1224</v>
      </c>
    </row>
    <row r="400" spans="1:31" s="1" customFormat="1">
      <c r="A400" s="477" t="s">
        <v>2140</v>
      </c>
      <c r="B400" s="505" t="s">
        <v>2141</v>
      </c>
      <c r="C400" s="506">
        <v>1</v>
      </c>
      <c r="D400" s="585" t="s">
        <v>2142</v>
      </c>
      <c r="E400" s="1009">
        <v>24.99</v>
      </c>
      <c r="F400" s="430">
        <f t="shared" ref="F400:F408" si="93">rv_20</f>
        <v>0.2</v>
      </c>
      <c r="G400" s="106">
        <f t="shared" si="92"/>
        <v>19.991999999999997</v>
      </c>
      <c r="H400" s="147"/>
      <c r="I400" s="163"/>
      <c r="J400" s="163"/>
      <c r="K400" s="163"/>
      <c r="L400" s="428"/>
      <c r="M400" s="624" t="s">
        <v>1223</v>
      </c>
      <c r="N400" s="158" t="s">
        <v>700</v>
      </c>
      <c r="O400" s="417" t="s">
        <v>1224</v>
      </c>
      <c r="P400" s="477" t="s">
        <v>2140</v>
      </c>
      <c r="Q400" s="505" t="s">
        <v>2141</v>
      </c>
      <c r="R400" s="506">
        <v>1</v>
      </c>
      <c r="S400" s="106" t="s">
        <v>2142</v>
      </c>
      <c r="T400" s="473" t="s">
        <v>2140</v>
      </c>
      <c r="U400" s="106">
        <v>24.99</v>
      </c>
      <c r="V400" s="430">
        <v>0.2</v>
      </c>
      <c r="W400" s="106">
        <v>19.991999999999997</v>
      </c>
      <c r="X400" s="147"/>
      <c r="Y400" s="163"/>
      <c r="Z400" s="163"/>
      <c r="AA400" s="163"/>
      <c r="AB400" s="428">
        <v>0</v>
      </c>
      <c r="AC400" s="41" t="s">
        <v>1223</v>
      </c>
      <c r="AD400" s="42" t="s">
        <v>700</v>
      </c>
      <c r="AE400" s="416" t="s">
        <v>1224</v>
      </c>
    </row>
    <row r="401" spans="1:31" s="1" customFormat="1">
      <c r="A401" s="477" t="s">
        <v>2143</v>
      </c>
      <c r="B401" s="505" t="s">
        <v>2144</v>
      </c>
      <c r="C401" s="506">
        <v>1</v>
      </c>
      <c r="D401" s="585" t="s">
        <v>2142</v>
      </c>
      <c r="E401" s="1009">
        <v>24.99</v>
      </c>
      <c r="F401" s="430">
        <f t="shared" si="93"/>
        <v>0.2</v>
      </c>
      <c r="G401" s="106">
        <f t="shared" si="92"/>
        <v>19.991999999999997</v>
      </c>
      <c r="H401" s="147"/>
      <c r="I401" s="163"/>
      <c r="J401" s="163"/>
      <c r="K401" s="163"/>
      <c r="L401" s="428"/>
      <c r="M401" s="624" t="s">
        <v>1223</v>
      </c>
      <c r="N401" s="158" t="s">
        <v>700</v>
      </c>
      <c r="O401" s="417" t="s">
        <v>1224</v>
      </c>
      <c r="P401" s="477" t="s">
        <v>2143</v>
      </c>
      <c r="Q401" s="505" t="s">
        <v>2144</v>
      </c>
      <c r="R401" s="506">
        <v>1</v>
      </c>
      <c r="S401" s="106" t="s">
        <v>2142</v>
      </c>
      <c r="T401" s="473" t="s">
        <v>2143</v>
      </c>
      <c r="U401" s="106">
        <v>24.99</v>
      </c>
      <c r="V401" s="430">
        <v>0.2</v>
      </c>
      <c r="W401" s="106">
        <v>19.991999999999997</v>
      </c>
      <c r="X401" s="147"/>
      <c r="Y401" s="163"/>
      <c r="Z401" s="163"/>
      <c r="AA401" s="163"/>
      <c r="AB401" s="428">
        <v>0</v>
      </c>
      <c r="AC401" s="41" t="s">
        <v>1223</v>
      </c>
      <c r="AD401" s="42" t="s">
        <v>700</v>
      </c>
      <c r="AE401" s="416" t="s">
        <v>1224</v>
      </c>
    </row>
    <row r="402" spans="1:31" s="1" customFormat="1">
      <c r="A402" s="477" t="s">
        <v>2145</v>
      </c>
      <c r="B402" s="505" t="s">
        <v>2146</v>
      </c>
      <c r="C402" s="506">
        <v>1</v>
      </c>
      <c r="D402" s="585" t="s">
        <v>2142</v>
      </c>
      <c r="E402" s="1009">
        <v>24.99</v>
      </c>
      <c r="F402" s="430">
        <f t="shared" si="93"/>
        <v>0.2</v>
      </c>
      <c r="G402" s="106">
        <f t="shared" si="92"/>
        <v>19.991999999999997</v>
      </c>
      <c r="H402" s="147"/>
      <c r="I402" s="163"/>
      <c r="J402" s="163"/>
      <c r="K402" s="163"/>
      <c r="L402" s="428"/>
      <c r="M402" s="624" t="s">
        <v>1223</v>
      </c>
      <c r="N402" s="158" t="s">
        <v>700</v>
      </c>
      <c r="O402" s="417" t="s">
        <v>1224</v>
      </c>
      <c r="P402" s="477" t="s">
        <v>2145</v>
      </c>
      <c r="Q402" s="505" t="s">
        <v>2146</v>
      </c>
      <c r="R402" s="506">
        <v>1</v>
      </c>
      <c r="S402" s="106" t="s">
        <v>2142</v>
      </c>
      <c r="T402" s="473" t="s">
        <v>2145</v>
      </c>
      <c r="U402" s="106">
        <v>24.99</v>
      </c>
      <c r="V402" s="430">
        <v>0.2</v>
      </c>
      <c r="W402" s="106">
        <v>19.991999999999997</v>
      </c>
      <c r="X402" s="147"/>
      <c r="Y402" s="163"/>
      <c r="Z402" s="163"/>
      <c r="AA402" s="163"/>
      <c r="AB402" s="428">
        <v>0</v>
      </c>
      <c r="AC402" s="41" t="s">
        <v>1223</v>
      </c>
      <c r="AD402" s="42" t="s">
        <v>700</v>
      </c>
      <c r="AE402" s="416" t="s">
        <v>1224</v>
      </c>
    </row>
    <row r="403" spans="1:31" s="1" customFormat="1">
      <c r="A403" s="684" t="s">
        <v>3623</v>
      </c>
      <c r="B403" s="685" t="s">
        <v>3624</v>
      </c>
      <c r="C403" s="686">
        <v>1</v>
      </c>
      <c r="D403" s="693" t="s">
        <v>2142</v>
      </c>
      <c r="E403" s="977">
        <v>24.99</v>
      </c>
      <c r="F403" s="161">
        <f t="shared" si="93"/>
        <v>0.2</v>
      </c>
      <c r="G403" s="647">
        <f t="shared" ref="G403" si="94">E403-(E403*F403)</f>
        <v>19.991999999999997</v>
      </c>
      <c r="H403" s="688"/>
      <c r="I403" s="215"/>
      <c r="J403" s="215"/>
      <c r="K403" s="215"/>
      <c r="L403" s="44"/>
      <c r="M403" s="624" t="s">
        <v>1223</v>
      </c>
      <c r="N403" s="158" t="s">
        <v>700</v>
      </c>
      <c r="O403" s="417" t="s">
        <v>1224</v>
      </c>
      <c r="P403" s="477"/>
      <c r="Q403" s="505"/>
      <c r="R403" s="506"/>
      <c r="S403" s="585"/>
      <c r="T403" s="508"/>
      <c r="U403" s="106"/>
      <c r="V403" s="430"/>
      <c r="W403" s="106"/>
      <c r="X403" s="147"/>
      <c r="Y403" s="163"/>
      <c r="Z403" s="163"/>
      <c r="AA403" s="163"/>
      <c r="AB403" s="428"/>
      <c r="AC403" s="41"/>
      <c r="AD403" s="42"/>
      <c r="AE403" s="416"/>
    </row>
    <row r="404" spans="1:31" s="1" customFormat="1">
      <c r="A404" s="477" t="s">
        <v>2147</v>
      </c>
      <c r="B404" s="505" t="s">
        <v>2148</v>
      </c>
      <c r="C404" s="506">
        <v>1</v>
      </c>
      <c r="D404" s="585" t="s">
        <v>2142</v>
      </c>
      <c r="E404" s="1009">
        <v>20.83</v>
      </c>
      <c r="F404" s="430">
        <f t="shared" si="93"/>
        <v>0.2</v>
      </c>
      <c r="G404" s="106">
        <f t="shared" si="92"/>
        <v>16.663999999999998</v>
      </c>
      <c r="H404" s="147"/>
      <c r="I404" s="163"/>
      <c r="J404" s="163"/>
      <c r="K404" s="163"/>
      <c r="L404" s="428"/>
      <c r="M404" s="624" t="s">
        <v>1223</v>
      </c>
      <c r="N404" s="158" t="s">
        <v>700</v>
      </c>
      <c r="O404" s="417" t="s">
        <v>1224</v>
      </c>
      <c r="P404" s="477" t="s">
        <v>2147</v>
      </c>
      <c r="Q404" s="505" t="s">
        <v>2148</v>
      </c>
      <c r="R404" s="506">
        <v>1</v>
      </c>
      <c r="S404" s="585" t="s">
        <v>2142</v>
      </c>
      <c r="T404" s="575" t="s">
        <v>2147</v>
      </c>
      <c r="U404" s="106">
        <v>20.83</v>
      </c>
      <c r="V404" s="430">
        <v>0.2</v>
      </c>
      <c r="W404" s="106">
        <v>16.663999999999998</v>
      </c>
      <c r="X404" s="147"/>
      <c r="Y404" s="163"/>
      <c r="Z404" s="163"/>
      <c r="AA404" s="163"/>
      <c r="AB404" s="428">
        <v>0</v>
      </c>
      <c r="AC404" s="41" t="s">
        <v>1223</v>
      </c>
      <c r="AD404" s="42" t="s">
        <v>700</v>
      </c>
      <c r="AE404" s="416" t="s">
        <v>1224</v>
      </c>
    </row>
    <row r="405" spans="1:31" s="1" customFormat="1">
      <c r="A405" s="477" t="s">
        <v>2149</v>
      </c>
      <c r="B405" s="505" t="s">
        <v>2150</v>
      </c>
      <c r="C405" s="506">
        <v>1</v>
      </c>
      <c r="D405" s="585" t="s">
        <v>2142</v>
      </c>
      <c r="E405" s="1009">
        <v>20.83</v>
      </c>
      <c r="F405" s="430">
        <f t="shared" si="93"/>
        <v>0.2</v>
      </c>
      <c r="G405" s="106">
        <f t="shared" si="92"/>
        <v>16.663999999999998</v>
      </c>
      <c r="H405" s="147"/>
      <c r="I405" s="163"/>
      <c r="J405" s="163"/>
      <c r="K405" s="163"/>
      <c r="L405" s="428"/>
      <c r="M405" s="624" t="s">
        <v>1223</v>
      </c>
      <c r="N405" s="158" t="s">
        <v>700</v>
      </c>
      <c r="O405" s="417" t="s">
        <v>1224</v>
      </c>
      <c r="P405" s="477" t="s">
        <v>2149</v>
      </c>
      <c r="Q405" s="505" t="s">
        <v>2150</v>
      </c>
      <c r="R405" s="506">
        <v>1</v>
      </c>
      <c r="S405" s="106" t="s">
        <v>2142</v>
      </c>
      <c r="T405" s="473" t="s">
        <v>2149</v>
      </c>
      <c r="U405" s="106">
        <v>20.83</v>
      </c>
      <c r="V405" s="430">
        <v>0.2</v>
      </c>
      <c r="W405" s="106">
        <v>16.663999999999998</v>
      </c>
      <c r="X405" s="147"/>
      <c r="Y405" s="163"/>
      <c r="Z405" s="163"/>
      <c r="AA405" s="163"/>
      <c r="AB405" s="428">
        <v>0</v>
      </c>
      <c r="AC405" s="41" t="s">
        <v>1223</v>
      </c>
      <c r="AD405" s="42" t="s">
        <v>700</v>
      </c>
      <c r="AE405" s="416" t="s">
        <v>1224</v>
      </c>
    </row>
    <row r="406" spans="1:31" s="1" customFormat="1">
      <c r="A406" s="684" t="s">
        <v>3629</v>
      </c>
      <c r="B406" s="685" t="s">
        <v>3630</v>
      </c>
      <c r="C406" s="686">
        <v>1</v>
      </c>
      <c r="D406" s="693" t="s">
        <v>2142</v>
      </c>
      <c r="E406" s="977">
        <v>20.83</v>
      </c>
      <c r="F406" s="161">
        <f t="shared" si="93"/>
        <v>0.2</v>
      </c>
      <c r="G406" s="647">
        <f t="shared" ref="G406" si="95">E406-(E406*F406)</f>
        <v>16.663999999999998</v>
      </c>
      <c r="H406" s="688"/>
      <c r="I406" s="215"/>
      <c r="J406" s="215"/>
      <c r="K406" s="215"/>
      <c r="L406" s="44"/>
      <c r="M406" s="624" t="s">
        <v>1223</v>
      </c>
      <c r="N406" s="158" t="s">
        <v>700</v>
      </c>
      <c r="O406" s="417" t="s">
        <v>1224</v>
      </c>
      <c r="P406" s="477"/>
      <c r="Q406" s="505"/>
      <c r="R406" s="506"/>
      <c r="S406" s="106"/>
      <c r="T406" s="473"/>
      <c r="U406" s="106"/>
      <c r="V406" s="430"/>
      <c r="W406" s="106"/>
      <c r="X406" s="147"/>
      <c r="Y406" s="163"/>
      <c r="Z406" s="163"/>
      <c r="AA406" s="163"/>
      <c r="AB406" s="428"/>
      <c r="AC406" s="41"/>
      <c r="AD406" s="42"/>
      <c r="AE406" s="416"/>
    </row>
    <row r="407" spans="1:31" s="1" customFormat="1">
      <c r="A407" s="477" t="s">
        <v>2151</v>
      </c>
      <c r="B407" s="505" t="s">
        <v>2152</v>
      </c>
      <c r="C407" s="506">
        <v>1</v>
      </c>
      <c r="D407" s="585" t="s">
        <v>2142</v>
      </c>
      <c r="E407" s="1009">
        <v>20.83</v>
      </c>
      <c r="F407" s="430">
        <f t="shared" si="93"/>
        <v>0.2</v>
      </c>
      <c r="G407" s="106">
        <f t="shared" si="92"/>
        <v>16.663999999999998</v>
      </c>
      <c r="H407" s="147"/>
      <c r="I407" s="163"/>
      <c r="J407" s="163"/>
      <c r="K407" s="163"/>
      <c r="L407" s="428"/>
      <c r="M407" s="624" t="s">
        <v>1223</v>
      </c>
      <c r="N407" s="158" t="s">
        <v>700</v>
      </c>
      <c r="O407" s="417" t="s">
        <v>1224</v>
      </c>
      <c r="P407" s="477" t="s">
        <v>2151</v>
      </c>
      <c r="Q407" s="505" t="s">
        <v>2152</v>
      </c>
      <c r="R407" s="506">
        <v>1</v>
      </c>
      <c r="S407" s="106" t="s">
        <v>2142</v>
      </c>
      <c r="T407" s="473" t="s">
        <v>2151</v>
      </c>
      <c r="U407" s="106">
        <v>20.83</v>
      </c>
      <c r="V407" s="430">
        <v>0.2</v>
      </c>
      <c r="W407" s="106">
        <v>16.663999999999998</v>
      </c>
      <c r="X407" s="147"/>
      <c r="Y407" s="163"/>
      <c r="Z407" s="163"/>
      <c r="AA407" s="163"/>
      <c r="AB407" s="428">
        <v>0</v>
      </c>
      <c r="AC407" s="41" t="s">
        <v>1223</v>
      </c>
      <c r="AD407" s="42" t="s">
        <v>700</v>
      </c>
      <c r="AE407" s="416" t="s">
        <v>1224</v>
      </c>
    </row>
    <row r="408" spans="1:31" s="1" customFormat="1">
      <c r="A408" s="477" t="s">
        <v>2153</v>
      </c>
      <c r="B408" s="505" t="s">
        <v>2154</v>
      </c>
      <c r="C408" s="506">
        <v>1</v>
      </c>
      <c r="D408" s="585" t="s">
        <v>2142</v>
      </c>
      <c r="E408" s="1009">
        <v>24.99</v>
      </c>
      <c r="F408" s="430">
        <f t="shared" si="93"/>
        <v>0.2</v>
      </c>
      <c r="G408" s="106">
        <f t="shared" si="92"/>
        <v>19.991999999999997</v>
      </c>
      <c r="H408" s="147"/>
      <c r="I408" s="163"/>
      <c r="J408" s="163"/>
      <c r="K408" s="163"/>
      <c r="L408" s="428"/>
      <c r="M408" s="624" t="s">
        <v>1223</v>
      </c>
      <c r="N408" s="158" t="s">
        <v>700</v>
      </c>
      <c r="O408" s="417" t="s">
        <v>1224</v>
      </c>
      <c r="P408" s="477" t="s">
        <v>2153</v>
      </c>
      <c r="Q408" s="505" t="s">
        <v>2154</v>
      </c>
      <c r="R408" s="506">
        <v>1</v>
      </c>
      <c r="S408" s="106" t="s">
        <v>2142</v>
      </c>
      <c r="T408" s="473" t="s">
        <v>2153</v>
      </c>
      <c r="U408" s="106">
        <v>24.99</v>
      </c>
      <c r="V408" s="430">
        <v>0.2</v>
      </c>
      <c r="W408" s="106">
        <v>19.991999999999997</v>
      </c>
      <c r="X408" s="147"/>
      <c r="Y408" s="163"/>
      <c r="Z408" s="163"/>
      <c r="AA408" s="163"/>
      <c r="AB408" s="428">
        <v>0</v>
      </c>
      <c r="AC408" s="41" t="s">
        <v>1223</v>
      </c>
      <c r="AD408" s="42" t="s">
        <v>700</v>
      </c>
      <c r="AE408" s="416" t="s">
        <v>1224</v>
      </c>
    </row>
    <row r="409" spans="1:31" s="1" customFormat="1">
      <c r="A409" s="477" t="s">
        <v>2163</v>
      </c>
      <c r="B409" s="505" t="s">
        <v>2164</v>
      </c>
      <c r="C409" s="506">
        <v>1</v>
      </c>
      <c r="D409" s="585" t="s">
        <v>1849</v>
      </c>
      <c r="E409" s="1009">
        <v>147.13999999999999</v>
      </c>
      <c r="F409" s="430">
        <f t="shared" ref="F409:F425" si="96">rv_20</f>
        <v>0.2</v>
      </c>
      <c r="G409" s="106">
        <f t="shared" si="92"/>
        <v>117.71199999999999</v>
      </c>
      <c r="H409" s="147"/>
      <c r="I409" s="163"/>
      <c r="J409" s="163"/>
      <c r="K409" s="163"/>
      <c r="L409" s="428">
        <v>0.92</v>
      </c>
      <c r="M409" s="624" t="s">
        <v>1223</v>
      </c>
      <c r="N409" s="158" t="s">
        <v>700</v>
      </c>
      <c r="O409" s="417" t="s">
        <v>1224</v>
      </c>
      <c r="P409" s="477" t="s">
        <v>2163</v>
      </c>
      <c r="Q409" s="505" t="s">
        <v>2164</v>
      </c>
      <c r="R409" s="506">
        <v>1</v>
      </c>
      <c r="S409" s="106" t="s">
        <v>1849</v>
      </c>
      <c r="T409" s="473" t="s">
        <v>2163</v>
      </c>
      <c r="U409" s="106">
        <v>147.13999999999999</v>
      </c>
      <c r="V409" s="430">
        <v>0.2</v>
      </c>
      <c r="W409" s="106">
        <v>117.71199999999999</v>
      </c>
      <c r="X409" s="147"/>
      <c r="Y409" s="163"/>
      <c r="Z409" s="163"/>
      <c r="AA409" s="163"/>
      <c r="AB409" s="428">
        <v>0.92</v>
      </c>
      <c r="AC409" s="41" t="s">
        <v>1223</v>
      </c>
      <c r="AD409" s="42" t="s">
        <v>700</v>
      </c>
      <c r="AE409" s="416" t="s">
        <v>1224</v>
      </c>
    </row>
    <row r="410" spans="1:31" s="1" customFormat="1">
      <c r="A410" s="477" t="s">
        <v>2165</v>
      </c>
      <c r="B410" s="505" t="s">
        <v>2166</v>
      </c>
      <c r="C410" s="506">
        <v>1</v>
      </c>
      <c r="D410" s="585" t="s">
        <v>1849</v>
      </c>
      <c r="E410" s="1009">
        <v>175.8</v>
      </c>
      <c r="F410" s="430">
        <f t="shared" si="96"/>
        <v>0.2</v>
      </c>
      <c r="G410" s="106">
        <f t="shared" si="92"/>
        <v>140.64000000000001</v>
      </c>
      <c r="H410" s="147"/>
      <c r="I410" s="163"/>
      <c r="J410" s="163"/>
      <c r="K410" s="163"/>
      <c r="L410" s="428">
        <v>0.92</v>
      </c>
      <c r="M410" s="624" t="s">
        <v>1223</v>
      </c>
      <c r="N410" s="158" t="s">
        <v>700</v>
      </c>
      <c r="O410" s="417" t="s">
        <v>1224</v>
      </c>
      <c r="P410" s="477" t="s">
        <v>2165</v>
      </c>
      <c r="Q410" s="505" t="s">
        <v>2166</v>
      </c>
      <c r="R410" s="506">
        <v>1</v>
      </c>
      <c r="S410" s="106" t="s">
        <v>1849</v>
      </c>
      <c r="T410" s="473" t="s">
        <v>2165</v>
      </c>
      <c r="U410" s="106">
        <v>175.8</v>
      </c>
      <c r="V410" s="430">
        <v>0.2</v>
      </c>
      <c r="W410" s="106">
        <v>140.64000000000001</v>
      </c>
      <c r="X410" s="147"/>
      <c r="Y410" s="163"/>
      <c r="Z410" s="163"/>
      <c r="AA410" s="163"/>
      <c r="AB410" s="428">
        <v>0.92</v>
      </c>
      <c r="AC410" s="41" t="s">
        <v>1223</v>
      </c>
      <c r="AD410" s="42" t="s">
        <v>700</v>
      </c>
      <c r="AE410" s="416" t="s">
        <v>1224</v>
      </c>
    </row>
    <row r="411" spans="1:31" s="1" customFormat="1">
      <c r="A411" s="477" t="s">
        <v>2167</v>
      </c>
      <c r="B411" s="505" t="s">
        <v>2168</v>
      </c>
      <c r="C411" s="506">
        <v>1</v>
      </c>
      <c r="D411" s="585" t="s">
        <v>1849</v>
      </c>
      <c r="E411" s="1009">
        <v>262.25</v>
      </c>
      <c r="F411" s="430">
        <f t="shared" si="96"/>
        <v>0.2</v>
      </c>
      <c r="G411" s="106">
        <f t="shared" si="92"/>
        <v>209.8</v>
      </c>
      <c r="H411" s="147"/>
      <c r="I411" s="163"/>
      <c r="J411" s="163"/>
      <c r="K411" s="163"/>
      <c r="L411" s="428">
        <v>0</v>
      </c>
      <c r="M411" s="624" t="s">
        <v>1223</v>
      </c>
      <c r="N411" s="158" t="s">
        <v>700</v>
      </c>
      <c r="O411" s="417" t="s">
        <v>1224</v>
      </c>
      <c r="P411" s="477" t="s">
        <v>2167</v>
      </c>
      <c r="Q411" s="505" t="s">
        <v>2168</v>
      </c>
      <c r="R411" s="506">
        <v>1</v>
      </c>
      <c r="S411" s="106" t="s">
        <v>1849</v>
      </c>
      <c r="T411" s="473" t="s">
        <v>2167</v>
      </c>
      <c r="U411" s="106">
        <v>262.25</v>
      </c>
      <c r="V411" s="430">
        <v>0.2</v>
      </c>
      <c r="W411" s="106">
        <v>209.8</v>
      </c>
      <c r="X411" s="147"/>
      <c r="Y411" s="163"/>
      <c r="Z411" s="163"/>
      <c r="AA411" s="163"/>
      <c r="AB411" s="428">
        <v>0</v>
      </c>
      <c r="AC411" s="41" t="s">
        <v>1223</v>
      </c>
      <c r="AD411" s="42" t="s">
        <v>700</v>
      </c>
      <c r="AE411" s="416" t="s">
        <v>1224</v>
      </c>
    </row>
    <row r="412" spans="1:31" s="1" customFormat="1">
      <c r="A412" s="684" t="s">
        <v>3218</v>
      </c>
      <c r="B412" s="685" t="s">
        <v>3220</v>
      </c>
      <c r="C412" s="686">
        <v>1</v>
      </c>
      <c r="D412" s="693" t="s">
        <v>2171</v>
      </c>
      <c r="E412" s="977">
        <v>25</v>
      </c>
      <c r="F412" s="161">
        <f t="shared" si="96"/>
        <v>0.2</v>
      </c>
      <c r="G412" s="647">
        <f t="shared" si="92"/>
        <v>20</v>
      </c>
      <c r="H412" s="688"/>
      <c r="I412" s="215"/>
      <c r="J412" s="215"/>
      <c r="K412" s="215"/>
      <c r="L412" s="44"/>
      <c r="M412" s="624" t="s">
        <v>1223</v>
      </c>
      <c r="N412" s="158" t="s">
        <v>700</v>
      </c>
      <c r="O412" s="417" t="s">
        <v>1224</v>
      </c>
      <c r="P412" s="650" t="s">
        <v>2169</v>
      </c>
      <c r="Q412" s="651" t="s">
        <v>2170</v>
      </c>
      <c r="R412" s="652">
        <v>1</v>
      </c>
      <c r="S412" s="654" t="s">
        <v>2171</v>
      </c>
      <c r="T412" s="653" t="s">
        <v>2169</v>
      </c>
      <c r="U412" s="654">
        <v>22.32</v>
      </c>
      <c r="V412" s="655">
        <v>0.2</v>
      </c>
      <c r="W412" s="654">
        <v>17.856000000000002</v>
      </c>
      <c r="X412" s="656"/>
      <c r="Y412" s="657"/>
      <c r="Z412" s="657"/>
      <c r="AA412" s="657"/>
      <c r="AB412" s="659">
        <v>0.05</v>
      </c>
      <c r="AC412" s="660" t="s">
        <v>1223</v>
      </c>
      <c r="AD412" s="661" t="s">
        <v>700</v>
      </c>
      <c r="AE412" s="662" t="s">
        <v>1224</v>
      </c>
    </row>
    <row r="413" spans="1:31" s="1" customFormat="1">
      <c r="A413" s="684" t="s">
        <v>3221</v>
      </c>
      <c r="B413" s="685" t="s">
        <v>3219</v>
      </c>
      <c r="C413" s="686">
        <v>1</v>
      </c>
      <c r="D413" s="693" t="s">
        <v>2171</v>
      </c>
      <c r="E413" s="977">
        <v>25</v>
      </c>
      <c r="F413" s="161">
        <f t="shared" si="96"/>
        <v>0.2</v>
      </c>
      <c r="G413" s="647">
        <f t="shared" si="92"/>
        <v>20</v>
      </c>
      <c r="H413" s="688"/>
      <c r="I413" s="215"/>
      <c r="J413" s="215"/>
      <c r="K413" s="215"/>
      <c r="L413" s="44"/>
      <c r="M413" s="624" t="s">
        <v>1223</v>
      </c>
      <c r="N413" s="158" t="s">
        <v>700</v>
      </c>
      <c r="O413" s="417" t="s">
        <v>1224</v>
      </c>
      <c r="P413" s="650" t="s">
        <v>2172</v>
      </c>
      <c r="Q413" s="651" t="s">
        <v>2173</v>
      </c>
      <c r="R413" s="652">
        <v>1</v>
      </c>
      <c r="S413" s="654" t="s">
        <v>2171</v>
      </c>
      <c r="T413" s="653" t="s">
        <v>2172</v>
      </c>
      <c r="U413" s="654">
        <v>22.32</v>
      </c>
      <c r="V413" s="655">
        <v>0.2</v>
      </c>
      <c r="W413" s="654">
        <v>17.856000000000002</v>
      </c>
      <c r="X413" s="656"/>
      <c r="Y413" s="657"/>
      <c r="Z413" s="657"/>
      <c r="AA413" s="657"/>
      <c r="AB413" s="659">
        <v>0.05</v>
      </c>
      <c r="AC413" s="660" t="s">
        <v>1223</v>
      </c>
      <c r="AD413" s="661" t="s">
        <v>700</v>
      </c>
      <c r="AE413" s="662" t="s">
        <v>1224</v>
      </c>
    </row>
    <row r="414" spans="1:31" s="1" customFormat="1">
      <c r="A414" s="477" t="s">
        <v>2174</v>
      </c>
      <c r="B414" s="505" t="s">
        <v>2175</v>
      </c>
      <c r="C414" s="506">
        <v>1</v>
      </c>
      <c r="D414" s="585" t="s">
        <v>2171</v>
      </c>
      <c r="E414" s="1009">
        <v>39.99</v>
      </c>
      <c r="F414" s="430">
        <f t="shared" si="96"/>
        <v>0.2</v>
      </c>
      <c r="G414" s="106">
        <f t="shared" si="92"/>
        <v>31.992000000000001</v>
      </c>
      <c r="H414" s="147"/>
      <c r="I414" s="163"/>
      <c r="J414" s="163"/>
      <c r="K414" s="163"/>
      <c r="L414" s="428">
        <v>0.05</v>
      </c>
      <c r="M414" s="624" t="s">
        <v>1223</v>
      </c>
      <c r="N414" s="159" t="s">
        <v>700</v>
      </c>
      <c r="O414" s="221" t="s">
        <v>1224</v>
      </c>
      <c r="P414" s="477" t="s">
        <v>2174</v>
      </c>
      <c r="Q414" s="505" t="s">
        <v>2175</v>
      </c>
      <c r="R414" s="506">
        <v>1</v>
      </c>
      <c r="S414" s="106" t="s">
        <v>2171</v>
      </c>
      <c r="T414" s="473" t="s">
        <v>2174</v>
      </c>
      <c r="U414" s="106">
        <v>39.99</v>
      </c>
      <c r="V414" s="430">
        <v>0.2</v>
      </c>
      <c r="W414" s="106">
        <v>31.992000000000001</v>
      </c>
      <c r="X414" s="147"/>
      <c r="Y414" s="163"/>
      <c r="Z414" s="163"/>
      <c r="AA414" s="163"/>
      <c r="AB414" s="428">
        <v>0.05</v>
      </c>
      <c r="AC414" s="427" t="s">
        <v>1223</v>
      </c>
      <c r="AD414" s="159" t="s">
        <v>700</v>
      </c>
      <c r="AE414" s="159" t="s">
        <v>1224</v>
      </c>
    </row>
    <row r="415" spans="1:31" s="1" customFormat="1">
      <c r="A415" s="477" t="s">
        <v>2176</v>
      </c>
      <c r="B415" s="505" t="s">
        <v>2177</v>
      </c>
      <c r="C415" s="506">
        <v>1</v>
      </c>
      <c r="D415" s="585" t="s">
        <v>2171</v>
      </c>
      <c r="E415" s="1009">
        <v>24.9</v>
      </c>
      <c r="F415" s="430">
        <f>rv_20</f>
        <v>0.2</v>
      </c>
      <c r="G415" s="106">
        <f>E415-(E415*F415)</f>
        <v>19.919999999999998</v>
      </c>
      <c r="H415" s="147"/>
      <c r="I415" s="163"/>
      <c r="J415" s="163"/>
      <c r="K415" s="163"/>
      <c r="L415" s="428">
        <v>0.05</v>
      </c>
      <c r="M415" s="624" t="s">
        <v>1223</v>
      </c>
      <c r="N415" s="158" t="s">
        <v>700</v>
      </c>
      <c r="O415" s="417" t="s">
        <v>1224</v>
      </c>
      <c r="P415" s="477" t="s">
        <v>2176</v>
      </c>
      <c r="Q415" s="505" t="s">
        <v>2177</v>
      </c>
      <c r="R415" s="506">
        <v>1</v>
      </c>
      <c r="S415" s="106" t="s">
        <v>2171</v>
      </c>
      <c r="T415" s="473" t="s">
        <v>2176</v>
      </c>
      <c r="U415" s="106">
        <v>24.9</v>
      </c>
      <c r="V415" s="430">
        <v>0.2</v>
      </c>
      <c r="W415" s="106">
        <v>19.919999999999998</v>
      </c>
      <c r="X415" s="147"/>
      <c r="Y415" s="163"/>
      <c r="Z415" s="163"/>
      <c r="AA415" s="163"/>
      <c r="AB415" s="428">
        <v>0.05</v>
      </c>
      <c r="AC415" s="41" t="s">
        <v>1223</v>
      </c>
      <c r="AD415" s="42" t="s">
        <v>700</v>
      </c>
      <c r="AE415" s="416" t="s">
        <v>1224</v>
      </c>
    </row>
    <row r="416" spans="1:31" s="1" customFormat="1">
      <c r="A416" s="477" t="s">
        <v>2178</v>
      </c>
      <c r="B416" s="505" t="s">
        <v>2179</v>
      </c>
      <c r="C416" s="506">
        <v>1</v>
      </c>
      <c r="D416" s="585" t="s">
        <v>2171</v>
      </c>
      <c r="E416" s="1009">
        <v>22.32</v>
      </c>
      <c r="F416" s="430">
        <f t="shared" si="96"/>
        <v>0.2</v>
      </c>
      <c r="G416" s="106">
        <f t="shared" si="92"/>
        <v>17.856000000000002</v>
      </c>
      <c r="H416" s="147"/>
      <c r="I416" s="163"/>
      <c r="J416" s="163"/>
      <c r="K416" s="163"/>
      <c r="L416" s="428">
        <v>0.02</v>
      </c>
      <c r="M416" s="624" t="s">
        <v>1223</v>
      </c>
      <c r="N416" s="158" t="s">
        <v>700</v>
      </c>
      <c r="O416" s="417" t="s">
        <v>1224</v>
      </c>
      <c r="P416" s="477" t="s">
        <v>2178</v>
      </c>
      <c r="Q416" s="505" t="s">
        <v>2179</v>
      </c>
      <c r="R416" s="506">
        <v>1</v>
      </c>
      <c r="S416" s="106" t="s">
        <v>2171</v>
      </c>
      <c r="T416" s="473" t="s">
        <v>2178</v>
      </c>
      <c r="U416" s="106">
        <v>22.32</v>
      </c>
      <c r="V416" s="430">
        <v>0.2</v>
      </c>
      <c r="W416" s="106">
        <v>17.856000000000002</v>
      </c>
      <c r="X416" s="147"/>
      <c r="Y416" s="163"/>
      <c r="Z416" s="163"/>
      <c r="AA416" s="163"/>
      <c r="AB416" s="428">
        <v>0.02</v>
      </c>
      <c r="AC416" s="41" t="s">
        <v>1223</v>
      </c>
      <c r="AD416" s="42" t="s">
        <v>700</v>
      </c>
      <c r="AE416" s="416" t="s">
        <v>1224</v>
      </c>
    </row>
    <row r="417" spans="1:31" s="1" customFormat="1">
      <c r="A417" s="477" t="s">
        <v>2180</v>
      </c>
      <c r="B417" s="505" t="s">
        <v>2181</v>
      </c>
      <c r="C417" s="506">
        <v>1</v>
      </c>
      <c r="D417" s="585" t="s">
        <v>2171</v>
      </c>
      <c r="E417" s="1009">
        <v>29.75</v>
      </c>
      <c r="F417" s="430">
        <f t="shared" si="96"/>
        <v>0.2</v>
      </c>
      <c r="G417" s="106">
        <f t="shared" si="92"/>
        <v>23.8</v>
      </c>
      <c r="H417" s="147"/>
      <c r="I417" s="163"/>
      <c r="J417" s="163"/>
      <c r="K417" s="163"/>
      <c r="L417" s="428">
        <v>0.02</v>
      </c>
      <c r="M417" s="624" t="s">
        <v>1223</v>
      </c>
      <c r="N417" s="158" t="s">
        <v>700</v>
      </c>
      <c r="O417" s="417" t="s">
        <v>1224</v>
      </c>
      <c r="P417" s="477" t="s">
        <v>2180</v>
      </c>
      <c r="Q417" s="505" t="s">
        <v>2181</v>
      </c>
      <c r="R417" s="506">
        <v>1</v>
      </c>
      <c r="S417" s="106" t="s">
        <v>2171</v>
      </c>
      <c r="T417" s="473" t="s">
        <v>2180</v>
      </c>
      <c r="U417" s="106">
        <v>29.75</v>
      </c>
      <c r="V417" s="430">
        <v>0.2</v>
      </c>
      <c r="W417" s="106">
        <v>23.8</v>
      </c>
      <c r="X417" s="147"/>
      <c r="Y417" s="163"/>
      <c r="Z417" s="163"/>
      <c r="AA417" s="163"/>
      <c r="AB417" s="428">
        <v>0.02</v>
      </c>
      <c r="AC417" s="41" t="s">
        <v>1223</v>
      </c>
      <c r="AD417" s="42" t="s">
        <v>700</v>
      </c>
      <c r="AE417" s="416" t="s">
        <v>1224</v>
      </c>
    </row>
    <row r="418" spans="1:31" s="1" customFormat="1">
      <c r="A418" s="477" t="s">
        <v>2182</v>
      </c>
      <c r="B418" s="505" t="s">
        <v>2183</v>
      </c>
      <c r="C418" s="506">
        <v>1</v>
      </c>
      <c r="D418" s="585" t="s">
        <v>2171</v>
      </c>
      <c r="E418" s="1009">
        <v>29.75</v>
      </c>
      <c r="F418" s="430">
        <f t="shared" si="96"/>
        <v>0.2</v>
      </c>
      <c r="G418" s="106">
        <f t="shared" si="92"/>
        <v>23.8</v>
      </c>
      <c r="H418" s="147"/>
      <c r="I418" s="163"/>
      <c r="J418" s="163"/>
      <c r="K418" s="163"/>
      <c r="L418" s="428">
        <v>0.02</v>
      </c>
      <c r="M418" s="624" t="s">
        <v>1223</v>
      </c>
      <c r="N418" s="158" t="s">
        <v>700</v>
      </c>
      <c r="O418" s="417" t="s">
        <v>1224</v>
      </c>
      <c r="P418" s="477" t="s">
        <v>2182</v>
      </c>
      <c r="Q418" s="505" t="s">
        <v>2184</v>
      </c>
      <c r="R418" s="506">
        <v>1</v>
      </c>
      <c r="S418" s="585" t="s">
        <v>2171</v>
      </c>
      <c r="T418" s="537" t="s">
        <v>2182</v>
      </c>
      <c r="U418" s="106">
        <v>29.75</v>
      </c>
      <c r="V418" s="430">
        <v>0.2</v>
      </c>
      <c r="W418" s="106">
        <v>23.8</v>
      </c>
      <c r="X418" s="147"/>
      <c r="Y418" s="163"/>
      <c r="Z418" s="163"/>
      <c r="AA418" s="163"/>
      <c r="AB418" s="428">
        <v>0.02</v>
      </c>
      <c r="AC418" s="41" t="s">
        <v>1223</v>
      </c>
      <c r="AD418" s="42" t="s">
        <v>700</v>
      </c>
      <c r="AE418" s="416" t="s">
        <v>1224</v>
      </c>
    </row>
    <row r="419" spans="1:31" s="1" customFormat="1">
      <c r="A419" s="477" t="s">
        <v>2185</v>
      </c>
      <c r="B419" s="505" t="s">
        <v>2186</v>
      </c>
      <c r="C419" s="506">
        <v>1</v>
      </c>
      <c r="D419" s="585" t="s">
        <v>2171</v>
      </c>
      <c r="E419" s="1009">
        <v>28.14</v>
      </c>
      <c r="F419" s="430">
        <f t="shared" si="96"/>
        <v>0.2</v>
      </c>
      <c r="G419" s="106">
        <f t="shared" si="92"/>
        <v>22.512</v>
      </c>
      <c r="H419" s="147"/>
      <c r="I419" s="163"/>
      <c r="J419" s="163"/>
      <c r="K419" s="163"/>
      <c r="L419" s="428"/>
      <c r="M419" s="624" t="s">
        <v>1223</v>
      </c>
      <c r="N419" s="158" t="s">
        <v>700</v>
      </c>
      <c r="O419" s="417" t="s">
        <v>1224</v>
      </c>
      <c r="P419" s="477" t="s">
        <v>2185</v>
      </c>
      <c r="Q419" s="505" t="s">
        <v>2186</v>
      </c>
      <c r="R419" s="506">
        <v>1</v>
      </c>
      <c r="S419" s="106" t="s">
        <v>2171</v>
      </c>
      <c r="T419" s="473" t="s">
        <v>2185</v>
      </c>
      <c r="U419" s="106">
        <v>28.14</v>
      </c>
      <c r="V419" s="430">
        <v>0.2</v>
      </c>
      <c r="W419" s="106">
        <v>22.512</v>
      </c>
      <c r="X419" s="147"/>
      <c r="Y419" s="163"/>
      <c r="Z419" s="163"/>
      <c r="AA419" s="163"/>
      <c r="AB419" s="428">
        <v>0</v>
      </c>
      <c r="AC419" s="41" t="s">
        <v>1223</v>
      </c>
      <c r="AD419" s="42" t="s">
        <v>700</v>
      </c>
      <c r="AE419" s="416" t="s">
        <v>1224</v>
      </c>
    </row>
    <row r="420" spans="1:31" s="1" customFormat="1">
      <c r="A420" s="477" t="s">
        <v>2187</v>
      </c>
      <c r="B420" s="505" t="s">
        <v>2188</v>
      </c>
      <c r="C420" s="506">
        <v>1</v>
      </c>
      <c r="D420" s="585" t="s">
        <v>2171</v>
      </c>
      <c r="E420" s="1009">
        <v>28.14</v>
      </c>
      <c r="F420" s="430">
        <f t="shared" si="96"/>
        <v>0.2</v>
      </c>
      <c r="G420" s="106">
        <f t="shared" si="92"/>
        <v>22.512</v>
      </c>
      <c r="H420" s="147"/>
      <c r="I420" s="163"/>
      <c r="J420" s="163"/>
      <c r="K420" s="163"/>
      <c r="L420" s="428"/>
      <c r="M420" s="624" t="s">
        <v>1223</v>
      </c>
      <c r="N420" s="158" t="s">
        <v>700</v>
      </c>
      <c r="O420" s="417" t="s">
        <v>1224</v>
      </c>
      <c r="P420" s="477" t="s">
        <v>2187</v>
      </c>
      <c r="Q420" s="505" t="s">
        <v>2188</v>
      </c>
      <c r="R420" s="506">
        <v>1</v>
      </c>
      <c r="S420" s="106" t="s">
        <v>2171</v>
      </c>
      <c r="T420" s="473" t="s">
        <v>2187</v>
      </c>
      <c r="U420" s="106">
        <v>28.14</v>
      </c>
      <c r="V420" s="430">
        <v>0.2</v>
      </c>
      <c r="W420" s="106">
        <v>22.512</v>
      </c>
      <c r="X420" s="147"/>
      <c r="Y420" s="163"/>
      <c r="Z420" s="163"/>
      <c r="AA420" s="163"/>
      <c r="AB420" s="428">
        <v>0</v>
      </c>
      <c r="AC420" s="41" t="s">
        <v>1223</v>
      </c>
      <c r="AD420" s="42" t="s">
        <v>700</v>
      </c>
      <c r="AE420" s="416" t="s">
        <v>1224</v>
      </c>
    </row>
    <row r="421" spans="1:31" s="1" customFormat="1">
      <c r="A421" s="477" t="s">
        <v>2189</v>
      </c>
      <c r="B421" s="505" t="s">
        <v>2190</v>
      </c>
      <c r="C421" s="506">
        <v>1</v>
      </c>
      <c r="D421" s="585" t="s">
        <v>2171</v>
      </c>
      <c r="E421" s="1009">
        <v>28.88</v>
      </c>
      <c r="F421" s="430">
        <f t="shared" si="96"/>
        <v>0.2</v>
      </c>
      <c r="G421" s="106">
        <f t="shared" si="92"/>
        <v>23.103999999999999</v>
      </c>
      <c r="H421" s="147"/>
      <c r="I421" s="163"/>
      <c r="J421" s="163"/>
      <c r="K421" s="163"/>
      <c r="L421" s="428"/>
      <c r="M421" s="624" t="s">
        <v>1223</v>
      </c>
      <c r="N421" s="158" t="s">
        <v>700</v>
      </c>
      <c r="O421" s="417" t="s">
        <v>1224</v>
      </c>
      <c r="P421" s="477" t="s">
        <v>2189</v>
      </c>
      <c r="Q421" s="505" t="s">
        <v>2190</v>
      </c>
      <c r="R421" s="506">
        <v>1</v>
      </c>
      <c r="S421" s="106" t="s">
        <v>2171</v>
      </c>
      <c r="T421" s="473" t="s">
        <v>2189</v>
      </c>
      <c r="U421" s="106">
        <v>28.88</v>
      </c>
      <c r="V421" s="430">
        <v>0.2</v>
      </c>
      <c r="W421" s="106">
        <v>23.103999999999999</v>
      </c>
      <c r="X421" s="147"/>
      <c r="Y421" s="163"/>
      <c r="Z421" s="163"/>
      <c r="AA421" s="163"/>
      <c r="AB421" s="428">
        <v>0</v>
      </c>
      <c r="AC421" s="41" t="s">
        <v>1223</v>
      </c>
      <c r="AD421" s="42" t="s">
        <v>700</v>
      </c>
      <c r="AE421" s="416" t="s">
        <v>1224</v>
      </c>
    </row>
    <row r="422" spans="1:31" s="1" customFormat="1">
      <c r="A422" s="477" t="s">
        <v>2191</v>
      </c>
      <c r="B422" s="505" t="s">
        <v>2192</v>
      </c>
      <c r="C422" s="506">
        <v>1</v>
      </c>
      <c r="D422" s="585" t="s">
        <v>2171</v>
      </c>
      <c r="E422" s="1009">
        <v>34.700000000000003</v>
      </c>
      <c r="F422" s="430">
        <f t="shared" si="96"/>
        <v>0.2</v>
      </c>
      <c r="G422" s="106">
        <f t="shared" si="92"/>
        <v>27.76</v>
      </c>
      <c r="H422" s="147"/>
      <c r="I422" s="163"/>
      <c r="J422" s="163"/>
      <c r="K422" s="163"/>
      <c r="L422" s="428"/>
      <c r="M422" s="624" t="s">
        <v>1223</v>
      </c>
      <c r="N422" s="158" t="s">
        <v>700</v>
      </c>
      <c r="O422" s="417" t="s">
        <v>1224</v>
      </c>
      <c r="P422" s="477" t="s">
        <v>2191</v>
      </c>
      <c r="Q422" s="505" t="s">
        <v>2192</v>
      </c>
      <c r="R422" s="506">
        <v>1</v>
      </c>
      <c r="S422" s="106" t="s">
        <v>2171</v>
      </c>
      <c r="T422" s="473" t="s">
        <v>2191</v>
      </c>
      <c r="U422" s="106">
        <v>34.700000000000003</v>
      </c>
      <c r="V422" s="430">
        <v>0.2</v>
      </c>
      <c r="W422" s="106">
        <v>27.76</v>
      </c>
      <c r="X422" s="147"/>
      <c r="Y422" s="163"/>
      <c r="Z422" s="163"/>
      <c r="AA422" s="163"/>
      <c r="AB422" s="428">
        <v>0</v>
      </c>
      <c r="AC422" s="41" t="s">
        <v>1223</v>
      </c>
      <c r="AD422" s="42" t="s">
        <v>700</v>
      </c>
      <c r="AE422" s="416" t="s">
        <v>1224</v>
      </c>
    </row>
    <row r="423" spans="1:31" s="1" customFormat="1">
      <c r="A423" s="477" t="s">
        <v>2193</v>
      </c>
      <c r="B423" s="505" t="s">
        <v>2194</v>
      </c>
      <c r="C423" s="506">
        <v>1</v>
      </c>
      <c r="D423" s="585" t="s">
        <v>2171</v>
      </c>
      <c r="E423" s="1009">
        <v>42.16</v>
      </c>
      <c r="F423" s="430">
        <f t="shared" si="96"/>
        <v>0.2</v>
      </c>
      <c r="G423" s="106">
        <f t="shared" si="92"/>
        <v>33.727999999999994</v>
      </c>
      <c r="H423" s="147"/>
      <c r="I423" s="163"/>
      <c r="J423" s="163"/>
      <c r="K423" s="163"/>
      <c r="L423" s="428"/>
      <c r="M423" s="624" t="s">
        <v>1223</v>
      </c>
      <c r="N423" s="158" t="s">
        <v>700</v>
      </c>
      <c r="O423" s="417" t="s">
        <v>1224</v>
      </c>
      <c r="P423" s="477" t="s">
        <v>2193</v>
      </c>
      <c r="Q423" s="505" t="s">
        <v>2194</v>
      </c>
      <c r="R423" s="506">
        <v>1</v>
      </c>
      <c r="S423" s="106" t="s">
        <v>2171</v>
      </c>
      <c r="T423" s="473" t="s">
        <v>2193</v>
      </c>
      <c r="U423" s="106">
        <v>42.16</v>
      </c>
      <c r="V423" s="430">
        <v>0.2</v>
      </c>
      <c r="W423" s="106">
        <v>33.727999999999994</v>
      </c>
      <c r="X423" s="147"/>
      <c r="Y423" s="163"/>
      <c r="Z423" s="163"/>
      <c r="AA423" s="163"/>
      <c r="AB423" s="428">
        <v>0</v>
      </c>
      <c r="AC423" s="41" t="s">
        <v>1223</v>
      </c>
      <c r="AD423" s="42" t="s">
        <v>700</v>
      </c>
      <c r="AE423" s="416" t="s">
        <v>1224</v>
      </c>
    </row>
    <row r="424" spans="1:31" s="1" customFormat="1">
      <c r="A424" s="477" t="s">
        <v>2195</v>
      </c>
      <c r="B424" s="505" t="s">
        <v>2196</v>
      </c>
      <c r="C424" s="506">
        <v>1</v>
      </c>
      <c r="D424" s="585" t="s">
        <v>2171</v>
      </c>
      <c r="E424" s="1009">
        <v>24.91</v>
      </c>
      <c r="F424" s="430">
        <f t="shared" si="96"/>
        <v>0.2</v>
      </c>
      <c r="G424" s="106">
        <f t="shared" si="92"/>
        <v>19.928000000000001</v>
      </c>
      <c r="H424" s="147"/>
      <c r="I424" s="163"/>
      <c r="J424" s="163"/>
      <c r="K424" s="163"/>
      <c r="L424" s="428"/>
      <c r="M424" s="624" t="s">
        <v>1223</v>
      </c>
      <c r="N424" s="158" t="s">
        <v>700</v>
      </c>
      <c r="O424" s="417" t="s">
        <v>1224</v>
      </c>
      <c r="P424" s="477" t="s">
        <v>2195</v>
      </c>
      <c r="Q424" s="505" t="s">
        <v>2196</v>
      </c>
      <c r="R424" s="506">
        <v>1</v>
      </c>
      <c r="S424" s="106" t="s">
        <v>2171</v>
      </c>
      <c r="T424" s="473" t="s">
        <v>2195</v>
      </c>
      <c r="U424" s="106">
        <v>24.91</v>
      </c>
      <c r="V424" s="430">
        <v>0.2</v>
      </c>
      <c r="W424" s="106">
        <v>19.928000000000001</v>
      </c>
      <c r="X424" s="147"/>
      <c r="Y424" s="163"/>
      <c r="Z424" s="163"/>
      <c r="AA424" s="163"/>
      <c r="AB424" s="428">
        <v>0</v>
      </c>
      <c r="AC424" s="41" t="s">
        <v>1223</v>
      </c>
      <c r="AD424" s="42" t="s">
        <v>700</v>
      </c>
      <c r="AE424" s="416" t="s">
        <v>1224</v>
      </c>
    </row>
    <row r="425" spans="1:31" s="1" customFormat="1">
      <c r="A425" s="477" t="s">
        <v>2197</v>
      </c>
      <c r="B425" s="505" t="s">
        <v>2198</v>
      </c>
      <c r="C425" s="506">
        <v>1</v>
      </c>
      <c r="D425" s="585" t="s">
        <v>2171</v>
      </c>
      <c r="E425" s="1009">
        <v>56.57</v>
      </c>
      <c r="F425" s="430">
        <f t="shared" si="96"/>
        <v>0.2</v>
      </c>
      <c r="G425" s="106">
        <f t="shared" si="92"/>
        <v>45.256</v>
      </c>
      <c r="H425" s="147"/>
      <c r="I425" s="163"/>
      <c r="J425" s="163"/>
      <c r="K425" s="163"/>
      <c r="L425" s="428"/>
      <c r="M425" s="624" t="s">
        <v>1223</v>
      </c>
      <c r="N425" s="158" t="s">
        <v>700</v>
      </c>
      <c r="O425" s="417" t="s">
        <v>1224</v>
      </c>
      <c r="P425" s="477" t="s">
        <v>2197</v>
      </c>
      <c r="Q425" s="505" t="s">
        <v>2198</v>
      </c>
      <c r="R425" s="506">
        <v>1</v>
      </c>
      <c r="S425" s="106" t="s">
        <v>2171</v>
      </c>
      <c r="T425" s="473" t="s">
        <v>2197</v>
      </c>
      <c r="U425" s="106">
        <v>56.57</v>
      </c>
      <c r="V425" s="430">
        <v>0.2</v>
      </c>
      <c r="W425" s="106">
        <v>45.256</v>
      </c>
      <c r="X425" s="147"/>
      <c r="Y425" s="163"/>
      <c r="Z425" s="163"/>
      <c r="AA425" s="163"/>
      <c r="AB425" s="428">
        <v>0</v>
      </c>
      <c r="AC425" s="41" t="s">
        <v>1223</v>
      </c>
      <c r="AD425" s="42" t="s">
        <v>700</v>
      </c>
      <c r="AE425" s="416" t="s">
        <v>1224</v>
      </c>
    </row>
    <row r="426" spans="1:31" s="1" customFormat="1">
      <c r="A426" s="477" t="s">
        <v>2199</v>
      </c>
      <c r="B426" s="505" t="s">
        <v>2200</v>
      </c>
      <c r="C426" s="506">
        <v>1</v>
      </c>
      <c r="D426" s="585" t="s">
        <v>1677</v>
      </c>
      <c r="E426" s="1009">
        <v>70</v>
      </c>
      <c r="F426" s="430">
        <f>rv_20</f>
        <v>0.2</v>
      </c>
      <c r="G426" s="106">
        <f t="shared" ref="G426" si="97">E426-(E426*F426)</f>
        <v>56</v>
      </c>
      <c r="H426" s="147"/>
      <c r="I426" s="163"/>
      <c r="J426" s="163"/>
      <c r="K426" s="163"/>
      <c r="L426" s="428">
        <v>0.02</v>
      </c>
      <c r="M426" s="624" t="s">
        <v>1223</v>
      </c>
      <c r="N426" s="159" t="s">
        <v>700</v>
      </c>
      <c r="O426" s="221" t="s">
        <v>1224</v>
      </c>
      <c r="P426" s="477" t="s">
        <v>2199</v>
      </c>
      <c r="Q426" s="505" t="s">
        <v>2200</v>
      </c>
      <c r="R426" s="506">
        <v>1</v>
      </c>
      <c r="S426" s="585" t="s">
        <v>1677</v>
      </c>
      <c r="T426" s="473" t="s">
        <v>2199</v>
      </c>
      <c r="U426" s="106">
        <v>70</v>
      </c>
      <c r="V426" s="430">
        <v>0.2</v>
      </c>
      <c r="W426" s="106">
        <v>56</v>
      </c>
      <c r="X426" s="147"/>
      <c r="Y426" s="163"/>
      <c r="Z426" s="163"/>
      <c r="AA426" s="163"/>
      <c r="AB426" s="428">
        <v>0.02</v>
      </c>
      <c r="AC426" s="41" t="s">
        <v>1223</v>
      </c>
      <c r="AD426" s="14" t="s">
        <v>700</v>
      </c>
      <c r="AE426" s="157" t="s">
        <v>1224</v>
      </c>
    </row>
    <row r="427" spans="1:31" s="1" customFormat="1">
      <c r="A427" s="477" t="s">
        <v>2201</v>
      </c>
      <c r="B427" s="505" t="s">
        <v>2202</v>
      </c>
      <c r="C427" s="506">
        <v>1</v>
      </c>
      <c r="D427" s="585" t="s">
        <v>1677</v>
      </c>
      <c r="E427" s="1009">
        <v>8.5</v>
      </c>
      <c r="F427" s="430">
        <f>rv_20</f>
        <v>0.2</v>
      </c>
      <c r="G427" s="106">
        <f t="shared" ref="G427" si="98">E427-(E427*F427)</f>
        <v>6.8</v>
      </c>
      <c r="H427" s="147"/>
      <c r="I427" s="163"/>
      <c r="J427" s="163"/>
      <c r="K427" s="163"/>
      <c r="L427" s="428">
        <v>0.01</v>
      </c>
      <c r="M427" s="624" t="s">
        <v>1223</v>
      </c>
      <c r="N427" s="159" t="s">
        <v>700</v>
      </c>
      <c r="O427" s="221" t="s">
        <v>1224</v>
      </c>
      <c r="P427" s="477" t="s">
        <v>2201</v>
      </c>
      <c r="Q427" s="505" t="s">
        <v>2202</v>
      </c>
      <c r="R427" s="506">
        <v>1</v>
      </c>
      <c r="S427" s="585" t="s">
        <v>1677</v>
      </c>
      <c r="T427" s="537" t="s">
        <v>2201</v>
      </c>
      <c r="U427" s="106">
        <v>8.5</v>
      </c>
      <c r="V427" s="430">
        <v>0.2</v>
      </c>
      <c r="W427" s="106">
        <v>6.8</v>
      </c>
      <c r="X427" s="147"/>
      <c r="Y427" s="163"/>
      <c r="Z427" s="163"/>
      <c r="AA427" s="163"/>
      <c r="AB427" s="428">
        <v>0.01</v>
      </c>
      <c r="AC427" s="41" t="s">
        <v>1223</v>
      </c>
      <c r="AD427" s="14" t="s">
        <v>700</v>
      </c>
      <c r="AE427" s="157" t="s">
        <v>1224</v>
      </c>
    </row>
    <row r="428" spans="1:31" s="1" customFormat="1">
      <c r="A428" s="477" t="s">
        <v>2203</v>
      </c>
      <c r="B428" s="505" t="s">
        <v>2204</v>
      </c>
      <c r="C428" s="506">
        <v>1</v>
      </c>
      <c r="D428" s="585" t="s">
        <v>1677</v>
      </c>
      <c r="E428" s="1009">
        <v>20.84</v>
      </c>
      <c r="F428" s="430">
        <f t="shared" ref="F428:F434" si="99">rv_20</f>
        <v>0.2</v>
      </c>
      <c r="G428" s="106">
        <f t="shared" ref="G428" si="100">E428-(E428*F428)</f>
        <v>16.672000000000001</v>
      </c>
      <c r="H428" s="147"/>
      <c r="I428" s="163"/>
      <c r="J428" s="163"/>
      <c r="K428" s="163"/>
      <c r="L428" s="428">
        <v>0.02</v>
      </c>
      <c r="M428" s="624" t="s">
        <v>1223</v>
      </c>
      <c r="N428" s="159" t="s">
        <v>700</v>
      </c>
      <c r="O428" s="221" t="s">
        <v>1224</v>
      </c>
      <c r="P428" s="477" t="s">
        <v>2203</v>
      </c>
      <c r="Q428" s="505" t="s">
        <v>2204</v>
      </c>
      <c r="R428" s="506">
        <v>1</v>
      </c>
      <c r="S428" s="585" t="s">
        <v>1677</v>
      </c>
      <c r="T428" s="473" t="s">
        <v>2203</v>
      </c>
      <c r="U428" s="106">
        <v>20.84</v>
      </c>
      <c r="V428" s="430">
        <v>0.2</v>
      </c>
      <c r="W428" s="106">
        <v>16.672000000000001</v>
      </c>
      <c r="X428" s="147"/>
      <c r="Y428" s="163"/>
      <c r="Z428" s="163"/>
      <c r="AA428" s="163"/>
      <c r="AB428" s="428">
        <v>0.02</v>
      </c>
      <c r="AC428" s="41" t="s">
        <v>1223</v>
      </c>
      <c r="AD428" s="14" t="s">
        <v>700</v>
      </c>
      <c r="AE428" s="157" t="s">
        <v>1224</v>
      </c>
    </row>
    <row r="429" spans="1:31" s="1" customFormat="1">
      <c r="A429" s="477" t="s">
        <v>2205</v>
      </c>
      <c r="B429" s="505" t="s">
        <v>2206</v>
      </c>
      <c r="C429" s="506">
        <v>1</v>
      </c>
      <c r="D429" s="585" t="s">
        <v>1677</v>
      </c>
      <c r="E429" s="1009">
        <v>30.83</v>
      </c>
      <c r="F429" s="430">
        <f t="shared" si="99"/>
        <v>0.2</v>
      </c>
      <c r="G429" s="106">
        <f t="shared" si="92"/>
        <v>24.663999999999998</v>
      </c>
      <c r="H429" s="147"/>
      <c r="I429" s="163"/>
      <c r="J429" s="163"/>
      <c r="K429" s="163"/>
      <c r="L429" s="428">
        <v>0.02</v>
      </c>
      <c r="M429" s="624" t="s">
        <v>1223</v>
      </c>
      <c r="N429" s="158" t="s">
        <v>700</v>
      </c>
      <c r="O429" s="417" t="s">
        <v>1224</v>
      </c>
      <c r="P429" s="477" t="s">
        <v>2205</v>
      </c>
      <c r="Q429" s="505" t="s">
        <v>2206</v>
      </c>
      <c r="R429" s="506">
        <v>1</v>
      </c>
      <c r="S429" s="106" t="s">
        <v>1677</v>
      </c>
      <c r="T429" s="473" t="s">
        <v>2205</v>
      </c>
      <c r="U429" s="106">
        <v>30.83</v>
      </c>
      <c r="V429" s="430">
        <v>0.2</v>
      </c>
      <c r="W429" s="106">
        <v>24.663999999999998</v>
      </c>
      <c r="X429" s="147"/>
      <c r="Y429" s="163"/>
      <c r="Z429" s="163"/>
      <c r="AA429" s="163"/>
      <c r="AB429" s="428">
        <v>0.02</v>
      </c>
      <c r="AC429" s="41" t="s">
        <v>1223</v>
      </c>
      <c r="AD429" s="42" t="s">
        <v>700</v>
      </c>
      <c r="AE429" s="416" t="s">
        <v>1224</v>
      </c>
    </row>
    <row r="430" spans="1:31" s="1" customFormat="1">
      <c r="A430" s="477" t="s">
        <v>2207</v>
      </c>
      <c r="B430" s="505" t="s">
        <v>2208</v>
      </c>
      <c r="C430" s="506">
        <v>1</v>
      </c>
      <c r="D430" s="585" t="s">
        <v>1677</v>
      </c>
      <c r="E430" s="1009">
        <v>30.83</v>
      </c>
      <c r="F430" s="430">
        <f>rv_20</f>
        <v>0.2</v>
      </c>
      <c r="G430" s="106">
        <f>E430-(E430*F430)</f>
        <v>24.663999999999998</v>
      </c>
      <c r="H430" s="147"/>
      <c r="I430" s="163"/>
      <c r="J430" s="163"/>
      <c r="K430" s="163"/>
      <c r="L430" s="428">
        <v>0.02</v>
      </c>
      <c r="M430" s="624" t="s">
        <v>1223</v>
      </c>
      <c r="N430" s="158" t="s">
        <v>1694</v>
      </c>
      <c r="O430" s="417" t="s">
        <v>1695</v>
      </c>
      <c r="P430" s="477" t="s">
        <v>2207</v>
      </c>
      <c r="Q430" s="505" t="s">
        <v>2208</v>
      </c>
      <c r="R430" s="506">
        <v>1</v>
      </c>
      <c r="S430" s="106" t="s">
        <v>1677</v>
      </c>
      <c r="T430" s="473" t="s">
        <v>2205</v>
      </c>
      <c r="U430" s="106">
        <v>30.83</v>
      </c>
      <c r="V430" s="430">
        <v>0.2</v>
      </c>
      <c r="W430" s="106">
        <v>24.663999999999998</v>
      </c>
      <c r="X430" s="147"/>
      <c r="Y430" s="163"/>
      <c r="Z430" s="163"/>
      <c r="AA430" s="163"/>
      <c r="AB430" s="428">
        <v>0.02</v>
      </c>
      <c r="AC430" s="41" t="s">
        <v>1223</v>
      </c>
      <c r="AD430" s="42" t="s">
        <v>1694</v>
      </c>
      <c r="AE430" s="416" t="s">
        <v>1695</v>
      </c>
    </row>
    <row r="431" spans="1:31" s="1" customFormat="1">
      <c r="A431" s="477" t="s">
        <v>2209</v>
      </c>
      <c r="B431" s="505" t="s">
        <v>2210</v>
      </c>
      <c r="C431" s="506">
        <v>1</v>
      </c>
      <c r="D431" s="585" t="s">
        <v>1677</v>
      </c>
      <c r="E431" s="1009">
        <v>16.66</v>
      </c>
      <c r="F431" s="430">
        <f t="shared" si="99"/>
        <v>0.2</v>
      </c>
      <c r="G431" s="106">
        <f t="shared" si="92"/>
        <v>13.327999999999999</v>
      </c>
      <c r="H431" s="147"/>
      <c r="I431" s="163"/>
      <c r="J431" s="163"/>
      <c r="K431" s="163"/>
      <c r="L431" s="428"/>
      <c r="M431" s="624" t="s">
        <v>1223</v>
      </c>
      <c r="N431" s="158" t="s">
        <v>700</v>
      </c>
      <c r="O431" s="417" t="s">
        <v>1224</v>
      </c>
      <c r="P431" s="477" t="s">
        <v>2209</v>
      </c>
      <c r="Q431" s="505" t="s">
        <v>2210</v>
      </c>
      <c r="R431" s="506">
        <v>1</v>
      </c>
      <c r="S431" s="106" t="s">
        <v>1677</v>
      </c>
      <c r="T431" s="473" t="s">
        <v>2209</v>
      </c>
      <c r="U431" s="106">
        <v>16.66</v>
      </c>
      <c r="V431" s="430">
        <v>0.2</v>
      </c>
      <c r="W431" s="106">
        <v>13.327999999999999</v>
      </c>
      <c r="X431" s="147"/>
      <c r="Y431" s="163"/>
      <c r="Z431" s="163"/>
      <c r="AA431" s="163"/>
      <c r="AB431" s="428">
        <v>0</v>
      </c>
      <c r="AC431" s="41" t="s">
        <v>1223</v>
      </c>
      <c r="AD431" s="42" t="s">
        <v>700</v>
      </c>
      <c r="AE431" s="416" t="s">
        <v>1224</v>
      </c>
    </row>
    <row r="432" spans="1:31" s="1" customFormat="1">
      <c r="A432" s="477" t="s">
        <v>2211</v>
      </c>
      <c r="B432" s="505" t="s">
        <v>2212</v>
      </c>
      <c r="C432" s="506">
        <v>1</v>
      </c>
      <c r="D432" s="585" t="s">
        <v>1677</v>
      </c>
      <c r="E432" s="1009">
        <v>16.66</v>
      </c>
      <c r="F432" s="430">
        <f t="shared" si="99"/>
        <v>0.2</v>
      </c>
      <c r="G432" s="106">
        <f t="shared" si="92"/>
        <v>13.327999999999999</v>
      </c>
      <c r="H432" s="147"/>
      <c r="I432" s="163"/>
      <c r="J432" s="163"/>
      <c r="K432" s="163"/>
      <c r="L432" s="428"/>
      <c r="M432" s="624" t="s">
        <v>1223</v>
      </c>
      <c r="N432" s="158" t="s">
        <v>700</v>
      </c>
      <c r="O432" s="417" t="s">
        <v>1224</v>
      </c>
      <c r="P432" s="477" t="s">
        <v>2211</v>
      </c>
      <c r="Q432" s="505" t="s">
        <v>2212</v>
      </c>
      <c r="R432" s="506">
        <v>1</v>
      </c>
      <c r="S432" s="106" t="s">
        <v>1677</v>
      </c>
      <c r="T432" s="473" t="s">
        <v>2211</v>
      </c>
      <c r="U432" s="106">
        <v>16.66</v>
      </c>
      <c r="V432" s="430">
        <v>0.2</v>
      </c>
      <c r="W432" s="106">
        <v>13.327999999999999</v>
      </c>
      <c r="X432" s="147"/>
      <c r="Y432" s="163"/>
      <c r="Z432" s="163"/>
      <c r="AA432" s="163"/>
      <c r="AB432" s="428">
        <v>0</v>
      </c>
      <c r="AC432" s="41" t="s">
        <v>1223</v>
      </c>
      <c r="AD432" s="42" t="s">
        <v>700</v>
      </c>
      <c r="AE432" s="416" t="s">
        <v>1224</v>
      </c>
    </row>
    <row r="433" spans="1:31" s="1" customFormat="1">
      <c r="A433" s="477" t="s">
        <v>2213</v>
      </c>
      <c r="B433" s="505" t="s">
        <v>2214</v>
      </c>
      <c r="C433" s="506">
        <v>1</v>
      </c>
      <c r="D433" s="585" t="s">
        <v>1677</v>
      </c>
      <c r="E433" s="1009">
        <v>49.99</v>
      </c>
      <c r="F433" s="430">
        <f t="shared" si="99"/>
        <v>0.2</v>
      </c>
      <c r="G433" s="106">
        <f t="shared" ref="G433:G434" si="101">E433-(E433*F433)</f>
        <v>39.992000000000004</v>
      </c>
      <c r="H433" s="147"/>
      <c r="I433" s="163"/>
      <c r="J433" s="163"/>
      <c r="K433" s="163"/>
      <c r="L433" s="428">
        <v>0.02</v>
      </c>
      <c r="M433" s="624" t="s">
        <v>1223</v>
      </c>
      <c r="N433" s="158" t="s">
        <v>700</v>
      </c>
      <c r="O433" s="417" t="s">
        <v>1224</v>
      </c>
      <c r="P433" s="477" t="s">
        <v>2213</v>
      </c>
      <c r="Q433" s="505" t="s">
        <v>2214</v>
      </c>
      <c r="R433" s="506">
        <v>1</v>
      </c>
      <c r="S433" s="585" t="s">
        <v>1677</v>
      </c>
      <c r="T433" s="508" t="s">
        <v>2213</v>
      </c>
      <c r="U433" s="428">
        <v>49.99</v>
      </c>
      <c r="V433" s="430">
        <v>0.2</v>
      </c>
      <c r="W433" s="106">
        <v>39.992000000000004</v>
      </c>
      <c r="X433" s="147"/>
      <c r="Y433" s="163"/>
      <c r="Z433" s="163"/>
      <c r="AA433" s="163"/>
      <c r="AB433" s="428">
        <v>0.02</v>
      </c>
      <c r="AC433" s="41" t="s">
        <v>1223</v>
      </c>
      <c r="AD433" s="42" t="s">
        <v>700</v>
      </c>
      <c r="AE433" s="416" t="s">
        <v>1224</v>
      </c>
    </row>
    <row r="434" spans="1:31" s="1" customFormat="1">
      <c r="A434" s="477" t="s">
        <v>2215</v>
      </c>
      <c r="B434" s="505" t="s">
        <v>2216</v>
      </c>
      <c r="C434" s="506">
        <v>1</v>
      </c>
      <c r="D434" s="585" t="s">
        <v>1677</v>
      </c>
      <c r="E434" s="1009">
        <v>49.99</v>
      </c>
      <c r="F434" s="430">
        <f t="shared" si="99"/>
        <v>0.2</v>
      </c>
      <c r="G434" s="106">
        <f t="shared" si="101"/>
        <v>39.992000000000004</v>
      </c>
      <c r="H434" s="147"/>
      <c r="I434" s="163"/>
      <c r="J434" s="163"/>
      <c r="K434" s="163"/>
      <c r="L434" s="428">
        <v>0.02</v>
      </c>
      <c r="M434" s="624" t="s">
        <v>1223</v>
      </c>
      <c r="N434" s="158" t="s">
        <v>700</v>
      </c>
      <c r="O434" s="417" t="s">
        <v>1224</v>
      </c>
      <c r="P434" s="477" t="s">
        <v>2215</v>
      </c>
      <c r="Q434" s="505" t="s">
        <v>2216</v>
      </c>
      <c r="R434" s="506">
        <v>1</v>
      </c>
      <c r="S434" s="585" t="s">
        <v>1677</v>
      </c>
      <c r="T434" s="508" t="s">
        <v>2215</v>
      </c>
      <c r="U434" s="428">
        <v>49.99</v>
      </c>
      <c r="V434" s="430">
        <v>0.2</v>
      </c>
      <c r="W434" s="106">
        <v>39.992000000000004</v>
      </c>
      <c r="X434" s="147"/>
      <c r="Y434" s="163"/>
      <c r="Z434" s="163"/>
      <c r="AA434" s="163"/>
      <c r="AB434" s="428">
        <v>0.02</v>
      </c>
      <c r="AC434" s="41" t="s">
        <v>1223</v>
      </c>
      <c r="AD434" s="42" t="s">
        <v>700</v>
      </c>
      <c r="AE434" s="416" t="s">
        <v>1224</v>
      </c>
    </row>
    <row r="435" spans="1:31" s="1" customFormat="1">
      <c r="A435" s="477" t="s">
        <v>2217</v>
      </c>
      <c r="B435" s="505" t="s">
        <v>2218</v>
      </c>
      <c r="C435" s="506">
        <v>1</v>
      </c>
      <c r="D435" s="585" t="s">
        <v>1677</v>
      </c>
      <c r="E435" s="1009">
        <v>35.83</v>
      </c>
      <c r="F435" s="430">
        <f>rv_10</f>
        <v>0.1</v>
      </c>
      <c r="G435" s="106">
        <f t="shared" si="92"/>
        <v>32.247</v>
      </c>
      <c r="H435" s="147"/>
      <c r="I435" s="163"/>
      <c r="J435" s="163"/>
      <c r="K435" s="163"/>
      <c r="L435" s="428">
        <v>0.02</v>
      </c>
      <c r="M435" s="624" t="s">
        <v>1223</v>
      </c>
      <c r="N435" s="158" t="s">
        <v>700</v>
      </c>
      <c r="O435" s="417" t="s">
        <v>1224</v>
      </c>
      <c r="P435" s="477" t="s">
        <v>2217</v>
      </c>
      <c r="Q435" s="505" t="s">
        <v>2218</v>
      </c>
      <c r="R435" s="506">
        <v>1</v>
      </c>
      <c r="S435" s="106" t="s">
        <v>1677</v>
      </c>
      <c r="T435" s="473" t="s">
        <v>2217</v>
      </c>
      <c r="U435" s="106">
        <v>35.83</v>
      </c>
      <c r="V435" s="430">
        <v>0.1</v>
      </c>
      <c r="W435" s="106">
        <v>32.247</v>
      </c>
      <c r="X435" s="147"/>
      <c r="Y435" s="163"/>
      <c r="Z435" s="163"/>
      <c r="AA435" s="163"/>
      <c r="AB435" s="428">
        <v>0.02</v>
      </c>
      <c r="AC435" s="41" t="s">
        <v>1223</v>
      </c>
      <c r="AD435" s="42" t="s">
        <v>700</v>
      </c>
      <c r="AE435" s="416" t="s">
        <v>1224</v>
      </c>
    </row>
    <row r="436" spans="1:31" s="1" customFormat="1">
      <c r="A436" s="477" t="s">
        <v>2219</v>
      </c>
      <c r="B436" s="505" t="s">
        <v>2220</v>
      </c>
      <c r="C436" s="506">
        <v>1</v>
      </c>
      <c r="D436" s="585" t="s">
        <v>1677</v>
      </c>
      <c r="E436" s="1009">
        <v>35.83</v>
      </c>
      <c r="F436" s="430">
        <f>rv_10</f>
        <v>0.1</v>
      </c>
      <c r="G436" s="106">
        <f t="shared" si="92"/>
        <v>32.247</v>
      </c>
      <c r="H436" s="147"/>
      <c r="I436" s="163"/>
      <c r="J436" s="163"/>
      <c r="K436" s="163"/>
      <c r="L436" s="428">
        <v>0.02</v>
      </c>
      <c r="M436" s="624" t="s">
        <v>1223</v>
      </c>
      <c r="N436" s="158" t="s">
        <v>700</v>
      </c>
      <c r="O436" s="417" t="s">
        <v>1224</v>
      </c>
      <c r="P436" s="477" t="s">
        <v>2219</v>
      </c>
      <c r="Q436" s="505" t="s">
        <v>2220</v>
      </c>
      <c r="R436" s="506">
        <v>1</v>
      </c>
      <c r="S436" s="106" t="s">
        <v>1677</v>
      </c>
      <c r="T436" s="473" t="s">
        <v>2219</v>
      </c>
      <c r="U436" s="106">
        <v>35.83</v>
      </c>
      <c r="V436" s="430">
        <v>0.1</v>
      </c>
      <c r="W436" s="106">
        <v>32.247</v>
      </c>
      <c r="X436" s="147"/>
      <c r="Y436" s="163"/>
      <c r="Z436" s="163"/>
      <c r="AA436" s="163"/>
      <c r="AB436" s="428">
        <v>0.02</v>
      </c>
      <c r="AC436" s="41" t="s">
        <v>1223</v>
      </c>
      <c r="AD436" s="42" t="s">
        <v>700</v>
      </c>
      <c r="AE436" s="416" t="s">
        <v>1224</v>
      </c>
    </row>
    <row r="437" spans="1:31" s="1" customFormat="1">
      <c r="A437" s="477"/>
      <c r="B437" s="505"/>
      <c r="C437" s="506"/>
      <c r="D437" s="585"/>
      <c r="E437" s="1009"/>
      <c r="F437" s="430"/>
      <c r="G437" s="106"/>
      <c r="H437" s="147"/>
      <c r="I437" s="163"/>
      <c r="J437" s="163"/>
      <c r="K437" s="163"/>
      <c r="L437" s="428"/>
      <c r="M437" s="624"/>
      <c r="N437" s="158"/>
      <c r="O437" s="417"/>
      <c r="P437" s="650" t="s">
        <v>2221</v>
      </c>
      <c r="Q437" s="651" t="s">
        <v>2222</v>
      </c>
      <c r="R437" s="652">
        <v>1</v>
      </c>
      <c r="S437" s="654" t="s">
        <v>1677</v>
      </c>
      <c r="T437" s="653" t="s">
        <v>2221</v>
      </c>
      <c r="U437" s="654">
        <v>29.16</v>
      </c>
      <c r="V437" s="655">
        <v>0.2</v>
      </c>
      <c r="W437" s="654">
        <v>23.327999999999999</v>
      </c>
      <c r="X437" s="656"/>
      <c r="Y437" s="657"/>
      <c r="Z437" s="657"/>
      <c r="AA437" s="657"/>
      <c r="AB437" s="659">
        <v>0.01</v>
      </c>
      <c r="AC437" s="660" t="s">
        <v>1223</v>
      </c>
      <c r="AD437" s="661" t="s">
        <v>700</v>
      </c>
      <c r="AE437" s="662" t="s">
        <v>1224</v>
      </c>
    </row>
    <row r="438" spans="1:31" s="1" customFormat="1">
      <c r="A438" s="477" t="s">
        <v>2223</v>
      </c>
      <c r="B438" s="505" t="s">
        <v>3208</v>
      </c>
      <c r="C438" s="506">
        <v>1</v>
      </c>
      <c r="D438" s="585" t="s">
        <v>1677</v>
      </c>
      <c r="E438" s="1009">
        <v>29.16</v>
      </c>
      <c r="F438" s="430">
        <f t="shared" ref="F438:F471" si="102">rv_20</f>
        <v>0.2</v>
      </c>
      <c r="G438" s="106">
        <f t="shared" si="92"/>
        <v>23.327999999999999</v>
      </c>
      <c r="H438" s="147"/>
      <c r="I438" s="163"/>
      <c r="J438" s="163"/>
      <c r="K438" s="163"/>
      <c r="L438" s="428">
        <v>0.01</v>
      </c>
      <c r="M438" s="624" t="s">
        <v>1223</v>
      </c>
      <c r="N438" s="158" t="s">
        <v>700</v>
      </c>
      <c r="O438" s="417" t="s">
        <v>1224</v>
      </c>
      <c r="P438" s="477" t="s">
        <v>2223</v>
      </c>
      <c r="Q438" s="505" t="s">
        <v>2224</v>
      </c>
      <c r="R438" s="506">
        <v>1</v>
      </c>
      <c r="S438" s="106" t="s">
        <v>1677</v>
      </c>
      <c r="T438" s="473" t="s">
        <v>2223</v>
      </c>
      <c r="U438" s="106">
        <v>29.16</v>
      </c>
      <c r="V438" s="430">
        <v>0.2</v>
      </c>
      <c r="W438" s="106">
        <v>23.327999999999999</v>
      </c>
      <c r="X438" s="147"/>
      <c r="Y438" s="163"/>
      <c r="Z438" s="163"/>
      <c r="AA438" s="163"/>
      <c r="AB438" s="428">
        <v>0.01</v>
      </c>
      <c r="AC438" s="41" t="s">
        <v>1223</v>
      </c>
      <c r="AD438" s="42" t="s">
        <v>700</v>
      </c>
      <c r="AE438" s="416" t="s">
        <v>1224</v>
      </c>
    </row>
    <row r="439" spans="1:31" s="1" customFormat="1">
      <c r="A439" s="477" t="s">
        <v>2225</v>
      </c>
      <c r="B439" s="505" t="s">
        <v>2226</v>
      </c>
      <c r="C439" s="506">
        <v>1</v>
      </c>
      <c r="D439" s="585" t="s">
        <v>1677</v>
      </c>
      <c r="E439" s="1009">
        <v>33.33</v>
      </c>
      <c r="F439" s="430">
        <f t="shared" si="102"/>
        <v>0.2</v>
      </c>
      <c r="G439" s="106">
        <f t="shared" si="92"/>
        <v>26.663999999999998</v>
      </c>
      <c r="H439" s="147"/>
      <c r="I439" s="163"/>
      <c r="J439" s="163"/>
      <c r="K439" s="163"/>
      <c r="L439" s="428">
        <v>0.01</v>
      </c>
      <c r="M439" s="624" t="s">
        <v>1223</v>
      </c>
      <c r="N439" s="158" t="s">
        <v>700</v>
      </c>
      <c r="O439" s="417" t="s">
        <v>1224</v>
      </c>
      <c r="P439" s="477" t="s">
        <v>2225</v>
      </c>
      <c r="Q439" s="505" t="s">
        <v>2226</v>
      </c>
      <c r="R439" s="506">
        <v>1</v>
      </c>
      <c r="S439" s="106" t="s">
        <v>1677</v>
      </c>
      <c r="T439" s="473" t="s">
        <v>2225</v>
      </c>
      <c r="U439" s="106">
        <v>33.33</v>
      </c>
      <c r="V439" s="430">
        <v>0.2</v>
      </c>
      <c r="W439" s="106">
        <v>26.663999999999998</v>
      </c>
      <c r="X439" s="147"/>
      <c r="Y439" s="163"/>
      <c r="Z439" s="163"/>
      <c r="AA439" s="163"/>
      <c r="AB439" s="428">
        <v>0.01</v>
      </c>
      <c r="AC439" s="41" t="s">
        <v>1223</v>
      </c>
      <c r="AD439" s="42" t="s">
        <v>700</v>
      </c>
      <c r="AE439" s="416" t="s">
        <v>1224</v>
      </c>
    </row>
    <row r="440" spans="1:31" s="1" customFormat="1">
      <c r="A440" s="477" t="s">
        <v>2227</v>
      </c>
      <c r="B440" s="505" t="s">
        <v>2228</v>
      </c>
      <c r="C440" s="506">
        <v>1</v>
      </c>
      <c r="D440" s="585" t="s">
        <v>1677</v>
      </c>
      <c r="E440" s="1009">
        <v>33.33</v>
      </c>
      <c r="F440" s="430">
        <f t="shared" si="102"/>
        <v>0.2</v>
      </c>
      <c r="G440" s="106">
        <f t="shared" si="92"/>
        <v>26.663999999999998</v>
      </c>
      <c r="H440" s="147"/>
      <c r="I440" s="163"/>
      <c r="J440" s="163"/>
      <c r="K440" s="163"/>
      <c r="L440" s="428">
        <v>0.01</v>
      </c>
      <c r="M440" s="624" t="s">
        <v>1223</v>
      </c>
      <c r="N440" s="158" t="s">
        <v>700</v>
      </c>
      <c r="O440" s="417" t="s">
        <v>1224</v>
      </c>
      <c r="P440" s="477" t="s">
        <v>2227</v>
      </c>
      <c r="Q440" s="505" t="s">
        <v>2228</v>
      </c>
      <c r="R440" s="506">
        <v>1</v>
      </c>
      <c r="S440" s="106" t="s">
        <v>1677</v>
      </c>
      <c r="T440" s="473" t="s">
        <v>2227</v>
      </c>
      <c r="U440" s="106">
        <v>33.33</v>
      </c>
      <c r="V440" s="430">
        <v>0.2</v>
      </c>
      <c r="W440" s="106">
        <v>26.663999999999998</v>
      </c>
      <c r="X440" s="147"/>
      <c r="Y440" s="163"/>
      <c r="Z440" s="163"/>
      <c r="AA440" s="163"/>
      <c r="AB440" s="428">
        <v>0.01</v>
      </c>
      <c r="AC440" s="41" t="s">
        <v>1223</v>
      </c>
      <c r="AD440" s="42" t="s">
        <v>700</v>
      </c>
      <c r="AE440" s="416" t="s">
        <v>1224</v>
      </c>
    </row>
    <row r="441" spans="1:31" s="1" customFormat="1">
      <c r="A441" s="477" t="s">
        <v>2229</v>
      </c>
      <c r="B441" s="505" t="s">
        <v>2230</v>
      </c>
      <c r="C441" s="506">
        <v>1</v>
      </c>
      <c r="D441" s="585" t="s">
        <v>1677</v>
      </c>
      <c r="E441" s="1009">
        <v>29.16</v>
      </c>
      <c r="F441" s="430">
        <v>0.2</v>
      </c>
      <c r="G441" s="106">
        <f t="shared" si="92"/>
        <v>23.327999999999999</v>
      </c>
      <c r="H441" s="147"/>
      <c r="I441" s="163"/>
      <c r="J441" s="163"/>
      <c r="K441" s="163"/>
      <c r="L441" s="428">
        <v>0.01</v>
      </c>
      <c r="M441" s="624" t="s">
        <v>1223</v>
      </c>
      <c r="N441" s="158" t="s">
        <v>700</v>
      </c>
      <c r="O441" s="417" t="s">
        <v>1224</v>
      </c>
      <c r="P441" s="477" t="s">
        <v>2229</v>
      </c>
      <c r="Q441" s="505" t="s">
        <v>2230</v>
      </c>
      <c r="R441" s="506">
        <v>1</v>
      </c>
      <c r="S441" s="106" t="s">
        <v>1677</v>
      </c>
      <c r="T441" s="473" t="s">
        <v>2229</v>
      </c>
      <c r="U441" s="106">
        <v>29.16</v>
      </c>
      <c r="V441" s="430">
        <v>0.2</v>
      </c>
      <c r="W441" s="106">
        <v>23.327999999999999</v>
      </c>
      <c r="X441" s="147"/>
      <c r="Y441" s="163"/>
      <c r="Z441" s="163"/>
      <c r="AA441" s="163"/>
      <c r="AB441" s="428">
        <v>0.01</v>
      </c>
      <c r="AC441" s="41" t="s">
        <v>1223</v>
      </c>
      <c r="AD441" s="42" t="s">
        <v>700</v>
      </c>
      <c r="AE441" s="416" t="s">
        <v>1224</v>
      </c>
    </row>
    <row r="442" spans="1:31" s="1" customFormat="1">
      <c r="A442" s="477" t="s">
        <v>2231</v>
      </c>
      <c r="B442" s="505" t="s">
        <v>2232</v>
      </c>
      <c r="C442" s="506">
        <v>1</v>
      </c>
      <c r="D442" s="585" t="s">
        <v>1677</v>
      </c>
      <c r="E442" s="1009">
        <v>29.16</v>
      </c>
      <c r="F442" s="430">
        <f t="shared" si="102"/>
        <v>0.2</v>
      </c>
      <c r="G442" s="106">
        <f t="shared" si="92"/>
        <v>23.327999999999999</v>
      </c>
      <c r="H442" s="147"/>
      <c r="I442" s="163"/>
      <c r="J442" s="163"/>
      <c r="K442" s="163"/>
      <c r="L442" s="428">
        <v>0.01</v>
      </c>
      <c r="M442" s="624" t="s">
        <v>1223</v>
      </c>
      <c r="N442" s="158" t="s">
        <v>700</v>
      </c>
      <c r="O442" s="417" t="s">
        <v>1224</v>
      </c>
      <c r="P442" s="477" t="s">
        <v>2231</v>
      </c>
      <c r="Q442" s="505" t="s">
        <v>2232</v>
      </c>
      <c r="R442" s="506">
        <v>1</v>
      </c>
      <c r="S442" s="106" t="s">
        <v>1677</v>
      </c>
      <c r="T442" s="473" t="s">
        <v>2231</v>
      </c>
      <c r="U442" s="106">
        <v>29.16</v>
      </c>
      <c r="V442" s="430">
        <v>0.2</v>
      </c>
      <c r="W442" s="106">
        <v>23.327999999999999</v>
      </c>
      <c r="X442" s="147"/>
      <c r="Y442" s="163"/>
      <c r="Z442" s="163"/>
      <c r="AA442" s="163"/>
      <c r="AB442" s="428">
        <v>0.01</v>
      </c>
      <c r="AC442" s="41" t="s">
        <v>1223</v>
      </c>
      <c r="AD442" s="42" t="s">
        <v>700</v>
      </c>
      <c r="AE442" s="416" t="s">
        <v>1224</v>
      </c>
    </row>
    <row r="443" spans="1:31" s="1" customFormat="1">
      <c r="A443" s="477" t="s">
        <v>2233</v>
      </c>
      <c r="B443" s="505" t="s">
        <v>2234</v>
      </c>
      <c r="C443" s="506">
        <v>1</v>
      </c>
      <c r="D443" s="585" t="s">
        <v>1677</v>
      </c>
      <c r="E443" s="1009">
        <v>37.49</v>
      </c>
      <c r="F443" s="430">
        <f t="shared" si="102"/>
        <v>0.2</v>
      </c>
      <c r="G443" s="106">
        <f t="shared" si="92"/>
        <v>29.992000000000001</v>
      </c>
      <c r="H443" s="147"/>
      <c r="I443" s="163"/>
      <c r="J443" s="163"/>
      <c r="K443" s="163"/>
      <c r="L443" s="428">
        <v>0.02</v>
      </c>
      <c r="M443" s="624" t="s">
        <v>1223</v>
      </c>
      <c r="N443" s="158" t="s">
        <v>700</v>
      </c>
      <c r="O443" s="417" t="s">
        <v>1224</v>
      </c>
      <c r="P443" s="477" t="s">
        <v>2233</v>
      </c>
      <c r="Q443" s="505" t="s">
        <v>2234</v>
      </c>
      <c r="R443" s="506">
        <v>1</v>
      </c>
      <c r="S443" s="106" t="s">
        <v>1677</v>
      </c>
      <c r="T443" s="473" t="s">
        <v>2233</v>
      </c>
      <c r="U443" s="106">
        <v>37.49</v>
      </c>
      <c r="V443" s="430">
        <v>0.2</v>
      </c>
      <c r="W443" s="106">
        <v>29.992000000000001</v>
      </c>
      <c r="X443" s="147"/>
      <c r="Y443" s="163"/>
      <c r="Z443" s="163"/>
      <c r="AA443" s="163"/>
      <c r="AB443" s="428">
        <v>0.02</v>
      </c>
      <c r="AC443" s="41" t="s">
        <v>1223</v>
      </c>
      <c r="AD443" s="42" t="s">
        <v>700</v>
      </c>
      <c r="AE443" s="416" t="s">
        <v>1224</v>
      </c>
    </row>
    <row r="444" spans="1:31" s="1" customFormat="1">
      <c r="A444" s="477" t="s">
        <v>2235</v>
      </c>
      <c r="B444" s="505" t="s">
        <v>2236</v>
      </c>
      <c r="C444" s="506">
        <v>1</v>
      </c>
      <c r="D444" s="585" t="s">
        <v>1677</v>
      </c>
      <c r="E444" s="1009">
        <v>70.83</v>
      </c>
      <c r="F444" s="430">
        <f t="shared" si="102"/>
        <v>0.2</v>
      </c>
      <c r="G444" s="106">
        <f t="shared" si="92"/>
        <v>56.664000000000001</v>
      </c>
      <c r="H444" s="147"/>
      <c r="I444" s="163"/>
      <c r="J444" s="163"/>
      <c r="K444" s="163"/>
      <c r="L444" s="428">
        <v>0.02</v>
      </c>
      <c r="M444" s="624" t="s">
        <v>1223</v>
      </c>
      <c r="N444" s="158" t="s">
        <v>700</v>
      </c>
      <c r="O444" s="417" t="s">
        <v>1224</v>
      </c>
      <c r="P444" s="477" t="s">
        <v>2235</v>
      </c>
      <c r="Q444" s="505" t="s">
        <v>2236</v>
      </c>
      <c r="R444" s="506">
        <v>1</v>
      </c>
      <c r="S444" s="106" t="s">
        <v>1677</v>
      </c>
      <c r="T444" s="473" t="s">
        <v>2235</v>
      </c>
      <c r="U444" s="106">
        <v>70.83</v>
      </c>
      <c r="V444" s="430">
        <v>0.2</v>
      </c>
      <c r="W444" s="106">
        <v>56.664000000000001</v>
      </c>
      <c r="X444" s="147"/>
      <c r="Y444" s="163"/>
      <c r="Z444" s="163"/>
      <c r="AA444" s="163"/>
      <c r="AB444" s="428">
        <v>0.02</v>
      </c>
      <c r="AC444" s="41" t="s">
        <v>1223</v>
      </c>
      <c r="AD444" s="42" t="s">
        <v>700</v>
      </c>
      <c r="AE444" s="416" t="s">
        <v>1224</v>
      </c>
    </row>
    <row r="445" spans="1:31" s="1" customFormat="1">
      <c r="A445" s="477" t="s">
        <v>2237</v>
      </c>
      <c r="B445" s="505" t="s">
        <v>2238</v>
      </c>
      <c r="C445" s="506">
        <v>1</v>
      </c>
      <c r="D445" s="585" t="s">
        <v>1677</v>
      </c>
      <c r="E445" s="1009">
        <v>83.33</v>
      </c>
      <c r="F445" s="430">
        <f t="shared" si="102"/>
        <v>0.2</v>
      </c>
      <c r="G445" s="106">
        <f t="shared" ref="G445:G451" si="103">E445-(E445*F445)</f>
        <v>66.664000000000001</v>
      </c>
      <c r="H445" s="147"/>
      <c r="I445" s="163"/>
      <c r="J445" s="163"/>
      <c r="K445" s="163"/>
      <c r="L445" s="428">
        <v>0.02</v>
      </c>
      <c r="M445" s="624" t="s">
        <v>1223</v>
      </c>
      <c r="N445" s="158" t="s">
        <v>700</v>
      </c>
      <c r="O445" s="417" t="s">
        <v>1224</v>
      </c>
      <c r="P445" s="477" t="s">
        <v>2237</v>
      </c>
      <c r="Q445" s="505" t="s">
        <v>2238</v>
      </c>
      <c r="R445" s="506">
        <v>1</v>
      </c>
      <c r="S445" s="106" t="s">
        <v>1677</v>
      </c>
      <c r="T445" s="473" t="s">
        <v>2237</v>
      </c>
      <c r="U445" s="106">
        <v>83.33</v>
      </c>
      <c r="V445" s="430">
        <v>0.2</v>
      </c>
      <c r="W445" s="106">
        <v>66.664000000000001</v>
      </c>
      <c r="X445" s="147"/>
      <c r="Y445" s="163"/>
      <c r="Z445" s="163"/>
      <c r="AA445" s="163"/>
      <c r="AB445" s="428">
        <v>0.02</v>
      </c>
      <c r="AC445" s="41" t="s">
        <v>1223</v>
      </c>
      <c r="AD445" s="42" t="s">
        <v>700</v>
      </c>
      <c r="AE445" s="416" t="s">
        <v>1224</v>
      </c>
    </row>
    <row r="446" spans="1:31" s="1" customFormat="1">
      <c r="A446" s="684" t="s">
        <v>3206</v>
      </c>
      <c r="B446" s="685" t="s">
        <v>3207</v>
      </c>
      <c r="C446" s="686">
        <v>1</v>
      </c>
      <c r="D446" s="693" t="s">
        <v>1677</v>
      </c>
      <c r="E446" s="977">
        <v>124.99</v>
      </c>
      <c r="F446" s="161">
        <f>rv_10</f>
        <v>0.1</v>
      </c>
      <c r="G446" s="647">
        <f t="shared" ref="G446" si="104">E446-(E446*F446)</f>
        <v>112.491</v>
      </c>
      <c r="H446" s="688"/>
      <c r="I446" s="215"/>
      <c r="J446" s="215"/>
      <c r="K446" s="215"/>
      <c r="L446" s="44">
        <v>0.02</v>
      </c>
      <c r="M446" s="624" t="s">
        <v>1223</v>
      </c>
      <c r="N446" s="158" t="s">
        <v>700</v>
      </c>
      <c r="O446" s="417" t="s">
        <v>1224</v>
      </c>
      <c r="P446" s="477"/>
      <c r="Q446" s="505"/>
      <c r="R446" s="506"/>
      <c r="S446" s="106"/>
      <c r="T446" s="473"/>
      <c r="U446" s="106"/>
      <c r="V446" s="430"/>
      <c r="W446" s="106"/>
      <c r="X446" s="147"/>
      <c r="Y446" s="163"/>
      <c r="Z446" s="163"/>
      <c r="AA446" s="163"/>
      <c r="AB446" s="428"/>
      <c r="AC446" s="41"/>
      <c r="AD446" s="42"/>
      <c r="AE446" s="416"/>
    </row>
    <row r="447" spans="1:31" s="1" customFormat="1">
      <c r="A447" s="477" t="s">
        <v>2239</v>
      </c>
      <c r="B447" s="505" t="s">
        <v>2240</v>
      </c>
      <c r="C447" s="506">
        <v>1</v>
      </c>
      <c r="D447" s="585" t="s">
        <v>1677</v>
      </c>
      <c r="E447" s="1009">
        <v>66.66</v>
      </c>
      <c r="F447" s="430">
        <f>rv_20</f>
        <v>0.2</v>
      </c>
      <c r="G447" s="106">
        <f t="shared" si="103"/>
        <v>53.327999999999996</v>
      </c>
      <c r="H447" s="147"/>
      <c r="I447" s="163"/>
      <c r="J447" s="163"/>
      <c r="K447" s="163"/>
      <c r="L447" s="428">
        <v>0.02</v>
      </c>
      <c r="M447" s="624" t="s">
        <v>1223</v>
      </c>
      <c r="N447" s="158" t="s">
        <v>1694</v>
      </c>
      <c r="O447" s="417" t="s">
        <v>1695</v>
      </c>
      <c r="P447" s="477" t="s">
        <v>2239</v>
      </c>
      <c r="Q447" s="505" t="s">
        <v>2240</v>
      </c>
      <c r="R447" s="506">
        <v>1</v>
      </c>
      <c r="S447" s="106" t="s">
        <v>1677</v>
      </c>
      <c r="T447" s="473" t="s">
        <v>2239</v>
      </c>
      <c r="U447" s="106">
        <v>66.66</v>
      </c>
      <c r="V447" s="430">
        <v>0.2</v>
      </c>
      <c r="W447" s="106">
        <v>53.327999999999996</v>
      </c>
      <c r="X447" s="147"/>
      <c r="Y447" s="163"/>
      <c r="Z447" s="163"/>
      <c r="AA447" s="163"/>
      <c r="AB447" s="428">
        <v>0.02</v>
      </c>
      <c r="AC447" s="41" t="s">
        <v>1223</v>
      </c>
      <c r="AD447" s="42" t="s">
        <v>1694</v>
      </c>
      <c r="AE447" s="416" t="s">
        <v>1695</v>
      </c>
    </row>
    <row r="448" spans="1:31" s="1" customFormat="1">
      <c r="A448" s="477" t="s">
        <v>2241</v>
      </c>
      <c r="B448" s="505" t="s">
        <v>2242</v>
      </c>
      <c r="C448" s="506">
        <v>1</v>
      </c>
      <c r="D448" s="585" t="s">
        <v>1677</v>
      </c>
      <c r="E448" s="1009">
        <v>66.66</v>
      </c>
      <c r="F448" s="430">
        <f>rv_20</f>
        <v>0.2</v>
      </c>
      <c r="G448" s="106">
        <f t="shared" si="103"/>
        <v>53.327999999999996</v>
      </c>
      <c r="H448" s="147"/>
      <c r="I448" s="163"/>
      <c r="J448" s="163"/>
      <c r="K448" s="163"/>
      <c r="L448" s="428">
        <v>0.02</v>
      </c>
      <c r="M448" s="624" t="s">
        <v>1223</v>
      </c>
      <c r="N448" s="158" t="s">
        <v>2243</v>
      </c>
      <c r="O448" s="417" t="s">
        <v>2244</v>
      </c>
      <c r="P448" s="477" t="s">
        <v>2241</v>
      </c>
      <c r="Q448" s="505" t="s">
        <v>2242</v>
      </c>
      <c r="R448" s="506">
        <v>1</v>
      </c>
      <c r="S448" s="106" t="s">
        <v>1677</v>
      </c>
      <c r="T448" s="473" t="s">
        <v>2241</v>
      </c>
      <c r="U448" s="106">
        <v>66.66</v>
      </c>
      <c r="V448" s="430">
        <v>0.2</v>
      </c>
      <c r="W448" s="106">
        <v>53.327999999999996</v>
      </c>
      <c r="X448" s="147"/>
      <c r="Y448" s="163"/>
      <c r="Z448" s="163"/>
      <c r="AA448" s="163"/>
      <c r="AB448" s="428">
        <v>0.02</v>
      </c>
      <c r="AC448" s="41" t="s">
        <v>1223</v>
      </c>
      <c r="AD448" s="42" t="s">
        <v>2243</v>
      </c>
      <c r="AE448" s="416" t="s">
        <v>2244</v>
      </c>
    </row>
    <row r="449" spans="1:31" s="1" customFormat="1">
      <c r="A449" s="477" t="s">
        <v>2245</v>
      </c>
      <c r="B449" s="505" t="s">
        <v>2246</v>
      </c>
      <c r="C449" s="506">
        <v>1</v>
      </c>
      <c r="D449" s="585" t="s">
        <v>1677</v>
      </c>
      <c r="E449" s="1009">
        <v>91.66</v>
      </c>
      <c r="F449" s="430">
        <f>rv_20</f>
        <v>0.2</v>
      </c>
      <c r="G449" s="106">
        <f t="shared" si="103"/>
        <v>73.328000000000003</v>
      </c>
      <c r="H449" s="147"/>
      <c r="I449" s="163"/>
      <c r="J449" s="163"/>
      <c r="K449" s="163"/>
      <c r="L449" s="428">
        <v>0.02</v>
      </c>
      <c r="M449" s="624" t="s">
        <v>1223</v>
      </c>
      <c r="N449" s="158" t="s">
        <v>2247</v>
      </c>
      <c r="O449" s="417" t="s">
        <v>2248</v>
      </c>
      <c r="P449" s="477" t="s">
        <v>2245</v>
      </c>
      <c r="Q449" s="505" t="s">
        <v>2246</v>
      </c>
      <c r="R449" s="506">
        <v>1</v>
      </c>
      <c r="S449" s="106" t="s">
        <v>1677</v>
      </c>
      <c r="T449" s="473" t="s">
        <v>2245</v>
      </c>
      <c r="U449" s="106">
        <v>91.66</v>
      </c>
      <c r="V449" s="430">
        <v>0.2</v>
      </c>
      <c r="W449" s="106">
        <v>73.328000000000003</v>
      </c>
      <c r="X449" s="147"/>
      <c r="Y449" s="163"/>
      <c r="Z449" s="163"/>
      <c r="AA449" s="163"/>
      <c r="AB449" s="428">
        <v>0.02</v>
      </c>
      <c r="AC449" s="41" t="s">
        <v>1223</v>
      </c>
      <c r="AD449" s="42" t="s">
        <v>2247</v>
      </c>
      <c r="AE449" s="416" t="s">
        <v>2248</v>
      </c>
    </row>
    <row r="450" spans="1:31" s="1" customFormat="1">
      <c r="A450" s="477" t="s">
        <v>2249</v>
      </c>
      <c r="B450" s="505" t="s">
        <v>2250</v>
      </c>
      <c r="C450" s="506">
        <v>1</v>
      </c>
      <c r="D450" s="585" t="s">
        <v>1677</v>
      </c>
      <c r="E450" s="1009">
        <v>91.66</v>
      </c>
      <c r="F450" s="430">
        <f>rv_20</f>
        <v>0.2</v>
      </c>
      <c r="G450" s="106">
        <f t="shared" si="103"/>
        <v>73.328000000000003</v>
      </c>
      <c r="H450" s="147"/>
      <c r="I450" s="163"/>
      <c r="J450" s="163"/>
      <c r="K450" s="163"/>
      <c r="L450" s="428">
        <v>0.02</v>
      </c>
      <c r="M450" s="624" t="s">
        <v>1223</v>
      </c>
      <c r="N450" s="158" t="s">
        <v>2251</v>
      </c>
      <c r="O450" s="417" t="s">
        <v>2252</v>
      </c>
      <c r="P450" s="477" t="s">
        <v>2249</v>
      </c>
      <c r="Q450" s="505" t="s">
        <v>2250</v>
      </c>
      <c r="R450" s="506">
        <v>1</v>
      </c>
      <c r="S450" s="106" t="s">
        <v>1677</v>
      </c>
      <c r="T450" s="473" t="s">
        <v>2249</v>
      </c>
      <c r="U450" s="106">
        <v>91.66</v>
      </c>
      <c r="V450" s="430">
        <v>0.2</v>
      </c>
      <c r="W450" s="106">
        <v>73.328000000000003</v>
      </c>
      <c r="X450" s="147"/>
      <c r="Y450" s="163"/>
      <c r="Z450" s="163"/>
      <c r="AA450" s="163"/>
      <c r="AB450" s="428">
        <v>0.02</v>
      </c>
      <c r="AC450" s="41" t="s">
        <v>1223</v>
      </c>
      <c r="AD450" s="42" t="s">
        <v>2251</v>
      </c>
      <c r="AE450" s="416" t="s">
        <v>2252</v>
      </c>
    </row>
    <row r="451" spans="1:31" s="1" customFormat="1">
      <c r="A451" s="477" t="s">
        <v>2253</v>
      </c>
      <c r="B451" s="505" t="s">
        <v>2254</v>
      </c>
      <c r="C451" s="506">
        <v>1</v>
      </c>
      <c r="D451" s="585" t="s">
        <v>1677</v>
      </c>
      <c r="E451" s="1009">
        <v>301.75</v>
      </c>
      <c r="F451" s="430">
        <f>rv_10</f>
        <v>0.1</v>
      </c>
      <c r="G451" s="106">
        <f t="shared" si="103"/>
        <v>271.57499999999999</v>
      </c>
      <c r="H451" s="147"/>
      <c r="I451" s="163"/>
      <c r="J451" s="163"/>
      <c r="K451" s="163"/>
      <c r="L451" s="428">
        <v>0.02</v>
      </c>
      <c r="M451" s="624" t="s">
        <v>1223</v>
      </c>
      <c r="N451" s="158" t="s">
        <v>2251</v>
      </c>
      <c r="O451" s="417" t="s">
        <v>2252</v>
      </c>
      <c r="P451" s="477" t="s">
        <v>2253</v>
      </c>
      <c r="Q451" s="505" t="s">
        <v>2254</v>
      </c>
      <c r="R451" s="506">
        <v>1</v>
      </c>
      <c r="S451" s="106" t="s">
        <v>1677</v>
      </c>
      <c r="T451" s="473" t="s">
        <v>2253</v>
      </c>
      <c r="U451" s="106">
        <v>301.75</v>
      </c>
      <c r="V451" s="430">
        <v>0.1</v>
      </c>
      <c r="W451" s="106">
        <v>271.57499999999999</v>
      </c>
      <c r="X451" s="147"/>
      <c r="Y451" s="163"/>
      <c r="Z451" s="163"/>
      <c r="AA451" s="163"/>
      <c r="AB451" s="428">
        <v>0.02</v>
      </c>
      <c r="AC451" s="41" t="s">
        <v>1223</v>
      </c>
      <c r="AD451" s="42" t="s">
        <v>2251</v>
      </c>
      <c r="AE451" s="416" t="s">
        <v>2252</v>
      </c>
    </row>
    <row r="452" spans="1:31" s="1" customFormat="1">
      <c r="A452" s="477" t="s">
        <v>2255</v>
      </c>
      <c r="B452" s="505" t="s">
        <v>2256</v>
      </c>
      <c r="C452" s="506">
        <v>1</v>
      </c>
      <c r="D452" s="585" t="s">
        <v>1677</v>
      </c>
      <c r="E452" s="1009">
        <v>91.66</v>
      </c>
      <c r="F452" s="430">
        <f t="shared" si="102"/>
        <v>0.2</v>
      </c>
      <c r="G452" s="106">
        <f t="shared" si="92"/>
        <v>73.328000000000003</v>
      </c>
      <c r="H452" s="147"/>
      <c r="I452" s="163"/>
      <c r="J452" s="163"/>
      <c r="K452" s="163"/>
      <c r="L452" s="428">
        <v>0.05</v>
      </c>
      <c r="M452" s="624" t="s">
        <v>1223</v>
      </c>
      <c r="N452" s="158" t="s">
        <v>700</v>
      </c>
      <c r="O452" s="417" t="s">
        <v>1224</v>
      </c>
      <c r="P452" s="477" t="s">
        <v>2255</v>
      </c>
      <c r="Q452" s="505" t="s">
        <v>2256</v>
      </c>
      <c r="R452" s="506">
        <v>1</v>
      </c>
      <c r="S452" s="106" t="s">
        <v>1677</v>
      </c>
      <c r="T452" s="473" t="s">
        <v>2255</v>
      </c>
      <c r="U452" s="106">
        <v>91.66</v>
      </c>
      <c r="V452" s="430">
        <v>0.2</v>
      </c>
      <c r="W452" s="106">
        <v>73.328000000000003</v>
      </c>
      <c r="X452" s="147"/>
      <c r="Y452" s="163"/>
      <c r="Z452" s="163"/>
      <c r="AA452" s="163"/>
      <c r="AB452" s="428">
        <v>0.05</v>
      </c>
      <c r="AC452" s="41" t="s">
        <v>1223</v>
      </c>
      <c r="AD452" s="42" t="s">
        <v>700</v>
      </c>
      <c r="AE452" s="416" t="s">
        <v>1224</v>
      </c>
    </row>
    <row r="453" spans="1:31" s="90" customFormat="1">
      <c r="A453" s="510" t="s">
        <v>2257</v>
      </c>
      <c r="B453" s="529" t="s">
        <v>2258</v>
      </c>
      <c r="C453" s="512">
        <v>1</v>
      </c>
      <c r="D453" s="592" t="s">
        <v>1677</v>
      </c>
      <c r="E453" s="1009">
        <v>34.99</v>
      </c>
      <c r="F453" s="514">
        <f t="shared" si="102"/>
        <v>0.2</v>
      </c>
      <c r="G453" s="515">
        <f t="shared" ref="G453:G455" si="105">E453-(E453*F453)</f>
        <v>27.992000000000001</v>
      </c>
      <c r="H453" s="531"/>
      <c r="I453" s="532"/>
      <c r="J453" s="532"/>
      <c r="K453" s="532"/>
      <c r="L453" s="513"/>
      <c r="M453" s="624" t="s">
        <v>1223</v>
      </c>
      <c r="N453" s="158" t="s">
        <v>700</v>
      </c>
      <c r="O453" s="417" t="s">
        <v>1224</v>
      </c>
      <c r="P453" s="510" t="s">
        <v>2257</v>
      </c>
      <c r="Q453" s="529" t="s">
        <v>2258</v>
      </c>
      <c r="R453" s="512">
        <v>1</v>
      </c>
      <c r="S453" s="592" t="s">
        <v>1677</v>
      </c>
      <c r="T453" s="517" t="s">
        <v>2257</v>
      </c>
      <c r="U453" s="428">
        <v>34.99</v>
      </c>
      <c r="V453" s="514">
        <v>0.2</v>
      </c>
      <c r="W453" s="515">
        <v>27.992000000000001</v>
      </c>
      <c r="X453" s="531"/>
      <c r="Y453" s="532"/>
      <c r="Z453" s="532"/>
      <c r="AA453" s="532"/>
      <c r="AB453" s="513">
        <v>0</v>
      </c>
      <c r="AC453" s="41" t="s">
        <v>1223</v>
      </c>
      <c r="AD453" s="42" t="s">
        <v>700</v>
      </c>
      <c r="AE453" s="416" t="s">
        <v>1224</v>
      </c>
    </row>
    <row r="454" spans="1:31" s="90" customFormat="1">
      <c r="A454" s="510" t="s">
        <v>2259</v>
      </c>
      <c r="B454" s="529" t="s">
        <v>2260</v>
      </c>
      <c r="C454" s="512">
        <v>1</v>
      </c>
      <c r="D454" s="592" t="s">
        <v>1677</v>
      </c>
      <c r="E454" s="1009">
        <v>34.99</v>
      </c>
      <c r="F454" s="514">
        <f t="shared" si="102"/>
        <v>0.2</v>
      </c>
      <c r="G454" s="106">
        <f t="shared" si="105"/>
        <v>27.992000000000001</v>
      </c>
      <c r="H454" s="531"/>
      <c r="I454" s="532"/>
      <c r="J454" s="532"/>
      <c r="K454" s="532"/>
      <c r="L454" s="513"/>
      <c r="M454" s="624" t="s">
        <v>1223</v>
      </c>
      <c r="N454" s="158" t="s">
        <v>700</v>
      </c>
      <c r="O454" s="417" t="s">
        <v>1224</v>
      </c>
      <c r="P454" s="510" t="s">
        <v>2259</v>
      </c>
      <c r="Q454" s="529" t="s">
        <v>2260</v>
      </c>
      <c r="R454" s="512">
        <v>1</v>
      </c>
      <c r="S454" s="592" t="s">
        <v>1677</v>
      </c>
      <c r="T454" s="517" t="s">
        <v>2259</v>
      </c>
      <c r="U454" s="428">
        <v>34.99</v>
      </c>
      <c r="V454" s="514">
        <v>0.2</v>
      </c>
      <c r="W454" s="106">
        <v>27.992000000000001</v>
      </c>
      <c r="X454" s="531"/>
      <c r="Y454" s="532"/>
      <c r="Z454" s="532"/>
      <c r="AA454" s="532"/>
      <c r="AB454" s="513">
        <v>0</v>
      </c>
      <c r="AC454" s="41" t="s">
        <v>1223</v>
      </c>
      <c r="AD454" s="42" t="s">
        <v>700</v>
      </c>
      <c r="AE454" s="416" t="s">
        <v>1224</v>
      </c>
    </row>
    <row r="455" spans="1:31" s="90" customFormat="1">
      <c r="A455" s="510" t="s">
        <v>2261</v>
      </c>
      <c r="B455" s="529" t="s">
        <v>2262</v>
      </c>
      <c r="C455" s="512">
        <v>1</v>
      </c>
      <c r="D455" s="592" t="s">
        <v>1677</v>
      </c>
      <c r="E455" s="1009">
        <v>74.989999999999995</v>
      </c>
      <c r="F455" s="514">
        <f t="shared" si="102"/>
        <v>0.2</v>
      </c>
      <c r="G455" s="106">
        <f t="shared" si="105"/>
        <v>59.991999999999997</v>
      </c>
      <c r="H455" s="531"/>
      <c r="I455" s="532"/>
      <c r="J455" s="532"/>
      <c r="K455" s="532"/>
      <c r="L455" s="428">
        <v>0.05</v>
      </c>
      <c r="M455" s="624" t="s">
        <v>1223</v>
      </c>
      <c r="N455" s="158" t="s">
        <v>700</v>
      </c>
      <c r="O455" s="417" t="s">
        <v>1224</v>
      </c>
      <c r="P455" s="510" t="s">
        <v>2261</v>
      </c>
      <c r="Q455" s="529" t="s">
        <v>2262</v>
      </c>
      <c r="R455" s="512">
        <v>1</v>
      </c>
      <c r="S455" s="592" t="s">
        <v>1677</v>
      </c>
      <c r="T455" s="517" t="s">
        <v>2261</v>
      </c>
      <c r="U455" s="428">
        <v>74.989999999999995</v>
      </c>
      <c r="V455" s="514">
        <v>0.2</v>
      </c>
      <c r="W455" s="106">
        <v>59.991999999999997</v>
      </c>
      <c r="X455" s="531"/>
      <c r="Y455" s="532"/>
      <c r="Z455" s="532"/>
      <c r="AA455" s="532"/>
      <c r="AB455" s="428">
        <v>0.05</v>
      </c>
      <c r="AC455" s="41" t="s">
        <v>1223</v>
      </c>
      <c r="AD455" s="42" t="s">
        <v>700</v>
      </c>
      <c r="AE455" s="416" t="s">
        <v>1224</v>
      </c>
    </row>
    <row r="456" spans="1:31" s="90" customFormat="1">
      <c r="A456" s="477" t="s">
        <v>2263</v>
      </c>
      <c r="B456" s="505" t="s">
        <v>2264</v>
      </c>
      <c r="C456" s="512">
        <v>1</v>
      </c>
      <c r="D456" s="592" t="s">
        <v>1677</v>
      </c>
      <c r="E456" s="1009">
        <v>59.99</v>
      </c>
      <c r="F456" s="514">
        <f t="shared" si="102"/>
        <v>0.2</v>
      </c>
      <c r="G456" s="515">
        <f t="shared" ref="G456:G460" si="106">E456-(E456*F456)</f>
        <v>47.992000000000004</v>
      </c>
      <c r="H456" s="531"/>
      <c r="I456" s="532"/>
      <c r="J456" s="532"/>
      <c r="K456" s="532"/>
      <c r="L456" s="428">
        <v>0.02</v>
      </c>
      <c r="M456" s="624" t="s">
        <v>1223</v>
      </c>
      <c r="N456" s="158" t="s">
        <v>700</v>
      </c>
      <c r="O456" s="417" t="s">
        <v>1224</v>
      </c>
      <c r="P456" s="477" t="s">
        <v>2263</v>
      </c>
      <c r="Q456" s="505" t="s">
        <v>2264</v>
      </c>
      <c r="R456" s="512">
        <v>1</v>
      </c>
      <c r="S456" s="592" t="s">
        <v>1677</v>
      </c>
      <c r="T456" s="517" t="s">
        <v>2263</v>
      </c>
      <c r="U456" s="428">
        <v>59.99</v>
      </c>
      <c r="V456" s="514">
        <v>0.2</v>
      </c>
      <c r="W456" s="515">
        <v>47.992000000000004</v>
      </c>
      <c r="X456" s="531"/>
      <c r="Y456" s="532"/>
      <c r="Z456" s="532"/>
      <c r="AA456" s="532"/>
      <c r="AB456" s="428">
        <v>0.02</v>
      </c>
      <c r="AC456" s="41" t="s">
        <v>1223</v>
      </c>
      <c r="AD456" s="42" t="s">
        <v>700</v>
      </c>
      <c r="AE456" s="416" t="s">
        <v>1224</v>
      </c>
    </row>
    <row r="457" spans="1:31" s="90" customFormat="1">
      <c r="A457" s="477" t="s">
        <v>2265</v>
      </c>
      <c r="B457" s="505" t="s">
        <v>2266</v>
      </c>
      <c r="C457" s="512">
        <v>1</v>
      </c>
      <c r="D457" s="592" t="s">
        <v>1677</v>
      </c>
      <c r="E457" s="1009">
        <v>74.989999999999995</v>
      </c>
      <c r="F457" s="514">
        <f t="shared" si="102"/>
        <v>0.2</v>
      </c>
      <c r="G457" s="515">
        <f t="shared" si="106"/>
        <v>59.991999999999997</v>
      </c>
      <c r="H457" s="531"/>
      <c r="I457" s="532"/>
      <c r="J457" s="532"/>
      <c r="K457" s="532"/>
      <c r="L457" s="428">
        <v>0.05</v>
      </c>
      <c r="M457" s="624" t="s">
        <v>1223</v>
      </c>
      <c r="N457" s="158" t="s">
        <v>700</v>
      </c>
      <c r="O457" s="417" t="s">
        <v>1224</v>
      </c>
      <c r="P457" s="477" t="s">
        <v>2265</v>
      </c>
      <c r="Q457" s="505" t="s">
        <v>2266</v>
      </c>
      <c r="R457" s="512">
        <v>1</v>
      </c>
      <c r="S457" s="592" t="s">
        <v>1677</v>
      </c>
      <c r="T457" s="517" t="s">
        <v>2265</v>
      </c>
      <c r="U457" s="428">
        <v>74.989999999999995</v>
      </c>
      <c r="V457" s="514">
        <v>0.2</v>
      </c>
      <c r="W457" s="515">
        <v>59.991999999999997</v>
      </c>
      <c r="X457" s="531"/>
      <c r="Y457" s="532"/>
      <c r="Z457" s="532"/>
      <c r="AA457" s="532"/>
      <c r="AB457" s="428">
        <v>0.05</v>
      </c>
      <c r="AC457" s="41" t="s">
        <v>1223</v>
      </c>
      <c r="AD457" s="42" t="s">
        <v>700</v>
      </c>
      <c r="AE457" s="416" t="s">
        <v>1224</v>
      </c>
    </row>
    <row r="458" spans="1:31" s="90" customFormat="1">
      <c r="A458" s="477" t="s">
        <v>2267</v>
      </c>
      <c r="B458" s="505" t="s">
        <v>2268</v>
      </c>
      <c r="C458" s="512">
        <v>1</v>
      </c>
      <c r="D458" s="592" t="s">
        <v>2269</v>
      </c>
      <c r="E458" s="1009">
        <v>59.99</v>
      </c>
      <c r="F458" s="430">
        <f t="shared" si="102"/>
        <v>0.2</v>
      </c>
      <c r="G458" s="106">
        <f t="shared" si="106"/>
        <v>47.992000000000004</v>
      </c>
      <c r="H458" s="531"/>
      <c r="I458" s="532"/>
      <c r="J458" s="532"/>
      <c r="K458" s="532"/>
      <c r="L458" s="428"/>
      <c r="M458" s="624" t="s">
        <v>1223</v>
      </c>
      <c r="N458" s="158" t="s">
        <v>700</v>
      </c>
      <c r="O458" s="417" t="s">
        <v>1224</v>
      </c>
      <c r="P458" s="477" t="s">
        <v>2267</v>
      </c>
      <c r="Q458" s="505" t="s">
        <v>2268</v>
      </c>
      <c r="R458" s="512">
        <v>1</v>
      </c>
      <c r="S458" s="592" t="s">
        <v>2269</v>
      </c>
      <c r="T458" s="508" t="s">
        <v>2267</v>
      </c>
      <c r="U458" s="428">
        <v>59.99</v>
      </c>
      <c r="V458" s="430">
        <v>0.2</v>
      </c>
      <c r="W458" s="106">
        <v>47.992000000000004</v>
      </c>
      <c r="X458" s="531"/>
      <c r="Y458" s="532"/>
      <c r="Z458" s="532"/>
      <c r="AA458" s="532"/>
      <c r="AB458" s="428">
        <v>0</v>
      </c>
      <c r="AC458" s="41" t="s">
        <v>1223</v>
      </c>
      <c r="AD458" s="42" t="s">
        <v>700</v>
      </c>
      <c r="AE458" s="416" t="s">
        <v>1224</v>
      </c>
    </row>
    <row r="459" spans="1:31" s="1" customFormat="1">
      <c r="A459" s="477" t="s">
        <v>2270</v>
      </c>
      <c r="B459" s="505" t="s">
        <v>2271</v>
      </c>
      <c r="C459" s="506">
        <v>1</v>
      </c>
      <c r="D459" s="585" t="s">
        <v>2269</v>
      </c>
      <c r="E459" s="1009">
        <v>59.99</v>
      </c>
      <c r="F459" s="430">
        <f t="shared" si="102"/>
        <v>0.2</v>
      </c>
      <c r="G459" s="106">
        <f t="shared" si="106"/>
        <v>47.992000000000004</v>
      </c>
      <c r="H459" s="147"/>
      <c r="I459" s="163"/>
      <c r="J459" s="163"/>
      <c r="K459" s="163"/>
      <c r="L459" s="513"/>
      <c r="M459" s="624" t="s">
        <v>1223</v>
      </c>
      <c r="N459" s="158" t="s">
        <v>700</v>
      </c>
      <c r="O459" s="417" t="s">
        <v>1224</v>
      </c>
      <c r="P459" s="477" t="s">
        <v>2270</v>
      </c>
      <c r="Q459" s="505" t="s">
        <v>2271</v>
      </c>
      <c r="R459" s="506">
        <v>1</v>
      </c>
      <c r="S459" s="585" t="s">
        <v>2269</v>
      </c>
      <c r="T459" s="508" t="s">
        <v>2270</v>
      </c>
      <c r="U459" s="428">
        <v>59.99</v>
      </c>
      <c r="V459" s="430">
        <v>0.2</v>
      </c>
      <c r="W459" s="106">
        <v>47.992000000000004</v>
      </c>
      <c r="X459" s="147"/>
      <c r="Y459" s="163"/>
      <c r="Z459" s="163"/>
      <c r="AA459" s="163"/>
      <c r="AB459" s="513">
        <v>0</v>
      </c>
      <c r="AC459" s="41" t="s">
        <v>1223</v>
      </c>
      <c r="AD459" s="42" t="s">
        <v>700</v>
      </c>
      <c r="AE459" s="416" t="s">
        <v>1224</v>
      </c>
    </row>
    <row r="460" spans="1:31" s="1" customFormat="1">
      <c r="A460" s="684" t="s">
        <v>3179</v>
      </c>
      <c r="B460" s="685" t="s">
        <v>3181</v>
      </c>
      <c r="C460" s="686">
        <v>1</v>
      </c>
      <c r="D460" s="693" t="s">
        <v>1670</v>
      </c>
      <c r="E460" s="977">
        <v>151.65</v>
      </c>
      <c r="F460" s="161">
        <f t="shared" si="102"/>
        <v>0.2</v>
      </c>
      <c r="G460" s="647">
        <f t="shared" si="106"/>
        <v>121.32000000000001</v>
      </c>
      <c r="H460" s="531"/>
      <c r="I460" s="532"/>
      <c r="J460" s="532"/>
      <c r="K460" s="532"/>
      <c r="L460" s="44"/>
      <c r="M460" s="624" t="s">
        <v>1223</v>
      </c>
      <c r="N460" s="158" t="s">
        <v>700</v>
      </c>
      <c r="O460" s="417" t="s">
        <v>1224</v>
      </c>
      <c r="P460" s="477"/>
      <c r="Q460" s="505"/>
      <c r="R460" s="506"/>
      <c r="S460" s="585"/>
      <c r="T460" s="508"/>
      <c r="U460" s="106"/>
      <c r="V460" s="430"/>
      <c r="W460" s="106"/>
      <c r="X460" s="147"/>
      <c r="Y460" s="163"/>
      <c r="Z460" s="163"/>
      <c r="AA460" s="163"/>
      <c r="AB460" s="513"/>
      <c r="AC460" s="41"/>
      <c r="AD460" s="42"/>
      <c r="AE460" s="416"/>
    </row>
    <row r="461" spans="1:31" s="1" customFormat="1">
      <c r="A461" s="684" t="s">
        <v>3180</v>
      </c>
      <c r="B461" s="685" t="s">
        <v>3182</v>
      </c>
      <c r="C461" s="686">
        <v>1</v>
      </c>
      <c r="D461" s="693" t="s">
        <v>1670</v>
      </c>
      <c r="E461" s="977">
        <v>99.33</v>
      </c>
      <c r="F461" s="161">
        <f t="shared" si="102"/>
        <v>0.2</v>
      </c>
      <c r="G461" s="647">
        <f t="shared" ref="G461" si="107">E461-(E461*F461)</f>
        <v>79.463999999999999</v>
      </c>
      <c r="H461" s="531"/>
      <c r="I461" s="532"/>
      <c r="J461" s="532"/>
      <c r="K461" s="532"/>
      <c r="L461" s="44"/>
      <c r="M461" s="624" t="s">
        <v>1223</v>
      </c>
      <c r="N461" s="158" t="s">
        <v>700</v>
      </c>
      <c r="O461" s="417" t="s">
        <v>1224</v>
      </c>
      <c r="P461" s="477"/>
      <c r="Q461" s="505"/>
      <c r="R461" s="506"/>
      <c r="S461" s="585"/>
      <c r="T461" s="508"/>
      <c r="U461" s="106"/>
      <c r="V461" s="430"/>
      <c r="W461" s="106"/>
      <c r="X461" s="147"/>
      <c r="Y461" s="163"/>
      <c r="Z461" s="163"/>
      <c r="AA461" s="163"/>
      <c r="AB461" s="513"/>
      <c r="AC461" s="41"/>
      <c r="AD461" s="42"/>
      <c r="AE461" s="416"/>
    </row>
    <row r="462" spans="1:31" s="1" customFormat="1">
      <c r="A462" s="477" t="s">
        <v>2277</v>
      </c>
      <c r="B462" s="505" t="s">
        <v>2278</v>
      </c>
      <c r="C462" s="506">
        <v>1</v>
      </c>
      <c r="D462" s="585" t="s">
        <v>2279</v>
      </c>
      <c r="E462" s="1009">
        <v>59.95</v>
      </c>
      <c r="F462" s="430">
        <f t="shared" si="102"/>
        <v>0.2</v>
      </c>
      <c r="G462" s="106">
        <f t="shared" si="92"/>
        <v>47.96</v>
      </c>
      <c r="H462" s="147"/>
      <c r="I462" s="163"/>
      <c r="J462" s="163"/>
      <c r="K462" s="163"/>
      <c r="L462" s="428"/>
      <c r="M462" s="624" t="s">
        <v>1223</v>
      </c>
      <c r="N462" s="158" t="s">
        <v>700</v>
      </c>
      <c r="O462" s="417" t="s">
        <v>1224</v>
      </c>
      <c r="P462" s="477" t="s">
        <v>2277</v>
      </c>
      <c r="Q462" s="505" t="s">
        <v>2278</v>
      </c>
      <c r="R462" s="506">
        <v>1</v>
      </c>
      <c r="S462" s="106" t="s">
        <v>2279</v>
      </c>
      <c r="T462" s="473" t="s">
        <v>2277</v>
      </c>
      <c r="U462" s="106">
        <v>59.95</v>
      </c>
      <c r="V462" s="430">
        <v>0.2</v>
      </c>
      <c r="W462" s="106">
        <v>47.96</v>
      </c>
      <c r="X462" s="147"/>
      <c r="Y462" s="163"/>
      <c r="Z462" s="163"/>
      <c r="AA462" s="163"/>
      <c r="AB462" s="428">
        <v>0</v>
      </c>
      <c r="AC462" s="41" t="s">
        <v>1223</v>
      </c>
      <c r="AD462" s="42" t="s">
        <v>700</v>
      </c>
      <c r="AE462" s="416" t="s">
        <v>1224</v>
      </c>
    </row>
    <row r="463" spans="1:31" s="1" customFormat="1">
      <c r="A463" s="477" t="s">
        <v>2280</v>
      </c>
      <c r="B463" s="505" t="s">
        <v>2281</v>
      </c>
      <c r="C463" s="506">
        <v>1</v>
      </c>
      <c r="D463" s="585" t="s">
        <v>2279</v>
      </c>
      <c r="E463" s="1009">
        <v>59.95</v>
      </c>
      <c r="F463" s="430">
        <f t="shared" si="102"/>
        <v>0.2</v>
      </c>
      <c r="G463" s="106">
        <f t="shared" si="92"/>
        <v>47.96</v>
      </c>
      <c r="H463" s="147"/>
      <c r="I463" s="163"/>
      <c r="J463" s="163"/>
      <c r="K463" s="163"/>
      <c r="L463" s="428"/>
      <c r="M463" s="624" t="s">
        <v>1223</v>
      </c>
      <c r="N463" s="158" t="s">
        <v>700</v>
      </c>
      <c r="O463" s="417" t="s">
        <v>1224</v>
      </c>
      <c r="P463" s="477" t="s">
        <v>2280</v>
      </c>
      <c r="Q463" s="505" t="s">
        <v>2281</v>
      </c>
      <c r="R463" s="506">
        <v>1</v>
      </c>
      <c r="S463" s="106" t="s">
        <v>2279</v>
      </c>
      <c r="T463" s="473" t="s">
        <v>2280</v>
      </c>
      <c r="U463" s="106">
        <v>59.95</v>
      </c>
      <c r="V463" s="430">
        <v>0.2</v>
      </c>
      <c r="W463" s="106">
        <v>47.96</v>
      </c>
      <c r="X463" s="147"/>
      <c r="Y463" s="163"/>
      <c r="Z463" s="163"/>
      <c r="AA463" s="163"/>
      <c r="AB463" s="428">
        <v>0</v>
      </c>
      <c r="AC463" s="41" t="s">
        <v>1223</v>
      </c>
      <c r="AD463" s="42" t="s">
        <v>700</v>
      </c>
      <c r="AE463" s="416" t="s">
        <v>1224</v>
      </c>
    </row>
    <row r="464" spans="1:31" s="1" customFormat="1">
      <c r="A464" s="477" t="s">
        <v>2282</v>
      </c>
      <c r="B464" s="505" t="s">
        <v>2283</v>
      </c>
      <c r="C464" s="506">
        <v>1</v>
      </c>
      <c r="D464" s="585" t="s">
        <v>2279</v>
      </c>
      <c r="E464" s="1009">
        <v>59.95</v>
      </c>
      <c r="F464" s="430">
        <f t="shared" si="102"/>
        <v>0.2</v>
      </c>
      <c r="G464" s="106">
        <f t="shared" si="92"/>
        <v>47.96</v>
      </c>
      <c r="H464" s="147"/>
      <c r="I464" s="163"/>
      <c r="J464" s="163"/>
      <c r="K464" s="163"/>
      <c r="L464" s="428"/>
      <c r="M464" s="624" t="s">
        <v>1223</v>
      </c>
      <c r="N464" s="158" t="s">
        <v>700</v>
      </c>
      <c r="O464" s="417" t="s">
        <v>1224</v>
      </c>
      <c r="P464" s="477" t="s">
        <v>2282</v>
      </c>
      <c r="Q464" s="505" t="s">
        <v>2283</v>
      </c>
      <c r="R464" s="506">
        <v>1</v>
      </c>
      <c r="S464" s="106" t="s">
        <v>2279</v>
      </c>
      <c r="T464" s="473" t="s">
        <v>2282</v>
      </c>
      <c r="U464" s="106">
        <v>59.95</v>
      </c>
      <c r="V464" s="430">
        <v>0.2</v>
      </c>
      <c r="W464" s="106">
        <v>47.96</v>
      </c>
      <c r="X464" s="147"/>
      <c r="Y464" s="163"/>
      <c r="Z464" s="163"/>
      <c r="AA464" s="163"/>
      <c r="AB464" s="428">
        <v>0</v>
      </c>
      <c r="AC464" s="41" t="s">
        <v>1223</v>
      </c>
      <c r="AD464" s="42" t="s">
        <v>700</v>
      </c>
      <c r="AE464" s="416" t="s">
        <v>1224</v>
      </c>
    </row>
    <row r="465" spans="1:31" s="1" customFormat="1">
      <c r="A465" s="477" t="s">
        <v>2284</v>
      </c>
      <c r="B465" s="505" t="s">
        <v>2285</v>
      </c>
      <c r="C465" s="506">
        <v>1</v>
      </c>
      <c r="D465" s="585" t="s">
        <v>2279</v>
      </c>
      <c r="E465" s="1009">
        <v>59.95</v>
      </c>
      <c r="F465" s="430">
        <f t="shared" si="102"/>
        <v>0.2</v>
      </c>
      <c r="G465" s="106">
        <f t="shared" si="92"/>
        <v>47.96</v>
      </c>
      <c r="H465" s="147"/>
      <c r="I465" s="163"/>
      <c r="J465" s="163"/>
      <c r="K465" s="163"/>
      <c r="L465" s="428"/>
      <c r="M465" s="624" t="s">
        <v>1223</v>
      </c>
      <c r="N465" s="158" t="s">
        <v>700</v>
      </c>
      <c r="O465" s="417" t="s">
        <v>1224</v>
      </c>
      <c r="P465" s="477" t="s">
        <v>2284</v>
      </c>
      <c r="Q465" s="505" t="s">
        <v>2285</v>
      </c>
      <c r="R465" s="506">
        <v>1</v>
      </c>
      <c r="S465" s="106" t="s">
        <v>2279</v>
      </c>
      <c r="T465" s="473" t="s">
        <v>2284</v>
      </c>
      <c r="U465" s="106">
        <v>59.95</v>
      </c>
      <c r="V465" s="430">
        <v>0.2</v>
      </c>
      <c r="W465" s="106">
        <v>47.96</v>
      </c>
      <c r="X465" s="147"/>
      <c r="Y465" s="163"/>
      <c r="Z465" s="163"/>
      <c r="AA465" s="163"/>
      <c r="AB465" s="428">
        <v>0</v>
      </c>
      <c r="AC465" s="41" t="s">
        <v>1223</v>
      </c>
      <c r="AD465" s="42" t="s">
        <v>700</v>
      </c>
      <c r="AE465" s="416" t="s">
        <v>1224</v>
      </c>
    </row>
    <row r="466" spans="1:31" s="1" customFormat="1">
      <c r="A466" s="477" t="s">
        <v>2286</v>
      </c>
      <c r="B466" s="505" t="s">
        <v>2287</v>
      </c>
      <c r="C466" s="506">
        <v>1</v>
      </c>
      <c r="D466" s="585" t="s">
        <v>2279</v>
      </c>
      <c r="E466" s="1009">
        <v>74.95</v>
      </c>
      <c r="F466" s="430">
        <f t="shared" si="102"/>
        <v>0.2</v>
      </c>
      <c r="G466" s="106">
        <f t="shared" si="92"/>
        <v>59.96</v>
      </c>
      <c r="H466" s="147"/>
      <c r="I466" s="163"/>
      <c r="J466" s="163"/>
      <c r="K466" s="163"/>
      <c r="L466" s="428"/>
      <c r="M466" s="624" t="s">
        <v>1223</v>
      </c>
      <c r="N466" s="158" t="s">
        <v>700</v>
      </c>
      <c r="O466" s="417" t="s">
        <v>1224</v>
      </c>
      <c r="P466" s="477" t="s">
        <v>2286</v>
      </c>
      <c r="Q466" s="505" t="s">
        <v>2287</v>
      </c>
      <c r="R466" s="506">
        <v>1</v>
      </c>
      <c r="S466" s="106" t="s">
        <v>2279</v>
      </c>
      <c r="T466" s="473" t="s">
        <v>2286</v>
      </c>
      <c r="U466" s="106">
        <v>74.95</v>
      </c>
      <c r="V466" s="430">
        <v>0.2</v>
      </c>
      <c r="W466" s="106">
        <v>59.96</v>
      </c>
      <c r="X466" s="147"/>
      <c r="Y466" s="163"/>
      <c r="Z466" s="163"/>
      <c r="AA466" s="163"/>
      <c r="AB466" s="428">
        <v>0</v>
      </c>
      <c r="AC466" s="41" t="s">
        <v>1223</v>
      </c>
      <c r="AD466" s="42" t="s">
        <v>700</v>
      </c>
      <c r="AE466" s="416" t="s">
        <v>1224</v>
      </c>
    </row>
    <row r="467" spans="1:31" s="90" customFormat="1">
      <c r="A467" s="477" t="s">
        <v>2288</v>
      </c>
      <c r="B467" s="505" t="s">
        <v>2289</v>
      </c>
      <c r="C467" s="506">
        <v>1</v>
      </c>
      <c r="D467" s="585" t="s">
        <v>2279</v>
      </c>
      <c r="E467" s="1009">
        <v>74.95</v>
      </c>
      <c r="F467" s="430">
        <f t="shared" si="102"/>
        <v>0.2</v>
      </c>
      <c r="G467" s="106">
        <f t="shared" ref="G467" si="108">E467-(E467*F467)</f>
        <v>59.96</v>
      </c>
      <c r="H467" s="147"/>
      <c r="I467" s="163"/>
      <c r="J467" s="163"/>
      <c r="K467" s="163"/>
      <c r="L467" s="428"/>
      <c r="M467" s="624" t="s">
        <v>1223</v>
      </c>
      <c r="N467" s="158" t="s">
        <v>700</v>
      </c>
      <c r="O467" s="417" t="s">
        <v>1224</v>
      </c>
      <c r="P467" s="477" t="s">
        <v>2288</v>
      </c>
      <c r="Q467" s="505" t="s">
        <v>2289</v>
      </c>
      <c r="R467" s="506">
        <v>1</v>
      </c>
      <c r="S467" s="106" t="s">
        <v>2279</v>
      </c>
      <c r="T467" s="473" t="s">
        <v>2288</v>
      </c>
      <c r="U467" s="106">
        <v>74.95</v>
      </c>
      <c r="V467" s="430">
        <v>0.2</v>
      </c>
      <c r="W467" s="106">
        <v>59.96</v>
      </c>
      <c r="X467" s="147"/>
      <c r="Y467" s="163"/>
      <c r="Z467" s="163"/>
      <c r="AA467" s="163"/>
      <c r="AB467" s="428">
        <v>0</v>
      </c>
      <c r="AC467" s="41" t="s">
        <v>1223</v>
      </c>
      <c r="AD467" s="42" t="s">
        <v>700</v>
      </c>
      <c r="AE467" s="416" t="s">
        <v>1224</v>
      </c>
    </row>
    <row r="468" spans="1:31" s="1" customFormat="1">
      <c r="A468" s="684" t="s">
        <v>3627</v>
      </c>
      <c r="B468" s="685" t="s">
        <v>3628</v>
      </c>
      <c r="C468" s="686">
        <v>1</v>
      </c>
      <c r="D468" s="693" t="s">
        <v>2279</v>
      </c>
      <c r="E468" s="977">
        <v>59.95</v>
      </c>
      <c r="F468" s="161">
        <f t="shared" ref="F468:F485" si="109">rv_20</f>
        <v>0.2</v>
      </c>
      <c r="G468" s="647">
        <f t="shared" ref="G468" si="110">E468-(E468*F468)</f>
        <v>47.96</v>
      </c>
      <c r="H468" s="147"/>
      <c r="I468" s="163"/>
      <c r="J468" s="163"/>
      <c r="K468" s="163"/>
      <c r="L468" s="428"/>
      <c r="M468" s="624" t="s">
        <v>1223</v>
      </c>
      <c r="N468" s="158" t="s">
        <v>700</v>
      </c>
      <c r="O468" s="417" t="s">
        <v>1224</v>
      </c>
      <c r="P468" s="477"/>
      <c r="Q468" s="505"/>
      <c r="R468" s="506"/>
      <c r="S468" s="106"/>
      <c r="T468" s="473"/>
      <c r="U468" s="106"/>
      <c r="V468" s="430"/>
      <c r="W468" s="106"/>
      <c r="X468" s="147"/>
      <c r="Y468" s="163"/>
      <c r="Z468" s="163"/>
      <c r="AA468" s="163"/>
      <c r="AB468" s="428"/>
      <c r="AC468" s="41"/>
      <c r="AD468" s="42"/>
      <c r="AE468" s="416"/>
    </row>
    <row r="469" spans="1:31" s="1" customFormat="1">
      <c r="A469" s="477"/>
      <c r="B469" s="505"/>
      <c r="C469" s="506"/>
      <c r="D469" s="585"/>
      <c r="E469" s="1009"/>
      <c r="F469" s="430"/>
      <c r="G469" s="106"/>
      <c r="H469" s="147"/>
      <c r="I469" s="163"/>
      <c r="J469" s="163"/>
      <c r="K469" s="163"/>
      <c r="L469" s="428"/>
      <c r="M469" s="624"/>
      <c r="N469" s="158"/>
      <c r="O469" s="417"/>
      <c r="P469" s="650" t="s">
        <v>2290</v>
      </c>
      <c r="Q469" s="651" t="s">
        <v>2291</v>
      </c>
      <c r="R469" s="652">
        <v>1</v>
      </c>
      <c r="S469" s="654" t="s">
        <v>2279</v>
      </c>
      <c r="T469" s="653" t="s">
        <v>2290</v>
      </c>
      <c r="U469" s="654">
        <v>41.63</v>
      </c>
      <c r="V469" s="655">
        <v>0.2</v>
      </c>
      <c r="W469" s="654">
        <v>33.304000000000002</v>
      </c>
      <c r="X469" s="656"/>
      <c r="Y469" s="657"/>
      <c r="Z469" s="657"/>
      <c r="AA469" s="657"/>
      <c r="AB469" s="659">
        <v>0</v>
      </c>
      <c r="AC469" s="660" t="s">
        <v>1223</v>
      </c>
      <c r="AD469" s="661" t="s">
        <v>700</v>
      </c>
      <c r="AE469" s="662" t="s">
        <v>1224</v>
      </c>
    </row>
    <row r="470" spans="1:31" s="1" customFormat="1">
      <c r="A470" s="477" t="s">
        <v>2292</v>
      </c>
      <c r="B470" s="505" t="s">
        <v>2293</v>
      </c>
      <c r="C470" s="506">
        <v>1</v>
      </c>
      <c r="D470" s="585" t="s">
        <v>2279</v>
      </c>
      <c r="E470" s="1009">
        <v>26.96</v>
      </c>
      <c r="F470" s="430">
        <f>rv_20</f>
        <v>0.2</v>
      </c>
      <c r="G470" s="106">
        <f t="shared" si="92"/>
        <v>21.568000000000001</v>
      </c>
      <c r="H470" s="147"/>
      <c r="I470" s="163"/>
      <c r="J470" s="163"/>
      <c r="K470" s="163"/>
      <c r="L470" s="428"/>
      <c r="M470" s="624" t="s">
        <v>1223</v>
      </c>
      <c r="N470" s="158" t="s">
        <v>700</v>
      </c>
      <c r="O470" s="417" t="s">
        <v>1224</v>
      </c>
      <c r="P470" s="477" t="s">
        <v>2292</v>
      </c>
      <c r="Q470" s="505" t="s">
        <v>2293</v>
      </c>
      <c r="R470" s="506">
        <v>1</v>
      </c>
      <c r="S470" s="106" t="s">
        <v>2279</v>
      </c>
      <c r="T470" s="473" t="s">
        <v>2292</v>
      </c>
      <c r="U470" s="106">
        <v>26.96</v>
      </c>
      <c r="V470" s="430">
        <v>0.2</v>
      </c>
      <c r="W470" s="106">
        <v>21.568000000000001</v>
      </c>
      <c r="X470" s="147"/>
      <c r="Y470" s="163"/>
      <c r="Z470" s="163"/>
      <c r="AA470" s="163"/>
      <c r="AB470" s="428">
        <v>0</v>
      </c>
      <c r="AC470" s="41" t="s">
        <v>1223</v>
      </c>
      <c r="AD470" s="42" t="s">
        <v>700</v>
      </c>
      <c r="AE470" s="416" t="s">
        <v>1224</v>
      </c>
    </row>
    <row r="471" spans="1:31" s="1" customFormat="1">
      <c r="A471" s="477" t="s">
        <v>2294</v>
      </c>
      <c r="B471" s="505" t="s">
        <v>2295</v>
      </c>
      <c r="C471" s="506">
        <v>1</v>
      </c>
      <c r="D471" s="585" t="s">
        <v>2279</v>
      </c>
      <c r="E471" s="1009">
        <v>26.96</v>
      </c>
      <c r="F471" s="430">
        <f t="shared" si="102"/>
        <v>0.2</v>
      </c>
      <c r="G471" s="106">
        <f t="shared" si="92"/>
        <v>21.568000000000001</v>
      </c>
      <c r="H471" s="147"/>
      <c r="I471" s="163"/>
      <c r="J471" s="163"/>
      <c r="K471" s="163"/>
      <c r="L471" s="428"/>
      <c r="M471" s="624" t="s">
        <v>1223</v>
      </c>
      <c r="N471" s="158" t="s">
        <v>700</v>
      </c>
      <c r="O471" s="417" t="s">
        <v>1224</v>
      </c>
      <c r="P471" s="477" t="s">
        <v>2294</v>
      </c>
      <c r="Q471" s="505" t="s">
        <v>2295</v>
      </c>
      <c r="R471" s="506">
        <v>1</v>
      </c>
      <c r="S471" s="106" t="s">
        <v>2279</v>
      </c>
      <c r="T471" s="473" t="s">
        <v>2294</v>
      </c>
      <c r="U471" s="106">
        <v>26.96</v>
      </c>
      <c r="V471" s="430">
        <v>0.2</v>
      </c>
      <c r="W471" s="106">
        <v>21.568000000000001</v>
      </c>
      <c r="X471" s="147"/>
      <c r="Y471" s="163"/>
      <c r="Z471" s="163"/>
      <c r="AA471" s="163"/>
      <c r="AB471" s="428">
        <v>0</v>
      </c>
      <c r="AC471" s="41" t="s">
        <v>1223</v>
      </c>
      <c r="AD471" s="42" t="s">
        <v>700</v>
      </c>
      <c r="AE471" s="416" t="s">
        <v>1224</v>
      </c>
    </row>
    <row r="472" spans="1:31" s="1" customFormat="1">
      <c r="A472" s="477" t="s">
        <v>2296</v>
      </c>
      <c r="B472" s="505" t="s">
        <v>2297</v>
      </c>
      <c r="C472" s="506">
        <v>1</v>
      </c>
      <c r="D472" s="585" t="s">
        <v>2298</v>
      </c>
      <c r="E472" s="1009">
        <v>73.349999999999994</v>
      </c>
      <c r="F472" s="430">
        <f>rv_30</f>
        <v>0.3</v>
      </c>
      <c r="G472" s="106">
        <f t="shared" si="92"/>
        <v>51.344999999999999</v>
      </c>
      <c r="H472" s="147"/>
      <c r="I472" s="163"/>
      <c r="J472" s="163"/>
      <c r="K472" s="163"/>
      <c r="L472" s="428">
        <v>0.1</v>
      </c>
      <c r="M472" s="624" t="s">
        <v>1223</v>
      </c>
      <c r="N472" s="158" t="s">
        <v>700</v>
      </c>
      <c r="O472" s="417" t="s">
        <v>1224</v>
      </c>
      <c r="P472" s="477" t="s">
        <v>2296</v>
      </c>
      <c r="Q472" s="505" t="s">
        <v>2297</v>
      </c>
      <c r="R472" s="506">
        <v>1</v>
      </c>
      <c r="S472" s="106" t="s">
        <v>2298</v>
      </c>
      <c r="T472" s="473" t="s">
        <v>2296</v>
      </c>
      <c r="U472" s="106">
        <v>73.349999999999994</v>
      </c>
      <c r="V472" s="430">
        <v>0.3</v>
      </c>
      <c r="W472" s="106">
        <v>51.344999999999999</v>
      </c>
      <c r="X472" s="147"/>
      <c r="Y472" s="163"/>
      <c r="Z472" s="163"/>
      <c r="AA472" s="163"/>
      <c r="AB472" s="428">
        <v>0.1</v>
      </c>
      <c r="AC472" s="41" t="s">
        <v>1223</v>
      </c>
      <c r="AD472" s="42" t="s">
        <v>700</v>
      </c>
      <c r="AE472" s="416" t="s">
        <v>1224</v>
      </c>
    </row>
    <row r="473" spans="1:31" s="1" customFormat="1">
      <c r="A473" s="477" t="s">
        <v>2299</v>
      </c>
      <c r="B473" s="505" t="s">
        <v>2300</v>
      </c>
      <c r="C473" s="506">
        <v>1</v>
      </c>
      <c r="D473" s="585" t="s">
        <v>2301</v>
      </c>
      <c r="E473" s="1009">
        <v>6.79</v>
      </c>
      <c r="F473" s="430">
        <f>rv_20</f>
        <v>0.2</v>
      </c>
      <c r="G473" s="106">
        <f t="shared" si="92"/>
        <v>5.4320000000000004</v>
      </c>
      <c r="H473" s="147"/>
      <c r="I473" s="163"/>
      <c r="J473" s="163"/>
      <c r="K473" s="163"/>
      <c r="L473" s="428">
        <v>0.02</v>
      </c>
      <c r="M473" s="624" t="s">
        <v>1223</v>
      </c>
      <c r="N473" s="158" t="s">
        <v>700</v>
      </c>
      <c r="O473" s="417" t="s">
        <v>1224</v>
      </c>
      <c r="P473" s="477" t="s">
        <v>2299</v>
      </c>
      <c r="Q473" s="505" t="s">
        <v>2300</v>
      </c>
      <c r="R473" s="506">
        <v>1</v>
      </c>
      <c r="S473" s="106" t="s">
        <v>2301</v>
      </c>
      <c r="T473" s="473" t="s">
        <v>2299</v>
      </c>
      <c r="U473" s="106">
        <v>6.79</v>
      </c>
      <c r="V473" s="430">
        <v>0.2</v>
      </c>
      <c r="W473" s="106">
        <v>5.4320000000000004</v>
      </c>
      <c r="X473" s="147"/>
      <c r="Y473" s="163"/>
      <c r="Z473" s="163"/>
      <c r="AA473" s="163"/>
      <c r="AB473" s="428">
        <v>0.02</v>
      </c>
      <c r="AC473" s="41" t="s">
        <v>1223</v>
      </c>
      <c r="AD473" s="42" t="s">
        <v>700</v>
      </c>
      <c r="AE473" s="416" t="s">
        <v>1224</v>
      </c>
    </row>
    <row r="474" spans="1:31" s="1" customFormat="1">
      <c r="A474" s="477" t="s">
        <v>2302</v>
      </c>
      <c r="B474" s="505" t="s">
        <v>2303</v>
      </c>
      <c r="C474" s="506">
        <v>1</v>
      </c>
      <c r="D474" s="585" t="s">
        <v>1706</v>
      </c>
      <c r="E474" s="1009">
        <v>74.430000000000007</v>
      </c>
      <c r="F474" s="430">
        <f>rv_30</f>
        <v>0.3</v>
      </c>
      <c r="G474" s="106">
        <f t="shared" si="92"/>
        <v>52.101000000000006</v>
      </c>
      <c r="H474" s="147"/>
      <c r="I474" s="163"/>
      <c r="J474" s="163"/>
      <c r="K474" s="163"/>
      <c r="L474" s="428"/>
      <c r="M474" s="624" t="s">
        <v>1223</v>
      </c>
      <c r="N474" s="158" t="s">
        <v>700</v>
      </c>
      <c r="O474" s="417" t="s">
        <v>1224</v>
      </c>
      <c r="P474" s="477" t="s">
        <v>2302</v>
      </c>
      <c r="Q474" s="505" t="s">
        <v>2303</v>
      </c>
      <c r="R474" s="506">
        <v>1</v>
      </c>
      <c r="S474" s="106" t="s">
        <v>1706</v>
      </c>
      <c r="T474" s="473" t="s">
        <v>2302</v>
      </c>
      <c r="U474" s="106">
        <v>74.430000000000007</v>
      </c>
      <c r="V474" s="430">
        <v>0.3</v>
      </c>
      <c r="W474" s="106">
        <v>52.101000000000006</v>
      </c>
      <c r="X474" s="147"/>
      <c r="Y474" s="163"/>
      <c r="Z474" s="163"/>
      <c r="AA474" s="163"/>
      <c r="AB474" s="428">
        <v>0</v>
      </c>
      <c r="AC474" s="41" t="s">
        <v>1223</v>
      </c>
      <c r="AD474" s="42" t="s">
        <v>700</v>
      </c>
      <c r="AE474" s="416" t="s">
        <v>1224</v>
      </c>
    </row>
    <row r="475" spans="1:31" s="1" customFormat="1">
      <c r="A475" s="477" t="s">
        <v>2304</v>
      </c>
      <c r="B475" s="505" t="s">
        <v>2305</v>
      </c>
      <c r="C475" s="506">
        <v>1</v>
      </c>
      <c r="D475" s="585" t="s">
        <v>2306</v>
      </c>
      <c r="E475" s="1009">
        <v>40.909999999999997</v>
      </c>
      <c r="F475" s="430">
        <f t="shared" si="109"/>
        <v>0.2</v>
      </c>
      <c r="G475" s="106">
        <f t="shared" ref="G475:G534" si="111">E475-(E475*F475)</f>
        <v>32.727999999999994</v>
      </c>
      <c r="H475" s="147"/>
      <c r="I475" s="163"/>
      <c r="J475" s="163"/>
      <c r="K475" s="163"/>
      <c r="L475" s="428"/>
      <c r="M475" s="624" t="s">
        <v>1223</v>
      </c>
      <c r="N475" s="158" t="s">
        <v>700</v>
      </c>
      <c r="O475" s="417" t="s">
        <v>1224</v>
      </c>
      <c r="P475" s="477" t="s">
        <v>2304</v>
      </c>
      <c r="Q475" s="505" t="s">
        <v>2305</v>
      </c>
      <c r="R475" s="506">
        <v>1</v>
      </c>
      <c r="S475" s="106" t="s">
        <v>2306</v>
      </c>
      <c r="T475" s="473" t="s">
        <v>2304</v>
      </c>
      <c r="U475" s="106">
        <v>40.909999999999997</v>
      </c>
      <c r="V475" s="430">
        <v>0.2</v>
      </c>
      <c r="W475" s="106">
        <v>32.727999999999994</v>
      </c>
      <c r="X475" s="147"/>
      <c r="Y475" s="163"/>
      <c r="Z475" s="163"/>
      <c r="AA475" s="163"/>
      <c r="AB475" s="428">
        <v>0</v>
      </c>
      <c r="AC475" s="41" t="s">
        <v>1223</v>
      </c>
      <c r="AD475" s="42" t="s">
        <v>700</v>
      </c>
      <c r="AE475" s="416" t="s">
        <v>1224</v>
      </c>
    </row>
    <row r="476" spans="1:31" s="1" customFormat="1">
      <c r="A476" s="477" t="s">
        <v>2307</v>
      </c>
      <c r="B476" s="505" t="s">
        <v>2308</v>
      </c>
      <c r="C476" s="506">
        <v>1</v>
      </c>
      <c r="D476" s="585" t="s">
        <v>2306</v>
      </c>
      <c r="E476" s="1009">
        <v>45.99</v>
      </c>
      <c r="F476" s="430">
        <f t="shared" si="109"/>
        <v>0.2</v>
      </c>
      <c r="G476" s="106">
        <f t="shared" si="111"/>
        <v>36.792000000000002</v>
      </c>
      <c r="H476" s="147"/>
      <c r="I476" s="163"/>
      <c r="J476" s="163"/>
      <c r="K476" s="163"/>
      <c r="L476" s="428"/>
      <c r="M476" s="624" t="s">
        <v>1223</v>
      </c>
      <c r="N476" s="158" t="s">
        <v>700</v>
      </c>
      <c r="O476" s="417" t="s">
        <v>1224</v>
      </c>
      <c r="P476" s="477" t="s">
        <v>2307</v>
      </c>
      <c r="Q476" s="505" t="s">
        <v>2308</v>
      </c>
      <c r="R476" s="506">
        <v>1</v>
      </c>
      <c r="S476" s="106" t="s">
        <v>2306</v>
      </c>
      <c r="T476" s="473" t="s">
        <v>2307</v>
      </c>
      <c r="U476" s="106">
        <v>45.99</v>
      </c>
      <c r="V476" s="430">
        <v>0.2</v>
      </c>
      <c r="W476" s="106">
        <v>36.792000000000002</v>
      </c>
      <c r="X476" s="147"/>
      <c r="Y476" s="163"/>
      <c r="Z476" s="163"/>
      <c r="AA476" s="163"/>
      <c r="AB476" s="428">
        <v>0</v>
      </c>
      <c r="AC476" s="41" t="s">
        <v>1223</v>
      </c>
      <c r="AD476" s="42" t="s">
        <v>700</v>
      </c>
      <c r="AE476" s="416" t="s">
        <v>1224</v>
      </c>
    </row>
    <row r="477" spans="1:31" s="1" customFormat="1">
      <c r="A477" s="477" t="s">
        <v>2309</v>
      </c>
      <c r="B477" s="505" t="s">
        <v>2310</v>
      </c>
      <c r="C477" s="506">
        <v>1</v>
      </c>
      <c r="D477" s="585" t="s">
        <v>2306</v>
      </c>
      <c r="E477" s="1009">
        <v>45.99</v>
      </c>
      <c r="F477" s="430">
        <f t="shared" si="109"/>
        <v>0.2</v>
      </c>
      <c r="G477" s="106">
        <f t="shared" si="111"/>
        <v>36.792000000000002</v>
      </c>
      <c r="H477" s="147"/>
      <c r="I477" s="163"/>
      <c r="J477" s="163"/>
      <c r="K477" s="163"/>
      <c r="L477" s="428"/>
      <c r="M477" s="624" t="s">
        <v>1223</v>
      </c>
      <c r="N477" s="158" t="s">
        <v>700</v>
      </c>
      <c r="O477" s="417" t="s">
        <v>1224</v>
      </c>
      <c r="P477" s="477" t="s">
        <v>2309</v>
      </c>
      <c r="Q477" s="505" t="s">
        <v>2310</v>
      </c>
      <c r="R477" s="506">
        <v>1</v>
      </c>
      <c r="S477" s="106" t="s">
        <v>2306</v>
      </c>
      <c r="T477" s="473" t="s">
        <v>2309</v>
      </c>
      <c r="U477" s="106">
        <v>45.99</v>
      </c>
      <c r="V477" s="430">
        <v>0.2</v>
      </c>
      <c r="W477" s="106">
        <v>36.792000000000002</v>
      </c>
      <c r="X477" s="147"/>
      <c r="Y477" s="163"/>
      <c r="Z477" s="163"/>
      <c r="AA477" s="163"/>
      <c r="AB477" s="428">
        <v>0</v>
      </c>
      <c r="AC477" s="41" t="s">
        <v>1223</v>
      </c>
      <c r="AD477" s="42" t="s">
        <v>700</v>
      </c>
      <c r="AE477" s="416" t="s">
        <v>1224</v>
      </c>
    </row>
    <row r="478" spans="1:31" s="1" customFormat="1">
      <c r="A478" s="477" t="s">
        <v>2311</v>
      </c>
      <c r="B478" s="505" t="s">
        <v>2312</v>
      </c>
      <c r="C478" s="506">
        <v>1</v>
      </c>
      <c r="D478" s="585" t="s">
        <v>2306</v>
      </c>
      <c r="E478" s="1009">
        <v>39</v>
      </c>
      <c r="F478" s="430">
        <f t="shared" si="109"/>
        <v>0.2</v>
      </c>
      <c r="G478" s="106">
        <f t="shared" si="111"/>
        <v>31.2</v>
      </c>
      <c r="H478" s="147"/>
      <c r="I478" s="163"/>
      <c r="J478" s="163"/>
      <c r="K478" s="163"/>
      <c r="L478" s="428"/>
      <c r="M478" s="624" t="s">
        <v>1223</v>
      </c>
      <c r="N478" s="158" t="s">
        <v>700</v>
      </c>
      <c r="O478" s="417" t="s">
        <v>1224</v>
      </c>
      <c r="P478" s="477" t="s">
        <v>2311</v>
      </c>
      <c r="Q478" s="505" t="s">
        <v>2312</v>
      </c>
      <c r="R478" s="506">
        <v>1</v>
      </c>
      <c r="S478" s="106" t="s">
        <v>2306</v>
      </c>
      <c r="T478" s="473" t="s">
        <v>2311</v>
      </c>
      <c r="U478" s="106">
        <v>39</v>
      </c>
      <c r="V478" s="430">
        <v>0.2</v>
      </c>
      <c r="W478" s="106">
        <v>31.2</v>
      </c>
      <c r="X478" s="147"/>
      <c r="Y478" s="163"/>
      <c r="Z478" s="163"/>
      <c r="AA478" s="163"/>
      <c r="AB478" s="428">
        <v>0</v>
      </c>
      <c r="AC478" s="41" t="s">
        <v>1223</v>
      </c>
      <c r="AD478" s="42" t="s">
        <v>700</v>
      </c>
      <c r="AE478" s="416" t="s">
        <v>1224</v>
      </c>
    </row>
    <row r="479" spans="1:31" s="1" customFormat="1">
      <c r="A479" s="477" t="s">
        <v>2313</v>
      </c>
      <c r="B479" s="505" t="s">
        <v>2314</v>
      </c>
      <c r="C479" s="506">
        <v>1</v>
      </c>
      <c r="D479" s="585" t="s">
        <v>2306</v>
      </c>
      <c r="E479" s="1009">
        <v>40.909999999999997</v>
      </c>
      <c r="F479" s="430">
        <f t="shared" si="109"/>
        <v>0.2</v>
      </c>
      <c r="G479" s="106">
        <f t="shared" si="111"/>
        <v>32.727999999999994</v>
      </c>
      <c r="H479" s="147"/>
      <c r="I479" s="163"/>
      <c r="J479" s="163"/>
      <c r="K479" s="163"/>
      <c r="L479" s="428"/>
      <c r="M479" s="624" t="s">
        <v>1223</v>
      </c>
      <c r="N479" s="158" t="s">
        <v>700</v>
      </c>
      <c r="O479" s="417" t="s">
        <v>1224</v>
      </c>
      <c r="P479" s="477" t="s">
        <v>2313</v>
      </c>
      <c r="Q479" s="505" t="s">
        <v>2314</v>
      </c>
      <c r="R479" s="506">
        <v>1</v>
      </c>
      <c r="S479" s="106" t="s">
        <v>2306</v>
      </c>
      <c r="T479" s="473" t="s">
        <v>2313</v>
      </c>
      <c r="U479" s="106">
        <v>40.909999999999997</v>
      </c>
      <c r="V479" s="430">
        <v>0.2</v>
      </c>
      <c r="W479" s="106">
        <v>32.727999999999994</v>
      </c>
      <c r="X479" s="147"/>
      <c r="Y479" s="163"/>
      <c r="Z479" s="163"/>
      <c r="AA479" s="163"/>
      <c r="AB479" s="428">
        <v>0</v>
      </c>
      <c r="AC479" s="41" t="s">
        <v>1223</v>
      </c>
      <c r="AD479" s="42" t="s">
        <v>700</v>
      </c>
      <c r="AE479" s="416" t="s">
        <v>1224</v>
      </c>
    </row>
    <row r="480" spans="1:31" s="1" customFormat="1">
      <c r="A480" s="477" t="s">
        <v>2315</v>
      </c>
      <c r="B480" s="505" t="s">
        <v>2316</v>
      </c>
      <c r="C480" s="506">
        <v>1</v>
      </c>
      <c r="D480" s="585" t="s">
        <v>2306</v>
      </c>
      <c r="E480" s="1009">
        <v>69.040000000000006</v>
      </c>
      <c r="F480" s="430">
        <f t="shared" si="109"/>
        <v>0.2</v>
      </c>
      <c r="G480" s="106">
        <f t="shared" si="111"/>
        <v>55.232000000000006</v>
      </c>
      <c r="H480" s="147"/>
      <c r="I480" s="163"/>
      <c r="J480" s="163"/>
      <c r="K480" s="163"/>
      <c r="L480" s="428"/>
      <c r="M480" s="624" t="s">
        <v>1223</v>
      </c>
      <c r="N480" s="158" t="s">
        <v>700</v>
      </c>
      <c r="O480" s="417" t="s">
        <v>1224</v>
      </c>
      <c r="P480" s="477" t="s">
        <v>2315</v>
      </c>
      <c r="Q480" s="505" t="s">
        <v>2316</v>
      </c>
      <c r="R480" s="506">
        <v>1</v>
      </c>
      <c r="S480" s="106" t="s">
        <v>2306</v>
      </c>
      <c r="T480" s="473" t="s">
        <v>2315</v>
      </c>
      <c r="U480" s="106">
        <v>69.040000000000006</v>
      </c>
      <c r="V480" s="430">
        <v>0.2</v>
      </c>
      <c r="W480" s="106">
        <v>55.232000000000006</v>
      </c>
      <c r="X480" s="147"/>
      <c r="Y480" s="163"/>
      <c r="Z480" s="163"/>
      <c r="AA480" s="163"/>
      <c r="AB480" s="428">
        <v>0</v>
      </c>
      <c r="AC480" s="41" t="s">
        <v>1223</v>
      </c>
      <c r="AD480" s="42" t="s">
        <v>700</v>
      </c>
      <c r="AE480" s="416" t="s">
        <v>1224</v>
      </c>
    </row>
    <row r="481" spans="1:31" s="1" customFormat="1">
      <c r="A481" s="477" t="s">
        <v>2317</v>
      </c>
      <c r="B481" s="505" t="s">
        <v>2318</v>
      </c>
      <c r="C481" s="506">
        <v>1</v>
      </c>
      <c r="D481" s="585" t="s">
        <v>2306</v>
      </c>
      <c r="E481" s="1009">
        <v>69.040000000000006</v>
      </c>
      <c r="F481" s="430">
        <f t="shared" si="109"/>
        <v>0.2</v>
      </c>
      <c r="G481" s="106">
        <f t="shared" si="111"/>
        <v>55.232000000000006</v>
      </c>
      <c r="H481" s="147"/>
      <c r="I481" s="163"/>
      <c r="J481" s="163"/>
      <c r="K481" s="163"/>
      <c r="L481" s="428"/>
      <c r="M481" s="624" t="s">
        <v>1223</v>
      </c>
      <c r="N481" s="158" t="s">
        <v>700</v>
      </c>
      <c r="O481" s="417" t="s">
        <v>1224</v>
      </c>
      <c r="P481" s="477" t="s">
        <v>2317</v>
      </c>
      <c r="Q481" s="505" t="s">
        <v>2318</v>
      </c>
      <c r="R481" s="506">
        <v>1</v>
      </c>
      <c r="S481" s="106" t="s">
        <v>2306</v>
      </c>
      <c r="T481" s="473" t="s">
        <v>2317</v>
      </c>
      <c r="U481" s="106">
        <v>69.040000000000006</v>
      </c>
      <c r="V481" s="430">
        <v>0.2</v>
      </c>
      <c r="W481" s="106">
        <v>55.232000000000006</v>
      </c>
      <c r="X481" s="147"/>
      <c r="Y481" s="163"/>
      <c r="Z481" s="163"/>
      <c r="AA481" s="163"/>
      <c r="AB481" s="428">
        <v>0</v>
      </c>
      <c r="AC481" s="41" t="s">
        <v>1223</v>
      </c>
      <c r="AD481" s="42" t="s">
        <v>700</v>
      </c>
      <c r="AE481" s="416" t="s">
        <v>1224</v>
      </c>
    </row>
    <row r="482" spans="1:31" s="1" customFormat="1">
      <c r="A482" s="684" t="s">
        <v>3625</v>
      </c>
      <c r="B482" s="685" t="s">
        <v>3626</v>
      </c>
      <c r="C482" s="686">
        <v>1</v>
      </c>
      <c r="D482" s="693" t="s">
        <v>2306</v>
      </c>
      <c r="E482" s="977">
        <v>41.66</v>
      </c>
      <c r="F482" s="161">
        <f t="shared" si="109"/>
        <v>0.2</v>
      </c>
      <c r="G482" s="647">
        <f t="shared" ref="G482" si="112">E482-(E482*F482)</f>
        <v>33.327999999999996</v>
      </c>
      <c r="H482" s="147"/>
      <c r="I482" s="163"/>
      <c r="J482" s="163"/>
      <c r="K482" s="163"/>
      <c r="L482" s="428"/>
      <c r="M482" s="624" t="s">
        <v>1223</v>
      </c>
      <c r="N482" s="158" t="s">
        <v>700</v>
      </c>
      <c r="O482" s="417" t="s">
        <v>1224</v>
      </c>
      <c r="P482" s="477"/>
      <c r="Q482" s="505"/>
      <c r="R482" s="506"/>
      <c r="S482" s="106"/>
      <c r="T482" s="473"/>
      <c r="U482" s="106"/>
      <c r="V482" s="430"/>
      <c r="W482" s="106"/>
      <c r="X482" s="147"/>
      <c r="Y482" s="163"/>
      <c r="Z482" s="163"/>
      <c r="AA482" s="163"/>
      <c r="AB482" s="428"/>
      <c r="AC482" s="41"/>
      <c r="AD482" s="42"/>
      <c r="AE482" s="416"/>
    </row>
    <row r="483" spans="1:31" s="1" customFormat="1">
      <c r="A483" s="477" t="s">
        <v>2319</v>
      </c>
      <c r="B483" s="505" t="s">
        <v>2320</v>
      </c>
      <c r="C483" s="473">
        <v>1</v>
      </c>
      <c r="D483" s="585" t="s">
        <v>1746</v>
      </c>
      <c r="E483" s="1009">
        <v>89.29</v>
      </c>
      <c r="F483" s="430">
        <f t="shared" si="109"/>
        <v>0.2</v>
      </c>
      <c r="G483" s="106">
        <f t="shared" si="111"/>
        <v>71.432000000000002</v>
      </c>
      <c r="H483" s="147"/>
      <c r="I483" s="163"/>
      <c r="J483" s="163"/>
      <c r="K483" s="163"/>
      <c r="L483" s="428">
        <v>0.02</v>
      </c>
      <c r="M483" s="624" t="s">
        <v>1223</v>
      </c>
      <c r="N483" s="158" t="s">
        <v>700</v>
      </c>
      <c r="O483" s="417" t="s">
        <v>1224</v>
      </c>
      <c r="P483" s="477" t="s">
        <v>2319</v>
      </c>
      <c r="Q483" s="505" t="s">
        <v>2320</v>
      </c>
      <c r="R483" s="473">
        <v>1</v>
      </c>
      <c r="S483" s="106" t="s">
        <v>1746</v>
      </c>
      <c r="T483" s="473" t="s">
        <v>2319</v>
      </c>
      <c r="U483" s="106">
        <v>89.29</v>
      </c>
      <c r="V483" s="430">
        <v>0.2</v>
      </c>
      <c r="W483" s="106">
        <v>71.432000000000002</v>
      </c>
      <c r="X483" s="147"/>
      <c r="Y483" s="163"/>
      <c r="Z483" s="163"/>
      <c r="AA483" s="163"/>
      <c r="AB483" s="428">
        <v>0.02</v>
      </c>
      <c r="AC483" s="41" t="s">
        <v>1223</v>
      </c>
      <c r="AD483" s="42" t="s">
        <v>700</v>
      </c>
      <c r="AE483" s="416" t="s">
        <v>1224</v>
      </c>
    </row>
    <row r="484" spans="1:31" s="90" customFormat="1">
      <c r="A484" s="510" t="s">
        <v>2321</v>
      </c>
      <c r="B484" s="529" t="s">
        <v>2322</v>
      </c>
      <c r="C484" s="518">
        <v>1</v>
      </c>
      <c r="D484" s="592" t="s">
        <v>1746</v>
      </c>
      <c r="E484" s="1010">
        <v>108.28</v>
      </c>
      <c r="F484" s="514">
        <f t="shared" si="109"/>
        <v>0.2</v>
      </c>
      <c r="G484" s="515">
        <f t="shared" ref="G484" si="113">E484-(E484*F484)</f>
        <v>86.623999999999995</v>
      </c>
      <c r="H484" s="531"/>
      <c r="I484" s="532"/>
      <c r="J484" s="532"/>
      <c r="K484" s="532"/>
      <c r="L484" s="513">
        <v>0.02</v>
      </c>
      <c r="M484" s="624" t="s">
        <v>1223</v>
      </c>
      <c r="N484" s="158" t="s">
        <v>700</v>
      </c>
      <c r="O484" s="417" t="s">
        <v>1224</v>
      </c>
      <c r="P484" s="510" t="s">
        <v>2321</v>
      </c>
      <c r="Q484" s="529" t="s">
        <v>2322</v>
      </c>
      <c r="R484" s="518">
        <v>1</v>
      </c>
      <c r="S484" s="515" t="s">
        <v>1746</v>
      </c>
      <c r="T484" s="518" t="s">
        <v>2321</v>
      </c>
      <c r="U484" s="515">
        <v>108.28</v>
      </c>
      <c r="V484" s="514">
        <v>0.2</v>
      </c>
      <c r="W484" s="515">
        <v>86.623999999999995</v>
      </c>
      <c r="X484" s="531"/>
      <c r="Y484" s="532"/>
      <c r="Z484" s="532"/>
      <c r="AA484" s="532"/>
      <c r="AB484" s="513">
        <v>0.02</v>
      </c>
      <c r="AC484" s="41" t="s">
        <v>1223</v>
      </c>
      <c r="AD484" s="42" t="s">
        <v>700</v>
      </c>
      <c r="AE484" s="416" t="s">
        <v>1224</v>
      </c>
    </row>
    <row r="485" spans="1:31" s="1" customFormat="1">
      <c r="A485" s="684" t="s">
        <v>3585</v>
      </c>
      <c r="B485" s="685" t="s">
        <v>3222</v>
      </c>
      <c r="C485" s="687">
        <v>1</v>
      </c>
      <c r="D485" s="693" t="s">
        <v>1746</v>
      </c>
      <c r="E485" s="977">
        <v>66.66</v>
      </c>
      <c r="F485" s="161">
        <f t="shared" si="109"/>
        <v>0.2</v>
      </c>
      <c r="G485" s="647">
        <f t="shared" si="111"/>
        <v>53.327999999999996</v>
      </c>
      <c r="H485" s="688"/>
      <c r="I485" s="215"/>
      <c r="J485" s="215"/>
      <c r="K485" s="215"/>
      <c r="L485" s="44">
        <v>0.02</v>
      </c>
      <c r="M485" s="624" t="s">
        <v>1223</v>
      </c>
      <c r="N485" s="158" t="s">
        <v>700</v>
      </c>
      <c r="O485" s="417" t="s">
        <v>1224</v>
      </c>
      <c r="P485" s="650" t="s">
        <v>2323</v>
      </c>
      <c r="Q485" s="651" t="s">
        <v>2324</v>
      </c>
      <c r="R485" s="653">
        <v>1</v>
      </c>
      <c r="S485" s="654" t="s">
        <v>1746</v>
      </c>
      <c r="T485" s="653" t="s">
        <v>2323</v>
      </c>
      <c r="U485" s="654">
        <v>47</v>
      </c>
      <c r="V485" s="655">
        <v>0.2</v>
      </c>
      <c r="W485" s="654">
        <v>37.6</v>
      </c>
      <c r="X485" s="656"/>
      <c r="Y485" s="657"/>
      <c r="Z485" s="657"/>
      <c r="AA485" s="657"/>
      <c r="AB485" s="659">
        <v>0.02</v>
      </c>
      <c r="AC485" s="660" t="s">
        <v>1223</v>
      </c>
      <c r="AD485" s="661" t="s">
        <v>700</v>
      </c>
      <c r="AE485" s="662" t="s">
        <v>1224</v>
      </c>
    </row>
    <row r="486" spans="1:31" s="1" customFormat="1">
      <c r="A486" s="477" t="s">
        <v>2325</v>
      </c>
      <c r="B486" s="505" t="s">
        <v>2326</v>
      </c>
      <c r="C486" s="506">
        <v>1</v>
      </c>
      <c r="D486" s="585" t="s">
        <v>1746</v>
      </c>
      <c r="E486" s="1019">
        <v>49.99</v>
      </c>
      <c r="F486" s="692">
        <f>rv_20</f>
        <v>0.2</v>
      </c>
      <c r="G486" s="648">
        <f t="shared" si="111"/>
        <v>39.992000000000004</v>
      </c>
      <c r="H486" s="147"/>
      <c r="I486" s="163"/>
      <c r="J486" s="163"/>
      <c r="K486" s="163"/>
      <c r="L486" s="428">
        <v>0.05</v>
      </c>
      <c r="M486" s="624" t="s">
        <v>1223</v>
      </c>
      <c r="N486" s="158" t="s">
        <v>700</v>
      </c>
      <c r="O486" s="417" t="s">
        <v>1224</v>
      </c>
      <c r="P486" s="477" t="s">
        <v>2325</v>
      </c>
      <c r="Q486" s="505" t="s">
        <v>2326</v>
      </c>
      <c r="R486" s="506">
        <v>1</v>
      </c>
      <c r="S486" s="106" t="s">
        <v>1746</v>
      </c>
      <c r="T486" s="473" t="s">
        <v>2325</v>
      </c>
      <c r="U486" s="654">
        <v>53.06</v>
      </c>
      <c r="V486" s="655">
        <v>0.3</v>
      </c>
      <c r="W486" s="654">
        <v>37.142000000000003</v>
      </c>
      <c r="X486" s="147"/>
      <c r="Y486" s="163"/>
      <c r="Z486" s="163"/>
      <c r="AA486" s="163"/>
      <c r="AB486" s="428">
        <v>0.05</v>
      </c>
      <c r="AC486" s="41" t="s">
        <v>1223</v>
      </c>
      <c r="AD486" s="42" t="s">
        <v>700</v>
      </c>
      <c r="AE486" s="416" t="s">
        <v>1224</v>
      </c>
    </row>
    <row r="487" spans="1:31" s="1" customFormat="1">
      <c r="A487" s="718" t="s">
        <v>3199</v>
      </c>
      <c r="B487" s="719" t="s">
        <v>3204</v>
      </c>
      <c r="C487" s="720">
        <v>1</v>
      </c>
      <c r="D487" s="723" t="s">
        <v>2329</v>
      </c>
      <c r="E487" s="978">
        <v>199</v>
      </c>
      <c r="F487" s="721">
        <f>rv_20</f>
        <v>0.2</v>
      </c>
      <c r="G487" s="264">
        <f t="shared" ref="G487" si="114">E487-(E487*F487)</f>
        <v>159.19999999999999</v>
      </c>
      <c r="H487" s="722"/>
      <c r="I487" s="222"/>
      <c r="J487" s="222"/>
      <c r="K487" s="222"/>
      <c r="L487" s="444"/>
      <c r="M487" s="624" t="s">
        <v>1223</v>
      </c>
      <c r="N487" s="158" t="s">
        <v>700</v>
      </c>
      <c r="O487" s="417" t="s">
        <v>1224</v>
      </c>
      <c r="P487" s="650" t="s">
        <v>2327</v>
      </c>
      <c r="Q487" s="651" t="s">
        <v>2328</v>
      </c>
      <c r="R487" s="652">
        <v>1</v>
      </c>
      <c r="S487" s="654" t="s">
        <v>2329</v>
      </c>
      <c r="T487" s="763" t="s">
        <v>2327</v>
      </c>
      <c r="U487" s="654">
        <v>47.95</v>
      </c>
      <c r="V487" s="655">
        <v>0.2</v>
      </c>
      <c r="W487" s="654">
        <v>38.36</v>
      </c>
      <c r="X487" s="656"/>
      <c r="Y487" s="657"/>
      <c r="Z487" s="657"/>
      <c r="AA487" s="657"/>
      <c r="AB487" s="659">
        <v>0</v>
      </c>
      <c r="AC487" s="660" t="s">
        <v>1223</v>
      </c>
      <c r="AD487" s="661" t="s">
        <v>700</v>
      </c>
      <c r="AE487" s="662" t="s">
        <v>1224</v>
      </c>
    </row>
    <row r="488" spans="1:31" s="1" customFormat="1">
      <c r="A488" s="718" t="s">
        <v>3200</v>
      </c>
      <c r="B488" s="719" t="s">
        <v>3205</v>
      </c>
      <c r="C488" s="720">
        <v>1</v>
      </c>
      <c r="D488" s="723" t="s">
        <v>2329</v>
      </c>
      <c r="E488" s="978">
        <v>169</v>
      </c>
      <c r="F488" s="721">
        <f>rv_20</f>
        <v>0.2</v>
      </c>
      <c r="G488" s="264">
        <f t="shared" ref="G488" si="115">E488-(E488*F488)</f>
        <v>135.19999999999999</v>
      </c>
      <c r="H488" s="722"/>
      <c r="I488" s="222"/>
      <c r="J488" s="222"/>
      <c r="K488" s="222"/>
      <c r="L488" s="444"/>
      <c r="M488" s="624" t="s">
        <v>1223</v>
      </c>
      <c r="N488" s="158" t="s">
        <v>700</v>
      </c>
      <c r="O488" s="417" t="s">
        <v>1224</v>
      </c>
      <c r="P488" s="650" t="s">
        <v>2330</v>
      </c>
      <c r="Q488" s="651" t="s">
        <v>2331</v>
      </c>
      <c r="R488" s="652">
        <v>1</v>
      </c>
      <c r="S488" s="654" t="s">
        <v>2329</v>
      </c>
      <c r="T488" s="763" t="s">
        <v>2330</v>
      </c>
      <c r="U488" s="654">
        <v>57.95</v>
      </c>
      <c r="V488" s="655">
        <v>0.2</v>
      </c>
      <c r="W488" s="654">
        <v>46.36</v>
      </c>
      <c r="X488" s="656"/>
      <c r="Y488" s="657"/>
      <c r="Z488" s="657"/>
      <c r="AA488" s="657"/>
      <c r="AB488" s="659">
        <v>0</v>
      </c>
      <c r="AC488" s="660" t="s">
        <v>1223</v>
      </c>
      <c r="AD488" s="661" t="s">
        <v>700</v>
      </c>
      <c r="AE488" s="662" t="s">
        <v>1224</v>
      </c>
    </row>
    <row r="489" spans="1:31" s="1" customFormat="1">
      <c r="A489" s="718" t="s">
        <v>3201</v>
      </c>
      <c r="B489" s="719" t="s">
        <v>3203</v>
      </c>
      <c r="C489" s="720">
        <v>1</v>
      </c>
      <c r="D489" s="723" t="s">
        <v>3202</v>
      </c>
      <c r="E489" s="978">
        <v>159.94999999999999</v>
      </c>
      <c r="F489" s="721">
        <f>rv_20</f>
        <v>0.2</v>
      </c>
      <c r="G489" s="264">
        <f t="shared" ref="G489" si="116">E489-(E489*F489)</f>
        <v>127.96</v>
      </c>
      <c r="H489" s="722"/>
      <c r="I489" s="222"/>
      <c r="J489" s="222"/>
      <c r="K489" s="222"/>
      <c r="L489" s="444"/>
      <c r="M489" s="624" t="s">
        <v>1223</v>
      </c>
      <c r="N489" s="158" t="s">
        <v>700</v>
      </c>
      <c r="O489" s="417" t="s">
        <v>1224</v>
      </c>
      <c r="P489" s="477"/>
      <c r="Q489" s="762"/>
      <c r="R489" s="506"/>
      <c r="S489" s="106"/>
      <c r="T489" s="576"/>
      <c r="U489" s="106"/>
      <c r="V489" s="430"/>
      <c r="W489" s="106"/>
      <c r="X489" s="147"/>
      <c r="Y489" s="163"/>
      <c r="Z489" s="163"/>
      <c r="AA489" s="163"/>
      <c r="AB489" s="428"/>
      <c r="AC489" s="41"/>
      <c r="AD489" s="42"/>
      <c r="AE489" s="416"/>
    </row>
    <row r="490" spans="1:31" s="1" customFormat="1">
      <c r="A490" s="565" t="s">
        <v>2332</v>
      </c>
      <c r="B490" s="577" t="s">
        <v>2333</v>
      </c>
      <c r="C490" s="512">
        <v>1</v>
      </c>
      <c r="D490" s="592" t="s">
        <v>1677</v>
      </c>
      <c r="E490" s="1009">
        <v>15.99</v>
      </c>
      <c r="F490" s="514">
        <f t="shared" ref="F490" si="117">rv_20</f>
        <v>0.2</v>
      </c>
      <c r="G490" s="106">
        <f t="shared" si="111"/>
        <v>12.792</v>
      </c>
      <c r="H490" s="147"/>
      <c r="I490" s="163"/>
      <c r="J490" s="163"/>
      <c r="K490" s="163"/>
      <c r="L490" s="429">
        <v>0.01</v>
      </c>
      <c r="M490" s="624" t="s">
        <v>1223</v>
      </c>
      <c r="N490" s="158" t="s">
        <v>700</v>
      </c>
      <c r="O490" s="417" t="s">
        <v>1224</v>
      </c>
      <c r="P490" s="565" t="s">
        <v>2332</v>
      </c>
      <c r="Q490" s="577" t="s">
        <v>2333</v>
      </c>
      <c r="R490" s="512">
        <v>1</v>
      </c>
      <c r="S490" s="515" t="s">
        <v>1677</v>
      </c>
      <c r="T490" s="518" t="s">
        <v>2332</v>
      </c>
      <c r="U490" s="106">
        <v>15.99</v>
      </c>
      <c r="V490" s="514">
        <v>0.2</v>
      </c>
      <c r="W490" s="106">
        <v>12.792</v>
      </c>
      <c r="X490" s="147"/>
      <c r="Y490" s="163"/>
      <c r="Z490" s="163"/>
      <c r="AA490" s="163"/>
      <c r="AB490" s="659">
        <v>0.02</v>
      </c>
      <c r="AC490" s="41" t="s">
        <v>1223</v>
      </c>
      <c r="AD490" s="42" t="s">
        <v>700</v>
      </c>
      <c r="AE490" s="416" t="s">
        <v>1224</v>
      </c>
    </row>
    <row r="491" spans="1:31" s="1" customFormat="1">
      <c r="A491" s="477" t="s">
        <v>2334</v>
      </c>
      <c r="B491" s="505" t="s">
        <v>2335</v>
      </c>
      <c r="C491" s="506">
        <v>1</v>
      </c>
      <c r="D491" s="585" t="s">
        <v>2336</v>
      </c>
      <c r="E491" s="1009">
        <v>119.04</v>
      </c>
      <c r="F491" s="430">
        <f>rv_30</f>
        <v>0.3</v>
      </c>
      <c r="G491" s="106">
        <f t="shared" si="111"/>
        <v>83.328000000000003</v>
      </c>
      <c r="H491" s="147"/>
      <c r="I491" s="163"/>
      <c r="J491" s="163"/>
      <c r="K491" s="163"/>
      <c r="L491" s="428">
        <v>0.1</v>
      </c>
      <c r="M491" s="624" t="s">
        <v>1223</v>
      </c>
      <c r="N491" s="158" t="s">
        <v>700</v>
      </c>
      <c r="O491" s="417" t="s">
        <v>1224</v>
      </c>
      <c r="P491" s="477" t="s">
        <v>2334</v>
      </c>
      <c r="Q491" s="505" t="s">
        <v>2335</v>
      </c>
      <c r="R491" s="506">
        <v>1</v>
      </c>
      <c r="S491" s="106" t="s">
        <v>2336</v>
      </c>
      <c r="T491" s="473" t="s">
        <v>2334</v>
      </c>
      <c r="U491" s="106">
        <v>119.04</v>
      </c>
      <c r="V491" s="430">
        <v>0.3</v>
      </c>
      <c r="W491" s="106">
        <v>83.328000000000003</v>
      </c>
      <c r="X491" s="147"/>
      <c r="Y491" s="163"/>
      <c r="Z491" s="163"/>
      <c r="AA491" s="163"/>
      <c r="AB491" s="428">
        <v>0.1</v>
      </c>
      <c r="AC491" s="41" t="s">
        <v>1223</v>
      </c>
      <c r="AD491" s="42" t="s">
        <v>700</v>
      </c>
      <c r="AE491" s="416" t="s">
        <v>1224</v>
      </c>
    </row>
    <row r="492" spans="1:31" s="1" customFormat="1">
      <c r="A492" s="425" t="s">
        <v>2337</v>
      </c>
      <c r="B492" s="113" t="s">
        <v>2338</v>
      </c>
      <c r="C492" s="114">
        <v>1</v>
      </c>
      <c r="D492" s="1006" t="s">
        <v>2339</v>
      </c>
      <c r="E492" s="1023">
        <v>4455.87</v>
      </c>
      <c r="F492" s="116">
        <f t="shared" ref="F492:F523" si="118">rv_10</f>
        <v>0.1</v>
      </c>
      <c r="G492" s="115">
        <f t="shared" si="111"/>
        <v>4010.2829999999999</v>
      </c>
      <c r="H492" s="24"/>
      <c r="I492" s="22"/>
      <c r="J492" s="22"/>
      <c r="K492" s="25"/>
      <c r="L492" s="47"/>
      <c r="M492" s="624" t="s">
        <v>1223</v>
      </c>
      <c r="N492" s="158" t="s">
        <v>700</v>
      </c>
      <c r="O492" s="417" t="s">
        <v>1224</v>
      </c>
      <c r="P492" s="477" t="s">
        <v>2337</v>
      </c>
      <c r="Q492" s="578" t="s">
        <v>2338</v>
      </c>
      <c r="R492" s="579">
        <v>1</v>
      </c>
      <c r="S492" s="213" t="s">
        <v>2339</v>
      </c>
      <c r="T492" s="153" t="s">
        <v>2337</v>
      </c>
      <c r="U492" s="213">
        <v>4455.87</v>
      </c>
      <c r="V492" s="580">
        <v>0.1</v>
      </c>
      <c r="W492" s="213">
        <v>4010.2829999999999</v>
      </c>
      <c r="X492" s="147"/>
      <c r="Y492" s="163"/>
      <c r="Z492" s="163"/>
      <c r="AA492" s="163"/>
      <c r="AB492" s="428"/>
      <c r="AC492" s="41" t="s">
        <v>1223</v>
      </c>
      <c r="AD492" s="42" t="s">
        <v>700</v>
      </c>
      <c r="AE492" s="416" t="s">
        <v>1224</v>
      </c>
    </row>
    <row r="493" spans="1:31" s="1" customFormat="1">
      <c r="A493" s="477" t="s">
        <v>2340</v>
      </c>
      <c r="B493" s="505" t="s">
        <v>2341</v>
      </c>
      <c r="C493" s="506">
        <v>1</v>
      </c>
      <c r="D493" s="585" t="s">
        <v>2339</v>
      </c>
      <c r="E493" s="1009">
        <v>357.59</v>
      </c>
      <c r="F493" s="430">
        <f t="shared" si="118"/>
        <v>0.1</v>
      </c>
      <c r="G493" s="106">
        <f t="shared" si="111"/>
        <v>321.83099999999996</v>
      </c>
      <c r="H493" s="147"/>
      <c r="I493" s="163"/>
      <c r="J493" s="163"/>
      <c r="K493" s="163"/>
      <c r="L493" s="428"/>
      <c r="M493" s="624" t="s">
        <v>1223</v>
      </c>
      <c r="N493" s="158" t="s">
        <v>700</v>
      </c>
      <c r="O493" s="417" t="s">
        <v>1224</v>
      </c>
      <c r="P493" s="477" t="s">
        <v>2340</v>
      </c>
      <c r="Q493" s="505" t="s">
        <v>2341</v>
      </c>
      <c r="R493" s="506">
        <v>1</v>
      </c>
      <c r="S493" s="106" t="s">
        <v>2339</v>
      </c>
      <c r="T493" s="473" t="s">
        <v>2340</v>
      </c>
      <c r="U493" s="106">
        <v>357.59</v>
      </c>
      <c r="V493" s="430">
        <v>0.1</v>
      </c>
      <c r="W493" s="106">
        <v>321.83099999999996</v>
      </c>
      <c r="X493" s="147"/>
      <c r="Y493" s="163"/>
      <c r="Z493" s="163"/>
      <c r="AA493" s="163"/>
      <c r="AB493" s="428"/>
      <c r="AC493" s="41" t="s">
        <v>1223</v>
      </c>
      <c r="AD493" s="42" t="s">
        <v>700</v>
      </c>
      <c r="AE493" s="416" t="s">
        <v>1224</v>
      </c>
    </row>
    <row r="494" spans="1:31" s="1" customFormat="1">
      <c r="A494" s="477" t="s">
        <v>2342</v>
      </c>
      <c r="B494" s="505" t="s">
        <v>2343</v>
      </c>
      <c r="C494" s="506">
        <v>1</v>
      </c>
      <c r="D494" s="585" t="s">
        <v>2339</v>
      </c>
      <c r="E494" s="1009">
        <v>391.11</v>
      </c>
      <c r="F494" s="430">
        <f t="shared" si="118"/>
        <v>0.1</v>
      </c>
      <c r="G494" s="106">
        <f t="shared" si="111"/>
        <v>351.99900000000002</v>
      </c>
      <c r="H494" s="147"/>
      <c r="I494" s="163"/>
      <c r="J494" s="163"/>
      <c r="K494" s="163"/>
      <c r="L494" s="428"/>
      <c r="M494" s="624" t="s">
        <v>1223</v>
      </c>
      <c r="N494" s="158" t="s">
        <v>700</v>
      </c>
      <c r="O494" s="417" t="s">
        <v>1224</v>
      </c>
      <c r="P494" s="477" t="s">
        <v>2342</v>
      </c>
      <c r="Q494" s="505" t="s">
        <v>2343</v>
      </c>
      <c r="R494" s="506">
        <v>1</v>
      </c>
      <c r="S494" s="106" t="s">
        <v>2339</v>
      </c>
      <c r="T494" s="473" t="s">
        <v>2342</v>
      </c>
      <c r="U494" s="106">
        <v>391.11</v>
      </c>
      <c r="V494" s="430">
        <v>0.1</v>
      </c>
      <c r="W494" s="106">
        <v>351.99900000000002</v>
      </c>
      <c r="X494" s="147"/>
      <c r="Y494" s="163"/>
      <c r="Z494" s="163"/>
      <c r="AA494" s="163"/>
      <c r="AB494" s="428"/>
      <c r="AC494" s="41" t="s">
        <v>1223</v>
      </c>
      <c r="AD494" s="42" t="s">
        <v>700</v>
      </c>
      <c r="AE494" s="416" t="s">
        <v>1224</v>
      </c>
    </row>
    <row r="495" spans="1:31" s="1" customFormat="1">
      <c r="A495" s="477" t="s">
        <v>2344</v>
      </c>
      <c r="B495" s="505" t="s">
        <v>2345</v>
      </c>
      <c r="C495" s="506">
        <v>1</v>
      </c>
      <c r="D495" s="585" t="s">
        <v>2339</v>
      </c>
      <c r="E495" s="1009">
        <v>111.75</v>
      </c>
      <c r="F495" s="430">
        <f t="shared" si="118"/>
        <v>0.1</v>
      </c>
      <c r="G495" s="106">
        <f t="shared" si="111"/>
        <v>100.575</v>
      </c>
      <c r="H495" s="147"/>
      <c r="I495" s="163"/>
      <c r="J495" s="163"/>
      <c r="K495" s="163"/>
      <c r="L495" s="428"/>
      <c r="M495" s="624" t="s">
        <v>1223</v>
      </c>
      <c r="N495" s="158" t="s">
        <v>700</v>
      </c>
      <c r="O495" s="417" t="s">
        <v>1224</v>
      </c>
      <c r="P495" s="477" t="s">
        <v>2344</v>
      </c>
      <c r="Q495" s="505" t="s">
        <v>2345</v>
      </c>
      <c r="R495" s="506">
        <v>1</v>
      </c>
      <c r="S495" s="106" t="s">
        <v>2339</v>
      </c>
      <c r="T495" s="473" t="s">
        <v>2344</v>
      </c>
      <c r="U495" s="106">
        <v>111.75</v>
      </c>
      <c r="V495" s="430">
        <v>0.1</v>
      </c>
      <c r="W495" s="106">
        <v>100.575</v>
      </c>
      <c r="X495" s="147"/>
      <c r="Y495" s="163"/>
      <c r="Z495" s="163"/>
      <c r="AA495" s="163"/>
      <c r="AB495" s="428"/>
      <c r="AC495" s="41" t="s">
        <v>1223</v>
      </c>
      <c r="AD495" s="42" t="s">
        <v>700</v>
      </c>
      <c r="AE495" s="416" t="s">
        <v>1224</v>
      </c>
    </row>
    <row r="496" spans="1:31" s="1" customFormat="1">
      <c r="A496" s="477" t="s">
        <v>2346</v>
      </c>
      <c r="B496" s="505" t="s">
        <v>2347</v>
      </c>
      <c r="C496" s="506">
        <v>1</v>
      </c>
      <c r="D496" s="585" t="s">
        <v>2339</v>
      </c>
      <c r="E496" s="1009">
        <v>251.43</v>
      </c>
      <c r="F496" s="430">
        <f t="shared" si="118"/>
        <v>0.1</v>
      </c>
      <c r="G496" s="106">
        <f t="shared" si="111"/>
        <v>226.28700000000001</v>
      </c>
      <c r="H496" s="147"/>
      <c r="I496" s="163"/>
      <c r="J496" s="163"/>
      <c r="K496" s="163"/>
      <c r="L496" s="428"/>
      <c r="M496" s="624" t="s">
        <v>1223</v>
      </c>
      <c r="N496" s="158" t="s">
        <v>700</v>
      </c>
      <c r="O496" s="417" t="s">
        <v>1224</v>
      </c>
      <c r="P496" s="477" t="s">
        <v>2346</v>
      </c>
      <c r="Q496" s="505" t="s">
        <v>2347</v>
      </c>
      <c r="R496" s="506">
        <v>1</v>
      </c>
      <c r="S496" s="106" t="s">
        <v>2339</v>
      </c>
      <c r="T496" s="473" t="s">
        <v>2346</v>
      </c>
      <c r="U496" s="106">
        <v>251.43</v>
      </c>
      <c r="V496" s="430">
        <v>0.1</v>
      </c>
      <c r="W496" s="106">
        <v>226.28700000000001</v>
      </c>
      <c r="X496" s="147"/>
      <c r="Y496" s="163"/>
      <c r="Z496" s="163"/>
      <c r="AA496" s="163"/>
      <c r="AB496" s="428"/>
      <c r="AC496" s="41" t="s">
        <v>1223</v>
      </c>
      <c r="AD496" s="42" t="s">
        <v>700</v>
      </c>
      <c r="AE496" s="416" t="s">
        <v>1224</v>
      </c>
    </row>
    <row r="497" spans="1:31" s="1" customFormat="1">
      <c r="A497" s="477" t="s">
        <v>2348</v>
      </c>
      <c r="B497" s="505" t="s">
        <v>2349</v>
      </c>
      <c r="C497" s="506">
        <v>1</v>
      </c>
      <c r="D497" s="585" t="s">
        <v>2339</v>
      </c>
      <c r="E497" s="1009">
        <v>749.21</v>
      </c>
      <c r="F497" s="430">
        <f t="shared" si="118"/>
        <v>0.1</v>
      </c>
      <c r="G497" s="106">
        <f t="shared" si="111"/>
        <v>674.28899999999999</v>
      </c>
      <c r="H497" s="147"/>
      <c r="I497" s="163"/>
      <c r="J497" s="163"/>
      <c r="K497" s="163"/>
      <c r="L497" s="428"/>
      <c r="M497" s="624" t="s">
        <v>1223</v>
      </c>
      <c r="N497" s="158" t="s">
        <v>700</v>
      </c>
      <c r="O497" s="417" t="s">
        <v>1224</v>
      </c>
      <c r="P497" s="477" t="s">
        <v>2348</v>
      </c>
      <c r="Q497" s="505" t="s">
        <v>2349</v>
      </c>
      <c r="R497" s="506">
        <v>1</v>
      </c>
      <c r="S497" s="106" t="s">
        <v>2339</v>
      </c>
      <c r="T497" s="473" t="s">
        <v>2348</v>
      </c>
      <c r="U497" s="106">
        <v>749.21</v>
      </c>
      <c r="V497" s="430">
        <v>0.1</v>
      </c>
      <c r="W497" s="106">
        <v>674.28899999999999</v>
      </c>
      <c r="X497" s="147"/>
      <c r="Y497" s="163"/>
      <c r="Z497" s="163"/>
      <c r="AA497" s="163"/>
      <c r="AB497" s="428"/>
      <c r="AC497" s="41" t="s">
        <v>1223</v>
      </c>
      <c r="AD497" s="42" t="s">
        <v>700</v>
      </c>
      <c r="AE497" s="416" t="s">
        <v>1224</v>
      </c>
    </row>
    <row r="498" spans="1:31" s="1" customFormat="1">
      <c r="A498" s="477" t="s">
        <v>2350</v>
      </c>
      <c r="B498" s="505" t="s">
        <v>2351</v>
      </c>
      <c r="C498" s="506">
        <v>1</v>
      </c>
      <c r="D498" s="585" t="s">
        <v>2339</v>
      </c>
      <c r="E498" s="1009">
        <v>304.76</v>
      </c>
      <c r="F498" s="430">
        <f t="shared" si="118"/>
        <v>0.1</v>
      </c>
      <c r="G498" s="106">
        <f t="shared" si="111"/>
        <v>274.28399999999999</v>
      </c>
      <c r="H498" s="147"/>
      <c r="I498" s="163"/>
      <c r="J498" s="163"/>
      <c r="K498" s="163"/>
      <c r="L498" s="428"/>
      <c r="M498" s="624" t="s">
        <v>1223</v>
      </c>
      <c r="N498" s="158" t="s">
        <v>700</v>
      </c>
      <c r="O498" s="417" t="s">
        <v>1224</v>
      </c>
      <c r="P498" s="477" t="s">
        <v>2350</v>
      </c>
      <c r="Q498" s="505" t="s">
        <v>2351</v>
      </c>
      <c r="R498" s="506">
        <v>1</v>
      </c>
      <c r="S498" s="106" t="s">
        <v>2339</v>
      </c>
      <c r="T498" s="473" t="s">
        <v>2350</v>
      </c>
      <c r="U498" s="106">
        <v>304.76</v>
      </c>
      <c r="V498" s="430">
        <v>0.1</v>
      </c>
      <c r="W498" s="106">
        <v>274.28399999999999</v>
      </c>
      <c r="X498" s="147"/>
      <c r="Y498" s="163"/>
      <c r="Z498" s="163"/>
      <c r="AA498" s="163"/>
      <c r="AB498" s="428"/>
      <c r="AC498" s="41" t="s">
        <v>1223</v>
      </c>
      <c r="AD498" s="42" t="s">
        <v>700</v>
      </c>
      <c r="AE498" s="416" t="s">
        <v>1224</v>
      </c>
    </row>
    <row r="499" spans="1:31" s="1" customFormat="1">
      <c r="A499" s="477" t="s">
        <v>2352</v>
      </c>
      <c r="B499" s="505" t="s">
        <v>2353</v>
      </c>
      <c r="C499" s="506">
        <v>1</v>
      </c>
      <c r="D499" s="585" t="s">
        <v>2339</v>
      </c>
      <c r="E499" s="1009">
        <v>251.43</v>
      </c>
      <c r="F499" s="430">
        <f t="shared" si="118"/>
        <v>0.1</v>
      </c>
      <c r="G499" s="106">
        <f t="shared" si="111"/>
        <v>226.28700000000001</v>
      </c>
      <c r="H499" s="147"/>
      <c r="I499" s="163"/>
      <c r="J499" s="163"/>
      <c r="K499" s="163"/>
      <c r="L499" s="428"/>
      <c r="M499" s="624" t="s">
        <v>1223</v>
      </c>
      <c r="N499" s="158" t="s">
        <v>700</v>
      </c>
      <c r="O499" s="417" t="s">
        <v>1224</v>
      </c>
      <c r="P499" s="477" t="s">
        <v>2352</v>
      </c>
      <c r="Q499" s="505" t="s">
        <v>2353</v>
      </c>
      <c r="R499" s="506">
        <v>1</v>
      </c>
      <c r="S499" s="106" t="s">
        <v>2339</v>
      </c>
      <c r="T499" s="473" t="s">
        <v>2352</v>
      </c>
      <c r="U499" s="106">
        <v>251.43</v>
      </c>
      <c r="V499" s="430">
        <v>0.1</v>
      </c>
      <c r="W499" s="106">
        <v>226.28700000000001</v>
      </c>
      <c r="X499" s="147"/>
      <c r="Y499" s="163"/>
      <c r="Z499" s="163"/>
      <c r="AA499" s="163"/>
      <c r="AB499" s="428"/>
      <c r="AC499" s="41" t="s">
        <v>1223</v>
      </c>
      <c r="AD499" s="42" t="s">
        <v>700</v>
      </c>
      <c r="AE499" s="416" t="s">
        <v>1224</v>
      </c>
    </row>
    <row r="500" spans="1:31" s="1" customFormat="1">
      <c r="A500" s="477" t="s">
        <v>2354</v>
      </c>
      <c r="B500" s="505" t="s">
        <v>2355</v>
      </c>
      <c r="C500" s="506">
        <v>1</v>
      </c>
      <c r="D500" s="585" t="s">
        <v>2339</v>
      </c>
      <c r="E500" s="1009">
        <v>524.76</v>
      </c>
      <c r="F500" s="430">
        <f t="shared" si="118"/>
        <v>0.1</v>
      </c>
      <c r="G500" s="106">
        <f t="shared" si="111"/>
        <v>472.28399999999999</v>
      </c>
      <c r="H500" s="147"/>
      <c r="I500" s="163"/>
      <c r="J500" s="163"/>
      <c r="K500" s="163"/>
      <c r="L500" s="428"/>
      <c r="M500" s="624" t="s">
        <v>1223</v>
      </c>
      <c r="N500" s="158" t="s">
        <v>700</v>
      </c>
      <c r="O500" s="417" t="s">
        <v>1224</v>
      </c>
      <c r="P500" s="477" t="s">
        <v>2354</v>
      </c>
      <c r="Q500" s="505" t="s">
        <v>2355</v>
      </c>
      <c r="R500" s="506">
        <v>1</v>
      </c>
      <c r="S500" s="106" t="s">
        <v>2339</v>
      </c>
      <c r="T500" s="473" t="s">
        <v>2354</v>
      </c>
      <c r="U500" s="106">
        <v>524.76</v>
      </c>
      <c r="V500" s="430">
        <v>0.1</v>
      </c>
      <c r="W500" s="106">
        <v>472.28399999999999</v>
      </c>
      <c r="X500" s="147"/>
      <c r="Y500" s="163"/>
      <c r="Z500" s="163"/>
      <c r="AA500" s="163"/>
      <c r="AB500" s="428"/>
      <c r="AC500" s="41" t="s">
        <v>1223</v>
      </c>
      <c r="AD500" s="42" t="s">
        <v>700</v>
      </c>
      <c r="AE500" s="416" t="s">
        <v>1224</v>
      </c>
    </row>
    <row r="501" spans="1:31" s="1" customFormat="1">
      <c r="A501" s="477" t="s">
        <v>2356</v>
      </c>
      <c r="B501" s="505" t="s">
        <v>2357</v>
      </c>
      <c r="C501" s="506">
        <v>1</v>
      </c>
      <c r="D501" s="585" t="s">
        <v>2339</v>
      </c>
      <c r="E501" s="1009">
        <v>129.68</v>
      </c>
      <c r="F501" s="430">
        <f t="shared" si="118"/>
        <v>0.1</v>
      </c>
      <c r="G501" s="106">
        <f t="shared" si="111"/>
        <v>116.712</v>
      </c>
      <c r="H501" s="147"/>
      <c r="I501" s="163"/>
      <c r="J501" s="163"/>
      <c r="K501" s="163"/>
      <c r="L501" s="428"/>
      <c r="M501" s="624" t="s">
        <v>1223</v>
      </c>
      <c r="N501" s="158" t="s">
        <v>700</v>
      </c>
      <c r="O501" s="417" t="s">
        <v>1224</v>
      </c>
      <c r="P501" s="477" t="s">
        <v>2356</v>
      </c>
      <c r="Q501" s="505" t="s">
        <v>2357</v>
      </c>
      <c r="R501" s="506">
        <v>1</v>
      </c>
      <c r="S501" s="106" t="s">
        <v>2339</v>
      </c>
      <c r="T501" s="473" t="s">
        <v>2356</v>
      </c>
      <c r="U501" s="106">
        <v>129.68</v>
      </c>
      <c r="V501" s="430">
        <v>0.1</v>
      </c>
      <c r="W501" s="106">
        <v>116.712</v>
      </c>
      <c r="X501" s="147"/>
      <c r="Y501" s="163"/>
      <c r="Z501" s="163"/>
      <c r="AA501" s="163"/>
      <c r="AB501" s="428"/>
      <c r="AC501" s="41" t="s">
        <v>1223</v>
      </c>
      <c r="AD501" s="42" t="s">
        <v>700</v>
      </c>
      <c r="AE501" s="416" t="s">
        <v>1224</v>
      </c>
    </row>
    <row r="502" spans="1:31" s="1" customFormat="1">
      <c r="A502" s="425" t="s">
        <v>2358</v>
      </c>
      <c r="B502" s="113" t="s">
        <v>2359</v>
      </c>
      <c r="C502" s="114">
        <v>1</v>
      </c>
      <c r="D502" s="1006" t="s">
        <v>2339</v>
      </c>
      <c r="E502" s="1023">
        <v>6132.06</v>
      </c>
      <c r="F502" s="116">
        <f t="shared" si="118"/>
        <v>0.1</v>
      </c>
      <c r="G502" s="115">
        <f t="shared" si="111"/>
        <v>5518.8540000000003</v>
      </c>
      <c r="H502" s="24"/>
      <c r="I502" s="22"/>
      <c r="J502" s="22"/>
      <c r="K502" s="25"/>
      <c r="L502" s="47"/>
      <c r="M502" s="624" t="s">
        <v>1223</v>
      </c>
      <c r="N502" s="158" t="s">
        <v>700</v>
      </c>
      <c r="O502" s="417" t="s">
        <v>1224</v>
      </c>
      <c r="P502" s="465" t="s">
        <v>2358</v>
      </c>
      <c r="Q502" s="578" t="s">
        <v>2359</v>
      </c>
      <c r="R502" s="579">
        <v>1</v>
      </c>
      <c r="S502" s="213" t="s">
        <v>2339</v>
      </c>
      <c r="T502" s="153" t="s">
        <v>2358</v>
      </c>
      <c r="U502" s="213">
        <v>6132.06</v>
      </c>
      <c r="V502" s="580">
        <v>0.1</v>
      </c>
      <c r="W502" s="213">
        <v>5518.8540000000003</v>
      </c>
      <c r="X502" s="147"/>
      <c r="Y502" s="163"/>
      <c r="Z502" s="163"/>
      <c r="AA502" s="163"/>
      <c r="AB502" s="428"/>
      <c r="AC502" s="41" t="s">
        <v>1223</v>
      </c>
      <c r="AD502" s="42" t="s">
        <v>700</v>
      </c>
      <c r="AE502" s="416" t="s">
        <v>1224</v>
      </c>
    </row>
    <row r="503" spans="1:31" s="1" customFormat="1">
      <c r="A503" s="477" t="s">
        <v>2360</v>
      </c>
      <c r="B503" s="505" t="s">
        <v>2361</v>
      </c>
      <c r="C503" s="506">
        <v>1</v>
      </c>
      <c r="D503" s="585" t="s">
        <v>2339</v>
      </c>
      <c r="E503" s="1009">
        <v>536.38</v>
      </c>
      <c r="F503" s="430">
        <f t="shared" si="118"/>
        <v>0.1</v>
      </c>
      <c r="G503" s="106">
        <f t="shared" si="111"/>
        <v>482.74199999999996</v>
      </c>
      <c r="H503" s="147"/>
      <c r="I503" s="163"/>
      <c r="J503" s="163"/>
      <c r="K503" s="163"/>
      <c r="L503" s="428"/>
      <c r="M503" s="624" t="s">
        <v>1223</v>
      </c>
      <c r="N503" s="158" t="s">
        <v>700</v>
      </c>
      <c r="O503" s="417" t="s">
        <v>1224</v>
      </c>
      <c r="P503" s="477" t="s">
        <v>2360</v>
      </c>
      <c r="Q503" s="505" t="s">
        <v>2361</v>
      </c>
      <c r="R503" s="506">
        <v>1</v>
      </c>
      <c r="S503" s="106" t="s">
        <v>2339</v>
      </c>
      <c r="T503" s="473" t="s">
        <v>2360</v>
      </c>
      <c r="U503" s="106">
        <v>536.38</v>
      </c>
      <c r="V503" s="430">
        <v>0.1</v>
      </c>
      <c r="W503" s="106">
        <v>482.74199999999996</v>
      </c>
      <c r="X503" s="147"/>
      <c r="Y503" s="163"/>
      <c r="Z503" s="163"/>
      <c r="AA503" s="163"/>
      <c r="AB503" s="428"/>
      <c r="AC503" s="41" t="s">
        <v>1223</v>
      </c>
      <c r="AD503" s="42" t="s">
        <v>700</v>
      </c>
      <c r="AE503" s="416" t="s">
        <v>1224</v>
      </c>
    </row>
    <row r="504" spans="1:31" s="1" customFormat="1">
      <c r="A504" s="477" t="s">
        <v>2362</v>
      </c>
      <c r="B504" s="505" t="s">
        <v>2363</v>
      </c>
      <c r="C504" s="506">
        <v>1</v>
      </c>
      <c r="D504" s="585" t="s">
        <v>2339</v>
      </c>
      <c r="E504" s="1009">
        <v>446.98</v>
      </c>
      <c r="F504" s="430">
        <f t="shared" si="118"/>
        <v>0.1</v>
      </c>
      <c r="G504" s="106">
        <f t="shared" si="111"/>
        <v>402.28200000000004</v>
      </c>
      <c r="H504" s="147"/>
      <c r="I504" s="163"/>
      <c r="J504" s="163"/>
      <c r="K504" s="163"/>
      <c r="L504" s="428"/>
      <c r="M504" s="624" t="s">
        <v>1223</v>
      </c>
      <c r="N504" s="158" t="s">
        <v>700</v>
      </c>
      <c r="O504" s="417" t="s">
        <v>1224</v>
      </c>
      <c r="P504" s="477" t="s">
        <v>2362</v>
      </c>
      <c r="Q504" s="505" t="s">
        <v>2363</v>
      </c>
      <c r="R504" s="506">
        <v>1</v>
      </c>
      <c r="S504" s="106" t="s">
        <v>2339</v>
      </c>
      <c r="T504" s="473" t="s">
        <v>2362</v>
      </c>
      <c r="U504" s="106">
        <v>446.98</v>
      </c>
      <c r="V504" s="430">
        <v>0.1</v>
      </c>
      <c r="W504" s="106">
        <v>402.28200000000004</v>
      </c>
      <c r="X504" s="147"/>
      <c r="Y504" s="163"/>
      <c r="Z504" s="163"/>
      <c r="AA504" s="163"/>
      <c r="AB504" s="428"/>
      <c r="AC504" s="41" t="s">
        <v>1223</v>
      </c>
      <c r="AD504" s="42" t="s">
        <v>700</v>
      </c>
      <c r="AE504" s="416" t="s">
        <v>1224</v>
      </c>
    </row>
    <row r="505" spans="1:31" s="1" customFormat="1">
      <c r="A505" s="477" t="s">
        <v>2364</v>
      </c>
      <c r="B505" s="505" t="s">
        <v>2365</v>
      </c>
      <c r="C505" s="506">
        <v>1</v>
      </c>
      <c r="D505" s="585" t="s">
        <v>2339</v>
      </c>
      <c r="E505" s="1009">
        <v>167.62</v>
      </c>
      <c r="F505" s="430">
        <f t="shared" si="118"/>
        <v>0.1</v>
      </c>
      <c r="G505" s="106">
        <f t="shared" si="111"/>
        <v>150.858</v>
      </c>
      <c r="H505" s="147"/>
      <c r="I505" s="163"/>
      <c r="J505" s="163"/>
      <c r="K505" s="163"/>
      <c r="L505" s="428"/>
      <c r="M505" s="624" t="s">
        <v>1223</v>
      </c>
      <c r="N505" s="158" t="s">
        <v>700</v>
      </c>
      <c r="O505" s="417" t="s">
        <v>1224</v>
      </c>
      <c r="P505" s="477" t="s">
        <v>2364</v>
      </c>
      <c r="Q505" s="505" t="s">
        <v>2365</v>
      </c>
      <c r="R505" s="506">
        <v>1</v>
      </c>
      <c r="S505" s="106" t="s">
        <v>2339</v>
      </c>
      <c r="T505" s="473" t="s">
        <v>2364</v>
      </c>
      <c r="U505" s="106">
        <v>167.62</v>
      </c>
      <c r="V505" s="430">
        <v>0.1</v>
      </c>
      <c r="W505" s="106">
        <v>150.858</v>
      </c>
      <c r="X505" s="147"/>
      <c r="Y505" s="163"/>
      <c r="Z505" s="163"/>
      <c r="AA505" s="163"/>
      <c r="AB505" s="428"/>
      <c r="AC505" s="41" t="s">
        <v>1223</v>
      </c>
      <c r="AD505" s="42" t="s">
        <v>700</v>
      </c>
      <c r="AE505" s="416" t="s">
        <v>1224</v>
      </c>
    </row>
    <row r="506" spans="1:31" s="1" customFormat="1">
      <c r="A506" s="477" t="s">
        <v>2346</v>
      </c>
      <c r="B506" s="505" t="s">
        <v>2347</v>
      </c>
      <c r="C506" s="506">
        <v>1</v>
      </c>
      <c r="D506" s="585" t="s">
        <v>2339</v>
      </c>
      <c r="E506" s="1009">
        <v>251.43</v>
      </c>
      <c r="F506" s="430">
        <f t="shared" si="118"/>
        <v>0.1</v>
      </c>
      <c r="G506" s="106">
        <f t="shared" si="111"/>
        <v>226.28700000000001</v>
      </c>
      <c r="H506" s="147"/>
      <c r="I506" s="163"/>
      <c r="J506" s="163"/>
      <c r="K506" s="163"/>
      <c r="L506" s="428"/>
      <c r="M506" s="624" t="s">
        <v>1223</v>
      </c>
      <c r="N506" s="158" t="s">
        <v>700</v>
      </c>
      <c r="O506" s="417" t="s">
        <v>1224</v>
      </c>
      <c r="P506" s="477" t="s">
        <v>2346</v>
      </c>
      <c r="Q506" s="505" t="s">
        <v>2347</v>
      </c>
      <c r="R506" s="506">
        <v>1</v>
      </c>
      <c r="S506" s="106" t="s">
        <v>2339</v>
      </c>
      <c r="T506" s="473" t="s">
        <v>2346</v>
      </c>
      <c r="U506" s="106">
        <v>251.43</v>
      </c>
      <c r="V506" s="430">
        <v>0.1</v>
      </c>
      <c r="W506" s="106">
        <v>226.28700000000001</v>
      </c>
      <c r="X506" s="147"/>
      <c r="Y506" s="163"/>
      <c r="Z506" s="163"/>
      <c r="AA506" s="163"/>
      <c r="AB506" s="428"/>
      <c r="AC506" s="41" t="s">
        <v>1223</v>
      </c>
      <c r="AD506" s="42" t="s">
        <v>700</v>
      </c>
      <c r="AE506" s="416" t="s">
        <v>1224</v>
      </c>
    </row>
    <row r="507" spans="1:31" s="1" customFormat="1">
      <c r="A507" s="477" t="s">
        <v>2366</v>
      </c>
      <c r="B507" s="505" t="s">
        <v>2367</v>
      </c>
      <c r="C507" s="506">
        <v>1</v>
      </c>
      <c r="D507" s="585" t="s">
        <v>2339</v>
      </c>
      <c r="E507" s="1009">
        <v>850.79</v>
      </c>
      <c r="F507" s="430">
        <f t="shared" si="118"/>
        <v>0.1</v>
      </c>
      <c r="G507" s="106">
        <f t="shared" si="111"/>
        <v>765.71100000000001</v>
      </c>
      <c r="H507" s="147"/>
      <c r="I507" s="163"/>
      <c r="J507" s="163"/>
      <c r="K507" s="163"/>
      <c r="L507" s="428"/>
      <c r="M507" s="624" t="s">
        <v>1223</v>
      </c>
      <c r="N507" s="158" t="s">
        <v>700</v>
      </c>
      <c r="O507" s="417" t="s">
        <v>1224</v>
      </c>
      <c r="P507" s="477" t="s">
        <v>2366</v>
      </c>
      <c r="Q507" s="505" t="s">
        <v>2367</v>
      </c>
      <c r="R507" s="506">
        <v>1</v>
      </c>
      <c r="S507" s="106" t="s">
        <v>2339</v>
      </c>
      <c r="T507" s="473" t="s">
        <v>2366</v>
      </c>
      <c r="U507" s="106">
        <v>850.79</v>
      </c>
      <c r="V507" s="430">
        <v>0.1</v>
      </c>
      <c r="W507" s="106">
        <v>765.71100000000001</v>
      </c>
      <c r="X507" s="147"/>
      <c r="Y507" s="163"/>
      <c r="Z507" s="163"/>
      <c r="AA507" s="163"/>
      <c r="AB507" s="428"/>
      <c r="AC507" s="41" t="s">
        <v>1223</v>
      </c>
      <c r="AD507" s="42" t="s">
        <v>700</v>
      </c>
      <c r="AE507" s="416" t="s">
        <v>1224</v>
      </c>
    </row>
    <row r="508" spans="1:31" s="1" customFormat="1">
      <c r="A508" s="477" t="s">
        <v>2368</v>
      </c>
      <c r="B508" s="505" t="s">
        <v>2369</v>
      </c>
      <c r="C508" s="506">
        <v>1</v>
      </c>
      <c r="D508" s="585" t="s">
        <v>2339</v>
      </c>
      <c r="E508" s="1009">
        <v>426.67</v>
      </c>
      <c r="F508" s="430">
        <f t="shared" si="118"/>
        <v>0.1</v>
      </c>
      <c r="G508" s="106">
        <f t="shared" si="111"/>
        <v>384.00300000000004</v>
      </c>
      <c r="H508" s="147"/>
      <c r="I508" s="163"/>
      <c r="J508" s="163"/>
      <c r="K508" s="163"/>
      <c r="L508" s="428"/>
      <c r="M508" s="624" t="s">
        <v>1223</v>
      </c>
      <c r="N508" s="158" t="s">
        <v>700</v>
      </c>
      <c r="O508" s="417" t="s">
        <v>1224</v>
      </c>
      <c r="P508" s="477" t="s">
        <v>2368</v>
      </c>
      <c r="Q508" s="505" t="s">
        <v>2369</v>
      </c>
      <c r="R508" s="506">
        <v>1</v>
      </c>
      <c r="S508" s="106" t="s">
        <v>2339</v>
      </c>
      <c r="T508" s="473" t="s">
        <v>2368</v>
      </c>
      <c r="U508" s="106">
        <v>426.67</v>
      </c>
      <c r="V508" s="430">
        <v>0.1</v>
      </c>
      <c r="W508" s="106">
        <v>384.00300000000004</v>
      </c>
      <c r="X508" s="147"/>
      <c r="Y508" s="163"/>
      <c r="Z508" s="163"/>
      <c r="AA508" s="163"/>
      <c r="AB508" s="428"/>
      <c r="AC508" s="41" t="s">
        <v>1223</v>
      </c>
      <c r="AD508" s="42" t="s">
        <v>700</v>
      </c>
      <c r="AE508" s="416" t="s">
        <v>1224</v>
      </c>
    </row>
    <row r="509" spans="1:31" s="1" customFormat="1">
      <c r="A509" s="477" t="s">
        <v>2352</v>
      </c>
      <c r="B509" s="505" t="s">
        <v>2353</v>
      </c>
      <c r="C509" s="506">
        <v>1</v>
      </c>
      <c r="D509" s="585" t="s">
        <v>2339</v>
      </c>
      <c r="E509" s="1009">
        <v>251.43</v>
      </c>
      <c r="F509" s="430">
        <f t="shared" si="118"/>
        <v>0.1</v>
      </c>
      <c r="G509" s="106">
        <f t="shared" si="111"/>
        <v>226.28700000000001</v>
      </c>
      <c r="H509" s="147"/>
      <c r="I509" s="163"/>
      <c r="J509" s="163"/>
      <c r="K509" s="163"/>
      <c r="L509" s="428"/>
      <c r="M509" s="624" t="s">
        <v>1223</v>
      </c>
      <c r="N509" s="158" t="s">
        <v>700</v>
      </c>
      <c r="O509" s="417" t="s">
        <v>1224</v>
      </c>
      <c r="P509" s="477" t="s">
        <v>2352</v>
      </c>
      <c r="Q509" s="505" t="s">
        <v>2353</v>
      </c>
      <c r="R509" s="506">
        <v>1</v>
      </c>
      <c r="S509" s="106" t="s">
        <v>2339</v>
      </c>
      <c r="T509" s="473" t="s">
        <v>2352</v>
      </c>
      <c r="U509" s="106">
        <v>251.43</v>
      </c>
      <c r="V509" s="430">
        <v>0.1</v>
      </c>
      <c r="W509" s="106">
        <v>226.28700000000001</v>
      </c>
      <c r="X509" s="147"/>
      <c r="Y509" s="163"/>
      <c r="Z509" s="163"/>
      <c r="AA509" s="163"/>
      <c r="AB509" s="428"/>
      <c r="AC509" s="41" t="s">
        <v>1223</v>
      </c>
      <c r="AD509" s="42" t="s">
        <v>700</v>
      </c>
      <c r="AE509" s="416" t="s">
        <v>1224</v>
      </c>
    </row>
    <row r="510" spans="1:31" s="1" customFormat="1">
      <c r="A510" s="477" t="s">
        <v>2354</v>
      </c>
      <c r="B510" s="505" t="s">
        <v>2355</v>
      </c>
      <c r="C510" s="506">
        <v>1</v>
      </c>
      <c r="D510" s="585" t="s">
        <v>2339</v>
      </c>
      <c r="E510" s="1009">
        <v>524.76</v>
      </c>
      <c r="F510" s="430">
        <f t="shared" si="118"/>
        <v>0.1</v>
      </c>
      <c r="G510" s="106">
        <f t="shared" si="111"/>
        <v>472.28399999999999</v>
      </c>
      <c r="H510" s="147"/>
      <c r="I510" s="163"/>
      <c r="J510" s="163"/>
      <c r="K510" s="163"/>
      <c r="L510" s="428"/>
      <c r="M510" s="624" t="s">
        <v>1223</v>
      </c>
      <c r="N510" s="158" t="s">
        <v>700</v>
      </c>
      <c r="O510" s="417" t="s">
        <v>1224</v>
      </c>
      <c r="P510" s="477" t="s">
        <v>2354</v>
      </c>
      <c r="Q510" s="505" t="s">
        <v>2355</v>
      </c>
      <c r="R510" s="506">
        <v>1</v>
      </c>
      <c r="S510" s="106" t="s">
        <v>2339</v>
      </c>
      <c r="T510" s="473" t="s">
        <v>2354</v>
      </c>
      <c r="U510" s="106">
        <v>524.76</v>
      </c>
      <c r="V510" s="430">
        <v>0.1</v>
      </c>
      <c r="W510" s="106">
        <v>472.28399999999999</v>
      </c>
      <c r="X510" s="147"/>
      <c r="Y510" s="163"/>
      <c r="Z510" s="163"/>
      <c r="AA510" s="163"/>
      <c r="AB510" s="428"/>
      <c r="AC510" s="41" t="s">
        <v>1223</v>
      </c>
      <c r="AD510" s="42" t="s">
        <v>700</v>
      </c>
      <c r="AE510" s="416" t="s">
        <v>1224</v>
      </c>
    </row>
    <row r="511" spans="1:31" s="1" customFormat="1">
      <c r="A511" s="477" t="s">
        <v>2356</v>
      </c>
      <c r="B511" s="505" t="s">
        <v>2357</v>
      </c>
      <c r="C511" s="506">
        <v>1</v>
      </c>
      <c r="D511" s="585" t="s">
        <v>2339</v>
      </c>
      <c r="E511" s="1009">
        <v>129.68</v>
      </c>
      <c r="F511" s="430">
        <f t="shared" si="118"/>
        <v>0.1</v>
      </c>
      <c r="G511" s="106">
        <f t="shared" si="111"/>
        <v>116.712</v>
      </c>
      <c r="H511" s="147"/>
      <c r="I511" s="163"/>
      <c r="J511" s="163"/>
      <c r="K511" s="163"/>
      <c r="L511" s="428"/>
      <c r="M511" s="624" t="s">
        <v>1223</v>
      </c>
      <c r="N511" s="158" t="s">
        <v>700</v>
      </c>
      <c r="O511" s="417" t="s">
        <v>1224</v>
      </c>
      <c r="P511" s="477" t="s">
        <v>2356</v>
      </c>
      <c r="Q511" s="505" t="s">
        <v>2357</v>
      </c>
      <c r="R511" s="506">
        <v>1</v>
      </c>
      <c r="S511" s="106" t="s">
        <v>2339</v>
      </c>
      <c r="T511" s="473" t="s">
        <v>2356</v>
      </c>
      <c r="U511" s="106">
        <v>129.68</v>
      </c>
      <c r="V511" s="430">
        <v>0.1</v>
      </c>
      <c r="W511" s="106">
        <v>116.712</v>
      </c>
      <c r="X511" s="147"/>
      <c r="Y511" s="163"/>
      <c r="Z511" s="163"/>
      <c r="AA511" s="163"/>
      <c r="AB511" s="428"/>
      <c r="AC511" s="41" t="s">
        <v>1223</v>
      </c>
      <c r="AD511" s="42" t="s">
        <v>700</v>
      </c>
      <c r="AE511" s="416" t="s">
        <v>1224</v>
      </c>
    </row>
    <row r="512" spans="1:31" s="1" customFormat="1">
      <c r="A512" s="425" t="s">
        <v>2370</v>
      </c>
      <c r="B512" s="113" t="s">
        <v>2371</v>
      </c>
      <c r="C512" s="114">
        <v>1</v>
      </c>
      <c r="D512" s="1006" t="s">
        <v>2339</v>
      </c>
      <c r="E512" s="1023">
        <v>6816.51</v>
      </c>
      <c r="F512" s="116">
        <f t="shared" si="118"/>
        <v>0.1</v>
      </c>
      <c r="G512" s="115">
        <f t="shared" si="111"/>
        <v>6134.8590000000004</v>
      </c>
      <c r="H512" s="24"/>
      <c r="I512" s="22"/>
      <c r="J512" s="22"/>
      <c r="K512" s="25"/>
      <c r="L512" s="47"/>
      <c r="M512" s="624" t="s">
        <v>1223</v>
      </c>
      <c r="N512" s="158" t="s">
        <v>700</v>
      </c>
      <c r="O512" s="417" t="s">
        <v>1224</v>
      </c>
      <c r="P512" s="465" t="s">
        <v>2370</v>
      </c>
      <c r="Q512" s="578" t="s">
        <v>2371</v>
      </c>
      <c r="R512" s="579">
        <v>1</v>
      </c>
      <c r="S512" s="213" t="s">
        <v>2339</v>
      </c>
      <c r="T512" s="153" t="s">
        <v>2370</v>
      </c>
      <c r="U512" s="213">
        <v>6816.51</v>
      </c>
      <c r="V512" s="580">
        <v>0.1</v>
      </c>
      <c r="W512" s="213">
        <v>6134.8590000000004</v>
      </c>
      <c r="X512" s="147"/>
      <c r="Y512" s="163"/>
      <c r="Z512" s="163"/>
      <c r="AA512" s="163"/>
      <c r="AB512" s="428"/>
      <c r="AC512" s="41" t="s">
        <v>1223</v>
      </c>
      <c r="AD512" s="42" t="s">
        <v>700</v>
      </c>
      <c r="AE512" s="416" t="s">
        <v>1224</v>
      </c>
    </row>
    <row r="513" spans="1:31" s="1" customFormat="1">
      <c r="A513" s="477" t="s">
        <v>2372</v>
      </c>
      <c r="B513" s="505" t="s">
        <v>2373</v>
      </c>
      <c r="C513" s="506">
        <v>1</v>
      </c>
      <c r="D513" s="585" t="s">
        <v>2339</v>
      </c>
      <c r="E513" s="1009">
        <v>715.17</v>
      </c>
      <c r="F513" s="430">
        <f t="shared" si="118"/>
        <v>0.1</v>
      </c>
      <c r="G513" s="106">
        <f t="shared" si="111"/>
        <v>643.65300000000002</v>
      </c>
      <c r="H513" s="147"/>
      <c r="I513" s="163"/>
      <c r="J513" s="163"/>
      <c r="K513" s="163"/>
      <c r="L513" s="428"/>
      <c r="M513" s="624" t="s">
        <v>1223</v>
      </c>
      <c r="N513" s="158" t="s">
        <v>700</v>
      </c>
      <c r="O513" s="417" t="s">
        <v>1224</v>
      </c>
      <c r="P513" s="477" t="s">
        <v>2372</v>
      </c>
      <c r="Q513" s="505" t="s">
        <v>2373</v>
      </c>
      <c r="R513" s="506">
        <v>1</v>
      </c>
      <c r="S513" s="106" t="s">
        <v>2339</v>
      </c>
      <c r="T513" s="473" t="s">
        <v>2372</v>
      </c>
      <c r="U513" s="106">
        <v>715.17</v>
      </c>
      <c r="V513" s="430">
        <v>0.1</v>
      </c>
      <c r="W513" s="106">
        <v>643.65300000000002</v>
      </c>
      <c r="X513" s="147"/>
      <c r="Y513" s="163"/>
      <c r="Z513" s="163"/>
      <c r="AA513" s="163"/>
      <c r="AB513" s="428"/>
      <c r="AC513" s="41" t="s">
        <v>1223</v>
      </c>
      <c r="AD513" s="42" t="s">
        <v>700</v>
      </c>
      <c r="AE513" s="416" t="s">
        <v>1224</v>
      </c>
    </row>
    <row r="514" spans="1:31" s="1" customFormat="1">
      <c r="A514" s="477" t="s">
        <v>2374</v>
      </c>
      <c r="B514" s="505" t="s">
        <v>2375</v>
      </c>
      <c r="C514" s="506">
        <v>1</v>
      </c>
      <c r="D514" s="585" t="s">
        <v>2339</v>
      </c>
      <c r="E514" s="1009">
        <v>516.83000000000004</v>
      </c>
      <c r="F514" s="430">
        <f t="shared" si="118"/>
        <v>0.1</v>
      </c>
      <c r="G514" s="106">
        <f t="shared" si="111"/>
        <v>465.14700000000005</v>
      </c>
      <c r="H514" s="147"/>
      <c r="I514" s="163"/>
      <c r="J514" s="163"/>
      <c r="K514" s="163"/>
      <c r="L514" s="428"/>
      <c r="M514" s="624" t="s">
        <v>1223</v>
      </c>
      <c r="N514" s="158" t="s">
        <v>700</v>
      </c>
      <c r="O514" s="417" t="s">
        <v>1224</v>
      </c>
      <c r="P514" s="477" t="s">
        <v>2374</v>
      </c>
      <c r="Q514" s="505" t="s">
        <v>2375</v>
      </c>
      <c r="R514" s="506">
        <v>1</v>
      </c>
      <c r="S514" s="106" t="s">
        <v>2339</v>
      </c>
      <c r="T514" s="473" t="s">
        <v>2374</v>
      </c>
      <c r="U514" s="106">
        <v>516.83000000000004</v>
      </c>
      <c r="V514" s="430">
        <v>0.1</v>
      </c>
      <c r="W514" s="106">
        <v>465.14700000000005</v>
      </c>
      <c r="X514" s="147"/>
      <c r="Y514" s="163"/>
      <c r="Z514" s="163"/>
      <c r="AA514" s="163"/>
      <c r="AB514" s="428"/>
      <c r="AC514" s="41" t="s">
        <v>1223</v>
      </c>
      <c r="AD514" s="42" t="s">
        <v>700</v>
      </c>
      <c r="AE514" s="416" t="s">
        <v>1224</v>
      </c>
    </row>
    <row r="515" spans="1:31" s="1" customFormat="1">
      <c r="A515" s="477" t="s">
        <v>2376</v>
      </c>
      <c r="B515" s="505" t="s">
        <v>2377</v>
      </c>
      <c r="C515" s="506">
        <v>1</v>
      </c>
      <c r="D515" s="585" t="s">
        <v>2339</v>
      </c>
      <c r="E515" s="1009">
        <v>223.49</v>
      </c>
      <c r="F515" s="430">
        <f t="shared" si="118"/>
        <v>0.1</v>
      </c>
      <c r="G515" s="106">
        <f t="shared" si="111"/>
        <v>201.14100000000002</v>
      </c>
      <c r="H515" s="147"/>
      <c r="I515" s="163"/>
      <c r="J515" s="163"/>
      <c r="K515" s="163"/>
      <c r="L515" s="428"/>
      <c r="M515" s="624" t="s">
        <v>1223</v>
      </c>
      <c r="N515" s="158" t="s">
        <v>700</v>
      </c>
      <c r="O515" s="417" t="s">
        <v>1224</v>
      </c>
      <c r="P515" s="477" t="s">
        <v>2376</v>
      </c>
      <c r="Q515" s="505" t="s">
        <v>2377</v>
      </c>
      <c r="R515" s="506">
        <v>1</v>
      </c>
      <c r="S515" s="106" t="s">
        <v>2339</v>
      </c>
      <c r="T515" s="473" t="s">
        <v>2376</v>
      </c>
      <c r="U515" s="106">
        <v>223.49</v>
      </c>
      <c r="V515" s="430">
        <v>0.1</v>
      </c>
      <c r="W515" s="106">
        <v>201.14100000000002</v>
      </c>
      <c r="X515" s="147"/>
      <c r="Y515" s="163"/>
      <c r="Z515" s="163"/>
      <c r="AA515" s="163"/>
      <c r="AB515" s="428"/>
      <c r="AC515" s="41" t="s">
        <v>1223</v>
      </c>
      <c r="AD515" s="42" t="s">
        <v>700</v>
      </c>
      <c r="AE515" s="416" t="s">
        <v>1224</v>
      </c>
    </row>
    <row r="516" spans="1:31" s="1" customFormat="1">
      <c r="A516" s="477" t="s">
        <v>2346</v>
      </c>
      <c r="B516" s="505" t="s">
        <v>2347</v>
      </c>
      <c r="C516" s="506">
        <v>1</v>
      </c>
      <c r="D516" s="585" t="s">
        <v>2339</v>
      </c>
      <c r="E516" s="1009">
        <v>251.43</v>
      </c>
      <c r="F516" s="430">
        <f t="shared" si="118"/>
        <v>0.1</v>
      </c>
      <c r="G516" s="106">
        <f t="shared" si="111"/>
        <v>226.28700000000001</v>
      </c>
      <c r="H516" s="147"/>
      <c r="I516" s="163"/>
      <c r="J516" s="163"/>
      <c r="K516" s="163"/>
      <c r="L516" s="428"/>
      <c r="M516" s="624" t="s">
        <v>1223</v>
      </c>
      <c r="N516" s="158" t="s">
        <v>700</v>
      </c>
      <c r="O516" s="417" t="s">
        <v>1224</v>
      </c>
      <c r="P516" s="477" t="s">
        <v>2346</v>
      </c>
      <c r="Q516" s="505" t="s">
        <v>2347</v>
      </c>
      <c r="R516" s="506">
        <v>1</v>
      </c>
      <c r="S516" s="106" t="s">
        <v>2339</v>
      </c>
      <c r="T516" s="473" t="s">
        <v>2346</v>
      </c>
      <c r="U516" s="106">
        <v>251.43</v>
      </c>
      <c r="V516" s="430">
        <v>0.1</v>
      </c>
      <c r="W516" s="106">
        <v>226.28700000000001</v>
      </c>
      <c r="X516" s="147"/>
      <c r="Y516" s="163"/>
      <c r="Z516" s="163"/>
      <c r="AA516" s="163"/>
      <c r="AB516" s="428"/>
      <c r="AC516" s="41" t="s">
        <v>1223</v>
      </c>
      <c r="AD516" s="42" t="s">
        <v>700</v>
      </c>
      <c r="AE516" s="416" t="s">
        <v>1224</v>
      </c>
    </row>
    <row r="517" spans="1:31" s="1" customFormat="1">
      <c r="A517" s="477" t="s">
        <v>2366</v>
      </c>
      <c r="B517" s="505" t="s">
        <v>2367</v>
      </c>
      <c r="C517" s="506">
        <v>1</v>
      </c>
      <c r="D517" s="585" t="s">
        <v>2339</v>
      </c>
      <c r="E517" s="1009">
        <v>850.79</v>
      </c>
      <c r="F517" s="430">
        <f t="shared" si="118"/>
        <v>0.1</v>
      </c>
      <c r="G517" s="106">
        <f t="shared" si="111"/>
        <v>765.71100000000001</v>
      </c>
      <c r="H517" s="147"/>
      <c r="I517" s="163"/>
      <c r="J517" s="163"/>
      <c r="K517" s="163"/>
      <c r="L517" s="428"/>
      <c r="M517" s="624" t="s">
        <v>1223</v>
      </c>
      <c r="N517" s="158" t="s">
        <v>700</v>
      </c>
      <c r="O517" s="417" t="s">
        <v>1224</v>
      </c>
      <c r="P517" s="477" t="s">
        <v>2366</v>
      </c>
      <c r="Q517" s="505" t="s">
        <v>2367</v>
      </c>
      <c r="R517" s="506">
        <v>1</v>
      </c>
      <c r="S517" s="106" t="s">
        <v>2339</v>
      </c>
      <c r="T517" s="473" t="s">
        <v>2366</v>
      </c>
      <c r="U517" s="106">
        <v>850.79</v>
      </c>
      <c r="V517" s="430">
        <v>0.1</v>
      </c>
      <c r="W517" s="106">
        <v>765.71100000000001</v>
      </c>
      <c r="X517" s="147"/>
      <c r="Y517" s="163"/>
      <c r="Z517" s="163"/>
      <c r="AA517" s="163"/>
      <c r="AB517" s="428"/>
      <c r="AC517" s="41" t="s">
        <v>1223</v>
      </c>
      <c r="AD517" s="42" t="s">
        <v>700</v>
      </c>
      <c r="AE517" s="416" t="s">
        <v>1224</v>
      </c>
    </row>
    <row r="518" spans="1:31" s="1" customFormat="1">
      <c r="A518" s="477" t="s">
        <v>2378</v>
      </c>
      <c r="B518" s="505" t="s">
        <v>2369</v>
      </c>
      <c r="C518" s="506">
        <v>1</v>
      </c>
      <c r="D518" s="585" t="s">
        <v>2339</v>
      </c>
      <c r="E518" s="1009">
        <v>502.86</v>
      </c>
      <c r="F518" s="430">
        <f t="shared" si="118"/>
        <v>0.1</v>
      </c>
      <c r="G518" s="106">
        <f t="shared" si="111"/>
        <v>452.57400000000001</v>
      </c>
      <c r="H518" s="147"/>
      <c r="I518" s="163"/>
      <c r="J518" s="163"/>
      <c r="K518" s="163"/>
      <c r="L518" s="428"/>
      <c r="M518" s="624" t="s">
        <v>1223</v>
      </c>
      <c r="N518" s="158" t="s">
        <v>700</v>
      </c>
      <c r="O518" s="417" t="s">
        <v>1224</v>
      </c>
      <c r="P518" s="477" t="s">
        <v>2378</v>
      </c>
      <c r="Q518" s="505" t="s">
        <v>2369</v>
      </c>
      <c r="R518" s="506">
        <v>1</v>
      </c>
      <c r="S518" s="106" t="s">
        <v>2339</v>
      </c>
      <c r="T518" s="473" t="s">
        <v>2378</v>
      </c>
      <c r="U518" s="106">
        <v>502.86</v>
      </c>
      <c r="V518" s="430">
        <v>0.1</v>
      </c>
      <c r="W518" s="106">
        <v>452.57400000000001</v>
      </c>
      <c r="X518" s="147"/>
      <c r="Y518" s="163"/>
      <c r="Z518" s="163"/>
      <c r="AA518" s="163"/>
      <c r="AB518" s="428"/>
      <c r="AC518" s="41" t="s">
        <v>1223</v>
      </c>
      <c r="AD518" s="42" t="s">
        <v>700</v>
      </c>
      <c r="AE518" s="416" t="s">
        <v>1224</v>
      </c>
    </row>
    <row r="519" spans="1:31" s="1" customFormat="1">
      <c r="A519" s="477" t="s">
        <v>2352</v>
      </c>
      <c r="B519" s="505" t="s">
        <v>2353</v>
      </c>
      <c r="C519" s="506">
        <v>1</v>
      </c>
      <c r="D519" s="585" t="s">
        <v>2339</v>
      </c>
      <c r="E519" s="1009">
        <v>251.43</v>
      </c>
      <c r="F519" s="430">
        <f t="shared" si="118"/>
        <v>0.1</v>
      </c>
      <c r="G519" s="106">
        <f t="shared" si="111"/>
        <v>226.28700000000001</v>
      </c>
      <c r="H519" s="147"/>
      <c r="I519" s="163"/>
      <c r="J519" s="163"/>
      <c r="K519" s="163"/>
      <c r="L519" s="428"/>
      <c r="M519" s="624" t="s">
        <v>1223</v>
      </c>
      <c r="N519" s="158" t="s">
        <v>700</v>
      </c>
      <c r="O519" s="417" t="s">
        <v>1224</v>
      </c>
      <c r="P519" s="477" t="s">
        <v>2352</v>
      </c>
      <c r="Q519" s="505" t="s">
        <v>2353</v>
      </c>
      <c r="R519" s="506">
        <v>1</v>
      </c>
      <c r="S519" s="106" t="s">
        <v>2339</v>
      </c>
      <c r="T519" s="473" t="s">
        <v>2352</v>
      </c>
      <c r="U519" s="106">
        <v>251.43</v>
      </c>
      <c r="V519" s="430">
        <v>0.1</v>
      </c>
      <c r="W519" s="106">
        <v>226.28700000000001</v>
      </c>
      <c r="X519" s="147"/>
      <c r="Y519" s="163"/>
      <c r="Z519" s="163"/>
      <c r="AA519" s="163"/>
      <c r="AB519" s="428"/>
      <c r="AC519" s="41" t="s">
        <v>1223</v>
      </c>
      <c r="AD519" s="42" t="s">
        <v>700</v>
      </c>
      <c r="AE519" s="416" t="s">
        <v>1224</v>
      </c>
    </row>
    <row r="520" spans="1:31" s="1" customFormat="1">
      <c r="A520" s="477" t="s">
        <v>2354</v>
      </c>
      <c r="B520" s="505" t="s">
        <v>2355</v>
      </c>
      <c r="C520" s="506">
        <v>1</v>
      </c>
      <c r="D520" s="585" t="s">
        <v>2339</v>
      </c>
      <c r="E520" s="1009">
        <v>524.76</v>
      </c>
      <c r="F520" s="430">
        <f t="shared" si="118"/>
        <v>0.1</v>
      </c>
      <c r="G520" s="106">
        <f t="shared" si="111"/>
        <v>472.28399999999999</v>
      </c>
      <c r="H520" s="147"/>
      <c r="I520" s="163"/>
      <c r="J520" s="163"/>
      <c r="K520" s="163"/>
      <c r="L520" s="428"/>
      <c r="M520" s="624" t="s">
        <v>1223</v>
      </c>
      <c r="N520" s="158" t="s">
        <v>700</v>
      </c>
      <c r="O520" s="417" t="s">
        <v>1224</v>
      </c>
      <c r="P520" s="477" t="s">
        <v>2354</v>
      </c>
      <c r="Q520" s="505" t="s">
        <v>2355</v>
      </c>
      <c r="R520" s="506">
        <v>1</v>
      </c>
      <c r="S520" s="106" t="s">
        <v>2339</v>
      </c>
      <c r="T520" s="473" t="s">
        <v>2354</v>
      </c>
      <c r="U520" s="106">
        <v>524.76</v>
      </c>
      <c r="V520" s="430">
        <v>0.1</v>
      </c>
      <c r="W520" s="106">
        <v>472.28399999999999</v>
      </c>
      <c r="X520" s="147"/>
      <c r="Y520" s="163"/>
      <c r="Z520" s="163"/>
      <c r="AA520" s="163"/>
      <c r="AB520" s="428"/>
      <c r="AC520" s="41" t="s">
        <v>1223</v>
      </c>
      <c r="AD520" s="42" t="s">
        <v>700</v>
      </c>
      <c r="AE520" s="416" t="s">
        <v>1224</v>
      </c>
    </row>
    <row r="521" spans="1:31" s="1" customFormat="1">
      <c r="A521" s="477" t="s">
        <v>2356</v>
      </c>
      <c r="B521" s="505" t="s">
        <v>2357</v>
      </c>
      <c r="C521" s="506">
        <v>1</v>
      </c>
      <c r="D521" s="585" t="s">
        <v>2339</v>
      </c>
      <c r="E521" s="1009">
        <v>129.68</v>
      </c>
      <c r="F521" s="430">
        <f t="shared" si="118"/>
        <v>0.1</v>
      </c>
      <c r="G521" s="106">
        <f t="shared" si="111"/>
        <v>116.712</v>
      </c>
      <c r="H521" s="147"/>
      <c r="I521" s="163"/>
      <c r="J521" s="163"/>
      <c r="K521" s="163"/>
      <c r="L521" s="428"/>
      <c r="M521" s="624" t="s">
        <v>1223</v>
      </c>
      <c r="N521" s="158" t="s">
        <v>700</v>
      </c>
      <c r="O521" s="417" t="s">
        <v>1224</v>
      </c>
      <c r="P521" s="477" t="s">
        <v>2356</v>
      </c>
      <c r="Q521" s="505" t="s">
        <v>2357</v>
      </c>
      <c r="R521" s="506">
        <v>1</v>
      </c>
      <c r="S521" s="106" t="s">
        <v>2339</v>
      </c>
      <c r="T521" s="473" t="s">
        <v>2356</v>
      </c>
      <c r="U521" s="106">
        <v>129.68</v>
      </c>
      <c r="V521" s="430">
        <v>0.1</v>
      </c>
      <c r="W521" s="106">
        <v>116.712</v>
      </c>
      <c r="X521" s="147"/>
      <c r="Y521" s="163"/>
      <c r="Z521" s="163"/>
      <c r="AA521" s="163"/>
      <c r="AB521" s="428"/>
      <c r="AC521" s="41" t="s">
        <v>1223</v>
      </c>
      <c r="AD521" s="42" t="s">
        <v>700</v>
      </c>
      <c r="AE521" s="416" t="s">
        <v>1224</v>
      </c>
    </row>
    <row r="522" spans="1:31" s="1" customFormat="1">
      <c r="A522" s="425" t="s">
        <v>2379</v>
      </c>
      <c r="B522" s="113" t="s">
        <v>2380</v>
      </c>
      <c r="C522" s="114">
        <v>1</v>
      </c>
      <c r="D522" s="1006" t="s">
        <v>2339</v>
      </c>
      <c r="E522" s="1023">
        <v>8911.75</v>
      </c>
      <c r="F522" s="116">
        <f t="shared" si="118"/>
        <v>0.1</v>
      </c>
      <c r="G522" s="115">
        <f t="shared" si="111"/>
        <v>8020.5749999999998</v>
      </c>
      <c r="H522" s="24"/>
      <c r="I522" s="22"/>
      <c r="J522" s="22"/>
      <c r="K522" s="25"/>
      <c r="L522" s="47"/>
      <c r="M522" s="624" t="s">
        <v>1223</v>
      </c>
      <c r="N522" s="158" t="s">
        <v>700</v>
      </c>
      <c r="O522" s="417" t="s">
        <v>1224</v>
      </c>
      <c r="P522" s="465" t="s">
        <v>2379</v>
      </c>
      <c r="Q522" s="578" t="s">
        <v>2380</v>
      </c>
      <c r="R522" s="579">
        <v>1</v>
      </c>
      <c r="S522" s="213" t="s">
        <v>2339</v>
      </c>
      <c r="T522" s="153" t="s">
        <v>2379</v>
      </c>
      <c r="U522" s="213">
        <v>8911.75</v>
      </c>
      <c r="V522" s="580">
        <v>0.1</v>
      </c>
      <c r="W522" s="213">
        <v>8020.5749999999998</v>
      </c>
      <c r="X522" s="147"/>
      <c r="Y522" s="163"/>
      <c r="Z522" s="163"/>
      <c r="AA522" s="163"/>
      <c r="AB522" s="428"/>
      <c r="AC522" s="41" t="s">
        <v>1223</v>
      </c>
      <c r="AD522" s="42" t="s">
        <v>700</v>
      </c>
      <c r="AE522" s="416" t="s">
        <v>1224</v>
      </c>
    </row>
    <row r="523" spans="1:31" s="1" customFormat="1">
      <c r="A523" s="477" t="s">
        <v>2381</v>
      </c>
      <c r="B523" s="505" t="s">
        <v>2382</v>
      </c>
      <c r="C523" s="506">
        <v>1</v>
      </c>
      <c r="D523" s="585" t="s">
        <v>2339</v>
      </c>
      <c r="E523" s="1009">
        <v>1005.71</v>
      </c>
      <c r="F523" s="430">
        <f t="shared" si="118"/>
        <v>0.1</v>
      </c>
      <c r="G523" s="106">
        <f t="shared" si="111"/>
        <v>905.13900000000001</v>
      </c>
      <c r="H523" s="147"/>
      <c r="I523" s="163"/>
      <c r="J523" s="163"/>
      <c r="K523" s="163"/>
      <c r="L523" s="428"/>
      <c r="M523" s="624" t="s">
        <v>1223</v>
      </c>
      <c r="N523" s="158" t="s">
        <v>700</v>
      </c>
      <c r="O523" s="417" t="s">
        <v>1224</v>
      </c>
      <c r="P523" s="477" t="s">
        <v>2381</v>
      </c>
      <c r="Q523" s="505" t="s">
        <v>2382</v>
      </c>
      <c r="R523" s="506">
        <v>1</v>
      </c>
      <c r="S523" s="106" t="s">
        <v>2339</v>
      </c>
      <c r="T523" s="473" t="s">
        <v>2381</v>
      </c>
      <c r="U523" s="106">
        <v>1005.71</v>
      </c>
      <c r="V523" s="430">
        <v>0.1</v>
      </c>
      <c r="W523" s="106">
        <v>905.13900000000001</v>
      </c>
      <c r="X523" s="147"/>
      <c r="Y523" s="163"/>
      <c r="Z523" s="163"/>
      <c r="AA523" s="163"/>
      <c r="AB523" s="428"/>
      <c r="AC523" s="41" t="s">
        <v>1223</v>
      </c>
      <c r="AD523" s="42" t="s">
        <v>700</v>
      </c>
      <c r="AE523" s="416" t="s">
        <v>1224</v>
      </c>
    </row>
    <row r="524" spans="1:31" s="1" customFormat="1">
      <c r="A524" s="477" t="s">
        <v>2383</v>
      </c>
      <c r="B524" s="505" t="s">
        <v>2384</v>
      </c>
      <c r="C524" s="506">
        <v>1</v>
      </c>
      <c r="D524" s="585" t="s">
        <v>2339</v>
      </c>
      <c r="E524" s="1009">
        <v>586.66999999999996</v>
      </c>
      <c r="F524" s="430">
        <f t="shared" ref="F524:F544" si="119">rv_10</f>
        <v>0.1</v>
      </c>
      <c r="G524" s="106">
        <f t="shared" si="111"/>
        <v>528.00299999999993</v>
      </c>
      <c r="H524" s="147"/>
      <c r="I524" s="163"/>
      <c r="J524" s="163"/>
      <c r="K524" s="163"/>
      <c r="L524" s="428"/>
      <c r="M524" s="624" t="s">
        <v>1223</v>
      </c>
      <c r="N524" s="158" t="s">
        <v>700</v>
      </c>
      <c r="O524" s="417" t="s">
        <v>1224</v>
      </c>
      <c r="P524" s="477" t="s">
        <v>2383</v>
      </c>
      <c r="Q524" s="505" t="s">
        <v>2384</v>
      </c>
      <c r="R524" s="506">
        <v>1</v>
      </c>
      <c r="S524" s="106" t="s">
        <v>2339</v>
      </c>
      <c r="T524" s="473" t="s">
        <v>2383</v>
      </c>
      <c r="U524" s="106">
        <v>586.66999999999996</v>
      </c>
      <c r="V524" s="430">
        <v>0.1</v>
      </c>
      <c r="W524" s="106">
        <v>528.00299999999993</v>
      </c>
      <c r="X524" s="147"/>
      <c r="Y524" s="163"/>
      <c r="Z524" s="163"/>
      <c r="AA524" s="163"/>
      <c r="AB524" s="428"/>
      <c r="AC524" s="41" t="s">
        <v>1223</v>
      </c>
      <c r="AD524" s="42" t="s">
        <v>700</v>
      </c>
      <c r="AE524" s="416" t="s">
        <v>1224</v>
      </c>
    </row>
    <row r="525" spans="1:31" s="1" customFormat="1">
      <c r="A525" s="477" t="s">
        <v>2385</v>
      </c>
      <c r="B525" s="505" t="s">
        <v>2386</v>
      </c>
      <c r="C525" s="506">
        <v>1</v>
      </c>
      <c r="D525" s="585" t="s">
        <v>2339</v>
      </c>
      <c r="E525" s="1009">
        <v>335.24</v>
      </c>
      <c r="F525" s="430">
        <f t="shared" si="119"/>
        <v>0.1</v>
      </c>
      <c r="G525" s="106">
        <f t="shared" si="111"/>
        <v>301.71600000000001</v>
      </c>
      <c r="H525" s="147"/>
      <c r="I525" s="163"/>
      <c r="J525" s="163"/>
      <c r="K525" s="163"/>
      <c r="L525" s="428"/>
      <c r="M525" s="624" t="s">
        <v>1223</v>
      </c>
      <c r="N525" s="158" t="s">
        <v>700</v>
      </c>
      <c r="O525" s="417" t="s">
        <v>1224</v>
      </c>
      <c r="P525" s="477" t="s">
        <v>2385</v>
      </c>
      <c r="Q525" s="505" t="s">
        <v>2386</v>
      </c>
      <c r="R525" s="506">
        <v>1</v>
      </c>
      <c r="S525" s="106" t="s">
        <v>2339</v>
      </c>
      <c r="T525" s="473" t="s">
        <v>2385</v>
      </c>
      <c r="U525" s="106">
        <v>335.24</v>
      </c>
      <c r="V525" s="430">
        <v>0.1</v>
      </c>
      <c r="W525" s="106">
        <v>301.71600000000001</v>
      </c>
      <c r="X525" s="147"/>
      <c r="Y525" s="163"/>
      <c r="Z525" s="163"/>
      <c r="AA525" s="163"/>
      <c r="AB525" s="428"/>
      <c r="AC525" s="41" t="s">
        <v>1223</v>
      </c>
      <c r="AD525" s="42" t="s">
        <v>700</v>
      </c>
      <c r="AE525" s="416" t="s">
        <v>1224</v>
      </c>
    </row>
    <row r="526" spans="1:31" s="1" customFormat="1">
      <c r="A526" s="477" t="s">
        <v>2346</v>
      </c>
      <c r="B526" s="505" t="s">
        <v>2347</v>
      </c>
      <c r="C526" s="506">
        <v>1</v>
      </c>
      <c r="D526" s="585" t="s">
        <v>2339</v>
      </c>
      <c r="E526" s="1009">
        <v>251.43</v>
      </c>
      <c r="F526" s="430">
        <f t="shared" si="119"/>
        <v>0.1</v>
      </c>
      <c r="G526" s="106">
        <f t="shared" si="111"/>
        <v>226.28700000000001</v>
      </c>
      <c r="H526" s="147"/>
      <c r="I526" s="163"/>
      <c r="J526" s="163"/>
      <c r="K526" s="163"/>
      <c r="L526" s="428"/>
      <c r="M526" s="624" t="s">
        <v>1223</v>
      </c>
      <c r="N526" s="158" t="s">
        <v>700</v>
      </c>
      <c r="O526" s="417" t="s">
        <v>1224</v>
      </c>
      <c r="P526" s="477" t="s">
        <v>2346</v>
      </c>
      <c r="Q526" s="505" t="s">
        <v>2347</v>
      </c>
      <c r="R526" s="506">
        <v>1</v>
      </c>
      <c r="S526" s="106" t="s">
        <v>2339</v>
      </c>
      <c r="T526" s="473" t="s">
        <v>2346</v>
      </c>
      <c r="U526" s="106">
        <v>251.43</v>
      </c>
      <c r="V526" s="430">
        <v>0.1</v>
      </c>
      <c r="W526" s="106">
        <v>226.28700000000001</v>
      </c>
      <c r="X526" s="147"/>
      <c r="Y526" s="163"/>
      <c r="Z526" s="163"/>
      <c r="AA526" s="163"/>
      <c r="AB526" s="428"/>
      <c r="AC526" s="41" t="s">
        <v>1223</v>
      </c>
      <c r="AD526" s="42" t="s">
        <v>700</v>
      </c>
      <c r="AE526" s="416" t="s">
        <v>1224</v>
      </c>
    </row>
    <row r="527" spans="1:31" s="1" customFormat="1">
      <c r="A527" s="477" t="s">
        <v>2387</v>
      </c>
      <c r="B527" s="505" t="s">
        <v>2388</v>
      </c>
      <c r="C527" s="506">
        <v>1</v>
      </c>
      <c r="D527" s="585" t="s">
        <v>2339</v>
      </c>
      <c r="E527" s="1009">
        <v>914.29</v>
      </c>
      <c r="F527" s="430">
        <f t="shared" si="119"/>
        <v>0.1</v>
      </c>
      <c r="G527" s="106">
        <f t="shared" si="111"/>
        <v>822.86099999999999</v>
      </c>
      <c r="H527" s="147"/>
      <c r="I527" s="163"/>
      <c r="J527" s="163"/>
      <c r="K527" s="163"/>
      <c r="L527" s="428"/>
      <c r="M527" s="624" t="s">
        <v>1223</v>
      </c>
      <c r="N527" s="158" t="s">
        <v>700</v>
      </c>
      <c r="O527" s="417" t="s">
        <v>1224</v>
      </c>
      <c r="P527" s="477" t="s">
        <v>2387</v>
      </c>
      <c r="Q527" s="505" t="s">
        <v>2388</v>
      </c>
      <c r="R527" s="506">
        <v>1</v>
      </c>
      <c r="S527" s="106" t="s">
        <v>2339</v>
      </c>
      <c r="T527" s="473" t="s">
        <v>2387</v>
      </c>
      <c r="U527" s="106">
        <v>914.29</v>
      </c>
      <c r="V527" s="430">
        <v>0.1</v>
      </c>
      <c r="W527" s="106">
        <v>822.86099999999999</v>
      </c>
      <c r="X527" s="147"/>
      <c r="Y527" s="163"/>
      <c r="Z527" s="163"/>
      <c r="AA527" s="163"/>
      <c r="AB527" s="428"/>
      <c r="AC527" s="41" t="s">
        <v>1223</v>
      </c>
      <c r="AD527" s="42" t="s">
        <v>700</v>
      </c>
      <c r="AE527" s="416" t="s">
        <v>1224</v>
      </c>
    </row>
    <row r="528" spans="1:31" s="1" customFormat="1">
      <c r="A528" s="477" t="s">
        <v>2389</v>
      </c>
      <c r="B528" s="505" t="s">
        <v>2390</v>
      </c>
      <c r="C528" s="506">
        <v>1</v>
      </c>
      <c r="D528" s="585" t="s">
        <v>2339</v>
      </c>
      <c r="E528" s="1009">
        <v>640</v>
      </c>
      <c r="F528" s="430">
        <f t="shared" si="119"/>
        <v>0.1</v>
      </c>
      <c r="G528" s="106">
        <f t="shared" si="111"/>
        <v>576</v>
      </c>
      <c r="H528" s="147"/>
      <c r="I528" s="163"/>
      <c r="J528" s="163"/>
      <c r="K528" s="163"/>
      <c r="L528" s="428"/>
      <c r="M528" s="624" t="s">
        <v>1223</v>
      </c>
      <c r="N528" s="158" t="s">
        <v>700</v>
      </c>
      <c r="O528" s="417" t="s">
        <v>1224</v>
      </c>
      <c r="P528" s="477" t="s">
        <v>2389</v>
      </c>
      <c r="Q528" s="505" t="s">
        <v>2390</v>
      </c>
      <c r="R528" s="506">
        <v>1</v>
      </c>
      <c r="S528" s="106" t="s">
        <v>2339</v>
      </c>
      <c r="T528" s="473" t="s">
        <v>2389</v>
      </c>
      <c r="U528" s="106">
        <v>640</v>
      </c>
      <c r="V528" s="430">
        <v>0.1</v>
      </c>
      <c r="W528" s="106">
        <v>576</v>
      </c>
      <c r="X528" s="147"/>
      <c r="Y528" s="163"/>
      <c r="Z528" s="163"/>
      <c r="AA528" s="163"/>
      <c r="AB528" s="428"/>
      <c r="AC528" s="41" t="s">
        <v>1223</v>
      </c>
      <c r="AD528" s="42" t="s">
        <v>700</v>
      </c>
      <c r="AE528" s="416" t="s">
        <v>1224</v>
      </c>
    </row>
    <row r="529" spans="1:31" s="1" customFormat="1">
      <c r="A529" s="477" t="s">
        <v>2352</v>
      </c>
      <c r="B529" s="505" t="s">
        <v>2353</v>
      </c>
      <c r="C529" s="506">
        <v>1</v>
      </c>
      <c r="D529" s="585" t="s">
        <v>2339</v>
      </c>
      <c r="E529" s="1009">
        <v>251.43</v>
      </c>
      <c r="F529" s="430">
        <f t="shared" si="119"/>
        <v>0.1</v>
      </c>
      <c r="G529" s="106">
        <f t="shared" si="111"/>
        <v>226.28700000000001</v>
      </c>
      <c r="H529" s="147"/>
      <c r="I529" s="163"/>
      <c r="J529" s="163"/>
      <c r="K529" s="163"/>
      <c r="L529" s="428"/>
      <c r="M529" s="624" t="s">
        <v>1223</v>
      </c>
      <c r="N529" s="158" t="s">
        <v>700</v>
      </c>
      <c r="O529" s="417" t="s">
        <v>1224</v>
      </c>
      <c r="P529" s="477" t="s">
        <v>2352</v>
      </c>
      <c r="Q529" s="505" t="s">
        <v>2353</v>
      </c>
      <c r="R529" s="506">
        <v>1</v>
      </c>
      <c r="S529" s="106" t="s">
        <v>2339</v>
      </c>
      <c r="T529" s="473" t="s">
        <v>2352</v>
      </c>
      <c r="U529" s="106">
        <v>251.43</v>
      </c>
      <c r="V529" s="430">
        <v>0.1</v>
      </c>
      <c r="W529" s="106">
        <v>226.28700000000001</v>
      </c>
      <c r="X529" s="147"/>
      <c r="Y529" s="163"/>
      <c r="Z529" s="163"/>
      <c r="AA529" s="163"/>
      <c r="AB529" s="428"/>
      <c r="AC529" s="41" t="s">
        <v>1223</v>
      </c>
      <c r="AD529" s="42" t="s">
        <v>700</v>
      </c>
      <c r="AE529" s="416" t="s">
        <v>1224</v>
      </c>
    </row>
    <row r="530" spans="1:31" s="1" customFormat="1">
      <c r="A530" s="477" t="s">
        <v>2391</v>
      </c>
      <c r="B530" s="505" t="s">
        <v>2392</v>
      </c>
      <c r="C530" s="506">
        <v>1</v>
      </c>
      <c r="D530" s="585" t="s">
        <v>2339</v>
      </c>
      <c r="E530" s="1009">
        <v>279.37</v>
      </c>
      <c r="F530" s="430">
        <f t="shared" si="119"/>
        <v>0.1</v>
      </c>
      <c r="G530" s="106">
        <f t="shared" si="111"/>
        <v>251.43299999999999</v>
      </c>
      <c r="H530" s="147"/>
      <c r="I530" s="163"/>
      <c r="J530" s="163"/>
      <c r="K530" s="163"/>
      <c r="L530" s="428"/>
      <c r="M530" s="624" t="s">
        <v>1223</v>
      </c>
      <c r="N530" s="158" t="s">
        <v>700</v>
      </c>
      <c r="O530" s="417" t="s">
        <v>1224</v>
      </c>
      <c r="P530" s="477" t="s">
        <v>2391</v>
      </c>
      <c r="Q530" s="505" t="s">
        <v>2392</v>
      </c>
      <c r="R530" s="506">
        <v>1</v>
      </c>
      <c r="S530" s="106" t="s">
        <v>2339</v>
      </c>
      <c r="T530" s="473" t="s">
        <v>2391</v>
      </c>
      <c r="U530" s="106">
        <v>279.37</v>
      </c>
      <c r="V530" s="430">
        <v>0.1</v>
      </c>
      <c r="W530" s="106">
        <v>251.43299999999999</v>
      </c>
      <c r="X530" s="147"/>
      <c r="Y530" s="163"/>
      <c r="Z530" s="163"/>
      <c r="AA530" s="163"/>
      <c r="AB530" s="428"/>
      <c r="AC530" s="41" t="s">
        <v>1223</v>
      </c>
      <c r="AD530" s="42" t="s">
        <v>700</v>
      </c>
      <c r="AE530" s="416" t="s">
        <v>1224</v>
      </c>
    </row>
    <row r="531" spans="1:31" s="1" customFormat="1">
      <c r="A531" s="477" t="s">
        <v>2354</v>
      </c>
      <c r="B531" s="505" t="s">
        <v>2355</v>
      </c>
      <c r="C531" s="506">
        <v>1</v>
      </c>
      <c r="D531" s="585" t="s">
        <v>2339</v>
      </c>
      <c r="E531" s="1009">
        <v>524.76</v>
      </c>
      <c r="F531" s="430">
        <f t="shared" si="119"/>
        <v>0.1</v>
      </c>
      <c r="G531" s="106">
        <f t="shared" si="111"/>
        <v>472.28399999999999</v>
      </c>
      <c r="H531" s="147"/>
      <c r="I531" s="163"/>
      <c r="J531" s="163"/>
      <c r="K531" s="163"/>
      <c r="L531" s="428"/>
      <c r="M531" s="624" t="s">
        <v>1223</v>
      </c>
      <c r="N531" s="158" t="s">
        <v>700</v>
      </c>
      <c r="O531" s="417" t="s">
        <v>1224</v>
      </c>
      <c r="P531" s="477" t="s">
        <v>2354</v>
      </c>
      <c r="Q531" s="505" t="s">
        <v>2355</v>
      </c>
      <c r="R531" s="506">
        <v>1</v>
      </c>
      <c r="S531" s="106" t="s">
        <v>2339</v>
      </c>
      <c r="T531" s="473" t="s">
        <v>2354</v>
      </c>
      <c r="U531" s="106">
        <v>524.76</v>
      </c>
      <c r="V531" s="430">
        <v>0.1</v>
      </c>
      <c r="W531" s="106">
        <v>472.28399999999999</v>
      </c>
      <c r="X531" s="147"/>
      <c r="Y531" s="163"/>
      <c r="Z531" s="163"/>
      <c r="AA531" s="163"/>
      <c r="AB531" s="428"/>
      <c r="AC531" s="41" t="s">
        <v>1223</v>
      </c>
      <c r="AD531" s="42" t="s">
        <v>700</v>
      </c>
      <c r="AE531" s="416" t="s">
        <v>1224</v>
      </c>
    </row>
    <row r="532" spans="1:31" s="1" customFormat="1">
      <c r="A532" s="477" t="s">
        <v>2356</v>
      </c>
      <c r="B532" s="505" t="s">
        <v>2357</v>
      </c>
      <c r="C532" s="506">
        <v>1</v>
      </c>
      <c r="D532" s="585" t="s">
        <v>2339</v>
      </c>
      <c r="E532" s="1009">
        <v>129.68</v>
      </c>
      <c r="F532" s="430">
        <f t="shared" si="119"/>
        <v>0.1</v>
      </c>
      <c r="G532" s="106">
        <f t="shared" si="111"/>
        <v>116.712</v>
      </c>
      <c r="H532" s="147"/>
      <c r="I532" s="163"/>
      <c r="J532" s="163"/>
      <c r="K532" s="163"/>
      <c r="L532" s="428"/>
      <c r="M532" s="624" t="s">
        <v>1223</v>
      </c>
      <c r="N532" s="158" t="s">
        <v>700</v>
      </c>
      <c r="O532" s="417" t="s">
        <v>1224</v>
      </c>
      <c r="P532" s="477" t="s">
        <v>2356</v>
      </c>
      <c r="Q532" s="505" t="s">
        <v>2357</v>
      </c>
      <c r="R532" s="506">
        <v>1</v>
      </c>
      <c r="S532" s="106" t="s">
        <v>2339</v>
      </c>
      <c r="T532" s="473" t="s">
        <v>2356</v>
      </c>
      <c r="U532" s="106">
        <v>129.68</v>
      </c>
      <c r="V532" s="430">
        <v>0.1</v>
      </c>
      <c r="W532" s="106">
        <v>116.712</v>
      </c>
      <c r="X532" s="147"/>
      <c r="Y532" s="163"/>
      <c r="Z532" s="163"/>
      <c r="AA532" s="163"/>
      <c r="AB532" s="428"/>
      <c r="AC532" s="41" t="s">
        <v>1223</v>
      </c>
      <c r="AD532" s="42" t="s">
        <v>700</v>
      </c>
      <c r="AE532" s="416" t="s">
        <v>1224</v>
      </c>
    </row>
    <row r="533" spans="1:31" s="1" customFormat="1">
      <c r="A533" s="425" t="s">
        <v>2393</v>
      </c>
      <c r="B533" s="113" t="s">
        <v>2394</v>
      </c>
      <c r="C533" s="114">
        <v>1</v>
      </c>
      <c r="D533" s="1006" t="s">
        <v>2339</v>
      </c>
      <c r="E533" s="1023">
        <v>10741.59</v>
      </c>
      <c r="F533" s="116">
        <f t="shared" si="119"/>
        <v>0.1</v>
      </c>
      <c r="G533" s="115">
        <f t="shared" si="111"/>
        <v>9667.4310000000005</v>
      </c>
      <c r="H533" s="24"/>
      <c r="I533" s="22"/>
      <c r="J533" s="22"/>
      <c r="K533" s="25"/>
      <c r="L533" s="47"/>
      <c r="M533" s="624" t="s">
        <v>1223</v>
      </c>
      <c r="N533" s="158" t="s">
        <v>700</v>
      </c>
      <c r="O533" s="417" t="s">
        <v>1224</v>
      </c>
      <c r="P533" s="465" t="s">
        <v>2393</v>
      </c>
      <c r="Q533" s="578" t="s">
        <v>2394</v>
      </c>
      <c r="R533" s="579">
        <v>1</v>
      </c>
      <c r="S533" s="213" t="s">
        <v>2339</v>
      </c>
      <c r="T533" s="153" t="s">
        <v>2393</v>
      </c>
      <c r="U533" s="213">
        <v>10741.59</v>
      </c>
      <c r="V533" s="580">
        <v>0.1</v>
      </c>
      <c r="W533" s="213">
        <v>9667.4310000000005</v>
      </c>
      <c r="X533" s="147"/>
      <c r="Y533" s="163"/>
      <c r="Z533" s="163"/>
      <c r="AA533" s="163"/>
      <c r="AB533" s="428"/>
      <c r="AC533" s="41" t="s">
        <v>1223</v>
      </c>
      <c r="AD533" s="42" t="s">
        <v>700</v>
      </c>
      <c r="AE533" s="416" t="s">
        <v>1224</v>
      </c>
    </row>
    <row r="534" spans="1:31" s="1" customFormat="1">
      <c r="A534" s="477" t="s">
        <v>2395</v>
      </c>
      <c r="B534" s="505" t="s">
        <v>2396</v>
      </c>
      <c r="C534" s="506">
        <v>1</v>
      </c>
      <c r="D534" s="585" t="s">
        <v>2339</v>
      </c>
      <c r="E534" s="1009">
        <v>1340.95</v>
      </c>
      <c r="F534" s="430">
        <f t="shared" si="119"/>
        <v>0.1</v>
      </c>
      <c r="G534" s="106">
        <f t="shared" si="111"/>
        <v>1206.855</v>
      </c>
      <c r="H534" s="147"/>
      <c r="I534" s="163"/>
      <c r="J534" s="163"/>
      <c r="K534" s="163"/>
      <c r="L534" s="428"/>
      <c r="M534" s="624" t="s">
        <v>1223</v>
      </c>
      <c r="N534" s="158" t="s">
        <v>700</v>
      </c>
      <c r="O534" s="417" t="s">
        <v>1224</v>
      </c>
      <c r="P534" s="477" t="s">
        <v>2395</v>
      </c>
      <c r="Q534" s="505" t="s">
        <v>2396</v>
      </c>
      <c r="R534" s="506">
        <v>1</v>
      </c>
      <c r="S534" s="106" t="s">
        <v>2339</v>
      </c>
      <c r="T534" s="473" t="s">
        <v>2395</v>
      </c>
      <c r="U534" s="106">
        <v>1340.95</v>
      </c>
      <c r="V534" s="430">
        <v>0.1</v>
      </c>
      <c r="W534" s="106">
        <v>1206.855</v>
      </c>
      <c r="X534" s="147"/>
      <c r="Y534" s="163"/>
      <c r="Z534" s="163"/>
      <c r="AA534" s="163"/>
      <c r="AB534" s="428"/>
      <c r="AC534" s="41" t="s">
        <v>1223</v>
      </c>
      <c r="AD534" s="42" t="s">
        <v>700</v>
      </c>
      <c r="AE534" s="416" t="s">
        <v>1224</v>
      </c>
    </row>
    <row r="535" spans="1:31" s="1" customFormat="1">
      <c r="A535" s="477" t="s">
        <v>2397</v>
      </c>
      <c r="B535" s="505" t="s">
        <v>2398</v>
      </c>
      <c r="C535" s="506">
        <v>1</v>
      </c>
      <c r="D535" s="585" t="s">
        <v>2339</v>
      </c>
      <c r="E535" s="1009">
        <v>656.51</v>
      </c>
      <c r="F535" s="430">
        <f t="shared" si="119"/>
        <v>0.1</v>
      </c>
      <c r="G535" s="106">
        <f t="shared" ref="G535:G599" si="120">E535-(E535*F535)</f>
        <v>590.85900000000004</v>
      </c>
      <c r="H535" s="147"/>
      <c r="I535" s="163"/>
      <c r="J535" s="163"/>
      <c r="K535" s="163"/>
      <c r="L535" s="428"/>
      <c r="M535" s="624" t="s">
        <v>1223</v>
      </c>
      <c r="N535" s="158" t="s">
        <v>700</v>
      </c>
      <c r="O535" s="417" t="s">
        <v>1224</v>
      </c>
      <c r="P535" s="477" t="s">
        <v>2397</v>
      </c>
      <c r="Q535" s="505" t="s">
        <v>2398</v>
      </c>
      <c r="R535" s="506">
        <v>1</v>
      </c>
      <c r="S535" s="106" t="s">
        <v>2339</v>
      </c>
      <c r="T535" s="473" t="s">
        <v>2397</v>
      </c>
      <c r="U535" s="106">
        <v>656.51</v>
      </c>
      <c r="V535" s="430">
        <v>0.1</v>
      </c>
      <c r="W535" s="106">
        <v>590.85900000000004</v>
      </c>
      <c r="X535" s="147"/>
      <c r="Y535" s="163"/>
      <c r="Z535" s="163"/>
      <c r="AA535" s="163"/>
      <c r="AB535" s="428"/>
      <c r="AC535" s="41" t="s">
        <v>1223</v>
      </c>
      <c r="AD535" s="42" t="s">
        <v>700</v>
      </c>
      <c r="AE535" s="416" t="s">
        <v>1224</v>
      </c>
    </row>
    <row r="536" spans="1:31" s="1" customFormat="1">
      <c r="A536" s="477" t="s">
        <v>2399</v>
      </c>
      <c r="B536" s="505" t="s">
        <v>2400</v>
      </c>
      <c r="C536" s="506">
        <v>1</v>
      </c>
      <c r="D536" s="585" t="s">
        <v>2339</v>
      </c>
      <c r="E536" s="1009">
        <v>446.98</v>
      </c>
      <c r="F536" s="430">
        <f t="shared" si="119"/>
        <v>0.1</v>
      </c>
      <c r="G536" s="106">
        <f t="shared" si="120"/>
        <v>402.28200000000004</v>
      </c>
      <c r="H536" s="147"/>
      <c r="I536" s="163"/>
      <c r="J536" s="163"/>
      <c r="K536" s="163"/>
      <c r="L536" s="428"/>
      <c r="M536" s="624" t="s">
        <v>1223</v>
      </c>
      <c r="N536" s="158" t="s">
        <v>700</v>
      </c>
      <c r="O536" s="417" t="s">
        <v>1224</v>
      </c>
      <c r="P536" s="477" t="s">
        <v>2399</v>
      </c>
      <c r="Q536" s="505" t="s">
        <v>2400</v>
      </c>
      <c r="R536" s="506">
        <v>1</v>
      </c>
      <c r="S536" s="106" t="s">
        <v>2339</v>
      </c>
      <c r="T536" s="473" t="s">
        <v>2399</v>
      </c>
      <c r="U536" s="106">
        <v>446.98</v>
      </c>
      <c r="V536" s="430">
        <v>0.1</v>
      </c>
      <c r="W536" s="106">
        <v>402.28200000000004</v>
      </c>
      <c r="X536" s="147"/>
      <c r="Y536" s="163"/>
      <c r="Z536" s="163"/>
      <c r="AA536" s="163"/>
      <c r="AB536" s="428"/>
      <c r="AC536" s="41" t="s">
        <v>1223</v>
      </c>
      <c r="AD536" s="42" t="s">
        <v>700</v>
      </c>
      <c r="AE536" s="416" t="s">
        <v>1224</v>
      </c>
    </row>
    <row r="537" spans="1:31" s="1" customFormat="1">
      <c r="A537" s="477" t="s">
        <v>2346</v>
      </c>
      <c r="B537" s="505" t="s">
        <v>2347</v>
      </c>
      <c r="C537" s="506">
        <v>1</v>
      </c>
      <c r="D537" s="585" t="s">
        <v>2339</v>
      </c>
      <c r="E537" s="1009">
        <v>251.43</v>
      </c>
      <c r="F537" s="430">
        <f t="shared" si="119"/>
        <v>0.1</v>
      </c>
      <c r="G537" s="106">
        <f t="shared" si="120"/>
        <v>226.28700000000001</v>
      </c>
      <c r="H537" s="147"/>
      <c r="I537" s="163"/>
      <c r="J537" s="163"/>
      <c r="K537" s="163"/>
      <c r="L537" s="428"/>
      <c r="M537" s="624" t="s">
        <v>1223</v>
      </c>
      <c r="N537" s="158" t="s">
        <v>700</v>
      </c>
      <c r="O537" s="417" t="s">
        <v>1224</v>
      </c>
      <c r="P537" s="477" t="s">
        <v>2346</v>
      </c>
      <c r="Q537" s="505" t="s">
        <v>2347</v>
      </c>
      <c r="R537" s="506">
        <v>1</v>
      </c>
      <c r="S537" s="106" t="s">
        <v>2339</v>
      </c>
      <c r="T537" s="473" t="s">
        <v>2346</v>
      </c>
      <c r="U537" s="106">
        <v>251.43</v>
      </c>
      <c r="V537" s="430">
        <v>0.1</v>
      </c>
      <c r="W537" s="106">
        <v>226.28700000000001</v>
      </c>
      <c r="X537" s="147"/>
      <c r="Y537" s="163"/>
      <c r="Z537" s="163"/>
      <c r="AA537" s="163"/>
      <c r="AB537" s="428"/>
      <c r="AC537" s="41" t="s">
        <v>1223</v>
      </c>
      <c r="AD537" s="42" t="s">
        <v>700</v>
      </c>
      <c r="AE537" s="416" t="s">
        <v>1224</v>
      </c>
    </row>
    <row r="538" spans="1:31" s="1" customFormat="1">
      <c r="A538" s="477" t="s">
        <v>2387</v>
      </c>
      <c r="B538" s="505" t="s">
        <v>2388</v>
      </c>
      <c r="C538" s="506">
        <v>1</v>
      </c>
      <c r="D538" s="585" t="s">
        <v>2339</v>
      </c>
      <c r="E538" s="1009">
        <v>914.29</v>
      </c>
      <c r="F538" s="430">
        <f t="shared" si="119"/>
        <v>0.1</v>
      </c>
      <c r="G538" s="106">
        <f t="shared" si="120"/>
        <v>822.86099999999999</v>
      </c>
      <c r="H538" s="147"/>
      <c r="I538" s="163"/>
      <c r="J538" s="163"/>
      <c r="K538" s="163"/>
      <c r="L538" s="428"/>
      <c r="M538" s="624" t="s">
        <v>1223</v>
      </c>
      <c r="N538" s="158" t="s">
        <v>700</v>
      </c>
      <c r="O538" s="417" t="s">
        <v>1224</v>
      </c>
      <c r="P538" s="477" t="s">
        <v>2387</v>
      </c>
      <c r="Q538" s="505" t="s">
        <v>2388</v>
      </c>
      <c r="R538" s="506">
        <v>1</v>
      </c>
      <c r="S538" s="106" t="s">
        <v>2339</v>
      </c>
      <c r="T538" s="473" t="s">
        <v>2387</v>
      </c>
      <c r="U538" s="106">
        <v>914.29</v>
      </c>
      <c r="V538" s="430">
        <v>0.1</v>
      </c>
      <c r="W538" s="106">
        <v>822.86099999999999</v>
      </c>
      <c r="X538" s="147"/>
      <c r="Y538" s="163"/>
      <c r="Z538" s="163"/>
      <c r="AA538" s="163"/>
      <c r="AB538" s="428"/>
      <c r="AC538" s="41" t="s">
        <v>1223</v>
      </c>
      <c r="AD538" s="42" t="s">
        <v>700</v>
      </c>
      <c r="AE538" s="416" t="s">
        <v>1224</v>
      </c>
    </row>
    <row r="539" spans="1:31" s="1" customFormat="1">
      <c r="A539" s="477" t="s">
        <v>2401</v>
      </c>
      <c r="B539" s="505" t="s">
        <v>2390</v>
      </c>
      <c r="C539" s="506">
        <v>1</v>
      </c>
      <c r="D539" s="585" t="s">
        <v>2339</v>
      </c>
      <c r="E539" s="1009">
        <v>761.9</v>
      </c>
      <c r="F539" s="430">
        <f t="shared" si="119"/>
        <v>0.1</v>
      </c>
      <c r="G539" s="106">
        <f t="shared" si="120"/>
        <v>685.71</v>
      </c>
      <c r="H539" s="147"/>
      <c r="I539" s="163"/>
      <c r="J539" s="163"/>
      <c r="K539" s="163"/>
      <c r="L539" s="428"/>
      <c r="M539" s="624" t="s">
        <v>1223</v>
      </c>
      <c r="N539" s="158" t="s">
        <v>700</v>
      </c>
      <c r="O539" s="417" t="s">
        <v>1224</v>
      </c>
      <c r="P539" s="477" t="s">
        <v>2401</v>
      </c>
      <c r="Q539" s="505" t="s">
        <v>2390</v>
      </c>
      <c r="R539" s="506">
        <v>1</v>
      </c>
      <c r="S539" s="106" t="s">
        <v>2339</v>
      </c>
      <c r="T539" s="473" t="s">
        <v>2401</v>
      </c>
      <c r="U539" s="106">
        <v>761.9</v>
      </c>
      <c r="V539" s="430">
        <v>0.1</v>
      </c>
      <c r="W539" s="106">
        <v>685.71</v>
      </c>
      <c r="X539" s="147"/>
      <c r="Y539" s="163"/>
      <c r="Z539" s="163"/>
      <c r="AA539" s="163"/>
      <c r="AB539" s="428"/>
      <c r="AC539" s="41" t="s">
        <v>1223</v>
      </c>
      <c r="AD539" s="42" t="s">
        <v>700</v>
      </c>
      <c r="AE539" s="416" t="s">
        <v>1224</v>
      </c>
    </row>
    <row r="540" spans="1:31" s="1" customFormat="1">
      <c r="A540" s="477" t="s">
        <v>2352</v>
      </c>
      <c r="B540" s="505" t="s">
        <v>2353</v>
      </c>
      <c r="C540" s="506">
        <v>1</v>
      </c>
      <c r="D540" s="585" t="s">
        <v>2339</v>
      </c>
      <c r="E540" s="1009">
        <v>251.43</v>
      </c>
      <c r="F540" s="430">
        <f t="shared" si="119"/>
        <v>0.1</v>
      </c>
      <c r="G540" s="106">
        <f t="shared" si="120"/>
        <v>226.28700000000001</v>
      </c>
      <c r="H540" s="147"/>
      <c r="I540" s="163"/>
      <c r="J540" s="163"/>
      <c r="K540" s="163"/>
      <c r="L540" s="428"/>
      <c r="M540" s="624" t="s">
        <v>1223</v>
      </c>
      <c r="N540" s="158" t="s">
        <v>700</v>
      </c>
      <c r="O540" s="417" t="s">
        <v>1224</v>
      </c>
      <c r="P540" s="477" t="s">
        <v>2352</v>
      </c>
      <c r="Q540" s="505" t="s">
        <v>2353</v>
      </c>
      <c r="R540" s="506">
        <v>1</v>
      </c>
      <c r="S540" s="106" t="s">
        <v>2339</v>
      </c>
      <c r="T540" s="473" t="s">
        <v>2352</v>
      </c>
      <c r="U540" s="106">
        <v>251.43</v>
      </c>
      <c r="V540" s="430">
        <v>0.1</v>
      </c>
      <c r="W540" s="106">
        <v>226.28700000000001</v>
      </c>
      <c r="X540" s="147"/>
      <c r="Y540" s="163"/>
      <c r="Z540" s="163"/>
      <c r="AA540" s="163"/>
      <c r="AB540" s="428"/>
      <c r="AC540" s="41" t="s">
        <v>1223</v>
      </c>
      <c r="AD540" s="42" t="s">
        <v>700</v>
      </c>
      <c r="AE540" s="416" t="s">
        <v>1224</v>
      </c>
    </row>
    <row r="541" spans="1:31" s="1" customFormat="1">
      <c r="A541" s="477" t="s">
        <v>2391</v>
      </c>
      <c r="B541" s="505" t="s">
        <v>2392</v>
      </c>
      <c r="C541" s="506">
        <v>1</v>
      </c>
      <c r="D541" s="585" t="s">
        <v>2339</v>
      </c>
      <c r="E541" s="1009">
        <v>279.37</v>
      </c>
      <c r="F541" s="430">
        <f t="shared" si="119"/>
        <v>0.1</v>
      </c>
      <c r="G541" s="106">
        <f t="shared" si="120"/>
        <v>251.43299999999999</v>
      </c>
      <c r="H541" s="147"/>
      <c r="I541" s="163"/>
      <c r="J541" s="163"/>
      <c r="K541" s="163"/>
      <c r="L541" s="428"/>
      <c r="M541" s="624" t="s">
        <v>1223</v>
      </c>
      <c r="N541" s="158" t="s">
        <v>700</v>
      </c>
      <c r="O541" s="417" t="s">
        <v>1224</v>
      </c>
      <c r="P541" s="477" t="s">
        <v>2391</v>
      </c>
      <c r="Q541" s="505" t="s">
        <v>2392</v>
      </c>
      <c r="R541" s="506">
        <v>1</v>
      </c>
      <c r="S541" s="106" t="s">
        <v>2339</v>
      </c>
      <c r="T541" s="473" t="s">
        <v>2391</v>
      </c>
      <c r="U541" s="106">
        <v>279.37</v>
      </c>
      <c r="V541" s="430">
        <v>0.1</v>
      </c>
      <c r="W541" s="106">
        <v>251.43299999999999</v>
      </c>
      <c r="X541" s="147"/>
      <c r="Y541" s="163"/>
      <c r="Z541" s="163"/>
      <c r="AA541" s="163"/>
      <c r="AB541" s="428"/>
      <c r="AC541" s="41" t="s">
        <v>1223</v>
      </c>
      <c r="AD541" s="42" t="s">
        <v>700</v>
      </c>
      <c r="AE541" s="416" t="s">
        <v>1224</v>
      </c>
    </row>
    <row r="542" spans="1:31" s="1" customFormat="1">
      <c r="A542" s="477" t="s">
        <v>2354</v>
      </c>
      <c r="B542" s="505" t="s">
        <v>2355</v>
      </c>
      <c r="C542" s="506">
        <v>1</v>
      </c>
      <c r="D542" s="585" t="s">
        <v>2339</v>
      </c>
      <c r="E542" s="1009">
        <v>524.76</v>
      </c>
      <c r="F542" s="430">
        <f t="shared" si="119"/>
        <v>0.1</v>
      </c>
      <c r="G542" s="106">
        <f t="shared" si="120"/>
        <v>472.28399999999999</v>
      </c>
      <c r="H542" s="147"/>
      <c r="I542" s="163"/>
      <c r="J542" s="163"/>
      <c r="K542" s="163"/>
      <c r="L542" s="428"/>
      <c r="M542" s="624" t="s">
        <v>1223</v>
      </c>
      <c r="N542" s="158" t="s">
        <v>700</v>
      </c>
      <c r="O542" s="417" t="s">
        <v>1224</v>
      </c>
      <c r="P542" s="477" t="s">
        <v>2354</v>
      </c>
      <c r="Q542" s="505" t="s">
        <v>2355</v>
      </c>
      <c r="R542" s="506">
        <v>1</v>
      </c>
      <c r="S542" s="106" t="s">
        <v>2339</v>
      </c>
      <c r="T542" s="473" t="s">
        <v>2354</v>
      </c>
      <c r="U542" s="106">
        <v>524.76</v>
      </c>
      <c r="V542" s="430">
        <v>0.1</v>
      </c>
      <c r="W542" s="106">
        <v>472.28399999999999</v>
      </c>
      <c r="X542" s="147"/>
      <c r="Y542" s="163"/>
      <c r="Z542" s="163"/>
      <c r="AA542" s="163"/>
      <c r="AB542" s="428"/>
      <c r="AC542" s="41" t="s">
        <v>1223</v>
      </c>
      <c r="AD542" s="42" t="s">
        <v>700</v>
      </c>
      <c r="AE542" s="416" t="s">
        <v>1224</v>
      </c>
    </row>
    <row r="543" spans="1:31" s="1" customFormat="1">
      <c r="A543" s="477" t="s">
        <v>2356</v>
      </c>
      <c r="B543" s="505" t="s">
        <v>2357</v>
      </c>
      <c r="C543" s="506">
        <v>1</v>
      </c>
      <c r="D543" s="585" t="s">
        <v>2339</v>
      </c>
      <c r="E543" s="1009">
        <v>129.68</v>
      </c>
      <c r="F543" s="430">
        <f t="shared" si="119"/>
        <v>0.1</v>
      </c>
      <c r="G543" s="106">
        <f t="shared" si="120"/>
        <v>116.712</v>
      </c>
      <c r="H543" s="147"/>
      <c r="I543" s="163"/>
      <c r="J543" s="163"/>
      <c r="K543" s="163"/>
      <c r="L543" s="428"/>
      <c r="M543" s="624" t="s">
        <v>1223</v>
      </c>
      <c r="N543" s="158" t="s">
        <v>700</v>
      </c>
      <c r="O543" s="417" t="s">
        <v>1224</v>
      </c>
      <c r="P543" s="477" t="s">
        <v>2356</v>
      </c>
      <c r="Q543" s="505" t="s">
        <v>2357</v>
      </c>
      <c r="R543" s="506">
        <v>1</v>
      </c>
      <c r="S543" s="106" t="s">
        <v>2339</v>
      </c>
      <c r="T543" s="473" t="s">
        <v>2356</v>
      </c>
      <c r="U543" s="106">
        <v>129.68</v>
      </c>
      <c r="V543" s="430">
        <v>0.1</v>
      </c>
      <c r="W543" s="106">
        <v>116.712</v>
      </c>
      <c r="X543" s="147"/>
      <c r="Y543" s="163"/>
      <c r="Z543" s="163"/>
      <c r="AA543" s="163"/>
      <c r="AB543" s="428"/>
      <c r="AC543" s="41" t="s">
        <v>1223</v>
      </c>
      <c r="AD543" s="42" t="s">
        <v>700</v>
      </c>
      <c r="AE543" s="416" t="s">
        <v>1224</v>
      </c>
    </row>
    <row r="544" spans="1:31" s="1" customFormat="1">
      <c r="A544" s="421" t="s">
        <v>2402</v>
      </c>
      <c r="B544" s="113" t="s">
        <v>2403</v>
      </c>
      <c r="C544" s="114">
        <v>1</v>
      </c>
      <c r="D544" s="1006" t="s">
        <v>2339</v>
      </c>
      <c r="E544" s="1023">
        <v>3174.6</v>
      </c>
      <c r="F544" s="116">
        <f t="shared" si="119"/>
        <v>0.1</v>
      </c>
      <c r="G544" s="115">
        <f t="shared" si="120"/>
        <v>2857.14</v>
      </c>
      <c r="H544" s="24"/>
      <c r="I544" s="22"/>
      <c r="J544" s="22"/>
      <c r="K544" s="25"/>
      <c r="L544" s="47"/>
      <c r="M544" s="624" t="s">
        <v>1223</v>
      </c>
      <c r="N544" s="158" t="s">
        <v>700</v>
      </c>
      <c r="O544" s="417" t="s">
        <v>1224</v>
      </c>
      <c r="P544" s="477" t="s">
        <v>2402</v>
      </c>
      <c r="Q544" s="578" t="s">
        <v>2403</v>
      </c>
      <c r="R544" s="579">
        <v>1</v>
      </c>
      <c r="S544" s="213" t="s">
        <v>2339</v>
      </c>
      <c r="T544" s="153" t="s">
        <v>2402</v>
      </c>
      <c r="U544" s="213">
        <v>3174.6</v>
      </c>
      <c r="V544" s="580">
        <v>0.1</v>
      </c>
      <c r="W544" s="213">
        <v>2857.14</v>
      </c>
      <c r="X544" s="147"/>
      <c r="Y544" s="163"/>
      <c r="Z544" s="163"/>
      <c r="AA544" s="163"/>
      <c r="AB544" s="428"/>
      <c r="AC544" s="41" t="s">
        <v>1223</v>
      </c>
      <c r="AD544" s="42" t="s">
        <v>700</v>
      </c>
      <c r="AE544" s="416" t="s">
        <v>1224</v>
      </c>
    </row>
    <row r="545" spans="1:31" s="1" customFormat="1">
      <c r="A545" s="477" t="s">
        <v>2404</v>
      </c>
      <c r="B545" s="505" t="s">
        <v>2405</v>
      </c>
      <c r="C545" s="506">
        <v>1</v>
      </c>
      <c r="D545" s="585" t="s">
        <v>2339</v>
      </c>
      <c r="E545" s="1009">
        <v>0</v>
      </c>
      <c r="F545" s="430"/>
      <c r="G545" s="106">
        <f t="shared" si="120"/>
        <v>0</v>
      </c>
      <c r="H545" s="147"/>
      <c r="I545" s="163"/>
      <c r="J545" s="163"/>
      <c r="K545" s="163"/>
      <c r="L545" s="428"/>
      <c r="M545" s="624" t="s">
        <v>1223</v>
      </c>
      <c r="N545" s="158" t="s">
        <v>700</v>
      </c>
      <c r="O545" s="417" t="s">
        <v>1224</v>
      </c>
      <c r="P545" s="477" t="s">
        <v>2404</v>
      </c>
      <c r="Q545" s="505" t="s">
        <v>2405</v>
      </c>
      <c r="R545" s="506">
        <v>1</v>
      </c>
      <c r="S545" s="106" t="s">
        <v>2339</v>
      </c>
      <c r="T545" s="473" t="s">
        <v>2404</v>
      </c>
      <c r="U545" s="106">
        <v>0</v>
      </c>
      <c r="V545" s="430"/>
      <c r="W545" s="106">
        <v>0</v>
      </c>
      <c r="X545" s="147"/>
      <c r="Y545" s="163"/>
      <c r="Z545" s="163"/>
      <c r="AA545" s="163"/>
      <c r="AB545" s="428"/>
      <c r="AC545" s="41" t="s">
        <v>1223</v>
      </c>
      <c r="AD545" s="42" t="s">
        <v>700</v>
      </c>
      <c r="AE545" s="416" t="s">
        <v>1224</v>
      </c>
    </row>
    <row r="546" spans="1:31" s="1" customFormat="1">
      <c r="A546" s="477" t="s">
        <v>2406</v>
      </c>
      <c r="B546" s="505" t="s">
        <v>2407</v>
      </c>
      <c r="C546" s="506">
        <v>1</v>
      </c>
      <c r="D546" s="585" t="s">
        <v>2339</v>
      </c>
      <c r="E546" s="1009">
        <v>431.75</v>
      </c>
      <c r="F546" s="430">
        <f t="shared" ref="F546:F552" si="121">rv_10</f>
        <v>0.1</v>
      </c>
      <c r="G546" s="106">
        <f t="shared" si="120"/>
        <v>388.57499999999999</v>
      </c>
      <c r="H546" s="147"/>
      <c r="I546" s="163"/>
      <c r="J546" s="163"/>
      <c r="K546" s="163"/>
      <c r="L546" s="428"/>
      <c r="M546" s="624" t="s">
        <v>1223</v>
      </c>
      <c r="N546" s="158" t="s">
        <v>700</v>
      </c>
      <c r="O546" s="417" t="s">
        <v>1224</v>
      </c>
      <c r="P546" s="477" t="s">
        <v>2406</v>
      </c>
      <c r="Q546" s="505" t="s">
        <v>2407</v>
      </c>
      <c r="R546" s="506">
        <v>1</v>
      </c>
      <c r="S546" s="106" t="s">
        <v>2339</v>
      </c>
      <c r="T546" s="473" t="s">
        <v>2406</v>
      </c>
      <c r="U546" s="106">
        <v>431.75</v>
      </c>
      <c r="V546" s="430">
        <v>0.1</v>
      </c>
      <c r="W546" s="106">
        <v>388.57499999999999</v>
      </c>
      <c r="X546" s="147"/>
      <c r="Y546" s="163"/>
      <c r="Z546" s="163"/>
      <c r="AA546" s="163"/>
      <c r="AB546" s="428"/>
      <c r="AC546" s="41" t="s">
        <v>1223</v>
      </c>
      <c r="AD546" s="42" t="s">
        <v>700</v>
      </c>
      <c r="AE546" s="416" t="s">
        <v>1224</v>
      </c>
    </row>
    <row r="547" spans="1:31" s="1" customFormat="1">
      <c r="A547" s="477" t="s">
        <v>2408</v>
      </c>
      <c r="B547" s="505" t="s">
        <v>2409</v>
      </c>
      <c r="C547" s="506">
        <v>1</v>
      </c>
      <c r="D547" s="585" t="s">
        <v>2339</v>
      </c>
      <c r="E547" s="1009">
        <v>1015.87</v>
      </c>
      <c r="F547" s="430">
        <f t="shared" si="121"/>
        <v>0.1</v>
      </c>
      <c r="G547" s="106">
        <f t="shared" si="120"/>
        <v>914.28300000000002</v>
      </c>
      <c r="H547" s="147"/>
      <c r="I547" s="163"/>
      <c r="J547" s="163"/>
      <c r="K547" s="163"/>
      <c r="L547" s="428"/>
      <c r="M547" s="624" t="s">
        <v>1223</v>
      </c>
      <c r="N547" s="158" t="s">
        <v>700</v>
      </c>
      <c r="O547" s="417" t="s">
        <v>1224</v>
      </c>
      <c r="P547" s="477" t="s">
        <v>2408</v>
      </c>
      <c r="Q547" s="505" t="s">
        <v>2409</v>
      </c>
      <c r="R547" s="506">
        <v>1</v>
      </c>
      <c r="S547" s="106" t="s">
        <v>2339</v>
      </c>
      <c r="T547" s="473" t="s">
        <v>2408</v>
      </c>
      <c r="U547" s="106">
        <v>1015.87</v>
      </c>
      <c r="V547" s="430">
        <v>0.1</v>
      </c>
      <c r="W547" s="106">
        <v>914.28300000000002</v>
      </c>
      <c r="X547" s="147"/>
      <c r="Y547" s="163"/>
      <c r="Z547" s="163"/>
      <c r="AA547" s="163"/>
      <c r="AB547" s="428"/>
      <c r="AC547" s="41" t="s">
        <v>1223</v>
      </c>
      <c r="AD547" s="42" t="s">
        <v>700</v>
      </c>
      <c r="AE547" s="416" t="s">
        <v>1224</v>
      </c>
    </row>
    <row r="548" spans="1:31" s="1" customFormat="1">
      <c r="A548" s="477" t="s">
        <v>2410</v>
      </c>
      <c r="B548" s="505" t="s">
        <v>2411</v>
      </c>
      <c r="C548" s="506">
        <v>1</v>
      </c>
      <c r="D548" s="585" t="s">
        <v>2339</v>
      </c>
      <c r="E548" s="1009">
        <v>1600</v>
      </c>
      <c r="F548" s="430">
        <f t="shared" si="121"/>
        <v>0.1</v>
      </c>
      <c r="G548" s="106">
        <f t="shared" si="120"/>
        <v>1440</v>
      </c>
      <c r="H548" s="147"/>
      <c r="I548" s="163"/>
      <c r="J548" s="163"/>
      <c r="K548" s="163"/>
      <c r="L548" s="428"/>
      <c r="M548" s="624" t="s">
        <v>1223</v>
      </c>
      <c r="N548" s="158" t="s">
        <v>700</v>
      </c>
      <c r="O548" s="417" t="s">
        <v>1224</v>
      </c>
      <c r="P548" s="477" t="s">
        <v>2410</v>
      </c>
      <c r="Q548" s="505" t="s">
        <v>2411</v>
      </c>
      <c r="R548" s="506">
        <v>1</v>
      </c>
      <c r="S548" s="106" t="s">
        <v>2339</v>
      </c>
      <c r="T548" s="473" t="s">
        <v>2410</v>
      </c>
      <c r="U548" s="106">
        <v>1600</v>
      </c>
      <c r="V548" s="430">
        <v>0.1</v>
      </c>
      <c r="W548" s="106">
        <v>1440</v>
      </c>
      <c r="X548" s="147"/>
      <c r="Y548" s="163"/>
      <c r="Z548" s="163"/>
      <c r="AA548" s="163"/>
      <c r="AB548" s="428"/>
      <c r="AC548" s="41" t="s">
        <v>1223</v>
      </c>
      <c r="AD548" s="42" t="s">
        <v>700</v>
      </c>
      <c r="AE548" s="416" t="s">
        <v>1224</v>
      </c>
    </row>
    <row r="549" spans="1:31" s="1" customFormat="1">
      <c r="A549" s="477" t="s">
        <v>2412</v>
      </c>
      <c r="B549" s="505" t="s">
        <v>2413</v>
      </c>
      <c r="C549" s="506">
        <v>1</v>
      </c>
      <c r="D549" s="585" t="s">
        <v>2339</v>
      </c>
      <c r="E549" s="1009">
        <v>2679.37</v>
      </c>
      <c r="F549" s="430">
        <f t="shared" si="121"/>
        <v>0.1</v>
      </c>
      <c r="G549" s="106">
        <f t="shared" si="120"/>
        <v>2411.433</v>
      </c>
      <c r="H549" s="147"/>
      <c r="I549" s="163"/>
      <c r="J549" s="163"/>
      <c r="K549" s="163"/>
      <c r="L549" s="428"/>
      <c r="M549" s="624" t="s">
        <v>1223</v>
      </c>
      <c r="N549" s="158" t="s">
        <v>700</v>
      </c>
      <c r="O549" s="417" t="s">
        <v>1224</v>
      </c>
      <c r="P549" s="477" t="s">
        <v>2412</v>
      </c>
      <c r="Q549" s="505" t="s">
        <v>2413</v>
      </c>
      <c r="R549" s="506">
        <v>1</v>
      </c>
      <c r="S549" s="106" t="s">
        <v>2339</v>
      </c>
      <c r="T549" s="473" t="s">
        <v>2412</v>
      </c>
      <c r="U549" s="106">
        <v>2679.37</v>
      </c>
      <c r="V549" s="430">
        <v>0.1</v>
      </c>
      <c r="W549" s="106">
        <v>2411.433</v>
      </c>
      <c r="X549" s="147"/>
      <c r="Y549" s="163"/>
      <c r="Z549" s="163"/>
      <c r="AA549" s="163"/>
      <c r="AB549" s="428"/>
      <c r="AC549" s="41" t="s">
        <v>1223</v>
      </c>
      <c r="AD549" s="42" t="s">
        <v>700</v>
      </c>
      <c r="AE549" s="416" t="s">
        <v>1224</v>
      </c>
    </row>
    <row r="550" spans="1:31" s="1" customFormat="1">
      <c r="A550" s="477" t="s">
        <v>2414</v>
      </c>
      <c r="B550" s="505" t="s">
        <v>2415</v>
      </c>
      <c r="C550" s="506">
        <v>1</v>
      </c>
      <c r="D550" s="585" t="s">
        <v>2339</v>
      </c>
      <c r="E550" s="1009">
        <v>609.52</v>
      </c>
      <c r="F550" s="430">
        <f t="shared" si="121"/>
        <v>0.1</v>
      </c>
      <c r="G550" s="106">
        <f t="shared" si="120"/>
        <v>548.56799999999998</v>
      </c>
      <c r="H550" s="147"/>
      <c r="I550" s="163"/>
      <c r="J550" s="163"/>
      <c r="K550" s="163"/>
      <c r="L550" s="428"/>
      <c r="M550" s="624" t="s">
        <v>1223</v>
      </c>
      <c r="N550" s="158" t="s">
        <v>700</v>
      </c>
      <c r="O550" s="417" t="s">
        <v>1224</v>
      </c>
      <c r="P550" s="477" t="s">
        <v>2414</v>
      </c>
      <c r="Q550" s="505" t="s">
        <v>2415</v>
      </c>
      <c r="R550" s="506">
        <v>1</v>
      </c>
      <c r="S550" s="106" t="s">
        <v>2339</v>
      </c>
      <c r="T550" s="473" t="s">
        <v>2414</v>
      </c>
      <c r="U550" s="106">
        <v>609.52</v>
      </c>
      <c r="V550" s="430">
        <v>0.1</v>
      </c>
      <c r="W550" s="106">
        <v>548.56799999999998</v>
      </c>
      <c r="X550" s="147"/>
      <c r="Y550" s="163"/>
      <c r="Z550" s="163"/>
      <c r="AA550" s="163"/>
      <c r="AB550" s="428"/>
      <c r="AC550" s="41" t="s">
        <v>1223</v>
      </c>
      <c r="AD550" s="42" t="s">
        <v>700</v>
      </c>
      <c r="AE550" s="416" t="s">
        <v>1224</v>
      </c>
    </row>
    <row r="551" spans="1:31" s="1" customFormat="1">
      <c r="A551" s="477" t="s">
        <v>2416</v>
      </c>
      <c r="B551" s="505" t="s">
        <v>2417</v>
      </c>
      <c r="C551" s="506">
        <v>1</v>
      </c>
      <c r="D551" s="585" t="s">
        <v>2339</v>
      </c>
      <c r="E551" s="1009">
        <v>26.98</v>
      </c>
      <c r="F551" s="430">
        <f t="shared" si="121"/>
        <v>0.1</v>
      </c>
      <c r="G551" s="106">
        <f t="shared" si="120"/>
        <v>24.282</v>
      </c>
      <c r="H551" s="147"/>
      <c r="I551" s="163"/>
      <c r="J551" s="163"/>
      <c r="K551" s="163"/>
      <c r="L551" s="428"/>
      <c r="M551" s="624" t="s">
        <v>1223</v>
      </c>
      <c r="N551" s="158" t="s">
        <v>700</v>
      </c>
      <c r="O551" s="417" t="s">
        <v>1224</v>
      </c>
      <c r="P551" s="477" t="s">
        <v>2416</v>
      </c>
      <c r="Q551" s="505" t="s">
        <v>2417</v>
      </c>
      <c r="R551" s="506">
        <v>1</v>
      </c>
      <c r="S551" s="106" t="s">
        <v>2339</v>
      </c>
      <c r="T551" s="473" t="s">
        <v>2416</v>
      </c>
      <c r="U551" s="106">
        <v>26.98</v>
      </c>
      <c r="V551" s="430">
        <v>0.1</v>
      </c>
      <c r="W551" s="106">
        <v>24.282</v>
      </c>
      <c r="X551" s="147"/>
      <c r="Y551" s="163"/>
      <c r="Z551" s="163"/>
      <c r="AA551" s="163"/>
      <c r="AB551" s="428"/>
      <c r="AC551" s="41" t="s">
        <v>1223</v>
      </c>
      <c r="AD551" s="42" t="s">
        <v>700</v>
      </c>
      <c r="AE551" s="416" t="s">
        <v>1224</v>
      </c>
    </row>
    <row r="552" spans="1:31" s="1" customFormat="1">
      <c r="A552" s="421" t="s">
        <v>2418</v>
      </c>
      <c r="B552" s="113" t="s">
        <v>2419</v>
      </c>
      <c r="C552" s="114">
        <v>1</v>
      </c>
      <c r="D552" s="1006" t="s">
        <v>2339</v>
      </c>
      <c r="E552" s="1023">
        <v>3530.16</v>
      </c>
      <c r="F552" s="116">
        <f t="shared" si="121"/>
        <v>0.1</v>
      </c>
      <c r="G552" s="115">
        <f t="shared" si="120"/>
        <v>3177.1439999999998</v>
      </c>
      <c r="H552" s="24"/>
      <c r="I552" s="22"/>
      <c r="J552" s="22"/>
      <c r="K552" s="25"/>
      <c r="L552" s="47"/>
      <c r="M552" s="624" t="s">
        <v>1223</v>
      </c>
      <c r="N552" s="158" t="s">
        <v>700</v>
      </c>
      <c r="O552" s="417" t="s">
        <v>1224</v>
      </c>
      <c r="P552" s="477" t="s">
        <v>2418</v>
      </c>
      <c r="Q552" s="578" t="s">
        <v>2419</v>
      </c>
      <c r="R552" s="579">
        <v>1</v>
      </c>
      <c r="S552" s="213" t="s">
        <v>2339</v>
      </c>
      <c r="T552" s="153" t="s">
        <v>2418</v>
      </c>
      <c r="U552" s="213">
        <v>3530.16</v>
      </c>
      <c r="V552" s="580">
        <v>0.1</v>
      </c>
      <c r="W552" s="213">
        <v>3177.1439999999998</v>
      </c>
      <c r="X552" s="147"/>
      <c r="Y552" s="163"/>
      <c r="Z552" s="163"/>
      <c r="AA552" s="163"/>
      <c r="AB552" s="428"/>
      <c r="AC552" s="41" t="s">
        <v>1223</v>
      </c>
      <c r="AD552" s="42" t="s">
        <v>700</v>
      </c>
      <c r="AE552" s="416" t="s">
        <v>1224</v>
      </c>
    </row>
    <row r="553" spans="1:31" s="1" customFormat="1">
      <c r="A553" s="477" t="s">
        <v>2404</v>
      </c>
      <c r="B553" s="505" t="s">
        <v>2405</v>
      </c>
      <c r="C553" s="506">
        <v>1</v>
      </c>
      <c r="D553" s="585" t="s">
        <v>2339</v>
      </c>
      <c r="E553" s="1009">
        <v>0</v>
      </c>
      <c r="F553" s="430"/>
      <c r="G553" s="106">
        <f t="shared" si="120"/>
        <v>0</v>
      </c>
      <c r="H553" s="147"/>
      <c r="I553" s="163"/>
      <c r="J553" s="163"/>
      <c r="K553" s="163"/>
      <c r="L553" s="428"/>
      <c r="M553" s="624" t="s">
        <v>1223</v>
      </c>
      <c r="N553" s="158" t="s">
        <v>700</v>
      </c>
      <c r="O553" s="417" t="s">
        <v>1224</v>
      </c>
      <c r="P553" s="477" t="s">
        <v>2404</v>
      </c>
      <c r="Q553" s="505" t="s">
        <v>2405</v>
      </c>
      <c r="R553" s="506">
        <v>1</v>
      </c>
      <c r="S553" s="106" t="s">
        <v>2339</v>
      </c>
      <c r="T553" s="473" t="s">
        <v>2404</v>
      </c>
      <c r="U553" s="106">
        <v>0</v>
      </c>
      <c r="V553" s="430"/>
      <c r="W553" s="106">
        <v>0</v>
      </c>
      <c r="X553" s="147"/>
      <c r="Y553" s="163"/>
      <c r="Z553" s="163"/>
      <c r="AA553" s="163"/>
      <c r="AB553" s="428"/>
      <c r="AC553" s="41" t="s">
        <v>1223</v>
      </c>
      <c r="AD553" s="42" t="s">
        <v>700</v>
      </c>
      <c r="AE553" s="416" t="s">
        <v>1224</v>
      </c>
    </row>
    <row r="554" spans="1:31" s="1" customFormat="1">
      <c r="A554" s="477" t="s">
        <v>2406</v>
      </c>
      <c r="B554" s="505" t="s">
        <v>2407</v>
      </c>
      <c r="C554" s="506">
        <v>1</v>
      </c>
      <c r="D554" s="585" t="s">
        <v>2339</v>
      </c>
      <c r="E554" s="1009">
        <v>431.75</v>
      </c>
      <c r="F554" s="430">
        <f t="shared" ref="F554:F560" si="122">rv_10</f>
        <v>0.1</v>
      </c>
      <c r="G554" s="106">
        <f t="shared" si="120"/>
        <v>388.57499999999999</v>
      </c>
      <c r="H554" s="147"/>
      <c r="I554" s="163"/>
      <c r="J554" s="163"/>
      <c r="K554" s="163"/>
      <c r="L554" s="428"/>
      <c r="M554" s="624" t="s">
        <v>1223</v>
      </c>
      <c r="N554" s="158" t="s">
        <v>700</v>
      </c>
      <c r="O554" s="417" t="s">
        <v>1224</v>
      </c>
      <c r="P554" s="477" t="s">
        <v>2406</v>
      </c>
      <c r="Q554" s="505" t="s">
        <v>2407</v>
      </c>
      <c r="R554" s="506">
        <v>1</v>
      </c>
      <c r="S554" s="106" t="s">
        <v>2339</v>
      </c>
      <c r="T554" s="473" t="s">
        <v>2406</v>
      </c>
      <c r="U554" s="106">
        <v>431.75</v>
      </c>
      <c r="V554" s="430">
        <v>0.1</v>
      </c>
      <c r="W554" s="106">
        <v>388.57499999999999</v>
      </c>
      <c r="X554" s="147"/>
      <c r="Y554" s="163"/>
      <c r="Z554" s="163"/>
      <c r="AA554" s="163"/>
      <c r="AB554" s="428"/>
      <c r="AC554" s="41" t="s">
        <v>1223</v>
      </c>
      <c r="AD554" s="42" t="s">
        <v>700</v>
      </c>
      <c r="AE554" s="416" t="s">
        <v>1224</v>
      </c>
    </row>
    <row r="555" spans="1:31" s="1" customFormat="1">
      <c r="A555" s="477" t="s">
        <v>2408</v>
      </c>
      <c r="B555" s="505" t="s">
        <v>2409</v>
      </c>
      <c r="C555" s="506">
        <v>1</v>
      </c>
      <c r="D555" s="585" t="s">
        <v>2339</v>
      </c>
      <c r="E555" s="1009">
        <v>1015.87</v>
      </c>
      <c r="F555" s="430">
        <f t="shared" si="122"/>
        <v>0.1</v>
      </c>
      <c r="G555" s="106">
        <f t="shared" si="120"/>
        <v>914.28300000000002</v>
      </c>
      <c r="H555" s="147"/>
      <c r="I555" s="163"/>
      <c r="J555" s="163"/>
      <c r="K555" s="163"/>
      <c r="L555" s="428"/>
      <c r="M555" s="624" t="s">
        <v>1223</v>
      </c>
      <c r="N555" s="158" t="s">
        <v>700</v>
      </c>
      <c r="O555" s="417" t="s">
        <v>1224</v>
      </c>
      <c r="P555" s="477" t="s">
        <v>2408</v>
      </c>
      <c r="Q555" s="505" t="s">
        <v>2409</v>
      </c>
      <c r="R555" s="506">
        <v>1</v>
      </c>
      <c r="S555" s="106" t="s">
        <v>2339</v>
      </c>
      <c r="T555" s="473" t="s">
        <v>2408</v>
      </c>
      <c r="U555" s="106">
        <v>1015.87</v>
      </c>
      <c r="V555" s="430">
        <v>0.1</v>
      </c>
      <c r="W555" s="106">
        <v>914.28300000000002</v>
      </c>
      <c r="X555" s="147"/>
      <c r="Y555" s="163"/>
      <c r="Z555" s="163"/>
      <c r="AA555" s="163"/>
      <c r="AB555" s="428"/>
      <c r="AC555" s="41" t="s">
        <v>1223</v>
      </c>
      <c r="AD555" s="42" t="s">
        <v>700</v>
      </c>
      <c r="AE555" s="416" t="s">
        <v>1224</v>
      </c>
    </row>
    <row r="556" spans="1:31" s="1" customFormat="1">
      <c r="A556" s="477" t="s">
        <v>2410</v>
      </c>
      <c r="B556" s="505" t="s">
        <v>2411</v>
      </c>
      <c r="C556" s="506">
        <v>1</v>
      </c>
      <c r="D556" s="585" t="s">
        <v>2339</v>
      </c>
      <c r="E556" s="1009">
        <v>1600</v>
      </c>
      <c r="F556" s="430">
        <f t="shared" si="122"/>
        <v>0.1</v>
      </c>
      <c r="G556" s="106">
        <f t="shared" si="120"/>
        <v>1440</v>
      </c>
      <c r="H556" s="147"/>
      <c r="I556" s="163"/>
      <c r="J556" s="163"/>
      <c r="K556" s="163"/>
      <c r="L556" s="428"/>
      <c r="M556" s="624" t="s">
        <v>1223</v>
      </c>
      <c r="N556" s="158" t="s">
        <v>700</v>
      </c>
      <c r="O556" s="417" t="s">
        <v>1224</v>
      </c>
      <c r="P556" s="477" t="s">
        <v>2410</v>
      </c>
      <c r="Q556" s="505" t="s">
        <v>2411</v>
      </c>
      <c r="R556" s="506">
        <v>1</v>
      </c>
      <c r="S556" s="106" t="s">
        <v>2339</v>
      </c>
      <c r="T556" s="473" t="s">
        <v>2410</v>
      </c>
      <c r="U556" s="106">
        <v>1600</v>
      </c>
      <c r="V556" s="430">
        <v>0.1</v>
      </c>
      <c r="W556" s="106">
        <v>1440</v>
      </c>
      <c r="X556" s="147"/>
      <c r="Y556" s="163"/>
      <c r="Z556" s="163"/>
      <c r="AA556" s="163"/>
      <c r="AB556" s="428"/>
      <c r="AC556" s="41" t="s">
        <v>1223</v>
      </c>
      <c r="AD556" s="42" t="s">
        <v>700</v>
      </c>
      <c r="AE556" s="416" t="s">
        <v>1224</v>
      </c>
    </row>
    <row r="557" spans="1:31" s="1" customFormat="1">
      <c r="A557" s="477" t="s">
        <v>2412</v>
      </c>
      <c r="B557" s="505" t="s">
        <v>2413</v>
      </c>
      <c r="C557" s="506">
        <v>1</v>
      </c>
      <c r="D557" s="585" t="s">
        <v>2339</v>
      </c>
      <c r="E557" s="1009">
        <v>2679.37</v>
      </c>
      <c r="F557" s="430">
        <f t="shared" si="122"/>
        <v>0.1</v>
      </c>
      <c r="G557" s="106">
        <f t="shared" si="120"/>
        <v>2411.433</v>
      </c>
      <c r="H557" s="147"/>
      <c r="I557" s="163"/>
      <c r="J557" s="163"/>
      <c r="K557" s="163"/>
      <c r="L557" s="428"/>
      <c r="M557" s="624" t="s">
        <v>1223</v>
      </c>
      <c r="N557" s="158" t="s">
        <v>700</v>
      </c>
      <c r="O557" s="417" t="s">
        <v>1224</v>
      </c>
      <c r="P557" s="477" t="s">
        <v>2412</v>
      </c>
      <c r="Q557" s="505" t="s">
        <v>2413</v>
      </c>
      <c r="R557" s="506">
        <v>1</v>
      </c>
      <c r="S557" s="106" t="s">
        <v>2339</v>
      </c>
      <c r="T557" s="473" t="s">
        <v>2412</v>
      </c>
      <c r="U557" s="106">
        <v>2679.37</v>
      </c>
      <c r="V557" s="430">
        <v>0.1</v>
      </c>
      <c r="W557" s="106">
        <v>2411.433</v>
      </c>
      <c r="X557" s="147"/>
      <c r="Y557" s="163"/>
      <c r="Z557" s="163"/>
      <c r="AA557" s="163"/>
      <c r="AB557" s="428"/>
      <c r="AC557" s="41" t="s">
        <v>1223</v>
      </c>
      <c r="AD557" s="42" t="s">
        <v>700</v>
      </c>
      <c r="AE557" s="416" t="s">
        <v>1224</v>
      </c>
    </row>
    <row r="558" spans="1:31" s="1" customFormat="1">
      <c r="A558" s="477" t="s">
        <v>2414</v>
      </c>
      <c r="B558" s="505" t="s">
        <v>2415</v>
      </c>
      <c r="C558" s="506">
        <v>1</v>
      </c>
      <c r="D558" s="585" t="s">
        <v>2339</v>
      </c>
      <c r="E558" s="1009">
        <v>609.52</v>
      </c>
      <c r="F558" s="430">
        <f t="shared" si="122"/>
        <v>0.1</v>
      </c>
      <c r="G558" s="106">
        <f t="shared" si="120"/>
        <v>548.56799999999998</v>
      </c>
      <c r="H558" s="147"/>
      <c r="I558" s="163"/>
      <c r="J558" s="163"/>
      <c r="K558" s="163"/>
      <c r="L558" s="428"/>
      <c r="M558" s="624" t="s">
        <v>1223</v>
      </c>
      <c r="N558" s="158" t="s">
        <v>700</v>
      </c>
      <c r="O558" s="417" t="s">
        <v>1224</v>
      </c>
      <c r="P558" s="477" t="s">
        <v>2414</v>
      </c>
      <c r="Q558" s="505" t="s">
        <v>2415</v>
      </c>
      <c r="R558" s="506">
        <v>1</v>
      </c>
      <c r="S558" s="106" t="s">
        <v>2339</v>
      </c>
      <c r="T558" s="473" t="s">
        <v>2414</v>
      </c>
      <c r="U558" s="106">
        <v>609.52</v>
      </c>
      <c r="V558" s="430">
        <v>0.1</v>
      </c>
      <c r="W558" s="106">
        <v>548.56799999999998</v>
      </c>
      <c r="X558" s="147"/>
      <c r="Y558" s="163"/>
      <c r="Z558" s="163"/>
      <c r="AA558" s="163"/>
      <c r="AB558" s="428"/>
      <c r="AC558" s="41" t="s">
        <v>1223</v>
      </c>
      <c r="AD558" s="42" t="s">
        <v>700</v>
      </c>
      <c r="AE558" s="416" t="s">
        <v>1224</v>
      </c>
    </row>
    <row r="559" spans="1:31" s="1" customFormat="1">
      <c r="A559" s="477" t="s">
        <v>2416</v>
      </c>
      <c r="B559" s="505" t="s">
        <v>2417</v>
      </c>
      <c r="C559" s="506">
        <v>1</v>
      </c>
      <c r="D559" s="585" t="s">
        <v>2339</v>
      </c>
      <c r="E559" s="1009">
        <v>26.98</v>
      </c>
      <c r="F559" s="430">
        <f t="shared" si="122"/>
        <v>0.1</v>
      </c>
      <c r="G559" s="106">
        <f t="shared" si="120"/>
        <v>24.282</v>
      </c>
      <c r="H559" s="147"/>
      <c r="I559" s="163"/>
      <c r="J559" s="163"/>
      <c r="K559" s="163"/>
      <c r="L559" s="428"/>
      <c r="M559" s="624" t="s">
        <v>1223</v>
      </c>
      <c r="N559" s="158" t="s">
        <v>700</v>
      </c>
      <c r="O559" s="417" t="s">
        <v>1224</v>
      </c>
      <c r="P559" s="477" t="s">
        <v>2416</v>
      </c>
      <c r="Q559" s="505" t="s">
        <v>2417</v>
      </c>
      <c r="R559" s="506">
        <v>1</v>
      </c>
      <c r="S559" s="106" t="s">
        <v>2339</v>
      </c>
      <c r="T559" s="473" t="s">
        <v>2416</v>
      </c>
      <c r="U559" s="106">
        <v>26.98</v>
      </c>
      <c r="V559" s="430">
        <v>0.1</v>
      </c>
      <c r="W559" s="106">
        <v>24.282</v>
      </c>
      <c r="X559" s="147"/>
      <c r="Y559" s="163"/>
      <c r="Z559" s="163"/>
      <c r="AA559" s="163"/>
      <c r="AB559" s="428"/>
      <c r="AC559" s="41" t="s">
        <v>1223</v>
      </c>
      <c r="AD559" s="42" t="s">
        <v>700</v>
      </c>
      <c r="AE559" s="416" t="s">
        <v>1224</v>
      </c>
    </row>
    <row r="560" spans="1:31" s="1" customFormat="1">
      <c r="A560" s="421" t="s">
        <v>2420</v>
      </c>
      <c r="B560" s="113" t="s">
        <v>2421</v>
      </c>
      <c r="C560" s="114">
        <v>1</v>
      </c>
      <c r="D560" s="1006" t="s">
        <v>2339</v>
      </c>
      <c r="E560" s="1023">
        <v>4431.75</v>
      </c>
      <c r="F560" s="116">
        <f t="shared" si="122"/>
        <v>0.1</v>
      </c>
      <c r="G560" s="115">
        <f t="shared" si="120"/>
        <v>3988.5749999999998</v>
      </c>
      <c r="H560" s="24"/>
      <c r="I560" s="22"/>
      <c r="J560" s="22"/>
      <c r="K560" s="25"/>
      <c r="L560" s="47"/>
      <c r="M560" s="624" t="s">
        <v>1223</v>
      </c>
      <c r="N560" s="158" t="s">
        <v>700</v>
      </c>
      <c r="O560" s="417" t="s">
        <v>1224</v>
      </c>
      <c r="P560" s="477" t="s">
        <v>2420</v>
      </c>
      <c r="Q560" s="578" t="s">
        <v>2421</v>
      </c>
      <c r="R560" s="579">
        <v>1</v>
      </c>
      <c r="S560" s="213" t="s">
        <v>2339</v>
      </c>
      <c r="T560" s="153" t="s">
        <v>2420</v>
      </c>
      <c r="U560" s="213">
        <v>4431.75</v>
      </c>
      <c r="V560" s="580">
        <v>0.1</v>
      </c>
      <c r="W560" s="213">
        <v>3988.5749999999998</v>
      </c>
      <c r="X560" s="147"/>
      <c r="Y560" s="163"/>
      <c r="Z560" s="163"/>
      <c r="AA560" s="163"/>
      <c r="AB560" s="428"/>
      <c r="AC560" s="41" t="s">
        <v>1223</v>
      </c>
      <c r="AD560" s="42" t="s">
        <v>700</v>
      </c>
      <c r="AE560" s="416" t="s">
        <v>1224</v>
      </c>
    </row>
    <row r="561" spans="1:31" s="1" customFormat="1">
      <c r="A561" s="477" t="s">
        <v>2404</v>
      </c>
      <c r="B561" s="505" t="s">
        <v>2405</v>
      </c>
      <c r="C561" s="506">
        <v>1</v>
      </c>
      <c r="D561" s="585" t="s">
        <v>2339</v>
      </c>
      <c r="E561" s="1009">
        <v>0</v>
      </c>
      <c r="F561" s="430"/>
      <c r="G561" s="106">
        <f t="shared" si="120"/>
        <v>0</v>
      </c>
      <c r="H561" s="147"/>
      <c r="I561" s="163"/>
      <c r="J561" s="163"/>
      <c r="K561" s="163"/>
      <c r="L561" s="428"/>
      <c r="M561" s="624" t="s">
        <v>1223</v>
      </c>
      <c r="N561" s="158" t="s">
        <v>700</v>
      </c>
      <c r="O561" s="417" t="s">
        <v>1224</v>
      </c>
      <c r="P561" s="477" t="s">
        <v>2404</v>
      </c>
      <c r="Q561" s="505" t="s">
        <v>2405</v>
      </c>
      <c r="R561" s="506">
        <v>1</v>
      </c>
      <c r="S561" s="106" t="s">
        <v>2339</v>
      </c>
      <c r="T561" s="473" t="s">
        <v>2404</v>
      </c>
      <c r="U561" s="106">
        <v>0</v>
      </c>
      <c r="V561" s="430"/>
      <c r="W561" s="106">
        <v>0</v>
      </c>
      <c r="X561" s="147"/>
      <c r="Y561" s="163"/>
      <c r="Z561" s="163"/>
      <c r="AA561" s="163"/>
      <c r="AB561" s="428"/>
      <c r="AC561" s="41" t="s">
        <v>1223</v>
      </c>
      <c r="AD561" s="42" t="s">
        <v>700</v>
      </c>
      <c r="AE561" s="416" t="s">
        <v>1224</v>
      </c>
    </row>
    <row r="562" spans="1:31" s="1" customFormat="1">
      <c r="A562" s="477" t="s">
        <v>2406</v>
      </c>
      <c r="B562" s="505" t="s">
        <v>2407</v>
      </c>
      <c r="C562" s="506">
        <v>1</v>
      </c>
      <c r="D562" s="585" t="s">
        <v>2339</v>
      </c>
      <c r="E562" s="1009">
        <v>431.75</v>
      </c>
      <c r="F562" s="430">
        <f t="shared" ref="F562:F577" si="123">rv_10</f>
        <v>0.1</v>
      </c>
      <c r="G562" s="106">
        <f t="shared" si="120"/>
        <v>388.57499999999999</v>
      </c>
      <c r="H562" s="147"/>
      <c r="I562" s="163"/>
      <c r="J562" s="163"/>
      <c r="K562" s="163"/>
      <c r="L562" s="428"/>
      <c r="M562" s="624" t="s">
        <v>1223</v>
      </c>
      <c r="N562" s="158" t="s">
        <v>700</v>
      </c>
      <c r="O562" s="417" t="s">
        <v>1224</v>
      </c>
      <c r="P562" s="477" t="s">
        <v>2406</v>
      </c>
      <c r="Q562" s="505" t="s">
        <v>2407</v>
      </c>
      <c r="R562" s="506">
        <v>1</v>
      </c>
      <c r="S562" s="106" t="s">
        <v>2339</v>
      </c>
      <c r="T562" s="473" t="s">
        <v>2406</v>
      </c>
      <c r="U562" s="106">
        <v>431.75</v>
      </c>
      <c r="V562" s="430">
        <v>0.1</v>
      </c>
      <c r="W562" s="106">
        <v>388.57499999999999</v>
      </c>
      <c r="X562" s="147"/>
      <c r="Y562" s="163"/>
      <c r="Z562" s="163"/>
      <c r="AA562" s="163"/>
      <c r="AB562" s="428"/>
      <c r="AC562" s="41" t="s">
        <v>1223</v>
      </c>
      <c r="AD562" s="42" t="s">
        <v>700</v>
      </c>
      <c r="AE562" s="416" t="s">
        <v>1224</v>
      </c>
    </row>
    <row r="563" spans="1:31" s="1" customFormat="1">
      <c r="A563" s="477" t="s">
        <v>2408</v>
      </c>
      <c r="B563" s="505" t="s">
        <v>2409</v>
      </c>
      <c r="C563" s="506">
        <v>1</v>
      </c>
      <c r="D563" s="585" t="s">
        <v>2339</v>
      </c>
      <c r="E563" s="1009">
        <v>1015.87</v>
      </c>
      <c r="F563" s="430">
        <f t="shared" si="123"/>
        <v>0.1</v>
      </c>
      <c r="G563" s="106">
        <f t="shared" si="120"/>
        <v>914.28300000000002</v>
      </c>
      <c r="H563" s="147"/>
      <c r="I563" s="163"/>
      <c r="J563" s="163"/>
      <c r="K563" s="163"/>
      <c r="L563" s="428"/>
      <c r="M563" s="624" t="s">
        <v>1223</v>
      </c>
      <c r="N563" s="158" t="s">
        <v>700</v>
      </c>
      <c r="O563" s="417" t="s">
        <v>1224</v>
      </c>
      <c r="P563" s="477" t="s">
        <v>2408</v>
      </c>
      <c r="Q563" s="505" t="s">
        <v>2409</v>
      </c>
      <c r="R563" s="506">
        <v>1</v>
      </c>
      <c r="S563" s="106" t="s">
        <v>2339</v>
      </c>
      <c r="T563" s="473" t="s">
        <v>2408</v>
      </c>
      <c r="U563" s="106">
        <v>1015.87</v>
      </c>
      <c r="V563" s="430">
        <v>0.1</v>
      </c>
      <c r="W563" s="106">
        <v>914.28300000000002</v>
      </c>
      <c r="X563" s="147"/>
      <c r="Y563" s="163"/>
      <c r="Z563" s="163"/>
      <c r="AA563" s="163"/>
      <c r="AB563" s="428"/>
      <c r="AC563" s="41" t="s">
        <v>1223</v>
      </c>
      <c r="AD563" s="42" t="s">
        <v>700</v>
      </c>
      <c r="AE563" s="416" t="s">
        <v>1224</v>
      </c>
    </row>
    <row r="564" spans="1:31" s="1" customFormat="1">
      <c r="A564" s="477" t="s">
        <v>2410</v>
      </c>
      <c r="B564" s="505" t="s">
        <v>2411</v>
      </c>
      <c r="C564" s="506">
        <v>1</v>
      </c>
      <c r="D564" s="585" t="s">
        <v>2339</v>
      </c>
      <c r="E564" s="1009">
        <v>1600</v>
      </c>
      <c r="F564" s="430">
        <f t="shared" si="123"/>
        <v>0.1</v>
      </c>
      <c r="G564" s="106">
        <f t="shared" si="120"/>
        <v>1440</v>
      </c>
      <c r="H564" s="147"/>
      <c r="I564" s="163"/>
      <c r="J564" s="163"/>
      <c r="K564" s="163"/>
      <c r="L564" s="428"/>
      <c r="M564" s="624" t="s">
        <v>1223</v>
      </c>
      <c r="N564" s="158" t="s">
        <v>700</v>
      </c>
      <c r="O564" s="417" t="s">
        <v>1224</v>
      </c>
      <c r="P564" s="477" t="s">
        <v>2410</v>
      </c>
      <c r="Q564" s="505" t="s">
        <v>2411</v>
      </c>
      <c r="R564" s="506">
        <v>1</v>
      </c>
      <c r="S564" s="106" t="s">
        <v>2339</v>
      </c>
      <c r="T564" s="473" t="s">
        <v>2410</v>
      </c>
      <c r="U564" s="106">
        <v>1600</v>
      </c>
      <c r="V564" s="430">
        <v>0.1</v>
      </c>
      <c r="W564" s="106">
        <v>1440</v>
      </c>
      <c r="X564" s="147"/>
      <c r="Y564" s="163"/>
      <c r="Z564" s="163"/>
      <c r="AA564" s="163"/>
      <c r="AB564" s="428"/>
      <c r="AC564" s="41" t="s">
        <v>1223</v>
      </c>
      <c r="AD564" s="42" t="s">
        <v>700</v>
      </c>
      <c r="AE564" s="416" t="s">
        <v>1224</v>
      </c>
    </row>
    <row r="565" spans="1:31" s="1" customFormat="1">
      <c r="A565" s="477" t="s">
        <v>2412</v>
      </c>
      <c r="B565" s="505" t="s">
        <v>2413</v>
      </c>
      <c r="C565" s="506">
        <v>1</v>
      </c>
      <c r="D565" s="585" t="s">
        <v>2339</v>
      </c>
      <c r="E565" s="1009">
        <v>2679.37</v>
      </c>
      <c r="F565" s="430">
        <f t="shared" si="123"/>
        <v>0.1</v>
      </c>
      <c r="G565" s="106">
        <f t="shared" si="120"/>
        <v>2411.433</v>
      </c>
      <c r="H565" s="147"/>
      <c r="I565" s="163"/>
      <c r="J565" s="163"/>
      <c r="K565" s="163"/>
      <c r="L565" s="428"/>
      <c r="M565" s="624" t="s">
        <v>1223</v>
      </c>
      <c r="N565" s="158" t="s">
        <v>700</v>
      </c>
      <c r="O565" s="417" t="s">
        <v>1224</v>
      </c>
      <c r="P565" s="477" t="s">
        <v>2412</v>
      </c>
      <c r="Q565" s="505" t="s">
        <v>2413</v>
      </c>
      <c r="R565" s="506">
        <v>1</v>
      </c>
      <c r="S565" s="106" t="s">
        <v>2339</v>
      </c>
      <c r="T565" s="473" t="s">
        <v>2412</v>
      </c>
      <c r="U565" s="106">
        <v>2679.37</v>
      </c>
      <c r="V565" s="430">
        <v>0.1</v>
      </c>
      <c r="W565" s="106">
        <v>2411.433</v>
      </c>
      <c r="X565" s="147"/>
      <c r="Y565" s="163"/>
      <c r="Z565" s="163"/>
      <c r="AA565" s="163"/>
      <c r="AB565" s="428"/>
      <c r="AC565" s="41" t="s">
        <v>1223</v>
      </c>
      <c r="AD565" s="42" t="s">
        <v>700</v>
      </c>
      <c r="AE565" s="416" t="s">
        <v>1224</v>
      </c>
    </row>
    <row r="566" spans="1:31" s="1" customFormat="1">
      <c r="A566" s="477" t="s">
        <v>2414</v>
      </c>
      <c r="B566" s="505" t="s">
        <v>2415</v>
      </c>
      <c r="C566" s="506">
        <v>1</v>
      </c>
      <c r="D566" s="585" t="s">
        <v>2339</v>
      </c>
      <c r="E566" s="1009">
        <v>609.52</v>
      </c>
      <c r="F566" s="430">
        <f t="shared" si="123"/>
        <v>0.1</v>
      </c>
      <c r="G566" s="106">
        <f t="shared" si="120"/>
        <v>548.56799999999998</v>
      </c>
      <c r="H566" s="147"/>
      <c r="I566" s="163"/>
      <c r="J566" s="163"/>
      <c r="K566" s="163"/>
      <c r="L566" s="428"/>
      <c r="M566" s="624" t="s">
        <v>1223</v>
      </c>
      <c r="N566" s="158" t="s">
        <v>700</v>
      </c>
      <c r="O566" s="417" t="s">
        <v>1224</v>
      </c>
      <c r="P566" s="477" t="s">
        <v>2414</v>
      </c>
      <c r="Q566" s="505" t="s">
        <v>2415</v>
      </c>
      <c r="R566" s="506">
        <v>1</v>
      </c>
      <c r="S566" s="106" t="s">
        <v>2339</v>
      </c>
      <c r="T566" s="473" t="s">
        <v>2414</v>
      </c>
      <c r="U566" s="106">
        <v>609.52</v>
      </c>
      <c r="V566" s="430">
        <v>0.1</v>
      </c>
      <c r="W566" s="106">
        <v>548.56799999999998</v>
      </c>
      <c r="X566" s="147"/>
      <c r="Y566" s="163"/>
      <c r="Z566" s="163"/>
      <c r="AA566" s="163"/>
      <c r="AB566" s="428"/>
      <c r="AC566" s="41" t="s">
        <v>1223</v>
      </c>
      <c r="AD566" s="42" t="s">
        <v>700</v>
      </c>
      <c r="AE566" s="416" t="s">
        <v>1224</v>
      </c>
    </row>
    <row r="567" spans="1:31" s="1" customFormat="1">
      <c r="A567" s="477" t="s">
        <v>2416</v>
      </c>
      <c r="B567" s="505" t="s">
        <v>2417</v>
      </c>
      <c r="C567" s="506">
        <v>1</v>
      </c>
      <c r="D567" s="585" t="s">
        <v>2339</v>
      </c>
      <c r="E567" s="1009">
        <v>26.98</v>
      </c>
      <c r="F567" s="430">
        <f t="shared" si="123"/>
        <v>0.1</v>
      </c>
      <c r="G567" s="106">
        <f t="shared" si="120"/>
        <v>24.282</v>
      </c>
      <c r="H567" s="147"/>
      <c r="I567" s="163"/>
      <c r="J567" s="163"/>
      <c r="K567" s="163"/>
      <c r="L567" s="428"/>
      <c r="M567" s="624" t="s">
        <v>1223</v>
      </c>
      <c r="N567" s="158" t="s">
        <v>700</v>
      </c>
      <c r="O567" s="417" t="s">
        <v>1224</v>
      </c>
      <c r="P567" s="477" t="s">
        <v>2416</v>
      </c>
      <c r="Q567" s="505" t="s">
        <v>2417</v>
      </c>
      <c r="R567" s="506">
        <v>1</v>
      </c>
      <c r="S567" s="106" t="s">
        <v>2339</v>
      </c>
      <c r="T567" s="473" t="s">
        <v>2416</v>
      </c>
      <c r="U567" s="106">
        <v>26.98</v>
      </c>
      <c r="V567" s="430">
        <v>0.1</v>
      </c>
      <c r="W567" s="106">
        <v>24.282</v>
      </c>
      <c r="X567" s="147"/>
      <c r="Y567" s="163"/>
      <c r="Z567" s="163"/>
      <c r="AA567" s="163"/>
      <c r="AB567" s="428"/>
      <c r="AC567" s="41" t="s">
        <v>1223</v>
      </c>
      <c r="AD567" s="42" t="s">
        <v>700</v>
      </c>
      <c r="AE567" s="416" t="s">
        <v>1224</v>
      </c>
    </row>
    <row r="568" spans="1:31" s="1" customFormat="1">
      <c r="A568" s="421" t="s">
        <v>2422</v>
      </c>
      <c r="B568" s="113" t="s">
        <v>2423</v>
      </c>
      <c r="C568" s="114">
        <v>1</v>
      </c>
      <c r="D568" s="1006" t="s">
        <v>2339</v>
      </c>
      <c r="E568" s="1023">
        <v>1996.83</v>
      </c>
      <c r="F568" s="116">
        <f t="shared" si="123"/>
        <v>0.1</v>
      </c>
      <c r="G568" s="115">
        <f t="shared" si="120"/>
        <v>1797.1469999999999</v>
      </c>
      <c r="H568" s="24"/>
      <c r="I568" s="22"/>
      <c r="J568" s="22"/>
      <c r="K568" s="25"/>
      <c r="L568" s="47"/>
      <c r="M568" s="624" t="s">
        <v>1223</v>
      </c>
      <c r="N568" s="158" t="s">
        <v>700</v>
      </c>
      <c r="O568" s="417" t="s">
        <v>1224</v>
      </c>
      <c r="P568" s="477" t="s">
        <v>2422</v>
      </c>
      <c r="Q568" s="578" t="s">
        <v>2423</v>
      </c>
      <c r="R568" s="579">
        <v>1</v>
      </c>
      <c r="S568" s="213" t="s">
        <v>2339</v>
      </c>
      <c r="T568" s="153" t="s">
        <v>2422</v>
      </c>
      <c r="U568" s="213">
        <v>1996.83</v>
      </c>
      <c r="V568" s="580">
        <v>0.1</v>
      </c>
      <c r="W568" s="213">
        <v>1797.1469999999999</v>
      </c>
      <c r="X568" s="147"/>
      <c r="Y568" s="163"/>
      <c r="Z568" s="163"/>
      <c r="AA568" s="163"/>
      <c r="AB568" s="428"/>
      <c r="AC568" s="41" t="s">
        <v>1223</v>
      </c>
      <c r="AD568" s="42" t="s">
        <v>700</v>
      </c>
      <c r="AE568" s="416" t="s">
        <v>1224</v>
      </c>
    </row>
    <row r="569" spans="1:31" s="1" customFormat="1">
      <c r="A569" s="477" t="s">
        <v>2424</v>
      </c>
      <c r="B569" s="505" t="s">
        <v>2425</v>
      </c>
      <c r="C569" s="506">
        <v>1</v>
      </c>
      <c r="D569" s="585" t="s">
        <v>2339</v>
      </c>
      <c r="E569" s="1009">
        <v>43.17</v>
      </c>
      <c r="F569" s="430">
        <f t="shared" si="123"/>
        <v>0.1</v>
      </c>
      <c r="G569" s="106">
        <f t="shared" si="120"/>
        <v>38.853000000000002</v>
      </c>
      <c r="H569" s="147"/>
      <c r="I569" s="163"/>
      <c r="J569" s="163"/>
      <c r="K569" s="163"/>
      <c r="L569" s="428"/>
      <c r="M569" s="624" t="s">
        <v>1223</v>
      </c>
      <c r="N569" s="158" t="s">
        <v>700</v>
      </c>
      <c r="O569" s="417" t="s">
        <v>1224</v>
      </c>
      <c r="P569" s="477" t="s">
        <v>2424</v>
      </c>
      <c r="Q569" s="505" t="s">
        <v>2425</v>
      </c>
      <c r="R569" s="506">
        <v>1</v>
      </c>
      <c r="S569" s="106" t="s">
        <v>2339</v>
      </c>
      <c r="T569" s="473" t="s">
        <v>2424</v>
      </c>
      <c r="U569" s="106">
        <v>43.17</v>
      </c>
      <c r="V569" s="430">
        <v>0.1</v>
      </c>
      <c r="W569" s="106">
        <v>38.853000000000002</v>
      </c>
      <c r="X569" s="147"/>
      <c r="Y569" s="163"/>
      <c r="Z569" s="163"/>
      <c r="AA569" s="163"/>
      <c r="AB569" s="428"/>
      <c r="AC569" s="41" t="s">
        <v>1223</v>
      </c>
      <c r="AD569" s="42" t="s">
        <v>700</v>
      </c>
      <c r="AE569" s="416" t="s">
        <v>1224</v>
      </c>
    </row>
    <row r="570" spans="1:31" s="1" customFormat="1">
      <c r="A570" s="477" t="s">
        <v>2426</v>
      </c>
      <c r="B570" s="505" t="s">
        <v>2427</v>
      </c>
      <c r="C570" s="506">
        <v>1</v>
      </c>
      <c r="D570" s="585" t="s">
        <v>2339</v>
      </c>
      <c r="E570" s="1009">
        <v>1003.81</v>
      </c>
      <c r="F570" s="430">
        <f t="shared" si="123"/>
        <v>0.1</v>
      </c>
      <c r="G570" s="106">
        <f t="shared" si="120"/>
        <v>903.42899999999997</v>
      </c>
      <c r="H570" s="147"/>
      <c r="I570" s="163"/>
      <c r="J570" s="163"/>
      <c r="K570" s="163"/>
      <c r="L570" s="428"/>
      <c r="M570" s="624" t="s">
        <v>1223</v>
      </c>
      <c r="N570" s="158" t="s">
        <v>700</v>
      </c>
      <c r="O570" s="417" t="s">
        <v>1224</v>
      </c>
      <c r="P570" s="477" t="s">
        <v>2426</v>
      </c>
      <c r="Q570" s="505" t="s">
        <v>2427</v>
      </c>
      <c r="R570" s="506">
        <v>1</v>
      </c>
      <c r="S570" s="106" t="s">
        <v>2339</v>
      </c>
      <c r="T570" s="473" t="s">
        <v>2426</v>
      </c>
      <c r="U570" s="106">
        <v>1003.81</v>
      </c>
      <c r="V570" s="430">
        <v>0.1</v>
      </c>
      <c r="W570" s="106">
        <v>903.42899999999997</v>
      </c>
      <c r="X570" s="147"/>
      <c r="Y570" s="163"/>
      <c r="Z570" s="163"/>
      <c r="AA570" s="163"/>
      <c r="AB570" s="428"/>
      <c r="AC570" s="41" t="s">
        <v>1223</v>
      </c>
      <c r="AD570" s="42" t="s">
        <v>700</v>
      </c>
      <c r="AE570" s="416" t="s">
        <v>1224</v>
      </c>
    </row>
    <row r="571" spans="1:31" s="1" customFormat="1">
      <c r="A571" s="510" t="s">
        <v>2428</v>
      </c>
      <c r="B571" s="529" t="s">
        <v>2429</v>
      </c>
      <c r="C571" s="512">
        <v>1</v>
      </c>
      <c r="D571" s="592" t="s">
        <v>2339</v>
      </c>
      <c r="E571" s="1010">
        <v>180</v>
      </c>
      <c r="F571" s="514">
        <f t="shared" si="123"/>
        <v>0.1</v>
      </c>
      <c r="G571" s="515">
        <f t="shared" ref="G571" si="124">E571-(E571*F571)</f>
        <v>162</v>
      </c>
      <c r="H571" s="531"/>
      <c r="I571" s="532"/>
      <c r="J571" s="532"/>
      <c r="K571" s="532"/>
      <c r="L571" s="513"/>
      <c r="M571" s="624" t="s">
        <v>1223</v>
      </c>
      <c r="N571" s="158" t="s">
        <v>700</v>
      </c>
      <c r="O571" s="417" t="s">
        <v>1224</v>
      </c>
      <c r="P571" s="510" t="s">
        <v>2428</v>
      </c>
      <c r="Q571" s="529" t="s">
        <v>2429</v>
      </c>
      <c r="R571" s="512">
        <v>1</v>
      </c>
      <c r="S571" s="515" t="s">
        <v>2339</v>
      </c>
      <c r="T571" s="518" t="s">
        <v>2428</v>
      </c>
      <c r="U571" s="515">
        <v>180</v>
      </c>
      <c r="V571" s="514">
        <v>0.1</v>
      </c>
      <c r="W571" s="515">
        <v>162</v>
      </c>
      <c r="X571" s="531"/>
      <c r="Y571" s="532"/>
      <c r="Z571" s="532"/>
      <c r="AA571" s="532"/>
      <c r="AB571" s="513"/>
      <c r="AC571" s="41" t="s">
        <v>1223</v>
      </c>
      <c r="AD571" s="42" t="s">
        <v>700</v>
      </c>
      <c r="AE571" s="416" t="s">
        <v>1224</v>
      </c>
    </row>
    <row r="572" spans="1:31" s="1" customFormat="1">
      <c r="A572" s="477" t="s">
        <v>2430</v>
      </c>
      <c r="B572" s="505" t="s">
        <v>2431</v>
      </c>
      <c r="C572" s="506">
        <v>1</v>
      </c>
      <c r="D572" s="585" t="s">
        <v>2339</v>
      </c>
      <c r="E572" s="1009">
        <v>268.19</v>
      </c>
      <c r="F572" s="430">
        <f t="shared" si="123"/>
        <v>0.1</v>
      </c>
      <c r="G572" s="106">
        <f t="shared" si="120"/>
        <v>241.37099999999998</v>
      </c>
      <c r="H572" s="147"/>
      <c r="I572" s="163"/>
      <c r="J572" s="163"/>
      <c r="K572" s="163"/>
      <c r="L572" s="428"/>
      <c r="M572" s="624" t="s">
        <v>1223</v>
      </c>
      <c r="N572" s="158" t="s">
        <v>700</v>
      </c>
      <c r="O572" s="417" t="s">
        <v>1224</v>
      </c>
      <c r="P572" s="477" t="s">
        <v>2430</v>
      </c>
      <c r="Q572" s="505" t="s">
        <v>2431</v>
      </c>
      <c r="R572" s="506">
        <v>1</v>
      </c>
      <c r="S572" s="106" t="s">
        <v>2339</v>
      </c>
      <c r="T572" s="473" t="s">
        <v>2430</v>
      </c>
      <c r="U572" s="106">
        <v>268.19</v>
      </c>
      <c r="V572" s="430">
        <v>0.1</v>
      </c>
      <c r="W572" s="106">
        <v>241.37099999999998</v>
      </c>
      <c r="X572" s="147"/>
      <c r="Y572" s="163"/>
      <c r="Z572" s="163"/>
      <c r="AA572" s="163"/>
      <c r="AB572" s="428"/>
      <c r="AC572" s="41" t="s">
        <v>1223</v>
      </c>
      <c r="AD572" s="42" t="s">
        <v>700</v>
      </c>
      <c r="AE572" s="416" t="s">
        <v>1224</v>
      </c>
    </row>
    <row r="573" spans="1:31" s="1" customFormat="1">
      <c r="A573" s="477" t="s">
        <v>2432</v>
      </c>
      <c r="B573" s="505" t="s">
        <v>2433</v>
      </c>
      <c r="C573" s="506">
        <v>1</v>
      </c>
      <c r="D573" s="585" t="s">
        <v>2339</v>
      </c>
      <c r="E573" s="1009">
        <v>312.89</v>
      </c>
      <c r="F573" s="430">
        <f t="shared" si="123"/>
        <v>0.1</v>
      </c>
      <c r="G573" s="106">
        <f t="shared" si="120"/>
        <v>281.601</v>
      </c>
      <c r="H573" s="147"/>
      <c r="I573" s="163"/>
      <c r="J573" s="163"/>
      <c r="K573" s="163"/>
      <c r="L573" s="428"/>
      <c r="M573" s="624" t="s">
        <v>1223</v>
      </c>
      <c r="N573" s="158" t="s">
        <v>700</v>
      </c>
      <c r="O573" s="417" t="s">
        <v>1224</v>
      </c>
      <c r="P573" s="477" t="s">
        <v>2432</v>
      </c>
      <c r="Q573" s="505" t="s">
        <v>2433</v>
      </c>
      <c r="R573" s="506">
        <v>1</v>
      </c>
      <c r="S573" s="106" t="s">
        <v>2339</v>
      </c>
      <c r="T573" s="473" t="s">
        <v>2432</v>
      </c>
      <c r="U573" s="106">
        <v>312.89</v>
      </c>
      <c r="V573" s="430">
        <v>0.1</v>
      </c>
      <c r="W573" s="106">
        <v>281.601</v>
      </c>
      <c r="X573" s="147"/>
      <c r="Y573" s="163"/>
      <c r="Z573" s="163"/>
      <c r="AA573" s="163"/>
      <c r="AB573" s="428"/>
      <c r="AC573" s="41" t="s">
        <v>1223</v>
      </c>
      <c r="AD573" s="42" t="s">
        <v>700</v>
      </c>
      <c r="AE573" s="416" t="s">
        <v>1224</v>
      </c>
    </row>
    <row r="574" spans="1:31" s="1" customFormat="1">
      <c r="A574" s="477" t="s">
        <v>2434</v>
      </c>
      <c r="B574" s="505" t="s">
        <v>2435</v>
      </c>
      <c r="C574" s="506">
        <v>1</v>
      </c>
      <c r="D574" s="585" t="s">
        <v>2339</v>
      </c>
      <c r="E574" s="1009">
        <v>357.59</v>
      </c>
      <c r="F574" s="430">
        <f t="shared" si="123"/>
        <v>0.1</v>
      </c>
      <c r="G574" s="106">
        <f t="shared" si="120"/>
        <v>321.83099999999996</v>
      </c>
      <c r="H574" s="147"/>
      <c r="I574" s="163"/>
      <c r="J574" s="163"/>
      <c r="K574" s="163"/>
      <c r="L574" s="428"/>
      <c r="M574" s="624" t="s">
        <v>1223</v>
      </c>
      <c r="N574" s="158" t="s">
        <v>700</v>
      </c>
      <c r="O574" s="417" t="s">
        <v>1224</v>
      </c>
      <c r="P574" s="477" t="s">
        <v>2434</v>
      </c>
      <c r="Q574" s="505" t="s">
        <v>2435</v>
      </c>
      <c r="R574" s="506">
        <v>1</v>
      </c>
      <c r="S574" s="106" t="s">
        <v>2339</v>
      </c>
      <c r="T574" s="473" t="s">
        <v>2434</v>
      </c>
      <c r="U574" s="106">
        <v>357.59</v>
      </c>
      <c r="V574" s="430">
        <v>0.1</v>
      </c>
      <c r="W574" s="106">
        <v>321.83099999999996</v>
      </c>
      <c r="X574" s="147"/>
      <c r="Y574" s="163"/>
      <c r="Z574" s="163"/>
      <c r="AA574" s="163"/>
      <c r="AB574" s="428"/>
      <c r="AC574" s="41" t="s">
        <v>1223</v>
      </c>
      <c r="AD574" s="42" t="s">
        <v>700</v>
      </c>
      <c r="AE574" s="416" t="s">
        <v>1224</v>
      </c>
    </row>
    <row r="575" spans="1:31" s="1" customFormat="1">
      <c r="A575" s="477" t="s">
        <v>2436</v>
      </c>
      <c r="B575" s="505" t="s">
        <v>2437</v>
      </c>
      <c r="C575" s="506">
        <v>1</v>
      </c>
      <c r="D575" s="585" t="s">
        <v>2339</v>
      </c>
      <c r="E575" s="1009">
        <v>335.95</v>
      </c>
      <c r="F575" s="430">
        <f t="shared" si="123"/>
        <v>0.1</v>
      </c>
      <c r="G575" s="106">
        <f t="shared" si="120"/>
        <v>302.35500000000002</v>
      </c>
      <c r="H575" s="147"/>
      <c r="I575" s="163"/>
      <c r="J575" s="163"/>
      <c r="K575" s="163"/>
      <c r="L575" s="428"/>
      <c r="M575" s="624" t="s">
        <v>1223</v>
      </c>
      <c r="N575" s="158" t="s">
        <v>700</v>
      </c>
      <c r="O575" s="417" t="s">
        <v>1224</v>
      </c>
      <c r="P575" s="477" t="s">
        <v>2436</v>
      </c>
      <c r="Q575" s="505" t="s">
        <v>2437</v>
      </c>
      <c r="R575" s="506">
        <v>1</v>
      </c>
      <c r="S575" s="106" t="s">
        <v>2339</v>
      </c>
      <c r="T575" s="473" t="s">
        <v>2436</v>
      </c>
      <c r="U575" s="106">
        <v>335.95</v>
      </c>
      <c r="V575" s="430">
        <v>0.1</v>
      </c>
      <c r="W575" s="106">
        <v>302.35500000000002</v>
      </c>
      <c r="X575" s="147"/>
      <c r="Y575" s="163"/>
      <c r="Z575" s="163"/>
      <c r="AA575" s="163"/>
      <c r="AB575" s="428"/>
      <c r="AC575" s="41" t="s">
        <v>1223</v>
      </c>
      <c r="AD575" s="42" t="s">
        <v>700</v>
      </c>
      <c r="AE575" s="416" t="s">
        <v>1224</v>
      </c>
    </row>
    <row r="576" spans="1:31" s="1" customFormat="1">
      <c r="A576" s="477" t="s">
        <v>2438</v>
      </c>
      <c r="B576" s="505" t="s">
        <v>2439</v>
      </c>
      <c r="C576" s="506">
        <v>1</v>
      </c>
      <c r="D576" s="585" t="s">
        <v>2339</v>
      </c>
      <c r="E576" s="1009">
        <v>202.38</v>
      </c>
      <c r="F576" s="430">
        <f t="shared" si="123"/>
        <v>0.1</v>
      </c>
      <c r="G576" s="106">
        <f t="shared" si="120"/>
        <v>182.142</v>
      </c>
      <c r="H576" s="147"/>
      <c r="I576" s="163"/>
      <c r="J576" s="163"/>
      <c r="K576" s="163"/>
      <c r="L576" s="428"/>
      <c r="M576" s="624" t="s">
        <v>1223</v>
      </c>
      <c r="N576" s="158" t="s">
        <v>700</v>
      </c>
      <c r="O576" s="417" t="s">
        <v>1224</v>
      </c>
      <c r="P576" s="477" t="s">
        <v>2438</v>
      </c>
      <c r="Q576" s="505" t="s">
        <v>2439</v>
      </c>
      <c r="R576" s="506">
        <v>1</v>
      </c>
      <c r="S576" s="106" t="s">
        <v>2339</v>
      </c>
      <c r="T576" s="473" t="s">
        <v>2438</v>
      </c>
      <c r="U576" s="106">
        <v>202.38</v>
      </c>
      <c r="V576" s="430">
        <v>0.1</v>
      </c>
      <c r="W576" s="106">
        <v>182.142</v>
      </c>
      <c r="X576" s="147"/>
      <c r="Y576" s="163"/>
      <c r="Z576" s="163"/>
      <c r="AA576" s="163"/>
      <c r="AB576" s="428"/>
      <c r="AC576" s="41" t="s">
        <v>1223</v>
      </c>
      <c r="AD576" s="42" t="s">
        <v>700</v>
      </c>
      <c r="AE576" s="416" t="s">
        <v>1224</v>
      </c>
    </row>
    <row r="577" spans="1:31" s="1" customFormat="1">
      <c r="A577" s="477" t="s">
        <v>2416</v>
      </c>
      <c r="B577" s="505" t="s">
        <v>2417</v>
      </c>
      <c r="C577" s="506">
        <v>1</v>
      </c>
      <c r="D577" s="585" t="s">
        <v>2339</v>
      </c>
      <c r="E577" s="1009">
        <v>26.98</v>
      </c>
      <c r="F577" s="430">
        <f t="shared" si="123"/>
        <v>0.1</v>
      </c>
      <c r="G577" s="106">
        <f t="shared" si="120"/>
        <v>24.282</v>
      </c>
      <c r="H577" s="147"/>
      <c r="I577" s="163"/>
      <c r="J577" s="163"/>
      <c r="K577" s="163"/>
      <c r="L577" s="428"/>
      <c r="M577" s="624" t="s">
        <v>1223</v>
      </c>
      <c r="N577" s="158" t="s">
        <v>700</v>
      </c>
      <c r="O577" s="417" t="s">
        <v>1224</v>
      </c>
      <c r="P577" s="477" t="s">
        <v>2416</v>
      </c>
      <c r="Q577" s="505" t="s">
        <v>2417</v>
      </c>
      <c r="R577" s="506">
        <v>1</v>
      </c>
      <c r="S577" s="106" t="s">
        <v>2339</v>
      </c>
      <c r="T577" s="473" t="s">
        <v>2416</v>
      </c>
      <c r="U577" s="106">
        <v>26.98</v>
      </c>
      <c r="V577" s="430">
        <v>0.1</v>
      </c>
      <c r="W577" s="106">
        <v>24.282</v>
      </c>
      <c r="X577" s="147"/>
      <c r="Y577" s="163"/>
      <c r="Z577" s="163"/>
      <c r="AA577" s="163"/>
      <c r="AB577" s="428"/>
      <c r="AC577" s="41" t="s">
        <v>1223</v>
      </c>
      <c r="AD577" s="42" t="s">
        <v>700</v>
      </c>
      <c r="AE577" s="416" t="s">
        <v>1224</v>
      </c>
    </row>
    <row r="578" spans="1:31" s="1" customFormat="1">
      <c r="A578" s="477" t="s">
        <v>2404</v>
      </c>
      <c r="B578" s="505" t="s">
        <v>2405</v>
      </c>
      <c r="C578" s="506">
        <v>1</v>
      </c>
      <c r="D578" s="585" t="s">
        <v>2339</v>
      </c>
      <c r="E578" s="1009">
        <v>0</v>
      </c>
      <c r="F578" s="430"/>
      <c r="G578" s="106">
        <f t="shared" si="120"/>
        <v>0</v>
      </c>
      <c r="H578" s="147"/>
      <c r="I578" s="163"/>
      <c r="J578" s="163"/>
      <c r="K578" s="163"/>
      <c r="L578" s="428"/>
      <c r="M578" s="624" t="s">
        <v>1223</v>
      </c>
      <c r="N578" s="158" t="s">
        <v>700</v>
      </c>
      <c r="O578" s="417" t="s">
        <v>1224</v>
      </c>
      <c r="P578" s="477" t="s">
        <v>2404</v>
      </c>
      <c r="Q578" s="505" t="s">
        <v>2405</v>
      </c>
      <c r="R578" s="506">
        <v>1</v>
      </c>
      <c r="S578" s="106" t="s">
        <v>2339</v>
      </c>
      <c r="T578" s="473" t="s">
        <v>2404</v>
      </c>
      <c r="U578" s="106">
        <v>0</v>
      </c>
      <c r="V578" s="430"/>
      <c r="W578" s="106">
        <v>0</v>
      </c>
      <c r="X578" s="147"/>
      <c r="Y578" s="163"/>
      <c r="Z578" s="163"/>
      <c r="AA578" s="163"/>
      <c r="AB578" s="428"/>
      <c r="AC578" s="41" t="s">
        <v>1223</v>
      </c>
      <c r="AD578" s="42" t="s">
        <v>700</v>
      </c>
      <c r="AE578" s="416" t="s">
        <v>1224</v>
      </c>
    </row>
    <row r="579" spans="1:31" s="1" customFormat="1">
      <c r="A579" s="477" t="s">
        <v>2406</v>
      </c>
      <c r="B579" s="505" t="s">
        <v>2407</v>
      </c>
      <c r="C579" s="506">
        <v>1</v>
      </c>
      <c r="D579" s="585" t="s">
        <v>2339</v>
      </c>
      <c r="E579" s="1009">
        <v>431.75</v>
      </c>
      <c r="F579" s="430">
        <f t="shared" ref="F579:F631" si="125">rv_10</f>
        <v>0.1</v>
      </c>
      <c r="G579" s="106">
        <f t="shared" si="120"/>
        <v>388.57499999999999</v>
      </c>
      <c r="H579" s="147"/>
      <c r="I579" s="163"/>
      <c r="J579" s="163"/>
      <c r="K579" s="163"/>
      <c r="L579" s="428"/>
      <c r="M579" s="624" t="s">
        <v>1223</v>
      </c>
      <c r="N579" s="158" t="s">
        <v>700</v>
      </c>
      <c r="O579" s="417" t="s">
        <v>1224</v>
      </c>
      <c r="P579" s="477" t="s">
        <v>2406</v>
      </c>
      <c r="Q579" s="505" t="s">
        <v>2407</v>
      </c>
      <c r="R579" s="506">
        <v>1</v>
      </c>
      <c r="S579" s="106" t="s">
        <v>2339</v>
      </c>
      <c r="T579" s="473" t="s">
        <v>2406</v>
      </c>
      <c r="U579" s="106">
        <v>431.75</v>
      </c>
      <c r="V579" s="430">
        <v>0.1</v>
      </c>
      <c r="W579" s="106">
        <v>388.57499999999999</v>
      </c>
      <c r="X579" s="147"/>
      <c r="Y579" s="163"/>
      <c r="Z579" s="163"/>
      <c r="AA579" s="163"/>
      <c r="AB579" s="428"/>
      <c r="AC579" s="41" t="s">
        <v>1223</v>
      </c>
      <c r="AD579" s="42" t="s">
        <v>700</v>
      </c>
      <c r="AE579" s="416" t="s">
        <v>1224</v>
      </c>
    </row>
    <row r="580" spans="1:31" s="1" customFormat="1">
      <c r="A580" s="477" t="s">
        <v>2408</v>
      </c>
      <c r="B580" s="505" t="s">
        <v>2409</v>
      </c>
      <c r="C580" s="506">
        <v>1</v>
      </c>
      <c r="D580" s="585" t="s">
        <v>2339</v>
      </c>
      <c r="E580" s="1009">
        <v>1015.87</v>
      </c>
      <c r="F580" s="430">
        <f t="shared" si="125"/>
        <v>0.1</v>
      </c>
      <c r="G580" s="106">
        <f t="shared" si="120"/>
        <v>914.28300000000002</v>
      </c>
      <c r="H580" s="147"/>
      <c r="I580" s="163"/>
      <c r="J580" s="163"/>
      <c r="K580" s="163"/>
      <c r="L580" s="428"/>
      <c r="M580" s="624" t="s">
        <v>1223</v>
      </c>
      <c r="N580" s="158" t="s">
        <v>700</v>
      </c>
      <c r="O580" s="417" t="s">
        <v>1224</v>
      </c>
      <c r="P580" s="477" t="s">
        <v>2408</v>
      </c>
      <c r="Q580" s="505" t="s">
        <v>2409</v>
      </c>
      <c r="R580" s="506">
        <v>1</v>
      </c>
      <c r="S580" s="106" t="s">
        <v>2339</v>
      </c>
      <c r="T580" s="473" t="s">
        <v>2408</v>
      </c>
      <c r="U580" s="106">
        <v>1015.87</v>
      </c>
      <c r="V580" s="430">
        <v>0.1</v>
      </c>
      <c r="W580" s="106">
        <v>914.28300000000002</v>
      </c>
      <c r="X580" s="147"/>
      <c r="Y580" s="163"/>
      <c r="Z580" s="163"/>
      <c r="AA580" s="163"/>
      <c r="AB580" s="428"/>
      <c r="AC580" s="41" t="s">
        <v>1223</v>
      </c>
      <c r="AD580" s="42" t="s">
        <v>700</v>
      </c>
      <c r="AE580" s="416" t="s">
        <v>1224</v>
      </c>
    </row>
    <row r="581" spans="1:31" s="1" customFormat="1">
      <c r="A581" s="477" t="s">
        <v>2410</v>
      </c>
      <c r="B581" s="505" t="s">
        <v>2411</v>
      </c>
      <c r="C581" s="506">
        <v>1</v>
      </c>
      <c r="D581" s="585" t="s">
        <v>2339</v>
      </c>
      <c r="E581" s="1009">
        <v>1600</v>
      </c>
      <c r="F581" s="430">
        <f t="shared" si="125"/>
        <v>0.1</v>
      </c>
      <c r="G581" s="106">
        <f t="shared" si="120"/>
        <v>1440</v>
      </c>
      <c r="H581" s="147"/>
      <c r="I581" s="163"/>
      <c r="J581" s="163"/>
      <c r="K581" s="163"/>
      <c r="L581" s="428"/>
      <c r="M581" s="624" t="s">
        <v>1223</v>
      </c>
      <c r="N581" s="158" t="s">
        <v>700</v>
      </c>
      <c r="O581" s="417" t="s">
        <v>1224</v>
      </c>
      <c r="P581" s="477" t="s">
        <v>2410</v>
      </c>
      <c r="Q581" s="505" t="s">
        <v>2411</v>
      </c>
      <c r="R581" s="506">
        <v>1</v>
      </c>
      <c r="S581" s="106" t="s">
        <v>2339</v>
      </c>
      <c r="T581" s="473" t="s">
        <v>2410</v>
      </c>
      <c r="U581" s="106">
        <v>1600</v>
      </c>
      <c r="V581" s="430">
        <v>0.1</v>
      </c>
      <c r="W581" s="106">
        <v>1440</v>
      </c>
      <c r="X581" s="147"/>
      <c r="Y581" s="163"/>
      <c r="Z581" s="163"/>
      <c r="AA581" s="163"/>
      <c r="AB581" s="428"/>
      <c r="AC581" s="41" t="s">
        <v>1223</v>
      </c>
      <c r="AD581" s="42" t="s">
        <v>700</v>
      </c>
      <c r="AE581" s="416" t="s">
        <v>1224</v>
      </c>
    </row>
    <row r="582" spans="1:31" s="1" customFormat="1">
      <c r="A582" s="477" t="s">
        <v>2412</v>
      </c>
      <c r="B582" s="505" t="s">
        <v>2413</v>
      </c>
      <c r="C582" s="506">
        <v>1</v>
      </c>
      <c r="D582" s="585" t="s">
        <v>2339</v>
      </c>
      <c r="E582" s="1009">
        <v>2679.37</v>
      </c>
      <c r="F582" s="430">
        <f t="shared" si="125"/>
        <v>0.1</v>
      </c>
      <c r="G582" s="106">
        <f t="shared" si="120"/>
        <v>2411.433</v>
      </c>
      <c r="H582" s="147"/>
      <c r="I582" s="163"/>
      <c r="J582" s="163"/>
      <c r="K582" s="163"/>
      <c r="L582" s="428"/>
      <c r="M582" s="624" t="s">
        <v>1223</v>
      </c>
      <c r="N582" s="158" t="s">
        <v>700</v>
      </c>
      <c r="O582" s="417" t="s">
        <v>1224</v>
      </c>
      <c r="P582" s="477" t="s">
        <v>2412</v>
      </c>
      <c r="Q582" s="505" t="s">
        <v>2413</v>
      </c>
      <c r="R582" s="506">
        <v>1</v>
      </c>
      <c r="S582" s="106" t="s">
        <v>2339</v>
      </c>
      <c r="T582" s="473" t="s">
        <v>2412</v>
      </c>
      <c r="U582" s="106">
        <v>2679.37</v>
      </c>
      <c r="V582" s="430">
        <v>0.1</v>
      </c>
      <c r="W582" s="106">
        <v>2411.433</v>
      </c>
      <c r="X582" s="147"/>
      <c r="Y582" s="163"/>
      <c r="Z582" s="163"/>
      <c r="AA582" s="163"/>
      <c r="AB582" s="428"/>
      <c r="AC582" s="41" t="s">
        <v>1223</v>
      </c>
      <c r="AD582" s="42" t="s">
        <v>700</v>
      </c>
      <c r="AE582" s="416" t="s">
        <v>1224</v>
      </c>
    </row>
    <row r="583" spans="1:31" s="1" customFormat="1">
      <c r="A583" s="477" t="s">
        <v>2414</v>
      </c>
      <c r="B583" s="505" t="s">
        <v>2415</v>
      </c>
      <c r="C583" s="506">
        <v>1</v>
      </c>
      <c r="D583" s="585" t="s">
        <v>2339</v>
      </c>
      <c r="E583" s="1009">
        <v>609.52</v>
      </c>
      <c r="F583" s="430">
        <f t="shared" si="125"/>
        <v>0.1</v>
      </c>
      <c r="G583" s="106">
        <f t="shared" si="120"/>
        <v>548.56799999999998</v>
      </c>
      <c r="H583" s="147"/>
      <c r="I583" s="163"/>
      <c r="J583" s="163"/>
      <c r="K583" s="163"/>
      <c r="L583" s="428"/>
      <c r="M583" s="624" t="s">
        <v>1223</v>
      </c>
      <c r="N583" s="158" t="s">
        <v>700</v>
      </c>
      <c r="O583" s="417" t="s">
        <v>1224</v>
      </c>
      <c r="P583" s="477" t="s">
        <v>2414</v>
      </c>
      <c r="Q583" s="505" t="s">
        <v>2415</v>
      </c>
      <c r="R583" s="506">
        <v>1</v>
      </c>
      <c r="S583" s="106" t="s">
        <v>2339</v>
      </c>
      <c r="T583" s="473" t="s">
        <v>2414</v>
      </c>
      <c r="U583" s="106">
        <v>609.52</v>
      </c>
      <c r="V583" s="430">
        <v>0.1</v>
      </c>
      <c r="W583" s="106">
        <v>548.56799999999998</v>
      </c>
      <c r="X583" s="147"/>
      <c r="Y583" s="163"/>
      <c r="Z583" s="163"/>
      <c r="AA583" s="163"/>
      <c r="AB583" s="428"/>
      <c r="AC583" s="41" t="s">
        <v>1223</v>
      </c>
      <c r="AD583" s="42" t="s">
        <v>700</v>
      </c>
      <c r="AE583" s="416" t="s">
        <v>1224</v>
      </c>
    </row>
    <row r="584" spans="1:31" s="1" customFormat="1">
      <c r="A584" s="421" t="s">
        <v>2440</v>
      </c>
      <c r="B584" s="113" t="s">
        <v>2441</v>
      </c>
      <c r="C584" s="114">
        <v>1</v>
      </c>
      <c r="D584" s="1006" t="s">
        <v>2339</v>
      </c>
      <c r="E584" s="1023">
        <v>1257.1400000000001</v>
      </c>
      <c r="F584" s="116">
        <f t="shared" si="125"/>
        <v>0.1</v>
      </c>
      <c r="G584" s="115">
        <f t="shared" si="120"/>
        <v>1131.4260000000002</v>
      </c>
      <c r="H584" s="24"/>
      <c r="I584" s="22"/>
      <c r="J584" s="22"/>
      <c r="K584" s="25"/>
      <c r="L584" s="47"/>
      <c r="M584" s="624" t="s">
        <v>1223</v>
      </c>
      <c r="N584" s="158" t="s">
        <v>700</v>
      </c>
      <c r="O584" s="417" t="s">
        <v>1224</v>
      </c>
      <c r="P584" s="477" t="s">
        <v>2440</v>
      </c>
      <c r="Q584" s="578" t="s">
        <v>2441</v>
      </c>
      <c r="R584" s="579">
        <v>1</v>
      </c>
      <c r="S584" s="213" t="s">
        <v>2339</v>
      </c>
      <c r="T584" s="153" t="s">
        <v>2440</v>
      </c>
      <c r="U584" s="213">
        <v>1257.1400000000001</v>
      </c>
      <c r="V584" s="580">
        <v>0.1</v>
      </c>
      <c r="W584" s="213">
        <v>1131.4260000000002</v>
      </c>
      <c r="X584" s="147"/>
      <c r="Y584" s="163"/>
      <c r="Z584" s="163"/>
      <c r="AA584" s="163"/>
      <c r="AB584" s="428"/>
      <c r="AC584" s="41" t="s">
        <v>1223</v>
      </c>
      <c r="AD584" s="42" t="s">
        <v>700</v>
      </c>
      <c r="AE584" s="416" t="s">
        <v>1224</v>
      </c>
    </row>
    <row r="585" spans="1:31" s="1" customFormat="1">
      <c r="A585" s="477" t="s">
        <v>2442</v>
      </c>
      <c r="B585" s="505" t="s">
        <v>2443</v>
      </c>
      <c r="C585" s="506">
        <v>1</v>
      </c>
      <c r="D585" s="585" t="s">
        <v>2339</v>
      </c>
      <c r="E585" s="1009">
        <v>825.4</v>
      </c>
      <c r="F585" s="430">
        <f t="shared" si="125"/>
        <v>0.1</v>
      </c>
      <c r="G585" s="106">
        <f t="shared" si="120"/>
        <v>742.86</v>
      </c>
      <c r="H585" s="147"/>
      <c r="I585" s="163"/>
      <c r="J585" s="163"/>
      <c r="K585" s="163"/>
      <c r="L585" s="428"/>
      <c r="M585" s="624" t="s">
        <v>1223</v>
      </c>
      <c r="N585" s="158" t="s">
        <v>700</v>
      </c>
      <c r="O585" s="417" t="s">
        <v>1224</v>
      </c>
      <c r="P585" s="477" t="s">
        <v>2442</v>
      </c>
      <c r="Q585" s="505" t="s">
        <v>2443</v>
      </c>
      <c r="R585" s="506">
        <v>1</v>
      </c>
      <c r="S585" s="106" t="s">
        <v>2339</v>
      </c>
      <c r="T585" s="473" t="s">
        <v>2442</v>
      </c>
      <c r="U585" s="106">
        <v>825.4</v>
      </c>
      <c r="V585" s="430">
        <v>0.1</v>
      </c>
      <c r="W585" s="106">
        <v>742.86</v>
      </c>
      <c r="X585" s="147"/>
      <c r="Y585" s="163"/>
      <c r="Z585" s="163"/>
      <c r="AA585" s="163"/>
      <c r="AB585" s="428"/>
      <c r="AC585" s="41" t="s">
        <v>1223</v>
      </c>
      <c r="AD585" s="42" t="s">
        <v>700</v>
      </c>
      <c r="AE585" s="416" t="s">
        <v>1224</v>
      </c>
    </row>
    <row r="586" spans="1:31" s="1" customFormat="1">
      <c r="A586" s="477" t="s">
        <v>2444</v>
      </c>
      <c r="B586" s="505" t="s">
        <v>2445</v>
      </c>
      <c r="C586" s="506">
        <v>1</v>
      </c>
      <c r="D586" s="585" t="s">
        <v>2339</v>
      </c>
      <c r="E586" s="1009">
        <v>152.38</v>
      </c>
      <c r="F586" s="430">
        <f t="shared" si="125"/>
        <v>0.1</v>
      </c>
      <c r="G586" s="106">
        <f t="shared" si="120"/>
        <v>137.142</v>
      </c>
      <c r="H586" s="147"/>
      <c r="I586" s="163"/>
      <c r="J586" s="163"/>
      <c r="K586" s="163"/>
      <c r="L586" s="428"/>
      <c r="M586" s="624" t="s">
        <v>1223</v>
      </c>
      <c r="N586" s="158" t="s">
        <v>700</v>
      </c>
      <c r="O586" s="417" t="s">
        <v>1224</v>
      </c>
      <c r="P586" s="477" t="s">
        <v>2444</v>
      </c>
      <c r="Q586" s="505" t="s">
        <v>2445</v>
      </c>
      <c r="R586" s="506">
        <v>1</v>
      </c>
      <c r="S586" s="106" t="s">
        <v>2339</v>
      </c>
      <c r="T586" s="473" t="s">
        <v>2444</v>
      </c>
      <c r="U586" s="106">
        <v>152.38</v>
      </c>
      <c r="V586" s="430">
        <v>0.1</v>
      </c>
      <c r="W586" s="106">
        <v>137.142</v>
      </c>
      <c r="X586" s="147"/>
      <c r="Y586" s="163"/>
      <c r="Z586" s="163"/>
      <c r="AA586" s="163"/>
      <c r="AB586" s="428"/>
      <c r="AC586" s="41" t="s">
        <v>1223</v>
      </c>
      <c r="AD586" s="42" t="s">
        <v>700</v>
      </c>
      <c r="AE586" s="416" t="s">
        <v>1224</v>
      </c>
    </row>
    <row r="587" spans="1:31" s="1" customFormat="1">
      <c r="A587" s="477" t="s">
        <v>2352</v>
      </c>
      <c r="B587" s="505" t="s">
        <v>2446</v>
      </c>
      <c r="C587" s="506">
        <v>1</v>
      </c>
      <c r="D587" s="585" t="s">
        <v>2339</v>
      </c>
      <c r="E587" s="1009">
        <v>251.43</v>
      </c>
      <c r="F587" s="430">
        <f t="shared" si="125"/>
        <v>0.1</v>
      </c>
      <c r="G587" s="106">
        <f t="shared" si="120"/>
        <v>226.28700000000001</v>
      </c>
      <c r="H587" s="147"/>
      <c r="I587" s="163"/>
      <c r="J587" s="163"/>
      <c r="K587" s="163"/>
      <c r="L587" s="428"/>
      <c r="M587" s="624" t="s">
        <v>1223</v>
      </c>
      <c r="N587" s="158" t="s">
        <v>700</v>
      </c>
      <c r="O587" s="417" t="s">
        <v>1224</v>
      </c>
      <c r="P587" s="477" t="s">
        <v>2352</v>
      </c>
      <c r="Q587" s="505" t="s">
        <v>2446</v>
      </c>
      <c r="R587" s="506">
        <v>1</v>
      </c>
      <c r="S587" s="106" t="s">
        <v>2339</v>
      </c>
      <c r="T587" s="473" t="s">
        <v>2352</v>
      </c>
      <c r="U587" s="106">
        <v>251.43</v>
      </c>
      <c r="V587" s="430">
        <v>0.1</v>
      </c>
      <c r="W587" s="106">
        <v>226.28700000000001</v>
      </c>
      <c r="X587" s="147"/>
      <c r="Y587" s="163"/>
      <c r="Z587" s="163"/>
      <c r="AA587" s="163"/>
      <c r="AB587" s="428"/>
      <c r="AC587" s="41" t="s">
        <v>1223</v>
      </c>
      <c r="AD587" s="42" t="s">
        <v>700</v>
      </c>
      <c r="AE587" s="416" t="s">
        <v>1224</v>
      </c>
    </row>
    <row r="588" spans="1:31" s="1" customFormat="1">
      <c r="A588" s="477" t="s">
        <v>2447</v>
      </c>
      <c r="B588" s="505" t="s">
        <v>2448</v>
      </c>
      <c r="C588" s="506">
        <v>1</v>
      </c>
      <c r="D588" s="585" t="s">
        <v>2339</v>
      </c>
      <c r="E588" s="1009">
        <v>1253.4100000000001</v>
      </c>
      <c r="F588" s="430">
        <f t="shared" si="125"/>
        <v>0.1</v>
      </c>
      <c r="G588" s="106">
        <f t="shared" si="120"/>
        <v>1128.069</v>
      </c>
      <c r="H588" s="147"/>
      <c r="I588" s="163"/>
      <c r="J588" s="163"/>
      <c r="K588" s="163"/>
      <c r="L588" s="428"/>
      <c r="M588" s="624" t="s">
        <v>1223</v>
      </c>
      <c r="N588" s="158" t="s">
        <v>700</v>
      </c>
      <c r="O588" s="417" t="s">
        <v>1224</v>
      </c>
      <c r="P588" s="477" t="s">
        <v>2447</v>
      </c>
      <c r="Q588" s="505" t="s">
        <v>2448</v>
      </c>
      <c r="R588" s="506">
        <v>1</v>
      </c>
      <c r="S588" s="106" t="s">
        <v>2339</v>
      </c>
      <c r="T588" s="473" t="s">
        <v>2447</v>
      </c>
      <c r="U588" s="106">
        <v>1253.4100000000001</v>
      </c>
      <c r="V588" s="430">
        <v>0.1</v>
      </c>
      <c r="W588" s="106">
        <v>1128.069</v>
      </c>
      <c r="X588" s="147"/>
      <c r="Y588" s="163"/>
      <c r="Z588" s="163"/>
      <c r="AA588" s="163"/>
      <c r="AB588" s="428"/>
      <c r="AC588" s="41" t="s">
        <v>1223</v>
      </c>
      <c r="AD588" s="42" t="s">
        <v>700</v>
      </c>
      <c r="AE588" s="416" t="s">
        <v>1224</v>
      </c>
    </row>
    <row r="589" spans="1:31" s="1" customFormat="1">
      <c r="A589" s="421" t="s">
        <v>2449</v>
      </c>
      <c r="B589" s="113" t="s">
        <v>2450</v>
      </c>
      <c r="C589" s="114">
        <v>1</v>
      </c>
      <c r="D589" s="1006" t="s">
        <v>2339</v>
      </c>
      <c r="E589" s="1023">
        <v>1511.11</v>
      </c>
      <c r="F589" s="116">
        <f t="shared" si="125"/>
        <v>0.1</v>
      </c>
      <c r="G589" s="115">
        <f t="shared" si="120"/>
        <v>1359.9989999999998</v>
      </c>
      <c r="H589" s="24"/>
      <c r="I589" s="22"/>
      <c r="J589" s="22"/>
      <c r="K589" s="25"/>
      <c r="L589" s="47"/>
      <c r="M589" s="624" t="s">
        <v>1223</v>
      </c>
      <c r="N589" s="158" t="s">
        <v>700</v>
      </c>
      <c r="O589" s="417" t="s">
        <v>1224</v>
      </c>
      <c r="P589" s="477" t="s">
        <v>2449</v>
      </c>
      <c r="Q589" s="578" t="s">
        <v>2450</v>
      </c>
      <c r="R589" s="579">
        <v>1</v>
      </c>
      <c r="S589" s="213" t="s">
        <v>2339</v>
      </c>
      <c r="T589" s="153" t="s">
        <v>2449</v>
      </c>
      <c r="U589" s="213">
        <v>1511.11</v>
      </c>
      <c r="V589" s="580">
        <v>0.1</v>
      </c>
      <c r="W589" s="213">
        <v>1359.9989999999998</v>
      </c>
      <c r="X589" s="147"/>
      <c r="Y589" s="163"/>
      <c r="Z589" s="163"/>
      <c r="AA589" s="163"/>
      <c r="AB589" s="428"/>
      <c r="AC589" s="41" t="s">
        <v>1223</v>
      </c>
      <c r="AD589" s="42" t="s">
        <v>700</v>
      </c>
      <c r="AE589" s="416" t="s">
        <v>1224</v>
      </c>
    </row>
    <row r="590" spans="1:31" s="1" customFormat="1">
      <c r="A590" s="477" t="s">
        <v>2451</v>
      </c>
      <c r="B590" s="505" t="s">
        <v>2452</v>
      </c>
      <c r="C590" s="506">
        <v>1</v>
      </c>
      <c r="D590" s="585" t="s">
        <v>2339</v>
      </c>
      <c r="E590" s="1009">
        <v>863.49</v>
      </c>
      <c r="F590" s="430">
        <f t="shared" si="125"/>
        <v>0.1</v>
      </c>
      <c r="G590" s="106">
        <f t="shared" si="120"/>
        <v>777.14099999999996</v>
      </c>
      <c r="H590" s="147"/>
      <c r="I590" s="163"/>
      <c r="J590" s="163"/>
      <c r="K590" s="163"/>
      <c r="L590" s="428"/>
      <c r="M590" s="624" t="s">
        <v>1223</v>
      </c>
      <c r="N590" s="158" t="s">
        <v>700</v>
      </c>
      <c r="O590" s="417" t="s">
        <v>1224</v>
      </c>
      <c r="P590" s="477" t="s">
        <v>2451</v>
      </c>
      <c r="Q590" s="505" t="s">
        <v>2452</v>
      </c>
      <c r="R590" s="506">
        <v>1</v>
      </c>
      <c r="S590" s="106" t="s">
        <v>2339</v>
      </c>
      <c r="T590" s="473" t="s">
        <v>2451</v>
      </c>
      <c r="U590" s="106">
        <v>863.49</v>
      </c>
      <c r="V590" s="430">
        <v>0.1</v>
      </c>
      <c r="W590" s="106">
        <v>777.14099999999996</v>
      </c>
      <c r="X590" s="147"/>
      <c r="Y590" s="163"/>
      <c r="Z590" s="163"/>
      <c r="AA590" s="163"/>
      <c r="AB590" s="428"/>
      <c r="AC590" s="41" t="s">
        <v>1223</v>
      </c>
      <c r="AD590" s="42" t="s">
        <v>700</v>
      </c>
      <c r="AE590" s="416" t="s">
        <v>1224</v>
      </c>
    </row>
    <row r="591" spans="1:31" s="1" customFormat="1">
      <c r="A591" s="477" t="s">
        <v>2453</v>
      </c>
      <c r="B591" s="505" t="s">
        <v>2454</v>
      </c>
      <c r="C591" s="506">
        <v>1</v>
      </c>
      <c r="D591" s="585" t="s">
        <v>2339</v>
      </c>
      <c r="E591" s="1009">
        <v>152.38</v>
      </c>
      <c r="F591" s="430">
        <f t="shared" si="125"/>
        <v>0.1</v>
      </c>
      <c r="G591" s="106">
        <f t="shared" si="120"/>
        <v>137.142</v>
      </c>
      <c r="H591" s="147"/>
      <c r="I591" s="163"/>
      <c r="J591" s="163"/>
      <c r="K591" s="163"/>
      <c r="L591" s="428"/>
      <c r="M591" s="624" t="s">
        <v>1223</v>
      </c>
      <c r="N591" s="158" t="s">
        <v>700</v>
      </c>
      <c r="O591" s="417" t="s">
        <v>1224</v>
      </c>
      <c r="P591" s="477" t="s">
        <v>2453</v>
      </c>
      <c r="Q591" s="505" t="s">
        <v>2454</v>
      </c>
      <c r="R591" s="506">
        <v>1</v>
      </c>
      <c r="S591" s="106" t="s">
        <v>2339</v>
      </c>
      <c r="T591" s="473" t="s">
        <v>2453</v>
      </c>
      <c r="U591" s="106">
        <v>152.38</v>
      </c>
      <c r="V591" s="430">
        <v>0.1</v>
      </c>
      <c r="W591" s="106">
        <v>137.142</v>
      </c>
      <c r="X591" s="147"/>
      <c r="Y591" s="163"/>
      <c r="Z591" s="163"/>
      <c r="AA591" s="163"/>
      <c r="AB591" s="428"/>
      <c r="AC591" s="41" t="s">
        <v>1223</v>
      </c>
      <c r="AD591" s="42" t="s">
        <v>700</v>
      </c>
      <c r="AE591" s="416" t="s">
        <v>1224</v>
      </c>
    </row>
    <row r="592" spans="1:31" s="1" customFormat="1">
      <c r="A592" s="477" t="s">
        <v>2352</v>
      </c>
      <c r="B592" s="505" t="s">
        <v>2446</v>
      </c>
      <c r="C592" s="506">
        <v>1</v>
      </c>
      <c r="D592" s="585" t="s">
        <v>2339</v>
      </c>
      <c r="E592" s="1009">
        <v>251.43</v>
      </c>
      <c r="F592" s="430">
        <f t="shared" si="125"/>
        <v>0.1</v>
      </c>
      <c r="G592" s="106">
        <f t="shared" si="120"/>
        <v>226.28700000000001</v>
      </c>
      <c r="H592" s="147"/>
      <c r="I592" s="163"/>
      <c r="J592" s="163"/>
      <c r="K592" s="163"/>
      <c r="L592" s="428"/>
      <c r="M592" s="624" t="s">
        <v>1223</v>
      </c>
      <c r="N592" s="158" t="s">
        <v>700</v>
      </c>
      <c r="O592" s="417" t="s">
        <v>1224</v>
      </c>
      <c r="P592" s="477" t="s">
        <v>2352</v>
      </c>
      <c r="Q592" s="505" t="s">
        <v>2446</v>
      </c>
      <c r="R592" s="506">
        <v>1</v>
      </c>
      <c r="S592" s="106" t="s">
        <v>2339</v>
      </c>
      <c r="T592" s="473" t="s">
        <v>2352</v>
      </c>
      <c r="U592" s="106">
        <v>251.43</v>
      </c>
      <c r="V592" s="430">
        <v>0.1</v>
      </c>
      <c r="W592" s="106">
        <v>226.28700000000001</v>
      </c>
      <c r="X592" s="147"/>
      <c r="Y592" s="163"/>
      <c r="Z592" s="163"/>
      <c r="AA592" s="163"/>
      <c r="AB592" s="428"/>
      <c r="AC592" s="41" t="s">
        <v>1223</v>
      </c>
      <c r="AD592" s="42" t="s">
        <v>700</v>
      </c>
      <c r="AE592" s="416" t="s">
        <v>1224</v>
      </c>
    </row>
    <row r="593" spans="1:31" s="1" customFormat="1">
      <c r="A593" s="477" t="s">
        <v>2455</v>
      </c>
      <c r="B593" s="505" t="s">
        <v>2456</v>
      </c>
      <c r="C593" s="506">
        <v>1</v>
      </c>
      <c r="D593" s="585" t="s">
        <v>2339</v>
      </c>
      <c r="E593" s="1009">
        <v>2506.83</v>
      </c>
      <c r="F593" s="430">
        <f t="shared" si="125"/>
        <v>0.1</v>
      </c>
      <c r="G593" s="106">
        <f t="shared" si="120"/>
        <v>2256.1469999999999</v>
      </c>
      <c r="H593" s="147"/>
      <c r="I593" s="163"/>
      <c r="J593" s="163"/>
      <c r="K593" s="163"/>
      <c r="L593" s="428"/>
      <c r="M593" s="624" t="s">
        <v>1223</v>
      </c>
      <c r="N593" s="158" t="s">
        <v>700</v>
      </c>
      <c r="O593" s="417" t="s">
        <v>1224</v>
      </c>
      <c r="P593" s="477" t="s">
        <v>2455</v>
      </c>
      <c r="Q593" s="505" t="s">
        <v>2456</v>
      </c>
      <c r="R593" s="506">
        <v>1</v>
      </c>
      <c r="S593" s="106" t="s">
        <v>2339</v>
      </c>
      <c r="T593" s="473" t="s">
        <v>2455</v>
      </c>
      <c r="U593" s="106">
        <v>2506.83</v>
      </c>
      <c r="V593" s="430">
        <v>0.1</v>
      </c>
      <c r="W593" s="106">
        <v>2256.1469999999999</v>
      </c>
      <c r="X593" s="147"/>
      <c r="Y593" s="163"/>
      <c r="Z593" s="163"/>
      <c r="AA593" s="163"/>
      <c r="AB593" s="428"/>
      <c r="AC593" s="41" t="s">
        <v>1223</v>
      </c>
      <c r="AD593" s="42" t="s">
        <v>700</v>
      </c>
      <c r="AE593" s="416" t="s">
        <v>1224</v>
      </c>
    </row>
    <row r="594" spans="1:31" s="1" customFormat="1">
      <c r="A594" s="421" t="s">
        <v>2457</v>
      </c>
      <c r="B594" s="113" t="s">
        <v>2458</v>
      </c>
      <c r="C594" s="114">
        <v>1</v>
      </c>
      <c r="D594" s="1006" t="s">
        <v>2339</v>
      </c>
      <c r="E594" s="1023">
        <v>1140.32</v>
      </c>
      <c r="F594" s="116">
        <f t="shared" si="125"/>
        <v>0.1</v>
      </c>
      <c r="G594" s="115">
        <f t="shared" si="120"/>
        <v>1026.288</v>
      </c>
      <c r="H594" s="24"/>
      <c r="I594" s="22"/>
      <c r="J594" s="22"/>
      <c r="K594" s="25"/>
      <c r="L594" s="47"/>
      <c r="M594" s="624" t="s">
        <v>1223</v>
      </c>
      <c r="N594" s="158" t="s">
        <v>700</v>
      </c>
      <c r="O594" s="417" t="s">
        <v>1224</v>
      </c>
      <c r="P594" s="477" t="s">
        <v>2457</v>
      </c>
      <c r="Q594" s="578" t="s">
        <v>2458</v>
      </c>
      <c r="R594" s="579">
        <v>1</v>
      </c>
      <c r="S594" s="213" t="s">
        <v>2339</v>
      </c>
      <c r="T594" s="153" t="s">
        <v>2457</v>
      </c>
      <c r="U594" s="213">
        <v>1140.32</v>
      </c>
      <c r="V594" s="580">
        <v>0.1</v>
      </c>
      <c r="W594" s="213">
        <v>1026.288</v>
      </c>
      <c r="X594" s="147"/>
      <c r="Y594" s="163"/>
      <c r="Z594" s="163"/>
      <c r="AA594" s="163"/>
      <c r="AB594" s="428"/>
      <c r="AC594" s="41" t="s">
        <v>1223</v>
      </c>
      <c r="AD594" s="42" t="s">
        <v>700</v>
      </c>
      <c r="AE594" s="416" t="s">
        <v>1224</v>
      </c>
    </row>
    <row r="595" spans="1:31" s="1" customFormat="1">
      <c r="A595" s="477" t="s">
        <v>2459</v>
      </c>
      <c r="B595" s="505" t="s">
        <v>2460</v>
      </c>
      <c r="C595" s="506">
        <v>1</v>
      </c>
      <c r="D595" s="585" t="s">
        <v>2339</v>
      </c>
      <c r="E595" s="1009">
        <v>323.81</v>
      </c>
      <c r="F595" s="430">
        <f t="shared" si="125"/>
        <v>0.1</v>
      </c>
      <c r="G595" s="106">
        <f t="shared" si="120"/>
        <v>291.42899999999997</v>
      </c>
      <c r="H595" s="147"/>
      <c r="I595" s="163"/>
      <c r="J595" s="163"/>
      <c r="K595" s="163"/>
      <c r="L595" s="428"/>
      <c r="M595" s="624" t="s">
        <v>1223</v>
      </c>
      <c r="N595" s="158" t="s">
        <v>700</v>
      </c>
      <c r="O595" s="417" t="s">
        <v>1224</v>
      </c>
      <c r="P595" s="477" t="s">
        <v>2459</v>
      </c>
      <c r="Q595" s="505" t="s">
        <v>2460</v>
      </c>
      <c r="R595" s="506">
        <v>1</v>
      </c>
      <c r="S595" s="106" t="s">
        <v>2339</v>
      </c>
      <c r="T595" s="473" t="s">
        <v>2459</v>
      </c>
      <c r="U595" s="106">
        <v>323.81</v>
      </c>
      <c r="V595" s="430">
        <v>0.1</v>
      </c>
      <c r="W595" s="106">
        <v>291.42899999999997</v>
      </c>
      <c r="X595" s="147"/>
      <c r="Y595" s="163"/>
      <c r="Z595" s="163"/>
      <c r="AA595" s="163"/>
      <c r="AB595" s="428"/>
      <c r="AC595" s="41" t="s">
        <v>1223</v>
      </c>
      <c r="AD595" s="42" t="s">
        <v>700</v>
      </c>
      <c r="AE595" s="416" t="s">
        <v>1224</v>
      </c>
    </row>
    <row r="596" spans="1:31" s="1" customFormat="1">
      <c r="A596" s="477" t="s">
        <v>2461</v>
      </c>
      <c r="B596" s="505" t="s">
        <v>2462</v>
      </c>
      <c r="C596" s="506">
        <v>1</v>
      </c>
      <c r="D596" s="585" t="s">
        <v>2339</v>
      </c>
      <c r="E596" s="1009">
        <v>1079.3699999999999</v>
      </c>
      <c r="F596" s="430">
        <f t="shared" si="125"/>
        <v>0.1</v>
      </c>
      <c r="G596" s="106">
        <f t="shared" si="120"/>
        <v>971.43299999999988</v>
      </c>
      <c r="H596" s="147"/>
      <c r="I596" s="163"/>
      <c r="J596" s="163"/>
      <c r="K596" s="163"/>
      <c r="L596" s="428"/>
      <c r="M596" s="624" t="s">
        <v>1223</v>
      </c>
      <c r="N596" s="158" t="s">
        <v>700</v>
      </c>
      <c r="O596" s="417" t="s">
        <v>1224</v>
      </c>
      <c r="P596" s="477" t="s">
        <v>2461</v>
      </c>
      <c r="Q596" s="505" t="s">
        <v>2462</v>
      </c>
      <c r="R596" s="506">
        <v>1</v>
      </c>
      <c r="S596" s="106" t="s">
        <v>2339</v>
      </c>
      <c r="T596" s="473" t="s">
        <v>2461</v>
      </c>
      <c r="U596" s="106">
        <v>1079.3699999999999</v>
      </c>
      <c r="V596" s="430">
        <v>0.1</v>
      </c>
      <c r="W596" s="106">
        <v>971.43299999999988</v>
      </c>
      <c r="X596" s="147"/>
      <c r="Y596" s="163"/>
      <c r="Z596" s="163"/>
      <c r="AA596" s="163"/>
      <c r="AB596" s="428"/>
      <c r="AC596" s="41" t="s">
        <v>1223</v>
      </c>
      <c r="AD596" s="42" t="s">
        <v>700</v>
      </c>
      <c r="AE596" s="416" t="s">
        <v>1224</v>
      </c>
    </row>
    <row r="597" spans="1:31" s="1" customFormat="1">
      <c r="A597" s="477" t="s">
        <v>2463</v>
      </c>
      <c r="B597" s="505" t="s">
        <v>2464</v>
      </c>
      <c r="C597" s="506">
        <v>1</v>
      </c>
      <c r="D597" s="585" t="s">
        <v>2339</v>
      </c>
      <c r="E597" s="1009">
        <v>914.29</v>
      </c>
      <c r="F597" s="430">
        <f t="shared" si="125"/>
        <v>0.1</v>
      </c>
      <c r="G597" s="106">
        <f t="shared" si="120"/>
        <v>822.86099999999999</v>
      </c>
      <c r="H597" s="147"/>
      <c r="I597" s="163"/>
      <c r="J597" s="163"/>
      <c r="K597" s="163"/>
      <c r="L597" s="428"/>
      <c r="M597" s="624" t="s">
        <v>1223</v>
      </c>
      <c r="N597" s="158" t="s">
        <v>700</v>
      </c>
      <c r="O597" s="417" t="s">
        <v>1224</v>
      </c>
      <c r="P597" s="477" t="s">
        <v>2463</v>
      </c>
      <c r="Q597" s="505" t="s">
        <v>2464</v>
      </c>
      <c r="R597" s="506">
        <v>1</v>
      </c>
      <c r="S597" s="106" t="s">
        <v>2339</v>
      </c>
      <c r="T597" s="473" t="s">
        <v>2463</v>
      </c>
      <c r="U597" s="106">
        <v>914.29</v>
      </c>
      <c r="V597" s="430">
        <v>0.1</v>
      </c>
      <c r="W597" s="106">
        <v>822.86099999999999</v>
      </c>
      <c r="X597" s="147"/>
      <c r="Y597" s="163"/>
      <c r="Z597" s="163"/>
      <c r="AA597" s="163"/>
      <c r="AB597" s="428"/>
      <c r="AC597" s="41" t="s">
        <v>1223</v>
      </c>
      <c r="AD597" s="42" t="s">
        <v>700</v>
      </c>
      <c r="AE597" s="416" t="s">
        <v>1224</v>
      </c>
    </row>
    <row r="598" spans="1:31" s="1" customFormat="1">
      <c r="A598" s="477" t="s">
        <v>2465</v>
      </c>
      <c r="B598" s="505" t="s">
        <v>2466</v>
      </c>
      <c r="C598" s="506">
        <v>1</v>
      </c>
      <c r="D598" s="585" t="s">
        <v>2339</v>
      </c>
      <c r="E598" s="1009">
        <v>39.68</v>
      </c>
      <c r="F598" s="430">
        <f t="shared" si="125"/>
        <v>0.1</v>
      </c>
      <c r="G598" s="106">
        <f t="shared" si="120"/>
        <v>35.712000000000003</v>
      </c>
      <c r="H598" s="147"/>
      <c r="I598" s="163"/>
      <c r="J598" s="163"/>
      <c r="K598" s="163"/>
      <c r="L598" s="428"/>
      <c r="M598" s="624" t="s">
        <v>1223</v>
      </c>
      <c r="N598" s="158" t="s">
        <v>700</v>
      </c>
      <c r="O598" s="417" t="s">
        <v>1224</v>
      </c>
      <c r="P598" s="477" t="s">
        <v>2465</v>
      </c>
      <c r="Q598" s="505" t="s">
        <v>2466</v>
      </c>
      <c r="R598" s="506">
        <v>1</v>
      </c>
      <c r="S598" s="106" t="s">
        <v>2339</v>
      </c>
      <c r="T598" s="473" t="s">
        <v>2465</v>
      </c>
      <c r="U598" s="106">
        <v>39.68</v>
      </c>
      <c r="V598" s="430">
        <v>0.1</v>
      </c>
      <c r="W598" s="106">
        <v>35.712000000000003</v>
      </c>
      <c r="X598" s="147"/>
      <c r="Y598" s="163"/>
      <c r="Z598" s="163"/>
      <c r="AA598" s="163"/>
      <c r="AB598" s="428"/>
      <c r="AC598" s="41" t="s">
        <v>1223</v>
      </c>
      <c r="AD598" s="42" t="s">
        <v>700</v>
      </c>
      <c r="AE598" s="416" t="s">
        <v>1224</v>
      </c>
    </row>
    <row r="599" spans="1:31" s="1" customFormat="1">
      <c r="A599" s="477" t="s">
        <v>2467</v>
      </c>
      <c r="B599" s="505" t="s">
        <v>2468</v>
      </c>
      <c r="C599" s="506">
        <v>1</v>
      </c>
      <c r="D599" s="585" t="s">
        <v>2339</v>
      </c>
      <c r="E599" s="1009">
        <v>79.37</v>
      </c>
      <c r="F599" s="430">
        <f t="shared" si="125"/>
        <v>0.1</v>
      </c>
      <c r="G599" s="106">
        <f t="shared" si="120"/>
        <v>71.433000000000007</v>
      </c>
      <c r="H599" s="147"/>
      <c r="I599" s="163"/>
      <c r="J599" s="163"/>
      <c r="K599" s="163"/>
      <c r="L599" s="428"/>
      <c r="M599" s="624" t="s">
        <v>1223</v>
      </c>
      <c r="N599" s="158" t="s">
        <v>700</v>
      </c>
      <c r="O599" s="417" t="s">
        <v>1224</v>
      </c>
      <c r="P599" s="477" t="s">
        <v>2467</v>
      </c>
      <c r="Q599" s="505" t="s">
        <v>2468</v>
      </c>
      <c r="R599" s="506">
        <v>1</v>
      </c>
      <c r="S599" s="106" t="s">
        <v>2339</v>
      </c>
      <c r="T599" s="473" t="s">
        <v>2467</v>
      </c>
      <c r="U599" s="106">
        <v>79.37</v>
      </c>
      <c r="V599" s="430">
        <v>0.1</v>
      </c>
      <c r="W599" s="106">
        <v>71.433000000000007</v>
      </c>
      <c r="X599" s="147"/>
      <c r="Y599" s="163"/>
      <c r="Z599" s="163"/>
      <c r="AA599" s="163"/>
      <c r="AB599" s="428"/>
      <c r="AC599" s="41" t="s">
        <v>1223</v>
      </c>
      <c r="AD599" s="42" t="s">
        <v>700</v>
      </c>
      <c r="AE599" s="416" t="s">
        <v>1224</v>
      </c>
    </row>
    <row r="600" spans="1:31" s="1" customFormat="1">
      <c r="A600" s="477" t="s">
        <v>2469</v>
      </c>
      <c r="B600" s="505" t="s">
        <v>2470</v>
      </c>
      <c r="C600" s="506">
        <v>1</v>
      </c>
      <c r="D600" s="585" t="s">
        <v>2471</v>
      </c>
      <c r="E600" s="1009">
        <v>1441</v>
      </c>
      <c r="F600" s="430">
        <f t="shared" si="125"/>
        <v>0.1</v>
      </c>
      <c r="G600" s="106">
        <f t="shared" ref="G600:G631" si="126">E600-(E600*F600)</f>
        <v>1296.9000000000001</v>
      </c>
      <c r="H600" s="147"/>
      <c r="I600" s="163"/>
      <c r="J600" s="163"/>
      <c r="K600" s="163"/>
      <c r="L600" s="428">
        <v>4.17</v>
      </c>
      <c r="M600" s="624" t="s">
        <v>1223</v>
      </c>
      <c r="N600" s="158" t="s">
        <v>700</v>
      </c>
      <c r="O600" s="417" t="s">
        <v>1224</v>
      </c>
      <c r="P600" s="477" t="s">
        <v>2469</v>
      </c>
      <c r="Q600" s="505" t="s">
        <v>2470</v>
      </c>
      <c r="R600" s="506">
        <v>1</v>
      </c>
      <c r="S600" s="106" t="s">
        <v>2471</v>
      </c>
      <c r="T600" s="473" t="s">
        <v>2469</v>
      </c>
      <c r="U600" s="106">
        <v>1441</v>
      </c>
      <c r="V600" s="430">
        <v>0.1</v>
      </c>
      <c r="W600" s="106">
        <v>1296.9000000000001</v>
      </c>
      <c r="X600" s="147"/>
      <c r="Y600" s="163"/>
      <c r="Z600" s="163"/>
      <c r="AA600" s="163"/>
      <c r="AB600" s="428">
        <v>4.17</v>
      </c>
      <c r="AC600" s="41" t="s">
        <v>1223</v>
      </c>
      <c r="AD600" s="42" t="s">
        <v>700</v>
      </c>
      <c r="AE600" s="416" t="s">
        <v>1224</v>
      </c>
    </row>
    <row r="601" spans="1:31" s="1" customFormat="1">
      <c r="A601" s="477" t="s">
        <v>2472</v>
      </c>
      <c r="B601" s="505" t="s">
        <v>2473</v>
      </c>
      <c r="C601" s="506">
        <v>1</v>
      </c>
      <c r="D601" s="585" t="s">
        <v>2471</v>
      </c>
      <c r="E601" s="1009">
        <v>609.89</v>
      </c>
      <c r="F601" s="430">
        <f t="shared" si="125"/>
        <v>0.1</v>
      </c>
      <c r="G601" s="106">
        <f t="shared" si="126"/>
        <v>548.90099999999995</v>
      </c>
      <c r="H601" s="147"/>
      <c r="I601" s="163"/>
      <c r="J601" s="163"/>
      <c r="K601" s="163"/>
      <c r="L601" s="428">
        <v>2.5</v>
      </c>
      <c r="M601" s="624" t="s">
        <v>1223</v>
      </c>
      <c r="N601" s="158" t="s">
        <v>700</v>
      </c>
      <c r="O601" s="417" t="s">
        <v>1224</v>
      </c>
      <c r="P601" s="477" t="s">
        <v>2472</v>
      </c>
      <c r="Q601" s="505" t="s">
        <v>2473</v>
      </c>
      <c r="R601" s="506">
        <v>1</v>
      </c>
      <c r="S601" s="106" t="s">
        <v>2471</v>
      </c>
      <c r="T601" s="473" t="s">
        <v>2472</v>
      </c>
      <c r="U601" s="106">
        <v>609.89</v>
      </c>
      <c r="V601" s="430">
        <v>0.1</v>
      </c>
      <c r="W601" s="106">
        <v>548.90099999999995</v>
      </c>
      <c r="X601" s="147"/>
      <c r="Y601" s="163"/>
      <c r="Z601" s="163"/>
      <c r="AA601" s="163"/>
      <c r="AB601" s="428">
        <v>2.5</v>
      </c>
      <c r="AC601" s="41" t="s">
        <v>1223</v>
      </c>
      <c r="AD601" s="42" t="s">
        <v>700</v>
      </c>
      <c r="AE601" s="416" t="s">
        <v>1224</v>
      </c>
    </row>
    <row r="602" spans="1:31" s="1" customFormat="1">
      <c r="A602" s="477" t="s">
        <v>2474</v>
      </c>
      <c r="B602" s="505" t="s">
        <v>2475</v>
      </c>
      <c r="C602" s="506">
        <v>1</v>
      </c>
      <c r="D602" s="585" t="s">
        <v>2471</v>
      </c>
      <c r="E602" s="1009">
        <v>1159.8900000000001</v>
      </c>
      <c r="F602" s="430">
        <f t="shared" si="125"/>
        <v>0.1</v>
      </c>
      <c r="G602" s="106">
        <f t="shared" ref="G602" si="127">E602-(E602*F602)</f>
        <v>1043.9010000000001</v>
      </c>
      <c r="H602" s="147"/>
      <c r="I602" s="163"/>
      <c r="J602" s="163"/>
      <c r="K602" s="163"/>
      <c r="L602" s="428">
        <v>0</v>
      </c>
      <c r="M602" s="624" t="s">
        <v>1223</v>
      </c>
      <c r="N602" s="158" t="s">
        <v>700</v>
      </c>
      <c r="O602" s="417" t="s">
        <v>1224</v>
      </c>
      <c r="P602" s="477" t="s">
        <v>2474</v>
      </c>
      <c r="Q602" s="505" t="s">
        <v>2475</v>
      </c>
      <c r="R602" s="506">
        <v>1</v>
      </c>
      <c r="S602" s="106" t="s">
        <v>2471</v>
      </c>
      <c r="T602" s="473" t="s">
        <v>2474</v>
      </c>
      <c r="U602" s="106">
        <v>1159.8900000000001</v>
      </c>
      <c r="V602" s="430">
        <v>0.1</v>
      </c>
      <c r="W602" s="106">
        <v>1043.9010000000001</v>
      </c>
      <c r="X602" s="147"/>
      <c r="Y602" s="163"/>
      <c r="Z602" s="163"/>
      <c r="AA602" s="163"/>
      <c r="AB602" s="428">
        <v>0</v>
      </c>
      <c r="AC602" s="41" t="s">
        <v>1223</v>
      </c>
      <c r="AD602" s="42" t="s">
        <v>700</v>
      </c>
      <c r="AE602" s="416" t="s">
        <v>1224</v>
      </c>
    </row>
    <row r="603" spans="1:31" s="1" customFormat="1">
      <c r="A603" s="477" t="s">
        <v>2476</v>
      </c>
      <c r="B603" s="505" t="s">
        <v>2477</v>
      </c>
      <c r="C603" s="506">
        <v>1</v>
      </c>
      <c r="D603" s="585" t="s">
        <v>2471</v>
      </c>
      <c r="E603" s="1009">
        <v>7332.11</v>
      </c>
      <c r="F603" s="430">
        <f t="shared" si="125"/>
        <v>0.1</v>
      </c>
      <c r="G603" s="106">
        <f t="shared" si="126"/>
        <v>6598.8989999999994</v>
      </c>
      <c r="H603" s="147"/>
      <c r="I603" s="163"/>
      <c r="J603" s="163"/>
      <c r="K603" s="163"/>
      <c r="L603" s="428">
        <v>4.17</v>
      </c>
      <c r="M603" s="624" t="s">
        <v>1223</v>
      </c>
      <c r="N603" s="158" t="s">
        <v>700</v>
      </c>
      <c r="O603" s="417" t="s">
        <v>1224</v>
      </c>
      <c r="P603" s="477" t="s">
        <v>2476</v>
      </c>
      <c r="Q603" s="505" t="s">
        <v>2477</v>
      </c>
      <c r="R603" s="506">
        <v>1</v>
      </c>
      <c r="S603" s="106" t="s">
        <v>2471</v>
      </c>
      <c r="T603" s="473" t="s">
        <v>2476</v>
      </c>
      <c r="U603" s="106">
        <v>7332.11</v>
      </c>
      <c r="V603" s="430">
        <v>0.1</v>
      </c>
      <c r="W603" s="106">
        <v>6598.8989999999994</v>
      </c>
      <c r="X603" s="147"/>
      <c r="Y603" s="163"/>
      <c r="Z603" s="163"/>
      <c r="AA603" s="163"/>
      <c r="AB603" s="428">
        <v>4.17</v>
      </c>
      <c r="AC603" s="41" t="s">
        <v>1223</v>
      </c>
      <c r="AD603" s="42" t="s">
        <v>700</v>
      </c>
      <c r="AE603" s="416" t="s">
        <v>1224</v>
      </c>
    </row>
    <row r="604" spans="1:31" s="1" customFormat="1">
      <c r="A604" s="477" t="s">
        <v>2478</v>
      </c>
      <c r="B604" s="505" t="s">
        <v>2479</v>
      </c>
      <c r="C604" s="506">
        <v>1</v>
      </c>
      <c r="D604" s="585" t="s">
        <v>2471</v>
      </c>
      <c r="E604" s="1009">
        <v>4887.67</v>
      </c>
      <c r="F604" s="430">
        <f t="shared" si="125"/>
        <v>0.1</v>
      </c>
      <c r="G604" s="106">
        <f t="shared" si="126"/>
        <v>4398.9030000000002</v>
      </c>
      <c r="H604" s="147"/>
      <c r="I604" s="163"/>
      <c r="J604" s="163"/>
      <c r="K604" s="163"/>
      <c r="L604" s="428">
        <v>4.17</v>
      </c>
      <c r="M604" s="624" t="s">
        <v>1223</v>
      </c>
      <c r="N604" s="158" t="s">
        <v>700</v>
      </c>
      <c r="O604" s="417" t="s">
        <v>1224</v>
      </c>
      <c r="P604" s="477" t="s">
        <v>2478</v>
      </c>
      <c r="Q604" s="505" t="s">
        <v>2479</v>
      </c>
      <c r="R604" s="506">
        <v>1</v>
      </c>
      <c r="S604" s="106" t="s">
        <v>2471</v>
      </c>
      <c r="T604" s="473" t="s">
        <v>2478</v>
      </c>
      <c r="U604" s="106">
        <v>4887.67</v>
      </c>
      <c r="V604" s="430">
        <v>0.1</v>
      </c>
      <c r="W604" s="106">
        <v>4398.9030000000002</v>
      </c>
      <c r="X604" s="147"/>
      <c r="Y604" s="163"/>
      <c r="Z604" s="163"/>
      <c r="AA604" s="163"/>
      <c r="AB604" s="428">
        <v>4.17</v>
      </c>
      <c r="AC604" s="41" t="s">
        <v>1223</v>
      </c>
      <c r="AD604" s="42" t="s">
        <v>700</v>
      </c>
      <c r="AE604" s="416" t="s">
        <v>1224</v>
      </c>
    </row>
    <row r="605" spans="1:31" s="1" customFormat="1">
      <c r="A605" s="477" t="s">
        <v>2480</v>
      </c>
      <c r="B605" s="505" t="s">
        <v>2481</v>
      </c>
      <c r="C605" s="506">
        <v>1</v>
      </c>
      <c r="D605" s="585" t="s">
        <v>2471</v>
      </c>
      <c r="E605" s="1009">
        <v>426.56</v>
      </c>
      <c r="F605" s="430">
        <f t="shared" si="125"/>
        <v>0.1</v>
      </c>
      <c r="G605" s="106">
        <f t="shared" si="126"/>
        <v>383.904</v>
      </c>
      <c r="H605" s="147"/>
      <c r="I605" s="163"/>
      <c r="J605" s="163"/>
      <c r="K605" s="163"/>
      <c r="L605" s="428">
        <v>0.38</v>
      </c>
      <c r="M605" s="624" t="s">
        <v>1223</v>
      </c>
      <c r="N605" s="158" t="s">
        <v>700</v>
      </c>
      <c r="O605" s="417" t="s">
        <v>1224</v>
      </c>
      <c r="P605" s="477" t="s">
        <v>2480</v>
      </c>
      <c r="Q605" s="505" t="s">
        <v>2481</v>
      </c>
      <c r="R605" s="506">
        <v>1</v>
      </c>
      <c r="S605" s="106" t="s">
        <v>2471</v>
      </c>
      <c r="T605" s="473" t="s">
        <v>2480</v>
      </c>
      <c r="U605" s="106">
        <v>426.56</v>
      </c>
      <c r="V605" s="430">
        <v>0.1</v>
      </c>
      <c r="W605" s="106">
        <v>383.904</v>
      </c>
      <c r="X605" s="147"/>
      <c r="Y605" s="163"/>
      <c r="Z605" s="163"/>
      <c r="AA605" s="163"/>
      <c r="AB605" s="428">
        <v>0.38</v>
      </c>
      <c r="AC605" s="41" t="s">
        <v>1223</v>
      </c>
      <c r="AD605" s="42" t="s">
        <v>700</v>
      </c>
      <c r="AE605" s="416" t="s">
        <v>1224</v>
      </c>
    </row>
    <row r="606" spans="1:31" s="1" customFormat="1">
      <c r="A606" s="477" t="s">
        <v>2482</v>
      </c>
      <c r="B606" s="505" t="s">
        <v>2483</v>
      </c>
      <c r="C606" s="506">
        <v>1</v>
      </c>
      <c r="D606" s="585" t="s">
        <v>2471</v>
      </c>
      <c r="E606" s="1009">
        <v>3298.78</v>
      </c>
      <c r="F606" s="430">
        <f t="shared" si="125"/>
        <v>0.1</v>
      </c>
      <c r="G606" s="106">
        <f t="shared" si="126"/>
        <v>2968.902</v>
      </c>
      <c r="H606" s="147"/>
      <c r="I606" s="163"/>
      <c r="J606" s="163"/>
      <c r="K606" s="163"/>
      <c r="L606" s="428">
        <v>0</v>
      </c>
      <c r="M606" s="624" t="s">
        <v>1223</v>
      </c>
      <c r="N606" s="158" t="s">
        <v>700</v>
      </c>
      <c r="O606" s="417" t="s">
        <v>1224</v>
      </c>
      <c r="P606" s="477" t="s">
        <v>2482</v>
      </c>
      <c r="Q606" s="505" t="s">
        <v>2483</v>
      </c>
      <c r="R606" s="506">
        <v>1</v>
      </c>
      <c r="S606" s="106" t="s">
        <v>2471</v>
      </c>
      <c r="T606" s="473" t="s">
        <v>2482</v>
      </c>
      <c r="U606" s="106">
        <v>3298.78</v>
      </c>
      <c r="V606" s="430">
        <v>0.1</v>
      </c>
      <c r="W606" s="106">
        <v>2968.902</v>
      </c>
      <c r="X606" s="147"/>
      <c r="Y606" s="163"/>
      <c r="Z606" s="163"/>
      <c r="AA606" s="163"/>
      <c r="AB606" s="428">
        <v>0</v>
      </c>
      <c r="AC606" s="41" t="s">
        <v>1223</v>
      </c>
      <c r="AD606" s="42" t="s">
        <v>700</v>
      </c>
      <c r="AE606" s="416" t="s">
        <v>1224</v>
      </c>
    </row>
    <row r="607" spans="1:31" s="1" customFormat="1">
      <c r="A607" s="477" t="s">
        <v>2484</v>
      </c>
      <c r="B607" s="505" t="s">
        <v>2485</v>
      </c>
      <c r="C607" s="506">
        <v>1</v>
      </c>
      <c r="D607" s="585" t="s">
        <v>2471</v>
      </c>
      <c r="E607" s="1009">
        <v>1404.33</v>
      </c>
      <c r="F607" s="430">
        <f t="shared" si="125"/>
        <v>0.1</v>
      </c>
      <c r="G607" s="106">
        <f t="shared" si="126"/>
        <v>1263.8969999999999</v>
      </c>
      <c r="H607" s="147"/>
      <c r="I607" s="163"/>
      <c r="J607" s="163"/>
      <c r="K607" s="163"/>
      <c r="L607" s="428">
        <v>4.17</v>
      </c>
      <c r="M607" s="624" t="s">
        <v>1223</v>
      </c>
      <c r="N607" s="158" t="s">
        <v>700</v>
      </c>
      <c r="O607" s="417" t="s">
        <v>1224</v>
      </c>
      <c r="P607" s="477" t="s">
        <v>2484</v>
      </c>
      <c r="Q607" s="505" t="s">
        <v>2485</v>
      </c>
      <c r="R607" s="506">
        <v>1</v>
      </c>
      <c r="S607" s="106" t="s">
        <v>2471</v>
      </c>
      <c r="T607" s="473" t="s">
        <v>2484</v>
      </c>
      <c r="U607" s="106">
        <v>1404.33</v>
      </c>
      <c r="V607" s="430">
        <v>0.1</v>
      </c>
      <c r="W607" s="106">
        <v>1263.8969999999999</v>
      </c>
      <c r="X607" s="147"/>
      <c r="Y607" s="163"/>
      <c r="Z607" s="163"/>
      <c r="AA607" s="163"/>
      <c r="AB607" s="428">
        <v>4.17</v>
      </c>
      <c r="AC607" s="41" t="s">
        <v>1223</v>
      </c>
      <c r="AD607" s="42" t="s">
        <v>700</v>
      </c>
      <c r="AE607" s="416" t="s">
        <v>1224</v>
      </c>
    </row>
    <row r="608" spans="1:31" s="1" customFormat="1">
      <c r="A608" s="477" t="s">
        <v>2486</v>
      </c>
      <c r="B608" s="505" t="s">
        <v>2487</v>
      </c>
      <c r="C608" s="506">
        <v>1</v>
      </c>
      <c r="D608" s="585" t="s">
        <v>2471</v>
      </c>
      <c r="E608" s="1009">
        <v>1001.92</v>
      </c>
      <c r="F608" s="430">
        <f t="shared" si="125"/>
        <v>0.1</v>
      </c>
      <c r="G608" s="106">
        <f t="shared" si="126"/>
        <v>901.72799999999995</v>
      </c>
      <c r="H608" s="147"/>
      <c r="I608" s="163"/>
      <c r="J608" s="163"/>
      <c r="K608" s="163"/>
      <c r="L608" s="428">
        <v>1.67</v>
      </c>
      <c r="M608" s="624" t="s">
        <v>1223</v>
      </c>
      <c r="N608" s="158" t="s">
        <v>700</v>
      </c>
      <c r="O608" s="417" t="s">
        <v>1224</v>
      </c>
      <c r="P608" s="477" t="s">
        <v>2486</v>
      </c>
      <c r="Q608" s="505" t="s">
        <v>2487</v>
      </c>
      <c r="R608" s="506">
        <v>1</v>
      </c>
      <c r="S608" s="106" t="s">
        <v>2471</v>
      </c>
      <c r="T608" s="473" t="s">
        <v>2486</v>
      </c>
      <c r="U608" s="106">
        <v>1001.92</v>
      </c>
      <c r="V608" s="430">
        <v>0.1</v>
      </c>
      <c r="W608" s="106">
        <v>901.72799999999995</v>
      </c>
      <c r="X608" s="147"/>
      <c r="Y608" s="163"/>
      <c r="Z608" s="163"/>
      <c r="AA608" s="163"/>
      <c r="AB608" s="428">
        <v>1.67</v>
      </c>
      <c r="AC608" s="41" t="s">
        <v>1223</v>
      </c>
      <c r="AD608" s="42" t="s">
        <v>700</v>
      </c>
      <c r="AE608" s="416" t="s">
        <v>1224</v>
      </c>
    </row>
    <row r="609" spans="1:31" s="1" customFormat="1">
      <c r="A609" s="477" t="s">
        <v>2488</v>
      </c>
      <c r="B609" s="529" t="s">
        <v>2489</v>
      </c>
      <c r="C609" s="512">
        <v>1</v>
      </c>
      <c r="D609" s="592" t="s">
        <v>2471</v>
      </c>
      <c r="E609" s="1010">
        <v>779</v>
      </c>
      <c r="F609" s="514">
        <f t="shared" si="125"/>
        <v>0.1</v>
      </c>
      <c r="G609" s="515">
        <f t="shared" si="126"/>
        <v>701.1</v>
      </c>
      <c r="H609" s="531"/>
      <c r="I609" s="532"/>
      <c r="J609" s="532"/>
      <c r="K609" s="532"/>
      <c r="L609" s="513">
        <v>4.17</v>
      </c>
      <c r="M609" s="624" t="s">
        <v>1223</v>
      </c>
      <c r="N609" s="158" t="s">
        <v>700</v>
      </c>
      <c r="O609" s="417" t="s">
        <v>1224</v>
      </c>
      <c r="P609" s="477" t="s">
        <v>2488</v>
      </c>
      <c r="Q609" s="529" t="s">
        <v>2489</v>
      </c>
      <c r="R609" s="512">
        <v>1</v>
      </c>
      <c r="S609" s="515" t="s">
        <v>2471</v>
      </c>
      <c r="T609" s="518" t="s">
        <v>2488</v>
      </c>
      <c r="U609" s="515">
        <v>779</v>
      </c>
      <c r="V609" s="514">
        <v>0.1</v>
      </c>
      <c r="W609" s="515">
        <v>701.1</v>
      </c>
      <c r="X609" s="531"/>
      <c r="Y609" s="532"/>
      <c r="Z609" s="532"/>
      <c r="AA609" s="532"/>
      <c r="AB609" s="513">
        <v>4.17</v>
      </c>
      <c r="AC609" s="41" t="s">
        <v>1223</v>
      </c>
      <c r="AD609" s="42" t="s">
        <v>700</v>
      </c>
      <c r="AE609" s="416" t="s">
        <v>1224</v>
      </c>
    </row>
    <row r="610" spans="1:31" s="1" customFormat="1">
      <c r="A610" s="477" t="s">
        <v>2490</v>
      </c>
      <c r="B610" s="529" t="s">
        <v>2491</v>
      </c>
      <c r="C610" s="512">
        <v>1</v>
      </c>
      <c r="D610" s="592" t="s">
        <v>2471</v>
      </c>
      <c r="E610" s="1010">
        <v>1449</v>
      </c>
      <c r="F610" s="514">
        <f t="shared" si="125"/>
        <v>0.1</v>
      </c>
      <c r="G610" s="515">
        <f t="shared" si="126"/>
        <v>1304.0999999999999</v>
      </c>
      <c r="H610" s="531"/>
      <c r="I610" s="532"/>
      <c r="J610" s="532"/>
      <c r="K610" s="532"/>
      <c r="L610" s="513">
        <v>4.17</v>
      </c>
      <c r="M610" s="624" t="s">
        <v>1223</v>
      </c>
      <c r="N610" s="158" t="s">
        <v>700</v>
      </c>
      <c r="O610" s="417" t="s">
        <v>1224</v>
      </c>
      <c r="P610" s="477" t="s">
        <v>2490</v>
      </c>
      <c r="Q610" s="529" t="s">
        <v>2491</v>
      </c>
      <c r="R610" s="512">
        <v>1</v>
      </c>
      <c r="S610" s="515" t="s">
        <v>2471</v>
      </c>
      <c r="T610" s="518" t="s">
        <v>2490</v>
      </c>
      <c r="U610" s="515">
        <v>1449</v>
      </c>
      <c r="V610" s="514">
        <v>0.1</v>
      </c>
      <c r="W610" s="515">
        <v>1304.0999999999999</v>
      </c>
      <c r="X610" s="531"/>
      <c r="Y610" s="532"/>
      <c r="Z610" s="532"/>
      <c r="AA610" s="532"/>
      <c r="AB610" s="513">
        <v>4.17</v>
      </c>
      <c r="AC610" s="41" t="s">
        <v>1223</v>
      </c>
      <c r="AD610" s="42" t="s">
        <v>700</v>
      </c>
      <c r="AE610" s="416" t="s">
        <v>1224</v>
      </c>
    </row>
    <row r="611" spans="1:31" s="90" customFormat="1">
      <c r="A611" s="477" t="s">
        <v>2492</v>
      </c>
      <c r="B611" s="529" t="s">
        <v>2493</v>
      </c>
      <c r="C611" s="512">
        <v>1</v>
      </c>
      <c r="D611" s="592" t="s">
        <v>2471</v>
      </c>
      <c r="E611" s="1010">
        <v>1699</v>
      </c>
      <c r="F611" s="514">
        <f t="shared" si="125"/>
        <v>0.1</v>
      </c>
      <c r="G611" s="515">
        <f t="shared" si="126"/>
        <v>1529.1</v>
      </c>
      <c r="H611" s="531"/>
      <c r="I611" s="532"/>
      <c r="J611" s="532"/>
      <c r="K611" s="532"/>
      <c r="L611" s="513">
        <v>4.17</v>
      </c>
      <c r="M611" s="624" t="s">
        <v>1223</v>
      </c>
      <c r="N611" s="158" t="s">
        <v>700</v>
      </c>
      <c r="O611" s="417" t="s">
        <v>1224</v>
      </c>
      <c r="P611" s="477" t="s">
        <v>2492</v>
      </c>
      <c r="Q611" s="529" t="s">
        <v>2493</v>
      </c>
      <c r="R611" s="512">
        <v>1</v>
      </c>
      <c r="S611" s="515" t="s">
        <v>2471</v>
      </c>
      <c r="T611" s="518" t="s">
        <v>2492</v>
      </c>
      <c r="U611" s="515">
        <v>1699</v>
      </c>
      <c r="V611" s="514">
        <v>0.1</v>
      </c>
      <c r="W611" s="515">
        <v>1529.1</v>
      </c>
      <c r="X611" s="531"/>
      <c r="Y611" s="532"/>
      <c r="Z611" s="532"/>
      <c r="AA611" s="532"/>
      <c r="AB611" s="513">
        <v>4.17</v>
      </c>
      <c r="AC611" s="41" t="s">
        <v>1223</v>
      </c>
      <c r="AD611" s="42" t="s">
        <v>700</v>
      </c>
      <c r="AE611" s="416" t="s">
        <v>1224</v>
      </c>
    </row>
    <row r="612" spans="1:31" s="90" customFormat="1">
      <c r="A612" s="477" t="s">
        <v>2494</v>
      </c>
      <c r="B612" s="529" t="s">
        <v>2495</v>
      </c>
      <c r="C612" s="512">
        <v>1</v>
      </c>
      <c r="D612" s="592" t="s">
        <v>2471</v>
      </c>
      <c r="E612" s="1010">
        <v>1999</v>
      </c>
      <c r="F612" s="514">
        <f t="shared" si="125"/>
        <v>0.1</v>
      </c>
      <c r="G612" s="515">
        <f t="shared" si="126"/>
        <v>1799.1</v>
      </c>
      <c r="H612" s="531"/>
      <c r="I612" s="532"/>
      <c r="J612" s="532"/>
      <c r="K612" s="532"/>
      <c r="L612" s="513">
        <v>4.17</v>
      </c>
      <c r="M612" s="624" t="s">
        <v>1223</v>
      </c>
      <c r="N612" s="158" t="s">
        <v>700</v>
      </c>
      <c r="O612" s="417" t="s">
        <v>1224</v>
      </c>
      <c r="P612" s="477" t="s">
        <v>2494</v>
      </c>
      <c r="Q612" s="529" t="s">
        <v>2495</v>
      </c>
      <c r="R612" s="512">
        <v>1</v>
      </c>
      <c r="S612" s="515" t="s">
        <v>2471</v>
      </c>
      <c r="T612" s="518" t="s">
        <v>2494</v>
      </c>
      <c r="U612" s="515">
        <v>1999</v>
      </c>
      <c r="V612" s="514">
        <v>0.1</v>
      </c>
      <c r="W612" s="515">
        <v>1799.1</v>
      </c>
      <c r="X612" s="531"/>
      <c r="Y612" s="532"/>
      <c r="Z612" s="532"/>
      <c r="AA612" s="532"/>
      <c r="AB612" s="513">
        <v>4.17</v>
      </c>
      <c r="AC612" s="41" t="s">
        <v>1223</v>
      </c>
      <c r="AD612" s="42" t="s">
        <v>700</v>
      </c>
      <c r="AE612" s="416" t="s">
        <v>1224</v>
      </c>
    </row>
    <row r="613" spans="1:31" s="90" customFormat="1">
      <c r="A613" s="477" t="s">
        <v>2496</v>
      </c>
      <c r="B613" s="529" t="s">
        <v>2497</v>
      </c>
      <c r="C613" s="512">
        <v>1</v>
      </c>
      <c r="D613" s="592" t="s">
        <v>2471</v>
      </c>
      <c r="E613" s="1010">
        <v>29</v>
      </c>
      <c r="F613" s="514">
        <f t="shared" si="125"/>
        <v>0.1</v>
      </c>
      <c r="G613" s="515">
        <f t="shared" si="126"/>
        <v>26.1</v>
      </c>
      <c r="H613" s="531"/>
      <c r="I613" s="532"/>
      <c r="J613" s="532"/>
      <c r="K613" s="532"/>
      <c r="L613" s="513">
        <v>0</v>
      </c>
      <c r="M613" s="624" t="s">
        <v>1223</v>
      </c>
      <c r="N613" s="158" t="s">
        <v>700</v>
      </c>
      <c r="O613" s="417" t="s">
        <v>1224</v>
      </c>
      <c r="P613" s="477" t="s">
        <v>2496</v>
      </c>
      <c r="Q613" s="529" t="s">
        <v>2497</v>
      </c>
      <c r="R613" s="512">
        <v>1</v>
      </c>
      <c r="S613" s="515" t="s">
        <v>2471</v>
      </c>
      <c r="T613" s="518" t="s">
        <v>2496</v>
      </c>
      <c r="U613" s="515">
        <v>29</v>
      </c>
      <c r="V613" s="514">
        <v>0.1</v>
      </c>
      <c r="W613" s="515">
        <v>26.1</v>
      </c>
      <c r="X613" s="531"/>
      <c r="Y613" s="532"/>
      <c r="Z613" s="532"/>
      <c r="AA613" s="532"/>
      <c r="AB613" s="513">
        <v>0</v>
      </c>
      <c r="AC613" s="41" t="s">
        <v>1223</v>
      </c>
      <c r="AD613" s="42" t="s">
        <v>700</v>
      </c>
      <c r="AE613" s="416" t="s">
        <v>1224</v>
      </c>
    </row>
    <row r="614" spans="1:31" s="90" customFormat="1">
      <c r="A614" s="477" t="s">
        <v>2498</v>
      </c>
      <c r="B614" s="529" t="s">
        <v>2499</v>
      </c>
      <c r="C614" s="512">
        <v>1</v>
      </c>
      <c r="D614" s="592" t="s">
        <v>2471</v>
      </c>
      <c r="E614" s="1010">
        <v>39.99</v>
      </c>
      <c r="F614" s="514">
        <f t="shared" si="125"/>
        <v>0.1</v>
      </c>
      <c r="G614" s="515">
        <f t="shared" si="126"/>
        <v>35.991</v>
      </c>
      <c r="H614" s="531"/>
      <c r="I614" s="532"/>
      <c r="J614" s="532"/>
      <c r="K614" s="532"/>
      <c r="L614" s="513">
        <v>0</v>
      </c>
      <c r="M614" s="624" t="s">
        <v>1223</v>
      </c>
      <c r="N614" s="158" t="s">
        <v>700</v>
      </c>
      <c r="O614" s="417" t="s">
        <v>1224</v>
      </c>
      <c r="P614" s="477" t="s">
        <v>2498</v>
      </c>
      <c r="Q614" s="529" t="s">
        <v>2499</v>
      </c>
      <c r="R614" s="512">
        <v>1</v>
      </c>
      <c r="S614" s="515" t="s">
        <v>2471</v>
      </c>
      <c r="T614" s="518" t="s">
        <v>2498</v>
      </c>
      <c r="U614" s="515">
        <v>39.99</v>
      </c>
      <c r="V614" s="514">
        <v>0.1</v>
      </c>
      <c r="W614" s="515">
        <v>35.991</v>
      </c>
      <c r="X614" s="531"/>
      <c r="Y614" s="532"/>
      <c r="Z614" s="532"/>
      <c r="AA614" s="532"/>
      <c r="AB614" s="513">
        <v>0</v>
      </c>
      <c r="AC614" s="41" t="s">
        <v>1223</v>
      </c>
      <c r="AD614" s="42" t="s">
        <v>700</v>
      </c>
      <c r="AE614" s="416" t="s">
        <v>1224</v>
      </c>
    </row>
    <row r="615" spans="1:31" s="90" customFormat="1">
      <c r="A615" s="477" t="s">
        <v>2500</v>
      </c>
      <c r="B615" s="529" t="s">
        <v>2501</v>
      </c>
      <c r="C615" s="512">
        <v>1</v>
      </c>
      <c r="D615" s="592" t="s">
        <v>2471</v>
      </c>
      <c r="E615" s="1010">
        <v>52.79</v>
      </c>
      <c r="F615" s="514">
        <f t="shared" si="125"/>
        <v>0.1</v>
      </c>
      <c r="G615" s="515">
        <f t="shared" si="126"/>
        <v>47.510999999999996</v>
      </c>
      <c r="H615" s="531"/>
      <c r="I615" s="532"/>
      <c r="J615" s="532"/>
      <c r="K615" s="532"/>
      <c r="L615" s="513">
        <v>0</v>
      </c>
      <c r="M615" s="624" t="s">
        <v>1223</v>
      </c>
      <c r="N615" s="158" t="s">
        <v>700</v>
      </c>
      <c r="O615" s="417" t="s">
        <v>1224</v>
      </c>
      <c r="P615" s="477" t="s">
        <v>2500</v>
      </c>
      <c r="Q615" s="529" t="s">
        <v>2501</v>
      </c>
      <c r="R615" s="512">
        <v>1</v>
      </c>
      <c r="S615" s="515" t="s">
        <v>2471</v>
      </c>
      <c r="T615" s="518" t="s">
        <v>2500</v>
      </c>
      <c r="U615" s="515">
        <v>52.79</v>
      </c>
      <c r="V615" s="514">
        <v>0.1</v>
      </c>
      <c r="W615" s="515">
        <v>47.510999999999996</v>
      </c>
      <c r="X615" s="531"/>
      <c r="Y615" s="532"/>
      <c r="Z615" s="532"/>
      <c r="AA615" s="532"/>
      <c r="AB615" s="513">
        <v>0</v>
      </c>
      <c r="AC615" s="41" t="s">
        <v>1223</v>
      </c>
      <c r="AD615" s="42" t="s">
        <v>700</v>
      </c>
      <c r="AE615" s="416" t="s">
        <v>1224</v>
      </c>
    </row>
    <row r="616" spans="1:31" s="90" customFormat="1" ht="38.25">
      <c r="A616" s="570" t="s">
        <v>2502</v>
      </c>
      <c r="B616" s="581" t="s">
        <v>2503</v>
      </c>
      <c r="C616" s="544">
        <v>1</v>
      </c>
      <c r="D616" s="590" t="s">
        <v>2471</v>
      </c>
      <c r="E616" s="1013">
        <v>79.37</v>
      </c>
      <c r="F616" s="539">
        <f t="shared" si="125"/>
        <v>0.1</v>
      </c>
      <c r="G616" s="180">
        <f t="shared" si="126"/>
        <v>71.433000000000007</v>
      </c>
      <c r="H616" s="547"/>
      <c r="I616" s="548"/>
      <c r="J616" s="548"/>
      <c r="K616" s="548"/>
      <c r="L616" s="504">
        <v>0</v>
      </c>
      <c r="M616" s="624" t="s">
        <v>1223</v>
      </c>
      <c r="N616" s="158" t="s">
        <v>700</v>
      </c>
      <c r="O616" s="417" t="s">
        <v>1224</v>
      </c>
      <c r="P616" s="570" t="s">
        <v>2502</v>
      </c>
      <c r="Q616" s="581" t="s">
        <v>2503</v>
      </c>
      <c r="R616" s="544">
        <v>1</v>
      </c>
      <c r="S616" s="180" t="s">
        <v>2471</v>
      </c>
      <c r="T616" s="537" t="s">
        <v>2502</v>
      </c>
      <c r="U616" s="180">
        <v>79.37</v>
      </c>
      <c r="V616" s="539">
        <v>0.1</v>
      </c>
      <c r="W616" s="180">
        <v>71.433000000000007</v>
      </c>
      <c r="X616" s="547"/>
      <c r="Y616" s="548"/>
      <c r="Z616" s="548"/>
      <c r="AA616" s="548"/>
      <c r="AB616" s="504">
        <v>0</v>
      </c>
      <c r="AC616" s="41" t="s">
        <v>1223</v>
      </c>
      <c r="AD616" s="42" t="s">
        <v>700</v>
      </c>
      <c r="AE616" s="416" t="s">
        <v>1224</v>
      </c>
    </row>
    <row r="617" spans="1:31" s="90" customFormat="1">
      <c r="A617" s="477" t="s">
        <v>2504</v>
      </c>
      <c r="B617" s="505" t="s">
        <v>2505</v>
      </c>
      <c r="C617" s="506">
        <v>1</v>
      </c>
      <c r="D617" s="585" t="s">
        <v>2506</v>
      </c>
      <c r="E617" s="1009">
        <v>1252.3800000000001</v>
      </c>
      <c r="F617" s="430">
        <f t="shared" si="125"/>
        <v>0.1</v>
      </c>
      <c r="G617" s="106">
        <f t="shared" si="126"/>
        <v>1127.1420000000001</v>
      </c>
      <c r="H617" s="147"/>
      <c r="I617" s="163"/>
      <c r="J617" s="163"/>
      <c r="K617" s="163"/>
      <c r="L617" s="428">
        <v>0</v>
      </c>
      <c r="M617" s="624" t="s">
        <v>1223</v>
      </c>
      <c r="N617" s="158" t="s">
        <v>700</v>
      </c>
      <c r="O617" s="417" t="s">
        <v>1224</v>
      </c>
      <c r="P617" s="477" t="s">
        <v>2504</v>
      </c>
      <c r="Q617" s="505" t="s">
        <v>2505</v>
      </c>
      <c r="R617" s="506">
        <v>1</v>
      </c>
      <c r="S617" s="585" t="s">
        <v>2506</v>
      </c>
      <c r="T617" s="575" t="s">
        <v>2504</v>
      </c>
      <c r="U617" s="428">
        <v>1252.3800000000001</v>
      </c>
      <c r="V617" s="430">
        <v>0.1</v>
      </c>
      <c r="W617" s="106">
        <v>1127.1420000000001</v>
      </c>
      <c r="X617" s="147"/>
      <c r="Y617" s="163"/>
      <c r="Z617" s="163"/>
      <c r="AA617" s="163"/>
      <c r="AB617" s="428">
        <v>0</v>
      </c>
      <c r="AC617" s="41" t="s">
        <v>1223</v>
      </c>
      <c r="AD617" s="42" t="s">
        <v>700</v>
      </c>
      <c r="AE617" s="416" t="s">
        <v>1224</v>
      </c>
    </row>
    <row r="618" spans="1:31" s="125" customFormat="1" ht="32.1" customHeight="1">
      <c r="A618" s="477" t="s">
        <v>2507</v>
      </c>
      <c r="B618" s="505" t="s">
        <v>2508</v>
      </c>
      <c r="C618" s="506">
        <v>1</v>
      </c>
      <c r="D618" s="585" t="s">
        <v>2506</v>
      </c>
      <c r="E618" s="1009">
        <v>1649.21</v>
      </c>
      <c r="F618" s="430">
        <f t="shared" si="125"/>
        <v>0.1</v>
      </c>
      <c r="G618" s="106">
        <f t="shared" si="126"/>
        <v>1484.289</v>
      </c>
      <c r="H618" s="147"/>
      <c r="I618" s="163"/>
      <c r="J618" s="163"/>
      <c r="K618" s="163"/>
      <c r="L618" s="428">
        <v>0</v>
      </c>
      <c r="M618" s="624" t="s">
        <v>1223</v>
      </c>
      <c r="N618" s="158" t="s">
        <v>700</v>
      </c>
      <c r="O618" s="417" t="s">
        <v>1224</v>
      </c>
      <c r="P618" s="477" t="s">
        <v>2507</v>
      </c>
      <c r="Q618" s="505" t="s">
        <v>2508</v>
      </c>
      <c r="R618" s="506">
        <v>1</v>
      </c>
      <c r="S618" s="106" t="s">
        <v>2506</v>
      </c>
      <c r="T618" s="473" t="s">
        <v>2507</v>
      </c>
      <c r="U618" s="106">
        <v>1649.21</v>
      </c>
      <c r="V618" s="430">
        <v>0.1</v>
      </c>
      <c r="W618" s="106">
        <v>1484.289</v>
      </c>
      <c r="X618" s="147"/>
      <c r="Y618" s="163"/>
      <c r="Z618" s="163"/>
      <c r="AA618" s="163"/>
      <c r="AB618" s="428">
        <v>0</v>
      </c>
      <c r="AC618" s="41" t="s">
        <v>1223</v>
      </c>
      <c r="AD618" s="42" t="s">
        <v>700</v>
      </c>
      <c r="AE618" s="416" t="s">
        <v>1224</v>
      </c>
    </row>
    <row r="619" spans="1:31" s="1" customFormat="1">
      <c r="A619" s="477" t="s">
        <v>2509</v>
      </c>
      <c r="B619" s="505" t="s">
        <v>2510</v>
      </c>
      <c r="C619" s="506">
        <v>1</v>
      </c>
      <c r="D619" s="585" t="s">
        <v>2506</v>
      </c>
      <c r="E619" s="1009">
        <v>1903.17</v>
      </c>
      <c r="F619" s="430">
        <f t="shared" si="125"/>
        <v>0.1</v>
      </c>
      <c r="G619" s="106">
        <f t="shared" si="126"/>
        <v>1712.8530000000001</v>
      </c>
      <c r="H619" s="147"/>
      <c r="I619" s="163"/>
      <c r="J619" s="163"/>
      <c r="K619" s="163"/>
      <c r="L619" s="428">
        <v>0</v>
      </c>
      <c r="M619" s="624" t="s">
        <v>1223</v>
      </c>
      <c r="N619" s="158" t="s">
        <v>700</v>
      </c>
      <c r="O619" s="417" t="s">
        <v>1224</v>
      </c>
      <c r="P619" s="477" t="s">
        <v>2509</v>
      </c>
      <c r="Q619" s="505" t="s">
        <v>2510</v>
      </c>
      <c r="R619" s="506">
        <v>1</v>
      </c>
      <c r="S619" s="106" t="s">
        <v>2506</v>
      </c>
      <c r="T619" s="473" t="s">
        <v>2509</v>
      </c>
      <c r="U619" s="106">
        <v>1903.17</v>
      </c>
      <c r="V619" s="430">
        <v>0.1</v>
      </c>
      <c r="W619" s="106">
        <v>1712.8530000000001</v>
      </c>
      <c r="X619" s="147"/>
      <c r="Y619" s="163"/>
      <c r="Z619" s="163"/>
      <c r="AA619" s="163"/>
      <c r="AB619" s="428">
        <v>0</v>
      </c>
      <c r="AC619" s="41" t="s">
        <v>1223</v>
      </c>
      <c r="AD619" s="42" t="s">
        <v>700</v>
      </c>
      <c r="AE619" s="416" t="s">
        <v>1224</v>
      </c>
    </row>
    <row r="620" spans="1:31" s="1" customFormat="1">
      <c r="A620" s="477" t="s">
        <v>2511</v>
      </c>
      <c r="B620" s="505" t="s">
        <v>2512</v>
      </c>
      <c r="C620" s="506">
        <v>1</v>
      </c>
      <c r="D620" s="585" t="s">
        <v>2513</v>
      </c>
      <c r="E620" s="1009">
        <v>933.25</v>
      </c>
      <c r="F620" s="430">
        <f t="shared" si="125"/>
        <v>0.1</v>
      </c>
      <c r="G620" s="106">
        <f t="shared" si="126"/>
        <v>839.92499999999995</v>
      </c>
      <c r="H620" s="147"/>
      <c r="I620" s="163"/>
      <c r="J620" s="163"/>
      <c r="K620" s="163"/>
      <c r="L620" s="428">
        <v>0</v>
      </c>
      <c r="M620" s="624" t="s">
        <v>1223</v>
      </c>
      <c r="N620" s="158" t="s">
        <v>700</v>
      </c>
      <c r="O620" s="417" t="s">
        <v>1224</v>
      </c>
      <c r="P620" s="477" t="s">
        <v>2511</v>
      </c>
      <c r="Q620" s="505" t="s">
        <v>2512</v>
      </c>
      <c r="R620" s="506">
        <v>1</v>
      </c>
      <c r="S620" s="106" t="s">
        <v>2513</v>
      </c>
      <c r="T620" s="473" t="s">
        <v>2511</v>
      </c>
      <c r="U620" s="106">
        <v>933.25</v>
      </c>
      <c r="V620" s="430">
        <v>0.1</v>
      </c>
      <c r="W620" s="106">
        <v>839.92499999999995</v>
      </c>
      <c r="X620" s="147"/>
      <c r="Y620" s="163"/>
      <c r="Z620" s="163"/>
      <c r="AA620" s="163"/>
      <c r="AB620" s="428">
        <v>0</v>
      </c>
      <c r="AC620" s="41" t="s">
        <v>1223</v>
      </c>
      <c r="AD620" s="42" t="s">
        <v>700</v>
      </c>
      <c r="AE620" s="416" t="s">
        <v>1224</v>
      </c>
    </row>
    <row r="621" spans="1:31" s="1" customFormat="1">
      <c r="A621" s="477" t="s">
        <v>2514</v>
      </c>
      <c r="B621" s="505" t="s">
        <v>2515</v>
      </c>
      <c r="C621" s="506">
        <v>1</v>
      </c>
      <c r="D621" s="585" t="s">
        <v>2513</v>
      </c>
      <c r="E621" s="1009">
        <v>57.14</v>
      </c>
      <c r="F621" s="430">
        <f t="shared" si="125"/>
        <v>0.1</v>
      </c>
      <c r="G621" s="106">
        <f t="shared" si="126"/>
        <v>51.426000000000002</v>
      </c>
      <c r="H621" s="147"/>
      <c r="I621" s="163"/>
      <c r="J621" s="163"/>
      <c r="K621" s="163"/>
      <c r="L621" s="428">
        <v>0</v>
      </c>
      <c r="M621" s="624" t="s">
        <v>1223</v>
      </c>
      <c r="N621" s="158" t="s">
        <v>700</v>
      </c>
      <c r="O621" s="417" t="s">
        <v>1224</v>
      </c>
      <c r="P621" s="477" t="s">
        <v>2514</v>
      </c>
      <c r="Q621" s="505" t="s">
        <v>2515</v>
      </c>
      <c r="R621" s="506">
        <v>1</v>
      </c>
      <c r="S621" s="106" t="s">
        <v>2513</v>
      </c>
      <c r="T621" s="473" t="s">
        <v>2514</v>
      </c>
      <c r="U621" s="106">
        <v>57.14</v>
      </c>
      <c r="V621" s="430">
        <v>0.1</v>
      </c>
      <c r="W621" s="106">
        <v>51.426000000000002</v>
      </c>
      <c r="X621" s="147"/>
      <c r="Y621" s="163"/>
      <c r="Z621" s="163"/>
      <c r="AA621" s="163"/>
      <c r="AB621" s="428">
        <v>0</v>
      </c>
      <c r="AC621" s="41" t="s">
        <v>1223</v>
      </c>
      <c r="AD621" s="42" t="s">
        <v>700</v>
      </c>
      <c r="AE621" s="416" t="s">
        <v>1224</v>
      </c>
    </row>
    <row r="622" spans="1:31" s="1" customFormat="1">
      <c r="A622" s="477" t="s">
        <v>2516</v>
      </c>
      <c r="B622" s="505" t="s">
        <v>2517</v>
      </c>
      <c r="C622" s="506">
        <v>1</v>
      </c>
      <c r="D622" s="585" t="s">
        <v>2513</v>
      </c>
      <c r="E622" s="1009">
        <v>46.19</v>
      </c>
      <c r="F622" s="430">
        <f t="shared" si="125"/>
        <v>0.1</v>
      </c>
      <c r="G622" s="106">
        <f t="shared" si="126"/>
        <v>41.570999999999998</v>
      </c>
      <c r="H622" s="147"/>
      <c r="I622" s="163"/>
      <c r="J622" s="163"/>
      <c r="K622" s="163"/>
      <c r="L622" s="428">
        <v>0</v>
      </c>
      <c r="M622" s="624" t="s">
        <v>1223</v>
      </c>
      <c r="N622" s="158" t="s">
        <v>700</v>
      </c>
      <c r="O622" s="417" t="s">
        <v>1224</v>
      </c>
      <c r="P622" s="477" t="s">
        <v>2516</v>
      </c>
      <c r="Q622" s="505" t="s">
        <v>2517</v>
      </c>
      <c r="R622" s="506">
        <v>1</v>
      </c>
      <c r="S622" s="106" t="s">
        <v>2513</v>
      </c>
      <c r="T622" s="473" t="s">
        <v>2516</v>
      </c>
      <c r="U622" s="106">
        <v>46.19</v>
      </c>
      <c r="V622" s="430">
        <v>0.1</v>
      </c>
      <c r="W622" s="106">
        <v>41.570999999999998</v>
      </c>
      <c r="X622" s="147"/>
      <c r="Y622" s="163"/>
      <c r="Z622" s="163"/>
      <c r="AA622" s="163"/>
      <c r="AB622" s="428">
        <v>0</v>
      </c>
      <c r="AC622" s="41" t="s">
        <v>1223</v>
      </c>
      <c r="AD622" s="42" t="s">
        <v>700</v>
      </c>
      <c r="AE622" s="416" t="s">
        <v>1224</v>
      </c>
    </row>
    <row r="623" spans="1:31" s="1" customFormat="1">
      <c r="A623" s="477" t="s">
        <v>2518</v>
      </c>
      <c r="B623" s="505" t="s">
        <v>2519</v>
      </c>
      <c r="C623" s="506">
        <v>1</v>
      </c>
      <c r="D623" s="585" t="s">
        <v>2513</v>
      </c>
      <c r="E623" s="1009">
        <v>30.16</v>
      </c>
      <c r="F623" s="430">
        <f t="shared" si="125"/>
        <v>0.1</v>
      </c>
      <c r="G623" s="106">
        <f t="shared" si="126"/>
        <v>27.143999999999998</v>
      </c>
      <c r="H623" s="147"/>
      <c r="I623" s="163"/>
      <c r="J623" s="163"/>
      <c r="K623" s="163"/>
      <c r="L623" s="428">
        <v>0</v>
      </c>
      <c r="M623" s="624" t="s">
        <v>1223</v>
      </c>
      <c r="N623" s="158" t="s">
        <v>700</v>
      </c>
      <c r="O623" s="417" t="s">
        <v>1224</v>
      </c>
      <c r="P623" s="477" t="s">
        <v>2518</v>
      </c>
      <c r="Q623" s="505" t="s">
        <v>2519</v>
      </c>
      <c r="R623" s="506">
        <v>1</v>
      </c>
      <c r="S623" s="106" t="s">
        <v>2513</v>
      </c>
      <c r="T623" s="473" t="s">
        <v>2518</v>
      </c>
      <c r="U623" s="106">
        <v>30.16</v>
      </c>
      <c r="V623" s="430">
        <v>0.1</v>
      </c>
      <c r="W623" s="106">
        <v>27.143999999999998</v>
      </c>
      <c r="X623" s="147"/>
      <c r="Y623" s="163"/>
      <c r="Z623" s="163"/>
      <c r="AA623" s="163"/>
      <c r="AB623" s="428">
        <v>0</v>
      </c>
      <c r="AC623" s="41" t="s">
        <v>1223</v>
      </c>
      <c r="AD623" s="42" t="s">
        <v>700</v>
      </c>
      <c r="AE623" s="416" t="s">
        <v>1224</v>
      </c>
    </row>
    <row r="624" spans="1:31" s="1" customFormat="1">
      <c r="A624" s="477" t="s">
        <v>2520</v>
      </c>
      <c r="B624" s="505" t="s">
        <v>2521</v>
      </c>
      <c r="C624" s="506">
        <v>1</v>
      </c>
      <c r="D624" s="585" t="s">
        <v>2513</v>
      </c>
      <c r="E624" s="1009">
        <v>626.19000000000005</v>
      </c>
      <c r="F624" s="430">
        <f t="shared" si="125"/>
        <v>0.1</v>
      </c>
      <c r="G624" s="106">
        <f t="shared" si="126"/>
        <v>563.57100000000003</v>
      </c>
      <c r="H624" s="147"/>
      <c r="I624" s="163"/>
      <c r="J624" s="163"/>
      <c r="K624" s="163"/>
      <c r="L624" s="428">
        <v>3.62</v>
      </c>
      <c r="M624" s="624" t="s">
        <v>1223</v>
      </c>
      <c r="N624" s="158" t="s">
        <v>700</v>
      </c>
      <c r="O624" s="417" t="s">
        <v>1224</v>
      </c>
      <c r="P624" s="477" t="s">
        <v>2520</v>
      </c>
      <c r="Q624" s="505" t="s">
        <v>2521</v>
      </c>
      <c r="R624" s="506">
        <v>1</v>
      </c>
      <c r="S624" s="106" t="s">
        <v>2513</v>
      </c>
      <c r="T624" s="473" t="s">
        <v>2520</v>
      </c>
      <c r="U624" s="106">
        <v>626.19000000000005</v>
      </c>
      <c r="V624" s="430">
        <v>0.1</v>
      </c>
      <c r="W624" s="106">
        <v>563.57100000000003</v>
      </c>
      <c r="X624" s="147"/>
      <c r="Y624" s="163"/>
      <c r="Z624" s="163"/>
      <c r="AA624" s="163"/>
      <c r="AB624" s="428">
        <v>3.62</v>
      </c>
      <c r="AC624" s="41" t="s">
        <v>1223</v>
      </c>
      <c r="AD624" s="42" t="s">
        <v>700</v>
      </c>
      <c r="AE624" s="416" t="s">
        <v>1224</v>
      </c>
    </row>
    <row r="625" spans="1:31" s="1" customFormat="1">
      <c r="A625" s="477" t="s">
        <v>2522</v>
      </c>
      <c r="B625" s="505" t="s">
        <v>2523</v>
      </c>
      <c r="C625" s="506">
        <v>1</v>
      </c>
      <c r="D625" s="585" t="s">
        <v>2513</v>
      </c>
      <c r="E625" s="1009">
        <v>72.22</v>
      </c>
      <c r="F625" s="430">
        <f t="shared" si="125"/>
        <v>0.1</v>
      </c>
      <c r="G625" s="106">
        <f t="shared" si="126"/>
        <v>64.998000000000005</v>
      </c>
      <c r="H625" s="147"/>
      <c r="I625" s="163"/>
      <c r="J625" s="163"/>
      <c r="K625" s="163"/>
      <c r="L625" s="428">
        <v>0</v>
      </c>
      <c r="M625" s="624" t="s">
        <v>1223</v>
      </c>
      <c r="N625" s="158" t="s">
        <v>700</v>
      </c>
      <c r="O625" s="417" t="s">
        <v>1224</v>
      </c>
      <c r="P625" s="477" t="s">
        <v>2522</v>
      </c>
      <c r="Q625" s="505" t="s">
        <v>2523</v>
      </c>
      <c r="R625" s="506">
        <v>1</v>
      </c>
      <c r="S625" s="106" t="s">
        <v>2513</v>
      </c>
      <c r="T625" s="473" t="s">
        <v>2522</v>
      </c>
      <c r="U625" s="106">
        <v>72.22</v>
      </c>
      <c r="V625" s="430">
        <v>0.1</v>
      </c>
      <c r="W625" s="106">
        <v>64.998000000000005</v>
      </c>
      <c r="X625" s="147"/>
      <c r="Y625" s="163"/>
      <c r="Z625" s="163"/>
      <c r="AA625" s="163"/>
      <c r="AB625" s="428">
        <v>0</v>
      </c>
      <c r="AC625" s="41" t="s">
        <v>1223</v>
      </c>
      <c r="AD625" s="42" t="s">
        <v>700</v>
      </c>
      <c r="AE625" s="416" t="s">
        <v>1224</v>
      </c>
    </row>
    <row r="626" spans="1:31" s="1" customFormat="1">
      <c r="A626" s="477" t="s">
        <v>2524</v>
      </c>
      <c r="B626" s="505" t="s">
        <v>2525</v>
      </c>
      <c r="C626" s="506">
        <v>1</v>
      </c>
      <c r="D626" s="585" t="s">
        <v>2513</v>
      </c>
      <c r="E626" s="1009">
        <v>3.17</v>
      </c>
      <c r="F626" s="430">
        <f t="shared" si="125"/>
        <v>0.1</v>
      </c>
      <c r="G626" s="106">
        <f t="shared" si="126"/>
        <v>2.8529999999999998</v>
      </c>
      <c r="H626" s="147"/>
      <c r="I626" s="163"/>
      <c r="J626" s="163"/>
      <c r="K626" s="163"/>
      <c r="L626" s="428">
        <v>0</v>
      </c>
      <c r="M626" s="624" t="s">
        <v>1223</v>
      </c>
      <c r="N626" s="158" t="s">
        <v>700</v>
      </c>
      <c r="O626" s="417" t="s">
        <v>1224</v>
      </c>
      <c r="P626" s="477" t="s">
        <v>2524</v>
      </c>
      <c r="Q626" s="505" t="s">
        <v>2525</v>
      </c>
      <c r="R626" s="506">
        <v>1</v>
      </c>
      <c r="S626" s="106" t="s">
        <v>2513</v>
      </c>
      <c r="T626" s="473" t="s">
        <v>2524</v>
      </c>
      <c r="U626" s="106">
        <v>3.17</v>
      </c>
      <c r="V626" s="430">
        <v>0.1</v>
      </c>
      <c r="W626" s="106">
        <v>2.8529999999999998</v>
      </c>
      <c r="X626" s="147"/>
      <c r="Y626" s="163"/>
      <c r="Z626" s="163"/>
      <c r="AA626" s="163"/>
      <c r="AB626" s="428">
        <v>0</v>
      </c>
      <c r="AC626" s="41" t="s">
        <v>1223</v>
      </c>
      <c r="AD626" s="42" t="s">
        <v>700</v>
      </c>
      <c r="AE626" s="416" t="s">
        <v>1224</v>
      </c>
    </row>
    <row r="627" spans="1:31" s="1" customFormat="1">
      <c r="A627" s="477" t="s">
        <v>2526</v>
      </c>
      <c r="B627" s="505" t="s">
        <v>2527</v>
      </c>
      <c r="C627" s="506">
        <v>1</v>
      </c>
      <c r="D627" s="585" t="s">
        <v>2513</v>
      </c>
      <c r="E627" s="1009">
        <v>857.94</v>
      </c>
      <c r="F627" s="430">
        <f t="shared" si="125"/>
        <v>0.1</v>
      </c>
      <c r="G627" s="106">
        <f t="shared" si="126"/>
        <v>772.14600000000007</v>
      </c>
      <c r="H627" s="147"/>
      <c r="I627" s="163"/>
      <c r="J627" s="163"/>
      <c r="K627" s="163"/>
      <c r="L627" s="428">
        <v>0</v>
      </c>
      <c r="M627" s="624" t="s">
        <v>1223</v>
      </c>
      <c r="N627" s="158" t="s">
        <v>700</v>
      </c>
      <c r="O627" s="417" t="s">
        <v>1224</v>
      </c>
      <c r="P627" s="477" t="s">
        <v>2526</v>
      </c>
      <c r="Q627" s="505" t="s">
        <v>2527</v>
      </c>
      <c r="R627" s="506">
        <v>1</v>
      </c>
      <c r="S627" s="106" t="s">
        <v>2513</v>
      </c>
      <c r="T627" s="473" t="s">
        <v>2526</v>
      </c>
      <c r="U627" s="106">
        <v>857.94</v>
      </c>
      <c r="V627" s="430">
        <v>0.1</v>
      </c>
      <c r="W627" s="106">
        <v>772.14600000000007</v>
      </c>
      <c r="X627" s="147"/>
      <c r="Y627" s="163"/>
      <c r="Z627" s="163"/>
      <c r="AA627" s="163"/>
      <c r="AB627" s="428">
        <v>0</v>
      </c>
      <c r="AC627" s="41" t="s">
        <v>1223</v>
      </c>
      <c r="AD627" s="42" t="s">
        <v>700</v>
      </c>
      <c r="AE627" s="416" t="s">
        <v>1224</v>
      </c>
    </row>
    <row r="628" spans="1:31" s="1" customFormat="1">
      <c r="A628" s="477" t="s">
        <v>2528</v>
      </c>
      <c r="B628" s="505" t="s">
        <v>2529</v>
      </c>
      <c r="C628" s="506">
        <v>1</v>
      </c>
      <c r="D628" s="585" t="s">
        <v>2513</v>
      </c>
      <c r="E628" s="1009">
        <v>36.11</v>
      </c>
      <c r="F628" s="430">
        <f t="shared" si="125"/>
        <v>0.1</v>
      </c>
      <c r="G628" s="106">
        <f t="shared" si="126"/>
        <v>32.499000000000002</v>
      </c>
      <c r="H628" s="147"/>
      <c r="I628" s="163"/>
      <c r="J628" s="163"/>
      <c r="K628" s="163"/>
      <c r="L628" s="428">
        <v>0</v>
      </c>
      <c r="M628" s="624" t="s">
        <v>1223</v>
      </c>
      <c r="N628" s="158" t="s">
        <v>700</v>
      </c>
      <c r="O628" s="417" t="s">
        <v>1224</v>
      </c>
      <c r="P628" s="477" t="s">
        <v>2528</v>
      </c>
      <c r="Q628" s="505" t="s">
        <v>2529</v>
      </c>
      <c r="R628" s="506">
        <v>1</v>
      </c>
      <c r="S628" s="106" t="s">
        <v>2513</v>
      </c>
      <c r="T628" s="473" t="s">
        <v>2528</v>
      </c>
      <c r="U628" s="106">
        <v>36.11</v>
      </c>
      <c r="V628" s="430">
        <v>0.1</v>
      </c>
      <c r="W628" s="106">
        <v>32.499000000000002</v>
      </c>
      <c r="X628" s="147"/>
      <c r="Y628" s="163"/>
      <c r="Z628" s="163"/>
      <c r="AA628" s="163"/>
      <c r="AB628" s="428">
        <v>0</v>
      </c>
      <c r="AC628" s="41" t="s">
        <v>1223</v>
      </c>
      <c r="AD628" s="42" t="s">
        <v>700</v>
      </c>
      <c r="AE628" s="416" t="s">
        <v>1224</v>
      </c>
    </row>
    <row r="629" spans="1:31" s="1" customFormat="1">
      <c r="A629" s="477" t="s">
        <v>2530</v>
      </c>
      <c r="B629" s="505" t="s">
        <v>2531</v>
      </c>
      <c r="C629" s="506">
        <v>1</v>
      </c>
      <c r="D629" s="585" t="s">
        <v>2513</v>
      </c>
      <c r="E629" s="1009">
        <v>600</v>
      </c>
      <c r="F629" s="430">
        <f t="shared" si="125"/>
        <v>0.1</v>
      </c>
      <c r="G629" s="106">
        <f t="shared" si="126"/>
        <v>540</v>
      </c>
      <c r="H629" s="147"/>
      <c r="I629" s="163"/>
      <c r="J629" s="163"/>
      <c r="K629" s="163"/>
      <c r="L629" s="428">
        <v>0</v>
      </c>
      <c r="M629" s="624" t="s">
        <v>1223</v>
      </c>
      <c r="N629" s="158" t="s">
        <v>700</v>
      </c>
      <c r="O629" s="417" t="s">
        <v>1224</v>
      </c>
      <c r="P629" s="477" t="s">
        <v>2530</v>
      </c>
      <c r="Q629" s="505" t="s">
        <v>2531</v>
      </c>
      <c r="R629" s="506">
        <v>1</v>
      </c>
      <c r="S629" s="106" t="s">
        <v>2513</v>
      </c>
      <c r="T629" s="473" t="s">
        <v>2530</v>
      </c>
      <c r="U629" s="106">
        <v>600</v>
      </c>
      <c r="V629" s="430">
        <v>0.1</v>
      </c>
      <c r="W629" s="106">
        <v>540</v>
      </c>
      <c r="X629" s="147"/>
      <c r="Y629" s="163"/>
      <c r="Z629" s="163"/>
      <c r="AA629" s="163"/>
      <c r="AB629" s="428">
        <v>0</v>
      </c>
      <c r="AC629" s="41" t="s">
        <v>1223</v>
      </c>
      <c r="AD629" s="42" t="s">
        <v>700</v>
      </c>
      <c r="AE629" s="416" t="s">
        <v>1224</v>
      </c>
    </row>
    <row r="630" spans="1:31" s="1" customFormat="1">
      <c r="A630" s="477" t="s">
        <v>2532</v>
      </c>
      <c r="B630" s="505" t="s">
        <v>2533</v>
      </c>
      <c r="C630" s="506">
        <v>1</v>
      </c>
      <c r="D630" s="585" t="s">
        <v>2513</v>
      </c>
      <c r="E630" s="1009">
        <v>1533.89</v>
      </c>
      <c r="F630" s="430">
        <f t="shared" si="125"/>
        <v>0.1</v>
      </c>
      <c r="G630" s="106">
        <f t="shared" si="126"/>
        <v>1380.5010000000002</v>
      </c>
      <c r="H630" s="147"/>
      <c r="I630" s="163"/>
      <c r="J630" s="163"/>
      <c r="K630" s="163"/>
      <c r="L630" s="428">
        <v>7.8</v>
      </c>
      <c r="M630" s="624" t="s">
        <v>1223</v>
      </c>
      <c r="N630" s="158" t="s">
        <v>700</v>
      </c>
      <c r="O630" s="417" t="s">
        <v>1224</v>
      </c>
      <c r="P630" s="477" t="s">
        <v>2532</v>
      </c>
      <c r="Q630" s="505" t="s">
        <v>2533</v>
      </c>
      <c r="R630" s="506">
        <v>1</v>
      </c>
      <c r="S630" s="106" t="s">
        <v>2513</v>
      </c>
      <c r="T630" s="473" t="s">
        <v>2532</v>
      </c>
      <c r="U630" s="106">
        <v>1533.89</v>
      </c>
      <c r="V630" s="430">
        <v>0.1</v>
      </c>
      <c r="W630" s="106">
        <v>1380.5010000000002</v>
      </c>
      <c r="X630" s="147"/>
      <c r="Y630" s="163"/>
      <c r="Z630" s="163"/>
      <c r="AA630" s="163"/>
      <c r="AB630" s="428">
        <v>7.8</v>
      </c>
      <c r="AC630" s="41" t="s">
        <v>1223</v>
      </c>
      <c r="AD630" s="42" t="s">
        <v>700</v>
      </c>
      <c r="AE630" s="416" t="s">
        <v>1224</v>
      </c>
    </row>
    <row r="631" spans="1:31" s="1" customFormat="1">
      <c r="A631" s="477" t="s">
        <v>2534</v>
      </c>
      <c r="B631" s="505" t="s">
        <v>2535</v>
      </c>
      <c r="C631" s="506">
        <v>1</v>
      </c>
      <c r="D631" s="585" t="s">
        <v>2513</v>
      </c>
      <c r="E631" s="1009">
        <v>33.020000000000003</v>
      </c>
      <c r="F631" s="430">
        <f t="shared" si="125"/>
        <v>0.1</v>
      </c>
      <c r="G631" s="106">
        <f t="shared" si="126"/>
        <v>29.718000000000004</v>
      </c>
      <c r="H631" s="147"/>
      <c r="I631" s="163"/>
      <c r="J631" s="163"/>
      <c r="K631" s="163"/>
      <c r="L631" s="428">
        <v>0</v>
      </c>
      <c r="M631" s="624" t="s">
        <v>1223</v>
      </c>
      <c r="N631" s="158" t="s">
        <v>700</v>
      </c>
      <c r="O631" s="417" t="s">
        <v>1224</v>
      </c>
      <c r="P631" s="477" t="s">
        <v>2534</v>
      </c>
      <c r="Q631" s="505" t="s">
        <v>2535</v>
      </c>
      <c r="R631" s="506">
        <v>1</v>
      </c>
      <c r="S631" s="106" t="s">
        <v>2513</v>
      </c>
      <c r="T631" s="473" t="s">
        <v>2534</v>
      </c>
      <c r="U631" s="106">
        <v>33.020000000000003</v>
      </c>
      <c r="V631" s="430">
        <v>0.1</v>
      </c>
      <c r="W631" s="106">
        <v>29.718000000000004</v>
      </c>
      <c r="X631" s="147"/>
      <c r="Y631" s="163"/>
      <c r="Z631" s="163"/>
      <c r="AA631" s="163"/>
      <c r="AB631" s="428">
        <v>0</v>
      </c>
      <c r="AC631" s="41" t="s">
        <v>1223</v>
      </c>
      <c r="AD631" s="42" t="s">
        <v>700</v>
      </c>
      <c r="AE631" s="416" t="s">
        <v>1224</v>
      </c>
    </row>
    <row r="632" spans="1:31" s="1" customFormat="1" ht="23.1" customHeight="1">
      <c r="A632" s="543" t="s">
        <v>3239</v>
      </c>
      <c r="B632" s="582"/>
      <c r="C632" s="506"/>
      <c r="D632" s="585"/>
      <c r="E632" s="1009"/>
      <c r="F632" s="430"/>
      <c r="G632" s="106"/>
      <c r="H632" s="147"/>
      <c r="I632" s="163"/>
      <c r="J632" s="163"/>
      <c r="K632" s="163"/>
      <c r="L632" s="428"/>
      <c r="M632" s="624"/>
      <c r="N632" s="158"/>
      <c r="O632" s="417"/>
      <c r="P632" s="477"/>
      <c r="Q632" s="582"/>
      <c r="R632" s="506"/>
      <c r="S632" s="106"/>
      <c r="T632" s="540"/>
      <c r="U632" s="106"/>
      <c r="V632" s="430"/>
      <c r="W632" s="106"/>
      <c r="X632" s="147"/>
      <c r="Y632" s="163"/>
      <c r="Z632" s="163"/>
      <c r="AA632" s="163"/>
      <c r="AB632" s="428"/>
      <c r="AC632" s="41"/>
      <c r="AD632" s="42"/>
      <c r="AE632" s="416"/>
    </row>
    <row r="633" spans="1:31" s="1" customFormat="1">
      <c r="A633" s="684" t="s">
        <v>3223</v>
      </c>
      <c r="B633" s="685" t="s">
        <v>3230</v>
      </c>
      <c r="C633" s="686">
        <v>1</v>
      </c>
      <c r="D633" s="693" t="s">
        <v>3224</v>
      </c>
      <c r="E633" s="977">
        <v>65.83</v>
      </c>
      <c r="F633" s="161">
        <f t="shared" ref="F633:F652" si="128">rv_20</f>
        <v>0.2</v>
      </c>
      <c r="G633" s="647">
        <f t="shared" ref="G633" si="129">E633-(E633*F633)</f>
        <v>52.664000000000001</v>
      </c>
      <c r="H633" s="688"/>
      <c r="I633" s="215"/>
      <c r="J633" s="215"/>
      <c r="K633" s="215"/>
      <c r="L633" s="44">
        <v>0</v>
      </c>
      <c r="M633" s="624" t="s">
        <v>1223</v>
      </c>
      <c r="N633" s="158" t="s">
        <v>700</v>
      </c>
      <c r="O633" s="417" t="s">
        <v>1224</v>
      </c>
      <c r="P633" s="477"/>
      <c r="Q633" s="582"/>
      <c r="R633" s="506"/>
      <c r="S633" s="106"/>
      <c r="T633" s="540"/>
      <c r="U633" s="106"/>
      <c r="V633" s="430"/>
      <c r="W633" s="106"/>
      <c r="X633" s="147"/>
      <c r="Y633" s="163"/>
      <c r="Z633" s="163"/>
      <c r="AA633" s="163"/>
      <c r="AB633" s="428"/>
      <c r="AC633" s="41"/>
      <c r="AD633" s="42"/>
      <c r="AE633" s="416"/>
    </row>
    <row r="634" spans="1:31" s="1" customFormat="1">
      <c r="A634" s="684" t="s">
        <v>3225</v>
      </c>
      <c r="B634" s="685" t="s">
        <v>3229</v>
      </c>
      <c r="C634" s="686">
        <v>1</v>
      </c>
      <c r="D634" s="693" t="s">
        <v>3224</v>
      </c>
      <c r="E634" s="977">
        <v>82.5</v>
      </c>
      <c r="F634" s="161">
        <f t="shared" si="128"/>
        <v>0.2</v>
      </c>
      <c r="G634" s="647">
        <f t="shared" ref="G634:G636" si="130">E634-(E634*F634)</f>
        <v>66</v>
      </c>
      <c r="H634" s="688"/>
      <c r="I634" s="215"/>
      <c r="J634" s="215"/>
      <c r="K634" s="215"/>
      <c r="L634" s="44">
        <v>0</v>
      </c>
      <c r="M634" s="624" t="s">
        <v>1223</v>
      </c>
      <c r="N634" s="158" t="s">
        <v>700</v>
      </c>
      <c r="O634" s="417" t="s">
        <v>1224</v>
      </c>
      <c r="P634" s="477"/>
      <c r="Q634" s="582"/>
      <c r="R634" s="506"/>
      <c r="S634" s="106"/>
      <c r="T634" s="540"/>
      <c r="U634" s="106"/>
      <c r="V634" s="430"/>
      <c r="W634" s="106"/>
      <c r="X634" s="147"/>
      <c r="Y634" s="163"/>
      <c r="Z634" s="163"/>
      <c r="AA634" s="163"/>
      <c r="AB634" s="428"/>
      <c r="AC634" s="41"/>
      <c r="AD634" s="42"/>
      <c r="AE634" s="416"/>
    </row>
    <row r="635" spans="1:31" s="1" customFormat="1">
      <c r="A635" s="684" t="s">
        <v>3226</v>
      </c>
      <c r="B635" s="685" t="s">
        <v>3232</v>
      </c>
      <c r="C635" s="686">
        <v>1</v>
      </c>
      <c r="D635" s="693" t="s">
        <v>3224</v>
      </c>
      <c r="E635" s="977">
        <v>35.75</v>
      </c>
      <c r="F635" s="161">
        <f t="shared" si="128"/>
        <v>0.2</v>
      </c>
      <c r="G635" s="647">
        <f t="shared" si="130"/>
        <v>28.6</v>
      </c>
      <c r="H635" s="688"/>
      <c r="I635" s="215"/>
      <c r="J635" s="215"/>
      <c r="K635" s="215"/>
      <c r="L635" s="44">
        <v>0</v>
      </c>
      <c r="M635" s="624" t="s">
        <v>1223</v>
      </c>
      <c r="N635" s="158" t="s">
        <v>700</v>
      </c>
      <c r="O635" s="417" t="s">
        <v>1224</v>
      </c>
      <c r="P635" s="477"/>
      <c r="Q635" s="582"/>
      <c r="R635" s="506"/>
      <c r="S635" s="106"/>
      <c r="T635" s="540"/>
      <c r="U635" s="106"/>
      <c r="V635" s="430"/>
      <c r="W635" s="106"/>
      <c r="X635" s="147"/>
      <c r="Y635" s="163"/>
      <c r="Z635" s="163"/>
      <c r="AA635" s="163"/>
      <c r="AB635" s="428"/>
      <c r="AC635" s="41"/>
      <c r="AD635" s="42"/>
      <c r="AE635" s="416"/>
    </row>
    <row r="636" spans="1:31" s="1" customFormat="1">
      <c r="A636" s="684" t="s">
        <v>3227</v>
      </c>
      <c r="B636" s="685" t="s">
        <v>3244</v>
      </c>
      <c r="C636" s="686">
        <v>1</v>
      </c>
      <c r="D636" s="693" t="s">
        <v>3224</v>
      </c>
      <c r="E636" s="977">
        <v>41.58</v>
      </c>
      <c r="F636" s="161">
        <f t="shared" si="128"/>
        <v>0.2</v>
      </c>
      <c r="G636" s="647">
        <f t="shared" si="130"/>
        <v>33.263999999999996</v>
      </c>
      <c r="H636" s="688"/>
      <c r="I636" s="215"/>
      <c r="J636" s="215"/>
      <c r="K636" s="215"/>
      <c r="L636" s="44">
        <v>0</v>
      </c>
      <c r="M636" s="624" t="s">
        <v>1223</v>
      </c>
      <c r="N636" s="158" t="s">
        <v>700</v>
      </c>
      <c r="O636" s="417" t="s">
        <v>1224</v>
      </c>
      <c r="P636" s="477"/>
      <c r="Q636" s="582"/>
      <c r="R636" s="506"/>
      <c r="S636" s="106"/>
      <c r="T636" s="540"/>
      <c r="U636" s="106"/>
      <c r="V636" s="430"/>
      <c r="W636" s="106"/>
      <c r="X636" s="147"/>
      <c r="Y636" s="163"/>
      <c r="Z636" s="163"/>
      <c r="AA636" s="163"/>
      <c r="AB636" s="428"/>
      <c r="AC636" s="41"/>
      <c r="AD636" s="42"/>
      <c r="AE636" s="416"/>
    </row>
    <row r="637" spans="1:31" s="1" customFormat="1">
      <c r="A637" s="684" t="s">
        <v>3228</v>
      </c>
      <c r="B637" s="685" t="s">
        <v>3231</v>
      </c>
      <c r="C637" s="686">
        <v>1</v>
      </c>
      <c r="D637" s="693" t="s">
        <v>3224</v>
      </c>
      <c r="E637" s="977">
        <v>48.33</v>
      </c>
      <c r="F637" s="161">
        <f t="shared" si="128"/>
        <v>0.2</v>
      </c>
      <c r="G637" s="647">
        <f t="shared" ref="G637:G645" si="131">E637-(E637*F637)</f>
        <v>38.664000000000001</v>
      </c>
      <c r="H637" s="688"/>
      <c r="I637" s="215"/>
      <c r="J637" s="215"/>
      <c r="K637" s="215"/>
      <c r="L637" s="44">
        <v>0</v>
      </c>
      <c r="M637" s="624" t="s">
        <v>1223</v>
      </c>
      <c r="N637" s="158" t="s">
        <v>700</v>
      </c>
      <c r="O637" s="417" t="s">
        <v>1224</v>
      </c>
      <c r="P637" s="477"/>
      <c r="Q637" s="582"/>
      <c r="R637" s="506"/>
      <c r="S637" s="106"/>
      <c r="T637" s="540"/>
      <c r="U637" s="106"/>
      <c r="V637" s="430"/>
      <c r="W637" s="106"/>
      <c r="X637" s="147"/>
      <c r="Y637" s="163"/>
      <c r="Z637" s="163"/>
      <c r="AA637" s="163"/>
      <c r="AB637" s="428"/>
      <c r="AC637" s="41"/>
      <c r="AD637" s="42"/>
      <c r="AE637" s="416"/>
    </row>
    <row r="638" spans="1:31" s="1" customFormat="1">
      <c r="A638" s="684" t="s">
        <v>3233</v>
      </c>
      <c r="B638" s="685" t="s">
        <v>3234</v>
      </c>
      <c r="C638" s="686">
        <v>1</v>
      </c>
      <c r="D638" s="693" t="s">
        <v>3224</v>
      </c>
      <c r="E638" s="977">
        <v>100</v>
      </c>
      <c r="F638" s="161">
        <f t="shared" si="128"/>
        <v>0.2</v>
      </c>
      <c r="G638" s="647">
        <f t="shared" si="131"/>
        <v>80</v>
      </c>
      <c r="H638" s="688"/>
      <c r="I638" s="215"/>
      <c r="J638" s="215"/>
      <c r="K638" s="215"/>
      <c r="L638" s="44">
        <v>0</v>
      </c>
      <c r="M638" s="624" t="s">
        <v>1223</v>
      </c>
      <c r="N638" s="158" t="s">
        <v>700</v>
      </c>
      <c r="O638" s="417" t="s">
        <v>1224</v>
      </c>
      <c r="P638" s="477"/>
      <c r="Q638" s="582"/>
      <c r="R638" s="506"/>
      <c r="S638" s="106"/>
      <c r="T638" s="540"/>
      <c r="U638" s="106"/>
      <c r="V638" s="430"/>
      <c r="W638" s="106"/>
      <c r="X638" s="147"/>
      <c r="Y638" s="163"/>
      <c r="Z638" s="163"/>
      <c r="AA638" s="163"/>
      <c r="AB638" s="428"/>
      <c r="AC638" s="41"/>
      <c r="AD638" s="42"/>
      <c r="AE638" s="416"/>
    </row>
    <row r="639" spans="1:31" s="1" customFormat="1">
      <c r="A639" s="684" t="s">
        <v>3235</v>
      </c>
      <c r="B639" s="685" t="s">
        <v>3236</v>
      </c>
      <c r="C639" s="686">
        <v>1</v>
      </c>
      <c r="D639" s="693" t="s">
        <v>3224</v>
      </c>
      <c r="E639" s="977">
        <v>82.5</v>
      </c>
      <c r="F639" s="161">
        <f t="shared" si="128"/>
        <v>0.2</v>
      </c>
      <c r="G639" s="647">
        <f t="shared" si="131"/>
        <v>66</v>
      </c>
      <c r="H639" s="688"/>
      <c r="I639" s="215"/>
      <c r="J639" s="215"/>
      <c r="K639" s="215"/>
      <c r="L639" s="44">
        <v>0</v>
      </c>
      <c r="M639" s="624" t="s">
        <v>1223</v>
      </c>
      <c r="N639" s="158" t="s">
        <v>700</v>
      </c>
      <c r="O639" s="417" t="s">
        <v>1224</v>
      </c>
      <c r="P639" s="477"/>
      <c r="Q639" s="582"/>
      <c r="R639" s="506"/>
      <c r="S639" s="106"/>
      <c r="T639" s="540"/>
      <c r="U639" s="106"/>
      <c r="V639" s="430"/>
      <c r="W639" s="106"/>
      <c r="X639" s="147"/>
      <c r="Y639" s="163"/>
      <c r="Z639" s="163"/>
      <c r="AA639" s="163"/>
      <c r="AB639" s="428"/>
      <c r="AC639" s="41"/>
      <c r="AD639" s="42"/>
      <c r="AE639" s="416"/>
    </row>
    <row r="640" spans="1:31" s="1" customFormat="1">
      <c r="A640" s="684" t="s">
        <v>3237</v>
      </c>
      <c r="B640" s="685" t="s">
        <v>3238</v>
      </c>
      <c r="C640" s="686">
        <v>1</v>
      </c>
      <c r="D640" s="693" t="s">
        <v>3224</v>
      </c>
      <c r="E640" s="977">
        <v>99.17</v>
      </c>
      <c r="F640" s="161">
        <f t="shared" si="128"/>
        <v>0.2</v>
      </c>
      <c r="G640" s="647">
        <f t="shared" si="131"/>
        <v>79.335999999999999</v>
      </c>
      <c r="H640" s="688"/>
      <c r="I640" s="215"/>
      <c r="J640" s="215"/>
      <c r="K640" s="215"/>
      <c r="L640" s="44">
        <v>0</v>
      </c>
      <c r="M640" s="624" t="s">
        <v>1223</v>
      </c>
      <c r="N640" s="158" t="s">
        <v>700</v>
      </c>
      <c r="O640" s="417" t="s">
        <v>1224</v>
      </c>
      <c r="P640" s="477"/>
      <c r="Q640" s="582"/>
      <c r="R640" s="506"/>
      <c r="S640" s="106"/>
      <c r="T640" s="540"/>
      <c r="U640" s="106"/>
      <c r="V640" s="430"/>
      <c r="W640" s="106"/>
      <c r="X640" s="147"/>
      <c r="Y640" s="163"/>
      <c r="Z640" s="163"/>
      <c r="AA640" s="163"/>
      <c r="AB640" s="428"/>
      <c r="AC640" s="41"/>
      <c r="AD640" s="42"/>
      <c r="AE640" s="416"/>
    </row>
    <row r="641" spans="1:31" s="1" customFormat="1">
      <c r="A641" s="684" t="s">
        <v>3240</v>
      </c>
      <c r="B641" s="685" t="s">
        <v>3241</v>
      </c>
      <c r="C641" s="686">
        <v>1</v>
      </c>
      <c r="D641" s="693" t="s">
        <v>3224</v>
      </c>
      <c r="E641" s="977">
        <v>41.58</v>
      </c>
      <c r="F641" s="161">
        <f t="shared" si="128"/>
        <v>0.2</v>
      </c>
      <c r="G641" s="647">
        <f t="shared" si="131"/>
        <v>33.263999999999996</v>
      </c>
      <c r="H641" s="688"/>
      <c r="I641" s="215"/>
      <c r="J641" s="215"/>
      <c r="K641" s="215"/>
      <c r="L641" s="44">
        <v>0</v>
      </c>
      <c r="M641" s="624" t="s">
        <v>1223</v>
      </c>
      <c r="N641" s="158" t="s">
        <v>700</v>
      </c>
      <c r="O641" s="417" t="s">
        <v>1224</v>
      </c>
      <c r="P641" s="477"/>
      <c r="Q641" s="582"/>
      <c r="R641" s="506"/>
      <c r="S641" s="106"/>
      <c r="T641" s="540"/>
      <c r="U641" s="106"/>
      <c r="V641" s="430"/>
      <c r="W641" s="106"/>
      <c r="X641" s="147"/>
      <c r="Y641" s="163"/>
      <c r="Z641" s="163"/>
      <c r="AA641" s="163"/>
      <c r="AB641" s="428"/>
      <c r="AC641" s="41"/>
      <c r="AD641" s="42"/>
      <c r="AE641" s="416"/>
    </row>
    <row r="642" spans="1:31" s="1" customFormat="1">
      <c r="A642" s="684" t="s">
        <v>3253</v>
      </c>
      <c r="B642" s="685" t="s">
        <v>3254</v>
      </c>
      <c r="C642" s="686">
        <v>1</v>
      </c>
      <c r="D642" s="693" t="s">
        <v>3224</v>
      </c>
      <c r="E642" s="977">
        <v>33.25</v>
      </c>
      <c r="F642" s="161">
        <f t="shared" si="128"/>
        <v>0.2</v>
      </c>
      <c r="G642" s="647">
        <f t="shared" ref="G642" si="132">E642-(E642*F642)</f>
        <v>26.6</v>
      </c>
      <c r="H642" s="688"/>
      <c r="I642" s="215"/>
      <c r="J642" s="215"/>
      <c r="K642" s="215"/>
      <c r="L642" s="44">
        <v>0</v>
      </c>
      <c r="M642" s="624" t="s">
        <v>1223</v>
      </c>
      <c r="N642" s="158" t="s">
        <v>700</v>
      </c>
      <c r="O642" s="417" t="s">
        <v>1224</v>
      </c>
      <c r="P642" s="477"/>
      <c r="Q642" s="582"/>
      <c r="R642" s="506"/>
      <c r="S642" s="106"/>
      <c r="T642" s="540"/>
      <c r="U642" s="106"/>
      <c r="V642" s="430"/>
      <c r="W642" s="106"/>
      <c r="X642" s="147"/>
      <c r="Y642" s="163"/>
      <c r="Z642" s="163"/>
      <c r="AA642" s="163"/>
      <c r="AB642" s="428"/>
      <c r="AC642" s="41"/>
      <c r="AD642" s="42"/>
      <c r="AE642" s="416"/>
    </row>
    <row r="643" spans="1:31" s="1" customFormat="1">
      <c r="A643" s="684" t="s">
        <v>3255</v>
      </c>
      <c r="B643" s="685" t="s">
        <v>3257</v>
      </c>
      <c r="C643" s="686">
        <v>1</v>
      </c>
      <c r="D643" s="693" t="s">
        <v>3224</v>
      </c>
      <c r="E643" s="977">
        <v>33.25</v>
      </c>
      <c r="F643" s="161">
        <f t="shared" si="128"/>
        <v>0.2</v>
      </c>
      <c r="G643" s="647">
        <f t="shared" ref="G643:G644" si="133">E643-(E643*F643)</f>
        <v>26.6</v>
      </c>
      <c r="H643" s="688"/>
      <c r="I643" s="215"/>
      <c r="J643" s="215"/>
      <c r="K643" s="215"/>
      <c r="L643" s="44">
        <v>0</v>
      </c>
      <c r="M643" s="624" t="s">
        <v>1223</v>
      </c>
      <c r="N643" s="158" t="s">
        <v>700</v>
      </c>
      <c r="O643" s="417" t="s">
        <v>1224</v>
      </c>
      <c r="P643" s="477"/>
      <c r="Q643" s="582"/>
      <c r="R643" s="506"/>
      <c r="S643" s="106"/>
      <c r="T643" s="540"/>
      <c r="U643" s="106"/>
      <c r="V643" s="430"/>
      <c r="W643" s="106"/>
      <c r="X643" s="147"/>
      <c r="Y643" s="163"/>
      <c r="Z643" s="163"/>
      <c r="AA643" s="163"/>
      <c r="AB643" s="428"/>
      <c r="AC643" s="41"/>
      <c r="AD643" s="42"/>
      <c r="AE643" s="416"/>
    </row>
    <row r="644" spans="1:31" s="1" customFormat="1">
      <c r="A644" s="684" t="s">
        <v>3256</v>
      </c>
      <c r="B644" s="685" t="s">
        <v>3258</v>
      </c>
      <c r="C644" s="686">
        <v>1</v>
      </c>
      <c r="D644" s="693" t="s">
        <v>3224</v>
      </c>
      <c r="E644" s="977">
        <v>33.25</v>
      </c>
      <c r="F644" s="161">
        <f t="shared" si="128"/>
        <v>0.2</v>
      </c>
      <c r="G644" s="647">
        <f t="shared" si="133"/>
        <v>26.6</v>
      </c>
      <c r="H644" s="688"/>
      <c r="I644" s="215"/>
      <c r="J644" s="215"/>
      <c r="K644" s="215"/>
      <c r="L644" s="44">
        <v>0</v>
      </c>
      <c r="M644" s="624" t="s">
        <v>1223</v>
      </c>
      <c r="N644" s="158" t="s">
        <v>700</v>
      </c>
      <c r="O644" s="417" t="s">
        <v>1224</v>
      </c>
      <c r="P644" s="477"/>
      <c r="Q644" s="582"/>
      <c r="R644" s="506"/>
      <c r="S644" s="106"/>
      <c r="T644" s="540"/>
      <c r="U644" s="106"/>
      <c r="V644" s="430"/>
      <c r="W644" s="106"/>
      <c r="X644" s="147"/>
      <c r="Y644" s="163"/>
      <c r="Z644" s="163"/>
      <c r="AA644" s="163"/>
      <c r="AB644" s="428"/>
      <c r="AC644" s="41"/>
      <c r="AD644" s="42"/>
      <c r="AE644" s="416"/>
    </row>
    <row r="645" spans="1:31" s="1" customFormat="1">
      <c r="A645" s="684" t="s">
        <v>3242</v>
      </c>
      <c r="B645" s="685" t="s">
        <v>3243</v>
      </c>
      <c r="C645" s="686">
        <v>1</v>
      </c>
      <c r="D645" s="693" t="s">
        <v>3224</v>
      </c>
      <c r="E645" s="977">
        <v>33.25</v>
      </c>
      <c r="F645" s="161">
        <f t="shared" si="128"/>
        <v>0.2</v>
      </c>
      <c r="G645" s="647">
        <f t="shared" si="131"/>
        <v>26.6</v>
      </c>
      <c r="H645" s="688"/>
      <c r="I645" s="215"/>
      <c r="J645" s="215"/>
      <c r="K645" s="215"/>
      <c r="L645" s="44">
        <v>0</v>
      </c>
      <c r="M645" s="624" t="s">
        <v>1223</v>
      </c>
      <c r="N645" s="158" t="s">
        <v>700</v>
      </c>
      <c r="O645" s="417" t="s">
        <v>1224</v>
      </c>
      <c r="P645" s="477"/>
      <c r="Q645" s="582"/>
      <c r="R645" s="506"/>
      <c r="S645" s="106"/>
      <c r="T645" s="540"/>
      <c r="U645" s="106"/>
      <c r="V645" s="430"/>
      <c r="W645" s="106"/>
      <c r="X645" s="147"/>
      <c r="Y645" s="163"/>
      <c r="Z645" s="163"/>
      <c r="AA645" s="163"/>
      <c r="AB645" s="428"/>
      <c r="AC645" s="41"/>
      <c r="AD645" s="42"/>
      <c r="AE645" s="416"/>
    </row>
    <row r="646" spans="1:31" s="1" customFormat="1">
      <c r="A646" s="684" t="s">
        <v>3246</v>
      </c>
      <c r="B646" s="685" t="s">
        <v>3245</v>
      </c>
      <c r="C646" s="686">
        <v>1</v>
      </c>
      <c r="D646" s="693" t="s">
        <v>3224</v>
      </c>
      <c r="E646" s="977">
        <v>30.75</v>
      </c>
      <c r="F646" s="161">
        <f t="shared" si="128"/>
        <v>0.2</v>
      </c>
      <c r="G646" s="647">
        <f t="shared" ref="G646:G647" si="134">E646-(E646*F646)</f>
        <v>24.6</v>
      </c>
      <c r="H646" s="688"/>
      <c r="I646" s="215"/>
      <c r="J646" s="215"/>
      <c r="K646" s="215"/>
      <c r="L646" s="44">
        <v>0</v>
      </c>
      <c r="M646" s="624" t="s">
        <v>1223</v>
      </c>
      <c r="N646" s="158" t="s">
        <v>700</v>
      </c>
      <c r="O646" s="417" t="s">
        <v>1224</v>
      </c>
      <c r="P646" s="477"/>
      <c r="Q646" s="582"/>
      <c r="R646" s="506"/>
      <c r="S646" s="106"/>
      <c r="T646" s="540"/>
      <c r="U646" s="106"/>
      <c r="V646" s="430"/>
      <c r="W646" s="106"/>
      <c r="X646" s="147"/>
      <c r="Y646" s="163"/>
      <c r="Z646" s="163"/>
      <c r="AA646" s="163"/>
      <c r="AB646" s="428"/>
      <c r="AC646" s="41"/>
      <c r="AD646" s="42"/>
      <c r="AE646" s="416"/>
    </row>
    <row r="647" spans="1:31" s="1" customFormat="1">
      <c r="A647" s="684" t="s">
        <v>3247</v>
      </c>
      <c r="B647" s="685" t="s">
        <v>3248</v>
      </c>
      <c r="C647" s="686">
        <v>1</v>
      </c>
      <c r="D647" s="693" t="s">
        <v>3224</v>
      </c>
      <c r="E647" s="977">
        <v>37.42</v>
      </c>
      <c r="F647" s="161">
        <f t="shared" si="128"/>
        <v>0.2</v>
      </c>
      <c r="G647" s="647">
        <f t="shared" si="134"/>
        <v>29.936</v>
      </c>
      <c r="H647" s="688"/>
      <c r="I647" s="215"/>
      <c r="J647" s="215"/>
      <c r="K647" s="215"/>
      <c r="L647" s="44">
        <v>0</v>
      </c>
      <c r="M647" s="624" t="s">
        <v>1223</v>
      </c>
      <c r="N647" s="158" t="s">
        <v>700</v>
      </c>
      <c r="O647" s="417" t="s">
        <v>1224</v>
      </c>
      <c r="P647" s="477"/>
      <c r="Q647" s="582"/>
      <c r="R647" s="506"/>
      <c r="S647" s="106"/>
      <c r="T647" s="540"/>
      <c r="U647" s="106"/>
      <c r="V647" s="430"/>
      <c r="W647" s="106"/>
      <c r="X647" s="147"/>
      <c r="Y647" s="163"/>
      <c r="Z647" s="163"/>
      <c r="AA647" s="163"/>
      <c r="AB647" s="428"/>
      <c r="AC647" s="41"/>
      <c r="AD647" s="42"/>
      <c r="AE647" s="416"/>
    </row>
    <row r="648" spans="1:31" s="1" customFormat="1">
      <c r="A648" s="684" t="s">
        <v>3249</v>
      </c>
      <c r="B648" s="685" t="s">
        <v>3250</v>
      </c>
      <c r="C648" s="686">
        <v>1</v>
      </c>
      <c r="D648" s="693" t="s">
        <v>3224</v>
      </c>
      <c r="E648" s="977">
        <v>65.83</v>
      </c>
      <c r="F648" s="161">
        <f t="shared" si="128"/>
        <v>0.2</v>
      </c>
      <c r="G648" s="647">
        <f t="shared" ref="G648:G650" si="135">E648-(E648*F648)</f>
        <v>52.664000000000001</v>
      </c>
      <c r="H648" s="688"/>
      <c r="I648" s="215"/>
      <c r="J648" s="215"/>
      <c r="K648" s="215"/>
      <c r="L648" s="44">
        <v>0</v>
      </c>
      <c r="M648" s="624" t="s">
        <v>1223</v>
      </c>
      <c r="N648" s="158" t="s">
        <v>700</v>
      </c>
      <c r="O648" s="417" t="s">
        <v>1224</v>
      </c>
      <c r="P648" s="477"/>
      <c r="Q648" s="582"/>
      <c r="R648" s="506"/>
      <c r="S648" s="106"/>
      <c r="T648" s="540"/>
      <c r="U648" s="106"/>
      <c r="V648" s="430"/>
      <c r="W648" s="106"/>
      <c r="X648" s="147"/>
      <c r="Y648" s="163"/>
      <c r="Z648" s="163"/>
      <c r="AA648" s="163"/>
      <c r="AB648" s="428"/>
      <c r="AC648" s="41"/>
      <c r="AD648" s="42"/>
      <c r="AE648" s="416"/>
    </row>
    <row r="649" spans="1:31" s="1" customFormat="1">
      <c r="A649" s="684" t="s">
        <v>3251</v>
      </c>
      <c r="B649" s="685" t="s">
        <v>3603</v>
      </c>
      <c r="C649" s="686">
        <v>1</v>
      </c>
      <c r="D649" s="693" t="s">
        <v>3224</v>
      </c>
      <c r="E649" s="977">
        <v>49.92</v>
      </c>
      <c r="F649" s="161">
        <f t="shared" si="128"/>
        <v>0.2</v>
      </c>
      <c r="G649" s="647">
        <f t="shared" si="135"/>
        <v>39.936</v>
      </c>
      <c r="H649" s="688"/>
      <c r="I649" s="215"/>
      <c r="J649" s="215"/>
      <c r="K649" s="215"/>
      <c r="L649" s="44">
        <v>0</v>
      </c>
      <c r="M649" s="624" t="s">
        <v>1223</v>
      </c>
      <c r="N649" s="158" t="s">
        <v>700</v>
      </c>
      <c r="O649" s="417" t="s">
        <v>1224</v>
      </c>
      <c r="P649" s="477"/>
      <c r="Q649" s="582"/>
      <c r="R649" s="506"/>
      <c r="S649" s="106"/>
      <c r="T649" s="540"/>
      <c r="U649" s="106"/>
      <c r="V649" s="430"/>
      <c r="W649" s="106"/>
      <c r="X649" s="147"/>
      <c r="Y649" s="163"/>
      <c r="Z649" s="163"/>
      <c r="AA649" s="163"/>
      <c r="AB649" s="428"/>
      <c r="AC649" s="41"/>
      <c r="AD649" s="42"/>
      <c r="AE649" s="416"/>
    </row>
    <row r="650" spans="1:31" s="1" customFormat="1">
      <c r="A650" s="684" t="s">
        <v>3252</v>
      </c>
      <c r="B650" s="685" t="s">
        <v>3602</v>
      </c>
      <c r="C650" s="686">
        <v>1</v>
      </c>
      <c r="D650" s="693" t="s">
        <v>3224</v>
      </c>
      <c r="E650" s="977">
        <v>45.75</v>
      </c>
      <c r="F650" s="161">
        <f t="shared" si="128"/>
        <v>0.2</v>
      </c>
      <c r="G650" s="647">
        <f t="shared" si="135"/>
        <v>36.6</v>
      </c>
      <c r="H650" s="688"/>
      <c r="I650" s="215"/>
      <c r="J650" s="215"/>
      <c r="K650" s="215"/>
      <c r="L650" s="44">
        <v>0</v>
      </c>
      <c r="M650" s="624" t="s">
        <v>1223</v>
      </c>
      <c r="N650" s="158" t="s">
        <v>700</v>
      </c>
      <c r="O650" s="417" t="s">
        <v>1224</v>
      </c>
      <c r="P650" s="477"/>
      <c r="Q650" s="582"/>
      <c r="R650" s="506"/>
      <c r="S650" s="106"/>
      <c r="T650" s="540"/>
      <c r="U650" s="106"/>
      <c r="V650" s="430"/>
      <c r="W650" s="106"/>
      <c r="X650" s="147"/>
      <c r="Y650" s="163"/>
      <c r="Z650" s="163"/>
      <c r="AA650" s="163"/>
      <c r="AB650" s="428"/>
      <c r="AC650" s="41"/>
      <c r="AD650" s="42"/>
      <c r="AE650" s="416"/>
    </row>
    <row r="651" spans="1:31" s="1" customFormat="1">
      <c r="A651" s="684" t="s">
        <v>3271</v>
      </c>
      <c r="B651" s="685" t="s">
        <v>3601</v>
      </c>
      <c r="C651" s="686">
        <v>1</v>
      </c>
      <c r="D651" s="693" t="s">
        <v>3224</v>
      </c>
      <c r="E651" s="977">
        <v>20.75</v>
      </c>
      <c r="F651" s="161">
        <f t="shared" si="128"/>
        <v>0.2</v>
      </c>
      <c r="G651" s="647">
        <f t="shared" ref="G651" si="136">E651-(E651*F651)</f>
        <v>16.600000000000001</v>
      </c>
      <c r="H651" s="688"/>
      <c r="I651" s="215"/>
      <c r="J651" s="215"/>
      <c r="K651" s="215"/>
      <c r="L651" s="44">
        <v>0</v>
      </c>
      <c r="M651" s="624" t="s">
        <v>1223</v>
      </c>
      <c r="N651" s="158" t="s">
        <v>700</v>
      </c>
      <c r="O651" s="417" t="s">
        <v>1224</v>
      </c>
      <c r="P651" s="477"/>
      <c r="Q651" s="582"/>
      <c r="R651" s="506"/>
      <c r="S651" s="106"/>
      <c r="T651" s="540"/>
      <c r="U651" s="106"/>
      <c r="V651" s="430"/>
      <c r="W651" s="106"/>
      <c r="X651" s="147"/>
      <c r="Y651" s="163"/>
      <c r="Z651" s="163"/>
      <c r="AA651" s="163"/>
      <c r="AB651" s="428"/>
      <c r="AC651" s="41"/>
      <c r="AD651" s="42"/>
      <c r="AE651" s="416"/>
    </row>
    <row r="652" spans="1:31" s="1" customFormat="1">
      <c r="A652" s="684" t="s">
        <v>3272</v>
      </c>
      <c r="B652" s="685" t="s">
        <v>3600</v>
      </c>
      <c r="C652" s="686">
        <v>1</v>
      </c>
      <c r="D652" s="693" t="s">
        <v>3224</v>
      </c>
      <c r="E652" s="977">
        <v>20.75</v>
      </c>
      <c r="F652" s="161">
        <f t="shared" si="128"/>
        <v>0.2</v>
      </c>
      <c r="G652" s="647">
        <f t="shared" ref="G652" si="137">E652-(E652*F652)</f>
        <v>16.600000000000001</v>
      </c>
      <c r="H652" s="688"/>
      <c r="I652" s="215"/>
      <c r="J652" s="215"/>
      <c r="K652" s="215"/>
      <c r="L652" s="44">
        <v>0</v>
      </c>
      <c r="M652" s="624" t="s">
        <v>1223</v>
      </c>
      <c r="N652" s="158" t="s">
        <v>700</v>
      </c>
      <c r="O652" s="417" t="s">
        <v>1224</v>
      </c>
      <c r="P652" s="477"/>
      <c r="Q652" s="582"/>
      <c r="R652" s="506"/>
      <c r="S652" s="106"/>
      <c r="T652" s="540"/>
      <c r="U652" s="106"/>
      <c r="V652" s="430"/>
      <c r="W652" s="106"/>
      <c r="X652" s="147"/>
      <c r="Y652" s="163"/>
      <c r="Z652" s="163"/>
      <c r="AA652" s="163"/>
      <c r="AB652" s="428"/>
      <c r="AC652" s="41"/>
      <c r="AD652" s="42"/>
      <c r="AE652" s="416"/>
    </row>
    <row r="653" spans="1:31" s="1" customFormat="1" ht="21" customHeight="1">
      <c r="A653" s="543" t="s">
        <v>1761</v>
      </c>
      <c r="B653" s="165"/>
      <c r="C653" s="506">
        <v>1</v>
      </c>
      <c r="D653" s="585"/>
      <c r="E653" s="1008"/>
      <c r="F653" s="500"/>
      <c r="G653" s="106"/>
      <c r="H653" s="147"/>
      <c r="I653" s="163"/>
      <c r="J653" s="163"/>
      <c r="K653" s="163"/>
      <c r="L653" s="428"/>
      <c r="M653" s="624"/>
      <c r="N653" s="159"/>
      <c r="O653" s="221"/>
      <c r="P653" s="543" t="s">
        <v>1761</v>
      </c>
      <c r="Q653" s="165"/>
      <c r="R653" s="506">
        <v>1</v>
      </c>
      <c r="S653" s="106"/>
      <c r="T653" s="147"/>
      <c r="U653" s="147"/>
      <c r="V653" s="500"/>
      <c r="W653" s="106"/>
      <c r="X653" s="147"/>
      <c r="Y653" s="163"/>
      <c r="Z653" s="163"/>
      <c r="AA653" s="163"/>
      <c r="AB653" s="428"/>
      <c r="AC653" s="41"/>
      <c r="AD653" s="14"/>
      <c r="AE653" s="157"/>
    </row>
    <row r="654" spans="1:31" s="1" customFormat="1">
      <c r="A654" s="477" t="s">
        <v>2536</v>
      </c>
      <c r="B654" s="505" t="s">
        <v>2537</v>
      </c>
      <c r="C654" s="506">
        <v>1</v>
      </c>
      <c r="D654" s="585" t="s">
        <v>2538</v>
      </c>
      <c r="E654" s="1009">
        <v>62.49</v>
      </c>
      <c r="F654" s="500"/>
      <c r="G654" s="106">
        <f t="shared" ref="G654:G684" si="138">E654-(E654*F654)</f>
        <v>62.49</v>
      </c>
      <c r="H654" s="147"/>
      <c r="I654" s="163"/>
      <c r="J654" s="163"/>
      <c r="K654" s="163"/>
      <c r="L654" s="428">
        <v>0</v>
      </c>
      <c r="M654" s="624" t="s">
        <v>1761</v>
      </c>
      <c r="N654" s="159" t="s">
        <v>2539</v>
      </c>
      <c r="O654" s="221" t="s">
        <v>2540</v>
      </c>
      <c r="P654" s="477" t="s">
        <v>2536</v>
      </c>
      <c r="Q654" s="505" t="s">
        <v>2537</v>
      </c>
      <c r="R654" s="506">
        <v>1</v>
      </c>
      <c r="S654" s="106" t="s">
        <v>2538</v>
      </c>
      <c r="T654" s="473" t="s">
        <v>2536</v>
      </c>
      <c r="U654" s="106">
        <v>62.49</v>
      </c>
      <c r="V654" s="500"/>
      <c r="W654" s="106">
        <v>62.49</v>
      </c>
      <c r="X654" s="147"/>
      <c r="Y654" s="163"/>
      <c r="Z654" s="163"/>
      <c r="AA654" s="163"/>
      <c r="AB654" s="428">
        <v>0</v>
      </c>
      <c r="AC654" s="41" t="s">
        <v>1761</v>
      </c>
      <c r="AD654" s="14" t="s">
        <v>2539</v>
      </c>
      <c r="AE654" s="157" t="s">
        <v>2540</v>
      </c>
    </row>
    <row r="655" spans="1:31" s="1" customFormat="1">
      <c r="A655" s="477" t="s">
        <v>2541</v>
      </c>
      <c r="B655" s="505" t="s">
        <v>2542</v>
      </c>
      <c r="C655" s="506">
        <v>1</v>
      </c>
      <c r="D655" s="585" t="s">
        <v>2538</v>
      </c>
      <c r="E655" s="1009">
        <v>112.49</v>
      </c>
      <c r="F655" s="500"/>
      <c r="G655" s="106">
        <f t="shared" si="138"/>
        <v>112.49</v>
      </c>
      <c r="H655" s="147"/>
      <c r="I655" s="163"/>
      <c r="J655" s="163"/>
      <c r="K655" s="163"/>
      <c r="L655" s="428">
        <v>0</v>
      </c>
      <c r="M655" s="624" t="s">
        <v>1761</v>
      </c>
      <c r="N655" s="159" t="s">
        <v>2539</v>
      </c>
      <c r="O655" s="221" t="s">
        <v>2540</v>
      </c>
      <c r="P655" s="477" t="s">
        <v>2541</v>
      </c>
      <c r="Q655" s="505" t="s">
        <v>2542</v>
      </c>
      <c r="R655" s="506">
        <v>1</v>
      </c>
      <c r="S655" s="106" t="s">
        <v>2538</v>
      </c>
      <c r="T655" s="473" t="s">
        <v>2541</v>
      </c>
      <c r="U655" s="106">
        <v>112.49</v>
      </c>
      <c r="V655" s="500"/>
      <c r="W655" s="106">
        <v>112.49</v>
      </c>
      <c r="X655" s="147"/>
      <c r="Y655" s="163"/>
      <c r="Z655" s="163"/>
      <c r="AA655" s="163"/>
      <c r="AB655" s="428">
        <v>0</v>
      </c>
      <c r="AC655" s="41" t="s">
        <v>1761</v>
      </c>
      <c r="AD655" s="14" t="s">
        <v>2539</v>
      </c>
      <c r="AE655" s="157" t="s">
        <v>2540</v>
      </c>
    </row>
    <row r="656" spans="1:31" s="1" customFormat="1">
      <c r="A656" s="477" t="s">
        <v>2543</v>
      </c>
      <c r="B656" s="505" t="s">
        <v>2544</v>
      </c>
      <c r="C656" s="506">
        <v>1</v>
      </c>
      <c r="D656" s="585" t="s">
        <v>2538</v>
      </c>
      <c r="E656" s="1009">
        <v>159.59</v>
      </c>
      <c r="F656" s="500"/>
      <c r="G656" s="106">
        <f t="shared" si="138"/>
        <v>159.59</v>
      </c>
      <c r="H656" s="147"/>
      <c r="I656" s="163"/>
      <c r="J656" s="163"/>
      <c r="K656" s="163"/>
      <c r="L656" s="428">
        <v>0</v>
      </c>
      <c r="M656" s="624" t="s">
        <v>1761</v>
      </c>
      <c r="N656" s="159" t="s">
        <v>2539</v>
      </c>
      <c r="O656" s="221" t="s">
        <v>2540</v>
      </c>
      <c r="P656" s="477" t="s">
        <v>2543</v>
      </c>
      <c r="Q656" s="505" t="s">
        <v>2544</v>
      </c>
      <c r="R656" s="506">
        <v>1</v>
      </c>
      <c r="S656" s="106" t="s">
        <v>2538</v>
      </c>
      <c r="T656" s="473" t="s">
        <v>2543</v>
      </c>
      <c r="U656" s="106">
        <v>159.59</v>
      </c>
      <c r="V656" s="500"/>
      <c r="W656" s="106">
        <v>159.59</v>
      </c>
      <c r="X656" s="147"/>
      <c r="Y656" s="163"/>
      <c r="Z656" s="163"/>
      <c r="AA656" s="163"/>
      <c r="AB656" s="428">
        <v>0</v>
      </c>
      <c r="AC656" s="41" t="s">
        <v>1761</v>
      </c>
      <c r="AD656" s="14" t="s">
        <v>2539</v>
      </c>
      <c r="AE656" s="157" t="s">
        <v>2540</v>
      </c>
    </row>
    <row r="657" spans="1:31" s="1" customFormat="1">
      <c r="A657" s="477" t="s">
        <v>2545</v>
      </c>
      <c r="B657" s="505" t="s">
        <v>2546</v>
      </c>
      <c r="C657" s="506">
        <v>1</v>
      </c>
      <c r="D657" s="585" t="s">
        <v>2538</v>
      </c>
      <c r="E657" s="1019">
        <v>55.99</v>
      </c>
      <c r="F657" s="500"/>
      <c r="G657" s="648">
        <f t="shared" si="138"/>
        <v>55.99</v>
      </c>
      <c r="H657" s="147"/>
      <c r="I657" s="163"/>
      <c r="J657" s="163"/>
      <c r="K657" s="165"/>
      <c r="L657" s="428">
        <v>0</v>
      </c>
      <c r="M657" s="624" t="s">
        <v>1761</v>
      </c>
      <c r="N657" s="159" t="s">
        <v>2539</v>
      </c>
      <c r="O657" s="221" t="s">
        <v>2540</v>
      </c>
      <c r="P657" s="477" t="s">
        <v>2545</v>
      </c>
      <c r="Q657" s="505" t="s">
        <v>2546</v>
      </c>
      <c r="R657" s="506">
        <v>1</v>
      </c>
      <c r="S657" s="106" t="s">
        <v>2538</v>
      </c>
      <c r="T657" s="473" t="s">
        <v>2545</v>
      </c>
      <c r="U657" s="654">
        <v>49.99</v>
      </c>
      <c r="V657" s="500"/>
      <c r="W657" s="654">
        <v>49.99</v>
      </c>
      <c r="X657" s="147"/>
      <c r="Y657" s="163"/>
      <c r="Z657" s="163"/>
      <c r="AA657" s="165"/>
      <c r="AB657" s="428">
        <v>0</v>
      </c>
      <c r="AC657" s="41" t="s">
        <v>1761</v>
      </c>
      <c r="AD657" s="14" t="s">
        <v>2539</v>
      </c>
      <c r="AE657" s="157" t="s">
        <v>2540</v>
      </c>
    </row>
    <row r="658" spans="1:31" s="1" customFormat="1">
      <c r="A658" s="477" t="s">
        <v>2547</v>
      </c>
      <c r="B658" s="505" t="s">
        <v>2548</v>
      </c>
      <c r="C658" s="506">
        <v>1</v>
      </c>
      <c r="D658" s="585" t="s">
        <v>2538</v>
      </c>
      <c r="E658" s="1019">
        <v>99.99</v>
      </c>
      <c r="F658" s="500"/>
      <c r="G658" s="648">
        <f t="shared" si="138"/>
        <v>99.99</v>
      </c>
      <c r="H658" s="147"/>
      <c r="I658" s="163"/>
      <c r="J658" s="163"/>
      <c r="K658" s="163"/>
      <c r="L658" s="428">
        <v>0</v>
      </c>
      <c r="M658" s="624" t="s">
        <v>1761</v>
      </c>
      <c r="N658" s="159" t="s">
        <v>2539</v>
      </c>
      <c r="O658" s="221" t="s">
        <v>2540</v>
      </c>
      <c r="P658" s="477" t="s">
        <v>2547</v>
      </c>
      <c r="Q658" s="505" t="s">
        <v>2548</v>
      </c>
      <c r="R658" s="506">
        <v>1</v>
      </c>
      <c r="S658" s="106" t="s">
        <v>2538</v>
      </c>
      <c r="T658" s="473" t="s">
        <v>2547</v>
      </c>
      <c r="U658" s="654">
        <v>89.99</v>
      </c>
      <c r="V658" s="500"/>
      <c r="W658" s="654">
        <v>89.99</v>
      </c>
      <c r="X658" s="147"/>
      <c r="Y658" s="163"/>
      <c r="Z658" s="163"/>
      <c r="AA658" s="163"/>
      <c r="AB658" s="428">
        <v>0</v>
      </c>
      <c r="AC658" s="41" t="s">
        <v>1761</v>
      </c>
      <c r="AD658" s="14" t="s">
        <v>2539</v>
      </c>
      <c r="AE658" s="157" t="s">
        <v>2540</v>
      </c>
    </row>
    <row r="659" spans="1:31" s="1" customFormat="1">
      <c r="A659" s="477" t="s">
        <v>2549</v>
      </c>
      <c r="B659" s="505" t="s">
        <v>2550</v>
      </c>
      <c r="C659" s="506">
        <v>1</v>
      </c>
      <c r="D659" s="585" t="s">
        <v>2538</v>
      </c>
      <c r="E659" s="1019">
        <v>138.5</v>
      </c>
      <c r="F659" s="500"/>
      <c r="G659" s="648">
        <f t="shared" si="138"/>
        <v>138.5</v>
      </c>
      <c r="H659" s="147"/>
      <c r="I659" s="163"/>
      <c r="J659" s="163"/>
      <c r="K659" s="163"/>
      <c r="L659" s="428">
        <v>0</v>
      </c>
      <c r="M659" s="624" t="s">
        <v>1761</v>
      </c>
      <c r="N659" s="159" t="s">
        <v>2539</v>
      </c>
      <c r="O659" s="221" t="s">
        <v>2540</v>
      </c>
      <c r="P659" s="477" t="s">
        <v>2549</v>
      </c>
      <c r="Q659" s="505" t="s">
        <v>2550</v>
      </c>
      <c r="R659" s="506">
        <v>1</v>
      </c>
      <c r="S659" s="106" t="s">
        <v>2538</v>
      </c>
      <c r="T659" s="473" t="s">
        <v>2549</v>
      </c>
      <c r="U659" s="654">
        <v>127.5</v>
      </c>
      <c r="V659" s="500"/>
      <c r="W659" s="654">
        <v>127.5</v>
      </c>
      <c r="X659" s="147"/>
      <c r="Y659" s="163"/>
      <c r="Z659" s="163"/>
      <c r="AA659" s="163"/>
      <c r="AB659" s="428">
        <v>0</v>
      </c>
      <c r="AC659" s="41" t="s">
        <v>1761</v>
      </c>
      <c r="AD659" s="14" t="s">
        <v>2539</v>
      </c>
      <c r="AE659" s="157" t="s">
        <v>2540</v>
      </c>
    </row>
    <row r="660" spans="1:31" s="1" customFormat="1">
      <c r="A660" s="477">
        <v>1912001502</v>
      </c>
      <c r="B660" s="505" t="s">
        <v>2551</v>
      </c>
      <c r="C660" s="506">
        <v>1</v>
      </c>
      <c r="D660" s="585" t="s">
        <v>2552</v>
      </c>
      <c r="E660" s="1009">
        <v>2057</v>
      </c>
      <c r="F660" s="500"/>
      <c r="G660" s="106">
        <f t="shared" si="138"/>
        <v>2057</v>
      </c>
      <c r="H660" s="147"/>
      <c r="I660" s="163"/>
      <c r="J660" s="163"/>
      <c r="K660" s="163"/>
      <c r="L660" s="428"/>
      <c r="M660" s="624" t="s">
        <v>1761</v>
      </c>
      <c r="N660" s="159" t="s">
        <v>2553</v>
      </c>
      <c r="O660" s="221" t="s">
        <v>2540</v>
      </c>
      <c r="P660" s="477">
        <v>1912001502</v>
      </c>
      <c r="Q660" s="505" t="s">
        <v>2551</v>
      </c>
      <c r="R660" s="506">
        <v>1</v>
      </c>
      <c r="S660" s="106" t="s">
        <v>2552</v>
      </c>
      <c r="T660" s="473">
        <v>1912001502</v>
      </c>
      <c r="U660" s="106">
        <v>2057</v>
      </c>
      <c r="V660" s="500"/>
      <c r="W660" s="106">
        <v>2057</v>
      </c>
      <c r="X660" s="147"/>
      <c r="Y660" s="163"/>
      <c r="Z660" s="163"/>
      <c r="AA660" s="163"/>
      <c r="AB660" s="428"/>
      <c r="AC660" s="41" t="s">
        <v>1761</v>
      </c>
      <c r="AD660" s="14" t="s">
        <v>2553</v>
      </c>
      <c r="AE660" s="157" t="s">
        <v>2540</v>
      </c>
    </row>
    <row r="661" spans="1:31" s="1" customFormat="1">
      <c r="A661" s="477" t="s">
        <v>2554</v>
      </c>
      <c r="B661" s="505" t="s">
        <v>2555</v>
      </c>
      <c r="C661" s="506">
        <v>1</v>
      </c>
      <c r="D661" s="585" t="s">
        <v>114</v>
      </c>
      <c r="E661" s="1009">
        <v>1250</v>
      </c>
      <c r="F661" s="500"/>
      <c r="G661" s="106">
        <f t="shared" si="138"/>
        <v>1250</v>
      </c>
      <c r="H661" s="147"/>
      <c r="I661" s="163"/>
      <c r="J661" s="163"/>
      <c r="K661" s="163"/>
      <c r="L661" s="428"/>
      <c r="M661" s="624" t="s">
        <v>1761</v>
      </c>
      <c r="N661" s="159" t="s">
        <v>2553</v>
      </c>
      <c r="O661" s="221" t="s">
        <v>2540</v>
      </c>
      <c r="P661" s="477" t="s">
        <v>2554</v>
      </c>
      <c r="Q661" s="505" t="s">
        <v>2556</v>
      </c>
      <c r="R661" s="506">
        <v>1</v>
      </c>
      <c r="S661" s="106" t="s">
        <v>114</v>
      </c>
      <c r="T661" s="473" t="s">
        <v>2554</v>
      </c>
      <c r="U661" s="106">
        <v>1250</v>
      </c>
      <c r="V661" s="500"/>
      <c r="W661" s="106">
        <v>1250</v>
      </c>
      <c r="X661" s="147"/>
      <c r="Y661" s="163"/>
      <c r="Z661" s="163"/>
      <c r="AA661" s="163"/>
      <c r="AB661" s="428"/>
      <c r="AC661" s="41" t="s">
        <v>1761</v>
      </c>
      <c r="AD661" s="14" t="s">
        <v>2553</v>
      </c>
      <c r="AE661" s="157" t="s">
        <v>2540</v>
      </c>
    </row>
    <row r="662" spans="1:31" s="1" customFormat="1">
      <c r="A662" s="477">
        <v>1912001200</v>
      </c>
      <c r="B662" s="505" t="s">
        <v>2557</v>
      </c>
      <c r="C662" s="506">
        <v>1</v>
      </c>
      <c r="D662" s="585" t="s">
        <v>2552</v>
      </c>
      <c r="E662" s="1009">
        <v>1234.2</v>
      </c>
      <c r="F662" s="500"/>
      <c r="G662" s="106">
        <f t="shared" si="138"/>
        <v>1234.2</v>
      </c>
      <c r="H662" s="147"/>
      <c r="I662" s="163"/>
      <c r="J662" s="163"/>
      <c r="K662" s="163"/>
      <c r="L662" s="428"/>
      <c r="M662" s="624" t="s">
        <v>1761</v>
      </c>
      <c r="N662" s="159" t="s">
        <v>2553</v>
      </c>
      <c r="O662" s="221" t="s">
        <v>2540</v>
      </c>
      <c r="P662" s="477">
        <v>1912001200</v>
      </c>
      <c r="Q662" s="505" t="s">
        <v>2557</v>
      </c>
      <c r="R662" s="506">
        <v>1</v>
      </c>
      <c r="S662" s="106" t="s">
        <v>2552</v>
      </c>
      <c r="T662" s="473">
        <v>1912001200</v>
      </c>
      <c r="U662" s="106">
        <v>1234.2</v>
      </c>
      <c r="V662" s="500"/>
      <c r="W662" s="106">
        <v>1234.2</v>
      </c>
      <c r="X662" s="147"/>
      <c r="Y662" s="163"/>
      <c r="Z662" s="163"/>
      <c r="AA662" s="163"/>
      <c r="AB662" s="428"/>
      <c r="AC662" s="41" t="s">
        <v>1761</v>
      </c>
      <c r="AD662" s="14" t="s">
        <v>2553</v>
      </c>
      <c r="AE662" s="157" t="s">
        <v>2540</v>
      </c>
    </row>
    <row r="663" spans="1:31" s="1" customFormat="1">
      <c r="A663" s="477" t="s">
        <v>2558</v>
      </c>
      <c r="B663" s="505" t="s">
        <v>2559</v>
      </c>
      <c r="C663" s="506">
        <v>1</v>
      </c>
      <c r="D663" s="585" t="s">
        <v>114</v>
      </c>
      <c r="E663" s="1009">
        <v>650</v>
      </c>
      <c r="F663" s="500"/>
      <c r="G663" s="106">
        <f t="shared" si="138"/>
        <v>650</v>
      </c>
      <c r="H663" s="147"/>
      <c r="I663" s="163"/>
      <c r="J663" s="163"/>
      <c r="K663" s="163"/>
      <c r="L663" s="428"/>
      <c r="M663" s="624" t="s">
        <v>1761</v>
      </c>
      <c r="N663" s="159" t="s">
        <v>2553</v>
      </c>
      <c r="O663" s="221" t="s">
        <v>2540</v>
      </c>
      <c r="P663" s="477" t="s">
        <v>2558</v>
      </c>
      <c r="Q663" s="505" t="s">
        <v>2560</v>
      </c>
      <c r="R663" s="506">
        <v>1</v>
      </c>
      <c r="S663" s="106" t="s">
        <v>114</v>
      </c>
      <c r="T663" s="473" t="s">
        <v>2558</v>
      </c>
      <c r="U663" s="106">
        <v>650</v>
      </c>
      <c r="V663" s="500"/>
      <c r="W663" s="106">
        <v>650</v>
      </c>
      <c r="X663" s="147"/>
      <c r="Y663" s="163"/>
      <c r="Z663" s="163"/>
      <c r="AA663" s="163"/>
      <c r="AB663" s="428"/>
      <c r="AC663" s="41" t="s">
        <v>1761</v>
      </c>
      <c r="AD663" s="14" t="s">
        <v>2553</v>
      </c>
      <c r="AE663" s="157" t="s">
        <v>2540</v>
      </c>
    </row>
    <row r="664" spans="1:31" s="1" customFormat="1">
      <c r="A664" s="477">
        <v>1912031200</v>
      </c>
      <c r="B664" s="505" t="s">
        <v>2561</v>
      </c>
      <c r="C664" s="506">
        <v>1</v>
      </c>
      <c r="D664" s="585" t="s">
        <v>2552</v>
      </c>
      <c r="E664" s="1009">
        <v>4936.8</v>
      </c>
      <c r="F664" s="500"/>
      <c r="G664" s="106">
        <f t="shared" si="138"/>
        <v>4936.8</v>
      </c>
      <c r="H664" s="147"/>
      <c r="I664" s="163"/>
      <c r="J664" s="163"/>
      <c r="K664" s="163"/>
      <c r="L664" s="428"/>
      <c r="M664" s="624" t="s">
        <v>1761</v>
      </c>
      <c r="N664" s="159" t="s">
        <v>2553</v>
      </c>
      <c r="O664" s="221" t="s">
        <v>2540</v>
      </c>
      <c r="P664" s="477">
        <v>1912031200</v>
      </c>
      <c r="Q664" s="505" t="s">
        <v>2561</v>
      </c>
      <c r="R664" s="506">
        <v>1</v>
      </c>
      <c r="S664" s="106" t="s">
        <v>2552</v>
      </c>
      <c r="T664" s="473">
        <v>1912031200</v>
      </c>
      <c r="U664" s="106">
        <v>4936.8</v>
      </c>
      <c r="V664" s="500"/>
      <c r="W664" s="106">
        <v>4936.8</v>
      </c>
      <c r="X664" s="147"/>
      <c r="Y664" s="163"/>
      <c r="Z664" s="163"/>
      <c r="AA664" s="163"/>
      <c r="AB664" s="428"/>
      <c r="AC664" s="41" t="s">
        <v>1761</v>
      </c>
      <c r="AD664" s="14" t="s">
        <v>2553</v>
      </c>
      <c r="AE664" s="157" t="s">
        <v>2540</v>
      </c>
    </row>
    <row r="665" spans="1:31" s="1" customFormat="1">
      <c r="A665" s="477" t="s">
        <v>2562</v>
      </c>
      <c r="B665" s="505" t="s">
        <v>2563</v>
      </c>
      <c r="C665" s="506">
        <v>1</v>
      </c>
      <c r="D665" s="585" t="s">
        <v>2552</v>
      </c>
      <c r="E665" s="1009">
        <v>2200</v>
      </c>
      <c r="F665" s="500"/>
      <c r="G665" s="106">
        <f t="shared" si="138"/>
        <v>2200</v>
      </c>
      <c r="H665" s="147"/>
      <c r="I665" s="163"/>
      <c r="J665" s="163"/>
      <c r="K665" s="163"/>
      <c r="L665" s="428"/>
      <c r="M665" s="624" t="s">
        <v>1761</v>
      </c>
      <c r="N665" s="159" t="s">
        <v>2553</v>
      </c>
      <c r="O665" s="221" t="s">
        <v>2540</v>
      </c>
      <c r="P665" s="477" t="s">
        <v>2562</v>
      </c>
      <c r="Q665" s="505" t="s">
        <v>2564</v>
      </c>
      <c r="R665" s="506">
        <v>1</v>
      </c>
      <c r="S665" s="106" t="s">
        <v>2552</v>
      </c>
      <c r="T665" s="473" t="s">
        <v>2562</v>
      </c>
      <c r="U665" s="106">
        <v>2200</v>
      </c>
      <c r="V665" s="500"/>
      <c r="W665" s="106">
        <v>2200</v>
      </c>
      <c r="X665" s="147"/>
      <c r="Y665" s="163"/>
      <c r="Z665" s="163"/>
      <c r="AA665" s="163"/>
      <c r="AB665" s="428"/>
      <c r="AC665" s="41" t="s">
        <v>1761</v>
      </c>
      <c r="AD665" s="14" t="s">
        <v>2553</v>
      </c>
      <c r="AE665" s="157" t="s">
        <v>2540</v>
      </c>
    </row>
    <row r="666" spans="1:31" s="1" customFormat="1">
      <c r="A666" s="477">
        <v>1912051200</v>
      </c>
      <c r="B666" s="505" t="s">
        <v>2565</v>
      </c>
      <c r="C666" s="506">
        <v>1</v>
      </c>
      <c r="D666" s="585" t="s">
        <v>2552</v>
      </c>
      <c r="E666" s="1009">
        <v>6171</v>
      </c>
      <c r="F666" s="500"/>
      <c r="G666" s="106">
        <f t="shared" si="138"/>
        <v>6171</v>
      </c>
      <c r="H666" s="147"/>
      <c r="I666" s="163"/>
      <c r="J666" s="163"/>
      <c r="K666" s="163"/>
      <c r="L666" s="428"/>
      <c r="M666" s="624" t="s">
        <v>1761</v>
      </c>
      <c r="N666" s="159" t="s">
        <v>2553</v>
      </c>
      <c r="O666" s="221" t="s">
        <v>2540</v>
      </c>
      <c r="P666" s="477">
        <v>1912051200</v>
      </c>
      <c r="Q666" s="505" t="s">
        <v>2565</v>
      </c>
      <c r="R666" s="506">
        <v>1</v>
      </c>
      <c r="S666" s="106" t="s">
        <v>2552</v>
      </c>
      <c r="T666" s="473">
        <v>1912051200</v>
      </c>
      <c r="U666" s="106">
        <v>6171</v>
      </c>
      <c r="V666" s="500"/>
      <c r="W666" s="106">
        <v>6171</v>
      </c>
      <c r="X666" s="147"/>
      <c r="Y666" s="163"/>
      <c r="Z666" s="163"/>
      <c r="AA666" s="163"/>
      <c r="AB666" s="428"/>
      <c r="AC666" s="41" t="s">
        <v>1761</v>
      </c>
      <c r="AD666" s="14" t="s">
        <v>2553</v>
      </c>
      <c r="AE666" s="157" t="s">
        <v>2540</v>
      </c>
    </row>
    <row r="667" spans="1:31" s="1" customFormat="1">
      <c r="A667" s="477" t="s">
        <v>2566</v>
      </c>
      <c r="B667" s="505" t="s">
        <v>2567</v>
      </c>
      <c r="C667" s="506">
        <v>1</v>
      </c>
      <c r="D667" s="585" t="s">
        <v>114</v>
      </c>
      <c r="E667" s="1009">
        <v>3200</v>
      </c>
      <c r="F667" s="500"/>
      <c r="G667" s="106">
        <f t="shared" si="138"/>
        <v>3200</v>
      </c>
      <c r="H667" s="147"/>
      <c r="I667" s="163"/>
      <c r="J667" s="163"/>
      <c r="K667" s="163"/>
      <c r="L667" s="428"/>
      <c r="M667" s="624" t="s">
        <v>1761</v>
      </c>
      <c r="N667" s="159" t="s">
        <v>2553</v>
      </c>
      <c r="O667" s="221" t="s">
        <v>2540</v>
      </c>
      <c r="P667" s="477" t="s">
        <v>2566</v>
      </c>
      <c r="Q667" s="505" t="s">
        <v>2568</v>
      </c>
      <c r="R667" s="506">
        <v>1</v>
      </c>
      <c r="S667" s="106" t="s">
        <v>114</v>
      </c>
      <c r="T667" s="473" t="s">
        <v>2566</v>
      </c>
      <c r="U667" s="106">
        <v>3200</v>
      </c>
      <c r="V667" s="500"/>
      <c r="W667" s="106">
        <v>3200</v>
      </c>
      <c r="X667" s="147"/>
      <c r="Y667" s="163"/>
      <c r="Z667" s="163"/>
      <c r="AA667" s="163"/>
      <c r="AB667" s="428"/>
      <c r="AC667" s="41" t="s">
        <v>1761</v>
      </c>
      <c r="AD667" s="14" t="s">
        <v>2553</v>
      </c>
      <c r="AE667" s="157" t="s">
        <v>2540</v>
      </c>
    </row>
    <row r="668" spans="1:31" s="1" customFormat="1">
      <c r="A668" s="477">
        <v>1912031201</v>
      </c>
      <c r="B668" s="505" t="s">
        <v>2569</v>
      </c>
      <c r="C668" s="506">
        <v>1</v>
      </c>
      <c r="D668" s="585" t="s">
        <v>2552</v>
      </c>
      <c r="E668" s="1009">
        <v>2879.8</v>
      </c>
      <c r="F668" s="500"/>
      <c r="G668" s="106">
        <f t="shared" si="138"/>
        <v>2879.8</v>
      </c>
      <c r="H668" s="147"/>
      <c r="I668" s="163"/>
      <c r="J668" s="163"/>
      <c r="K668" s="163"/>
      <c r="L668" s="428"/>
      <c r="M668" s="624" t="s">
        <v>1761</v>
      </c>
      <c r="N668" s="159" t="s">
        <v>2553</v>
      </c>
      <c r="O668" s="221" t="s">
        <v>2540</v>
      </c>
      <c r="P668" s="477">
        <v>1912031201</v>
      </c>
      <c r="Q668" s="505" t="s">
        <v>2569</v>
      </c>
      <c r="R668" s="506">
        <v>1</v>
      </c>
      <c r="S668" s="106" t="s">
        <v>2552</v>
      </c>
      <c r="T668" s="473">
        <v>1912031201</v>
      </c>
      <c r="U668" s="106">
        <v>2879.8</v>
      </c>
      <c r="V668" s="500"/>
      <c r="W668" s="106">
        <v>2879.8</v>
      </c>
      <c r="X668" s="147"/>
      <c r="Y668" s="163"/>
      <c r="Z668" s="163"/>
      <c r="AA668" s="163"/>
      <c r="AB668" s="428"/>
      <c r="AC668" s="41" t="s">
        <v>1761</v>
      </c>
      <c r="AD668" s="14" t="s">
        <v>2553</v>
      </c>
      <c r="AE668" s="157" t="s">
        <v>2540</v>
      </c>
    </row>
    <row r="669" spans="1:31" s="1" customFormat="1">
      <c r="A669" s="477" t="s">
        <v>2570</v>
      </c>
      <c r="B669" s="505" t="s">
        <v>2571</v>
      </c>
      <c r="C669" s="506">
        <v>1</v>
      </c>
      <c r="D669" s="585" t="s">
        <v>114</v>
      </c>
      <c r="E669" s="1009">
        <v>1250</v>
      </c>
      <c r="F669" s="500"/>
      <c r="G669" s="106">
        <f t="shared" si="138"/>
        <v>1250</v>
      </c>
      <c r="H669" s="147"/>
      <c r="I669" s="163"/>
      <c r="J669" s="163"/>
      <c r="K669" s="163"/>
      <c r="L669" s="428"/>
      <c r="M669" s="624" t="s">
        <v>1761</v>
      </c>
      <c r="N669" s="159" t="s">
        <v>2553</v>
      </c>
      <c r="O669" s="221" t="s">
        <v>2540</v>
      </c>
      <c r="P669" s="477" t="s">
        <v>2570</v>
      </c>
      <c r="Q669" s="505" t="s">
        <v>2572</v>
      </c>
      <c r="R669" s="506">
        <v>1</v>
      </c>
      <c r="S669" s="106" t="s">
        <v>114</v>
      </c>
      <c r="T669" s="473" t="s">
        <v>2570</v>
      </c>
      <c r="U669" s="106">
        <v>1250</v>
      </c>
      <c r="V669" s="500"/>
      <c r="W669" s="106">
        <v>1250</v>
      </c>
      <c r="X669" s="147"/>
      <c r="Y669" s="163"/>
      <c r="Z669" s="163"/>
      <c r="AA669" s="163"/>
      <c r="AB669" s="428"/>
      <c r="AC669" s="41" t="s">
        <v>1761</v>
      </c>
      <c r="AD669" s="14" t="s">
        <v>2553</v>
      </c>
      <c r="AE669" s="157" t="s">
        <v>2540</v>
      </c>
    </row>
    <row r="670" spans="1:31" s="1" customFormat="1">
      <c r="A670" s="477">
        <v>2001010100</v>
      </c>
      <c r="B670" s="505" t="s">
        <v>2573</v>
      </c>
      <c r="C670" s="506">
        <v>1</v>
      </c>
      <c r="D670" s="585" t="s">
        <v>2552</v>
      </c>
      <c r="E670" s="1019">
        <v>23.01</v>
      </c>
      <c r="F670" s="430">
        <f t="shared" ref="F670:F693" si="139">rv_20</f>
        <v>0.2</v>
      </c>
      <c r="G670" s="648">
        <f t="shared" si="138"/>
        <v>18.408000000000001</v>
      </c>
      <c r="H670" s="147"/>
      <c r="I670" s="163"/>
      <c r="J670" s="163"/>
      <c r="K670" s="163"/>
      <c r="L670" s="428"/>
      <c r="M670" s="624" t="s">
        <v>1761</v>
      </c>
      <c r="N670" s="159" t="s">
        <v>2553</v>
      </c>
      <c r="O670" s="221" t="s">
        <v>2540</v>
      </c>
      <c r="P670" s="477">
        <v>2001010100</v>
      </c>
      <c r="Q670" s="505" t="s">
        <v>2573</v>
      </c>
      <c r="R670" s="506">
        <v>1</v>
      </c>
      <c r="S670" s="106" t="s">
        <v>2552</v>
      </c>
      <c r="T670" s="473">
        <v>2001010100</v>
      </c>
      <c r="U670" s="654">
        <v>17.7</v>
      </c>
      <c r="V670" s="430">
        <v>0.2</v>
      </c>
      <c r="W670" s="654">
        <v>14.16</v>
      </c>
      <c r="X670" s="147"/>
      <c r="Y670" s="163"/>
      <c r="Z670" s="163"/>
      <c r="AA670" s="163"/>
      <c r="AB670" s="428"/>
      <c r="AC670" s="41" t="s">
        <v>1761</v>
      </c>
      <c r="AD670" s="14" t="s">
        <v>2553</v>
      </c>
      <c r="AE670" s="157" t="s">
        <v>2540</v>
      </c>
    </row>
    <row r="671" spans="1:31" s="1" customFormat="1">
      <c r="A671" s="477">
        <v>2001010106</v>
      </c>
      <c r="B671" s="505" t="s">
        <v>2574</v>
      </c>
      <c r="C671" s="506">
        <v>1</v>
      </c>
      <c r="D671" s="585" t="s">
        <v>2552</v>
      </c>
      <c r="E671" s="1019">
        <v>15.340000000000002</v>
      </c>
      <c r="F671" s="430">
        <f t="shared" si="139"/>
        <v>0.2</v>
      </c>
      <c r="G671" s="648">
        <f t="shared" si="138"/>
        <v>12.272000000000002</v>
      </c>
      <c r="H671" s="147"/>
      <c r="I671" s="163"/>
      <c r="J671" s="163"/>
      <c r="K671" s="163"/>
      <c r="L671" s="428"/>
      <c r="M671" s="624" t="s">
        <v>1761</v>
      </c>
      <c r="N671" s="159" t="s">
        <v>2553</v>
      </c>
      <c r="O671" s="221" t="s">
        <v>2540</v>
      </c>
      <c r="P671" s="477">
        <v>2001010106</v>
      </c>
      <c r="Q671" s="505" t="s">
        <v>2574</v>
      </c>
      <c r="R671" s="506">
        <v>1</v>
      </c>
      <c r="S671" s="106" t="s">
        <v>2552</v>
      </c>
      <c r="T671" s="473">
        <v>2001010106</v>
      </c>
      <c r="U671" s="654">
        <v>11.8</v>
      </c>
      <c r="V671" s="430">
        <v>0.2</v>
      </c>
      <c r="W671" s="654">
        <v>9.4400000000000013</v>
      </c>
      <c r="X671" s="147"/>
      <c r="Y671" s="163"/>
      <c r="Z671" s="163"/>
      <c r="AA671" s="163"/>
      <c r="AB671" s="428"/>
      <c r="AC671" s="41" t="s">
        <v>1761</v>
      </c>
      <c r="AD671" s="14" t="s">
        <v>2553</v>
      </c>
      <c r="AE671" s="157" t="s">
        <v>2540</v>
      </c>
    </row>
    <row r="672" spans="1:31" s="1" customFormat="1">
      <c r="A672" s="477">
        <v>2001010200</v>
      </c>
      <c r="B672" s="505" t="s">
        <v>2575</v>
      </c>
      <c r="C672" s="506">
        <v>1</v>
      </c>
      <c r="D672" s="585" t="s">
        <v>2552</v>
      </c>
      <c r="E672" s="1019">
        <v>11.505000000000001</v>
      </c>
      <c r="F672" s="430">
        <f t="shared" si="139"/>
        <v>0.2</v>
      </c>
      <c r="G672" s="648">
        <f t="shared" si="138"/>
        <v>9.2040000000000006</v>
      </c>
      <c r="H672" s="147"/>
      <c r="I672" s="163"/>
      <c r="J672" s="163"/>
      <c r="K672" s="163"/>
      <c r="L672" s="428"/>
      <c r="M672" s="624" t="s">
        <v>1761</v>
      </c>
      <c r="N672" s="159" t="s">
        <v>2553</v>
      </c>
      <c r="O672" s="221" t="s">
        <v>2540</v>
      </c>
      <c r="P672" s="477">
        <v>2001010200</v>
      </c>
      <c r="Q672" s="505" t="s">
        <v>2575</v>
      </c>
      <c r="R672" s="506">
        <v>1</v>
      </c>
      <c r="S672" s="106" t="s">
        <v>2552</v>
      </c>
      <c r="T672" s="473">
        <v>2001010200</v>
      </c>
      <c r="U672" s="654">
        <v>8.85</v>
      </c>
      <c r="V672" s="430">
        <v>0.2</v>
      </c>
      <c r="W672" s="654">
        <v>7.08</v>
      </c>
      <c r="X672" s="147"/>
      <c r="Y672" s="163"/>
      <c r="Z672" s="163"/>
      <c r="AA672" s="163"/>
      <c r="AB672" s="428"/>
      <c r="AC672" s="41" t="s">
        <v>1761</v>
      </c>
      <c r="AD672" s="14" t="s">
        <v>2553</v>
      </c>
      <c r="AE672" s="157" t="s">
        <v>2540</v>
      </c>
    </row>
    <row r="673" spans="1:31" s="1" customFormat="1">
      <c r="A673" s="477">
        <v>2001010206</v>
      </c>
      <c r="B673" s="505" t="s">
        <v>2576</v>
      </c>
      <c r="C673" s="506">
        <v>1</v>
      </c>
      <c r="D673" s="585" t="s">
        <v>2552</v>
      </c>
      <c r="E673" s="1019">
        <v>7.6700000000000008</v>
      </c>
      <c r="F673" s="430">
        <f t="shared" si="139"/>
        <v>0.2</v>
      </c>
      <c r="G673" s="648">
        <f t="shared" si="138"/>
        <v>6.136000000000001</v>
      </c>
      <c r="H673" s="147"/>
      <c r="I673" s="163"/>
      <c r="J673" s="163"/>
      <c r="K673" s="163"/>
      <c r="L673" s="428"/>
      <c r="M673" s="624" t="s">
        <v>1761</v>
      </c>
      <c r="N673" s="159" t="s">
        <v>2553</v>
      </c>
      <c r="O673" s="221" t="s">
        <v>2540</v>
      </c>
      <c r="P673" s="477">
        <v>2001010206</v>
      </c>
      <c r="Q673" s="505" t="s">
        <v>2576</v>
      </c>
      <c r="R673" s="506">
        <v>1</v>
      </c>
      <c r="S673" s="106" t="s">
        <v>2552</v>
      </c>
      <c r="T673" s="473">
        <v>2001010206</v>
      </c>
      <c r="U673" s="654">
        <v>5.9</v>
      </c>
      <c r="V673" s="430">
        <v>0.2</v>
      </c>
      <c r="W673" s="654">
        <v>4.7200000000000006</v>
      </c>
      <c r="X673" s="147"/>
      <c r="Y673" s="163"/>
      <c r="Z673" s="163"/>
      <c r="AA673" s="163"/>
      <c r="AB673" s="428"/>
      <c r="AC673" s="41" t="s">
        <v>1761</v>
      </c>
      <c r="AD673" s="14" t="s">
        <v>2553</v>
      </c>
      <c r="AE673" s="157" t="s">
        <v>2540</v>
      </c>
    </row>
    <row r="674" spans="1:31" s="1" customFormat="1">
      <c r="A674" s="477">
        <v>2001010300</v>
      </c>
      <c r="B674" s="505" t="s">
        <v>2577</v>
      </c>
      <c r="C674" s="506">
        <v>1</v>
      </c>
      <c r="D674" s="585" t="s">
        <v>2552</v>
      </c>
      <c r="E674" s="1019">
        <v>11.505000000000001</v>
      </c>
      <c r="F674" s="430">
        <f t="shared" si="139"/>
        <v>0.2</v>
      </c>
      <c r="G674" s="648">
        <f t="shared" si="138"/>
        <v>9.2040000000000006</v>
      </c>
      <c r="H674" s="147"/>
      <c r="I674" s="163"/>
      <c r="J674" s="163"/>
      <c r="K674" s="163"/>
      <c r="L674" s="428"/>
      <c r="M674" s="624" t="s">
        <v>1761</v>
      </c>
      <c r="N674" s="159" t="s">
        <v>2553</v>
      </c>
      <c r="O674" s="221" t="s">
        <v>2540</v>
      </c>
      <c r="P674" s="477">
        <v>2001010300</v>
      </c>
      <c r="Q674" s="505" t="s">
        <v>2577</v>
      </c>
      <c r="R674" s="506">
        <v>1</v>
      </c>
      <c r="S674" s="106" t="s">
        <v>2552</v>
      </c>
      <c r="T674" s="473">
        <v>2001010300</v>
      </c>
      <c r="U674" s="654">
        <v>8.85</v>
      </c>
      <c r="V674" s="430">
        <v>0.2</v>
      </c>
      <c r="W674" s="654">
        <v>7.08</v>
      </c>
      <c r="X674" s="147"/>
      <c r="Y674" s="163"/>
      <c r="Z674" s="163"/>
      <c r="AA674" s="163"/>
      <c r="AB674" s="428"/>
      <c r="AC674" s="41" t="s">
        <v>1761</v>
      </c>
      <c r="AD674" s="14" t="s">
        <v>2553</v>
      </c>
      <c r="AE674" s="157" t="s">
        <v>2540</v>
      </c>
    </row>
    <row r="675" spans="1:31" s="1" customFormat="1">
      <c r="A675" s="477">
        <v>2001010306</v>
      </c>
      <c r="B675" s="505" t="s">
        <v>2578</v>
      </c>
      <c r="C675" s="506">
        <v>1</v>
      </c>
      <c r="D675" s="585" t="s">
        <v>2552</v>
      </c>
      <c r="E675" s="1019">
        <v>7.6700000000000008</v>
      </c>
      <c r="F675" s="430">
        <f t="shared" si="139"/>
        <v>0.2</v>
      </c>
      <c r="G675" s="648">
        <f t="shared" si="138"/>
        <v>6.136000000000001</v>
      </c>
      <c r="H675" s="147"/>
      <c r="I675" s="163"/>
      <c r="J675" s="163"/>
      <c r="K675" s="163"/>
      <c r="L675" s="428"/>
      <c r="M675" s="624" t="s">
        <v>1761</v>
      </c>
      <c r="N675" s="159" t="s">
        <v>2553</v>
      </c>
      <c r="O675" s="221" t="s">
        <v>2540</v>
      </c>
      <c r="P675" s="477">
        <v>2001010306</v>
      </c>
      <c r="Q675" s="505" t="s">
        <v>2578</v>
      </c>
      <c r="R675" s="506">
        <v>1</v>
      </c>
      <c r="S675" s="106" t="s">
        <v>2552</v>
      </c>
      <c r="T675" s="473">
        <v>2001010306</v>
      </c>
      <c r="U675" s="654">
        <v>5.9</v>
      </c>
      <c r="V675" s="430">
        <v>0.2</v>
      </c>
      <c r="W675" s="654">
        <v>4.7200000000000006</v>
      </c>
      <c r="X675" s="147"/>
      <c r="Y675" s="163"/>
      <c r="Z675" s="163"/>
      <c r="AA675" s="163"/>
      <c r="AB675" s="428"/>
      <c r="AC675" s="41" t="s">
        <v>1761</v>
      </c>
      <c r="AD675" s="14" t="s">
        <v>2553</v>
      </c>
      <c r="AE675" s="157" t="s">
        <v>2540</v>
      </c>
    </row>
    <row r="676" spans="1:31" s="1" customFormat="1">
      <c r="A676" s="477">
        <v>2001020100</v>
      </c>
      <c r="B676" s="505" t="s">
        <v>2579</v>
      </c>
      <c r="C676" s="506">
        <v>1</v>
      </c>
      <c r="D676" s="585" t="s">
        <v>2552</v>
      </c>
      <c r="E676" s="1019">
        <v>23.01</v>
      </c>
      <c r="F676" s="430">
        <f t="shared" si="139"/>
        <v>0.2</v>
      </c>
      <c r="G676" s="648">
        <f t="shared" si="138"/>
        <v>18.408000000000001</v>
      </c>
      <c r="H676" s="147"/>
      <c r="I676" s="163"/>
      <c r="J676" s="163"/>
      <c r="K676" s="163"/>
      <c r="L676" s="428"/>
      <c r="M676" s="624" t="s">
        <v>1761</v>
      </c>
      <c r="N676" s="159" t="s">
        <v>2553</v>
      </c>
      <c r="O676" s="221" t="s">
        <v>2540</v>
      </c>
      <c r="P676" s="477">
        <v>2001020100</v>
      </c>
      <c r="Q676" s="505" t="s">
        <v>2579</v>
      </c>
      <c r="R676" s="506">
        <v>1</v>
      </c>
      <c r="S676" s="106" t="s">
        <v>2552</v>
      </c>
      <c r="T676" s="473">
        <v>2001020100</v>
      </c>
      <c r="U676" s="654">
        <v>17.7</v>
      </c>
      <c r="V676" s="430">
        <v>0.2</v>
      </c>
      <c r="W676" s="654">
        <v>14.16</v>
      </c>
      <c r="X676" s="147"/>
      <c r="Y676" s="163"/>
      <c r="Z676" s="163"/>
      <c r="AA676" s="163"/>
      <c r="AB676" s="428"/>
      <c r="AC676" s="41" t="s">
        <v>1761</v>
      </c>
      <c r="AD676" s="14" t="s">
        <v>2553</v>
      </c>
      <c r="AE676" s="157" t="s">
        <v>2540</v>
      </c>
    </row>
    <row r="677" spans="1:31" s="1" customFormat="1">
      <c r="A677" s="477">
        <v>2001020106</v>
      </c>
      <c r="B677" s="505" t="s">
        <v>2580</v>
      </c>
      <c r="C677" s="506">
        <v>1</v>
      </c>
      <c r="D677" s="585" t="s">
        <v>2552</v>
      </c>
      <c r="E677" s="1019">
        <v>15.340000000000002</v>
      </c>
      <c r="F677" s="430">
        <f t="shared" si="139"/>
        <v>0.2</v>
      </c>
      <c r="G677" s="648">
        <f t="shared" si="138"/>
        <v>12.272000000000002</v>
      </c>
      <c r="H677" s="147"/>
      <c r="I677" s="163"/>
      <c r="J677" s="163"/>
      <c r="K677" s="163"/>
      <c r="L677" s="428"/>
      <c r="M677" s="624" t="s">
        <v>1761</v>
      </c>
      <c r="N677" s="159" t="s">
        <v>2553</v>
      </c>
      <c r="O677" s="221" t="s">
        <v>2540</v>
      </c>
      <c r="P677" s="477">
        <v>2001020106</v>
      </c>
      <c r="Q677" s="505" t="s">
        <v>2580</v>
      </c>
      <c r="R677" s="506">
        <v>1</v>
      </c>
      <c r="S677" s="106" t="s">
        <v>2552</v>
      </c>
      <c r="T677" s="473">
        <v>2001020106</v>
      </c>
      <c r="U677" s="654">
        <v>11.8</v>
      </c>
      <c r="V677" s="430">
        <v>0.2</v>
      </c>
      <c r="W677" s="654">
        <v>9.4400000000000013</v>
      </c>
      <c r="X677" s="147"/>
      <c r="Y677" s="163"/>
      <c r="Z677" s="163"/>
      <c r="AA677" s="163"/>
      <c r="AB677" s="428"/>
      <c r="AC677" s="41" t="s">
        <v>1761</v>
      </c>
      <c r="AD677" s="14" t="s">
        <v>2553</v>
      </c>
      <c r="AE677" s="157" t="s">
        <v>2540</v>
      </c>
    </row>
    <row r="678" spans="1:31" s="1" customFormat="1">
      <c r="A678" s="477">
        <v>2001020200</v>
      </c>
      <c r="B678" s="505" t="s">
        <v>2581</v>
      </c>
      <c r="C678" s="506">
        <v>1</v>
      </c>
      <c r="D678" s="585" t="s">
        <v>2552</v>
      </c>
      <c r="E678" s="1019">
        <v>11.505000000000001</v>
      </c>
      <c r="F678" s="430">
        <f t="shared" si="139"/>
        <v>0.2</v>
      </c>
      <c r="G678" s="648">
        <f t="shared" si="138"/>
        <v>9.2040000000000006</v>
      </c>
      <c r="H678" s="147"/>
      <c r="I678" s="163"/>
      <c r="J678" s="163"/>
      <c r="K678" s="163"/>
      <c r="L678" s="428"/>
      <c r="M678" s="624" t="s">
        <v>1761</v>
      </c>
      <c r="N678" s="159" t="s">
        <v>2553</v>
      </c>
      <c r="O678" s="221" t="s">
        <v>2540</v>
      </c>
      <c r="P678" s="477">
        <v>2001020200</v>
      </c>
      <c r="Q678" s="505" t="s">
        <v>2581</v>
      </c>
      <c r="R678" s="506">
        <v>1</v>
      </c>
      <c r="S678" s="106" t="s">
        <v>2552</v>
      </c>
      <c r="T678" s="473">
        <v>2001020200</v>
      </c>
      <c r="U678" s="654">
        <v>8.85</v>
      </c>
      <c r="V678" s="430">
        <v>0.2</v>
      </c>
      <c r="W678" s="654">
        <v>7.08</v>
      </c>
      <c r="X678" s="147"/>
      <c r="Y678" s="163"/>
      <c r="Z678" s="163"/>
      <c r="AA678" s="163"/>
      <c r="AB678" s="428"/>
      <c r="AC678" s="41" t="s">
        <v>1761</v>
      </c>
      <c r="AD678" s="14" t="s">
        <v>2553</v>
      </c>
      <c r="AE678" s="157" t="s">
        <v>2540</v>
      </c>
    </row>
    <row r="679" spans="1:31" s="1" customFormat="1">
      <c r="A679" s="477">
        <v>2001020206</v>
      </c>
      <c r="B679" s="505" t="s">
        <v>2582</v>
      </c>
      <c r="C679" s="506">
        <v>1</v>
      </c>
      <c r="D679" s="585" t="s">
        <v>2552</v>
      </c>
      <c r="E679" s="1019">
        <v>7.6700000000000008</v>
      </c>
      <c r="F679" s="430">
        <f t="shared" si="139"/>
        <v>0.2</v>
      </c>
      <c r="G679" s="648">
        <f t="shared" si="138"/>
        <v>6.136000000000001</v>
      </c>
      <c r="H679" s="147"/>
      <c r="I679" s="163"/>
      <c r="J679" s="163"/>
      <c r="K679" s="163"/>
      <c r="L679" s="428"/>
      <c r="M679" s="624" t="s">
        <v>1761</v>
      </c>
      <c r="N679" s="159" t="s">
        <v>2553</v>
      </c>
      <c r="O679" s="221" t="s">
        <v>2540</v>
      </c>
      <c r="P679" s="477">
        <v>2001020206</v>
      </c>
      <c r="Q679" s="505" t="s">
        <v>2582</v>
      </c>
      <c r="R679" s="506">
        <v>1</v>
      </c>
      <c r="S679" s="106" t="s">
        <v>2552</v>
      </c>
      <c r="T679" s="473">
        <v>2001020206</v>
      </c>
      <c r="U679" s="654">
        <v>5.9</v>
      </c>
      <c r="V679" s="430">
        <v>0.2</v>
      </c>
      <c r="W679" s="654">
        <v>4.7200000000000006</v>
      </c>
      <c r="X679" s="147"/>
      <c r="Y679" s="163"/>
      <c r="Z679" s="163"/>
      <c r="AA679" s="163"/>
      <c r="AB679" s="428"/>
      <c r="AC679" s="41" t="s">
        <v>1761</v>
      </c>
      <c r="AD679" s="14" t="s">
        <v>2553</v>
      </c>
      <c r="AE679" s="157" t="s">
        <v>2540</v>
      </c>
    </row>
    <row r="680" spans="1:31" s="1" customFormat="1">
      <c r="A680" s="477">
        <v>2001020300</v>
      </c>
      <c r="B680" s="505" t="s">
        <v>2583</v>
      </c>
      <c r="C680" s="506">
        <v>1</v>
      </c>
      <c r="D680" s="585" t="s">
        <v>2552</v>
      </c>
      <c r="E680" s="1019">
        <v>11.505000000000001</v>
      </c>
      <c r="F680" s="430">
        <f t="shared" si="139"/>
        <v>0.2</v>
      </c>
      <c r="G680" s="648">
        <f t="shared" si="138"/>
        <v>9.2040000000000006</v>
      </c>
      <c r="H680" s="147"/>
      <c r="I680" s="163"/>
      <c r="J680" s="163"/>
      <c r="K680" s="163"/>
      <c r="L680" s="428"/>
      <c r="M680" s="624" t="s">
        <v>1761</v>
      </c>
      <c r="N680" s="159" t="s">
        <v>2553</v>
      </c>
      <c r="O680" s="221" t="s">
        <v>2540</v>
      </c>
      <c r="P680" s="477">
        <v>2001020300</v>
      </c>
      <c r="Q680" s="505" t="s">
        <v>2583</v>
      </c>
      <c r="R680" s="506">
        <v>1</v>
      </c>
      <c r="S680" s="106" t="s">
        <v>2552</v>
      </c>
      <c r="T680" s="473">
        <v>2001020300</v>
      </c>
      <c r="U680" s="654">
        <v>8.85</v>
      </c>
      <c r="V680" s="430">
        <v>0.2</v>
      </c>
      <c r="W680" s="654">
        <v>7.08</v>
      </c>
      <c r="X680" s="147"/>
      <c r="Y680" s="163"/>
      <c r="Z680" s="163"/>
      <c r="AA680" s="163"/>
      <c r="AB680" s="428"/>
      <c r="AC680" s="41" t="s">
        <v>1761</v>
      </c>
      <c r="AD680" s="14" t="s">
        <v>2553</v>
      </c>
      <c r="AE680" s="157" t="s">
        <v>2540</v>
      </c>
    </row>
    <row r="681" spans="1:31" s="1" customFormat="1">
      <c r="A681" s="477">
        <v>2001020306</v>
      </c>
      <c r="B681" s="505" t="s">
        <v>2584</v>
      </c>
      <c r="C681" s="506">
        <v>1</v>
      </c>
      <c r="D681" s="585" t="s">
        <v>2552</v>
      </c>
      <c r="E681" s="1019">
        <v>7.6700000000000008</v>
      </c>
      <c r="F681" s="430">
        <f t="shared" si="139"/>
        <v>0.2</v>
      </c>
      <c r="G681" s="648">
        <f t="shared" si="138"/>
        <v>6.136000000000001</v>
      </c>
      <c r="H681" s="147"/>
      <c r="I681" s="163"/>
      <c r="J681" s="163"/>
      <c r="K681" s="163"/>
      <c r="L681" s="428"/>
      <c r="M681" s="624" t="s">
        <v>1761</v>
      </c>
      <c r="N681" s="159" t="s">
        <v>2553</v>
      </c>
      <c r="O681" s="221" t="s">
        <v>2540</v>
      </c>
      <c r="P681" s="477">
        <v>2001020306</v>
      </c>
      <c r="Q681" s="505" t="s">
        <v>2584</v>
      </c>
      <c r="R681" s="506">
        <v>1</v>
      </c>
      <c r="S681" s="106" t="s">
        <v>2552</v>
      </c>
      <c r="T681" s="473">
        <v>2001020306</v>
      </c>
      <c r="U681" s="654">
        <v>5.9</v>
      </c>
      <c r="V681" s="430">
        <v>0.2</v>
      </c>
      <c r="W681" s="654">
        <v>4.7200000000000006</v>
      </c>
      <c r="X681" s="147"/>
      <c r="Y681" s="163"/>
      <c r="Z681" s="163"/>
      <c r="AA681" s="163"/>
      <c r="AB681" s="428"/>
      <c r="AC681" s="41" t="s">
        <v>1761</v>
      </c>
      <c r="AD681" s="14" t="s">
        <v>2553</v>
      </c>
      <c r="AE681" s="157" t="s">
        <v>2540</v>
      </c>
    </row>
    <row r="682" spans="1:31" s="1" customFormat="1">
      <c r="A682" s="477">
        <v>2002010100</v>
      </c>
      <c r="B682" s="505" t="s">
        <v>2585</v>
      </c>
      <c r="C682" s="506">
        <v>1</v>
      </c>
      <c r="D682" s="585" t="s">
        <v>2552</v>
      </c>
      <c r="E682" s="1009">
        <v>20.32</v>
      </c>
      <c r="F682" s="430">
        <f t="shared" si="139"/>
        <v>0.2</v>
      </c>
      <c r="G682" s="106">
        <f t="shared" si="138"/>
        <v>16.256</v>
      </c>
      <c r="H682" s="147"/>
      <c r="I682" s="163"/>
      <c r="J682" s="163"/>
      <c r="K682" s="163"/>
      <c r="L682" s="428"/>
      <c r="M682" s="624" t="s">
        <v>1761</v>
      </c>
      <c r="N682" s="159" t="s">
        <v>2553</v>
      </c>
      <c r="O682" s="221" t="s">
        <v>2540</v>
      </c>
      <c r="P682" s="477">
        <v>2002010100</v>
      </c>
      <c r="Q682" s="505" t="s">
        <v>2585</v>
      </c>
      <c r="R682" s="506">
        <v>1</v>
      </c>
      <c r="S682" s="106" t="s">
        <v>2552</v>
      </c>
      <c r="T682" s="473">
        <v>2002010100</v>
      </c>
      <c r="U682" s="106">
        <v>20.32</v>
      </c>
      <c r="V682" s="430">
        <v>0.2</v>
      </c>
      <c r="W682" s="106">
        <v>16.256</v>
      </c>
      <c r="X682" s="147"/>
      <c r="Y682" s="163"/>
      <c r="Z682" s="163"/>
      <c r="AA682" s="163"/>
      <c r="AB682" s="428"/>
      <c r="AC682" s="41" t="s">
        <v>1761</v>
      </c>
      <c r="AD682" s="14" t="s">
        <v>2553</v>
      </c>
      <c r="AE682" s="157" t="s">
        <v>2540</v>
      </c>
    </row>
    <row r="683" spans="1:31" s="1" customFormat="1">
      <c r="A683" s="477">
        <v>2002010106</v>
      </c>
      <c r="B683" s="505" t="s">
        <v>2586</v>
      </c>
      <c r="C683" s="506">
        <v>1</v>
      </c>
      <c r="D683" s="585" t="s">
        <v>2552</v>
      </c>
      <c r="E683" s="1009">
        <v>11.8</v>
      </c>
      <c r="F683" s="430">
        <f t="shared" si="139"/>
        <v>0.2</v>
      </c>
      <c r="G683" s="106">
        <f t="shared" si="138"/>
        <v>9.4400000000000013</v>
      </c>
      <c r="H683" s="147"/>
      <c r="I683" s="163"/>
      <c r="J683" s="163"/>
      <c r="K683" s="163"/>
      <c r="L683" s="428"/>
      <c r="M683" s="624" t="s">
        <v>1761</v>
      </c>
      <c r="N683" s="159" t="s">
        <v>2553</v>
      </c>
      <c r="O683" s="221" t="s">
        <v>2540</v>
      </c>
      <c r="P683" s="477">
        <v>2002010106</v>
      </c>
      <c r="Q683" s="505" t="s">
        <v>2586</v>
      </c>
      <c r="R683" s="506">
        <v>1</v>
      </c>
      <c r="S683" s="106" t="s">
        <v>2552</v>
      </c>
      <c r="T683" s="473">
        <v>2002010106</v>
      </c>
      <c r="U683" s="106">
        <v>11.8</v>
      </c>
      <c r="V683" s="430">
        <v>0.2</v>
      </c>
      <c r="W683" s="106">
        <v>9.4400000000000013</v>
      </c>
      <c r="X683" s="147"/>
      <c r="Y683" s="163"/>
      <c r="Z683" s="163"/>
      <c r="AA683" s="163"/>
      <c r="AB683" s="428"/>
      <c r="AC683" s="41" t="s">
        <v>1761</v>
      </c>
      <c r="AD683" s="14" t="s">
        <v>2553</v>
      </c>
      <c r="AE683" s="157" t="s">
        <v>2540</v>
      </c>
    </row>
    <row r="684" spans="1:31" s="1" customFormat="1">
      <c r="A684" s="477">
        <v>2002010200</v>
      </c>
      <c r="B684" s="505" t="s">
        <v>2587</v>
      </c>
      <c r="C684" s="506">
        <v>1</v>
      </c>
      <c r="D684" s="585" t="s">
        <v>2552</v>
      </c>
      <c r="E684" s="1009">
        <v>10.16</v>
      </c>
      <c r="F684" s="430">
        <f t="shared" si="139"/>
        <v>0.2</v>
      </c>
      <c r="G684" s="106">
        <f t="shared" si="138"/>
        <v>8.1280000000000001</v>
      </c>
      <c r="H684" s="147"/>
      <c r="I684" s="163"/>
      <c r="J684" s="163"/>
      <c r="K684" s="163"/>
      <c r="L684" s="428"/>
      <c r="M684" s="624" t="s">
        <v>1761</v>
      </c>
      <c r="N684" s="159" t="s">
        <v>2553</v>
      </c>
      <c r="O684" s="221" t="s">
        <v>2540</v>
      </c>
      <c r="P684" s="477">
        <v>2002010200</v>
      </c>
      <c r="Q684" s="505" t="s">
        <v>2587</v>
      </c>
      <c r="R684" s="506">
        <v>1</v>
      </c>
      <c r="S684" s="106" t="s">
        <v>2552</v>
      </c>
      <c r="T684" s="473">
        <v>2002010200</v>
      </c>
      <c r="U684" s="106">
        <v>10.16</v>
      </c>
      <c r="V684" s="430">
        <v>0.2</v>
      </c>
      <c r="W684" s="106">
        <v>8.1280000000000001</v>
      </c>
      <c r="X684" s="147"/>
      <c r="Y684" s="163"/>
      <c r="Z684" s="163"/>
      <c r="AA684" s="163"/>
      <c r="AB684" s="428"/>
      <c r="AC684" s="41" t="s">
        <v>1761</v>
      </c>
      <c r="AD684" s="14" t="s">
        <v>2553</v>
      </c>
      <c r="AE684" s="157" t="s">
        <v>2540</v>
      </c>
    </row>
    <row r="685" spans="1:31" s="1" customFormat="1">
      <c r="A685" s="477">
        <v>2002010206</v>
      </c>
      <c r="B685" s="505" t="s">
        <v>2588</v>
      </c>
      <c r="C685" s="506">
        <v>1</v>
      </c>
      <c r="D685" s="585" t="s">
        <v>2552</v>
      </c>
      <c r="E685" s="1009">
        <v>5.9</v>
      </c>
      <c r="F685" s="430">
        <f t="shared" si="139"/>
        <v>0.2</v>
      </c>
      <c r="G685" s="106">
        <f t="shared" ref="G685:G708" si="140">E685-(E685*F685)</f>
        <v>4.7200000000000006</v>
      </c>
      <c r="H685" s="147"/>
      <c r="I685" s="163"/>
      <c r="J685" s="163"/>
      <c r="K685" s="163"/>
      <c r="L685" s="428"/>
      <c r="M685" s="624" t="s">
        <v>1761</v>
      </c>
      <c r="N685" s="159" t="s">
        <v>2553</v>
      </c>
      <c r="O685" s="221" t="s">
        <v>2540</v>
      </c>
      <c r="P685" s="477">
        <v>2002010206</v>
      </c>
      <c r="Q685" s="505" t="s">
        <v>2588</v>
      </c>
      <c r="R685" s="506">
        <v>1</v>
      </c>
      <c r="S685" s="106" t="s">
        <v>2552</v>
      </c>
      <c r="T685" s="473">
        <v>2002010206</v>
      </c>
      <c r="U685" s="106">
        <v>5.9</v>
      </c>
      <c r="V685" s="430">
        <v>0.2</v>
      </c>
      <c r="W685" s="106">
        <v>4.7200000000000006</v>
      </c>
      <c r="X685" s="147"/>
      <c r="Y685" s="163"/>
      <c r="Z685" s="163"/>
      <c r="AA685" s="163"/>
      <c r="AB685" s="428"/>
      <c r="AC685" s="41" t="s">
        <v>1761</v>
      </c>
      <c r="AD685" s="14" t="s">
        <v>2553</v>
      </c>
      <c r="AE685" s="157" t="s">
        <v>2540</v>
      </c>
    </row>
    <row r="686" spans="1:31" s="1" customFormat="1">
      <c r="A686" s="477">
        <v>2002010300</v>
      </c>
      <c r="B686" s="505" t="s">
        <v>2589</v>
      </c>
      <c r="C686" s="506">
        <v>1</v>
      </c>
      <c r="D686" s="585" t="s">
        <v>2552</v>
      </c>
      <c r="E686" s="1009">
        <v>10.16</v>
      </c>
      <c r="F686" s="430">
        <f t="shared" si="139"/>
        <v>0.2</v>
      </c>
      <c r="G686" s="106">
        <f t="shared" si="140"/>
        <v>8.1280000000000001</v>
      </c>
      <c r="H686" s="147"/>
      <c r="I686" s="163"/>
      <c r="J686" s="163"/>
      <c r="K686" s="163"/>
      <c r="L686" s="428"/>
      <c r="M686" s="624" t="s">
        <v>1761</v>
      </c>
      <c r="N686" s="159" t="s">
        <v>2553</v>
      </c>
      <c r="O686" s="221" t="s">
        <v>2540</v>
      </c>
      <c r="P686" s="477">
        <v>2002010300</v>
      </c>
      <c r="Q686" s="505" t="s">
        <v>2589</v>
      </c>
      <c r="R686" s="506">
        <v>1</v>
      </c>
      <c r="S686" s="106" t="s">
        <v>2552</v>
      </c>
      <c r="T686" s="473">
        <v>2002010300</v>
      </c>
      <c r="U686" s="106">
        <v>10.16</v>
      </c>
      <c r="V686" s="430">
        <v>0.2</v>
      </c>
      <c r="W686" s="106">
        <v>8.1280000000000001</v>
      </c>
      <c r="X686" s="147"/>
      <c r="Y686" s="163"/>
      <c r="Z686" s="163"/>
      <c r="AA686" s="163"/>
      <c r="AB686" s="428"/>
      <c r="AC686" s="41" t="s">
        <v>1761</v>
      </c>
      <c r="AD686" s="14" t="s">
        <v>2553</v>
      </c>
      <c r="AE686" s="157" t="s">
        <v>2540</v>
      </c>
    </row>
    <row r="687" spans="1:31" s="1" customFormat="1">
      <c r="A687" s="477">
        <v>2002010306</v>
      </c>
      <c r="B687" s="505" t="s">
        <v>2590</v>
      </c>
      <c r="C687" s="506">
        <v>1</v>
      </c>
      <c r="D687" s="585" t="s">
        <v>2552</v>
      </c>
      <c r="E687" s="1009">
        <v>5.9</v>
      </c>
      <c r="F687" s="430">
        <f t="shared" si="139"/>
        <v>0.2</v>
      </c>
      <c r="G687" s="106">
        <f t="shared" si="140"/>
        <v>4.7200000000000006</v>
      </c>
      <c r="H687" s="147"/>
      <c r="I687" s="163"/>
      <c r="J687" s="163"/>
      <c r="K687" s="163"/>
      <c r="L687" s="428"/>
      <c r="M687" s="624" t="s">
        <v>1761</v>
      </c>
      <c r="N687" s="159" t="s">
        <v>2553</v>
      </c>
      <c r="O687" s="221" t="s">
        <v>2540</v>
      </c>
      <c r="P687" s="477">
        <v>2002010306</v>
      </c>
      <c r="Q687" s="505" t="s">
        <v>2590</v>
      </c>
      <c r="R687" s="506">
        <v>1</v>
      </c>
      <c r="S687" s="106" t="s">
        <v>2552</v>
      </c>
      <c r="T687" s="473">
        <v>2002010306</v>
      </c>
      <c r="U687" s="106">
        <v>5.9</v>
      </c>
      <c r="V687" s="430">
        <v>0.2</v>
      </c>
      <c r="W687" s="106">
        <v>4.7200000000000006</v>
      </c>
      <c r="X687" s="147"/>
      <c r="Y687" s="163"/>
      <c r="Z687" s="163"/>
      <c r="AA687" s="163"/>
      <c r="AB687" s="428"/>
      <c r="AC687" s="41" t="s">
        <v>1761</v>
      </c>
      <c r="AD687" s="14" t="s">
        <v>2553</v>
      </c>
      <c r="AE687" s="157" t="s">
        <v>2540</v>
      </c>
    </row>
    <row r="688" spans="1:31" s="1" customFormat="1">
      <c r="A688" s="477">
        <v>2002020100</v>
      </c>
      <c r="B688" s="505" t="s">
        <v>2591</v>
      </c>
      <c r="C688" s="506">
        <v>1</v>
      </c>
      <c r="D688" s="585" t="s">
        <v>2552</v>
      </c>
      <c r="E688" s="1009">
        <v>20.32</v>
      </c>
      <c r="F688" s="430">
        <f t="shared" si="139"/>
        <v>0.2</v>
      </c>
      <c r="G688" s="106">
        <f t="shared" si="140"/>
        <v>16.256</v>
      </c>
      <c r="H688" s="147"/>
      <c r="I688" s="163"/>
      <c r="J688" s="163"/>
      <c r="K688" s="163"/>
      <c r="L688" s="428"/>
      <c r="M688" s="624" t="s">
        <v>1761</v>
      </c>
      <c r="N688" s="159" t="s">
        <v>2553</v>
      </c>
      <c r="O688" s="221" t="s">
        <v>2540</v>
      </c>
      <c r="P688" s="477">
        <v>2002020100</v>
      </c>
      <c r="Q688" s="505" t="s">
        <v>2591</v>
      </c>
      <c r="R688" s="506">
        <v>1</v>
      </c>
      <c r="S688" s="106" t="s">
        <v>2552</v>
      </c>
      <c r="T688" s="473">
        <v>2002020100</v>
      </c>
      <c r="U688" s="106">
        <v>20.32</v>
      </c>
      <c r="V688" s="430">
        <v>0.2</v>
      </c>
      <c r="W688" s="106">
        <v>16.256</v>
      </c>
      <c r="X688" s="147"/>
      <c r="Y688" s="163"/>
      <c r="Z688" s="163"/>
      <c r="AA688" s="163"/>
      <c r="AB688" s="428"/>
      <c r="AC688" s="41" t="s">
        <v>1761</v>
      </c>
      <c r="AD688" s="14" t="s">
        <v>2553</v>
      </c>
      <c r="AE688" s="157" t="s">
        <v>2540</v>
      </c>
    </row>
    <row r="689" spans="1:31" s="1" customFormat="1">
      <c r="A689" s="477">
        <v>2002020106</v>
      </c>
      <c r="B689" s="505" t="s">
        <v>2592</v>
      </c>
      <c r="C689" s="506">
        <v>1</v>
      </c>
      <c r="D689" s="585" t="s">
        <v>2552</v>
      </c>
      <c r="E689" s="1009">
        <v>11.8</v>
      </c>
      <c r="F689" s="430">
        <f t="shared" si="139"/>
        <v>0.2</v>
      </c>
      <c r="G689" s="106">
        <f t="shared" si="140"/>
        <v>9.4400000000000013</v>
      </c>
      <c r="H689" s="147"/>
      <c r="I689" s="163"/>
      <c r="J689" s="163"/>
      <c r="K689" s="163"/>
      <c r="L689" s="428"/>
      <c r="M689" s="624" t="s">
        <v>1761</v>
      </c>
      <c r="N689" s="159" t="s">
        <v>2553</v>
      </c>
      <c r="O689" s="221" t="s">
        <v>2540</v>
      </c>
      <c r="P689" s="477">
        <v>2002020106</v>
      </c>
      <c r="Q689" s="505" t="s">
        <v>2592</v>
      </c>
      <c r="R689" s="506">
        <v>1</v>
      </c>
      <c r="S689" s="106" t="s">
        <v>2552</v>
      </c>
      <c r="T689" s="473">
        <v>2002020106</v>
      </c>
      <c r="U689" s="106">
        <v>11.8</v>
      </c>
      <c r="V689" s="430">
        <v>0.2</v>
      </c>
      <c r="W689" s="106">
        <v>9.4400000000000013</v>
      </c>
      <c r="X689" s="147"/>
      <c r="Y689" s="163"/>
      <c r="Z689" s="163"/>
      <c r="AA689" s="163"/>
      <c r="AB689" s="428"/>
      <c r="AC689" s="41" t="s">
        <v>1761</v>
      </c>
      <c r="AD689" s="14" t="s">
        <v>2553</v>
      </c>
      <c r="AE689" s="157" t="s">
        <v>2540</v>
      </c>
    </row>
    <row r="690" spans="1:31" s="1" customFormat="1">
      <c r="A690" s="477">
        <v>2002020200</v>
      </c>
      <c r="B690" s="505" t="s">
        <v>2593</v>
      </c>
      <c r="C690" s="506">
        <v>1</v>
      </c>
      <c r="D690" s="585" t="s">
        <v>2552</v>
      </c>
      <c r="E690" s="1009">
        <v>10.16</v>
      </c>
      <c r="F690" s="430">
        <f t="shared" si="139"/>
        <v>0.2</v>
      </c>
      <c r="G690" s="106">
        <f t="shared" si="140"/>
        <v>8.1280000000000001</v>
      </c>
      <c r="H690" s="147"/>
      <c r="I690" s="163"/>
      <c r="J690" s="163"/>
      <c r="K690" s="163"/>
      <c r="L690" s="428"/>
      <c r="M690" s="624" t="s">
        <v>1761</v>
      </c>
      <c r="N690" s="159" t="s">
        <v>2553</v>
      </c>
      <c r="O690" s="221" t="s">
        <v>2540</v>
      </c>
      <c r="P690" s="477">
        <v>2002020200</v>
      </c>
      <c r="Q690" s="505" t="s">
        <v>2593</v>
      </c>
      <c r="R690" s="506">
        <v>1</v>
      </c>
      <c r="S690" s="106" t="s">
        <v>2552</v>
      </c>
      <c r="T690" s="473">
        <v>2002020200</v>
      </c>
      <c r="U690" s="106">
        <v>10.16</v>
      </c>
      <c r="V690" s="430">
        <v>0.2</v>
      </c>
      <c r="W690" s="106">
        <v>8.1280000000000001</v>
      </c>
      <c r="X690" s="147"/>
      <c r="Y690" s="163"/>
      <c r="Z690" s="163"/>
      <c r="AA690" s="163"/>
      <c r="AB690" s="428"/>
      <c r="AC690" s="41" t="s">
        <v>1761</v>
      </c>
      <c r="AD690" s="14" t="s">
        <v>2553</v>
      </c>
      <c r="AE690" s="157" t="s">
        <v>2540</v>
      </c>
    </row>
    <row r="691" spans="1:31" s="1" customFormat="1">
      <c r="A691" s="477">
        <v>2002020206</v>
      </c>
      <c r="B691" s="505" t="s">
        <v>2594</v>
      </c>
      <c r="C691" s="506">
        <v>1</v>
      </c>
      <c r="D691" s="585" t="s">
        <v>2552</v>
      </c>
      <c r="E691" s="1009">
        <v>5.9</v>
      </c>
      <c r="F691" s="430">
        <f t="shared" si="139"/>
        <v>0.2</v>
      </c>
      <c r="G691" s="106">
        <f t="shared" si="140"/>
        <v>4.7200000000000006</v>
      </c>
      <c r="H691" s="147"/>
      <c r="I691" s="163"/>
      <c r="J691" s="163"/>
      <c r="K691" s="163"/>
      <c r="L691" s="428"/>
      <c r="M691" s="624" t="s">
        <v>1761</v>
      </c>
      <c r="N691" s="159" t="s">
        <v>2553</v>
      </c>
      <c r="O691" s="221" t="s">
        <v>2540</v>
      </c>
      <c r="P691" s="477">
        <v>2002020206</v>
      </c>
      <c r="Q691" s="505" t="s">
        <v>2594</v>
      </c>
      <c r="R691" s="506">
        <v>1</v>
      </c>
      <c r="S691" s="106" t="s">
        <v>2552</v>
      </c>
      <c r="T691" s="473">
        <v>2002020206</v>
      </c>
      <c r="U691" s="106">
        <v>5.9</v>
      </c>
      <c r="V691" s="430">
        <v>0.2</v>
      </c>
      <c r="W691" s="106">
        <v>4.7200000000000006</v>
      </c>
      <c r="X691" s="147"/>
      <c r="Y691" s="163"/>
      <c r="Z691" s="163"/>
      <c r="AA691" s="163"/>
      <c r="AB691" s="428"/>
      <c r="AC691" s="41" t="s">
        <v>1761</v>
      </c>
      <c r="AD691" s="14" t="s">
        <v>2553</v>
      </c>
      <c r="AE691" s="157" t="s">
        <v>2540</v>
      </c>
    </row>
    <row r="692" spans="1:31" s="1" customFormat="1">
      <c r="A692" s="477">
        <v>2002020300</v>
      </c>
      <c r="B692" s="505" t="s">
        <v>2595</v>
      </c>
      <c r="C692" s="506">
        <v>1</v>
      </c>
      <c r="D692" s="585" t="s">
        <v>2552</v>
      </c>
      <c r="E692" s="1009">
        <v>10.16</v>
      </c>
      <c r="F692" s="430">
        <f t="shared" si="139"/>
        <v>0.2</v>
      </c>
      <c r="G692" s="106">
        <f t="shared" si="140"/>
        <v>8.1280000000000001</v>
      </c>
      <c r="H692" s="147"/>
      <c r="I692" s="163"/>
      <c r="J692" s="163"/>
      <c r="K692" s="163"/>
      <c r="L692" s="428"/>
      <c r="M692" s="624" t="s">
        <v>1761</v>
      </c>
      <c r="N692" s="159" t="s">
        <v>2553</v>
      </c>
      <c r="O692" s="221" t="s">
        <v>2540</v>
      </c>
      <c r="P692" s="477">
        <v>2002020300</v>
      </c>
      <c r="Q692" s="505" t="s">
        <v>2595</v>
      </c>
      <c r="R692" s="506">
        <v>1</v>
      </c>
      <c r="S692" s="106" t="s">
        <v>2552</v>
      </c>
      <c r="T692" s="473">
        <v>2002020300</v>
      </c>
      <c r="U692" s="106">
        <v>10.16</v>
      </c>
      <c r="V692" s="430">
        <v>0.2</v>
      </c>
      <c r="W692" s="106">
        <v>8.1280000000000001</v>
      </c>
      <c r="X692" s="147"/>
      <c r="Y692" s="163"/>
      <c r="Z692" s="163"/>
      <c r="AA692" s="163"/>
      <c r="AB692" s="428"/>
      <c r="AC692" s="41" t="s">
        <v>1761</v>
      </c>
      <c r="AD692" s="14" t="s">
        <v>2553</v>
      </c>
      <c r="AE692" s="157" t="s">
        <v>2540</v>
      </c>
    </row>
    <row r="693" spans="1:31" s="1" customFormat="1">
      <c r="A693" s="477">
        <v>2002020306</v>
      </c>
      <c r="B693" s="505" t="s">
        <v>2596</v>
      </c>
      <c r="C693" s="506">
        <v>1</v>
      </c>
      <c r="D693" s="585" t="s">
        <v>2552</v>
      </c>
      <c r="E693" s="1009">
        <v>5.9</v>
      </c>
      <c r="F693" s="430">
        <f t="shared" si="139"/>
        <v>0.2</v>
      </c>
      <c r="G693" s="106">
        <f t="shared" si="140"/>
        <v>4.7200000000000006</v>
      </c>
      <c r="H693" s="147"/>
      <c r="I693" s="163"/>
      <c r="J693" s="163"/>
      <c r="K693" s="163"/>
      <c r="L693" s="428"/>
      <c r="M693" s="624" t="s">
        <v>1761</v>
      </c>
      <c r="N693" s="159" t="s">
        <v>2553</v>
      </c>
      <c r="O693" s="221" t="s">
        <v>2540</v>
      </c>
      <c r="P693" s="477">
        <v>2002020306</v>
      </c>
      <c r="Q693" s="505" t="s">
        <v>2596</v>
      </c>
      <c r="R693" s="506">
        <v>1</v>
      </c>
      <c r="S693" s="106" t="s">
        <v>2552</v>
      </c>
      <c r="T693" s="473">
        <v>2002020306</v>
      </c>
      <c r="U693" s="106">
        <v>5.9</v>
      </c>
      <c r="V693" s="430">
        <v>0.2</v>
      </c>
      <c r="W693" s="106">
        <v>4.7200000000000006</v>
      </c>
      <c r="X693" s="147"/>
      <c r="Y693" s="163"/>
      <c r="Z693" s="163"/>
      <c r="AA693" s="163"/>
      <c r="AB693" s="428"/>
      <c r="AC693" s="41" t="s">
        <v>1761</v>
      </c>
      <c r="AD693" s="14" t="s">
        <v>2553</v>
      </c>
      <c r="AE693" s="157" t="s">
        <v>2540</v>
      </c>
    </row>
    <row r="694" spans="1:31" s="1" customFormat="1">
      <c r="A694" s="477" t="s">
        <v>2597</v>
      </c>
      <c r="B694" s="505" t="s">
        <v>2598</v>
      </c>
      <c r="C694" s="506">
        <v>1</v>
      </c>
      <c r="D694" s="585" t="s">
        <v>2552</v>
      </c>
      <c r="E694" s="1009">
        <v>5</v>
      </c>
      <c r="F694" s="430"/>
      <c r="G694" s="106">
        <f t="shared" si="140"/>
        <v>5</v>
      </c>
      <c r="H694" s="147"/>
      <c r="I694" s="163"/>
      <c r="J694" s="163"/>
      <c r="K694" s="163"/>
      <c r="L694" s="428"/>
      <c r="M694" s="624" t="s">
        <v>1761</v>
      </c>
      <c r="N694" s="159" t="s">
        <v>2553</v>
      </c>
      <c r="O694" s="221" t="s">
        <v>2540</v>
      </c>
      <c r="P694" s="477" t="s">
        <v>2597</v>
      </c>
      <c r="Q694" s="505" t="s">
        <v>2598</v>
      </c>
      <c r="R694" s="506">
        <v>1</v>
      </c>
      <c r="S694" s="106" t="s">
        <v>2552</v>
      </c>
      <c r="T694" s="473" t="s">
        <v>2597</v>
      </c>
      <c r="U694" s="106">
        <v>5</v>
      </c>
      <c r="V694" s="430"/>
      <c r="W694" s="106">
        <v>5</v>
      </c>
      <c r="X694" s="147"/>
      <c r="Y694" s="163"/>
      <c r="Z694" s="163"/>
      <c r="AA694" s="163"/>
      <c r="AB694" s="428"/>
      <c r="AC694" s="41" t="s">
        <v>1761</v>
      </c>
      <c r="AD694" s="14" t="s">
        <v>2553</v>
      </c>
      <c r="AE694" s="157" t="s">
        <v>2540</v>
      </c>
    </row>
    <row r="695" spans="1:31" s="1" customFormat="1">
      <c r="A695" s="477" t="s">
        <v>2599</v>
      </c>
      <c r="B695" s="505" t="s">
        <v>2600</v>
      </c>
      <c r="C695" s="506">
        <v>1</v>
      </c>
      <c r="D695" s="585" t="s">
        <v>2552</v>
      </c>
      <c r="E695" s="1009">
        <v>5</v>
      </c>
      <c r="F695" s="430"/>
      <c r="G695" s="106">
        <f t="shared" si="140"/>
        <v>5</v>
      </c>
      <c r="H695" s="147"/>
      <c r="I695" s="163"/>
      <c r="J695" s="163"/>
      <c r="K695" s="163"/>
      <c r="L695" s="428"/>
      <c r="M695" s="624" t="s">
        <v>1761</v>
      </c>
      <c r="N695" s="159" t="s">
        <v>2553</v>
      </c>
      <c r="O695" s="221" t="s">
        <v>2540</v>
      </c>
      <c r="P695" s="477" t="s">
        <v>2599</v>
      </c>
      <c r="Q695" s="505" t="s">
        <v>2600</v>
      </c>
      <c r="R695" s="506">
        <v>1</v>
      </c>
      <c r="S695" s="106" t="s">
        <v>2552</v>
      </c>
      <c r="T695" s="473" t="s">
        <v>2599</v>
      </c>
      <c r="U695" s="106">
        <v>5</v>
      </c>
      <c r="V695" s="430"/>
      <c r="W695" s="106">
        <v>5</v>
      </c>
      <c r="X695" s="147"/>
      <c r="Y695" s="163"/>
      <c r="Z695" s="163"/>
      <c r="AA695" s="163"/>
      <c r="AB695" s="428"/>
      <c r="AC695" s="41" t="s">
        <v>1761</v>
      </c>
      <c r="AD695" s="14" t="s">
        <v>2553</v>
      </c>
      <c r="AE695" s="157" t="s">
        <v>2540</v>
      </c>
    </row>
    <row r="696" spans="1:31" s="1" customFormat="1">
      <c r="A696" s="477" t="s">
        <v>2601</v>
      </c>
      <c r="B696" s="505" t="s">
        <v>2602</v>
      </c>
      <c r="C696" s="506">
        <v>1</v>
      </c>
      <c r="D696" s="585" t="s">
        <v>2552</v>
      </c>
      <c r="E696" s="1009">
        <v>5</v>
      </c>
      <c r="F696" s="430"/>
      <c r="G696" s="106">
        <f t="shared" si="140"/>
        <v>5</v>
      </c>
      <c r="H696" s="147"/>
      <c r="I696" s="163"/>
      <c r="J696" s="163"/>
      <c r="K696" s="163"/>
      <c r="L696" s="428"/>
      <c r="M696" s="624" t="s">
        <v>1761</v>
      </c>
      <c r="N696" s="159" t="s">
        <v>2553</v>
      </c>
      <c r="O696" s="221" t="s">
        <v>2540</v>
      </c>
      <c r="P696" s="477" t="s">
        <v>2601</v>
      </c>
      <c r="Q696" s="505" t="s">
        <v>2602</v>
      </c>
      <c r="R696" s="506">
        <v>1</v>
      </c>
      <c r="S696" s="106" t="s">
        <v>2552</v>
      </c>
      <c r="T696" s="473" t="s">
        <v>2601</v>
      </c>
      <c r="U696" s="106">
        <v>5</v>
      </c>
      <c r="V696" s="430"/>
      <c r="W696" s="106">
        <v>5</v>
      </c>
      <c r="X696" s="147"/>
      <c r="Y696" s="163"/>
      <c r="Z696" s="163"/>
      <c r="AA696" s="163"/>
      <c r="AB696" s="428"/>
      <c r="AC696" s="41" t="s">
        <v>1761</v>
      </c>
      <c r="AD696" s="14" t="s">
        <v>2553</v>
      </c>
      <c r="AE696" s="157" t="s">
        <v>2540</v>
      </c>
    </row>
    <row r="697" spans="1:31" s="1" customFormat="1">
      <c r="A697" s="477" t="s">
        <v>2603</v>
      </c>
      <c r="B697" s="505" t="s">
        <v>2604</v>
      </c>
      <c r="C697" s="506">
        <v>1</v>
      </c>
      <c r="D697" s="585" t="s">
        <v>2552</v>
      </c>
      <c r="E697" s="1009">
        <v>20</v>
      </c>
      <c r="F697" s="430"/>
      <c r="G697" s="106">
        <f t="shared" si="140"/>
        <v>20</v>
      </c>
      <c r="H697" s="147"/>
      <c r="I697" s="163"/>
      <c r="J697" s="163"/>
      <c r="K697" s="163"/>
      <c r="L697" s="428"/>
      <c r="M697" s="624" t="s">
        <v>1761</v>
      </c>
      <c r="N697" s="159" t="s">
        <v>2553</v>
      </c>
      <c r="O697" s="221" t="s">
        <v>2540</v>
      </c>
      <c r="P697" s="477" t="s">
        <v>2603</v>
      </c>
      <c r="Q697" s="505" t="s">
        <v>2604</v>
      </c>
      <c r="R697" s="506">
        <v>1</v>
      </c>
      <c r="S697" s="106" t="s">
        <v>2552</v>
      </c>
      <c r="T697" s="473" t="s">
        <v>2603</v>
      </c>
      <c r="U697" s="106">
        <v>20</v>
      </c>
      <c r="V697" s="430"/>
      <c r="W697" s="106">
        <v>20</v>
      </c>
      <c r="X697" s="147"/>
      <c r="Y697" s="163"/>
      <c r="Z697" s="163"/>
      <c r="AA697" s="163"/>
      <c r="AB697" s="428"/>
      <c r="AC697" s="41" t="s">
        <v>1761</v>
      </c>
      <c r="AD697" s="14" t="s">
        <v>2553</v>
      </c>
      <c r="AE697" s="157" t="s">
        <v>2540</v>
      </c>
    </row>
    <row r="698" spans="1:31" s="1" customFormat="1">
      <c r="A698" s="477" t="s">
        <v>2605</v>
      </c>
      <c r="B698" s="505" t="s">
        <v>2606</v>
      </c>
      <c r="C698" s="506">
        <v>1</v>
      </c>
      <c r="D698" s="585" t="s">
        <v>114</v>
      </c>
      <c r="E698" s="1009">
        <v>1948</v>
      </c>
      <c r="F698" s="430"/>
      <c r="G698" s="106">
        <f t="shared" si="140"/>
        <v>1948</v>
      </c>
      <c r="H698" s="147"/>
      <c r="I698" s="163"/>
      <c r="J698" s="163"/>
      <c r="K698" s="163"/>
      <c r="L698" s="428"/>
      <c r="M698" s="624" t="s">
        <v>1761</v>
      </c>
      <c r="N698" s="159" t="s">
        <v>2553</v>
      </c>
      <c r="O698" s="221" t="s">
        <v>2540</v>
      </c>
      <c r="P698" s="477" t="s">
        <v>2605</v>
      </c>
      <c r="Q698" s="505" t="s">
        <v>2607</v>
      </c>
      <c r="R698" s="506">
        <v>1</v>
      </c>
      <c r="S698" s="106" t="s">
        <v>114</v>
      </c>
      <c r="T698" s="473" t="s">
        <v>2605</v>
      </c>
      <c r="U698" s="106">
        <v>1948</v>
      </c>
      <c r="V698" s="430"/>
      <c r="W698" s="106">
        <v>1948</v>
      </c>
      <c r="X698" s="147"/>
      <c r="Y698" s="163"/>
      <c r="Z698" s="163"/>
      <c r="AA698" s="163"/>
      <c r="AB698" s="428"/>
      <c r="AC698" s="41" t="s">
        <v>1761</v>
      </c>
      <c r="AD698" s="14" t="s">
        <v>2553</v>
      </c>
      <c r="AE698" s="157" t="s">
        <v>2540</v>
      </c>
    </row>
    <row r="699" spans="1:31" s="1" customFormat="1">
      <c r="A699" s="477">
        <v>9101000007</v>
      </c>
      <c r="B699" s="505" t="s">
        <v>2608</v>
      </c>
      <c r="C699" s="506">
        <v>1</v>
      </c>
      <c r="D699" s="585" t="s">
        <v>2552</v>
      </c>
      <c r="E699" s="1009">
        <v>4.5</v>
      </c>
      <c r="F699" s="430">
        <f t="shared" ref="F699:F708" si="141">rv_20</f>
        <v>0.2</v>
      </c>
      <c r="G699" s="106">
        <f t="shared" si="140"/>
        <v>3.6</v>
      </c>
      <c r="H699" s="147"/>
      <c r="I699" s="163"/>
      <c r="J699" s="163"/>
      <c r="K699" s="163"/>
      <c r="L699" s="428"/>
      <c r="M699" s="624" t="s">
        <v>1761</v>
      </c>
      <c r="N699" s="159" t="s">
        <v>2553</v>
      </c>
      <c r="O699" s="221" t="s">
        <v>2540</v>
      </c>
      <c r="P699" s="477">
        <v>9101000007</v>
      </c>
      <c r="Q699" s="505" t="s">
        <v>2608</v>
      </c>
      <c r="R699" s="506">
        <v>1</v>
      </c>
      <c r="S699" s="106" t="s">
        <v>2552</v>
      </c>
      <c r="T699" s="473">
        <v>9101000007</v>
      </c>
      <c r="U699" s="106">
        <v>4.5</v>
      </c>
      <c r="V699" s="430">
        <v>0.2</v>
      </c>
      <c r="W699" s="106">
        <v>3.6</v>
      </c>
      <c r="X699" s="147"/>
      <c r="Y699" s="163"/>
      <c r="Z699" s="163"/>
      <c r="AA699" s="163"/>
      <c r="AB699" s="428"/>
      <c r="AC699" s="41" t="s">
        <v>1761</v>
      </c>
      <c r="AD699" s="14" t="s">
        <v>2553</v>
      </c>
      <c r="AE699" s="157" t="s">
        <v>2540</v>
      </c>
    </row>
    <row r="700" spans="1:31" s="1" customFormat="1">
      <c r="A700" s="477">
        <v>9101000006</v>
      </c>
      <c r="B700" s="505" t="s">
        <v>2609</v>
      </c>
      <c r="C700" s="506">
        <v>1</v>
      </c>
      <c r="D700" s="585" t="s">
        <v>2552</v>
      </c>
      <c r="E700" s="1009">
        <v>3.1</v>
      </c>
      <c r="F700" s="430">
        <f t="shared" si="141"/>
        <v>0.2</v>
      </c>
      <c r="G700" s="106">
        <f t="shared" si="140"/>
        <v>2.48</v>
      </c>
      <c r="H700" s="147"/>
      <c r="I700" s="163"/>
      <c r="J700" s="163"/>
      <c r="K700" s="163"/>
      <c r="L700" s="428"/>
      <c r="M700" s="624" t="s">
        <v>1761</v>
      </c>
      <c r="N700" s="159" t="s">
        <v>2553</v>
      </c>
      <c r="O700" s="221" t="s">
        <v>2540</v>
      </c>
      <c r="P700" s="477">
        <v>9101000006</v>
      </c>
      <c r="Q700" s="505" t="s">
        <v>2609</v>
      </c>
      <c r="R700" s="506">
        <v>1</v>
      </c>
      <c r="S700" s="106" t="s">
        <v>2552</v>
      </c>
      <c r="T700" s="473">
        <v>9101000006</v>
      </c>
      <c r="U700" s="106">
        <v>3.1</v>
      </c>
      <c r="V700" s="430">
        <v>0.2</v>
      </c>
      <c r="W700" s="106">
        <v>2.48</v>
      </c>
      <c r="X700" s="147"/>
      <c r="Y700" s="163"/>
      <c r="Z700" s="163"/>
      <c r="AA700" s="163"/>
      <c r="AB700" s="428"/>
      <c r="AC700" s="41" t="s">
        <v>1761</v>
      </c>
      <c r="AD700" s="14" t="s">
        <v>2553</v>
      </c>
      <c r="AE700" s="157" t="s">
        <v>2540</v>
      </c>
    </row>
    <row r="701" spans="1:31" s="1" customFormat="1">
      <c r="A701" s="477">
        <v>9102000007</v>
      </c>
      <c r="B701" s="505" t="s">
        <v>2610</v>
      </c>
      <c r="C701" s="506">
        <v>1</v>
      </c>
      <c r="D701" s="585" t="s">
        <v>2552</v>
      </c>
      <c r="E701" s="1009">
        <v>4.5</v>
      </c>
      <c r="F701" s="430">
        <f t="shared" si="141"/>
        <v>0.2</v>
      </c>
      <c r="G701" s="106">
        <f t="shared" si="140"/>
        <v>3.6</v>
      </c>
      <c r="H701" s="147"/>
      <c r="I701" s="163"/>
      <c r="J701" s="163"/>
      <c r="K701" s="163"/>
      <c r="L701" s="428"/>
      <c r="M701" s="624" t="s">
        <v>1761</v>
      </c>
      <c r="N701" s="159" t="s">
        <v>2553</v>
      </c>
      <c r="O701" s="221" t="s">
        <v>2540</v>
      </c>
      <c r="P701" s="477">
        <v>9102000007</v>
      </c>
      <c r="Q701" s="505" t="s">
        <v>2610</v>
      </c>
      <c r="R701" s="506">
        <v>1</v>
      </c>
      <c r="S701" s="106" t="s">
        <v>2552</v>
      </c>
      <c r="T701" s="473">
        <v>9102000007</v>
      </c>
      <c r="U701" s="106">
        <v>4.5</v>
      </c>
      <c r="V701" s="430">
        <v>0.2</v>
      </c>
      <c r="W701" s="106">
        <v>3.6</v>
      </c>
      <c r="X701" s="147"/>
      <c r="Y701" s="163"/>
      <c r="Z701" s="163"/>
      <c r="AA701" s="163"/>
      <c r="AB701" s="428"/>
      <c r="AC701" s="41" t="s">
        <v>1761</v>
      </c>
      <c r="AD701" s="14" t="s">
        <v>2553</v>
      </c>
      <c r="AE701" s="157" t="s">
        <v>2540</v>
      </c>
    </row>
    <row r="702" spans="1:31" s="1" customFormat="1">
      <c r="A702" s="477">
        <v>9102000006</v>
      </c>
      <c r="B702" s="505" t="s">
        <v>2611</v>
      </c>
      <c r="C702" s="506">
        <v>1</v>
      </c>
      <c r="D702" s="585" t="s">
        <v>2552</v>
      </c>
      <c r="E702" s="1009">
        <v>4.5</v>
      </c>
      <c r="F702" s="430">
        <f t="shared" si="141"/>
        <v>0.2</v>
      </c>
      <c r="G702" s="106">
        <f t="shared" si="140"/>
        <v>3.6</v>
      </c>
      <c r="H702" s="147"/>
      <c r="I702" s="163"/>
      <c r="J702" s="163"/>
      <c r="K702" s="163"/>
      <c r="L702" s="428"/>
      <c r="M702" s="624" t="s">
        <v>1761</v>
      </c>
      <c r="N702" s="159" t="s">
        <v>2553</v>
      </c>
      <c r="O702" s="221" t="s">
        <v>2540</v>
      </c>
      <c r="P702" s="477">
        <v>9102000006</v>
      </c>
      <c r="Q702" s="505" t="s">
        <v>2611</v>
      </c>
      <c r="R702" s="506">
        <v>1</v>
      </c>
      <c r="S702" s="106" t="s">
        <v>2552</v>
      </c>
      <c r="T702" s="473">
        <v>9102000006</v>
      </c>
      <c r="U702" s="106">
        <v>4.5</v>
      </c>
      <c r="V702" s="430">
        <v>0.2</v>
      </c>
      <c r="W702" s="106">
        <v>3.6</v>
      </c>
      <c r="X702" s="147"/>
      <c r="Y702" s="163"/>
      <c r="Z702" s="163"/>
      <c r="AA702" s="163"/>
      <c r="AB702" s="428"/>
      <c r="AC702" s="41" t="s">
        <v>1761</v>
      </c>
      <c r="AD702" s="14" t="s">
        <v>2553</v>
      </c>
      <c r="AE702" s="157" t="s">
        <v>2540</v>
      </c>
    </row>
    <row r="703" spans="1:31" s="1" customFormat="1">
      <c r="A703" s="477">
        <v>1912101220</v>
      </c>
      <c r="B703" s="505" t="s">
        <v>2612</v>
      </c>
      <c r="C703" s="506">
        <v>1</v>
      </c>
      <c r="D703" s="585" t="s">
        <v>2552</v>
      </c>
      <c r="E703" s="1009">
        <v>1600</v>
      </c>
      <c r="F703" s="430">
        <f t="shared" si="141"/>
        <v>0.2</v>
      </c>
      <c r="G703" s="106">
        <f t="shared" si="140"/>
        <v>1280</v>
      </c>
      <c r="H703" s="147"/>
      <c r="I703" s="163"/>
      <c r="J703" s="163"/>
      <c r="K703" s="163"/>
      <c r="L703" s="428"/>
      <c r="M703" s="624" t="s">
        <v>1761</v>
      </c>
      <c r="N703" s="159" t="s">
        <v>2553</v>
      </c>
      <c r="O703" s="221" t="s">
        <v>2540</v>
      </c>
      <c r="P703" s="477">
        <v>1912101220</v>
      </c>
      <c r="Q703" s="505" t="s">
        <v>2612</v>
      </c>
      <c r="R703" s="506">
        <v>1</v>
      </c>
      <c r="S703" s="106" t="s">
        <v>2552</v>
      </c>
      <c r="T703" s="473">
        <v>1912101220</v>
      </c>
      <c r="U703" s="106">
        <v>1600</v>
      </c>
      <c r="V703" s="430">
        <v>0.2</v>
      </c>
      <c r="W703" s="106">
        <v>1280</v>
      </c>
      <c r="X703" s="147"/>
      <c r="Y703" s="163"/>
      <c r="Z703" s="163"/>
      <c r="AA703" s="163"/>
      <c r="AB703" s="428"/>
      <c r="AC703" s="41" t="s">
        <v>1761</v>
      </c>
      <c r="AD703" s="14" t="s">
        <v>2553</v>
      </c>
      <c r="AE703" s="157" t="s">
        <v>2540</v>
      </c>
    </row>
    <row r="704" spans="1:31" s="1" customFormat="1">
      <c r="A704" s="477" t="s">
        <v>2613</v>
      </c>
      <c r="B704" s="505" t="s">
        <v>2614</v>
      </c>
      <c r="C704" s="506">
        <v>1</v>
      </c>
      <c r="D704" s="585" t="s">
        <v>114</v>
      </c>
      <c r="E704" s="1009">
        <v>650</v>
      </c>
      <c r="F704" s="430"/>
      <c r="G704" s="106">
        <f t="shared" si="140"/>
        <v>650</v>
      </c>
      <c r="H704" s="147"/>
      <c r="I704" s="163"/>
      <c r="J704" s="163"/>
      <c r="K704" s="163"/>
      <c r="L704" s="428"/>
      <c r="M704" s="624" t="s">
        <v>1761</v>
      </c>
      <c r="N704" s="159" t="s">
        <v>2553</v>
      </c>
      <c r="O704" s="221" t="s">
        <v>2540</v>
      </c>
      <c r="P704" s="477" t="s">
        <v>2613</v>
      </c>
      <c r="Q704" s="505" t="s">
        <v>2615</v>
      </c>
      <c r="R704" s="506">
        <v>1</v>
      </c>
      <c r="S704" s="106" t="s">
        <v>114</v>
      </c>
      <c r="T704" s="473" t="s">
        <v>2613</v>
      </c>
      <c r="U704" s="106">
        <v>650</v>
      </c>
      <c r="V704" s="430"/>
      <c r="W704" s="106">
        <v>650</v>
      </c>
      <c r="X704" s="147"/>
      <c r="Y704" s="163"/>
      <c r="Z704" s="163"/>
      <c r="AA704" s="163"/>
      <c r="AB704" s="428"/>
      <c r="AC704" s="41" t="s">
        <v>1761</v>
      </c>
      <c r="AD704" s="14" t="s">
        <v>2553</v>
      </c>
      <c r="AE704" s="157" t="s">
        <v>2540</v>
      </c>
    </row>
    <row r="705" spans="1:31" s="1" customFormat="1">
      <c r="A705" s="477" t="s">
        <v>2616</v>
      </c>
      <c r="B705" s="505" t="s">
        <v>2617</v>
      </c>
      <c r="C705" s="506">
        <v>1</v>
      </c>
      <c r="D705" s="585" t="s">
        <v>2552</v>
      </c>
      <c r="E705" s="1009">
        <v>15</v>
      </c>
      <c r="F705" s="430">
        <f t="shared" si="141"/>
        <v>0.2</v>
      </c>
      <c r="G705" s="106">
        <f t="shared" si="140"/>
        <v>12</v>
      </c>
      <c r="H705" s="147"/>
      <c r="I705" s="163"/>
      <c r="J705" s="163"/>
      <c r="K705" s="163"/>
      <c r="L705" s="428"/>
      <c r="M705" s="624" t="s">
        <v>1761</v>
      </c>
      <c r="N705" s="159" t="s">
        <v>2553</v>
      </c>
      <c r="O705" s="221" t="s">
        <v>2540</v>
      </c>
      <c r="P705" s="477" t="s">
        <v>2616</v>
      </c>
      <c r="Q705" s="505" t="s">
        <v>2617</v>
      </c>
      <c r="R705" s="506">
        <v>1</v>
      </c>
      <c r="S705" s="106" t="s">
        <v>2552</v>
      </c>
      <c r="T705" s="473" t="s">
        <v>2616</v>
      </c>
      <c r="U705" s="106">
        <v>15</v>
      </c>
      <c r="V705" s="430">
        <v>0.2</v>
      </c>
      <c r="W705" s="106">
        <v>12</v>
      </c>
      <c r="X705" s="147"/>
      <c r="Y705" s="163"/>
      <c r="Z705" s="163"/>
      <c r="AA705" s="163"/>
      <c r="AB705" s="428"/>
      <c r="AC705" s="41" t="s">
        <v>1761</v>
      </c>
      <c r="AD705" s="14" t="s">
        <v>2553</v>
      </c>
      <c r="AE705" s="157" t="s">
        <v>2540</v>
      </c>
    </row>
    <row r="706" spans="1:31" s="1" customFormat="1">
      <c r="A706" s="477" t="s">
        <v>2618</v>
      </c>
      <c r="B706" s="505" t="s">
        <v>2619</v>
      </c>
      <c r="C706" s="506">
        <v>1</v>
      </c>
      <c r="D706" s="585" t="s">
        <v>2552</v>
      </c>
      <c r="E706" s="1009">
        <v>15</v>
      </c>
      <c r="F706" s="430">
        <f t="shared" si="141"/>
        <v>0.2</v>
      </c>
      <c r="G706" s="106">
        <f t="shared" si="140"/>
        <v>12</v>
      </c>
      <c r="H706" s="147"/>
      <c r="I706" s="163"/>
      <c r="J706" s="163"/>
      <c r="K706" s="163"/>
      <c r="L706" s="428"/>
      <c r="M706" s="624" t="s">
        <v>1761</v>
      </c>
      <c r="N706" s="159" t="s">
        <v>2553</v>
      </c>
      <c r="O706" s="221" t="s">
        <v>2540</v>
      </c>
      <c r="P706" s="477" t="s">
        <v>2618</v>
      </c>
      <c r="Q706" s="505" t="s">
        <v>2619</v>
      </c>
      <c r="R706" s="506">
        <v>1</v>
      </c>
      <c r="S706" s="106" t="s">
        <v>2552</v>
      </c>
      <c r="T706" s="473" t="s">
        <v>2618</v>
      </c>
      <c r="U706" s="106">
        <v>15</v>
      </c>
      <c r="V706" s="430">
        <v>0.2</v>
      </c>
      <c r="W706" s="106">
        <v>12</v>
      </c>
      <c r="X706" s="147"/>
      <c r="Y706" s="163"/>
      <c r="Z706" s="163"/>
      <c r="AA706" s="163"/>
      <c r="AB706" s="428"/>
      <c r="AC706" s="41" t="s">
        <v>1761</v>
      </c>
      <c r="AD706" s="14" t="s">
        <v>2553</v>
      </c>
      <c r="AE706" s="157" t="s">
        <v>2540</v>
      </c>
    </row>
    <row r="707" spans="1:31" s="1" customFormat="1">
      <c r="A707" s="477" t="s">
        <v>2620</v>
      </c>
      <c r="B707" s="505" t="s">
        <v>2621</v>
      </c>
      <c r="C707" s="506">
        <v>1</v>
      </c>
      <c r="D707" s="585" t="s">
        <v>114</v>
      </c>
      <c r="E707" s="1009">
        <v>325</v>
      </c>
      <c r="F707" s="430"/>
      <c r="G707" s="106">
        <f t="shared" si="140"/>
        <v>325</v>
      </c>
      <c r="H707" s="147"/>
      <c r="I707" s="163"/>
      <c r="J707" s="163"/>
      <c r="K707" s="163"/>
      <c r="L707" s="428"/>
      <c r="M707" s="624" t="s">
        <v>1761</v>
      </c>
      <c r="N707" s="159" t="s">
        <v>2553</v>
      </c>
      <c r="O707" s="221" t="s">
        <v>2540</v>
      </c>
      <c r="P707" s="477" t="s">
        <v>2620</v>
      </c>
      <c r="Q707" s="505" t="s">
        <v>2622</v>
      </c>
      <c r="R707" s="506">
        <v>1</v>
      </c>
      <c r="S707" s="106" t="s">
        <v>114</v>
      </c>
      <c r="T707" s="473" t="s">
        <v>2620</v>
      </c>
      <c r="U707" s="106">
        <v>325</v>
      </c>
      <c r="V707" s="430"/>
      <c r="W707" s="106">
        <v>325</v>
      </c>
      <c r="X707" s="147"/>
      <c r="Y707" s="163"/>
      <c r="Z707" s="163"/>
      <c r="AA707" s="163"/>
      <c r="AB707" s="428"/>
      <c r="AC707" s="41" t="s">
        <v>1761</v>
      </c>
      <c r="AD707" s="14" t="s">
        <v>2553</v>
      </c>
      <c r="AE707" s="157" t="s">
        <v>2540</v>
      </c>
    </row>
    <row r="708" spans="1:31" s="1" customFormat="1">
      <c r="A708" s="477">
        <v>2821202120</v>
      </c>
      <c r="B708" s="505" t="s">
        <v>2623</v>
      </c>
      <c r="C708" s="506">
        <v>1</v>
      </c>
      <c r="D708" s="585" t="s">
        <v>2552</v>
      </c>
      <c r="E708" s="1009">
        <v>1600</v>
      </c>
      <c r="F708" s="430">
        <f t="shared" si="141"/>
        <v>0.2</v>
      </c>
      <c r="G708" s="106">
        <f t="shared" si="140"/>
        <v>1280</v>
      </c>
      <c r="H708" s="147"/>
      <c r="I708" s="163"/>
      <c r="J708" s="163"/>
      <c r="K708" s="163"/>
      <c r="L708" s="428"/>
      <c r="M708" s="624" t="s">
        <v>1761</v>
      </c>
      <c r="N708" s="159" t="s">
        <v>2553</v>
      </c>
      <c r="O708" s="221" t="s">
        <v>2540</v>
      </c>
      <c r="P708" s="477">
        <v>2821202120</v>
      </c>
      <c r="Q708" s="505" t="s">
        <v>2623</v>
      </c>
      <c r="R708" s="506">
        <v>1</v>
      </c>
      <c r="S708" s="106" t="s">
        <v>2552</v>
      </c>
      <c r="T708" s="473">
        <v>2821202120</v>
      </c>
      <c r="U708" s="106">
        <v>1600</v>
      </c>
      <c r="V708" s="430">
        <v>0.2</v>
      </c>
      <c r="W708" s="106">
        <v>1280</v>
      </c>
      <c r="X708" s="147"/>
      <c r="Y708" s="163"/>
      <c r="Z708" s="163"/>
      <c r="AA708" s="163"/>
      <c r="AB708" s="428"/>
      <c r="AC708" s="41" t="s">
        <v>1761</v>
      </c>
      <c r="AD708" s="14" t="s">
        <v>2553</v>
      </c>
      <c r="AE708" s="157" t="s">
        <v>2540</v>
      </c>
    </row>
    <row r="709" spans="1:31" s="1" customFormat="1">
      <c r="A709" s="426"/>
      <c r="B709"/>
      <c r="C709"/>
      <c r="D709"/>
      <c r="E709" s="981"/>
      <c r="F709"/>
      <c r="G709"/>
      <c r="H709"/>
      <c r="I709"/>
      <c r="J709"/>
      <c r="K709"/>
      <c r="L709" s="172"/>
      <c r="M709" s="625"/>
      <c r="N709" s="628"/>
      <c r="O709" s="628"/>
      <c r="P709"/>
      <c r="Q709"/>
      <c r="R709"/>
      <c r="S709"/>
      <c r="T709"/>
      <c r="U709"/>
      <c r="V709"/>
      <c r="W709"/>
      <c r="X709"/>
      <c r="Y709"/>
      <c r="Z709"/>
      <c r="AA709"/>
      <c r="AB709" s="172"/>
      <c r="AC709"/>
      <c r="AD709"/>
      <c r="AE709"/>
    </row>
    <row r="710" spans="1:31" s="1" customFormat="1">
      <c r="A710" s="426"/>
      <c r="B710"/>
      <c r="C710"/>
      <c r="D710"/>
      <c r="E710" s="981"/>
      <c r="F710"/>
      <c r="G710"/>
      <c r="H710"/>
      <c r="I710"/>
      <c r="J710"/>
      <c r="K710"/>
      <c r="L710" s="172"/>
      <c r="M710" s="625"/>
      <c r="N710" s="628"/>
      <c r="O710" s="628"/>
      <c r="P710"/>
      <c r="Q710"/>
      <c r="R710"/>
      <c r="S710"/>
      <c r="T710"/>
      <c r="U710"/>
      <c r="V710"/>
      <c r="W710"/>
      <c r="X710"/>
      <c r="Y710"/>
      <c r="Z710"/>
      <c r="AA710"/>
      <c r="AB710" s="172"/>
      <c r="AC710"/>
      <c r="AD710"/>
      <c r="AE710"/>
    </row>
  </sheetData>
  <autoFilter ref="A1:O708" xr:uid="{F3B7DFC3-1C14-B048-A877-04FD3117B0A9}"/>
  <mergeCells count="6">
    <mergeCell ref="AD3:AD4"/>
    <mergeCell ref="AE3:AE4"/>
    <mergeCell ref="A3:G3"/>
    <mergeCell ref="N3:N4"/>
    <mergeCell ref="O3:O4"/>
    <mergeCell ref="P3:W3"/>
  </mergeCells>
  <phoneticPr fontId="65" type="noConversion"/>
  <pageMargins left="0.7" right="0.7" top="0.75" bottom="0.75" header="0.3" footer="0.3"/>
  <pageSetup paperSize="9" orientation="portrait" horizontalDpi="0" verticalDpi="0"/>
  <ignoredErrors>
    <ignoredError sqref="F62" formula="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81022-256D-7D4E-8034-412C60C7B08F}">
  <sheetPr>
    <tabColor rgb="FF92D050"/>
  </sheetPr>
  <dimension ref="A1:AI101"/>
  <sheetViews>
    <sheetView tabSelected="1" zoomScaleNormal="100" workbookViewId="0">
      <pane xSplit="1" topLeftCell="B1" activePane="topRight" state="frozen"/>
      <selection pane="topRight" activeCell="A3" sqref="A3:G3"/>
    </sheetView>
  </sheetViews>
  <sheetFormatPr baseColWidth="10" defaultColWidth="11.42578125" defaultRowHeight="12.75"/>
  <cols>
    <col min="1" max="1" width="29" customWidth="1"/>
    <col min="2" max="2" width="119.42578125" customWidth="1"/>
    <col min="4" max="4" width="13.5703125" style="981" customWidth="1"/>
    <col min="5" max="5" width="11.42578125" style="981"/>
    <col min="13" max="13" width="35" customWidth="1"/>
    <col min="16" max="16" width="29" customWidth="1"/>
    <col min="17" max="17" width="87" customWidth="1"/>
    <col min="19" max="19" width="13.5703125" customWidth="1"/>
    <col min="20" max="20" width="24.140625" customWidth="1"/>
    <col min="29" max="29" width="35" customWidth="1"/>
  </cols>
  <sheetData>
    <row r="1" spans="1:35" s="1" customFormat="1" ht="24" customHeight="1">
      <c r="A1" s="10" t="s">
        <v>65</v>
      </c>
      <c r="B1" s="11"/>
      <c r="C1" s="982"/>
      <c r="D1" s="992"/>
      <c r="E1" s="970"/>
      <c r="F1" s="31"/>
      <c r="G1" s="24"/>
      <c r="H1" s="147"/>
      <c r="I1" s="22"/>
      <c r="J1" s="22"/>
      <c r="K1" s="22"/>
      <c r="L1" s="47"/>
      <c r="M1" s="22"/>
      <c r="N1" s="163"/>
      <c r="O1" s="163"/>
      <c r="P1" s="10" t="s">
        <v>65</v>
      </c>
      <c r="Q1" s="11"/>
      <c r="R1" s="54"/>
      <c r="S1" s="55"/>
      <c r="T1" s="30"/>
      <c r="U1" s="24"/>
      <c r="V1" s="31"/>
      <c r="W1" s="24"/>
      <c r="X1" s="147"/>
      <c r="Y1" s="22"/>
      <c r="Z1" s="22"/>
      <c r="AA1" s="22"/>
      <c r="AB1" s="47"/>
      <c r="AC1" s="22"/>
      <c r="AD1" s="163"/>
      <c r="AE1" s="163"/>
    </row>
    <row r="2" spans="1:35" s="1" customFormat="1" ht="18.75">
      <c r="A2" s="12"/>
      <c r="B2" s="176" t="s">
        <v>66</v>
      </c>
      <c r="C2" s="983"/>
      <c r="D2" s="993"/>
      <c r="E2" s="971"/>
      <c r="F2" s="32"/>
      <c r="G2" s="136"/>
      <c r="H2" s="136"/>
      <c r="I2" s="137"/>
      <c r="J2" s="137"/>
      <c r="K2" s="138"/>
      <c r="L2" s="139"/>
      <c r="M2" s="22"/>
      <c r="N2" s="22"/>
      <c r="O2" s="22"/>
      <c r="P2" s="12"/>
      <c r="Q2" s="176" t="s">
        <v>2624</v>
      </c>
      <c r="R2" s="134"/>
      <c r="S2" s="143"/>
      <c r="T2" s="135"/>
      <c r="U2" s="136"/>
      <c r="V2" s="32"/>
      <c r="W2" s="136"/>
      <c r="X2" s="136"/>
      <c r="Y2" s="137"/>
      <c r="Z2" s="137"/>
      <c r="AA2" s="138"/>
      <c r="AB2" s="139"/>
      <c r="AC2" s="22"/>
      <c r="AD2" s="22"/>
      <c r="AE2" s="22"/>
    </row>
    <row r="3" spans="1:35" s="1" customFormat="1" ht="30" customHeight="1">
      <c r="A3" s="1165" t="s">
        <v>3688</v>
      </c>
      <c r="B3" s="1166"/>
      <c r="C3" s="1166"/>
      <c r="D3" s="1166"/>
      <c r="E3" s="1166"/>
      <c r="F3" s="1166"/>
      <c r="G3" s="1166"/>
      <c r="H3" s="35"/>
      <c r="I3" s="36"/>
      <c r="J3" s="36"/>
      <c r="K3" s="37"/>
      <c r="L3" s="38"/>
      <c r="M3" s="39" t="s">
        <v>68</v>
      </c>
      <c r="N3" s="1177" t="s">
        <v>69</v>
      </c>
      <c r="O3" s="1177" t="s">
        <v>70</v>
      </c>
      <c r="P3" s="1165" t="s">
        <v>72</v>
      </c>
      <c r="Q3" s="1166"/>
      <c r="R3" s="1166"/>
      <c r="S3" s="1166"/>
      <c r="T3" s="1166"/>
      <c r="U3" s="1166"/>
      <c r="V3" s="1166"/>
      <c r="W3" s="1166"/>
      <c r="X3" s="35"/>
      <c r="Y3" s="36"/>
      <c r="Z3" s="36"/>
      <c r="AA3" s="37"/>
      <c r="AB3" s="38"/>
      <c r="AC3" s="39" t="s">
        <v>68</v>
      </c>
      <c r="AD3" s="1177" t="s">
        <v>69</v>
      </c>
      <c r="AE3" s="1177" t="s">
        <v>70</v>
      </c>
    </row>
    <row r="4" spans="1:35" s="1" customFormat="1" ht="63.75">
      <c r="A4" s="735" t="s">
        <v>73</v>
      </c>
      <c r="B4" s="736" t="s">
        <v>74</v>
      </c>
      <c r="C4" s="984" t="s">
        <v>75</v>
      </c>
      <c r="D4" s="994" t="s">
        <v>76</v>
      </c>
      <c r="E4" s="972" t="s">
        <v>78</v>
      </c>
      <c r="F4" s="738" t="s">
        <v>79</v>
      </c>
      <c r="G4" s="737" t="s">
        <v>80</v>
      </c>
      <c r="H4" s="739" t="s">
        <v>81</v>
      </c>
      <c r="I4" s="740" t="s">
        <v>82</v>
      </c>
      <c r="J4" s="740" t="s">
        <v>83</v>
      </c>
      <c r="K4" s="1120" t="s">
        <v>84</v>
      </c>
      <c r="L4" s="1120" t="s">
        <v>85</v>
      </c>
      <c r="M4" s="741" t="s">
        <v>86</v>
      </c>
      <c r="N4" s="1179"/>
      <c r="O4" s="1179"/>
      <c r="P4" s="13" t="s">
        <v>73</v>
      </c>
      <c r="Q4" s="140" t="s">
        <v>87</v>
      </c>
      <c r="R4" s="141" t="s">
        <v>75</v>
      </c>
      <c r="S4" s="142" t="s">
        <v>76</v>
      </c>
      <c r="T4" s="142" t="s">
        <v>77</v>
      </c>
      <c r="U4" s="29" t="s">
        <v>78</v>
      </c>
      <c r="V4" s="33" t="s">
        <v>79</v>
      </c>
      <c r="W4" s="29" t="s">
        <v>80</v>
      </c>
      <c r="X4" s="34" t="s">
        <v>81</v>
      </c>
      <c r="Y4" s="15" t="s">
        <v>82</v>
      </c>
      <c r="Z4" s="15" t="s">
        <v>83</v>
      </c>
      <c r="AA4" s="1132" t="s">
        <v>84</v>
      </c>
      <c r="AB4" s="1132" t="s">
        <v>85</v>
      </c>
      <c r="AC4" s="40" t="s">
        <v>86</v>
      </c>
      <c r="AD4" s="1178"/>
      <c r="AE4" s="1178"/>
    </row>
    <row r="5" spans="1:35" s="346" customFormat="1">
      <c r="A5" s="914" t="s">
        <v>3191</v>
      </c>
      <c r="B5" s="915" t="s">
        <v>3613</v>
      </c>
      <c r="C5" s="985">
        <v>1</v>
      </c>
      <c r="D5" s="968" t="s">
        <v>114</v>
      </c>
      <c r="E5" s="917" t="s">
        <v>92</v>
      </c>
      <c r="F5" s="918"/>
      <c r="G5" s="917" t="s">
        <v>3194</v>
      </c>
      <c r="H5" s="919"/>
      <c r="I5" s="920"/>
      <c r="J5" s="920"/>
      <c r="K5" s="919"/>
      <c r="L5" s="916"/>
      <c r="M5" s="919"/>
      <c r="N5" s="919"/>
      <c r="O5" s="921"/>
      <c r="P5" s="923"/>
      <c r="Q5" s="355"/>
      <c r="R5" s="372"/>
      <c r="S5" s="373"/>
      <c r="T5" s="443"/>
      <c r="U5" s="374"/>
      <c r="V5" s="449"/>
      <c r="W5" s="374"/>
      <c r="Y5" s="617"/>
      <c r="Z5" s="617"/>
      <c r="AB5" s="399"/>
      <c r="AF5" s="1" t="s">
        <v>98</v>
      </c>
      <c r="AG5" s="1" t="s">
        <v>98</v>
      </c>
      <c r="AH5" s="1" t="s">
        <v>98</v>
      </c>
      <c r="AI5" s="1" t="s">
        <v>98</v>
      </c>
    </row>
    <row r="6" spans="1:35" s="346" customFormat="1">
      <c r="A6" s="907" t="s">
        <v>3193</v>
      </c>
      <c r="B6" s="908" t="s">
        <v>3192</v>
      </c>
      <c r="C6" s="986">
        <v>1</v>
      </c>
      <c r="D6" s="969" t="s">
        <v>114</v>
      </c>
      <c r="E6" s="910" t="s">
        <v>92</v>
      </c>
      <c r="F6" s="911"/>
      <c r="G6" s="910" t="s">
        <v>3194</v>
      </c>
      <c r="H6" s="912"/>
      <c r="I6" s="913"/>
      <c r="J6" s="913"/>
      <c r="K6" s="912"/>
      <c r="L6" s="909"/>
      <c r="M6" s="912"/>
      <c r="N6" s="912"/>
      <c r="O6" s="922"/>
      <c r="P6" s="924"/>
      <c r="Q6" s="732"/>
      <c r="R6" s="372"/>
      <c r="S6" s="365"/>
      <c r="T6" s="733"/>
      <c r="U6" s="734"/>
      <c r="V6" s="449"/>
      <c r="W6" s="734"/>
      <c r="Y6" s="617"/>
      <c r="Z6" s="617"/>
      <c r="AB6" s="399"/>
      <c r="AF6" s="1"/>
      <c r="AG6" s="1"/>
      <c r="AH6" s="1"/>
      <c r="AI6" s="1"/>
    </row>
    <row r="7" spans="1:35" s="940" customFormat="1" ht="53.1" customHeight="1">
      <c r="A7" s="939" t="s">
        <v>2625</v>
      </c>
      <c r="C7" s="987"/>
      <c r="D7" s="995"/>
      <c r="E7" s="973"/>
      <c r="F7" s="944"/>
      <c r="G7" s="942"/>
      <c r="H7" s="943"/>
      <c r="I7" s="945"/>
      <c r="J7" s="945"/>
      <c r="K7" s="946"/>
      <c r="L7" s="947"/>
      <c r="M7" s="948"/>
      <c r="N7" s="949" t="s">
        <v>2626</v>
      </c>
      <c r="O7" s="950" t="s">
        <v>2627</v>
      </c>
      <c r="P7" s="951" t="s">
        <v>2625</v>
      </c>
      <c r="R7" s="941"/>
      <c r="S7" s="942"/>
      <c r="T7" s="943"/>
      <c r="U7" s="943"/>
      <c r="V7" s="944"/>
      <c r="W7" s="942"/>
      <c r="X7" s="943"/>
      <c r="Y7" s="945"/>
      <c r="Z7" s="945"/>
      <c r="AA7" s="946"/>
      <c r="AB7" s="947"/>
      <c r="AC7" s="948"/>
      <c r="AD7" s="949" t="s">
        <v>2626</v>
      </c>
      <c r="AE7" s="949" t="s">
        <v>2627</v>
      </c>
    </row>
    <row r="8" spans="1:35" s="1" customFormat="1">
      <c r="A8" s="23" t="s">
        <v>2628</v>
      </c>
      <c r="B8" s="48" t="s">
        <v>2629</v>
      </c>
      <c r="C8" s="988">
        <v>1</v>
      </c>
      <c r="D8" s="996" t="s">
        <v>114</v>
      </c>
      <c r="E8" s="974">
        <v>7</v>
      </c>
      <c r="F8" s="31"/>
      <c r="G8" s="727">
        <f>E8-(E8*F8)</f>
        <v>7</v>
      </c>
      <c r="H8" s="24"/>
      <c r="I8" s="22"/>
      <c r="J8" s="22"/>
      <c r="K8" s="25"/>
      <c r="L8" s="44"/>
      <c r="M8" s="41" t="s">
        <v>2630</v>
      </c>
      <c r="N8" s="14" t="s">
        <v>2626</v>
      </c>
      <c r="O8" s="14" t="s">
        <v>2627</v>
      </c>
      <c r="P8" s="23" t="s">
        <v>2628</v>
      </c>
      <c r="Q8" s="48" t="s">
        <v>2629</v>
      </c>
      <c r="R8" s="49">
        <v>1</v>
      </c>
      <c r="S8" s="46" t="s">
        <v>114</v>
      </c>
      <c r="T8" s="175" t="s">
        <v>2628</v>
      </c>
      <c r="U8" s="28">
        <v>5</v>
      </c>
      <c r="V8" s="31"/>
      <c r="W8" s="28">
        <v>5</v>
      </c>
      <c r="X8" s="24"/>
      <c r="Y8" s="22"/>
      <c r="Z8" s="22"/>
      <c r="AA8" s="25"/>
      <c r="AB8" s="44"/>
      <c r="AC8" s="41" t="s">
        <v>2630</v>
      </c>
      <c r="AD8" s="14" t="s">
        <v>2626</v>
      </c>
      <c r="AE8" s="14" t="s">
        <v>2627</v>
      </c>
    </row>
    <row r="9" spans="1:35" s="1" customFormat="1">
      <c r="A9" s="23" t="s">
        <v>2631</v>
      </c>
      <c r="B9" s="48" t="s">
        <v>2632</v>
      </c>
      <c r="C9" s="988">
        <v>1</v>
      </c>
      <c r="D9" s="996" t="s">
        <v>114</v>
      </c>
      <c r="E9" s="974">
        <v>7</v>
      </c>
      <c r="F9" s="31"/>
      <c r="G9" s="648">
        <f t="shared" ref="G9:G31" si="0">E9-(E9*F9)</f>
        <v>7</v>
      </c>
      <c r="H9" s="24"/>
      <c r="I9" s="22"/>
      <c r="J9" s="22"/>
      <c r="K9" s="25"/>
      <c r="L9" s="44"/>
      <c r="M9" s="41" t="s">
        <v>2630</v>
      </c>
      <c r="N9" s="14" t="s">
        <v>2626</v>
      </c>
      <c r="O9" s="14" t="s">
        <v>2627</v>
      </c>
      <c r="P9" s="23" t="s">
        <v>2631</v>
      </c>
      <c r="Q9" s="48" t="s">
        <v>2632</v>
      </c>
      <c r="R9" s="49">
        <v>1</v>
      </c>
      <c r="S9" s="46" t="s">
        <v>114</v>
      </c>
      <c r="T9" s="175" t="s">
        <v>2631</v>
      </c>
      <c r="U9" s="28">
        <v>8</v>
      </c>
      <c r="V9" s="31"/>
      <c r="W9" s="28">
        <v>8</v>
      </c>
      <c r="X9" s="24"/>
      <c r="Y9" s="22"/>
      <c r="Z9" s="22"/>
      <c r="AA9" s="25"/>
      <c r="AB9" s="44"/>
      <c r="AC9" s="41" t="s">
        <v>2630</v>
      </c>
      <c r="AD9" s="14" t="s">
        <v>2626</v>
      </c>
      <c r="AE9" s="14" t="s">
        <v>2627</v>
      </c>
    </row>
    <row r="10" spans="1:35" s="1" customFormat="1">
      <c r="A10" s="23" t="s">
        <v>2633</v>
      </c>
      <c r="B10" s="48" t="s">
        <v>2634</v>
      </c>
      <c r="C10" s="988">
        <v>1</v>
      </c>
      <c r="D10" s="996" t="s">
        <v>114</v>
      </c>
      <c r="E10" s="974">
        <v>7</v>
      </c>
      <c r="F10" s="31"/>
      <c r="G10" s="648">
        <f t="shared" si="0"/>
        <v>7</v>
      </c>
      <c r="H10" s="24"/>
      <c r="I10" s="22"/>
      <c r="J10" s="22"/>
      <c r="K10" s="25"/>
      <c r="L10" s="44"/>
      <c r="M10" s="41" t="s">
        <v>2630</v>
      </c>
      <c r="N10" s="14" t="s">
        <v>2626</v>
      </c>
      <c r="O10" s="14" t="s">
        <v>2627</v>
      </c>
      <c r="P10" s="23" t="s">
        <v>2633</v>
      </c>
      <c r="Q10" s="48" t="s">
        <v>2634</v>
      </c>
      <c r="R10" s="49">
        <v>1</v>
      </c>
      <c r="S10" s="28" t="s">
        <v>114</v>
      </c>
      <c r="T10" s="26" t="s">
        <v>2633</v>
      </c>
      <c r="U10" s="28">
        <v>8</v>
      </c>
      <c r="V10" s="31"/>
      <c r="W10" s="28">
        <v>8</v>
      </c>
      <c r="X10" s="24"/>
      <c r="Y10" s="22"/>
      <c r="Z10" s="22"/>
      <c r="AA10" s="25"/>
      <c r="AB10" s="44"/>
      <c r="AC10" s="41" t="s">
        <v>2630</v>
      </c>
      <c r="AD10" s="14" t="s">
        <v>2626</v>
      </c>
      <c r="AE10" s="14" t="s">
        <v>2627</v>
      </c>
    </row>
    <row r="11" spans="1:35" s="1" customFormat="1">
      <c r="A11" s="23" t="s">
        <v>2635</v>
      </c>
      <c r="B11" s="48" t="s">
        <v>2636</v>
      </c>
      <c r="C11" s="988">
        <v>1</v>
      </c>
      <c r="D11" s="996" t="s">
        <v>114</v>
      </c>
      <c r="E11" s="974">
        <v>7</v>
      </c>
      <c r="F11" s="31"/>
      <c r="G11" s="648">
        <f t="shared" si="0"/>
        <v>7</v>
      </c>
      <c r="H11" s="24"/>
      <c r="I11" s="22"/>
      <c r="J11" s="22"/>
      <c r="K11" s="25"/>
      <c r="L11" s="44"/>
      <c r="M11" s="41" t="s">
        <v>2630</v>
      </c>
      <c r="N11" s="14" t="s">
        <v>2626</v>
      </c>
      <c r="O11" s="14" t="s">
        <v>2627</v>
      </c>
      <c r="P11" s="23" t="s">
        <v>2635</v>
      </c>
      <c r="Q11" s="48" t="s">
        <v>2636</v>
      </c>
      <c r="R11" s="49">
        <v>1</v>
      </c>
      <c r="S11" s="28" t="s">
        <v>114</v>
      </c>
      <c r="T11" s="26" t="s">
        <v>2635</v>
      </c>
      <c r="U11" s="28">
        <v>8</v>
      </c>
      <c r="V11" s="31"/>
      <c r="W11" s="28">
        <v>8</v>
      </c>
      <c r="X11" s="24"/>
      <c r="Y11" s="22"/>
      <c r="Z11" s="22"/>
      <c r="AA11" s="25"/>
      <c r="AB11" s="44"/>
      <c r="AC11" s="41" t="s">
        <v>2630</v>
      </c>
      <c r="AD11" s="14" t="s">
        <v>2626</v>
      </c>
      <c r="AE11" s="14" t="s">
        <v>2627</v>
      </c>
    </row>
    <row r="12" spans="1:35" s="1" customFormat="1">
      <c r="A12" s="23" t="s">
        <v>2637</v>
      </c>
      <c r="B12" s="48" t="s">
        <v>2638</v>
      </c>
      <c r="C12" s="988">
        <v>1</v>
      </c>
      <c r="D12" s="996" t="s">
        <v>114</v>
      </c>
      <c r="E12" s="975">
        <v>15</v>
      </c>
      <c r="F12" s="31"/>
      <c r="G12" s="28">
        <f t="shared" si="0"/>
        <v>15</v>
      </c>
      <c r="H12" s="24"/>
      <c r="I12" s="22"/>
      <c r="J12" s="22"/>
      <c r="K12" s="25"/>
      <c r="L12" s="44"/>
      <c r="M12" s="41" t="s">
        <v>2630</v>
      </c>
      <c r="N12" s="14" t="s">
        <v>2626</v>
      </c>
      <c r="O12" s="14" t="s">
        <v>2627</v>
      </c>
      <c r="P12" s="23" t="s">
        <v>2637</v>
      </c>
      <c r="Q12" s="48" t="s">
        <v>2638</v>
      </c>
      <c r="R12" s="49">
        <v>1</v>
      </c>
      <c r="S12" s="28" t="s">
        <v>114</v>
      </c>
      <c r="T12" s="26" t="s">
        <v>2637</v>
      </c>
      <c r="U12" s="28">
        <v>15</v>
      </c>
      <c r="V12" s="31"/>
      <c r="W12" s="28">
        <v>15</v>
      </c>
      <c r="X12" s="24"/>
      <c r="Y12" s="22"/>
      <c r="Z12" s="22"/>
      <c r="AA12" s="25"/>
      <c r="AB12" s="44"/>
      <c r="AC12" s="41" t="s">
        <v>2630</v>
      </c>
      <c r="AD12" s="14" t="s">
        <v>2626</v>
      </c>
      <c r="AE12" s="14" t="s">
        <v>2627</v>
      </c>
    </row>
    <row r="13" spans="1:35" s="1" customFormat="1">
      <c r="A13" s="23" t="s">
        <v>2639</v>
      </c>
      <c r="B13" s="48" t="s">
        <v>2640</v>
      </c>
      <c r="C13" s="988">
        <v>1</v>
      </c>
      <c r="D13" s="996" t="s">
        <v>114</v>
      </c>
      <c r="E13" s="974">
        <v>7</v>
      </c>
      <c r="F13" s="31"/>
      <c r="G13" s="727">
        <f t="shared" si="0"/>
        <v>7</v>
      </c>
      <c r="H13" s="24"/>
      <c r="I13" s="22"/>
      <c r="J13" s="22"/>
      <c r="K13" s="25"/>
      <c r="L13" s="44"/>
      <c r="M13" s="41" t="s">
        <v>2630</v>
      </c>
      <c r="N13" s="14" t="s">
        <v>2626</v>
      </c>
      <c r="O13" s="14" t="s">
        <v>2627</v>
      </c>
      <c r="P13" s="23" t="s">
        <v>2639</v>
      </c>
      <c r="Q13" s="48" t="s">
        <v>2640</v>
      </c>
      <c r="R13" s="49">
        <v>1</v>
      </c>
      <c r="S13" s="28" t="s">
        <v>114</v>
      </c>
      <c r="T13" s="26" t="s">
        <v>2639</v>
      </c>
      <c r="U13" s="28">
        <v>5</v>
      </c>
      <c r="V13" s="31"/>
      <c r="W13" s="28">
        <v>5</v>
      </c>
      <c r="X13" s="24"/>
      <c r="Y13" s="22"/>
      <c r="Z13" s="22"/>
      <c r="AA13" s="25"/>
      <c r="AB13" s="44"/>
      <c r="AC13" s="41" t="s">
        <v>2630</v>
      </c>
      <c r="AD13" s="14" t="s">
        <v>2626</v>
      </c>
      <c r="AE13" s="14" t="s">
        <v>2627</v>
      </c>
    </row>
    <row r="14" spans="1:35" s="1" customFormat="1">
      <c r="A14" s="23" t="s">
        <v>2641</v>
      </c>
      <c r="B14" s="48" t="s">
        <v>2642</v>
      </c>
      <c r="C14" s="988">
        <v>1</v>
      </c>
      <c r="D14" s="996" t="s">
        <v>2643</v>
      </c>
      <c r="E14" s="975">
        <v>16</v>
      </c>
      <c r="F14" s="31"/>
      <c r="G14" s="28">
        <f t="shared" si="0"/>
        <v>16</v>
      </c>
      <c r="H14" s="24"/>
      <c r="I14" s="22"/>
      <c r="J14" s="22"/>
      <c r="K14" s="25"/>
      <c r="L14" s="44"/>
      <c r="M14" s="41" t="s">
        <v>2630</v>
      </c>
      <c r="N14" s="14" t="s">
        <v>2626</v>
      </c>
      <c r="O14" s="14" t="s">
        <v>2627</v>
      </c>
      <c r="P14" s="23" t="s">
        <v>2641</v>
      </c>
      <c r="Q14" s="48" t="s">
        <v>2642</v>
      </c>
      <c r="R14" s="49">
        <v>1</v>
      </c>
      <c r="S14" s="28" t="s">
        <v>2643</v>
      </c>
      <c r="T14" s="26" t="s">
        <v>2641</v>
      </c>
      <c r="U14" s="28">
        <v>16</v>
      </c>
      <c r="V14" s="31"/>
      <c r="W14" s="28">
        <v>16</v>
      </c>
      <c r="X14" s="24"/>
      <c r="Y14" s="22"/>
      <c r="Z14" s="22"/>
      <c r="AA14" s="25"/>
      <c r="AB14" s="44"/>
      <c r="AC14" s="41" t="s">
        <v>2630</v>
      </c>
      <c r="AD14" s="14" t="s">
        <v>2626</v>
      </c>
      <c r="AE14" s="14" t="s">
        <v>2627</v>
      </c>
    </row>
    <row r="15" spans="1:35" s="938" customFormat="1" ht="20.100000000000001" customHeight="1">
      <c r="A15" s="925" t="s">
        <v>3665</v>
      </c>
      <c r="B15" s="926"/>
      <c r="C15" s="989"/>
      <c r="D15" s="997"/>
      <c r="E15" s="976"/>
      <c r="F15" s="930"/>
      <c r="G15" s="928"/>
      <c r="H15" s="931"/>
      <c r="I15" s="932"/>
      <c r="J15" s="932"/>
      <c r="K15" s="933"/>
      <c r="L15" s="934"/>
      <c r="M15" s="935"/>
      <c r="N15" s="936"/>
      <c r="O15" s="936"/>
      <c r="P15" s="937"/>
      <c r="Q15" s="926"/>
      <c r="R15" s="927"/>
      <c r="S15" s="928"/>
      <c r="T15" s="929"/>
      <c r="U15" s="928"/>
      <c r="V15" s="930"/>
      <c r="W15" s="928"/>
      <c r="X15" s="931"/>
      <c r="Y15" s="932"/>
      <c r="Z15" s="932"/>
      <c r="AA15" s="933"/>
      <c r="AB15" s="934"/>
      <c r="AC15" s="935"/>
      <c r="AD15" s="936"/>
      <c r="AE15" s="936"/>
    </row>
    <row r="16" spans="1:35" s="1" customFormat="1">
      <c r="A16" s="965" t="s">
        <v>3631</v>
      </c>
      <c r="B16" s="685" t="s">
        <v>3641</v>
      </c>
      <c r="C16" s="990">
        <v>1</v>
      </c>
      <c r="D16" s="998" t="s">
        <v>3620</v>
      </c>
      <c r="E16" s="977">
        <v>232</v>
      </c>
      <c r="F16" s="966"/>
      <c r="G16" s="647">
        <f>E16-(E16*F16)</f>
        <v>232</v>
      </c>
      <c r="H16" s="688"/>
      <c r="I16" s="215"/>
      <c r="J16" s="215"/>
      <c r="K16" s="215"/>
      <c r="L16" s="44"/>
      <c r="M16" s="41" t="s">
        <v>2630</v>
      </c>
      <c r="N16" s="14" t="s">
        <v>2626</v>
      </c>
      <c r="O16" s="14" t="s">
        <v>2627</v>
      </c>
      <c r="P16" s="958" t="s">
        <v>2644</v>
      </c>
      <c r="Q16" s="959" t="s">
        <v>2645</v>
      </c>
      <c r="R16" s="960">
        <v>1</v>
      </c>
      <c r="S16" s="825" t="s">
        <v>2646</v>
      </c>
      <c r="T16" s="810" t="s">
        <v>2647</v>
      </c>
      <c r="U16" s="825">
        <v>133.33000000000001</v>
      </c>
      <c r="V16" s="961"/>
      <c r="W16" s="825">
        <v>133.33000000000001</v>
      </c>
      <c r="X16" s="962"/>
      <c r="Y16" s="689"/>
      <c r="Z16" s="689"/>
      <c r="AA16" s="963"/>
      <c r="AB16" s="964"/>
      <c r="AC16" s="660" t="s">
        <v>2630</v>
      </c>
      <c r="AD16" s="715" t="s">
        <v>2626</v>
      </c>
      <c r="AE16" s="715" t="s">
        <v>2627</v>
      </c>
    </row>
    <row r="17" spans="1:31" s="1" customFormat="1">
      <c r="A17" s="965" t="s">
        <v>3632</v>
      </c>
      <c r="B17" s="685" t="s">
        <v>3643</v>
      </c>
      <c r="C17" s="990">
        <v>1</v>
      </c>
      <c r="D17" s="998" t="s">
        <v>3620</v>
      </c>
      <c r="E17" s="977">
        <v>90</v>
      </c>
      <c r="F17" s="966"/>
      <c r="G17" s="647">
        <f>E17-(E17*F17)</f>
        <v>90</v>
      </c>
      <c r="H17" s="688"/>
      <c r="I17" s="215"/>
      <c r="J17" s="215"/>
      <c r="K17" s="215"/>
      <c r="L17" s="44"/>
      <c r="M17" s="41" t="s">
        <v>2630</v>
      </c>
      <c r="N17" s="14" t="s">
        <v>2626</v>
      </c>
      <c r="O17" s="14" t="s">
        <v>2627</v>
      </c>
      <c r="P17" s="23"/>
      <c r="Q17" s="48"/>
      <c r="R17" s="49"/>
      <c r="S17" s="28"/>
      <c r="T17" s="26"/>
      <c r="U17" s="28"/>
      <c r="V17" s="31"/>
      <c r="W17" s="28"/>
      <c r="X17" s="24"/>
      <c r="Y17" s="22"/>
      <c r="Z17" s="22"/>
      <c r="AA17" s="25"/>
      <c r="AB17" s="44"/>
      <c r="AC17" s="41"/>
      <c r="AD17" s="14"/>
      <c r="AE17" s="14"/>
    </row>
    <row r="18" spans="1:31" s="1" customFormat="1">
      <c r="A18" s="471"/>
      <c r="B18" s="48"/>
      <c r="C18" s="988"/>
      <c r="D18" s="996"/>
      <c r="E18" s="975"/>
      <c r="F18" s="31"/>
      <c r="G18" s="28"/>
      <c r="H18" s="24"/>
      <c r="I18" s="22"/>
      <c r="J18" s="22"/>
      <c r="K18" s="25"/>
      <c r="L18" s="44"/>
      <c r="M18" s="41"/>
      <c r="N18" s="14"/>
      <c r="O18" s="14"/>
      <c r="P18" s="958" t="s">
        <v>2648</v>
      </c>
      <c r="Q18" s="959" t="s">
        <v>2649</v>
      </c>
      <c r="R18" s="960">
        <v>1</v>
      </c>
      <c r="S18" s="825" t="s">
        <v>2646</v>
      </c>
      <c r="T18" s="810" t="s">
        <v>2650</v>
      </c>
      <c r="U18" s="825">
        <v>106.67</v>
      </c>
      <c r="V18" s="961"/>
      <c r="W18" s="825">
        <v>106.67</v>
      </c>
      <c r="X18" s="962"/>
      <c r="Y18" s="689"/>
      <c r="Z18" s="689"/>
      <c r="AA18" s="963"/>
      <c r="AB18" s="964"/>
      <c r="AC18" s="660" t="s">
        <v>2630</v>
      </c>
      <c r="AD18" s="715" t="s">
        <v>2626</v>
      </c>
      <c r="AE18" s="715" t="s">
        <v>2627</v>
      </c>
    </row>
    <row r="19" spans="1:31" s="1" customFormat="1">
      <c r="A19" s="23"/>
      <c r="B19" s="48"/>
      <c r="C19" s="988"/>
      <c r="D19" s="996"/>
      <c r="E19" s="975"/>
      <c r="F19" s="31"/>
      <c r="G19" s="28"/>
      <c r="H19" s="24"/>
      <c r="I19" s="22"/>
      <c r="J19" s="22"/>
      <c r="K19" s="25"/>
      <c r="L19" s="44"/>
      <c r="M19" s="41"/>
      <c r="N19" s="14"/>
      <c r="O19" s="14"/>
      <c r="P19" s="958" t="s">
        <v>2651</v>
      </c>
      <c r="Q19" s="959" t="s">
        <v>2652</v>
      </c>
      <c r="R19" s="960">
        <v>1</v>
      </c>
      <c r="S19" s="825" t="s">
        <v>2646</v>
      </c>
      <c r="T19" s="810" t="s">
        <v>2653</v>
      </c>
      <c r="U19" s="825">
        <v>86.67</v>
      </c>
      <c r="V19" s="961"/>
      <c r="W19" s="825">
        <v>86.67</v>
      </c>
      <c r="X19" s="962"/>
      <c r="Y19" s="689"/>
      <c r="Z19" s="689"/>
      <c r="AA19" s="963"/>
      <c r="AB19" s="964"/>
      <c r="AC19" s="660" t="s">
        <v>2630</v>
      </c>
      <c r="AD19" s="715" t="s">
        <v>2626</v>
      </c>
      <c r="AE19" s="715" t="s">
        <v>2627</v>
      </c>
    </row>
    <row r="20" spans="1:31" s="1" customFormat="1">
      <c r="A20" s="23"/>
      <c r="B20" s="48"/>
      <c r="C20" s="988"/>
      <c r="D20" s="996"/>
      <c r="E20" s="975"/>
      <c r="F20" s="31"/>
      <c r="G20" s="28"/>
      <c r="H20" s="24"/>
      <c r="I20" s="22"/>
      <c r="J20" s="22"/>
      <c r="K20" s="25"/>
      <c r="L20" s="44"/>
      <c r="M20" s="41"/>
      <c r="N20" s="14"/>
      <c r="O20" s="14"/>
      <c r="P20" s="958" t="s">
        <v>2654</v>
      </c>
      <c r="Q20" s="959" t="s">
        <v>2655</v>
      </c>
      <c r="R20" s="960">
        <v>1</v>
      </c>
      <c r="S20" s="825" t="s">
        <v>2646</v>
      </c>
      <c r="T20" s="810" t="s">
        <v>2654</v>
      </c>
      <c r="U20" s="825">
        <v>72</v>
      </c>
      <c r="V20" s="961"/>
      <c r="W20" s="825">
        <v>72</v>
      </c>
      <c r="X20" s="962"/>
      <c r="Y20" s="689"/>
      <c r="Z20" s="689"/>
      <c r="AA20" s="963"/>
      <c r="AB20" s="964"/>
      <c r="AC20" s="660" t="s">
        <v>2630</v>
      </c>
      <c r="AD20" s="715" t="s">
        <v>2626</v>
      </c>
      <c r="AE20" s="715" t="s">
        <v>2627</v>
      </c>
    </row>
    <row r="21" spans="1:31" s="1" customFormat="1">
      <c r="A21" s="965" t="s">
        <v>3633</v>
      </c>
      <c r="B21" s="685" t="s">
        <v>3642</v>
      </c>
      <c r="C21" s="990">
        <v>1</v>
      </c>
      <c r="D21" s="998" t="s">
        <v>3620</v>
      </c>
      <c r="E21" s="977">
        <v>332</v>
      </c>
      <c r="F21" s="966"/>
      <c r="G21" s="647">
        <f t="shared" si="0"/>
        <v>332</v>
      </c>
      <c r="H21" s="688"/>
      <c r="I21" s="215"/>
      <c r="J21" s="215"/>
      <c r="K21" s="215"/>
      <c r="L21" s="44"/>
      <c r="M21" s="41" t="s">
        <v>2630</v>
      </c>
      <c r="N21" s="14" t="s">
        <v>2626</v>
      </c>
      <c r="O21" s="14" t="s">
        <v>2627</v>
      </c>
      <c r="P21" s="958" t="s">
        <v>2656</v>
      </c>
      <c r="Q21" s="959" t="s">
        <v>2657</v>
      </c>
      <c r="R21" s="960">
        <v>1</v>
      </c>
      <c r="S21" s="825" t="s">
        <v>2646</v>
      </c>
      <c r="T21" s="810" t="s">
        <v>2658</v>
      </c>
      <c r="U21" s="825">
        <v>146.66999999999999</v>
      </c>
      <c r="V21" s="961"/>
      <c r="W21" s="825">
        <v>146.66999999999999</v>
      </c>
      <c r="X21" s="962"/>
      <c r="Y21" s="689"/>
      <c r="Z21" s="689"/>
      <c r="AA21" s="963"/>
      <c r="AB21" s="964"/>
      <c r="AC21" s="660" t="s">
        <v>2630</v>
      </c>
      <c r="AD21" s="715" t="s">
        <v>2626</v>
      </c>
      <c r="AE21" s="715" t="s">
        <v>2627</v>
      </c>
    </row>
    <row r="22" spans="1:31" s="1" customFormat="1">
      <c r="A22" s="965" t="s">
        <v>3634</v>
      </c>
      <c r="B22" s="685" t="s">
        <v>3644</v>
      </c>
      <c r="C22" s="990">
        <v>1</v>
      </c>
      <c r="D22" s="998" t="s">
        <v>3620</v>
      </c>
      <c r="E22" s="977">
        <v>190</v>
      </c>
      <c r="F22" s="966"/>
      <c r="G22" s="647">
        <f>E22-(E22*F22)</f>
        <v>190</v>
      </c>
      <c r="H22" s="688"/>
      <c r="I22" s="215"/>
      <c r="J22" s="215"/>
      <c r="K22" s="215"/>
      <c r="L22" s="44"/>
      <c r="M22" s="41" t="s">
        <v>2630</v>
      </c>
      <c r="N22" s="14" t="s">
        <v>2626</v>
      </c>
      <c r="O22" s="14" t="s">
        <v>2627</v>
      </c>
      <c r="P22" s="23"/>
      <c r="Q22" s="48"/>
      <c r="R22" s="49"/>
      <c r="S22" s="28"/>
      <c r="T22" s="26"/>
      <c r="U22" s="28"/>
      <c r="V22" s="31"/>
      <c r="W22" s="28"/>
      <c r="X22" s="24"/>
      <c r="Y22" s="22"/>
      <c r="Z22" s="22"/>
      <c r="AA22" s="25"/>
      <c r="AB22" s="44"/>
      <c r="AC22" s="41"/>
      <c r="AD22" s="14"/>
      <c r="AE22" s="14"/>
    </row>
    <row r="23" spans="1:31" s="1" customFormat="1">
      <c r="A23" s="23"/>
      <c r="B23" s="48"/>
      <c r="C23" s="988"/>
      <c r="D23" s="996"/>
      <c r="E23" s="975"/>
      <c r="F23" s="31"/>
      <c r="G23" s="28"/>
      <c r="H23" s="24"/>
      <c r="I23" s="22"/>
      <c r="J23" s="22"/>
      <c r="K23" s="25"/>
      <c r="L23" s="44"/>
      <c r="M23" s="41"/>
      <c r="N23" s="14"/>
      <c r="O23" s="14"/>
      <c r="P23" s="958" t="s">
        <v>2659</v>
      </c>
      <c r="Q23" s="959" t="s">
        <v>2660</v>
      </c>
      <c r="R23" s="960">
        <v>1</v>
      </c>
      <c r="S23" s="825" t="s">
        <v>2646</v>
      </c>
      <c r="T23" s="810" t="s">
        <v>2661</v>
      </c>
      <c r="U23" s="825">
        <v>120</v>
      </c>
      <c r="V23" s="961"/>
      <c r="W23" s="825">
        <v>120</v>
      </c>
      <c r="X23" s="962"/>
      <c r="Y23" s="689"/>
      <c r="Z23" s="689"/>
      <c r="AA23" s="963"/>
      <c r="AB23" s="964"/>
      <c r="AC23" s="660" t="s">
        <v>2630</v>
      </c>
      <c r="AD23" s="715" t="s">
        <v>2626</v>
      </c>
      <c r="AE23" s="715" t="s">
        <v>2627</v>
      </c>
    </row>
    <row r="24" spans="1:31" s="1" customFormat="1">
      <c r="A24" s="23"/>
      <c r="B24" s="48"/>
      <c r="C24" s="988"/>
      <c r="D24" s="996"/>
      <c r="E24" s="975"/>
      <c r="F24" s="31"/>
      <c r="G24" s="28"/>
      <c r="H24" s="24"/>
      <c r="I24" s="22"/>
      <c r="J24" s="22"/>
      <c r="K24" s="25"/>
      <c r="L24" s="44"/>
      <c r="M24" s="41"/>
      <c r="N24" s="14"/>
      <c r="O24" s="14"/>
      <c r="P24" s="958" t="s">
        <v>2662</v>
      </c>
      <c r="Q24" s="959" t="s">
        <v>2663</v>
      </c>
      <c r="R24" s="960">
        <v>1</v>
      </c>
      <c r="S24" s="825" t="s">
        <v>2646</v>
      </c>
      <c r="T24" s="810" t="s">
        <v>2664</v>
      </c>
      <c r="U24" s="825">
        <v>106.67</v>
      </c>
      <c r="V24" s="961"/>
      <c r="W24" s="825">
        <v>106.67</v>
      </c>
      <c r="X24" s="962"/>
      <c r="Y24" s="689"/>
      <c r="Z24" s="689"/>
      <c r="AA24" s="963"/>
      <c r="AB24" s="964"/>
      <c r="AC24" s="660" t="s">
        <v>2630</v>
      </c>
      <c r="AD24" s="715" t="s">
        <v>2626</v>
      </c>
      <c r="AE24" s="715" t="s">
        <v>2627</v>
      </c>
    </row>
    <row r="25" spans="1:31" s="1" customFormat="1">
      <c r="A25" s="23"/>
      <c r="B25" s="48"/>
      <c r="C25" s="988"/>
      <c r="D25" s="996"/>
      <c r="E25" s="975"/>
      <c r="F25" s="31"/>
      <c r="G25" s="28"/>
      <c r="H25" s="24"/>
      <c r="I25" s="22"/>
      <c r="J25" s="22"/>
      <c r="K25" s="25"/>
      <c r="L25" s="44"/>
      <c r="M25" s="41"/>
      <c r="N25" s="14"/>
      <c r="O25" s="14"/>
      <c r="P25" s="958" t="s">
        <v>2665</v>
      </c>
      <c r="Q25" s="959" t="s">
        <v>2666</v>
      </c>
      <c r="R25" s="960">
        <v>1</v>
      </c>
      <c r="S25" s="825" t="s">
        <v>2646</v>
      </c>
      <c r="T25" s="810" t="s">
        <v>2667</v>
      </c>
      <c r="U25" s="825">
        <v>100</v>
      </c>
      <c r="V25" s="961"/>
      <c r="W25" s="825">
        <v>100</v>
      </c>
      <c r="X25" s="962"/>
      <c r="Y25" s="689"/>
      <c r="Z25" s="689"/>
      <c r="AA25" s="963"/>
      <c r="AB25" s="964"/>
      <c r="AC25" s="660" t="s">
        <v>2630</v>
      </c>
      <c r="AD25" s="715" t="s">
        <v>2626</v>
      </c>
      <c r="AE25" s="715" t="s">
        <v>2627</v>
      </c>
    </row>
    <row r="26" spans="1:31" s="1" customFormat="1">
      <c r="A26" s="965" t="s">
        <v>3635</v>
      </c>
      <c r="B26" s="685" t="s">
        <v>3645</v>
      </c>
      <c r="C26" s="990">
        <v>1</v>
      </c>
      <c r="D26" s="998" t="s">
        <v>3620</v>
      </c>
      <c r="E26" s="977">
        <v>210</v>
      </c>
      <c r="F26" s="966"/>
      <c r="G26" s="647">
        <f t="shared" si="0"/>
        <v>210</v>
      </c>
      <c r="H26" s="24"/>
      <c r="I26" s="22"/>
      <c r="J26" s="22"/>
      <c r="K26" s="25"/>
      <c r="L26" s="44"/>
      <c r="M26" s="41" t="s">
        <v>2630</v>
      </c>
      <c r="N26" s="14" t="s">
        <v>2626</v>
      </c>
      <c r="O26" s="14" t="s">
        <v>2627</v>
      </c>
      <c r="P26" s="958" t="s">
        <v>2668</v>
      </c>
      <c r="Q26" s="959" t="s">
        <v>2669</v>
      </c>
      <c r="R26" s="960">
        <v>1</v>
      </c>
      <c r="S26" s="825" t="s">
        <v>2646</v>
      </c>
      <c r="T26" s="810" t="s">
        <v>2670</v>
      </c>
      <c r="U26" s="825">
        <v>246.67</v>
      </c>
      <c r="V26" s="961"/>
      <c r="W26" s="825">
        <v>246.67</v>
      </c>
      <c r="X26" s="962"/>
      <c r="Y26" s="689"/>
      <c r="Z26" s="689"/>
      <c r="AA26" s="963"/>
      <c r="AB26" s="964"/>
      <c r="AC26" s="660" t="s">
        <v>2630</v>
      </c>
      <c r="AD26" s="715" t="s">
        <v>2626</v>
      </c>
      <c r="AE26" s="715" t="s">
        <v>2627</v>
      </c>
    </row>
    <row r="27" spans="1:31" s="1" customFormat="1">
      <c r="A27" s="965" t="s">
        <v>3636</v>
      </c>
      <c r="B27" s="685" t="s">
        <v>3646</v>
      </c>
      <c r="C27" s="990">
        <v>1</v>
      </c>
      <c r="D27" s="998" t="s">
        <v>3620</v>
      </c>
      <c r="E27" s="977">
        <v>60</v>
      </c>
      <c r="F27" s="966"/>
      <c r="G27" s="647">
        <f>E27-(E27*F27)</f>
        <v>60</v>
      </c>
      <c r="H27" s="688"/>
      <c r="I27" s="215"/>
      <c r="J27" s="215"/>
      <c r="K27" s="215"/>
      <c r="L27" s="44"/>
      <c r="M27" s="41" t="s">
        <v>2630</v>
      </c>
      <c r="N27" s="14" t="s">
        <v>2626</v>
      </c>
      <c r="O27" s="14" t="s">
        <v>2627</v>
      </c>
      <c r="P27" s="23"/>
      <c r="Q27" s="48"/>
      <c r="R27" s="49"/>
      <c r="S27" s="28"/>
      <c r="T27" s="26"/>
      <c r="U27" s="28"/>
      <c r="V27" s="31"/>
      <c r="W27" s="28"/>
      <c r="X27" s="24"/>
      <c r="Y27" s="22"/>
      <c r="Z27" s="22"/>
      <c r="AA27" s="25"/>
      <c r="AB27" s="44"/>
      <c r="AC27" s="41"/>
      <c r="AD27" s="14"/>
      <c r="AE27" s="14"/>
    </row>
    <row r="28" spans="1:31" s="1" customFormat="1">
      <c r="A28" s="23"/>
      <c r="B28" s="48"/>
      <c r="C28" s="988"/>
      <c r="D28" s="996"/>
      <c r="E28" s="975"/>
      <c r="F28" s="31"/>
      <c r="G28" s="28"/>
      <c r="H28" s="24"/>
      <c r="I28" s="22"/>
      <c r="J28" s="22"/>
      <c r="K28" s="25"/>
      <c r="L28" s="44"/>
      <c r="M28" s="41"/>
      <c r="N28" s="14"/>
      <c r="O28" s="14"/>
      <c r="P28" s="958" t="s">
        <v>2671</v>
      </c>
      <c r="Q28" s="959" t="s">
        <v>2672</v>
      </c>
      <c r="R28" s="960">
        <v>1</v>
      </c>
      <c r="S28" s="825" t="s">
        <v>2646</v>
      </c>
      <c r="T28" s="810" t="s">
        <v>2673</v>
      </c>
      <c r="U28" s="825">
        <v>153.33000000000001</v>
      </c>
      <c r="V28" s="961"/>
      <c r="W28" s="825">
        <v>153.33000000000001</v>
      </c>
      <c r="X28" s="962"/>
      <c r="Y28" s="689"/>
      <c r="Z28" s="689"/>
      <c r="AA28" s="963"/>
      <c r="AB28" s="964"/>
      <c r="AC28" s="660" t="s">
        <v>2630</v>
      </c>
      <c r="AD28" s="715" t="s">
        <v>2626</v>
      </c>
      <c r="AE28" s="715" t="s">
        <v>2627</v>
      </c>
    </row>
    <row r="29" spans="1:31" s="1" customFormat="1">
      <c r="A29" s="23"/>
      <c r="B29" s="48"/>
      <c r="C29" s="988"/>
      <c r="D29" s="996"/>
      <c r="E29" s="975"/>
      <c r="F29" s="31"/>
      <c r="G29" s="28"/>
      <c r="H29" s="24"/>
      <c r="I29" s="22"/>
      <c r="J29" s="22"/>
      <c r="K29" s="25"/>
      <c r="L29" s="44"/>
      <c r="M29" s="41"/>
      <c r="N29" s="14"/>
      <c r="O29" s="14"/>
      <c r="P29" s="958" t="s">
        <v>2674</v>
      </c>
      <c r="Q29" s="959" t="s">
        <v>2675</v>
      </c>
      <c r="R29" s="960">
        <v>1</v>
      </c>
      <c r="S29" s="825" t="s">
        <v>2646</v>
      </c>
      <c r="T29" s="810" t="s">
        <v>2676</v>
      </c>
      <c r="U29" s="825">
        <v>133.33000000000001</v>
      </c>
      <c r="V29" s="961"/>
      <c r="W29" s="825">
        <v>133.33000000000001</v>
      </c>
      <c r="X29" s="962"/>
      <c r="Y29" s="689"/>
      <c r="Z29" s="689"/>
      <c r="AA29" s="963"/>
      <c r="AB29" s="964"/>
      <c r="AC29" s="660" t="s">
        <v>2630</v>
      </c>
      <c r="AD29" s="715" t="s">
        <v>2626</v>
      </c>
      <c r="AE29" s="715" t="s">
        <v>2627</v>
      </c>
    </row>
    <row r="30" spans="1:31" s="1" customFormat="1">
      <c r="A30" s="23"/>
      <c r="B30" s="48"/>
      <c r="C30" s="988"/>
      <c r="D30" s="996"/>
      <c r="E30" s="975"/>
      <c r="F30" s="31"/>
      <c r="G30" s="28"/>
      <c r="H30" s="24"/>
      <c r="I30" s="22"/>
      <c r="J30" s="22"/>
      <c r="K30" s="25"/>
      <c r="L30" s="44"/>
      <c r="M30" s="41"/>
      <c r="N30" s="14"/>
      <c r="O30" s="14"/>
      <c r="P30" s="958" t="s">
        <v>2677</v>
      </c>
      <c r="Q30" s="959" t="s">
        <v>2678</v>
      </c>
      <c r="R30" s="960">
        <v>1</v>
      </c>
      <c r="S30" s="825" t="s">
        <v>2646</v>
      </c>
      <c r="T30" s="810" t="s">
        <v>2677</v>
      </c>
      <c r="U30" s="825">
        <v>112</v>
      </c>
      <c r="V30" s="961"/>
      <c r="W30" s="825">
        <v>112</v>
      </c>
      <c r="X30" s="962"/>
      <c r="Y30" s="689"/>
      <c r="Z30" s="689"/>
      <c r="AA30" s="963"/>
      <c r="AB30" s="964"/>
      <c r="AC30" s="660" t="s">
        <v>2630</v>
      </c>
      <c r="AD30" s="715" t="s">
        <v>2626</v>
      </c>
      <c r="AE30" s="715" t="s">
        <v>2627</v>
      </c>
    </row>
    <row r="31" spans="1:31" s="1" customFormat="1">
      <c r="A31" s="965" t="s">
        <v>3637</v>
      </c>
      <c r="B31" s="685" t="s">
        <v>3649</v>
      </c>
      <c r="C31" s="990">
        <v>1</v>
      </c>
      <c r="D31" s="998" t="s">
        <v>3620</v>
      </c>
      <c r="E31" s="977">
        <v>392</v>
      </c>
      <c r="F31" s="31"/>
      <c r="G31" s="647">
        <f t="shared" si="0"/>
        <v>392</v>
      </c>
      <c r="H31" s="24"/>
      <c r="I31" s="22"/>
      <c r="J31" s="22"/>
      <c r="K31" s="25"/>
      <c r="L31" s="44"/>
      <c r="M31" s="41" t="s">
        <v>2630</v>
      </c>
      <c r="N31" s="14" t="s">
        <v>2626</v>
      </c>
      <c r="O31" s="14" t="s">
        <v>2627</v>
      </c>
      <c r="P31" s="958" t="s">
        <v>2679</v>
      </c>
      <c r="Q31" s="959" t="s">
        <v>2680</v>
      </c>
      <c r="R31" s="960">
        <v>1</v>
      </c>
      <c r="S31" s="825" t="s">
        <v>2646</v>
      </c>
      <c r="T31" s="810" t="s">
        <v>2679</v>
      </c>
      <c r="U31" s="825">
        <v>93.33</v>
      </c>
      <c r="V31" s="961"/>
      <c r="W31" s="825">
        <v>93.33</v>
      </c>
      <c r="X31" s="962"/>
      <c r="Y31" s="689"/>
      <c r="Z31" s="689"/>
      <c r="AA31" s="963"/>
      <c r="AB31" s="964"/>
      <c r="AC31" s="660" t="s">
        <v>2630</v>
      </c>
      <c r="AD31" s="715" t="s">
        <v>2626</v>
      </c>
      <c r="AE31" s="715" t="s">
        <v>2627</v>
      </c>
    </row>
    <row r="32" spans="1:31" s="1" customFormat="1">
      <c r="A32" s="965" t="s">
        <v>3638</v>
      </c>
      <c r="B32" s="685" t="s">
        <v>3650</v>
      </c>
      <c r="C32" s="990">
        <v>1</v>
      </c>
      <c r="D32" s="998" t="s">
        <v>3620</v>
      </c>
      <c r="E32" s="977">
        <v>240</v>
      </c>
      <c r="F32" s="966"/>
      <c r="G32" s="647">
        <f>E32-(E32*F32)</f>
        <v>240</v>
      </c>
      <c r="H32" s="688"/>
      <c r="I32" s="215"/>
      <c r="J32" s="215"/>
      <c r="K32" s="215"/>
      <c r="L32" s="44"/>
      <c r="M32" s="41" t="s">
        <v>2630</v>
      </c>
      <c r="N32" s="14" t="s">
        <v>2626</v>
      </c>
      <c r="O32" s="14" t="s">
        <v>2627</v>
      </c>
      <c r="P32" s="23"/>
      <c r="Q32" s="48"/>
      <c r="R32" s="49"/>
      <c r="S32" s="28"/>
      <c r="T32" s="26"/>
      <c r="U32" s="28"/>
      <c r="V32" s="31"/>
      <c r="W32" s="28"/>
      <c r="X32" s="24"/>
      <c r="Y32" s="22"/>
      <c r="Z32" s="22"/>
      <c r="AA32" s="25"/>
      <c r="AB32" s="44"/>
      <c r="AC32" s="41"/>
      <c r="AD32" s="14"/>
      <c r="AE32" s="14"/>
    </row>
    <row r="33" spans="1:31" s="1" customFormat="1">
      <c r="A33" s="23"/>
      <c r="C33" s="988"/>
      <c r="D33" s="996"/>
      <c r="E33" s="975"/>
      <c r="F33" s="31"/>
      <c r="G33" s="28"/>
      <c r="H33" s="24"/>
      <c r="I33" s="22"/>
      <c r="J33" s="22"/>
      <c r="K33" s="25"/>
      <c r="L33" s="44"/>
      <c r="M33" s="41"/>
      <c r="N33" s="14"/>
      <c r="O33" s="14"/>
      <c r="P33" s="958" t="s">
        <v>2681</v>
      </c>
      <c r="Q33" s="959" t="s">
        <v>2682</v>
      </c>
      <c r="R33" s="960">
        <v>1</v>
      </c>
      <c r="S33" s="825" t="s">
        <v>2646</v>
      </c>
      <c r="T33" s="810" t="s">
        <v>2681</v>
      </c>
      <c r="U33" s="825">
        <v>86.67</v>
      </c>
      <c r="V33" s="961"/>
      <c r="W33" s="825">
        <v>86.67</v>
      </c>
      <c r="X33" s="962"/>
      <c r="Y33" s="689"/>
      <c r="Z33" s="689"/>
      <c r="AA33" s="963"/>
      <c r="AB33" s="964"/>
      <c r="AC33" s="660" t="s">
        <v>2630</v>
      </c>
      <c r="AD33" s="715" t="s">
        <v>2626</v>
      </c>
      <c r="AE33" s="715" t="s">
        <v>2627</v>
      </c>
    </row>
    <row r="34" spans="1:31" s="1" customFormat="1">
      <c r="A34" s="23"/>
      <c r="B34" s="48"/>
      <c r="C34" s="988"/>
      <c r="D34" s="996"/>
      <c r="E34" s="975"/>
      <c r="F34" s="31"/>
      <c r="G34" s="28"/>
      <c r="H34" s="24"/>
      <c r="I34" s="22"/>
      <c r="J34" s="22"/>
      <c r="K34" s="25"/>
      <c r="L34" s="44"/>
      <c r="M34" s="41"/>
      <c r="N34" s="14"/>
      <c r="O34" s="14"/>
      <c r="P34" s="958" t="s">
        <v>2683</v>
      </c>
      <c r="Q34" s="959" t="s">
        <v>2684</v>
      </c>
      <c r="R34" s="960">
        <v>1</v>
      </c>
      <c r="S34" s="825" t="s">
        <v>2646</v>
      </c>
      <c r="T34" s="810" t="s">
        <v>2683</v>
      </c>
      <c r="U34" s="825">
        <v>73.33</v>
      </c>
      <c r="V34" s="961"/>
      <c r="W34" s="825">
        <v>73.33</v>
      </c>
      <c r="X34" s="962"/>
      <c r="Y34" s="689"/>
      <c r="Z34" s="689"/>
      <c r="AA34" s="963"/>
      <c r="AB34" s="964"/>
      <c r="AC34" s="660" t="s">
        <v>2630</v>
      </c>
      <c r="AD34" s="715" t="s">
        <v>2626</v>
      </c>
      <c r="AE34" s="715" t="s">
        <v>2627</v>
      </c>
    </row>
    <row r="35" spans="1:31" s="1" customFormat="1">
      <c r="A35" s="23"/>
      <c r="B35" s="48"/>
      <c r="C35" s="988"/>
      <c r="D35" s="996"/>
      <c r="E35" s="975"/>
      <c r="F35" s="31"/>
      <c r="G35" s="28"/>
      <c r="H35" s="24"/>
      <c r="I35" s="22"/>
      <c r="J35" s="22"/>
      <c r="K35" s="25"/>
      <c r="L35" s="44"/>
      <c r="M35" s="41"/>
      <c r="N35" s="14"/>
      <c r="O35" s="14"/>
      <c r="P35" s="958" t="s">
        <v>2685</v>
      </c>
      <c r="Q35" s="959" t="s">
        <v>2686</v>
      </c>
      <c r="R35" s="960">
        <v>1</v>
      </c>
      <c r="S35" s="825" t="s">
        <v>2646</v>
      </c>
      <c r="T35" s="810" t="s">
        <v>2685</v>
      </c>
      <c r="U35" s="825">
        <v>60</v>
      </c>
      <c r="V35" s="961"/>
      <c r="W35" s="825">
        <v>60</v>
      </c>
      <c r="X35" s="962"/>
      <c r="Y35" s="689"/>
      <c r="Z35" s="689"/>
      <c r="AA35" s="963"/>
      <c r="AB35" s="964"/>
      <c r="AC35" s="660" t="s">
        <v>2630</v>
      </c>
      <c r="AD35" s="715" t="s">
        <v>2626</v>
      </c>
      <c r="AE35" s="715" t="s">
        <v>2627</v>
      </c>
    </row>
    <row r="36" spans="1:31" s="1" customFormat="1">
      <c r="A36" s="965" t="s">
        <v>3639</v>
      </c>
      <c r="B36" s="685" t="s">
        <v>3647</v>
      </c>
      <c r="C36" s="990">
        <v>1</v>
      </c>
      <c r="D36" s="998" t="s">
        <v>3620</v>
      </c>
      <c r="E36" s="978">
        <v>298</v>
      </c>
      <c r="F36" s="967"/>
      <c r="G36" s="264">
        <f>E36-(E36*F36)</f>
        <v>298</v>
      </c>
      <c r="H36" s="722"/>
      <c r="I36" s="222"/>
      <c r="J36" s="222"/>
      <c r="K36" s="222"/>
      <c r="L36" s="444"/>
      <c r="M36" s="41" t="s">
        <v>2630</v>
      </c>
      <c r="N36" s="14" t="s">
        <v>2626</v>
      </c>
      <c r="O36" s="14" t="s">
        <v>2627</v>
      </c>
      <c r="P36" s="958" t="s">
        <v>2699</v>
      </c>
      <c r="Q36" s="959" t="s">
        <v>2700</v>
      </c>
      <c r="R36" s="960">
        <v>1</v>
      </c>
      <c r="S36" s="825" t="s">
        <v>2646</v>
      </c>
      <c r="T36" s="810" t="s">
        <v>2701</v>
      </c>
      <c r="U36" s="825">
        <v>66.67</v>
      </c>
      <c r="V36" s="961"/>
      <c r="W36" s="825">
        <v>66.67</v>
      </c>
      <c r="X36" s="962"/>
      <c r="Y36" s="689"/>
      <c r="Z36" s="689"/>
      <c r="AA36" s="963"/>
      <c r="AB36" s="964"/>
      <c r="AC36" s="660" t="s">
        <v>2630</v>
      </c>
      <c r="AD36" s="715" t="s">
        <v>2626</v>
      </c>
      <c r="AE36" s="715" t="s">
        <v>2627</v>
      </c>
    </row>
    <row r="37" spans="1:31" s="1" customFormat="1">
      <c r="A37" s="965" t="s">
        <v>3640</v>
      </c>
      <c r="B37" s="685" t="s">
        <v>3648</v>
      </c>
      <c r="C37" s="990">
        <v>1</v>
      </c>
      <c r="D37" s="998" t="s">
        <v>3620</v>
      </c>
      <c r="E37" s="978">
        <v>135</v>
      </c>
      <c r="F37" s="967"/>
      <c r="G37" s="264">
        <f>E37-(E37*F37)</f>
        <v>135</v>
      </c>
      <c r="H37" s="722"/>
      <c r="I37" s="222"/>
      <c r="J37" s="222"/>
      <c r="K37" s="222"/>
      <c r="L37" s="444"/>
      <c r="M37" s="41" t="s">
        <v>2630</v>
      </c>
      <c r="N37" s="14" t="s">
        <v>2626</v>
      </c>
      <c r="O37" s="14" t="s">
        <v>2627</v>
      </c>
      <c r="P37" s="958" t="s">
        <v>2702</v>
      </c>
      <c r="Q37" s="959" t="s">
        <v>2703</v>
      </c>
      <c r="R37" s="960">
        <v>1</v>
      </c>
      <c r="S37" s="825" t="s">
        <v>2646</v>
      </c>
      <c r="T37" s="810" t="s">
        <v>2704</v>
      </c>
      <c r="U37" s="825">
        <v>53.33</v>
      </c>
      <c r="V37" s="961"/>
      <c r="W37" s="825">
        <v>53.33</v>
      </c>
      <c r="X37" s="962"/>
      <c r="Y37" s="689"/>
      <c r="Z37" s="689"/>
      <c r="AA37" s="963"/>
      <c r="AB37" s="964"/>
      <c r="AC37" s="660" t="s">
        <v>2630</v>
      </c>
      <c r="AD37" s="715" t="s">
        <v>2626</v>
      </c>
      <c r="AE37" s="715" t="s">
        <v>2627</v>
      </c>
    </row>
    <row r="38" spans="1:31" s="1" customFormat="1">
      <c r="A38" s="23"/>
      <c r="B38" s="48"/>
      <c r="C38" s="988"/>
      <c r="D38" s="996"/>
      <c r="E38" s="975"/>
      <c r="F38" s="31"/>
      <c r="G38" s="28"/>
      <c r="H38" s="24"/>
      <c r="I38" s="22"/>
      <c r="J38" s="22"/>
      <c r="K38" s="25"/>
      <c r="L38" s="44"/>
      <c r="M38" s="41"/>
      <c r="N38" s="14"/>
      <c r="O38" s="14"/>
      <c r="P38" s="958" t="s">
        <v>2705</v>
      </c>
      <c r="Q38" s="959" t="s">
        <v>2706</v>
      </c>
      <c r="R38" s="960">
        <v>1</v>
      </c>
      <c r="S38" s="825" t="s">
        <v>2646</v>
      </c>
      <c r="T38" s="810" t="s">
        <v>2707</v>
      </c>
      <c r="U38" s="825">
        <v>49.33</v>
      </c>
      <c r="V38" s="961"/>
      <c r="W38" s="825">
        <v>49.33</v>
      </c>
      <c r="X38" s="962"/>
      <c r="Y38" s="689"/>
      <c r="Z38" s="689"/>
      <c r="AA38" s="963"/>
      <c r="AB38" s="964"/>
      <c r="AC38" s="660" t="s">
        <v>2630</v>
      </c>
      <c r="AD38" s="715" t="s">
        <v>2626</v>
      </c>
      <c r="AE38" s="715" t="s">
        <v>2627</v>
      </c>
    </row>
    <row r="39" spans="1:31" s="1" customFormat="1">
      <c r="A39" s="23"/>
      <c r="B39" s="48"/>
      <c r="C39" s="988"/>
      <c r="D39" s="996"/>
      <c r="E39" s="975"/>
      <c r="F39" s="31"/>
      <c r="G39" s="28"/>
      <c r="H39" s="24"/>
      <c r="I39" s="22"/>
      <c r="J39" s="22"/>
      <c r="K39" s="25"/>
      <c r="L39" s="44"/>
      <c r="M39" s="41"/>
      <c r="N39" s="14"/>
      <c r="O39" s="14"/>
      <c r="P39" s="958" t="s">
        <v>2708</v>
      </c>
      <c r="Q39" s="959" t="s">
        <v>2709</v>
      </c>
      <c r="R39" s="960">
        <v>1</v>
      </c>
      <c r="S39" s="825" t="s">
        <v>2646</v>
      </c>
      <c r="T39" s="810" t="s">
        <v>2710</v>
      </c>
      <c r="U39" s="825">
        <v>46.67</v>
      </c>
      <c r="V39" s="961"/>
      <c r="W39" s="825">
        <v>46.67</v>
      </c>
      <c r="X39" s="962"/>
      <c r="Y39" s="689"/>
      <c r="Z39" s="689"/>
      <c r="AA39" s="963"/>
      <c r="AB39" s="964"/>
      <c r="AC39" s="660" t="s">
        <v>2630</v>
      </c>
      <c r="AD39" s="715" t="s">
        <v>2626</v>
      </c>
      <c r="AE39" s="715" t="s">
        <v>2627</v>
      </c>
    </row>
    <row r="40" spans="1:31" s="1" customFormat="1">
      <c r="A40" s="965" t="s">
        <v>3651</v>
      </c>
      <c r="B40" s="685" t="s">
        <v>3652</v>
      </c>
      <c r="C40" s="990">
        <v>1</v>
      </c>
      <c r="D40" s="998" t="s">
        <v>3620</v>
      </c>
      <c r="E40" s="978">
        <v>224</v>
      </c>
      <c r="F40" s="967"/>
      <c r="G40" s="264">
        <f>E40-(E40*F40)</f>
        <v>224</v>
      </c>
      <c r="H40" s="722"/>
      <c r="I40" s="222"/>
      <c r="J40" s="222"/>
      <c r="K40" s="222"/>
      <c r="L40" s="444"/>
      <c r="M40" s="41" t="s">
        <v>2630</v>
      </c>
      <c r="N40" s="14" t="s">
        <v>2626</v>
      </c>
      <c r="O40" s="14" t="s">
        <v>2627</v>
      </c>
      <c r="P40" s="958" t="s">
        <v>2687</v>
      </c>
      <c r="Q40" s="959" t="s">
        <v>2688</v>
      </c>
      <c r="R40" s="960">
        <v>1</v>
      </c>
      <c r="S40" s="825" t="s">
        <v>2646</v>
      </c>
      <c r="T40" s="810" t="s">
        <v>2689</v>
      </c>
      <c r="U40" s="825">
        <v>13.33</v>
      </c>
      <c r="V40" s="961"/>
      <c r="W40" s="825">
        <v>13.33</v>
      </c>
      <c r="X40" s="962"/>
      <c r="Y40" s="689"/>
      <c r="Z40" s="689"/>
      <c r="AA40" s="963"/>
      <c r="AB40" s="964"/>
      <c r="AC40" s="660" t="s">
        <v>2630</v>
      </c>
      <c r="AD40" s="715" t="s">
        <v>2626</v>
      </c>
      <c r="AE40" s="715" t="s">
        <v>2627</v>
      </c>
    </row>
    <row r="41" spans="1:31" s="1" customFormat="1">
      <c r="A41" s="23"/>
      <c r="B41" s="48"/>
      <c r="C41" s="988"/>
      <c r="D41" s="996"/>
      <c r="E41" s="975"/>
      <c r="F41" s="31"/>
      <c r="G41" s="28"/>
      <c r="H41" s="24"/>
      <c r="I41" s="22"/>
      <c r="J41" s="22"/>
      <c r="K41" s="25"/>
      <c r="L41" s="44"/>
      <c r="M41" s="41"/>
      <c r="N41" s="14"/>
      <c r="O41" s="14"/>
      <c r="P41" s="958" t="s">
        <v>2690</v>
      </c>
      <c r="Q41" s="959" t="s">
        <v>2691</v>
      </c>
      <c r="R41" s="960">
        <v>1</v>
      </c>
      <c r="S41" s="825" t="s">
        <v>2646</v>
      </c>
      <c r="T41" s="810" t="s">
        <v>2692</v>
      </c>
      <c r="U41" s="825">
        <v>25.03</v>
      </c>
      <c r="V41" s="961"/>
      <c r="W41" s="825">
        <v>25.03</v>
      </c>
      <c r="X41" s="962"/>
      <c r="Y41" s="689"/>
      <c r="Z41" s="689"/>
      <c r="AA41" s="963"/>
      <c r="AB41" s="964"/>
      <c r="AC41" s="660" t="s">
        <v>2630</v>
      </c>
      <c r="AD41" s="715" t="s">
        <v>2626</v>
      </c>
      <c r="AE41" s="715" t="s">
        <v>2627</v>
      </c>
    </row>
    <row r="42" spans="1:31" s="1" customFormat="1">
      <c r="A42" s="23"/>
      <c r="B42" s="48"/>
      <c r="C42" s="988"/>
      <c r="D42" s="996"/>
      <c r="E42" s="975"/>
      <c r="F42" s="31"/>
      <c r="G42" s="28"/>
      <c r="H42" s="24"/>
      <c r="I42" s="22"/>
      <c r="J42" s="22"/>
      <c r="K42" s="25"/>
      <c r="L42" s="44"/>
      <c r="M42" s="41"/>
      <c r="N42" s="14"/>
      <c r="O42" s="14"/>
      <c r="P42" s="958" t="s">
        <v>2693</v>
      </c>
      <c r="Q42" s="959" t="s">
        <v>2694</v>
      </c>
      <c r="R42" s="960">
        <v>1</v>
      </c>
      <c r="S42" s="825" t="s">
        <v>2646</v>
      </c>
      <c r="T42" s="810" t="s">
        <v>2695</v>
      </c>
      <c r="U42" s="825">
        <v>420</v>
      </c>
      <c r="V42" s="961"/>
      <c r="W42" s="825">
        <v>420</v>
      </c>
      <c r="X42" s="962"/>
      <c r="Y42" s="689"/>
      <c r="Z42" s="689"/>
      <c r="AA42" s="963"/>
      <c r="AB42" s="964"/>
      <c r="AC42" s="660" t="s">
        <v>2630</v>
      </c>
      <c r="AD42" s="715" t="s">
        <v>2626</v>
      </c>
      <c r="AE42" s="715" t="s">
        <v>2627</v>
      </c>
    </row>
    <row r="43" spans="1:31" s="1" customFormat="1">
      <c r="A43" s="23"/>
      <c r="B43" s="48"/>
      <c r="C43" s="988"/>
      <c r="D43" s="996"/>
      <c r="E43" s="975"/>
      <c r="F43" s="31"/>
      <c r="G43" s="28"/>
      <c r="H43" s="24"/>
      <c r="I43" s="22"/>
      <c r="J43" s="22"/>
      <c r="K43" s="25"/>
      <c r="L43" s="44"/>
      <c r="M43" s="41"/>
      <c r="N43" s="14"/>
      <c r="O43" s="14"/>
      <c r="P43" s="958" t="s">
        <v>2696</v>
      </c>
      <c r="Q43" s="959" t="s">
        <v>2697</v>
      </c>
      <c r="R43" s="960">
        <v>1</v>
      </c>
      <c r="S43" s="825" t="s">
        <v>2646</v>
      </c>
      <c r="T43" s="810" t="s">
        <v>2698</v>
      </c>
      <c r="U43" s="825">
        <v>13.33</v>
      </c>
      <c r="V43" s="961"/>
      <c r="W43" s="825">
        <v>13.33</v>
      </c>
      <c r="X43" s="962"/>
      <c r="Y43" s="689"/>
      <c r="Z43" s="689"/>
      <c r="AA43" s="963"/>
      <c r="AB43" s="964"/>
      <c r="AC43" s="660" t="s">
        <v>2630</v>
      </c>
      <c r="AD43" s="715" t="s">
        <v>2626</v>
      </c>
      <c r="AE43" s="715" t="s">
        <v>2627</v>
      </c>
    </row>
    <row r="44" spans="1:31" s="1" customFormat="1">
      <c r="A44" s="23"/>
      <c r="B44" s="48"/>
      <c r="C44" s="988"/>
      <c r="D44" s="996"/>
      <c r="E44" s="975"/>
      <c r="F44" s="31"/>
      <c r="G44" s="28"/>
      <c r="H44" s="24"/>
      <c r="I44" s="22"/>
      <c r="J44" s="22"/>
      <c r="K44" s="25"/>
      <c r="L44" s="44"/>
      <c r="M44" s="41"/>
      <c r="N44" s="14"/>
      <c r="O44" s="14"/>
      <c r="P44" s="958" t="s">
        <v>2711</v>
      </c>
      <c r="Q44" s="959" t="s">
        <v>2712</v>
      </c>
      <c r="R44" s="960">
        <v>1</v>
      </c>
      <c r="S44" s="825" t="s">
        <v>2646</v>
      </c>
      <c r="T44" s="810" t="s">
        <v>2713</v>
      </c>
      <c r="U44" s="825">
        <v>4201</v>
      </c>
      <c r="V44" s="961"/>
      <c r="W44" s="825">
        <v>4201</v>
      </c>
      <c r="X44" s="962"/>
      <c r="Y44" s="689"/>
      <c r="Z44" s="689"/>
      <c r="AA44" s="963"/>
      <c r="AB44" s="964"/>
      <c r="AC44" s="660" t="s">
        <v>2630</v>
      </c>
      <c r="AD44" s="715" t="s">
        <v>2626</v>
      </c>
      <c r="AE44" s="715" t="s">
        <v>2627</v>
      </c>
    </row>
    <row r="45" spans="1:31" s="1" customFormat="1">
      <c r="A45" s="23"/>
      <c r="B45" s="48"/>
      <c r="C45" s="988"/>
      <c r="D45" s="996"/>
      <c r="E45" s="975"/>
      <c r="F45" s="31"/>
      <c r="G45" s="28"/>
      <c r="H45" s="24"/>
      <c r="I45" s="22"/>
      <c r="J45" s="22"/>
      <c r="K45" s="25"/>
      <c r="L45" s="44"/>
      <c r="M45" s="41"/>
      <c r="N45" s="14"/>
      <c r="O45" s="14"/>
      <c r="P45" s="958" t="s">
        <v>2714</v>
      </c>
      <c r="Q45" s="959" t="s">
        <v>2715</v>
      </c>
      <c r="R45" s="960">
        <v>1</v>
      </c>
      <c r="S45" s="825" t="s">
        <v>2646</v>
      </c>
      <c r="T45" s="810" t="s">
        <v>2716</v>
      </c>
      <c r="U45" s="825">
        <v>11698</v>
      </c>
      <c r="V45" s="961"/>
      <c r="W45" s="825">
        <v>11698</v>
      </c>
      <c r="X45" s="962"/>
      <c r="Y45" s="689"/>
      <c r="Z45" s="689"/>
      <c r="AA45" s="963"/>
      <c r="AB45" s="964"/>
      <c r="AC45" s="660" t="s">
        <v>2630</v>
      </c>
      <c r="AD45" s="715" t="s">
        <v>2626</v>
      </c>
      <c r="AE45" s="715" t="s">
        <v>2627</v>
      </c>
    </row>
    <row r="46" spans="1:31" s="1" customFormat="1">
      <c r="A46" s="23"/>
      <c r="B46" s="48"/>
      <c r="C46" s="988"/>
      <c r="D46" s="996"/>
      <c r="E46" s="975"/>
      <c r="F46" s="31"/>
      <c r="G46" s="28"/>
      <c r="H46" s="24"/>
      <c r="I46" s="22"/>
      <c r="J46" s="22"/>
      <c r="K46" s="25"/>
      <c r="L46" s="44"/>
      <c r="M46" s="41"/>
      <c r="N46" s="14"/>
      <c r="O46" s="14"/>
      <c r="P46" s="958" t="s">
        <v>2717</v>
      </c>
      <c r="Q46" s="959" t="s">
        <v>2718</v>
      </c>
      <c r="R46" s="960">
        <v>1</v>
      </c>
      <c r="S46" s="825" t="s">
        <v>2646</v>
      </c>
      <c r="T46" s="810" t="s">
        <v>2719</v>
      </c>
      <c r="U46" s="825">
        <v>26.67</v>
      </c>
      <c r="V46" s="961"/>
      <c r="W46" s="825">
        <v>26.67</v>
      </c>
      <c r="X46" s="962"/>
      <c r="Y46" s="689"/>
      <c r="Z46" s="689"/>
      <c r="AA46" s="963"/>
      <c r="AB46" s="964"/>
      <c r="AC46" s="660" t="s">
        <v>2630</v>
      </c>
      <c r="AD46" s="715" t="s">
        <v>2626</v>
      </c>
      <c r="AE46" s="715" t="s">
        <v>2627</v>
      </c>
    </row>
    <row r="47" spans="1:31" s="1" customFormat="1">
      <c r="A47" s="23"/>
      <c r="B47" s="48"/>
      <c r="C47" s="988"/>
      <c r="D47" s="996"/>
      <c r="E47" s="975"/>
      <c r="F47" s="31"/>
      <c r="G47" s="28"/>
      <c r="H47" s="24"/>
      <c r="I47" s="22"/>
      <c r="J47" s="22"/>
      <c r="K47" s="25"/>
      <c r="L47" s="44"/>
      <c r="M47" s="41"/>
      <c r="N47" s="14"/>
      <c r="O47" s="14"/>
      <c r="P47" s="958" t="s">
        <v>2720</v>
      </c>
      <c r="Q47" s="959" t="s">
        <v>2721</v>
      </c>
      <c r="R47" s="960">
        <v>1</v>
      </c>
      <c r="S47" s="825" t="s">
        <v>2646</v>
      </c>
      <c r="T47" s="810" t="s">
        <v>2722</v>
      </c>
      <c r="U47" s="825">
        <v>33.33</v>
      </c>
      <c r="V47" s="961"/>
      <c r="W47" s="825">
        <v>33.33</v>
      </c>
      <c r="X47" s="962"/>
      <c r="Y47" s="689"/>
      <c r="Z47" s="689"/>
      <c r="AA47" s="963"/>
      <c r="AB47" s="964"/>
      <c r="AC47" s="660" t="s">
        <v>2630</v>
      </c>
      <c r="AD47" s="715" t="s">
        <v>2626</v>
      </c>
      <c r="AE47" s="715" t="s">
        <v>2627</v>
      </c>
    </row>
    <row r="48" spans="1:31" s="1" customFormat="1">
      <c r="A48" s="23"/>
      <c r="B48" s="48"/>
      <c r="C48" s="988"/>
      <c r="D48" s="996"/>
      <c r="E48" s="975"/>
      <c r="F48" s="31"/>
      <c r="G48" s="28"/>
      <c r="H48" s="24"/>
      <c r="I48" s="22"/>
      <c r="J48" s="22"/>
      <c r="K48" s="25"/>
      <c r="L48" s="44"/>
      <c r="M48" s="41"/>
      <c r="N48" s="14"/>
      <c r="O48" s="14"/>
      <c r="P48" s="958" t="s">
        <v>2723</v>
      </c>
      <c r="Q48" s="959" t="s">
        <v>2724</v>
      </c>
      <c r="R48" s="960">
        <v>1</v>
      </c>
      <c r="S48" s="825" t="s">
        <v>2646</v>
      </c>
      <c r="T48" s="810" t="s">
        <v>2725</v>
      </c>
      <c r="U48" s="825">
        <v>26.67</v>
      </c>
      <c r="V48" s="961"/>
      <c r="W48" s="825">
        <v>26.67</v>
      </c>
      <c r="X48" s="962"/>
      <c r="Y48" s="689"/>
      <c r="Z48" s="689"/>
      <c r="AA48" s="963"/>
      <c r="AB48" s="964"/>
      <c r="AC48" s="660" t="s">
        <v>2630</v>
      </c>
      <c r="AD48" s="715" t="s">
        <v>2626</v>
      </c>
      <c r="AE48" s="715" t="s">
        <v>2627</v>
      </c>
    </row>
    <row r="49" spans="1:31" s="1" customFormat="1">
      <c r="A49" s="965" t="s">
        <v>3653</v>
      </c>
      <c r="B49" s="685" t="s">
        <v>3655</v>
      </c>
      <c r="C49" s="990">
        <v>1</v>
      </c>
      <c r="D49" s="998" t="s">
        <v>3620</v>
      </c>
      <c r="E49" s="977">
        <v>360</v>
      </c>
      <c r="F49" s="966"/>
      <c r="G49" s="647">
        <f t="shared" ref="G49:G72" si="1">E49-(E49*F49)</f>
        <v>360</v>
      </c>
      <c r="H49" s="688"/>
      <c r="I49" s="215"/>
      <c r="J49" s="215"/>
      <c r="K49" s="215"/>
      <c r="L49" s="44"/>
      <c r="M49" s="41" t="s">
        <v>2630</v>
      </c>
      <c r="N49" s="14" t="s">
        <v>2626</v>
      </c>
      <c r="O49" s="14" t="s">
        <v>2627</v>
      </c>
      <c r="P49" s="958" t="s">
        <v>2726</v>
      </c>
      <c r="Q49" s="959" t="s">
        <v>2727</v>
      </c>
      <c r="R49" s="960">
        <v>1</v>
      </c>
      <c r="S49" s="825" t="s">
        <v>2646</v>
      </c>
      <c r="T49" s="810" t="s">
        <v>2728</v>
      </c>
      <c r="U49" s="825">
        <v>213.33</v>
      </c>
      <c r="V49" s="961"/>
      <c r="W49" s="825">
        <v>213.33</v>
      </c>
      <c r="X49" s="962"/>
      <c r="Y49" s="689"/>
      <c r="Z49" s="689"/>
      <c r="AA49" s="963"/>
      <c r="AB49" s="964"/>
      <c r="AC49" s="660" t="s">
        <v>2630</v>
      </c>
      <c r="AD49" s="715" t="s">
        <v>2626</v>
      </c>
      <c r="AE49" s="715" t="s">
        <v>2627</v>
      </c>
    </row>
    <row r="50" spans="1:31" s="1" customFormat="1">
      <c r="A50" s="965" t="s">
        <v>3654</v>
      </c>
      <c r="B50" s="685" t="s">
        <v>3656</v>
      </c>
      <c r="C50" s="990">
        <v>1</v>
      </c>
      <c r="D50" s="998" t="s">
        <v>3620</v>
      </c>
      <c r="E50" s="977">
        <v>550</v>
      </c>
      <c r="F50" s="966"/>
      <c r="G50" s="647">
        <f t="shared" ref="G50" si="2">E50-(E50*F50)</f>
        <v>550</v>
      </c>
      <c r="H50" s="688"/>
      <c r="I50" s="215"/>
      <c r="J50" s="215"/>
      <c r="K50" s="215"/>
      <c r="L50" s="44"/>
      <c r="M50" s="41" t="s">
        <v>2630</v>
      </c>
      <c r="N50" s="14" t="s">
        <v>2626</v>
      </c>
      <c r="O50" s="14" t="s">
        <v>2627</v>
      </c>
      <c r="P50" s="958" t="s">
        <v>2729</v>
      </c>
      <c r="Q50" s="959" t="s">
        <v>2730</v>
      </c>
      <c r="R50" s="960">
        <v>1</v>
      </c>
      <c r="S50" s="825" t="s">
        <v>2646</v>
      </c>
      <c r="T50" s="810" t="s">
        <v>2731</v>
      </c>
      <c r="U50" s="825">
        <v>293.33</v>
      </c>
      <c r="V50" s="961"/>
      <c r="W50" s="825">
        <v>293.33</v>
      </c>
      <c r="X50" s="962"/>
      <c r="Y50" s="689"/>
      <c r="Z50" s="689"/>
      <c r="AA50" s="963"/>
      <c r="AB50" s="964"/>
      <c r="AC50" s="660" t="s">
        <v>2630</v>
      </c>
      <c r="AD50" s="715" t="s">
        <v>2626</v>
      </c>
      <c r="AE50" s="715" t="s">
        <v>2627</v>
      </c>
    </row>
    <row r="51" spans="1:31" s="1" customFormat="1">
      <c r="A51" s="965" t="s">
        <v>3657</v>
      </c>
      <c r="B51" s="685" t="s">
        <v>3661</v>
      </c>
      <c r="C51" s="990">
        <v>1</v>
      </c>
      <c r="D51" s="998" t="s">
        <v>3620</v>
      </c>
      <c r="E51" s="977">
        <v>840</v>
      </c>
      <c r="F51" s="31"/>
      <c r="G51" s="647">
        <f t="shared" si="1"/>
        <v>840</v>
      </c>
      <c r="H51" s="24"/>
      <c r="I51" s="22"/>
      <c r="J51" s="22"/>
      <c r="K51" s="25"/>
      <c r="L51" s="44"/>
      <c r="M51" s="41" t="s">
        <v>2630</v>
      </c>
      <c r="N51" s="14" t="s">
        <v>2626</v>
      </c>
      <c r="O51" s="14" t="s">
        <v>2627</v>
      </c>
      <c r="P51" s="958" t="s">
        <v>2732</v>
      </c>
      <c r="Q51" s="959" t="s">
        <v>2733</v>
      </c>
      <c r="R51" s="960">
        <v>1</v>
      </c>
      <c r="S51" s="825" t="s">
        <v>2646</v>
      </c>
      <c r="T51" s="810" t="s">
        <v>2734</v>
      </c>
      <c r="U51" s="825">
        <v>426.67</v>
      </c>
      <c r="V51" s="961"/>
      <c r="W51" s="825">
        <v>426.67</v>
      </c>
      <c r="X51" s="962"/>
      <c r="Y51" s="689"/>
      <c r="Z51" s="689"/>
      <c r="AA51" s="963"/>
      <c r="AB51" s="964"/>
      <c r="AC51" s="660" t="s">
        <v>2630</v>
      </c>
      <c r="AD51" s="715" t="s">
        <v>2626</v>
      </c>
      <c r="AE51" s="715" t="s">
        <v>2627</v>
      </c>
    </row>
    <row r="52" spans="1:31" s="1" customFormat="1">
      <c r="A52" s="965" t="s">
        <v>3658</v>
      </c>
      <c r="B52" s="685" t="s">
        <v>3662</v>
      </c>
      <c r="C52" s="990">
        <v>1</v>
      </c>
      <c r="D52" s="998" t="s">
        <v>3620</v>
      </c>
      <c r="E52" s="977">
        <v>360</v>
      </c>
      <c r="F52" s="31"/>
      <c r="G52" s="647">
        <f t="shared" si="1"/>
        <v>360</v>
      </c>
      <c r="H52" s="24"/>
      <c r="I52" s="22"/>
      <c r="J52" s="22"/>
      <c r="K52" s="25"/>
      <c r="L52" s="44"/>
      <c r="M52" s="41" t="s">
        <v>2630</v>
      </c>
      <c r="N52" s="14" t="s">
        <v>2626</v>
      </c>
      <c r="O52" s="14" t="s">
        <v>2627</v>
      </c>
      <c r="P52" s="958" t="s">
        <v>2735</v>
      </c>
      <c r="Q52" s="959" t="s">
        <v>2736</v>
      </c>
      <c r="R52" s="960">
        <v>1</v>
      </c>
      <c r="S52" s="825" t="s">
        <v>2646</v>
      </c>
      <c r="T52" s="810" t="s">
        <v>2737</v>
      </c>
      <c r="U52" s="825">
        <v>226.67</v>
      </c>
      <c r="V52" s="961"/>
      <c r="W52" s="825">
        <v>226.67</v>
      </c>
      <c r="X52" s="962"/>
      <c r="Y52" s="689"/>
      <c r="Z52" s="689"/>
      <c r="AA52" s="963"/>
      <c r="AB52" s="964"/>
      <c r="AC52" s="660" t="s">
        <v>2630</v>
      </c>
      <c r="AD52" s="715" t="s">
        <v>2626</v>
      </c>
      <c r="AE52" s="715" t="s">
        <v>2627</v>
      </c>
    </row>
    <row r="53" spans="1:31" s="1" customFormat="1">
      <c r="A53" s="965" t="s">
        <v>3659</v>
      </c>
      <c r="B53" s="685" t="s">
        <v>3663</v>
      </c>
      <c r="C53" s="990">
        <v>1</v>
      </c>
      <c r="D53" s="998" t="s">
        <v>3620</v>
      </c>
      <c r="E53" s="977">
        <v>550</v>
      </c>
      <c r="F53" s="31"/>
      <c r="G53" s="647">
        <f t="shared" si="1"/>
        <v>550</v>
      </c>
      <c r="H53" s="24"/>
      <c r="I53" s="22"/>
      <c r="J53" s="22"/>
      <c r="K53" s="25"/>
      <c r="L53" s="44"/>
      <c r="M53" s="41" t="s">
        <v>2630</v>
      </c>
      <c r="N53" s="14" t="s">
        <v>2626</v>
      </c>
      <c r="O53" s="14" t="s">
        <v>2627</v>
      </c>
      <c r="P53" s="958" t="s">
        <v>2738</v>
      </c>
      <c r="Q53" s="959" t="s">
        <v>2739</v>
      </c>
      <c r="R53" s="960">
        <v>1</v>
      </c>
      <c r="S53" s="825" t="s">
        <v>2646</v>
      </c>
      <c r="T53" s="810" t="s">
        <v>2740</v>
      </c>
      <c r="U53" s="825">
        <v>306.67</v>
      </c>
      <c r="V53" s="961"/>
      <c r="W53" s="825">
        <v>306.67</v>
      </c>
      <c r="X53" s="962"/>
      <c r="Y53" s="689"/>
      <c r="Z53" s="689"/>
      <c r="AA53" s="963"/>
      <c r="AB53" s="964"/>
      <c r="AC53" s="660" t="s">
        <v>2630</v>
      </c>
      <c r="AD53" s="715" t="s">
        <v>2626</v>
      </c>
      <c r="AE53" s="715" t="s">
        <v>2627</v>
      </c>
    </row>
    <row r="54" spans="1:31" s="1" customFormat="1">
      <c r="A54" s="965" t="s">
        <v>3660</v>
      </c>
      <c r="B54" s="685" t="s">
        <v>3664</v>
      </c>
      <c r="C54" s="990">
        <v>1</v>
      </c>
      <c r="D54" s="998" t="s">
        <v>3620</v>
      </c>
      <c r="E54" s="977">
        <v>840</v>
      </c>
      <c r="F54" s="31"/>
      <c r="G54" s="647">
        <f t="shared" si="1"/>
        <v>840</v>
      </c>
      <c r="H54" s="24"/>
      <c r="I54" s="22"/>
      <c r="J54" s="22"/>
      <c r="K54" s="25"/>
      <c r="L54" s="44"/>
      <c r="M54" s="41" t="s">
        <v>2630</v>
      </c>
      <c r="N54" s="14" t="s">
        <v>2626</v>
      </c>
      <c r="O54" s="14" t="s">
        <v>2627</v>
      </c>
      <c r="P54" s="958" t="s">
        <v>2741</v>
      </c>
      <c r="Q54" s="959" t="s">
        <v>2742</v>
      </c>
      <c r="R54" s="960">
        <v>1</v>
      </c>
      <c r="S54" s="825" t="s">
        <v>2646</v>
      </c>
      <c r="T54" s="810" t="s">
        <v>2743</v>
      </c>
      <c r="U54" s="825">
        <v>453.33</v>
      </c>
      <c r="V54" s="961"/>
      <c r="W54" s="825">
        <v>453.33</v>
      </c>
      <c r="X54" s="962"/>
      <c r="Y54" s="689"/>
      <c r="Z54" s="689"/>
      <c r="AA54" s="963"/>
      <c r="AB54" s="964"/>
      <c r="AC54" s="660" t="s">
        <v>2630</v>
      </c>
      <c r="AD54" s="715" t="s">
        <v>2626</v>
      </c>
      <c r="AE54" s="715" t="s">
        <v>2627</v>
      </c>
    </row>
    <row r="55" spans="1:31" s="1" customFormat="1">
      <c r="A55" s="23"/>
      <c r="B55" s="48"/>
      <c r="C55" s="988"/>
      <c r="D55" s="996"/>
      <c r="E55" s="975"/>
      <c r="F55" s="31"/>
      <c r="G55" s="28"/>
      <c r="H55" s="24"/>
      <c r="I55" s="22"/>
      <c r="J55" s="22"/>
      <c r="K55" s="25"/>
      <c r="L55" s="44"/>
      <c r="M55" s="41"/>
      <c r="N55" s="14"/>
      <c r="O55" s="14"/>
      <c r="P55" s="958" t="s">
        <v>2744</v>
      </c>
      <c r="Q55" s="959" t="s">
        <v>2745</v>
      </c>
      <c r="R55" s="960">
        <v>1</v>
      </c>
      <c r="S55" s="825" t="s">
        <v>2646</v>
      </c>
      <c r="T55" s="810" t="s">
        <v>2746</v>
      </c>
      <c r="U55" s="825">
        <v>186.67</v>
      </c>
      <c r="V55" s="961"/>
      <c r="W55" s="825">
        <v>186.67</v>
      </c>
      <c r="X55" s="962"/>
      <c r="Y55" s="689"/>
      <c r="Z55" s="689"/>
      <c r="AA55" s="963"/>
      <c r="AB55" s="964"/>
      <c r="AC55" s="660" t="s">
        <v>2630</v>
      </c>
      <c r="AD55" s="715" t="s">
        <v>2626</v>
      </c>
      <c r="AE55" s="715" t="s">
        <v>2627</v>
      </c>
    </row>
    <row r="56" spans="1:31" s="1" customFormat="1">
      <c r="A56" s="23"/>
      <c r="B56" s="48"/>
      <c r="C56" s="988"/>
      <c r="D56" s="996"/>
      <c r="E56" s="975"/>
      <c r="F56" s="31"/>
      <c r="G56" s="28"/>
      <c r="H56" s="24"/>
      <c r="I56" s="22"/>
      <c r="J56" s="22"/>
      <c r="K56" s="25"/>
      <c r="L56" s="44"/>
      <c r="M56" s="41"/>
      <c r="N56" s="14"/>
      <c r="O56" s="14"/>
      <c r="P56" s="958" t="s">
        <v>2747</v>
      </c>
      <c r="Q56" s="959" t="s">
        <v>2748</v>
      </c>
      <c r="R56" s="960">
        <v>1</v>
      </c>
      <c r="S56" s="825" t="s">
        <v>2646</v>
      </c>
      <c r="T56" s="810" t="s">
        <v>2749</v>
      </c>
      <c r="U56" s="825">
        <v>273.33</v>
      </c>
      <c r="V56" s="961"/>
      <c r="W56" s="825">
        <v>273.33</v>
      </c>
      <c r="X56" s="962"/>
      <c r="Y56" s="689"/>
      <c r="Z56" s="689"/>
      <c r="AA56" s="963"/>
      <c r="AB56" s="964"/>
      <c r="AC56" s="660" t="s">
        <v>2630</v>
      </c>
      <c r="AD56" s="715" t="s">
        <v>2626</v>
      </c>
      <c r="AE56" s="715" t="s">
        <v>2627</v>
      </c>
    </row>
    <row r="57" spans="1:31" s="1" customFormat="1">
      <c r="A57" s="23"/>
      <c r="B57" s="48"/>
      <c r="C57" s="988"/>
      <c r="D57" s="996"/>
      <c r="E57" s="975"/>
      <c r="F57" s="31"/>
      <c r="G57" s="28"/>
      <c r="H57" s="24"/>
      <c r="I57" s="22"/>
      <c r="J57" s="22"/>
      <c r="K57" s="25"/>
      <c r="L57" s="44"/>
      <c r="M57" s="41"/>
      <c r="N57" s="14"/>
      <c r="O57" s="14"/>
      <c r="P57" s="958" t="s">
        <v>2750</v>
      </c>
      <c r="Q57" s="959" t="s">
        <v>2751</v>
      </c>
      <c r="R57" s="960">
        <v>1</v>
      </c>
      <c r="S57" s="825" t="s">
        <v>2646</v>
      </c>
      <c r="T57" s="810" t="s">
        <v>2752</v>
      </c>
      <c r="U57" s="825">
        <v>400</v>
      </c>
      <c r="V57" s="961"/>
      <c r="W57" s="825">
        <v>400</v>
      </c>
      <c r="X57" s="962"/>
      <c r="Y57" s="689"/>
      <c r="Z57" s="689"/>
      <c r="AA57" s="963"/>
      <c r="AB57" s="964"/>
      <c r="AC57" s="660" t="s">
        <v>2630</v>
      </c>
      <c r="AD57" s="715" t="s">
        <v>2626</v>
      </c>
      <c r="AE57" s="715" t="s">
        <v>2627</v>
      </c>
    </row>
    <row r="58" spans="1:31" s="1" customFormat="1">
      <c r="A58" s="86" t="s">
        <v>2753</v>
      </c>
      <c r="B58" s="189" t="s">
        <v>2754</v>
      </c>
      <c r="C58" s="991">
        <v>1</v>
      </c>
      <c r="D58" s="999" t="s">
        <v>114</v>
      </c>
      <c r="E58" s="979">
        <v>782.67</v>
      </c>
      <c r="F58" s="275"/>
      <c r="G58" s="88">
        <f t="shared" si="1"/>
        <v>782.67</v>
      </c>
      <c r="H58" s="24"/>
      <c r="I58" s="22"/>
      <c r="J58" s="22"/>
      <c r="K58" s="25"/>
      <c r="L58" s="44"/>
      <c r="M58" s="41" t="s">
        <v>2630</v>
      </c>
      <c r="N58" s="14" t="s">
        <v>2626</v>
      </c>
      <c r="O58" s="14" t="s">
        <v>2627</v>
      </c>
      <c r="P58" s="86" t="s">
        <v>2753</v>
      </c>
      <c r="Q58" s="189" t="s">
        <v>2754</v>
      </c>
      <c r="R58" s="204">
        <v>1</v>
      </c>
      <c r="S58" s="205" t="s">
        <v>114</v>
      </c>
      <c r="T58" s="87" t="s">
        <v>2753</v>
      </c>
      <c r="U58" s="88">
        <v>782.67</v>
      </c>
      <c r="V58" s="275"/>
      <c r="W58" s="88">
        <v>782.67</v>
      </c>
      <c r="X58" s="24"/>
      <c r="Y58" s="22"/>
      <c r="Z58" s="22"/>
      <c r="AA58" s="25"/>
      <c r="AB58" s="44"/>
      <c r="AC58" s="41" t="s">
        <v>2630</v>
      </c>
      <c r="AD58" s="14" t="s">
        <v>2626</v>
      </c>
      <c r="AE58" s="14" t="s">
        <v>2627</v>
      </c>
    </row>
    <row r="59" spans="1:31" s="1" customFormat="1" ht="14.25">
      <c r="A59" s="86" t="s">
        <v>2763</v>
      </c>
      <c r="B59" s="276" t="s">
        <v>2764</v>
      </c>
      <c r="C59" s="277">
        <v>1</v>
      </c>
      <c r="D59" s="999" t="s">
        <v>114</v>
      </c>
      <c r="E59" s="979">
        <v>391.3</v>
      </c>
      <c r="F59" s="279"/>
      <c r="G59" s="171">
        <f t="shared" ref="G59" si="3">E59-(E59*F59)</f>
        <v>391.3</v>
      </c>
      <c r="H59" s="24"/>
      <c r="I59" s="22"/>
      <c r="J59" s="22"/>
      <c r="K59" s="25"/>
      <c r="L59" s="44"/>
      <c r="M59" s="41" t="s">
        <v>2630</v>
      </c>
      <c r="N59" s="14" t="s">
        <v>2626</v>
      </c>
      <c r="O59" s="14" t="s">
        <v>2627</v>
      </c>
      <c r="P59" s="86" t="s">
        <v>2763</v>
      </c>
      <c r="Q59" s="276" t="s">
        <v>2764</v>
      </c>
      <c r="R59" s="277">
        <v>1</v>
      </c>
      <c r="S59" s="278" t="s">
        <v>114</v>
      </c>
      <c r="T59" s="278" t="s">
        <v>2763</v>
      </c>
      <c r="U59" s="88">
        <v>391.3</v>
      </c>
      <c r="V59" s="279"/>
      <c r="W59" s="171">
        <v>391.3</v>
      </c>
      <c r="X59" s="24"/>
      <c r="Y59" s="22"/>
      <c r="Z59" s="22"/>
      <c r="AA59" s="25"/>
      <c r="AB59" s="44"/>
      <c r="AC59" s="41" t="s">
        <v>2630</v>
      </c>
      <c r="AD59" s="14" t="s">
        <v>2626</v>
      </c>
      <c r="AE59" s="14" t="s">
        <v>2627</v>
      </c>
    </row>
    <row r="60" spans="1:31" s="1" customFormat="1">
      <c r="A60" s="86" t="s">
        <v>2755</v>
      </c>
      <c r="B60" s="189" t="s">
        <v>2756</v>
      </c>
      <c r="C60" s="991">
        <v>1</v>
      </c>
      <c r="D60" s="999" t="s">
        <v>114</v>
      </c>
      <c r="E60" s="979">
        <v>86.67</v>
      </c>
      <c r="F60" s="275"/>
      <c r="G60" s="88">
        <f t="shared" si="1"/>
        <v>86.67</v>
      </c>
      <c r="H60" s="24"/>
      <c r="I60" s="22"/>
      <c r="J60" s="22"/>
      <c r="K60" s="25"/>
      <c r="L60" s="44"/>
      <c r="M60" s="41" t="s">
        <v>2630</v>
      </c>
      <c r="N60" s="14" t="s">
        <v>2626</v>
      </c>
      <c r="O60" s="14" t="s">
        <v>2627</v>
      </c>
      <c r="P60" s="86" t="s">
        <v>2755</v>
      </c>
      <c r="Q60" s="189" t="s">
        <v>2756</v>
      </c>
      <c r="R60" s="204">
        <v>1</v>
      </c>
      <c r="S60" s="205" t="s">
        <v>114</v>
      </c>
      <c r="T60" s="87" t="s">
        <v>2755</v>
      </c>
      <c r="U60" s="88">
        <v>86.67</v>
      </c>
      <c r="V60" s="275"/>
      <c r="W60" s="88">
        <v>86.67</v>
      </c>
      <c r="X60" s="24"/>
      <c r="Y60" s="22"/>
      <c r="Z60" s="22"/>
      <c r="AA60" s="25"/>
      <c r="AB60" s="44"/>
      <c r="AC60" s="41" t="s">
        <v>2630</v>
      </c>
      <c r="AD60" s="14" t="s">
        <v>2626</v>
      </c>
      <c r="AE60" s="14" t="s">
        <v>2627</v>
      </c>
    </row>
    <row r="61" spans="1:31" s="1" customFormat="1">
      <c r="A61" s="86" t="s">
        <v>2757</v>
      </c>
      <c r="B61" s="189" t="s">
        <v>2758</v>
      </c>
      <c r="C61" s="991">
        <v>1</v>
      </c>
      <c r="D61" s="999" t="s">
        <v>114</v>
      </c>
      <c r="E61" s="979">
        <v>326.67</v>
      </c>
      <c r="F61" s="275"/>
      <c r="G61" s="88">
        <f t="shared" si="1"/>
        <v>326.67</v>
      </c>
      <c r="H61" s="24"/>
      <c r="I61" s="22"/>
      <c r="J61" s="22"/>
      <c r="K61" s="25"/>
      <c r="L61" s="44"/>
      <c r="M61" s="41" t="s">
        <v>2630</v>
      </c>
      <c r="N61" s="14" t="s">
        <v>2626</v>
      </c>
      <c r="O61" s="14" t="s">
        <v>2627</v>
      </c>
      <c r="P61" s="86" t="s">
        <v>2757</v>
      </c>
      <c r="Q61" s="189" t="s">
        <v>2758</v>
      </c>
      <c r="R61" s="204">
        <v>1</v>
      </c>
      <c r="S61" s="205" t="s">
        <v>114</v>
      </c>
      <c r="T61" s="87" t="s">
        <v>2757</v>
      </c>
      <c r="U61" s="88">
        <v>326.67</v>
      </c>
      <c r="V61" s="275"/>
      <c r="W61" s="88">
        <v>326.67</v>
      </c>
      <c r="X61" s="24"/>
      <c r="Y61" s="22"/>
      <c r="Z61" s="22"/>
      <c r="AA61" s="25"/>
      <c r="AB61" s="44"/>
      <c r="AC61" s="41" t="s">
        <v>2630</v>
      </c>
      <c r="AD61" s="14" t="s">
        <v>2626</v>
      </c>
      <c r="AE61" s="14" t="s">
        <v>2627</v>
      </c>
    </row>
    <row r="62" spans="1:31" s="1" customFormat="1">
      <c r="A62" s="86" t="s">
        <v>2759</v>
      </c>
      <c r="B62" s="189" t="s">
        <v>2760</v>
      </c>
      <c r="C62" s="991">
        <v>1</v>
      </c>
      <c r="D62" s="999" t="s">
        <v>114</v>
      </c>
      <c r="E62" s="979">
        <v>649.33000000000004</v>
      </c>
      <c r="F62" s="275"/>
      <c r="G62" s="88">
        <f t="shared" si="1"/>
        <v>649.33000000000004</v>
      </c>
      <c r="H62" s="24"/>
      <c r="I62" s="22"/>
      <c r="J62" s="22"/>
      <c r="K62" s="25"/>
      <c r="L62" s="44"/>
      <c r="M62" s="41" t="s">
        <v>2630</v>
      </c>
      <c r="N62" s="14" t="s">
        <v>2626</v>
      </c>
      <c r="O62" s="14" t="s">
        <v>2627</v>
      </c>
      <c r="P62" s="86" t="s">
        <v>2759</v>
      </c>
      <c r="Q62" s="189" t="s">
        <v>2760</v>
      </c>
      <c r="R62" s="204">
        <v>1</v>
      </c>
      <c r="S62" s="205" t="s">
        <v>114</v>
      </c>
      <c r="T62" s="206" t="s">
        <v>2759</v>
      </c>
      <c r="U62" s="171">
        <v>649.33000000000004</v>
      </c>
      <c r="V62" s="275"/>
      <c r="W62" s="88">
        <v>649.33000000000004</v>
      </c>
      <c r="X62" s="24"/>
      <c r="Y62" s="22"/>
      <c r="Z62" s="22"/>
      <c r="AA62" s="25"/>
      <c r="AB62" s="44"/>
      <c r="AC62" s="41" t="s">
        <v>2630</v>
      </c>
      <c r="AD62" s="14" t="s">
        <v>2626</v>
      </c>
      <c r="AE62" s="14" t="s">
        <v>2627</v>
      </c>
    </row>
    <row r="63" spans="1:31" s="1" customFormat="1">
      <c r="A63" s="86" t="s">
        <v>2761</v>
      </c>
      <c r="B63" s="189" t="s">
        <v>2762</v>
      </c>
      <c r="C63" s="991">
        <v>1</v>
      </c>
      <c r="D63" s="999" t="s">
        <v>114</v>
      </c>
      <c r="E63" s="979">
        <v>173.33</v>
      </c>
      <c r="F63" s="275"/>
      <c r="G63" s="88">
        <f t="shared" si="1"/>
        <v>173.33</v>
      </c>
      <c r="H63" s="24"/>
      <c r="I63" s="22"/>
      <c r="J63" s="22"/>
      <c r="K63" s="25"/>
      <c r="L63" s="44"/>
      <c r="M63" s="41" t="s">
        <v>2630</v>
      </c>
      <c r="N63" s="14" t="s">
        <v>2626</v>
      </c>
      <c r="O63" s="14" t="s">
        <v>2627</v>
      </c>
      <c r="P63" s="86" t="s">
        <v>2761</v>
      </c>
      <c r="Q63" s="189" t="s">
        <v>2762</v>
      </c>
      <c r="R63" s="204">
        <v>1</v>
      </c>
      <c r="S63" s="205" t="s">
        <v>114</v>
      </c>
      <c r="T63" s="87" t="s">
        <v>2761</v>
      </c>
      <c r="U63" s="88">
        <v>173.33</v>
      </c>
      <c r="V63" s="275"/>
      <c r="W63" s="88">
        <v>173.33</v>
      </c>
      <c r="X63" s="24"/>
      <c r="Y63" s="22"/>
      <c r="Z63" s="22"/>
      <c r="AA63" s="25"/>
      <c r="AB63" s="44"/>
      <c r="AC63" s="41" t="s">
        <v>2630</v>
      </c>
      <c r="AD63" s="14" t="s">
        <v>2626</v>
      </c>
      <c r="AE63" s="14" t="s">
        <v>2627</v>
      </c>
    </row>
    <row r="64" spans="1:31" s="1" customFormat="1">
      <c r="A64" s="23"/>
      <c r="B64" s="48"/>
      <c r="C64" s="988"/>
      <c r="D64" s="996"/>
      <c r="E64" s="975"/>
      <c r="F64" s="31"/>
      <c r="G64" s="28"/>
      <c r="H64" s="24"/>
      <c r="I64" s="22"/>
      <c r="J64" s="22"/>
      <c r="K64" s="25"/>
      <c r="L64" s="44"/>
      <c r="M64" s="41"/>
      <c r="N64" s="14"/>
      <c r="O64" s="14"/>
      <c r="P64" s="958" t="s">
        <v>2765</v>
      </c>
      <c r="Q64" s="959" t="s">
        <v>2766</v>
      </c>
      <c r="R64" s="960">
        <v>1</v>
      </c>
      <c r="S64" s="825" t="s">
        <v>2646</v>
      </c>
      <c r="T64" s="810" t="s">
        <v>2765</v>
      </c>
      <c r="U64" s="825">
        <v>733.33</v>
      </c>
      <c r="V64" s="961"/>
      <c r="W64" s="825">
        <v>733.33</v>
      </c>
      <c r="X64" s="962"/>
      <c r="Y64" s="689"/>
      <c r="Z64" s="689"/>
      <c r="AA64" s="963"/>
      <c r="AB64" s="964"/>
      <c r="AC64" s="660" t="s">
        <v>2630</v>
      </c>
      <c r="AD64" s="715" t="s">
        <v>2626</v>
      </c>
      <c r="AE64" s="715" t="s">
        <v>2627</v>
      </c>
    </row>
    <row r="65" spans="1:31" s="1" customFormat="1">
      <c r="A65" s="23"/>
      <c r="B65" s="48"/>
      <c r="C65" s="988"/>
      <c r="D65" s="996"/>
      <c r="E65" s="975"/>
      <c r="F65" s="31"/>
      <c r="G65" s="28"/>
      <c r="H65" s="24"/>
      <c r="I65" s="22"/>
      <c r="J65" s="22"/>
      <c r="K65" s="25"/>
      <c r="L65" s="44"/>
      <c r="M65" s="41"/>
      <c r="N65" s="14"/>
      <c r="O65" s="14"/>
      <c r="P65" s="958" t="s">
        <v>2767</v>
      </c>
      <c r="Q65" s="959" t="s">
        <v>2768</v>
      </c>
      <c r="R65" s="960">
        <v>1</v>
      </c>
      <c r="S65" s="825" t="s">
        <v>2646</v>
      </c>
      <c r="T65" s="810" t="s">
        <v>2767</v>
      </c>
      <c r="U65" s="825">
        <v>466.67</v>
      </c>
      <c r="V65" s="961"/>
      <c r="W65" s="825">
        <v>466.67</v>
      </c>
      <c r="X65" s="962"/>
      <c r="Y65" s="689"/>
      <c r="Z65" s="689"/>
      <c r="AA65" s="963"/>
      <c r="AB65" s="964"/>
      <c r="AC65" s="660" t="s">
        <v>2630</v>
      </c>
      <c r="AD65" s="715" t="s">
        <v>2626</v>
      </c>
      <c r="AE65" s="715" t="s">
        <v>2627</v>
      </c>
    </row>
    <row r="66" spans="1:31" s="1" customFormat="1">
      <c r="A66" s="23" t="s">
        <v>2769</v>
      </c>
      <c r="B66" s="48" t="s">
        <v>2770</v>
      </c>
      <c r="C66" s="988">
        <v>1</v>
      </c>
      <c r="D66" s="996" t="s">
        <v>114</v>
      </c>
      <c r="E66" s="975">
        <v>11072</v>
      </c>
      <c r="F66" s="31"/>
      <c r="G66" s="28">
        <f t="shared" si="1"/>
        <v>11072</v>
      </c>
      <c r="H66" s="24"/>
      <c r="I66" s="22"/>
      <c r="J66" s="22"/>
      <c r="K66" s="25"/>
      <c r="L66" s="44"/>
      <c r="M66" s="41" t="s">
        <v>2630</v>
      </c>
      <c r="N66" s="14" t="s">
        <v>2626</v>
      </c>
      <c r="O66" s="14" t="s">
        <v>2627</v>
      </c>
      <c r="P66" s="23" t="s">
        <v>2769</v>
      </c>
      <c r="Q66" s="48" t="s">
        <v>2770</v>
      </c>
      <c r="R66" s="49">
        <v>1</v>
      </c>
      <c r="S66" s="28" t="s">
        <v>114</v>
      </c>
      <c r="T66" s="26" t="s">
        <v>2769</v>
      </c>
      <c r="U66" s="28">
        <v>11072</v>
      </c>
      <c r="V66" s="31"/>
      <c r="W66" s="28">
        <v>11072</v>
      </c>
      <c r="X66" s="24"/>
      <c r="Y66" s="22"/>
      <c r="Z66" s="22"/>
      <c r="AA66" s="25"/>
      <c r="AB66" s="44"/>
      <c r="AC66" s="41" t="s">
        <v>2630</v>
      </c>
      <c r="AD66" s="14" t="s">
        <v>2626</v>
      </c>
      <c r="AE66" s="14" t="s">
        <v>2627</v>
      </c>
    </row>
    <row r="67" spans="1:31" s="1" customFormat="1">
      <c r="A67" s="23" t="s">
        <v>2771</v>
      </c>
      <c r="B67" s="48" t="s">
        <v>2772</v>
      </c>
      <c r="C67" s="988">
        <v>1</v>
      </c>
      <c r="D67" s="996" t="s">
        <v>2773</v>
      </c>
      <c r="E67" s="975">
        <v>6.67</v>
      </c>
      <c r="F67" s="31"/>
      <c r="G67" s="28">
        <f t="shared" si="1"/>
        <v>6.67</v>
      </c>
      <c r="H67" s="24"/>
      <c r="I67" s="22"/>
      <c r="J67" s="22"/>
      <c r="K67" s="25"/>
      <c r="L67" s="44"/>
      <c r="M67" s="41" t="s">
        <v>2630</v>
      </c>
      <c r="N67" s="14" t="s">
        <v>2626</v>
      </c>
      <c r="O67" s="14" t="s">
        <v>2627</v>
      </c>
      <c r="P67" s="23" t="s">
        <v>2771</v>
      </c>
      <c r="Q67" s="48" t="s">
        <v>2772</v>
      </c>
      <c r="R67" s="49">
        <v>1</v>
      </c>
      <c r="S67" s="28" t="s">
        <v>2773</v>
      </c>
      <c r="T67" s="26" t="s">
        <v>2771</v>
      </c>
      <c r="U67" s="28">
        <v>6.67</v>
      </c>
      <c r="V67" s="31"/>
      <c r="W67" s="28">
        <v>6.67</v>
      </c>
      <c r="X67" s="24"/>
      <c r="Y67" s="22"/>
      <c r="Z67" s="22"/>
      <c r="AA67" s="25"/>
      <c r="AB67" s="44"/>
      <c r="AC67" s="41" t="s">
        <v>2630</v>
      </c>
      <c r="AD67" s="14" t="s">
        <v>2626</v>
      </c>
      <c r="AE67" s="14" t="s">
        <v>2627</v>
      </c>
    </row>
    <row r="68" spans="1:31" s="1" customFormat="1">
      <c r="A68" s="23" t="s">
        <v>2774</v>
      </c>
      <c r="B68" s="48" t="s">
        <v>2775</v>
      </c>
      <c r="C68" s="988">
        <v>1</v>
      </c>
      <c r="D68" s="996" t="s">
        <v>2773</v>
      </c>
      <c r="E68" s="975">
        <v>440</v>
      </c>
      <c r="F68" s="31"/>
      <c r="G68" s="28">
        <f t="shared" si="1"/>
        <v>440</v>
      </c>
      <c r="H68" s="24"/>
      <c r="I68" s="22"/>
      <c r="J68" s="22"/>
      <c r="K68" s="25"/>
      <c r="L68" s="44"/>
      <c r="M68" s="41" t="s">
        <v>2630</v>
      </c>
      <c r="N68" s="14" t="s">
        <v>2626</v>
      </c>
      <c r="O68" s="14" t="s">
        <v>2627</v>
      </c>
      <c r="P68" s="23" t="s">
        <v>2774</v>
      </c>
      <c r="Q68" s="48" t="s">
        <v>2775</v>
      </c>
      <c r="R68" s="49">
        <v>1</v>
      </c>
      <c r="S68" s="28" t="s">
        <v>2773</v>
      </c>
      <c r="T68" s="26" t="s">
        <v>2774</v>
      </c>
      <c r="U68" s="28">
        <v>440</v>
      </c>
      <c r="V68" s="31"/>
      <c r="W68" s="28">
        <v>440</v>
      </c>
      <c r="X68" s="24"/>
      <c r="Y68" s="22"/>
      <c r="Z68" s="22"/>
      <c r="AA68" s="25"/>
      <c r="AB68" s="44"/>
      <c r="AC68" s="41" t="s">
        <v>2630</v>
      </c>
      <c r="AD68" s="14" t="s">
        <v>2626</v>
      </c>
      <c r="AE68" s="14" t="s">
        <v>2627</v>
      </c>
    </row>
    <row r="69" spans="1:31" s="1" customFormat="1">
      <c r="A69" s="23" t="s">
        <v>2776</v>
      </c>
      <c r="B69" s="48" t="s">
        <v>2777</v>
      </c>
      <c r="C69" s="988">
        <v>1</v>
      </c>
      <c r="D69" s="996" t="s">
        <v>2773</v>
      </c>
      <c r="E69" s="975">
        <v>600</v>
      </c>
      <c r="F69" s="31"/>
      <c r="G69" s="28">
        <f t="shared" si="1"/>
        <v>600</v>
      </c>
      <c r="H69" s="24"/>
      <c r="I69" s="22"/>
      <c r="J69" s="22"/>
      <c r="K69" s="25"/>
      <c r="L69" s="44"/>
      <c r="M69" s="41" t="s">
        <v>2630</v>
      </c>
      <c r="N69" s="14" t="s">
        <v>2626</v>
      </c>
      <c r="O69" s="14" t="s">
        <v>2627</v>
      </c>
      <c r="P69" s="23" t="s">
        <v>2776</v>
      </c>
      <c r="Q69" s="48" t="s">
        <v>2777</v>
      </c>
      <c r="R69" s="49">
        <v>1</v>
      </c>
      <c r="S69" s="28" t="s">
        <v>2773</v>
      </c>
      <c r="T69" s="26" t="s">
        <v>2776</v>
      </c>
      <c r="U69" s="28">
        <v>600</v>
      </c>
      <c r="V69" s="31"/>
      <c r="W69" s="28">
        <v>600</v>
      </c>
      <c r="X69" s="24"/>
      <c r="Y69" s="22"/>
      <c r="Z69" s="22"/>
      <c r="AA69" s="25"/>
      <c r="AB69" s="44"/>
      <c r="AC69" s="41" t="s">
        <v>2630</v>
      </c>
      <c r="AD69" s="14" t="s">
        <v>2626</v>
      </c>
      <c r="AE69" s="14" t="s">
        <v>2627</v>
      </c>
    </row>
    <row r="70" spans="1:31" s="1" customFormat="1">
      <c r="A70" s="23" t="s">
        <v>2778</v>
      </c>
      <c r="B70" s="48" t="s">
        <v>2779</v>
      </c>
      <c r="C70" s="988">
        <v>1</v>
      </c>
      <c r="D70" s="996" t="s">
        <v>2773</v>
      </c>
      <c r="E70" s="975">
        <v>520</v>
      </c>
      <c r="F70" s="31"/>
      <c r="G70" s="28">
        <f t="shared" si="1"/>
        <v>520</v>
      </c>
      <c r="H70" s="24"/>
      <c r="I70" s="22"/>
      <c r="J70" s="22"/>
      <c r="K70" s="25"/>
      <c r="L70" s="44"/>
      <c r="M70" s="41" t="s">
        <v>2630</v>
      </c>
      <c r="N70" s="14" t="s">
        <v>2626</v>
      </c>
      <c r="O70" s="14" t="s">
        <v>2627</v>
      </c>
      <c r="P70" s="23" t="s">
        <v>2778</v>
      </c>
      <c r="Q70" s="48" t="s">
        <v>2779</v>
      </c>
      <c r="R70" s="49">
        <v>1</v>
      </c>
      <c r="S70" s="28" t="s">
        <v>2773</v>
      </c>
      <c r="T70" s="26" t="s">
        <v>2778</v>
      </c>
      <c r="U70" s="28">
        <v>520</v>
      </c>
      <c r="V70" s="31"/>
      <c r="W70" s="28">
        <v>520</v>
      </c>
      <c r="X70" s="24"/>
      <c r="Y70" s="22"/>
      <c r="Z70" s="22"/>
      <c r="AA70" s="25"/>
      <c r="AB70" s="44"/>
      <c r="AC70" s="41" t="s">
        <v>2630</v>
      </c>
      <c r="AD70" s="14" t="s">
        <v>2626</v>
      </c>
      <c r="AE70" s="14" t="s">
        <v>2627</v>
      </c>
    </row>
    <row r="71" spans="1:31" s="1" customFormat="1">
      <c r="A71" s="23" t="s">
        <v>2780</v>
      </c>
      <c r="B71" s="48" t="s">
        <v>2781</v>
      </c>
      <c r="C71" s="988">
        <v>1</v>
      </c>
      <c r="D71" s="996" t="s">
        <v>2773</v>
      </c>
      <c r="E71" s="975">
        <v>1106.67</v>
      </c>
      <c r="F71" s="31"/>
      <c r="G71" s="28">
        <f t="shared" si="1"/>
        <v>1106.67</v>
      </c>
      <c r="H71" s="24"/>
      <c r="I71" s="22"/>
      <c r="J71" s="22"/>
      <c r="K71" s="25"/>
      <c r="L71" s="44"/>
      <c r="M71" s="41" t="s">
        <v>2630</v>
      </c>
      <c r="N71" s="14" t="s">
        <v>2626</v>
      </c>
      <c r="O71" s="14" t="s">
        <v>2627</v>
      </c>
      <c r="P71" s="23" t="s">
        <v>2780</v>
      </c>
      <c r="Q71" s="48" t="s">
        <v>2781</v>
      </c>
      <c r="R71" s="49">
        <v>1</v>
      </c>
      <c r="S71" s="28" t="s">
        <v>2773</v>
      </c>
      <c r="T71" s="26" t="s">
        <v>2780</v>
      </c>
      <c r="U71" s="28">
        <v>1106.67</v>
      </c>
      <c r="V71" s="31"/>
      <c r="W71" s="28">
        <v>1106.67</v>
      </c>
      <c r="X71" s="24"/>
      <c r="Y71" s="22"/>
      <c r="Z71" s="22"/>
      <c r="AA71" s="25"/>
      <c r="AB71" s="44"/>
      <c r="AC71" s="41" t="s">
        <v>2630</v>
      </c>
      <c r="AD71" s="14" t="s">
        <v>2626</v>
      </c>
      <c r="AE71" s="14" t="s">
        <v>2627</v>
      </c>
    </row>
    <row r="72" spans="1:31" s="1" customFormat="1">
      <c r="A72" s="23" t="s">
        <v>2782</v>
      </c>
      <c r="B72" s="48" t="s">
        <v>2783</v>
      </c>
      <c r="C72" s="988">
        <v>1</v>
      </c>
      <c r="D72" s="996" t="s">
        <v>2773</v>
      </c>
      <c r="E72" s="975">
        <v>333.33</v>
      </c>
      <c r="F72" s="31"/>
      <c r="G72" s="28">
        <f t="shared" si="1"/>
        <v>333.33</v>
      </c>
      <c r="H72" s="24"/>
      <c r="I72" s="22"/>
      <c r="J72" s="22"/>
      <c r="K72" s="25"/>
      <c r="L72" s="44"/>
      <c r="M72" s="41" t="s">
        <v>2630</v>
      </c>
      <c r="N72" s="14" t="s">
        <v>2626</v>
      </c>
      <c r="O72" s="14" t="s">
        <v>2627</v>
      </c>
      <c r="P72" s="23" t="s">
        <v>2782</v>
      </c>
      <c r="Q72" s="48" t="s">
        <v>2783</v>
      </c>
      <c r="R72" s="49">
        <v>1</v>
      </c>
      <c r="S72" s="28" t="s">
        <v>2773</v>
      </c>
      <c r="T72" s="26" t="s">
        <v>2782</v>
      </c>
      <c r="U72" s="28">
        <v>333.33</v>
      </c>
      <c r="V72" s="31"/>
      <c r="W72" s="28">
        <v>333.33</v>
      </c>
      <c r="X72" s="24"/>
      <c r="Y72" s="22"/>
      <c r="Z72" s="22"/>
      <c r="AA72" s="25"/>
      <c r="AB72" s="44"/>
      <c r="AC72" s="41" t="s">
        <v>2630</v>
      </c>
      <c r="AD72" s="14" t="s">
        <v>2626</v>
      </c>
      <c r="AE72" s="14" t="s">
        <v>2627</v>
      </c>
    </row>
    <row r="73" spans="1:31" s="1" customFormat="1">
      <c r="A73" s="23" t="s">
        <v>2784</v>
      </c>
      <c r="B73" s="48" t="s">
        <v>2785</v>
      </c>
      <c r="C73" s="988">
        <v>1</v>
      </c>
      <c r="D73" s="996" t="s">
        <v>2773</v>
      </c>
      <c r="E73" s="975">
        <v>326.67</v>
      </c>
      <c r="F73" s="31"/>
      <c r="G73" s="28">
        <f t="shared" ref="G73:G88" si="4">E73-(E73*F73)</f>
        <v>326.67</v>
      </c>
      <c r="H73" s="24"/>
      <c r="I73" s="22"/>
      <c r="J73" s="22"/>
      <c r="K73" s="25"/>
      <c r="L73" s="44"/>
      <c r="M73" s="41" t="s">
        <v>2630</v>
      </c>
      <c r="N73" s="14" t="s">
        <v>2626</v>
      </c>
      <c r="O73" s="14" t="s">
        <v>2627</v>
      </c>
      <c r="P73" s="23" t="s">
        <v>2784</v>
      </c>
      <c r="Q73" s="48" t="s">
        <v>2785</v>
      </c>
      <c r="R73" s="49">
        <v>1</v>
      </c>
      <c r="S73" s="28" t="s">
        <v>2773</v>
      </c>
      <c r="T73" s="26" t="s">
        <v>2784</v>
      </c>
      <c r="U73" s="28">
        <v>326.67</v>
      </c>
      <c r="V73" s="31"/>
      <c r="W73" s="28">
        <v>326.67</v>
      </c>
      <c r="X73" s="24"/>
      <c r="Y73" s="22"/>
      <c r="Z73" s="22"/>
      <c r="AA73" s="25"/>
      <c r="AB73" s="44"/>
      <c r="AC73" s="41" t="s">
        <v>2630</v>
      </c>
      <c r="AD73" s="14" t="s">
        <v>2626</v>
      </c>
      <c r="AE73" s="14" t="s">
        <v>2627</v>
      </c>
    </row>
    <row r="74" spans="1:31" s="1" customFormat="1">
      <c r="A74" s="23" t="s">
        <v>2786</v>
      </c>
      <c r="B74" s="48" t="s">
        <v>2787</v>
      </c>
      <c r="C74" s="988">
        <v>1</v>
      </c>
      <c r="D74" s="996" t="s">
        <v>2773</v>
      </c>
      <c r="E74" s="975">
        <v>126.67</v>
      </c>
      <c r="F74" s="31"/>
      <c r="G74" s="28">
        <f t="shared" si="4"/>
        <v>126.67</v>
      </c>
      <c r="H74" s="24"/>
      <c r="I74" s="22"/>
      <c r="J74" s="22"/>
      <c r="K74" s="25"/>
      <c r="L74" s="44"/>
      <c r="M74" s="41" t="s">
        <v>2630</v>
      </c>
      <c r="N74" s="14" t="s">
        <v>2626</v>
      </c>
      <c r="O74" s="14" t="s">
        <v>2627</v>
      </c>
      <c r="P74" s="23" t="s">
        <v>2786</v>
      </c>
      <c r="Q74" s="48" t="s">
        <v>2787</v>
      </c>
      <c r="R74" s="49">
        <v>1</v>
      </c>
      <c r="S74" s="28" t="s">
        <v>2773</v>
      </c>
      <c r="T74" s="26" t="s">
        <v>2786</v>
      </c>
      <c r="U74" s="28">
        <v>126.67</v>
      </c>
      <c r="V74" s="31"/>
      <c r="W74" s="28">
        <v>126.67</v>
      </c>
      <c r="X74" s="24"/>
      <c r="Y74" s="22"/>
      <c r="Z74" s="22"/>
      <c r="AA74" s="25"/>
      <c r="AB74" s="44"/>
      <c r="AC74" s="41" t="s">
        <v>2630</v>
      </c>
      <c r="AD74" s="14" t="s">
        <v>2626</v>
      </c>
      <c r="AE74" s="14" t="s">
        <v>2627</v>
      </c>
    </row>
    <row r="75" spans="1:31" s="1" customFormat="1">
      <c r="A75" s="23" t="s">
        <v>2788</v>
      </c>
      <c r="B75" s="48" t="s">
        <v>2789</v>
      </c>
      <c r="C75" s="988">
        <v>1</v>
      </c>
      <c r="D75" s="996" t="s">
        <v>2773</v>
      </c>
      <c r="E75" s="975">
        <v>126.67</v>
      </c>
      <c r="F75" s="31"/>
      <c r="G75" s="28">
        <f t="shared" si="4"/>
        <v>126.67</v>
      </c>
      <c r="H75" s="24"/>
      <c r="I75" s="22"/>
      <c r="J75" s="22"/>
      <c r="K75" s="25"/>
      <c r="L75" s="44"/>
      <c r="M75" s="41" t="s">
        <v>2630</v>
      </c>
      <c r="N75" s="14" t="s">
        <v>2626</v>
      </c>
      <c r="O75" s="14" t="s">
        <v>2627</v>
      </c>
      <c r="P75" s="23" t="s">
        <v>2788</v>
      </c>
      <c r="Q75" s="48" t="s">
        <v>2789</v>
      </c>
      <c r="R75" s="49">
        <v>1</v>
      </c>
      <c r="S75" s="28" t="s">
        <v>2773</v>
      </c>
      <c r="T75" s="26" t="s">
        <v>2788</v>
      </c>
      <c r="U75" s="28">
        <v>126.67</v>
      </c>
      <c r="V75" s="31"/>
      <c r="W75" s="28">
        <v>126.67</v>
      </c>
      <c r="X75" s="24"/>
      <c r="Y75" s="22"/>
      <c r="Z75" s="22"/>
      <c r="AA75" s="25"/>
      <c r="AB75" s="44"/>
      <c r="AC75" s="41" t="s">
        <v>2630</v>
      </c>
      <c r="AD75" s="14" t="s">
        <v>2626</v>
      </c>
      <c r="AE75" s="14" t="s">
        <v>2627</v>
      </c>
    </row>
    <row r="76" spans="1:31" s="1" customFormat="1">
      <c r="A76" s="23" t="s">
        <v>2790</v>
      </c>
      <c r="B76" s="48" t="s">
        <v>2791</v>
      </c>
      <c r="C76" s="988">
        <v>1</v>
      </c>
      <c r="D76" s="996" t="s">
        <v>2773</v>
      </c>
      <c r="E76" s="975">
        <v>126.67</v>
      </c>
      <c r="F76" s="31"/>
      <c r="G76" s="28">
        <f t="shared" si="4"/>
        <v>126.67</v>
      </c>
      <c r="H76" s="24"/>
      <c r="I76" s="22"/>
      <c r="J76" s="22"/>
      <c r="K76" s="25"/>
      <c r="L76" s="44"/>
      <c r="M76" s="41" t="s">
        <v>2630</v>
      </c>
      <c r="N76" s="14" t="s">
        <v>2626</v>
      </c>
      <c r="O76" s="14" t="s">
        <v>2627</v>
      </c>
      <c r="P76" s="23" t="s">
        <v>2790</v>
      </c>
      <c r="Q76" s="48" t="s">
        <v>2791</v>
      </c>
      <c r="R76" s="49">
        <v>1</v>
      </c>
      <c r="S76" s="28" t="s">
        <v>2773</v>
      </c>
      <c r="T76" s="26" t="s">
        <v>2790</v>
      </c>
      <c r="U76" s="28">
        <v>126.67</v>
      </c>
      <c r="V76" s="31"/>
      <c r="W76" s="28">
        <v>126.67</v>
      </c>
      <c r="X76" s="24"/>
      <c r="Y76" s="22"/>
      <c r="Z76" s="22"/>
      <c r="AA76" s="25"/>
      <c r="AB76" s="44"/>
      <c r="AC76" s="41" t="s">
        <v>2630</v>
      </c>
      <c r="AD76" s="14" t="s">
        <v>2626</v>
      </c>
      <c r="AE76" s="14" t="s">
        <v>2627</v>
      </c>
    </row>
    <row r="77" spans="1:31" s="1" customFormat="1">
      <c r="A77" s="23" t="s">
        <v>2792</v>
      </c>
      <c r="B77" s="48" t="s">
        <v>2793</v>
      </c>
      <c r="C77" s="988">
        <v>1</v>
      </c>
      <c r="D77" s="996" t="s">
        <v>2773</v>
      </c>
      <c r="E77" s="975">
        <v>3</v>
      </c>
      <c r="F77" s="31"/>
      <c r="G77" s="28">
        <f t="shared" si="4"/>
        <v>3</v>
      </c>
      <c r="H77" s="24"/>
      <c r="I77" s="22"/>
      <c r="J77" s="22"/>
      <c r="K77" s="25"/>
      <c r="L77" s="44"/>
      <c r="M77" s="41" t="s">
        <v>2630</v>
      </c>
      <c r="N77" s="14" t="s">
        <v>2626</v>
      </c>
      <c r="O77" s="14" t="s">
        <v>2627</v>
      </c>
      <c r="P77" s="23" t="s">
        <v>2792</v>
      </c>
      <c r="Q77" s="48" t="s">
        <v>2793</v>
      </c>
      <c r="R77" s="49">
        <v>1</v>
      </c>
      <c r="S77" s="28" t="s">
        <v>2773</v>
      </c>
      <c r="T77" s="26" t="s">
        <v>2792</v>
      </c>
      <c r="U77" s="28">
        <v>3</v>
      </c>
      <c r="V77" s="31"/>
      <c r="W77" s="28">
        <v>3</v>
      </c>
      <c r="X77" s="24"/>
      <c r="Y77" s="22"/>
      <c r="Z77" s="22"/>
      <c r="AA77" s="25"/>
      <c r="AB77" s="44"/>
      <c r="AC77" s="41" t="s">
        <v>2630</v>
      </c>
      <c r="AD77" s="14" t="s">
        <v>2626</v>
      </c>
      <c r="AE77" s="14" t="s">
        <v>2627</v>
      </c>
    </row>
    <row r="78" spans="1:31" s="1" customFormat="1">
      <c r="A78" s="23" t="s">
        <v>2794</v>
      </c>
      <c r="B78" s="48" t="s">
        <v>2795</v>
      </c>
      <c r="C78" s="988">
        <v>1</v>
      </c>
      <c r="D78" s="996" t="s">
        <v>2773</v>
      </c>
      <c r="E78" s="975">
        <v>600</v>
      </c>
      <c r="F78" s="31"/>
      <c r="G78" s="28">
        <f t="shared" si="4"/>
        <v>600</v>
      </c>
      <c r="H78" s="24"/>
      <c r="I78" s="22"/>
      <c r="J78" s="22"/>
      <c r="K78" s="25"/>
      <c r="L78" s="44"/>
      <c r="M78" s="41" t="s">
        <v>2630</v>
      </c>
      <c r="N78" s="14" t="s">
        <v>2626</v>
      </c>
      <c r="O78" s="14" t="s">
        <v>2627</v>
      </c>
      <c r="P78" s="23" t="s">
        <v>2794</v>
      </c>
      <c r="Q78" s="48" t="s">
        <v>2795</v>
      </c>
      <c r="R78" s="49">
        <v>1</v>
      </c>
      <c r="S78" s="28" t="s">
        <v>2773</v>
      </c>
      <c r="T78" s="26" t="s">
        <v>2794</v>
      </c>
      <c r="U78" s="28">
        <v>600</v>
      </c>
      <c r="V78" s="31"/>
      <c r="W78" s="28">
        <v>600</v>
      </c>
      <c r="X78" s="24"/>
      <c r="Y78" s="22"/>
      <c r="Z78" s="22"/>
      <c r="AA78" s="25"/>
      <c r="AB78" s="44"/>
      <c r="AC78" s="41" t="s">
        <v>2630</v>
      </c>
      <c r="AD78" s="14" t="s">
        <v>2626</v>
      </c>
      <c r="AE78" s="14" t="s">
        <v>2627</v>
      </c>
    </row>
    <row r="79" spans="1:31" s="1" customFormat="1">
      <c r="A79" s="23" t="s">
        <v>2796</v>
      </c>
      <c r="B79" s="48" t="s">
        <v>2797</v>
      </c>
      <c r="C79" s="988">
        <v>1</v>
      </c>
      <c r="D79" s="996" t="s">
        <v>2773</v>
      </c>
      <c r="E79" s="975">
        <v>2666.67</v>
      </c>
      <c r="F79" s="31"/>
      <c r="G79" s="28">
        <f t="shared" si="4"/>
        <v>2666.67</v>
      </c>
      <c r="H79" s="24"/>
      <c r="I79" s="22"/>
      <c r="J79" s="22"/>
      <c r="K79" s="25"/>
      <c r="L79" s="44"/>
      <c r="M79" s="41" t="s">
        <v>2630</v>
      </c>
      <c r="N79" s="14" t="s">
        <v>2626</v>
      </c>
      <c r="O79" s="14" t="s">
        <v>2627</v>
      </c>
      <c r="P79" s="23" t="s">
        <v>2796</v>
      </c>
      <c r="Q79" s="48" t="s">
        <v>2797</v>
      </c>
      <c r="R79" s="49">
        <v>1</v>
      </c>
      <c r="S79" s="28" t="s">
        <v>2773</v>
      </c>
      <c r="T79" s="26" t="s">
        <v>2796</v>
      </c>
      <c r="U79" s="28">
        <v>2666.67</v>
      </c>
      <c r="V79" s="31"/>
      <c r="W79" s="28">
        <v>2666.67</v>
      </c>
      <c r="X79" s="24"/>
      <c r="Y79" s="22"/>
      <c r="Z79" s="22"/>
      <c r="AA79" s="25"/>
      <c r="AB79" s="44"/>
      <c r="AC79" s="41" t="s">
        <v>2630</v>
      </c>
      <c r="AD79" s="14" t="s">
        <v>2626</v>
      </c>
      <c r="AE79" s="14" t="s">
        <v>2627</v>
      </c>
    </row>
    <row r="80" spans="1:31" s="1" customFormat="1">
      <c r="A80" s="23" t="s">
        <v>2798</v>
      </c>
      <c r="B80" s="48" t="s">
        <v>2799</v>
      </c>
      <c r="C80" s="988">
        <v>1</v>
      </c>
      <c r="D80" s="996" t="s">
        <v>2773</v>
      </c>
      <c r="E80" s="975">
        <v>4000</v>
      </c>
      <c r="F80" s="31"/>
      <c r="G80" s="28">
        <f t="shared" si="4"/>
        <v>4000</v>
      </c>
      <c r="H80" s="24"/>
      <c r="I80" s="22"/>
      <c r="J80" s="22"/>
      <c r="K80" s="25"/>
      <c r="L80" s="44"/>
      <c r="M80" s="41" t="s">
        <v>2630</v>
      </c>
      <c r="N80" s="14" t="s">
        <v>2626</v>
      </c>
      <c r="O80" s="14" t="s">
        <v>2627</v>
      </c>
      <c r="P80" s="23" t="s">
        <v>2798</v>
      </c>
      <c r="Q80" s="48" t="s">
        <v>2799</v>
      </c>
      <c r="R80" s="49">
        <v>1</v>
      </c>
      <c r="S80" s="28" t="s">
        <v>2773</v>
      </c>
      <c r="T80" s="26" t="s">
        <v>2798</v>
      </c>
      <c r="U80" s="28">
        <v>4000</v>
      </c>
      <c r="V80" s="31"/>
      <c r="W80" s="28">
        <v>4000</v>
      </c>
      <c r="X80" s="24"/>
      <c r="Y80" s="22"/>
      <c r="Z80" s="22"/>
      <c r="AA80" s="25"/>
      <c r="AB80" s="44"/>
      <c r="AC80" s="41" t="s">
        <v>2630</v>
      </c>
      <c r="AD80" s="14" t="s">
        <v>2626</v>
      </c>
      <c r="AE80" s="14" t="s">
        <v>2627</v>
      </c>
    </row>
    <row r="81" spans="1:31" s="1" customFormat="1">
      <c r="A81" s="23" t="s">
        <v>2800</v>
      </c>
      <c r="B81" s="48" t="s">
        <v>2801</v>
      </c>
      <c r="C81" s="988">
        <v>1</v>
      </c>
      <c r="D81" s="996" t="s">
        <v>2773</v>
      </c>
      <c r="E81" s="975">
        <v>5866.67</v>
      </c>
      <c r="F81" s="31"/>
      <c r="G81" s="28">
        <f t="shared" si="4"/>
        <v>5866.67</v>
      </c>
      <c r="H81" s="24"/>
      <c r="I81" s="22"/>
      <c r="J81" s="22"/>
      <c r="K81" s="25"/>
      <c r="L81" s="44"/>
      <c r="M81" s="41" t="s">
        <v>2630</v>
      </c>
      <c r="N81" s="14" t="s">
        <v>2626</v>
      </c>
      <c r="O81" s="14" t="s">
        <v>2627</v>
      </c>
      <c r="P81" s="23" t="s">
        <v>2800</v>
      </c>
      <c r="Q81" s="48" t="s">
        <v>2801</v>
      </c>
      <c r="R81" s="49">
        <v>1</v>
      </c>
      <c r="S81" s="28" t="s">
        <v>2773</v>
      </c>
      <c r="T81" s="26" t="s">
        <v>2800</v>
      </c>
      <c r="U81" s="28">
        <v>5866.67</v>
      </c>
      <c r="V81" s="31"/>
      <c r="W81" s="28">
        <v>5866.67</v>
      </c>
      <c r="X81" s="24"/>
      <c r="Y81" s="22"/>
      <c r="Z81" s="22"/>
      <c r="AA81" s="25"/>
      <c r="AB81" s="44"/>
      <c r="AC81" s="41" t="s">
        <v>2630</v>
      </c>
      <c r="AD81" s="14" t="s">
        <v>2626</v>
      </c>
      <c r="AE81" s="14" t="s">
        <v>2627</v>
      </c>
    </row>
    <row r="82" spans="1:31" s="1" customFormat="1">
      <c r="A82" s="23" t="s">
        <v>2802</v>
      </c>
      <c r="B82" s="48" t="s">
        <v>2803</v>
      </c>
      <c r="C82" s="988">
        <v>1</v>
      </c>
      <c r="D82" s="996" t="s">
        <v>114</v>
      </c>
      <c r="E82" s="975">
        <v>6666.67</v>
      </c>
      <c r="F82" s="31"/>
      <c r="G82" s="28">
        <f t="shared" si="4"/>
        <v>6666.67</v>
      </c>
      <c r="H82" s="24"/>
      <c r="I82" s="22"/>
      <c r="J82" s="22"/>
      <c r="K82" s="25"/>
      <c r="L82" s="44"/>
      <c r="M82" s="41" t="s">
        <v>2630</v>
      </c>
      <c r="N82" s="14" t="s">
        <v>2626</v>
      </c>
      <c r="O82" s="14" t="s">
        <v>2627</v>
      </c>
      <c r="P82" s="23" t="s">
        <v>2802</v>
      </c>
      <c r="Q82" s="48" t="s">
        <v>2803</v>
      </c>
      <c r="R82" s="49">
        <v>1</v>
      </c>
      <c r="S82" s="28" t="s">
        <v>114</v>
      </c>
      <c r="T82" s="26" t="s">
        <v>2802</v>
      </c>
      <c r="U82" s="28">
        <v>6666.67</v>
      </c>
      <c r="V82" s="31"/>
      <c r="W82" s="28">
        <v>6666.67</v>
      </c>
      <c r="X82" s="24"/>
      <c r="Y82" s="22"/>
      <c r="Z82" s="22"/>
      <c r="AA82" s="25"/>
      <c r="AB82" s="44"/>
      <c r="AC82" s="41" t="s">
        <v>2630</v>
      </c>
      <c r="AD82" s="14" t="s">
        <v>2626</v>
      </c>
      <c r="AE82" s="14" t="s">
        <v>2627</v>
      </c>
    </row>
    <row r="83" spans="1:31" s="1" customFormat="1">
      <c r="A83" s="23" t="s">
        <v>2804</v>
      </c>
      <c r="B83" s="48" t="s">
        <v>2805</v>
      </c>
      <c r="C83" s="988">
        <v>1</v>
      </c>
      <c r="D83" s="996" t="s">
        <v>114</v>
      </c>
      <c r="E83" s="975">
        <v>10666.67</v>
      </c>
      <c r="F83" s="31"/>
      <c r="G83" s="28">
        <f t="shared" si="4"/>
        <v>10666.67</v>
      </c>
      <c r="H83" s="24"/>
      <c r="I83" s="22"/>
      <c r="J83" s="22"/>
      <c r="K83" s="25"/>
      <c r="L83" s="44"/>
      <c r="M83" s="41" t="s">
        <v>2630</v>
      </c>
      <c r="N83" s="14" t="s">
        <v>2626</v>
      </c>
      <c r="O83" s="14" t="s">
        <v>2627</v>
      </c>
      <c r="P83" s="23" t="s">
        <v>2804</v>
      </c>
      <c r="Q83" s="48" t="s">
        <v>2805</v>
      </c>
      <c r="R83" s="49">
        <v>1</v>
      </c>
      <c r="S83" s="28" t="s">
        <v>114</v>
      </c>
      <c r="T83" s="26" t="s">
        <v>2804</v>
      </c>
      <c r="U83" s="28">
        <v>10666.67</v>
      </c>
      <c r="V83" s="31"/>
      <c r="W83" s="28">
        <v>10666.67</v>
      </c>
      <c r="X83" s="24"/>
      <c r="Y83" s="22"/>
      <c r="Z83" s="22"/>
      <c r="AA83" s="25"/>
      <c r="AB83" s="44"/>
      <c r="AC83" s="41" t="s">
        <v>2630</v>
      </c>
      <c r="AD83" s="14" t="s">
        <v>2626</v>
      </c>
      <c r="AE83" s="14" t="s">
        <v>2627</v>
      </c>
    </row>
    <row r="84" spans="1:31" s="1" customFormat="1">
      <c r="A84" s="23" t="s">
        <v>2806</v>
      </c>
      <c r="B84" s="48" t="s">
        <v>2807</v>
      </c>
      <c r="C84" s="988">
        <v>1</v>
      </c>
      <c r="D84" s="996" t="s">
        <v>114</v>
      </c>
      <c r="E84" s="975">
        <v>16000</v>
      </c>
      <c r="F84" s="31"/>
      <c r="G84" s="28">
        <f t="shared" si="4"/>
        <v>16000</v>
      </c>
      <c r="H84" s="24"/>
      <c r="I84" s="22"/>
      <c r="J84" s="22"/>
      <c r="K84" s="25"/>
      <c r="L84" s="44"/>
      <c r="M84" s="41" t="s">
        <v>2630</v>
      </c>
      <c r="N84" s="14" t="s">
        <v>2626</v>
      </c>
      <c r="O84" s="14" t="s">
        <v>2627</v>
      </c>
      <c r="P84" s="23" t="s">
        <v>2806</v>
      </c>
      <c r="Q84" s="48" t="s">
        <v>2807</v>
      </c>
      <c r="R84" s="49">
        <v>1</v>
      </c>
      <c r="S84" s="28" t="s">
        <v>114</v>
      </c>
      <c r="T84" s="26" t="s">
        <v>2806</v>
      </c>
      <c r="U84" s="28">
        <v>16000</v>
      </c>
      <c r="V84" s="31"/>
      <c r="W84" s="28">
        <v>16000</v>
      </c>
      <c r="X84" s="24"/>
      <c r="Y84" s="22"/>
      <c r="Z84" s="22"/>
      <c r="AA84" s="25"/>
      <c r="AB84" s="44"/>
      <c r="AC84" s="41" t="s">
        <v>2630</v>
      </c>
      <c r="AD84" s="14" t="s">
        <v>2626</v>
      </c>
      <c r="AE84" s="14" t="s">
        <v>2627</v>
      </c>
    </row>
    <row r="85" spans="1:31" s="1" customFormat="1">
      <c r="A85" s="23" t="s">
        <v>2808</v>
      </c>
      <c r="B85" s="48" t="s">
        <v>2809</v>
      </c>
      <c r="C85" s="988">
        <v>1</v>
      </c>
      <c r="D85" s="996" t="s">
        <v>114</v>
      </c>
      <c r="E85" s="975">
        <v>20000</v>
      </c>
      <c r="F85" s="31"/>
      <c r="G85" s="28">
        <f t="shared" si="4"/>
        <v>20000</v>
      </c>
      <c r="H85" s="24"/>
      <c r="I85" s="22"/>
      <c r="J85" s="22"/>
      <c r="K85" s="25"/>
      <c r="L85" s="44"/>
      <c r="M85" s="41" t="s">
        <v>2630</v>
      </c>
      <c r="N85" s="14" t="s">
        <v>2626</v>
      </c>
      <c r="O85" s="14" t="s">
        <v>2627</v>
      </c>
      <c r="P85" s="23" t="s">
        <v>2808</v>
      </c>
      <c r="Q85" s="48" t="s">
        <v>2809</v>
      </c>
      <c r="R85" s="49">
        <v>1</v>
      </c>
      <c r="S85" s="28" t="s">
        <v>114</v>
      </c>
      <c r="T85" s="26" t="s">
        <v>2808</v>
      </c>
      <c r="U85" s="28">
        <v>20000</v>
      </c>
      <c r="V85" s="31"/>
      <c r="W85" s="28">
        <v>20000</v>
      </c>
      <c r="X85" s="24"/>
      <c r="Y85" s="22"/>
      <c r="Z85" s="22"/>
      <c r="AA85" s="25"/>
      <c r="AB85" s="44"/>
      <c r="AC85" s="41" t="s">
        <v>2630</v>
      </c>
      <c r="AD85" s="14" t="s">
        <v>2626</v>
      </c>
      <c r="AE85" s="14" t="s">
        <v>2627</v>
      </c>
    </row>
    <row r="86" spans="1:31" s="1" customFormat="1">
      <c r="A86" s="23" t="s">
        <v>2810</v>
      </c>
      <c r="B86" s="48" t="s">
        <v>2811</v>
      </c>
      <c r="C86" s="988">
        <v>1</v>
      </c>
      <c r="D86" s="996" t="s">
        <v>114</v>
      </c>
      <c r="E86" s="975">
        <v>26666.67</v>
      </c>
      <c r="F86" s="31"/>
      <c r="G86" s="28">
        <f t="shared" si="4"/>
        <v>26666.67</v>
      </c>
      <c r="H86" s="24"/>
      <c r="I86" s="22"/>
      <c r="J86" s="22"/>
      <c r="K86" s="25"/>
      <c r="L86" s="44"/>
      <c r="M86" s="41" t="s">
        <v>2630</v>
      </c>
      <c r="N86" s="14" t="s">
        <v>2626</v>
      </c>
      <c r="O86" s="14" t="s">
        <v>2627</v>
      </c>
      <c r="P86" s="23" t="s">
        <v>2810</v>
      </c>
      <c r="Q86" s="48" t="s">
        <v>2811</v>
      </c>
      <c r="R86" s="49">
        <v>1</v>
      </c>
      <c r="S86" s="28" t="s">
        <v>114</v>
      </c>
      <c r="T86" s="26" t="s">
        <v>2810</v>
      </c>
      <c r="U86" s="28">
        <v>26666.67</v>
      </c>
      <c r="V86" s="31"/>
      <c r="W86" s="28">
        <v>26666.67</v>
      </c>
      <c r="X86" s="24"/>
      <c r="Y86" s="22"/>
      <c r="Z86" s="22"/>
      <c r="AA86" s="25"/>
      <c r="AB86" s="44"/>
      <c r="AC86" s="41" t="s">
        <v>2630</v>
      </c>
      <c r="AD86" s="14" t="s">
        <v>2626</v>
      </c>
      <c r="AE86" s="14" t="s">
        <v>2627</v>
      </c>
    </row>
    <row r="87" spans="1:31" s="1" customFormat="1">
      <c r="A87" s="23" t="s">
        <v>2812</v>
      </c>
      <c r="B87" s="48" t="s">
        <v>2813</v>
      </c>
      <c r="C87" s="988">
        <v>1</v>
      </c>
      <c r="D87" s="996" t="s">
        <v>114</v>
      </c>
      <c r="E87" s="975">
        <v>1600</v>
      </c>
      <c r="F87" s="31"/>
      <c r="G87" s="28">
        <f t="shared" si="4"/>
        <v>1600</v>
      </c>
      <c r="H87" s="24"/>
      <c r="I87" s="22"/>
      <c r="J87" s="22"/>
      <c r="K87" s="25"/>
      <c r="L87" s="44"/>
      <c r="M87" s="41" t="s">
        <v>2630</v>
      </c>
      <c r="N87" s="14" t="s">
        <v>2626</v>
      </c>
      <c r="O87" s="14" t="s">
        <v>2627</v>
      </c>
      <c r="P87" s="23" t="s">
        <v>2812</v>
      </c>
      <c r="Q87" s="48" t="s">
        <v>2813</v>
      </c>
      <c r="R87" s="49">
        <v>1</v>
      </c>
      <c r="S87" s="28" t="s">
        <v>114</v>
      </c>
      <c r="T87" s="26" t="s">
        <v>2812</v>
      </c>
      <c r="U87" s="28">
        <v>1600</v>
      </c>
      <c r="V87" s="31"/>
      <c r="W87" s="28">
        <v>1600</v>
      </c>
      <c r="X87" s="24"/>
      <c r="Y87" s="22"/>
      <c r="Z87" s="22"/>
      <c r="AA87" s="25"/>
      <c r="AB87" s="44"/>
      <c r="AC87" s="41" t="s">
        <v>2630</v>
      </c>
      <c r="AD87" s="14" t="s">
        <v>2626</v>
      </c>
      <c r="AE87" s="14" t="s">
        <v>2627</v>
      </c>
    </row>
    <row r="88" spans="1:31" s="1" customFormat="1">
      <c r="A88" s="23" t="s">
        <v>2814</v>
      </c>
      <c r="B88" s="48" t="s">
        <v>2815</v>
      </c>
      <c r="C88" s="988">
        <v>1</v>
      </c>
      <c r="D88" s="996" t="s">
        <v>114</v>
      </c>
      <c r="E88" s="975">
        <v>3866.67</v>
      </c>
      <c r="F88" s="31"/>
      <c r="G88" s="28">
        <f t="shared" si="4"/>
        <v>3866.67</v>
      </c>
      <c r="H88" s="24"/>
      <c r="I88" s="22"/>
      <c r="J88" s="22"/>
      <c r="K88" s="25"/>
      <c r="L88" s="44"/>
      <c r="M88" s="41" t="s">
        <v>2630</v>
      </c>
      <c r="N88" s="14" t="s">
        <v>2626</v>
      </c>
      <c r="O88" s="14" t="s">
        <v>2627</v>
      </c>
      <c r="P88" s="23" t="s">
        <v>2814</v>
      </c>
      <c r="Q88" s="48" t="s">
        <v>2815</v>
      </c>
      <c r="R88" s="49">
        <v>1</v>
      </c>
      <c r="S88" s="28" t="s">
        <v>114</v>
      </c>
      <c r="T88" s="26" t="s">
        <v>2814</v>
      </c>
      <c r="U88" s="28">
        <v>3866.67</v>
      </c>
      <c r="V88" s="31"/>
      <c r="W88" s="28">
        <v>3866.67</v>
      </c>
      <c r="X88" s="24"/>
      <c r="Y88" s="22"/>
      <c r="Z88" s="22"/>
      <c r="AA88" s="25"/>
      <c r="AB88" s="44"/>
      <c r="AC88" s="41" t="s">
        <v>2630</v>
      </c>
      <c r="AD88" s="14" t="s">
        <v>2626</v>
      </c>
      <c r="AE88" s="14" t="s">
        <v>2627</v>
      </c>
    </row>
    <row r="89" spans="1:31" s="1" customFormat="1" ht="27" customHeight="1">
      <c r="A89" s="124" t="s">
        <v>2816</v>
      </c>
      <c r="C89" s="988"/>
      <c r="D89" s="996"/>
      <c r="E89" s="970"/>
      <c r="F89" s="31"/>
      <c r="G89" s="24"/>
      <c r="H89" s="24"/>
      <c r="I89" s="22"/>
      <c r="J89" s="22"/>
      <c r="K89" s="25"/>
      <c r="L89" s="44"/>
      <c r="M89" s="22"/>
      <c r="N89" s="14"/>
      <c r="O89" s="14"/>
      <c r="P89" s="124" t="s">
        <v>2816</v>
      </c>
      <c r="R89" s="49"/>
      <c r="S89" s="28"/>
      <c r="T89" s="24"/>
      <c r="U89" s="24"/>
      <c r="V89" s="31"/>
      <c r="W89" s="24"/>
      <c r="X89" s="24"/>
      <c r="Y89" s="22"/>
      <c r="Z89" s="22"/>
      <c r="AA89" s="25"/>
      <c r="AB89" s="44"/>
      <c r="AC89" s="22"/>
      <c r="AD89" s="14"/>
      <c r="AE89" s="14"/>
    </row>
    <row r="90" spans="1:31" s="1" customFormat="1">
      <c r="A90" s="23" t="s">
        <v>2817</v>
      </c>
      <c r="B90" s="48" t="s">
        <v>2818</v>
      </c>
      <c r="C90" s="988">
        <v>1</v>
      </c>
      <c r="D90" s="996" t="s">
        <v>90</v>
      </c>
      <c r="E90" s="980">
        <v>17665.830000000002</v>
      </c>
      <c r="F90" s="21">
        <f>rv_30</f>
        <v>0.3</v>
      </c>
      <c r="G90" s="51">
        <f t="shared" ref="G90:G101" si="5">E90-(E90*F90)</f>
        <v>12366.081000000002</v>
      </c>
      <c r="H90" s="24"/>
      <c r="I90" s="22"/>
      <c r="J90" s="22"/>
      <c r="K90" s="25"/>
      <c r="L90" s="47">
        <v>0</v>
      </c>
      <c r="M90" s="41" t="s">
        <v>2819</v>
      </c>
      <c r="N90" s="14" t="s">
        <v>2626</v>
      </c>
      <c r="O90" s="14" t="s">
        <v>2627</v>
      </c>
      <c r="P90" s="23" t="s">
        <v>2817</v>
      </c>
      <c r="Q90" s="48" t="s">
        <v>2818</v>
      </c>
      <c r="R90" s="49">
        <v>1</v>
      </c>
      <c r="S90" s="28" t="s">
        <v>90</v>
      </c>
      <c r="T90" s="26" t="s">
        <v>2817</v>
      </c>
      <c r="U90" s="51">
        <v>17665.830000000002</v>
      </c>
      <c r="V90" s="21">
        <v>0.3</v>
      </c>
      <c r="W90" s="51">
        <v>12366.081000000002</v>
      </c>
      <c r="X90" s="24"/>
      <c r="Y90" s="22"/>
      <c r="Z90" s="22"/>
      <c r="AA90" s="25"/>
      <c r="AB90" s="47">
        <v>0</v>
      </c>
      <c r="AC90" s="41" t="s">
        <v>2819</v>
      </c>
      <c r="AD90" s="14" t="s">
        <v>2626</v>
      </c>
      <c r="AE90" s="14" t="s">
        <v>2627</v>
      </c>
    </row>
    <row r="91" spans="1:31" s="1" customFormat="1">
      <c r="A91" s="23" t="s">
        <v>2820</v>
      </c>
      <c r="B91" s="48" t="s">
        <v>2821</v>
      </c>
      <c r="C91" s="988">
        <v>1</v>
      </c>
      <c r="D91" s="996" t="s">
        <v>90</v>
      </c>
      <c r="E91" s="980">
        <v>35331.67</v>
      </c>
      <c r="F91" s="21">
        <f t="shared" ref="F91:F101" si="6">rv_30</f>
        <v>0.3</v>
      </c>
      <c r="G91" s="51">
        <f t="shared" si="5"/>
        <v>24732.169000000002</v>
      </c>
      <c r="H91" s="24"/>
      <c r="I91" s="22"/>
      <c r="J91" s="22"/>
      <c r="K91" s="25"/>
      <c r="L91" s="47">
        <v>0</v>
      </c>
      <c r="M91" s="41" t="s">
        <v>1223</v>
      </c>
      <c r="N91" s="14" t="s">
        <v>2626</v>
      </c>
      <c r="O91" s="14" t="s">
        <v>2627</v>
      </c>
      <c r="P91" s="23" t="s">
        <v>2820</v>
      </c>
      <c r="Q91" s="48" t="s">
        <v>2821</v>
      </c>
      <c r="R91" s="49">
        <v>1</v>
      </c>
      <c r="S91" s="28" t="s">
        <v>90</v>
      </c>
      <c r="T91" s="26" t="s">
        <v>2820</v>
      </c>
      <c r="U91" s="51">
        <v>35331.67</v>
      </c>
      <c r="V91" s="21">
        <v>0.3</v>
      </c>
      <c r="W91" s="51">
        <v>24732.169000000002</v>
      </c>
      <c r="X91" s="24"/>
      <c r="Y91" s="22"/>
      <c r="Z91" s="22"/>
      <c r="AA91" s="25"/>
      <c r="AB91" s="47">
        <v>0</v>
      </c>
      <c r="AC91" s="41" t="s">
        <v>1223</v>
      </c>
      <c r="AD91" s="14" t="s">
        <v>2626</v>
      </c>
      <c r="AE91" s="14" t="s">
        <v>2627</v>
      </c>
    </row>
    <row r="92" spans="1:31" s="1" customFormat="1">
      <c r="A92" s="23" t="s">
        <v>2822</v>
      </c>
      <c r="B92" s="48" t="s">
        <v>2823</v>
      </c>
      <c r="C92" s="988">
        <v>1</v>
      </c>
      <c r="D92" s="996" t="s">
        <v>90</v>
      </c>
      <c r="E92" s="980">
        <v>52997.5</v>
      </c>
      <c r="F92" s="21">
        <f t="shared" si="6"/>
        <v>0.3</v>
      </c>
      <c r="G92" s="51">
        <f t="shared" si="5"/>
        <v>37098.25</v>
      </c>
      <c r="H92" s="24"/>
      <c r="I92" s="22"/>
      <c r="J92" s="22"/>
      <c r="K92" s="25"/>
      <c r="L92" s="47">
        <v>0</v>
      </c>
      <c r="M92" s="41" t="s">
        <v>1223</v>
      </c>
      <c r="N92" s="14" t="s">
        <v>2626</v>
      </c>
      <c r="O92" s="14" t="s">
        <v>2627</v>
      </c>
      <c r="P92" s="23" t="s">
        <v>2822</v>
      </c>
      <c r="Q92" s="48" t="s">
        <v>2823</v>
      </c>
      <c r="R92" s="49">
        <v>1</v>
      </c>
      <c r="S92" s="28" t="s">
        <v>90</v>
      </c>
      <c r="T92" s="26" t="s">
        <v>2822</v>
      </c>
      <c r="U92" s="51">
        <v>52997.5</v>
      </c>
      <c r="V92" s="21">
        <v>0.3</v>
      </c>
      <c r="W92" s="51">
        <v>37098.25</v>
      </c>
      <c r="X92" s="24"/>
      <c r="Y92" s="22"/>
      <c r="Z92" s="22"/>
      <c r="AA92" s="25"/>
      <c r="AB92" s="47">
        <v>0</v>
      </c>
      <c r="AC92" s="41" t="s">
        <v>1223</v>
      </c>
      <c r="AD92" s="14" t="s">
        <v>2626</v>
      </c>
      <c r="AE92" s="14" t="s">
        <v>2627</v>
      </c>
    </row>
    <row r="93" spans="1:31" s="1" customFormat="1">
      <c r="A93" s="23" t="s">
        <v>2824</v>
      </c>
      <c r="B93" s="48" t="s">
        <v>2825</v>
      </c>
      <c r="C93" s="988">
        <v>1</v>
      </c>
      <c r="D93" s="996" t="s">
        <v>90</v>
      </c>
      <c r="E93" s="980">
        <v>5332.5</v>
      </c>
      <c r="F93" s="21">
        <f t="shared" si="6"/>
        <v>0.3</v>
      </c>
      <c r="G93" s="51">
        <f t="shared" si="5"/>
        <v>3732.75</v>
      </c>
      <c r="H93" s="24"/>
      <c r="I93" s="22"/>
      <c r="J93" s="22"/>
      <c r="K93" s="25"/>
      <c r="L93" s="47">
        <v>0</v>
      </c>
      <c r="M93" s="41" t="s">
        <v>1223</v>
      </c>
      <c r="N93" s="14" t="s">
        <v>2626</v>
      </c>
      <c r="O93" s="14" t="s">
        <v>2627</v>
      </c>
      <c r="P93" s="23" t="s">
        <v>2824</v>
      </c>
      <c r="Q93" s="48" t="s">
        <v>2825</v>
      </c>
      <c r="R93" s="49">
        <v>1</v>
      </c>
      <c r="S93" s="28" t="s">
        <v>90</v>
      </c>
      <c r="T93" s="26" t="s">
        <v>2824</v>
      </c>
      <c r="U93" s="51">
        <v>5332.5</v>
      </c>
      <c r="V93" s="21">
        <v>0.3</v>
      </c>
      <c r="W93" s="51">
        <v>3732.75</v>
      </c>
      <c r="X93" s="24"/>
      <c r="Y93" s="22"/>
      <c r="Z93" s="22"/>
      <c r="AA93" s="25"/>
      <c r="AB93" s="47">
        <v>0</v>
      </c>
      <c r="AC93" s="41" t="s">
        <v>1223</v>
      </c>
      <c r="AD93" s="14" t="s">
        <v>2626</v>
      </c>
      <c r="AE93" s="14" t="s">
        <v>2627</v>
      </c>
    </row>
    <row r="94" spans="1:31" s="1" customFormat="1">
      <c r="A94" s="23" t="s">
        <v>2826</v>
      </c>
      <c r="B94" s="48" t="s">
        <v>2827</v>
      </c>
      <c r="C94" s="988">
        <v>1</v>
      </c>
      <c r="D94" s="996" t="s">
        <v>90</v>
      </c>
      <c r="E94" s="980">
        <v>10665</v>
      </c>
      <c r="F94" s="21">
        <f t="shared" si="6"/>
        <v>0.3</v>
      </c>
      <c r="G94" s="51">
        <f t="shared" si="5"/>
        <v>7465.5</v>
      </c>
      <c r="H94" s="24"/>
      <c r="I94" s="22"/>
      <c r="J94" s="22"/>
      <c r="K94" s="25"/>
      <c r="L94" s="47">
        <v>0</v>
      </c>
      <c r="M94" s="41" t="s">
        <v>1223</v>
      </c>
      <c r="N94" s="14" t="s">
        <v>2626</v>
      </c>
      <c r="O94" s="14" t="s">
        <v>2627</v>
      </c>
      <c r="P94" s="23" t="s">
        <v>2826</v>
      </c>
      <c r="Q94" s="48" t="s">
        <v>2827</v>
      </c>
      <c r="R94" s="49">
        <v>1</v>
      </c>
      <c r="S94" s="28" t="s">
        <v>90</v>
      </c>
      <c r="T94" s="26" t="s">
        <v>2826</v>
      </c>
      <c r="U94" s="51">
        <v>10665</v>
      </c>
      <c r="V94" s="21">
        <v>0.3</v>
      </c>
      <c r="W94" s="51">
        <v>7465.5</v>
      </c>
      <c r="X94" s="24"/>
      <c r="Y94" s="22"/>
      <c r="Z94" s="22"/>
      <c r="AA94" s="25"/>
      <c r="AB94" s="47">
        <v>0</v>
      </c>
      <c r="AC94" s="41" t="s">
        <v>1223</v>
      </c>
      <c r="AD94" s="14" t="s">
        <v>2626</v>
      </c>
      <c r="AE94" s="14" t="s">
        <v>2627</v>
      </c>
    </row>
    <row r="95" spans="1:31" s="1" customFormat="1">
      <c r="A95" s="23" t="s">
        <v>2828</v>
      </c>
      <c r="B95" s="48" t="s">
        <v>2829</v>
      </c>
      <c r="C95" s="988">
        <v>1</v>
      </c>
      <c r="D95" s="996" t="s">
        <v>90</v>
      </c>
      <c r="E95" s="980">
        <v>15997.5</v>
      </c>
      <c r="F95" s="21">
        <f t="shared" si="6"/>
        <v>0.3</v>
      </c>
      <c r="G95" s="51">
        <f t="shared" si="5"/>
        <v>11198.25</v>
      </c>
      <c r="H95" s="24"/>
      <c r="I95" s="22"/>
      <c r="J95" s="22"/>
      <c r="K95" s="25"/>
      <c r="L95" s="47">
        <v>0</v>
      </c>
      <c r="M95" s="41" t="s">
        <v>1223</v>
      </c>
      <c r="N95" s="14" t="s">
        <v>2626</v>
      </c>
      <c r="O95" s="14" t="s">
        <v>2627</v>
      </c>
      <c r="P95" s="23" t="s">
        <v>2828</v>
      </c>
      <c r="Q95" s="48" t="s">
        <v>2829</v>
      </c>
      <c r="R95" s="49">
        <v>1</v>
      </c>
      <c r="S95" s="28" t="s">
        <v>90</v>
      </c>
      <c r="T95" s="26" t="s">
        <v>2828</v>
      </c>
      <c r="U95" s="51">
        <v>15997.5</v>
      </c>
      <c r="V95" s="21">
        <v>0.3</v>
      </c>
      <c r="W95" s="51">
        <v>11198.25</v>
      </c>
      <c r="X95" s="24"/>
      <c r="Y95" s="22"/>
      <c r="Z95" s="22"/>
      <c r="AA95" s="25"/>
      <c r="AB95" s="47">
        <v>0</v>
      </c>
      <c r="AC95" s="41" t="s">
        <v>1223</v>
      </c>
      <c r="AD95" s="14" t="s">
        <v>2626</v>
      </c>
      <c r="AE95" s="14" t="s">
        <v>2627</v>
      </c>
    </row>
    <row r="96" spans="1:31" s="1" customFormat="1">
      <c r="A96" s="23" t="s">
        <v>2830</v>
      </c>
      <c r="B96" s="48" t="s">
        <v>2831</v>
      </c>
      <c r="C96" s="988">
        <v>1</v>
      </c>
      <c r="D96" s="996" t="s">
        <v>90</v>
      </c>
      <c r="E96" s="980">
        <v>44165.83</v>
      </c>
      <c r="F96" s="21">
        <f t="shared" si="6"/>
        <v>0.3</v>
      </c>
      <c r="G96" s="51">
        <f t="shared" si="5"/>
        <v>30916.081000000002</v>
      </c>
      <c r="H96" s="24"/>
      <c r="I96" s="22"/>
      <c r="J96" s="22"/>
      <c r="K96" s="25"/>
      <c r="L96" s="47">
        <v>0</v>
      </c>
      <c r="M96" s="41" t="s">
        <v>1223</v>
      </c>
      <c r="N96" s="14" t="s">
        <v>2626</v>
      </c>
      <c r="O96" s="14" t="s">
        <v>2627</v>
      </c>
      <c r="P96" s="23" t="s">
        <v>2830</v>
      </c>
      <c r="Q96" s="48" t="s">
        <v>2831</v>
      </c>
      <c r="R96" s="49">
        <v>1</v>
      </c>
      <c r="S96" s="28" t="s">
        <v>90</v>
      </c>
      <c r="T96" s="26" t="s">
        <v>2830</v>
      </c>
      <c r="U96" s="51">
        <v>44165.83</v>
      </c>
      <c r="V96" s="21">
        <v>0.3</v>
      </c>
      <c r="W96" s="51">
        <v>30916.081000000002</v>
      </c>
      <c r="X96" s="24"/>
      <c r="Y96" s="22"/>
      <c r="Z96" s="22"/>
      <c r="AA96" s="25"/>
      <c r="AB96" s="47">
        <v>0</v>
      </c>
      <c r="AC96" s="41" t="s">
        <v>1223</v>
      </c>
      <c r="AD96" s="14" t="s">
        <v>2626</v>
      </c>
      <c r="AE96" s="14" t="s">
        <v>2627</v>
      </c>
    </row>
    <row r="97" spans="1:31" s="1" customFormat="1">
      <c r="A97" s="23" t="s">
        <v>2832</v>
      </c>
      <c r="B97" s="48" t="s">
        <v>2833</v>
      </c>
      <c r="C97" s="988">
        <v>1</v>
      </c>
      <c r="D97" s="996" t="s">
        <v>90</v>
      </c>
      <c r="E97" s="980">
        <v>88331.67</v>
      </c>
      <c r="F97" s="21">
        <f t="shared" si="6"/>
        <v>0.3</v>
      </c>
      <c r="G97" s="51">
        <f t="shared" si="5"/>
        <v>61832.168999999994</v>
      </c>
      <c r="H97" s="24"/>
      <c r="I97" s="22"/>
      <c r="J97" s="22"/>
      <c r="K97" s="25"/>
      <c r="L97" s="47">
        <v>0</v>
      </c>
      <c r="M97" s="41" t="s">
        <v>1223</v>
      </c>
      <c r="N97" s="14" t="s">
        <v>2626</v>
      </c>
      <c r="O97" s="14" t="s">
        <v>2627</v>
      </c>
      <c r="P97" s="23" t="s">
        <v>2832</v>
      </c>
      <c r="Q97" s="48" t="s">
        <v>2833</v>
      </c>
      <c r="R97" s="49">
        <v>1</v>
      </c>
      <c r="S97" s="28" t="s">
        <v>90</v>
      </c>
      <c r="T97" s="26" t="s">
        <v>2832</v>
      </c>
      <c r="U97" s="51">
        <v>88331.67</v>
      </c>
      <c r="V97" s="21">
        <v>0.3</v>
      </c>
      <c r="W97" s="51">
        <v>61832.168999999994</v>
      </c>
      <c r="X97" s="24"/>
      <c r="Y97" s="22"/>
      <c r="Z97" s="22"/>
      <c r="AA97" s="25"/>
      <c r="AB97" s="47">
        <v>0</v>
      </c>
      <c r="AC97" s="41" t="s">
        <v>1223</v>
      </c>
      <c r="AD97" s="14" t="s">
        <v>2626</v>
      </c>
      <c r="AE97" s="14" t="s">
        <v>2627</v>
      </c>
    </row>
    <row r="98" spans="1:31" s="1" customFormat="1">
      <c r="A98" s="23" t="s">
        <v>2834</v>
      </c>
      <c r="B98" s="48" t="s">
        <v>2835</v>
      </c>
      <c r="C98" s="988">
        <v>1</v>
      </c>
      <c r="D98" s="996" t="s">
        <v>90</v>
      </c>
      <c r="E98" s="980">
        <v>132497.5</v>
      </c>
      <c r="F98" s="21">
        <f t="shared" si="6"/>
        <v>0.3</v>
      </c>
      <c r="G98" s="51">
        <f t="shared" si="5"/>
        <v>92748.25</v>
      </c>
      <c r="H98" s="24"/>
      <c r="I98" s="22"/>
      <c r="J98" s="22"/>
      <c r="K98" s="25"/>
      <c r="L98" s="47">
        <v>0</v>
      </c>
      <c r="M98" s="41" t="s">
        <v>1223</v>
      </c>
      <c r="N98" s="14" t="s">
        <v>2626</v>
      </c>
      <c r="O98" s="14" t="s">
        <v>2627</v>
      </c>
      <c r="P98" s="23" t="s">
        <v>2834</v>
      </c>
      <c r="Q98" s="48" t="s">
        <v>2835</v>
      </c>
      <c r="R98" s="49">
        <v>1</v>
      </c>
      <c r="S98" s="28" t="s">
        <v>90</v>
      </c>
      <c r="T98" s="26" t="s">
        <v>2834</v>
      </c>
      <c r="U98" s="51">
        <v>132497.5</v>
      </c>
      <c r="V98" s="21">
        <v>0.3</v>
      </c>
      <c r="W98" s="51">
        <v>92748.25</v>
      </c>
      <c r="X98" s="24"/>
      <c r="Y98" s="22"/>
      <c r="Z98" s="22"/>
      <c r="AA98" s="25"/>
      <c r="AB98" s="47">
        <v>0</v>
      </c>
      <c r="AC98" s="41" t="s">
        <v>1223</v>
      </c>
      <c r="AD98" s="14" t="s">
        <v>2626</v>
      </c>
      <c r="AE98" s="14" t="s">
        <v>2627</v>
      </c>
    </row>
    <row r="99" spans="1:31" s="1" customFormat="1">
      <c r="A99" s="23" t="s">
        <v>2836</v>
      </c>
      <c r="B99" s="48" t="s">
        <v>2837</v>
      </c>
      <c r="C99" s="988">
        <v>1</v>
      </c>
      <c r="D99" s="996" t="s">
        <v>90</v>
      </c>
      <c r="E99" s="980">
        <v>440.83</v>
      </c>
      <c r="F99" s="21">
        <f t="shared" si="6"/>
        <v>0.3</v>
      </c>
      <c r="G99" s="51">
        <f t="shared" si="5"/>
        <v>308.58100000000002</v>
      </c>
      <c r="H99" s="24"/>
      <c r="I99" s="22"/>
      <c r="J99" s="22"/>
      <c r="K99" s="25"/>
      <c r="L99" s="47">
        <v>0</v>
      </c>
      <c r="M99" s="41" t="s">
        <v>1223</v>
      </c>
      <c r="N99" s="14" t="s">
        <v>2626</v>
      </c>
      <c r="O99" s="14" t="s">
        <v>2627</v>
      </c>
      <c r="P99" s="23" t="s">
        <v>2836</v>
      </c>
      <c r="Q99" s="48" t="s">
        <v>2837</v>
      </c>
      <c r="R99" s="49">
        <v>1</v>
      </c>
      <c r="S99" s="28" t="s">
        <v>90</v>
      </c>
      <c r="T99" s="26" t="s">
        <v>2836</v>
      </c>
      <c r="U99" s="51">
        <v>440.83</v>
      </c>
      <c r="V99" s="21">
        <v>0.3</v>
      </c>
      <c r="W99" s="51">
        <v>308.58100000000002</v>
      </c>
      <c r="X99" s="24"/>
      <c r="Y99" s="22"/>
      <c r="Z99" s="22"/>
      <c r="AA99" s="25"/>
      <c r="AB99" s="47">
        <v>0</v>
      </c>
      <c r="AC99" s="41" t="s">
        <v>1223</v>
      </c>
      <c r="AD99" s="14" t="s">
        <v>2626</v>
      </c>
      <c r="AE99" s="14" t="s">
        <v>2627</v>
      </c>
    </row>
    <row r="100" spans="1:31" s="1" customFormat="1">
      <c r="A100" s="23" t="s">
        <v>2838</v>
      </c>
      <c r="B100" s="48" t="s">
        <v>2839</v>
      </c>
      <c r="C100" s="988">
        <v>1</v>
      </c>
      <c r="D100" s="996" t="s">
        <v>90</v>
      </c>
      <c r="E100" s="980">
        <v>881.67</v>
      </c>
      <c r="F100" s="21">
        <f t="shared" si="6"/>
        <v>0.3</v>
      </c>
      <c r="G100" s="51">
        <f t="shared" si="5"/>
        <v>617.16899999999998</v>
      </c>
      <c r="H100" s="24"/>
      <c r="I100" s="22"/>
      <c r="J100" s="22"/>
      <c r="K100" s="25"/>
      <c r="L100" s="47">
        <v>0</v>
      </c>
      <c r="M100" s="41" t="s">
        <v>1223</v>
      </c>
      <c r="N100" s="14" t="s">
        <v>2626</v>
      </c>
      <c r="O100" s="14" t="s">
        <v>2627</v>
      </c>
      <c r="P100" s="23" t="s">
        <v>2838</v>
      </c>
      <c r="Q100" s="48" t="s">
        <v>2839</v>
      </c>
      <c r="R100" s="49">
        <v>1</v>
      </c>
      <c r="S100" s="28" t="s">
        <v>90</v>
      </c>
      <c r="T100" s="26" t="s">
        <v>2838</v>
      </c>
      <c r="U100" s="51">
        <v>881.67</v>
      </c>
      <c r="V100" s="21">
        <v>0.3</v>
      </c>
      <c r="W100" s="51">
        <v>617.16899999999998</v>
      </c>
      <c r="X100" s="24"/>
      <c r="Y100" s="22"/>
      <c r="Z100" s="22"/>
      <c r="AA100" s="25"/>
      <c r="AB100" s="47">
        <v>0</v>
      </c>
      <c r="AC100" s="41" t="s">
        <v>1223</v>
      </c>
      <c r="AD100" s="14" t="s">
        <v>2626</v>
      </c>
      <c r="AE100" s="14" t="s">
        <v>2627</v>
      </c>
    </row>
    <row r="101" spans="1:31" s="1" customFormat="1">
      <c r="A101" s="23" t="s">
        <v>2840</v>
      </c>
      <c r="B101" s="48" t="s">
        <v>2841</v>
      </c>
      <c r="C101" s="988">
        <v>1</v>
      </c>
      <c r="D101" s="996" t="s">
        <v>90</v>
      </c>
      <c r="E101" s="980">
        <v>1322.5</v>
      </c>
      <c r="F101" s="21">
        <f t="shared" si="6"/>
        <v>0.3</v>
      </c>
      <c r="G101" s="51">
        <f t="shared" si="5"/>
        <v>925.75</v>
      </c>
      <c r="H101" s="24"/>
      <c r="I101" s="22"/>
      <c r="J101" s="22"/>
      <c r="K101" s="25"/>
      <c r="L101" s="47">
        <v>0</v>
      </c>
      <c r="M101" s="41" t="s">
        <v>1223</v>
      </c>
      <c r="N101" s="14" t="s">
        <v>2626</v>
      </c>
      <c r="O101" s="14" t="s">
        <v>2627</v>
      </c>
      <c r="P101" s="23" t="s">
        <v>2840</v>
      </c>
      <c r="Q101" s="48" t="s">
        <v>2841</v>
      </c>
      <c r="R101" s="49">
        <v>1</v>
      </c>
      <c r="S101" s="28" t="s">
        <v>90</v>
      </c>
      <c r="T101" s="26" t="s">
        <v>2840</v>
      </c>
      <c r="U101" s="51">
        <v>1322.5</v>
      </c>
      <c r="V101" s="21">
        <v>0.3</v>
      </c>
      <c r="W101" s="51">
        <v>925.75</v>
      </c>
      <c r="X101" s="24"/>
      <c r="Y101" s="22"/>
      <c r="Z101" s="22"/>
      <c r="AA101" s="25"/>
      <c r="AB101" s="47">
        <v>0</v>
      </c>
      <c r="AC101" s="41" t="s">
        <v>1223</v>
      </c>
      <c r="AD101" s="14" t="s">
        <v>2626</v>
      </c>
      <c r="AE101" s="14" t="s">
        <v>2627</v>
      </c>
    </row>
  </sheetData>
  <mergeCells count="6">
    <mergeCell ref="AD3:AD4"/>
    <mergeCell ref="AE3:AE4"/>
    <mergeCell ref="A3:G3"/>
    <mergeCell ref="N3:N4"/>
    <mergeCell ref="O3:O4"/>
    <mergeCell ref="P3:W3"/>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AFFD8-6E98-9343-9FEC-FD7A0CC7F830}">
  <sheetPr>
    <tabColor rgb="FFD7B3FF"/>
  </sheetPr>
  <dimension ref="A1:V70"/>
  <sheetViews>
    <sheetView zoomScale="90" zoomScaleNormal="90" workbookViewId="0">
      <selection activeCell="A6" sqref="A6"/>
    </sheetView>
  </sheetViews>
  <sheetFormatPr baseColWidth="10" defaultColWidth="10.7109375" defaultRowHeight="15.75"/>
  <cols>
    <col min="1" max="1" width="39.42578125" style="241" customWidth="1"/>
    <col min="2" max="2" width="25.85546875" style="241" customWidth="1"/>
    <col min="3" max="3" width="22.7109375" style="241" bestFit="1" customWidth="1"/>
    <col min="4" max="4" width="13.5703125" style="241" customWidth="1"/>
    <col min="5" max="11" width="10.7109375" style="241" bestFit="1"/>
    <col min="12" max="12" width="10.7109375" style="240" bestFit="1"/>
    <col min="13" max="13" width="10.7109375" style="224" bestFit="1"/>
    <col min="14" max="14" width="34.5703125" style="224" customWidth="1"/>
    <col min="15" max="16384" width="10.7109375" style="224"/>
  </cols>
  <sheetData>
    <row r="1" spans="1:22" s="225" customFormat="1" ht="24" customHeight="1">
      <c r="A1" s="239" t="s">
        <v>65</v>
      </c>
      <c r="B1" s="249"/>
      <c r="C1" s="238"/>
      <c r="D1" s="237"/>
      <c r="E1" s="236"/>
      <c r="F1" s="228"/>
      <c r="G1" s="229"/>
      <c r="H1" s="228"/>
      <c r="I1" s="235"/>
      <c r="J1" s="227"/>
      <c r="K1" s="227"/>
      <c r="L1" s="227"/>
      <c r="M1" s="226"/>
      <c r="N1" s="227"/>
      <c r="O1" s="227"/>
      <c r="P1" s="227"/>
      <c r="Q1" s="227"/>
      <c r="R1" s="248"/>
      <c r="S1" s="227"/>
      <c r="T1" s="247"/>
      <c r="U1" s="247"/>
      <c r="V1" s="247"/>
    </row>
    <row r="2" spans="1:22" ht="18.75">
      <c r="C2" s="1190" t="s">
        <v>66</v>
      </c>
      <c r="D2" s="1191"/>
      <c r="E2" s="1191"/>
      <c r="F2" s="1191"/>
      <c r="M2" s="480"/>
      <c r="N2" s="480"/>
      <c r="O2" s="480"/>
      <c r="P2" s="480"/>
      <c r="Q2" s="480"/>
      <c r="R2" s="480"/>
      <c r="S2" s="480"/>
      <c r="T2" s="480"/>
      <c r="U2" s="480"/>
      <c r="V2" s="480"/>
    </row>
    <row r="4" spans="1:22" ht="27" customHeight="1">
      <c r="A4" s="1188" t="s">
        <v>2842</v>
      </c>
      <c r="B4" s="1188"/>
      <c r="C4" s="1188"/>
      <c r="D4" s="1188"/>
      <c r="E4" s="1188"/>
      <c r="F4" s="1189"/>
      <c r="G4" s="1189"/>
      <c r="H4" s="1189"/>
      <c r="I4" s="1189"/>
      <c r="J4" s="1189"/>
      <c r="K4" s="1189"/>
      <c r="M4" s="480"/>
      <c r="N4" s="480"/>
      <c r="O4" s="480"/>
      <c r="P4" s="480"/>
      <c r="Q4" s="480"/>
      <c r="R4" s="480"/>
      <c r="S4" s="480"/>
      <c r="T4" s="480"/>
      <c r="U4" s="480"/>
      <c r="V4" s="480"/>
    </row>
    <row r="7" spans="1:22" ht="30.95" customHeight="1">
      <c r="A7" s="246"/>
      <c r="B7" s="246"/>
      <c r="D7" s="1182" t="s">
        <v>2843</v>
      </c>
      <c r="E7" s="1183"/>
      <c r="F7" s="1183"/>
      <c r="G7" s="1184"/>
      <c r="H7" s="1185" t="s">
        <v>2844</v>
      </c>
      <c r="I7" s="1186"/>
      <c r="J7" s="1186"/>
      <c r="K7" s="1187"/>
      <c r="L7" s="246"/>
      <c r="M7" s="245"/>
      <c r="N7" s="480"/>
      <c r="O7" s="480"/>
      <c r="P7" s="480"/>
      <c r="Q7" s="480"/>
      <c r="R7" s="480"/>
      <c r="S7" s="480"/>
      <c r="T7" s="480"/>
      <c r="U7" s="480"/>
      <c r="V7" s="480"/>
    </row>
    <row r="8" spans="1:22" ht="24.95" customHeight="1">
      <c r="C8" s="243" t="s">
        <v>2845</v>
      </c>
      <c r="D8" s="481">
        <v>0.20130874728773931</v>
      </c>
      <c r="E8" s="481">
        <v>0.10462145617787387</v>
      </c>
      <c r="F8" s="481">
        <v>7.5983449177791346E-2</v>
      </c>
      <c r="G8" s="481">
        <v>6.5568882698771341E-2</v>
      </c>
      <c r="H8" s="234">
        <v>0.309</v>
      </c>
      <c r="I8" s="234">
        <v>0.309</v>
      </c>
      <c r="J8" s="234">
        <v>0.26399999999999996</v>
      </c>
      <c r="K8" s="234">
        <v>0.1515</v>
      </c>
      <c r="M8" s="480"/>
      <c r="N8" s="480"/>
      <c r="O8" s="480"/>
      <c r="P8" s="480"/>
      <c r="Q8" s="480"/>
      <c r="R8" s="480"/>
      <c r="S8" s="480"/>
      <c r="T8" s="480"/>
      <c r="U8" s="480"/>
      <c r="V8" s="480"/>
    </row>
    <row r="9" spans="1:22" ht="39.950000000000003" customHeight="1">
      <c r="A9" s="244" t="s">
        <v>2846</v>
      </c>
      <c r="B9" s="243" t="s">
        <v>2847</v>
      </c>
      <c r="C9" s="242" t="s">
        <v>2848</v>
      </c>
      <c r="D9" s="233" t="s">
        <v>2849</v>
      </c>
      <c r="E9" s="232" t="s">
        <v>2850</v>
      </c>
      <c r="F9" s="231" t="s">
        <v>2851</v>
      </c>
      <c r="G9" s="230" t="s">
        <v>2852</v>
      </c>
      <c r="H9" s="233" t="s">
        <v>2849</v>
      </c>
      <c r="I9" s="232" t="s">
        <v>2850</v>
      </c>
      <c r="J9" s="231" t="s">
        <v>2851</v>
      </c>
      <c r="K9" s="230" t="s">
        <v>2852</v>
      </c>
      <c r="M9" s="480"/>
      <c r="N9" s="480"/>
      <c r="O9" s="480"/>
      <c r="P9" s="480"/>
      <c r="Q9" s="480"/>
      <c r="R9" s="480"/>
      <c r="S9" s="480"/>
      <c r="T9" s="480"/>
      <c r="U9" s="480"/>
      <c r="V9" s="480"/>
    </row>
    <row r="10" spans="1:22" ht="27" customHeight="1">
      <c r="A10" s="296" t="s">
        <v>2853</v>
      </c>
      <c r="B10" s="243" t="s">
        <v>88</v>
      </c>
      <c r="C10" s="301">
        <v>871.06888000000004</v>
      </c>
      <c r="D10" s="299">
        <f t="shared" ref="D10:K10" si="0">D$8*$C10</f>
        <v>175.35378503413412</v>
      </c>
      <c r="E10" s="299">
        <f t="shared" si="0"/>
        <v>91.132494656829678</v>
      </c>
      <c r="F10" s="299">
        <f t="shared" si="0"/>
        <v>66.18681797383563</v>
      </c>
      <c r="G10" s="299">
        <f t="shared" si="0"/>
        <v>57.115013215270132</v>
      </c>
      <c r="H10" s="299">
        <f t="shared" si="0"/>
        <v>269.16028391999998</v>
      </c>
      <c r="I10" s="299">
        <f t="shared" si="0"/>
        <v>269.16028391999998</v>
      </c>
      <c r="J10" s="299">
        <f t="shared" si="0"/>
        <v>229.96218431999998</v>
      </c>
      <c r="K10" s="299">
        <f t="shared" si="0"/>
        <v>131.96693532</v>
      </c>
      <c r="M10" s="480"/>
      <c r="N10" s="480"/>
      <c r="O10" s="480"/>
      <c r="P10" s="480"/>
      <c r="Q10" s="480"/>
      <c r="R10" s="480"/>
      <c r="S10" s="480"/>
      <c r="T10" s="480"/>
      <c r="U10" s="480"/>
      <c r="V10" s="480"/>
    </row>
    <row r="11" spans="1:22" ht="27" customHeight="1">
      <c r="A11" s="297"/>
      <c r="B11" s="482" t="s">
        <v>2854</v>
      </c>
      <c r="C11" s="483"/>
      <c r="D11" s="483">
        <v>29.140454243230806</v>
      </c>
      <c r="E11" s="483"/>
      <c r="F11" s="483"/>
      <c r="G11" s="483"/>
      <c r="H11" s="483" t="s">
        <v>92</v>
      </c>
      <c r="I11" s="483" t="s">
        <v>92</v>
      </c>
      <c r="J11" s="483" t="s">
        <v>92</v>
      </c>
      <c r="K11" s="483" t="s">
        <v>92</v>
      </c>
      <c r="M11" s="480"/>
      <c r="N11" s="480"/>
      <c r="O11" s="480"/>
      <c r="P11" s="480"/>
      <c r="Q11" s="480"/>
      <c r="R11" s="480"/>
      <c r="S11" s="480"/>
      <c r="T11" s="480"/>
      <c r="U11" s="480"/>
      <c r="V11" s="480"/>
    </row>
    <row r="12" spans="1:22" ht="27" customHeight="1">
      <c r="A12" s="297"/>
      <c r="B12" s="482" t="s">
        <v>2855</v>
      </c>
      <c r="C12" s="483"/>
      <c r="D12" s="483"/>
      <c r="E12" s="483">
        <v>14.570227121615403</v>
      </c>
      <c r="F12" s="483"/>
      <c r="G12" s="483"/>
      <c r="H12" s="483" t="s">
        <v>92</v>
      </c>
      <c r="I12" s="483" t="s">
        <v>92</v>
      </c>
      <c r="J12" s="483" t="s">
        <v>92</v>
      </c>
      <c r="K12" s="483" t="s">
        <v>92</v>
      </c>
      <c r="M12" s="480"/>
      <c r="N12" s="480"/>
      <c r="O12" s="480"/>
      <c r="P12" s="480"/>
      <c r="Q12" s="480"/>
      <c r="R12" s="480"/>
      <c r="S12" s="480"/>
      <c r="T12" s="480"/>
      <c r="U12" s="480"/>
      <c r="V12" s="480"/>
    </row>
    <row r="13" spans="1:22" ht="27" customHeight="1">
      <c r="A13" s="297"/>
      <c r="B13" s="482" t="s">
        <v>2856</v>
      </c>
      <c r="C13" s="483"/>
      <c r="D13" s="483"/>
      <c r="E13" s="483"/>
      <c r="F13" s="483">
        <v>10.691444783321872</v>
      </c>
      <c r="G13" s="483"/>
      <c r="H13" s="483" t="s">
        <v>92</v>
      </c>
      <c r="I13" s="483" t="s">
        <v>92</v>
      </c>
      <c r="J13" s="483" t="s">
        <v>92</v>
      </c>
      <c r="K13" s="483" t="s">
        <v>92</v>
      </c>
      <c r="M13" s="480"/>
      <c r="N13" s="480"/>
      <c r="O13" s="480"/>
      <c r="P13" s="480"/>
      <c r="Q13" s="480"/>
      <c r="R13" s="480"/>
      <c r="S13" s="480"/>
      <c r="T13" s="480"/>
      <c r="U13" s="480"/>
      <c r="V13" s="480"/>
    </row>
    <row r="14" spans="1:22" ht="27" customHeight="1">
      <c r="A14" s="298"/>
      <c r="B14" s="482" t="s">
        <v>2857</v>
      </c>
      <c r="C14" s="483"/>
      <c r="D14" s="483"/>
      <c r="E14" s="483"/>
      <c r="F14" s="483"/>
      <c r="G14" s="483">
        <v>8.7424117546694049</v>
      </c>
      <c r="H14" s="483" t="s">
        <v>92</v>
      </c>
      <c r="I14" s="483" t="s">
        <v>92</v>
      </c>
      <c r="J14" s="483" t="s">
        <v>92</v>
      </c>
      <c r="K14" s="483" t="s">
        <v>92</v>
      </c>
      <c r="M14" s="480"/>
      <c r="N14" s="480"/>
      <c r="O14" s="480"/>
      <c r="P14" s="480"/>
      <c r="Q14" s="480"/>
      <c r="R14" s="480"/>
      <c r="S14" s="480"/>
      <c r="T14" s="480"/>
      <c r="U14" s="480"/>
      <c r="V14" s="480"/>
    </row>
    <row r="15" spans="1:22" ht="27.95" customHeight="1">
      <c r="A15" s="296" t="s">
        <v>2858</v>
      </c>
      <c r="B15" s="243" t="s">
        <v>425</v>
      </c>
      <c r="C15" s="301">
        <v>1145.7328</v>
      </c>
      <c r="D15" s="299">
        <f t="shared" ref="D15:K15" si="1">D$8*$C15</f>
        <v>230.64603469447397</v>
      </c>
      <c r="E15" s="299">
        <f t="shared" si="1"/>
        <v>119.86823392675272</v>
      </c>
      <c r="F15" s="299">
        <f t="shared" si="1"/>
        <v>87.05672998012858</v>
      </c>
      <c r="G15" s="299">
        <f t="shared" si="1"/>
        <v>75.12441956733484</v>
      </c>
      <c r="H15" s="301">
        <f t="shared" si="1"/>
        <v>354.03143519999998</v>
      </c>
      <c r="I15" s="301">
        <f t="shared" si="1"/>
        <v>354.03143519999998</v>
      </c>
      <c r="J15" s="301">
        <f t="shared" si="1"/>
        <v>302.47345919999992</v>
      </c>
      <c r="K15" s="301">
        <f t="shared" si="1"/>
        <v>173.57851919999999</v>
      </c>
      <c r="M15" s="480"/>
      <c r="N15" s="480"/>
      <c r="O15" s="480"/>
      <c r="P15" s="480"/>
      <c r="Q15" s="480"/>
      <c r="R15" s="480"/>
      <c r="S15" s="480"/>
      <c r="T15" s="480"/>
      <c r="U15" s="480"/>
      <c r="V15" s="480"/>
    </row>
    <row r="16" spans="1:22" ht="27.95" customHeight="1">
      <c r="A16" s="297"/>
      <c r="B16" s="482" t="s">
        <v>2859</v>
      </c>
      <c r="C16" s="483"/>
      <c r="D16" s="483">
        <v>34.206562709226404</v>
      </c>
      <c r="E16" s="483"/>
      <c r="F16" s="483"/>
      <c r="G16" s="483"/>
      <c r="H16" s="483" t="s">
        <v>92</v>
      </c>
      <c r="I16" s="483" t="s">
        <v>92</v>
      </c>
      <c r="J16" s="483" t="s">
        <v>92</v>
      </c>
      <c r="K16" s="483" t="s">
        <v>92</v>
      </c>
      <c r="M16" s="480"/>
      <c r="N16" s="480"/>
      <c r="O16" s="480"/>
      <c r="P16" s="480"/>
      <c r="Q16" s="480"/>
      <c r="R16" s="480"/>
      <c r="S16" s="480"/>
      <c r="T16" s="480"/>
      <c r="U16" s="480"/>
      <c r="V16" s="480"/>
    </row>
    <row r="17" spans="1:11" ht="27.95" customHeight="1">
      <c r="A17" s="297"/>
      <c r="B17" s="482" t="s">
        <v>2860</v>
      </c>
      <c r="C17" s="483"/>
      <c r="D17" s="483"/>
      <c r="E17" s="483">
        <v>17.103281354613202</v>
      </c>
      <c r="F17" s="483"/>
      <c r="G17" s="483"/>
      <c r="H17" s="483" t="s">
        <v>92</v>
      </c>
      <c r="I17" s="483" t="s">
        <v>92</v>
      </c>
      <c r="J17" s="483" t="s">
        <v>92</v>
      </c>
      <c r="K17" s="483" t="s">
        <v>92</v>
      </c>
    </row>
    <row r="18" spans="1:11" ht="27.95" customHeight="1">
      <c r="A18" s="297"/>
      <c r="B18" s="482" t="s">
        <v>2861</v>
      </c>
      <c r="C18" s="483"/>
      <c r="D18" s="483"/>
      <c r="E18" s="483"/>
      <c r="F18" s="483">
        <v>12.734600726196661</v>
      </c>
      <c r="G18" s="483"/>
      <c r="H18" s="483" t="s">
        <v>92</v>
      </c>
      <c r="I18" s="483" t="s">
        <v>92</v>
      </c>
      <c r="J18" s="483" t="s">
        <v>92</v>
      </c>
      <c r="K18" s="483" t="s">
        <v>92</v>
      </c>
    </row>
    <row r="19" spans="1:11" ht="27.95" customHeight="1">
      <c r="A19" s="298"/>
      <c r="B19" s="482" t="s">
        <v>2862</v>
      </c>
      <c r="C19" s="483"/>
      <c r="D19" s="483"/>
      <c r="E19" s="483"/>
      <c r="F19" s="483"/>
      <c r="G19" s="483">
        <v>10.262382035318165</v>
      </c>
      <c r="H19" s="483" t="s">
        <v>92</v>
      </c>
      <c r="I19" s="483" t="s">
        <v>92</v>
      </c>
      <c r="J19" s="483" t="s">
        <v>92</v>
      </c>
      <c r="K19" s="483" t="s">
        <v>92</v>
      </c>
    </row>
    <row r="20" spans="1:11" ht="27.95" customHeight="1">
      <c r="A20" s="296" t="s">
        <v>2863</v>
      </c>
      <c r="B20" s="955" t="s">
        <v>3273</v>
      </c>
      <c r="C20" s="956">
        <v>1695.0688799999998</v>
      </c>
      <c r="D20" s="299">
        <f t="shared" ref="D20:K20" si="2">D$8*$C20</f>
        <v>341.23219279923126</v>
      </c>
      <c r="E20" s="299">
        <f t="shared" si="2"/>
        <v>177.34057454739772</v>
      </c>
      <c r="F20" s="299">
        <f t="shared" si="2"/>
        <v>128.79718009633569</v>
      </c>
      <c r="G20" s="299">
        <f t="shared" si="2"/>
        <v>111.14377255905771</v>
      </c>
      <c r="H20" s="301">
        <f t="shared" si="2"/>
        <v>523.77628391999997</v>
      </c>
      <c r="I20" s="301">
        <f t="shared" si="2"/>
        <v>523.77628391999997</v>
      </c>
      <c r="J20" s="301">
        <f t="shared" si="2"/>
        <v>447.49818431999989</v>
      </c>
      <c r="K20" s="301">
        <f t="shared" si="2"/>
        <v>256.80293531999996</v>
      </c>
    </row>
    <row r="21" spans="1:11" ht="27.95" customHeight="1">
      <c r="A21" s="297"/>
      <c r="B21" s="482" t="s">
        <v>2864</v>
      </c>
      <c r="C21" s="483"/>
      <c r="D21" s="483">
        <v>75.291903471520243</v>
      </c>
      <c r="E21" s="483"/>
      <c r="F21" s="483"/>
      <c r="G21" s="483"/>
      <c r="H21" s="483" t="s">
        <v>92</v>
      </c>
      <c r="I21" s="483" t="s">
        <v>92</v>
      </c>
      <c r="J21" s="483" t="s">
        <v>92</v>
      </c>
      <c r="K21" s="483" t="s">
        <v>92</v>
      </c>
    </row>
    <row r="22" spans="1:11" ht="27.95" customHeight="1">
      <c r="A22" s="297"/>
      <c r="B22" s="482" t="s">
        <v>2865</v>
      </c>
      <c r="C22" s="483"/>
      <c r="D22" s="483"/>
      <c r="E22" s="483">
        <v>37.645951735760121</v>
      </c>
      <c r="F22" s="483"/>
      <c r="G22" s="483"/>
      <c r="H22" s="483" t="s">
        <v>92</v>
      </c>
      <c r="I22" s="483" t="s">
        <v>92</v>
      </c>
      <c r="J22" s="483" t="s">
        <v>92</v>
      </c>
      <c r="K22" s="483" t="s">
        <v>92</v>
      </c>
    </row>
    <row r="23" spans="1:11" ht="27.95" customHeight="1">
      <c r="A23" s="297"/>
      <c r="B23" s="482" t="s">
        <v>2866</v>
      </c>
      <c r="C23" s="483"/>
      <c r="D23" s="483"/>
      <c r="E23" s="483"/>
      <c r="F23" s="483">
        <v>27.624386620001019</v>
      </c>
      <c r="G23" s="483"/>
      <c r="H23" s="483" t="s">
        <v>92</v>
      </c>
      <c r="I23" s="483" t="s">
        <v>92</v>
      </c>
      <c r="J23" s="483" t="s">
        <v>92</v>
      </c>
      <c r="K23" s="483" t="s">
        <v>92</v>
      </c>
    </row>
    <row r="24" spans="1:11" ht="27.95" customHeight="1">
      <c r="A24" s="298"/>
      <c r="B24" s="482" t="s">
        <v>2867</v>
      </c>
      <c r="C24" s="483"/>
      <c r="D24" s="483"/>
      <c r="E24" s="483"/>
      <c r="F24" s="483"/>
      <c r="G24" s="483">
        <v>22.587433300605994</v>
      </c>
      <c r="H24" s="483" t="s">
        <v>92</v>
      </c>
      <c r="I24" s="483" t="s">
        <v>92</v>
      </c>
      <c r="J24" s="483" t="s">
        <v>92</v>
      </c>
      <c r="K24" s="483" t="s">
        <v>92</v>
      </c>
    </row>
    <row r="25" spans="1:11" ht="29.1" customHeight="1">
      <c r="A25" s="296" t="s">
        <v>2868</v>
      </c>
      <c r="B25" s="955" t="s">
        <v>3421</v>
      </c>
      <c r="C25" s="956">
        <v>2120.9672533333337</v>
      </c>
      <c r="D25" s="299">
        <f t="shared" ref="D25:K25" si="3">D$8*$C25</f>
        <v>426.96926080685063</v>
      </c>
      <c r="E25" s="299">
        <f t="shared" si="3"/>
        <v>221.89868254931889</v>
      </c>
      <c r="F25" s="299">
        <f t="shared" si="3"/>
        <v>161.15840750141305</v>
      </c>
      <c r="G25" s="299">
        <f t="shared" si="3"/>
        <v>139.0694530417486</v>
      </c>
      <c r="H25" s="301">
        <f t="shared" si="3"/>
        <v>655.37888128000009</v>
      </c>
      <c r="I25" s="301">
        <f t="shared" si="3"/>
        <v>655.37888128000009</v>
      </c>
      <c r="J25" s="301">
        <f t="shared" si="3"/>
        <v>559.93535487999998</v>
      </c>
      <c r="K25" s="301">
        <f t="shared" si="3"/>
        <v>321.32653888000004</v>
      </c>
    </row>
    <row r="26" spans="1:11" ht="29.1" customHeight="1">
      <c r="A26" s="297"/>
      <c r="B26" s="482" t="s">
        <v>2869</v>
      </c>
      <c r="C26" s="483"/>
      <c r="D26" s="483">
        <v>81.038451736918191</v>
      </c>
      <c r="E26" s="483"/>
      <c r="F26" s="483"/>
      <c r="G26" s="483"/>
      <c r="H26" s="483" t="s">
        <v>92</v>
      </c>
      <c r="I26" s="483" t="s">
        <v>92</v>
      </c>
      <c r="J26" s="483" t="s">
        <v>92</v>
      </c>
      <c r="K26" s="483" t="s">
        <v>92</v>
      </c>
    </row>
    <row r="27" spans="1:11" ht="29.1" customHeight="1">
      <c r="A27" s="297"/>
      <c r="B27" s="482" t="s">
        <v>2870</v>
      </c>
      <c r="C27" s="483"/>
      <c r="D27" s="483"/>
      <c r="E27" s="483">
        <v>40.519225868459095</v>
      </c>
      <c r="F27" s="483"/>
      <c r="G27" s="483"/>
      <c r="H27" s="483" t="s">
        <v>92</v>
      </c>
      <c r="I27" s="483" t="s">
        <v>92</v>
      </c>
      <c r="J27" s="483" t="s">
        <v>92</v>
      </c>
      <c r="K27" s="483" t="s">
        <v>92</v>
      </c>
    </row>
    <row r="28" spans="1:11" ht="29.1" customHeight="1">
      <c r="A28" s="297"/>
      <c r="B28" s="482" t="s">
        <v>2871</v>
      </c>
      <c r="C28" s="483"/>
      <c r="D28" s="483"/>
      <c r="E28" s="483"/>
      <c r="F28" s="483">
        <v>29.732739898581031</v>
      </c>
      <c r="G28" s="483"/>
      <c r="H28" s="483" t="s">
        <v>92</v>
      </c>
      <c r="I28" s="483" t="s">
        <v>92</v>
      </c>
      <c r="J28" s="483" t="s">
        <v>92</v>
      </c>
      <c r="K28" s="483" t="s">
        <v>92</v>
      </c>
    </row>
    <row r="29" spans="1:11" ht="29.1" customHeight="1">
      <c r="A29" s="298"/>
      <c r="B29" s="482" t="s">
        <v>2872</v>
      </c>
      <c r="C29" s="483"/>
      <c r="D29" s="483"/>
      <c r="E29" s="483"/>
      <c r="F29" s="483"/>
      <c r="G29" s="483">
        <v>24.311260039375295</v>
      </c>
      <c r="H29" s="483" t="s">
        <v>92</v>
      </c>
      <c r="I29" s="483" t="s">
        <v>92</v>
      </c>
      <c r="J29" s="483" t="s">
        <v>92</v>
      </c>
      <c r="K29" s="483" t="s">
        <v>92</v>
      </c>
    </row>
    <row r="30" spans="1:11" ht="27.95" customHeight="1">
      <c r="A30" s="296" t="s">
        <v>2873</v>
      </c>
      <c r="B30" s="955" t="s">
        <v>3557</v>
      </c>
      <c r="C30" s="956">
        <v>533.88649999999996</v>
      </c>
      <c r="D30" s="299">
        <f t="shared" ref="D30:K30" si="4">D$8*$C30</f>
        <v>107.47602250883563</v>
      </c>
      <c r="E30" s="299">
        <f t="shared" si="4"/>
        <v>55.85598306370845</v>
      </c>
      <c r="F30" s="299">
        <f t="shared" si="4"/>
        <v>40.566537739458894</v>
      </c>
      <c r="G30" s="299">
        <f t="shared" si="4"/>
        <v>35.006341292957586</v>
      </c>
      <c r="H30" s="301">
        <f t="shared" si="4"/>
        <v>164.97092849999999</v>
      </c>
      <c r="I30" s="301">
        <f t="shared" si="4"/>
        <v>164.97092849999999</v>
      </c>
      <c r="J30" s="301">
        <f t="shared" si="4"/>
        <v>140.94603599999996</v>
      </c>
      <c r="K30" s="301">
        <f t="shared" si="4"/>
        <v>80.883804749999996</v>
      </c>
    </row>
    <row r="31" spans="1:11" ht="27.95" customHeight="1">
      <c r="A31" s="297"/>
      <c r="B31" s="482" t="s">
        <v>2874</v>
      </c>
      <c r="C31" s="483"/>
      <c r="D31" s="483">
        <v>36.402151859524658</v>
      </c>
      <c r="E31" s="483"/>
      <c r="F31" s="483"/>
      <c r="G31" s="483"/>
      <c r="H31" s="483" t="s">
        <v>92</v>
      </c>
      <c r="I31" s="483" t="s">
        <v>92</v>
      </c>
      <c r="J31" s="483" t="s">
        <v>92</v>
      </c>
      <c r="K31" s="483" t="s">
        <v>92</v>
      </c>
    </row>
    <row r="32" spans="1:11" ht="27.95" customHeight="1">
      <c r="A32" s="297"/>
      <c r="B32" s="482" t="s">
        <v>2875</v>
      </c>
      <c r="C32" s="483"/>
      <c r="D32" s="483"/>
      <c r="E32" s="483">
        <v>18.201075929762329</v>
      </c>
      <c r="F32" s="483"/>
      <c r="G32" s="483"/>
      <c r="H32" s="483" t="s">
        <v>92</v>
      </c>
      <c r="I32" s="483" t="s">
        <v>92</v>
      </c>
      <c r="J32" s="483" t="s">
        <v>92</v>
      </c>
      <c r="K32" s="483" t="s">
        <v>92</v>
      </c>
    </row>
    <row r="33" spans="1:11" ht="27.95" customHeight="1">
      <c r="A33" s="297"/>
      <c r="B33" s="482" t="s">
        <v>2876</v>
      </c>
      <c r="C33" s="483"/>
      <c r="D33" s="483"/>
      <c r="E33" s="483"/>
      <c r="F33" s="483">
        <v>13.356271096230921</v>
      </c>
      <c r="G33" s="483"/>
      <c r="H33" s="483" t="s">
        <v>92</v>
      </c>
      <c r="I33" s="483" t="s">
        <v>92</v>
      </c>
      <c r="J33" s="483" t="s">
        <v>92</v>
      </c>
      <c r="K33" s="483" t="s">
        <v>92</v>
      </c>
    </row>
    <row r="34" spans="1:11" ht="27.95" customHeight="1">
      <c r="A34" s="298"/>
      <c r="B34" s="482" t="s">
        <v>2877</v>
      </c>
      <c r="C34" s="483"/>
      <c r="D34" s="483"/>
      <c r="E34" s="483"/>
      <c r="F34" s="483"/>
      <c r="G34" s="483">
        <v>10.92078329870748</v>
      </c>
      <c r="H34" s="483" t="s">
        <v>92</v>
      </c>
      <c r="I34" s="483" t="s">
        <v>92</v>
      </c>
      <c r="J34" s="483" t="s">
        <v>92</v>
      </c>
      <c r="K34" s="483" t="s">
        <v>92</v>
      </c>
    </row>
    <row r="35" spans="1:11" ht="27.95" customHeight="1">
      <c r="A35" s="484" t="s">
        <v>2878</v>
      </c>
      <c r="B35" s="244" t="s">
        <v>953</v>
      </c>
      <c r="C35" s="957">
        <v>1114.7400000000002</v>
      </c>
      <c r="D35" s="301">
        <f t="shared" ref="D35:K35" si="5">D$8*$C35</f>
        <v>224.40691295153457</v>
      </c>
      <c r="E35" s="301">
        <f t="shared" si="5"/>
        <v>116.62572205972315</v>
      </c>
      <c r="F35" s="301">
        <f t="shared" si="5"/>
        <v>84.701790136451137</v>
      </c>
      <c r="G35" s="301">
        <f t="shared" si="5"/>
        <v>73.092256299628374</v>
      </c>
      <c r="H35" s="301">
        <f t="shared" si="5"/>
        <v>344.45466000000005</v>
      </c>
      <c r="I35" s="301">
        <f t="shared" si="5"/>
        <v>344.45466000000005</v>
      </c>
      <c r="J35" s="301">
        <f t="shared" si="5"/>
        <v>294.29136</v>
      </c>
      <c r="K35" s="301">
        <f t="shared" si="5"/>
        <v>168.88311000000004</v>
      </c>
    </row>
    <row r="36" spans="1:11" ht="27.95" customHeight="1">
      <c r="A36" s="485"/>
      <c r="B36" s="486" t="s">
        <v>2879</v>
      </c>
      <c r="C36" s="483"/>
      <c r="D36" s="483">
        <v>37.300222202055693</v>
      </c>
      <c r="E36" s="483"/>
      <c r="F36" s="483"/>
      <c r="G36" s="483"/>
      <c r="H36" s="483" t="s">
        <v>92</v>
      </c>
      <c r="I36" s="483" t="s">
        <v>92</v>
      </c>
      <c r="J36" s="483" t="s">
        <v>92</v>
      </c>
      <c r="K36" s="483" t="s">
        <v>92</v>
      </c>
    </row>
    <row r="37" spans="1:11" ht="27.95" customHeight="1">
      <c r="A37" s="485"/>
      <c r="B37" s="486" t="s">
        <v>2880</v>
      </c>
      <c r="C37" s="483"/>
      <c r="D37" s="483"/>
      <c r="E37" s="483">
        <v>18.650111101027846</v>
      </c>
      <c r="F37" s="483"/>
      <c r="G37" s="483"/>
      <c r="H37" s="483" t="s">
        <v>92</v>
      </c>
      <c r="I37" s="483" t="s">
        <v>92</v>
      </c>
      <c r="J37" s="483" t="s">
        <v>92</v>
      </c>
      <c r="K37" s="483" t="s">
        <v>92</v>
      </c>
    </row>
    <row r="38" spans="1:11" ht="27.95" customHeight="1">
      <c r="A38" s="485"/>
      <c r="B38" s="486" t="s">
        <v>2881</v>
      </c>
      <c r="C38" s="483"/>
      <c r="D38" s="483"/>
      <c r="E38" s="483"/>
      <c r="F38" s="483">
        <v>13.685930864092517</v>
      </c>
      <c r="G38" s="483"/>
      <c r="H38" s="483" t="s">
        <v>92</v>
      </c>
      <c r="I38" s="483" t="s">
        <v>92</v>
      </c>
      <c r="J38" s="483" t="s">
        <v>92</v>
      </c>
      <c r="K38" s="483" t="s">
        <v>92</v>
      </c>
    </row>
    <row r="39" spans="1:11" ht="27.95" customHeight="1">
      <c r="A39" s="487"/>
      <c r="B39" s="486" t="s">
        <v>2882</v>
      </c>
      <c r="C39" s="483"/>
      <c r="D39" s="483"/>
      <c r="E39" s="483"/>
      <c r="F39" s="483"/>
      <c r="G39" s="483">
        <v>11.190066660616708</v>
      </c>
      <c r="H39" s="483" t="s">
        <v>92</v>
      </c>
      <c r="I39" s="483" t="s">
        <v>92</v>
      </c>
      <c r="J39" s="483" t="s">
        <v>92</v>
      </c>
      <c r="K39" s="483" t="s">
        <v>92</v>
      </c>
    </row>
    <row r="40" spans="1:11" ht="29.1" customHeight="1">
      <c r="A40" s="296" t="s">
        <v>2883</v>
      </c>
      <c r="B40" s="243" t="s">
        <v>1070</v>
      </c>
      <c r="C40" s="301">
        <v>4577.3136400000003</v>
      </c>
      <c r="D40" s="299">
        <f t="shared" ref="D40:K40" si="6">D$8*$C40</f>
        <v>921.45327481148229</v>
      </c>
      <c r="E40" s="299">
        <f t="shared" si="6"/>
        <v>478.88521839964437</v>
      </c>
      <c r="F40" s="299">
        <f t="shared" si="6"/>
        <v>347.80007833575115</v>
      </c>
      <c r="G40" s="299">
        <f t="shared" si="6"/>
        <v>300.12934113664608</v>
      </c>
      <c r="H40" s="301">
        <f t="shared" si="6"/>
        <v>1414.38991476</v>
      </c>
      <c r="I40" s="301">
        <f t="shared" si="6"/>
        <v>1414.38991476</v>
      </c>
      <c r="J40" s="301">
        <f t="shared" si="6"/>
        <v>1208.41080096</v>
      </c>
      <c r="K40" s="301">
        <f t="shared" si="6"/>
        <v>693.46301646000006</v>
      </c>
    </row>
    <row r="41" spans="1:11" ht="29.1" customHeight="1">
      <c r="A41" s="297"/>
      <c r="B41" s="482" t="s">
        <v>2884</v>
      </c>
      <c r="C41" s="483"/>
      <c r="D41" s="483">
        <v>209.07132670462425</v>
      </c>
      <c r="E41" s="483"/>
      <c r="F41" s="483"/>
      <c r="G41" s="483"/>
      <c r="H41" s="483" t="s">
        <v>92</v>
      </c>
      <c r="I41" s="483" t="s">
        <v>92</v>
      </c>
      <c r="J41" s="483" t="s">
        <v>92</v>
      </c>
      <c r="K41" s="483" t="s">
        <v>92</v>
      </c>
    </row>
    <row r="42" spans="1:11" ht="29.1" customHeight="1">
      <c r="A42" s="297"/>
      <c r="B42" s="482" t="s">
        <v>2885</v>
      </c>
      <c r="C42" s="483"/>
      <c r="D42" s="483"/>
      <c r="E42" s="483">
        <v>104.53566335231213</v>
      </c>
      <c r="F42" s="483"/>
      <c r="G42" s="483"/>
      <c r="H42" s="483" t="s">
        <v>92</v>
      </c>
      <c r="I42" s="483" t="s">
        <v>92</v>
      </c>
      <c r="J42" s="483" t="s">
        <v>92</v>
      </c>
      <c r="K42" s="483" t="s">
        <v>92</v>
      </c>
    </row>
    <row r="43" spans="1:11" ht="29.1" customHeight="1">
      <c r="A43" s="297"/>
      <c r="B43" s="482" t="s">
        <v>2886</v>
      </c>
      <c r="C43" s="483"/>
      <c r="D43" s="483"/>
      <c r="E43" s="483"/>
      <c r="F43" s="483">
        <v>76.707879410357521</v>
      </c>
      <c r="G43" s="483"/>
      <c r="H43" s="483" t="s">
        <v>92</v>
      </c>
      <c r="I43" s="483" t="s">
        <v>92</v>
      </c>
      <c r="J43" s="483" t="s">
        <v>92</v>
      </c>
      <c r="K43" s="483" t="s">
        <v>92</v>
      </c>
    </row>
    <row r="44" spans="1:11" ht="29.1" customHeight="1">
      <c r="A44" s="298"/>
      <c r="B44" s="482" t="s">
        <v>2887</v>
      </c>
      <c r="C44" s="483"/>
      <c r="D44" s="483"/>
      <c r="E44" s="483"/>
      <c r="F44" s="483"/>
      <c r="G44" s="483">
        <v>62.720984788837043</v>
      </c>
      <c r="H44" s="483" t="s">
        <v>92</v>
      </c>
      <c r="I44" s="483" t="s">
        <v>92</v>
      </c>
      <c r="J44" s="483" t="s">
        <v>92</v>
      </c>
      <c r="K44" s="483" t="s">
        <v>92</v>
      </c>
    </row>
    <row r="45" spans="1:11" ht="24" customHeight="1">
      <c r="A45" s="296" t="s">
        <v>2888</v>
      </c>
      <c r="B45" s="245" t="s">
        <v>1294</v>
      </c>
      <c r="C45" s="301">
        <v>504.73801999999995</v>
      </c>
      <c r="D45" s="299">
        <f t="shared" ref="D45:K45" si="7">D$8*$C45</f>
        <v>101.6081785146939</v>
      </c>
      <c r="E45" s="299">
        <f t="shared" si="7"/>
        <v>52.806426640736817</v>
      </c>
      <c r="F45" s="299">
        <f t="shared" si="7"/>
        <v>38.351735690769026</v>
      </c>
      <c r="G45" s="299">
        <f t="shared" si="7"/>
        <v>33.095108026990097</v>
      </c>
      <c r="H45" s="301">
        <f t="shared" si="7"/>
        <v>155.96404817999999</v>
      </c>
      <c r="I45" s="301">
        <f t="shared" si="7"/>
        <v>155.96404817999999</v>
      </c>
      <c r="J45" s="301">
        <f t="shared" si="7"/>
        <v>133.25083727999996</v>
      </c>
      <c r="K45" s="301">
        <f t="shared" si="7"/>
        <v>76.467810029999995</v>
      </c>
    </row>
    <row r="46" spans="1:11" ht="24" customHeight="1">
      <c r="A46" s="297"/>
      <c r="B46" s="482" t="s">
        <v>2889</v>
      </c>
      <c r="C46" s="483"/>
      <c r="D46" s="483">
        <v>20.041293686850455</v>
      </c>
      <c r="E46" s="483"/>
      <c r="F46" s="483"/>
      <c r="G46" s="483"/>
      <c r="H46" s="483" t="s">
        <v>92</v>
      </c>
      <c r="I46" s="483" t="s">
        <v>92</v>
      </c>
      <c r="J46" s="483" t="s">
        <v>92</v>
      </c>
      <c r="K46" s="483" t="s">
        <v>92</v>
      </c>
    </row>
    <row r="47" spans="1:11" ht="24" customHeight="1">
      <c r="A47" s="297"/>
      <c r="B47" s="482" t="s">
        <v>2890</v>
      </c>
      <c r="C47" s="483"/>
      <c r="D47" s="483"/>
      <c r="E47" s="483">
        <v>10.020646843425228</v>
      </c>
      <c r="F47" s="483"/>
      <c r="G47" s="483"/>
      <c r="H47" s="483" t="s">
        <v>92</v>
      </c>
      <c r="I47" s="483" t="s">
        <v>92</v>
      </c>
      <c r="J47" s="483" t="s">
        <v>92</v>
      </c>
      <c r="K47" s="483" t="s">
        <v>92</v>
      </c>
    </row>
    <row r="48" spans="1:11" ht="24" customHeight="1">
      <c r="A48" s="297"/>
      <c r="B48" s="482" t="s">
        <v>2891</v>
      </c>
      <c r="C48" s="483"/>
      <c r="D48" s="483"/>
      <c r="E48" s="483"/>
      <c r="F48" s="483">
        <v>7.3535248496814871</v>
      </c>
      <c r="G48" s="483"/>
      <c r="H48" s="483" t="s">
        <v>92</v>
      </c>
      <c r="I48" s="483" t="s">
        <v>92</v>
      </c>
      <c r="J48" s="483" t="s">
        <v>92</v>
      </c>
      <c r="K48" s="483" t="s">
        <v>92</v>
      </c>
    </row>
    <row r="49" spans="1:15" ht="24" customHeight="1">
      <c r="A49" s="298"/>
      <c r="B49" s="482" t="s">
        <v>2892</v>
      </c>
      <c r="C49" s="483"/>
      <c r="D49" s="483"/>
      <c r="E49" s="483"/>
      <c r="F49" s="483"/>
      <c r="G49" s="483">
        <v>6.0123881060551367</v>
      </c>
      <c r="H49" s="300" t="s">
        <v>92</v>
      </c>
      <c r="I49" s="300" t="s">
        <v>92</v>
      </c>
      <c r="J49" s="300" t="s">
        <v>92</v>
      </c>
      <c r="K49" s="300" t="s">
        <v>92</v>
      </c>
      <c r="M49" s="480"/>
      <c r="N49" s="480"/>
      <c r="O49" s="480"/>
    </row>
    <row r="50" spans="1:15" ht="24" customHeight="1">
      <c r="A50" s="296" t="s">
        <v>2893</v>
      </c>
      <c r="B50" s="301" t="s">
        <v>1320</v>
      </c>
      <c r="C50" s="301">
        <v>340.92372999999998</v>
      </c>
      <c r="D50" s="299">
        <f t="shared" ref="D50:K50" si="8">D$8*$C50</f>
        <v>68.63092900696347</v>
      </c>
      <c r="E50" s="299">
        <f t="shared" si="8"/>
        <v>35.667937078192303</v>
      </c>
      <c r="F50" s="299">
        <f t="shared" si="8"/>
        <v>25.904560911958058</v>
      </c>
      <c r="G50" s="299">
        <f t="shared" si="8"/>
        <v>22.35398806159759</v>
      </c>
      <c r="H50" s="299">
        <f t="shared" si="8"/>
        <v>105.34543256999999</v>
      </c>
      <c r="I50" s="299">
        <f t="shared" si="8"/>
        <v>105.34543256999999</v>
      </c>
      <c r="J50" s="299">
        <f t="shared" si="8"/>
        <v>90.003864719999982</v>
      </c>
      <c r="K50" s="299">
        <f t="shared" si="8"/>
        <v>51.649945094999993</v>
      </c>
      <c r="M50" s="489"/>
      <c r="N50" s="490"/>
      <c r="O50" s="489"/>
    </row>
    <row r="51" spans="1:15" ht="24" customHeight="1">
      <c r="A51" s="297"/>
      <c r="B51" s="482" t="s">
        <v>2894</v>
      </c>
      <c r="C51" s="483"/>
      <c r="D51" s="483">
        <v>20.041293686850455</v>
      </c>
      <c r="E51" s="483"/>
      <c r="F51" s="483"/>
      <c r="G51" s="483"/>
      <c r="H51" s="483" t="s">
        <v>92</v>
      </c>
      <c r="I51" s="483" t="s">
        <v>92</v>
      </c>
      <c r="J51" s="483" t="s">
        <v>92</v>
      </c>
      <c r="K51" s="483" t="s">
        <v>92</v>
      </c>
      <c r="M51" s="480"/>
      <c r="N51" s="480"/>
      <c r="O51" s="480"/>
    </row>
    <row r="52" spans="1:15" ht="24" customHeight="1">
      <c r="A52" s="297"/>
      <c r="B52" s="482" t="s">
        <v>2895</v>
      </c>
      <c r="C52" s="483"/>
      <c r="D52" s="483"/>
      <c r="E52" s="483">
        <v>10.020646843425228</v>
      </c>
      <c r="F52" s="483"/>
      <c r="G52" s="483"/>
      <c r="H52" s="483" t="s">
        <v>92</v>
      </c>
      <c r="I52" s="483" t="s">
        <v>92</v>
      </c>
      <c r="J52" s="483" t="s">
        <v>92</v>
      </c>
      <c r="K52" s="483" t="s">
        <v>92</v>
      </c>
      <c r="M52" s="480"/>
      <c r="N52" s="480"/>
      <c r="O52" s="480"/>
    </row>
    <row r="53" spans="1:15" ht="24" customHeight="1">
      <c r="A53" s="297"/>
      <c r="B53" s="482" t="s">
        <v>2896</v>
      </c>
      <c r="C53" s="483"/>
      <c r="D53" s="483"/>
      <c r="E53" s="483"/>
      <c r="F53" s="483">
        <v>7.3535248496814871</v>
      </c>
      <c r="G53" s="483"/>
      <c r="H53" s="483" t="s">
        <v>92</v>
      </c>
      <c r="I53" s="483" t="s">
        <v>92</v>
      </c>
      <c r="J53" s="483" t="s">
        <v>92</v>
      </c>
      <c r="K53" s="483" t="s">
        <v>92</v>
      </c>
      <c r="M53" s="480"/>
      <c r="N53" s="480"/>
      <c r="O53" s="480"/>
    </row>
    <row r="54" spans="1:15" ht="24" customHeight="1">
      <c r="A54" s="298"/>
      <c r="B54" s="482" t="s">
        <v>2897</v>
      </c>
      <c r="C54" s="483"/>
      <c r="D54" s="483"/>
      <c r="E54" s="483"/>
      <c r="F54" s="483"/>
      <c r="G54" s="483">
        <v>6.0123881060551367</v>
      </c>
      <c r="H54" s="483" t="s">
        <v>92</v>
      </c>
      <c r="I54" s="483" t="s">
        <v>92</v>
      </c>
      <c r="J54" s="483" t="s">
        <v>92</v>
      </c>
      <c r="K54" s="483" t="s">
        <v>92</v>
      </c>
      <c r="M54" s="480"/>
      <c r="N54" s="480"/>
      <c r="O54" s="480"/>
    </row>
    <row r="55" spans="1:15" ht="24" customHeight="1">
      <c r="A55" s="296" t="s">
        <v>2898</v>
      </c>
      <c r="B55" s="954" t="s">
        <v>1386</v>
      </c>
      <c r="C55" s="301">
        <v>808.22</v>
      </c>
      <c r="D55" s="301">
        <f t="shared" ref="D55:K55" si="9">D$8*$C55</f>
        <v>162.70175573289669</v>
      </c>
      <c r="E55" s="301">
        <f t="shared" si="9"/>
        <v>84.557153312081226</v>
      </c>
      <c r="F55" s="301">
        <f t="shared" si="9"/>
        <v>61.411343294474527</v>
      </c>
      <c r="G55" s="301">
        <f t="shared" si="9"/>
        <v>52.994082374800975</v>
      </c>
      <c r="H55" s="301">
        <f t="shared" si="9"/>
        <v>249.73998</v>
      </c>
      <c r="I55" s="301">
        <f t="shared" si="9"/>
        <v>249.73998</v>
      </c>
      <c r="J55" s="301">
        <f t="shared" si="9"/>
        <v>213.37007999999997</v>
      </c>
      <c r="K55" s="301">
        <f t="shared" si="9"/>
        <v>122.44533</v>
      </c>
      <c r="M55" s="480"/>
      <c r="N55" s="480"/>
      <c r="O55" s="480"/>
    </row>
    <row r="56" spans="1:15" ht="21.95" customHeight="1">
      <c r="A56" s="297"/>
      <c r="B56" s="482" t="s">
        <v>2899</v>
      </c>
      <c r="C56" s="483"/>
      <c r="D56" s="483">
        <v>20.041293686850455</v>
      </c>
      <c r="E56" s="483"/>
      <c r="F56" s="483"/>
      <c r="G56" s="483"/>
      <c r="H56" s="483" t="s">
        <v>92</v>
      </c>
      <c r="I56" s="483" t="s">
        <v>92</v>
      </c>
      <c r="J56" s="483" t="s">
        <v>92</v>
      </c>
      <c r="K56" s="483" t="s">
        <v>92</v>
      </c>
      <c r="M56" s="480"/>
      <c r="N56" s="480"/>
      <c r="O56" s="480"/>
    </row>
    <row r="57" spans="1:15" ht="23.1" customHeight="1">
      <c r="A57" s="297"/>
      <c r="B57" s="482" t="s">
        <v>2900</v>
      </c>
      <c r="C57" s="483"/>
      <c r="D57" s="483"/>
      <c r="E57" s="483">
        <v>10.020646843425228</v>
      </c>
      <c r="F57" s="483"/>
      <c r="G57" s="483"/>
      <c r="H57" s="483" t="s">
        <v>92</v>
      </c>
      <c r="I57" s="483" t="s">
        <v>92</v>
      </c>
      <c r="J57" s="483" t="s">
        <v>92</v>
      </c>
      <c r="K57" s="483" t="s">
        <v>92</v>
      </c>
      <c r="M57" s="480"/>
      <c r="N57" s="480"/>
      <c r="O57" s="480"/>
    </row>
    <row r="58" spans="1:15" ht="21.95" customHeight="1">
      <c r="A58" s="297"/>
      <c r="B58" s="482" t="s">
        <v>2901</v>
      </c>
      <c r="C58" s="483"/>
      <c r="D58" s="483"/>
      <c r="E58" s="483"/>
      <c r="F58" s="483">
        <v>7.3535248496814871</v>
      </c>
      <c r="G58" s="483"/>
      <c r="H58" s="483" t="s">
        <v>92</v>
      </c>
      <c r="I58" s="483" t="s">
        <v>92</v>
      </c>
      <c r="J58" s="483" t="s">
        <v>92</v>
      </c>
      <c r="K58" s="483" t="s">
        <v>92</v>
      </c>
      <c r="M58" s="480"/>
      <c r="N58" s="480"/>
      <c r="O58" s="480"/>
    </row>
    <row r="59" spans="1:15" ht="21.95" customHeight="1">
      <c r="A59" s="298"/>
      <c r="B59" s="482" t="s">
        <v>2902</v>
      </c>
      <c r="C59" s="483"/>
      <c r="D59" s="483"/>
      <c r="E59" s="483"/>
      <c r="F59" s="483"/>
      <c r="G59" s="483">
        <v>6.0123881060551367</v>
      </c>
      <c r="H59" s="483" t="s">
        <v>92</v>
      </c>
      <c r="I59" s="483" t="s">
        <v>92</v>
      </c>
      <c r="J59" s="483" t="s">
        <v>92</v>
      </c>
      <c r="K59" s="483" t="s">
        <v>92</v>
      </c>
      <c r="M59" s="480"/>
      <c r="N59" s="480"/>
      <c r="O59" s="480"/>
    </row>
    <row r="60" spans="1:15" ht="21.95" customHeight="1">
      <c r="A60" s="296" t="s">
        <v>2903</v>
      </c>
      <c r="B60" s="244" t="s">
        <v>1231</v>
      </c>
      <c r="C60" s="301">
        <v>1678.81044</v>
      </c>
      <c r="D60" s="301">
        <f t="shared" ref="D60:K60" si="10">D$8*$C60</f>
        <v>337.95922660997843</v>
      </c>
      <c r="E60" s="301">
        <f t="shared" si="10"/>
        <v>175.63959287941714</v>
      </c>
      <c r="F60" s="301">
        <f t="shared" si="10"/>
        <v>127.56180774688552</v>
      </c>
      <c r="G60" s="301">
        <f t="shared" si="10"/>
        <v>110.0777248138327</v>
      </c>
      <c r="H60" s="301">
        <f t="shared" si="10"/>
        <v>518.75242595999998</v>
      </c>
      <c r="I60" s="301">
        <f t="shared" si="10"/>
        <v>518.75242595999998</v>
      </c>
      <c r="J60" s="301">
        <f t="shared" si="10"/>
        <v>443.20595615999991</v>
      </c>
      <c r="K60" s="301">
        <f t="shared" si="10"/>
        <v>254.33978166</v>
      </c>
      <c r="M60" s="480"/>
      <c r="N60" s="480"/>
      <c r="O60" s="480"/>
    </row>
    <row r="61" spans="1:15" ht="21.95" customHeight="1">
      <c r="A61" s="302"/>
      <c r="B61" s="482" t="s">
        <v>2904</v>
      </c>
      <c r="C61" s="483"/>
      <c r="D61" s="483">
        <v>89.757447547073753</v>
      </c>
      <c r="E61" s="483"/>
      <c r="F61" s="483"/>
      <c r="G61" s="483"/>
      <c r="H61" s="483" t="s">
        <v>92</v>
      </c>
      <c r="I61" s="483" t="s">
        <v>92</v>
      </c>
      <c r="J61" s="483" t="s">
        <v>92</v>
      </c>
      <c r="K61" s="483" t="s">
        <v>92</v>
      </c>
      <c r="M61" s="480"/>
      <c r="N61" s="480"/>
      <c r="O61" s="480"/>
    </row>
    <row r="62" spans="1:15" ht="21.95" customHeight="1">
      <c r="A62" s="302"/>
      <c r="B62" s="482" t="s">
        <v>2905</v>
      </c>
      <c r="C62" s="483"/>
      <c r="D62" s="483"/>
      <c r="E62" s="483">
        <v>44.878723773536876</v>
      </c>
      <c r="F62" s="483"/>
      <c r="G62" s="483"/>
      <c r="H62" s="483" t="s">
        <v>92</v>
      </c>
      <c r="I62" s="483" t="s">
        <v>92</v>
      </c>
      <c r="J62" s="483" t="s">
        <v>92</v>
      </c>
      <c r="K62" s="483" t="s">
        <v>92</v>
      </c>
      <c r="M62" s="480"/>
      <c r="N62" s="480"/>
      <c r="O62" s="480"/>
    </row>
    <row r="63" spans="1:15" ht="21.95" customHeight="1">
      <c r="A63" s="302"/>
      <c r="B63" s="482" t="s">
        <v>2906</v>
      </c>
      <c r="C63" s="483"/>
      <c r="D63" s="483"/>
      <c r="E63" s="483"/>
      <c r="F63" s="483">
        <v>32.93200070980609</v>
      </c>
      <c r="G63" s="483"/>
      <c r="H63" s="483" t="s">
        <v>92</v>
      </c>
      <c r="I63" s="483" t="s">
        <v>92</v>
      </c>
      <c r="J63" s="483" t="s">
        <v>92</v>
      </c>
      <c r="K63" s="483" t="s">
        <v>92</v>
      </c>
      <c r="M63" s="480"/>
      <c r="N63" s="480"/>
      <c r="O63" s="480"/>
    </row>
    <row r="64" spans="1:15" ht="21.95" customHeight="1">
      <c r="A64" s="303"/>
      <c r="B64" s="482" t="s">
        <v>2907</v>
      </c>
      <c r="C64" s="483"/>
      <c r="D64" s="483"/>
      <c r="E64" s="483"/>
      <c r="F64" s="483"/>
      <c r="G64" s="483">
        <v>26.926958782421963</v>
      </c>
      <c r="H64" s="483" t="s">
        <v>92</v>
      </c>
      <c r="I64" s="483" t="s">
        <v>92</v>
      </c>
      <c r="J64" s="483" t="s">
        <v>92</v>
      </c>
      <c r="K64" s="483" t="s">
        <v>92</v>
      </c>
      <c r="M64" s="480"/>
      <c r="N64" s="480"/>
      <c r="O64" s="480"/>
    </row>
    <row r="65" spans="1:11" ht="21.95" customHeight="1"/>
    <row r="66" spans="1:11" ht="21.95" customHeight="1">
      <c r="A66" s="304" t="s">
        <v>2908</v>
      </c>
    </row>
    <row r="67" spans="1:11" ht="20.100000000000001" customHeight="1" thickBot="1"/>
    <row r="68" spans="1:11" ht="17.25" thickTop="1" thickBot="1">
      <c r="A68" s="305" t="s">
        <v>2909</v>
      </c>
      <c r="B68" s="306"/>
      <c r="C68" s="307" t="s">
        <v>2910</v>
      </c>
    </row>
    <row r="69" spans="1:11" ht="56.45" customHeight="1" thickTop="1" thickBot="1">
      <c r="A69" s="1180" t="s">
        <v>2911</v>
      </c>
      <c r="B69" s="1181"/>
      <c r="C69" s="308">
        <v>4.95</v>
      </c>
      <c r="D69" s="295"/>
      <c r="E69" s="295"/>
      <c r="F69" s="295"/>
      <c r="G69" s="295"/>
      <c r="H69" s="295"/>
      <c r="I69" s="295"/>
      <c r="J69" s="295"/>
      <c r="K69" s="295"/>
    </row>
    <row r="70" spans="1:11" ht="16.5" thickTop="1"/>
  </sheetData>
  <mergeCells count="5">
    <mergeCell ref="A69:B69"/>
    <mergeCell ref="D7:G7"/>
    <mergeCell ref="H7:K7"/>
    <mergeCell ref="A4:K4"/>
    <mergeCell ref="C2:F2"/>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AF83D-3478-9B4A-B919-B75F1B5C9174}">
  <sheetPr>
    <tabColor rgb="FF4F81BD"/>
  </sheetPr>
  <dimension ref="A1:AJ82"/>
  <sheetViews>
    <sheetView zoomScaleNormal="130" workbookViewId="0">
      <selection activeCell="A33" sqref="A33"/>
    </sheetView>
  </sheetViews>
  <sheetFormatPr baseColWidth="10" defaultRowHeight="12.75"/>
  <cols>
    <col min="1" max="1" width="29" style="224" customWidth="1"/>
    <col min="2" max="2" width="62.5703125" style="224" customWidth="1"/>
    <col min="3" max="3" width="10.7109375" style="224"/>
    <col min="4" max="4" width="13.5703125" style="224" customWidth="1"/>
    <col min="5" max="5" width="24.140625" style="224" customWidth="1"/>
    <col min="6" max="8" width="10.7109375" style="224"/>
    <col min="9" max="9" width="11.5703125" style="224" customWidth="1"/>
    <col min="10" max="10" width="10.5703125" style="224" customWidth="1"/>
    <col min="11" max="11" width="9.5703125" style="224" customWidth="1"/>
    <col min="12" max="12" width="10.7109375" style="1128"/>
    <col min="13" max="13" width="7.42578125" style="1128" customWidth="1"/>
    <col min="14" max="14" width="32.7109375" style="224" customWidth="1"/>
    <col min="15" max="16" width="10.7109375" style="224"/>
    <col min="17" max="17" width="22.7109375" style="224" customWidth="1"/>
    <col min="18" max="18" width="60.28515625" style="224" customWidth="1"/>
    <col min="19" max="20" width="10.7109375" style="224"/>
    <col min="21" max="21" width="21" style="224" customWidth="1"/>
    <col min="22" max="27" width="10.7109375" style="224"/>
    <col min="28" max="29" width="10.7109375" style="1128"/>
    <col min="30" max="30" width="34.85546875" style="224" customWidth="1"/>
    <col min="31" max="32" width="10.7109375" style="224"/>
  </cols>
  <sheetData>
    <row r="1" spans="1:36" ht="15">
      <c r="A1" s="239" t="s">
        <v>65</v>
      </c>
      <c r="B1" s="344"/>
      <c r="C1" s="238"/>
      <c r="D1" s="237"/>
      <c r="E1" s="236"/>
      <c r="F1" s="228"/>
      <c r="G1" s="229"/>
      <c r="H1" s="228"/>
      <c r="I1" s="235"/>
      <c r="J1" s="227"/>
      <c r="K1" s="227"/>
      <c r="L1" s="247"/>
      <c r="M1" s="1121"/>
      <c r="N1" s="227"/>
      <c r="O1" s="247"/>
      <c r="P1" s="247"/>
      <c r="Q1" s="239" t="s">
        <v>65</v>
      </c>
      <c r="R1" s="344"/>
      <c r="S1" s="238"/>
      <c r="T1" s="237"/>
      <c r="U1" s="236"/>
      <c r="V1" s="228"/>
      <c r="W1" s="229"/>
      <c r="X1" s="228"/>
      <c r="Y1" s="235"/>
      <c r="Z1" s="227"/>
      <c r="AA1" s="227"/>
      <c r="AB1" s="247"/>
      <c r="AC1" s="1121"/>
      <c r="AD1" s="227"/>
      <c r="AE1" s="247"/>
      <c r="AF1" s="247"/>
    </row>
    <row r="2" spans="1:36" ht="18.75">
      <c r="A2" s="343"/>
      <c r="B2" s="349" t="s">
        <v>66</v>
      </c>
      <c r="C2" s="342"/>
      <c r="D2" s="341"/>
      <c r="E2" s="340"/>
      <c r="F2" s="338"/>
      <c r="G2" s="339"/>
      <c r="H2" s="338"/>
      <c r="I2" s="338"/>
      <c r="J2" s="337"/>
      <c r="K2" s="337"/>
      <c r="L2" s="1122"/>
      <c r="M2" s="1123"/>
      <c r="N2" s="227"/>
      <c r="O2" s="227"/>
      <c r="P2" s="227"/>
      <c r="Q2" s="343"/>
      <c r="R2" s="349" t="s">
        <v>66</v>
      </c>
      <c r="S2" s="342"/>
      <c r="T2" s="341"/>
      <c r="U2" s="340"/>
      <c r="V2" s="338"/>
      <c r="W2" s="339"/>
      <c r="X2" s="338"/>
      <c r="Y2" s="338"/>
      <c r="Z2" s="337"/>
      <c r="AA2" s="337"/>
      <c r="AB2" s="1122"/>
      <c r="AC2" s="1123"/>
      <c r="AD2" s="227"/>
      <c r="AE2" s="227"/>
      <c r="AF2" s="227"/>
    </row>
    <row r="3" spans="1:36" ht="31.5">
      <c r="A3" s="1194" t="s">
        <v>2912</v>
      </c>
      <c r="B3" s="1195"/>
      <c r="C3" s="1195"/>
      <c r="D3" s="1195"/>
      <c r="E3" s="1195"/>
      <c r="F3" s="1195"/>
      <c r="G3" s="1195"/>
      <c r="H3" s="1195"/>
      <c r="I3" s="348"/>
      <c r="J3" s="336"/>
      <c r="K3" s="336"/>
      <c r="L3" s="1124"/>
      <c r="M3" s="1124"/>
      <c r="N3" s="335" t="s">
        <v>68</v>
      </c>
      <c r="O3" s="1192" t="s">
        <v>69</v>
      </c>
      <c r="P3" s="1192" t="s">
        <v>70</v>
      </c>
      <c r="Q3" s="1194" t="s">
        <v>2913</v>
      </c>
      <c r="R3" s="1195"/>
      <c r="S3" s="1195"/>
      <c r="T3" s="1195"/>
      <c r="U3" s="1195"/>
      <c r="V3" s="1195"/>
      <c r="W3" s="1195"/>
      <c r="X3" s="1195"/>
      <c r="Y3" s="348"/>
      <c r="Z3" s="336"/>
      <c r="AA3" s="336"/>
      <c r="AB3" s="1124"/>
      <c r="AC3" s="1124"/>
      <c r="AD3" s="335" t="s">
        <v>68</v>
      </c>
      <c r="AE3" s="1192" t="s">
        <v>69</v>
      </c>
      <c r="AF3" s="1192" t="s">
        <v>70</v>
      </c>
    </row>
    <row r="4" spans="1:36" ht="63.75">
      <c r="A4" s="745" t="s">
        <v>73</v>
      </c>
      <c r="B4" s="746" t="s">
        <v>2914</v>
      </c>
      <c r="C4" s="747" t="s">
        <v>75</v>
      </c>
      <c r="D4" s="748" t="s">
        <v>76</v>
      </c>
      <c r="E4" s="748" t="s">
        <v>77</v>
      </c>
      <c r="F4" s="749" t="s">
        <v>78</v>
      </c>
      <c r="G4" s="750" t="s">
        <v>79</v>
      </c>
      <c r="H4" s="749" t="s">
        <v>80</v>
      </c>
      <c r="I4" s="751" t="s">
        <v>81</v>
      </c>
      <c r="J4" s="752" t="s">
        <v>82</v>
      </c>
      <c r="K4" s="752" t="s">
        <v>83</v>
      </c>
      <c r="L4" s="1125" t="s">
        <v>84</v>
      </c>
      <c r="M4" s="1125" t="s">
        <v>85</v>
      </c>
      <c r="N4" s="731" t="s">
        <v>86</v>
      </c>
      <c r="O4" s="1196"/>
      <c r="P4" s="1196"/>
      <c r="Q4" s="334" t="s">
        <v>73</v>
      </c>
      <c r="R4" s="333" t="s">
        <v>87</v>
      </c>
      <c r="S4" s="332" t="s">
        <v>75</v>
      </c>
      <c r="T4" s="331" t="s">
        <v>76</v>
      </c>
      <c r="U4" s="331" t="s">
        <v>77</v>
      </c>
      <c r="V4" s="329" t="s">
        <v>78</v>
      </c>
      <c r="W4" s="330" t="s">
        <v>79</v>
      </c>
      <c r="X4" s="329" t="s">
        <v>80</v>
      </c>
      <c r="Y4" s="347" t="s">
        <v>81</v>
      </c>
      <c r="Z4" s="328" t="s">
        <v>82</v>
      </c>
      <c r="AA4" s="328" t="s">
        <v>83</v>
      </c>
      <c r="AB4" s="1129" t="s">
        <v>84</v>
      </c>
      <c r="AC4" s="1129" t="s">
        <v>85</v>
      </c>
      <c r="AD4" s="327" t="s">
        <v>86</v>
      </c>
      <c r="AE4" s="1193"/>
      <c r="AF4" s="1193"/>
    </row>
    <row r="5" spans="1:36" s="346" customFormat="1" ht="17.100000000000001" customHeight="1">
      <c r="A5" s="754" t="s">
        <v>1481</v>
      </c>
      <c r="B5" s="754" t="s">
        <v>1482</v>
      </c>
      <c r="C5" s="755">
        <v>1</v>
      </c>
      <c r="D5" s="756" t="s">
        <v>114</v>
      </c>
      <c r="E5" s="757" t="s">
        <v>1481</v>
      </c>
      <c r="F5" s="757" t="s">
        <v>92</v>
      </c>
      <c r="G5" s="758">
        <v>0</v>
      </c>
      <c r="H5" s="744" t="s">
        <v>3194</v>
      </c>
      <c r="I5" s="742"/>
      <c r="J5" s="743"/>
      <c r="K5" s="743"/>
      <c r="L5" s="1126"/>
      <c r="M5" s="1127"/>
      <c r="N5" s="742"/>
      <c r="O5" s="742"/>
      <c r="P5" s="742"/>
      <c r="Q5" s="732" t="s">
        <v>1481</v>
      </c>
      <c r="R5" s="355" t="s">
        <v>1482</v>
      </c>
      <c r="S5" s="372">
        <v>1</v>
      </c>
      <c r="T5" s="373" t="s">
        <v>114</v>
      </c>
      <c r="U5" s="443" t="s">
        <v>1481</v>
      </c>
      <c r="V5" s="374" t="s">
        <v>92</v>
      </c>
      <c r="W5" s="449">
        <v>0</v>
      </c>
      <c r="X5" s="374">
        <v>0</v>
      </c>
      <c r="Z5" s="617"/>
      <c r="AA5" s="617"/>
      <c r="AB5" s="1130"/>
      <c r="AC5" s="1131"/>
      <c r="AG5" s="1" t="s">
        <v>98</v>
      </c>
      <c r="AH5" s="1" t="s">
        <v>98</v>
      </c>
      <c r="AI5" s="1" t="s">
        <v>98</v>
      </c>
      <c r="AJ5" s="1" t="s">
        <v>98</v>
      </c>
    </row>
    <row r="6" spans="1:36" ht="63.75">
      <c r="A6" s="753" t="s">
        <v>2625</v>
      </c>
      <c r="B6" s="225"/>
      <c r="C6" s="256"/>
      <c r="D6" s="257"/>
      <c r="E6" s="228"/>
      <c r="F6" s="228"/>
      <c r="G6" s="229"/>
      <c r="H6" s="257"/>
      <c r="I6" s="228"/>
      <c r="J6" s="227"/>
      <c r="K6" s="227"/>
      <c r="L6" s="247"/>
      <c r="M6" s="1121"/>
      <c r="N6" s="311"/>
      <c r="O6" s="316" t="s">
        <v>2626</v>
      </c>
      <c r="P6" s="413" t="s">
        <v>2627</v>
      </c>
      <c r="Q6" s="414" t="s">
        <v>2625</v>
      </c>
      <c r="R6" s="225"/>
      <c r="S6" s="256"/>
      <c r="T6" s="257"/>
      <c r="U6" s="228"/>
      <c r="V6" s="228"/>
      <c r="W6" s="229"/>
      <c r="X6" s="257"/>
      <c r="Y6" s="228"/>
      <c r="Z6" s="227"/>
      <c r="AA6" s="227"/>
      <c r="AB6" s="247"/>
      <c r="AC6" s="1121"/>
      <c r="AD6" s="311"/>
      <c r="AE6" s="316" t="s">
        <v>2626</v>
      </c>
      <c r="AF6" s="413" t="s">
        <v>2627</v>
      </c>
    </row>
    <row r="7" spans="1:36">
      <c r="A7" s="324" t="s">
        <v>2628</v>
      </c>
      <c r="B7" s="255" t="s">
        <v>2629</v>
      </c>
      <c r="C7" s="256">
        <v>1</v>
      </c>
      <c r="D7" s="309" t="s">
        <v>114</v>
      </c>
      <c r="E7" s="258" t="s">
        <v>2628</v>
      </c>
      <c r="F7" s="257">
        <v>5</v>
      </c>
      <c r="G7" s="229"/>
      <c r="H7" s="257">
        <f t="shared" ref="H7:H20" si="0">F7-(F7*G7)</f>
        <v>5</v>
      </c>
      <c r="I7" s="228"/>
      <c r="J7" s="227"/>
      <c r="K7" s="227"/>
      <c r="L7" s="247"/>
      <c r="M7" s="1121"/>
      <c r="N7" s="311" t="s">
        <v>2630</v>
      </c>
      <c r="O7" s="316" t="s">
        <v>2626</v>
      </c>
      <c r="P7" s="316" t="s">
        <v>2627</v>
      </c>
      <c r="Q7" s="324" t="s">
        <v>2628</v>
      </c>
      <c r="R7" s="255" t="s">
        <v>2629</v>
      </c>
      <c r="S7" s="256">
        <v>1</v>
      </c>
      <c r="T7" s="309" t="s">
        <v>114</v>
      </c>
      <c r="U7" s="258" t="s">
        <v>2628</v>
      </c>
      <c r="V7" s="257">
        <v>5</v>
      </c>
      <c r="W7" s="229"/>
      <c r="X7" s="257">
        <v>5</v>
      </c>
      <c r="Y7" s="228"/>
      <c r="Z7" s="227"/>
      <c r="AA7" s="227"/>
      <c r="AB7" s="247"/>
      <c r="AC7" s="1121"/>
      <c r="AD7" s="311" t="s">
        <v>2630</v>
      </c>
      <c r="AE7" s="316" t="s">
        <v>2626</v>
      </c>
      <c r="AF7" s="316" t="s">
        <v>2627</v>
      </c>
    </row>
    <row r="8" spans="1:36">
      <c r="A8" s="324" t="s">
        <v>2631</v>
      </c>
      <c r="B8" s="255" t="s">
        <v>2632</v>
      </c>
      <c r="C8" s="256">
        <v>1</v>
      </c>
      <c r="D8" s="309" t="s">
        <v>114</v>
      </c>
      <c r="E8" s="258" t="s">
        <v>2631</v>
      </c>
      <c r="F8" s="257">
        <v>8</v>
      </c>
      <c r="G8" s="229"/>
      <c r="H8" s="257">
        <f t="shared" si="0"/>
        <v>8</v>
      </c>
      <c r="I8" s="228"/>
      <c r="J8" s="227"/>
      <c r="K8" s="227"/>
      <c r="L8" s="247"/>
      <c r="M8" s="1121"/>
      <c r="N8" s="311" t="s">
        <v>2630</v>
      </c>
      <c r="O8" s="316" t="s">
        <v>2626</v>
      </c>
      <c r="P8" s="316" t="s">
        <v>2627</v>
      </c>
      <c r="Q8" s="324" t="s">
        <v>2631</v>
      </c>
      <c r="R8" s="255" t="s">
        <v>2632</v>
      </c>
      <c r="S8" s="256">
        <v>1</v>
      </c>
      <c r="T8" s="309" t="s">
        <v>114</v>
      </c>
      <c r="U8" s="258" t="s">
        <v>2631</v>
      </c>
      <c r="V8" s="257">
        <v>8</v>
      </c>
      <c r="W8" s="229"/>
      <c r="X8" s="257">
        <v>8</v>
      </c>
      <c r="Y8" s="228"/>
      <c r="Z8" s="227"/>
      <c r="AA8" s="227"/>
      <c r="AB8" s="247"/>
      <c r="AC8" s="1121"/>
      <c r="AD8" s="311" t="s">
        <v>2630</v>
      </c>
      <c r="AE8" s="316" t="s">
        <v>2626</v>
      </c>
      <c r="AF8" s="316" t="s">
        <v>2627</v>
      </c>
    </row>
    <row r="9" spans="1:36">
      <c r="A9" s="324" t="s">
        <v>2633</v>
      </c>
      <c r="B9" s="255" t="s">
        <v>2634</v>
      </c>
      <c r="C9" s="256">
        <v>1</v>
      </c>
      <c r="D9" s="257" t="s">
        <v>114</v>
      </c>
      <c r="E9" s="323" t="s">
        <v>2633</v>
      </c>
      <c r="F9" s="257">
        <v>8</v>
      </c>
      <c r="G9" s="229"/>
      <c r="H9" s="257">
        <f t="shared" si="0"/>
        <v>8</v>
      </c>
      <c r="I9" s="228"/>
      <c r="J9" s="227"/>
      <c r="K9" s="227"/>
      <c r="L9" s="247"/>
      <c r="M9" s="1121"/>
      <c r="N9" s="311" t="s">
        <v>2630</v>
      </c>
      <c r="O9" s="316" t="s">
        <v>2626</v>
      </c>
      <c r="P9" s="316" t="s">
        <v>2627</v>
      </c>
      <c r="Q9" s="324" t="s">
        <v>2633</v>
      </c>
      <c r="R9" s="255" t="s">
        <v>2634</v>
      </c>
      <c r="S9" s="256">
        <v>1</v>
      </c>
      <c r="T9" s="257" t="s">
        <v>114</v>
      </c>
      <c r="U9" s="323" t="s">
        <v>2633</v>
      </c>
      <c r="V9" s="257">
        <v>8</v>
      </c>
      <c r="W9" s="229"/>
      <c r="X9" s="257">
        <v>8</v>
      </c>
      <c r="Y9" s="228"/>
      <c r="Z9" s="227"/>
      <c r="AA9" s="227"/>
      <c r="AB9" s="247"/>
      <c r="AC9" s="1121"/>
      <c r="AD9" s="311" t="s">
        <v>2630</v>
      </c>
      <c r="AE9" s="316" t="s">
        <v>2626</v>
      </c>
      <c r="AF9" s="316" t="s">
        <v>2627</v>
      </c>
    </row>
    <row r="10" spans="1:36">
      <c r="A10" s="324" t="s">
        <v>2635</v>
      </c>
      <c r="B10" s="255" t="s">
        <v>2636</v>
      </c>
      <c r="C10" s="256">
        <v>1</v>
      </c>
      <c r="D10" s="257" t="s">
        <v>114</v>
      </c>
      <c r="E10" s="323" t="s">
        <v>2635</v>
      </c>
      <c r="F10" s="257">
        <v>8</v>
      </c>
      <c r="G10" s="229"/>
      <c r="H10" s="257">
        <f t="shared" si="0"/>
        <v>8</v>
      </c>
      <c r="I10" s="228"/>
      <c r="J10" s="227"/>
      <c r="K10" s="227"/>
      <c r="L10" s="247"/>
      <c r="M10" s="1121"/>
      <c r="N10" s="311" t="s">
        <v>2630</v>
      </c>
      <c r="O10" s="316" t="s">
        <v>2626</v>
      </c>
      <c r="P10" s="316" t="s">
        <v>2627</v>
      </c>
      <c r="Q10" s="324" t="s">
        <v>2635</v>
      </c>
      <c r="R10" s="255" t="s">
        <v>2636</v>
      </c>
      <c r="S10" s="256">
        <v>1</v>
      </c>
      <c r="T10" s="257" t="s">
        <v>114</v>
      </c>
      <c r="U10" s="323" t="s">
        <v>2635</v>
      </c>
      <c r="V10" s="257">
        <v>8</v>
      </c>
      <c r="W10" s="229"/>
      <c r="X10" s="257">
        <v>8</v>
      </c>
      <c r="Y10" s="228"/>
      <c r="Z10" s="227"/>
      <c r="AA10" s="227"/>
      <c r="AB10" s="247"/>
      <c r="AC10" s="1121"/>
      <c r="AD10" s="311" t="s">
        <v>2630</v>
      </c>
      <c r="AE10" s="316" t="s">
        <v>2626</v>
      </c>
      <c r="AF10" s="316" t="s">
        <v>2627</v>
      </c>
    </row>
    <row r="11" spans="1:36">
      <c r="A11" s="324" t="s">
        <v>2637</v>
      </c>
      <c r="B11" s="255" t="s">
        <v>2638</v>
      </c>
      <c r="C11" s="256">
        <v>1</v>
      </c>
      <c r="D11" s="257" t="s">
        <v>114</v>
      </c>
      <c r="E11" s="323" t="s">
        <v>2637</v>
      </c>
      <c r="F11" s="257">
        <v>15</v>
      </c>
      <c r="G11" s="229"/>
      <c r="H11" s="257">
        <f t="shared" si="0"/>
        <v>15</v>
      </c>
      <c r="I11" s="228"/>
      <c r="J11" s="227"/>
      <c r="K11" s="227"/>
      <c r="L11" s="247"/>
      <c r="M11" s="1121"/>
      <c r="N11" s="311" t="s">
        <v>2630</v>
      </c>
      <c r="O11" s="316" t="s">
        <v>2626</v>
      </c>
      <c r="P11" s="316" t="s">
        <v>2627</v>
      </c>
      <c r="Q11" s="324" t="s">
        <v>2637</v>
      </c>
      <c r="R11" s="255" t="s">
        <v>2638</v>
      </c>
      <c r="S11" s="256">
        <v>1</v>
      </c>
      <c r="T11" s="257" t="s">
        <v>114</v>
      </c>
      <c r="U11" s="323" t="s">
        <v>2637</v>
      </c>
      <c r="V11" s="257">
        <v>15</v>
      </c>
      <c r="W11" s="229"/>
      <c r="X11" s="257">
        <v>15</v>
      </c>
      <c r="Y11" s="228"/>
      <c r="Z11" s="227"/>
      <c r="AA11" s="227"/>
      <c r="AB11" s="247"/>
      <c r="AC11" s="1121"/>
      <c r="AD11" s="311" t="s">
        <v>2630</v>
      </c>
      <c r="AE11" s="316" t="s">
        <v>2626</v>
      </c>
      <c r="AF11" s="316" t="s">
        <v>2627</v>
      </c>
    </row>
    <row r="12" spans="1:36">
      <c r="A12" s="324" t="s">
        <v>2639</v>
      </c>
      <c r="B12" s="255" t="s">
        <v>2640</v>
      </c>
      <c r="C12" s="256">
        <v>1</v>
      </c>
      <c r="D12" s="257" t="s">
        <v>114</v>
      </c>
      <c r="E12" s="323" t="s">
        <v>2639</v>
      </c>
      <c r="F12" s="257">
        <v>5</v>
      </c>
      <c r="G12" s="229"/>
      <c r="H12" s="257">
        <f t="shared" si="0"/>
        <v>5</v>
      </c>
      <c r="I12" s="228"/>
      <c r="J12" s="227"/>
      <c r="K12" s="227"/>
      <c r="L12" s="247"/>
      <c r="M12" s="1121"/>
      <c r="N12" s="311" t="s">
        <v>2630</v>
      </c>
      <c r="O12" s="316" t="s">
        <v>2626</v>
      </c>
      <c r="P12" s="316" t="s">
        <v>2627</v>
      </c>
      <c r="Q12" s="324" t="s">
        <v>2639</v>
      </c>
      <c r="R12" s="255" t="s">
        <v>2640</v>
      </c>
      <c r="S12" s="256">
        <v>1</v>
      </c>
      <c r="T12" s="257" t="s">
        <v>114</v>
      </c>
      <c r="U12" s="323" t="s">
        <v>2639</v>
      </c>
      <c r="V12" s="257">
        <v>5</v>
      </c>
      <c r="W12" s="229"/>
      <c r="X12" s="257">
        <v>5</v>
      </c>
      <c r="Y12" s="228"/>
      <c r="Z12" s="227"/>
      <c r="AA12" s="227"/>
      <c r="AB12" s="247"/>
      <c r="AC12" s="1121"/>
      <c r="AD12" s="311" t="s">
        <v>2630</v>
      </c>
      <c r="AE12" s="316" t="s">
        <v>2626</v>
      </c>
      <c r="AF12" s="316" t="s">
        <v>2627</v>
      </c>
    </row>
    <row r="13" spans="1:36">
      <c r="A13" s="356" t="s">
        <v>2641</v>
      </c>
      <c r="B13" s="255" t="s">
        <v>2642</v>
      </c>
      <c r="C13" s="256">
        <v>1</v>
      </c>
      <c r="D13" s="257" t="s">
        <v>2643</v>
      </c>
      <c r="E13" s="323" t="s">
        <v>2641</v>
      </c>
      <c r="F13" s="257">
        <v>16</v>
      </c>
      <c r="G13" s="229"/>
      <c r="H13" s="257">
        <f t="shared" si="0"/>
        <v>16</v>
      </c>
      <c r="I13" s="228"/>
      <c r="J13" s="227"/>
      <c r="K13" s="227"/>
      <c r="L13" s="247"/>
      <c r="M13" s="1121"/>
      <c r="N13" s="311" t="s">
        <v>2630</v>
      </c>
      <c r="O13" s="316" t="s">
        <v>2626</v>
      </c>
      <c r="P13" s="316" t="s">
        <v>2627</v>
      </c>
      <c r="Q13" s="356" t="s">
        <v>2641</v>
      </c>
      <c r="R13" s="255" t="s">
        <v>2642</v>
      </c>
      <c r="S13" s="256">
        <v>1</v>
      </c>
      <c r="T13" s="257" t="s">
        <v>2643</v>
      </c>
      <c r="U13" s="323" t="s">
        <v>2641</v>
      </c>
      <c r="V13" s="257">
        <v>16</v>
      </c>
      <c r="W13" s="229"/>
      <c r="X13" s="257">
        <v>16</v>
      </c>
      <c r="Y13" s="228"/>
      <c r="Z13" s="227"/>
      <c r="AA13" s="227"/>
      <c r="AB13" s="247"/>
      <c r="AC13" s="1121"/>
      <c r="AD13" s="311" t="s">
        <v>2630</v>
      </c>
      <c r="AE13" s="316" t="s">
        <v>2626</v>
      </c>
      <c r="AF13" s="316" t="s">
        <v>2627</v>
      </c>
    </row>
    <row r="14" spans="1:36">
      <c r="A14" s="324" t="s">
        <v>2915</v>
      </c>
      <c r="B14" s="255" t="s">
        <v>2645</v>
      </c>
      <c r="C14" s="256">
        <v>1</v>
      </c>
      <c r="D14" s="257" t="s">
        <v>2916</v>
      </c>
      <c r="E14" s="323" t="s">
        <v>2915</v>
      </c>
      <c r="F14" s="257">
        <v>125</v>
      </c>
      <c r="G14" s="229"/>
      <c r="H14" s="257">
        <f t="shared" si="0"/>
        <v>125</v>
      </c>
      <c r="I14" s="228"/>
      <c r="J14" s="227"/>
      <c r="K14" s="227"/>
      <c r="L14" s="247"/>
      <c r="M14" s="1121"/>
      <c r="N14" s="311" t="s">
        <v>2630</v>
      </c>
      <c r="O14" s="316" t="s">
        <v>2626</v>
      </c>
      <c r="P14" s="316" t="s">
        <v>2627</v>
      </c>
      <c r="Q14" s="324" t="s">
        <v>2915</v>
      </c>
      <c r="R14" s="255" t="s">
        <v>2645</v>
      </c>
      <c r="S14" s="256">
        <v>1</v>
      </c>
      <c r="T14" s="257" t="s">
        <v>2916</v>
      </c>
      <c r="U14" s="323" t="s">
        <v>2915</v>
      </c>
      <c r="V14" s="257">
        <v>125</v>
      </c>
      <c r="W14" s="229"/>
      <c r="X14" s="257">
        <v>125</v>
      </c>
      <c r="Y14" s="228"/>
      <c r="Z14" s="227"/>
      <c r="AA14" s="227"/>
      <c r="AB14" s="247"/>
      <c r="AC14" s="1121"/>
      <c r="AD14" s="311" t="s">
        <v>2630</v>
      </c>
      <c r="AE14" s="316" t="s">
        <v>2626</v>
      </c>
      <c r="AF14" s="316" t="s">
        <v>2627</v>
      </c>
    </row>
    <row r="15" spans="1:36">
      <c r="A15" s="324" t="s">
        <v>2917</v>
      </c>
      <c r="B15" s="255" t="s">
        <v>2649</v>
      </c>
      <c r="C15" s="256">
        <v>1</v>
      </c>
      <c r="D15" s="257" t="s">
        <v>2916</v>
      </c>
      <c r="E15" s="323" t="s">
        <v>2917</v>
      </c>
      <c r="F15" s="257">
        <v>265</v>
      </c>
      <c r="G15" s="229"/>
      <c r="H15" s="257">
        <f t="shared" si="0"/>
        <v>265</v>
      </c>
      <c r="I15" s="228"/>
      <c r="J15" s="227"/>
      <c r="K15" s="227"/>
      <c r="L15" s="247"/>
      <c r="M15" s="1121"/>
      <c r="N15" s="311" t="s">
        <v>2630</v>
      </c>
      <c r="O15" s="316" t="s">
        <v>2626</v>
      </c>
      <c r="P15" s="316" t="s">
        <v>2627</v>
      </c>
      <c r="Q15" s="324" t="s">
        <v>2917</v>
      </c>
      <c r="R15" s="255" t="s">
        <v>2649</v>
      </c>
      <c r="S15" s="256">
        <v>1</v>
      </c>
      <c r="T15" s="257" t="s">
        <v>2916</v>
      </c>
      <c r="U15" s="323" t="s">
        <v>2917</v>
      </c>
      <c r="V15" s="257">
        <v>265</v>
      </c>
      <c r="W15" s="229"/>
      <c r="X15" s="257">
        <v>265</v>
      </c>
      <c r="Y15" s="228"/>
      <c r="Z15" s="227"/>
      <c r="AA15" s="227"/>
      <c r="AB15" s="247"/>
      <c r="AC15" s="1121"/>
      <c r="AD15" s="311" t="s">
        <v>2630</v>
      </c>
      <c r="AE15" s="316" t="s">
        <v>2626</v>
      </c>
      <c r="AF15" s="316" t="s">
        <v>2627</v>
      </c>
    </row>
    <row r="16" spans="1:36">
      <c r="A16" s="324" t="s">
        <v>2918</v>
      </c>
      <c r="B16" s="255" t="s">
        <v>2652</v>
      </c>
      <c r="C16" s="256">
        <v>1</v>
      </c>
      <c r="D16" s="257" t="s">
        <v>2916</v>
      </c>
      <c r="E16" s="323" t="s">
        <v>2918</v>
      </c>
      <c r="F16" s="257">
        <v>565</v>
      </c>
      <c r="G16" s="229"/>
      <c r="H16" s="257">
        <f t="shared" si="0"/>
        <v>565</v>
      </c>
      <c r="I16" s="228"/>
      <c r="J16" s="227"/>
      <c r="K16" s="227"/>
      <c r="L16" s="247"/>
      <c r="M16" s="1121"/>
      <c r="N16" s="311" t="s">
        <v>2630</v>
      </c>
      <c r="O16" s="316" t="s">
        <v>2626</v>
      </c>
      <c r="P16" s="316" t="s">
        <v>2627</v>
      </c>
      <c r="Q16" s="324" t="s">
        <v>2918</v>
      </c>
      <c r="R16" s="255" t="s">
        <v>2652</v>
      </c>
      <c r="S16" s="256">
        <v>1</v>
      </c>
      <c r="T16" s="257" t="s">
        <v>2916</v>
      </c>
      <c r="U16" s="323" t="s">
        <v>2918</v>
      </c>
      <c r="V16" s="257">
        <v>565</v>
      </c>
      <c r="W16" s="229"/>
      <c r="X16" s="257">
        <v>565</v>
      </c>
      <c r="Y16" s="228"/>
      <c r="Z16" s="227"/>
      <c r="AA16" s="227"/>
      <c r="AB16" s="247"/>
      <c r="AC16" s="1121"/>
      <c r="AD16" s="311" t="s">
        <v>2630</v>
      </c>
      <c r="AE16" s="316" t="s">
        <v>2626</v>
      </c>
      <c r="AF16" s="316" t="s">
        <v>2627</v>
      </c>
    </row>
    <row r="17" spans="1:32">
      <c r="A17" s="324" t="s">
        <v>2919</v>
      </c>
      <c r="B17" s="255" t="s">
        <v>2655</v>
      </c>
      <c r="C17" s="256">
        <v>1</v>
      </c>
      <c r="D17" s="257" t="s">
        <v>2916</v>
      </c>
      <c r="E17" s="323" t="s">
        <v>2920</v>
      </c>
      <c r="F17" s="257">
        <v>655</v>
      </c>
      <c r="G17" s="229"/>
      <c r="H17" s="257">
        <f t="shared" si="0"/>
        <v>655</v>
      </c>
      <c r="I17" s="228"/>
      <c r="J17" s="227"/>
      <c r="K17" s="227"/>
      <c r="L17" s="247"/>
      <c r="M17" s="1121"/>
      <c r="N17" s="311" t="s">
        <v>2630</v>
      </c>
      <c r="O17" s="316" t="s">
        <v>2626</v>
      </c>
      <c r="P17" s="316" t="s">
        <v>2627</v>
      </c>
      <c r="Q17" s="324" t="s">
        <v>2919</v>
      </c>
      <c r="R17" s="255" t="s">
        <v>2655</v>
      </c>
      <c r="S17" s="256">
        <v>1</v>
      </c>
      <c r="T17" s="257" t="s">
        <v>2916</v>
      </c>
      <c r="U17" s="323" t="s">
        <v>2920</v>
      </c>
      <c r="V17" s="257">
        <v>655</v>
      </c>
      <c r="W17" s="229"/>
      <c r="X17" s="257">
        <v>655</v>
      </c>
      <c r="Y17" s="228"/>
      <c r="Z17" s="227"/>
      <c r="AA17" s="227"/>
      <c r="AB17" s="247"/>
      <c r="AC17" s="1121"/>
      <c r="AD17" s="311" t="s">
        <v>2630</v>
      </c>
      <c r="AE17" s="316" t="s">
        <v>2626</v>
      </c>
      <c r="AF17" s="316" t="s">
        <v>2627</v>
      </c>
    </row>
    <row r="18" spans="1:32">
      <c r="A18" s="324" t="s">
        <v>2921</v>
      </c>
      <c r="B18" s="255" t="s">
        <v>2657</v>
      </c>
      <c r="C18" s="256">
        <v>1</v>
      </c>
      <c r="D18" s="257" t="s">
        <v>2916</v>
      </c>
      <c r="E18" s="323" t="s">
        <v>2921</v>
      </c>
      <c r="F18" s="257">
        <v>150</v>
      </c>
      <c r="G18" s="229"/>
      <c r="H18" s="257">
        <f t="shared" si="0"/>
        <v>150</v>
      </c>
      <c r="I18" s="228"/>
      <c r="J18" s="227"/>
      <c r="K18" s="227"/>
      <c r="L18" s="247"/>
      <c r="M18" s="1121"/>
      <c r="N18" s="311" t="s">
        <v>2630</v>
      </c>
      <c r="O18" s="316" t="s">
        <v>2626</v>
      </c>
      <c r="P18" s="316" t="s">
        <v>2627</v>
      </c>
      <c r="Q18" s="324" t="s">
        <v>2921</v>
      </c>
      <c r="R18" s="255" t="s">
        <v>2657</v>
      </c>
      <c r="S18" s="256">
        <v>1</v>
      </c>
      <c r="T18" s="257" t="s">
        <v>2916</v>
      </c>
      <c r="U18" s="323" t="s">
        <v>2921</v>
      </c>
      <c r="V18" s="257">
        <v>150</v>
      </c>
      <c r="W18" s="229"/>
      <c r="X18" s="257">
        <v>150</v>
      </c>
      <c r="Y18" s="228"/>
      <c r="Z18" s="227"/>
      <c r="AA18" s="227"/>
      <c r="AB18" s="247"/>
      <c r="AC18" s="1121"/>
      <c r="AD18" s="311" t="s">
        <v>2630</v>
      </c>
      <c r="AE18" s="316" t="s">
        <v>2626</v>
      </c>
      <c r="AF18" s="316" t="s">
        <v>2627</v>
      </c>
    </row>
    <row r="19" spans="1:32">
      <c r="A19" s="324" t="s">
        <v>2922</v>
      </c>
      <c r="B19" s="255" t="s">
        <v>2660</v>
      </c>
      <c r="C19" s="256">
        <v>1</v>
      </c>
      <c r="D19" s="257" t="s">
        <v>2916</v>
      </c>
      <c r="E19" s="323" t="s">
        <v>2922</v>
      </c>
      <c r="F19" s="257">
        <v>520</v>
      </c>
      <c r="G19" s="229"/>
      <c r="H19" s="257">
        <f t="shared" si="0"/>
        <v>520</v>
      </c>
      <c r="I19" s="228"/>
      <c r="J19" s="227"/>
      <c r="K19" s="227"/>
      <c r="L19" s="247"/>
      <c r="M19" s="1121"/>
      <c r="N19" s="311" t="s">
        <v>2630</v>
      </c>
      <c r="O19" s="316" t="s">
        <v>2626</v>
      </c>
      <c r="P19" s="316" t="s">
        <v>2627</v>
      </c>
      <c r="Q19" s="324" t="s">
        <v>2922</v>
      </c>
      <c r="R19" s="255" t="s">
        <v>2660</v>
      </c>
      <c r="S19" s="256">
        <v>1</v>
      </c>
      <c r="T19" s="257" t="s">
        <v>2916</v>
      </c>
      <c r="U19" s="323" t="s">
        <v>2922</v>
      </c>
      <c r="V19" s="257">
        <v>520</v>
      </c>
      <c r="W19" s="229"/>
      <c r="X19" s="257">
        <v>520</v>
      </c>
      <c r="Y19" s="228"/>
      <c r="Z19" s="227"/>
      <c r="AA19" s="227"/>
      <c r="AB19" s="247"/>
      <c r="AC19" s="1121"/>
      <c r="AD19" s="311" t="s">
        <v>2630</v>
      </c>
      <c r="AE19" s="316" t="s">
        <v>2626</v>
      </c>
      <c r="AF19" s="316" t="s">
        <v>2627</v>
      </c>
    </row>
    <row r="20" spans="1:32">
      <c r="A20" s="324" t="s">
        <v>2923</v>
      </c>
      <c r="B20" s="255" t="s">
        <v>2663</v>
      </c>
      <c r="C20" s="256">
        <v>1</v>
      </c>
      <c r="D20" s="257" t="s">
        <v>2916</v>
      </c>
      <c r="E20" s="323" t="s">
        <v>2923</v>
      </c>
      <c r="F20" s="257">
        <v>1170</v>
      </c>
      <c r="G20" s="229"/>
      <c r="H20" s="257">
        <f t="shared" si="0"/>
        <v>1170</v>
      </c>
      <c r="I20" s="228"/>
      <c r="J20" s="227"/>
      <c r="K20" s="227"/>
      <c r="L20" s="247"/>
      <c r="M20" s="1121"/>
      <c r="N20" s="311" t="s">
        <v>2630</v>
      </c>
      <c r="O20" s="316" t="s">
        <v>2626</v>
      </c>
      <c r="P20" s="316" t="s">
        <v>2627</v>
      </c>
      <c r="Q20" s="324" t="s">
        <v>2923</v>
      </c>
      <c r="R20" s="255" t="s">
        <v>2663</v>
      </c>
      <c r="S20" s="256">
        <v>1</v>
      </c>
      <c r="T20" s="257" t="s">
        <v>2916</v>
      </c>
      <c r="U20" s="323" t="s">
        <v>2923</v>
      </c>
      <c r="V20" s="257">
        <v>1170</v>
      </c>
      <c r="W20" s="229"/>
      <c r="X20" s="257">
        <v>1170</v>
      </c>
      <c r="Y20" s="228"/>
      <c r="Z20" s="227"/>
      <c r="AA20" s="227"/>
      <c r="AB20" s="247"/>
      <c r="AC20" s="1121"/>
      <c r="AD20" s="311" t="s">
        <v>2630</v>
      </c>
      <c r="AE20" s="316" t="s">
        <v>2626</v>
      </c>
      <c r="AF20" s="316" t="s">
        <v>2627</v>
      </c>
    </row>
    <row r="21" spans="1:32">
      <c r="A21" s="324" t="s">
        <v>2924</v>
      </c>
      <c r="B21" s="255" t="s">
        <v>2666</v>
      </c>
      <c r="C21" s="256">
        <v>1</v>
      </c>
      <c r="D21" s="257" t="s">
        <v>2916</v>
      </c>
      <c r="E21" s="323" t="s">
        <v>2924</v>
      </c>
      <c r="F21" s="257">
        <v>1350</v>
      </c>
      <c r="G21" s="229"/>
      <c r="H21" s="257">
        <v>1350</v>
      </c>
      <c r="I21" s="228"/>
      <c r="J21" s="227"/>
      <c r="K21" s="227"/>
      <c r="L21" s="247"/>
      <c r="M21" s="1121"/>
      <c r="N21" s="311" t="s">
        <v>2630</v>
      </c>
      <c r="O21" s="316" t="s">
        <v>2626</v>
      </c>
      <c r="P21" s="316" t="s">
        <v>2627</v>
      </c>
      <c r="Q21" s="324" t="s">
        <v>2924</v>
      </c>
      <c r="R21" s="255" t="s">
        <v>2666</v>
      </c>
      <c r="S21" s="256">
        <v>1</v>
      </c>
      <c r="T21" s="257" t="s">
        <v>2916</v>
      </c>
      <c r="U21" s="323" t="s">
        <v>2924</v>
      </c>
      <c r="V21" s="257">
        <v>1350</v>
      </c>
      <c r="W21" s="229"/>
      <c r="X21" s="257">
        <v>1350</v>
      </c>
      <c r="Y21" s="228"/>
      <c r="Z21" s="227"/>
      <c r="AA21" s="227"/>
      <c r="AB21" s="247"/>
      <c r="AC21" s="1121"/>
      <c r="AD21" s="311" t="s">
        <v>2630</v>
      </c>
      <c r="AE21" s="316" t="s">
        <v>2626</v>
      </c>
      <c r="AF21" s="316" t="s">
        <v>2627</v>
      </c>
    </row>
    <row r="22" spans="1:32">
      <c r="A22" s="324" t="s">
        <v>2925</v>
      </c>
      <c r="B22" s="255" t="s">
        <v>2669</v>
      </c>
      <c r="C22" s="256">
        <v>1</v>
      </c>
      <c r="D22" s="257" t="s">
        <v>2916</v>
      </c>
      <c r="E22" s="323" t="s">
        <v>2925</v>
      </c>
      <c r="F22" s="257">
        <v>65</v>
      </c>
      <c r="G22" s="229"/>
      <c r="H22" s="257">
        <v>65</v>
      </c>
      <c r="I22" s="228"/>
      <c r="J22" s="227"/>
      <c r="K22" s="227"/>
      <c r="L22" s="247"/>
      <c r="M22" s="1121"/>
      <c r="N22" s="311" t="s">
        <v>2630</v>
      </c>
      <c r="O22" s="316" t="s">
        <v>2626</v>
      </c>
      <c r="P22" s="316" t="s">
        <v>2627</v>
      </c>
      <c r="Q22" s="324" t="s">
        <v>2925</v>
      </c>
      <c r="R22" s="255" t="s">
        <v>2669</v>
      </c>
      <c r="S22" s="256">
        <v>1</v>
      </c>
      <c r="T22" s="257" t="s">
        <v>2916</v>
      </c>
      <c r="U22" s="323" t="s">
        <v>2925</v>
      </c>
      <c r="V22" s="257">
        <v>65</v>
      </c>
      <c r="W22" s="229"/>
      <c r="X22" s="257">
        <v>65</v>
      </c>
      <c r="Y22" s="228"/>
      <c r="Z22" s="227"/>
      <c r="AA22" s="227"/>
      <c r="AB22" s="247"/>
      <c r="AC22" s="1121"/>
      <c r="AD22" s="311" t="s">
        <v>2630</v>
      </c>
      <c r="AE22" s="316" t="s">
        <v>2626</v>
      </c>
      <c r="AF22" s="316" t="s">
        <v>2627</v>
      </c>
    </row>
    <row r="23" spans="1:32">
      <c r="A23" s="324" t="s">
        <v>2926</v>
      </c>
      <c r="B23" s="255" t="s">
        <v>2672</v>
      </c>
      <c r="C23" s="256">
        <v>1</v>
      </c>
      <c r="D23" s="257" t="s">
        <v>2916</v>
      </c>
      <c r="E23" s="323" t="s">
        <v>2926</v>
      </c>
      <c r="F23" s="257">
        <v>150</v>
      </c>
      <c r="G23" s="229"/>
      <c r="H23" s="257">
        <v>150</v>
      </c>
      <c r="I23" s="228"/>
      <c r="J23" s="227"/>
      <c r="K23" s="227"/>
      <c r="L23" s="247"/>
      <c r="M23" s="1121"/>
      <c r="N23" s="311" t="s">
        <v>2630</v>
      </c>
      <c r="O23" s="316" t="s">
        <v>2626</v>
      </c>
      <c r="P23" s="316" t="s">
        <v>2627</v>
      </c>
      <c r="Q23" s="324" t="s">
        <v>2926</v>
      </c>
      <c r="R23" s="255" t="s">
        <v>2672</v>
      </c>
      <c r="S23" s="256">
        <v>1</v>
      </c>
      <c r="T23" s="257" t="s">
        <v>2916</v>
      </c>
      <c r="U23" s="323" t="s">
        <v>2926</v>
      </c>
      <c r="V23" s="257">
        <v>150</v>
      </c>
      <c r="W23" s="229"/>
      <c r="X23" s="257">
        <v>150</v>
      </c>
      <c r="Y23" s="228"/>
      <c r="Z23" s="227"/>
      <c r="AA23" s="227"/>
      <c r="AB23" s="247"/>
      <c r="AC23" s="1121"/>
      <c r="AD23" s="311" t="s">
        <v>2630</v>
      </c>
      <c r="AE23" s="316" t="s">
        <v>2626</v>
      </c>
      <c r="AF23" s="316" t="s">
        <v>2627</v>
      </c>
    </row>
    <row r="24" spans="1:32">
      <c r="A24" s="324" t="s">
        <v>2927</v>
      </c>
      <c r="B24" s="255" t="s">
        <v>2675</v>
      </c>
      <c r="C24" s="256">
        <v>1</v>
      </c>
      <c r="D24" s="257" t="s">
        <v>2916</v>
      </c>
      <c r="E24" s="323" t="s">
        <v>2927</v>
      </c>
      <c r="F24" s="257">
        <v>310</v>
      </c>
      <c r="G24" s="229"/>
      <c r="H24" s="257">
        <v>310</v>
      </c>
      <c r="I24" s="228"/>
      <c r="J24" s="227"/>
      <c r="K24" s="227"/>
      <c r="L24" s="247"/>
      <c r="M24" s="1121"/>
      <c r="N24" s="311" t="s">
        <v>2630</v>
      </c>
      <c r="O24" s="316" t="s">
        <v>2626</v>
      </c>
      <c r="P24" s="316" t="s">
        <v>2627</v>
      </c>
      <c r="Q24" s="324" t="s">
        <v>2927</v>
      </c>
      <c r="R24" s="255" t="s">
        <v>2675</v>
      </c>
      <c r="S24" s="256">
        <v>1</v>
      </c>
      <c r="T24" s="257" t="s">
        <v>2916</v>
      </c>
      <c r="U24" s="323" t="s">
        <v>2927</v>
      </c>
      <c r="V24" s="257">
        <v>310</v>
      </c>
      <c r="W24" s="229"/>
      <c r="X24" s="257">
        <v>310</v>
      </c>
      <c r="Y24" s="228"/>
      <c r="Z24" s="227"/>
      <c r="AA24" s="227"/>
      <c r="AB24" s="247"/>
      <c r="AC24" s="1121"/>
      <c r="AD24" s="311" t="s">
        <v>2630</v>
      </c>
      <c r="AE24" s="316" t="s">
        <v>2626</v>
      </c>
      <c r="AF24" s="316" t="s">
        <v>2627</v>
      </c>
    </row>
    <row r="25" spans="1:32">
      <c r="A25" s="324" t="s">
        <v>2928</v>
      </c>
      <c r="B25" s="255" t="s">
        <v>2678</v>
      </c>
      <c r="C25" s="256">
        <v>1</v>
      </c>
      <c r="D25" s="257" t="s">
        <v>2916</v>
      </c>
      <c r="E25" s="323" t="s">
        <v>2928</v>
      </c>
      <c r="F25" s="257">
        <v>380</v>
      </c>
      <c r="G25" s="229"/>
      <c r="H25" s="257">
        <v>380</v>
      </c>
      <c r="I25" s="228"/>
      <c r="J25" s="227"/>
      <c r="K25" s="227"/>
      <c r="L25" s="247"/>
      <c r="M25" s="1121"/>
      <c r="N25" s="311" t="s">
        <v>2630</v>
      </c>
      <c r="O25" s="316" t="s">
        <v>2626</v>
      </c>
      <c r="P25" s="316" t="s">
        <v>2627</v>
      </c>
      <c r="Q25" s="324" t="s">
        <v>2928</v>
      </c>
      <c r="R25" s="255" t="s">
        <v>2678</v>
      </c>
      <c r="S25" s="256">
        <v>1</v>
      </c>
      <c r="T25" s="257" t="s">
        <v>2916</v>
      </c>
      <c r="U25" s="323" t="s">
        <v>2928</v>
      </c>
      <c r="V25" s="257">
        <v>380</v>
      </c>
      <c r="W25" s="229"/>
      <c r="X25" s="257">
        <v>380</v>
      </c>
      <c r="Y25" s="228"/>
      <c r="Z25" s="227"/>
      <c r="AA25" s="227"/>
      <c r="AB25" s="247"/>
      <c r="AC25" s="1121"/>
      <c r="AD25" s="311" t="s">
        <v>2630</v>
      </c>
      <c r="AE25" s="316" t="s">
        <v>2626</v>
      </c>
      <c r="AF25" s="316" t="s">
        <v>2627</v>
      </c>
    </row>
    <row r="26" spans="1:32">
      <c r="A26" s="324" t="s">
        <v>2929</v>
      </c>
      <c r="B26" s="255" t="s">
        <v>2680</v>
      </c>
      <c r="C26" s="256">
        <v>1</v>
      </c>
      <c r="D26" s="257" t="s">
        <v>2916</v>
      </c>
      <c r="E26" s="323" t="s">
        <v>2929</v>
      </c>
      <c r="F26" s="257">
        <v>95</v>
      </c>
      <c r="G26" s="229"/>
      <c r="H26" s="257">
        <v>95</v>
      </c>
      <c r="I26" s="228"/>
      <c r="J26" s="227"/>
      <c r="K26" s="227"/>
      <c r="L26" s="247"/>
      <c r="M26" s="1121"/>
      <c r="N26" s="311" t="s">
        <v>2630</v>
      </c>
      <c r="O26" s="316" t="s">
        <v>2626</v>
      </c>
      <c r="P26" s="316" t="s">
        <v>2627</v>
      </c>
      <c r="Q26" s="324" t="s">
        <v>2929</v>
      </c>
      <c r="R26" s="255" t="s">
        <v>2680</v>
      </c>
      <c r="S26" s="256">
        <v>1</v>
      </c>
      <c r="T26" s="257" t="s">
        <v>2916</v>
      </c>
      <c r="U26" s="323" t="s">
        <v>2929</v>
      </c>
      <c r="V26" s="257">
        <v>95</v>
      </c>
      <c r="W26" s="229"/>
      <c r="X26" s="257">
        <v>95</v>
      </c>
      <c r="Y26" s="228"/>
      <c r="Z26" s="227"/>
      <c r="AA26" s="227"/>
      <c r="AB26" s="247"/>
      <c r="AC26" s="1121"/>
      <c r="AD26" s="311" t="s">
        <v>2630</v>
      </c>
      <c r="AE26" s="316" t="s">
        <v>2626</v>
      </c>
      <c r="AF26" s="316" t="s">
        <v>2627</v>
      </c>
    </row>
    <row r="27" spans="1:32">
      <c r="A27" s="324" t="s">
        <v>2930</v>
      </c>
      <c r="B27" s="255" t="s">
        <v>2682</v>
      </c>
      <c r="C27" s="256">
        <v>1</v>
      </c>
      <c r="D27" s="257" t="s">
        <v>2916</v>
      </c>
      <c r="E27" s="323" t="s">
        <v>2930</v>
      </c>
      <c r="F27" s="257">
        <v>345</v>
      </c>
      <c r="G27" s="229"/>
      <c r="H27" s="257">
        <v>345</v>
      </c>
      <c r="I27" s="228"/>
      <c r="J27" s="227"/>
      <c r="K27" s="227"/>
      <c r="L27" s="247"/>
      <c r="M27" s="1121"/>
      <c r="N27" s="311" t="s">
        <v>2630</v>
      </c>
      <c r="O27" s="316" t="s">
        <v>2626</v>
      </c>
      <c r="P27" s="316" t="s">
        <v>2627</v>
      </c>
      <c r="Q27" s="324" t="s">
        <v>2930</v>
      </c>
      <c r="R27" s="255" t="s">
        <v>2682</v>
      </c>
      <c r="S27" s="256">
        <v>1</v>
      </c>
      <c r="T27" s="257" t="s">
        <v>2916</v>
      </c>
      <c r="U27" s="323" t="s">
        <v>2930</v>
      </c>
      <c r="V27" s="257">
        <v>345</v>
      </c>
      <c r="W27" s="229"/>
      <c r="X27" s="257">
        <v>345</v>
      </c>
      <c r="Y27" s="228"/>
      <c r="Z27" s="227"/>
      <c r="AA27" s="227"/>
      <c r="AB27" s="247"/>
      <c r="AC27" s="1121"/>
      <c r="AD27" s="311" t="s">
        <v>2630</v>
      </c>
      <c r="AE27" s="316" t="s">
        <v>2626</v>
      </c>
      <c r="AF27" s="316" t="s">
        <v>2627</v>
      </c>
    </row>
    <row r="28" spans="1:32">
      <c r="A28" s="324" t="s">
        <v>2931</v>
      </c>
      <c r="B28" s="255" t="s">
        <v>2684</v>
      </c>
      <c r="C28" s="256">
        <v>1</v>
      </c>
      <c r="D28" s="257" t="s">
        <v>2916</v>
      </c>
      <c r="E28" s="323" t="s">
        <v>2931</v>
      </c>
      <c r="F28" s="257">
        <v>750</v>
      </c>
      <c r="G28" s="229"/>
      <c r="H28" s="257">
        <v>750</v>
      </c>
      <c r="I28" s="228"/>
      <c r="J28" s="227"/>
      <c r="K28" s="227"/>
      <c r="L28" s="247"/>
      <c r="M28" s="1121"/>
      <c r="N28" s="311" t="s">
        <v>2630</v>
      </c>
      <c r="O28" s="316" t="s">
        <v>2626</v>
      </c>
      <c r="P28" s="316" t="s">
        <v>2627</v>
      </c>
      <c r="Q28" s="324" t="s">
        <v>2931</v>
      </c>
      <c r="R28" s="255" t="s">
        <v>2684</v>
      </c>
      <c r="S28" s="256">
        <v>1</v>
      </c>
      <c r="T28" s="257" t="s">
        <v>2916</v>
      </c>
      <c r="U28" s="323" t="s">
        <v>2931</v>
      </c>
      <c r="V28" s="257">
        <v>750</v>
      </c>
      <c r="W28" s="229"/>
      <c r="X28" s="257">
        <v>750</v>
      </c>
      <c r="Y28" s="228"/>
      <c r="Z28" s="227"/>
      <c r="AA28" s="227"/>
      <c r="AB28" s="247"/>
      <c r="AC28" s="1121"/>
      <c r="AD28" s="311" t="s">
        <v>2630</v>
      </c>
      <c r="AE28" s="316" t="s">
        <v>2626</v>
      </c>
      <c r="AF28" s="316" t="s">
        <v>2627</v>
      </c>
    </row>
    <row r="29" spans="1:32">
      <c r="A29" s="324" t="s">
        <v>2932</v>
      </c>
      <c r="B29" s="255" t="s">
        <v>2686</v>
      </c>
      <c r="C29" s="256">
        <v>1</v>
      </c>
      <c r="D29" s="257" t="s">
        <v>2916</v>
      </c>
      <c r="E29" s="323" t="s">
        <v>2932</v>
      </c>
      <c r="F29" s="257">
        <v>880</v>
      </c>
      <c r="G29" s="229"/>
      <c r="H29" s="257">
        <v>880</v>
      </c>
      <c r="I29" s="228"/>
      <c r="J29" s="227"/>
      <c r="K29" s="227"/>
      <c r="L29" s="247"/>
      <c r="M29" s="1121"/>
      <c r="N29" s="311" t="s">
        <v>2630</v>
      </c>
      <c r="O29" s="316" t="s">
        <v>2626</v>
      </c>
      <c r="P29" s="316" t="s">
        <v>2627</v>
      </c>
      <c r="Q29" s="324" t="s">
        <v>2932</v>
      </c>
      <c r="R29" s="255" t="s">
        <v>2686</v>
      </c>
      <c r="S29" s="256">
        <v>1</v>
      </c>
      <c r="T29" s="257" t="s">
        <v>2916</v>
      </c>
      <c r="U29" s="323" t="s">
        <v>2932</v>
      </c>
      <c r="V29" s="257">
        <v>880</v>
      </c>
      <c r="W29" s="229"/>
      <c r="X29" s="257">
        <v>880</v>
      </c>
      <c r="Y29" s="228"/>
      <c r="Z29" s="227"/>
      <c r="AA29" s="227"/>
      <c r="AB29" s="247"/>
      <c r="AC29" s="1121"/>
      <c r="AD29" s="311" t="s">
        <v>2630</v>
      </c>
      <c r="AE29" s="316" t="s">
        <v>2626</v>
      </c>
      <c r="AF29" s="316" t="s">
        <v>2627</v>
      </c>
    </row>
    <row r="30" spans="1:32">
      <c r="A30" s="324" t="s">
        <v>2933</v>
      </c>
      <c r="B30" s="255" t="s">
        <v>2934</v>
      </c>
      <c r="C30" s="256">
        <v>1</v>
      </c>
      <c r="D30" s="257" t="s">
        <v>2916</v>
      </c>
      <c r="E30" s="323" t="s">
        <v>2933</v>
      </c>
      <c r="F30" s="257">
        <v>65</v>
      </c>
      <c r="G30" s="229"/>
      <c r="H30" s="257">
        <v>65</v>
      </c>
      <c r="I30" s="228"/>
      <c r="J30" s="227"/>
      <c r="K30" s="227"/>
      <c r="L30" s="247"/>
      <c r="M30" s="1121"/>
      <c r="N30" s="311" t="s">
        <v>2630</v>
      </c>
      <c r="O30" s="316" t="s">
        <v>2626</v>
      </c>
      <c r="P30" s="316" t="s">
        <v>2627</v>
      </c>
      <c r="Q30" s="324" t="s">
        <v>2933</v>
      </c>
      <c r="R30" s="255" t="s">
        <v>2934</v>
      </c>
      <c r="S30" s="256">
        <v>1</v>
      </c>
      <c r="T30" s="257" t="s">
        <v>2916</v>
      </c>
      <c r="U30" s="323" t="s">
        <v>2933</v>
      </c>
      <c r="V30" s="257">
        <v>65</v>
      </c>
      <c r="W30" s="229"/>
      <c r="X30" s="257">
        <v>65</v>
      </c>
      <c r="Y30" s="228"/>
      <c r="Z30" s="227"/>
      <c r="AA30" s="227"/>
      <c r="AB30" s="247"/>
      <c r="AC30" s="1121"/>
      <c r="AD30" s="311" t="s">
        <v>2630</v>
      </c>
      <c r="AE30" s="316" t="s">
        <v>2626</v>
      </c>
      <c r="AF30" s="316" t="s">
        <v>2627</v>
      </c>
    </row>
    <row r="31" spans="1:32">
      <c r="A31" s="324" t="s">
        <v>2935</v>
      </c>
      <c r="B31" s="255" t="s">
        <v>2936</v>
      </c>
      <c r="C31" s="256">
        <v>1</v>
      </c>
      <c r="D31" s="257" t="s">
        <v>2916</v>
      </c>
      <c r="E31" s="323" t="s">
        <v>2935</v>
      </c>
      <c r="F31" s="257">
        <v>50</v>
      </c>
      <c r="G31" s="229"/>
      <c r="H31" s="257">
        <f>F31-(F31*G31)</f>
        <v>50</v>
      </c>
      <c r="I31" s="228"/>
      <c r="J31" s="227"/>
      <c r="K31" s="227"/>
      <c r="L31" s="247"/>
      <c r="M31" s="1121"/>
      <c r="N31" s="311" t="s">
        <v>2630</v>
      </c>
      <c r="O31" s="316" t="s">
        <v>2626</v>
      </c>
      <c r="P31" s="316" t="s">
        <v>2627</v>
      </c>
      <c r="Q31" s="324" t="s">
        <v>2935</v>
      </c>
      <c r="R31" s="255" t="s">
        <v>2936</v>
      </c>
      <c r="S31" s="256">
        <v>1</v>
      </c>
      <c r="T31" s="257" t="s">
        <v>2916</v>
      </c>
      <c r="U31" s="323" t="s">
        <v>2935</v>
      </c>
      <c r="V31" s="257">
        <v>50</v>
      </c>
      <c r="W31" s="229"/>
      <c r="X31" s="257">
        <v>50</v>
      </c>
      <c r="Y31" s="228"/>
      <c r="Z31" s="227"/>
      <c r="AA31" s="227"/>
      <c r="AB31" s="247"/>
      <c r="AC31" s="1121"/>
      <c r="AD31" s="311" t="s">
        <v>2630</v>
      </c>
      <c r="AE31" s="316" t="s">
        <v>2626</v>
      </c>
      <c r="AF31" s="316" t="s">
        <v>2627</v>
      </c>
    </row>
    <row r="32" spans="1:32">
      <c r="A32" s="324" t="s">
        <v>2937</v>
      </c>
      <c r="B32" s="255" t="s">
        <v>2938</v>
      </c>
      <c r="C32" s="256">
        <v>1</v>
      </c>
      <c r="D32" s="257" t="s">
        <v>2916</v>
      </c>
      <c r="E32" s="323" t="s">
        <v>2937</v>
      </c>
      <c r="F32" s="257">
        <v>50</v>
      </c>
      <c r="G32" s="229"/>
      <c r="H32" s="257">
        <f>F32-(F32*G32)</f>
        <v>50</v>
      </c>
      <c r="I32" s="228"/>
      <c r="J32" s="227"/>
      <c r="K32" s="227"/>
      <c r="L32" s="247"/>
      <c r="M32" s="1121"/>
      <c r="N32" s="311" t="s">
        <v>2630</v>
      </c>
      <c r="O32" s="316" t="s">
        <v>2626</v>
      </c>
      <c r="P32" s="316" t="s">
        <v>2627</v>
      </c>
      <c r="Q32" s="324" t="s">
        <v>2937</v>
      </c>
      <c r="R32" s="255" t="s">
        <v>2938</v>
      </c>
      <c r="S32" s="256">
        <v>1</v>
      </c>
      <c r="T32" s="257" t="s">
        <v>2916</v>
      </c>
      <c r="U32" s="323" t="s">
        <v>2937</v>
      </c>
      <c r="V32" s="257">
        <v>50</v>
      </c>
      <c r="W32" s="229"/>
      <c r="X32" s="257">
        <v>50</v>
      </c>
      <c r="Y32" s="228"/>
      <c r="Z32" s="227"/>
      <c r="AA32" s="227"/>
      <c r="AB32" s="247"/>
      <c r="AC32" s="1121"/>
      <c r="AD32" s="311" t="s">
        <v>2630</v>
      </c>
      <c r="AE32" s="316" t="s">
        <v>2626</v>
      </c>
      <c r="AF32" s="316" t="s">
        <v>2627</v>
      </c>
    </row>
    <row r="33" spans="1:32">
      <c r="A33" s="324" t="s">
        <v>2939</v>
      </c>
      <c r="B33" s="255" t="s">
        <v>2940</v>
      </c>
      <c r="C33" s="256">
        <v>1</v>
      </c>
      <c r="D33" s="257" t="s">
        <v>2916</v>
      </c>
      <c r="E33" s="323" t="s">
        <v>2939</v>
      </c>
      <c r="F33" s="257">
        <v>78</v>
      </c>
      <c r="G33" s="229"/>
      <c r="H33" s="257">
        <v>78</v>
      </c>
      <c r="I33" s="228"/>
      <c r="J33" s="227"/>
      <c r="K33" s="227"/>
      <c r="L33" s="247"/>
      <c r="M33" s="1121"/>
      <c r="N33" s="311" t="s">
        <v>2630</v>
      </c>
      <c r="O33" s="316" t="s">
        <v>2626</v>
      </c>
      <c r="P33" s="316" t="s">
        <v>2627</v>
      </c>
      <c r="Q33" s="324" t="s">
        <v>2939</v>
      </c>
      <c r="R33" s="255" t="s">
        <v>2940</v>
      </c>
      <c r="S33" s="256">
        <v>1</v>
      </c>
      <c r="T33" s="257" t="s">
        <v>2916</v>
      </c>
      <c r="U33" s="323" t="s">
        <v>2939</v>
      </c>
      <c r="V33" s="257">
        <v>78</v>
      </c>
      <c r="W33" s="229"/>
      <c r="X33" s="257">
        <v>78</v>
      </c>
      <c r="Y33" s="228"/>
      <c r="Z33" s="227"/>
      <c r="AA33" s="227"/>
      <c r="AB33" s="247"/>
      <c r="AC33" s="1121"/>
      <c r="AD33" s="311" t="s">
        <v>2630</v>
      </c>
      <c r="AE33" s="316" t="s">
        <v>2626</v>
      </c>
      <c r="AF33" s="316" t="s">
        <v>2627</v>
      </c>
    </row>
    <row r="34" spans="1:32">
      <c r="A34" s="324" t="s">
        <v>2941</v>
      </c>
      <c r="B34" s="255" t="s">
        <v>2942</v>
      </c>
      <c r="C34" s="256">
        <v>1</v>
      </c>
      <c r="D34" s="257" t="s">
        <v>2916</v>
      </c>
      <c r="E34" s="323" t="s">
        <v>2941</v>
      </c>
      <c r="F34" s="257">
        <v>115</v>
      </c>
      <c r="G34" s="229"/>
      <c r="H34" s="257">
        <f>F34-(F34*G34)</f>
        <v>115</v>
      </c>
      <c r="I34" s="228"/>
      <c r="J34" s="227"/>
      <c r="K34" s="227"/>
      <c r="L34" s="247"/>
      <c r="M34" s="1121"/>
      <c r="N34" s="311" t="s">
        <v>2630</v>
      </c>
      <c r="O34" s="316" t="s">
        <v>2626</v>
      </c>
      <c r="P34" s="316" t="s">
        <v>2627</v>
      </c>
      <c r="Q34" s="324" t="s">
        <v>2941</v>
      </c>
      <c r="R34" s="255" t="s">
        <v>2942</v>
      </c>
      <c r="S34" s="256">
        <v>1</v>
      </c>
      <c r="T34" s="257" t="s">
        <v>2916</v>
      </c>
      <c r="U34" s="323" t="s">
        <v>2941</v>
      </c>
      <c r="V34" s="257">
        <v>115</v>
      </c>
      <c r="W34" s="229"/>
      <c r="X34" s="257">
        <v>115</v>
      </c>
      <c r="Y34" s="228"/>
      <c r="Z34" s="227"/>
      <c r="AA34" s="227"/>
      <c r="AB34" s="247"/>
      <c r="AC34" s="1121"/>
      <c r="AD34" s="311" t="s">
        <v>2630</v>
      </c>
      <c r="AE34" s="316" t="s">
        <v>2626</v>
      </c>
      <c r="AF34" s="316" t="s">
        <v>2627</v>
      </c>
    </row>
    <row r="35" spans="1:32">
      <c r="A35" s="324" t="s">
        <v>2943</v>
      </c>
      <c r="B35" s="255" t="s">
        <v>2944</v>
      </c>
      <c r="C35" s="256">
        <v>1</v>
      </c>
      <c r="D35" s="257" t="s">
        <v>2916</v>
      </c>
      <c r="E35" s="323" t="s">
        <v>2943</v>
      </c>
      <c r="F35" s="257">
        <v>150</v>
      </c>
      <c r="G35" s="229"/>
      <c r="H35" s="257">
        <v>150</v>
      </c>
      <c r="I35" s="228"/>
      <c r="J35" s="227"/>
      <c r="K35" s="227"/>
      <c r="L35" s="247"/>
      <c r="M35" s="1121"/>
      <c r="N35" s="311" t="s">
        <v>2630</v>
      </c>
      <c r="O35" s="316" t="s">
        <v>2626</v>
      </c>
      <c r="P35" s="316" t="s">
        <v>2627</v>
      </c>
      <c r="Q35" s="324" t="s">
        <v>2943</v>
      </c>
      <c r="R35" s="255" t="s">
        <v>2944</v>
      </c>
      <c r="S35" s="256">
        <v>1</v>
      </c>
      <c r="T35" s="257" t="s">
        <v>2916</v>
      </c>
      <c r="U35" s="323" t="s">
        <v>2943</v>
      </c>
      <c r="V35" s="257">
        <v>150</v>
      </c>
      <c r="W35" s="229"/>
      <c r="X35" s="257">
        <v>150</v>
      </c>
      <c r="Y35" s="228"/>
      <c r="Z35" s="227"/>
      <c r="AA35" s="227"/>
      <c r="AB35" s="247"/>
      <c r="AC35" s="1121"/>
      <c r="AD35" s="311" t="s">
        <v>2630</v>
      </c>
      <c r="AE35" s="316" t="s">
        <v>2626</v>
      </c>
      <c r="AF35" s="316" t="s">
        <v>2627</v>
      </c>
    </row>
    <row r="36" spans="1:32">
      <c r="A36" s="324" t="s">
        <v>2945</v>
      </c>
      <c r="B36" s="255" t="s">
        <v>2946</v>
      </c>
      <c r="C36" s="256">
        <v>1</v>
      </c>
      <c r="D36" s="257" t="s">
        <v>2916</v>
      </c>
      <c r="E36" s="323" t="s">
        <v>2945</v>
      </c>
      <c r="F36" s="257">
        <v>215</v>
      </c>
      <c r="G36" s="229"/>
      <c r="H36" s="257">
        <f t="shared" ref="H36:H69" si="1">F36-(F36*G36)</f>
        <v>215</v>
      </c>
      <c r="I36" s="228"/>
      <c r="J36" s="227"/>
      <c r="K36" s="227"/>
      <c r="L36" s="247"/>
      <c r="M36" s="1121"/>
      <c r="N36" s="311" t="s">
        <v>2630</v>
      </c>
      <c r="O36" s="316" t="s">
        <v>2626</v>
      </c>
      <c r="P36" s="316" t="s">
        <v>2627</v>
      </c>
      <c r="Q36" s="324" t="s">
        <v>2945</v>
      </c>
      <c r="R36" s="255" t="s">
        <v>2946</v>
      </c>
      <c r="S36" s="256">
        <v>1</v>
      </c>
      <c r="T36" s="257" t="s">
        <v>2916</v>
      </c>
      <c r="U36" s="323" t="s">
        <v>2945</v>
      </c>
      <c r="V36" s="257">
        <v>215</v>
      </c>
      <c r="W36" s="229"/>
      <c r="X36" s="257">
        <v>215</v>
      </c>
      <c r="Y36" s="228"/>
      <c r="Z36" s="227"/>
      <c r="AA36" s="227"/>
      <c r="AB36" s="247"/>
      <c r="AC36" s="1121"/>
      <c r="AD36" s="311" t="s">
        <v>2630</v>
      </c>
      <c r="AE36" s="316" t="s">
        <v>2626</v>
      </c>
      <c r="AF36" s="316" t="s">
        <v>2627</v>
      </c>
    </row>
    <row r="37" spans="1:32">
      <c r="A37" s="324" t="s">
        <v>2947</v>
      </c>
      <c r="B37" s="255" t="s">
        <v>2718</v>
      </c>
      <c r="C37" s="256">
        <v>1</v>
      </c>
      <c r="D37" s="257" t="s">
        <v>2916</v>
      </c>
      <c r="E37" s="323" t="s">
        <v>2947</v>
      </c>
      <c r="F37" s="257">
        <v>85</v>
      </c>
      <c r="G37" s="229"/>
      <c r="H37" s="257">
        <f t="shared" si="1"/>
        <v>85</v>
      </c>
      <c r="I37" s="228"/>
      <c r="J37" s="227"/>
      <c r="K37" s="227"/>
      <c r="L37" s="247"/>
      <c r="M37" s="1121"/>
      <c r="N37" s="311" t="s">
        <v>2630</v>
      </c>
      <c r="O37" s="316" t="s">
        <v>2626</v>
      </c>
      <c r="P37" s="316" t="s">
        <v>2627</v>
      </c>
      <c r="Q37" s="324" t="s">
        <v>2947</v>
      </c>
      <c r="R37" s="255" t="s">
        <v>2718</v>
      </c>
      <c r="S37" s="256">
        <v>1</v>
      </c>
      <c r="T37" s="257" t="s">
        <v>2916</v>
      </c>
      <c r="U37" s="323" t="s">
        <v>2947</v>
      </c>
      <c r="V37" s="257">
        <v>85</v>
      </c>
      <c r="W37" s="229"/>
      <c r="X37" s="257">
        <v>85</v>
      </c>
      <c r="Y37" s="228"/>
      <c r="Z37" s="227"/>
      <c r="AA37" s="227"/>
      <c r="AB37" s="247"/>
      <c r="AC37" s="1121"/>
      <c r="AD37" s="311" t="s">
        <v>2630</v>
      </c>
      <c r="AE37" s="316" t="s">
        <v>2626</v>
      </c>
      <c r="AF37" s="316" t="s">
        <v>2627</v>
      </c>
    </row>
    <row r="38" spans="1:32">
      <c r="A38" s="324" t="s">
        <v>2948</v>
      </c>
      <c r="B38" s="255" t="s">
        <v>2721</v>
      </c>
      <c r="C38" s="256">
        <v>1</v>
      </c>
      <c r="D38" s="257" t="s">
        <v>2916</v>
      </c>
      <c r="E38" s="323" t="s">
        <v>2948</v>
      </c>
      <c r="F38" s="257">
        <v>95</v>
      </c>
      <c r="G38" s="229"/>
      <c r="H38" s="257">
        <f t="shared" si="1"/>
        <v>95</v>
      </c>
      <c r="I38" s="228"/>
      <c r="J38" s="227"/>
      <c r="K38" s="227"/>
      <c r="L38" s="247"/>
      <c r="M38" s="1121"/>
      <c r="N38" s="311" t="s">
        <v>2630</v>
      </c>
      <c r="O38" s="316" t="s">
        <v>2626</v>
      </c>
      <c r="P38" s="316" t="s">
        <v>2627</v>
      </c>
      <c r="Q38" s="324" t="s">
        <v>2948</v>
      </c>
      <c r="R38" s="255" t="s">
        <v>2721</v>
      </c>
      <c r="S38" s="256">
        <v>1</v>
      </c>
      <c r="T38" s="257" t="s">
        <v>2916</v>
      </c>
      <c r="U38" s="323" t="s">
        <v>2948</v>
      </c>
      <c r="V38" s="257">
        <v>95</v>
      </c>
      <c r="W38" s="229"/>
      <c r="X38" s="257">
        <v>95</v>
      </c>
      <c r="Y38" s="228"/>
      <c r="Z38" s="227"/>
      <c r="AA38" s="227"/>
      <c r="AB38" s="247"/>
      <c r="AC38" s="1121"/>
      <c r="AD38" s="311" t="s">
        <v>2630</v>
      </c>
      <c r="AE38" s="316" t="s">
        <v>2626</v>
      </c>
      <c r="AF38" s="316" t="s">
        <v>2627</v>
      </c>
    </row>
    <row r="39" spans="1:32">
      <c r="A39" s="357" t="s">
        <v>2949</v>
      </c>
      <c r="B39" s="355" t="s">
        <v>2950</v>
      </c>
      <c r="C39" s="256">
        <v>1</v>
      </c>
      <c r="D39" s="257" t="s">
        <v>2916</v>
      </c>
      <c r="E39" s="364" t="s">
        <v>2949</v>
      </c>
      <c r="F39" s="257">
        <v>0</v>
      </c>
      <c r="G39" s="229"/>
      <c r="H39" s="257">
        <f t="shared" si="1"/>
        <v>0</v>
      </c>
      <c r="I39" s="228"/>
      <c r="J39" s="227"/>
      <c r="K39" s="227"/>
      <c r="L39" s="247"/>
      <c r="M39" s="1121"/>
      <c r="N39" s="311" t="s">
        <v>2630</v>
      </c>
      <c r="O39" s="316" t="s">
        <v>2626</v>
      </c>
      <c r="P39" s="316" t="s">
        <v>2627</v>
      </c>
      <c r="Q39" s="357" t="s">
        <v>2949</v>
      </c>
      <c r="R39" s="355" t="s">
        <v>2950</v>
      </c>
      <c r="S39" s="256">
        <v>1</v>
      </c>
      <c r="T39" s="257" t="s">
        <v>2916</v>
      </c>
      <c r="U39" s="364" t="s">
        <v>2949</v>
      </c>
      <c r="V39" s="257">
        <v>0</v>
      </c>
      <c r="W39" s="229"/>
      <c r="X39" s="257">
        <v>0</v>
      </c>
      <c r="Y39" s="228"/>
      <c r="Z39" s="227"/>
      <c r="AA39" s="227"/>
      <c r="AB39" s="247"/>
      <c r="AC39" s="1121"/>
      <c r="AD39" s="311" t="s">
        <v>2630</v>
      </c>
      <c r="AE39" s="316" t="s">
        <v>2626</v>
      </c>
      <c r="AF39" s="316" t="s">
        <v>2627</v>
      </c>
    </row>
    <row r="40" spans="1:32">
      <c r="A40" s="324" t="s">
        <v>2951</v>
      </c>
      <c r="B40" s="255" t="s">
        <v>2727</v>
      </c>
      <c r="C40" s="256">
        <v>1</v>
      </c>
      <c r="D40" s="257" t="s">
        <v>2916</v>
      </c>
      <c r="E40" s="323" t="s">
        <v>2951</v>
      </c>
      <c r="F40" s="257">
        <v>210</v>
      </c>
      <c r="G40" s="229"/>
      <c r="H40" s="257">
        <f t="shared" si="1"/>
        <v>210</v>
      </c>
      <c r="I40" s="228"/>
      <c r="J40" s="227"/>
      <c r="K40" s="227"/>
      <c r="L40" s="247"/>
      <c r="M40" s="1121"/>
      <c r="N40" s="311" t="s">
        <v>2630</v>
      </c>
      <c r="O40" s="316" t="s">
        <v>2626</v>
      </c>
      <c r="P40" s="316" t="s">
        <v>2627</v>
      </c>
      <c r="Q40" s="324" t="s">
        <v>2951</v>
      </c>
      <c r="R40" s="255" t="s">
        <v>2727</v>
      </c>
      <c r="S40" s="256">
        <v>1</v>
      </c>
      <c r="T40" s="257" t="s">
        <v>2916</v>
      </c>
      <c r="U40" s="323" t="s">
        <v>2951</v>
      </c>
      <c r="V40" s="257">
        <v>210</v>
      </c>
      <c r="W40" s="229"/>
      <c r="X40" s="257">
        <v>210</v>
      </c>
      <c r="Y40" s="228"/>
      <c r="Z40" s="227"/>
      <c r="AA40" s="227"/>
      <c r="AB40" s="247"/>
      <c r="AC40" s="1121"/>
      <c r="AD40" s="311" t="s">
        <v>2630</v>
      </c>
      <c r="AE40" s="316" t="s">
        <v>2626</v>
      </c>
      <c r="AF40" s="316" t="s">
        <v>2627</v>
      </c>
    </row>
    <row r="41" spans="1:32">
      <c r="A41" s="324" t="s">
        <v>2952</v>
      </c>
      <c r="B41" s="255" t="s">
        <v>2730</v>
      </c>
      <c r="C41" s="256">
        <v>1</v>
      </c>
      <c r="D41" s="257" t="s">
        <v>2916</v>
      </c>
      <c r="E41" s="323" t="s">
        <v>2952</v>
      </c>
      <c r="F41" s="257">
        <v>420</v>
      </c>
      <c r="G41" s="229"/>
      <c r="H41" s="257">
        <f t="shared" si="1"/>
        <v>420</v>
      </c>
      <c r="I41" s="228"/>
      <c r="J41" s="227"/>
      <c r="K41" s="227"/>
      <c r="L41" s="247"/>
      <c r="M41" s="1121"/>
      <c r="N41" s="311" t="s">
        <v>2630</v>
      </c>
      <c r="O41" s="316" t="s">
        <v>2626</v>
      </c>
      <c r="P41" s="316" t="s">
        <v>2627</v>
      </c>
      <c r="Q41" s="324" t="s">
        <v>2952</v>
      </c>
      <c r="R41" s="255" t="s">
        <v>2730</v>
      </c>
      <c r="S41" s="256">
        <v>1</v>
      </c>
      <c r="T41" s="257" t="s">
        <v>2916</v>
      </c>
      <c r="U41" s="323" t="s">
        <v>2952</v>
      </c>
      <c r="V41" s="257">
        <v>420</v>
      </c>
      <c r="W41" s="229"/>
      <c r="X41" s="257">
        <v>420</v>
      </c>
      <c r="Y41" s="228"/>
      <c r="Z41" s="227"/>
      <c r="AA41" s="227"/>
      <c r="AB41" s="247"/>
      <c r="AC41" s="1121"/>
      <c r="AD41" s="311" t="s">
        <v>2630</v>
      </c>
      <c r="AE41" s="316" t="s">
        <v>2626</v>
      </c>
      <c r="AF41" s="316" t="s">
        <v>2627</v>
      </c>
    </row>
    <row r="42" spans="1:32">
      <c r="A42" s="324" t="s">
        <v>2953</v>
      </c>
      <c r="B42" s="255" t="s">
        <v>2733</v>
      </c>
      <c r="C42" s="256">
        <v>1</v>
      </c>
      <c r="D42" s="257" t="s">
        <v>2916</v>
      </c>
      <c r="E42" s="323" t="s">
        <v>2953</v>
      </c>
      <c r="F42" s="257">
        <v>735</v>
      </c>
      <c r="G42" s="229"/>
      <c r="H42" s="257">
        <f t="shared" si="1"/>
        <v>735</v>
      </c>
      <c r="I42" s="228"/>
      <c r="J42" s="227"/>
      <c r="K42" s="227"/>
      <c r="L42" s="247"/>
      <c r="M42" s="1121"/>
      <c r="N42" s="311" t="s">
        <v>2630</v>
      </c>
      <c r="O42" s="316" t="s">
        <v>2626</v>
      </c>
      <c r="P42" s="316" t="s">
        <v>2627</v>
      </c>
      <c r="Q42" s="324" t="s">
        <v>2953</v>
      </c>
      <c r="R42" s="255" t="s">
        <v>2733</v>
      </c>
      <c r="S42" s="256">
        <v>1</v>
      </c>
      <c r="T42" s="257" t="s">
        <v>2916</v>
      </c>
      <c r="U42" s="323" t="s">
        <v>2953</v>
      </c>
      <c r="V42" s="257">
        <v>735</v>
      </c>
      <c r="W42" s="229"/>
      <c r="X42" s="257">
        <v>735</v>
      </c>
      <c r="Y42" s="228"/>
      <c r="Z42" s="227"/>
      <c r="AA42" s="227"/>
      <c r="AB42" s="247"/>
      <c r="AC42" s="1121"/>
      <c r="AD42" s="311" t="s">
        <v>2630</v>
      </c>
      <c r="AE42" s="316" t="s">
        <v>2626</v>
      </c>
      <c r="AF42" s="316" t="s">
        <v>2627</v>
      </c>
    </row>
    <row r="43" spans="1:32">
      <c r="A43" s="324" t="s">
        <v>2954</v>
      </c>
      <c r="B43" s="255" t="s">
        <v>2736</v>
      </c>
      <c r="C43" s="256">
        <v>1</v>
      </c>
      <c r="D43" s="257" t="s">
        <v>2916</v>
      </c>
      <c r="E43" s="323" t="s">
        <v>2954</v>
      </c>
      <c r="F43" s="257">
        <v>210</v>
      </c>
      <c r="G43" s="229"/>
      <c r="H43" s="257">
        <f t="shared" si="1"/>
        <v>210</v>
      </c>
      <c r="I43" s="228"/>
      <c r="J43" s="227"/>
      <c r="K43" s="227"/>
      <c r="L43" s="247"/>
      <c r="M43" s="1121"/>
      <c r="N43" s="311" t="s">
        <v>2630</v>
      </c>
      <c r="O43" s="316" t="s">
        <v>2626</v>
      </c>
      <c r="P43" s="316" t="s">
        <v>2627</v>
      </c>
      <c r="Q43" s="324" t="s">
        <v>2954</v>
      </c>
      <c r="R43" s="255" t="s">
        <v>2736</v>
      </c>
      <c r="S43" s="256">
        <v>1</v>
      </c>
      <c r="T43" s="257" t="s">
        <v>2916</v>
      </c>
      <c r="U43" s="323" t="s">
        <v>2954</v>
      </c>
      <c r="V43" s="257">
        <v>210</v>
      </c>
      <c r="W43" s="229"/>
      <c r="X43" s="257">
        <v>210</v>
      </c>
      <c r="Y43" s="228"/>
      <c r="Z43" s="227"/>
      <c r="AA43" s="227"/>
      <c r="AB43" s="247"/>
      <c r="AC43" s="1121"/>
      <c r="AD43" s="311" t="s">
        <v>2630</v>
      </c>
      <c r="AE43" s="316" t="s">
        <v>2626</v>
      </c>
      <c r="AF43" s="316" t="s">
        <v>2627</v>
      </c>
    </row>
    <row r="44" spans="1:32">
      <c r="A44" s="324" t="s">
        <v>2955</v>
      </c>
      <c r="B44" s="255" t="s">
        <v>2739</v>
      </c>
      <c r="C44" s="256">
        <v>1</v>
      </c>
      <c r="D44" s="257" t="s">
        <v>2916</v>
      </c>
      <c r="E44" s="323" t="s">
        <v>2955</v>
      </c>
      <c r="F44" s="257">
        <v>420</v>
      </c>
      <c r="G44" s="229"/>
      <c r="H44" s="257">
        <f t="shared" si="1"/>
        <v>420</v>
      </c>
      <c r="I44" s="228"/>
      <c r="J44" s="227"/>
      <c r="K44" s="227"/>
      <c r="L44" s="247"/>
      <c r="M44" s="1121"/>
      <c r="N44" s="311" t="s">
        <v>2630</v>
      </c>
      <c r="O44" s="316" t="s">
        <v>2626</v>
      </c>
      <c r="P44" s="316" t="s">
        <v>2627</v>
      </c>
      <c r="Q44" s="324" t="s">
        <v>2955</v>
      </c>
      <c r="R44" s="255" t="s">
        <v>2739</v>
      </c>
      <c r="S44" s="256">
        <v>1</v>
      </c>
      <c r="T44" s="257" t="s">
        <v>2916</v>
      </c>
      <c r="U44" s="323" t="s">
        <v>2955</v>
      </c>
      <c r="V44" s="257">
        <v>420</v>
      </c>
      <c r="W44" s="229"/>
      <c r="X44" s="257">
        <v>420</v>
      </c>
      <c r="Y44" s="228"/>
      <c r="Z44" s="227"/>
      <c r="AA44" s="227"/>
      <c r="AB44" s="247"/>
      <c r="AC44" s="1121"/>
      <c r="AD44" s="311" t="s">
        <v>2630</v>
      </c>
      <c r="AE44" s="316" t="s">
        <v>2626</v>
      </c>
      <c r="AF44" s="316" t="s">
        <v>2627</v>
      </c>
    </row>
    <row r="45" spans="1:32">
      <c r="A45" s="324" t="s">
        <v>2956</v>
      </c>
      <c r="B45" s="255" t="s">
        <v>2742</v>
      </c>
      <c r="C45" s="256">
        <v>1</v>
      </c>
      <c r="D45" s="257" t="s">
        <v>2916</v>
      </c>
      <c r="E45" s="323" t="s">
        <v>2956</v>
      </c>
      <c r="F45" s="257">
        <v>735</v>
      </c>
      <c r="G45" s="229"/>
      <c r="H45" s="257">
        <f t="shared" si="1"/>
        <v>735</v>
      </c>
      <c r="I45" s="228"/>
      <c r="J45" s="227"/>
      <c r="K45" s="227"/>
      <c r="L45" s="247"/>
      <c r="M45" s="1121"/>
      <c r="N45" s="311" t="s">
        <v>2630</v>
      </c>
      <c r="O45" s="316" t="s">
        <v>2626</v>
      </c>
      <c r="P45" s="316" t="s">
        <v>2627</v>
      </c>
      <c r="Q45" s="324" t="s">
        <v>2956</v>
      </c>
      <c r="R45" s="255" t="s">
        <v>2742</v>
      </c>
      <c r="S45" s="256">
        <v>1</v>
      </c>
      <c r="T45" s="257" t="s">
        <v>2916</v>
      </c>
      <c r="U45" s="323" t="s">
        <v>2956</v>
      </c>
      <c r="V45" s="257">
        <v>735</v>
      </c>
      <c r="W45" s="229"/>
      <c r="X45" s="257">
        <v>735</v>
      </c>
      <c r="Y45" s="228"/>
      <c r="Z45" s="227"/>
      <c r="AA45" s="227"/>
      <c r="AB45" s="247"/>
      <c r="AC45" s="1121"/>
      <c r="AD45" s="311" t="s">
        <v>2630</v>
      </c>
      <c r="AE45" s="316" t="s">
        <v>2626</v>
      </c>
      <c r="AF45" s="316" t="s">
        <v>2627</v>
      </c>
    </row>
    <row r="46" spans="1:32">
      <c r="A46" s="324" t="s">
        <v>2957</v>
      </c>
      <c r="B46" s="255" t="s">
        <v>2745</v>
      </c>
      <c r="C46" s="256">
        <v>1</v>
      </c>
      <c r="D46" s="257" t="s">
        <v>2916</v>
      </c>
      <c r="E46" s="323" t="s">
        <v>2957</v>
      </c>
      <c r="F46" s="257">
        <v>210</v>
      </c>
      <c r="G46" s="229"/>
      <c r="H46" s="257">
        <f t="shared" si="1"/>
        <v>210</v>
      </c>
      <c r="I46" s="228"/>
      <c r="J46" s="227"/>
      <c r="K46" s="227"/>
      <c r="L46" s="247"/>
      <c r="M46" s="1121"/>
      <c r="N46" s="311" t="s">
        <v>2630</v>
      </c>
      <c r="O46" s="316" t="s">
        <v>2626</v>
      </c>
      <c r="P46" s="316" t="s">
        <v>2627</v>
      </c>
      <c r="Q46" s="324" t="s">
        <v>2957</v>
      </c>
      <c r="R46" s="255" t="s">
        <v>2745</v>
      </c>
      <c r="S46" s="256">
        <v>1</v>
      </c>
      <c r="T46" s="257" t="s">
        <v>2916</v>
      </c>
      <c r="U46" s="323" t="s">
        <v>2957</v>
      </c>
      <c r="V46" s="257">
        <v>210</v>
      </c>
      <c r="W46" s="229"/>
      <c r="X46" s="257">
        <v>210</v>
      </c>
      <c r="Y46" s="228"/>
      <c r="Z46" s="227"/>
      <c r="AA46" s="227"/>
      <c r="AB46" s="247"/>
      <c r="AC46" s="1121"/>
      <c r="AD46" s="311" t="s">
        <v>2630</v>
      </c>
      <c r="AE46" s="316" t="s">
        <v>2626</v>
      </c>
      <c r="AF46" s="316" t="s">
        <v>2627</v>
      </c>
    </row>
    <row r="47" spans="1:32">
      <c r="A47" s="324" t="s">
        <v>2958</v>
      </c>
      <c r="B47" s="255" t="s">
        <v>2748</v>
      </c>
      <c r="C47" s="256">
        <v>1</v>
      </c>
      <c r="D47" s="257" t="s">
        <v>2916</v>
      </c>
      <c r="E47" s="323" t="s">
        <v>2958</v>
      </c>
      <c r="F47" s="257">
        <v>420</v>
      </c>
      <c r="G47" s="229"/>
      <c r="H47" s="257">
        <f t="shared" si="1"/>
        <v>420</v>
      </c>
      <c r="I47" s="228"/>
      <c r="J47" s="227"/>
      <c r="K47" s="227"/>
      <c r="L47" s="247"/>
      <c r="M47" s="1121"/>
      <c r="N47" s="311" t="s">
        <v>2630</v>
      </c>
      <c r="O47" s="316" t="s">
        <v>2626</v>
      </c>
      <c r="P47" s="316" t="s">
        <v>2627</v>
      </c>
      <c r="Q47" s="324" t="s">
        <v>2958</v>
      </c>
      <c r="R47" s="255" t="s">
        <v>2748</v>
      </c>
      <c r="S47" s="256">
        <v>1</v>
      </c>
      <c r="T47" s="257" t="s">
        <v>2916</v>
      </c>
      <c r="U47" s="323" t="s">
        <v>2958</v>
      </c>
      <c r="V47" s="257">
        <v>420</v>
      </c>
      <c r="W47" s="229"/>
      <c r="X47" s="257">
        <v>420</v>
      </c>
      <c r="Y47" s="228"/>
      <c r="Z47" s="227"/>
      <c r="AA47" s="227"/>
      <c r="AB47" s="247"/>
      <c r="AC47" s="1121"/>
      <c r="AD47" s="311" t="s">
        <v>2630</v>
      </c>
      <c r="AE47" s="316" t="s">
        <v>2626</v>
      </c>
      <c r="AF47" s="316" t="s">
        <v>2627</v>
      </c>
    </row>
    <row r="48" spans="1:32">
      <c r="A48" s="324" t="s">
        <v>2959</v>
      </c>
      <c r="B48" s="255" t="s">
        <v>2751</v>
      </c>
      <c r="C48" s="256">
        <v>1</v>
      </c>
      <c r="D48" s="257" t="s">
        <v>2916</v>
      </c>
      <c r="E48" s="323" t="s">
        <v>2959</v>
      </c>
      <c r="F48" s="257">
        <v>735</v>
      </c>
      <c r="G48" s="229"/>
      <c r="H48" s="257">
        <f t="shared" si="1"/>
        <v>735</v>
      </c>
      <c r="I48" s="228"/>
      <c r="J48" s="227"/>
      <c r="K48" s="227"/>
      <c r="L48" s="247"/>
      <c r="M48" s="1121"/>
      <c r="N48" s="311" t="s">
        <v>2630</v>
      </c>
      <c r="O48" s="316" t="s">
        <v>2626</v>
      </c>
      <c r="P48" s="316" t="s">
        <v>2627</v>
      </c>
      <c r="Q48" s="324" t="s">
        <v>2959</v>
      </c>
      <c r="R48" s="255" t="s">
        <v>2751</v>
      </c>
      <c r="S48" s="256">
        <v>1</v>
      </c>
      <c r="T48" s="257" t="s">
        <v>2916</v>
      </c>
      <c r="U48" s="323" t="s">
        <v>2959</v>
      </c>
      <c r="V48" s="257">
        <v>735</v>
      </c>
      <c r="W48" s="229"/>
      <c r="X48" s="257">
        <v>735</v>
      </c>
      <c r="Y48" s="228"/>
      <c r="Z48" s="227"/>
      <c r="AA48" s="227"/>
      <c r="AB48" s="247"/>
      <c r="AC48" s="1121"/>
      <c r="AD48" s="311" t="s">
        <v>2630</v>
      </c>
      <c r="AE48" s="316" t="s">
        <v>2626</v>
      </c>
      <c r="AF48" s="316" t="s">
        <v>2627</v>
      </c>
    </row>
    <row r="49" spans="1:32">
      <c r="A49" s="322" t="s">
        <v>2753</v>
      </c>
      <c r="B49" s="321" t="s">
        <v>2754</v>
      </c>
      <c r="C49" s="320">
        <v>1</v>
      </c>
      <c r="D49" s="319" t="s">
        <v>114</v>
      </c>
      <c r="E49" s="326" t="s">
        <v>2753</v>
      </c>
      <c r="F49" s="325">
        <v>782.67</v>
      </c>
      <c r="G49" s="354"/>
      <c r="H49" s="325">
        <f t="shared" si="1"/>
        <v>782.67</v>
      </c>
      <c r="I49" s="228"/>
      <c r="J49" s="227"/>
      <c r="K49" s="227"/>
      <c r="L49" s="247"/>
      <c r="M49" s="1121"/>
      <c r="N49" s="311" t="s">
        <v>2630</v>
      </c>
      <c r="O49" s="316" t="s">
        <v>2626</v>
      </c>
      <c r="P49" s="316" t="s">
        <v>2627</v>
      </c>
      <c r="Q49" s="322" t="s">
        <v>2753</v>
      </c>
      <c r="R49" s="321" t="s">
        <v>2754</v>
      </c>
      <c r="S49" s="320">
        <v>1</v>
      </c>
      <c r="T49" s="319" t="s">
        <v>114</v>
      </c>
      <c r="U49" s="326" t="s">
        <v>2753</v>
      </c>
      <c r="V49" s="325">
        <v>782.67</v>
      </c>
      <c r="W49" s="354"/>
      <c r="X49" s="325">
        <v>782.67</v>
      </c>
      <c r="Y49" s="228"/>
      <c r="Z49" s="227"/>
      <c r="AA49" s="227"/>
      <c r="AB49" s="247"/>
      <c r="AC49" s="1121"/>
      <c r="AD49" s="311" t="s">
        <v>2630</v>
      </c>
      <c r="AE49" s="316" t="s">
        <v>2626</v>
      </c>
      <c r="AF49" s="316" t="s">
        <v>2627</v>
      </c>
    </row>
    <row r="50" spans="1:32">
      <c r="A50" s="322" t="s">
        <v>2755</v>
      </c>
      <c r="B50" s="321" t="s">
        <v>2756</v>
      </c>
      <c r="C50" s="320">
        <v>1</v>
      </c>
      <c r="D50" s="319" t="s">
        <v>114</v>
      </c>
      <c r="E50" s="326" t="s">
        <v>2755</v>
      </c>
      <c r="F50" s="325">
        <v>86.67</v>
      </c>
      <c r="G50" s="354"/>
      <c r="H50" s="325">
        <f t="shared" si="1"/>
        <v>86.67</v>
      </c>
      <c r="I50" s="228"/>
      <c r="J50" s="227"/>
      <c r="K50" s="227"/>
      <c r="L50" s="247"/>
      <c r="M50" s="1121"/>
      <c r="N50" s="311" t="s">
        <v>2630</v>
      </c>
      <c r="O50" s="316" t="s">
        <v>2626</v>
      </c>
      <c r="P50" s="316" t="s">
        <v>2627</v>
      </c>
      <c r="Q50" s="322" t="s">
        <v>2755</v>
      </c>
      <c r="R50" s="321" t="s">
        <v>2756</v>
      </c>
      <c r="S50" s="320">
        <v>1</v>
      </c>
      <c r="T50" s="319" t="s">
        <v>114</v>
      </c>
      <c r="U50" s="326" t="s">
        <v>2755</v>
      </c>
      <c r="V50" s="325">
        <v>86.67</v>
      </c>
      <c r="W50" s="354"/>
      <c r="X50" s="325">
        <v>86.67</v>
      </c>
      <c r="Y50" s="228"/>
      <c r="Z50" s="227"/>
      <c r="AA50" s="227"/>
      <c r="AB50" s="247"/>
      <c r="AC50" s="1121"/>
      <c r="AD50" s="311" t="s">
        <v>2630</v>
      </c>
      <c r="AE50" s="316" t="s">
        <v>2626</v>
      </c>
      <c r="AF50" s="316" t="s">
        <v>2627</v>
      </c>
    </row>
    <row r="51" spans="1:32">
      <c r="A51" s="322" t="s">
        <v>2757</v>
      </c>
      <c r="B51" s="321" t="s">
        <v>2758</v>
      </c>
      <c r="C51" s="320">
        <v>1</v>
      </c>
      <c r="D51" s="319" t="s">
        <v>114</v>
      </c>
      <c r="E51" s="326" t="s">
        <v>2757</v>
      </c>
      <c r="F51" s="325">
        <v>326.67</v>
      </c>
      <c r="G51" s="354"/>
      <c r="H51" s="325">
        <f t="shared" si="1"/>
        <v>326.67</v>
      </c>
      <c r="I51" s="228"/>
      <c r="J51" s="227"/>
      <c r="K51" s="227"/>
      <c r="L51" s="247"/>
      <c r="M51" s="1121"/>
      <c r="N51" s="311" t="s">
        <v>2630</v>
      </c>
      <c r="O51" s="316" t="s">
        <v>2626</v>
      </c>
      <c r="P51" s="316" t="s">
        <v>2627</v>
      </c>
      <c r="Q51" s="322" t="s">
        <v>2757</v>
      </c>
      <c r="R51" s="321" t="s">
        <v>2758</v>
      </c>
      <c r="S51" s="320">
        <v>1</v>
      </c>
      <c r="T51" s="319" t="s">
        <v>114</v>
      </c>
      <c r="U51" s="326" t="s">
        <v>2757</v>
      </c>
      <c r="V51" s="325">
        <v>326.67</v>
      </c>
      <c r="W51" s="354"/>
      <c r="X51" s="325">
        <v>326.67</v>
      </c>
      <c r="Y51" s="228"/>
      <c r="Z51" s="227"/>
      <c r="AA51" s="227"/>
      <c r="AB51" s="247"/>
      <c r="AC51" s="1121"/>
      <c r="AD51" s="311" t="s">
        <v>2630</v>
      </c>
      <c r="AE51" s="316" t="s">
        <v>2626</v>
      </c>
      <c r="AF51" s="316" t="s">
        <v>2627</v>
      </c>
    </row>
    <row r="52" spans="1:32">
      <c r="A52" s="322" t="s">
        <v>2759</v>
      </c>
      <c r="B52" s="321" t="s">
        <v>2760</v>
      </c>
      <c r="C52" s="320">
        <v>1</v>
      </c>
      <c r="D52" s="319" t="s">
        <v>114</v>
      </c>
      <c r="E52" s="318" t="s">
        <v>2759</v>
      </c>
      <c r="F52" s="317">
        <v>649.33000000000004</v>
      </c>
      <c r="G52" s="354"/>
      <c r="H52" s="325">
        <f t="shared" si="1"/>
        <v>649.33000000000004</v>
      </c>
      <c r="I52" s="228"/>
      <c r="J52" s="227"/>
      <c r="K52" s="227"/>
      <c r="L52" s="247"/>
      <c r="M52" s="1121"/>
      <c r="N52" s="311" t="s">
        <v>2630</v>
      </c>
      <c r="O52" s="316" t="s">
        <v>2626</v>
      </c>
      <c r="P52" s="316" t="s">
        <v>2627</v>
      </c>
      <c r="Q52" s="322" t="s">
        <v>2759</v>
      </c>
      <c r="R52" s="321" t="s">
        <v>2760</v>
      </c>
      <c r="S52" s="320">
        <v>1</v>
      </c>
      <c r="T52" s="319" t="s">
        <v>114</v>
      </c>
      <c r="U52" s="318" t="s">
        <v>2759</v>
      </c>
      <c r="V52" s="317">
        <v>649.33000000000004</v>
      </c>
      <c r="W52" s="354"/>
      <c r="X52" s="325">
        <v>649.33000000000004</v>
      </c>
      <c r="Y52" s="228"/>
      <c r="Z52" s="227"/>
      <c r="AA52" s="227"/>
      <c r="AB52" s="247"/>
      <c r="AC52" s="1121"/>
      <c r="AD52" s="311" t="s">
        <v>2630</v>
      </c>
      <c r="AE52" s="316" t="s">
        <v>2626</v>
      </c>
      <c r="AF52" s="316" t="s">
        <v>2627</v>
      </c>
    </row>
    <row r="53" spans="1:32">
      <c r="A53" s="322" t="s">
        <v>2761</v>
      </c>
      <c r="B53" s="321" t="s">
        <v>2762</v>
      </c>
      <c r="C53" s="320">
        <v>1</v>
      </c>
      <c r="D53" s="319" t="s">
        <v>114</v>
      </c>
      <c r="E53" s="326" t="s">
        <v>2761</v>
      </c>
      <c r="F53" s="325">
        <v>173.33</v>
      </c>
      <c r="G53" s="354"/>
      <c r="H53" s="325">
        <f t="shared" si="1"/>
        <v>173.33</v>
      </c>
      <c r="I53" s="228"/>
      <c r="J53" s="227"/>
      <c r="K53" s="227"/>
      <c r="L53" s="247"/>
      <c r="M53" s="1121"/>
      <c r="N53" s="311" t="s">
        <v>2630</v>
      </c>
      <c r="O53" s="316" t="s">
        <v>2626</v>
      </c>
      <c r="P53" s="316" t="s">
        <v>2627</v>
      </c>
      <c r="Q53" s="322" t="s">
        <v>2761</v>
      </c>
      <c r="R53" s="321" t="s">
        <v>2762</v>
      </c>
      <c r="S53" s="320">
        <v>1</v>
      </c>
      <c r="T53" s="319" t="s">
        <v>114</v>
      </c>
      <c r="U53" s="326" t="s">
        <v>2761</v>
      </c>
      <c r="V53" s="325">
        <v>173.33</v>
      </c>
      <c r="W53" s="354"/>
      <c r="X53" s="325">
        <v>173.33</v>
      </c>
      <c r="Y53" s="228"/>
      <c r="Z53" s="227"/>
      <c r="AA53" s="227"/>
      <c r="AB53" s="247"/>
      <c r="AC53" s="1121"/>
      <c r="AD53" s="311" t="s">
        <v>2630</v>
      </c>
      <c r="AE53" s="316" t="s">
        <v>2626</v>
      </c>
      <c r="AF53" s="316" t="s">
        <v>2627</v>
      </c>
    </row>
    <row r="54" spans="1:32" ht="14.25">
      <c r="A54" s="322" t="s">
        <v>2763</v>
      </c>
      <c r="B54" s="353" t="s">
        <v>2764</v>
      </c>
      <c r="C54" s="352">
        <v>1</v>
      </c>
      <c r="D54" s="351" t="s">
        <v>114</v>
      </c>
      <c r="E54" s="351" t="s">
        <v>2763</v>
      </c>
      <c r="F54" s="325">
        <v>391.3</v>
      </c>
      <c r="G54" s="350"/>
      <c r="H54" s="317">
        <f t="shared" si="1"/>
        <v>391.3</v>
      </c>
      <c r="I54" s="228"/>
      <c r="J54" s="227"/>
      <c r="K54" s="227"/>
      <c r="L54" s="247"/>
      <c r="M54" s="1121"/>
      <c r="N54" s="311" t="s">
        <v>2630</v>
      </c>
      <c r="O54" s="316" t="s">
        <v>2626</v>
      </c>
      <c r="P54" s="316" t="s">
        <v>2627</v>
      </c>
      <c r="Q54" s="322" t="s">
        <v>2763</v>
      </c>
      <c r="R54" s="353" t="s">
        <v>2764</v>
      </c>
      <c r="S54" s="352">
        <v>1</v>
      </c>
      <c r="T54" s="351" t="s">
        <v>114</v>
      </c>
      <c r="U54" s="351" t="s">
        <v>2763</v>
      </c>
      <c r="V54" s="325">
        <v>391.3</v>
      </c>
      <c r="W54" s="350"/>
      <c r="X54" s="317">
        <v>391.3</v>
      </c>
      <c r="Y54" s="228"/>
      <c r="Z54" s="227"/>
      <c r="AA54" s="227"/>
      <c r="AB54" s="247"/>
      <c r="AC54" s="1121"/>
      <c r="AD54" s="311" t="s">
        <v>2630</v>
      </c>
      <c r="AE54" s="316" t="s">
        <v>2626</v>
      </c>
      <c r="AF54" s="316" t="s">
        <v>2627</v>
      </c>
    </row>
    <row r="55" spans="1:32">
      <c r="A55" s="324" t="s">
        <v>2960</v>
      </c>
      <c r="B55" s="255" t="s">
        <v>2766</v>
      </c>
      <c r="C55" s="256">
        <v>1</v>
      </c>
      <c r="D55" s="257" t="s">
        <v>2916</v>
      </c>
      <c r="E55" s="323" t="s">
        <v>2960</v>
      </c>
      <c r="F55" s="257">
        <v>1035</v>
      </c>
      <c r="G55" s="229"/>
      <c r="H55" s="257">
        <f t="shared" si="1"/>
        <v>1035</v>
      </c>
      <c r="I55" s="228"/>
      <c r="J55" s="227"/>
      <c r="K55" s="227"/>
      <c r="L55" s="247"/>
      <c r="M55" s="1121"/>
      <c r="N55" s="311" t="s">
        <v>2630</v>
      </c>
      <c r="O55" s="316" t="s">
        <v>2626</v>
      </c>
      <c r="P55" s="316" t="s">
        <v>2627</v>
      </c>
      <c r="Q55" s="324" t="s">
        <v>2960</v>
      </c>
      <c r="R55" s="255" t="s">
        <v>2766</v>
      </c>
      <c r="S55" s="256">
        <v>1</v>
      </c>
      <c r="T55" s="257" t="s">
        <v>2916</v>
      </c>
      <c r="U55" s="323" t="s">
        <v>2960</v>
      </c>
      <c r="V55" s="257">
        <v>1035</v>
      </c>
      <c r="W55" s="229"/>
      <c r="X55" s="257">
        <v>1035</v>
      </c>
      <c r="Y55" s="228"/>
      <c r="Z55" s="227"/>
      <c r="AA55" s="227"/>
      <c r="AB55" s="247"/>
      <c r="AC55" s="1121"/>
      <c r="AD55" s="311" t="s">
        <v>2630</v>
      </c>
      <c r="AE55" s="316" t="s">
        <v>2626</v>
      </c>
      <c r="AF55" s="316" t="s">
        <v>2627</v>
      </c>
    </row>
    <row r="56" spans="1:32">
      <c r="A56" s="324" t="s">
        <v>2961</v>
      </c>
      <c r="B56" s="255" t="s">
        <v>2768</v>
      </c>
      <c r="C56" s="256">
        <v>1</v>
      </c>
      <c r="D56" s="257" t="s">
        <v>2916</v>
      </c>
      <c r="E56" s="323" t="s">
        <v>2961</v>
      </c>
      <c r="F56" s="257">
        <v>1075</v>
      </c>
      <c r="G56" s="229"/>
      <c r="H56" s="257">
        <f t="shared" si="1"/>
        <v>1075</v>
      </c>
      <c r="I56" s="228"/>
      <c r="J56" s="227"/>
      <c r="K56" s="227"/>
      <c r="L56" s="247"/>
      <c r="M56" s="1121"/>
      <c r="N56" s="311" t="s">
        <v>2630</v>
      </c>
      <c r="O56" s="316" t="s">
        <v>2626</v>
      </c>
      <c r="P56" s="316" t="s">
        <v>2627</v>
      </c>
      <c r="Q56" s="324" t="s">
        <v>2961</v>
      </c>
      <c r="R56" s="255" t="s">
        <v>2768</v>
      </c>
      <c r="S56" s="256">
        <v>1</v>
      </c>
      <c r="T56" s="257" t="s">
        <v>2916</v>
      </c>
      <c r="U56" s="323" t="s">
        <v>2961</v>
      </c>
      <c r="V56" s="257">
        <v>1075</v>
      </c>
      <c r="W56" s="229"/>
      <c r="X56" s="257">
        <v>1075</v>
      </c>
      <c r="Y56" s="228"/>
      <c r="Z56" s="227"/>
      <c r="AA56" s="227"/>
      <c r="AB56" s="247"/>
      <c r="AC56" s="1121"/>
      <c r="AD56" s="311" t="s">
        <v>2630</v>
      </c>
      <c r="AE56" s="316" t="s">
        <v>2626</v>
      </c>
      <c r="AF56" s="316" t="s">
        <v>2627</v>
      </c>
    </row>
    <row r="57" spans="1:32">
      <c r="A57" s="324" t="s">
        <v>2771</v>
      </c>
      <c r="B57" s="255" t="s">
        <v>2772</v>
      </c>
      <c r="C57" s="256">
        <v>1</v>
      </c>
      <c r="D57" s="257" t="s">
        <v>2916</v>
      </c>
      <c r="E57" s="323" t="s">
        <v>2771</v>
      </c>
      <c r="F57" s="257">
        <v>10</v>
      </c>
      <c r="G57" s="229"/>
      <c r="H57" s="257">
        <f t="shared" si="1"/>
        <v>10</v>
      </c>
      <c r="I57" s="228"/>
      <c r="J57" s="227"/>
      <c r="K57" s="227"/>
      <c r="L57" s="247"/>
      <c r="M57" s="1121"/>
      <c r="N57" s="311" t="s">
        <v>2630</v>
      </c>
      <c r="O57" s="316" t="s">
        <v>2626</v>
      </c>
      <c r="P57" s="316" t="s">
        <v>2627</v>
      </c>
      <c r="Q57" s="324" t="s">
        <v>2771</v>
      </c>
      <c r="R57" s="255" t="s">
        <v>2772</v>
      </c>
      <c r="S57" s="256">
        <v>1</v>
      </c>
      <c r="T57" s="257" t="s">
        <v>2916</v>
      </c>
      <c r="U57" s="323" t="s">
        <v>2771</v>
      </c>
      <c r="V57" s="257">
        <v>10</v>
      </c>
      <c r="W57" s="229"/>
      <c r="X57" s="257">
        <v>10</v>
      </c>
      <c r="Y57" s="228"/>
      <c r="Z57" s="227"/>
      <c r="AA57" s="227"/>
      <c r="AB57" s="247"/>
      <c r="AC57" s="1121"/>
      <c r="AD57" s="311" t="s">
        <v>2630</v>
      </c>
      <c r="AE57" s="316" t="s">
        <v>2626</v>
      </c>
      <c r="AF57" s="316" t="s">
        <v>2627</v>
      </c>
    </row>
    <row r="58" spans="1:32">
      <c r="A58" s="324" t="s">
        <v>2774</v>
      </c>
      <c r="B58" s="255" t="s">
        <v>2775</v>
      </c>
      <c r="C58" s="256">
        <v>1</v>
      </c>
      <c r="D58" s="257" t="s">
        <v>2916</v>
      </c>
      <c r="E58" s="323" t="s">
        <v>2774</v>
      </c>
      <c r="F58" s="257">
        <v>440</v>
      </c>
      <c r="G58" s="229"/>
      <c r="H58" s="257">
        <f t="shared" si="1"/>
        <v>440</v>
      </c>
      <c r="I58" s="228"/>
      <c r="J58" s="227"/>
      <c r="K58" s="227"/>
      <c r="L58" s="247"/>
      <c r="M58" s="1121"/>
      <c r="N58" s="311" t="s">
        <v>2630</v>
      </c>
      <c r="O58" s="316" t="s">
        <v>2626</v>
      </c>
      <c r="P58" s="316" t="s">
        <v>2627</v>
      </c>
      <c r="Q58" s="324" t="s">
        <v>2774</v>
      </c>
      <c r="R58" s="255" t="s">
        <v>2775</v>
      </c>
      <c r="S58" s="256">
        <v>1</v>
      </c>
      <c r="T58" s="257" t="s">
        <v>2916</v>
      </c>
      <c r="U58" s="323" t="s">
        <v>2774</v>
      </c>
      <c r="V58" s="257">
        <v>440</v>
      </c>
      <c r="W58" s="229"/>
      <c r="X58" s="257">
        <v>440</v>
      </c>
      <c r="Y58" s="228"/>
      <c r="Z58" s="227"/>
      <c r="AA58" s="227"/>
      <c r="AB58" s="247"/>
      <c r="AC58" s="1121"/>
      <c r="AD58" s="311" t="s">
        <v>2630</v>
      </c>
      <c r="AE58" s="316" t="s">
        <v>2626</v>
      </c>
      <c r="AF58" s="316" t="s">
        <v>2627</v>
      </c>
    </row>
    <row r="59" spans="1:32">
      <c r="A59" s="324" t="s">
        <v>2776</v>
      </c>
      <c r="B59" s="255" t="s">
        <v>2777</v>
      </c>
      <c r="C59" s="256">
        <v>1</v>
      </c>
      <c r="D59" s="257" t="s">
        <v>2916</v>
      </c>
      <c r="E59" s="323" t="s">
        <v>2776</v>
      </c>
      <c r="F59" s="257">
        <v>600</v>
      </c>
      <c r="G59" s="229"/>
      <c r="H59" s="257">
        <f t="shared" si="1"/>
        <v>600</v>
      </c>
      <c r="I59" s="228"/>
      <c r="J59" s="227"/>
      <c r="K59" s="227"/>
      <c r="L59" s="247"/>
      <c r="M59" s="1121"/>
      <c r="N59" s="311" t="s">
        <v>2630</v>
      </c>
      <c r="O59" s="316" t="s">
        <v>2626</v>
      </c>
      <c r="P59" s="316" t="s">
        <v>2627</v>
      </c>
      <c r="Q59" s="324" t="s">
        <v>2776</v>
      </c>
      <c r="R59" s="255" t="s">
        <v>2777</v>
      </c>
      <c r="S59" s="256">
        <v>1</v>
      </c>
      <c r="T59" s="257" t="s">
        <v>2916</v>
      </c>
      <c r="U59" s="323" t="s">
        <v>2776</v>
      </c>
      <c r="V59" s="257">
        <v>600</v>
      </c>
      <c r="W59" s="229"/>
      <c r="X59" s="257">
        <v>600</v>
      </c>
      <c r="Y59" s="228"/>
      <c r="Z59" s="227"/>
      <c r="AA59" s="227"/>
      <c r="AB59" s="247"/>
      <c r="AC59" s="1121"/>
      <c r="AD59" s="311" t="s">
        <v>2630</v>
      </c>
      <c r="AE59" s="316" t="s">
        <v>2626</v>
      </c>
      <c r="AF59" s="316" t="s">
        <v>2627</v>
      </c>
    </row>
    <row r="60" spans="1:32">
      <c r="A60" s="324" t="s">
        <v>2778</v>
      </c>
      <c r="B60" s="255" t="s">
        <v>2779</v>
      </c>
      <c r="C60" s="256">
        <v>1</v>
      </c>
      <c r="D60" s="257" t="s">
        <v>2916</v>
      </c>
      <c r="E60" s="323" t="s">
        <v>2778</v>
      </c>
      <c r="F60" s="257">
        <v>520</v>
      </c>
      <c r="G60" s="229"/>
      <c r="H60" s="257">
        <f t="shared" si="1"/>
        <v>520</v>
      </c>
      <c r="I60" s="228"/>
      <c r="J60" s="227"/>
      <c r="K60" s="227"/>
      <c r="L60" s="247"/>
      <c r="M60" s="1121"/>
      <c r="N60" s="311" t="s">
        <v>2630</v>
      </c>
      <c r="O60" s="316" t="s">
        <v>2626</v>
      </c>
      <c r="P60" s="316" t="s">
        <v>2627</v>
      </c>
      <c r="Q60" s="324" t="s">
        <v>2778</v>
      </c>
      <c r="R60" s="255" t="s">
        <v>2779</v>
      </c>
      <c r="S60" s="256">
        <v>1</v>
      </c>
      <c r="T60" s="257" t="s">
        <v>2916</v>
      </c>
      <c r="U60" s="323" t="s">
        <v>2778</v>
      </c>
      <c r="V60" s="257">
        <v>520</v>
      </c>
      <c r="W60" s="229"/>
      <c r="X60" s="257">
        <v>520</v>
      </c>
      <c r="Y60" s="228"/>
      <c r="Z60" s="227"/>
      <c r="AA60" s="227"/>
      <c r="AB60" s="247"/>
      <c r="AC60" s="1121"/>
      <c r="AD60" s="311" t="s">
        <v>2630</v>
      </c>
      <c r="AE60" s="316" t="s">
        <v>2626</v>
      </c>
      <c r="AF60" s="316" t="s">
        <v>2627</v>
      </c>
    </row>
    <row r="61" spans="1:32">
      <c r="A61" s="324" t="s">
        <v>2780</v>
      </c>
      <c r="B61" s="255" t="s">
        <v>2781</v>
      </c>
      <c r="C61" s="256">
        <v>1</v>
      </c>
      <c r="D61" s="257" t="s">
        <v>2916</v>
      </c>
      <c r="E61" s="323" t="s">
        <v>2780</v>
      </c>
      <c r="F61" s="257">
        <v>1106.67</v>
      </c>
      <c r="G61" s="229"/>
      <c r="H61" s="257">
        <f t="shared" si="1"/>
        <v>1106.67</v>
      </c>
      <c r="I61" s="228"/>
      <c r="J61" s="227"/>
      <c r="K61" s="227"/>
      <c r="L61" s="247"/>
      <c r="M61" s="1121"/>
      <c r="N61" s="311" t="s">
        <v>2630</v>
      </c>
      <c r="O61" s="316" t="s">
        <v>2626</v>
      </c>
      <c r="P61" s="316" t="s">
        <v>2627</v>
      </c>
      <c r="Q61" s="324" t="s">
        <v>2780</v>
      </c>
      <c r="R61" s="255" t="s">
        <v>2781</v>
      </c>
      <c r="S61" s="256">
        <v>1</v>
      </c>
      <c r="T61" s="257" t="s">
        <v>2916</v>
      </c>
      <c r="U61" s="323" t="s">
        <v>2780</v>
      </c>
      <c r="V61" s="257">
        <v>1106.67</v>
      </c>
      <c r="W61" s="229"/>
      <c r="X61" s="257">
        <v>1106.67</v>
      </c>
      <c r="Y61" s="228"/>
      <c r="Z61" s="227"/>
      <c r="AA61" s="227"/>
      <c r="AB61" s="247"/>
      <c r="AC61" s="1121"/>
      <c r="AD61" s="311" t="s">
        <v>2630</v>
      </c>
      <c r="AE61" s="316" t="s">
        <v>2626</v>
      </c>
      <c r="AF61" s="316" t="s">
        <v>2627</v>
      </c>
    </row>
    <row r="62" spans="1:32">
      <c r="A62" s="357" t="s">
        <v>2782</v>
      </c>
      <c r="B62" s="355" t="s">
        <v>2962</v>
      </c>
      <c r="C62" s="256">
        <v>1</v>
      </c>
      <c r="D62" s="257" t="s">
        <v>2916</v>
      </c>
      <c r="E62" s="323" t="s">
        <v>2782</v>
      </c>
      <c r="F62" s="257"/>
      <c r="G62" s="229"/>
      <c r="H62" s="257" t="s">
        <v>3194</v>
      </c>
      <c r="I62" s="228"/>
      <c r="J62" s="227"/>
      <c r="K62" s="227"/>
      <c r="L62" s="247"/>
      <c r="M62" s="1121"/>
      <c r="N62" s="311" t="s">
        <v>2630</v>
      </c>
      <c r="O62" s="316" t="s">
        <v>2626</v>
      </c>
      <c r="P62" s="316" t="s">
        <v>2627</v>
      </c>
      <c r="Q62" s="357" t="s">
        <v>2782</v>
      </c>
      <c r="R62" s="355" t="s">
        <v>2962</v>
      </c>
      <c r="S62" s="256">
        <v>1</v>
      </c>
      <c r="T62" s="257" t="s">
        <v>2916</v>
      </c>
      <c r="U62" s="323" t="s">
        <v>2782</v>
      </c>
      <c r="V62" s="257"/>
      <c r="W62" s="229"/>
      <c r="X62" s="257">
        <v>0</v>
      </c>
      <c r="Y62" s="228"/>
      <c r="Z62" s="227"/>
      <c r="AA62" s="227"/>
      <c r="AB62" s="247"/>
      <c r="AC62" s="1121"/>
      <c r="AD62" s="311" t="s">
        <v>2630</v>
      </c>
      <c r="AE62" s="316" t="s">
        <v>2626</v>
      </c>
      <c r="AF62" s="316" t="s">
        <v>2627</v>
      </c>
    </row>
    <row r="63" spans="1:32">
      <c r="A63" s="324" t="s">
        <v>2802</v>
      </c>
      <c r="B63" s="255" t="s">
        <v>2803</v>
      </c>
      <c r="C63" s="256">
        <v>1</v>
      </c>
      <c r="D63" s="257" t="s">
        <v>114</v>
      </c>
      <c r="E63" s="323" t="s">
        <v>2802</v>
      </c>
      <c r="F63" s="257">
        <v>6666.67</v>
      </c>
      <c r="G63" s="229"/>
      <c r="H63" s="257">
        <f t="shared" si="1"/>
        <v>6666.67</v>
      </c>
      <c r="I63" s="228"/>
      <c r="J63" s="227"/>
      <c r="K63" s="227"/>
      <c r="L63" s="247"/>
      <c r="M63" s="1121"/>
      <c r="N63" s="311" t="s">
        <v>2630</v>
      </c>
      <c r="O63" s="316" t="s">
        <v>2626</v>
      </c>
      <c r="P63" s="316" t="s">
        <v>2627</v>
      </c>
      <c r="Q63" s="324" t="s">
        <v>2802</v>
      </c>
      <c r="R63" s="255" t="s">
        <v>2803</v>
      </c>
      <c r="S63" s="256">
        <v>1</v>
      </c>
      <c r="T63" s="257" t="s">
        <v>114</v>
      </c>
      <c r="U63" s="323" t="s">
        <v>2802</v>
      </c>
      <c r="V63" s="257">
        <v>6666.67</v>
      </c>
      <c r="W63" s="229"/>
      <c r="X63" s="257">
        <v>6666.67</v>
      </c>
      <c r="Y63" s="228"/>
      <c r="Z63" s="227"/>
      <c r="AA63" s="227"/>
      <c r="AB63" s="247"/>
      <c r="AC63" s="1121"/>
      <c r="AD63" s="311" t="s">
        <v>2630</v>
      </c>
      <c r="AE63" s="316" t="s">
        <v>2626</v>
      </c>
      <c r="AF63" s="316" t="s">
        <v>2627</v>
      </c>
    </row>
    <row r="64" spans="1:32">
      <c r="A64" s="324" t="s">
        <v>2804</v>
      </c>
      <c r="B64" s="255" t="s">
        <v>2805</v>
      </c>
      <c r="C64" s="256">
        <v>1</v>
      </c>
      <c r="D64" s="257" t="s">
        <v>114</v>
      </c>
      <c r="E64" s="323" t="s">
        <v>2804</v>
      </c>
      <c r="F64" s="257">
        <v>10666.67</v>
      </c>
      <c r="G64" s="229"/>
      <c r="H64" s="257">
        <f t="shared" si="1"/>
        <v>10666.67</v>
      </c>
      <c r="I64" s="228"/>
      <c r="J64" s="227"/>
      <c r="K64" s="227"/>
      <c r="L64" s="247"/>
      <c r="M64" s="1121"/>
      <c r="N64" s="311" t="s">
        <v>2630</v>
      </c>
      <c r="O64" s="316" t="s">
        <v>2626</v>
      </c>
      <c r="P64" s="316" t="s">
        <v>2627</v>
      </c>
      <c r="Q64" s="324" t="s">
        <v>2804</v>
      </c>
      <c r="R64" s="255" t="s">
        <v>2805</v>
      </c>
      <c r="S64" s="256">
        <v>1</v>
      </c>
      <c r="T64" s="257" t="s">
        <v>114</v>
      </c>
      <c r="U64" s="323" t="s">
        <v>2804</v>
      </c>
      <c r="V64" s="257">
        <v>10666.67</v>
      </c>
      <c r="W64" s="229"/>
      <c r="X64" s="257">
        <v>10666.67</v>
      </c>
      <c r="Y64" s="228"/>
      <c r="Z64" s="227"/>
      <c r="AA64" s="227"/>
      <c r="AB64" s="247"/>
      <c r="AC64" s="1121"/>
      <c r="AD64" s="311" t="s">
        <v>2630</v>
      </c>
      <c r="AE64" s="316" t="s">
        <v>2626</v>
      </c>
      <c r="AF64" s="316" t="s">
        <v>2627</v>
      </c>
    </row>
    <row r="65" spans="1:32">
      <c r="A65" s="324" t="s">
        <v>2806</v>
      </c>
      <c r="B65" s="255" t="s">
        <v>2807</v>
      </c>
      <c r="C65" s="256">
        <v>1</v>
      </c>
      <c r="D65" s="257" t="s">
        <v>114</v>
      </c>
      <c r="E65" s="323" t="s">
        <v>2806</v>
      </c>
      <c r="F65" s="257">
        <v>16000</v>
      </c>
      <c r="G65" s="229"/>
      <c r="H65" s="257">
        <f t="shared" si="1"/>
        <v>16000</v>
      </c>
      <c r="I65" s="228"/>
      <c r="J65" s="227"/>
      <c r="K65" s="227"/>
      <c r="L65" s="247"/>
      <c r="M65" s="1121"/>
      <c r="N65" s="311" t="s">
        <v>2630</v>
      </c>
      <c r="O65" s="316" t="s">
        <v>2626</v>
      </c>
      <c r="P65" s="316" t="s">
        <v>2627</v>
      </c>
      <c r="Q65" s="324" t="s">
        <v>2806</v>
      </c>
      <c r="R65" s="255" t="s">
        <v>2807</v>
      </c>
      <c r="S65" s="256">
        <v>1</v>
      </c>
      <c r="T65" s="257" t="s">
        <v>114</v>
      </c>
      <c r="U65" s="323" t="s">
        <v>2806</v>
      </c>
      <c r="V65" s="257">
        <v>16000</v>
      </c>
      <c r="W65" s="229"/>
      <c r="X65" s="257">
        <v>16000</v>
      </c>
      <c r="Y65" s="228"/>
      <c r="Z65" s="227"/>
      <c r="AA65" s="227"/>
      <c r="AB65" s="247"/>
      <c r="AC65" s="1121"/>
      <c r="AD65" s="311" t="s">
        <v>2630</v>
      </c>
      <c r="AE65" s="316" t="s">
        <v>2626</v>
      </c>
      <c r="AF65" s="316" t="s">
        <v>2627</v>
      </c>
    </row>
    <row r="66" spans="1:32">
      <c r="A66" s="324" t="s">
        <v>2808</v>
      </c>
      <c r="B66" s="255" t="s">
        <v>2809</v>
      </c>
      <c r="C66" s="256">
        <v>1</v>
      </c>
      <c r="D66" s="257" t="s">
        <v>114</v>
      </c>
      <c r="E66" s="323" t="s">
        <v>2808</v>
      </c>
      <c r="F66" s="257">
        <v>20000</v>
      </c>
      <c r="G66" s="229"/>
      <c r="H66" s="257">
        <f t="shared" si="1"/>
        <v>20000</v>
      </c>
      <c r="I66" s="228"/>
      <c r="J66" s="227"/>
      <c r="K66" s="227"/>
      <c r="L66" s="247"/>
      <c r="M66" s="1121"/>
      <c r="N66" s="311" t="s">
        <v>2630</v>
      </c>
      <c r="O66" s="316" t="s">
        <v>2626</v>
      </c>
      <c r="P66" s="316" t="s">
        <v>2627</v>
      </c>
      <c r="Q66" s="324" t="s">
        <v>2808</v>
      </c>
      <c r="R66" s="255" t="s">
        <v>2809</v>
      </c>
      <c r="S66" s="256">
        <v>1</v>
      </c>
      <c r="T66" s="257" t="s">
        <v>114</v>
      </c>
      <c r="U66" s="323" t="s">
        <v>2808</v>
      </c>
      <c r="V66" s="257">
        <v>20000</v>
      </c>
      <c r="W66" s="229"/>
      <c r="X66" s="257">
        <v>20000</v>
      </c>
      <c r="Y66" s="228"/>
      <c r="Z66" s="227"/>
      <c r="AA66" s="227"/>
      <c r="AB66" s="247"/>
      <c r="AC66" s="1121"/>
      <c r="AD66" s="311" t="s">
        <v>2630</v>
      </c>
      <c r="AE66" s="316" t="s">
        <v>2626</v>
      </c>
      <c r="AF66" s="316" t="s">
        <v>2627</v>
      </c>
    </row>
    <row r="67" spans="1:32">
      <c r="A67" s="324" t="s">
        <v>2810</v>
      </c>
      <c r="B67" s="255" t="s">
        <v>2811</v>
      </c>
      <c r="C67" s="256">
        <v>1</v>
      </c>
      <c r="D67" s="257" t="s">
        <v>114</v>
      </c>
      <c r="E67" s="323" t="s">
        <v>2810</v>
      </c>
      <c r="F67" s="257">
        <v>26666.67</v>
      </c>
      <c r="G67" s="229"/>
      <c r="H67" s="257">
        <f t="shared" si="1"/>
        <v>26666.67</v>
      </c>
      <c r="I67" s="228"/>
      <c r="J67" s="227"/>
      <c r="K67" s="227"/>
      <c r="L67" s="247"/>
      <c r="M67" s="1121"/>
      <c r="N67" s="311" t="s">
        <v>2630</v>
      </c>
      <c r="O67" s="316" t="s">
        <v>2626</v>
      </c>
      <c r="P67" s="316" t="s">
        <v>2627</v>
      </c>
      <c r="Q67" s="324" t="s">
        <v>2810</v>
      </c>
      <c r="R67" s="255" t="s">
        <v>2811</v>
      </c>
      <c r="S67" s="256">
        <v>1</v>
      </c>
      <c r="T67" s="257" t="s">
        <v>114</v>
      </c>
      <c r="U67" s="323" t="s">
        <v>2810</v>
      </c>
      <c r="V67" s="257">
        <v>26666.67</v>
      </c>
      <c r="W67" s="229"/>
      <c r="X67" s="257">
        <v>26666.67</v>
      </c>
      <c r="Y67" s="228"/>
      <c r="Z67" s="227"/>
      <c r="AA67" s="227"/>
      <c r="AB67" s="247"/>
      <c r="AC67" s="1121"/>
      <c r="AD67" s="311" t="s">
        <v>2630</v>
      </c>
      <c r="AE67" s="316" t="s">
        <v>2626</v>
      </c>
      <c r="AF67" s="316" t="s">
        <v>2627</v>
      </c>
    </row>
    <row r="68" spans="1:32">
      <c r="A68" s="324" t="s">
        <v>2812</v>
      </c>
      <c r="B68" s="255" t="s">
        <v>2813</v>
      </c>
      <c r="C68" s="256">
        <v>1</v>
      </c>
      <c r="D68" s="257" t="s">
        <v>114</v>
      </c>
      <c r="E68" s="323" t="s">
        <v>2812</v>
      </c>
      <c r="F68" s="257">
        <v>1600</v>
      </c>
      <c r="G68" s="229"/>
      <c r="H68" s="257">
        <f t="shared" si="1"/>
        <v>1600</v>
      </c>
      <c r="I68" s="228"/>
      <c r="J68" s="227"/>
      <c r="K68" s="227"/>
      <c r="L68" s="247"/>
      <c r="M68" s="1121"/>
      <c r="N68" s="311" t="s">
        <v>2630</v>
      </c>
      <c r="O68" s="316" t="s">
        <v>2626</v>
      </c>
      <c r="P68" s="316" t="s">
        <v>2627</v>
      </c>
      <c r="Q68" s="324" t="s">
        <v>2812</v>
      </c>
      <c r="R68" s="255" t="s">
        <v>2813</v>
      </c>
      <c r="S68" s="256">
        <v>1</v>
      </c>
      <c r="T68" s="257" t="s">
        <v>114</v>
      </c>
      <c r="U68" s="323" t="s">
        <v>2812</v>
      </c>
      <c r="V68" s="257">
        <v>1600</v>
      </c>
      <c r="W68" s="229"/>
      <c r="X68" s="257">
        <v>1600</v>
      </c>
      <c r="Y68" s="228"/>
      <c r="Z68" s="227"/>
      <c r="AA68" s="227"/>
      <c r="AB68" s="247"/>
      <c r="AC68" s="1121"/>
      <c r="AD68" s="311" t="s">
        <v>2630</v>
      </c>
      <c r="AE68" s="316" t="s">
        <v>2626</v>
      </c>
      <c r="AF68" s="316" t="s">
        <v>2627</v>
      </c>
    </row>
    <row r="69" spans="1:32">
      <c r="A69" s="324" t="s">
        <v>2814</v>
      </c>
      <c r="B69" s="255" t="s">
        <v>2815</v>
      </c>
      <c r="C69" s="256">
        <v>1</v>
      </c>
      <c r="D69" s="257" t="s">
        <v>114</v>
      </c>
      <c r="E69" s="323" t="s">
        <v>2814</v>
      </c>
      <c r="F69" s="257">
        <v>3866.67</v>
      </c>
      <c r="G69" s="229"/>
      <c r="H69" s="257">
        <f t="shared" si="1"/>
        <v>3866.67</v>
      </c>
      <c r="I69" s="228"/>
      <c r="J69" s="227"/>
      <c r="K69" s="227"/>
      <c r="L69" s="247"/>
      <c r="M69" s="1121"/>
      <c r="N69" s="311" t="s">
        <v>2630</v>
      </c>
      <c r="O69" s="316" t="s">
        <v>2626</v>
      </c>
      <c r="P69" s="316" t="s">
        <v>2627</v>
      </c>
      <c r="Q69" s="324" t="s">
        <v>2814</v>
      </c>
      <c r="R69" s="255" t="s">
        <v>2815</v>
      </c>
      <c r="S69" s="256">
        <v>1</v>
      </c>
      <c r="T69" s="257" t="s">
        <v>114</v>
      </c>
      <c r="U69" s="323" t="s">
        <v>2814</v>
      </c>
      <c r="V69" s="257">
        <v>3866.67</v>
      </c>
      <c r="W69" s="229"/>
      <c r="X69" s="257">
        <v>3866.67</v>
      </c>
      <c r="Y69" s="228"/>
      <c r="Z69" s="227"/>
      <c r="AA69" s="227"/>
      <c r="AB69" s="247"/>
      <c r="AC69" s="1121"/>
      <c r="AD69" s="311" t="s">
        <v>2630</v>
      </c>
      <c r="AE69" s="316" t="s">
        <v>2626</v>
      </c>
      <c r="AF69" s="316" t="s">
        <v>2627</v>
      </c>
    </row>
    <row r="70" spans="1:32">
      <c r="A70" s="345" t="s">
        <v>2816</v>
      </c>
      <c r="B70" s="225"/>
      <c r="C70" s="256"/>
      <c r="D70" s="257"/>
      <c r="E70" s="228"/>
      <c r="F70" s="228"/>
      <c r="G70" s="229"/>
      <c r="H70" s="228"/>
      <c r="I70" s="228"/>
      <c r="J70" s="227"/>
      <c r="K70" s="227"/>
      <c r="L70" s="247"/>
      <c r="M70" s="1121"/>
      <c r="N70" s="227"/>
      <c r="O70" s="316"/>
      <c r="P70" s="413"/>
      <c r="Q70" s="414" t="s">
        <v>2816</v>
      </c>
      <c r="R70" s="225"/>
      <c r="S70" s="256"/>
      <c r="T70" s="257"/>
      <c r="U70" s="228"/>
      <c r="V70" s="228"/>
      <c r="W70" s="229"/>
      <c r="X70" s="228"/>
      <c r="Y70" s="228"/>
      <c r="Z70" s="227"/>
      <c r="AA70" s="227"/>
      <c r="AB70" s="247"/>
      <c r="AC70" s="1121"/>
      <c r="AD70" s="227"/>
      <c r="AE70" s="316"/>
      <c r="AF70" s="316"/>
    </row>
    <row r="71" spans="1:32">
      <c r="A71" s="324" t="s">
        <v>2817</v>
      </c>
      <c r="B71" s="255" t="s">
        <v>2818</v>
      </c>
      <c r="C71" s="256">
        <v>1</v>
      </c>
      <c r="D71" s="257" t="s">
        <v>90</v>
      </c>
      <c r="E71" s="323" t="s">
        <v>2817</v>
      </c>
      <c r="F71" s="259">
        <v>17665.830000000002</v>
      </c>
      <c r="G71" s="260" cm="1">
        <f t="array" ref="G71">rv_30</f>
        <v>0.3</v>
      </c>
      <c r="H71" s="259">
        <f t="shared" ref="H71:H82" si="2">F71-(F71*G71)</f>
        <v>12366.081000000002</v>
      </c>
      <c r="I71" s="228"/>
      <c r="J71" s="227"/>
      <c r="K71" s="227"/>
      <c r="L71" s="247"/>
      <c r="M71" s="1121">
        <v>0</v>
      </c>
      <c r="N71" s="311" t="s">
        <v>2819</v>
      </c>
      <c r="O71" s="316" t="s">
        <v>2626</v>
      </c>
      <c r="P71" s="316" t="s">
        <v>2627</v>
      </c>
      <c r="Q71" s="324" t="s">
        <v>2817</v>
      </c>
      <c r="R71" s="255" t="s">
        <v>2818</v>
      </c>
      <c r="S71" s="256">
        <v>1</v>
      </c>
      <c r="T71" s="257" t="s">
        <v>90</v>
      </c>
      <c r="U71" s="323" t="s">
        <v>2817</v>
      </c>
      <c r="V71" s="259">
        <v>17665.830000000002</v>
      </c>
      <c r="W71" s="260">
        <v>0.3</v>
      </c>
      <c r="X71" s="259">
        <v>12366.081000000002</v>
      </c>
      <c r="Y71" s="228"/>
      <c r="Z71" s="227"/>
      <c r="AA71" s="227"/>
      <c r="AB71" s="247"/>
      <c r="AC71" s="1121">
        <v>0</v>
      </c>
      <c r="AD71" s="311" t="s">
        <v>2819</v>
      </c>
      <c r="AE71" s="316" t="s">
        <v>2626</v>
      </c>
      <c r="AF71" s="316" t="s">
        <v>2627</v>
      </c>
    </row>
    <row r="72" spans="1:32">
      <c r="A72" s="324" t="s">
        <v>2820</v>
      </c>
      <c r="B72" s="255" t="s">
        <v>2821</v>
      </c>
      <c r="C72" s="256">
        <v>1</v>
      </c>
      <c r="D72" s="257" t="s">
        <v>90</v>
      </c>
      <c r="E72" s="323" t="s">
        <v>2820</v>
      </c>
      <c r="F72" s="259">
        <v>35331.67</v>
      </c>
      <c r="G72" s="260" cm="1">
        <f t="array" ref="G72">rv_30</f>
        <v>0.3</v>
      </c>
      <c r="H72" s="259">
        <f t="shared" si="2"/>
        <v>24732.169000000002</v>
      </c>
      <c r="I72" s="228"/>
      <c r="J72" s="227"/>
      <c r="K72" s="227"/>
      <c r="L72" s="247"/>
      <c r="M72" s="1121">
        <v>0</v>
      </c>
      <c r="N72" s="311" t="s">
        <v>1223</v>
      </c>
      <c r="O72" s="316" t="s">
        <v>2626</v>
      </c>
      <c r="P72" s="316" t="s">
        <v>2627</v>
      </c>
      <c r="Q72" s="324" t="s">
        <v>2820</v>
      </c>
      <c r="R72" s="255" t="s">
        <v>2821</v>
      </c>
      <c r="S72" s="256">
        <v>1</v>
      </c>
      <c r="T72" s="257" t="s">
        <v>90</v>
      </c>
      <c r="U72" s="323" t="s">
        <v>2820</v>
      </c>
      <c r="V72" s="259">
        <v>35331.67</v>
      </c>
      <c r="W72" s="260">
        <v>0.3</v>
      </c>
      <c r="X72" s="259">
        <v>24732.169000000002</v>
      </c>
      <c r="Y72" s="228"/>
      <c r="Z72" s="227"/>
      <c r="AA72" s="227"/>
      <c r="AB72" s="247"/>
      <c r="AC72" s="1121">
        <v>0</v>
      </c>
      <c r="AD72" s="311" t="s">
        <v>1223</v>
      </c>
      <c r="AE72" s="316" t="s">
        <v>2626</v>
      </c>
      <c r="AF72" s="316" t="s">
        <v>2627</v>
      </c>
    </row>
    <row r="73" spans="1:32">
      <c r="A73" s="324" t="s">
        <v>2822</v>
      </c>
      <c r="B73" s="255" t="s">
        <v>2823</v>
      </c>
      <c r="C73" s="256">
        <v>1</v>
      </c>
      <c r="D73" s="257" t="s">
        <v>90</v>
      </c>
      <c r="E73" s="323" t="s">
        <v>2822</v>
      </c>
      <c r="F73" s="259">
        <v>52997.5</v>
      </c>
      <c r="G73" s="260" cm="1">
        <f t="array" ref="G73">rv_30</f>
        <v>0.3</v>
      </c>
      <c r="H73" s="259">
        <f t="shared" si="2"/>
        <v>37098.25</v>
      </c>
      <c r="I73" s="228"/>
      <c r="J73" s="227"/>
      <c r="K73" s="227"/>
      <c r="L73" s="247"/>
      <c r="M73" s="1121">
        <v>0</v>
      </c>
      <c r="N73" s="311" t="s">
        <v>1223</v>
      </c>
      <c r="O73" s="316" t="s">
        <v>2626</v>
      </c>
      <c r="P73" s="316" t="s">
        <v>2627</v>
      </c>
      <c r="Q73" s="324" t="s">
        <v>2822</v>
      </c>
      <c r="R73" s="255" t="s">
        <v>2823</v>
      </c>
      <c r="S73" s="256">
        <v>1</v>
      </c>
      <c r="T73" s="257" t="s">
        <v>90</v>
      </c>
      <c r="U73" s="323" t="s">
        <v>2822</v>
      </c>
      <c r="V73" s="259">
        <v>52997.5</v>
      </c>
      <c r="W73" s="260">
        <v>0.3</v>
      </c>
      <c r="X73" s="259">
        <v>37098.25</v>
      </c>
      <c r="Y73" s="228"/>
      <c r="Z73" s="227"/>
      <c r="AA73" s="227"/>
      <c r="AB73" s="247"/>
      <c r="AC73" s="1121">
        <v>0</v>
      </c>
      <c r="AD73" s="311" t="s">
        <v>1223</v>
      </c>
      <c r="AE73" s="316" t="s">
        <v>2626</v>
      </c>
      <c r="AF73" s="316" t="s">
        <v>2627</v>
      </c>
    </row>
    <row r="74" spans="1:32">
      <c r="A74" s="324" t="s">
        <v>2824</v>
      </c>
      <c r="B74" s="255" t="s">
        <v>2825</v>
      </c>
      <c r="C74" s="256">
        <v>1</v>
      </c>
      <c r="D74" s="257" t="s">
        <v>90</v>
      </c>
      <c r="E74" s="323" t="s">
        <v>2824</v>
      </c>
      <c r="F74" s="259">
        <v>5332.5</v>
      </c>
      <c r="G74" s="260" cm="1">
        <f t="array" ref="G74">rv_30</f>
        <v>0.3</v>
      </c>
      <c r="H74" s="259">
        <f t="shared" si="2"/>
        <v>3732.75</v>
      </c>
      <c r="I74" s="228"/>
      <c r="J74" s="227"/>
      <c r="K74" s="227"/>
      <c r="L74" s="247"/>
      <c r="M74" s="1121">
        <v>0</v>
      </c>
      <c r="N74" s="311" t="s">
        <v>1223</v>
      </c>
      <c r="O74" s="316" t="s">
        <v>2626</v>
      </c>
      <c r="P74" s="316" t="s">
        <v>2627</v>
      </c>
      <c r="Q74" s="324" t="s">
        <v>2824</v>
      </c>
      <c r="R74" s="255" t="s">
        <v>2825</v>
      </c>
      <c r="S74" s="256">
        <v>1</v>
      </c>
      <c r="T74" s="257" t="s">
        <v>90</v>
      </c>
      <c r="U74" s="323" t="s">
        <v>2824</v>
      </c>
      <c r="V74" s="259">
        <v>5332.5</v>
      </c>
      <c r="W74" s="260">
        <v>0.3</v>
      </c>
      <c r="X74" s="259">
        <v>3732.75</v>
      </c>
      <c r="Y74" s="228"/>
      <c r="Z74" s="227"/>
      <c r="AA74" s="227"/>
      <c r="AB74" s="247"/>
      <c r="AC74" s="1121">
        <v>0</v>
      </c>
      <c r="AD74" s="311" t="s">
        <v>1223</v>
      </c>
      <c r="AE74" s="316" t="s">
        <v>2626</v>
      </c>
      <c r="AF74" s="316" t="s">
        <v>2627</v>
      </c>
    </row>
    <row r="75" spans="1:32">
      <c r="A75" s="324" t="s">
        <v>2826</v>
      </c>
      <c r="B75" s="255" t="s">
        <v>2827</v>
      </c>
      <c r="C75" s="256">
        <v>1</v>
      </c>
      <c r="D75" s="257" t="s">
        <v>90</v>
      </c>
      <c r="E75" s="323" t="s">
        <v>2826</v>
      </c>
      <c r="F75" s="259">
        <v>10665</v>
      </c>
      <c r="G75" s="260" cm="1">
        <f t="array" ref="G75">rv_30</f>
        <v>0.3</v>
      </c>
      <c r="H75" s="259">
        <f t="shared" si="2"/>
        <v>7465.5</v>
      </c>
      <c r="I75" s="228"/>
      <c r="J75" s="227"/>
      <c r="K75" s="227"/>
      <c r="L75" s="247"/>
      <c r="M75" s="1121">
        <v>0</v>
      </c>
      <c r="N75" s="311" t="s">
        <v>1223</v>
      </c>
      <c r="O75" s="316" t="s">
        <v>2626</v>
      </c>
      <c r="P75" s="316" t="s">
        <v>2627</v>
      </c>
      <c r="Q75" s="324" t="s">
        <v>2826</v>
      </c>
      <c r="R75" s="255" t="s">
        <v>2827</v>
      </c>
      <c r="S75" s="256">
        <v>1</v>
      </c>
      <c r="T75" s="257" t="s">
        <v>90</v>
      </c>
      <c r="U75" s="323" t="s">
        <v>2826</v>
      </c>
      <c r="V75" s="259">
        <v>10665</v>
      </c>
      <c r="W75" s="260">
        <v>0.3</v>
      </c>
      <c r="X75" s="259">
        <v>7465.5</v>
      </c>
      <c r="Y75" s="228"/>
      <c r="Z75" s="227"/>
      <c r="AA75" s="227"/>
      <c r="AB75" s="247"/>
      <c r="AC75" s="1121">
        <v>0</v>
      </c>
      <c r="AD75" s="311" t="s">
        <v>1223</v>
      </c>
      <c r="AE75" s="316" t="s">
        <v>2626</v>
      </c>
      <c r="AF75" s="316" t="s">
        <v>2627</v>
      </c>
    </row>
    <row r="76" spans="1:32">
      <c r="A76" s="324" t="s">
        <v>2828</v>
      </c>
      <c r="B76" s="255" t="s">
        <v>2829</v>
      </c>
      <c r="C76" s="256">
        <v>1</v>
      </c>
      <c r="D76" s="257" t="s">
        <v>90</v>
      </c>
      <c r="E76" s="323" t="s">
        <v>2828</v>
      </c>
      <c r="F76" s="259">
        <v>15997.5</v>
      </c>
      <c r="G76" s="260" cm="1">
        <f t="array" ref="G76">rv_30</f>
        <v>0.3</v>
      </c>
      <c r="H76" s="259">
        <f t="shared" si="2"/>
        <v>11198.25</v>
      </c>
      <c r="I76" s="228"/>
      <c r="J76" s="227"/>
      <c r="K76" s="227"/>
      <c r="L76" s="247"/>
      <c r="M76" s="1121">
        <v>0</v>
      </c>
      <c r="N76" s="311" t="s">
        <v>1223</v>
      </c>
      <c r="O76" s="316" t="s">
        <v>2626</v>
      </c>
      <c r="P76" s="316" t="s">
        <v>2627</v>
      </c>
      <c r="Q76" s="324" t="s">
        <v>2828</v>
      </c>
      <c r="R76" s="255" t="s">
        <v>2829</v>
      </c>
      <c r="S76" s="256">
        <v>1</v>
      </c>
      <c r="T76" s="257" t="s">
        <v>90</v>
      </c>
      <c r="U76" s="323" t="s">
        <v>2828</v>
      </c>
      <c r="V76" s="259">
        <v>15997.5</v>
      </c>
      <c r="W76" s="260">
        <v>0.3</v>
      </c>
      <c r="X76" s="259">
        <v>11198.25</v>
      </c>
      <c r="Y76" s="228"/>
      <c r="Z76" s="227"/>
      <c r="AA76" s="227"/>
      <c r="AB76" s="247"/>
      <c r="AC76" s="1121">
        <v>0</v>
      </c>
      <c r="AD76" s="311" t="s">
        <v>1223</v>
      </c>
      <c r="AE76" s="316" t="s">
        <v>2626</v>
      </c>
      <c r="AF76" s="316" t="s">
        <v>2627</v>
      </c>
    </row>
    <row r="77" spans="1:32">
      <c r="A77" s="324" t="s">
        <v>2830</v>
      </c>
      <c r="B77" s="255" t="s">
        <v>2831</v>
      </c>
      <c r="C77" s="256">
        <v>1</v>
      </c>
      <c r="D77" s="257" t="s">
        <v>90</v>
      </c>
      <c r="E77" s="323" t="s">
        <v>2830</v>
      </c>
      <c r="F77" s="259">
        <v>44165.83</v>
      </c>
      <c r="G77" s="260" cm="1">
        <f t="array" ref="G77">rv_30</f>
        <v>0.3</v>
      </c>
      <c r="H77" s="259">
        <f t="shared" si="2"/>
        <v>30916.081000000002</v>
      </c>
      <c r="I77" s="228"/>
      <c r="J77" s="227"/>
      <c r="K77" s="227"/>
      <c r="L77" s="247"/>
      <c r="M77" s="1121">
        <v>0</v>
      </c>
      <c r="N77" s="311" t="s">
        <v>1223</v>
      </c>
      <c r="O77" s="316" t="s">
        <v>2626</v>
      </c>
      <c r="P77" s="316" t="s">
        <v>2627</v>
      </c>
      <c r="Q77" s="324" t="s">
        <v>2830</v>
      </c>
      <c r="R77" s="255" t="s">
        <v>2831</v>
      </c>
      <c r="S77" s="256">
        <v>1</v>
      </c>
      <c r="T77" s="257" t="s">
        <v>90</v>
      </c>
      <c r="U77" s="323" t="s">
        <v>2830</v>
      </c>
      <c r="V77" s="259">
        <v>44165.83</v>
      </c>
      <c r="W77" s="260">
        <v>0.3</v>
      </c>
      <c r="X77" s="259">
        <v>30916.081000000002</v>
      </c>
      <c r="Y77" s="228"/>
      <c r="Z77" s="227"/>
      <c r="AA77" s="227"/>
      <c r="AB77" s="247"/>
      <c r="AC77" s="1121">
        <v>0</v>
      </c>
      <c r="AD77" s="311" t="s">
        <v>1223</v>
      </c>
      <c r="AE77" s="316" t="s">
        <v>2626</v>
      </c>
      <c r="AF77" s="316" t="s">
        <v>2627</v>
      </c>
    </row>
    <row r="78" spans="1:32">
      <c r="A78" s="324" t="s">
        <v>2832</v>
      </c>
      <c r="B78" s="255" t="s">
        <v>2833</v>
      </c>
      <c r="C78" s="256">
        <v>1</v>
      </c>
      <c r="D78" s="257" t="s">
        <v>90</v>
      </c>
      <c r="E78" s="323" t="s">
        <v>2832</v>
      </c>
      <c r="F78" s="259">
        <v>88331.67</v>
      </c>
      <c r="G78" s="260" cm="1">
        <f t="array" ref="G78">rv_30</f>
        <v>0.3</v>
      </c>
      <c r="H78" s="259">
        <f t="shared" si="2"/>
        <v>61832.168999999994</v>
      </c>
      <c r="I78" s="228"/>
      <c r="J78" s="227"/>
      <c r="K78" s="227"/>
      <c r="L78" s="247"/>
      <c r="M78" s="1121">
        <v>0</v>
      </c>
      <c r="N78" s="311" t="s">
        <v>1223</v>
      </c>
      <c r="O78" s="316" t="s">
        <v>2626</v>
      </c>
      <c r="P78" s="316" t="s">
        <v>2627</v>
      </c>
      <c r="Q78" s="324" t="s">
        <v>2832</v>
      </c>
      <c r="R78" s="255" t="s">
        <v>2833</v>
      </c>
      <c r="S78" s="256">
        <v>1</v>
      </c>
      <c r="T78" s="257" t="s">
        <v>90</v>
      </c>
      <c r="U78" s="323" t="s">
        <v>2832</v>
      </c>
      <c r="V78" s="259">
        <v>88331.67</v>
      </c>
      <c r="W78" s="260">
        <v>0.3</v>
      </c>
      <c r="X78" s="259">
        <v>61832.168999999994</v>
      </c>
      <c r="Y78" s="228"/>
      <c r="Z78" s="227"/>
      <c r="AA78" s="227"/>
      <c r="AB78" s="247"/>
      <c r="AC78" s="1121">
        <v>0</v>
      </c>
      <c r="AD78" s="311" t="s">
        <v>1223</v>
      </c>
      <c r="AE78" s="316" t="s">
        <v>2626</v>
      </c>
      <c r="AF78" s="316" t="s">
        <v>2627</v>
      </c>
    </row>
    <row r="79" spans="1:32">
      <c r="A79" s="324" t="s">
        <v>2834</v>
      </c>
      <c r="B79" s="255" t="s">
        <v>2835</v>
      </c>
      <c r="C79" s="256">
        <v>1</v>
      </c>
      <c r="D79" s="257" t="s">
        <v>90</v>
      </c>
      <c r="E79" s="323" t="s">
        <v>2834</v>
      </c>
      <c r="F79" s="259">
        <v>132497.5</v>
      </c>
      <c r="G79" s="260" cm="1">
        <f t="array" ref="G79">rv_30</f>
        <v>0.3</v>
      </c>
      <c r="H79" s="259">
        <f t="shared" si="2"/>
        <v>92748.25</v>
      </c>
      <c r="I79" s="228"/>
      <c r="J79" s="227"/>
      <c r="K79" s="227"/>
      <c r="L79" s="247"/>
      <c r="M79" s="1121">
        <v>0</v>
      </c>
      <c r="N79" s="311" t="s">
        <v>1223</v>
      </c>
      <c r="O79" s="316" t="s">
        <v>2626</v>
      </c>
      <c r="P79" s="316" t="s">
        <v>2627</v>
      </c>
      <c r="Q79" s="324" t="s">
        <v>2834</v>
      </c>
      <c r="R79" s="255" t="s">
        <v>2835</v>
      </c>
      <c r="S79" s="256">
        <v>1</v>
      </c>
      <c r="T79" s="257" t="s">
        <v>90</v>
      </c>
      <c r="U79" s="323" t="s">
        <v>2834</v>
      </c>
      <c r="V79" s="259">
        <v>132497.5</v>
      </c>
      <c r="W79" s="260">
        <v>0.3</v>
      </c>
      <c r="X79" s="259">
        <v>92748.25</v>
      </c>
      <c r="Y79" s="228"/>
      <c r="Z79" s="227"/>
      <c r="AA79" s="227"/>
      <c r="AB79" s="247"/>
      <c r="AC79" s="1121">
        <v>0</v>
      </c>
      <c r="AD79" s="311" t="s">
        <v>1223</v>
      </c>
      <c r="AE79" s="316" t="s">
        <v>2626</v>
      </c>
      <c r="AF79" s="316" t="s">
        <v>2627</v>
      </c>
    </row>
    <row r="80" spans="1:32">
      <c r="A80" s="324" t="s">
        <v>2836</v>
      </c>
      <c r="B80" s="255" t="s">
        <v>2837</v>
      </c>
      <c r="C80" s="256">
        <v>1</v>
      </c>
      <c r="D80" s="257" t="s">
        <v>90</v>
      </c>
      <c r="E80" s="323" t="s">
        <v>2836</v>
      </c>
      <c r="F80" s="259">
        <v>440.83</v>
      </c>
      <c r="G80" s="260" cm="1">
        <f t="array" ref="G80">rv_30</f>
        <v>0.3</v>
      </c>
      <c r="H80" s="259">
        <f t="shared" si="2"/>
        <v>308.58100000000002</v>
      </c>
      <c r="I80" s="228"/>
      <c r="J80" s="227"/>
      <c r="K80" s="227"/>
      <c r="L80" s="247"/>
      <c r="M80" s="1121">
        <v>0</v>
      </c>
      <c r="N80" s="311" t="s">
        <v>1223</v>
      </c>
      <c r="O80" s="316" t="s">
        <v>2626</v>
      </c>
      <c r="P80" s="316" t="s">
        <v>2627</v>
      </c>
      <c r="Q80" s="324" t="s">
        <v>2836</v>
      </c>
      <c r="R80" s="255" t="s">
        <v>2837</v>
      </c>
      <c r="S80" s="256">
        <v>1</v>
      </c>
      <c r="T80" s="257" t="s">
        <v>90</v>
      </c>
      <c r="U80" s="323" t="s">
        <v>2836</v>
      </c>
      <c r="V80" s="259">
        <v>440.83</v>
      </c>
      <c r="W80" s="260">
        <v>0.3</v>
      </c>
      <c r="X80" s="259">
        <v>308.58100000000002</v>
      </c>
      <c r="Y80" s="228"/>
      <c r="Z80" s="227"/>
      <c r="AA80" s="227"/>
      <c r="AB80" s="247"/>
      <c r="AC80" s="1121">
        <v>0</v>
      </c>
      <c r="AD80" s="311" t="s">
        <v>1223</v>
      </c>
      <c r="AE80" s="316" t="s">
        <v>2626</v>
      </c>
      <c r="AF80" s="316" t="s">
        <v>2627</v>
      </c>
    </row>
    <row r="81" spans="1:32">
      <c r="A81" s="324" t="s">
        <v>2838</v>
      </c>
      <c r="B81" s="255" t="s">
        <v>2839</v>
      </c>
      <c r="C81" s="256">
        <v>1</v>
      </c>
      <c r="D81" s="257" t="s">
        <v>90</v>
      </c>
      <c r="E81" s="323" t="s">
        <v>2838</v>
      </c>
      <c r="F81" s="259">
        <v>881.67</v>
      </c>
      <c r="G81" s="260" cm="1">
        <f t="array" ref="G81">rv_30</f>
        <v>0.3</v>
      </c>
      <c r="H81" s="259">
        <f t="shared" si="2"/>
        <v>617.16899999999998</v>
      </c>
      <c r="I81" s="228"/>
      <c r="J81" s="227"/>
      <c r="K81" s="227"/>
      <c r="L81" s="247"/>
      <c r="M81" s="1121">
        <v>0</v>
      </c>
      <c r="N81" s="311" t="s">
        <v>1223</v>
      </c>
      <c r="O81" s="316" t="s">
        <v>2626</v>
      </c>
      <c r="P81" s="316" t="s">
        <v>2627</v>
      </c>
      <c r="Q81" s="324" t="s">
        <v>2838</v>
      </c>
      <c r="R81" s="255" t="s">
        <v>2839</v>
      </c>
      <c r="S81" s="256">
        <v>1</v>
      </c>
      <c r="T81" s="257" t="s">
        <v>90</v>
      </c>
      <c r="U81" s="323" t="s">
        <v>2838</v>
      </c>
      <c r="V81" s="259">
        <v>881.67</v>
      </c>
      <c r="W81" s="260">
        <v>0.3</v>
      </c>
      <c r="X81" s="259">
        <v>617.16899999999998</v>
      </c>
      <c r="Y81" s="228"/>
      <c r="Z81" s="227"/>
      <c r="AA81" s="227"/>
      <c r="AB81" s="247"/>
      <c r="AC81" s="1121">
        <v>0</v>
      </c>
      <c r="AD81" s="311" t="s">
        <v>1223</v>
      </c>
      <c r="AE81" s="316" t="s">
        <v>2626</v>
      </c>
      <c r="AF81" s="316" t="s">
        <v>2627</v>
      </c>
    </row>
    <row r="82" spans="1:32">
      <c r="A82" s="324" t="s">
        <v>2840</v>
      </c>
      <c r="B82" s="255" t="s">
        <v>2841</v>
      </c>
      <c r="C82" s="256">
        <v>1</v>
      </c>
      <c r="D82" s="257" t="s">
        <v>90</v>
      </c>
      <c r="E82" s="323" t="s">
        <v>2840</v>
      </c>
      <c r="F82" s="259">
        <v>1322.5</v>
      </c>
      <c r="G82" s="260" cm="1">
        <f t="array" ref="G82">rv_30</f>
        <v>0.3</v>
      </c>
      <c r="H82" s="259">
        <f t="shared" si="2"/>
        <v>925.75</v>
      </c>
      <c r="I82" s="228"/>
      <c r="J82" s="227"/>
      <c r="K82" s="227"/>
      <c r="L82" s="247"/>
      <c r="M82" s="1121">
        <v>0</v>
      </c>
      <c r="N82" s="311" t="s">
        <v>1223</v>
      </c>
      <c r="O82" s="316" t="s">
        <v>2626</v>
      </c>
      <c r="P82" s="316" t="s">
        <v>2627</v>
      </c>
      <c r="Q82" s="324" t="s">
        <v>2840</v>
      </c>
      <c r="R82" s="255" t="s">
        <v>2841</v>
      </c>
      <c r="S82" s="256">
        <v>1</v>
      </c>
      <c r="T82" s="257" t="s">
        <v>90</v>
      </c>
      <c r="U82" s="323" t="s">
        <v>2840</v>
      </c>
      <c r="V82" s="259">
        <v>1322.5</v>
      </c>
      <c r="W82" s="260">
        <v>0.3</v>
      </c>
      <c r="X82" s="259">
        <v>925.75</v>
      </c>
      <c r="Y82" s="228"/>
      <c r="Z82" s="227"/>
      <c r="AA82" s="227"/>
      <c r="AB82" s="247"/>
      <c r="AC82" s="1121">
        <v>0</v>
      </c>
      <c r="AD82" s="311" t="s">
        <v>1223</v>
      </c>
      <c r="AE82" s="316" t="s">
        <v>2626</v>
      </c>
      <c r="AF82" s="316" t="s">
        <v>2627</v>
      </c>
    </row>
  </sheetData>
  <mergeCells count="6">
    <mergeCell ref="AE3:AE4"/>
    <mergeCell ref="AF3:AF4"/>
    <mergeCell ref="A3:H3"/>
    <mergeCell ref="O3:O4"/>
    <mergeCell ref="P3:P4"/>
    <mergeCell ref="Q3:X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2:F81"/>
  <sheetViews>
    <sheetView showRuler="0" topLeftCell="A32" zoomScale="110" zoomScaleNormal="110" zoomScalePageLayoutView="115" workbookViewId="0">
      <selection activeCell="E65" sqref="E65"/>
    </sheetView>
  </sheetViews>
  <sheetFormatPr baseColWidth="10" defaultColWidth="10.7109375" defaultRowHeight="12.75"/>
  <cols>
    <col min="1" max="1" width="51.85546875" style="1" bestFit="1" customWidth="1"/>
    <col min="2" max="2" width="50" style="1" bestFit="1" customWidth="1"/>
    <col min="3" max="3" width="54.5703125" style="1" customWidth="1"/>
    <col min="4" max="4" width="51.85546875" style="1" bestFit="1" customWidth="1"/>
    <col min="5" max="6" width="35" style="1" customWidth="1"/>
    <col min="7" max="16384" width="10.7109375" style="1"/>
  </cols>
  <sheetData>
    <row r="2" spans="1:6" ht="31.5">
      <c r="A2" s="18" t="s">
        <v>2963</v>
      </c>
      <c r="B2" s="2"/>
      <c r="C2" s="2"/>
      <c r="D2" s="2"/>
    </row>
    <row r="3" spans="1:6" ht="8.1" customHeight="1">
      <c r="A3" s="17"/>
    </row>
    <row r="4" spans="1:6" ht="28.5">
      <c r="A4" s="19" t="s">
        <v>2964</v>
      </c>
      <c r="B4" s="9"/>
      <c r="C4" s="9"/>
      <c r="D4" s="9"/>
      <c r="E4" s="20"/>
      <c r="F4" s="20"/>
    </row>
    <row r="5" spans="1:6" ht="20.100000000000001" customHeight="1">
      <c r="A5" s="7"/>
      <c r="B5" s="57" t="s">
        <v>2965</v>
      </c>
      <c r="C5" s="57" t="s">
        <v>2966</v>
      </c>
      <c r="D5" s="404" t="s">
        <v>2967</v>
      </c>
    </row>
    <row r="6" spans="1:6" ht="18.95" customHeight="1">
      <c r="A6" s="8"/>
      <c r="B6" s="45">
        <v>0.17599999999999999</v>
      </c>
      <c r="C6" s="45">
        <v>0.17599999999999999</v>
      </c>
      <c r="D6" s="45">
        <v>0.17599999999999999</v>
      </c>
    </row>
    <row r="7" spans="1:6" ht="18" customHeight="1">
      <c r="A7" s="4"/>
    </row>
    <row r="8" spans="1:6" ht="20.100000000000001" customHeight="1">
      <c r="A8" s="7"/>
      <c r="B8" s="57" t="s">
        <v>2968</v>
      </c>
      <c r="C8" s="57" t="s">
        <v>2969</v>
      </c>
    </row>
    <row r="9" spans="1:6" ht="18.75">
      <c r="A9" s="8"/>
      <c r="B9" s="45">
        <v>0.17599999999999999</v>
      </c>
      <c r="C9" s="45">
        <v>0.17599999999999999</v>
      </c>
    </row>
    <row r="10" spans="1:6" ht="18" customHeight="1">
      <c r="A10" s="4"/>
      <c r="B10" s="4"/>
      <c r="C10" s="4"/>
    </row>
    <row r="11" spans="1:6" ht="20.100000000000001" customHeight="1">
      <c r="A11" s="69" t="s">
        <v>2970</v>
      </c>
      <c r="B11" s="69" t="s">
        <v>2971</v>
      </c>
      <c r="C11" s="69" t="s">
        <v>2972</v>
      </c>
      <c r="D11" s="69" t="s">
        <v>2973</v>
      </c>
      <c r="E11" s="405" t="s">
        <v>2974</v>
      </c>
    </row>
    <row r="12" spans="1:6" ht="18.75">
      <c r="A12" s="45">
        <v>0.17599999999999999</v>
      </c>
      <c r="B12" s="45">
        <v>0.17599999999999999</v>
      </c>
      <c r="C12" s="45">
        <v>0.17599999999999999</v>
      </c>
      <c r="D12" s="45">
        <v>0.17599999999999999</v>
      </c>
      <c r="E12" s="45">
        <v>0.17599999999999999</v>
      </c>
    </row>
    <row r="13" spans="1:6" ht="9" customHeight="1">
      <c r="A13" s="4"/>
      <c r="B13" s="4"/>
      <c r="C13" s="4"/>
      <c r="D13" s="4"/>
    </row>
    <row r="14" spans="1:6" ht="20.100000000000001" customHeight="1">
      <c r="A14" s="69" t="s">
        <v>2975</v>
      </c>
      <c r="B14" s="69" t="s">
        <v>2976</v>
      </c>
      <c r="C14" s="69" t="s">
        <v>2977</v>
      </c>
      <c r="D14" s="69" t="s">
        <v>2978</v>
      </c>
    </row>
    <row r="15" spans="1:6" ht="18.75">
      <c r="A15" s="45">
        <v>0.17599999999999999</v>
      </c>
      <c r="B15" s="45">
        <v>0.17599999999999999</v>
      </c>
      <c r="C15" s="45">
        <v>0.17599999999999999</v>
      </c>
      <c r="D15" s="45">
        <v>0.17599999999999999</v>
      </c>
    </row>
    <row r="16" spans="1:6" ht="15.95" customHeight="1">
      <c r="A16" s="4"/>
      <c r="B16" s="4"/>
      <c r="C16" s="4"/>
    </row>
    <row r="17" spans="1:5" ht="23.1" customHeight="1">
      <c r="A17" s="265" t="s">
        <v>2979</v>
      </c>
      <c r="B17" s="265" t="s">
        <v>2980</v>
      </c>
      <c r="C17" s="265" t="s">
        <v>2981</v>
      </c>
      <c r="D17" s="265" t="s">
        <v>2982</v>
      </c>
      <c r="E17" s="406" t="s">
        <v>2983</v>
      </c>
    </row>
    <row r="18" spans="1:5" ht="18.95" customHeight="1">
      <c r="A18" s="50">
        <v>0.17599999999999999</v>
      </c>
      <c r="B18" s="50">
        <v>0.17599999999999999</v>
      </c>
      <c r="C18" s="267">
        <v>0.17599999999999999</v>
      </c>
      <c r="D18" s="267">
        <v>0.17599999999999999</v>
      </c>
      <c r="E18" s="267">
        <v>0.17599999999999999</v>
      </c>
    </row>
    <row r="19" spans="1:5" ht="15.95" customHeight="1">
      <c r="A19" s="4"/>
      <c r="B19" s="4"/>
      <c r="C19" s="4"/>
    </row>
    <row r="20" spans="1:5" ht="20.100000000000001" customHeight="1">
      <c r="A20" s="58" t="s">
        <v>2984</v>
      </c>
      <c r="B20" s="58" t="s">
        <v>2985</v>
      </c>
      <c r="C20" s="60" t="s">
        <v>2986</v>
      </c>
      <c r="D20" s="60" t="s">
        <v>2987</v>
      </c>
      <c r="E20" s="407" t="s">
        <v>2988</v>
      </c>
    </row>
    <row r="21" spans="1:5" ht="18" customHeight="1">
      <c r="A21" s="45">
        <v>0.17599999999999999</v>
      </c>
      <c r="B21" s="45">
        <v>0.17599999999999999</v>
      </c>
      <c r="C21" s="45">
        <v>0.16500000000000001</v>
      </c>
      <c r="D21" s="45">
        <v>0.16500000000000001</v>
      </c>
      <c r="E21" s="45">
        <v>0.16500000000000001</v>
      </c>
    </row>
    <row r="22" spans="1:5" ht="18.95" customHeight="1">
      <c r="A22" s="4"/>
      <c r="B22" s="4"/>
      <c r="C22" s="4"/>
    </row>
    <row r="23" spans="1:5" ht="20.100000000000001" customHeight="1">
      <c r="A23" s="58" t="s">
        <v>2989</v>
      </c>
      <c r="B23" s="58" t="s">
        <v>2990</v>
      </c>
      <c r="C23" s="60" t="s">
        <v>2991</v>
      </c>
      <c r="D23" s="60" t="s">
        <v>2992</v>
      </c>
    </row>
    <row r="24" spans="1:5" ht="18.75">
      <c r="A24" s="45">
        <v>0.17599999999999999</v>
      </c>
      <c r="B24" s="45">
        <v>0.17599999999999999</v>
      </c>
      <c r="C24" s="45">
        <v>0.16500000000000001</v>
      </c>
      <c r="D24" s="45">
        <v>0.16500000000000001</v>
      </c>
    </row>
    <row r="25" spans="1:5" ht="18.75">
      <c r="A25" s="45"/>
      <c r="B25" s="45"/>
      <c r="C25" s="45"/>
      <c r="D25" s="45"/>
    </row>
    <row r="26" spans="1:5" ht="18.75">
      <c r="A26" s="58" t="s">
        <v>2993</v>
      </c>
      <c r="B26" s="58" t="s">
        <v>2994</v>
      </c>
      <c r="C26" s="45"/>
      <c r="D26" s="45"/>
    </row>
    <row r="27" spans="1:5" ht="18.75">
      <c r="A27" s="45">
        <v>0.17599999999999999</v>
      </c>
      <c r="B27" s="45">
        <v>0.17599999999999999</v>
      </c>
      <c r="C27" s="45"/>
      <c r="D27" s="45"/>
    </row>
    <row r="28" spans="1:5" ht="18.75">
      <c r="A28" s="45"/>
      <c r="B28" s="45"/>
      <c r="C28" s="45"/>
      <c r="D28" s="45"/>
    </row>
    <row r="29" spans="1:5" ht="18.75">
      <c r="A29" s="58" t="s">
        <v>2993</v>
      </c>
      <c r="B29" s="45"/>
      <c r="C29" s="45"/>
      <c r="D29" s="45"/>
    </row>
    <row r="30" spans="1:5" ht="18.75">
      <c r="A30" s="45">
        <v>0.17599999999999999</v>
      </c>
      <c r="B30" s="45"/>
      <c r="C30" s="45"/>
      <c r="D30" s="45"/>
    </row>
    <row r="31" spans="1:5" ht="18" customHeight="1">
      <c r="A31" s="4"/>
      <c r="B31" s="4"/>
      <c r="C31" s="4"/>
    </row>
    <row r="32" spans="1:5" ht="20.100000000000001" customHeight="1">
      <c r="A32" s="59" t="s">
        <v>2995</v>
      </c>
      <c r="B32" s="59" t="s">
        <v>2996</v>
      </c>
      <c r="C32" s="59" t="s">
        <v>2997</v>
      </c>
      <c r="D32" s="59" t="s">
        <v>2998</v>
      </c>
      <c r="E32" s="409" t="s">
        <v>2999</v>
      </c>
    </row>
    <row r="33" spans="1:5" ht="18.75">
      <c r="A33" s="45">
        <v>0.17199999999999999</v>
      </c>
      <c r="B33" s="45">
        <v>0.17199999999999999</v>
      </c>
      <c r="C33" s="45">
        <v>0.17199999999999999</v>
      </c>
      <c r="D33" s="45">
        <v>0.17199999999999999</v>
      </c>
      <c r="E33" s="45">
        <v>0.17199999999999999</v>
      </c>
    </row>
    <row r="34" spans="1:5" ht="20.100000000000001" customHeight="1">
      <c r="A34" s="4"/>
      <c r="B34" s="4"/>
    </row>
    <row r="35" spans="1:5" ht="20.100000000000001" customHeight="1">
      <c r="A35" s="59" t="s">
        <v>3000</v>
      </c>
      <c r="B35" s="59" t="s">
        <v>3001</v>
      </c>
      <c r="C35" s="59" t="s">
        <v>3002</v>
      </c>
      <c r="D35" s="59" t="s">
        <v>3003</v>
      </c>
    </row>
    <row r="36" spans="1:5" ht="18.75">
      <c r="A36" s="45">
        <v>0.17199999999999999</v>
      </c>
      <c r="B36" s="45">
        <v>0.17199999999999999</v>
      </c>
      <c r="C36" s="45">
        <v>0.17199999999999999</v>
      </c>
      <c r="D36" s="45">
        <v>0.17199999999999999</v>
      </c>
    </row>
    <row r="37" spans="1:5" ht="15.95" customHeight="1">
      <c r="B37" s="4"/>
      <c r="C37" s="7"/>
      <c r="D37" s="7"/>
    </row>
    <row r="38" spans="1:5" ht="20.100000000000001" customHeight="1">
      <c r="A38" s="61" t="s">
        <v>3004</v>
      </c>
      <c r="B38" s="61" t="s">
        <v>3005</v>
      </c>
      <c r="C38" s="291" t="s">
        <v>3006</v>
      </c>
      <c r="D38" s="291" t="s">
        <v>3007</v>
      </c>
      <c r="E38" s="410" t="s">
        <v>3008</v>
      </c>
    </row>
    <row r="39" spans="1:5" ht="20.100000000000001" customHeight="1">
      <c r="A39" s="45">
        <v>0.17199999999999999</v>
      </c>
      <c r="B39" s="45">
        <v>0.17199999999999999</v>
      </c>
      <c r="C39" s="50">
        <v>0.17199999999999999</v>
      </c>
      <c r="D39" s="50">
        <v>0.17199999999999999</v>
      </c>
      <c r="E39" s="50">
        <v>0.17199999999999999</v>
      </c>
    </row>
    <row r="40" spans="1:5" ht="18.95" customHeight="1">
      <c r="A40" s="4"/>
      <c r="B40" s="4"/>
    </row>
    <row r="41" spans="1:5" ht="20.100000000000001" customHeight="1">
      <c r="A41" s="61" t="s">
        <v>3009</v>
      </c>
      <c r="B41" s="61" t="s">
        <v>3010</v>
      </c>
      <c r="C41" s="291" t="s">
        <v>3011</v>
      </c>
      <c r="D41" s="291" t="s">
        <v>3012</v>
      </c>
      <c r="E41" s="61" t="s">
        <v>3013</v>
      </c>
    </row>
    <row r="42" spans="1:5" ht="20.100000000000001" customHeight="1">
      <c r="A42" s="45">
        <v>0.17199999999999999</v>
      </c>
      <c r="B42" s="45">
        <v>0.17199999999999999</v>
      </c>
      <c r="C42" s="45">
        <v>0.17199999999999999</v>
      </c>
      <c r="D42" s="45">
        <v>0.17199999999999999</v>
      </c>
      <c r="E42" s="45">
        <v>0.17199999999999999</v>
      </c>
    </row>
    <row r="43" spans="1:5" ht="18" customHeight="1">
      <c r="B43" s="4"/>
      <c r="C43" s="4"/>
    </row>
    <row r="44" spans="1:5" ht="20.100000000000001" customHeight="1">
      <c r="A44" s="67" t="s">
        <v>3014</v>
      </c>
      <c r="B44" s="64" t="s">
        <v>3015</v>
      </c>
      <c r="C44" s="64" t="s">
        <v>3016</v>
      </c>
      <c r="D44" s="411" t="s">
        <v>3017</v>
      </c>
    </row>
    <row r="45" spans="1:5" ht="20.100000000000001" customHeight="1">
      <c r="A45" s="45">
        <v>0.1065</v>
      </c>
      <c r="B45" s="45">
        <v>0.1065</v>
      </c>
      <c r="C45" s="45">
        <v>0.1065</v>
      </c>
      <c r="D45" s="45">
        <v>0.1065</v>
      </c>
    </row>
    <row r="46" spans="1:5" ht="17.100000000000001" customHeight="1">
      <c r="B46" s="4"/>
      <c r="C46" s="4"/>
    </row>
    <row r="47" spans="1:5" ht="20.100000000000001" customHeight="1">
      <c r="A47" s="68" t="s">
        <v>3018</v>
      </c>
      <c r="B47" s="65" t="s">
        <v>3019</v>
      </c>
      <c r="C47" s="65" t="s">
        <v>3020</v>
      </c>
    </row>
    <row r="48" spans="1:5" ht="20.100000000000001" customHeight="1">
      <c r="A48" s="45">
        <v>0.1065</v>
      </c>
      <c r="B48" s="45">
        <v>0.1065</v>
      </c>
      <c r="C48" s="45">
        <v>0.1065</v>
      </c>
    </row>
    <row r="49" spans="1:6" ht="17.100000000000001" customHeight="1">
      <c r="B49" s="4"/>
      <c r="C49" s="4"/>
    </row>
    <row r="50" spans="1:6" ht="20.100000000000001" customHeight="1">
      <c r="A50" s="62" t="s">
        <v>3021</v>
      </c>
      <c r="B50" s="63" t="s">
        <v>3022</v>
      </c>
      <c r="C50" s="7" t="s">
        <v>3023</v>
      </c>
      <c r="D50" s="7" t="s">
        <v>3024</v>
      </c>
    </row>
    <row r="51" spans="1:6" ht="18.75">
      <c r="A51" s="8">
        <v>0.09</v>
      </c>
      <c r="B51" s="8">
        <v>0.15</v>
      </c>
      <c r="C51" s="8">
        <v>0</v>
      </c>
      <c r="D51" s="8">
        <v>0.05</v>
      </c>
    </row>
    <row r="52" spans="1:6" ht="18.75">
      <c r="A52" s="8"/>
      <c r="B52" s="8"/>
      <c r="C52" s="8"/>
      <c r="D52" s="8"/>
    </row>
    <row r="53" spans="1:6" ht="18.75">
      <c r="A53" s="8"/>
      <c r="B53" s="63" t="s">
        <v>3022</v>
      </c>
      <c r="C53" s="66" t="s">
        <v>3025</v>
      </c>
      <c r="D53" s="66" t="s">
        <v>3026</v>
      </c>
    </row>
    <row r="54" spans="1:6" ht="18.75">
      <c r="A54" s="8"/>
      <c r="B54" s="8">
        <v>0.11</v>
      </c>
      <c r="C54" s="8">
        <v>0.02</v>
      </c>
      <c r="D54" s="8">
        <v>0.02</v>
      </c>
    </row>
    <row r="55" spans="1:6" ht="18.75">
      <c r="A55" s="4"/>
      <c r="B55" s="8"/>
      <c r="C55" s="8"/>
      <c r="D55" s="8"/>
    </row>
    <row r="56" spans="1:6" ht="21.95" customHeight="1">
      <c r="A56" s="3" t="s">
        <v>3027</v>
      </c>
      <c r="B56" s="4"/>
      <c r="C56" s="4"/>
    </row>
    <row r="57" spans="1:6" ht="20.100000000000001" customHeight="1">
      <c r="A57" s="8">
        <v>0.1</v>
      </c>
      <c r="B57" s="3" t="s">
        <v>3028</v>
      </c>
      <c r="C57" s="7" t="s">
        <v>3029</v>
      </c>
      <c r="D57" s="7" t="s">
        <v>3030</v>
      </c>
    </row>
    <row r="58" spans="1:6" ht="18.75">
      <c r="A58" s="4"/>
      <c r="B58" s="8">
        <v>0.1</v>
      </c>
      <c r="C58" s="8">
        <v>0.02</v>
      </c>
      <c r="D58" s="8">
        <v>0.1</v>
      </c>
    </row>
    <row r="59" spans="1:6" ht="24.95" customHeight="1">
      <c r="A59" s="19" t="s">
        <v>3031</v>
      </c>
      <c r="B59" s="131"/>
      <c r="C59" s="131"/>
      <c r="D59" s="132"/>
      <c r="E59" s="132"/>
    </row>
    <row r="60" spans="1:6" ht="26.1" customHeight="1">
      <c r="A60" s="7" t="s">
        <v>3032</v>
      </c>
      <c r="B60" s="20"/>
      <c r="C60" s="20"/>
      <c r="D60" s="20"/>
      <c r="E60" s="20"/>
      <c r="F60" s="20"/>
    </row>
    <row r="61" spans="1:6" ht="20.100000000000001" customHeight="1">
      <c r="A61" s="4">
        <v>0.2</v>
      </c>
      <c r="B61" s="6" t="s">
        <v>3033</v>
      </c>
      <c r="C61" s="6" t="s">
        <v>3034</v>
      </c>
      <c r="D61" s="7" t="s">
        <v>3035</v>
      </c>
      <c r="E61" s="7"/>
    </row>
    <row r="62" spans="1:6" ht="18.75">
      <c r="A62" s="4"/>
      <c r="B62" s="4">
        <v>0.1</v>
      </c>
      <c r="C62" s="4">
        <v>0.3</v>
      </c>
      <c r="D62" s="4">
        <v>0.32</v>
      </c>
      <c r="E62" s="4"/>
    </row>
    <row r="63" spans="1:6" ht="17.100000000000001" customHeight="1">
      <c r="A63" s="7" t="s">
        <v>3036</v>
      </c>
      <c r="B63" s="4"/>
      <c r="C63" s="4"/>
    </row>
    <row r="64" spans="1:6" ht="20.100000000000001" customHeight="1">
      <c r="A64" s="4">
        <v>0.2</v>
      </c>
      <c r="B64" s="6" t="s">
        <v>3037</v>
      </c>
      <c r="C64" s="7" t="s">
        <v>3038</v>
      </c>
      <c r="D64" s="7" t="s">
        <v>3039</v>
      </c>
      <c r="E64" s="7" t="s">
        <v>3040</v>
      </c>
    </row>
    <row r="65" spans="1:5" ht="18.75">
      <c r="A65" s="4"/>
      <c r="B65" s="4">
        <f>rv_30</f>
        <v>0.3</v>
      </c>
      <c r="C65" s="4">
        <v>0.2</v>
      </c>
      <c r="D65" s="4">
        <v>0.2</v>
      </c>
      <c r="E65" s="8">
        <v>0.1</v>
      </c>
    </row>
    <row r="66" spans="1:5" ht="18.95" customHeight="1">
      <c r="A66" s="6" t="s">
        <v>3041</v>
      </c>
      <c r="B66" s="4"/>
      <c r="C66" s="4"/>
    </row>
    <row r="67" spans="1:5" ht="20.100000000000001" customHeight="1">
      <c r="A67" s="4">
        <v>0.03</v>
      </c>
      <c r="B67" s="6" t="s">
        <v>3042</v>
      </c>
      <c r="C67" s="6" t="s">
        <v>3043</v>
      </c>
      <c r="D67" s="7" t="s">
        <v>3044</v>
      </c>
      <c r="E67" s="7" t="s">
        <v>3045</v>
      </c>
    </row>
    <row r="68" spans="1:5" ht="18.75">
      <c r="A68" s="4"/>
      <c r="B68" s="4">
        <v>7.0000000000000007E-2</v>
      </c>
      <c r="C68" s="4">
        <v>0.2</v>
      </c>
      <c r="D68" s="50">
        <v>0.11600000000000001</v>
      </c>
      <c r="E68" s="4">
        <v>0.2</v>
      </c>
    </row>
    <row r="69" spans="1:5" ht="18.95" customHeight="1">
      <c r="A69" s="7"/>
      <c r="B69" s="4"/>
      <c r="C69" s="4"/>
    </row>
    <row r="70" spans="1:5" ht="18.75">
      <c r="A70" s="50"/>
    </row>
    <row r="81" spans="2:3" ht="15.75">
      <c r="B81" s="5"/>
      <c r="C81" s="5"/>
    </row>
  </sheetData>
  <pageMargins left="0.75" right="0.75" top="1" bottom="1" header="0.5" footer="0.5"/>
  <pageSetup paperSize="9" orientation="portrait" horizontalDpi="0" verticalDpi="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89A52A53F3234F85BE67209CF79A5F" ma:contentTypeVersion="25" ma:contentTypeDescription="Crée un document." ma:contentTypeScope="" ma:versionID="0eb4a43047f1f94720ae67020ecdab1a">
  <xsd:schema xmlns:xsd="http://www.w3.org/2001/XMLSchema" xmlns:xs="http://www.w3.org/2001/XMLSchema" xmlns:p="http://schemas.microsoft.com/office/2006/metadata/properties" xmlns:ns2="210df9dd-0b4e-4ef9-b5fb-77d5280d969d" xmlns:ns3="8e90354a-00cd-4c2c-933c-cac8cad32b0a" targetNamespace="http://schemas.microsoft.com/office/2006/metadata/properties" ma:root="true" ma:fieldsID="5363806146aa587a19a6c03f5aadf66c" ns2:_="" ns3:_="">
    <xsd:import namespace="210df9dd-0b4e-4ef9-b5fb-77d5280d969d"/>
    <xsd:import namespace="8e90354a-00cd-4c2c-933c-cac8cad32b0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DateTaken" minOccurs="0"/>
                <xsd:element ref="ns2:MediaServiceOCR"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Emplacement" minOccurs="0"/>
                <xsd:element ref="ns2:bd9b7302-670e-4919-bf77-1ac25401d607CountryOrRegion" minOccurs="0"/>
                <xsd:element ref="ns2:bd9b7302-670e-4919-bf77-1ac25401d607State" minOccurs="0"/>
                <xsd:element ref="ns2:bd9b7302-670e-4919-bf77-1ac25401d607City" minOccurs="0"/>
                <xsd:element ref="ns2:bd9b7302-670e-4919-bf77-1ac25401d607PostalCode" minOccurs="0"/>
                <xsd:element ref="ns2:bd9b7302-670e-4919-bf77-1ac25401d607Street" minOccurs="0"/>
                <xsd:element ref="ns2:bd9b7302-670e-4919-bf77-1ac25401d607GeoLoc" minOccurs="0"/>
                <xsd:element ref="ns2:bd9b7302-670e-4919-bf77-1ac25401d607DispNam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0df9dd-0b4e-4ef9-b5fb-77d5280d96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Emplacement" ma:index="20" nillable="true" ma:displayName="Emplacement" ma:format="Dropdown" ma:internalName="Emplacement">
      <xsd:simpleType>
        <xsd:restriction base="dms:Unknown"/>
      </xsd:simpleType>
    </xsd:element>
    <xsd:element name="bd9b7302-670e-4919-bf77-1ac25401d607CountryOrRegion" ma:index="21" nillable="true" ma:displayName="Emplacement : Pays/région" ma:internalName="CountryOrRegion" ma:readOnly="true">
      <xsd:simpleType>
        <xsd:restriction base="dms:Text"/>
      </xsd:simpleType>
    </xsd:element>
    <xsd:element name="bd9b7302-670e-4919-bf77-1ac25401d607State" ma:index="22" nillable="true" ma:displayName="Emplacement : État" ma:internalName="State" ma:readOnly="true">
      <xsd:simpleType>
        <xsd:restriction base="dms:Text"/>
      </xsd:simpleType>
    </xsd:element>
    <xsd:element name="bd9b7302-670e-4919-bf77-1ac25401d607City" ma:index="23" nillable="true" ma:displayName="Emplacement : Ville" ma:internalName="City" ma:readOnly="true">
      <xsd:simpleType>
        <xsd:restriction base="dms:Text"/>
      </xsd:simpleType>
    </xsd:element>
    <xsd:element name="bd9b7302-670e-4919-bf77-1ac25401d607PostalCode" ma:index="24" nillable="true" ma:displayName="Emplacement : Code postal" ma:internalName="PostalCode" ma:readOnly="true">
      <xsd:simpleType>
        <xsd:restriction base="dms:Text"/>
      </xsd:simpleType>
    </xsd:element>
    <xsd:element name="bd9b7302-670e-4919-bf77-1ac25401d607Street" ma:index="25" nillable="true" ma:displayName="Emplacement : Rue" ma:internalName="Street" ma:readOnly="true">
      <xsd:simpleType>
        <xsd:restriction base="dms:Text"/>
      </xsd:simpleType>
    </xsd:element>
    <xsd:element name="bd9b7302-670e-4919-bf77-1ac25401d607GeoLoc" ma:index="26" nillable="true" ma:displayName="Emplacement : Coordonnées" ma:internalName="GeoLoc" ma:readOnly="true">
      <xsd:simpleType>
        <xsd:restriction base="dms:Unknown"/>
      </xsd:simpleType>
    </xsd:element>
    <xsd:element name="bd9b7302-670e-4919-bf77-1ac25401d607DispName" ma:index="27" nillable="true" ma:displayName="Emplacement : nom" ma:internalName="DispName"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lcf76f155ced4ddcb4097134ff3c332f" ma:index="30" nillable="true" ma:taxonomy="true" ma:internalName="lcf76f155ced4ddcb4097134ff3c332f" ma:taxonomyFieldName="MediaServiceImageTags" ma:displayName="Balises d’images" ma:readOnly="false" ma:fieldId="{5cf76f15-5ced-4ddc-b409-7134ff3c332f}" ma:taxonomyMulti="true" ma:sspId="1c231c07-13ef-4248-ad8d-20f1e992be1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e90354a-00cd-4c2c-933c-cac8cad32b0a"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31" nillable="true" ma:displayName="Taxonomy Catch All Column" ma:hidden="true" ma:list="{23cd64ed-2bb7-42bf-ba36-95d578685819}" ma:internalName="TaxCatchAll" ma:showField="CatchAllData" ma:web="8e90354a-00cd-4c2c-933c-cac8cad32b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mplacement xmlns="210df9dd-0b4e-4ef9-b5fb-77d5280d969d" xsi:nil="true"/>
    <TaxCatchAll xmlns="8e90354a-00cd-4c2c-933c-cac8cad32b0a" xsi:nil="true"/>
    <lcf76f155ced4ddcb4097134ff3c332f xmlns="210df9dd-0b4e-4ef9-b5fb-77d5280d969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2D36D1-902B-4316-8819-D6037BAA43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0df9dd-0b4e-4ef9-b5fb-77d5280d969d"/>
    <ds:schemaRef ds:uri="8e90354a-00cd-4c2c-933c-cac8cad32b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F1A09F-3AA7-4413-8361-9AED901734C1}">
  <ds:schemaRefs>
    <ds:schemaRef ds:uri="http://schemas.microsoft.com/sharepoint/v3/contenttype/forms"/>
  </ds:schemaRefs>
</ds:datastoreItem>
</file>

<file path=customXml/itemProps3.xml><?xml version="1.0" encoding="utf-8"?>
<ds:datastoreItem xmlns:ds="http://schemas.openxmlformats.org/officeDocument/2006/customXml" ds:itemID="{3FC082FA-0222-4AB4-905C-A7DC1EEBD5F7}">
  <ds:schemaRefs>
    <ds:schemaRef ds:uri="http://purl.org/dc/dcmitype/"/>
    <ds:schemaRef ds:uri="http://schemas.microsoft.com/office/2006/documentManagement/types"/>
    <ds:schemaRef ds:uri="210df9dd-0b4e-4ef9-b5fb-77d5280d969d"/>
    <ds:schemaRef ds:uri="8e90354a-00cd-4c2c-933c-cac8cad32b0a"/>
    <ds:schemaRef ds:uri="http://schemas.microsoft.com/office/infopath/2007/PartnerControls"/>
    <ds:schemaRef ds:uri="http://purl.org/dc/elements/1.1/"/>
    <ds:schemaRef ds:uri="http://www.w3.org/XML/1998/namespace"/>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94</vt:i4>
      </vt:variant>
    </vt:vector>
  </HeadingPairs>
  <TitlesOfParts>
    <vt:vector size="101" baseType="lpstr">
      <vt:lpstr>1 - Page de garde</vt:lpstr>
      <vt:lpstr>2 - Tarif normalisé n°7 Lot 5</vt:lpstr>
      <vt:lpstr>3 - Accessoires et logiciels</vt:lpstr>
      <vt:lpstr>4 - Services</vt:lpstr>
      <vt:lpstr>5 - Location</vt:lpstr>
      <vt:lpstr>6 - Services DROM-COM</vt:lpstr>
      <vt:lpstr>Récapitulatif remises</vt:lpstr>
      <vt:lpstr>im24_5pl</vt:lpstr>
      <vt:lpstr>ip_5pl</vt:lpstr>
      <vt:lpstr>ipa_5pl</vt:lpstr>
      <vt:lpstr>ipm_5pl</vt:lpstr>
      <vt:lpstr>mba_5pl</vt:lpstr>
      <vt:lpstr>mba13_5pl</vt:lpstr>
      <vt:lpstr>mbp13_5pl</vt:lpstr>
      <vt:lpstr>mbp14_5pl</vt:lpstr>
      <vt:lpstr>mbp16_5pl</vt:lpstr>
      <vt:lpstr>mm_5pl</vt:lpstr>
      <vt:lpstr>mp_5pl</vt:lpstr>
      <vt:lpstr>ms_5pl</vt:lpstr>
      <vt:lpstr>rv_10</vt:lpstr>
      <vt:lpstr>rv_20</vt:lpstr>
      <vt:lpstr>rv_3</vt:lpstr>
      <vt:lpstr>rv_30</vt:lpstr>
      <vt:lpstr>rv_32</vt:lpstr>
      <vt:lpstr>rv_7</vt:lpstr>
      <vt:lpstr>rv_app</vt:lpstr>
      <vt:lpstr>rv_app_im24</vt:lpstr>
      <vt:lpstr>rv_app_ipad</vt:lpstr>
      <vt:lpstr>rv_app_mba</vt:lpstr>
      <vt:lpstr>rv_app_mbp13</vt:lpstr>
      <vt:lpstr>rv_app_mbp14</vt:lpstr>
      <vt:lpstr>rv_app_mbp16</vt:lpstr>
      <vt:lpstr>rv_app_mm</vt:lpstr>
      <vt:lpstr>rv_app_mp</vt:lpstr>
      <vt:lpstr>rv_app_ms</vt:lpstr>
      <vt:lpstr>rv_apple_acc_ipad</vt:lpstr>
      <vt:lpstr>rv_apple_acc_mac</vt:lpstr>
      <vt:lpstr>rv_apple_acc_mac_15</vt:lpstr>
      <vt:lpstr>rv_apple_acc_nocrt</vt:lpstr>
      <vt:lpstr>rv_apple_acc_nodac</vt:lpstr>
      <vt:lpstr>rv_apple_moniteur</vt:lpstr>
      <vt:lpstr>rv_applecare</vt:lpstr>
      <vt:lpstr>rv_atv</vt:lpstr>
      <vt:lpstr>rv_cvmp</vt:lpstr>
      <vt:lpstr>rv_iiyama</vt:lpstr>
      <vt:lpstr>rv_im21_eg</vt:lpstr>
      <vt:lpstr>rv_im21_eg_cto</vt:lpstr>
      <vt:lpstr>rv_im21_hg</vt:lpstr>
      <vt:lpstr>rv_im21_hg_cto</vt:lpstr>
      <vt:lpstr>rv_im27_eg</vt:lpstr>
      <vt:lpstr>rv_im27_eg_cto</vt:lpstr>
      <vt:lpstr>rv_im27_hg</vt:lpstr>
      <vt:lpstr>rv_im27_hg_cto</vt:lpstr>
      <vt:lpstr>rv_imp</vt:lpstr>
      <vt:lpstr>rv_imp_cto</vt:lpstr>
      <vt:lpstr>rv_ip97_eg</vt:lpstr>
      <vt:lpstr>rv_ip97_hg</vt:lpstr>
      <vt:lpstr>rv_ipm</vt:lpstr>
      <vt:lpstr>rv_ipp105</vt:lpstr>
      <vt:lpstr>rv_ipp11</vt:lpstr>
      <vt:lpstr>rv_ipp12</vt:lpstr>
      <vt:lpstr>rv_jamf</vt:lpstr>
      <vt:lpstr>rv_log_apple_vol</vt:lpstr>
      <vt:lpstr>rv_mba_eg</vt:lpstr>
      <vt:lpstr>rv_mba_eg_cto</vt:lpstr>
      <vt:lpstr>rv_mba_hg</vt:lpstr>
      <vt:lpstr>rv_mba_hg_cto</vt:lpstr>
      <vt:lpstr>rv_mba_mg</vt:lpstr>
      <vt:lpstr>rv_mba_mg_cto</vt:lpstr>
      <vt:lpstr>rv_mbp13_eg</vt:lpstr>
      <vt:lpstr>rv_mbp13_eg_cto</vt:lpstr>
      <vt:lpstr>rv_mbp13_hg</vt:lpstr>
      <vt:lpstr>rv_mbp13_hg_cto</vt:lpstr>
      <vt:lpstr>rv_mbp13t</vt:lpstr>
      <vt:lpstr>rv_mbp13t_cto</vt:lpstr>
      <vt:lpstr>rv_mbp14_eg</vt:lpstr>
      <vt:lpstr>rv_mbp14_eg_cto</vt:lpstr>
      <vt:lpstr>rv_mbp14_hg</vt:lpstr>
      <vt:lpstr>rv_mbp14_hg_cto</vt:lpstr>
      <vt:lpstr>rv_mbp16_eg</vt:lpstr>
      <vt:lpstr>rv_mbp16_eg_cto</vt:lpstr>
      <vt:lpstr>rv_mbp16_hg</vt:lpstr>
      <vt:lpstr>rv_mbp16_hg_cto</vt:lpstr>
      <vt:lpstr>rv_mbp16_mg</vt:lpstr>
      <vt:lpstr>rv_mbp16_mg_cto</vt:lpstr>
      <vt:lpstr>rv_mm_eg</vt:lpstr>
      <vt:lpstr>rv_mm_eg_cto</vt:lpstr>
      <vt:lpstr>rv_mm_hg</vt:lpstr>
      <vt:lpstr>rv_mm_hg_cto</vt:lpstr>
      <vt:lpstr>rv_moniteur</vt:lpstr>
      <vt:lpstr>rv_mp_eg</vt:lpstr>
      <vt:lpstr>rv_mp_eg_cto</vt:lpstr>
      <vt:lpstr>rv_ms_eg</vt:lpstr>
      <vt:lpstr>rv_ms_eg_cto</vt:lpstr>
      <vt:lpstr>rv_ms_hg</vt:lpstr>
      <vt:lpstr>rv_ms_hg_cto</vt:lpstr>
      <vt:lpstr>rv_pencil</vt:lpstr>
      <vt:lpstr>rv_pencil_2</vt:lpstr>
      <vt:lpstr>rv_philips</vt:lpstr>
      <vt:lpstr>rv_samsung</vt:lpstr>
      <vt:lpstr>rv_stockage</vt:lpstr>
    </vt:vector>
  </TitlesOfParts>
  <Manager/>
  <Company>France Systèmes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Hervé Mainguet</dc:creator>
  <cp:keywords/>
  <dc:description/>
  <cp:lastModifiedBy>DEMAZY Odile</cp:lastModifiedBy>
  <cp:revision/>
  <dcterms:created xsi:type="dcterms:W3CDTF">1999-02-15T11:54:48Z</dcterms:created>
  <dcterms:modified xsi:type="dcterms:W3CDTF">2023-02-16T11:21:55Z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0x0101001D89A52A53F3234F85BE67209CF79A5F</vt:lpwstr>
  </property>
  <property fmtid="{D5CDD505-2E9C-101B-9397-08002B2CF9AE}" pid="3" name="MediaServiceImageTags">
    <vt:lpwstr/>
  </property>
</Properties>
</file>