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Y:\1-Marchés-contrat IMT\Marchés 2021\21 IMT 066 à 070 M - Matinfo 5 (AMUE)\Matinfo 5\21 IMT 068 MS - Lot 3 Stations de travail fixes et portables et leurs extensions\BPU\"/>
    </mc:Choice>
  </mc:AlternateContent>
  <xr:revisionPtr revIDLastSave="0" documentId="8_{FBB9FDA2-BB27-40E7-BE9D-5DDF0299253C}" xr6:coauthVersionLast="47" xr6:coauthVersionMax="47" xr10:uidLastSave="{00000000-0000-0000-0000-000000000000}"/>
  <bookViews>
    <workbookView xWindow="-110" yWindow="-110" windowWidth="19420" windowHeight="10560" activeTab="1" xr2:uid="{00000000-000D-0000-FFFF-FFFF00000000}"/>
  </bookViews>
  <sheets>
    <sheet name="Résumé" sheetId="1" r:id="rId1"/>
    <sheet name="BPU Lot 3" sheetId="2" r:id="rId2"/>
    <sheet name="BPU Lot 3 Location" sheetId="14" r:id="rId3"/>
    <sheet name="Extensions Lot 3" sheetId="3" r:id="rId4"/>
    <sheet name="Extensions Lot 3 Location" sheetId="15" r:id="rId5"/>
    <sheet name="Maintien parc existant Dell" sheetId="4" r:id="rId6"/>
    <sheet name="Prix upsells V10" sheetId="13" state="hidden" r:id="rId7"/>
  </sheets>
  <definedNames>
    <definedName name="_xlnm._FilterDatabase" localSheetId="1" hidden="1">'BPU Lot 3'!#REF!</definedName>
    <definedName name="_xlnm._FilterDatabase" localSheetId="2" hidden="1">'BPU Lot 3 Location'!#REF!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15" l="1"/>
  <c r="H8" i="15"/>
  <c r="I8" i="15"/>
  <c r="H9" i="15"/>
  <c r="I9" i="15"/>
  <c r="H10" i="15"/>
  <c r="I10" i="15"/>
  <c r="H11" i="15"/>
  <c r="I11" i="15"/>
  <c r="H12" i="15"/>
  <c r="I12" i="15"/>
  <c r="H13" i="15"/>
  <c r="I13" i="15"/>
  <c r="H14" i="15"/>
  <c r="I14" i="15"/>
  <c r="H15" i="15"/>
  <c r="H16" i="15"/>
  <c r="I16" i="15"/>
  <c r="H17" i="15"/>
  <c r="I17" i="15"/>
  <c r="H18" i="15"/>
  <c r="I18" i="15"/>
  <c r="H19" i="15"/>
  <c r="I19" i="15"/>
  <c r="H20" i="15"/>
  <c r="I20" i="15"/>
  <c r="H21" i="15"/>
  <c r="I21" i="15"/>
  <c r="H22" i="15"/>
  <c r="I22" i="15"/>
  <c r="H23" i="15"/>
  <c r="I23" i="15"/>
  <c r="H24" i="15"/>
  <c r="I24" i="15"/>
  <c r="H25" i="15"/>
  <c r="I25" i="15"/>
  <c r="H26" i="15"/>
  <c r="I26" i="15"/>
  <c r="H27" i="15"/>
  <c r="I27" i="15"/>
  <c r="H28" i="15"/>
  <c r="I28" i="15"/>
  <c r="H29" i="15"/>
  <c r="I29" i="15"/>
  <c r="H30" i="15"/>
  <c r="I30" i="15"/>
  <c r="H31" i="15"/>
  <c r="I31" i="15"/>
  <c r="H32" i="15"/>
  <c r="I32" i="15"/>
  <c r="H33" i="15"/>
  <c r="I33" i="15"/>
  <c r="H34" i="15"/>
  <c r="I34" i="15"/>
  <c r="H35" i="15"/>
  <c r="I35" i="15"/>
  <c r="H36" i="15"/>
  <c r="I36" i="15"/>
  <c r="H37" i="15"/>
  <c r="I37" i="15"/>
  <c r="H38" i="15"/>
  <c r="I38" i="15"/>
  <c r="H39" i="15"/>
  <c r="I39" i="15"/>
  <c r="H40" i="15"/>
  <c r="I40" i="15"/>
  <c r="H41" i="15"/>
  <c r="I41" i="15"/>
  <c r="H42" i="15"/>
  <c r="I42" i="15"/>
  <c r="H43" i="15"/>
  <c r="I43" i="15"/>
  <c r="H44" i="15"/>
  <c r="I44" i="15"/>
  <c r="H45" i="15"/>
  <c r="I45" i="15"/>
  <c r="H46" i="15"/>
  <c r="I46" i="15"/>
  <c r="H47" i="15"/>
  <c r="I47" i="15"/>
  <c r="H48" i="15"/>
  <c r="I48" i="15"/>
  <c r="H49" i="15"/>
  <c r="I49" i="15"/>
  <c r="H50" i="15"/>
  <c r="I50" i="15"/>
  <c r="H51" i="15"/>
  <c r="I51" i="15"/>
  <c r="H52" i="15"/>
  <c r="I52" i="15"/>
  <c r="H53" i="15"/>
  <c r="I53" i="15"/>
  <c r="H54" i="15"/>
  <c r="I54" i="15"/>
  <c r="H55" i="15"/>
  <c r="I55" i="15"/>
  <c r="H56" i="15"/>
  <c r="I56" i="15"/>
  <c r="H57" i="15"/>
  <c r="I57" i="15"/>
  <c r="H58" i="15"/>
  <c r="I58" i="15"/>
  <c r="H59" i="15"/>
  <c r="I59" i="15"/>
  <c r="H60" i="15"/>
  <c r="I60" i="15"/>
  <c r="H61" i="15"/>
  <c r="I61" i="15"/>
  <c r="H62" i="15"/>
  <c r="I62" i="15"/>
  <c r="H63" i="15"/>
  <c r="I63" i="15"/>
  <c r="H64" i="15"/>
  <c r="I64" i="15"/>
  <c r="H65" i="15"/>
  <c r="I65" i="15"/>
  <c r="H66" i="15"/>
  <c r="I66" i="15"/>
  <c r="H67" i="15"/>
  <c r="I67" i="15"/>
  <c r="H68" i="15"/>
  <c r="I68" i="15"/>
  <c r="H69" i="15"/>
  <c r="I69" i="15"/>
  <c r="H70" i="15"/>
  <c r="I70" i="15"/>
  <c r="H71" i="15"/>
  <c r="I71" i="15"/>
  <c r="H72" i="15"/>
  <c r="I72" i="15"/>
  <c r="H73" i="15"/>
  <c r="I73" i="15"/>
  <c r="H74" i="15"/>
  <c r="I74" i="15"/>
  <c r="H75" i="15"/>
  <c r="I75" i="15"/>
  <c r="H76" i="15"/>
  <c r="I76" i="15"/>
  <c r="H77" i="15"/>
  <c r="I77" i="15"/>
  <c r="H78" i="15"/>
  <c r="I78" i="15"/>
  <c r="H79" i="15"/>
  <c r="I79" i="15"/>
  <c r="H80" i="15"/>
  <c r="I80" i="15"/>
  <c r="H81" i="15"/>
  <c r="I81" i="15"/>
  <c r="H82" i="15"/>
  <c r="I82" i="15"/>
  <c r="H83" i="15"/>
  <c r="I83" i="15"/>
  <c r="H84" i="15"/>
  <c r="I84" i="15"/>
  <c r="H85" i="15"/>
  <c r="I85" i="15"/>
  <c r="H86" i="15"/>
  <c r="I86" i="15"/>
  <c r="H87" i="15"/>
  <c r="I87" i="15"/>
  <c r="H88" i="15"/>
  <c r="I88" i="15"/>
  <c r="H89" i="15"/>
  <c r="I89" i="15"/>
  <c r="H90" i="15"/>
  <c r="I90" i="15"/>
  <c r="H91" i="15"/>
  <c r="I91" i="15"/>
  <c r="H92" i="15"/>
  <c r="I92" i="15"/>
  <c r="H93" i="15"/>
  <c r="I93" i="15"/>
  <c r="H94" i="15"/>
  <c r="I94" i="15"/>
  <c r="H95" i="15"/>
  <c r="I95" i="15"/>
  <c r="H96" i="15"/>
  <c r="I96" i="15"/>
  <c r="H97" i="15"/>
  <c r="I97" i="15"/>
  <c r="H98" i="15"/>
  <c r="I98" i="15"/>
  <c r="H99" i="15"/>
  <c r="I99" i="15"/>
  <c r="H100" i="15"/>
  <c r="I100" i="15"/>
  <c r="H101" i="15"/>
  <c r="I101" i="15"/>
  <c r="H102" i="15"/>
  <c r="I102" i="15"/>
  <c r="H103" i="15"/>
  <c r="I103" i="15"/>
  <c r="H104" i="15"/>
  <c r="I104" i="15"/>
  <c r="H105" i="15"/>
  <c r="I105" i="15"/>
  <c r="H106" i="15"/>
  <c r="I106" i="15"/>
  <c r="H107" i="15"/>
  <c r="I107" i="15"/>
  <c r="H108" i="15"/>
  <c r="I108" i="15"/>
  <c r="H109" i="15"/>
  <c r="I109" i="15"/>
  <c r="H110" i="15"/>
  <c r="I110" i="15"/>
  <c r="H111" i="15"/>
  <c r="I111" i="15"/>
  <c r="H112" i="15"/>
  <c r="I112" i="15"/>
  <c r="H113" i="15"/>
  <c r="I113" i="15"/>
  <c r="H114" i="15"/>
  <c r="I114" i="15"/>
  <c r="H115" i="15"/>
  <c r="I115" i="15"/>
  <c r="H116" i="15"/>
  <c r="I116" i="15"/>
  <c r="H117" i="15"/>
  <c r="I117" i="15"/>
  <c r="H118" i="15"/>
  <c r="I118" i="15"/>
  <c r="H119" i="15"/>
  <c r="I119" i="15"/>
  <c r="H120" i="15"/>
  <c r="I120" i="15"/>
  <c r="H121" i="15"/>
  <c r="I121" i="15"/>
  <c r="H122" i="15"/>
  <c r="I122" i="15"/>
  <c r="H123" i="15"/>
  <c r="I123" i="15"/>
  <c r="H124" i="15"/>
  <c r="I124" i="15"/>
  <c r="H125" i="15"/>
  <c r="I125" i="15"/>
  <c r="H126" i="15"/>
  <c r="I126" i="15"/>
  <c r="H127" i="15"/>
  <c r="I127" i="15"/>
  <c r="H128" i="15"/>
  <c r="I128" i="15"/>
  <c r="H129" i="15"/>
  <c r="I129" i="15"/>
  <c r="H130" i="15"/>
  <c r="I130" i="15"/>
  <c r="H131" i="15"/>
  <c r="I131" i="15"/>
  <c r="H132" i="15"/>
  <c r="I132" i="15"/>
  <c r="H133" i="15"/>
  <c r="I133" i="15"/>
  <c r="H134" i="15"/>
  <c r="I134" i="15"/>
  <c r="H135" i="15"/>
  <c r="I135" i="15"/>
  <c r="H136" i="15"/>
  <c r="I136" i="15"/>
  <c r="H137" i="15"/>
  <c r="I137" i="15"/>
  <c r="H138" i="15"/>
  <c r="I138" i="15"/>
  <c r="H139" i="15"/>
  <c r="I139" i="15"/>
  <c r="H140" i="15"/>
  <c r="I140" i="15"/>
  <c r="H141" i="15"/>
  <c r="I141" i="15"/>
  <c r="H142" i="15"/>
  <c r="I142" i="15"/>
  <c r="H143" i="15"/>
  <c r="I143" i="15"/>
  <c r="H144" i="15"/>
  <c r="I144" i="15"/>
  <c r="H145" i="15"/>
  <c r="I145" i="15"/>
  <c r="H146" i="15"/>
  <c r="I146" i="15"/>
  <c r="H147" i="15"/>
  <c r="I147" i="15"/>
  <c r="H148" i="15"/>
  <c r="I148" i="15"/>
  <c r="H149" i="15"/>
  <c r="I149" i="15"/>
  <c r="H150" i="15"/>
  <c r="I150" i="15"/>
  <c r="H151" i="15"/>
  <c r="I151" i="15"/>
  <c r="H152" i="15"/>
  <c r="I152" i="15"/>
  <c r="H153" i="15"/>
  <c r="I153" i="15"/>
  <c r="H154" i="15"/>
  <c r="I154" i="15"/>
  <c r="H155" i="15"/>
  <c r="I155" i="15"/>
  <c r="H156" i="15"/>
  <c r="I156" i="15"/>
  <c r="H157" i="15"/>
  <c r="I157" i="15"/>
  <c r="H158" i="15"/>
  <c r="I158" i="15"/>
  <c r="H159" i="15"/>
  <c r="I159" i="15"/>
  <c r="H160" i="15"/>
  <c r="I160" i="15"/>
  <c r="H161" i="15"/>
  <c r="I161" i="15"/>
  <c r="H162" i="15"/>
  <c r="I162" i="15"/>
  <c r="H163" i="15"/>
  <c r="I163" i="15"/>
  <c r="H164" i="15"/>
  <c r="I164" i="15"/>
  <c r="H165" i="15"/>
  <c r="I165" i="15"/>
  <c r="H166" i="15"/>
  <c r="I166" i="15"/>
  <c r="H167" i="15"/>
  <c r="I167" i="15"/>
  <c r="H168" i="15"/>
  <c r="I168" i="15"/>
  <c r="H169" i="15"/>
  <c r="I169" i="15"/>
  <c r="H170" i="15"/>
  <c r="I170" i="15"/>
  <c r="H171" i="15"/>
  <c r="I171" i="15"/>
  <c r="H172" i="15"/>
  <c r="I172" i="15"/>
  <c r="H173" i="15"/>
  <c r="I173" i="15"/>
  <c r="H174" i="15"/>
  <c r="I174" i="15"/>
  <c r="H175" i="15"/>
  <c r="I175" i="15"/>
  <c r="H176" i="15"/>
  <c r="I176" i="15"/>
  <c r="H177" i="15"/>
  <c r="I177" i="15"/>
  <c r="H178" i="15"/>
  <c r="I178" i="15"/>
  <c r="H179" i="15"/>
  <c r="I179" i="15"/>
  <c r="H180" i="15"/>
  <c r="I180" i="15"/>
  <c r="H181" i="15"/>
  <c r="I181" i="15"/>
  <c r="H182" i="15"/>
  <c r="I182" i="15"/>
  <c r="H183" i="15"/>
  <c r="I183" i="15"/>
  <c r="H184" i="15"/>
  <c r="I184" i="15"/>
  <c r="H185" i="15"/>
  <c r="I185" i="15"/>
  <c r="H186" i="15"/>
  <c r="I186" i="15"/>
  <c r="H187" i="15"/>
  <c r="I187" i="15"/>
  <c r="H188" i="15"/>
  <c r="I188" i="15"/>
  <c r="H189" i="15"/>
  <c r="I189" i="15"/>
  <c r="H190" i="15"/>
  <c r="I190" i="15"/>
  <c r="H191" i="15"/>
  <c r="I191" i="15"/>
  <c r="H192" i="15"/>
  <c r="I192" i="15"/>
  <c r="H193" i="15"/>
  <c r="I193" i="15"/>
  <c r="H194" i="15"/>
  <c r="I194" i="15"/>
  <c r="H195" i="15"/>
  <c r="I195" i="15"/>
  <c r="H196" i="15"/>
  <c r="I196" i="15"/>
  <c r="H197" i="15"/>
  <c r="I197" i="15"/>
  <c r="H198" i="15"/>
  <c r="I198" i="15"/>
  <c r="H199" i="15"/>
  <c r="I199" i="15"/>
  <c r="H200" i="15"/>
  <c r="I200" i="15"/>
  <c r="H201" i="15"/>
  <c r="I201" i="15"/>
  <c r="H202" i="15"/>
  <c r="I202" i="15"/>
  <c r="H203" i="15"/>
  <c r="I203" i="15"/>
  <c r="H204" i="15"/>
  <c r="I204" i="15"/>
  <c r="H205" i="15"/>
  <c r="I205" i="15"/>
  <c r="H206" i="15"/>
  <c r="I206" i="15"/>
  <c r="H207" i="15"/>
  <c r="I207" i="15"/>
  <c r="H208" i="15"/>
  <c r="I208" i="15"/>
  <c r="H209" i="15"/>
  <c r="I209" i="15"/>
  <c r="H210" i="15"/>
  <c r="I210" i="15"/>
  <c r="H211" i="15"/>
  <c r="I211" i="15"/>
  <c r="H212" i="15"/>
  <c r="I212" i="15"/>
  <c r="H213" i="15"/>
  <c r="I213" i="15"/>
  <c r="H214" i="15"/>
  <c r="I214" i="15"/>
  <c r="H215" i="15"/>
  <c r="I215" i="15"/>
  <c r="H216" i="15"/>
  <c r="I216" i="15"/>
  <c r="H217" i="15"/>
  <c r="I217" i="15"/>
  <c r="H218" i="15"/>
  <c r="I218" i="15"/>
  <c r="H219" i="15"/>
  <c r="I219" i="15"/>
  <c r="H220" i="15"/>
  <c r="I220" i="15"/>
  <c r="H221" i="15"/>
  <c r="I221" i="15"/>
  <c r="H222" i="15"/>
  <c r="I222" i="15"/>
  <c r="H223" i="15"/>
  <c r="I223" i="15"/>
  <c r="H224" i="15"/>
  <c r="I224" i="15"/>
  <c r="H225" i="15"/>
  <c r="I225" i="15"/>
  <c r="H226" i="15"/>
  <c r="I226" i="15"/>
  <c r="H227" i="15"/>
  <c r="I227" i="15"/>
  <c r="H228" i="15"/>
  <c r="I228" i="15"/>
  <c r="H229" i="15"/>
  <c r="I229" i="15"/>
  <c r="H230" i="15"/>
  <c r="I230" i="15"/>
  <c r="H231" i="15"/>
  <c r="I231" i="15"/>
  <c r="H232" i="15"/>
  <c r="I232" i="15"/>
  <c r="H233" i="15"/>
  <c r="I233" i="15"/>
  <c r="H234" i="15"/>
  <c r="I234" i="15"/>
  <c r="H235" i="15"/>
  <c r="I235" i="15"/>
  <c r="H236" i="15"/>
  <c r="I236" i="15"/>
  <c r="H237" i="15"/>
  <c r="I237" i="15"/>
  <c r="H238" i="15"/>
  <c r="I238" i="15"/>
  <c r="H239" i="15"/>
  <c r="I239" i="15"/>
  <c r="H240" i="15"/>
  <c r="I240" i="15"/>
  <c r="H241" i="15"/>
  <c r="I241" i="15"/>
  <c r="H242" i="15"/>
  <c r="I242" i="15"/>
  <c r="H243" i="15"/>
  <c r="I243" i="15"/>
  <c r="H244" i="15"/>
  <c r="I244" i="15"/>
  <c r="H245" i="15"/>
  <c r="I245" i="15"/>
  <c r="H246" i="15"/>
  <c r="I246" i="15"/>
  <c r="H247" i="15"/>
  <c r="I247" i="15"/>
  <c r="H248" i="15"/>
  <c r="I248" i="15"/>
  <c r="H249" i="15"/>
  <c r="I249" i="15"/>
  <c r="H250" i="15"/>
  <c r="I250" i="15"/>
  <c r="H251" i="15"/>
  <c r="I251" i="15"/>
  <c r="H252" i="15"/>
  <c r="I252" i="15"/>
  <c r="H253" i="15"/>
  <c r="I253" i="15"/>
  <c r="H254" i="15"/>
  <c r="I254" i="15"/>
  <c r="H255" i="15"/>
  <c r="I255" i="15"/>
  <c r="H256" i="15"/>
  <c r="I256" i="15"/>
  <c r="H257" i="15"/>
  <c r="I257" i="15"/>
  <c r="H258" i="15"/>
  <c r="I258" i="15"/>
  <c r="H259" i="15"/>
  <c r="I259" i="15"/>
  <c r="H260" i="15"/>
  <c r="I260" i="15"/>
  <c r="H261" i="15"/>
  <c r="I261" i="15"/>
  <c r="H262" i="15"/>
  <c r="I262" i="15"/>
  <c r="H263" i="15"/>
  <c r="I263" i="15"/>
  <c r="H264" i="15"/>
  <c r="I264" i="15"/>
  <c r="H265" i="15"/>
  <c r="I265" i="15"/>
  <c r="H266" i="15"/>
  <c r="I266" i="15"/>
  <c r="H267" i="15"/>
  <c r="I267" i="15"/>
  <c r="H268" i="15"/>
  <c r="I268" i="15"/>
  <c r="H269" i="15"/>
  <c r="I269" i="15"/>
  <c r="H270" i="15"/>
  <c r="I270" i="15"/>
  <c r="H271" i="15"/>
  <c r="I271" i="15"/>
  <c r="H272" i="15"/>
  <c r="I272" i="15"/>
  <c r="H273" i="15"/>
  <c r="I273" i="15"/>
  <c r="H274" i="15"/>
  <c r="I274" i="15"/>
  <c r="H275" i="15"/>
  <c r="I275" i="15"/>
  <c r="H276" i="15"/>
  <c r="I276" i="15"/>
  <c r="H277" i="15"/>
  <c r="I277" i="15"/>
  <c r="H278" i="15"/>
  <c r="I278" i="15"/>
  <c r="H279" i="15"/>
  <c r="I279" i="15"/>
  <c r="H280" i="15"/>
  <c r="I280" i="15"/>
  <c r="H281" i="15"/>
  <c r="I281" i="15"/>
  <c r="H282" i="15"/>
  <c r="I282" i="15"/>
  <c r="H283" i="15"/>
  <c r="I283" i="15"/>
  <c r="H284" i="15"/>
  <c r="I284" i="15"/>
  <c r="H285" i="15"/>
  <c r="I285" i="15"/>
  <c r="H286" i="15"/>
  <c r="I286" i="15"/>
  <c r="H287" i="15"/>
  <c r="I287" i="15"/>
  <c r="H288" i="15"/>
  <c r="I288" i="15"/>
  <c r="H289" i="15"/>
  <c r="I289" i="15"/>
  <c r="H290" i="15"/>
  <c r="I290" i="15"/>
  <c r="H291" i="15"/>
  <c r="I291" i="15"/>
  <c r="H292" i="15"/>
  <c r="I292" i="15"/>
  <c r="H293" i="15"/>
  <c r="I293" i="15"/>
  <c r="H294" i="15"/>
  <c r="I294" i="15"/>
  <c r="H295" i="15"/>
  <c r="I295" i="15"/>
  <c r="H296" i="15"/>
  <c r="I296" i="15"/>
  <c r="H297" i="15"/>
  <c r="I297" i="15"/>
  <c r="H298" i="15"/>
  <c r="I298" i="15"/>
  <c r="H299" i="15"/>
  <c r="I299" i="15"/>
  <c r="H300" i="15"/>
  <c r="I300" i="15"/>
  <c r="H301" i="15"/>
  <c r="I301" i="15"/>
  <c r="H302" i="15"/>
  <c r="I302" i="15"/>
  <c r="H303" i="15"/>
  <c r="I303" i="15"/>
  <c r="H304" i="15"/>
  <c r="I304" i="15"/>
  <c r="H305" i="15"/>
  <c r="I305" i="15"/>
  <c r="H306" i="15"/>
  <c r="I306" i="15"/>
  <c r="H307" i="15"/>
  <c r="I307" i="15"/>
  <c r="H308" i="15"/>
  <c r="I308" i="15"/>
  <c r="H309" i="15"/>
  <c r="I309" i="15"/>
  <c r="H310" i="15"/>
  <c r="I310" i="15"/>
  <c r="H311" i="15"/>
  <c r="I311" i="15"/>
  <c r="H312" i="15"/>
  <c r="I312" i="15"/>
  <c r="H313" i="15"/>
  <c r="I313" i="15"/>
  <c r="H314" i="15"/>
  <c r="I314" i="15"/>
  <c r="H315" i="15"/>
  <c r="I315" i="15"/>
  <c r="H316" i="15"/>
  <c r="I316" i="15"/>
  <c r="H317" i="15"/>
  <c r="I317" i="15"/>
  <c r="H318" i="15"/>
  <c r="I318" i="15"/>
  <c r="H319" i="15"/>
  <c r="I319" i="15"/>
  <c r="H320" i="15"/>
  <c r="I320" i="15"/>
  <c r="H321" i="15"/>
  <c r="I321" i="15"/>
  <c r="H322" i="15"/>
  <c r="I322" i="15"/>
  <c r="H323" i="15"/>
  <c r="I323" i="15"/>
  <c r="H324" i="15"/>
  <c r="I324" i="15"/>
  <c r="H325" i="15"/>
  <c r="I325" i="15"/>
  <c r="H326" i="15"/>
  <c r="I326" i="15"/>
  <c r="H327" i="15"/>
  <c r="I327" i="15"/>
  <c r="H328" i="15"/>
  <c r="I328" i="15"/>
  <c r="H329" i="15"/>
  <c r="I329" i="15"/>
  <c r="H330" i="15"/>
  <c r="I330" i="15"/>
  <c r="H331" i="15"/>
  <c r="I331" i="15"/>
  <c r="H332" i="15"/>
  <c r="I332" i="15"/>
  <c r="H333" i="15"/>
  <c r="I333" i="15"/>
  <c r="H334" i="15"/>
  <c r="I334" i="15"/>
  <c r="H335" i="15"/>
  <c r="I335" i="15"/>
  <c r="H336" i="15"/>
  <c r="I336" i="15"/>
  <c r="H337" i="15"/>
  <c r="I337" i="15"/>
  <c r="H338" i="15"/>
  <c r="I338" i="15"/>
  <c r="H339" i="15"/>
  <c r="I339" i="15"/>
  <c r="H340" i="15"/>
  <c r="I340" i="15"/>
  <c r="H341" i="15"/>
  <c r="I341" i="15"/>
  <c r="H342" i="15"/>
  <c r="I342" i="15"/>
  <c r="H343" i="15"/>
  <c r="I343" i="15"/>
  <c r="H344" i="15"/>
  <c r="I344" i="15"/>
  <c r="H345" i="15"/>
  <c r="I345" i="15"/>
  <c r="H346" i="15"/>
  <c r="I346" i="15"/>
  <c r="H347" i="15"/>
  <c r="I347" i="15"/>
  <c r="H348" i="15"/>
  <c r="I348" i="15"/>
  <c r="H349" i="15"/>
  <c r="I349" i="15"/>
  <c r="H350" i="15"/>
  <c r="I350" i="15"/>
  <c r="H351" i="15"/>
  <c r="I351" i="15"/>
  <c r="H352" i="15"/>
  <c r="I352" i="15"/>
  <c r="H353" i="15"/>
  <c r="I353" i="15"/>
  <c r="H354" i="15"/>
  <c r="I354" i="15"/>
  <c r="H355" i="15"/>
  <c r="I355" i="15"/>
  <c r="H356" i="15"/>
  <c r="I356" i="15"/>
  <c r="H357" i="15"/>
  <c r="I357" i="15"/>
  <c r="H358" i="15"/>
  <c r="I358" i="15"/>
  <c r="H359" i="15"/>
  <c r="I359" i="15"/>
  <c r="H360" i="15"/>
  <c r="I360" i="15"/>
  <c r="H361" i="15"/>
  <c r="I361" i="15"/>
  <c r="H362" i="15"/>
  <c r="I362" i="15"/>
  <c r="H363" i="15"/>
  <c r="I363" i="15"/>
  <c r="H364" i="15"/>
  <c r="I364" i="15"/>
  <c r="H365" i="15"/>
  <c r="I365" i="15"/>
  <c r="H366" i="15"/>
  <c r="I366" i="15"/>
  <c r="H367" i="15"/>
  <c r="I367" i="15"/>
  <c r="H368" i="15"/>
  <c r="I368" i="15"/>
  <c r="H369" i="15"/>
  <c r="I369" i="15"/>
  <c r="H370" i="15"/>
  <c r="I370" i="15"/>
  <c r="H371" i="15"/>
  <c r="I371" i="15"/>
  <c r="H372" i="15"/>
  <c r="I372" i="15"/>
  <c r="H373" i="15"/>
  <c r="I373" i="15"/>
  <c r="H374" i="15"/>
  <c r="I374" i="15"/>
  <c r="H375" i="15"/>
  <c r="I375" i="15"/>
  <c r="H376" i="15"/>
  <c r="I376" i="15"/>
  <c r="H377" i="15"/>
  <c r="I377" i="15"/>
  <c r="H378" i="15"/>
  <c r="I378" i="15"/>
  <c r="H379" i="15"/>
  <c r="I379" i="15"/>
  <c r="H380" i="15"/>
  <c r="I380" i="15"/>
  <c r="H381" i="15"/>
  <c r="I381" i="15"/>
  <c r="H382" i="15"/>
  <c r="I382" i="15"/>
  <c r="H383" i="15"/>
  <c r="I383" i="15"/>
  <c r="H384" i="15"/>
  <c r="I384" i="15"/>
  <c r="H385" i="15"/>
  <c r="I385" i="15"/>
  <c r="H386" i="15"/>
  <c r="I386" i="15"/>
  <c r="H387" i="15"/>
  <c r="I387" i="15"/>
  <c r="H388" i="15"/>
  <c r="I388" i="15"/>
  <c r="H389" i="15"/>
  <c r="I389" i="15"/>
  <c r="H390" i="15"/>
  <c r="I390" i="15"/>
  <c r="H391" i="15"/>
  <c r="I391" i="15"/>
  <c r="H392" i="15"/>
  <c r="I392" i="15"/>
  <c r="H393" i="15"/>
  <c r="I393" i="15"/>
  <c r="H394" i="15"/>
  <c r="I394" i="15"/>
  <c r="H395" i="15"/>
  <c r="I395" i="15"/>
  <c r="H396" i="15"/>
  <c r="I396" i="15"/>
  <c r="H397" i="15"/>
  <c r="I397" i="15"/>
  <c r="H398" i="15"/>
  <c r="I398" i="15"/>
  <c r="H399" i="15"/>
  <c r="I399" i="15"/>
  <c r="H400" i="15"/>
  <c r="I400" i="15"/>
  <c r="H401" i="15"/>
  <c r="I401" i="15"/>
  <c r="H402" i="15"/>
  <c r="I402" i="15"/>
  <c r="H403" i="15"/>
  <c r="I403" i="15"/>
  <c r="H404" i="15"/>
  <c r="I404" i="15"/>
  <c r="H405" i="15"/>
  <c r="I405" i="15"/>
  <c r="H406" i="15"/>
  <c r="I406" i="15"/>
  <c r="H407" i="15"/>
  <c r="I407" i="15"/>
  <c r="H408" i="15"/>
  <c r="I408" i="15"/>
  <c r="H409" i="15"/>
  <c r="I409" i="15"/>
  <c r="H410" i="15"/>
  <c r="I410" i="15"/>
  <c r="H411" i="15"/>
  <c r="I411" i="15"/>
  <c r="H412" i="15"/>
  <c r="I412" i="15"/>
  <c r="H413" i="15"/>
  <c r="I413" i="15"/>
  <c r="H414" i="15"/>
  <c r="I414" i="15"/>
  <c r="H415" i="15"/>
  <c r="I415" i="15"/>
  <c r="H416" i="15"/>
  <c r="I416" i="15"/>
  <c r="H417" i="15"/>
  <c r="I417" i="15"/>
  <c r="H418" i="15"/>
  <c r="I418" i="15"/>
  <c r="H419" i="15"/>
  <c r="I419" i="15"/>
  <c r="H420" i="15"/>
  <c r="I420" i="15"/>
  <c r="H421" i="15"/>
  <c r="I421" i="15"/>
  <c r="H422" i="15"/>
  <c r="I422" i="15"/>
  <c r="H423" i="15"/>
  <c r="I423" i="15"/>
  <c r="H424" i="15"/>
  <c r="I424" i="15"/>
  <c r="H425" i="15"/>
  <c r="I425" i="15"/>
  <c r="H426" i="15"/>
  <c r="I426" i="15"/>
  <c r="H427" i="15"/>
  <c r="I427" i="15"/>
  <c r="H428" i="15"/>
  <c r="I428" i="15"/>
  <c r="H429" i="15"/>
  <c r="I429" i="15"/>
  <c r="H430" i="15"/>
  <c r="I430" i="15"/>
  <c r="H431" i="15"/>
  <c r="I431" i="15"/>
  <c r="H432" i="15"/>
  <c r="I432" i="15"/>
  <c r="H433" i="15"/>
  <c r="I433" i="15"/>
  <c r="H434" i="15"/>
  <c r="I434" i="15"/>
  <c r="H435" i="15"/>
  <c r="I435" i="15"/>
  <c r="H436" i="15"/>
  <c r="I436" i="15"/>
  <c r="H437" i="15"/>
  <c r="I437" i="15"/>
  <c r="H438" i="15"/>
  <c r="I438" i="15"/>
  <c r="H439" i="15"/>
  <c r="I439" i="15"/>
  <c r="H440" i="15"/>
  <c r="I440" i="15"/>
  <c r="H441" i="15"/>
  <c r="I441" i="15"/>
  <c r="H442" i="15"/>
  <c r="I442" i="15"/>
  <c r="H443" i="15"/>
  <c r="I443" i="15"/>
  <c r="H444" i="15"/>
  <c r="I444" i="15"/>
  <c r="H445" i="15"/>
  <c r="I445" i="15"/>
  <c r="H446" i="15"/>
  <c r="I446" i="15"/>
  <c r="H447" i="15"/>
  <c r="I447" i="15"/>
  <c r="H448" i="15"/>
  <c r="I448" i="15"/>
  <c r="H449" i="15"/>
  <c r="I449" i="15"/>
  <c r="H450" i="15"/>
  <c r="I450" i="15"/>
  <c r="H451" i="15"/>
  <c r="I451" i="15"/>
  <c r="I7" i="15"/>
  <c r="H7" i="15"/>
  <c r="I493" i="14"/>
  <c r="J493" i="14"/>
  <c r="I494" i="14"/>
  <c r="J494" i="14"/>
  <c r="I495" i="14"/>
  <c r="J495" i="14"/>
  <c r="I496" i="14"/>
  <c r="J496" i="14"/>
  <c r="I497" i="14"/>
  <c r="J497" i="14"/>
  <c r="I498" i="14"/>
  <c r="J498" i="14"/>
  <c r="I499" i="14"/>
  <c r="J499" i="14"/>
  <c r="I500" i="14"/>
  <c r="J500" i="14"/>
  <c r="I501" i="14"/>
  <c r="J501" i="14"/>
  <c r="I502" i="14"/>
  <c r="J502" i="14"/>
  <c r="I503" i="14"/>
  <c r="J503" i="14"/>
  <c r="I504" i="14"/>
  <c r="J504" i="14"/>
  <c r="I505" i="14"/>
  <c r="J505" i="14"/>
  <c r="I506" i="14"/>
  <c r="J506" i="14"/>
  <c r="I507" i="14"/>
  <c r="J507" i="14"/>
  <c r="I508" i="14"/>
  <c r="J508" i="14"/>
  <c r="I509" i="14"/>
  <c r="J509" i="14"/>
  <c r="I510" i="14"/>
  <c r="J510" i="14"/>
  <c r="I511" i="14"/>
  <c r="J511" i="14"/>
  <c r="I512" i="14"/>
  <c r="J512" i="14"/>
  <c r="I513" i="14"/>
  <c r="J513" i="14"/>
  <c r="I514" i="14"/>
  <c r="J514" i="14"/>
  <c r="I515" i="14"/>
  <c r="J515" i="14"/>
  <c r="I516" i="14"/>
  <c r="J516" i="14"/>
  <c r="I517" i="14"/>
  <c r="J517" i="14"/>
  <c r="I518" i="14"/>
  <c r="J518" i="14"/>
  <c r="I519" i="14"/>
  <c r="J519" i="14"/>
  <c r="I520" i="14"/>
  <c r="J520" i="14"/>
  <c r="I521" i="14"/>
  <c r="J521" i="14"/>
  <c r="I522" i="14"/>
  <c r="J522" i="14"/>
  <c r="I523" i="14"/>
  <c r="J523" i="14"/>
  <c r="I524" i="14"/>
  <c r="J524" i="14"/>
  <c r="I525" i="14"/>
  <c r="J525" i="14"/>
  <c r="I526" i="14"/>
  <c r="J526" i="14"/>
  <c r="I527" i="14"/>
  <c r="J527" i="14"/>
  <c r="I528" i="14"/>
  <c r="J528" i="14"/>
  <c r="I529" i="14"/>
  <c r="J529" i="14"/>
  <c r="I530" i="14"/>
  <c r="J530" i="14"/>
  <c r="I531" i="14"/>
  <c r="J531" i="14"/>
  <c r="I532" i="14"/>
  <c r="J532" i="14"/>
  <c r="I533" i="14"/>
  <c r="J533" i="14"/>
  <c r="I534" i="14"/>
  <c r="J534" i="14"/>
  <c r="I535" i="14"/>
  <c r="J535" i="14"/>
  <c r="I536" i="14"/>
  <c r="J536" i="14"/>
  <c r="I537" i="14"/>
  <c r="J537" i="14"/>
  <c r="I538" i="14"/>
  <c r="J538" i="14"/>
  <c r="I539" i="14"/>
  <c r="J539" i="14"/>
  <c r="I540" i="14"/>
  <c r="J540" i="14"/>
  <c r="I541" i="14"/>
  <c r="J541" i="14"/>
  <c r="I542" i="14"/>
  <c r="J542" i="14"/>
  <c r="I543" i="14"/>
  <c r="J543" i="14"/>
  <c r="I544" i="14"/>
  <c r="J544" i="14"/>
  <c r="I545" i="14"/>
  <c r="J545" i="14"/>
  <c r="I546" i="14"/>
  <c r="J546" i="14"/>
  <c r="I547" i="14"/>
  <c r="J547" i="14"/>
  <c r="I548" i="14"/>
  <c r="J548" i="14"/>
  <c r="I549" i="14"/>
  <c r="J549" i="14"/>
  <c r="I550" i="14"/>
  <c r="J550" i="14"/>
  <c r="I551" i="14"/>
  <c r="J551" i="14"/>
  <c r="I552" i="14"/>
  <c r="J552" i="14"/>
  <c r="I553" i="14"/>
  <c r="J553" i="14"/>
  <c r="I554" i="14"/>
  <c r="J554" i="14"/>
  <c r="I555" i="14"/>
  <c r="J555" i="14"/>
  <c r="I556" i="14"/>
  <c r="J556" i="14"/>
  <c r="I557" i="14"/>
  <c r="J557" i="14"/>
  <c r="I558" i="14"/>
  <c r="J558" i="14"/>
  <c r="I559" i="14"/>
  <c r="J559" i="14"/>
  <c r="I560" i="14"/>
  <c r="J560" i="14"/>
  <c r="I561" i="14"/>
  <c r="J561" i="14"/>
  <c r="I562" i="14"/>
  <c r="J562" i="14"/>
  <c r="I563" i="14"/>
  <c r="J563" i="14"/>
  <c r="I564" i="14"/>
  <c r="J564" i="14"/>
  <c r="I565" i="14"/>
  <c r="J565" i="14"/>
  <c r="I566" i="14"/>
  <c r="J566" i="14"/>
  <c r="I567" i="14"/>
  <c r="J567" i="14"/>
  <c r="I568" i="14"/>
  <c r="J568" i="14"/>
  <c r="I569" i="14"/>
  <c r="J569" i="14"/>
  <c r="I570" i="14"/>
  <c r="J570" i="14"/>
  <c r="I571" i="14"/>
  <c r="J571" i="14"/>
  <c r="I572" i="14"/>
  <c r="J572" i="14"/>
  <c r="I573" i="14"/>
  <c r="J573" i="14"/>
  <c r="I574" i="14"/>
  <c r="J574" i="14"/>
  <c r="I575" i="14"/>
  <c r="J575" i="14"/>
  <c r="I576" i="14"/>
  <c r="J576" i="14"/>
  <c r="I577" i="14"/>
  <c r="J577" i="14"/>
  <c r="I578" i="14"/>
  <c r="J578" i="14"/>
  <c r="I579" i="14"/>
  <c r="J579" i="14"/>
  <c r="I580" i="14"/>
  <c r="J580" i="14"/>
  <c r="I581" i="14"/>
  <c r="J581" i="14"/>
  <c r="I582" i="14"/>
  <c r="J582" i="14"/>
  <c r="I583" i="14"/>
  <c r="J583" i="14"/>
  <c r="I584" i="14"/>
  <c r="J584" i="14"/>
  <c r="I585" i="14"/>
  <c r="J585" i="14"/>
  <c r="I586" i="14"/>
  <c r="J586" i="14"/>
  <c r="I587" i="14"/>
  <c r="J587" i="14"/>
  <c r="I588" i="14"/>
  <c r="J588" i="14"/>
  <c r="I589" i="14"/>
  <c r="J589" i="14"/>
  <c r="I590" i="14"/>
  <c r="J590" i="14"/>
  <c r="I591" i="14"/>
  <c r="J591" i="14"/>
  <c r="I592" i="14"/>
  <c r="J592" i="14"/>
  <c r="I593" i="14"/>
  <c r="J593" i="14"/>
  <c r="I594" i="14"/>
  <c r="J594" i="14"/>
  <c r="I595" i="14"/>
  <c r="J595" i="14"/>
  <c r="I596" i="14"/>
  <c r="J596" i="14"/>
  <c r="I597" i="14"/>
  <c r="J597" i="14"/>
  <c r="I598" i="14"/>
  <c r="J598" i="14"/>
  <c r="I599" i="14"/>
  <c r="J599" i="14"/>
  <c r="I600" i="14"/>
  <c r="J600" i="14"/>
  <c r="I601" i="14"/>
  <c r="J601" i="14"/>
  <c r="I602" i="14"/>
  <c r="J602" i="14"/>
  <c r="I603" i="14"/>
  <c r="J603" i="14"/>
  <c r="I604" i="14"/>
  <c r="J604" i="14"/>
  <c r="I605" i="14"/>
  <c r="J605" i="14"/>
  <c r="I606" i="14"/>
  <c r="J606" i="14"/>
  <c r="I607" i="14"/>
  <c r="J607" i="14"/>
  <c r="I608" i="14"/>
  <c r="J608" i="14"/>
  <c r="I609" i="14"/>
  <c r="J609" i="14"/>
  <c r="I610" i="14"/>
  <c r="J610" i="14"/>
  <c r="I611" i="14"/>
  <c r="J611" i="14"/>
  <c r="I612" i="14"/>
  <c r="J612" i="14"/>
  <c r="I613" i="14"/>
  <c r="J613" i="14"/>
  <c r="I614" i="14"/>
  <c r="J614" i="14"/>
  <c r="I615" i="14"/>
  <c r="J615" i="14"/>
  <c r="I616" i="14"/>
  <c r="J616" i="14"/>
  <c r="I617" i="14"/>
  <c r="J617" i="14"/>
  <c r="I618" i="14"/>
  <c r="J618" i="14"/>
  <c r="I619" i="14"/>
  <c r="J619" i="14"/>
  <c r="I620" i="14"/>
  <c r="J620" i="14"/>
  <c r="I621" i="14"/>
  <c r="J621" i="14"/>
  <c r="I622" i="14"/>
  <c r="J622" i="14"/>
  <c r="I623" i="14"/>
  <c r="J623" i="14"/>
  <c r="I624" i="14"/>
  <c r="J624" i="14"/>
  <c r="I625" i="14"/>
  <c r="J625" i="14"/>
  <c r="I626" i="14"/>
  <c r="J626" i="14"/>
  <c r="I627" i="14"/>
  <c r="J627" i="14"/>
  <c r="I628" i="14"/>
  <c r="J628" i="14"/>
  <c r="I629" i="14"/>
  <c r="J629" i="14"/>
  <c r="I630" i="14"/>
  <c r="J630" i="14"/>
  <c r="I631" i="14"/>
  <c r="J631" i="14"/>
  <c r="I632" i="14"/>
  <c r="J632" i="14"/>
  <c r="I633" i="14"/>
  <c r="J633" i="14"/>
  <c r="I634" i="14"/>
  <c r="J634" i="14"/>
  <c r="I635" i="14"/>
  <c r="J635" i="14"/>
  <c r="I636" i="14"/>
  <c r="J636" i="14"/>
  <c r="I637" i="14"/>
  <c r="J637" i="14"/>
  <c r="I638" i="14"/>
  <c r="J638" i="14"/>
  <c r="I639" i="14"/>
  <c r="J639" i="14"/>
  <c r="I640" i="14"/>
  <c r="J640" i="14"/>
  <c r="I641" i="14"/>
  <c r="J641" i="14"/>
  <c r="I642" i="14"/>
  <c r="J642" i="14"/>
  <c r="I643" i="14"/>
  <c r="J643" i="14"/>
  <c r="I644" i="14"/>
  <c r="J644" i="14"/>
  <c r="I645" i="14"/>
  <c r="J645" i="14"/>
  <c r="I646" i="14"/>
  <c r="J646" i="14"/>
  <c r="I647" i="14"/>
  <c r="J647" i="14"/>
  <c r="I648" i="14"/>
  <c r="J648" i="14"/>
  <c r="I649" i="14"/>
  <c r="J649" i="14"/>
  <c r="I650" i="14"/>
  <c r="J650" i="14"/>
  <c r="I651" i="14"/>
  <c r="J651" i="14"/>
  <c r="I652" i="14"/>
  <c r="J652" i="14"/>
  <c r="I653" i="14"/>
  <c r="J653" i="14"/>
  <c r="I654" i="14"/>
  <c r="J654" i="14"/>
  <c r="I655" i="14"/>
  <c r="J655" i="14"/>
  <c r="I656" i="14"/>
  <c r="J656" i="14"/>
  <c r="I657" i="14"/>
  <c r="J657" i="14"/>
  <c r="I658" i="14"/>
  <c r="J658" i="14"/>
  <c r="I659" i="14"/>
  <c r="J659" i="14"/>
  <c r="I660" i="14"/>
  <c r="J660" i="14"/>
  <c r="I661" i="14"/>
  <c r="J661" i="14"/>
  <c r="I662" i="14"/>
  <c r="J662" i="14"/>
  <c r="I663" i="14"/>
  <c r="J663" i="14"/>
  <c r="I664" i="14"/>
  <c r="J664" i="14"/>
  <c r="I665" i="14"/>
  <c r="J665" i="14"/>
  <c r="I666" i="14"/>
  <c r="J666" i="14"/>
  <c r="I667" i="14"/>
  <c r="J667" i="14"/>
  <c r="I668" i="14"/>
  <c r="J668" i="14"/>
  <c r="I669" i="14"/>
  <c r="J669" i="14"/>
  <c r="I670" i="14"/>
  <c r="J670" i="14"/>
  <c r="I671" i="14"/>
  <c r="J671" i="14"/>
  <c r="I672" i="14"/>
  <c r="J672" i="14"/>
  <c r="I673" i="14"/>
  <c r="J673" i="14"/>
  <c r="I674" i="14"/>
  <c r="J674" i="14"/>
  <c r="I675" i="14"/>
  <c r="J675" i="14"/>
  <c r="I676" i="14"/>
  <c r="J676" i="14"/>
  <c r="I677" i="14"/>
  <c r="J677" i="14"/>
  <c r="I678" i="14"/>
  <c r="J678" i="14"/>
  <c r="I679" i="14"/>
  <c r="J679" i="14"/>
  <c r="I680" i="14"/>
  <c r="J680" i="14"/>
  <c r="I681" i="14"/>
  <c r="J681" i="14"/>
  <c r="I682" i="14"/>
  <c r="J682" i="14"/>
  <c r="I683" i="14"/>
  <c r="J683" i="14"/>
  <c r="I684" i="14"/>
  <c r="J684" i="14"/>
  <c r="I685" i="14"/>
  <c r="J685" i="14"/>
  <c r="I686" i="14"/>
  <c r="J686" i="14"/>
  <c r="I687" i="14"/>
  <c r="J687" i="14"/>
  <c r="I688" i="14"/>
  <c r="J688" i="14"/>
  <c r="I689" i="14"/>
  <c r="J689" i="14"/>
  <c r="I690" i="14"/>
  <c r="J690" i="14"/>
  <c r="I691" i="14"/>
  <c r="J691" i="14"/>
  <c r="I692" i="14"/>
  <c r="J692" i="14"/>
  <c r="I693" i="14"/>
  <c r="J693" i="14"/>
  <c r="I694" i="14"/>
  <c r="J694" i="14"/>
  <c r="I695" i="14"/>
  <c r="J695" i="14"/>
  <c r="I696" i="14"/>
  <c r="J696" i="14"/>
  <c r="I697" i="14"/>
  <c r="J697" i="14"/>
  <c r="I698" i="14"/>
  <c r="J698" i="14"/>
  <c r="I699" i="14"/>
  <c r="J699" i="14"/>
  <c r="I700" i="14"/>
  <c r="J700" i="14"/>
  <c r="I701" i="14"/>
  <c r="J701" i="14"/>
  <c r="I702" i="14"/>
  <c r="J702" i="14"/>
  <c r="I703" i="14"/>
  <c r="J703" i="14"/>
  <c r="I704" i="14"/>
  <c r="J704" i="14"/>
  <c r="I705" i="14"/>
  <c r="J705" i="14"/>
  <c r="I706" i="14"/>
  <c r="J706" i="14"/>
  <c r="I707" i="14"/>
  <c r="J707" i="14"/>
  <c r="I708" i="14"/>
  <c r="J708" i="14"/>
  <c r="I709" i="14"/>
  <c r="J709" i="14"/>
  <c r="I710" i="14"/>
  <c r="J710" i="14"/>
  <c r="I711" i="14"/>
  <c r="J711" i="14"/>
  <c r="I712" i="14"/>
  <c r="J712" i="14"/>
  <c r="I713" i="14"/>
  <c r="J713" i="14"/>
  <c r="I714" i="14"/>
  <c r="J714" i="14"/>
  <c r="I715" i="14"/>
  <c r="J715" i="14"/>
  <c r="I716" i="14"/>
  <c r="J716" i="14"/>
  <c r="I717" i="14"/>
  <c r="J717" i="14"/>
  <c r="I718" i="14"/>
  <c r="J718" i="14"/>
  <c r="I719" i="14"/>
  <c r="J719" i="14"/>
  <c r="I720" i="14"/>
  <c r="J720" i="14"/>
  <c r="I721" i="14"/>
  <c r="J721" i="14"/>
  <c r="I722" i="14"/>
  <c r="J722" i="14"/>
  <c r="I723" i="14"/>
  <c r="J723" i="14"/>
  <c r="I724" i="14"/>
  <c r="J724" i="14"/>
  <c r="I725" i="14"/>
  <c r="J725" i="14"/>
  <c r="I726" i="14"/>
  <c r="J726" i="14"/>
  <c r="I727" i="14"/>
  <c r="J727" i="14"/>
  <c r="I728" i="14"/>
  <c r="J728" i="14"/>
  <c r="I729" i="14"/>
  <c r="J729" i="14"/>
  <c r="I730" i="14"/>
  <c r="J730" i="14"/>
  <c r="I731" i="14"/>
  <c r="J731" i="14"/>
  <c r="I732" i="14"/>
  <c r="J732" i="14"/>
  <c r="I733" i="14"/>
  <c r="J733" i="14"/>
  <c r="I734" i="14"/>
  <c r="J734" i="14"/>
  <c r="I735" i="14"/>
  <c r="J735" i="14"/>
  <c r="I736" i="14"/>
  <c r="J736" i="14"/>
  <c r="I737" i="14"/>
  <c r="J737" i="14"/>
  <c r="I738" i="14"/>
  <c r="J738" i="14"/>
  <c r="I739" i="14"/>
  <c r="J739" i="14"/>
  <c r="I740" i="14"/>
  <c r="J740" i="14"/>
  <c r="I741" i="14"/>
  <c r="J741" i="14"/>
  <c r="I742" i="14"/>
  <c r="J742" i="14"/>
  <c r="I743" i="14"/>
  <c r="J743" i="14"/>
  <c r="I744" i="14"/>
  <c r="J744" i="14"/>
  <c r="I745" i="14"/>
  <c r="J745" i="14"/>
  <c r="I746" i="14"/>
  <c r="J746" i="14"/>
  <c r="I747" i="14"/>
  <c r="J747" i="14"/>
  <c r="I748" i="14"/>
  <c r="J748" i="14"/>
  <c r="I749" i="14"/>
  <c r="J749" i="14"/>
  <c r="I750" i="14"/>
  <c r="J750" i="14"/>
  <c r="I751" i="14"/>
  <c r="J751" i="14"/>
  <c r="I752" i="14"/>
  <c r="J752" i="14"/>
  <c r="I753" i="14"/>
  <c r="J753" i="14"/>
  <c r="I754" i="14"/>
  <c r="J754" i="14"/>
  <c r="I755" i="14"/>
  <c r="J755" i="14"/>
  <c r="I756" i="14"/>
  <c r="J756" i="14"/>
  <c r="I757" i="14"/>
  <c r="J757" i="14"/>
  <c r="I758" i="14"/>
  <c r="J758" i="14"/>
  <c r="I759" i="14"/>
  <c r="J759" i="14"/>
  <c r="I760" i="14"/>
  <c r="J760" i="14"/>
  <c r="I761" i="14"/>
  <c r="J761" i="14"/>
  <c r="I762" i="14"/>
  <c r="J762" i="14"/>
  <c r="I763" i="14"/>
  <c r="J763" i="14"/>
  <c r="I764" i="14"/>
  <c r="J764" i="14"/>
  <c r="I765" i="14"/>
  <c r="J765" i="14"/>
  <c r="I766" i="14"/>
  <c r="J766" i="14"/>
  <c r="I767" i="14"/>
  <c r="J767" i="14"/>
  <c r="I768" i="14"/>
  <c r="J768" i="14"/>
  <c r="I769" i="14"/>
  <c r="J769" i="14"/>
  <c r="I770" i="14"/>
  <c r="J770" i="14"/>
  <c r="I771" i="14"/>
  <c r="J771" i="14"/>
  <c r="I772" i="14"/>
  <c r="J772" i="14"/>
  <c r="I773" i="14"/>
  <c r="J773" i="14"/>
  <c r="I774" i="14"/>
  <c r="J774" i="14"/>
  <c r="I775" i="14"/>
  <c r="J775" i="14"/>
  <c r="I776" i="14"/>
  <c r="J776" i="14"/>
  <c r="I777" i="14"/>
  <c r="J777" i="14"/>
  <c r="I778" i="14"/>
  <c r="J778" i="14"/>
  <c r="I779" i="14"/>
  <c r="J779" i="14"/>
  <c r="I780" i="14"/>
  <c r="J780" i="14"/>
  <c r="I781" i="14"/>
  <c r="J781" i="14"/>
  <c r="I782" i="14"/>
  <c r="J782" i="14"/>
  <c r="I783" i="14"/>
  <c r="J783" i="14"/>
  <c r="I784" i="14"/>
  <c r="J784" i="14"/>
  <c r="I785" i="14"/>
  <c r="J785" i="14"/>
  <c r="I786" i="14"/>
  <c r="J786" i="14"/>
  <c r="I787" i="14"/>
  <c r="J787" i="14"/>
  <c r="I788" i="14"/>
  <c r="J788" i="14"/>
  <c r="I789" i="14"/>
  <c r="J789" i="14"/>
  <c r="I790" i="14"/>
  <c r="J790" i="14"/>
  <c r="I791" i="14"/>
  <c r="J791" i="14"/>
  <c r="I792" i="14"/>
  <c r="J792" i="14"/>
  <c r="I793" i="14"/>
  <c r="J793" i="14"/>
  <c r="I794" i="14"/>
  <c r="J794" i="14"/>
  <c r="I795" i="14"/>
  <c r="J795" i="14"/>
  <c r="I796" i="14"/>
  <c r="J796" i="14"/>
  <c r="I797" i="14"/>
  <c r="J797" i="14"/>
  <c r="I798" i="14"/>
  <c r="J798" i="14"/>
  <c r="I799" i="14"/>
  <c r="J799" i="14"/>
  <c r="I800" i="14"/>
  <c r="J800" i="14"/>
  <c r="I801" i="14"/>
  <c r="J801" i="14"/>
  <c r="I802" i="14"/>
  <c r="J802" i="14"/>
  <c r="I803" i="14"/>
  <c r="J803" i="14"/>
  <c r="I804" i="14"/>
  <c r="J804" i="14"/>
  <c r="I805" i="14"/>
  <c r="J805" i="14"/>
  <c r="I806" i="14"/>
  <c r="J806" i="14"/>
  <c r="I807" i="14"/>
  <c r="J807" i="14"/>
  <c r="I808" i="14"/>
  <c r="J808" i="14"/>
  <c r="I809" i="14"/>
  <c r="J809" i="14"/>
  <c r="I810" i="14"/>
  <c r="J810" i="14"/>
  <c r="I811" i="14"/>
  <c r="J811" i="14"/>
  <c r="I812" i="14"/>
  <c r="J812" i="14"/>
  <c r="I813" i="14"/>
  <c r="J813" i="14"/>
  <c r="I814" i="14"/>
  <c r="J814" i="14"/>
  <c r="I815" i="14"/>
  <c r="J815" i="14"/>
  <c r="I816" i="14"/>
  <c r="J816" i="14"/>
  <c r="I817" i="14"/>
  <c r="J817" i="14"/>
  <c r="I818" i="14"/>
  <c r="J818" i="14"/>
  <c r="I819" i="14"/>
  <c r="J819" i="14"/>
  <c r="I820" i="14"/>
  <c r="J820" i="14"/>
  <c r="I821" i="14"/>
  <c r="J821" i="14"/>
  <c r="I822" i="14"/>
  <c r="J822" i="14"/>
  <c r="I823" i="14"/>
  <c r="J823" i="14"/>
  <c r="I824" i="14"/>
  <c r="J824" i="14"/>
  <c r="I825" i="14"/>
  <c r="J825" i="14"/>
  <c r="I826" i="14"/>
  <c r="J826" i="14"/>
  <c r="I827" i="14"/>
  <c r="J827" i="14"/>
  <c r="I828" i="14"/>
  <c r="J828" i="14"/>
  <c r="I829" i="14"/>
  <c r="J829" i="14"/>
  <c r="I830" i="14"/>
  <c r="J830" i="14"/>
  <c r="I831" i="14"/>
  <c r="J831" i="14"/>
  <c r="I832" i="14"/>
  <c r="J832" i="14"/>
  <c r="I833" i="14"/>
  <c r="J833" i="14"/>
  <c r="I834" i="14"/>
  <c r="J834" i="14"/>
  <c r="I835" i="14"/>
  <c r="J835" i="14"/>
  <c r="I836" i="14"/>
  <c r="J836" i="14"/>
  <c r="I837" i="14"/>
  <c r="J837" i="14"/>
  <c r="I838" i="14"/>
  <c r="J838" i="14"/>
  <c r="I839" i="14"/>
  <c r="J839" i="14"/>
  <c r="I840" i="14"/>
  <c r="J840" i="14"/>
  <c r="I841" i="14"/>
  <c r="J841" i="14"/>
  <c r="I842" i="14"/>
  <c r="J842" i="14"/>
  <c r="I843" i="14"/>
  <c r="J843" i="14"/>
  <c r="I844" i="14"/>
  <c r="J844" i="14"/>
  <c r="I845" i="14"/>
  <c r="J845" i="14"/>
  <c r="I846" i="14"/>
  <c r="J846" i="14"/>
  <c r="I847" i="14"/>
  <c r="J847" i="14"/>
  <c r="I848" i="14"/>
  <c r="J848" i="14"/>
  <c r="I849" i="14"/>
  <c r="J849" i="14"/>
  <c r="I850" i="14"/>
  <c r="J850" i="14"/>
  <c r="I851" i="14"/>
  <c r="J851" i="14"/>
  <c r="I852" i="14"/>
  <c r="J852" i="14"/>
  <c r="I853" i="14"/>
  <c r="J853" i="14"/>
  <c r="I854" i="14"/>
  <c r="J854" i="14"/>
  <c r="I855" i="14"/>
  <c r="J855" i="14"/>
  <c r="I856" i="14"/>
  <c r="J856" i="14"/>
  <c r="I857" i="14"/>
  <c r="J857" i="14"/>
  <c r="I858" i="14"/>
  <c r="J858" i="14"/>
  <c r="I859" i="14"/>
  <c r="J859" i="14"/>
  <c r="I860" i="14"/>
  <c r="J860" i="14"/>
  <c r="I861" i="14"/>
  <c r="J861" i="14"/>
  <c r="I862" i="14"/>
  <c r="J862" i="14"/>
  <c r="I863" i="14"/>
  <c r="J863" i="14"/>
  <c r="I864" i="14"/>
  <c r="J864" i="14"/>
  <c r="I865" i="14"/>
  <c r="J865" i="14"/>
  <c r="I866" i="14"/>
  <c r="J866" i="14"/>
  <c r="I867" i="14"/>
  <c r="J867" i="14"/>
  <c r="I868" i="14"/>
  <c r="J868" i="14"/>
  <c r="I869" i="14"/>
  <c r="J869" i="14"/>
  <c r="I870" i="14"/>
  <c r="J870" i="14"/>
  <c r="I871" i="14"/>
  <c r="J871" i="14"/>
  <c r="I872" i="14"/>
  <c r="J872" i="14"/>
  <c r="I873" i="14"/>
  <c r="J873" i="14"/>
  <c r="I874" i="14"/>
  <c r="J874" i="14"/>
  <c r="I875" i="14"/>
  <c r="J875" i="14"/>
  <c r="I876" i="14"/>
  <c r="J876" i="14"/>
  <c r="I877" i="14"/>
  <c r="J877" i="14"/>
  <c r="I878" i="14"/>
  <c r="J878" i="14"/>
  <c r="I879" i="14"/>
  <c r="J879" i="14"/>
  <c r="I880" i="14"/>
  <c r="J880" i="14"/>
  <c r="I881" i="14"/>
  <c r="J881" i="14"/>
  <c r="I882" i="14"/>
  <c r="J882" i="14"/>
  <c r="I883" i="14"/>
  <c r="J883" i="14"/>
  <c r="I884" i="14"/>
  <c r="J884" i="14"/>
  <c r="I885" i="14"/>
  <c r="J885" i="14"/>
  <c r="I886" i="14"/>
  <c r="J886" i="14"/>
  <c r="I887" i="14"/>
  <c r="J887" i="14"/>
  <c r="I888" i="14"/>
  <c r="J888" i="14"/>
  <c r="I889" i="14"/>
  <c r="J889" i="14"/>
  <c r="I890" i="14"/>
  <c r="J890" i="14"/>
  <c r="I891" i="14"/>
  <c r="J891" i="14"/>
  <c r="I892" i="14"/>
  <c r="J892" i="14"/>
  <c r="I893" i="14"/>
  <c r="J893" i="14"/>
  <c r="I894" i="14"/>
  <c r="J894" i="14"/>
  <c r="I895" i="14"/>
  <c r="J895" i="14"/>
  <c r="I896" i="14"/>
  <c r="J896" i="14"/>
  <c r="I897" i="14"/>
  <c r="J897" i="14"/>
  <c r="I898" i="14"/>
  <c r="J898" i="14"/>
  <c r="I899" i="14"/>
  <c r="J899" i="14"/>
  <c r="I900" i="14"/>
  <c r="J900" i="14"/>
  <c r="I901" i="14"/>
  <c r="J901" i="14"/>
  <c r="I902" i="14"/>
  <c r="J902" i="14"/>
  <c r="I903" i="14"/>
  <c r="J903" i="14"/>
  <c r="J483" i="14"/>
  <c r="I483" i="14"/>
  <c r="J492" i="14"/>
  <c r="I492" i="14"/>
  <c r="J491" i="14"/>
  <c r="I491" i="14"/>
  <c r="J490" i="14"/>
  <c r="I490" i="14"/>
  <c r="J489" i="14"/>
  <c r="I489" i="14"/>
  <c r="J488" i="14"/>
  <c r="I488" i="14"/>
  <c r="J487" i="14"/>
  <c r="I487" i="14"/>
  <c r="J486" i="14"/>
  <c r="I486" i="14"/>
  <c r="J485" i="14"/>
  <c r="I485" i="14"/>
  <c r="J484" i="14"/>
  <c r="I484" i="14"/>
  <c r="J476" i="14"/>
  <c r="I475" i="14"/>
  <c r="J475" i="14"/>
  <c r="I476" i="14"/>
  <c r="I474" i="14"/>
  <c r="J473" i="14"/>
  <c r="I473" i="14"/>
  <c r="J474" i="14"/>
  <c r="I460" i="14"/>
  <c r="I368" i="14"/>
  <c r="J368" i="14"/>
  <c r="I369" i="14"/>
  <c r="J369" i="14"/>
  <c r="I370" i="14"/>
  <c r="J370" i="14"/>
  <c r="I371" i="14"/>
  <c r="J371" i="14"/>
  <c r="I372" i="14"/>
  <c r="J372" i="14"/>
  <c r="I373" i="14"/>
  <c r="J373" i="14"/>
  <c r="I374" i="14"/>
  <c r="J374" i="14"/>
  <c r="I375" i="14"/>
  <c r="J375" i="14"/>
  <c r="I376" i="14"/>
  <c r="J376" i="14"/>
  <c r="I377" i="14"/>
  <c r="J377" i="14"/>
  <c r="I378" i="14"/>
  <c r="J378" i="14"/>
  <c r="I379" i="14"/>
  <c r="J379" i="14"/>
  <c r="I380" i="14"/>
  <c r="J380" i="14"/>
  <c r="I381" i="14"/>
  <c r="J381" i="14"/>
  <c r="I382" i="14"/>
  <c r="J382" i="14"/>
  <c r="I383" i="14"/>
  <c r="J383" i="14"/>
  <c r="I384" i="14"/>
  <c r="J384" i="14"/>
  <c r="I385" i="14"/>
  <c r="J385" i="14"/>
  <c r="I386" i="14"/>
  <c r="J386" i="14"/>
  <c r="I387" i="14"/>
  <c r="J387" i="14"/>
  <c r="I388" i="14"/>
  <c r="J388" i="14"/>
  <c r="I389" i="14"/>
  <c r="J389" i="14"/>
  <c r="I390" i="14"/>
  <c r="J390" i="14"/>
  <c r="I391" i="14"/>
  <c r="J391" i="14"/>
  <c r="I392" i="14"/>
  <c r="J392" i="14"/>
  <c r="I393" i="14"/>
  <c r="J393" i="14"/>
  <c r="I394" i="14"/>
  <c r="J394" i="14"/>
  <c r="I395" i="14"/>
  <c r="J395" i="14"/>
  <c r="I396" i="14"/>
  <c r="J396" i="14"/>
  <c r="I397" i="14"/>
  <c r="J397" i="14"/>
  <c r="I398" i="14"/>
  <c r="J398" i="14"/>
  <c r="I399" i="14"/>
  <c r="J399" i="14"/>
  <c r="I400" i="14"/>
  <c r="J400" i="14"/>
  <c r="I401" i="14"/>
  <c r="J401" i="14"/>
  <c r="I402" i="14"/>
  <c r="J402" i="14"/>
  <c r="I403" i="14"/>
  <c r="J403" i="14"/>
  <c r="I404" i="14"/>
  <c r="J404" i="14"/>
  <c r="I405" i="14"/>
  <c r="J405" i="14"/>
  <c r="I406" i="14"/>
  <c r="J406" i="14"/>
  <c r="I407" i="14"/>
  <c r="J407" i="14"/>
  <c r="I408" i="14"/>
  <c r="J408" i="14"/>
  <c r="I409" i="14"/>
  <c r="J409" i="14"/>
  <c r="I410" i="14"/>
  <c r="J410" i="14"/>
  <c r="I411" i="14"/>
  <c r="J411" i="14"/>
  <c r="I412" i="14"/>
  <c r="J412" i="14"/>
  <c r="I413" i="14"/>
  <c r="J413" i="14"/>
  <c r="I414" i="14"/>
  <c r="J414" i="14"/>
  <c r="I415" i="14"/>
  <c r="J415" i="14"/>
  <c r="I416" i="14"/>
  <c r="J416" i="14"/>
  <c r="I417" i="14"/>
  <c r="J417" i="14"/>
  <c r="I418" i="14"/>
  <c r="J418" i="14"/>
  <c r="I419" i="14"/>
  <c r="J419" i="14"/>
  <c r="I420" i="14"/>
  <c r="J420" i="14"/>
  <c r="I421" i="14"/>
  <c r="J421" i="14"/>
  <c r="I422" i="14"/>
  <c r="J422" i="14"/>
  <c r="I423" i="14"/>
  <c r="J423" i="14"/>
  <c r="I424" i="14"/>
  <c r="J424" i="14"/>
  <c r="I425" i="14"/>
  <c r="J425" i="14"/>
  <c r="I426" i="14"/>
  <c r="J426" i="14"/>
  <c r="I427" i="14"/>
  <c r="J427" i="14"/>
  <c r="I428" i="14"/>
  <c r="J428" i="14"/>
  <c r="I429" i="14"/>
  <c r="J429" i="14"/>
  <c r="I430" i="14"/>
  <c r="J430" i="14"/>
  <c r="I431" i="14"/>
  <c r="J431" i="14"/>
  <c r="I432" i="14"/>
  <c r="J432" i="14"/>
  <c r="I433" i="14"/>
  <c r="J433" i="14"/>
  <c r="I434" i="14"/>
  <c r="J434" i="14"/>
  <c r="I435" i="14"/>
  <c r="J435" i="14"/>
  <c r="I436" i="14"/>
  <c r="J436" i="14"/>
  <c r="I437" i="14"/>
  <c r="J437" i="14"/>
  <c r="I438" i="14"/>
  <c r="J438" i="14"/>
  <c r="I439" i="14"/>
  <c r="J439" i="14"/>
  <c r="I440" i="14"/>
  <c r="J440" i="14"/>
  <c r="I441" i="14"/>
  <c r="J441" i="14"/>
  <c r="I442" i="14"/>
  <c r="J442" i="14"/>
  <c r="I443" i="14"/>
  <c r="J443" i="14"/>
  <c r="I444" i="14"/>
  <c r="J444" i="14"/>
  <c r="I445" i="14"/>
  <c r="J445" i="14"/>
  <c r="I446" i="14"/>
  <c r="J446" i="14"/>
  <c r="I447" i="14"/>
  <c r="J447" i="14"/>
  <c r="I448" i="14"/>
  <c r="J448" i="14"/>
  <c r="I449" i="14"/>
  <c r="J449" i="14"/>
  <c r="I450" i="14"/>
  <c r="J450" i="14"/>
  <c r="I451" i="14"/>
  <c r="J451" i="14"/>
  <c r="I452" i="14"/>
  <c r="J452" i="14"/>
  <c r="I453" i="14"/>
  <c r="J453" i="14"/>
  <c r="I454" i="14"/>
  <c r="J454" i="14"/>
  <c r="I455" i="14"/>
  <c r="J455" i="14"/>
  <c r="I456" i="14"/>
  <c r="J456" i="14"/>
  <c r="I457" i="14"/>
  <c r="J457" i="14"/>
  <c r="I458" i="14"/>
  <c r="J458" i="14"/>
  <c r="I459" i="14"/>
  <c r="J459" i="14"/>
  <c r="J460" i="14"/>
  <c r="I461" i="14"/>
  <c r="J461" i="14"/>
  <c r="I462" i="14"/>
  <c r="J462" i="14"/>
  <c r="I463" i="14"/>
  <c r="J463" i="14"/>
  <c r="I464" i="14"/>
  <c r="J464" i="14"/>
  <c r="I465" i="14"/>
  <c r="J465" i="14"/>
  <c r="I466" i="14"/>
  <c r="J466" i="14"/>
  <c r="I467" i="14"/>
  <c r="J467" i="14"/>
  <c r="I468" i="14"/>
  <c r="J468" i="14"/>
  <c r="I351" i="14"/>
  <c r="J367" i="14"/>
  <c r="I367" i="14"/>
  <c r="J366" i="14"/>
  <c r="I366" i="14"/>
  <c r="J365" i="14"/>
  <c r="I365" i="14"/>
  <c r="J364" i="14"/>
  <c r="I364" i="14"/>
  <c r="J363" i="14"/>
  <c r="I363" i="14"/>
  <c r="J362" i="14"/>
  <c r="I362" i="14"/>
  <c r="J361" i="14"/>
  <c r="I361" i="14"/>
  <c r="J360" i="14"/>
  <c r="I360" i="14"/>
  <c r="J359" i="14"/>
  <c r="I359" i="14"/>
  <c r="J358" i="14"/>
  <c r="I358" i="14"/>
  <c r="J357" i="14"/>
  <c r="I357" i="14"/>
  <c r="J356" i="14"/>
  <c r="I356" i="14"/>
  <c r="J355" i="14"/>
  <c r="I355" i="14"/>
  <c r="J354" i="14"/>
  <c r="I354" i="14"/>
  <c r="J353" i="14"/>
  <c r="I353" i="14"/>
  <c r="J352" i="14"/>
  <c r="I352" i="14"/>
  <c r="J351" i="14"/>
  <c r="I343" i="14"/>
  <c r="J343" i="14"/>
  <c r="I344" i="14"/>
  <c r="J344" i="14"/>
  <c r="I342" i="14"/>
  <c r="J342" i="14"/>
  <c r="I58" i="14"/>
  <c r="J58" i="14"/>
  <c r="I59" i="14"/>
  <c r="J59" i="14"/>
  <c r="I60" i="14"/>
  <c r="J60" i="14"/>
  <c r="I61" i="14"/>
  <c r="J61" i="14"/>
  <c r="I62" i="14"/>
  <c r="J62" i="14"/>
  <c r="I63" i="14"/>
  <c r="J63" i="14"/>
  <c r="I64" i="14"/>
  <c r="J64" i="14"/>
  <c r="I65" i="14"/>
  <c r="J65" i="14"/>
  <c r="I66" i="14"/>
  <c r="J66" i="14"/>
  <c r="I67" i="14"/>
  <c r="J67" i="14"/>
  <c r="I68" i="14"/>
  <c r="J68" i="14"/>
  <c r="I69" i="14"/>
  <c r="J69" i="14"/>
  <c r="I70" i="14"/>
  <c r="J70" i="14"/>
  <c r="I71" i="14"/>
  <c r="J71" i="14"/>
  <c r="I72" i="14"/>
  <c r="J72" i="14"/>
  <c r="I73" i="14"/>
  <c r="J73" i="14"/>
  <c r="I74" i="14"/>
  <c r="J74" i="14"/>
  <c r="I75" i="14"/>
  <c r="J75" i="14"/>
  <c r="I76" i="14"/>
  <c r="J76" i="14"/>
  <c r="I77" i="14"/>
  <c r="J77" i="14"/>
  <c r="I78" i="14"/>
  <c r="J78" i="14"/>
  <c r="I79" i="14"/>
  <c r="J79" i="14"/>
  <c r="I80" i="14"/>
  <c r="J80" i="14"/>
  <c r="I81" i="14"/>
  <c r="J81" i="14"/>
  <c r="I82" i="14"/>
  <c r="J82" i="14"/>
  <c r="I83" i="14"/>
  <c r="J83" i="14"/>
  <c r="I84" i="14"/>
  <c r="J84" i="14"/>
  <c r="I85" i="14"/>
  <c r="J85" i="14"/>
  <c r="I86" i="14"/>
  <c r="J86" i="14"/>
  <c r="I87" i="14"/>
  <c r="J87" i="14"/>
  <c r="I88" i="14"/>
  <c r="J88" i="14"/>
  <c r="I89" i="14"/>
  <c r="J89" i="14"/>
  <c r="I90" i="14"/>
  <c r="J90" i="14"/>
  <c r="I91" i="14"/>
  <c r="J91" i="14"/>
  <c r="I92" i="14"/>
  <c r="J92" i="14"/>
  <c r="I93" i="14"/>
  <c r="J93" i="14"/>
  <c r="I94" i="14"/>
  <c r="J94" i="14"/>
  <c r="I95" i="14"/>
  <c r="J95" i="14"/>
  <c r="I96" i="14"/>
  <c r="J96" i="14"/>
  <c r="I97" i="14"/>
  <c r="J97" i="14"/>
  <c r="I98" i="14"/>
  <c r="J98" i="14"/>
  <c r="I99" i="14"/>
  <c r="J99" i="14"/>
  <c r="I100" i="14"/>
  <c r="J100" i="14"/>
  <c r="I101" i="14"/>
  <c r="J101" i="14"/>
  <c r="I102" i="14"/>
  <c r="J102" i="14"/>
  <c r="I103" i="14"/>
  <c r="J103" i="14"/>
  <c r="I104" i="14"/>
  <c r="J104" i="14"/>
  <c r="I105" i="14"/>
  <c r="J105" i="14"/>
  <c r="I106" i="14"/>
  <c r="J106" i="14"/>
  <c r="I107" i="14"/>
  <c r="J107" i="14"/>
  <c r="I108" i="14"/>
  <c r="J108" i="14"/>
  <c r="I109" i="14"/>
  <c r="J109" i="14"/>
  <c r="I110" i="14"/>
  <c r="J110" i="14"/>
  <c r="I111" i="14"/>
  <c r="J111" i="14"/>
  <c r="I112" i="14"/>
  <c r="J112" i="14"/>
  <c r="I113" i="14"/>
  <c r="J113" i="14"/>
  <c r="I114" i="14"/>
  <c r="J114" i="14"/>
  <c r="I115" i="14"/>
  <c r="J115" i="14"/>
  <c r="I116" i="14"/>
  <c r="J116" i="14"/>
  <c r="I117" i="14"/>
  <c r="J117" i="14"/>
  <c r="I118" i="14"/>
  <c r="J118" i="14"/>
  <c r="I119" i="14"/>
  <c r="J119" i="14"/>
  <c r="I120" i="14"/>
  <c r="J120" i="14"/>
  <c r="I121" i="14"/>
  <c r="J121" i="14"/>
  <c r="I122" i="14"/>
  <c r="J122" i="14"/>
  <c r="I123" i="14"/>
  <c r="J123" i="14"/>
  <c r="I124" i="14"/>
  <c r="J124" i="14"/>
  <c r="I125" i="14"/>
  <c r="J125" i="14"/>
  <c r="I126" i="14"/>
  <c r="J126" i="14"/>
  <c r="I127" i="14"/>
  <c r="J127" i="14"/>
  <c r="I128" i="14"/>
  <c r="J128" i="14"/>
  <c r="I129" i="14"/>
  <c r="J129" i="14"/>
  <c r="I130" i="14"/>
  <c r="J130" i="14"/>
  <c r="I131" i="14"/>
  <c r="J131" i="14"/>
  <c r="I132" i="14"/>
  <c r="J132" i="14"/>
  <c r="I133" i="14"/>
  <c r="J133" i="14"/>
  <c r="I134" i="14"/>
  <c r="J134" i="14"/>
  <c r="I135" i="14"/>
  <c r="J135" i="14"/>
  <c r="I136" i="14"/>
  <c r="J136" i="14"/>
  <c r="I137" i="14"/>
  <c r="J137" i="14"/>
  <c r="I138" i="14"/>
  <c r="J138" i="14"/>
  <c r="I139" i="14"/>
  <c r="J139" i="14"/>
  <c r="I140" i="14"/>
  <c r="J140" i="14"/>
  <c r="I141" i="14"/>
  <c r="J141" i="14"/>
  <c r="I142" i="14"/>
  <c r="J142" i="14"/>
  <c r="I143" i="14"/>
  <c r="J143" i="14"/>
  <c r="I144" i="14"/>
  <c r="J144" i="14"/>
  <c r="I145" i="14"/>
  <c r="J145" i="14"/>
  <c r="I146" i="14"/>
  <c r="J146" i="14"/>
  <c r="I147" i="14"/>
  <c r="J147" i="14"/>
  <c r="I148" i="14"/>
  <c r="J148" i="14"/>
  <c r="I149" i="14"/>
  <c r="J149" i="14"/>
  <c r="I150" i="14"/>
  <c r="J150" i="14"/>
  <c r="I151" i="14"/>
  <c r="J151" i="14"/>
  <c r="I152" i="14"/>
  <c r="J152" i="14"/>
  <c r="I153" i="14"/>
  <c r="J153" i="14"/>
  <c r="I154" i="14"/>
  <c r="J154" i="14"/>
  <c r="I155" i="14"/>
  <c r="J155" i="14"/>
  <c r="I156" i="14"/>
  <c r="J156" i="14"/>
  <c r="I157" i="14"/>
  <c r="J157" i="14"/>
  <c r="I158" i="14"/>
  <c r="J158" i="14"/>
  <c r="I159" i="14"/>
  <c r="J159" i="14"/>
  <c r="I160" i="14"/>
  <c r="J160" i="14"/>
  <c r="I161" i="14"/>
  <c r="J161" i="14"/>
  <c r="I162" i="14"/>
  <c r="J162" i="14"/>
  <c r="I163" i="14"/>
  <c r="J163" i="14"/>
  <c r="I164" i="14"/>
  <c r="J164" i="14"/>
  <c r="I165" i="14"/>
  <c r="J165" i="14"/>
  <c r="I166" i="14"/>
  <c r="J166" i="14"/>
  <c r="I167" i="14"/>
  <c r="J167" i="14"/>
  <c r="I168" i="14"/>
  <c r="J168" i="14"/>
  <c r="I169" i="14"/>
  <c r="J169" i="14"/>
  <c r="I170" i="14"/>
  <c r="J170" i="14"/>
  <c r="I171" i="14"/>
  <c r="J171" i="14"/>
  <c r="I172" i="14"/>
  <c r="J172" i="14"/>
  <c r="I173" i="14"/>
  <c r="J173" i="14"/>
  <c r="I174" i="14"/>
  <c r="J174" i="14"/>
  <c r="I175" i="14"/>
  <c r="J175" i="14"/>
  <c r="I176" i="14"/>
  <c r="J176" i="14"/>
  <c r="I177" i="14"/>
  <c r="J177" i="14"/>
  <c r="I178" i="14"/>
  <c r="J178" i="14"/>
  <c r="I179" i="14"/>
  <c r="J179" i="14"/>
  <c r="I180" i="14"/>
  <c r="J180" i="14"/>
  <c r="I181" i="14"/>
  <c r="J181" i="14"/>
  <c r="I182" i="14"/>
  <c r="J182" i="14"/>
  <c r="I183" i="14"/>
  <c r="J183" i="14"/>
  <c r="I184" i="14"/>
  <c r="J184" i="14"/>
  <c r="I185" i="14"/>
  <c r="J185" i="14"/>
  <c r="I186" i="14"/>
  <c r="J186" i="14"/>
  <c r="I187" i="14"/>
  <c r="J187" i="14"/>
  <c r="I188" i="14"/>
  <c r="J188" i="14"/>
  <c r="I189" i="14"/>
  <c r="J189" i="14"/>
  <c r="I190" i="14"/>
  <c r="J190" i="14"/>
  <c r="I191" i="14"/>
  <c r="J191" i="14"/>
  <c r="I192" i="14"/>
  <c r="J192" i="14"/>
  <c r="I193" i="14"/>
  <c r="J193" i="14"/>
  <c r="I194" i="14"/>
  <c r="J194" i="14"/>
  <c r="I195" i="14"/>
  <c r="J195" i="14"/>
  <c r="I196" i="14"/>
  <c r="J196" i="14"/>
  <c r="I197" i="14"/>
  <c r="J197" i="14"/>
  <c r="I198" i="14"/>
  <c r="J198" i="14"/>
  <c r="I199" i="14"/>
  <c r="J199" i="14"/>
  <c r="I200" i="14"/>
  <c r="J200" i="14"/>
  <c r="I201" i="14"/>
  <c r="J201" i="14"/>
  <c r="I202" i="14"/>
  <c r="J202" i="14"/>
  <c r="I203" i="14"/>
  <c r="J203" i="14"/>
  <c r="I204" i="14"/>
  <c r="J204" i="14"/>
  <c r="I205" i="14"/>
  <c r="J205" i="14"/>
  <c r="I206" i="14"/>
  <c r="J206" i="14"/>
  <c r="I207" i="14"/>
  <c r="J207" i="14"/>
  <c r="I208" i="14"/>
  <c r="J208" i="14"/>
  <c r="I209" i="14"/>
  <c r="J209" i="14"/>
  <c r="I210" i="14"/>
  <c r="J210" i="14"/>
  <c r="I211" i="14"/>
  <c r="J211" i="14"/>
  <c r="I212" i="14"/>
  <c r="J212" i="14"/>
  <c r="I213" i="14"/>
  <c r="J213" i="14"/>
  <c r="I214" i="14"/>
  <c r="J214" i="14"/>
  <c r="I215" i="14"/>
  <c r="J215" i="14"/>
  <c r="I216" i="14"/>
  <c r="J216" i="14"/>
  <c r="I217" i="14"/>
  <c r="J217" i="14"/>
  <c r="I218" i="14"/>
  <c r="J218" i="14"/>
  <c r="I219" i="14"/>
  <c r="J219" i="14"/>
  <c r="I220" i="14"/>
  <c r="J220" i="14"/>
  <c r="I221" i="14"/>
  <c r="J221" i="14"/>
  <c r="I222" i="14"/>
  <c r="J222" i="14"/>
  <c r="I223" i="14"/>
  <c r="J223" i="14"/>
  <c r="I224" i="14"/>
  <c r="J224" i="14"/>
  <c r="I225" i="14"/>
  <c r="J225" i="14"/>
  <c r="I226" i="14"/>
  <c r="J226" i="14"/>
  <c r="I227" i="14"/>
  <c r="J227" i="14"/>
  <c r="I228" i="14"/>
  <c r="J228" i="14"/>
  <c r="I229" i="14"/>
  <c r="J229" i="14"/>
  <c r="I230" i="14"/>
  <c r="J230" i="14"/>
  <c r="I231" i="14"/>
  <c r="J231" i="14"/>
  <c r="I232" i="14"/>
  <c r="J232" i="14"/>
  <c r="I233" i="14"/>
  <c r="J233" i="14"/>
  <c r="I234" i="14"/>
  <c r="J234" i="14"/>
  <c r="I235" i="14"/>
  <c r="J235" i="14"/>
  <c r="I236" i="14"/>
  <c r="J236" i="14"/>
  <c r="I237" i="14"/>
  <c r="J237" i="14"/>
  <c r="I238" i="14"/>
  <c r="J238" i="14"/>
  <c r="I239" i="14"/>
  <c r="J239" i="14"/>
  <c r="I240" i="14"/>
  <c r="J240" i="14"/>
  <c r="I241" i="14"/>
  <c r="J241" i="14"/>
  <c r="I242" i="14"/>
  <c r="J242" i="14"/>
  <c r="I243" i="14"/>
  <c r="J243" i="14"/>
  <c r="I244" i="14"/>
  <c r="J244" i="14"/>
  <c r="I245" i="14"/>
  <c r="J245" i="14"/>
  <c r="I246" i="14"/>
  <c r="J246" i="14"/>
  <c r="I247" i="14"/>
  <c r="J247" i="14"/>
  <c r="I248" i="14"/>
  <c r="J248" i="14"/>
  <c r="I249" i="14"/>
  <c r="J249" i="14"/>
  <c r="I250" i="14"/>
  <c r="J250" i="14"/>
  <c r="I251" i="14"/>
  <c r="J251" i="14"/>
  <c r="I252" i="14"/>
  <c r="J252" i="14"/>
  <c r="I253" i="14"/>
  <c r="J253" i="14"/>
  <c r="I254" i="14"/>
  <c r="J254" i="14"/>
  <c r="I255" i="14"/>
  <c r="J255" i="14"/>
  <c r="I256" i="14"/>
  <c r="J256" i="14"/>
  <c r="I257" i="14"/>
  <c r="J257" i="14"/>
  <c r="I258" i="14"/>
  <c r="J258" i="14"/>
  <c r="I259" i="14"/>
  <c r="J259" i="14"/>
  <c r="I260" i="14"/>
  <c r="J260" i="14"/>
  <c r="I261" i="14"/>
  <c r="J261" i="14"/>
  <c r="I262" i="14"/>
  <c r="J262" i="14"/>
  <c r="I263" i="14"/>
  <c r="J263" i="14"/>
  <c r="I264" i="14"/>
  <c r="J264" i="14"/>
  <c r="I265" i="14"/>
  <c r="J265" i="14"/>
  <c r="I266" i="14"/>
  <c r="J266" i="14"/>
  <c r="I267" i="14"/>
  <c r="J267" i="14"/>
  <c r="I268" i="14"/>
  <c r="J268" i="14"/>
  <c r="I269" i="14"/>
  <c r="J269" i="14"/>
  <c r="I270" i="14"/>
  <c r="J270" i="14"/>
  <c r="I271" i="14"/>
  <c r="J271" i="14"/>
  <c r="I272" i="14"/>
  <c r="J272" i="14"/>
  <c r="I273" i="14"/>
  <c r="J273" i="14"/>
  <c r="I274" i="14"/>
  <c r="J274" i="14"/>
  <c r="I275" i="14"/>
  <c r="J275" i="14"/>
  <c r="I276" i="14"/>
  <c r="J276" i="14"/>
  <c r="I277" i="14"/>
  <c r="J277" i="14"/>
  <c r="I278" i="14"/>
  <c r="J278" i="14"/>
  <c r="I279" i="14"/>
  <c r="J279" i="14"/>
  <c r="I280" i="14"/>
  <c r="J280" i="14"/>
  <c r="I281" i="14"/>
  <c r="J281" i="14"/>
  <c r="I282" i="14"/>
  <c r="J282" i="14"/>
  <c r="I283" i="14"/>
  <c r="J283" i="14"/>
  <c r="I284" i="14"/>
  <c r="J284" i="14"/>
  <c r="I285" i="14"/>
  <c r="J285" i="14"/>
  <c r="I286" i="14"/>
  <c r="J286" i="14"/>
  <c r="I287" i="14"/>
  <c r="J287" i="14"/>
  <c r="I288" i="14"/>
  <c r="J288" i="14"/>
  <c r="I289" i="14"/>
  <c r="J289" i="14"/>
  <c r="I290" i="14"/>
  <c r="J290" i="14"/>
  <c r="I291" i="14"/>
  <c r="J291" i="14"/>
  <c r="I292" i="14"/>
  <c r="J292" i="14"/>
  <c r="I293" i="14"/>
  <c r="J293" i="14"/>
  <c r="I294" i="14"/>
  <c r="J294" i="14"/>
  <c r="I295" i="14"/>
  <c r="J295" i="14"/>
  <c r="I296" i="14"/>
  <c r="J296" i="14"/>
  <c r="I297" i="14"/>
  <c r="J297" i="14"/>
  <c r="I298" i="14"/>
  <c r="J298" i="14"/>
  <c r="I299" i="14"/>
  <c r="J299" i="14"/>
  <c r="I300" i="14"/>
  <c r="J300" i="14"/>
  <c r="I301" i="14"/>
  <c r="J301" i="14"/>
  <c r="I302" i="14"/>
  <c r="J302" i="14"/>
  <c r="I303" i="14"/>
  <c r="J303" i="14"/>
  <c r="I304" i="14"/>
  <c r="J304" i="14"/>
  <c r="I305" i="14"/>
  <c r="J305" i="14"/>
  <c r="I306" i="14"/>
  <c r="J306" i="14"/>
  <c r="I307" i="14"/>
  <c r="J307" i="14"/>
  <c r="I308" i="14"/>
  <c r="J308" i="14"/>
  <c r="I309" i="14"/>
  <c r="J309" i="14"/>
  <c r="I310" i="14"/>
  <c r="J310" i="14"/>
  <c r="I311" i="14"/>
  <c r="J311" i="14"/>
  <c r="I312" i="14"/>
  <c r="J312" i="14"/>
  <c r="I313" i="14"/>
  <c r="J313" i="14"/>
  <c r="I314" i="14"/>
  <c r="J314" i="14"/>
  <c r="I315" i="14"/>
  <c r="J315" i="14"/>
  <c r="I316" i="14"/>
  <c r="J316" i="14"/>
  <c r="I317" i="14"/>
  <c r="J317" i="14"/>
  <c r="I318" i="14"/>
  <c r="J318" i="14"/>
  <c r="I319" i="14"/>
  <c r="J319" i="14"/>
  <c r="I320" i="14"/>
  <c r="J320" i="14"/>
  <c r="I321" i="14"/>
  <c r="J321" i="14"/>
  <c r="I322" i="14"/>
  <c r="J322" i="14"/>
  <c r="I323" i="14"/>
  <c r="J323" i="14"/>
  <c r="I324" i="14"/>
  <c r="J324" i="14"/>
  <c r="I325" i="14"/>
  <c r="J325" i="14"/>
  <c r="I326" i="14"/>
  <c r="J326" i="14"/>
  <c r="I327" i="14"/>
  <c r="J327" i="14"/>
  <c r="I328" i="14"/>
  <c r="J328" i="14"/>
  <c r="I329" i="14"/>
  <c r="J329" i="14"/>
  <c r="I330" i="14"/>
  <c r="J330" i="14"/>
  <c r="I331" i="14"/>
  <c r="J331" i="14"/>
  <c r="I332" i="14"/>
  <c r="J332" i="14"/>
  <c r="I333" i="14"/>
  <c r="J333" i="14"/>
  <c r="I334" i="14"/>
  <c r="J334" i="14"/>
  <c r="I335" i="14"/>
  <c r="J335" i="14"/>
  <c r="I336" i="14"/>
  <c r="J336" i="14"/>
  <c r="I337" i="14"/>
  <c r="J337" i="14"/>
  <c r="I18" i="14"/>
  <c r="J18" i="14"/>
  <c r="I19" i="14"/>
  <c r="J19" i="14"/>
  <c r="I20" i="14"/>
  <c r="J20" i="14"/>
  <c r="I21" i="14"/>
  <c r="J21" i="14"/>
  <c r="I22" i="14"/>
  <c r="J22" i="14"/>
  <c r="I23" i="14"/>
  <c r="J23" i="14"/>
  <c r="I24" i="14"/>
  <c r="J24" i="14"/>
  <c r="I25" i="14"/>
  <c r="J25" i="14"/>
  <c r="I26" i="14"/>
  <c r="J26" i="14"/>
  <c r="I27" i="14"/>
  <c r="J27" i="14"/>
  <c r="I28" i="14"/>
  <c r="J28" i="14"/>
  <c r="I29" i="14"/>
  <c r="J29" i="14"/>
  <c r="I30" i="14"/>
  <c r="J30" i="14"/>
  <c r="I31" i="14"/>
  <c r="J31" i="14"/>
  <c r="I32" i="14"/>
  <c r="J32" i="14"/>
  <c r="I33" i="14"/>
  <c r="J33" i="14"/>
  <c r="I34" i="14"/>
  <c r="J34" i="14"/>
  <c r="I35" i="14"/>
  <c r="J35" i="14"/>
  <c r="I36" i="14"/>
  <c r="J36" i="14"/>
  <c r="I37" i="14"/>
  <c r="J37" i="14"/>
  <c r="I38" i="14"/>
  <c r="J38" i="14"/>
  <c r="I39" i="14"/>
  <c r="J39" i="14"/>
  <c r="I40" i="14"/>
  <c r="J40" i="14"/>
  <c r="I41" i="14"/>
  <c r="J41" i="14"/>
  <c r="I42" i="14"/>
  <c r="J42" i="14"/>
  <c r="I43" i="14"/>
  <c r="J43" i="14"/>
  <c r="I44" i="14"/>
  <c r="J44" i="14"/>
  <c r="I45" i="14"/>
  <c r="J45" i="14"/>
  <c r="I46" i="14"/>
  <c r="J46" i="14"/>
  <c r="I47" i="14"/>
  <c r="J47" i="14"/>
  <c r="I48" i="14"/>
  <c r="J48" i="14"/>
  <c r="I49" i="14"/>
  <c r="J49" i="14"/>
  <c r="I50" i="14"/>
  <c r="J50" i="14"/>
  <c r="I51" i="14"/>
  <c r="J51" i="14"/>
  <c r="I52" i="14"/>
  <c r="J52" i="14"/>
  <c r="I53" i="14"/>
  <c r="J53" i="14"/>
  <c r="I54" i="14"/>
  <c r="J54" i="14"/>
  <c r="I55" i="14"/>
  <c r="J55" i="14"/>
  <c r="I56" i="14"/>
  <c r="J56" i="14"/>
  <c r="I57" i="14"/>
  <c r="J57" i="14"/>
  <c r="J17" i="14"/>
  <c r="I17" i="14"/>
  <c r="J10" i="14"/>
  <c r="I10" i="14"/>
  <c r="I6" i="14"/>
  <c r="J6" i="14"/>
  <c r="I7" i="14"/>
  <c r="J7" i="14"/>
  <c r="I8" i="14"/>
  <c r="J8" i="14"/>
  <c r="I9" i="14"/>
  <c r="J9" i="14"/>
  <c r="J5" i="14"/>
  <c r="I5" i="14"/>
  <c r="D75" i="13" l="1"/>
  <c r="C75" i="13"/>
  <c r="E75" i="13" s="1"/>
  <c r="D74" i="13"/>
  <c r="C74" i="13"/>
  <c r="D73" i="13"/>
  <c r="C73" i="13"/>
  <c r="C72" i="13"/>
  <c r="C63" i="13"/>
  <c r="C62" i="13"/>
  <c r="C61" i="13"/>
  <c r="C58" i="13"/>
  <c r="C57" i="13"/>
  <c r="C56" i="13"/>
  <c r="C55" i="13"/>
  <c r="C54" i="13"/>
  <c r="C53" i="13"/>
  <c r="E74" i="13" l="1"/>
</calcChain>
</file>

<file path=xl/sharedStrings.xml><?xml version="1.0" encoding="utf-8"?>
<sst xmlns="http://schemas.openxmlformats.org/spreadsheetml/2006/main" count="4873" uniqueCount="1950">
  <si>
    <t>Date de soumission du projet de BPU</t>
  </si>
  <si>
    <t>Date de validation du BPU</t>
  </si>
  <si>
    <t>Version</t>
  </si>
  <si>
    <t>Mise à jour des Tarifs Matinfo 5</t>
  </si>
  <si>
    <t>Code couleur</t>
  </si>
  <si>
    <t>Descriptif</t>
  </si>
  <si>
    <t>V1</t>
  </si>
  <si>
    <t>Démarrage Matinfo 5</t>
  </si>
  <si>
    <t>Texte</t>
  </si>
  <si>
    <t>Option non disponible dans les DROM COM</t>
  </si>
  <si>
    <t>Intégration onglet maintien parc existant Dell</t>
  </si>
  <si>
    <t>Option spécifique aux DROM COM</t>
  </si>
  <si>
    <t>Transition sur les nouveaux modèles / options</t>
  </si>
  <si>
    <t>Option spécifique à la location</t>
  </si>
  <si>
    <t>Retrait des produits / options en fin de vie</t>
  </si>
  <si>
    <t>Modifications mineures de certains libellés</t>
  </si>
  <si>
    <t>V2</t>
  </si>
  <si>
    <t xml:space="preserve">Retrait de la configuration Cat1Conf5a </t>
  </si>
  <si>
    <t>Retrait WYSE 3040 et 5030 PCoIP et Ajout WYSE 5470 Mobile en versions Win10 IOT et ThinOS</t>
  </si>
  <si>
    <t>Révision des prix à hauteur de 2.5% sur l’ensemble des lignes (hors options service)</t>
  </si>
  <si>
    <t>V3</t>
  </si>
  <si>
    <t>Hausse de 5% sur l'ensemble des machines et composants (application de la paritié €/$)</t>
  </si>
  <si>
    <t>Ajout du Precision 5560 en Catégorie 1 Configuration 5</t>
  </si>
  <si>
    <t>Révision tarifaire temporaire, liée à la conjoncture du Marché IT et à la crise sanitaire, sur certaines bases (augmentation de 10% sur les Precision 3650 et 3561) et extensions communes (hausses tarifaires sur les moniteurs 24 pouces)</t>
  </si>
  <si>
    <t>Ajout des options spécifiques aux DROM COM et mise en place du code couleur ci-contre</t>
  </si>
  <si>
    <t>Modification des GPU au niveau des configurations de base des Precision Tour et Rack</t>
  </si>
  <si>
    <t xml:space="preserve">Passage sur une dalle FHD 500 nits sur les configurations de base des Precision 7560 et 7760 </t>
  </si>
  <si>
    <t>Catégorie 2 Configuration 1 : Passage temporaire de la configuration de base sous Windows en attendant le support de la carte T1000 (8Go) sous Ubuntu</t>
  </si>
  <si>
    <t>Promotion sur le portail Dell Matinfo jusqu'à la prochaine mise à jours des barrettes 128Go de Cat3Conf2&amp;3</t>
  </si>
  <si>
    <t>V4</t>
  </si>
  <si>
    <t>Cat1Conf4: Transition Precision 3561 vers Precision 3571 (processeurs 12eme Gen, mémoire DDR5, WIFI 6E)</t>
  </si>
  <si>
    <t>Cat1Conf5: Transition Precision 5560 vers Precision 5570 (processeurs 12eme Gen, mémoire DDR5, WIFI 6E)</t>
  </si>
  <si>
    <t>Catégorie 3 : Retraits / ajouts cartes graphiques</t>
  </si>
  <si>
    <t>Extensions : Modification de certains libellés, Retrait des produits / options en fin de vie</t>
  </si>
  <si>
    <t>Maintien Parc existant : Modification de certains libellés, Retrait des produits / options en fin de vie</t>
  </si>
  <si>
    <t>V5</t>
  </si>
  <si>
    <t>Hausse de 5% sur l'ensemble des machines et composants (application de la parité €/$)
Le nouveau taux de parité pris en compte est celui du mois de septembre 2022 : 0,9904 arrondi au dixième soit 1,0</t>
  </si>
  <si>
    <t>Révision tarifaire provisoire liée à la conjoncture du Marché IT  : augmentation globale de 10% sur la base des consommations MATINFO 5 répartie de la façon suivante: +11% sur les stations de travail dont service et OS ainsi que sur les docks et +5% sur les clients légers, les écrans et périphériques. Cette révision sera réexaminée d'ici fin Mars 2023</t>
  </si>
  <si>
    <t>Cat1Conf1: Transition Precision 3240 vers Precision 3260 Compact</t>
  </si>
  <si>
    <t>Cat1Conf2: Transition Precision 3450 vers Precision 3460 SFF</t>
  </si>
  <si>
    <t>Cat1Conf3/cat2Conf1&amp;2: Transition Precision 3650 vers Precision 3660 MT</t>
  </si>
  <si>
    <t>Cat1Conf5Bis: Ajout Precision mobile 5470</t>
  </si>
  <si>
    <t>Cat1Conf6: Transition Precision 7760 vers Precision 7770</t>
  </si>
  <si>
    <t>Cat2conf3: Transition Precision 7560 vers Precision 7670</t>
  </si>
  <si>
    <t>Cat3Conf1: Modification de la configuration de base avec Passage de T400 2Go à T400 4Go - Passage sur stockage Flexbay</t>
  </si>
  <si>
    <t>Cat3Conf2: Modification de la configuration: passage sur stockage Flexbay</t>
  </si>
  <si>
    <t>V6</t>
  </si>
  <si>
    <t>Baisse de 5% sur l'ensemble des machines et composants (application de la parité €/$) hors prestations de service, logiciels et garanties associées aux matériels
Le nouveau taux de parité pris en compte est celui du mois de Février 2023 : 1,0715 arrondi au dixième soit 1,1</t>
  </si>
  <si>
    <t>Cat1Conf4b:  Ajout Precision 3581</t>
  </si>
  <si>
    <t>Extensions : Retrait des produits / options en fin de vie</t>
  </si>
  <si>
    <t>V7</t>
  </si>
  <si>
    <t>Annulation de la révision tarifaire provisoire liée à la conjoncture du Marché IT accordée sur le BPU V5 (exemple de calcul a droite pour expliquer les formules et le retour a la situation de départ)</t>
  </si>
  <si>
    <t>Révision des prix à hauteur de 2.5% sur l’ensemble des lignes</t>
  </si>
  <si>
    <t>Tower 3x60: Transition CPU vers 13eme gen</t>
  </si>
  <si>
    <t>Cat1Conf4 : Retrait Precision 3571</t>
  </si>
  <si>
    <t>Cat1Conf5 : Retrait Precision 5570 sans successeur</t>
  </si>
  <si>
    <t>Cat1Conf5Bis: Transition Precision 5470 vers 5480</t>
  </si>
  <si>
    <t>Cat1Conf6: Transition Precision 7770 vers Precision 7780</t>
  </si>
  <si>
    <t>Cat2conf3: Transition Precision 7670 vers Precision 7680</t>
  </si>
  <si>
    <t>Cat3Conf2Bis: ajout Precision 7865 Tower</t>
  </si>
  <si>
    <t>Ajout onglets ''location''</t>
  </si>
  <si>
    <t>V8</t>
  </si>
  <si>
    <t>Catégories 1/2/3: Introduction des GPU RTX 4000 SFF Ada, RTX 6000 Ada et Geforce RTX 4060/4070/4080/4090 (3660 MT uniquement)</t>
  </si>
  <si>
    <t>Catégorie 1 : Baisse prix Precision 3581 Mobile</t>
  </si>
  <si>
    <t>Catégorie 1/2/3 : Baisse de prix sur certaines options stockage: SSD 2To, SSD 4To et HDD 1To 7200 tpm</t>
  </si>
  <si>
    <t>Cat3Conf1: Transition 5820 Tower vers 5860 Tower</t>
  </si>
  <si>
    <t>Cat3Conf2: Transtion 7920 Tower vers 7960 Tower</t>
  </si>
  <si>
    <t>Cat3Conf2Bis: Ajout options CPU sur Precision 7865 Tower</t>
  </si>
  <si>
    <t>Cat3Conf3: Transition 7920 Rack vers 7960 Rack</t>
  </si>
  <si>
    <t>V9</t>
  </si>
  <si>
    <t>Catégorie 1 : Transition 3260 vers 3280 CFF, 3660 vers 3680 MT, refresh CPU sur 3460 SFF</t>
  </si>
  <si>
    <t>Catégorie 1 : Transition mobile 3581 vers 3591 et 5480 vers 5490</t>
  </si>
  <si>
    <t>Catégorie 2: Transition 3660 vers 3680 MT</t>
  </si>
  <si>
    <t>Catégorie 3: Transition 7865 vers 7875 Tower</t>
  </si>
  <si>
    <t>V10</t>
  </si>
  <si>
    <t>Révision des prix à hauteur de 2.44% sur l’ensemble des lignes en appliquant la répartition suivante : +3% sur les bases et options des stations (onglet BPU lot 3) et Maintien des prix sur les extensions communes. Simulation démontrée lors du COMOP de Juillet 2024</t>
  </si>
  <si>
    <t xml:space="preserve">Catégories 1/2/3: proposition de baisse de prix sur les options SSD 2To et 4To </t>
  </si>
  <si>
    <t>Catégorie 1 &amp; 2 :  ajout RTX 2000 Ada sur 3460SFF, Ajout SSD 4To sur 3680 MT</t>
  </si>
  <si>
    <t>Catégorie 3 : ajout nouveaux CPUs sur 7960 Tower &amp; 7960 Rack  - Ajout options GPU sur 7960 Rack</t>
  </si>
  <si>
    <t xml:space="preserve">Maintien des coefficients de location sur les options 12 &amp; 24 mois et retrait loyers trimestriels 36 &amp; 48 mois </t>
  </si>
  <si>
    <t>Bordereau de prix</t>
  </si>
  <si>
    <t>CATEGORIE 1 : Modélisation</t>
  </si>
  <si>
    <t>Désignation/Description des matériels</t>
  </si>
  <si>
    <t>Référence constructeur
(le cas échéant)</t>
  </si>
  <si>
    <t>Numéro 
de référence</t>
  </si>
  <si>
    <t>Tarif en € HT</t>
  </si>
  <si>
    <r>
      <t xml:space="preserve">CAT1_Configuration n°1 - PRECISION 3280 format Compact
</t>
    </r>
    <r>
      <rPr>
        <sz val="10"/>
        <rFont val="Calibri"/>
        <family val="2"/>
        <scheme val="minor"/>
      </rPr>
      <t>Bloc d'alimentation 280W - Norme Energy star
Intel Core i5-14500 (14 cœurs HT, 2.6-5.0 Ghz Turbo,24 Mo cache, 65W)
16Go 5600MT/s DDR5 - 1x16Go
SSD 256Go M.2 PCIe NVMe Classe 35
NVIDIA T400 4Go (384 cœurs CUDA, 3x mDP) 
Ubuntu 22.04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</si>
  <si>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3280 Compact</t>
  </si>
  <si>
    <t>3-1-1-1a</t>
  </si>
  <si>
    <r>
      <t xml:space="preserve">CAT1_Configuration n°2 - PRECISION 3460 format SFF
</t>
    </r>
    <r>
      <rPr>
        <sz val="10"/>
        <rFont val="Calibri"/>
        <family val="2"/>
        <scheme val="minor"/>
      </rPr>
      <t>Alimentation 300W Platinum jusqu'à 92% d'efficacité  - norme ENERGY STAR
Intel Core i5-14500 (14 cœurs HT, 2.6-5.0Ghz Turbo,24 Mo cache, 65W)
16Go 5600 MT/s DDR5 - 1x16Go
SSD 256Go M.2 PCIe NVMe Classe 35
NVIDIA T400 4Go (384 cœurs CUDA, 3x mDP) 
Ubuntu 22.04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</si>
  <si>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3460 SFF</t>
  </si>
  <si>
    <t>3-1-2-1a</t>
  </si>
  <si>
    <r>
      <t xml:space="preserve">CAT1_Configuration n°3 - PRECISION 3680 format MT
</t>
    </r>
    <r>
      <rPr>
        <sz val="10"/>
        <rFont val="Calibri"/>
        <family val="2"/>
        <scheme val="minor"/>
      </rPr>
      <t>Alimentation 500W Platinum jusqu'à 92% d'efficacité  - norme ENERGY STAR
Système de refroidissement standard
Intel Core i5-14500 (14 cœurs HT, 2.6-5.0 Ghz Turbo,24 Mo cache, 65W)
16Go 4400 MT/s DDR5 - 2x8Go
SSD 256Go M.2 PCIe NVMe Classe 35
NVIDIA T400 4Go (384 cœurs CUDA, 3x mDP) 
Ubuntu 22.04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</si>
  <si>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3680 MT</t>
  </si>
  <si>
    <t>3-1-3-1a</t>
  </si>
  <si>
    <r>
      <rPr>
        <b/>
        <sz val="10"/>
        <rFont val="Calibri"/>
        <family val="2"/>
        <scheme val="minor"/>
      </rPr>
      <t>CAT1_Configuration n°4 - PRECISION Mobile 3591</t>
    </r>
    <r>
      <rPr>
        <sz val="10"/>
        <rFont val="Calibri"/>
        <family val="2"/>
        <scheme val="minor"/>
      </rPr>
      <t xml:space="preserve">
Intel Core Ultra 5 135H (14 Coeurs HT, 2.5-4.6GHz Turbo, 18Mo cache) et NVIDIA RTX 500 Ada (4Go DDR6, 2048 coeurs CUDA)
Écran 15,6" non tactile antireflet FHD (1 920 x 1 080), 250 nits, 45% NTSC, caméra FHD - Incompatible 4G/5G
16Go 5600 MT/s DDR5 - 1x16Go 
SSD 512Go M.2 PCIe NVMe Classe 35
Repose-poignets simple pointage sans dispositif de sécurité
Intel Wi-Fi 6 AX211, WIFI-6E(802.11ax)  + Bluetooth 5.2
Batterie 4 cellules 64Wh LLC (5 ans de garantie, 1000 cycles, Express charge 1.0) 
Bloc d'alimentation Type-C 130W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</si>
  <si>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3591</t>
  </si>
  <si>
    <t>3-1-4-1a</t>
  </si>
  <si>
    <r>
      <rPr>
        <b/>
        <sz val="10"/>
        <rFont val="Calibri"/>
        <family val="2"/>
        <scheme val="minor"/>
      </rPr>
      <t>CAT1_Configuration n°5Bis - PRECISION Mobile 5490</t>
    </r>
    <r>
      <rPr>
        <sz val="10"/>
        <rFont val="Calibri"/>
        <family val="2"/>
        <scheme val="minor"/>
      </rPr>
      <t xml:space="preserve">
Intel Core Ultra 7 155H(16 Cœurs HT, 2.5-4.8 GHz Turbo, 24Mo cache), Mémoire 16Go 7467 MT/s LPDDR5 et NVIDIA RTX 1000 Ada 6Go
Écran 14" 16:10 non tactile antireflet FHD+ (1 920 x 1 200), 500 nits,  sRVB 100%, webcam FHD IR (Presence Detection)
SSD 512Go M.2 PCIe NVMe Classe 40
Batterie 4 cellules72Wh Long Life (5 ans de garantie, 1000 cycles, Express Charge 1.0) 
Intel Wi-Fi 7 BE200  + Bluetooth 5.4
Repose-poignets simple pointage avec lecteur d'empreintes
Bloc d'alimentation Type-C 130W
Adaptateur USB-C vers USB-A+HDMI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</si>
  <si>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5490</t>
  </si>
  <si>
    <t>3-1-5-1abis</t>
  </si>
  <si>
    <r>
      <rPr>
        <b/>
        <sz val="10"/>
        <color theme="1"/>
        <rFont val="Calibri"/>
        <family val="2"/>
        <scheme val="minor"/>
      </rPr>
      <t>CAT1_Configuration n°6 - PRECISION Mobile 7780</t>
    </r>
    <r>
      <rPr>
        <sz val="10"/>
        <color theme="1"/>
        <rFont val="Calibri"/>
        <family val="2"/>
        <scheme val="minor"/>
      </rPr>
      <t xml:space="preserve">
Intel Core i7-13850HX (20 Cœurs HT, 2.1-5.3GHz Turbo, 30Mo cache)
NVIDIA RTX 2000 ADA (8Go DDR6, 3072 coeurs CUDA, 96  coeurs Tensor, 24 coeurs RT)
Écran 17,3" non tactile antireflet FHD (1920 x 1080), 500nits, 100% DCI-P3, webcam FHD
16Go 5600 MT/s DDR5 - 1x16Go non ECC
SSD 512 Go M.2 PCIe NVMe classe 40
Batterie 6 cellules 93Wh Long Life (5 ans de garantie, 1000 cycles, Express Charge 1.0) 
Bloc d'alimentation Barrel 240W
Intel Wi-Fi 6 AX211, WIFI-6E (802.11ax)  + Bluetooth 5.2
Repose-poignets simple pointage sans dispositif de sécurité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</si>
  <si>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7780</t>
  </si>
  <si>
    <t>3-1-6-1a</t>
  </si>
  <si>
    <t>CATEGORIE 1 : extensions et périphériques associés, extensions de garantie, installation, etc.</t>
  </si>
  <si>
    <t>TARIFS
 en € HT</t>
  </si>
  <si>
    <t>CAT1_Configuration n°1 - PRECISION 3280 format Compact</t>
  </si>
  <si>
    <t>Passages de processeur</t>
  </si>
  <si>
    <t>Intel Core i5-14600 (14 cœurs HT, 2.7-5.2 Ghz Turbo,24 Mo cache, 65W)</t>
  </si>
  <si>
    <t>3-1-1-2</t>
  </si>
  <si>
    <t>Intel Core i7-14700 (20 cœurs HT, 2.1-5.4 Ghz Turbo, 33 Mo cache, 65W)</t>
  </si>
  <si>
    <t>3-1-1-3</t>
  </si>
  <si>
    <t>Intel Core i9-14900 (24 cœurs HT, 2.0-5.8 Ghz Turbo, 36 Mo cache, 65W)</t>
  </si>
  <si>
    <t>3-1-1-4</t>
  </si>
  <si>
    <t>Passages de mémoire</t>
  </si>
  <si>
    <t>32Go 5600 MT/s DDR5 - 2x16Go</t>
  </si>
  <si>
    <t>3-1-1-8</t>
  </si>
  <si>
    <t>32Go 5600 MT/s DDR5 - 1x32Go</t>
  </si>
  <si>
    <t>3-1-1-5</t>
  </si>
  <si>
    <t xml:space="preserve">64Go 5600 MT/s DDR5 - 2x32Go </t>
  </si>
  <si>
    <t>3-1-1-9</t>
  </si>
  <si>
    <t>1er disque dur (passage)</t>
  </si>
  <si>
    <t>SSD 512Go M.2 PCIe NVMe Classe 40</t>
  </si>
  <si>
    <t>3-1-1-13</t>
  </si>
  <si>
    <t>SSD 1To M.2 PCIe NVMe Classe 40</t>
  </si>
  <si>
    <t>3-1-1-14</t>
  </si>
  <si>
    <t>SSD 2To M.2 PCIe NVMe Classe 40</t>
  </si>
  <si>
    <t>3-1-1-15</t>
  </si>
  <si>
    <t>Ajout 2nd disque dur</t>
  </si>
  <si>
    <t>SSD 256Go M.2 PCIe NVMe Classe 35</t>
  </si>
  <si>
    <t>3-1-1-16</t>
  </si>
  <si>
    <t>3-1-1-17</t>
  </si>
  <si>
    <t>3-1-1-18</t>
  </si>
  <si>
    <t>3-1-1-19</t>
  </si>
  <si>
    <t>Carte graphique (passsage)</t>
  </si>
  <si>
    <t xml:space="preserve">NVIDIA T1000 8Go (896 cœurs CUDA, 4x mDP) </t>
  </si>
  <si>
    <t>3-1-3-25</t>
  </si>
  <si>
    <t xml:space="preserve">NVIDIA RTX 2000 Ada 16Go (2816 cœurs CUDA, 4xmDP, Dual slot) </t>
  </si>
  <si>
    <t>3-1-1-36</t>
  </si>
  <si>
    <t xml:space="preserve">NVIDIA RTX 4000 Ada SFF 20Go (6144 cœurs CUDA, 4xmDP, Dual slot) - incompatible avec autres cartes PCIe </t>
  </si>
  <si>
    <t>3-1-2-2</t>
  </si>
  <si>
    <t xml:space="preserve">Cartes d'interface aditionnelles - 1 seul choix parmi Carte réseau, carte sans fil et carte PCIe </t>
  </si>
  <si>
    <r>
      <t xml:space="preserve">Port VGA intégré </t>
    </r>
    <r>
      <rPr>
        <sz val="10"/>
        <color rgb="FFFF0000"/>
        <rFont val="Calibri"/>
        <family val="2"/>
        <scheme val="minor"/>
      </rPr>
      <t>- Un seul choix possible</t>
    </r>
  </si>
  <si>
    <t>3-1-1-28</t>
  </si>
  <si>
    <r>
      <t xml:space="preserve">Port HDMI intégré </t>
    </r>
    <r>
      <rPr>
        <sz val="10"/>
        <color rgb="FFFF0000"/>
        <rFont val="Calibri"/>
        <family val="2"/>
        <scheme val="minor"/>
      </rPr>
      <t>- Un seul choix possible</t>
    </r>
  </si>
  <si>
    <t>3-1-1-29</t>
  </si>
  <si>
    <r>
      <t xml:space="preserve">Port DP intégré </t>
    </r>
    <r>
      <rPr>
        <sz val="10"/>
        <color rgb="FFFF0000"/>
        <rFont val="Calibri"/>
        <family val="2"/>
        <scheme val="minor"/>
      </rPr>
      <t>- Un seul choix possible</t>
    </r>
  </si>
  <si>
    <t>3-1-1-30</t>
  </si>
  <si>
    <r>
      <t xml:space="preserve">Carte PCIe avec port USB-C supplémentaire - </t>
    </r>
    <r>
      <rPr>
        <sz val="10"/>
        <color rgb="FFFF0000"/>
        <rFont val="Calibri"/>
        <family val="2"/>
        <scheme val="minor"/>
      </rPr>
      <t>Un seul choix possible - Uniquement avec carte graphique de base</t>
    </r>
  </si>
  <si>
    <t>3-1-2-21</t>
  </si>
  <si>
    <r>
      <t>Carte PCIe avec port série mi-hauteur -</t>
    </r>
    <r>
      <rPr>
        <sz val="10"/>
        <color rgb="FFFF0000"/>
        <rFont val="Calibri"/>
        <family val="2"/>
        <scheme val="minor"/>
      </rPr>
      <t xml:space="preserve"> un seul choix possible - Uniquement avec carte graphique de base</t>
    </r>
  </si>
  <si>
    <t>3-1-2-22</t>
  </si>
  <si>
    <t xml:space="preserve">Carte Réseau additionnelle - 1 seul choix parmi Carte réseau, carte sans fil et carte PCIe </t>
  </si>
  <si>
    <r>
      <t xml:space="preserve">Seconde carte PCIe d‘interface réseau Intel I226 2.5GbE - </t>
    </r>
    <r>
      <rPr>
        <sz val="10"/>
        <color rgb="FFFF0000"/>
        <rFont val="Calibri"/>
        <family val="2"/>
        <scheme val="minor"/>
      </rPr>
      <t>Uniquement avec carte graphique de base</t>
    </r>
  </si>
  <si>
    <t>3-1-1-35</t>
  </si>
  <si>
    <t xml:space="preserve">Carte sans fil additionnelle (Ajout) - 1 seul choix parmi Carte réseau, carte sans fil et carte PCIe </t>
  </si>
  <si>
    <t>Carte bibande Intel® Wireless WIFI6E AX211 (2x2) + Bluetooth 5.2 - antenne interne</t>
  </si>
  <si>
    <t>3-1-1-31</t>
  </si>
  <si>
    <t>Gestion avancée</t>
  </si>
  <si>
    <t>Activation ISM (Intel Standard Management)</t>
  </si>
  <si>
    <t>3-1-1-32</t>
  </si>
  <si>
    <t xml:space="preserve">Activation des fonctionnalités de gestion avancées Intel® vPro en Usine </t>
  </si>
  <si>
    <t>3-1-1-33</t>
  </si>
  <si>
    <t>Passage au clavier QWERTY US</t>
  </si>
  <si>
    <t>Passage au clavier Multimédia QWERTY US</t>
  </si>
  <si>
    <t>3-1-1-34</t>
  </si>
  <si>
    <t>CAT1_Configuration n°2 - PRECISION 3460 format SFF</t>
  </si>
  <si>
    <t>Processeur (Passage)</t>
  </si>
  <si>
    <t>32Go 5200 MT/s DDR5 - 1x32Go</t>
  </si>
  <si>
    <t>64Go 5200 MT/s DDR5 - 2x32Go</t>
  </si>
  <si>
    <t>SSD 512GoM.2 PCIe NVMe Classe 40</t>
  </si>
  <si>
    <t>DD 1To 7200 tr/min 3"5</t>
  </si>
  <si>
    <t>3-1-2-10</t>
  </si>
  <si>
    <r>
      <t>DD 2To 7200 tr/min 3"5</t>
    </r>
    <r>
      <rPr>
        <sz val="10"/>
        <color rgb="FFFF0000"/>
        <rFont val="Calibri"/>
        <family val="2"/>
        <scheme val="minor"/>
      </rPr>
      <t xml:space="preserve"> </t>
    </r>
  </si>
  <si>
    <t>3-1-2-11</t>
  </si>
  <si>
    <t xml:space="preserve">DD 4To 5400 Tr/min 3,5" </t>
  </si>
  <si>
    <t>3-1-2-12</t>
  </si>
  <si>
    <t>NVIDIA RTX A2000 12 Go (3228 cœurs CUDA, 4xmDP)</t>
  </si>
  <si>
    <t>3-1-3-27</t>
  </si>
  <si>
    <t xml:space="preserve">NVIDIA RTX 4000 Ada SFF 20Go (6144 cœurs CUDA, 4xmDP, Dual slot) </t>
  </si>
  <si>
    <t>Lecteur optique et/ou de cartes mémoire Aditionnel</t>
  </si>
  <si>
    <t>Lecteur de carte micro SD</t>
  </si>
  <si>
    <t>3-1-2-15</t>
  </si>
  <si>
    <t>Graveur DVD+/-RW ultraplat 8x</t>
  </si>
  <si>
    <t>3-1-2-17</t>
  </si>
  <si>
    <t>Port additionnel - 1 seul choix possible</t>
  </si>
  <si>
    <r>
      <t xml:space="preserve">Carte PCIe avec port USB-C supplémentaire - </t>
    </r>
    <r>
      <rPr>
        <sz val="10"/>
        <color rgb="FFFF0000"/>
        <rFont val="Calibri"/>
        <family val="2"/>
        <scheme val="minor"/>
      </rPr>
      <t>Un seul choix possible</t>
    </r>
  </si>
  <si>
    <t>Cartes d'interface additionnelles - 1 seule carte possible</t>
  </si>
  <si>
    <t>Seconde carte PCIe d‘interface réseau Intel I225 2.5GbE</t>
  </si>
  <si>
    <t>3-1-2-18</t>
  </si>
  <si>
    <t>Carte bibande Intel® Wireless WIFI6E AX211 (2x2) + Bluetooth 5.2 - Antenne interne</t>
  </si>
  <si>
    <t>Carte PCIe avec port série mi-hauteur</t>
  </si>
  <si>
    <t xml:space="preserve"> </t>
  </si>
  <si>
    <t>CAT1_Configuration n°3 - PRECISION 3680  format MT</t>
  </si>
  <si>
    <r>
      <rPr>
        <sz val="10"/>
        <color theme="1"/>
        <rFont val="Calibri"/>
        <family val="2"/>
        <scheme val="minor"/>
      </rPr>
      <t>Intel Core i7-14700K (20 cœurs HT, 3.4-5.6 Ghz Turbo, 33 Mo cac</t>
    </r>
    <r>
      <rPr>
        <sz val="10"/>
        <rFont val="Calibri"/>
        <family val="2"/>
        <scheme val="minor"/>
      </rPr>
      <t xml:space="preserve">he, 125W) </t>
    </r>
    <r>
      <rPr>
        <sz val="10"/>
        <color rgb="FFFF0000"/>
        <rFont val="Calibri"/>
        <family val="2"/>
        <scheme val="minor"/>
      </rPr>
      <t>- necessite Alimentation 1000W et  refroidissement Premium</t>
    </r>
  </si>
  <si>
    <t>3-1-3-3</t>
  </si>
  <si>
    <r>
      <rPr>
        <sz val="10"/>
        <color theme="1"/>
        <rFont val="Calibri"/>
        <family val="2"/>
        <scheme val="minor"/>
      </rPr>
      <t>Intel Core i9-14900K (24 cœurs HT, 3.2-6.0 Ghz Turbo, 36 Mo cache</t>
    </r>
    <r>
      <rPr>
        <sz val="10"/>
        <rFont val="Calibri"/>
        <family val="2"/>
        <scheme val="minor"/>
      </rPr>
      <t>, 125W)</t>
    </r>
    <r>
      <rPr>
        <sz val="10"/>
        <color rgb="FFFF0000"/>
        <rFont val="Calibri"/>
        <family val="2"/>
        <scheme val="minor"/>
      </rPr>
      <t xml:space="preserve"> - necessite Alimentation 1000W et  refroidissement premium</t>
    </r>
  </si>
  <si>
    <t>3-1-3-4</t>
  </si>
  <si>
    <t>32Go 4400 MT/s DDR5 - 2x16Go</t>
  </si>
  <si>
    <t>3-1-3-5</t>
  </si>
  <si>
    <t xml:space="preserve">64Go 4400 MT/s DDR5 - 2x32Go </t>
  </si>
  <si>
    <t>3-1-3-6</t>
  </si>
  <si>
    <t xml:space="preserve">64Go 4000 MT/s DDR5 - 4x16Go </t>
  </si>
  <si>
    <t>3-1-3-7</t>
  </si>
  <si>
    <t xml:space="preserve">128Go 3600 MT/s DDR5 - 4x32Go </t>
  </si>
  <si>
    <t>3-1-3-8</t>
  </si>
  <si>
    <t xml:space="preserve">Passages de mémoire ECC </t>
  </si>
  <si>
    <t>16Go 4400 MT/s DDR5 - 1x16Go - ECC</t>
  </si>
  <si>
    <t>3-1-3-13</t>
  </si>
  <si>
    <t>32Go 4400 MT/s DDR5 - 2x16Go - ECC</t>
  </si>
  <si>
    <t>3-1-2-6</t>
  </si>
  <si>
    <t>64Go 4000 MT/s DDR5 - 4x16Go - ECC</t>
  </si>
  <si>
    <t>3-1-3-14</t>
  </si>
  <si>
    <t>64Go 4400 MT/s DDR5 - 2x32Go - ECC</t>
  </si>
  <si>
    <t>3-1-3-9</t>
  </si>
  <si>
    <t>128Go 3600 MT/s DDR5 - 4x32Go - ECC</t>
  </si>
  <si>
    <t>3-1-3-10</t>
  </si>
  <si>
    <t>1er disque dur SSD (passage)</t>
  </si>
  <si>
    <t>SSD 4To M.2 PCIe NVMe Classe 40</t>
  </si>
  <si>
    <t>3-1-1-20</t>
  </si>
  <si>
    <t>Ajout 2nd disque dur SSD</t>
  </si>
  <si>
    <t>3-1-1-38</t>
  </si>
  <si>
    <t>Ajout 1er disque dur SATA</t>
  </si>
  <si>
    <t>Ajout 2nd disque dur SATA</t>
  </si>
  <si>
    <t>Alimentation (passage) - Pas de mise à jour possible après achat</t>
  </si>
  <si>
    <r>
      <t xml:space="preserve">Passage vers Alimentation 1000W Platinum - </t>
    </r>
    <r>
      <rPr>
        <sz val="10"/>
        <color rgb="FFFF0000"/>
        <rFont val="Calibri"/>
        <family val="2"/>
        <scheme val="minor"/>
      </rPr>
      <t>requis avec CPU 125W et/ou RTX4090</t>
    </r>
  </si>
  <si>
    <t>3-1-3-12</t>
  </si>
  <si>
    <t>Système de refroidissement (Passage) - option obligatoire avec processeurs 125W</t>
  </si>
  <si>
    <r>
      <t xml:space="preserve">Passage vers Refroissement Premium (optimisation performance) - </t>
    </r>
    <r>
      <rPr>
        <sz val="10"/>
        <color rgb="FFFF0000"/>
        <rFont val="Calibri"/>
        <family val="2"/>
        <scheme val="minor"/>
      </rPr>
      <t xml:space="preserve">requis avec processeurs 125W et alimentation 1000W </t>
    </r>
  </si>
  <si>
    <t>3-1-3-30</t>
  </si>
  <si>
    <t>Cartes graphiques Professionnelles</t>
  </si>
  <si>
    <r>
      <t xml:space="preserve">NVIDIA RTX 4000 Ada 20Go (6144 coeurs CUDA, 192 coeurs Tensor gen4, 48 coeurs RT gen3, 4xDP) - </t>
    </r>
    <r>
      <rPr>
        <sz val="10"/>
        <color rgb="FFFF0000"/>
        <rFont val="Calibri"/>
        <family val="2"/>
        <scheme val="minor"/>
      </rPr>
      <t xml:space="preserve">Passage nécessaire sur alimentation 1000W minimum </t>
    </r>
  </si>
  <si>
    <t>3-1-3-36</t>
  </si>
  <si>
    <r>
      <t xml:space="preserve">NVIDIA RTX 4500 Ada 24Go (7680 coeurs CUDA, 240 coeurs Tensor gen4, 60 coeurs RT gen3, 4xDP) - </t>
    </r>
    <r>
      <rPr>
        <sz val="10"/>
        <color rgb="FFFF0000"/>
        <rFont val="Calibri"/>
        <family val="2"/>
        <scheme val="minor"/>
      </rPr>
      <t xml:space="preserve">Passage nécessaire sur alimentation 1000W minimum </t>
    </r>
  </si>
  <si>
    <t>3-1-3-37</t>
  </si>
  <si>
    <r>
      <t xml:space="preserve">NVIDIA RTX 5000 Ada 32Go (12800 coeurs CUDA, 400 coeurs Tensor gen4, 100 coeurs RT gen3, 4xDP) - </t>
    </r>
    <r>
      <rPr>
        <sz val="10"/>
        <color rgb="FFFF0000"/>
        <rFont val="Calibri"/>
        <family val="2"/>
        <scheme val="minor"/>
      </rPr>
      <t>Passage nécessaire sur alimentation 1000W minimum</t>
    </r>
  </si>
  <si>
    <t>3-1-3-38</t>
  </si>
  <si>
    <r>
      <t xml:space="preserve">NVIDIA RTX 6000 ADA (48Go, 18176 CUDA cores, 91.1 TFLOPS SP,  4xDP)  - </t>
    </r>
    <r>
      <rPr>
        <sz val="10"/>
        <color rgb="FFFF0000"/>
        <rFont val="Calibri"/>
        <family val="2"/>
        <scheme val="minor"/>
      </rPr>
      <t xml:space="preserve">Passage nécessaire sur alimentation 1000W minimum </t>
    </r>
  </si>
  <si>
    <t>3-1-3-32</t>
  </si>
  <si>
    <t>Cartes graphiques Grand Public</t>
  </si>
  <si>
    <r>
      <t xml:space="preserve">NVIDIA Geforce RTX 4060 (8Go, 3072 cœurs CUDA, 3xDP + 1xHDMI) - </t>
    </r>
    <r>
      <rPr>
        <sz val="10"/>
        <color rgb="FFFF0000"/>
        <rFont val="Calibri"/>
        <family val="2"/>
        <scheme val="minor"/>
      </rPr>
      <t>Support uniquement Win10</t>
    </r>
  </si>
  <si>
    <t>3-1-3-33</t>
  </si>
  <si>
    <r>
      <t xml:space="preserve">NVIDIA Geforce RTX 4070 (12Go, 5888 cœurs CUDA, 3xDP + 1xHDMI) - </t>
    </r>
    <r>
      <rPr>
        <sz val="10"/>
        <color rgb="FFFF0000"/>
        <rFont val="Calibri"/>
        <family val="2"/>
        <scheme val="minor"/>
      </rPr>
      <t>Support uniquement Windows - Passage nécessaire sur alimentation 1000W</t>
    </r>
    <r>
      <rPr>
        <sz val="10"/>
        <rFont val="Calibri"/>
        <family val="2"/>
        <scheme val="minor"/>
      </rPr>
      <t xml:space="preserve"> </t>
    </r>
    <r>
      <rPr>
        <sz val="10"/>
        <color rgb="FFFF0000"/>
        <rFont val="Calibri"/>
        <family val="2"/>
        <scheme val="minor"/>
      </rPr>
      <t>- Incompatible avec autres cartes d'extension</t>
    </r>
  </si>
  <si>
    <t>3-1-3-34</t>
  </si>
  <si>
    <r>
      <t xml:space="preserve">NVIDIA Geforce RTX4080 Super (16Go, 10240 cœurs CUDA, 3xDP + 1xHDMI) - </t>
    </r>
    <r>
      <rPr>
        <sz val="10"/>
        <color rgb="FFFF0000"/>
        <rFont val="Calibri"/>
        <family val="2"/>
        <scheme val="minor"/>
      </rPr>
      <t>Support uniquement Windows - Passage necessaire sur alimentation 1000W  - Incompatible avec autres cartes d'extension</t>
    </r>
  </si>
  <si>
    <t>3-1-3-19</t>
  </si>
  <si>
    <r>
      <t xml:space="preserve">NVIDIA Geforce RTX4090 (24Go, 16394 cœurs CUDA, 3xDP + 1xHDMI) - </t>
    </r>
    <r>
      <rPr>
        <sz val="10"/>
        <color rgb="FFFF0000"/>
        <rFont val="Calibri"/>
        <family val="2"/>
        <scheme val="minor"/>
      </rPr>
      <t>Support uniquement Windows - Passage necessaire sur alimentation 1000W  - Incompatible avec autres cartes d'extension</t>
    </r>
  </si>
  <si>
    <t>3-1-3-35</t>
  </si>
  <si>
    <t>Lecteur optique et/ou de cartes mémoire (ajout)</t>
  </si>
  <si>
    <t xml:space="preserve">Graveur DVD+/-RW ultraplat 8x </t>
  </si>
  <si>
    <t>Lecteur de carte à puce avec et sans contact</t>
  </si>
  <si>
    <t>3-1-3-40</t>
  </si>
  <si>
    <t>Port additionnel</t>
  </si>
  <si>
    <t>Port VGA intégré</t>
  </si>
  <si>
    <t xml:space="preserve">Port HDMI intégré </t>
  </si>
  <si>
    <t xml:space="preserve">Port DP intégré </t>
  </si>
  <si>
    <t xml:space="preserve">Carte PCIe avec port USB-C supplémentaire  </t>
  </si>
  <si>
    <t>Port réseau additionnel</t>
  </si>
  <si>
    <t>2nd port RJ45 (2.5Gbe)</t>
  </si>
  <si>
    <t>3-1-3-39</t>
  </si>
  <si>
    <t>Seconde carte PCIe d‘interface réseau Intel I226 1 Gb (1x2.5 GbE)</t>
  </si>
  <si>
    <t xml:space="preserve">Carte sans fil additionnelle -  1 seul choix parmi Carte réseau, carte sans fil et carte PCIe </t>
  </si>
  <si>
    <t xml:space="preserve">Carte PCIe I/O additionnelle -  1 seul choix parmi Carte réseau, carte sans fil et carte PCIe </t>
  </si>
  <si>
    <t>Carte PCIe avec port série - Pleine hauteur</t>
  </si>
  <si>
    <t>3-1-3-22</t>
  </si>
  <si>
    <t>Carte PCIe Thunderbolt 4</t>
  </si>
  <si>
    <t>3-1-3-23</t>
  </si>
  <si>
    <t>CAT1_Configuration n°4b- PRECISION Mobile 3591</t>
  </si>
  <si>
    <t>Passages de processeur et carte graphique</t>
  </si>
  <si>
    <t>Intel Core Ultra 5 135H (14 Coeurs HT, 2.5-4.6 GHz Turbo, 18Mo cache) et NVIDIA RTX 1000 Ada (6Go DDR6, 2560 coeurs CUDA)</t>
  </si>
  <si>
    <t>3-1-4-1</t>
  </si>
  <si>
    <t>Intel Core Ultra 7 155H (16 Cœurs HT, 2.5-4.8 GHz Turbo, 24Mo cache) et NVIDIA RTX 500 Ada (4Go DDR6, 2048 coeurs CUDA)</t>
  </si>
  <si>
    <t>3-1-4-40</t>
  </si>
  <si>
    <t>Intel Core  Ultra 7 155H (16 Cœurs HT, 2.5-4.8 GHz Turbo, 24Mo cache) et NVIDIA RTX 1000 Ada (6Go DDR6, 2560 coeurs CUDA)</t>
  </si>
  <si>
    <t>3-1-4-41</t>
  </si>
  <si>
    <t>Intel Core Ultra 7 165H (16 Cœurs HT, 2.5-5.0 GHz Turbo, 24Mo cache) et NVIDIA RTX 500 Ada (4Go DDR6, 2048 coeurs CUDA)</t>
  </si>
  <si>
    <t>3-1-4-42</t>
  </si>
  <si>
    <t>Intel Core Ultra 7 165H (16 Cœurs HT, 2.5-5.0 GHz Turbo, 24Mo cache) et NVIDIA RTX 1000 Ada (6Go DDR6, 2560 coeurs CUDA)</t>
  </si>
  <si>
    <t>3-1-4-43</t>
  </si>
  <si>
    <t>Intel Core Ultra 7 165H (16 Cœurs HT, 2.5-5.0 GHz Turbo, 24Mo cache) et NVIDIA RTX 2000 Ada (8Go DDR6, 3072 coeurs CUDA)</t>
  </si>
  <si>
    <t>3-1-4-44</t>
  </si>
  <si>
    <t xml:space="preserve">Intel Core Ultra 9 185H (16 Cœurs HT, 2.5-5.1 GHz Turbo, 24 Mo cache) et NVIDIA RTX 2000 Ada (8Go DDR6, 3072 coeurs CUDA) </t>
  </si>
  <si>
    <t>3-1-4-45</t>
  </si>
  <si>
    <t>32Go 5600MT/s DDR5 - 2x16Go</t>
  </si>
  <si>
    <t>3-1-4-8</t>
  </si>
  <si>
    <t>32Go 5600MT/s DDR5 - 1x32Go</t>
  </si>
  <si>
    <t>3-1-4-29</t>
  </si>
  <si>
    <t xml:space="preserve">64Go 5600MT/s DDR5 - 2x32Go </t>
  </si>
  <si>
    <t>3-1-4-10</t>
  </si>
  <si>
    <t>SSD 1 To M.2 PCIe NVMe Classe 40</t>
  </si>
  <si>
    <t>3-1-4-14</t>
  </si>
  <si>
    <t>SSD 2 To M.2 PCIe NVMe Classe 40</t>
  </si>
  <si>
    <t>3-1-4-15</t>
  </si>
  <si>
    <t xml:space="preserve">Ajout 2nd disque dur </t>
  </si>
  <si>
    <t>SSD 512 Go M.2 PCIe NVMe classe 40</t>
  </si>
  <si>
    <t>3-1-4-18</t>
  </si>
  <si>
    <t>SSD 1 To M.2 PCIe NVMe classe 40</t>
  </si>
  <si>
    <t>3-1-4-19</t>
  </si>
  <si>
    <t>SSD 2 To M.2 PCIe NVMe</t>
  </si>
  <si>
    <t>3-1-6-10</t>
  </si>
  <si>
    <t>Options écran (passage)</t>
  </si>
  <si>
    <r>
      <t xml:space="preserve">Écran 15,6" non tactile antireflet FHD (1 920 x 1 080), 250 nits, 45% NTSC, Caméra FHD infrarouge - </t>
    </r>
    <r>
      <rPr>
        <sz val="10"/>
        <color rgb="FFFF0000"/>
        <rFont val="Calibri"/>
        <family val="2"/>
        <scheme val="minor"/>
      </rPr>
      <t>compatible  4G</t>
    </r>
  </si>
  <si>
    <t>3-1-4-23</t>
  </si>
  <si>
    <r>
      <t xml:space="preserve">Écran 15,6" non tactile antireflet FHD (1 920 x 1 080), 250 nits, 45% NTSC, Caméra EMZA FHD infrarouge (Presence Detection)- </t>
    </r>
    <r>
      <rPr>
        <sz val="10"/>
        <color rgb="FFFF0000"/>
        <rFont val="Calibri"/>
        <family val="2"/>
        <scheme val="minor"/>
      </rPr>
      <t>compatible 4G</t>
    </r>
  </si>
  <si>
    <t>3-1-4-11</t>
  </si>
  <si>
    <r>
      <t xml:space="preserve">Écran 15,6" non tactile antireflet FHD (1 920 x 1 080 ), 400 nits, 100% sRVB, Caméra FHD infrarouge - </t>
    </r>
    <r>
      <rPr>
        <sz val="10"/>
        <color rgb="FFFF0000"/>
        <rFont val="Calibri"/>
        <family val="2"/>
        <scheme val="minor"/>
      </rPr>
      <t>compatible 4G</t>
    </r>
  </si>
  <si>
    <t>3-1-4-24</t>
  </si>
  <si>
    <r>
      <t xml:space="preserve">Écran 15,6" non tactile antireflet FHD (1 920 x 1 080 ), 400 nits, 100% sRVB, Caméra FHD  - </t>
    </r>
    <r>
      <rPr>
        <sz val="10"/>
        <color rgb="FFFF0000"/>
        <rFont val="Calibri"/>
        <family val="2"/>
        <scheme val="minor"/>
      </rPr>
      <t>Compatible  5G</t>
    </r>
  </si>
  <si>
    <t>3-1-4-12</t>
  </si>
  <si>
    <r>
      <t xml:space="preserve">Écran 15,6"  tactile antireflet FHD (1 920 x 1 080), 250 nits, 45% NTSC, caméra FHD Infrarouge - </t>
    </r>
    <r>
      <rPr>
        <sz val="10"/>
        <color rgb="FFFF0000"/>
        <rFont val="Calibri"/>
        <family val="2"/>
        <scheme val="minor"/>
      </rPr>
      <t>Compatible 4G</t>
    </r>
  </si>
  <si>
    <t>3-1-4-26</t>
  </si>
  <si>
    <r>
      <t xml:space="preserve">Écran 15,6"  tactile antireflet FHD (1 920 x 1 080), 250 nits, 45% NTSC, Caméra EMZA FHD infrarouge (Presence Detection)  - </t>
    </r>
    <r>
      <rPr>
        <sz val="10"/>
        <color rgb="FFFF0000"/>
        <rFont val="Calibri"/>
        <family val="2"/>
        <scheme val="minor"/>
      </rPr>
      <t>Compatible 4G</t>
    </r>
  </si>
  <si>
    <t>3-1-4-13</t>
  </si>
  <si>
    <t>Passage au clavier QWERTY</t>
  </si>
  <si>
    <t>Clavier intégré rétroéclairé - Anglais  internationnal (QWERTY)</t>
  </si>
  <si>
    <t>3-1-4-28</t>
  </si>
  <si>
    <t>Passage de batterie</t>
  </si>
  <si>
    <t xml:space="preserve">Batterie 6 cellules (97Wh) compatible ExpressCharge™ </t>
  </si>
  <si>
    <t>3-1-4-31</t>
  </si>
  <si>
    <t>Module de sécurité (biométrique …)</t>
  </si>
  <si>
    <t xml:space="preserve">Lecteur de carte à puce à contact </t>
  </si>
  <si>
    <t>3-1-4-32</t>
  </si>
  <si>
    <t xml:space="preserve">Lecteur d‘empreintes digitales, lecteur de carte à puce à contact </t>
  </si>
  <si>
    <t>3-1-4-33</t>
  </si>
  <si>
    <r>
      <t xml:space="preserve">Lecteur d‘empreintes digitales , lecteur de carte à puce à contact et sans contact (NFC)  </t>
    </r>
    <r>
      <rPr>
        <sz val="10"/>
        <color rgb="FFFF0000"/>
        <rFont val="Calibri"/>
        <family val="2"/>
        <scheme val="minor"/>
      </rPr>
      <t>- Uniquement Windows</t>
    </r>
  </si>
  <si>
    <t>3-1-4-34</t>
  </si>
  <si>
    <t xml:space="preserve">Option de communication (ajout) - </t>
  </si>
  <si>
    <r>
      <t>Modem 4G CAT 12 - Qualcomm Snapdragon SDX12 -</t>
    </r>
    <r>
      <rPr>
        <sz val="10"/>
        <color rgb="FFFF0000"/>
        <rFont val="Calibri"/>
        <family val="2"/>
        <scheme val="minor"/>
      </rPr>
      <t xml:space="preserve"> necessite choix écran compatible</t>
    </r>
  </si>
  <si>
    <t>3-1-4-46</t>
  </si>
  <si>
    <r>
      <t>Modem 5G - Qualcomm Snapdragon X62 -</t>
    </r>
    <r>
      <rPr>
        <sz val="10"/>
        <color rgb="FFFF0000"/>
        <rFont val="Calibri"/>
        <family val="2"/>
        <scheme val="minor"/>
      </rPr>
      <t xml:space="preserve"> necessite choix écran compatible</t>
    </r>
    <r>
      <rPr>
        <sz val="10"/>
        <color theme="1"/>
        <rFont val="Calibri"/>
        <family val="2"/>
        <scheme val="minor"/>
      </rPr>
      <t xml:space="preserve"> </t>
    </r>
    <r>
      <rPr>
        <sz val="10"/>
        <color rgb="FFFF0000"/>
        <rFont val="Calibri"/>
        <family val="2"/>
        <scheme val="minor"/>
      </rPr>
      <t>- Uniquement Windows</t>
    </r>
  </si>
  <si>
    <t>3-1-6-23</t>
  </si>
  <si>
    <t>CAT1_Configuration n°5bis- PRECISION Mobile 5490</t>
  </si>
  <si>
    <t>Passages de processeur, mémoire et carte graphique</t>
  </si>
  <si>
    <t>Intel Core Ultra 7 165H (16 Cœurs HT, 2.5-5GHz Turbo, 24Mo cache), Mémoire 32Go 7467 MT/s DDR5 (soudée) et NVIDIA RTX 1000 Ada 6Go</t>
  </si>
  <si>
    <t>3-1-4-2</t>
  </si>
  <si>
    <t>Intel Core Ultra 7 165H (16 Cœurs HT, 2.5-5GHz Turbo, 24Mo cache), Mémoire 32Go 7467 MT/s DDR5 (soudée) et NVIDIA RTX 2000 ADA 8Go</t>
  </si>
  <si>
    <t>3-1-4-3</t>
  </si>
  <si>
    <t>Intel Core Ultra 7 165H (16 Cœurs HT, 2.5-5GHz Turbo, 24Mo cache), Mémoire 32Go 7467 MT/s DDR5 (soudée) et NVIDIA RTX 3000 ADA 8Go</t>
  </si>
  <si>
    <t>3-1-4-4</t>
  </si>
  <si>
    <t>Intel CoreUltra 7 165H (16 Cœurs HT, 2.5-5GHz Turbo, 24Mo cache), Mémoire 64Go 7467 MT/s DDR5 (soudée) et NVIDIA RTX 2000 ADA 8Go</t>
  </si>
  <si>
    <t>3-1-4-5</t>
  </si>
  <si>
    <t>Intel Core Ultra 9 185H (16 Cœurs HT, 2.6-5.1GHz Turbo, 24Mo cache), Mémoire 32Go 7467 MT/s DDR5 (soudée) et NVIDIA RTX 1000 Ada 6Go</t>
  </si>
  <si>
    <t>3-1-4-6</t>
  </si>
  <si>
    <t>Intel Core Ultra 9 185H (16 Cœurs HT, 2.6-5.1GHz Turbo, 24Mo cache), Mémoire 64Go 7467 MT/s DDR5 (soudée) et NVIDIA RTX 2000 ADA 8Go</t>
  </si>
  <si>
    <t>3-1-4-7</t>
  </si>
  <si>
    <t>Intel Core Ultra 9 185H (16 Cœurs HT, 2.6-5.1GHz Turbo, 24Mo cache), Mémoire 64Go 7467 MT/s DDR5 (soudée) et NVIDIA RTX 3000 ADA 8Go</t>
  </si>
  <si>
    <t>3-1-4-9</t>
  </si>
  <si>
    <t>Écran 14" 16:10 tactile antireflet QHD+ (2560x1600), 500 nits,  100% sRGB, webcam FHD IR (Presence Detection) - compatible avec stylet actif</t>
  </si>
  <si>
    <t>3-1-5-10</t>
  </si>
  <si>
    <t xml:space="preserve">Module de sécurité (biométrique …) </t>
  </si>
  <si>
    <r>
      <t xml:space="preserve">Lecteur d‘empreintes digitales , lecteur de carte à puce à contact et sans contact (NFC)  - </t>
    </r>
    <r>
      <rPr>
        <sz val="10"/>
        <color rgb="FFFF0000"/>
        <rFont val="Calibri"/>
        <family val="2"/>
        <scheme val="minor"/>
      </rPr>
      <t>Uniquement Windows</t>
    </r>
  </si>
  <si>
    <t>3-1-6-21</t>
  </si>
  <si>
    <t>CAT1_Configuration n°6- PRECISION Mobile 7780</t>
  </si>
  <si>
    <t>Intel Core i9-13950HX (24 Cœurs HT, 2.2Ghz, 5.5GHz Turbo, 36 Mo cache)</t>
  </si>
  <si>
    <t>3-1-6-24</t>
  </si>
  <si>
    <t xml:space="preserve">32Go 5600 MT/s DDR5 - 2x16Go </t>
  </si>
  <si>
    <t>3-1-6-4</t>
  </si>
  <si>
    <t xml:space="preserve">64Go 5200 MT/s DDR5 - 2x32Go </t>
  </si>
  <si>
    <t>3-1-6-5</t>
  </si>
  <si>
    <t>32Go 5200 MT/s DDR5 - 1x32Go ECC</t>
  </si>
  <si>
    <t>3-1-6-8</t>
  </si>
  <si>
    <t>64Go 5200 MT/s DDR5 - 2x32Go ECC</t>
  </si>
  <si>
    <t>3-1-6-14</t>
  </si>
  <si>
    <t>Passages de mémoire CAMM</t>
  </si>
  <si>
    <t>16Go 4800 MT/s DDR5 - 1x16Go (CAMM)</t>
  </si>
  <si>
    <t>3-1-6-25</t>
  </si>
  <si>
    <t>32Go 5600 MT/s DDR5 - 1x32Go (CAMM)</t>
  </si>
  <si>
    <t>3-1-6-26</t>
  </si>
  <si>
    <t>64Go 5200 MT/s DDR5 - 1x64Go (CAMM)</t>
  </si>
  <si>
    <t>3-1-6-27</t>
  </si>
  <si>
    <t>128Go 3600 MT/s DDR5 - 1x128Go (CAMM)</t>
  </si>
  <si>
    <t>3-1-6-28</t>
  </si>
  <si>
    <t>SSD 1To M.2 PCIe NVMe</t>
  </si>
  <si>
    <t>SSD 2To M.2 PCIe NVMe</t>
  </si>
  <si>
    <t xml:space="preserve">SSD 4To M.2 PCIe NVMe </t>
  </si>
  <si>
    <t>3-1-6-29</t>
  </si>
  <si>
    <t>SSD 512 Go M.2 PCIe NVMe</t>
  </si>
  <si>
    <t>SSD 1 To M.2 PCIe NVMe</t>
  </si>
  <si>
    <t>3-1-6-30</t>
  </si>
  <si>
    <t>Passages de cartes graphiques</t>
  </si>
  <si>
    <t xml:space="preserve">NVIDIA RTX 3500 ADA (12Go DDR6, 5120 coeurs CUDA, 160 coeurs Tensor, 40 coeurs RT) </t>
  </si>
  <si>
    <t>3-1-6-18</t>
  </si>
  <si>
    <t xml:space="preserve">NVIDIA RTX 4000 ADA (12Go DDR6, 7424 coeurs CUDA, 232 coeurs Tensor, 58 coeurs RT) </t>
  </si>
  <si>
    <t>3-1-6-11</t>
  </si>
  <si>
    <t xml:space="preserve">NVIDIA RTX 5000 ADA (16Go DDR6, 9728 coeurs CUDA, 304 coeurs Tensor, 76 coeurs RT) </t>
  </si>
  <si>
    <t>3-1-6-12</t>
  </si>
  <si>
    <r>
      <t>NVIDIA GeForc</t>
    </r>
    <r>
      <rPr>
        <sz val="10"/>
        <color theme="1"/>
        <rFont val="Calibri"/>
        <family val="2"/>
        <scheme val="minor"/>
      </rPr>
      <t>e RTX 4090 (16Go GDDR6, 9728 cœurs CUDA)</t>
    </r>
    <r>
      <rPr>
        <sz val="10"/>
        <rFont val="Calibri"/>
        <family val="2"/>
        <scheme val="minor"/>
      </rPr>
      <t xml:space="preserve">   </t>
    </r>
  </si>
  <si>
    <t>3-1-6-13</t>
  </si>
  <si>
    <t xml:space="preserve">Passages d'écran </t>
  </si>
  <si>
    <r>
      <t>Écran 17,3" non tactile antireflet FHD (1920 x 1080), 500 nits, 100% DCI-P3, webcam FHD IR Presence Detection) </t>
    </r>
    <r>
      <rPr>
        <sz val="10"/>
        <color rgb="FFFF0000"/>
        <rFont val="Calibri"/>
        <family val="2"/>
        <scheme val="minor"/>
      </rPr>
      <t xml:space="preserve"> - Incompatible 5G</t>
    </r>
  </si>
  <si>
    <t>3-1-6-16</t>
  </si>
  <si>
    <t xml:space="preserve">Écran 17,3" non tactile antireflet FHD (1920 x 1080), 500 nits, 100% DCI-P3, webcam FHD IR (Presence Detection)  - Compatible Modem 5G </t>
  </si>
  <si>
    <t>3-1-6-15</t>
  </si>
  <si>
    <r>
      <t xml:space="preserve">Écran 17,3" non tactile antireflet UHD HDR400  (3840 x 2160), 500 nits, 100% Adobe, webcam FHD IR (Presence Detection) - </t>
    </r>
    <r>
      <rPr>
        <sz val="10"/>
        <color rgb="FFFF0000"/>
        <rFont val="Calibri"/>
        <family val="2"/>
        <scheme val="minor"/>
      </rPr>
      <t>Incompatible 5G</t>
    </r>
  </si>
  <si>
    <t>3-1-6-17</t>
  </si>
  <si>
    <t>Clavier intégré rétroéclairé - Américain international (QWERTY)</t>
  </si>
  <si>
    <t>Lecteur de carte à puce à contact</t>
  </si>
  <si>
    <t>3-1-6-20</t>
  </si>
  <si>
    <r>
      <t>Lecteur d‘empreintes digitales, lecteur de cartes à puce à contact et sans contact (NFC)</t>
    </r>
    <r>
      <rPr>
        <sz val="10"/>
        <color rgb="FFFF0000"/>
        <rFont val="Calibri"/>
        <family val="2"/>
        <scheme val="minor"/>
      </rPr>
      <t xml:space="preserve"> - Uniquement Windows</t>
    </r>
  </si>
  <si>
    <r>
      <t>Lecteur d‘empreintes digitales FIPS, lecteur de cartes à puce à contact et sans contact (NFC)</t>
    </r>
    <r>
      <rPr>
        <sz val="10"/>
        <color rgb="FFFF0000"/>
        <rFont val="Calibri"/>
        <family val="2"/>
        <scheme val="minor"/>
      </rPr>
      <t xml:space="preserve"> - Uniquement Windows</t>
    </r>
  </si>
  <si>
    <t>3-1-6-22</t>
  </si>
  <si>
    <t>Communication (wifi, 4G ...)</t>
  </si>
  <si>
    <r>
      <t xml:space="preserve">Modem 5G intégré Qualcomm Snapdragon X55 LTE (DW5930e) - </t>
    </r>
    <r>
      <rPr>
        <sz val="10"/>
        <color indexed="2"/>
        <rFont val="Calibri"/>
        <family val="2"/>
        <scheme val="minor"/>
      </rPr>
      <t>incompatible Ubuntu - necessite écran compatible Modem 5G</t>
    </r>
  </si>
  <si>
    <t>CATEGORIE 2 : VR avancée</t>
  </si>
  <si>
    <r>
      <t xml:space="preserve">CAT2_Configuration n°1 - PRECISION 3660 format MT (non disponible sur le portail)
</t>
    </r>
    <r>
      <rPr>
        <sz val="10"/>
        <rFont val="Calibri"/>
        <family val="2"/>
        <scheme val="minor"/>
      </rPr>
      <t>Alimentation 500W Platinum jusqu'à 92% d'efficacité  - norme ENERGY STAR
Système de refroidissement standard
Intel Core i5-12500 (6 cœurs HT, 3.0-4.6 Ghz Turbo, 18 Mo cache, 65W)
16Go 4400MHz DDR5 - 2x8Go
SSD 512Go M.2 PCIe NVMe Classe 40
NVIDIA T1000 8Go (896 cœurs CUDA, 4x mDP) 
Ubuntu 20.04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</si>
  <si>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3660 MT</t>
  </si>
  <si>
    <t>3-2-1-1a</t>
  </si>
  <si>
    <r>
      <t xml:space="preserve">CAT2_Configuration n°2 - PRECISION 3680 format MT
</t>
    </r>
    <r>
      <rPr>
        <sz val="10"/>
        <rFont val="Calibri"/>
        <family val="2"/>
        <scheme val="minor"/>
      </rPr>
      <t>Alimentation 1000W Platinum jusqu'à 92% d'efficacité  - norme ENERGY STAR
Système de refoidissement Premium
Intel Core i7-14700 (20 cœurs HT, 2.1-5.4 Ghz Turbo, 33 Mo cache, 65W)
32Go 4400 MT/s DDR5 - 2x16Go
SSD 512Go M.2 PCIe NVMe Classe 40
NVIDIA Geforce RTX 4060 (8Go, 3072 cœurs CUDA, 3xDP + 1xHDMI) 
Sans OS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</si>
  <si>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t>3-2-2-1a</t>
  </si>
  <si>
    <r>
      <rPr>
        <b/>
        <sz val="10"/>
        <rFont val="Calibri"/>
        <family val="2"/>
        <scheme val="minor"/>
      </rPr>
      <t>CAT2_Configuration n°3 - PRECISION Mobile 7680</t>
    </r>
    <r>
      <rPr>
        <sz val="10"/>
        <rFont val="Calibri"/>
        <family val="2"/>
        <scheme val="minor"/>
      </rPr>
      <t xml:space="preserve">
Intel Core i7-13850HX (20 Cœurs HT, 2.1-5.3GHz Turbo, 30Mo cache)
NVIDIA RTX 1000 Ada (6Go DDR6, 2560 coeurs CUDA, 80  coeurs Tensor, 20 coeurs RT) - Chassis Thin
Écran 16" 16:10 non tactile antireflet FHD+ (1920 x 1200); 500 nits, 100% DCI-P3, webcam FHD
16Go 5600 MT/s DDR5- 1x16Go non ECC
SSD 512 Go M.2 PCIe NVMe Class 40
Batterie 6 cellules 83Wh Longue Life (5 ans de garantie, 1000 cycles, Express charge 1.0)  
Intel Wi-Fi 6 AX211, WIFI-6E (802.11ax)  + Bluetooth 5.2
Repose-poignets simple pointage sans dispositif de sécurité
Bloc d'alimentation Barrel 180W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</si>
  <si>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7680</t>
  </si>
  <si>
    <t>3-2-3-1a</t>
  </si>
  <si>
    <t>CATEGORIE 2 : extensions et périphériques associés, extensions de garantie, installation, etc.</t>
  </si>
  <si>
    <t>CAT2_Configuration n°2 - PRECISION 3680  format MT</t>
  </si>
  <si>
    <r>
      <rPr>
        <sz val="10"/>
        <color theme="1"/>
        <rFont val="Calibri"/>
        <family val="2"/>
        <scheme val="minor"/>
      </rPr>
      <t>Intel Core i7-14700K (20 cœurs HT, 3.4-5.6 Ghz Turbo, 33 Mo cac</t>
    </r>
    <r>
      <rPr>
        <sz val="10"/>
        <rFont val="Calibri"/>
        <family val="2"/>
        <scheme val="minor"/>
      </rPr>
      <t xml:space="preserve">he, 125W) </t>
    </r>
  </si>
  <si>
    <t>3-2-2-2</t>
  </si>
  <si>
    <t>3-2-2-3</t>
  </si>
  <si>
    <r>
      <rPr>
        <sz val="10"/>
        <color theme="1"/>
        <rFont val="Calibri"/>
        <family val="2"/>
        <scheme val="minor"/>
      </rPr>
      <t>Intel Core i9-14900K (24 cœurs HT, 3.2-6.0 Ghz Turbo, 36 Mo cache</t>
    </r>
    <r>
      <rPr>
        <sz val="10"/>
        <rFont val="Calibri"/>
        <family val="2"/>
        <scheme val="minor"/>
      </rPr>
      <t>, 125W)</t>
    </r>
    <r>
      <rPr>
        <sz val="10"/>
        <color rgb="FFFF0000"/>
        <rFont val="Calibri"/>
        <family val="2"/>
        <scheme val="minor"/>
      </rPr>
      <t xml:space="preserve"> </t>
    </r>
  </si>
  <si>
    <t>3-2-2-4</t>
  </si>
  <si>
    <t xml:space="preserve">64Go 4400 MT/s DDR5 - 4x16Go </t>
  </si>
  <si>
    <t>3-2-2-5</t>
  </si>
  <si>
    <t>3-2-2-9</t>
  </si>
  <si>
    <t>128Go 3600 MT/s DDR5 - 4x32Go</t>
  </si>
  <si>
    <t>3-2-2-10</t>
  </si>
  <si>
    <t>3-2-1-21</t>
  </si>
  <si>
    <t>3-2-1-22</t>
  </si>
  <si>
    <t>3-3-1-32</t>
  </si>
  <si>
    <t xml:space="preserve">Ajout 2nd disque dur M.2 SSD </t>
  </si>
  <si>
    <t>3-2-1-29</t>
  </si>
  <si>
    <t>3-2-1-30</t>
  </si>
  <si>
    <t>3-2-1-24</t>
  </si>
  <si>
    <t>3-2-1-25</t>
  </si>
  <si>
    <t>3-2-1-26</t>
  </si>
  <si>
    <t>NVIDIA RTX 4000 Ada 20Go (6144 coeurs CUDA, 192 coeurs Tensor gen4, 48 coeurs RT gen3, 4xDP)</t>
  </si>
  <si>
    <t>3-2-2-26</t>
  </si>
  <si>
    <t>NVIDIA RTX 4500 Ada 24Go (7680 coeurs CUDA, 240 coeurs Tensor gen4, 60 coeurs RT gen3, 4xDP)</t>
  </si>
  <si>
    <t>3-2-2-27</t>
  </si>
  <si>
    <t>NVIDIA RTX 5000 Ada 32Go (12800 coeurs CUDA, 400 coeurs Tensor gen4, 100 coeurs RT gen3, 4xDP)</t>
  </si>
  <si>
    <t>3-2-2-28</t>
  </si>
  <si>
    <t xml:space="preserve">NVIDIA RTX 6000 ADA (48Go, 18176 CUDA cores, 91.1 TFLOPS SP,  4xDP)  </t>
  </si>
  <si>
    <t>3-2-2-23</t>
  </si>
  <si>
    <r>
      <t xml:space="preserve">NVIDIA Geforce RTX 4070 (12Go, 5888 cœurs CUDA, 3xDP + 1xHDMI)  </t>
    </r>
    <r>
      <rPr>
        <sz val="10"/>
        <color rgb="FFFF0000"/>
        <rFont val="Calibri"/>
        <family val="2"/>
        <scheme val="minor"/>
      </rPr>
      <t>- Incompatible avec autres cartes d'extension</t>
    </r>
  </si>
  <si>
    <t>3-2-2-24</t>
  </si>
  <si>
    <r>
      <t>NVIDIA Geforce RTX4080 Super (16Go, 10240 cœurs CUDA, 3xDP + 1xHDMI)</t>
    </r>
    <r>
      <rPr>
        <sz val="10"/>
        <color rgb="FFFF0000"/>
        <rFont val="Calibri"/>
        <family val="2"/>
        <scheme val="minor"/>
      </rPr>
      <t xml:space="preserve"> - Incompatible avec autres cartes d'extension</t>
    </r>
    <r>
      <rPr>
        <sz val="10"/>
        <rFont val="Calibri"/>
        <family val="2"/>
        <scheme val="minor"/>
      </rPr>
      <t xml:space="preserve"> </t>
    </r>
  </si>
  <si>
    <t>3-2-2-18</t>
  </si>
  <si>
    <r>
      <t xml:space="preserve">NVIDIA Geforce RTX4090 (24Go, 16394 cœurs CUDA, 512 cœurs Tensor gen4, 128 cœurs RTGen3,  3xDP + 1xHDMI) </t>
    </r>
    <r>
      <rPr>
        <sz val="10"/>
        <color rgb="FFFF0000"/>
        <rFont val="Calibri"/>
        <family val="2"/>
        <scheme val="minor"/>
      </rPr>
      <t>- Incompatible avec autres cartes d'extension</t>
    </r>
  </si>
  <si>
    <t>3-2-2-25</t>
  </si>
  <si>
    <t>3-2-1-45</t>
  </si>
  <si>
    <t xml:space="preserve">Port additionnel </t>
  </si>
  <si>
    <t>3-2-1-46</t>
  </si>
  <si>
    <t>3-2-1-47</t>
  </si>
  <si>
    <t>3-2-1-53</t>
  </si>
  <si>
    <t>Carte Réseau additionnelle - 1 seul choix parmi Carte réseau aditionnelle, carte sans fil aditionnelle et carte PCIe aditionnelle</t>
  </si>
  <si>
    <t>CAT2_Configuration n°3- PRECISION Mobile 7680</t>
  </si>
  <si>
    <t>3-2-3-2</t>
  </si>
  <si>
    <t>32Go 5600 MT/s DDR5 - 2x16Go non ECC</t>
  </si>
  <si>
    <t>64Go 5600 MT/s DDR5 - 2x32Go non ECC</t>
  </si>
  <si>
    <t xml:space="preserve">SSD 1 To M.2 PCIe NVMe </t>
  </si>
  <si>
    <t>3-2-3-12</t>
  </si>
  <si>
    <t xml:space="preserve">SSD 2To M.2 PCIe NVMe </t>
  </si>
  <si>
    <t>3-2-3-13</t>
  </si>
  <si>
    <t>3-2-3-15</t>
  </si>
  <si>
    <t>3-2-3-16</t>
  </si>
  <si>
    <t>3-2-3-17</t>
  </si>
  <si>
    <t xml:space="preserve">Passages de cartes graphiques </t>
  </si>
  <si>
    <t>NVIDIA RTX 2000 ADA (8Go DDR6, 3072 coeurs CUDA, 96 coeurs Tensor, 24 coeurs RT) - Chassis Thin</t>
  </si>
  <si>
    <t>3-2-3-4</t>
  </si>
  <si>
    <r>
      <t>NVIDIA RTX 3500 ADA (12Go DDR6, 5120 coeurs CUDA, 160 coeurs Tensor, 40 coeurs RT) - Chassis Performance (</t>
    </r>
    <r>
      <rPr>
        <sz val="10"/>
        <color rgb="FFFF0000"/>
        <rFont val="Calibri"/>
        <family val="2"/>
        <scheme val="minor"/>
      </rPr>
      <t>necessite de passer sur batterie 93Whr et bloc 240W)</t>
    </r>
  </si>
  <si>
    <t>3-2-3-5</t>
  </si>
  <si>
    <r>
      <t>NVIDIA RTX 4000 ADA (12Go DDR6, 7424 coeurs CUDA, 232 coeurs Tensor, 58 coeurs RT) - Chassis Performance (</t>
    </r>
    <r>
      <rPr>
        <sz val="10"/>
        <color rgb="FFFF0000"/>
        <rFont val="Calibri"/>
        <family val="2"/>
        <scheme val="minor"/>
      </rPr>
      <t>necessite de passer sur batterie 93Whr et bloc 240W)</t>
    </r>
  </si>
  <si>
    <t>3-2-3-6</t>
  </si>
  <si>
    <r>
      <t>NVIDIA RTX 5000 ADA (16Go DDR6, 9728 coeurs CUDA, 304 coeurs Tensor, 76 coeurs RT) - Chassis Performance (</t>
    </r>
    <r>
      <rPr>
        <sz val="10"/>
        <color rgb="FFFF0000"/>
        <rFont val="Calibri"/>
        <family val="2"/>
        <scheme val="minor"/>
      </rPr>
      <t>necessite de passer sur batterie 93Whr et bloc 240W)</t>
    </r>
  </si>
  <si>
    <t>3-2-3-7</t>
  </si>
  <si>
    <r>
      <t>NVIDIA GeForce RTX 4090 (16Go DDR6, 9728 cœurs CUDA) - Chassis Performance (</t>
    </r>
    <r>
      <rPr>
        <sz val="10"/>
        <color rgb="FFFF0000"/>
        <rFont val="Calibri"/>
        <family val="2"/>
        <scheme val="minor"/>
      </rPr>
      <t>necessite de passer sur batterie 93Whr et bloc 240W)</t>
    </r>
    <r>
      <rPr>
        <sz val="10"/>
        <rFont val="Calibri"/>
        <family val="2"/>
        <scheme val="minor"/>
      </rPr>
      <t xml:space="preserve"> </t>
    </r>
    <r>
      <rPr>
        <sz val="10"/>
        <color rgb="FFFF0000"/>
        <rFont val="Calibri"/>
        <family val="2"/>
        <scheme val="minor"/>
      </rPr>
      <t>- Incompatible Ubuntu</t>
    </r>
  </si>
  <si>
    <t>3-2-3-8</t>
  </si>
  <si>
    <t>Passages d'écran</t>
  </si>
  <si>
    <t>Écran 16" 16:10 non tactile antireflet  FHD+ (1920 x 1280), 500 nits, 100% DCI-P3,  webcam FHD IR (Presence Detection) - Incompatible 5G</t>
  </si>
  <si>
    <t>3-2-3-25</t>
  </si>
  <si>
    <t>Écran 16" 16:10 non tactile antireflet FHD+ (1920 x 1080), 500 nits, 100% DCI-P3, webcam FHD IR (Presence Detection) - Compatible Modem 5G - incompatible Ubuntu</t>
  </si>
  <si>
    <t>3-2-3-24</t>
  </si>
  <si>
    <t>Écran 16" 16:10 tactile antireflet  OLED UHD+ (3840 x 2400), 400 nits, 100% DCI-P3,  webcam FHD IR (Presence Detection)  - Incompatible 5G</t>
  </si>
  <si>
    <t>3-2-3-26</t>
  </si>
  <si>
    <t>3-2-0-34</t>
  </si>
  <si>
    <t>Option Batterie / Bloc alimentation (passage) - obligatoire avec certaines cartes graphiques</t>
  </si>
  <si>
    <r>
      <t xml:space="preserve">Batterie 6 cellules 93Wh LLC et bloc alimentation 240W </t>
    </r>
    <r>
      <rPr>
        <sz val="10"/>
        <color rgb="FFFF0000"/>
        <rFont val="Calibri"/>
        <family val="2"/>
        <scheme val="minor"/>
      </rPr>
      <t>- obligatoire avec cartes RTX 3500/4000/5000/4090</t>
    </r>
  </si>
  <si>
    <t>3-2-0-41</t>
  </si>
  <si>
    <t>Lecteur de cartes à puce à contact</t>
  </si>
  <si>
    <t>3-2-0-37</t>
  </si>
  <si>
    <r>
      <t>Lecteur d‘empreintes digitales, lecteur de cartes à puce à contact et sans contact (NFC) -</t>
    </r>
    <r>
      <rPr>
        <sz val="10"/>
        <color rgb="FFFF0000"/>
        <rFont val="Calibri"/>
        <family val="2"/>
        <scheme val="minor"/>
      </rPr>
      <t xml:space="preserve"> Uniquement Windows</t>
    </r>
  </si>
  <si>
    <t>3-2-0-38</t>
  </si>
  <si>
    <r>
      <t xml:space="preserve">Lecteur d‘empreintes digitales FIPS, lecteur de cartes à puce à contact et sans contact (NFC) - </t>
    </r>
    <r>
      <rPr>
        <sz val="10"/>
        <color rgb="FFFF0000"/>
        <rFont val="Calibri"/>
        <family val="2"/>
        <scheme val="minor"/>
      </rPr>
      <t>Uniquement Windows</t>
    </r>
  </si>
  <si>
    <t>3-2-0-39</t>
  </si>
  <si>
    <t>CATEGORIE 3 : Calcul</t>
  </si>
  <si>
    <r>
      <t xml:space="preserve">CAT3_Configuration n°1 - PRECISION 5860 Tour 
</t>
    </r>
    <r>
      <rPr>
        <sz val="10"/>
        <color theme="1"/>
        <rFont val="Calibri"/>
        <family val="2"/>
        <scheme val="minor"/>
      </rPr>
      <t>Alimentation Platinum 750W (Cordon C13)
Intel Xeon W3-2423 (6 cœurs HT, 2.1 Ghz - 4.2Ghz Turbo, 15 Mo cache, 120W)
32Go DDR5 4800 MT/s (1x32Go) - ECC
SSD 512Go M.2 PCIe NVMe Classe 40 (Interne)
Ensemble souris et clavier Multimédia
NVIDIA T400 4Go (384 cœurs CUDA, 3x mDP)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</si>
  <si>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5860 Tower</t>
  </si>
  <si>
    <t>3-3-1-1a</t>
  </si>
  <si>
    <r>
      <rPr>
        <b/>
        <sz val="10"/>
        <color theme="1"/>
        <rFont val="Calibri"/>
        <family val="2"/>
        <scheme val="minor"/>
      </rPr>
      <t xml:space="preserve">CAT3_Configuration n°2 - PRECISION 7960 Tour </t>
    </r>
    <r>
      <rPr>
        <sz val="10"/>
        <color theme="1"/>
        <rFont val="Calibri"/>
        <family val="2"/>
        <scheme val="minor"/>
      </rPr>
      <t xml:space="preserve">
Alimentation Gold 1400W (Cordon C13)
Intel Xeon w5-3423 (12 coeurs, 2.1GHz - 4.2GHz Turbo, 30 Mo cache, 220W)
64Go DDR5 4800 MT/s (2x32Go) - ECC
Ultra-Speed Duo Pcie x8 avec 1 disque SSD 1 To M.2 PCIe NVMe
Ensemble souris et clavier Multimédia
NVIDIA T400 4Go (384 cœurs CUDA, 3x mDP) 
Ubuntu 22.04</t>
    </r>
    <r>
      <rPr>
        <b/>
        <sz val="10"/>
        <color theme="1"/>
        <rFont val="Calibri"/>
        <family val="2"/>
        <scheme val="minor"/>
      </rPr>
      <t xml:space="preserve">
</t>
    </r>
    <r>
      <rPr>
        <sz val="10"/>
        <color theme="1"/>
        <rFont val="Calibri"/>
        <family val="2"/>
        <scheme val="minor"/>
      </rPr>
      <t>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</si>
  <si>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7960 Tower</t>
  </si>
  <si>
    <t>3-3-2-1a</t>
  </si>
  <si>
    <r>
      <rPr>
        <b/>
        <sz val="10"/>
        <color theme="1"/>
        <rFont val="Calibri"/>
        <family val="2"/>
        <scheme val="minor"/>
      </rPr>
      <t>CAT3_Configuration n°2B - PRECISION 7875 format tour (AMD)</t>
    </r>
    <r>
      <rPr>
        <sz val="10"/>
        <color theme="1"/>
        <rFont val="Calibri"/>
        <family val="2"/>
        <scheme val="minor"/>
      </rPr>
      <t xml:space="preserve">
Alimentation Platinum 1000W (cordon C13) - norme ENERGY STAR 
AMD Ryzen Threadripper PRO 7945WX (12 coeurs, 4.7-5.3 Ghz, 64 Mo cache, 350W)
64Go DDR5 4800 MT/s (2x32Go) - ECC
SSD 1To M.2 PCIe NVMe Classe 40 (interne)
NVIDIA T400 4Go (384 coeurs CUDA, 3x mDP)
Ensemble souris et clavier Multimédia
Ubuntu 22.04 </t>
    </r>
    <r>
      <rPr>
        <b/>
        <sz val="10"/>
        <color theme="1"/>
        <rFont val="Calibri"/>
        <family val="2"/>
        <scheme val="minor"/>
      </rPr>
      <t xml:space="preserve">
</t>
    </r>
    <r>
      <rPr>
        <sz val="10"/>
        <color theme="1"/>
        <rFont val="Calibri"/>
        <family val="2"/>
        <scheme val="minor"/>
      </rPr>
      <t>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</si>
  <si>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7875 Tower</t>
  </si>
  <si>
    <t>3-3-2-1b</t>
  </si>
  <si>
    <r>
      <rPr>
        <b/>
        <sz val="10"/>
        <color theme="1"/>
        <rFont val="Calibri"/>
        <family val="2"/>
        <scheme val="minor"/>
      </rPr>
      <t>CAT3_Configuration n°3 - PRECISION 7960 Rack</t>
    </r>
    <r>
      <rPr>
        <sz val="10"/>
        <color theme="1"/>
        <rFont val="Calibri"/>
        <family val="2"/>
        <scheme val="minor"/>
      </rPr>
      <t xml:space="preserve">
Alimentation simple hot swapp  1400W Platinum  (Cordon C19/C20)
2x Intel Xeon Gold 6426Y (16 coeurs, 2.6 Ghz - 4.0 GhZ turbo, 38Mo cache, 225W) 
64Go DDR5 4800 MT/s (2x32Go) - ECC
Ultra-Speed Duo Pcie x8 avec 1 disque SSD 512Go To M.2 PCIe NVMe
Ensemble souris et clavier Multimédia
NVIDIA T400 4Go (384 cœurs CUDA, 3x mDP) 
Carte réseau Broadcom 5720 (2x 1 GbE)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</si>
  <si>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7960 Rack</t>
  </si>
  <si>
    <t>3-3-3-1a</t>
  </si>
  <si>
    <t>CATEGORIE 3 : extensions et périphériques associés, extensions de garantie, installation, etc.</t>
  </si>
  <si>
    <t>CAT3_Configuration n°1 - Precision T5860 Tour</t>
  </si>
  <si>
    <t>Passages Alimentation</t>
  </si>
  <si>
    <r>
      <t xml:space="preserve">Alimentation Platinum 1350W (Cordon C19) - </t>
    </r>
    <r>
      <rPr>
        <sz val="10"/>
        <color rgb="FFFF0000"/>
        <rFont val="Calibri"/>
        <family val="2"/>
        <scheme val="minor"/>
      </rPr>
      <t xml:space="preserve">obligatoire avec CPU W5/W7 (175W et +) ainsi qu'avec Dual GPU </t>
    </r>
  </si>
  <si>
    <t>3-3-1-1</t>
  </si>
  <si>
    <t>Intel Xeon W3-2425 (6 cœurs, 3.0 Ghz - 4.4 Ghz Turbo, 15 Mo cache, 130 W)</t>
  </si>
  <si>
    <t>3-3-1-3</t>
  </si>
  <si>
    <t>Intel Xeon W3-2435 (8 cœurs, 3.1 Ghz - 4.5 Ghz Turbo, 22.5 Mo cache, 165 W)</t>
  </si>
  <si>
    <t>3-3-1-4</t>
  </si>
  <si>
    <r>
      <t xml:space="preserve">Intel Xeon W5-2445 (10 cœurs, 3.1 Ghz - 4.6 Ghz Turbo, 26.25 Mo cache, 175 W) </t>
    </r>
    <r>
      <rPr>
        <sz val="10"/>
        <color rgb="FFFF0000"/>
        <rFont val="Calibri"/>
        <family val="2"/>
        <scheme val="minor"/>
      </rPr>
      <t>- necessite alimentation 1350W</t>
    </r>
  </si>
  <si>
    <t>3-3-1-5</t>
  </si>
  <si>
    <r>
      <t xml:space="preserve">Intel Xeon W5-2455X (12 cœurs, 3.2 Ghz - 4.6 Ghz Turbo, 30 Mo cache, 200 W) - </t>
    </r>
    <r>
      <rPr>
        <sz val="10"/>
        <color rgb="FFFF0000"/>
        <rFont val="Calibri"/>
        <family val="2"/>
        <scheme val="minor"/>
      </rPr>
      <t>necessite alimentation 1350W</t>
    </r>
  </si>
  <si>
    <t>3-3-1-6</t>
  </si>
  <si>
    <r>
      <t xml:space="preserve">Intel Xeon W5-2465X (16 cœurs, 3.1 Ghz - 4.7 Ghz Turbo, 33.75 Mo cache, 200 W) - </t>
    </r>
    <r>
      <rPr>
        <sz val="10"/>
        <color rgb="FFFF0000"/>
        <rFont val="Calibri"/>
        <family val="2"/>
        <scheme val="minor"/>
      </rPr>
      <t>necessite alimentation 1350W</t>
    </r>
  </si>
  <si>
    <t>3-3-1-102</t>
  </si>
  <si>
    <r>
      <t xml:space="preserve">Intel Xeon W7-2475X(20 cœurs, 2.6 Ghz - 4.8 Ghz Turbo, 37.5 Mo  cache, 225 W) - </t>
    </r>
    <r>
      <rPr>
        <sz val="10"/>
        <color rgb="FFFF0000"/>
        <rFont val="Calibri"/>
        <family val="2"/>
        <scheme val="minor"/>
      </rPr>
      <t>necessite alimentation 1350W</t>
    </r>
  </si>
  <si>
    <t>3-3-1-103</t>
  </si>
  <si>
    <r>
      <t xml:space="preserve">Intel Xeon W7-2495X (24 cœurs, 3.25 Ghz - 4.8 Ghz Turbo, 41.5 Mo cache, 225 W) - </t>
    </r>
    <r>
      <rPr>
        <sz val="10"/>
        <color rgb="FFFF0000"/>
        <rFont val="Calibri"/>
        <family val="2"/>
        <scheme val="minor"/>
      </rPr>
      <t>necessite alimentation 1350W</t>
    </r>
  </si>
  <si>
    <t>3-3-1-104</t>
  </si>
  <si>
    <t>64Go DDR5 4800 MT/s  - 2x32 Go ECC</t>
  </si>
  <si>
    <t>3-3-1-9</t>
  </si>
  <si>
    <t xml:space="preserve">128Go DDR5 4800 MT/s  - 2x64 Go ECC </t>
  </si>
  <si>
    <t>3-3-1-10</t>
  </si>
  <si>
    <t xml:space="preserve">128Go  DDR5 4800 MT/s - 4x32 Go ECC </t>
  </si>
  <si>
    <t>3-3-1-11</t>
  </si>
  <si>
    <t xml:space="preserve">256Go DDR5 4800 MT/s - 4x64 Go ECC </t>
  </si>
  <si>
    <t>3-3-1-12</t>
  </si>
  <si>
    <t>256Go DDR5 4800 MT/s - 8x32 Go ECC</t>
  </si>
  <si>
    <t>3-3-1-13</t>
  </si>
  <si>
    <t xml:space="preserve">512Go DDR5 4800 MT/s - 8x64 Go ECC - Nécessite disque de demarage de 1To </t>
  </si>
  <si>
    <t>3-3-1-14</t>
  </si>
  <si>
    <t xml:space="preserve">1To DDR5 4800 MT/s  - 8x128 Go ECC - Nécessite disque de demarage de 2To </t>
  </si>
  <si>
    <t>3-3-1-85</t>
  </si>
  <si>
    <t xml:space="preserve">1.5To DDR5 4800 MT/s - 6x256 Go ECC - Nécessite disque de demarage de 4To </t>
  </si>
  <si>
    <t>3-3-1-86</t>
  </si>
  <si>
    <t xml:space="preserve">2To DDR5 4800 MT/s - 8x256 Go ECC - Nécessite disque de demarage de 4To </t>
  </si>
  <si>
    <t>3-3-1-87</t>
  </si>
  <si>
    <t>Stockage</t>
  </si>
  <si>
    <t>Passage 1er disque - SSD M.2 (interne)</t>
  </si>
  <si>
    <t>3-3-1-15</t>
  </si>
  <si>
    <t>3-3-1-16</t>
  </si>
  <si>
    <t>Ajout 2nd disque - SSD M.2 (interne)</t>
  </si>
  <si>
    <t>Configuration RAID pour SSD</t>
  </si>
  <si>
    <r>
      <t xml:space="preserve">RAID 0 pour SSD - inclus clé vROC - </t>
    </r>
    <r>
      <rPr>
        <sz val="10"/>
        <color rgb="FFFF0000"/>
        <rFont val="Calibri"/>
        <family val="2"/>
        <scheme val="minor"/>
      </rPr>
      <t>uniquement compatible avec 2 disques identiques</t>
    </r>
  </si>
  <si>
    <t>3-3-1-34</t>
  </si>
  <si>
    <r>
      <t xml:space="preserve">RAID 1 pour SSD - inclus clé vROC - </t>
    </r>
    <r>
      <rPr>
        <sz val="10"/>
        <color rgb="FFFF0000"/>
        <rFont val="Calibri"/>
        <family val="2"/>
        <scheme val="minor"/>
      </rPr>
      <t>uniquement compatible avec 2 disques identiques</t>
    </r>
  </si>
  <si>
    <t>3-3-1-36</t>
  </si>
  <si>
    <t>Ajout 3eme et 4eme disques  - SATA Flexbay #1 et #2</t>
  </si>
  <si>
    <t>3-3-1-38</t>
  </si>
  <si>
    <t xml:space="preserve">DD 4To 7200 Tr/min 3,5" Enterprise </t>
  </si>
  <si>
    <t>3-3-1-40</t>
  </si>
  <si>
    <t>DD 8To 7200 Tr/min 3,5" Enterprise</t>
  </si>
  <si>
    <t>3-3-1-41</t>
  </si>
  <si>
    <t>DD 12To 7200 Tr/min 3,5" Enterprise</t>
  </si>
  <si>
    <t>3-3-1-42</t>
  </si>
  <si>
    <t>Verrouillage disque dur SATA Flexbays</t>
  </si>
  <si>
    <t>Panneau de verrouillage pour disque dur SATA (Quantité 1) - necessite disque SATA en Flexbay #1</t>
  </si>
  <si>
    <t>3-3-2-92</t>
  </si>
  <si>
    <t>Panneau de verrouillage pour disque dur SATA (Quantité 2) - necessite disques SATA en Flexbay #1 et #2</t>
  </si>
  <si>
    <t>3-3-2-93</t>
  </si>
  <si>
    <t>Ajout 5eme et 6eme disques SATA (Interne) - uniquement si Flexbays #1 et 2 remplis</t>
  </si>
  <si>
    <t xml:space="preserve">Configuration RAID SATA 3,5'' </t>
  </si>
  <si>
    <t xml:space="preserve">RAID 0 - Uniquement compatible avec 2 à 4 disques identiques 3,5’’ </t>
  </si>
  <si>
    <t>3-3-1-46</t>
  </si>
  <si>
    <t xml:space="preserve">RAID 1 - Uniquement compatible avec 2 disques identiques 3,5’’ </t>
  </si>
  <si>
    <t>3-3-1-45</t>
  </si>
  <si>
    <t xml:space="preserve">RAID 5 - Uniquement compatible avec 3 ou 4 disques identiques 3,5’’ </t>
  </si>
  <si>
    <t>3-3-1-47</t>
  </si>
  <si>
    <t xml:space="preserve">RAID 10 - Uniquement compatible avec 4 disques identiques 3,5’’ </t>
  </si>
  <si>
    <t>3-3-1-48</t>
  </si>
  <si>
    <t>Options de stockage (mode offline uniquement) - contacter votre commercial pour les configurations necessitant les options ci-dessous</t>
  </si>
  <si>
    <t>Contrôleur RAID pour disques SATA</t>
  </si>
  <si>
    <t>Contrôleur MegaRAID 9540-8i avec 1 à 4 disques SATA - RAID logiciel 0/1/10</t>
  </si>
  <si>
    <t>3-3-2-105</t>
  </si>
  <si>
    <t>Ajout carte Dell Ultra-Speed - uniquement si emplacements M.2 internes remplis  - incompatible avec dual GPUs et cartes d'extensions</t>
  </si>
  <si>
    <t>Ultra-Speed Duo Pcie x8 avec 2 disques SSD 1To M.2 PCIe NVMe</t>
  </si>
  <si>
    <t>3-3-2-94</t>
  </si>
  <si>
    <t>Ultra-Speed Duo Pcie x8 avec 2 disques SSD 2To M.2 PCIe NVMe</t>
  </si>
  <si>
    <t>3-3-2-95</t>
  </si>
  <si>
    <t>Ultra-Speed Duo Pcie x8 avec 2 disques SSD 4To M.2 PCIe NVMe</t>
  </si>
  <si>
    <t>3-3-2-96</t>
  </si>
  <si>
    <t>Ultra-Speed Quad Pcie x16 avec 4 disques SSD 1To M.2 PCIe NVMe</t>
  </si>
  <si>
    <t>3-3-2-97</t>
  </si>
  <si>
    <t>Ultra-Speed Quad Pcie x16 avec 4 disques SSD 2To M.2 PCIe NVMe</t>
  </si>
  <si>
    <t>3-3-2-98</t>
  </si>
  <si>
    <t>Ultra-Speed Quad Pcie x16 avec 4 disques SSD 4To M.2 PCIe NVMe</t>
  </si>
  <si>
    <t>3-3-2-99</t>
  </si>
  <si>
    <t>Cartes graphiques Professionnelles AMD</t>
  </si>
  <si>
    <t>AMD Radeon Pro W7600 8Go (2048 coeurs , 4xDP )</t>
  </si>
  <si>
    <t>3-3-1-49</t>
  </si>
  <si>
    <t xml:space="preserve">AMD FirePro W6800 32Go (3840 cœurs, 6xmDP ) </t>
  </si>
  <si>
    <t>3-3-1-50</t>
  </si>
  <si>
    <t>Cartes graphiques Professionnelles NVIDIA</t>
  </si>
  <si>
    <t>NVIDIA RTX A2000 12Go (3228 cœurs CUDA, 4x mDP)</t>
  </si>
  <si>
    <t>NVIDIA RTX 2000 Ada 16Go (2816 cœurs CUDA, 4xmDP, Dual slot)</t>
  </si>
  <si>
    <t xml:space="preserve">NVIDIA RTX 6000 Ada (48Go, 18176 CUDA cores, 91.1 TFLOPS SP,  4xDP)  </t>
  </si>
  <si>
    <t>Doubles cartes graphiques Professionnelles NVIDIA - necessite alimentation 1350W - Multi Display non supporté sous Ubuntu : usage uniquement pour calcul GPU (DataScience ou DL/ML/AI)</t>
  </si>
  <si>
    <r>
      <t xml:space="preserve">2x NVIDIA RTX 4000 Ada 20Go (6144 coeurs CUDA, 192 coeurs Tensor gen4, 48 coeurs RT gen3, 4xDP) - </t>
    </r>
    <r>
      <rPr>
        <sz val="10"/>
        <color rgb="FFFF0000"/>
        <rFont val="Calibri"/>
        <family val="2"/>
        <scheme val="minor"/>
      </rPr>
      <t xml:space="preserve">necessite alimentation 1350W </t>
    </r>
  </si>
  <si>
    <t>3-3-1-105</t>
  </si>
  <si>
    <r>
      <t>2x NVIDIA RTX 4500 Ada 24Go (7680 coeurs CUDA, 240 coeurs Tensor gen4, 60 coeurs RT gen3, 4xDP) -</t>
    </r>
    <r>
      <rPr>
        <sz val="10"/>
        <color rgb="FFFF0000"/>
        <rFont val="Calibri"/>
        <family val="2"/>
        <scheme val="minor"/>
      </rPr>
      <t xml:space="preserve"> necessite alimentation 1350W </t>
    </r>
  </si>
  <si>
    <t>3-3-1-106</t>
  </si>
  <si>
    <r>
      <t xml:space="preserve">2x NVIDIA RTX 5000 Ada 32Go (12800 coeurs CUDA, 400 coeurs Tensor gen4, 100 coeurs RT gen3, 4xDP) - </t>
    </r>
    <r>
      <rPr>
        <sz val="10"/>
        <color rgb="FFFF0000"/>
        <rFont val="Calibri"/>
        <family val="2"/>
        <scheme val="minor"/>
      </rPr>
      <t xml:space="preserve">necessite alimentation 1350W </t>
    </r>
  </si>
  <si>
    <t>3-3-1-107</t>
  </si>
  <si>
    <r>
      <t xml:space="preserve">2x NVIDIA RTX 6000 Ada (48Go, 18176 CUDA cores, 91.1 TFLOPS SP,  4xDP)  - </t>
    </r>
    <r>
      <rPr>
        <sz val="10"/>
        <color rgb="FFFF0000"/>
        <rFont val="Calibri"/>
        <family val="2"/>
        <scheme val="minor"/>
      </rPr>
      <t xml:space="preserve">necessite alimentation 1350W </t>
    </r>
  </si>
  <si>
    <t>3-3-1-88</t>
  </si>
  <si>
    <t xml:space="preserve">Lecteur optique </t>
  </si>
  <si>
    <t>Graveur DVD+/-RW 8x ultraplat</t>
  </si>
  <si>
    <t>3-3-1-74</t>
  </si>
  <si>
    <t>Cartes réseau additionnelles - 4 slots disponibles sur configurtation de base</t>
  </si>
  <si>
    <t>Seconde carte PCIe d‘interface réseau Intel i225 2.5 Gbe</t>
  </si>
  <si>
    <t>Seconde carte PCIe d'interface réseau Intel® X710 10Gbe à deux ports cuivre</t>
  </si>
  <si>
    <t>3-3-2-101</t>
  </si>
  <si>
    <t>Cartes Sans fil  - 4 slots disponibles sur configurtation de base</t>
  </si>
  <si>
    <t>Carte WIFI Qualcomm® WCN6856-DBS (802.11ax), 2x2 + Bluetooth 5.2</t>
  </si>
  <si>
    <t>3-3-1-79</t>
  </si>
  <si>
    <t>Carte Thunderbolt  - 4 slots disponibles sur configurtation de base</t>
  </si>
  <si>
    <r>
      <t>Carte PCIe Thunderbolt 4 (2 ports Type-C, 1 port d‘entrée DP) -</t>
    </r>
    <r>
      <rPr>
        <sz val="10"/>
        <color rgb="FFFF0000"/>
        <rFont val="Calibri"/>
        <family val="2"/>
        <scheme val="minor"/>
      </rPr>
      <t xml:space="preserve"> Incomaptible Ubuntu</t>
    </r>
  </si>
  <si>
    <t>3-3-1-81</t>
  </si>
  <si>
    <t>Carte série  - 4 slots disponibles sur configurtation de base</t>
  </si>
  <si>
    <t>3-3-1-80</t>
  </si>
  <si>
    <t>3-3-1-75</t>
  </si>
  <si>
    <t>CAT3_Configuration n°2 - Precision 7960 Tower</t>
  </si>
  <si>
    <t>Intel Xeon w5-3425 (12 coeurs, 3.2GHz - 4.6GHz Turbo, 30 Mo cache, 270W)</t>
  </si>
  <si>
    <t>3-3-2-3</t>
  </si>
  <si>
    <t>Intel Xeon w5-3433 (16 coeurs, 2.0GHz - 4.2GHz Turbo, 45 Mo cache, 220W)</t>
  </si>
  <si>
    <t>3-3-2-4</t>
  </si>
  <si>
    <t>Intel Xeon w5-3525 (16 coeurs, 3.2GHz - 4.8GHz Turbo, 45 Mo cache, 290W)</t>
  </si>
  <si>
    <t>3-3-2-5</t>
  </si>
  <si>
    <t>Intel Xeon w5-3535X (20 coeurs, 2.9GHz - 4.8GHz Turbo, 52.5 Mo cache, 300W)</t>
  </si>
  <si>
    <t>3-3-2-6</t>
  </si>
  <si>
    <t>Intel Xeon w7-3545 (24 coeurs, 2.7GHz - 4.8GHz Turbo, 67.5Mo cache, 310W)</t>
  </si>
  <si>
    <t>3-3-2-7</t>
  </si>
  <si>
    <t>Intel Xeon w7-3555 (28 coeurs, 2.7GHz - 4.8GHz Turbo, 75Mo cache, 325W)</t>
  </si>
  <si>
    <t>3-3-2-13</t>
  </si>
  <si>
    <t>Intel Xeon w9-3475X (36 coeurs, 2.2GHz - 4.8GHz Turbo, 82.5Mo cache, 300W)</t>
  </si>
  <si>
    <t>3-3-2-15</t>
  </si>
  <si>
    <t>Intel Xeon w9-3575X (44 coeurs, 2.2GHz - 4.8GHz Turbo, 97.5Mo cache, 340W)</t>
  </si>
  <si>
    <t>3-3-2-8</t>
  </si>
  <si>
    <t>Intel Xeon w9-3595X (60 coeurs, 2.0GHz - 4.8GHz Turbo, 112.5Mo cache, 385W)</t>
  </si>
  <si>
    <t>3-3-2-16</t>
  </si>
  <si>
    <t xml:space="preserve">128 Go DDR5 4800 MT/s  - 2x64 Go ECC </t>
  </si>
  <si>
    <t>3-3-2-22</t>
  </si>
  <si>
    <t xml:space="preserve">128 Go DDR5 4800 MT/s  - 4x32 Go ECC </t>
  </si>
  <si>
    <t>3-3-2-23</t>
  </si>
  <si>
    <t xml:space="preserve">192 Go DDR5 4800 MT/s  - 6x32 Go ECC </t>
  </si>
  <si>
    <t>3-3-2-24</t>
  </si>
  <si>
    <t xml:space="preserve">256 Go DDR5 4800 MT/s - 4x64 Go ECC </t>
  </si>
  <si>
    <t>3-3-2-25</t>
  </si>
  <si>
    <t xml:space="preserve">256 Go DDR5 4800 MT/s - 8x32 Go ECC </t>
  </si>
  <si>
    <t>3-3-3-20</t>
  </si>
  <si>
    <t xml:space="preserve">512 Go DDR5 4800 MT/s - 8x64 Go ECC - Nécessite disque de demarage de 1To </t>
  </si>
  <si>
    <t>3-3-2-27</t>
  </si>
  <si>
    <t xml:space="preserve">768 Go DDR5 4800 MT/s - 12x64 Go ECC - Nécessite disque de demarage de 2To </t>
  </si>
  <si>
    <t>3-3-2-28</t>
  </si>
  <si>
    <t xml:space="preserve">1To DDR5 4800 MT/s  - 16x64 Go ECC - Nécessite disque de demarage de 2To </t>
  </si>
  <si>
    <t>3-3-2-69</t>
  </si>
  <si>
    <t xml:space="preserve">1.5 To DDR5 4800 MT/s  - 12x128 Go ECC - Nécessite disque de demarage de 2To </t>
  </si>
  <si>
    <t>3-3-2-70</t>
  </si>
  <si>
    <t xml:space="preserve">2To DDR5 4800 MT/s  - 16x128 Go ECC - Nécessite disque de demarage de 4To </t>
  </si>
  <si>
    <t>3-3-2-31</t>
  </si>
  <si>
    <t xml:space="preserve">3To DDR5 4800 MT/s  - 12x256 Go ECC - Nécessite disque de demarage de 8To </t>
  </si>
  <si>
    <t>3-3-2-32</t>
  </si>
  <si>
    <t xml:space="preserve">4To DDR5 4800 MT/s  - 16x256 Go ECC - Nécessite disque de demarage de 8To </t>
  </si>
  <si>
    <t>3-3-2-26</t>
  </si>
  <si>
    <t>Stockage (Passage)</t>
  </si>
  <si>
    <t>Ultra-Speed Duo Pcie x8 avec 1 disque SSD 2 To M.2 PCIe NVMe</t>
  </si>
  <si>
    <t>3-3-2-33</t>
  </si>
  <si>
    <t>Ultra-Speed Duo Pcie x8 avec 1 disque SSD 4 To M.2 PCIe NVMe</t>
  </si>
  <si>
    <t>3-3-2-35</t>
  </si>
  <si>
    <t>Ultra-Speed Duo Pcie x8 avec 2 disques SSD 1 To M.2 PCIe NVMe</t>
  </si>
  <si>
    <t>3-3-1-89</t>
  </si>
  <si>
    <t>Ultra-Speed Duo Pcie x8 avec 2 disques SSD 2 To M.2 PCIe NVMe</t>
  </si>
  <si>
    <t>3-3-1-90</t>
  </si>
  <si>
    <t>Ultra-Speed Duo Pcie x8 avec 2 disques SSD 4 To M.2 PCIe NVMe</t>
  </si>
  <si>
    <t>3-3-1-91</t>
  </si>
  <si>
    <t>Ultra-Speed Quad Pcie x16 avec 3 disques SSD 1 To M.2 PCIe NVMe</t>
  </si>
  <si>
    <t>3-3-1-92</t>
  </si>
  <si>
    <t>Ultra-Speed Quad Pcie x16 avec 3 disques SSD 2 To M.2 PCIe NVMe</t>
  </si>
  <si>
    <t>3-3-1-93</t>
  </si>
  <si>
    <t>Ultra-Speed Quad Pcie x16 avec 3 disques SSD 4 To M.2 PCIe NVMe</t>
  </si>
  <si>
    <t>3-3-1-94</t>
  </si>
  <si>
    <t>Ultra-Speed Quad Pcie x16 avec 4 disques SSD 1 To M.2 PCIe NVMe</t>
  </si>
  <si>
    <t>3-3-1-95</t>
  </si>
  <si>
    <t>Ultra-Speed Quad Pcie x16 avec 4 disques SSD 2 To M.2 PCIe NVMe</t>
  </si>
  <si>
    <t>3-3-1-96</t>
  </si>
  <si>
    <t>Ultra-Speed Quad Pcie x16 avec 4 disques SSD 4 To M.2 PCIe NVMe</t>
  </si>
  <si>
    <t>3-3-1-97</t>
  </si>
  <si>
    <t>Configuration RAID pour Carte Ultra-Speed (Incompatible Ubuntu)</t>
  </si>
  <si>
    <r>
      <t xml:space="preserve">RAID 0 pour carte Dell UltraSpeed - inclus clé vROC - </t>
    </r>
    <r>
      <rPr>
        <sz val="10"/>
        <color rgb="FFFF0000"/>
        <rFont val="Calibri"/>
        <family val="2"/>
        <scheme val="minor"/>
      </rPr>
      <t>uniquement compatible avec 2, 3 ou 4 disques</t>
    </r>
  </si>
  <si>
    <r>
      <t xml:space="preserve">RAID 1 pour carte Dell UltraSpeed - inclus clé vROC - </t>
    </r>
    <r>
      <rPr>
        <sz val="10"/>
        <color rgb="FFFF0000"/>
        <rFont val="Calibri"/>
        <family val="2"/>
        <scheme val="minor"/>
      </rPr>
      <t>uniquement compatible avec 2  disques</t>
    </r>
  </si>
  <si>
    <r>
      <t xml:space="preserve">RAID 5 pour carte Dell UltraSpeed - inclus clé vROC Premium - </t>
    </r>
    <r>
      <rPr>
        <sz val="10"/>
        <color rgb="FFFF0000"/>
        <rFont val="Calibri"/>
        <family val="2"/>
        <scheme val="minor"/>
      </rPr>
      <t>uniquement compatible avec 3 ou 4 disques</t>
    </r>
  </si>
  <si>
    <t>3-3-1-98</t>
  </si>
  <si>
    <r>
      <t xml:space="preserve">RAID 10 pour carte Dell UltraSpeed - inclus clé vROC - </t>
    </r>
    <r>
      <rPr>
        <sz val="10"/>
        <color rgb="FFFF0000"/>
        <rFont val="Calibri"/>
        <family val="2"/>
        <scheme val="minor"/>
      </rPr>
      <t>uniquement compatible avec 4 disques</t>
    </r>
  </si>
  <si>
    <t>3-3-1-37</t>
  </si>
  <si>
    <r>
      <t xml:space="preserve">Disque de demarrage + RAID 0 pour carte Dell UltraSpeed - inclus clé vROC - </t>
    </r>
    <r>
      <rPr>
        <sz val="10"/>
        <color rgb="FFFF0000"/>
        <rFont val="Calibri"/>
        <family val="2"/>
        <scheme val="minor"/>
      </rPr>
      <t>uniquement compatible avec 3 ou 4 disques - necessite Contrôleur 9660</t>
    </r>
  </si>
  <si>
    <t>3-3-1-99</t>
  </si>
  <si>
    <r>
      <t>Disque de demarrage + RAID 1 pour carte Dell UltraSpeed - inclus clé vROC -</t>
    </r>
    <r>
      <rPr>
        <sz val="10"/>
        <color rgb="FFFF0000"/>
        <rFont val="Calibri"/>
        <family val="2"/>
        <scheme val="minor"/>
      </rPr>
      <t>uniquement compatible avec 3 disques - necessite Contrôleur 9660</t>
    </r>
  </si>
  <si>
    <t>3-3-1-100</t>
  </si>
  <si>
    <r>
      <t xml:space="preserve">Disque de demarrage +  RAID 5 pour carte Dell UltraSpeed - inclus clé vROC Premium (RAID 5/10) - </t>
    </r>
    <r>
      <rPr>
        <sz val="10"/>
        <color rgb="FFFF0000"/>
        <rFont val="Calibri"/>
        <family val="2"/>
        <scheme val="minor"/>
      </rPr>
      <t>uniquement compatible avec 4 disques - necessite Contrôleur 9660</t>
    </r>
  </si>
  <si>
    <t>3-3-1-101</t>
  </si>
  <si>
    <t>Ajout disques supplémentaires SATA 3,5'' (jusqu'à 4 disques en Flexbay)</t>
  </si>
  <si>
    <t xml:space="preserve">RAID 10 - Uniquement compatible avec 4/6/8 disques identiques 3,5’’ </t>
  </si>
  <si>
    <t>2ème Carte Ultra-Speed Quad PCIe x16 avec 4 disques</t>
  </si>
  <si>
    <t>Contrôleur MegaRAID 9540-8i avec 1 à 4 disques FlexBay SATA à l‘avant - RAID logiciel 0/1/10</t>
  </si>
  <si>
    <t>Contrôleur MegaRAID 9540-8i avec disques Flex Bay SATA (1-4 à l‘avant et 5-8 à l‘arrière) - RAID logiciel 0/1/10</t>
  </si>
  <si>
    <t>3-3-2-106</t>
  </si>
  <si>
    <t>Ajout emplacement stockage interne face arrière pour disques supplémentaires  SATA - 5ème à 8eme disques - (offline only)</t>
  </si>
  <si>
    <t>Flexbay arrière pour disques 5 à 8 - Panneau non verrouillable</t>
  </si>
  <si>
    <t>3-3-1-43</t>
  </si>
  <si>
    <t>Flexbay arrière pour disques 5 à 8 - Panneau verrouillable</t>
  </si>
  <si>
    <t>3-3-2-107</t>
  </si>
  <si>
    <t>Ajout Disques SATA 3.5'' - Flexbay 5 à 8</t>
  </si>
  <si>
    <t>AMD Radeon Pro W7600 8Go (4xDP )</t>
  </si>
  <si>
    <t xml:space="preserve">NVIDIA RTX A2000 12Go (3228 cœurs CUDA, 4x mDP) </t>
  </si>
  <si>
    <t>NVIDIA A800 40Go active + NVIDIA T1000 8Go (4mDP) - Pour workload Intelligence Artificielle - inclus abonnement 3 ans NVIDIA AI Enterprise</t>
  </si>
  <si>
    <t>3-3-1-108</t>
  </si>
  <si>
    <t>Multi-GPU (vérifier en amont la faisabilité technique et les pré-requis) : Multi Display non supporté sous Ubuntu : usage uniquement pour calcul GPU (DataScience ou DL/ML/AI)</t>
  </si>
  <si>
    <r>
      <t xml:space="preserve">2x NVIDIA RTX 4000 Ada 20Go (6144 coeurs CUDA, 192 coeurs Tensor gen4, 48 coeurs RT gen3, 4xDP) </t>
    </r>
    <r>
      <rPr>
        <sz val="10"/>
        <color rgb="FFFF0000"/>
        <rFont val="Calibri"/>
        <family val="2"/>
        <scheme val="minor"/>
      </rPr>
      <t xml:space="preserve"> </t>
    </r>
  </si>
  <si>
    <t xml:space="preserve">2x NVIDIA RTX 4500 Ada 24Go (7680 coeurs CUDA, 240 coeurs Tensor gen4, 60 coeurs RT gen3, 4xDP) </t>
  </si>
  <si>
    <t xml:space="preserve">2x NVIDIA RTX 5000 Ada 32Go (12800 coeurs CUDA, 400 coeurs Tensor gen4, 100 coeurs RT gen3, 4xDP) </t>
  </si>
  <si>
    <t xml:space="preserve">2x NVIDIA RTX 6000 Ada (48Go, 18176 CUDA cores, 91.1 TFLOPS SP,  4xDP)  </t>
  </si>
  <si>
    <t>Multi-GPU (offline uniquement) : necessite alimentation Platinum 2200W - contacter votre commercial pour les configurations necessitant les options ci-dessous</t>
  </si>
  <si>
    <r>
      <t xml:space="preserve">3x NVIDIA RTX 4000 Ada 20Go (6144 coeurs CUDA, 192 coeurs Tensor gen4, 48 coeurs RT gen3, 4xDP) - </t>
    </r>
    <r>
      <rPr>
        <sz val="10"/>
        <color rgb="FFFF0000"/>
        <rFont val="Calibri"/>
        <family val="2"/>
        <scheme val="minor"/>
      </rPr>
      <t>necessite alimentation 2200W</t>
    </r>
  </si>
  <si>
    <t>3-3-2-114</t>
  </si>
  <si>
    <r>
      <t xml:space="preserve">4x NVIDIA RTX 4000 Ada 20Go (6144 coeurs CUDA, 192 coeurs Tensor gen4, 48 coeurs RT gen3, 4xDP) - </t>
    </r>
    <r>
      <rPr>
        <sz val="10"/>
        <color rgb="FFFF0000"/>
        <rFont val="Calibri"/>
        <family val="2"/>
        <scheme val="minor"/>
      </rPr>
      <t xml:space="preserve">necessite alimentation 2200W </t>
    </r>
  </si>
  <si>
    <t>3-3-2-115</t>
  </si>
  <si>
    <r>
      <t xml:space="preserve">3x NVIDIA RTX 5000 Ada 32Go (12800 coeurs CUDA, 400 coeurs Tensor gen4, 100 coeurs RT gen3, 4xDP) - </t>
    </r>
    <r>
      <rPr>
        <sz val="10"/>
        <color rgb="FFFF0000"/>
        <rFont val="Calibri"/>
        <family val="2"/>
        <scheme val="minor"/>
      </rPr>
      <t xml:space="preserve">necessite alimentation 2200W </t>
    </r>
  </si>
  <si>
    <t>3-3-2-118</t>
  </si>
  <si>
    <r>
      <t xml:space="preserve">4x NVIDIA RTX 5000 Ada 32Go (12800 coeurs CUDA, 400 coeurs Tensor gen4, 100 coeurs RT gen3, 4xDP) - </t>
    </r>
    <r>
      <rPr>
        <sz val="10"/>
        <color rgb="FFFF0000"/>
        <rFont val="Calibri"/>
        <family val="2"/>
        <scheme val="minor"/>
      </rPr>
      <t xml:space="preserve">necessite alimentation 2200W </t>
    </r>
  </si>
  <si>
    <t>3-3-2-119</t>
  </si>
  <si>
    <r>
      <t xml:space="preserve">3x NVIDIA RTX 6000 Ada (48Go, 18176 CUDA cores, 91.1 TFLOPS SP,  4xDP) - </t>
    </r>
    <r>
      <rPr>
        <sz val="10"/>
        <color rgb="FFFF0000"/>
        <rFont val="Calibri"/>
        <family val="2"/>
        <scheme val="minor"/>
      </rPr>
      <t xml:space="preserve">necessite alimentation 2200W </t>
    </r>
  </si>
  <si>
    <t>3-3-2-111</t>
  </si>
  <si>
    <r>
      <t xml:space="preserve">4x NVIDIA RTX 6000 Ada (48Go, 18176 CUDA cores, 91.1 TFLOPS SP,  4xDP)  - </t>
    </r>
    <r>
      <rPr>
        <sz val="10"/>
        <color rgb="FFFF0000"/>
        <rFont val="Calibri"/>
        <family val="2"/>
        <scheme val="minor"/>
      </rPr>
      <t xml:space="preserve">necessite alimentation 2200W </t>
    </r>
  </si>
  <si>
    <t>3-3-2-112</t>
  </si>
  <si>
    <t>Passage Alimentation (offline uniquement)</t>
  </si>
  <si>
    <r>
      <t xml:space="preserve">Alimentation Platinum 2200W (Cordon C19) - </t>
    </r>
    <r>
      <rPr>
        <sz val="10"/>
        <color rgb="FFFF0000"/>
        <rFont val="Calibri"/>
        <family val="2"/>
        <scheme val="minor"/>
      </rPr>
      <t xml:space="preserve">obligatoire avec 3 ou 4 cartes graphiques </t>
    </r>
  </si>
  <si>
    <t>3-3-2-113</t>
  </si>
  <si>
    <t>Graveur DVD+/-RW demi-hauteur 16x sur Baie ultraplate</t>
  </si>
  <si>
    <t>3-3-1-73</t>
  </si>
  <si>
    <t xml:space="preserve">Cartes réseau additionnelles </t>
  </si>
  <si>
    <t>Carte sans fil</t>
  </si>
  <si>
    <t>Cartes PCIe</t>
  </si>
  <si>
    <t>Carte PCIe Thunderbolt 4 (2 ports Type-C, 1 port d‘entrée DP) - Incompatible Ubuntu</t>
  </si>
  <si>
    <t>CAT3_Configuration n°2B - Precision 7875 Tower</t>
  </si>
  <si>
    <t>Passages de CPU</t>
  </si>
  <si>
    <t>AMD Ryzen Threadripper PRO 7955WX (16 coeurs, 4.5-5.3 Ghz, 64 Mo cache, 350W)</t>
  </si>
  <si>
    <t>3-3-2-82</t>
  </si>
  <si>
    <t>AMD Ryzen Threadripper PRO 7965WX (24 coeurs, 4.2-5.3 Ghz, 128 Mo cache, 350W)</t>
  </si>
  <si>
    <t>3-3-2-83</t>
  </si>
  <si>
    <t>AMD Ryzen Threadripper PRO 7975WX (32 coeurs, 4.0-5.3 Ghz, 128 Mo cache, 350W)</t>
  </si>
  <si>
    <t>3-3-2-84</t>
  </si>
  <si>
    <t>AMD Ryzen Threadripper PRO 7985WX (64 coeurs, 3.2-5.1 Ghz, 256 Mo cache, 350W)</t>
  </si>
  <si>
    <t>3-3-2-85</t>
  </si>
  <si>
    <t>Passages de mémoire - les options suivantes necessitent la selection de l'alimentation 1350W</t>
  </si>
  <si>
    <r>
      <t xml:space="preserve">256 Go DDR5 4800 MT/s - 8x32 Go ECC - </t>
    </r>
    <r>
      <rPr>
        <sz val="10"/>
        <color rgb="FFFF0000"/>
        <rFont val="Calibri"/>
        <family val="2"/>
        <scheme val="minor"/>
      </rPr>
      <t>Necessite alimentation 1350W</t>
    </r>
  </si>
  <si>
    <r>
      <t xml:space="preserve">512 Go DDR5 4800 MT/s - 8x64 Go ECC - </t>
    </r>
    <r>
      <rPr>
        <sz val="10"/>
        <color rgb="FFFF0000"/>
        <rFont val="Calibri"/>
        <family val="2"/>
        <scheme val="minor"/>
      </rPr>
      <t>Nécessite disque de demarage de 1To et alimentation 1350W</t>
    </r>
  </si>
  <si>
    <r>
      <t xml:space="preserve">512 Go DDR5 4800 MT/s - 4x128 Go ECC - </t>
    </r>
    <r>
      <rPr>
        <sz val="10"/>
        <color rgb="FFFF0000"/>
        <rFont val="Calibri"/>
        <family val="2"/>
        <scheme val="minor"/>
      </rPr>
      <t>Nécessite disque de demarage de 1To et alimentation 1350W</t>
    </r>
  </si>
  <si>
    <t>3-3-2-122</t>
  </si>
  <si>
    <r>
      <t xml:space="preserve">1To DDR5 4800 MT/s  - 8x128 Go ECC - </t>
    </r>
    <r>
      <rPr>
        <sz val="10"/>
        <color rgb="FFFF0000"/>
        <rFont val="Calibri"/>
        <family val="2"/>
        <scheme val="minor"/>
      </rPr>
      <t>Nécessite disque de demarage de 2To et alimentation 1350W</t>
    </r>
  </si>
  <si>
    <t>3-3-2-123</t>
  </si>
  <si>
    <t>Configuration RAID pour SSD - uniquement Windows</t>
  </si>
  <si>
    <r>
      <t xml:space="preserve">RAID 0 pour SSDs - </t>
    </r>
    <r>
      <rPr>
        <sz val="10"/>
        <color rgb="FFFF0000"/>
        <rFont val="Calibri"/>
        <family val="2"/>
        <scheme val="minor"/>
      </rPr>
      <t>uniquement compatible avec 2 disques identiques</t>
    </r>
    <r>
      <rPr>
        <sz val="10"/>
        <rFont val="Calibri"/>
        <family val="2"/>
        <scheme val="minor"/>
      </rPr>
      <t xml:space="preserve"> </t>
    </r>
    <r>
      <rPr>
        <sz val="10"/>
        <color rgb="FFFF0000"/>
        <rFont val="Calibri"/>
        <family val="2"/>
        <scheme val="minor"/>
      </rPr>
      <t>- Windows uniquement</t>
    </r>
  </si>
  <si>
    <r>
      <t xml:space="preserve">RAID 1 pour SSDs - </t>
    </r>
    <r>
      <rPr>
        <sz val="10"/>
        <color rgb="FFFF0000"/>
        <rFont val="Calibri"/>
        <family val="2"/>
        <scheme val="minor"/>
      </rPr>
      <t>uniquement compatible avec 2 disques identiques - Windows uniquement</t>
    </r>
  </si>
  <si>
    <t>Configuration RAID SATA 3,5'' - uniquement Windows</t>
  </si>
  <si>
    <t xml:space="preserve">Ajout carte Dell Ultra-Speed - uniquement si emplacements M.2 internes remplis  </t>
  </si>
  <si>
    <t>Dell ultra Speed drive Duo Pcie X8 avec 2 disques SSD 1To M.2 PCIe NVMe Classe 40</t>
  </si>
  <si>
    <t>Dell ultra Speed drive Duo Pcie X8 avec 2 disques SSD 2To M.2 PCIe NVMe Classe 40</t>
  </si>
  <si>
    <t>Dell ultra Speed drive Duo Pcie X8 avec 2 disques SSD 4To M.2 PCIe NVMe Classe 40</t>
  </si>
  <si>
    <r>
      <t>Dell ultra Speed drive Quad Pcie X16 avec 4 disques SSD 1To M.2 PCIe NVMe Classe 40</t>
    </r>
    <r>
      <rPr>
        <sz val="10"/>
        <color rgb="FFFF0000"/>
        <rFont val="Calibri"/>
        <family val="2"/>
        <scheme val="minor"/>
      </rPr>
      <t xml:space="preserve"> - necessite alimentation 1350W</t>
    </r>
  </si>
  <si>
    <t>Dell ultra Speed drive Quad Pcie X16 avec 4 disques SSD 2To M.2 PCIe NVMe Classe 40 - necessite alimentation 1350W</t>
  </si>
  <si>
    <t>Dell ultra Speed drive Quad Pcie X16 avec 4 disques SSD 4To M.2 PCIe NVMe Classe 40 - necessite alimentation 1350W</t>
  </si>
  <si>
    <r>
      <t xml:space="preserve">NVIDIA Geforce RTX4090 (24Go, 16394 cœurs CUDA, 3xDP + 1xHDMI) - </t>
    </r>
    <r>
      <rPr>
        <sz val="10"/>
        <color rgb="FFFF0000"/>
        <rFont val="Calibri"/>
        <family val="2"/>
        <scheme val="minor"/>
      </rPr>
      <t xml:space="preserve">Support uniquement Windows - Passage necessaire sur alimentation 1350W </t>
    </r>
  </si>
  <si>
    <t>Alimentation (Passage)</t>
  </si>
  <si>
    <r>
      <t xml:space="preserve">Alimentation Platinum 1350W (cordon C19) - norme ENERGY STAR - </t>
    </r>
    <r>
      <rPr>
        <sz val="10"/>
        <color rgb="FFFF0000"/>
        <rFont val="Calibri"/>
        <family val="2"/>
        <scheme val="minor"/>
      </rPr>
      <t>obligatoire avec RTX 4090, cartes Dual et/ou Mémoire avec 4 barettes et/ou carte Dell Ultra-Speed</t>
    </r>
  </si>
  <si>
    <t>3-3-2-100</t>
  </si>
  <si>
    <t>Cartes réseau additionnelles - 5 slots disponibles sur configuration de base</t>
  </si>
  <si>
    <t>Seconde carte PCIe d‘interface réseau Intel i226 2.5 Gbe</t>
  </si>
  <si>
    <t xml:space="preserve">Cartes Sans fil </t>
  </si>
  <si>
    <t>Carte série  - 5 slots disponibles sur configuration de base</t>
  </si>
  <si>
    <t>CAT3_Configuration n°3 - Precision 7960 Rack</t>
  </si>
  <si>
    <t>2x Intel Xeon Gold 6430 (32 cœurs, 2.1Ghz - 3.4Ghz turbo, 60 Mo cache, 270W)</t>
  </si>
  <si>
    <t>3-3-3-4</t>
  </si>
  <si>
    <t xml:space="preserve">2x Intel Xeon Gold 6442Y (24 cœurs, 2.6Ghz - 4.0 Ghz turbo, 60 Mo cache, 225W) </t>
  </si>
  <si>
    <t>3-3-3-7</t>
  </si>
  <si>
    <t xml:space="preserve">2x Intel Xeon Gold 6444Y (16 cœurs, 3.6Ghz - 4.0 Ghz turbo, 45 Mo cache, 270W) </t>
  </si>
  <si>
    <t>3-3-3-8</t>
  </si>
  <si>
    <t>2x Intel Xeon Platinum 8452Y (36 Coeurs, 2.0-3.2GHz Turbo, 68Mo cache, 300W)</t>
  </si>
  <si>
    <t>3-3-3-11</t>
  </si>
  <si>
    <t xml:space="preserve">192 Go DDR5 4800 MT/s  - 12x16 Go ECC </t>
  </si>
  <si>
    <t>3-3-3-18</t>
  </si>
  <si>
    <t xml:space="preserve">768 Go DDR5 4800 MT/s - 12x64 Go ECC - Nécessite disque de demarage de 1To </t>
  </si>
  <si>
    <t xml:space="preserve">1.5 To DDR5 4800 MT/s  - 24x64 Go ECC - Nécessite disque de demarage de 2To </t>
  </si>
  <si>
    <t>3-3-3-24</t>
  </si>
  <si>
    <t xml:space="preserve">2To DDR5 4800 MT/s  - 32x64 Go ECC - Nécessite disque de demarage de 4To </t>
  </si>
  <si>
    <t>3-3-3-25</t>
  </si>
  <si>
    <t xml:space="preserve">3To DDR5 4800 MT/s  - 24x128 Go ECC - Nécessite disque de demarage de 8To </t>
  </si>
  <si>
    <t>3-3-3-26</t>
  </si>
  <si>
    <t xml:space="preserve">Stockage sur carte Dell Ultra-Speed Duo (8X) ou Quad (16X) </t>
  </si>
  <si>
    <t>Ultra-Speed Duo Pcie x8 avec 1 disque SSD 1 To M.2 PCIe NVMe</t>
  </si>
  <si>
    <t>Ultra-Speed Duo Pcie x8 avec 2 disques SSD 512 Go M.2 PCIe NVMe</t>
  </si>
  <si>
    <t>3-3-1-17</t>
  </si>
  <si>
    <t>3-3-1-18</t>
  </si>
  <si>
    <t>3-3-1-19</t>
  </si>
  <si>
    <t>3-3-3-42</t>
  </si>
  <si>
    <t>3-3-1-27</t>
  </si>
  <si>
    <t>3-3-1-28</t>
  </si>
  <si>
    <t>3-3-3-43</t>
  </si>
  <si>
    <t>3-3-1-30</t>
  </si>
  <si>
    <t>3-3-1-31</t>
  </si>
  <si>
    <t>3-3-3-44</t>
  </si>
  <si>
    <t xml:space="preserve">Configuration RAID Ultraspeed </t>
  </si>
  <si>
    <r>
      <t xml:space="preserve">RAID 5 pour carte Dell UltraSpeed - inclus clé vROC Premium (RAID 5/10) - </t>
    </r>
    <r>
      <rPr>
        <sz val="10"/>
        <color rgb="FFFF0000"/>
        <rFont val="Calibri"/>
        <family val="2"/>
        <scheme val="minor"/>
      </rPr>
      <t>uniquement compatible avec 3 ou 4 disques</t>
    </r>
  </si>
  <si>
    <t>Ajout disques supplémentaires SATA 3,5'' (jusqu'à 8 disques)</t>
  </si>
  <si>
    <t xml:space="preserve">Contrôleur disque (Passage) </t>
  </si>
  <si>
    <t>Contrôleur PERC H755 SATA (RAID hardware 0/1/5/10)</t>
  </si>
  <si>
    <t>3-3-3-28</t>
  </si>
  <si>
    <t xml:space="preserve">RAID 5 - Uniquement compatible avec 3 à 8 disques identiques 3,5’’ </t>
  </si>
  <si>
    <t>3-3-2-73</t>
  </si>
  <si>
    <t>3-3-2-75</t>
  </si>
  <si>
    <t>Doubles cartes graphiques Professionnelles NVIDIA - Incompatible avec cartes UltraSpeed Quad</t>
  </si>
  <si>
    <t>2x NVIDIA RTX 5000 Ada 32Go (12800 coeurs CUDA, 400 coeurs Tensor gen4, 100 coeurs RT gen3, 4xDP)</t>
  </si>
  <si>
    <t xml:space="preserve">2x NVIDIA RTX 6000 Ada (48Go, 18176 CUDA cores, 91.1 TFLOPS SP,  4xDP) </t>
  </si>
  <si>
    <t>Lecteur DVD+/- RW SATA ultra plat</t>
  </si>
  <si>
    <t>3-3-3-29</t>
  </si>
  <si>
    <t>Carte réseau (ajout en supplément de carte Broadcom 5720 (2ports 1GbE)</t>
  </si>
  <si>
    <t>Carte réseau Intel i350 (4 ports  1xGbE)</t>
  </si>
  <si>
    <t>3-3-3-30</t>
  </si>
  <si>
    <t>Carte réseau Intel X710-T4L (4 ports  10xGbE)</t>
  </si>
  <si>
    <t>3-3-3-31</t>
  </si>
  <si>
    <t>Carte réseau Intel E810 (4 ports 10/25 GbE, SFP28, OCP 3.0)</t>
  </si>
  <si>
    <t>3-3-3-45</t>
  </si>
  <si>
    <t>Carte PCIe</t>
  </si>
  <si>
    <t>Deux blocs Alimentation non redondants hot swapp 1400W Platinum (Cordon C19/C20)</t>
  </si>
  <si>
    <t>3-3-3-34</t>
  </si>
  <si>
    <t>Deux blocs Alimentation redondants hot swapp 1400W  Platinum  (Cordon C19/C20)</t>
  </si>
  <si>
    <t>3-3-3-35</t>
  </si>
  <si>
    <t>Carte d'administration à distance</t>
  </si>
  <si>
    <t>Passage à carte iDRAC 9 Entreprise 16G</t>
  </si>
  <si>
    <t>3-3-3-41</t>
  </si>
  <si>
    <t>Ajout Open Manage Enterprise Advanced (avec activation Power Manager)</t>
  </si>
  <si>
    <t>3-3-3-46</t>
  </si>
  <si>
    <t>Kit de mise en rack</t>
  </si>
  <si>
    <t>Rails coulissant Ready rails sans bras de management de cables</t>
  </si>
  <si>
    <t>3-3-3-36</t>
  </si>
  <si>
    <t>Rails coulissant Ready rails avec bras de management de cables</t>
  </si>
  <si>
    <t>3-3-3-37</t>
  </si>
  <si>
    <t>Façade avant</t>
  </si>
  <si>
    <t xml:space="preserve">Cadre avant </t>
  </si>
  <si>
    <t>3-3-3-39</t>
  </si>
  <si>
    <t>Extensions Communes Hors Configurations pour le Lot 3</t>
  </si>
  <si>
    <t>Cartes graphiques additionnelles - Ajoutées postérieurement à l'achat de la machine (Nécessite de valider en amont compatibilité station, disponibilité slot PCIe, puissance alimentation et support OS, etc.)</t>
  </si>
  <si>
    <t>Cartes Low Profile (chassis Compact et SFF)</t>
  </si>
  <si>
    <r>
      <t xml:space="preserve">NVIDIA T400 Low Profile (4Go, 3x mDP) - </t>
    </r>
    <r>
      <rPr>
        <sz val="10"/>
        <color rgb="FFFF0000"/>
        <rFont val="Calibri"/>
        <family val="2"/>
        <scheme val="minor"/>
      </rPr>
      <t>Nécessite de valider en amont compatibilité station, disponibilité slot PCIe, puissance alimentation et support OS, etc.</t>
    </r>
  </si>
  <si>
    <t>490-BIBT</t>
  </si>
  <si>
    <t>3-0-1-1</t>
  </si>
  <si>
    <r>
      <t xml:space="preserve">NVIDIA T1000 Low Profile (8Go, 4xmDP) </t>
    </r>
    <r>
      <rPr>
        <sz val="10"/>
        <color rgb="FFFF0000"/>
        <rFont val="Calibri"/>
        <family val="2"/>
        <scheme val="minor"/>
      </rPr>
      <t>- Nécessite de valider en amont compatibilité station, disponibilité slot PCIe, puissance alimentation et support OS, etc.</t>
    </r>
  </si>
  <si>
    <t>490-BIBR</t>
  </si>
  <si>
    <t>3-0-1-2</t>
  </si>
  <si>
    <t>Cartes Full Height</t>
  </si>
  <si>
    <r>
      <t xml:space="preserve">NVIDIA T400 Full Height (4Go, 3x mDP) - </t>
    </r>
    <r>
      <rPr>
        <sz val="10"/>
        <color rgb="FFFF0000"/>
        <rFont val="Calibri"/>
        <family val="2"/>
        <scheme val="minor"/>
      </rPr>
      <t>Nécessite de valider en amont compatibilité station, disponibilité slot PCIe, puissance alimentation et support OS, etc.</t>
    </r>
  </si>
  <si>
    <t>490-BHRT</t>
  </si>
  <si>
    <t>3-0-1-3</t>
  </si>
  <si>
    <r>
      <t xml:space="preserve">NVIDIA T1000 Full Height (8Go, 4xmDP) </t>
    </r>
    <r>
      <rPr>
        <sz val="10"/>
        <color rgb="FFFF0000"/>
        <rFont val="Calibri"/>
        <family val="2"/>
        <scheme val="minor"/>
      </rPr>
      <t>- Nécessite de valider en amont compatibilité station, disponibilité slot PCIe, puissance alimentation et support OS, etc.</t>
    </r>
  </si>
  <si>
    <t>490-BHRU</t>
  </si>
  <si>
    <t>3-0-1-4</t>
  </si>
  <si>
    <r>
      <t xml:space="preserve">NVIDIA RTX A2000 12Go (3228 cœurs CUDA, 4x mDP)  - </t>
    </r>
    <r>
      <rPr>
        <sz val="10"/>
        <color rgb="FFFF0000"/>
        <rFont val="Calibri"/>
        <family val="2"/>
        <scheme val="minor"/>
      </rPr>
      <t>Nécessite de valider en amont compatibilité station, disponibilité slot PCIe, puissance alimentation et support OS, etc.</t>
    </r>
  </si>
  <si>
    <t>490-BHRS</t>
  </si>
  <si>
    <t>3-0-1-6</t>
  </si>
  <si>
    <r>
      <t>NVIDIA RTX A4000 (16Go, 4xDP)</t>
    </r>
    <r>
      <rPr>
        <sz val="10"/>
        <color rgb="FFFF0000"/>
        <rFont val="Calibri"/>
        <family val="2"/>
        <scheme val="minor"/>
      </rPr>
      <t xml:space="preserve"> - Nécessite de valider en amont compatibilité station, disponibilité slot PCIe, puissance alimentation et support OS, etc.</t>
    </r>
  </si>
  <si>
    <t>490-BHTJ</t>
  </si>
  <si>
    <t>3-0-1-5</t>
  </si>
  <si>
    <r>
      <t>NVIDIA RTX 4000 Ada (20Go, 4xDP)</t>
    </r>
    <r>
      <rPr>
        <sz val="10"/>
        <color rgb="FFFF0000"/>
        <rFont val="Calibri"/>
        <family val="2"/>
        <scheme val="minor"/>
      </rPr>
      <t xml:space="preserve"> - Nécessite de valider en amont compatibilité station, disponibilité slot PCIe, puissance alimentation et support OS, etc.</t>
    </r>
  </si>
  <si>
    <t>490-BKHG</t>
  </si>
  <si>
    <t>3-0-1-215</t>
  </si>
  <si>
    <r>
      <t>NVIDIA RTX 4500 Ada (24Go, 4xDP)</t>
    </r>
    <r>
      <rPr>
        <sz val="10"/>
        <color rgb="FFFF0000"/>
        <rFont val="Calibri"/>
        <family val="2"/>
        <scheme val="minor"/>
      </rPr>
      <t xml:space="preserve"> - Nécessite de valider en amont compatibilité station, disponibilité slot PCIe, puissance alimentation et support OS, etc.</t>
    </r>
  </si>
  <si>
    <t>490-BKFX</t>
  </si>
  <si>
    <t>3-0-1-216</t>
  </si>
  <si>
    <r>
      <t>NVIDIA RTX 5000 Ada (32Go, 4xDP)</t>
    </r>
    <r>
      <rPr>
        <sz val="10"/>
        <color rgb="FFFF0000"/>
        <rFont val="Calibri"/>
        <family val="2"/>
        <scheme val="minor"/>
      </rPr>
      <t xml:space="preserve"> - Nécessite de valider en amont compatibilité station, disponibilité slot PCIe, puissance alimentation et support OS, etc.</t>
    </r>
  </si>
  <si>
    <t>490-BJXD</t>
  </si>
  <si>
    <t>3-0-1-225</t>
  </si>
  <si>
    <r>
      <t>NVIDIA RTX 6000 Ada (48Go, 18176 CUDA cores, 91.1 TFLOPS SP,  4xDP)</t>
    </r>
    <r>
      <rPr>
        <sz val="10"/>
        <color rgb="FFFF0000"/>
        <rFont val="Calibri"/>
        <family val="2"/>
        <scheme val="minor"/>
      </rPr>
      <t xml:space="preserve"> - Nécessite de valider en amont compatibilité station, disponibilité slot PCIe, puissance alimentation et support OS, etc.</t>
    </r>
  </si>
  <si>
    <t>490-BJMS</t>
  </si>
  <si>
    <t>3-0-1-12</t>
  </si>
  <si>
    <r>
      <t>NVIDIA A800 40Go active</t>
    </r>
    <r>
      <rPr>
        <sz val="10"/>
        <color rgb="FFFF0000"/>
        <rFont val="Calibri"/>
        <family val="2"/>
        <scheme val="minor"/>
      </rPr>
      <t xml:space="preserve"> - Nécessite de valider en amont compatibilité station, disponibilité slot PCIe, puissance alimentation et support OS, etc.</t>
    </r>
  </si>
  <si>
    <t>490-BKFY</t>
  </si>
  <si>
    <t>3-0-1-217</t>
  </si>
  <si>
    <t>Carte réseau pour Precision Tower - Valider en amont la compatibilité</t>
  </si>
  <si>
    <t>Carte Intel E810-XXVDA4 à quatre ports 10/25 GbE, SFP28, OCP NIC 3.0</t>
  </si>
  <si>
    <t xml:space="preserve">540-BFJK </t>
  </si>
  <si>
    <t>3-0-1-224</t>
  </si>
  <si>
    <t xml:space="preserve">Unités de stockage additionnelles avec support de fixation et cablage, ajoutées postérieurement à l'achat de la machine </t>
  </si>
  <si>
    <t xml:space="preserve">SSD 512Go M.2 PCIe NVMe Classe 40 </t>
  </si>
  <si>
    <t>AA618641</t>
  </si>
  <si>
    <t>3-0-1-15</t>
  </si>
  <si>
    <t>AA615520</t>
  </si>
  <si>
    <t>3-0-1-16</t>
  </si>
  <si>
    <t>AB400209</t>
  </si>
  <si>
    <t>3-0-1-17</t>
  </si>
  <si>
    <t>SSD 4To M.2 PCIe NVMe Classe 40 (2280)</t>
  </si>
  <si>
    <t>AC037411</t>
  </si>
  <si>
    <t>3-0-1-21</t>
  </si>
  <si>
    <t>Unités de stockage de masse et graveur externes</t>
  </si>
  <si>
    <t>Clés USB-A &amp; C</t>
  </si>
  <si>
    <t>Dell 64GB USB A/C Combo Flash Drive - Bleu</t>
  </si>
  <si>
    <t>AB135418</t>
  </si>
  <si>
    <t>3-0-1-18</t>
  </si>
  <si>
    <t>Dell 128GB USB A/C Combo Flash Drive - Bleu</t>
  </si>
  <si>
    <t>AB135396</t>
  </si>
  <si>
    <t>3-0-1-19</t>
  </si>
  <si>
    <t>Disques dur externes</t>
  </si>
  <si>
    <t>Seagate - Disque Dur Portable externe - One Touch Password  1To (STKY1000400) - Noir</t>
  </si>
  <si>
    <t>AC635950</t>
  </si>
  <si>
    <t>3-0-1-20</t>
  </si>
  <si>
    <t>Seagate - Disque Dur Portable externe - One Touch Password  2To (STKY2000400) - Noir</t>
  </si>
  <si>
    <t xml:space="preserve">AC635967 </t>
  </si>
  <si>
    <t>3-0-1-22</t>
  </si>
  <si>
    <t>Seagate - Disque Dur Portable externe -Ultra Touch 2To USB-C - avec Rescue Data Recovery (STMA2000400) - Noir</t>
  </si>
  <si>
    <t>AC616528</t>
  </si>
  <si>
    <t>3-0-1-23</t>
  </si>
  <si>
    <t>Seagate - Disque Dur pour PC Bureau - Expansion Desk 6To 3.5 USB 3.0 (STEB6000403) - Noir</t>
  </si>
  <si>
    <t xml:space="preserve">AB771150 </t>
  </si>
  <si>
    <t>3-0-1-24</t>
  </si>
  <si>
    <t>Seagate - Disque Dur pour PC Bureau - Expansion Desk 8To 3.5 USB 3.0 (STEB8000402) - Noir</t>
  </si>
  <si>
    <t xml:space="preserve">AB771942 </t>
  </si>
  <si>
    <t>3-0-1-25</t>
  </si>
  <si>
    <t>Graveur externe</t>
  </si>
  <si>
    <t>Graveur Externe Ultramince DVD+/-RW Dell DW316 USB</t>
  </si>
  <si>
    <t>784-BBBI</t>
  </si>
  <si>
    <t>3-0-1-30</t>
  </si>
  <si>
    <t>Claviers et combos</t>
  </si>
  <si>
    <t>Claviers et combos AZERTY</t>
  </si>
  <si>
    <t>Dell KB216 - Clavier Multimedia - Noir - AZERTY</t>
  </si>
  <si>
    <t>580-ADGU</t>
  </si>
  <si>
    <t>3-0-1-31</t>
  </si>
  <si>
    <t xml:space="preserve">Dell KB522 -  Clavier Professionnel Multimedia - Noir - AZERTY </t>
  </si>
  <si>
    <t>580-17671</t>
  </si>
  <si>
    <t>3-0-1-32</t>
  </si>
  <si>
    <t>Dell KB813 - Clavier Smartcard - Noir - AZERTY</t>
  </si>
  <si>
    <t>580-18354</t>
  </si>
  <si>
    <t>3-0-1-33</t>
  </si>
  <si>
    <t>Dell - Combo Clavier et souris filaires (KB216 + MS116) - AZERTY</t>
  </si>
  <si>
    <t>580-ADGU+570-AAIS</t>
  </si>
  <si>
    <t>3-0-1-34</t>
  </si>
  <si>
    <t>Dell KM5221W - Combo Clavier et souris sans fil - Noir - AZERTY</t>
  </si>
  <si>
    <t>580-AJRL</t>
  </si>
  <si>
    <t>3-0-1-35</t>
  </si>
  <si>
    <t>Dell KM555 - Combo Clavier et souris sans fil silencieux - Noir - AZERTY</t>
  </si>
  <si>
    <t>580-BBVX</t>
  </si>
  <si>
    <t>3-0-1-26</t>
  </si>
  <si>
    <t>Dell KM7321W - Combo Clavier et souris sans fil Dell Premier - Gris - AZERTY</t>
  </si>
  <si>
    <t>580-AJQM</t>
  </si>
  <si>
    <t>3-0-1-36</t>
  </si>
  <si>
    <t>Claviers étanches AZERTY</t>
  </si>
  <si>
    <t xml:space="preserve">Cherry KC 1068 - Clavier filaire étanche désinfectable, dans enveloppe de protection soudée, IP 68 (JK-1068FR-0) - AZERTY - Blanc </t>
  </si>
  <si>
    <t>AB766551</t>
  </si>
  <si>
    <t>3-0-1-39</t>
  </si>
  <si>
    <t>Claviers et combos QWERTY</t>
  </si>
  <si>
    <t xml:space="preserve">Dell KB216 - Clavier Multimedia - Noir - Américain/international QWERTY </t>
  </si>
  <si>
    <t>580-ADHK</t>
  </si>
  <si>
    <t>3-0-1-41</t>
  </si>
  <si>
    <t xml:space="preserve">Dell KB522 -  Clavier Professionnel Multimedia - Noir - Américain/international QWERTY </t>
  </si>
  <si>
    <t>580-17667</t>
  </si>
  <si>
    <t>3-0-1-42</t>
  </si>
  <si>
    <t>Dell KB813 - Clavier Smartcard - Noir - QWERTY</t>
  </si>
  <si>
    <t>580-18366</t>
  </si>
  <si>
    <t>3-0-1-43</t>
  </si>
  <si>
    <t>Dell - Combo Clavier et souris filaires (KB216 + MS116) - QWERTY</t>
  </si>
  <si>
    <t>580-ADHK+570-AAIS</t>
  </si>
  <si>
    <t>3-0-1-44</t>
  </si>
  <si>
    <t>Dell KM5221W - Combo Clavier et souris sans fil - Noir - QWERTY</t>
  </si>
  <si>
    <t>580-AJRP</t>
  </si>
  <si>
    <t>3-0-1-45</t>
  </si>
  <si>
    <t>Dell KM555 - Combo Clavier et souris sans fil silencieux - Noir - QWERTY</t>
  </si>
  <si>
    <t>580-BBVV</t>
  </si>
  <si>
    <t>3-0-1-27</t>
  </si>
  <si>
    <t>Dell KM7321W - Combo Clavier et souris sans fil Dell Premier - QWERTY</t>
  </si>
  <si>
    <t>580-AJQJ</t>
  </si>
  <si>
    <t>3-0-1-46</t>
  </si>
  <si>
    <t>Claviers étanches QWERTY</t>
  </si>
  <si>
    <t xml:space="preserve">Cherry KC 1068 - Clavier filaire étanche désinfectable, dans enveloppe de protection soudée, IP 68 (JK-1068EU-0) - QWERTY - Blanc </t>
  </si>
  <si>
    <t>AB766555</t>
  </si>
  <si>
    <t>3-0-1-49</t>
  </si>
  <si>
    <t xml:space="preserve">Cherry KC 1068 - Clavier filaire étanche désinfectable, dans enveloppe de protection soudée, IP 68 (JK-1068EU-2) - QWERTY - Noir </t>
  </si>
  <si>
    <t>AB766556</t>
  </si>
  <si>
    <t>3-0-1-50</t>
  </si>
  <si>
    <t>Accessoire pour clavier</t>
  </si>
  <si>
    <t>Port Designs - Pavé numérique USB-C et USB-A filaire (900801) - Noir</t>
  </si>
  <si>
    <t>AB776810</t>
  </si>
  <si>
    <t>3-0-1-51</t>
  </si>
  <si>
    <t>Périphérique de pointage 2D/3D et dispositif complémentaire associés (tapis, repose main, ...)</t>
  </si>
  <si>
    <t>Souris</t>
  </si>
  <si>
    <t>Dell MS116 - Souris optique - Noir</t>
  </si>
  <si>
    <t xml:space="preserve">570-AAIS </t>
  </si>
  <si>
    <t>3-0-1-52</t>
  </si>
  <si>
    <t>Dell MS3220 - Souris laser filaire (3200 DPI) - Noir - Garantie 3 ans incluse</t>
  </si>
  <si>
    <t>570-ABHN</t>
  </si>
  <si>
    <t>3-0-1-53</t>
  </si>
  <si>
    <t>Dell MS3320W - Souris sans fil - RF 2.4GHz Dongle &amp; Bluetooth - Noir - Garantie 3 ans incluse</t>
  </si>
  <si>
    <t>570-ABHK</t>
  </si>
  <si>
    <t>3-0-1-54</t>
  </si>
  <si>
    <t>Dell MS7421W- Souris sans fil rechargeable (via USB-C) - Grise - Garantie 3 ans</t>
  </si>
  <si>
    <t>570-ABLO</t>
  </si>
  <si>
    <t>3-0-1-55</t>
  </si>
  <si>
    <t>Port Designs - Souris PRO sans fil  et silencieuse (900713) - Noir</t>
  </si>
  <si>
    <t xml:space="preserve">AB788779 </t>
  </si>
  <si>
    <t>3-0-1-56</t>
  </si>
  <si>
    <t>Port Designs - Souris PRO sans fil  et silencieuse (900714) - Blanc</t>
  </si>
  <si>
    <t xml:space="preserve">AB788790 </t>
  </si>
  <si>
    <t>3-0-1-57</t>
  </si>
  <si>
    <t>Souris ergonomiques</t>
  </si>
  <si>
    <t>Port Designs - Souris ergonomique sans fil rechargeable pour Droitier (900706-BT) - Noir</t>
  </si>
  <si>
    <t>AB839200</t>
  </si>
  <si>
    <t>3-0-1-58</t>
  </si>
  <si>
    <t>Cherry MW 4500 LEFT - Souris ergonomique sans fil - Pour les gauchers - Plus d'ergonomie et moins de fatigue (JW-4550) - Noir</t>
  </si>
  <si>
    <t>AB766557</t>
  </si>
  <si>
    <t>3-0-1-59</t>
  </si>
  <si>
    <t>Cherry MW 4500  - Souris ergonomique sans fil - Pour les droitiers - Plus d'ergonomie et moins de fatigue (JW-4500) - Noir</t>
  </si>
  <si>
    <t>AB766558</t>
  </si>
  <si>
    <t>3-0-1-60</t>
  </si>
  <si>
    <t>Cherry MW 8C ERGO - Souris sans fil USB &amp; Bluetooth - rechargeable USB-C- parfaite pour grandes mains- confort et qualité (JW-8600) - Noir &amp; Argent</t>
  </si>
  <si>
    <t>AC051772</t>
  </si>
  <si>
    <t>3-0-1-61</t>
  </si>
  <si>
    <t>Souris 3D</t>
  </si>
  <si>
    <t>3D Connexion - CadMouse Compact - Souris filaire Haute performance pour ingénierie (3DX-700081) - Noir</t>
  </si>
  <si>
    <t>AB779271</t>
  </si>
  <si>
    <t>3-0-1-62</t>
  </si>
  <si>
    <t>3D Connexion - CadMouse Compact Wireless - Souris sans fil Hauter Performance pour spécialistes CAO (3DX-700118) - Noir</t>
  </si>
  <si>
    <t>AC606423</t>
  </si>
  <si>
    <t>3-0-1-63</t>
  </si>
  <si>
    <t>3D Connexion - SpaceMouse Compact -  Souris 3D filaire USB (3DX-700059) - Noir</t>
  </si>
  <si>
    <t>AB779273</t>
  </si>
  <si>
    <t>3-0-1-64</t>
  </si>
  <si>
    <t xml:space="preserve">3D Connexion - SpaceMouse® Wireless Kit 2 - inclus SpaceMouse® Wireless - Bluetooth Edition - Noir + CadMouse Compact Wireless + CadMouse Pad Compact + 3Dconnexion Universal Receiver + cable USB-A / USB-C (1.5m) - 3DX-700136 </t>
  </si>
  <si>
    <t>AD100040</t>
  </si>
  <si>
    <t>3-0-1-66</t>
  </si>
  <si>
    <t xml:space="preserve">3D Connexion - Space Mouse Pro Wireless - Bluetooth Edition - Souris 3D sans fil rechargeable (USB-C) (3DX-700119) - Noir </t>
  </si>
  <si>
    <t>AC921081</t>
  </si>
  <si>
    <t>3-0-1-67</t>
  </si>
  <si>
    <t>Repose poignets</t>
  </si>
  <si>
    <t>Port Designs - Repose-poignets ergonomique pour clavier (900718) - Noir</t>
  </si>
  <si>
    <t xml:space="preserve">AB788741 </t>
  </si>
  <si>
    <t>3-0-1-68</t>
  </si>
  <si>
    <t>Tapis de souris</t>
  </si>
  <si>
    <t>Port Designs - Tapis de souris ergonomique (900717) - Noir</t>
  </si>
  <si>
    <t xml:space="preserve">AB788740 </t>
  </si>
  <si>
    <t>3-0-1-69</t>
  </si>
  <si>
    <t>3D Connexion - CadMouse Pad Compact (3DX-700068) - Noir</t>
  </si>
  <si>
    <t>AC033268</t>
  </si>
  <si>
    <t>3-0-1-70</t>
  </si>
  <si>
    <t>Télécommande de présentation</t>
  </si>
  <si>
    <t>Kensington Si600 - Télécommande de présentation sans fil avec pointeur laser rouge 4 boutons - Récepteur USB - RF (33374EU) - Noir</t>
  </si>
  <si>
    <t>A7280192</t>
  </si>
  <si>
    <t>3-0-1-71</t>
  </si>
  <si>
    <t>Stylets</t>
  </si>
  <si>
    <t>Stylet actif rechargeable DELL premier PN7522W - Uniquement pour Precision 5480 tactile et Latitude 2en1</t>
  </si>
  <si>
    <t>750-ADRC</t>
  </si>
  <si>
    <t>3-0-1-13</t>
  </si>
  <si>
    <t>Webcams et solution de visioconférence</t>
  </si>
  <si>
    <t>Webcams</t>
  </si>
  <si>
    <t>Port Designs - Webcam FHD (1920x1080) pour vidéoconférence - Connectivité USB-A et USB-C (900078) - Noir</t>
  </si>
  <si>
    <t>AB777415</t>
  </si>
  <si>
    <t>3-0-1-72</t>
  </si>
  <si>
    <t>Logitech C505E Business Webcam - Couleur - 720p (1280x720) - Grand angle et micro longue portée - Connectivité USB (960-001372) - Noir</t>
  </si>
  <si>
    <t>AD129737</t>
  </si>
  <si>
    <t>3-0-1-73</t>
  </si>
  <si>
    <t>Logitech C930E Business Webcam - Couleur - Enregistrement vidéo FHD (1920x1080) - Grand angle et micro longue portée - Connectivité USB - Certifié Skype (960-000972) - Noir</t>
  </si>
  <si>
    <t>AD129736</t>
  </si>
  <si>
    <t>3-0-1-74</t>
  </si>
  <si>
    <t>Logitech BRIO 4K Ultra HD (4096x2160) PRO Webcam - Couleur - Compatible Windows Hello - Grand angle et micro longue portée - Connectivité USB (960-001106) - Noir</t>
  </si>
  <si>
    <t>AD129735</t>
  </si>
  <si>
    <t>3-0-1-75</t>
  </si>
  <si>
    <t xml:space="preserve">Dell Webcam Professional (WB3023) - 2K QHD - Certifié Teams et Zoom </t>
  </si>
  <si>
    <t>722-BBBV</t>
  </si>
  <si>
    <t>3-0-1-101</t>
  </si>
  <si>
    <t xml:space="preserve">Dell Webcam Professional (WB5023) - 2K QHD - cadrage automatique IA - avec Audio - Certifié Teams et Zoom </t>
  </si>
  <si>
    <t>722-BBBU</t>
  </si>
  <si>
    <t>3-0-1-198</t>
  </si>
  <si>
    <t>Dell Webcam Ultrasharp (WB7022) - 4K Ultra HD (3840 x 2160) - Couleur - Compatible Windows Hello - Cadrage automatique IA – Certifié Teams et Zoom - Noir</t>
  </si>
  <si>
    <t>722-BBBI</t>
  </si>
  <si>
    <t>3-0-1-76</t>
  </si>
  <si>
    <t>Solution de visioconférence</t>
  </si>
  <si>
    <t>Jabra Panacast Meet Anywhere -KIT MINI - MS Teams  (Panacast + Speak 750 + Premium Travel case) ( 8402-129)</t>
  </si>
  <si>
    <t>AC327348</t>
  </si>
  <si>
    <t>3-0-1-196</t>
  </si>
  <si>
    <t>Jabra Panacast Meet Anywhere -KIT MINI - UC  (Panacast + Speak 750 + Premium Travel case) ( 8402-229)</t>
  </si>
  <si>
    <t>AC327349</t>
  </si>
  <si>
    <t>3-0-1-197</t>
  </si>
  <si>
    <t>Jabra - PanaCast MS Global - Caméra de visioconférence - Solution Vidéo Plug-and-Play panoramique 4K à 180° avec câble de 80 cm (8100-119) - Noir</t>
  </si>
  <si>
    <t>AB740777</t>
  </si>
  <si>
    <t>3-0-1-77</t>
  </si>
  <si>
    <t>Jabra - Hub USB-C - Unité permettant de connecter la Panacast et le speaker à l'ordinateur d'un simple câble (14207-58) - Option</t>
  </si>
  <si>
    <t>AB740778</t>
  </si>
  <si>
    <t>3-0-1-78</t>
  </si>
  <si>
    <t>Jabra - Wall Mount - Système de montage conçu pour fixer la Panacast à un mur (14207-57) - Option</t>
  </si>
  <si>
    <t>AB740779</t>
  </si>
  <si>
    <t>3-0-1-79</t>
  </si>
  <si>
    <t>Jabra - Table Stand - Support permettant d'utiliser la Panacast comme unité autonome (14207-56) - Option</t>
  </si>
  <si>
    <t>AB740780</t>
  </si>
  <si>
    <t>3-0-1-80</t>
  </si>
  <si>
    <t>Jabra - USB Cable de 1.8 mètre pour connecter la Panacast à l'ordinateur (14202-09) - Option</t>
  </si>
  <si>
    <t>AB740781</t>
  </si>
  <si>
    <t>3-0-1-81</t>
  </si>
  <si>
    <t>Hauts-parleurs, Microphones et Casques audio</t>
  </si>
  <si>
    <t xml:space="preserve">Barres son </t>
  </si>
  <si>
    <r>
      <t xml:space="preserve">Barre son externe slim Dell SB521A (fixation magnétique, HP 3.6 Watts) </t>
    </r>
    <r>
      <rPr>
        <sz val="10"/>
        <color indexed="2"/>
        <rFont val="Calibri"/>
        <family val="2"/>
        <scheme val="minor"/>
      </rPr>
      <t>- Compatible avec moniteurs Dell de dernière génération PRO 2 ID design (Pxx21x / Pxx22Xx / Pxx23Xx / Uxx21x / Uxx22x / Uxx23x)</t>
    </r>
  </si>
  <si>
    <t>520-AASI</t>
  </si>
  <si>
    <t>3-0-1-82</t>
  </si>
  <si>
    <r>
      <t xml:space="preserve">Barre son externe slim Dell SB522A (fixation magnétique, HP 3.6 Watts, certifié MS Teams) </t>
    </r>
    <r>
      <rPr>
        <sz val="10"/>
        <color indexed="2"/>
        <rFont val="Calibri"/>
        <family val="2"/>
        <scheme val="minor"/>
      </rPr>
      <t>- Compatible avec moniteurs Dell de dernière génération PRO 2 ID design (Pxx21x / Pxx22Xx / Pxx23Xx / Uxx21x / Uxx22x / Uxx23x)</t>
    </r>
  </si>
  <si>
    <t>520-AAVR</t>
  </si>
  <si>
    <t>3-0-1-9</t>
  </si>
  <si>
    <t>Dell SP3022 - Haut-Parleur 2x 1.8W - certifié Teams &amp; Zoom - annulation automatique du bruit - entrée USB-A ou USB-C (au choix)</t>
  </si>
  <si>
    <t>520-AAVQ</t>
  </si>
  <si>
    <t>3-0-1-110</t>
  </si>
  <si>
    <t>Haut-parleurs</t>
  </si>
  <si>
    <t xml:space="preserve">Dell MH3021P - Combo Haut-Parleur/adaptateur mobile - USB-C / 2 x USB-A / HDMI / microphone et Haut-parleur / Power Delivery 90W </t>
  </si>
  <si>
    <t>470-AELP</t>
  </si>
  <si>
    <t>3-0-1-83</t>
  </si>
  <si>
    <t>EPOS/Sennheiser EXPAND SP 20 - Speaker filaire portable jusqu'à 4 personnes (1000226)</t>
  </si>
  <si>
    <t>AB740782</t>
  </si>
  <si>
    <t>3-0-1-84</t>
  </si>
  <si>
    <t>EPOS/Sennheiser EXPAND SP 30 - Speaker sans fil jusqu'à 8 personnes (1000223)</t>
  </si>
  <si>
    <t>AB740783</t>
  </si>
  <si>
    <t>3-0-1-85</t>
  </si>
  <si>
    <t>EPOS/Sennheiser EXPAND 80T - Speaker évolutif, supérieur - jusqu'à 7 personnes (1000203)</t>
  </si>
  <si>
    <t>AB740784</t>
  </si>
  <si>
    <t>3-0-1-86</t>
  </si>
  <si>
    <t>EPOS/Sennheiser EXPAND 80 - Microphone d'extension (1000229)</t>
  </si>
  <si>
    <t>AB740785</t>
  </si>
  <si>
    <t>3-0-1-87</t>
  </si>
  <si>
    <t>Casques filaires</t>
  </si>
  <si>
    <t>Dell WH1022 - Casque Stereo USB</t>
  </si>
  <si>
    <t>520-AAVV</t>
  </si>
  <si>
    <t>3-0-1-199</t>
  </si>
  <si>
    <t>Dell WH3024 - Casque Stereo USB-C (livré avec adaptateur USB-A) - élimination du bruit par IA - certifié Teams / Zoom - Garantie 3 ans</t>
  </si>
  <si>
    <t>520-BBDH</t>
  </si>
  <si>
    <t>3-0-1-200</t>
  </si>
  <si>
    <t>Dell WH5024 - Casque Stereo USB-C (livré avec adaptateur USB-A) - élimination du bruit par IA - certifié Teams / Zoom - confort optimal - Garantie 3 ans</t>
  </si>
  <si>
    <t>520-BBGQ</t>
  </si>
  <si>
    <t>3-0-1-218</t>
  </si>
  <si>
    <t>EPOS/Sennheiser Impact SC 60 USB ML - Casque binaural filaire USB (1000551)</t>
  </si>
  <si>
    <t>AC266850</t>
  </si>
  <si>
    <t>3-0-1-88</t>
  </si>
  <si>
    <t>EPOS/Sennheiser ADAPT 160T USB II Casque binaural filaire USB (1000901)</t>
  </si>
  <si>
    <t>AB740787</t>
  </si>
  <si>
    <t>3-0-1-89</t>
  </si>
  <si>
    <t>EPOS/Sennheiser SC 75 - Casque binaural filaire Jack 3,5 &amp; USB - MS Optimised (1000635)</t>
  </si>
  <si>
    <t>AB740788</t>
  </si>
  <si>
    <t>3-0-1-90</t>
  </si>
  <si>
    <t>Jabra EVOLVE 20 MS Stereo USB (4999-823-109)</t>
  </si>
  <si>
    <t>AB740760</t>
  </si>
  <si>
    <t>3-0-1-91</t>
  </si>
  <si>
    <t>Jabra EVOLVE 30 II MS Duo USB (5399-823-309)</t>
  </si>
  <si>
    <t>AB740761</t>
  </si>
  <si>
    <t>3-0-1-92</t>
  </si>
  <si>
    <t>Jabra EVOLVE 2 30 SE MS Duo - USB-C - reduction bruit passive (23189-999-879)</t>
  </si>
  <si>
    <t>AC954209</t>
  </si>
  <si>
    <t>3-0-1-93</t>
  </si>
  <si>
    <t>Jabra EVOLVE2 40 SE - Casque filaire Duo USB-C - Coussinets isolants / réduction de bruits / Certifié MS Teams (24189-999-899)</t>
  </si>
  <si>
    <t>AC576729</t>
  </si>
  <si>
    <t>3-0-1-94</t>
  </si>
  <si>
    <t>Casques sans fil</t>
  </si>
  <si>
    <t>Dell WL3024 - Casque sans fil (BT5.3 + dongle USB-C) - eliminitation du bruit par IA -  Longue autonomie - certifié Teams / Zoom - garantie 3 ans</t>
  </si>
  <si>
    <t>520-BBDG</t>
  </si>
  <si>
    <t>3-0-1-219</t>
  </si>
  <si>
    <t>Dell WL5024 - Casque sans fil (BT5.3 + dongle USB-C) - eliminitation du bruit par IA -  Longue autonomie - certifié Teams / Zoom - confort optimal - garantie 3 ans</t>
  </si>
  <si>
    <t>520-BBGM</t>
  </si>
  <si>
    <t>3-0-1-220</t>
  </si>
  <si>
    <t>Dell HC 524 - Base de chargement pour casque DELL WL5024</t>
  </si>
  <si>
    <t>520-BBGN</t>
  </si>
  <si>
    <t>3-0-1-221</t>
  </si>
  <si>
    <t>Dell WL7024 - Casque sans fil (BT5.3 + dongle USB-C) + base de chargement - eliminitation du bruit par IA -  Autonomie 80h - certifié Teams / Zoom - confort optimal - garantie 3 ans</t>
  </si>
  <si>
    <t>520-BBHC</t>
  </si>
  <si>
    <t>3-0-1-206</t>
  </si>
  <si>
    <t>EPOS/Sennheiser ADAPT 260 T - Casque Binaural sans fil Bluetooth - Branche rétractable (1000882)</t>
  </si>
  <si>
    <t>AB740789</t>
  </si>
  <si>
    <t>3-0-1-95</t>
  </si>
  <si>
    <t>EPOS/Sennheiser ADAPT 360 Noir - Micro-casque ANC BT avec Dongle -  Design contemporain - Ecouteurs ergonomiques - son stéréo Haute Qualité (1000209)</t>
  </si>
  <si>
    <t>AB740792</t>
  </si>
  <si>
    <t>3-0-1-98</t>
  </si>
  <si>
    <t>Jabra EVOLVE 65 SE MS Stereo (6599-833-309)</t>
  </si>
  <si>
    <t>AC381803</t>
  </si>
  <si>
    <t>3-0-1-99</t>
  </si>
  <si>
    <t>Jabra EVOLVE2 55 - Casque Binaural sans fil Bluetooth MS Stereo USB-C Optimisé Teams (25599-999-899)</t>
  </si>
  <si>
    <t>AC954211</t>
  </si>
  <si>
    <t>3-0-1-100</t>
  </si>
  <si>
    <t>Jabra EVOLVE 65e, MS Link 370 MS Ecouteurs sans fil PRO (1099-823-309)</t>
  </si>
  <si>
    <t>AC007424</t>
  </si>
  <si>
    <t>3-0-1-190</t>
  </si>
  <si>
    <t>Onduleurs et autres dispostifs de protection électrique</t>
  </si>
  <si>
    <t xml:space="preserve">Onduleur </t>
  </si>
  <si>
    <t>APC Schneider - Back-UPS - Onduleurs monophasés Off-Line - 650VA - 230V - 1USB - 6+2 Prises - France (BE650G2-FR)</t>
  </si>
  <si>
    <t xml:space="preserve">AB741497 </t>
  </si>
  <si>
    <t>3-0-1-104</t>
  </si>
  <si>
    <t>Câble de sécurité pour station de travail Tour</t>
  </si>
  <si>
    <t>Dell Kensington (T-BAR Lock Slot) Desktop &amp; Peripheral Locking kit (PC + écran + accessoires)</t>
  </si>
  <si>
    <t>461-10185</t>
  </si>
  <si>
    <t>3-0-1-105</t>
  </si>
  <si>
    <t xml:space="preserve">Dell Kensington (T-BAR Lock Slot) câble simple tête à clé </t>
  </si>
  <si>
    <t>461-10054</t>
  </si>
  <si>
    <t>3-0-1-106</t>
  </si>
  <si>
    <t>Dell Kensignton (T-BAR Lock Slot) câble double tête (PC + écran) à clé</t>
  </si>
  <si>
    <t>461-10053</t>
  </si>
  <si>
    <t>3-0-1-107</t>
  </si>
  <si>
    <t>Dell Kensington (T-BAR Lock Slot) câble simple tête Masterkey solution (25 câbles + 2 Masterkeys)</t>
  </si>
  <si>
    <t>461-10072</t>
  </si>
  <si>
    <t>3-0-1-108</t>
  </si>
  <si>
    <t>Dell Kensintgon (T-BAR Lock Slot) câble double tête (PC + écran) Masterkey solution (25 câbles + 2 Masterkeys)</t>
  </si>
  <si>
    <t>461-10214</t>
  </si>
  <si>
    <t>3-0-1-109</t>
  </si>
  <si>
    <t>Moniteurs avec 5 ans de garantie de base</t>
  </si>
  <si>
    <t>Moniteurs P (Professionnel)</t>
  </si>
  <si>
    <t>Moniteur 22" - Dell P2225H - 1920x1080 - Connecteurs VGA/DP/HDMI - Câble: DP</t>
  </si>
  <si>
    <t>3-0-1-178</t>
  </si>
  <si>
    <t>Moniteur 24" - Dell P2425H - 1920x1080 - Connecteurs VGA/DP/HDMI - Câble: DP</t>
  </si>
  <si>
    <t>3-0-1-114</t>
  </si>
  <si>
    <t>Moniteur 24" - Dell P2425H sans pied - 1920x1080 - Connecteurs VGA/DP/HDMI - Câble: DP</t>
  </si>
  <si>
    <t>3-0-1-115</t>
  </si>
  <si>
    <t>Moniteur 24" - Dell P2425HE - 1920x1080 - Hub USB-C (PD 90W) avec RJ45/DP/HDMI - Câbles : USB-C/DP</t>
  </si>
  <si>
    <t>3-0-1-112</t>
  </si>
  <si>
    <t>Moniteur 24" - Dell P2425HE Sans Pied - 1920x1080 - Hub USB-C (PD 90W) avec RJ45/DP/HDMI - Câbles : USB-C/DP</t>
  </si>
  <si>
    <t>3-0-1-113</t>
  </si>
  <si>
    <t>Moniteur 24" - Dell P2425 - 1920x1200 - Format 16/10 - Connecteurs DP/HDMI/VGA - Câble : DP</t>
  </si>
  <si>
    <t>3-0-1-175</t>
  </si>
  <si>
    <t>Moniteur 24" - Dell P2425E - 1920x1200 - Format 16/10 - Hub USB-C (PD 90W) avec RJ45/DP/HDMI - Câbles : USB-C/DP</t>
  </si>
  <si>
    <t>3-0-1-222</t>
  </si>
  <si>
    <t>Moniteur 24" - Dell P2423D - QHD (2560x1440) - Connecteurs DP/HDMI - Câble :DP</t>
  </si>
  <si>
    <t>3-0-1-179</t>
  </si>
  <si>
    <t>Moniteur 24" - Dell P2423DE - QHD (2560x1440) - hub USB-C (90W) avec RJ45/DP/HDMI - Câble :USB-C/DP</t>
  </si>
  <si>
    <t>3-0-1-180</t>
  </si>
  <si>
    <t>Moniteur 27" - Dell P2725H - 1920x1080 - Connecteurs VGA/DP/HDMI - Câble: DP</t>
  </si>
  <si>
    <t>3-0-1-116</t>
  </si>
  <si>
    <t>Moniteur 27" - Dell P2725H sans pied - 1920x1080 - Connecteurs VGA/DP/HDMI - Câble: DP</t>
  </si>
  <si>
    <t>3-0-1-223</t>
  </si>
  <si>
    <t>Moniteur 27" - Dell P2725HE - 1920x1080 - Connecteurs USB-C (PD 90W) avec RJ-45/DP/HDMI - Câbles : USB-C/DP</t>
  </si>
  <si>
    <t>3-0-1-117</t>
  </si>
  <si>
    <t>Moniteur 27" - Dell P2723D - QHD (2560x1440) - Connecteurs DP/HDMI - Câble :DP</t>
  </si>
  <si>
    <t>3-0-1-181</t>
  </si>
  <si>
    <t>Moniteur 27" - Dell P2723DE - QHD (2560x1440) - hub USB-C (90W) avec RJ45/DP/HDMI - Câble :USB-C/DP</t>
  </si>
  <si>
    <t>3-0-1-182</t>
  </si>
  <si>
    <t>Moniteur 27" - Dell P2723QE - UHD(3840x2160) - Hub USB-C(90W) avec RJ45/DP/HDMI - Câble :USB-C/DP</t>
  </si>
  <si>
    <t>3-0-1-183</t>
  </si>
  <si>
    <t>Moniteur 34'' incurvé - Dell P3424WE - 3440x1440 - Hub USB-C (PD 90W et RJ45) / DP / HDMI - Câbles: USB-C/DP</t>
  </si>
  <si>
    <t>3-0-1-119</t>
  </si>
  <si>
    <t>Moniteurs U (Ultrasharp)</t>
  </si>
  <si>
    <t>Moniteur 24" - Dell U2424H - 1920x1080 - Ultrasharp - Connecteurs HDMI/DP - Câble fourni : DP</t>
  </si>
  <si>
    <t>3-0-1-120</t>
  </si>
  <si>
    <t>Moniteur 24" - Dell U2424H Sans Pied - 1920x1080 - Ultrasharp - Connecteurs HDMI/DP - Câble : DP</t>
  </si>
  <si>
    <t>3-0-1-121</t>
  </si>
  <si>
    <t>Moniteur 24" - Dell U2424HE - 1920x1080 - Ultrasharp avec Hub USB-C/RJ45 - Connecteurs USB-C (PD 90W)/RJ45/HDMI/DP - Câble fourni : USB-C/DP</t>
  </si>
  <si>
    <t>3-0-1-122</t>
  </si>
  <si>
    <t>Moniteur 27" - Dell U2724D - QHD (2560x1440) - Ultrasharp - Connecteurs DP/HDMI - Câble fourni : DP</t>
  </si>
  <si>
    <t>3-0-1-184</t>
  </si>
  <si>
    <t>Moniteur 27" - Dell U2724DE - QHD (2560x1440) - Ultrasharp Hub Thunderbolt (TBT4 (PD 90W) et RJ45) , KVM - Connecteurs TBT4/HDMI/DP - Câble fourni : USB-C/DP</t>
  </si>
  <si>
    <t>3-0-1-125</t>
  </si>
  <si>
    <t>Moniteur 27'' - Dell U2723QE - 4K (3840x2160) - Ultrasharp HDR 400 avec Hub USB-C(90W) et RJ45- Connecteurs USB-C/RJ45/DP/HDMI -Câbles: USB-C/DP</t>
  </si>
  <si>
    <t>3-0-1-185</t>
  </si>
  <si>
    <t>Moniteur 32'' - Dell U3223QE - 4K (3840x2160) IPS Black/HDR400 - Ultrasharp  - Hub USB-C(90W)/RJ45/DP/HDMI -Câbles: USB-C/DP</t>
  </si>
  <si>
    <t>3-0-1-187</t>
  </si>
  <si>
    <t>Moniteur 34'' - Dell U3425WE - 3440x1440 IPS Black - Ultrasharp Format 21:9 incurvé - Hub TBT4 (PD 90W)/RJ45/2xHDMI/DP/Speakers 2x5W - Câbles : USB-C/HDMI/DP</t>
  </si>
  <si>
    <t>3-0-1-129</t>
  </si>
  <si>
    <t>Moniteur 38" - Dell U3824DW - 3840x1600 IPS Black - Ultrasharp 21:9 incurvé - Hub USB-C (PD 90W) / RJ45/2xHDMI/DP - Câbles: USB-C/HDMI/DP</t>
  </si>
  <si>
    <t>3-0-1-130</t>
  </si>
  <si>
    <t>Moniteur 43" - Dell U4323QE - 3840x2160 IPS Black - Ultrasharp - Hub USB-C (PD 90W)/RJ45/2xHDMI/2xDP/Speakers 2x8W - Câbles : USB-C/DP/HDMI</t>
  </si>
  <si>
    <t>3-0-1-131</t>
  </si>
  <si>
    <t>Moniteur 49" - Dell U4924DW - 5120x1440 IPS Black - Ultrasharp 32:9 incurvé - Connecteurs: Hub USB-C (PD 90W)/RJ45/2xHDMI/DP/Speakers 2x9W - Câbles: USB-C/DP/HDMI</t>
  </si>
  <si>
    <t>3-0-1-132</t>
  </si>
  <si>
    <t>Moniteurs Multimedia (avec Camera et Haut-parleurs intégrés)</t>
  </si>
  <si>
    <t>Moniteur 24'' Multimedia - Dell P2424HEB - certifié Teams &amp; Zoom - 1920x1080 - Webcam 4MP FHD &amp; Camera IR (Windows Hello), 2xHP, KVM - Connecteurs : Hub USB-C(PD 90W et RJ45) / DP / HDMI - Câbles : USB-C/DP</t>
  </si>
  <si>
    <t>3-0-1-133</t>
  </si>
  <si>
    <t>Moniteur 27'' Multimedia - Dell P2724DEB - certifié Teams &amp; Zoom - 2550x1440 - Webcam 4MP FHD &amp; Camera IR (Windows Hello), 2xHP, KVM - Connecteurs : Hub USB-C(PD 90W et RJ45) / DP / HDMI - Câbles : USB-C/DP</t>
  </si>
  <si>
    <t>3-0-1-135</t>
  </si>
  <si>
    <t>Moniteur 34'' incurvé Multimedia - Dell P3424WEB - certifié Teams &amp; Zoom - 3440x1440 - Webcam 4MP FHD &amp; Camera IR (Windows Hello), 2xHP, KVM - Connecteurs : Hub USB-C(PD 90W et RJ45) / DP / HDMI - Câbles : USB-C/DP</t>
  </si>
  <si>
    <t>3-0-1-211</t>
  </si>
  <si>
    <t>Extensions de garantie acquises lors de l'achat initial - Non disponible dans les DROM COM</t>
  </si>
  <si>
    <t>Extension de garantie 6 ans - Moniteur inférieur à 32 pouces</t>
  </si>
  <si>
    <t>3-0-1-137</t>
  </si>
  <si>
    <t>Extension de garantie 6 ans - Moniteur supérieur ou égal à 32 pouces</t>
  </si>
  <si>
    <t>3-0-1-138</t>
  </si>
  <si>
    <t>Extension de garantie 7 ans - Moniteur inférieur à 32 pouces</t>
  </si>
  <si>
    <t>3-0-1-139</t>
  </si>
  <si>
    <t>Extension de garantie 7 ans - Moniteur supérieur ou égal à 32 pouces</t>
  </si>
  <si>
    <t>3-0-1-140</t>
  </si>
  <si>
    <t>Extensions de garantie en cours de garantie déjà acquise initialement - Non disponible dans les DROM COM</t>
  </si>
  <si>
    <r>
      <t>Extension de garantie 6ème année - Moniteur inférieur à 32 pouces</t>
    </r>
    <r>
      <rPr>
        <sz val="10"/>
        <color indexed="2"/>
        <rFont val="Calibri"/>
        <family val="2"/>
        <scheme val="minor"/>
      </rPr>
      <t xml:space="preserve"> - Après l'achat</t>
    </r>
  </si>
  <si>
    <t>3-0-1-141</t>
  </si>
  <si>
    <r>
      <t>Extension de garantie 6ème année - Moniteur supérieur ou égal à 32 pouces</t>
    </r>
    <r>
      <rPr>
        <sz val="10"/>
        <color indexed="2"/>
        <rFont val="Calibri"/>
        <family val="2"/>
        <scheme val="minor"/>
      </rPr>
      <t xml:space="preserve"> - Après l'achat</t>
    </r>
  </si>
  <si>
    <t>3-0-1-142</t>
  </si>
  <si>
    <r>
      <t>Extension de garantie 6ème et 7ème année - Moniteur inférieur à 32 pouces</t>
    </r>
    <r>
      <rPr>
        <sz val="10"/>
        <color indexed="2"/>
        <rFont val="Calibri"/>
        <family val="2"/>
        <scheme val="minor"/>
      </rPr>
      <t xml:space="preserve"> - Après l'achat</t>
    </r>
  </si>
  <si>
    <t>3-0-1-143</t>
  </si>
  <si>
    <r>
      <t>Extension de garantie 6ème et 7ème année - Moniteur supérieur ou égal à 32 pouces</t>
    </r>
    <r>
      <rPr>
        <sz val="10"/>
        <color indexed="2"/>
        <rFont val="Calibri"/>
        <family val="2"/>
        <scheme val="minor"/>
      </rPr>
      <t xml:space="preserve"> - Après l'achat</t>
    </r>
  </si>
  <si>
    <t>3-0-1-144</t>
  </si>
  <si>
    <t>Livraison DDP &amp; Garantie DROM COM pour moniteurs - Sélection obligatoire</t>
  </si>
  <si>
    <t>Diagonale ≤ 22"</t>
  </si>
  <si>
    <t>Livraison DDP &amp; Garantie DROM COM 3 ans GTI J+1 (sauf J+2 pour Tahiti &amp; presqu'île et Wallis &amp; Futuna)</t>
  </si>
  <si>
    <t>3-0-3-200</t>
  </si>
  <si>
    <t>Livraison DDP &amp; Garantie DROM COM 4 ans GTI J+1 (sauf J+2 pour Tahiti &amp; presqu'île et Wallis &amp; Futuna)</t>
  </si>
  <si>
    <t>3-0-3-201</t>
  </si>
  <si>
    <t>Livraison DDP &amp; Garantie DROM COM 5 ans GTI J+1 (sauf J+2 pour Tahiti &amp; presqu'île et Wallis &amp; Futuna)</t>
  </si>
  <si>
    <t>3-0-3-202</t>
  </si>
  <si>
    <t>Diagonale ≥ 24" et &lt; 27"</t>
  </si>
  <si>
    <t>3-0-3-203</t>
  </si>
  <si>
    <t>3-0-3-204</t>
  </si>
  <si>
    <t>3-0-3-205</t>
  </si>
  <si>
    <t>Diagonale = 27"</t>
  </si>
  <si>
    <t>3-0-3-206</t>
  </si>
  <si>
    <t>3-0-3-207</t>
  </si>
  <si>
    <t>3-0-3-208</t>
  </si>
  <si>
    <t>Diagonale &gt; 27"</t>
  </si>
  <si>
    <t>3-0-3-209</t>
  </si>
  <si>
    <t>3-0-3-210</t>
  </si>
  <si>
    <t>3-0-3-211</t>
  </si>
  <si>
    <t>Supports de fixation, multi-écrans et bras articulés</t>
  </si>
  <si>
    <t>Dell - Bras articulé MSA20 monoécran, noir - Supporte jusqu'à 10Kg (écran 38'' Maximum)</t>
  </si>
  <si>
    <t>482-BBDJ</t>
  </si>
  <si>
    <t>3-0-1-145</t>
  </si>
  <si>
    <t>Dell - Bras MDA20 pour écran double, noir - Supporte jusqu'à 10Kg (deux écrans 27'' maximum)</t>
  </si>
  <si>
    <t>482-BBDL</t>
  </si>
  <si>
    <t>3-0-1-146</t>
  </si>
  <si>
    <t>Dell - Socle MDS19 pour écran double, noir - Supporte jusqu'à 2 écrans 27''</t>
  </si>
  <si>
    <t>482-BBCY</t>
  </si>
  <si>
    <t>3-0-1-147</t>
  </si>
  <si>
    <t>Ergotron - Bras LX bi-écrans superposés colonne haute, fixation bureau, blanc - supporte jusque 2 écrans 40"</t>
  </si>
  <si>
    <t>A9893921</t>
  </si>
  <si>
    <t>3-0-1-148</t>
  </si>
  <si>
    <t>Accessoires pour stations de travail Tour</t>
  </si>
  <si>
    <t>Accessoires pour Precision 36X0</t>
  </si>
  <si>
    <t>Cache de câbles pour Precision 3660 et 3680 MT</t>
  </si>
  <si>
    <t>Kit : 325-BEMZ</t>
  </si>
  <si>
    <t>3-0-1-149</t>
  </si>
  <si>
    <t xml:space="preserve">Filtre anti-poussière Precision 3660 et 3680 MT </t>
  </si>
  <si>
    <t>Tied : 750-ADRH / kit 750-ADSG</t>
  </si>
  <si>
    <t>3-0-1-150</t>
  </si>
  <si>
    <t>Accessoires pour Precision SFF</t>
  </si>
  <si>
    <t xml:space="preserve">Cache câbles pour Precision 3460 SFF </t>
  </si>
  <si>
    <t>Kit: 325-BEMY</t>
  </si>
  <si>
    <t>3-0-1-151</t>
  </si>
  <si>
    <t>Filtre anti-poussière Precision 3460 SFF (uniquement commandable avec la machine)</t>
  </si>
  <si>
    <t>Tied : 325-BELO / Kit : 750-ADSF</t>
  </si>
  <si>
    <t>3-0-1-152</t>
  </si>
  <si>
    <t>Socle Dell tout-en-un au format SFF | OSS21</t>
  </si>
  <si>
    <t>482-BBDY</t>
  </si>
  <si>
    <t>3-0-1-153</t>
  </si>
  <si>
    <t>Accessoires pour Precision 3280 et Optiplex 3000 TC</t>
  </si>
  <si>
    <t>Socle Dell tout-en un CFS 25 pour Precision 3280 Compact - compatible avec écrans inférieur ou égal 27'' (Pro 2 ID)</t>
  </si>
  <si>
    <t>482-BBFB</t>
  </si>
  <si>
    <t>3-0-1-154</t>
  </si>
  <si>
    <t>Support de montage VESA compatible avec Precision 32x0 Compact (installlation murale ou sous bureau) et Optiplex 3000 TC (installation mural uniquement - livré avec support alimentation</t>
  </si>
  <si>
    <t>482-BBEP</t>
  </si>
  <si>
    <t>3-0-1-155</t>
  </si>
  <si>
    <t>Accessoires pour Precision 5000/7000 Tower</t>
  </si>
  <si>
    <t>Rails coulissants pour Tower 5000 et 7000</t>
  </si>
  <si>
    <t>770-BBJJ</t>
  </si>
  <si>
    <t>3-0-1-212</t>
  </si>
  <si>
    <t>Kit de mise en rack Tower 5860/7865/7875 (Support)</t>
  </si>
  <si>
    <t>575-BCMN</t>
  </si>
  <si>
    <t>3-0-1-213</t>
  </si>
  <si>
    <t>Kit de mise en rack Tower 7960 (Support)</t>
  </si>
  <si>
    <t>770-BDGI</t>
  </si>
  <si>
    <t>3-0-1-214</t>
  </si>
  <si>
    <t>Clients légers</t>
  </si>
  <si>
    <t>Clients léger - format Micro</t>
  </si>
  <si>
    <r>
      <rPr>
        <b/>
        <sz val="10"/>
        <color rgb="FF000000"/>
        <rFont val="Calibri"/>
        <family val="2"/>
        <scheme val="minor"/>
      </rPr>
      <t>Optiplex 3000 Thin Client - Win10 IoT</t>
    </r>
    <r>
      <rPr>
        <sz val="10"/>
        <color indexed="64"/>
        <rFont val="Calibri"/>
        <family val="2"/>
        <scheme val="minor"/>
      </rPr>
      <t xml:space="preserve">
Intel Celeron N5105 -  8 Go DDR4 -  SSD 256Go M.2 PCIe - Clavier &amp; souris - Adaptateur secteur 65 watts
5 ans Pro Support J+1 - Wyse Management Suite - version Standard</t>
    </r>
  </si>
  <si>
    <t>3-0-1-167</t>
  </si>
  <si>
    <r>
      <rPr>
        <b/>
        <sz val="10"/>
        <color rgb="FF000000"/>
        <rFont val="Calibri"/>
        <family val="2"/>
        <scheme val="minor"/>
      </rPr>
      <t>Optiplex 3000 Thin Client - Thin OS</t>
    </r>
    <r>
      <rPr>
        <sz val="10"/>
        <color indexed="64"/>
        <rFont val="Calibri"/>
        <family val="2"/>
        <scheme val="minor"/>
      </rPr>
      <t xml:space="preserve">
Intel Celeron N5105 -  8 Go DDR4 -  64 Go de mémoire Flash eMMC- Clavier &amp; souris - Adaptateur secteur 65 watts
5 ans Pro Support J+1 - Wyse Management Suite - version Standard</t>
    </r>
  </si>
  <si>
    <t>3-0-1-168</t>
  </si>
  <si>
    <r>
      <t>Carte WIFI pour Optiplex 3000 Thin Client</t>
    </r>
    <r>
      <rPr>
        <sz val="10"/>
        <color rgb="FFFF0000"/>
        <rFont val="Calibri"/>
        <family val="2"/>
        <scheme val="minor"/>
      </rPr>
      <t xml:space="preserve"> - Uniquement commandable avec Optiplex 3000 TC</t>
    </r>
  </si>
  <si>
    <t>555-BHDV</t>
  </si>
  <si>
    <t>3-0-1-169</t>
  </si>
  <si>
    <r>
      <t xml:space="preserve">Passage sur Pentium N6005 - </t>
    </r>
    <r>
      <rPr>
        <sz val="10"/>
        <color rgb="FFFF0000"/>
        <rFont val="Calibri"/>
        <family val="2"/>
        <scheme val="minor"/>
      </rPr>
      <t>Uniquement commandable avec Optiplex 3000 TC</t>
    </r>
  </si>
  <si>
    <t>379-BESD + 329-BGOK</t>
  </si>
  <si>
    <t>3-0-1-170</t>
  </si>
  <si>
    <r>
      <t xml:space="preserve">Port additionnel VGA - </t>
    </r>
    <r>
      <rPr>
        <sz val="10"/>
        <color rgb="FFFF0000"/>
        <rFont val="Calibri"/>
        <family val="2"/>
        <scheme val="minor"/>
      </rPr>
      <t>Uniquement commandable avec Optiplex 3000 TC</t>
    </r>
  </si>
  <si>
    <t>382-BBFW</t>
  </si>
  <si>
    <t>3-0-1-171</t>
  </si>
  <si>
    <r>
      <t xml:space="preserve">Port additionnel HDMI - </t>
    </r>
    <r>
      <rPr>
        <sz val="10"/>
        <color rgb="FFFF0000"/>
        <rFont val="Calibri"/>
        <family val="2"/>
        <scheme val="minor"/>
      </rPr>
      <t>Uniquement commandable avec Optiplex 3000 TC</t>
    </r>
  </si>
  <si>
    <t>382-BBLH ou 382-BBFI</t>
  </si>
  <si>
    <t>3-0-1-172</t>
  </si>
  <si>
    <r>
      <t xml:space="preserve">Port additionnel USB type C - </t>
    </r>
    <r>
      <rPr>
        <sz val="10"/>
        <color rgb="FFFF0000"/>
        <rFont val="Calibri"/>
        <family val="2"/>
        <scheme val="minor"/>
      </rPr>
      <t>Uniquement commandable avec Optiplex 3000 TC</t>
    </r>
  </si>
  <si>
    <t>382-BBKO</t>
  </si>
  <si>
    <t>3-0-1-173</t>
  </si>
  <si>
    <r>
      <t xml:space="preserve">Port additionnel série - </t>
    </r>
    <r>
      <rPr>
        <sz val="10"/>
        <color rgb="FFFF0000"/>
        <rFont val="Calibri"/>
        <family val="2"/>
        <scheme val="minor"/>
      </rPr>
      <t>Uniquement commandable avec Optiplex 3000 TC</t>
    </r>
  </si>
  <si>
    <t>382-BBIZ</t>
  </si>
  <si>
    <t>3-0-1-176</t>
  </si>
  <si>
    <t>Support de montage VESA double pour modèles OptiPlex 3000 TC (ecran nouvelle génération)</t>
  </si>
  <si>
    <t>482-BBEQ</t>
  </si>
  <si>
    <t>3-0-1-191</t>
  </si>
  <si>
    <t xml:space="preserve">Socle tout-en-un format Micro MFS22 - Pour Optiplex 3000 TC et ecran de dernière génération </t>
  </si>
  <si>
    <t>482-BBEO</t>
  </si>
  <si>
    <t>3-0-1-192</t>
  </si>
  <si>
    <t>Clients léger - format AIO</t>
  </si>
  <si>
    <r>
      <rPr>
        <b/>
        <sz val="10"/>
        <color rgb="FF000000"/>
        <rFont val="Calibri"/>
        <family val="2"/>
        <scheme val="minor"/>
      </rPr>
      <t>Optiplex AIO 7420 Thin OS - CPU 35W - Alimentation externe</t>
    </r>
    <r>
      <rPr>
        <sz val="10"/>
        <color indexed="64"/>
        <rFont val="Calibri"/>
        <family val="2"/>
        <scheme val="minor"/>
      </rPr>
      <t xml:space="preserve">
</t>
    </r>
    <r>
      <rPr>
        <sz val="10"/>
        <color rgb="FF000000"/>
        <rFont val="Calibri"/>
        <family val="2"/>
        <scheme val="minor"/>
      </rPr>
      <t>Ecran 24'' FHD non tactile - Intel 300T (2 coeurs, 3.4 Ghz, 35W) -  8 Go DDR5 -  SSD 256Go M.2 PCIe - Clavier &amp; souris - Socle réglable en hauteur - Adaptateur secteur 130 watts
5 ans Pro Support J+1 - Wyse Management Suite - version Standard</t>
    </r>
    <r>
      <rPr>
        <sz val="10"/>
        <color indexed="64"/>
        <rFont val="Calibri"/>
        <family val="2"/>
        <scheme val="minor"/>
      </rPr>
      <t xml:space="preserve"> (jusqu'à 1000 postes)</t>
    </r>
  </si>
  <si>
    <t>3-0-1-201</t>
  </si>
  <si>
    <r>
      <t xml:space="preserve">Passage sur Core i3-14100T (4 coeurs, 4.4Ghz, 35W)- </t>
    </r>
    <r>
      <rPr>
        <sz val="10"/>
        <color rgb="FFFF0000"/>
        <rFont val="Calibri"/>
        <family val="2"/>
        <scheme val="minor"/>
      </rPr>
      <t>Uniquement commandable avec AIO Thin OS (alim externe)</t>
    </r>
  </si>
  <si>
    <t>338-CNCN</t>
  </si>
  <si>
    <t>3-0-1-204</t>
  </si>
  <si>
    <r>
      <rPr>
        <b/>
        <sz val="10"/>
        <color rgb="FF000000"/>
        <rFont val="Calibri"/>
        <family val="2"/>
        <scheme val="minor"/>
      </rPr>
      <t>Optiplex AIO Thin OS - CPU 46W - Alimentation interne</t>
    </r>
    <r>
      <rPr>
        <sz val="10"/>
        <color indexed="64"/>
        <rFont val="Calibri"/>
        <family val="2"/>
        <scheme val="minor"/>
      </rPr>
      <t xml:space="preserve">
</t>
    </r>
    <r>
      <rPr>
        <sz val="10"/>
        <color rgb="FF000000"/>
        <rFont val="Calibri"/>
        <family val="2"/>
        <scheme val="minor"/>
      </rPr>
      <t>Ecran 24'' FHD non tactile - Intel Intel 300 (2 coeurs, 3.9 Ghz, 46W) -  8 Go DDR5 -  SSD 256Go M.2 PCIe - Clavier &amp; souris - Socle réglable en hauteur - Alimentation 160W intégrée
5 ans Pro Support J+1 - Wyse Management Suite - version Standard</t>
    </r>
    <r>
      <rPr>
        <sz val="10"/>
        <color indexed="64"/>
        <rFont val="Calibri"/>
        <family val="2"/>
        <scheme val="minor"/>
      </rPr>
      <t xml:space="preserve"> (jusqu'à 1000 postes)</t>
    </r>
  </si>
  <si>
    <t>3-0-1-202</t>
  </si>
  <si>
    <r>
      <t xml:space="preserve">Passage sur Core i3-14100 (4 coeurs, 4.7Ghz, 46W) - </t>
    </r>
    <r>
      <rPr>
        <sz val="10"/>
        <color rgb="FFFF0000"/>
        <rFont val="Calibri"/>
        <family val="2"/>
        <scheme val="minor"/>
      </rPr>
      <t>Uniquement commandable avec AIO Thin OS (alim interne)</t>
    </r>
  </si>
  <si>
    <t>338-CNCG</t>
  </si>
  <si>
    <t>3-0-1-205</t>
  </si>
  <si>
    <r>
      <t xml:space="preserve">Carte WIFI pour Optiplex AIO Thin Client </t>
    </r>
    <r>
      <rPr>
        <sz val="10"/>
        <color rgb="FFFF0000"/>
        <rFont val="Calibri"/>
        <family val="2"/>
        <scheme val="minor"/>
      </rPr>
      <t>- Uniquement commandable avec le système</t>
    </r>
  </si>
  <si>
    <t>555-BHDU + 555-BIGS</t>
  </si>
  <si>
    <t>3-0-1-203</t>
  </si>
  <si>
    <t>Licence et Maintenance WMS Pro</t>
  </si>
  <si>
    <r>
      <t xml:space="preserve">Licence et maintenance pour WMS Wyse Management Suite version Pro pour 1 an (par poste) - </t>
    </r>
    <r>
      <rPr>
        <sz val="10"/>
        <color rgb="FFFF0000"/>
        <rFont val="Calibri"/>
        <family val="2"/>
        <scheme val="minor"/>
      </rPr>
      <t>Obligatoire pour parc &gt; 1000 postes</t>
    </r>
  </si>
  <si>
    <t>210-ALWZ</t>
  </si>
  <si>
    <t>3-0-1-174</t>
  </si>
  <si>
    <t xml:space="preserve">Extensions spécifiques à la Mobilité </t>
  </si>
  <si>
    <t>Alimentations et stations d'accueil</t>
  </si>
  <si>
    <t>Blocs d'alimentation (chargeurs)</t>
  </si>
  <si>
    <t>Alimentation 130W - USB-C (Precision 35X1 et 54x0)</t>
  </si>
  <si>
    <t>450-AHRG</t>
  </si>
  <si>
    <t>3-0-2-1</t>
  </si>
  <si>
    <t>Alimentation 180W - Barrel 7.4mm (Precision 75x0/76x0 et  et stations d'accueil WD19X 180W)</t>
  </si>
  <si>
    <t>450-ALSP</t>
  </si>
  <si>
    <t>3-0-2-2</t>
  </si>
  <si>
    <t>Alimentation 240W - Barrel 7.4mm (Precision 77x0 et 76x0 et stations d'accueil WD19X 240W)</t>
  </si>
  <si>
    <t xml:space="preserve">450-AJBL </t>
  </si>
  <si>
    <t>3-0-2-3</t>
  </si>
  <si>
    <t>Alimentation 240W GaN (Gallium Nitride) - Barrel 7.4mm (Precision 7x80)  - Plus performant et plus petit que technologie standard</t>
  </si>
  <si>
    <t>450-ALSJ</t>
  </si>
  <si>
    <t>3-0-2-62</t>
  </si>
  <si>
    <t>PowerBank Targus USB-C  140 W - 1x USB-C IN/OUT (140W) + 1x USB-C OUT (140W) + 1xUSB-A OUT (10W)</t>
  </si>
  <si>
    <t>451-BDJG</t>
  </si>
  <si>
    <t>3-0-2-14</t>
  </si>
  <si>
    <t>Stations d'accueil</t>
  </si>
  <si>
    <t>WD19S - Dock USB-C 180W - 2 x DP 1.4 / 1 x HDMI / 1 x USB-C / Ethernet &amp; USB - Garantie 5 ans</t>
  </si>
  <si>
    <t>210-AZBU</t>
  </si>
  <si>
    <t>3-0-2-4</t>
  </si>
  <si>
    <t>WD22TB4 - Dock Thunderbolt 180W - 2 x DP 1.4 / 1 x HDMI / 2 x Thunderbolt / 2 x USB-C / Ethernet &amp; USB - Garantie 5 ans</t>
  </si>
  <si>
    <t>210-BDTD</t>
  </si>
  <si>
    <t>3-0-2-5</t>
  </si>
  <si>
    <t>WD19DCS - Dock Dual USB-C 240W -  x DP 1.4 / 1 x HDMI / 1 x USB-C / Ethernet &amp; USB - Uniquement compatible avec Precision 7560/7760 - Garantie 5 ans</t>
  </si>
  <si>
    <t xml:space="preserve">210-AZBW </t>
  </si>
  <si>
    <t>3-0-2-6</t>
  </si>
  <si>
    <t>Adaptateurs et câbles</t>
  </si>
  <si>
    <t>Adaptateurs mobilité</t>
  </si>
  <si>
    <t>Adaptateur 7en1 DA310 (HDMI, DP, VGA, Ethernet, USB-C et 2xUSB-A)</t>
  </si>
  <si>
    <t>470-AEUP</t>
  </si>
  <si>
    <t>3-0-2-7</t>
  </si>
  <si>
    <t xml:space="preserve">Adaptateur 6en1 DA305 (HDMI, DP, Ethernet, USB-C et 2xUSB-A) </t>
  </si>
  <si>
    <t>470-AFKL</t>
  </si>
  <si>
    <t>3-0-2-54</t>
  </si>
  <si>
    <t>Adaptateur USB-C vers HDMI/DP avec Power Delivery</t>
  </si>
  <si>
    <t>470-AEGY</t>
  </si>
  <si>
    <t>3-0-2-8</t>
  </si>
  <si>
    <t>Adaptateurs et câbles vidéo</t>
  </si>
  <si>
    <t>Adaptateur DisplayPort vers DVI-D 2m (C2G 84317) - Resolution Max 1920x1200</t>
  </si>
  <si>
    <t>AA046510</t>
  </si>
  <si>
    <t>3-0-2-9</t>
  </si>
  <si>
    <t>Adaptateur DisplayPort vers HDMI 2.0</t>
  </si>
  <si>
    <t>AA252246</t>
  </si>
  <si>
    <t>3-0-2-10</t>
  </si>
  <si>
    <t>Adaptateur DisplayPort vers VGA (resolution max 1920x1200)</t>
  </si>
  <si>
    <t>470-ABEL</t>
  </si>
  <si>
    <t>3-0-2-11</t>
  </si>
  <si>
    <t>Adaptateur mini DP vers DP</t>
  </si>
  <si>
    <t>492-BBHI</t>
  </si>
  <si>
    <t>3-0-2-12</t>
  </si>
  <si>
    <t>Adaptateur USB-C vers DP</t>
  </si>
  <si>
    <t>470-ACFC</t>
  </si>
  <si>
    <t>3-0-2-13</t>
  </si>
  <si>
    <t>Adaptateur USB-C vers HDMI 2.1 - SA124</t>
  </si>
  <si>
    <t>470-BCFW</t>
  </si>
  <si>
    <t>3-0-2-15</t>
  </si>
  <si>
    <t>Adaptateur USB-C vers USB-A 3.0</t>
  </si>
  <si>
    <t>470-ABNE</t>
  </si>
  <si>
    <t>3-0-2-16</t>
  </si>
  <si>
    <t xml:space="preserve">Câble mini DP vers DP 2 mètres </t>
  </si>
  <si>
    <t>A7724407</t>
  </si>
  <si>
    <t>3-0-2-17</t>
  </si>
  <si>
    <t>Câble DisplayPort (M) vers DisplayPort (M) 1 mètre</t>
  </si>
  <si>
    <t>A7724400</t>
  </si>
  <si>
    <t>3-0-2-18</t>
  </si>
  <si>
    <t>Câble DisplayPort (M) vers DisplayPort (M) 3 mètres</t>
  </si>
  <si>
    <t>A7724402</t>
  </si>
  <si>
    <t>3-0-2-19</t>
  </si>
  <si>
    <t>Câble HDMI 2.0 (Mâle)/(Mâle) - Noir - 2m</t>
  </si>
  <si>
    <t>A7292667</t>
  </si>
  <si>
    <t>3-0-2-20</t>
  </si>
  <si>
    <t>Adaptateurs et câbles réseau</t>
  </si>
  <si>
    <t>Câble réseau RJ45 Cat 6 3 m</t>
  </si>
  <si>
    <t>A6927658</t>
  </si>
  <si>
    <t>3-0-2-21</t>
  </si>
  <si>
    <t>Câble réseau RJ45 Cat 6 5 m</t>
  </si>
  <si>
    <t xml:space="preserve">A6927659 </t>
  </si>
  <si>
    <t>3-0-2-22</t>
  </si>
  <si>
    <t>Adaptateur Dell USB-C vers 2.5Gbps RJ45 - SA 224 - (PXE Boot, Wake-On-Lan, MAC adress Pass-through)</t>
  </si>
  <si>
    <t>470-BCFV</t>
  </si>
  <si>
    <t>3-0-2-23</t>
  </si>
  <si>
    <t>Adaptateur ACCELL USB 3.0 vers RJ45 - Fontionnalités WOL, MAC Address Pass-through, PXE Boot (J141B-005B-2)</t>
  </si>
  <si>
    <t>A9833510</t>
  </si>
  <si>
    <t>3-0-2-24</t>
  </si>
  <si>
    <t>Câbles de sécurité pour station de travail Mobile</t>
  </si>
  <si>
    <t>Dell Kensignton (Wedge Lock Slot) câble simple tête à clé</t>
  </si>
  <si>
    <t> 461-AAFD</t>
  </si>
  <si>
    <t>3-0-2-25</t>
  </si>
  <si>
    <t>Dell Kensington (Wedge + T-BAR Lock Slot) câble double tête (Portable + station d'accueil) à clé</t>
  </si>
  <si>
    <t> 461-AAFE</t>
  </si>
  <si>
    <t>3-0-2-26</t>
  </si>
  <si>
    <t>Dell Kensignton (Wedge Lock Slot) câble simple tête à clé Masterkey solution (25 câbles + 2 Masterkeys)</t>
  </si>
  <si>
    <t> 461-AAFB</t>
  </si>
  <si>
    <t>3-0-2-27</t>
  </si>
  <si>
    <t>Dell Kensington (Wedge + T-BAR Lock Slot) câble double tête (Portable + station d'accueil) à clé Masterkey solution (25 câbles + 2 Masterkeys)</t>
  </si>
  <si>
    <t> 461-AAFC</t>
  </si>
  <si>
    <t>3-0-2-28</t>
  </si>
  <si>
    <t>Sacs de transport</t>
  </si>
  <si>
    <t>Housses (Hors Precision 7000)</t>
  </si>
  <si>
    <t>Housse Dell Ecoloop Pro 15-16 (CV5623) - Jusqu'à 16'' (hors Precision 76x0)</t>
  </si>
  <si>
    <t>460-BDLH</t>
  </si>
  <si>
    <t>3-0-2-29</t>
  </si>
  <si>
    <t>Housse Port Designs YOSEMITE ECO - Gris - Garantie à vie (400705) - jusqu'à 15.6''</t>
  </si>
  <si>
    <t xml:space="preserve">AB776808 </t>
  </si>
  <si>
    <t>3-0-2-30</t>
  </si>
  <si>
    <t>Sacoches</t>
  </si>
  <si>
    <t>Sacoche Dell Ecoloop Pro Slim 15 (CC5624S) - jusqu'à 15.6''</t>
  </si>
  <si>
    <t>460-BDQQ</t>
  </si>
  <si>
    <t>3-0-2-56</t>
  </si>
  <si>
    <t>Sacoche Dell Ecoloop Pro (CC5425C) - jusqu'à 14''</t>
  </si>
  <si>
    <t>460-BDSR</t>
  </si>
  <si>
    <t>3-0-2-64</t>
  </si>
  <si>
    <t>Sacoche Dell Ecoloop Pro (CC5623) - jusqu'à 16''</t>
  </si>
  <si>
    <t>460-BDLI</t>
  </si>
  <si>
    <t>3-0-2-31</t>
  </si>
  <si>
    <t>Sacoche Dell Premier 15 (PE1520C) - jusqu'à 16''</t>
  </si>
  <si>
    <t>460-BCQL</t>
  </si>
  <si>
    <t>3-0-2-32</t>
  </si>
  <si>
    <t>Pack 10 sacoches - Dell EcoLoop Essential (CC3624) - 14 à 16''</t>
  </si>
  <si>
    <t>460-BDST</t>
  </si>
  <si>
    <t>3-0-2-61</t>
  </si>
  <si>
    <t>Sacoche Targus Cypress Slimcase Ecosmart 15.6 Grise - Garantie à vie (TBS92502GL)</t>
  </si>
  <si>
    <t>AC157142</t>
  </si>
  <si>
    <t>3-0-2-34</t>
  </si>
  <si>
    <t xml:space="preserve">Sacoche Targus CitySmart Advanced 15" - Noir/Gris - Garantie à vie (TBT914EU) </t>
  </si>
  <si>
    <t>AB744806</t>
  </si>
  <si>
    <t>3-0-2-33</t>
  </si>
  <si>
    <t>Sacoche Port Designs YOSEMITE ECO 15" - Gris - Garantie à vie (400701)</t>
  </si>
  <si>
    <t xml:space="preserve">AB776811 </t>
  </si>
  <si>
    <t>3-0-2-35</t>
  </si>
  <si>
    <t xml:space="preserve">Sacoche Targus Classic+ 17'' &amp; 18" - Noir/Rouge - Garantie à vie (CN418EU) </t>
  </si>
  <si>
    <t>AB744808</t>
  </si>
  <si>
    <t>3-0-2-36</t>
  </si>
  <si>
    <t>Sac à dos</t>
  </si>
  <si>
    <t>Sac à dos Dell Ecoloop Essential (CP3724) -14 à 16''</t>
  </si>
  <si>
    <t>460-BDSS</t>
  </si>
  <si>
    <t>3-0-2-63</t>
  </si>
  <si>
    <t xml:space="preserve">Sac à dos Dell Ecoloop Pro Slim 15 (CP5724S) - jusqu'à 15.6'' </t>
  </si>
  <si>
    <t>460-BDQP</t>
  </si>
  <si>
    <t>3-0-2-57</t>
  </si>
  <si>
    <t>Sac à dos Dell Ecoloop Pro (CP5723) - jusqu'à 17''</t>
  </si>
  <si>
    <t>460-BDLE</t>
  </si>
  <si>
    <t>3-0-2-38</t>
  </si>
  <si>
    <t>Sac à dos Dell EcoLoop Premier Slim 14-16 (CP7625S) - jusqu'à 16'' - Hors Precision 7680</t>
  </si>
  <si>
    <t>460-BDXV</t>
  </si>
  <si>
    <t>3-0-2-39</t>
  </si>
  <si>
    <t>Sac à dos Dell EcoLoop Premier 14-16 (CP7625) - jusqu'à 16''</t>
  </si>
  <si>
    <t>460-BDXT</t>
  </si>
  <si>
    <t>3-0-2-40</t>
  </si>
  <si>
    <t>Sac à dos Targus Intellect 15" - Noir/Gris - Garantie à vie (TBB565GL)</t>
  </si>
  <si>
    <t>AB744809</t>
  </si>
  <si>
    <t>3-0-2-41</t>
  </si>
  <si>
    <t>Sac à dos Targus Cypress Ecosmart 15" - Gris - Garantie à vie (TBB58602GL)</t>
  </si>
  <si>
    <t>AB744811</t>
  </si>
  <si>
    <t>3-0-2-43</t>
  </si>
  <si>
    <t>Sac à dos Port Designs YOSEMITE ECO XL 15" - Gris - Garantie à vie (400703)</t>
  </si>
  <si>
    <t xml:space="preserve">AB776812 </t>
  </si>
  <si>
    <t>3-0-2-46</t>
  </si>
  <si>
    <t>Trolleys</t>
  </si>
  <si>
    <t>Trolley Targus Executive 15 &amp; 16" - Noir - Garantie à vie (TBR003EU)</t>
  </si>
  <si>
    <t>AB744814</t>
  </si>
  <si>
    <t>3-0-2-47</t>
  </si>
  <si>
    <t>Trolley Targus City Gear XL 17" - Noir - Garantie à vie (TCG717GL)</t>
  </si>
  <si>
    <t>AB744815</t>
  </si>
  <si>
    <t>3-0-2-48</t>
  </si>
  <si>
    <t>Support pour ordinateur portable</t>
  </si>
  <si>
    <t>Port Designs - Support Ergonomique pour Notebook (901103)</t>
  </si>
  <si>
    <t>AB809409</t>
  </si>
  <si>
    <t>3-0-2-50</t>
  </si>
  <si>
    <t xml:space="preserve">Filtres de confidentialité </t>
  </si>
  <si>
    <t>Filtre de confidentialité 3M™ Bright Screen 15.6'' 16:9 (BP156W9B)</t>
  </si>
  <si>
    <t xml:space="preserve">AC796061 </t>
  </si>
  <si>
    <t>3-0-2-51</t>
  </si>
  <si>
    <t>Filtre de confidentialité 3M™ Bright Screen 15.6'' 16:10 (BPNDE003) - Compatible Precision 5560 et 5570</t>
  </si>
  <si>
    <t xml:space="preserve">AC796168 </t>
  </si>
  <si>
    <t>3-0-2-55</t>
  </si>
  <si>
    <t xml:space="preserve">Filtre de confidentialité 3M™ Bright Screen 17.3'' 16:9  (BP173W9B) </t>
  </si>
  <si>
    <t xml:space="preserve">AC796062 </t>
  </si>
  <si>
    <t>3-0-2-53</t>
  </si>
  <si>
    <t xml:space="preserve">Filtre de confidentialité 3M™ Bright Screen 16'' 16:10  (BP160W1B) </t>
  </si>
  <si>
    <t xml:space="preserve">AC796171 </t>
  </si>
  <si>
    <t>3-0-2-58</t>
  </si>
  <si>
    <t xml:space="preserve">Filtre de confidentialité 3M™ Bright Screen 14'' 16:10  ( BP140W1E) </t>
  </si>
  <si>
    <t xml:space="preserve">AC796172 </t>
  </si>
  <si>
    <t>3-0-2-59</t>
  </si>
  <si>
    <t>Extensions de garantie et prestations de services</t>
  </si>
  <si>
    <t>Extensions de garantie acquises lors de l'achat initial</t>
  </si>
  <si>
    <t>Precision 3000 Tower</t>
  </si>
  <si>
    <t>Extension de garantie ProSupport 6 ans J+1 (heures ouvrés, jours ouvrés) + SAM Matinfo 5</t>
  </si>
  <si>
    <t>3-0-3-1</t>
  </si>
  <si>
    <t>Extension de garantie ProSupport 7 ans J+1 (heures ouvrés, jours ouvrés) + SAM Matinfo 5</t>
  </si>
  <si>
    <t>3-0-3-2</t>
  </si>
  <si>
    <r>
      <t>Extension Pack Maintenance ProActive 5 ans J+1 (ProSupport Plus - Inclut la garantie casse et Keep Your Hard Drive)</t>
    </r>
    <r>
      <rPr>
        <sz val="10"/>
        <color indexed="2"/>
        <rFont val="Calibri"/>
        <family val="2"/>
        <scheme val="minor"/>
      </rPr>
      <t xml:space="preserve"> - Non disponible dans les DROM COM</t>
    </r>
  </si>
  <si>
    <t>3-0-3-3</t>
  </si>
  <si>
    <r>
      <t>Extension Pack Maintenance ProActive 5 ans H+4 avec service sur site 24x7 (ProSupport Plus - Inclut la garantie casse et Keep Your Hard Drive)</t>
    </r>
    <r>
      <rPr>
        <sz val="10"/>
        <color indexed="2"/>
        <rFont val="Calibri"/>
        <family val="2"/>
        <scheme val="minor"/>
      </rPr>
      <t xml:space="preserve"> - Non disponible dans les DROM COM </t>
    </r>
  </si>
  <si>
    <t>3-0-3-4</t>
  </si>
  <si>
    <t>Precision Mobile</t>
  </si>
  <si>
    <t>3-0-3-5</t>
  </si>
  <si>
    <t>3-0-3-6</t>
  </si>
  <si>
    <t>3-0-3-7</t>
  </si>
  <si>
    <t>Precision 5000/7000 Tower &amp; Rack</t>
  </si>
  <si>
    <t>3-0-3-8</t>
  </si>
  <si>
    <t>3-0-3-9</t>
  </si>
  <si>
    <t>3-0-3-10</t>
  </si>
  <si>
    <t>3-0-3-11</t>
  </si>
  <si>
    <r>
      <t>Extension Pack Maintenance ProActive 5 ans H+4 avec service sur site 24x7 - Rack (ProSupport Plus - Inclut la garantie casse et Keep Your Hard Drive)</t>
    </r>
    <r>
      <rPr>
        <sz val="10"/>
        <color indexed="2"/>
        <rFont val="Calibri"/>
        <family val="2"/>
        <scheme val="minor"/>
      </rPr>
      <t xml:space="preserve"> - Non disponible dans les DROM COM </t>
    </r>
  </si>
  <si>
    <t>3-0-3-12</t>
  </si>
  <si>
    <t>Livraison DDP &amp; Garantie DROM COM - Sélection obligatoire</t>
  </si>
  <si>
    <t>3-0-3-100</t>
  </si>
  <si>
    <t>3-0-3-101</t>
  </si>
  <si>
    <t>3-0-3-102</t>
  </si>
  <si>
    <t>Livraison DDP &amp; Garantie DROM COM 6 ans GTI J+1 (sauf J+2 pour Tahiti &amp; presqu'île et Wallis &amp; Futuna)</t>
  </si>
  <si>
    <t>3-0-3-103</t>
  </si>
  <si>
    <t>Livraison DDP &amp; Garantie DROM COM 7 ans GTI J+1 (sauf J+2 pour Tahiti &amp; presqu'île et Wallis &amp; Futuna)</t>
  </si>
  <si>
    <t>3-0-3-104</t>
  </si>
  <si>
    <t>Garanties complémentaires acquises lors de l'achat initial - Non disponible dans les DROM COM</t>
  </si>
  <si>
    <t>5 ans de protection des données - Conservez votre disque dur (Keep Your Hard Drive)</t>
  </si>
  <si>
    <t>3-0-3-13</t>
  </si>
  <si>
    <r>
      <t>5 ans de garantie contre les Dommages Accidentels (Garantie casse)</t>
    </r>
    <r>
      <rPr>
        <sz val="10"/>
        <color indexed="2"/>
        <rFont val="Calibri"/>
        <family val="2"/>
        <scheme val="minor"/>
      </rPr>
      <t xml:space="preserve"> </t>
    </r>
  </si>
  <si>
    <t>3-0-3-14</t>
  </si>
  <si>
    <t>Extensions de garantie en cours après achat matériel (dans la limite de 7 ans à partir de la date d'achat du matériel) - Non disponible dans les DROM COM</t>
  </si>
  <si>
    <t>Extension de garantie ProSupport 6 ans J+1 (heures ouvrés, jours ouvrés) + SAM Matinfo 5 (après achat)</t>
  </si>
  <si>
    <t>3-0-3-18</t>
  </si>
  <si>
    <t>Extension de garantie ProSupport 7 ans J+1 (heures ouvrés, jours ouvrés) + SAM Matinfo 5 (après achat)</t>
  </si>
  <si>
    <t>3-0-3-19</t>
  </si>
  <si>
    <t>3-0-3-20</t>
  </si>
  <si>
    <t>3-0-3-21</t>
  </si>
  <si>
    <t>3-0-3-22</t>
  </si>
  <si>
    <t>3-0-3-23</t>
  </si>
  <si>
    <t>Frais d'expédition DROM COM - Obligatoire pour les commandes de moins de 20 produits (configurations et/ou périphériques)</t>
  </si>
  <si>
    <t>Forfait pour chaque commande DROM COM de moins de 20 produits</t>
  </si>
  <si>
    <t>3-0-3-105</t>
  </si>
  <si>
    <t>Prestations de marquage et étiquetage (Gravure, Etiquetage, Rapports, Marquage Antivol, etc.)</t>
  </si>
  <si>
    <t>Etiquette sur la machine (Informations système : modèle, adresse MAC, numero de commande)</t>
  </si>
  <si>
    <t>293-10023,494-31477</t>
  </si>
  <si>
    <t>3-0-3-24</t>
  </si>
  <si>
    <t>Etiquette Couleur pour poste de travail (informations spécifiques au choix parmi 25 champs de données différents, possibilité de QR Code et de système de couleur RVB) - Nécessite la création d’un projet de personnalisation usine</t>
  </si>
  <si>
    <t>293-10113,494-31477</t>
  </si>
  <si>
    <t>3-0-3-25</t>
  </si>
  <si>
    <t>Etiquette sur le carton d'emballage (Service Tag, modèle, processeur, mémoire, taille disque dur, numéro de commande)</t>
  </si>
  <si>
    <t>293-10026,494-31478</t>
  </si>
  <si>
    <t>3-0-3-26</t>
  </si>
  <si>
    <r>
      <t xml:space="preserve">Marquage antivol personnalisable STOPTRACK ANTI-THEFT LABEL </t>
    </r>
    <r>
      <rPr>
        <sz val="10"/>
        <color indexed="2"/>
        <rFont val="Calibri"/>
        <family val="2"/>
        <scheme val="minor"/>
      </rPr>
      <t>- Hors Precision 7920 Rack</t>
    </r>
  </si>
  <si>
    <t>293-10000,691-15425</t>
  </si>
  <si>
    <t>3-0-3-27</t>
  </si>
  <si>
    <r>
      <t xml:space="preserve">Gravure laser permettant l'identification de votre entité (logo ou informations succintes) - </t>
    </r>
    <r>
      <rPr>
        <sz val="10"/>
        <color rgb="FFFF0000"/>
        <rFont val="Calibri"/>
        <family val="2"/>
        <scheme val="minor"/>
      </rPr>
      <t>Nécessite la création d’un projet de personnalisation usine (stations mobiles uniquement)</t>
    </r>
  </si>
  <si>
    <t>693-11409</t>
  </si>
  <si>
    <t>3-0-3-28</t>
  </si>
  <si>
    <t>Rapport de Production au format Excel envoyé par email (détails commandes, informations techniques, etc.)</t>
  </si>
  <si>
    <t xml:space="preserve">708-10080    </t>
  </si>
  <si>
    <t>3-0-3-29</t>
  </si>
  <si>
    <t>Prestations de préparation des matériels en usine (bios, partitionnement, gestion des images d'OS, etc.)</t>
  </si>
  <si>
    <t>Paramétrage du Bios en usine (nombre de paramètres illimité) - Prix par poste - Nécessite la création d’un projet de personnalisation usine</t>
  </si>
  <si>
    <t>3-0-3-30</t>
  </si>
  <si>
    <t>Descente d'un master statique (format Wim, Clonezilla, etc.) en usine - Prix par poste - Nécessite la création d’un projet de personnalisation usine</t>
  </si>
  <si>
    <t>3-0-3-31</t>
  </si>
  <si>
    <t>Descente d'un master dynamique Dell Image Assist en usine - Prix par poste - Nécessite la création d’un projet de personnalisation usine</t>
  </si>
  <si>
    <t>3-0-3-32</t>
  </si>
  <si>
    <t>Descente d'un master dynamique via le process Dell Connected Configuration - Prix par poste - Nécessite la création d’un projet de personnalisation usine</t>
  </si>
  <si>
    <t>3-0-3-33</t>
  </si>
  <si>
    <t>Enregistrement en usine d'un poste de travail dans l'Azure AD Client - Prix par poste - Nécessite la création d’un projet de personnalisation usine</t>
  </si>
  <si>
    <t>3-0-3-34</t>
  </si>
  <si>
    <t>Enregistrement en usine d'un poste de travail dans la console Workspace One VMWare  - Prix par poste - Nécessite la création d’un projet de personnalisation usine</t>
  </si>
  <si>
    <t>3-0-3-35</t>
  </si>
  <si>
    <t>Prestations d'installation - Non disponible dans les DROM COM</t>
  </si>
  <si>
    <t>Installation physique (vérification de l'état des composants, déballage, installation, connexion réseau, contrôle du bon démarrage, etc.)</t>
  </si>
  <si>
    <t>Installation physique et configuration d'un système - Prix unitaire par lot de 2 à 20 unités / Visite</t>
  </si>
  <si>
    <t>3-0-3-36</t>
  </si>
  <si>
    <t xml:space="preserve">Option installation d'un périphérique par lot de 2 à 20 systèmes - Prestation optionnelle réalisée en complément de la prestation d'installation physique d'un poste </t>
  </si>
  <si>
    <t>3-0-3-37</t>
  </si>
  <si>
    <t>Installation physique et configuration d'un système - Prix unitaire par lot de 21 à 250 unités / Visite</t>
  </si>
  <si>
    <t>3-0-3-38</t>
  </si>
  <si>
    <t xml:space="preserve">Option installation d'un périphérique par lot de 21 à 250 systèmes - Prestation optionnelle réalisée en complément de la prestation d'installation physique d'un poste </t>
  </si>
  <si>
    <t>3-0-3-39</t>
  </si>
  <si>
    <t>Installation logicielle (préparation du support, installation système exploitations, vérification clé, pilotes, tests des fonctionnalités, etc.)</t>
  </si>
  <si>
    <t>Installation logicielle - Prix unitaire par lot de 2 à 20 unités / Visite</t>
  </si>
  <si>
    <t>3-0-3-40</t>
  </si>
  <si>
    <t>Option masterisation d’un poste sur site (remasterisation) par lot de 2 à 20 systèmes - Prestation réalisée en complément de la prestation d'installation physique d'un poste</t>
  </si>
  <si>
    <t>3-0-3-41</t>
  </si>
  <si>
    <t>Installation logicielle - Prix unitaire par lot de 21 à 250 unités / Visite</t>
  </si>
  <si>
    <t>3-0-3-42</t>
  </si>
  <si>
    <t>Option masterisation d’un poste sur site (remasterisation) par lot de 21 à 250 systèmes - Prestation réalisée en complément de la prestation d'installation physique d'un poste</t>
  </si>
  <si>
    <t>3-0-3-43</t>
  </si>
  <si>
    <t>Prestations transfert de données utilisateurs (transfert de données, destruction des disques dur, etc.) - Non disponible dans les DROM COM</t>
  </si>
  <si>
    <r>
      <t xml:space="preserve">Prestation de transfert de données (jusqu'à 100Go) sur site de 2 à 20 systèmes </t>
    </r>
    <r>
      <rPr>
        <sz val="10"/>
        <color indexed="2"/>
        <rFont val="Calibri"/>
        <family val="2"/>
        <scheme val="minor"/>
      </rPr>
      <t>- Prestation réalisée en complément de la prestation d'installation physique d'un poste</t>
    </r>
  </si>
  <si>
    <t>3-0-3-44</t>
  </si>
  <si>
    <r>
      <t>Prestation de transfert de données (jusqu'à 100Go) sur site de 21 à 250 systèmes</t>
    </r>
    <r>
      <rPr>
        <sz val="10"/>
        <color indexed="2"/>
        <rFont val="Calibri"/>
        <family val="2"/>
        <scheme val="minor"/>
      </rPr>
      <t xml:space="preserve"> - Prestation réalisée en complément de la prestation d'installation physique d'un poste</t>
    </r>
  </si>
  <si>
    <t>3-0-3-45</t>
  </si>
  <si>
    <r>
      <t xml:space="preserve">Prestation d'effacement des données sur site </t>
    </r>
    <r>
      <rPr>
        <sz val="10"/>
        <color indexed="2"/>
        <rFont val="Calibri"/>
        <family val="2"/>
        <scheme val="minor"/>
      </rPr>
      <t>- Prestation réalisée en complément de la prestation d'installation physique d'un poste</t>
    </r>
  </si>
  <si>
    <t>3-0-3-46</t>
  </si>
  <si>
    <r>
      <t xml:space="preserve">Prestation d'effacement des données hors site </t>
    </r>
    <r>
      <rPr>
        <sz val="10"/>
        <color indexed="2"/>
        <rFont val="Calibri"/>
        <family val="2"/>
        <scheme val="minor"/>
      </rPr>
      <t>- Prestation réalisée en complément de la prestation d'installation physique d'un poste</t>
    </r>
  </si>
  <si>
    <t>3-0-3-47</t>
  </si>
  <si>
    <t>Prestation de destruction de disque dur sur site (moins de 20 disques) - Prix par disque détruit</t>
  </si>
  <si>
    <t>3-0-3-48</t>
  </si>
  <si>
    <t>Prestation de destruction de disque dur sur site (plus de 20 disques) - Prix par disque détruit</t>
  </si>
  <si>
    <t>3-0-3-49</t>
  </si>
  <si>
    <t>Prestation de destruction de disque dur hors site - Prix par disque détruit</t>
  </si>
  <si>
    <t>3-0-3-50</t>
  </si>
  <si>
    <t>Prestations de gestion des emballages (évacuation et recyclage hors site de l'établissement, etc.) - Non disponible dans les DROM COM</t>
  </si>
  <si>
    <t>Récupération des emballages lors de la livraison - Prix par carton</t>
  </si>
  <si>
    <t>3-0-3-51</t>
  </si>
  <si>
    <t>Récupération des emballages dans le cadre d'une prestation d'installation - Prix par carton</t>
  </si>
  <si>
    <t>3-0-3-52</t>
  </si>
  <si>
    <t>Autres prestations de services spécifiques (Coût journée : Chef de projet, Technicien de déploiement, etc.) - Non disponible dans les DROM COM &amp; sur Precision 79x0 Rack</t>
  </si>
  <si>
    <t>Offres packagées de déploiement</t>
  </si>
  <si>
    <t>Offre Packagée de déploiement Basique (Basic Deploy) - Prix par poste</t>
  </si>
  <si>
    <t>3-0-3-53</t>
  </si>
  <si>
    <t>Offre Packagée de déploiement Standard (ProDeploy) - Prix par poste</t>
  </si>
  <si>
    <t>3-0-3-54</t>
  </si>
  <si>
    <t>Offre Packagée de déploiement Avancé (ProDeploy Plus) - Prix par poste</t>
  </si>
  <si>
    <t>3-0-3-55</t>
  </si>
  <si>
    <t>Stockage courte durée - Prix par poste</t>
  </si>
  <si>
    <t>3-0-3-56</t>
  </si>
  <si>
    <t>Prestations à la journée</t>
  </si>
  <si>
    <t>Journée Manutentionnaire - Prix par jour</t>
  </si>
  <si>
    <t>3-0-3-57</t>
  </si>
  <si>
    <t>Journée Technicien Déploiement - Prix par jour</t>
  </si>
  <si>
    <t>3-0-3-58</t>
  </si>
  <si>
    <t>Journée Chef de Projet - Prix par jour</t>
  </si>
  <si>
    <t>3-0-3-59</t>
  </si>
  <si>
    <t>Journée Coordinateur - Prix par jour</t>
  </si>
  <si>
    <t>3-0-3-60</t>
  </si>
  <si>
    <t>Recyclage</t>
  </si>
  <si>
    <t>Recyclage  des postes de travail - Solution gratuite - Prix par poste</t>
  </si>
  <si>
    <t>3-0-3-61</t>
  </si>
  <si>
    <t>Recyclage  des postes de travail - Récupération et recyclage du poste avec effacement des données hors site - Prix par poste</t>
  </si>
  <si>
    <t>3-0-3-62</t>
  </si>
  <si>
    <t>Recyclage  des postes de travail - Récupération et recyclage du poste avec effacement des données sur site - Prix par poste</t>
  </si>
  <si>
    <t>3-0-3-63</t>
  </si>
  <si>
    <t>Extensions Proposées avec Configuration</t>
  </si>
  <si>
    <r>
      <t xml:space="preserve">Licence Microsoft Windows 10 Pro (licence W10 22H2 - Français - comprend MAJ gratuite  vers  Windows 11 Pro) - </t>
    </r>
    <r>
      <rPr>
        <sz val="10"/>
        <color indexed="2"/>
        <rFont val="Calibri"/>
        <family val="2"/>
        <scheme val="minor"/>
      </rPr>
      <t>Pour processeurs Intel Core i5 &amp; i7 uniquement</t>
    </r>
    <r>
      <rPr>
        <sz val="10"/>
        <rFont val="Calibri"/>
        <family val="2"/>
        <scheme val="minor"/>
      </rPr>
      <t xml:space="preserve"> </t>
    </r>
  </si>
  <si>
    <t>via projet CS</t>
  </si>
  <si>
    <t>3-0-4-1</t>
  </si>
  <si>
    <r>
      <t xml:space="preserve">Licence Microsoft Windows 10 Pro  (licence W10 22H2 - Français - comprend MAJ gratuite  vers  Windows 11 Pro) - </t>
    </r>
    <r>
      <rPr>
        <sz val="10"/>
        <color indexed="2"/>
        <rFont val="Calibri"/>
        <family val="2"/>
        <scheme val="minor"/>
      </rPr>
      <t>Pour processeurs Intel Core i9 et processeurs AMD uniquement</t>
    </r>
    <r>
      <rPr>
        <sz val="10"/>
        <color rgb="FFFF0000"/>
        <rFont val="Calibri"/>
        <family val="2"/>
        <scheme val="minor"/>
      </rPr>
      <t xml:space="preserve"> </t>
    </r>
  </si>
  <si>
    <t>3-0-4-2</t>
  </si>
  <si>
    <r>
      <t xml:space="preserve">Licence Microsoft Windows 10 Pro (licence W10 22H2 - Français - comprend MAJ gratuite  vers  Windows 11 Pro) - </t>
    </r>
    <r>
      <rPr>
        <sz val="10"/>
        <color indexed="2"/>
        <rFont val="Calibri"/>
        <family val="2"/>
        <scheme val="minor"/>
      </rPr>
      <t>Pour processeurs Intel Xeon uniquement</t>
    </r>
    <r>
      <rPr>
        <sz val="10"/>
        <rFont val="Calibri"/>
        <family val="2"/>
        <scheme val="minor"/>
      </rPr>
      <t xml:space="preserve"> </t>
    </r>
  </si>
  <si>
    <t>3-0-4-3</t>
  </si>
  <si>
    <r>
      <t xml:space="preserve">Licence Microsoft Windows 11 Pro, 64 bits multilingue (anglais, néerlandais, français, allemand, italien) - </t>
    </r>
    <r>
      <rPr>
        <sz val="10"/>
        <color indexed="2"/>
        <rFont val="Calibri"/>
        <family val="2"/>
        <scheme val="minor"/>
      </rPr>
      <t>Pour processeurs Intel Core i5 &amp; i7 uniquement</t>
    </r>
  </si>
  <si>
    <t>619-APWY</t>
  </si>
  <si>
    <t>3-0-4-4</t>
  </si>
  <si>
    <r>
      <t xml:space="preserve">Licence Microsoft Windows 11 Pro, 64 bits multilingue (anglais, néerlandais, français, allemand, italien) - </t>
    </r>
    <r>
      <rPr>
        <sz val="10"/>
        <color indexed="2"/>
        <rFont val="Calibri"/>
        <family val="2"/>
        <scheme val="minor"/>
      </rPr>
      <t>Pour processeurs Intel Core i9 et processeu</t>
    </r>
    <r>
      <rPr>
        <sz val="10"/>
        <color rgb="FFFF0000"/>
        <rFont val="Calibri"/>
        <family val="2"/>
        <scheme val="minor"/>
      </rPr>
      <t>rs AMD uniquement</t>
    </r>
  </si>
  <si>
    <t>619-AQMC</t>
  </si>
  <si>
    <t>3-0-4-5</t>
  </si>
  <si>
    <r>
      <t xml:space="preserve">Licence Microsoft Windows 11 Pro, 64 bits multilingue (anglais, néerlandais, français, allemand, italien) - </t>
    </r>
    <r>
      <rPr>
        <sz val="10"/>
        <color indexed="2"/>
        <rFont val="Calibri"/>
        <family val="2"/>
        <scheme val="minor"/>
      </rPr>
      <t>Pour processeurs Intel Xeon uniquement</t>
    </r>
  </si>
  <si>
    <t>619-AQKB</t>
  </si>
  <si>
    <t>3-0-4-6</t>
  </si>
  <si>
    <t>Maintien du parc existant Dell</t>
  </si>
  <si>
    <t>Extensions pour postes fixes Optiplex</t>
  </si>
  <si>
    <t>Accessoires Optiplex - Non disponible dans les DROM COM</t>
  </si>
  <si>
    <t>Accessoires pour Optiplex format Micro</t>
  </si>
  <si>
    <t xml:space="preserve">Alimentation pour Optiplex Micro </t>
  </si>
  <si>
    <t>450-AGNS</t>
  </si>
  <si>
    <t>3-0-5-7</t>
  </si>
  <si>
    <t>Extensions de garantie en cours après achat matériel Optiplex (dans la limite de 5 ans à partir de la date d'achat du matériel) - Non disponible dans les DROM COM</t>
  </si>
  <si>
    <r>
      <t xml:space="preserve">Extension de garantie pour 1 an supplémentaire ProSupport J+1 (heures ouvrées, jours ouvrés) + TAM Matinfo </t>
    </r>
    <r>
      <rPr>
        <sz val="10"/>
        <color indexed="2"/>
        <rFont val="Calibri"/>
        <family val="2"/>
        <scheme val="minor"/>
      </rPr>
      <t>- Ne peut être acquis via le portail dell-matinfo. Merci de contacter votre commercial</t>
    </r>
  </si>
  <si>
    <t>3-0-5-21</t>
  </si>
  <si>
    <r>
      <t xml:space="preserve">Extension de garantie pour 2 ans supplémentaire ProSupport J+1 (heures ouvrées, jours ouvrés) + TAM Matinfo </t>
    </r>
    <r>
      <rPr>
        <sz val="10"/>
        <color indexed="2"/>
        <rFont val="Calibri"/>
        <family val="2"/>
        <scheme val="minor"/>
      </rPr>
      <t>- Ne peut être acquis via le portail dell-matinfo. Merci de contacter votre commercial</t>
    </r>
  </si>
  <si>
    <t>3-0-5-22</t>
  </si>
  <si>
    <t>Batterie de remplacement pour station de travail Precision Mobile (garantie 1 an) - Non disponible dans les DROM COM</t>
  </si>
  <si>
    <t>Batterie pour Precision 7530/7540/7730/7740 - 4 Cellules 64Whr</t>
  </si>
  <si>
    <t>451-BCJE</t>
  </si>
  <si>
    <t>3-0-5-24</t>
  </si>
  <si>
    <t>Batterie pour Precision 7530/7540/7730/7740 - 6 Cellules 97Whr</t>
  </si>
  <si>
    <t>451-BCGI</t>
  </si>
  <si>
    <t>3-0-5-25</t>
  </si>
  <si>
    <t>Batterie pour Precision 3520 - 4 Cellules 68Whr</t>
  </si>
  <si>
    <t>451-BBZG</t>
  </si>
  <si>
    <t>3-0-5-26</t>
  </si>
  <si>
    <t>Batterie pour Precision 3541 - 4 Cellules 68Whr</t>
  </si>
  <si>
    <t>451-BCNS</t>
  </si>
  <si>
    <t>3-0-5-27</t>
  </si>
  <si>
    <t>Batterie pour Precision 3541 - 6 Cellules 97Whr</t>
  </si>
  <si>
    <t>451-BCNU ou 451-BCNV</t>
  </si>
  <si>
    <t>3-0-5-28</t>
  </si>
  <si>
    <t>Adptateurs secteurs pour station de travail Precision Mobile - Non disponible dans les DROM COM</t>
  </si>
  <si>
    <t>Adaptateur secteur 130W 7,4mm - Precision 35XX</t>
  </si>
  <si>
    <t>450-BBZG</t>
  </si>
  <si>
    <t>3-0-5-30</t>
  </si>
  <si>
    <t>Adaptateur secteur 130W 4,5mm - Precision 5520/5530/5540</t>
  </si>
  <si>
    <t>3-0-5-31</t>
  </si>
  <si>
    <t>Adaptateur secteur 180W 7,4mm - Precision 75X0 et stations d'accueil WD19X 180W</t>
  </si>
  <si>
    <t>450-AIYY</t>
  </si>
  <si>
    <t>3-0-5-32</t>
  </si>
  <si>
    <t>Adaptateur secteur 240W 7,4mm - Precision 77X0 et stations d'accueil WD19X 180W</t>
  </si>
  <si>
    <t>450-ABIT</t>
  </si>
  <si>
    <t>3-0-5-33</t>
  </si>
  <si>
    <t>Batteries de remplacement Latitude et XPS (garantie 1 an) - Non disponible dans les DROM COM</t>
  </si>
  <si>
    <t>Batterie pour Latitude 5400/5500 - 4 cellules 68Wh</t>
  </si>
  <si>
    <t xml:space="preserve">451-BCNX </t>
  </si>
  <si>
    <t>3-0-5-34</t>
  </si>
  <si>
    <t>Batterie pour Latitude 5410/5510 - 4 cellules 68Wh</t>
  </si>
  <si>
    <t xml:space="preserve">451-BCNS </t>
  </si>
  <si>
    <t>3-0-5-35</t>
  </si>
  <si>
    <t>Batterie pour Latitude 5420/5520 - 3 cellules 42Wh</t>
  </si>
  <si>
    <t>CPL-M3KCN</t>
  </si>
  <si>
    <t>3-0-5-39</t>
  </si>
  <si>
    <t>Batterie pour Latitude 5420/5520 - 4 cellules 63Wh</t>
  </si>
  <si>
    <t>CPL-M033W</t>
  </si>
  <si>
    <t>3-0-5-40</t>
  </si>
  <si>
    <t>Batterie pour Latitude 5280/5480/5580 &amp; 5290/5490/5590 - 4 cellules 68Wh</t>
  </si>
  <si>
    <t>3-0-5-36</t>
  </si>
  <si>
    <t>Batterie pour Latitude 5280/5480/5580 &amp; 5290/5490/5590 - 3 cellules 51Wh</t>
  </si>
  <si>
    <t>451-BBZT</t>
  </si>
  <si>
    <t>3-0-5-37</t>
  </si>
  <si>
    <t>Batterie pour Latitude 5280/5480/5580 &amp; 5290/5490/5590 - 3 cellules 42Wh</t>
  </si>
  <si>
    <t>451-BBZP</t>
  </si>
  <si>
    <t>3-0-5-38</t>
  </si>
  <si>
    <t>Adaptateurs mobilité et chargeurs - Non disponible dans les DROM COM</t>
  </si>
  <si>
    <t>Adaptateur secteur 65W Européen - Barrel 4.5mm</t>
  </si>
  <si>
    <t>450-ALNZ</t>
  </si>
  <si>
    <t>3-0-5-44</t>
  </si>
  <si>
    <t>Adaptateur secteur 65W Européen - Barrel 7.4mm</t>
  </si>
  <si>
    <t>450-ABFS</t>
  </si>
  <si>
    <t>3-0-5-46</t>
  </si>
  <si>
    <r>
      <t xml:space="preserve">Adaptateur secteur 65W </t>
    </r>
    <r>
      <rPr>
        <sz val="10"/>
        <color indexed="64"/>
        <rFont val="Calibri"/>
        <family val="2"/>
        <scheme val="minor"/>
      </rPr>
      <t xml:space="preserve">USB-C </t>
    </r>
    <r>
      <rPr>
        <sz val="10"/>
        <rFont val="Calibri"/>
        <family val="2"/>
        <scheme val="minor"/>
      </rPr>
      <t>Européen</t>
    </r>
  </si>
  <si>
    <t>450-BBVD</t>
  </si>
  <si>
    <t>3-0-5-47</t>
  </si>
  <si>
    <t>Adaptateur secteur 90W USB-C Européen</t>
  </si>
  <si>
    <t>452-BDUJ</t>
  </si>
  <si>
    <t>3-0-5-51</t>
  </si>
  <si>
    <t xml:space="preserve">Adaptateur secteur 130W USB-C - Européen </t>
  </si>
  <si>
    <t>3-0-5-54</t>
  </si>
  <si>
    <t>Stylets - Non disponible dans les DROM COM</t>
  </si>
  <si>
    <r>
      <t xml:space="preserve">Stylet actif DELL PN5122W </t>
    </r>
    <r>
      <rPr>
        <sz val="10"/>
        <color indexed="2"/>
        <rFont val="Calibri"/>
        <family val="2"/>
        <scheme val="minor"/>
      </rPr>
      <t>- Compatible avec tous les systèmes hybrides avec clavier détachable et écran 360° (hors 3390 2en1)</t>
    </r>
  </si>
  <si>
    <t>750-ADRD</t>
  </si>
  <si>
    <t>3-0-5-60</t>
  </si>
  <si>
    <t>Filtres de confidencialité - Non disponible dans les DROM COM</t>
  </si>
  <si>
    <t>Filtre de confidentialité 3M™ Bright Screen 13.3'' 16:9 (BP133W9B)</t>
  </si>
  <si>
    <t xml:space="preserve">AC796063 </t>
  </si>
  <si>
    <t>3-0-5-85</t>
  </si>
  <si>
    <t>Filtre de confidentialité 3M™ Bright Screen 14'' 16:9 (BP140W9B)</t>
  </si>
  <si>
    <t xml:space="preserve">AC796167 </t>
  </si>
  <si>
    <t>3-0-5-88</t>
  </si>
  <si>
    <t>Extensions de garantie en cours après achat matériel Latitude ou XPS  (dans la limite de 5 ans à partir de la date d'achat du matériel) - Non disponible dans les DROM COM</t>
  </si>
  <si>
    <t>Latitude 3XX0 / 5XX0 / 5495 &amp; 3390 2-en-1</t>
  </si>
  <si>
    <r>
      <t xml:space="preserve">Extension de garantie pour 1 an supplémentaire ProSupport J+1 (heures ouvrés, jours ouvrés) + TAM Matinfo </t>
    </r>
    <r>
      <rPr>
        <sz val="10"/>
        <color indexed="2"/>
        <rFont val="Calibri"/>
        <family val="2"/>
        <scheme val="minor"/>
      </rPr>
      <t xml:space="preserve"> - Ne peut être acquis via le portail dell-matinfo. Merci de contacter votre commercial</t>
    </r>
  </si>
  <si>
    <t>3-0-5-90</t>
  </si>
  <si>
    <t>Latitude 7XX0 / 5XX0 2-en-1 / 7XX0 2-en-1 &amp; 9XX0</t>
  </si>
  <si>
    <r>
      <t xml:space="preserve">Extension de garantie pour 1 an supplémentaire ProSupport J+1 (heures ouvrés, jours ouvrés) + TAM Matinfo  </t>
    </r>
    <r>
      <rPr>
        <sz val="10"/>
        <color indexed="2"/>
        <rFont val="Calibri"/>
        <family val="2"/>
        <scheme val="minor"/>
      </rPr>
      <t>- Ne peut être acquis via le portail dell-matinfo. Merci de contacter votre commercial</t>
    </r>
  </si>
  <si>
    <t>3-0-5-91</t>
  </si>
  <si>
    <t>Latitude Rugged 7414 / 7424 / 7212 &amp; 7220</t>
  </si>
  <si>
    <r>
      <t>Extension de garantie pour 1 an supplémentaire ProSupport J+1 (heures ouvrés, jours ouvrés) + TAM Matinfo</t>
    </r>
    <r>
      <rPr>
        <sz val="10"/>
        <color indexed="2"/>
        <rFont val="Calibri"/>
        <family val="2"/>
        <scheme val="minor"/>
      </rPr>
      <t xml:space="preserve"> - Ne peut être acquis via le portail dell-matinfo. Merci de contacter votre commercial</t>
    </r>
  </si>
  <si>
    <t>3-0-5-92</t>
  </si>
  <si>
    <t>TARIFS BPU V10</t>
  </si>
  <si>
    <t>MÉMOIRE</t>
  </si>
  <si>
    <t xml:space="preserve">Mémoire </t>
  </si>
  <si>
    <t xml:space="preserve">Mémoire DDR4 ECC  </t>
  </si>
  <si>
    <t>1x8Go DDR4 ECC</t>
  </si>
  <si>
    <t>1x16Go DDR4 ECC</t>
  </si>
  <si>
    <t>1x32Go DDR4 ECC</t>
  </si>
  <si>
    <t>1x64Go DDR4 ECC</t>
  </si>
  <si>
    <t>1x128Go DDR4 ECC</t>
  </si>
  <si>
    <t>Mémoire DDR5 (Tower 3000 / Mobile)</t>
  </si>
  <si>
    <t>1x8Go DDR5</t>
  </si>
  <si>
    <t>1x16Go DDR5</t>
  </si>
  <si>
    <t>1x32Go DDR5</t>
  </si>
  <si>
    <t xml:space="preserve">Mémoire DDR5 ECC </t>
  </si>
  <si>
    <t>1x16Go DDR5 ECC</t>
  </si>
  <si>
    <t>1x32Go DDR5 ECC</t>
  </si>
  <si>
    <t>1x64Go DDR5 ECC</t>
  </si>
  <si>
    <t>1x128Go DDR5 ECC</t>
  </si>
  <si>
    <t>1x256Go DDR5 ECC</t>
  </si>
  <si>
    <t>Mémoire CAMM (Mobile 7000)</t>
  </si>
  <si>
    <t>16Go 4800MHz DDR5 - 1x16Go (CAMM)</t>
  </si>
  <si>
    <t>32Go 5600MHz DDR5 - 1x32Go (CAMM)</t>
  </si>
  <si>
    <t>64Go 5600MHz DDR5 - 1x64Go (CAMM)</t>
  </si>
  <si>
    <t>128Go 3600MHz DDR5 - 1x128Go (CAMM)</t>
  </si>
  <si>
    <t>Mémoire LPDDR5 (Mobile 5000)</t>
  </si>
  <si>
    <t>Passage de 16Go à …</t>
  </si>
  <si>
    <t>Passage de 32Go à …</t>
  </si>
  <si>
    <t>32Go LPDDR5</t>
  </si>
  <si>
    <t>64Go LPDDR5</t>
  </si>
  <si>
    <t>CPU MOBILE</t>
  </si>
  <si>
    <t xml:space="preserve">CPU Mobile WS </t>
  </si>
  <si>
    <t>From Core i5-13600H</t>
  </si>
  <si>
    <t>From Core i7-13700H</t>
  </si>
  <si>
    <t>From Core i7-13850HX</t>
  </si>
  <si>
    <t>Intel Core i7-13700H</t>
  </si>
  <si>
    <t xml:space="preserve">Intel Core i7-13800H </t>
  </si>
  <si>
    <t xml:space="preserve">Intel Core i9-13900H </t>
  </si>
  <si>
    <t>Intel Core i9-13950HX</t>
  </si>
  <si>
    <t>GPU MOBILE</t>
  </si>
  <si>
    <t>Prix Passage</t>
  </si>
  <si>
    <t>From RTX A500</t>
  </si>
  <si>
    <t>From RTX A1000</t>
  </si>
  <si>
    <t>From RTX A2000</t>
  </si>
  <si>
    <t>RTX A1000</t>
  </si>
  <si>
    <t>RTX 2000 Ada</t>
  </si>
  <si>
    <t>RTX 3x00 Ada</t>
  </si>
  <si>
    <t>RTX 4000 Ada</t>
  </si>
  <si>
    <t>RTX 5000 Ada</t>
  </si>
  <si>
    <t>RTX 4090</t>
  </si>
  <si>
    <t>GPU Tower</t>
  </si>
  <si>
    <t>Upgrade from T400</t>
  </si>
  <si>
    <t>Upgrade from RTX 4060 (Cat2Conf2)</t>
  </si>
  <si>
    <t>Prix additionnel</t>
  </si>
  <si>
    <t>Tflops</t>
  </si>
  <si>
    <t>Coeurs CUDA</t>
  </si>
  <si>
    <t>NVIDIA Pro</t>
  </si>
  <si>
    <t xml:space="preserve">NVIDIA T400 4Go </t>
  </si>
  <si>
    <t>NVIDIA T1000 8Go</t>
  </si>
  <si>
    <t>NVIDIA RTX A2000 12Go</t>
  </si>
  <si>
    <t xml:space="preserve">NVIDIA RTX 2000 Ada 16Go </t>
  </si>
  <si>
    <t>NVIDIA  RTX 4000 Ada SFF 20 Go</t>
  </si>
  <si>
    <t xml:space="preserve">NVIDIA RTX 4000 ADA - 20Go </t>
  </si>
  <si>
    <t xml:space="preserve">NVIDIA RTX 4500 ADA - 24Go </t>
  </si>
  <si>
    <t xml:space="preserve">NVIDIA RTX 5000 ADA 32Go </t>
  </si>
  <si>
    <t>NVIDIA RTX 6000 ADA 48 Go</t>
  </si>
  <si>
    <t xml:space="preserve">NVIDIA RTX A800  40Go + T1000 </t>
  </si>
  <si>
    <t>N/A</t>
  </si>
  <si>
    <t>Geforce</t>
  </si>
  <si>
    <t xml:space="preserve">NVIDIA Geforce RTX4060 </t>
  </si>
  <si>
    <t xml:space="preserve">NVIDIA Geforce RTX4070 </t>
  </si>
  <si>
    <t xml:space="preserve">NVIDIA Geforce RTX4080 Super </t>
  </si>
  <si>
    <t>NVIDIA Geforce RTX4090</t>
  </si>
  <si>
    <t>AMD RadeonPro</t>
  </si>
  <si>
    <t xml:space="preserve">AMD RadeonPro W7600 8Go </t>
  </si>
  <si>
    <t>AMD RadeonPro W6800 32Go</t>
  </si>
  <si>
    <t>STOCKAGE</t>
  </si>
  <si>
    <t>SSD</t>
  </si>
  <si>
    <t>Upgrade from SSD 256Go</t>
  </si>
  <si>
    <t>Upgrade from SSD 512Go</t>
  </si>
  <si>
    <t>Upgrade from SSD 1To</t>
  </si>
  <si>
    <t>SSD 256 Go</t>
  </si>
  <si>
    <t>SSD 512 Go</t>
  </si>
  <si>
    <t>SSD 1 To</t>
  </si>
  <si>
    <t>SSD 2 To</t>
  </si>
  <si>
    <t>SSD 4 To</t>
  </si>
  <si>
    <t xml:space="preserve">SATA </t>
  </si>
  <si>
    <t xml:space="preserve">DD 2To 7200 tr/min 3"5 </t>
  </si>
  <si>
    <t>Coeff 12 mois</t>
  </si>
  <si>
    <t>Coeff 24 mois</t>
  </si>
  <si>
    <t>Loyer trimestriel location 12 mois</t>
  </si>
  <si>
    <t>Loyer trimestriel location 24 mois</t>
  </si>
  <si>
    <t>Effacement des données (OBLIGATOIRE)</t>
  </si>
  <si>
    <t>3-0-3-106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</si>
</sst>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quot;$&quot;* #,##0.00_);_(&quot;$&quot;* \(#,##0.00\);_(&quot;$&quot;* &quot;-&quot;??_);_(@_)"/>
    <numFmt numFmtId="165" formatCode="#,##0\ &quot;€&quot;"/>
    <numFmt numFmtId="166" formatCode="_-* #,##0\ [$€-40C]_-;\-* #,##0\ [$€-40C]_-;_-* &quot;-&quot;??\ [$€-40C]_-;_-@_-"/>
    <numFmt numFmtId="167" formatCode="#,##0\ [$€-40C]"/>
    <numFmt numFmtId="168" formatCode="#,##0.00\ [$€-40C]"/>
    <numFmt numFmtId="169" formatCode="_([$€-2]\ * #,##0.00_);_([$€-2]\ * \(#,##0.00\);_([$€-2]\ * &quot;-&quot;??_);_(@_)"/>
    <numFmt numFmtId="170" formatCode="_([$€-2]\ * #,##0_);_([$€-2]\ * \(#,##0\);_([$€-2]\ * &quot;-&quot;??_);_(@_)"/>
    <numFmt numFmtId="171" formatCode="_ * #,##0_)\ [$€-1]_ ;_ * \(#,##0\)\ [$€-1]_ ;_ * &quot;-&quot;_)\ [$€-1]_ ;_ @_ "/>
    <numFmt numFmtId="172" formatCode="_ * #,##0.00_)\ [$€-1]_ ;_ * \(#,##0.00\)\ [$€-1]_ ;_ * &quot;-&quot;??_)\ [$€-1]_ ;_ @_ "/>
    <numFmt numFmtId="173" formatCode="0.000%"/>
    <numFmt numFmtId="174" formatCode="_-* #,##0.00\ [$€-40C]_-;\-* #,##0.00\ [$€-40C]_-;_-* &quot;-&quot;??\ [$€-40C]_-;_-@_-"/>
  </numFmts>
  <fonts count="4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theme="1"/>
      <name val="Arial"/>
      <family val="2"/>
    </font>
    <font>
      <i/>
      <sz val="11"/>
      <color rgb="FF7F7F7F"/>
      <name val="Calibri"/>
      <family val="2"/>
      <scheme val="minor"/>
    </font>
    <font>
      <b/>
      <sz val="11"/>
      <name val="Calibri"/>
      <family val="2"/>
      <scheme val="minor"/>
    </font>
    <font>
      <sz val="10"/>
      <color theme="1"/>
      <name val="Calibri"/>
      <family val="2"/>
      <scheme val="minor"/>
    </font>
    <font>
      <sz val="10"/>
      <color theme="0"/>
      <name val="Calibri"/>
      <family val="2"/>
      <scheme val="minor"/>
    </font>
    <font>
      <sz val="10"/>
      <name val="Calibri"/>
      <family val="2"/>
      <scheme val="minor"/>
    </font>
    <font>
      <b/>
      <sz val="16"/>
      <color indexed="4"/>
      <name val="Calibri"/>
      <family val="2"/>
      <scheme val="minor"/>
    </font>
    <font>
      <b/>
      <sz val="16"/>
      <color indexed="2"/>
      <name val="Calibri"/>
      <family val="2"/>
      <scheme val="minor"/>
    </font>
    <font>
      <sz val="16"/>
      <color indexed="2"/>
      <name val="Calibri"/>
      <family val="2"/>
      <scheme val="minor"/>
    </font>
    <font>
      <sz val="10"/>
      <color indexed="2"/>
      <name val="Calibri"/>
      <family val="2"/>
      <scheme val="minor"/>
    </font>
    <font>
      <b/>
      <sz val="10"/>
      <name val="Calibri"/>
      <family val="2"/>
      <scheme val="minor"/>
    </font>
    <font>
      <b/>
      <sz val="10"/>
      <color theme="1"/>
      <name val="Calibri"/>
      <family val="2"/>
      <scheme val="minor"/>
    </font>
    <font>
      <b/>
      <sz val="10"/>
      <color indexed="65"/>
      <name val="Calibri"/>
      <family val="2"/>
      <scheme val="minor"/>
    </font>
    <font>
      <sz val="10"/>
      <color indexed="65"/>
      <name val="Calibri"/>
      <family val="2"/>
      <scheme val="minor"/>
    </font>
    <font>
      <b/>
      <sz val="10"/>
      <color indexed="2"/>
      <name val="Calibri"/>
      <family val="2"/>
      <scheme val="minor"/>
    </font>
    <font>
      <sz val="10"/>
      <color indexed="64"/>
      <name val="Calibri"/>
      <family val="2"/>
      <scheme val="minor"/>
    </font>
    <font>
      <sz val="10"/>
      <color indexed="2"/>
      <name val="Arial"/>
      <family val="2"/>
    </font>
    <font>
      <b/>
      <sz val="16"/>
      <color indexed="4"/>
      <name val="Arial"/>
      <family val="2"/>
    </font>
    <font>
      <b/>
      <sz val="16"/>
      <color indexed="2"/>
      <name val="Arial"/>
      <family val="2"/>
    </font>
    <font>
      <sz val="10"/>
      <color rgb="FF0070C0"/>
      <name val="Calibri"/>
      <family val="2"/>
      <scheme val="minor"/>
    </font>
    <font>
      <b/>
      <sz val="12"/>
      <color theme="0"/>
      <name val="Calibri"/>
      <family val="2"/>
      <scheme val="minor"/>
    </font>
    <font>
      <sz val="10"/>
      <color theme="4"/>
      <name val="Calibri"/>
      <family val="2"/>
      <scheme val="minor"/>
    </font>
    <font>
      <sz val="11"/>
      <color theme="1"/>
      <name val="Calibri"/>
      <family val="2"/>
      <scheme val="minor"/>
    </font>
    <font>
      <sz val="10"/>
      <color rgb="FFFF0000"/>
      <name val="Calibri"/>
      <family val="2"/>
      <scheme val="minor"/>
    </font>
    <font>
      <b/>
      <sz val="10"/>
      <color rgb="FF000000"/>
      <name val="Calibri"/>
      <family val="2"/>
      <scheme val="minor"/>
    </font>
    <font>
      <b/>
      <sz val="10"/>
      <color indexed="9"/>
      <name val="Calibri"/>
      <family val="2"/>
      <scheme val="minor"/>
    </font>
    <font>
      <b/>
      <sz val="10"/>
      <color rgb="FFFF0000"/>
      <name val="Calibri"/>
      <family val="2"/>
      <scheme val="minor"/>
    </font>
    <font>
      <sz val="10"/>
      <color rgb="FF000000"/>
      <name val="Calibri"/>
      <family val="2"/>
      <scheme val="minor"/>
    </font>
    <font>
      <sz val="8"/>
      <name val="Calibri"/>
      <family val="2"/>
      <scheme val="minor"/>
    </font>
    <font>
      <sz val="8"/>
      <name val="Calibri"/>
      <family val="2"/>
      <scheme val="minor"/>
    </font>
    <font>
      <sz val="10"/>
      <color rgb="FFFF0000"/>
      <name val="Arial"/>
      <family val="2"/>
    </font>
    <font>
      <sz val="11"/>
      <color theme="1"/>
      <name val="Calibri"/>
      <family val="2"/>
      <scheme val="minor"/>
    </font>
    <font>
      <sz val="11"/>
      <color rgb="FFFF0000"/>
      <name val="Calibri"/>
      <family val="2"/>
      <scheme val="minor"/>
    </font>
    <font>
      <sz val="11"/>
      <color rgb="FF0E0E0E"/>
      <name val="Roboto"/>
    </font>
    <font>
      <sz val="11"/>
      <color theme="0"/>
      <name val="Calibri"/>
      <family val="2"/>
      <scheme val="minor"/>
    </font>
    <font>
      <sz val="11"/>
      <name val="Calibri"/>
      <family val="2"/>
      <scheme val="minor"/>
    </font>
    <font>
      <b/>
      <sz val="11"/>
      <color rgb="FFFF0000"/>
      <name val="Calibri"/>
      <family val="2"/>
      <scheme val="minor"/>
    </font>
    <font>
      <b/>
      <sz val="11"/>
      <color indexed="2"/>
      <name val="Calibri"/>
      <family val="2"/>
      <scheme val="minor"/>
    </font>
    <font>
      <sz val="8"/>
      <name val="Calibri"/>
      <scheme val="minor"/>
    </font>
  </fonts>
  <fills count="18">
    <fill>
      <patternFill patternType="none"/>
    </fill>
    <fill>
      <patternFill patternType="gray125"/>
    </fill>
    <fill>
      <patternFill patternType="solid">
        <fgColor theme="0" tint="-0.14999847407452621"/>
        <bgColor theme="0" tint="-0.14999847407452621"/>
      </patternFill>
    </fill>
    <fill>
      <patternFill patternType="solid">
        <fgColor rgb="FF00B0F0"/>
        <bgColor rgb="FF00B0F0"/>
      </patternFill>
    </fill>
    <fill>
      <patternFill patternType="solid">
        <fgColor indexed="47"/>
        <bgColor indexed="22"/>
      </patternFill>
    </fill>
    <fill>
      <patternFill patternType="solid">
        <fgColor indexed="51"/>
        <bgColor indexed="51"/>
      </patternFill>
    </fill>
    <fill>
      <patternFill patternType="solid">
        <fgColor indexed="47"/>
        <bgColor indexed="47"/>
      </patternFill>
    </fill>
    <fill>
      <patternFill patternType="solid">
        <fgColor indexed="4"/>
        <bgColor indexed="4"/>
      </patternFill>
    </fill>
    <fill>
      <patternFill patternType="solid">
        <fgColor indexed="12"/>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00B050"/>
        <bgColor rgb="FF00B0F0"/>
      </patternFill>
    </fill>
    <fill>
      <patternFill patternType="solid">
        <fgColor theme="1"/>
        <bgColor indexed="64"/>
      </patternFill>
    </fill>
    <fill>
      <patternFill patternType="solid">
        <fgColor theme="9" tint="0.59999389629810485"/>
        <bgColor indexed="64"/>
      </patternFill>
    </fill>
    <fill>
      <patternFill patternType="solid">
        <fgColor theme="9" tint="0.39997558519241921"/>
        <bgColor indexed="64"/>
      </patternFill>
    </fill>
  </fills>
  <borders count="51">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diagonal/>
    </border>
    <border>
      <left/>
      <right/>
      <top/>
      <bottom style="thin">
        <color auto="1"/>
      </bottom>
      <diagonal/>
    </border>
    <border>
      <left style="medium">
        <color auto="1"/>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59"/>
      </left>
      <right style="thin">
        <color indexed="59"/>
      </right>
      <top/>
      <bottom style="thin">
        <color indexed="59"/>
      </bottom>
      <diagonal/>
    </border>
    <border>
      <left style="thin">
        <color auto="1"/>
      </left>
      <right style="thin">
        <color auto="1"/>
      </right>
      <top/>
      <bottom style="thin">
        <color auto="1"/>
      </bottom>
      <diagonal/>
    </border>
    <border>
      <left/>
      <right style="thin">
        <color indexed="59"/>
      </right>
      <top/>
      <bottom style="thin">
        <color indexed="59"/>
      </bottom>
      <diagonal/>
    </border>
    <border>
      <left style="thin">
        <color indexed="64"/>
      </left>
      <right style="thin">
        <color indexed="64"/>
      </right>
      <top/>
      <bottom/>
      <diagonal/>
    </border>
    <border>
      <left style="thin">
        <color auto="1"/>
      </left>
      <right style="medium">
        <color auto="1"/>
      </right>
      <top/>
      <bottom/>
      <diagonal/>
    </border>
    <border>
      <left/>
      <right style="thin">
        <color auto="1"/>
      </right>
      <top style="medium">
        <color auto="1"/>
      </top>
      <bottom/>
      <diagonal/>
    </border>
    <border>
      <left/>
      <right style="thin">
        <color auto="1"/>
      </right>
      <top/>
      <bottom/>
      <diagonal/>
    </border>
    <border>
      <left/>
      <right style="thin">
        <color auto="1"/>
      </right>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right style="thin">
        <color auto="1"/>
      </right>
      <top style="thin">
        <color auto="1"/>
      </top>
      <bottom/>
      <diagonal/>
    </border>
    <border>
      <left style="thin">
        <color indexed="59"/>
      </left>
      <right style="thin">
        <color indexed="59"/>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59"/>
      </left>
      <right/>
      <top/>
      <bottom style="thin">
        <color indexed="59"/>
      </bottom>
      <diagonal/>
    </border>
    <border>
      <left style="thin">
        <color indexed="64"/>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indexed="59"/>
      </left>
      <right style="thin">
        <color indexed="59"/>
      </right>
      <top style="thin">
        <color indexed="64"/>
      </top>
      <bottom style="thin">
        <color indexed="5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6">
    <xf numFmtId="0" fontId="0" fillId="0" borderId="0"/>
    <xf numFmtId="164" fontId="28" fillId="0" borderId="0" applyFont="0" applyFill="0" applyBorder="0"/>
    <xf numFmtId="0" fontId="5" fillId="0" borderId="0"/>
    <xf numFmtId="0" fontId="6" fillId="0" borderId="0"/>
    <xf numFmtId="0" fontId="5" fillId="0" borderId="0"/>
    <xf numFmtId="0" fontId="5" fillId="0" borderId="0"/>
    <xf numFmtId="0" fontId="7" fillId="0" borderId="0" applyNumberFormat="0" applyFill="0" applyBorder="0"/>
    <xf numFmtId="0" fontId="4" fillId="0" borderId="0"/>
    <xf numFmtId="164" fontId="4" fillId="0" borderId="0" applyFont="0" applyFill="0" applyBorder="0"/>
    <xf numFmtId="9" fontId="4" fillId="0" borderId="0" applyFont="0" applyFill="0" applyBorder="0" applyAlignment="0" applyProtection="0"/>
    <xf numFmtId="9" fontId="37" fillId="0" borderId="0" applyFont="0" applyFill="0" applyBorder="0" applyAlignment="0" applyProtection="0"/>
    <xf numFmtId="0" fontId="3" fillId="0" borderId="0"/>
    <xf numFmtId="9" fontId="3" fillId="0" borderId="0" applyFont="0" applyFill="0" applyBorder="0" applyAlignment="0" applyProtection="0"/>
    <xf numFmtId="0" fontId="2" fillId="0" borderId="0"/>
    <xf numFmtId="0" fontId="1" fillId="0" borderId="0"/>
    <xf numFmtId="9" fontId="1" fillId="0" borderId="0" applyFont="0" applyFill="0" applyBorder="0" applyAlignment="0" applyProtection="0"/>
  </cellStyleXfs>
  <cellXfs count="365">
    <xf numFmtId="0" fontId="0" fillId="0" borderId="0" xfId="0"/>
    <xf numFmtId="0" fontId="9" fillId="0" borderId="0" xfId="0" applyFont="1"/>
    <xf numFmtId="0" fontId="9" fillId="0" borderId="6" xfId="0" applyFont="1" applyBorder="1"/>
    <xf numFmtId="0" fontId="9" fillId="0" borderId="10" xfId="0" applyFont="1" applyBorder="1"/>
    <xf numFmtId="0" fontId="11" fillId="0" borderId="0" xfId="0" applyFont="1"/>
    <xf numFmtId="0" fontId="11" fillId="0" borderId="0" xfId="0" applyFont="1" applyAlignment="1">
      <alignment vertical="center" wrapText="1"/>
    </xf>
    <xf numFmtId="0" fontId="11" fillId="0" borderId="0" xfId="0" applyFont="1" applyAlignment="1">
      <alignment vertical="center"/>
    </xf>
    <xf numFmtId="49" fontId="11" fillId="0" borderId="0" xfId="0" applyNumberFormat="1" applyFont="1" applyAlignment="1">
      <alignment horizontal="center" vertical="center"/>
    </xf>
    <xf numFmtId="165" fontId="11" fillId="0" borderId="0" xfId="0" applyNumberFormat="1" applyFont="1" applyAlignment="1">
      <alignment horizontal="right" vertical="center"/>
    </xf>
    <xf numFmtId="0" fontId="11" fillId="0" borderId="0" xfId="0" applyFont="1" applyAlignment="1">
      <alignment horizontal="center" vertical="top"/>
    </xf>
    <xf numFmtId="0" fontId="11" fillId="0" borderId="0" xfId="0" applyFont="1" applyAlignment="1">
      <alignment horizontal="center" vertical="center"/>
    </xf>
    <xf numFmtId="0" fontId="15" fillId="4" borderId="14" xfId="5" applyFont="1" applyFill="1" applyBorder="1" applyAlignment="1">
      <alignment horizontal="center" vertical="center" wrapText="1"/>
    </xf>
    <xf numFmtId="0" fontId="15" fillId="4" borderId="15" xfId="5" applyFont="1" applyFill="1" applyBorder="1" applyAlignment="1">
      <alignment horizontal="center" vertical="center" wrapText="1"/>
    </xf>
    <xf numFmtId="49" fontId="15" fillId="4" borderId="15" xfId="5" applyNumberFormat="1" applyFont="1" applyFill="1" applyBorder="1" applyAlignment="1">
      <alignment horizontal="center" vertical="center" wrapText="1"/>
    </xf>
    <xf numFmtId="0" fontId="11" fillId="0" borderId="0" xfId="0" applyFont="1" applyAlignment="1">
      <alignment vertical="top"/>
    </xf>
    <xf numFmtId="165" fontId="11" fillId="0" borderId="0" xfId="0" applyNumberFormat="1" applyFont="1"/>
    <xf numFmtId="0" fontId="20" fillId="0" borderId="0" xfId="0" applyFont="1" applyAlignment="1">
      <alignment horizontal="left" vertical="center" wrapText="1"/>
    </xf>
    <xf numFmtId="0" fontId="20" fillId="0" borderId="0" xfId="0" applyFont="1" applyAlignment="1">
      <alignment vertical="center"/>
    </xf>
    <xf numFmtId="49" fontId="11" fillId="0" borderId="16" xfId="0" applyNumberFormat="1" applyFont="1" applyBorder="1" applyAlignment="1">
      <alignment horizontal="center" vertical="center"/>
    </xf>
    <xf numFmtId="0" fontId="20" fillId="0" borderId="0" xfId="0" applyFont="1" applyAlignment="1">
      <alignment horizontal="left" vertical="center"/>
    </xf>
    <xf numFmtId="49" fontId="20" fillId="0" borderId="0" xfId="0" applyNumberFormat="1" applyFont="1" applyAlignment="1">
      <alignment horizontal="center" vertical="center"/>
    </xf>
    <xf numFmtId="0" fontId="20" fillId="0" borderId="0" xfId="0" applyFont="1" applyAlignment="1">
      <alignment vertical="center" wrapText="1"/>
    </xf>
    <xf numFmtId="0" fontId="9" fillId="0" borderId="0" xfId="0" applyFont="1" applyAlignment="1">
      <alignment vertical="center"/>
    </xf>
    <xf numFmtId="0" fontId="20" fillId="0" borderId="0" xfId="0" applyFont="1" applyAlignment="1">
      <alignment horizontal="left"/>
    </xf>
    <xf numFmtId="0" fontId="9" fillId="0" borderId="0" xfId="0" applyFont="1" applyAlignment="1">
      <alignment wrapText="1"/>
    </xf>
    <xf numFmtId="0" fontId="11" fillId="0" borderId="0" xfId="0" applyFont="1" applyAlignment="1">
      <alignment horizontal="left" vertical="center"/>
    </xf>
    <xf numFmtId="0" fontId="0" fillId="0" borderId="0" xfId="0" applyAlignment="1">
      <alignment vertical="center"/>
    </xf>
    <xf numFmtId="0" fontId="15" fillId="0" borderId="0" xfId="0" applyFont="1" applyAlignment="1">
      <alignment vertical="center"/>
    </xf>
    <xf numFmtId="49" fontId="9" fillId="0" borderId="0" xfId="0" applyNumberFormat="1" applyFont="1" applyAlignment="1">
      <alignment horizontal="center" vertical="center"/>
    </xf>
    <xf numFmtId="165" fontId="9" fillId="0" borderId="0" xfId="0" applyNumberFormat="1" applyFont="1" applyAlignment="1">
      <alignment horizontal="right" vertical="center"/>
    </xf>
    <xf numFmtId="0" fontId="20" fillId="0" borderId="0" xfId="0" applyFont="1"/>
    <xf numFmtId="49" fontId="11" fillId="0" borderId="0" xfId="0" applyNumberFormat="1" applyFont="1"/>
    <xf numFmtId="49" fontId="20" fillId="0" borderId="17" xfId="0" applyNumberFormat="1" applyFont="1" applyBorder="1" applyAlignment="1">
      <alignment horizontal="center"/>
    </xf>
    <xf numFmtId="0" fontId="0" fillId="0" borderId="0" xfId="0" applyAlignment="1">
      <alignment wrapText="1"/>
    </xf>
    <xf numFmtId="0" fontId="23" fillId="0" borderId="0" xfId="4" applyFont="1" applyAlignment="1">
      <alignment vertical="center" wrapText="1"/>
    </xf>
    <xf numFmtId="0" fontId="15" fillId="0" borderId="0" xfId="0" applyFont="1" applyAlignment="1">
      <alignment vertical="center" wrapText="1"/>
    </xf>
    <xf numFmtId="0" fontId="9" fillId="0" borderId="0" xfId="0" applyFont="1" applyAlignment="1">
      <alignment vertical="center" wrapText="1"/>
    </xf>
    <xf numFmtId="167" fontId="9" fillId="0" borderId="0" xfId="0" applyNumberFormat="1" applyFont="1" applyAlignment="1">
      <alignment horizontal="right" vertical="center"/>
    </xf>
    <xf numFmtId="0" fontId="15" fillId="0" borderId="0" xfId="0" applyFont="1" applyAlignment="1">
      <alignment horizontal="left" vertical="center"/>
    </xf>
    <xf numFmtId="0" fontId="9" fillId="0" borderId="0" xfId="4" applyFont="1" applyAlignment="1">
      <alignment vertical="center"/>
    </xf>
    <xf numFmtId="49" fontId="9" fillId="0" borderId="0" xfId="4" applyNumberFormat="1" applyFont="1" applyAlignment="1">
      <alignment horizontal="center" vertical="center"/>
    </xf>
    <xf numFmtId="0" fontId="26" fillId="7" borderId="0" xfId="4" applyFont="1" applyFill="1" applyAlignment="1">
      <alignment vertical="center" wrapText="1"/>
    </xf>
    <xf numFmtId="0" fontId="26" fillId="7" borderId="0" xfId="4" applyFont="1" applyFill="1" applyAlignment="1">
      <alignment vertical="center"/>
    </xf>
    <xf numFmtId="49" fontId="26" fillId="7" borderId="0" xfId="4" applyNumberFormat="1" applyFont="1" applyFill="1" applyAlignment="1">
      <alignment horizontal="center" vertical="center"/>
    </xf>
    <xf numFmtId="167" fontId="26" fillId="7" borderId="0" xfId="4" applyNumberFormat="1" applyFont="1" applyFill="1" applyAlignment="1">
      <alignment horizontal="right" vertical="center"/>
    </xf>
    <xf numFmtId="0" fontId="0" fillId="0" borderId="19" xfId="0" applyBorder="1"/>
    <xf numFmtId="0" fontId="15" fillId="0" borderId="20" xfId="0" applyFont="1" applyBorder="1" applyAlignment="1">
      <alignment vertical="center"/>
    </xf>
    <xf numFmtId="0" fontId="26" fillId="7" borderId="20" xfId="4" applyFont="1" applyFill="1" applyBorder="1" applyAlignment="1">
      <alignment vertical="center" wrapText="1"/>
    </xf>
    <xf numFmtId="0" fontId="26" fillId="7" borderId="19" xfId="4" applyFont="1" applyFill="1" applyBorder="1" applyAlignment="1">
      <alignment vertical="center"/>
    </xf>
    <xf numFmtId="49" fontId="26" fillId="7" borderId="19" xfId="4" applyNumberFormat="1" applyFont="1" applyFill="1" applyBorder="1" applyAlignment="1">
      <alignment horizontal="center" vertical="center"/>
    </xf>
    <xf numFmtId="167" fontId="26" fillId="7" borderId="21" xfId="4" applyNumberFormat="1" applyFont="1" applyFill="1" applyBorder="1" applyAlignment="1">
      <alignment horizontal="right" vertical="center"/>
    </xf>
    <xf numFmtId="165" fontId="0" fillId="0" borderId="0" xfId="0" applyNumberFormat="1"/>
    <xf numFmtId="0" fontId="15" fillId="0" borderId="0" xfId="0" applyFont="1" applyAlignment="1">
      <alignment horizontal="center" vertical="center"/>
    </xf>
    <xf numFmtId="49" fontId="15" fillId="0" borderId="0" xfId="1" applyNumberFormat="1" applyFont="1" applyAlignment="1">
      <alignment horizontal="center" vertical="center"/>
    </xf>
    <xf numFmtId="165" fontId="20" fillId="0" borderId="0" xfId="0" applyNumberFormat="1" applyFont="1" applyAlignment="1">
      <alignment horizontal="right" vertical="center"/>
    </xf>
    <xf numFmtId="49" fontId="11" fillId="0" borderId="17" xfId="0" applyNumberFormat="1" applyFont="1" applyBorder="1" applyAlignment="1">
      <alignment horizontal="center" vertical="center"/>
    </xf>
    <xf numFmtId="49" fontId="11" fillId="0" borderId="5" xfId="0" applyNumberFormat="1" applyFont="1" applyBorder="1" applyAlignment="1">
      <alignment horizontal="center" vertical="center"/>
    </xf>
    <xf numFmtId="0" fontId="11" fillId="0" borderId="5" xfId="0" applyFont="1" applyBorder="1" applyAlignment="1">
      <alignment horizontal="center"/>
    </xf>
    <xf numFmtId="0" fontId="15" fillId="0" borderId="17" xfId="0" applyFont="1" applyBorder="1" applyAlignment="1">
      <alignment vertical="center" wrapText="1"/>
    </xf>
    <xf numFmtId="0" fontId="20" fillId="0" borderId="17" xfId="0" applyFont="1" applyBorder="1" applyAlignment="1">
      <alignment vertical="center"/>
    </xf>
    <xf numFmtId="0" fontId="9" fillId="0" borderId="3" xfId="0" applyFont="1" applyBorder="1"/>
    <xf numFmtId="167" fontId="11" fillId="0" borderId="0" xfId="0" applyNumberFormat="1" applyFont="1" applyAlignment="1">
      <alignment horizontal="center" vertical="center"/>
    </xf>
    <xf numFmtId="0" fontId="32" fillId="0" borderId="0" xfId="0" applyFont="1" applyAlignment="1">
      <alignment horizontal="left" vertical="center" wrapText="1"/>
    </xf>
    <xf numFmtId="0" fontId="32" fillId="0" borderId="0" xfId="0" applyFont="1" applyAlignment="1">
      <alignment vertical="center"/>
    </xf>
    <xf numFmtId="49" fontId="11" fillId="0" borderId="0" xfId="6" applyNumberFormat="1" applyFont="1" applyFill="1" applyAlignment="1">
      <alignment horizontal="center" vertical="center"/>
    </xf>
    <xf numFmtId="0" fontId="31" fillId="8" borderId="16" xfId="0" applyFont="1" applyFill="1" applyBorder="1" applyAlignment="1">
      <alignment vertical="center"/>
    </xf>
    <xf numFmtId="49" fontId="11" fillId="8" borderId="5" xfId="0" applyNumberFormat="1" applyFont="1" applyFill="1" applyBorder="1" applyAlignment="1">
      <alignment horizontal="center" vertical="center"/>
    </xf>
    <xf numFmtId="167" fontId="11" fillId="8" borderId="5" xfId="0" applyNumberFormat="1" applyFont="1" applyFill="1" applyBorder="1" applyAlignment="1">
      <alignment horizontal="center" vertical="center"/>
    </xf>
    <xf numFmtId="0" fontId="32" fillId="0" borderId="0" xfId="0" applyFont="1" applyAlignment="1">
      <alignment vertical="center" wrapText="1"/>
    </xf>
    <xf numFmtId="167" fontId="11" fillId="0" borderId="0" xfId="5" applyNumberFormat="1" applyFont="1" applyAlignment="1">
      <alignment vertical="center"/>
    </xf>
    <xf numFmtId="0" fontId="11" fillId="0" borderId="0" xfId="5" applyFont="1" applyAlignment="1">
      <alignment vertical="center"/>
    </xf>
    <xf numFmtId="167" fontId="11" fillId="0" borderId="0" xfId="5" applyNumberFormat="1" applyFont="1" applyAlignment="1">
      <alignment horizontal="center" vertical="center"/>
    </xf>
    <xf numFmtId="165" fontId="11" fillId="0" borderId="0" xfId="5" applyNumberFormat="1" applyFont="1" applyAlignment="1">
      <alignment horizontal="right" vertical="top"/>
    </xf>
    <xf numFmtId="49" fontId="9" fillId="0" borderId="0" xfId="5" applyNumberFormat="1" applyFont="1" applyAlignment="1">
      <alignment horizontal="center" vertical="center"/>
    </xf>
    <xf numFmtId="0" fontId="31" fillId="8" borderId="0" xfId="0" applyFont="1" applyFill="1" applyAlignment="1">
      <alignment vertical="center" wrapText="1"/>
    </xf>
    <xf numFmtId="0" fontId="31" fillId="8" borderId="0" xfId="0" applyFont="1" applyFill="1" applyAlignment="1">
      <alignment vertical="center"/>
    </xf>
    <xf numFmtId="49" fontId="31" fillId="8" borderId="0" xfId="0" applyNumberFormat="1" applyFont="1" applyFill="1" applyAlignment="1">
      <alignment horizontal="center" vertical="center"/>
    </xf>
    <xf numFmtId="167" fontId="31" fillId="8" borderId="0" xfId="0" applyNumberFormat="1" applyFont="1" applyFill="1" applyAlignment="1">
      <alignment vertical="center"/>
    </xf>
    <xf numFmtId="167" fontId="11" fillId="0" borderId="0" xfId="0" applyNumberFormat="1" applyFont="1" applyAlignment="1">
      <alignment vertical="center"/>
    </xf>
    <xf numFmtId="0" fontId="32" fillId="0" borderId="0" xfId="0" applyFont="1" applyAlignment="1">
      <alignment horizontal="left"/>
    </xf>
    <xf numFmtId="0" fontId="5" fillId="0" borderId="0" xfId="5"/>
    <xf numFmtId="0" fontId="31" fillId="8" borderId="18" xfId="0" applyFont="1" applyFill="1" applyBorder="1" applyAlignment="1">
      <alignment vertical="center" wrapText="1"/>
    </xf>
    <xf numFmtId="167" fontId="11" fillId="0" borderId="0" xfId="0" applyNumberFormat="1" applyFont="1" applyAlignment="1">
      <alignment horizontal="right" vertical="center"/>
    </xf>
    <xf numFmtId="0" fontId="31" fillId="8" borderId="0" xfId="0" applyFont="1" applyFill="1"/>
    <xf numFmtId="49" fontId="31" fillId="8" borderId="0" xfId="0" applyNumberFormat="1" applyFont="1" applyFill="1"/>
    <xf numFmtId="167" fontId="31" fillId="8" borderId="0" xfId="0" applyNumberFormat="1" applyFont="1" applyFill="1"/>
    <xf numFmtId="0" fontId="32" fillId="0" borderId="0" xfId="0" applyFont="1"/>
    <xf numFmtId="0" fontId="31" fillId="8" borderId="18" xfId="0" applyFont="1" applyFill="1" applyBorder="1"/>
    <xf numFmtId="0" fontId="31" fillId="8" borderId="16" xfId="0" applyFont="1" applyFill="1" applyBorder="1"/>
    <xf numFmtId="0" fontId="9" fillId="0" borderId="3" xfId="0" applyFont="1" applyBorder="1" applyAlignment="1">
      <alignment wrapText="1"/>
    </xf>
    <xf numFmtId="0" fontId="9" fillId="0" borderId="28" xfId="0" applyFont="1" applyBorder="1"/>
    <xf numFmtId="0" fontId="17" fillId="0" borderId="23" xfId="0" applyFont="1" applyBorder="1" applyAlignment="1">
      <alignment vertical="top" wrapText="1"/>
    </xf>
    <xf numFmtId="0" fontId="33" fillId="0" borderId="0" xfId="0" applyFont="1" applyAlignment="1">
      <alignment horizontal="left" vertical="center" wrapText="1"/>
    </xf>
    <xf numFmtId="0" fontId="33" fillId="0" borderId="0" xfId="0" applyFont="1" applyAlignment="1">
      <alignment vertical="center"/>
    </xf>
    <xf numFmtId="0" fontId="11" fillId="0" borderId="0" xfId="0" applyFont="1" applyAlignment="1">
      <alignment horizontal="center" vertical="center" wrapText="1"/>
    </xf>
    <xf numFmtId="0" fontId="16" fillId="0" borderId="0" xfId="0" applyFont="1" applyAlignment="1">
      <alignment vertical="center"/>
    </xf>
    <xf numFmtId="167" fontId="11" fillId="0" borderId="0" xfId="0" applyNumberFormat="1" applyFont="1"/>
    <xf numFmtId="0" fontId="32" fillId="0" borderId="0" xfId="0" applyFont="1" applyAlignment="1">
      <alignment horizontal="left" wrapText="1"/>
    </xf>
    <xf numFmtId="0" fontId="33" fillId="0" borderId="0" xfId="0" applyFont="1" applyAlignment="1">
      <alignment horizontal="left"/>
    </xf>
    <xf numFmtId="0" fontId="32" fillId="0" borderId="0" xfId="0" applyFont="1" applyAlignment="1">
      <alignment vertical="top" wrapText="1"/>
    </xf>
    <xf numFmtId="166" fontId="11" fillId="0" borderId="0" xfId="0" applyNumberFormat="1" applyFont="1" applyAlignment="1">
      <alignment horizontal="center" vertical="center"/>
    </xf>
    <xf numFmtId="0" fontId="16" fillId="0" borderId="0" xfId="0" applyFont="1"/>
    <xf numFmtId="167" fontId="11" fillId="0" borderId="0" xfId="5" applyNumberFormat="1" applyFont="1" applyAlignment="1">
      <alignment vertical="top"/>
    </xf>
    <xf numFmtId="0" fontId="17" fillId="0" borderId="24" xfId="5" applyFont="1" applyBorder="1" applyAlignment="1">
      <alignment horizontal="center" vertical="top" wrapText="1"/>
    </xf>
    <xf numFmtId="49" fontId="17" fillId="0" borderId="24" xfId="5" applyNumberFormat="1" applyFont="1" applyBorder="1" applyAlignment="1">
      <alignment horizontal="center" vertical="top"/>
    </xf>
    <xf numFmtId="0" fontId="11" fillId="0" borderId="0" xfId="0" applyFont="1" applyAlignment="1">
      <alignment horizontal="center"/>
    </xf>
    <xf numFmtId="0" fontId="11" fillId="0" borderId="0" xfId="5" applyFont="1"/>
    <xf numFmtId="0" fontId="9" fillId="0" borderId="0" xfId="5" applyFont="1" applyAlignment="1">
      <alignment vertical="center"/>
    </xf>
    <xf numFmtId="49" fontId="11" fillId="0" borderId="5" xfId="0" applyNumberFormat="1" applyFont="1" applyBorder="1" applyAlignment="1">
      <alignment horizontal="center" vertical="center" wrapText="1"/>
    </xf>
    <xf numFmtId="0" fontId="20" fillId="0" borderId="0" xfId="0" applyFont="1" applyAlignment="1">
      <alignment horizontal="center"/>
    </xf>
    <xf numFmtId="0" fontId="11" fillId="0" borderId="10" xfId="0" applyFont="1" applyBorder="1"/>
    <xf numFmtId="0" fontId="21" fillId="0" borderId="0" xfId="0" applyFont="1" applyAlignment="1">
      <alignment vertical="center" wrapText="1"/>
    </xf>
    <xf numFmtId="49" fontId="31" fillId="8" borderId="0" xfId="0" applyNumberFormat="1" applyFont="1" applyFill="1" applyAlignment="1">
      <alignment horizontal="center"/>
    </xf>
    <xf numFmtId="168" fontId="11" fillId="0" borderId="0" xfId="0" applyNumberFormat="1" applyFont="1"/>
    <xf numFmtId="1" fontId="11" fillId="0" borderId="0" xfId="0" applyNumberFormat="1" applyFont="1"/>
    <xf numFmtId="0" fontId="8" fillId="0" borderId="14" xfId="0" applyFont="1" applyBorder="1" applyAlignment="1">
      <alignment horizontal="center" vertical="center" wrapText="1"/>
    </xf>
    <xf numFmtId="0" fontId="8" fillId="0" borderId="15" xfId="0" applyFont="1" applyBorder="1" applyAlignment="1">
      <alignment horizontal="center" vertical="center"/>
    </xf>
    <xf numFmtId="0" fontId="8" fillId="0" borderId="22" xfId="0" applyFont="1" applyBorder="1" applyAlignment="1">
      <alignment vertical="center"/>
    </xf>
    <xf numFmtId="165" fontId="11" fillId="0" borderId="0" xfId="0" applyNumberFormat="1" applyFont="1" applyAlignment="1">
      <alignment vertical="center"/>
    </xf>
    <xf numFmtId="0" fontId="9" fillId="0" borderId="28" xfId="0" applyFont="1" applyBorder="1" applyAlignment="1">
      <alignment wrapText="1"/>
    </xf>
    <xf numFmtId="0" fontId="9" fillId="0" borderId="35" xfId="0" applyFont="1" applyBorder="1"/>
    <xf numFmtId="0" fontId="33" fillId="0" borderId="0" xfId="0" applyFont="1" applyAlignment="1">
      <alignment horizontal="left" vertical="center"/>
    </xf>
    <xf numFmtId="165" fontId="11" fillId="0" borderId="0" xfId="5" applyNumberFormat="1" applyFont="1" applyAlignment="1">
      <alignment horizontal="right" vertical="center"/>
    </xf>
    <xf numFmtId="165" fontId="19" fillId="7" borderId="0" xfId="0" applyNumberFormat="1" applyFont="1" applyFill="1" applyAlignment="1">
      <alignment horizontal="right"/>
    </xf>
    <xf numFmtId="9" fontId="11" fillId="0" borderId="0" xfId="10" applyFont="1" applyFill="1" applyAlignment="1">
      <alignment horizontal="center" vertical="center"/>
    </xf>
    <xf numFmtId="9" fontId="11" fillId="0" borderId="0" xfId="10" applyFont="1" applyFill="1" applyAlignment="1">
      <alignment horizontal="center"/>
    </xf>
    <xf numFmtId="9" fontId="11" fillId="0" borderId="0" xfId="10" applyFont="1" applyFill="1"/>
    <xf numFmtId="0" fontId="20" fillId="9" borderId="0" xfId="0" applyFont="1" applyFill="1" applyAlignment="1">
      <alignment horizontal="left" vertical="center"/>
    </xf>
    <xf numFmtId="0" fontId="15" fillId="9" borderId="0" xfId="0" applyFont="1" applyFill="1" applyAlignment="1">
      <alignment vertical="center"/>
    </xf>
    <xf numFmtId="0" fontId="11" fillId="0" borderId="28" xfId="0" applyFont="1" applyBorder="1"/>
    <xf numFmtId="165" fontId="14" fillId="5" borderId="13" xfId="0" applyNumberFormat="1" applyFont="1" applyFill="1" applyBorder="1" applyAlignment="1">
      <alignment horizontal="right"/>
    </xf>
    <xf numFmtId="0" fontId="18" fillId="7" borderId="0" xfId="0" applyFont="1" applyFill="1"/>
    <xf numFmtId="49" fontId="18" fillId="7" borderId="0" xfId="0" applyNumberFormat="1" applyFont="1" applyFill="1" applyAlignment="1">
      <alignment horizontal="center"/>
    </xf>
    <xf numFmtId="49" fontId="11" fillId="7" borderId="0" xfId="0" applyNumberFormat="1" applyFont="1" applyFill="1" applyAlignment="1">
      <alignment horizontal="center" vertical="center"/>
    </xf>
    <xf numFmtId="0" fontId="11" fillId="0" borderId="38" xfId="0" applyFont="1" applyBorder="1" applyAlignment="1">
      <alignment vertical="center" wrapText="1"/>
    </xf>
    <xf numFmtId="0" fontId="11" fillId="0" borderId="38" xfId="0" applyFont="1" applyBorder="1" applyAlignment="1">
      <alignment vertical="center"/>
    </xf>
    <xf numFmtId="49" fontId="11" fillId="0" borderId="38" xfId="0" applyNumberFormat="1" applyFont="1" applyBorder="1" applyAlignment="1">
      <alignment horizontal="center" vertical="center"/>
    </xf>
    <xf numFmtId="0" fontId="9" fillId="0" borderId="38" xfId="0" applyFont="1" applyBorder="1" applyAlignment="1">
      <alignment vertical="center"/>
    </xf>
    <xf numFmtId="0" fontId="9" fillId="0" borderId="38" xfId="0" applyFont="1" applyBorder="1"/>
    <xf numFmtId="0" fontId="22" fillId="6" borderId="38" xfId="0" applyFont="1" applyFill="1" applyBorder="1" applyAlignment="1">
      <alignment vertical="center" wrapText="1"/>
    </xf>
    <xf numFmtId="0" fontId="22" fillId="6" borderId="38" xfId="0" applyFont="1" applyFill="1" applyBorder="1" applyAlignment="1">
      <alignment horizontal="center" vertical="center" wrapText="1"/>
    </xf>
    <xf numFmtId="49" fontId="22" fillId="6" borderId="38" xfId="0" applyNumberFormat="1" applyFont="1" applyFill="1" applyBorder="1" applyAlignment="1">
      <alignment horizontal="center" vertical="center" wrapText="1"/>
    </xf>
    <xf numFmtId="0" fontId="11" fillId="2" borderId="38" xfId="0" applyFont="1" applyFill="1" applyBorder="1" applyAlignment="1">
      <alignment vertical="center"/>
    </xf>
    <xf numFmtId="0" fontId="9" fillId="2" borderId="38" xfId="4" applyFont="1" applyFill="1" applyBorder="1" applyAlignment="1">
      <alignment vertical="center"/>
    </xf>
    <xf numFmtId="49" fontId="9" fillId="2" borderId="38" xfId="4" applyNumberFormat="1" applyFont="1" applyFill="1" applyBorder="1" applyAlignment="1">
      <alignment horizontal="center" vertical="center"/>
    </xf>
    <xf numFmtId="165" fontId="14" fillId="5" borderId="21" xfId="0" applyNumberFormat="1" applyFont="1" applyFill="1" applyBorder="1" applyAlignment="1">
      <alignment horizontal="center" vertical="center" wrapText="1"/>
    </xf>
    <xf numFmtId="0" fontId="26" fillId="7" borderId="0" xfId="4" applyFont="1" applyFill="1"/>
    <xf numFmtId="165" fontId="9" fillId="2" borderId="38" xfId="0" applyNumberFormat="1" applyFont="1" applyFill="1" applyBorder="1" applyAlignment="1">
      <alignment horizontal="right" vertical="center"/>
    </xf>
    <xf numFmtId="165" fontId="26" fillId="7" borderId="0" xfId="4" applyNumberFormat="1" applyFont="1" applyFill="1"/>
    <xf numFmtId="0" fontId="11" fillId="2" borderId="38" xfId="0" applyFont="1" applyFill="1" applyBorder="1" applyAlignment="1">
      <alignment horizontal="left" vertical="center"/>
    </xf>
    <xf numFmtId="0" fontId="9" fillId="2" borderId="38" xfId="0" applyFont="1" applyFill="1" applyBorder="1" applyAlignment="1">
      <alignment vertical="center"/>
    </xf>
    <xf numFmtId="0" fontId="9" fillId="0" borderId="38" xfId="4" applyFont="1" applyBorder="1" applyAlignment="1">
      <alignment vertical="center"/>
    </xf>
    <xf numFmtId="49" fontId="9" fillId="0" borderId="38" xfId="4" applyNumberFormat="1" applyFont="1" applyBorder="1" applyAlignment="1">
      <alignment horizontal="center" vertical="center"/>
    </xf>
    <xf numFmtId="167" fontId="9" fillId="0" borderId="38" xfId="0" applyNumberFormat="1" applyFont="1" applyBorder="1" applyAlignment="1">
      <alignment horizontal="right" vertical="center"/>
    </xf>
    <xf numFmtId="0" fontId="33" fillId="0" borderId="0" xfId="0" applyFont="1" applyAlignment="1" applyProtection="1">
      <alignment horizontal="left" vertical="center" wrapText="1"/>
      <protection locked="0"/>
    </xf>
    <xf numFmtId="49" fontId="11" fillId="0" borderId="25" xfId="0" applyNumberFormat="1" applyFont="1" applyBorder="1" applyAlignment="1">
      <alignment horizontal="center" vertical="center"/>
    </xf>
    <xf numFmtId="0" fontId="9" fillId="0" borderId="38" xfId="0" applyFont="1" applyBorder="1" applyAlignment="1">
      <alignment vertical="center" wrapText="1"/>
    </xf>
    <xf numFmtId="49" fontId="32" fillId="0" borderId="0" xfId="0" applyNumberFormat="1" applyFont="1" applyAlignment="1">
      <alignment horizontal="center" vertical="center"/>
    </xf>
    <xf numFmtId="167" fontId="32" fillId="0" borderId="0" xfId="0" applyNumberFormat="1" applyFont="1" applyAlignment="1">
      <alignment horizontal="left" vertical="center"/>
    </xf>
    <xf numFmtId="0" fontId="11" fillId="0" borderId="5" xfId="0" applyFont="1" applyBorder="1" applyAlignment="1">
      <alignment vertical="center" wrapText="1"/>
    </xf>
    <xf numFmtId="0" fontId="11" fillId="0" borderId="5" xfId="0" applyFont="1" applyBorder="1" applyAlignment="1">
      <alignment vertical="center"/>
    </xf>
    <xf numFmtId="0" fontId="9" fillId="0" borderId="0" xfId="0" applyFont="1" applyAlignment="1" applyProtection="1">
      <alignment vertical="center"/>
      <protection locked="0"/>
    </xf>
    <xf numFmtId="0" fontId="11" fillId="0" borderId="0" xfId="0" applyFont="1" applyAlignment="1" applyProtection="1">
      <alignment vertical="center"/>
      <protection locked="0"/>
    </xf>
    <xf numFmtId="0" fontId="33" fillId="0" borderId="38" xfId="0" applyFont="1" applyBorder="1" applyAlignment="1">
      <alignment horizontal="left" vertical="center" wrapText="1"/>
    </xf>
    <xf numFmtId="0" fontId="33" fillId="0" borderId="38" xfId="0" applyFont="1" applyBorder="1" applyAlignment="1">
      <alignment vertical="center"/>
    </xf>
    <xf numFmtId="0" fontId="0" fillId="0" borderId="0" xfId="0" applyAlignment="1">
      <alignment vertical="center" wrapText="1"/>
    </xf>
    <xf numFmtId="49" fontId="0" fillId="0" borderId="0" xfId="0" applyNumberFormat="1" applyAlignment="1">
      <alignment horizontal="center" vertical="center"/>
    </xf>
    <xf numFmtId="49" fontId="9" fillId="0" borderId="38" xfId="0" applyNumberFormat="1" applyFont="1" applyBorder="1" applyAlignment="1">
      <alignment horizontal="center" vertical="center"/>
    </xf>
    <xf numFmtId="0" fontId="29" fillId="0" borderId="0" xfId="0" applyFont="1" applyAlignment="1">
      <alignment vertical="center"/>
    </xf>
    <xf numFmtId="0" fontId="16" fillId="0" borderId="26" xfId="5" applyFont="1" applyBorder="1" applyAlignment="1">
      <alignment horizontal="center" vertical="top" wrapText="1"/>
    </xf>
    <xf numFmtId="49" fontId="16" fillId="0" borderId="24" xfId="5" applyNumberFormat="1" applyFont="1" applyBorder="1" applyAlignment="1">
      <alignment horizontal="center" vertical="top"/>
    </xf>
    <xf numFmtId="0" fontId="16" fillId="0" borderId="23" xfId="0" applyFont="1" applyBorder="1" applyAlignment="1">
      <alignment vertical="top" wrapText="1"/>
    </xf>
    <xf numFmtId="49" fontId="16" fillId="0" borderId="26" xfId="5" applyNumberFormat="1" applyFont="1" applyBorder="1" applyAlignment="1">
      <alignment horizontal="center" vertical="top"/>
    </xf>
    <xf numFmtId="0" fontId="11" fillId="0" borderId="16" xfId="0" applyFont="1" applyBorder="1" applyAlignment="1">
      <alignment vertical="center" wrapText="1"/>
    </xf>
    <xf numFmtId="0" fontId="11" fillId="0" borderId="16" xfId="0" applyFont="1" applyBorder="1" applyAlignment="1">
      <alignment vertical="center"/>
    </xf>
    <xf numFmtId="167" fontId="11" fillId="0" borderId="16" xfId="0" applyNumberFormat="1" applyFont="1" applyBorder="1" applyAlignment="1">
      <alignment horizontal="center" vertical="center"/>
    </xf>
    <xf numFmtId="0" fontId="36" fillId="0" borderId="0" xfId="0" applyFont="1" applyAlignment="1">
      <alignment vertical="center"/>
    </xf>
    <xf numFmtId="49" fontId="0" fillId="0" borderId="0" xfId="0" applyNumberFormat="1" applyAlignment="1" applyProtection="1">
      <alignment horizontal="center" vertical="center"/>
      <protection locked="0"/>
    </xf>
    <xf numFmtId="49" fontId="11" fillId="0" borderId="0" xfId="5" applyNumberFormat="1" applyFont="1" applyAlignment="1">
      <alignment horizontal="center" vertical="center"/>
    </xf>
    <xf numFmtId="49" fontId="16" fillId="0" borderId="0" xfId="0" applyNumberFormat="1" applyFont="1" applyAlignment="1">
      <alignment horizontal="center" vertical="center"/>
    </xf>
    <xf numFmtId="0" fontId="32" fillId="0" borderId="0" xfId="0" applyFont="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33" fillId="0" borderId="0" xfId="0" applyFont="1" applyAlignment="1" applyProtection="1">
      <alignment vertical="center"/>
      <protection locked="0"/>
    </xf>
    <xf numFmtId="49" fontId="33" fillId="0" borderId="0" xfId="0" applyNumberFormat="1" applyFont="1" applyAlignment="1" applyProtection="1">
      <alignment horizontal="center" vertical="center"/>
      <protection locked="0"/>
    </xf>
    <xf numFmtId="0" fontId="21" fillId="0" borderId="0" xfId="0" applyFont="1" applyAlignment="1">
      <alignment horizontal="left" vertical="center"/>
    </xf>
    <xf numFmtId="0" fontId="32" fillId="0" borderId="0" xfId="0" applyFont="1" applyAlignment="1">
      <alignment horizontal="left" vertical="center"/>
    </xf>
    <xf numFmtId="0" fontId="16" fillId="0" borderId="25" xfId="0" applyFont="1" applyBorder="1" applyAlignment="1">
      <alignment vertical="center" wrapText="1"/>
    </xf>
    <xf numFmtId="0" fontId="16" fillId="0" borderId="24" xfId="5" applyFont="1" applyBorder="1" applyAlignment="1">
      <alignment horizontal="center" vertical="top" wrapText="1"/>
    </xf>
    <xf numFmtId="0" fontId="11" fillId="0" borderId="23" xfId="0" applyFont="1" applyBorder="1" applyAlignment="1">
      <alignment vertical="top" wrapText="1"/>
    </xf>
    <xf numFmtId="167" fontId="32" fillId="0" borderId="0" xfId="0" applyNumberFormat="1" applyFont="1" applyAlignment="1">
      <alignment horizontal="left"/>
    </xf>
    <xf numFmtId="49" fontId="32" fillId="0" borderId="0" xfId="0" applyNumberFormat="1" applyFont="1" applyAlignment="1">
      <alignment horizontal="left"/>
    </xf>
    <xf numFmtId="0" fontId="33" fillId="0" borderId="0" xfId="0" applyFont="1" applyAlignment="1" applyProtection="1">
      <alignment horizontal="left"/>
      <protection locked="0"/>
    </xf>
    <xf numFmtId="0" fontId="33" fillId="0" borderId="0" xfId="0" applyFont="1" applyProtection="1">
      <protection locked="0"/>
    </xf>
    <xf numFmtId="49" fontId="33" fillId="0" borderId="0" xfId="0" applyNumberFormat="1" applyFont="1" applyAlignment="1" applyProtection="1">
      <alignment horizontal="left"/>
      <protection locked="0"/>
    </xf>
    <xf numFmtId="0" fontId="11" fillId="0" borderId="0" xfId="0" applyFont="1" applyAlignment="1" applyProtection="1">
      <alignment horizontal="left"/>
      <protection locked="0"/>
    </xf>
    <xf numFmtId="49" fontId="20" fillId="0" borderId="17" xfId="0" applyNumberFormat="1" applyFont="1" applyBorder="1" applyAlignment="1">
      <alignment horizontal="center" vertical="center"/>
    </xf>
    <xf numFmtId="0" fontId="11" fillId="0" borderId="19" xfId="0" applyFont="1" applyBorder="1" applyAlignment="1">
      <alignment vertical="center"/>
    </xf>
    <xf numFmtId="49" fontId="11" fillId="0" borderId="19" xfId="0" applyNumberFormat="1" applyFont="1" applyBorder="1" applyAlignment="1">
      <alignment horizontal="center" vertical="center"/>
    </xf>
    <xf numFmtId="0" fontId="32" fillId="0" borderId="0" xfId="0" applyFont="1" applyAlignment="1">
      <alignment horizontal="center"/>
    </xf>
    <xf numFmtId="167" fontId="32" fillId="0" borderId="0" xfId="0" applyNumberFormat="1" applyFont="1"/>
    <xf numFmtId="0" fontId="11" fillId="0" borderId="5" xfId="0" applyFont="1" applyBorder="1"/>
    <xf numFmtId="0" fontId="32" fillId="0" borderId="16" xfId="0" applyFont="1" applyBorder="1" applyAlignment="1">
      <alignment vertical="center"/>
    </xf>
    <xf numFmtId="0" fontId="11" fillId="0" borderId="36" xfId="0" applyFont="1" applyBorder="1"/>
    <xf numFmtId="0" fontId="20" fillId="9" borderId="0" xfId="0" applyFont="1" applyFill="1" applyAlignment="1">
      <alignment vertical="center"/>
    </xf>
    <xf numFmtId="0" fontId="11" fillId="0" borderId="38" xfId="4" applyFont="1" applyBorder="1" applyAlignment="1">
      <alignment vertical="center"/>
    </xf>
    <xf numFmtId="0" fontId="21" fillId="0" borderId="38" xfId="0" applyFont="1" applyBorder="1" applyAlignment="1">
      <alignment vertical="center" wrapText="1"/>
    </xf>
    <xf numFmtId="0" fontId="39" fillId="0" borderId="0" xfId="0" applyFont="1" applyAlignment="1">
      <alignment vertical="center"/>
    </xf>
    <xf numFmtId="49" fontId="16" fillId="0" borderId="39" xfId="5" applyNumberFormat="1" applyFont="1" applyBorder="1" applyAlignment="1">
      <alignment horizontal="center" vertical="top"/>
    </xf>
    <xf numFmtId="49" fontId="15" fillId="4" borderId="2" xfId="5" applyNumberFormat="1" applyFont="1" applyFill="1" applyBorder="1" applyAlignment="1">
      <alignment horizontal="center" vertical="center" wrapText="1"/>
    </xf>
    <xf numFmtId="167" fontId="11" fillId="0" borderId="0" xfId="5" applyNumberFormat="1" applyFont="1" applyAlignment="1">
      <alignment horizontal="center" vertical="center" wrapText="1"/>
    </xf>
    <xf numFmtId="167" fontId="16" fillId="0" borderId="0" xfId="0" applyNumberFormat="1" applyFont="1" applyAlignment="1">
      <alignment horizontal="left" vertical="center"/>
    </xf>
    <xf numFmtId="167" fontId="33" fillId="0" borderId="0" xfId="0" applyNumberFormat="1" applyFont="1" applyAlignment="1" applyProtection="1">
      <alignment horizontal="left" vertical="center"/>
      <protection locked="0"/>
    </xf>
    <xf numFmtId="167" fontId="33" fillId="0" borderId="0" xfId="0" applyNumberFormat="1" applyFont="1" applyAlignment="1" applyProtection="1">
      <alignment horizontal="left"/>
      <protection locked="0"/>
    </xf>
    <xf numFmtId="49" fontId="32" fillId="0" borderId="0" xfId="0" applyNumberFormat="1" applyFont="1" applyAlignment="1">
      <alignment horizontal="center"/>
    </xf>
    <xf numFmtId="165" fontId="11" fillId="0" borderId="24" xfId="5" applyNumberFormat="1" applyFont="1" applyBorder="1" applyAlignment="1">
      <alignment horizontal="right" vertical="center"/>
    </xf>
    <xf numFmtId="165" fontId="11" fillId="0" borderId="37" xfId="5" applyNumberFormat="1" applyFont="1" applyBorder="1" applyAlignment="1">
      <alignment horizontal="right" vertical="center"/>
    </xf>
    <xf numFmtId="165" fontId="11" fillId="0" borderId="5" xfId="5" applyNumberFormat="1" applyFont="1" applyBorder="1" applyAlignment="1">
      <alignment horizontal="right" vertical="top"/>
    </xf>
    <xf numFmtId="0" fontId="40" fillId="15" borderId="0" xfId="14" applyFont="1" applyFill="1"/>
    <xf numFmtId="0" fontId="1" fillId="0" borderId="0" xfId="14"/>
    <xf numFmtId="0" fontId="1" fillId="12" borderId="0" xfId="14" applyFill="1"/>
    <xf numFmtId="0" fontId="1" fillId="11" borderId="38" xfId="14" applyFill="1" applyBorder="1"/>
    <xf numFmtId="169" fontId="1" fillId="11" borderId="38" xfId="14" applyNumberFormat="1" applyFill="1" applyBorder="1"/>
    <xf numFmtId="0" fontId="1" fillId="13" borderId="38" xfId="14" applyFill="1" applyBorder="1"/>
    <xf numFmtId="169" fontId="1" fillId="13" borderId="38" xfId="14" applyNumberFormat="1" applyFill="1" applyBorder="1"/>
    <xf numFmtId="169" fontId="1" fillId="0" borderId="0" xfId="14" applyNumberFormat="1"/>
    <xf numFmtId="0" fontId="1" fillId="0" borderId="38" xfId="14" applyBorder="1"/>
    <xf numFmtId="171" fontId="1" fillId="0" borderId="38" xfId="14" applyNumberFormat="1" applyBorder="1"/>
    <xf numFmtId="170" fontId="1" fillId="0" borderId="0" xfId="14" applyNumberFormat="1"/>
    <xf numFmtId="9" fontId="0" fillId="0" borderId="0" xfId="15" applyFont="1"/>
    <xf numFmtId="172" fontId="1" fillId="0" borderId="0" xfId="14" applyNumberFormat="1"/>
    <xf numFmtId="169" fontId="1" fillId="11" borderId="38" xfId="14" applyNumberFormat="1" applyFill="1" applyBorder="1" applyAlignment="1">
      <alignment horizontal="center" wrapText="1"/>
    </xf>
    <xf numFmtId="0" fontId="1" fillId="10" borderId="38" xfId="14" applyFill="1" applyBorder="1"/>
    <xf numFmtId="171" fontId="1" fillId="10" borderId="38" xfId="14" applyNumberFormat="1" applyFill="1" applyBorder="1"/>
    <xf numFmtId="0" fontId="41" fillId="0" borderId="38" xfId="14" applyFont="1" applyBorder="1"/>
    <xf numFmtId="171" fontId="41" fillId="0" borderId="38" xfId="14" applyNumberFormat="1" applyFont="1" applyBorder="1"/>
    <xf numFmtId="0" fontId="41" fillId="0" borderId="38" xfId="14" applyFont="1" applyBorder="1" applyAlignment="1">
      <alignment horizontal="right"/>
    </xf>
    <xf numFmtId="171" fontId="38" fillId="0" borderId="38" xfId="14" applyNumberFormat="1" applyFont="1" applyBorder="1"/>
    <xf numFmtId="0" fontId="38" fillId="0" borderId="38" xfId="14" applyFont="1" applyBorder="1"/>
    <xf numFmtId="171" fontId="1" fillId="0" borderId="0" xfId="14" applyNumberFormat="1"/>
    <xf numFmtId="10" fontId="11" fillId="0" borderId="0" xfId="0" applyNumberFormat="1" applyFont="1"/>
    <xf numFmtId="0" fontId="42" fillId="0" borderId="0" xfId="0" applyFont="1"/>
    <xf numFmtId="0" fontId="25" fillId="0" borderId="0" xfId="4" applyFont="1" applyAlignment="1">
      <alignment vertical="center"/>
    </xf>
    <xf numFmtId="0" fontId="25" fillId="0" borderId="38" xfId="4" applyFont="1" applyBorder="1" applyAlignment="1">
      <alignment vertical="center"/>
    </xf>
    <xf numFmtId="0" fontId="16" fillId="0" borderId="23" xfId="5" applyFont="1" applyBorder="1" applyAlignment="1">
      <alignment vertical="top" wrapText="1"/>
    </xf>
    <xf numFmtId="165" fontId="17" fillId="0" borderId="23" xfId="5" applyNumberFormat="1" applyFont="1" applyBorder="1" applyAlignment="1">
      <alignment horizontal="right" vertical="top"/>
    </xf>
    <xf numFmtId="0" fontId="8" fillId="0" borderId="40" xfId="0" applyFont="1" applyBorder="1" applyAlignment="1">
      <alignment horizontal="left" vertical="center"/>
    </xf>
    <xf numFmtId="0" fontId="8" fillId="0" borderId="40" xfId="0" applyFont="1" applyBorder="1" applyAlignment="1">
      <alignment vertical="center"/>
    </xf>
    <xf numFmtId="0" fontId="9" fillId="2" borderId="40" xfId="0" applyFont="1" applyFill="1" applyBorder="1"/>
    <xf numFmtId="0" fontId="9" fillId="0" borderId="40" xfId="0" applyFont="1" applyBorder="1"/>
    <xf numFmtId="165" fontId="10" fillId="3" borderId="40" xfId="0" applyNumberFormat="1" applyFont="1" applyFill="1" applyBorder="1" applyAlignment="1">
      <alignment horizontal="left" vertical="center"/>
    </xf>
    <xf numFmtId="0" fontId="10" fillId="14" borderId="40" xfId="0" applyFont="1" applyFill="1" applyBorder="1" applyAlignment="1">
      <alignment vertical="center"/>
    </xf>
    <xf numFmtId="0" fontId="15" fillId="4" borderId="40" xfId="5" applyFont="1" applyFill="1" applyBorder="1" applyAlignment="1">
      <alignment horizontal="center" vertical="center" wrapText="1"/>
    </xf>
    <xf numFmtId="49" fontId="15" fillId="4" borderId="40" xfId="5" applyNumberFormat="1" applyFont="1" applyFill="1" applyBorder="1" applyAlignment="1">
      <alignment horizontal="center" vertical="center" wrapText="1"/>
    </xf>
    <xf numFmtId="0" fontId="16" fillId="0" borderId="40" xfId="5" applyFont="1" applyBorder="1" applyAlignment="1">
      <alignment vertical="top" wrapText="1"/>
    </xf>
    <xf numFmtId="0" fontId="16" fillId="0" borderId="40" xfId="5" applyFont="1" applyBorder="1" applyAlignment="1">
      <alignment horizontal="center" vertical="top" wrapText="1"/>
    </xf>
    <xf numFmtId="49" fontId="16" fillId="0" borderId="40" xfId="5" applyNumberFormat="1" applyFont="1" applyBorder="1" applyAlignment="1">
      <alignment horizontal="center" vertical="top"/>
    </xf>
    <xf numFmtId="165" fontId="17" fillId="0" borderId="40" xfId="5" applyNumberFormat="1" applyFont="1" applyBorder="1" applyAlignment="1">
      <alignment horizontal="right" vertical="top"/>
    </xf>
    <xf numFmtId="0" fontId="11" fillId="0" borderId="40" xfId="0" applyFont="1" applyBorder="1" applyAlignment="1">
      <alignment vertical="top" wrapText="1"/>
    </xf>
    <xf numFmtId="0" fontId="9" fillId="0" borderId="40" xfId="0" applyFont="1" applyBorder="1" applyAlignment="1">
      <alignment vertical="top" wrapText="1"/>
    </xf>
    <xf numFmtId="0" fontId="17" fillId="0" borderId="40" xfId="5" applyFont="1" applyBorder="1" applyAlignment="1">
      <alignment horizontal="center" vertical="top" wrapText="1"/>
    </xf>
    <xf numFmtId="49" fontId="17" fillId="0" borderId="40" xfId="5" applyNumberFormat="1" applyFont="1" applyBorder="1" applyAlignment="1">
      <alignment horizontal="center" vertical="top"/>
    </xf>
    <xf numFmtId="0" fontId="9" fillId="0" borderId="40" xfId="0" applyFont="1" applyBorder="1" applyAlignment="1">
      <alignment vertical="center" wrapText="1"/>
    </xf>
    <xf numFmtId="0" fontId="9" fillId="0" borderId="40" xfId="0" applyFont="1" applyBorder="1" applyAlignment="1">
      <alignment vertical="center"/>
    </xf>
    <xf numFmtId="49" fontId="9" fillId="0" borderId="40" xfId="0" applyNumberFormat="1" applyFont="1" applyBorder="1" applyAlignment="1">
      <alignment horizontal="center" vertical="center"/>
    </xf>
    <xf numFmtId="165" fontId="9" fillId="0" borderId="40" xfId="5" applyNumberFormat="1" applyFont="1" applyBorder="1" applyAlignment="1">
      <alignment horizontal="right" vertical="top"/>
    </xf>
    <xf numFmtId="0" fontId="9" fillId="0" borderId="40" xfId="0" applyFont="1" applyBorder="1" applyAlignment="1" applyProtection="1">
      <alignment vertical="center"/>
      <protection locked="0"/>
    </xf>
    <xf numFmtId="0" fontId="11" fillId="0" borderId="40" xfId="0" applyFont="1" applyBorder="1" applyAlignment="1">
      <alignment vertical="center" wrapText="1"/>
    </xf>
    <xf numFmtId="0" fontId="11" fillId="0" borderId="40" xfId="0" applyFont="1" applyBorder="1" applyAlignment="1">
      <alignment vertical="center"/>
    </xf>
    <xf numFmtId="49" fontId="11" fillId="0" borderId="40" xfId="0" applyNumberFormat="1" applyFont="1" applyBorder="1" applyAlignment="1">
      <alignment horizontal="center" vertical="center"/>
    </xf>
    <xf numFmtId="0" fontId="33" fillId="0" borderId="40" xfId="0" applyFont="1" applyBorder="1" applyAlignment="1" applyProtection="1">
      <alignment horizontal="left" vertical="center" wrapText="1"/>
      <protection locked="0"/>
    </xf>
    <xf numFmtId="0" fontId="33" fillId="0" borderId="40" xfId="0" applyFont="1" applyBorder="1" applyAlignment="1" applyProtection="1">
      <alignment vertical="center"/>
      <protection locked="0"/>
    </xf>
    <xf numFmtId="0" fontId="33" fillId="0" borderId="40" xfId="0" applyFont="1" applyBorder="1" applyAlignment="1">
      <alignment horizontal="left" vertical="center" wrapText="1"/>
    </xf>
    <xf numFmtId="0" fontId="33" fillId="0" borderId="40" xfId="0" applyFont="1" applyBorder="1" applyAlignment="1">
      <alignment vertical="center"/>
    </xf>
    <xf numFmtId="165" fontId="9" fillId="0" borderId="40" xfId="5" applyNumberFormat="1" applyFont="1" applyBorder="1" applyAlignment="1">
      <alignment horizontal="right" vertical="center"/>
    </xf>
    <xf numFmtId="0" fontId="11" fillId="0" borderId="40" xfId="5" applyFont="1" applyBorder="1" applyAlignment="1">
      <alignment vertical="center"/>
    </xf>
    <xf numFmtId="0" fontId="31" fillId="8" borderId="40" xfId="0" applyFont="1" applyFill="1" applyBorder="1" applyAlignment="1">
      <alignment vertical="center" wrapText="1"/>
    </xf>
    <xf numFmtId="0" fontId="31" fillId="8" borderId="40" xfId="0" applyFont="1" applyFill="1" applyBorder="1" applyAlignment="1">
      <alignment vertical="center"/>
    </xf>
    <xf numFmtId="49" fontId="31" fillId="8" borderId="40" xfId="0" applyNumberFormat="1" applyFont="1" applyFill="1" applyBorder="1" applyAlignment="1">
      <alignment horizontal="center" vertical="center"/>
    </xf>
    <xf numFmtId="167" fontId="31" fillId="8" borderId="40" xfId="0" applyNumberFormat="1" applyFont="1" applyFill="1" applyBorder="1" applyAlignment="1">
      <alignment vertical="center"/>
    </xf>
    <xf numFmtId="0" fontId="11" fillId="0" borderId="40" xfId="0" applyFont="1" applyBorder="1"/>
    <xf numFmtId="0" fontId="33" fillId="0" borderId="40" xfId="0" applyFont="1" applyBorder="1" applyAlignment="1" applyProtection="1">
      <alignment horizontal="left" vertical="center"/>
      <protection locked="0"/>
    </xf>
    <xf numFmtId="0" fontId="33" fillId="0" borderId="40" xfId="0" applyFont="1" applyBorder="1" applyProtection="1">
      <protection locked="0"/>
    </xf>
    <xf numFmtId="165" fontId="11" fillId="0" borderId="40" xfId="5" applyNumberFormat="1" applyFont="1" applyBorder="1" applyAlignment="1">
      <alignment horizontal="right" vertical="top"/>
    </xf>
    <xf numFmtId="49" fontId="11" fillId="0" borderId="40" xfId="0" applyNumberFormat="1" applyFont="1" applyBorder="1" applyAlignment="1">
      <alignment horizontal="center" vertical="center" wrapText="1"/>
    </xf>
    <xf numFmtId="49" fontId="11" fillId="0" borderId="40" xfId="0" applyNumberFormat="1" applyFont="1" applyBorder="1" applyAlignment="1">
      <alignment horizontal="center" vertical="top" wrapText="1"/>
    </xf>
    <xf numFmtId="0" fontId="33" fillId="0" borderId="40" xfId="0" applyFont="1" applyBorder="1" applyAlignment="1" applyProtection="1">
      <alignment horizontal="left"/>
      <protection locked="0"/>
    </xf>
    <xf numFmtId="0" fontId="33" fillId="0" borderId="40" xfId="0" applyFont="1" applyBorder="1" applyAlignment="1">
      <alignment horizontal="left" vertical="center"/>
    </xf>
    <xf numFmtId="0" fontId="11" fillId="0" borderId="40" xfId="0" applyFont="1" applyBorder="1" applyAlignment="1" applyProtection="1">
      <alignment horizontal="left"/>
      <protection locked="0"/>
    </xf>
    <xf numFmtId="0" fontId="11" fillId="0" borderId="40" xfId="0" applyFont="1" applyBorder="1" applyProtection="1">
      <protection locked="0"/>
    </xf>
    <xf numFmtId="0" fontId="11" fillId="0" borderId="40" xfId="0" applyFont="1" applyBorder="1" applyAlignment="1">
      <alignment wrapText="1"/>
    </xf>
    <xf numFmtId="0" fontId="11" fillId="0" borderId="40" xfId="0" applyFont="1" applyBorder="1" applyAlignment="1">
      <alignment vertical="top"/>
    </xf>
    <xf numFmtId="0" fontId="11" fillId="0" borderId="40" xfId="0" applyFont="1" applyBorder="1" applyAlignment="1">
      <alignment horizontal="left" vertical="center"/>
    </xf>
    <xf numFmtId="0" fontId="11" fillId="0" borderId="40" xfId="0" applyFont="1" applyBorder="1" applyAlignment="1">
      <alignment horizontal="center"/>
    </xf>
    <xf numFmtId="0" fontId="21" fillId="0" borderId="40" xfId="0" applyFont="1" applyBorder="1" applyAlignment="1">
      <alignment horizontal="left" vertical="center"/>
    </xf>
    <xf numFmtId="0" fontId="21" fillId="0" borderId="40" xfId="0" applyFont="1" applyBorder="1"/>
    <xf numFmtId="0" fontId="11" fillId="0" borderId="38" xfId="0" applyFont="1" applyBorder="1" applyAlignment="1">
      <alignment horizontal="left"/>
    </xf>
    <xf numFmtId="0" fontId="11" fillId="0" borderId="38" xfId="0" applyFont="1" applyBorder="1" applyAlignment="1" applyProtection="1">
      <alignment horizontal="left" vertical="center"/>
      <protection locked="0"/>
    </xf>
    <xf numFmtId="0" fontId="11" fillId="0" borderId="25" xfId="0" applyFont="1" applyBorder="1" applyAlignment="1">
      <alignment vertical="center" wrapText="1"/>
    </xf>
    <xf numFmtId="0" fontId="1" fillId="0" borderId="0" xfId="0" applyFont="1" applyAlignment="1">
      <alignment wrapText="1"/>
    </xf>
    <xf numFmtId="0" fontId="11" fillId="0" borderId="38" xfId="4" applyFont="1" applyBorder="1" applyAlignment="1">
      <alignment horizontal="left" vertical="top"/>
    </xf>
    <xf numFmtId="167" fontId="9" fillId="2" borderId="38" xfId="0" applyNumberFormat="1" applyFont="1" applyFill="1" applyBorder="1" applyAlignment="1">
      <alignment horizontal="right" vertical="center"/>
    </xf>
    <xf numFmtId="0" fontId="10" fillId="3" borderId="38" xfId="0" applyFont="1" applyFill="1" applyBorder="1" applyAlignment="1">
      <alignment vertical="center"/>
    </xf>
    <xf numFmtId="49" fontId="10" fillId="3" borderId="38" xfId="0" applyNumberFormat="1" applyFont="1" applyFill="1" applyBorder="1" applyAlignment="1">
      <alignment horizontal="center" vertical="center"/>
    </xf>
    <xf numFmtId="165" fontId="10" fillId="3" borderId="38" xfId="0" applyNumberFormat="1" applyFont="1" applyFill="1" applyBorder="1" applyAlignment="1">
      <alignment horizontal="right" vertical="center"/>
    </xf>
    <xf numFmtId="49" fontId="9" fillId="0" borderId="38" xfId="5" applyNumberFormat="1" applyFont="1" applyBorder="1" applyAlignment="1">
      <alignment horizontal="center" vertical="center"/>
    </xf>
    <xf numFmtId="0" fontId="9" fillId="0" borderId="38" xfId="4" applyFont="1" applyBorder="1" applyAlignment="1">
      <alignment vertical="center" wrapText="1"/>
    </xf>
    <xf numFmtId="0" fontId="25" fillId="0" borderId="38" xfId="0" applyFont="1" applyBorder="1" applyAlignment="1">
      <alignment vertical="center"/>
    </xf>
    <xf numFmtId="0" fontId="27" fillId="0" borderId="38" xfId="4" applyFont="1" applyBorder="1" applyAlignment="1">
      <alignment vertical="center"/>
    </xf>
    <xf numFmtId="49" fontId="9" fillId="2" borderId="38" xfId="5" applyNumberFormat="1" applyFont="1" applyFill="1" applyBorder="1" applyAlignment="1">
      <alignment horizontal="center" vertical="center"/>
    </xf>
    <xf numFmtId="165" fontId="11" fillId="9" borderId="38" xfId="0" applyNumberFormat="1" applyFont="1" applyFill="1" applyBorder="1" applyAlignment="1">
      <alignment horizontal="right" vertical="center"/>
    </xf>
    <xf numFmtId="0" fontId="9" fillId="2" borderId="38" xfId="5" applyFont="1" applyFill="1" applyBorder="1" applyAlignment="1">
      <alignment vertical="center"/>
    </xf>
    <xf numFmtId="165" fontId="9" fillId="9" borderId="38" xfId="0" applyNumberFormat="1" applyFont="1" applyFill="1" applyBorder="1" applyAlignment="1">
      <alignment horizontal="right" vertical="center"/>
    </xf>
    <xf numFmtId="167" fontId="9" fillId="9" borderId="38" xfId="0" applyNumberFormat="1" applyFont="1" applyFill="1" applyBorder="1" applyAlignment="1">
      <alignment horizontal="right" vertical="center"/>
    </xf>
    <xf numFmtId="0" fontId="9" fillId="0" borderId="38" xfId="5" applyFont="1" applyBorder="1" applyAlignment="1">
      <alignment vertical="center"/>
    </xf>
    <xf numFmtId="165" fontId="16" fillId="16" borderId="41" xfId="0" applyNumberFormat="1" applyFont="1" applyFill="1" applyBorder="1" applyAlignment="1">
      <alignment horizontal="center" vertical="center" wrapText="1"/>
    </xf>
    <xf numFmtId="165" fontId="16" fillId="16" borderId="42" xfId="0" applyNumberFormat="1" applyFont="1" applyFill="1" applyBorder="1" applyAlignment="1">
      <alignment horizontal="center" vertical="center" wrapText="1"/>
    </xf>
    <xf numFmtId="173" fontId="11" fillId="0" borderId="43" xfId="10" applyNumberFormat="1" applyFont="1" applyBorder="1" applyAlignment="1">
      <alignment horizontal="center" vertical="center" wrapText="1"/>
    </xf>
    <xf numFmtId="173" fontId="11" fillId="0" borderId="40" xfId="10" applyNumberFormat="1" applyFont="1" applyBorder="1" applyAlignment="1">
      <alignment horizontal="center" vertical="center" wrapText="1"/>
    </xf>
    <xf numFmtId="165" fontId="16" fillId="16" borderId="44" xfId="0" applyNumberFormat="1" applyFont="1" applyFill="1" applyBorder="1" applyAlignment="1">
      <alignment horizontal="center" vertical="center" wrapText="1"/>
    </xf>
    <xf numFmtId="173" fontId="11" fillId="0" borderId="45" xfId="10" applyNumberFormat="1" applyFont="1" applyBorder="1" applyAlignment="1">
      <alignment horizontal="center" vertical="center" wrapText="1"/>
    </xf>
    <xf numFmtId="49" fontId="15" fillId="4" borderId="14" xfId="5" applyNumberFormat="1" applyFont="1" applyFill="1" applyBorder="1" applyAlignment="1">
      <alignment horizontal="center" vertical="center" wrapText="1"/>
    </xf>
    <xf numFmtId="49" fontId="15" fillId="4" borderId="22" xfId="5" applyNumberFormat="1" applyFont="1" applyFill="1" applyBorder="1" applyAlignment="1">
      <alignment horizontal="center" vertical="center" wrapText="1"/>
    </xf>
    <xf numFmtId="49" fontId="16" fillId="0" borderId="46" xfId="5" applyNumberFormat="1" applyFont="1" applyBorder="1" applyAlignment="1">
      <alignment horizontal="center" vertical="top"/>
    </xf>
    <xf numFmtId="165" fontId="16" fillId="0" borderId="46" xfId="5" applyNumberFormat="1" applyFont="1" applyBorder="1" applyAlignment="1">
      <alignment horizontal="right" vertical="top"/>
    </xf>
    <xf numFmtId="173" fontId="11" fillId="0" borderId="4" xfId="10" applyNumberFormat="1" applyFont="1" applyBorder="1" applyAlignment="1">
      <alignment horizontal="center" vertical="center" wrapText="1"/>
    </xf>
    <xf numFmtId="173" fontId="11" fillId="0" borderId="6" xfId="10" applyNumberFormat="1" applyFont="1" applyBorder="1" applyAlignment="1">
      <alignment horizontal="center" vertical="center" wrapText="1"/>
    </xf>
    <xf numFmtId="174" fontId="11" fillId="16" borderId="40" xfId="0" applyNumberFormat="1" applyFont="1" applyFill="1" applyBorder="1" applyAlignment="1">
      <alignment horizontal="center" vertical="top"/>
    </xf>
    <xf numFmtId="0" fontId="11" fillId="0" borderId="0" xfId="0" applyFont="1" applyFill="1" applyBorder="1"/>
    <xf numFmtId="174" fontId="11" fillId="0" borderId="0" xfId="0" applyNumberFormat="1" applyFont="1" applyFill="1" applyBorder="1"/>
    <xf numFmtId="174" fontId="11" fillId="17" borderId="40" xfId="0" applyNumberFormat="1" applyFont="1" applyFill="1" applyBorder="1" applyAlignment="1">
      <alignment horizontal="center" vertical="top"/>
    </xf>
    <xf numFmtId="173" fontId="11" fillId="0" borderId="8" xfId="10" applyNumberFormat="1" applyFont="1" applyBorder="1" applyAlignment="1">
      <alignment horizontal="center" vertical="center" wrapText="1"/>
    </xf>
    <xf numFmtId="173" fontId="11" fillId="0" borderId="9" xfId="10" applyNumberFormat="1" applyFont="1" applyBorder="1" applyAlignment="1">
      <alignment horizontal="center" vertical="center" wrapText="1"/>
    </xf>
    <xf numFmtId="165" fontId="14" fillId="5" borderId="5" xfId="0" applyNumberFormat="1" applyFont="1" applyFill="1" applyBorder="1" applyAlignment="1">
      <alignment horizontal="center" vertical="center" wrapText="1"/>
    </xf>
    <xf numFmtId="49" fontId="15" fillId="4" borderId="47" xfId="5" applyNumberFormat="1" applyFont="1" applyFill="1" applyBorder="1" applyAlignment="1">
      <alignment horizontal="center" vertical="center" wrapText="1"/>
    </xf>
    <xf numFmtId="0" fontId="12" fillId="0" borderId="0" xfId="0" applyFont="1" applyAlignment="1">
      <alignment vertical="center" wrapText="1"/>
    </xf>
    <xf numFmtId="0" fontId="9" fillId="0" borderId="1" xfId="0" applyFont="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1"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2" xfId="0" applyFont="1" applyBorder="1" applyAlignment="1">
      <alignment horizontal="center" vertical="center"/>
    </xf>
    <xf numFmtId="0" fontId="9" fillId="0" borderId="27" xfId="0" applyFont="1" applyBorder="1" applyAlignment="1">
      <alignment horizontal="center" vertical="center"/>
    </xf>
    <xf numFmtId="0" fontId="9" fillId="0" borderId="9" xfId="0" applyFont="1" applyBorder="1" applyAlignment="1">
      <alignment horizontal="center" vertical="center"/>
    </xf>
    <xf numFmtId="0" fontId="9" fillId="0" borderId="29"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12" fillId="11" borderId="40" xfId="0" applyFont="1" applyFill="1" applyBorder="1" applyAlignment="1">
      <alignment horizontal="center" vertical="center" wrapText="1"/>
    </xf>
    <xf numFmtId="0" fontId="13" fillId="5" borderId="40" xfId="0" applyFont="1" applyFill="1" applyBorder="1" applyAlignment="1">
      <alignment horizontal="center" vertical="center"/>
    </xf>
    <xf numFmtId="0" fontId="13" fillId="5" borderId="11" xfId="0" applyFont="1" applyFill="1" applyBorder="1" applyAlignment="1">
      <alignment horizontal="center"/>
    </xf>
    <xf numFmtId="0" fontId="13" fillId="5" borderId="12" xfId="0" applyFont="1" applyFill="1" applyBorder="1" applyAlignment="1">
      <alignment horizontal="center"/>
    </xf>
    <xf numFmtId="0" fontId="43" fillId="5" borderId="11" xfId="0" applyFont="1" applyFill="1" applyBorder="1" applyAlignment="1">
      <alignment horizontal="center" vertical="center"/>
    </xf>
    <xf numFmtId="0" fontId="43" fillId="5" borderId="13" xfId="0" applyFont="1" applyFill="1" applyBorder="1" applyAlignment="1">
      <alignment horizontal="center" vertical="center"/>
    </xf>
    <xf numFmtId="0" fontId="12" fillId="11" borderId="38" xfId="0" applyFont="1" applyFill="1" applyBorder="1" applyAlignment="1">
      <alignment horizontal="center" vertical="center" wrapText="1"/>
    </xf>
    <xf numFmtId="0" fontId="24" fillId="5" borderId="48" xfId="0" applyFont="1" applyFill="1" applyBorder="1" applyAlignment="1">
      <alignment horizontal="center" vertical="center"/>
    </xf>
    <xf numFmtId="0" fontId="24" fillId="5" borderId="49" xfId="0" applyFont="1" applyFill="1" applyBorder="1" applyAlignment="1">
      <alignment horizontal="center" vertical="center"/>
    </xf>
    <xf numFmtId="0" fontId="24" fillId="5" borderId="50" xfId="0" applyFont="1" applyFill="1" applyBorder="1" applyAlignment="1">
      <alignment horizontal="center" vertical="center"/>
    </xf>
    <xf numFmtId="0" fontId="24" fillId="5" borderId="38" xfId="0" applyFont="1" applyFill="1" applyBorder="1" applyAlignment="1">
      <alignment horizontal="center" vertical="center"/>
    </xf>
    <xf numFmtId="0" fontId="24" fillId="5" borderId="20" xfId="0" applyFont="1" applyFill="1" applyBorder="1" applyAlignment="1">
      <alignment horizontal="center" vertical="center"/>
    </xf>
    <xf numFmtId="0" fontId="24" fillId="5" borderId="19" xfId="0" applyFont="1" applyFill="1" applyBorder="1" applyAlignment="1">
      <alignment horizontal="center" vertical="center"/>
    </xf>
  </cellXfs>
  <cellStyles count="16">
    <cellStyle name="Monétaire" xfId="1" builtinId="4"/>
    <cellStyle name="Monétaire 2" xfId="8" xr:uid="{00000000-0005-0000-0000-000002000000}"/>
    <cellStyle name="Normal" xfId="0" builtinId="0"/>
    <cellStyle name="Normal 2" xfId="7" xr:uid="{00000000-0005-0000-0000-000004000000}"/>
    <cellStyle name="Normal 3" xfId="11" xr:uid="{00000000-0005-0000-0000-000005000000}"/>
    <cellStyle name="Normal 3 2" xfId="2" xr:uid="{00000000-0005-0000-0000-000006000000}"/>
    <cellStyle name="Normal 3 3" xfId="13" xr:uid="{64581D20-1F83-49E1-9039-115D971EE6C4}"/>
    <cellStyle name="Normal 3 3 2" xfId="14" xr:uid="{28A6A376-E9BF-4273-BA85-04C37BE11EAA}"/>
    <cellStyle name="Normal 4" xfId="3" xr:uid="{00000000-0005-0000-0000-000007000000}"/>
    <cellStyle name="Normal_Matinfo 2 Lot3macV_3" xfId="4" xr:uid="{00000000-0005-0000-0000-000008000000}"/>
    <cellStyle name="Normal_Matinfo 2 Lot3macV_3 2" xfId="5" xr:uid="{00000000-0005-0000-0000-000009000000}"/>
    <cellStyle name="Percent 2" xfId="12" xr:uid="{00000000-0005-0000-0000-00000A000000}"/>
    <cellStyle name="Percent 2 2" xfId="15" xr:uid="{B3CEF2A0-078F-45F7-A1FF-A65D0A5D83D8}"/>
    <cellStyle name="Pourcentage" xfId="10" builtinId="5"/>
    <cellStyle name="Pourcentage 2" xfId="9" xr:uid="{00000000-0005-0000-0000-00000C000000}"/>
    <cellStyle name="Texte explicatif" xfId="6" builtinId="53"/>
  </cellStyles>
  <dxfs count="423">
    <dxf>
      <fill>
        <patternFill>
          <bgColor theme="7" tint="0.79998168889431442"/>
        </patternFill>
      </fill>
    </dxf>
    <dxf>
      <fill>
        <patternFill>
          <bgColor theme="5" tint="0.79998168889431442"/>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bgColor theme="5" tint="0.79998168889431442"/>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strike val="0"/>
        <color theme="0"/>
      </font>
      <fill>
        <patternFill patternType="none">
          <bgColor auto="1"/>
        </patternFill>
      </fill>
    </dxf>
    <dxf>
      <fill>
        <patternFill patternType="solid">
          <bgColor theme="9" tint="0.59996337778862885"/>
        </patternFill>
      </fill>
      <border>
        <left style="thin">
          <color auto="1"/>
        </left>
        <right style="thin">
          <color auto="1"/>
        </right>
        <top style="thin">
          <color auto="1"/>
        </top>
        <bottom style="thin">
          <color auto="1"/>
        </bottom>
        <vertical/>
        <horizontal/>
      </border>
    </dxf>
    <dxf>
      <fill>
        <patternFill>
          <bgColor theme="5"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ont>
        <strike val="0"/>
        <color theme="0"/>
      </font>
      <fill>
        <patternFill patternType="none">
          <bgColor auto="1"/>
        </patternFill>
      </fill>
    </dxf>
    <dxf>
      <fill>
        <patternFill patternType="solid">
          <bgColor theme="9" tint="0.59996337778862885"/>
        </patternFill>
      </fill>
      <border>
        <left style="thin">
          <color auto="1"/>
        </left>
        <right style="thin">
          <color auto="1"/>
        </right>
        <top style="thin">
          <color auto="1"/>
        </top>
        <bottom style="thin">
          <color auto="1"/>
        </bottom>
        <vertical/>
        <horizontal/>
      </border>
    </dxf>
    <dxf>
      <font>
        <strike val="0"/>
        <color theme="0"/>
      </font>
      <fill>
        <patternFill patternType="none">
          <bgColor auto="1"/>
        </patternFill>
      </fill>
    </dxf>
    <dxf>
      <fill>
        <patternFill patternType="solid">
          <bgColor theme="9" tint="0.59996337778862885"/>
        </patternFill>
      </fill>
      <border>
        <left style="thin">
          <color auto="1"/>
        </left>
        <right style="thin">
          <color auto="1"/>
        </right>
        <top style="thin">
          <color auto="1"/>
        </top>
        <bottom style="thin">
          <color auto="1"/>
        </bottom>
        <vertical/>
        <horizontal/>
      </border>
    </dxf>
    <dxf>
      <fill>
        <patternFill patternType="solid">
          <bgColor theme="9" tint="0.59996337778862885"/>
        </patternFill>
      </fill>
      <border>
        <left style="thin">
          <color auto="1"/>
        </left>
        <right style="thin">
          <color auto="1"/>
        </right>
        <top style="thin">
          <color auto="1"/>
        </top>
        <bottom style="thin">
          <color auto="1"/>
        </bottom>
        <vertical/>
        <horizontal/>
      </border>
    </dxf>
    <dxf>
      <font>
        <strike val="0"/>
        <color theme="0"/>
      </font>
      <fill>
        <patternFill patternType="none">
          <bgColor auto="1"/>
        </patternFill>
      </fill>
    </dxf>
    <dxf>
      <fill>
        <patternFill>
          <bgColor theme="7" tint="0.79998168889431442"/>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ill>
        <patternFill>
          <bgColor theme="7" tint="0.79998168889431442"/>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ill>
        <patternFill>
          <bgColor theme="5" tint="0.79998168889431442"/>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ill>
        <patternFill>
          <bgColor theme="5" tint="0.79998168889431442"/>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ill>
        <patternFill>
          <bgColor theme="7" tint="0.79998168889431442"/>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ill>
        <patternFill>
          <bgColor theme="7" tint="0.79998168889431442"/>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ill>
        <patternFill>
          <bgColor theme="5" tint="0.79998168889431442"/>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ill>
        <patternFill>
          <bgColor theme="5" tint="0.79998168889431442"/>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231322</xdr:colOff>
      <xdr:row>0</xdr:row>
      <xdr:rowOff>68036</xdr:rowOff>
    </xdr:from>
    <xdr:ext cx="3389312" cy="893602"/>
    <xdr:pic>
      <xdr:nvPicPr>
        <xdr:cNvPr id="2" name="Image 1" descr="C:\Users\nma\AppData\Local\Microsoft\Windows\INetCache\Content.Outlook\K4E67URS\matinfo-logo.png">
          <a:extLst>
            <a:ext uri="{FF2B5EF4-FFF2-40B4-BE49-F238E27FC236}">
              <a16:creationId xmlns:a16="http://schemas.microsoft.com/office/drawing/2014/main" id="{7470229B-8313-40C3-96DD-D98B48814541}"/>
            </a:ext>
          </a:extLst>
        </xdr:cNvPr>
        <xdr:cNvPicPr>
          <a:picLocks noChangeAspect="1" noChangeArrowheads="1"/>
        </xdr:cNvPicPr>
      </xdr:nvPicPr>
      <xdr:blipFill>
        <a:blip xmlns:r="http://schemas.openxmlformats.org/officeDocument/2006/relationships" r:embed="rId1"/>
        <a:stretch/>
      </xdr:blipFill>
      <xdr:spPr bwMode="auto">
        <a:xfrm>
          <a:off x="909978" y="68036"/>
          <a:ext cx="3389312" cy="893602"/>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231322</xdr:colOff>
      <xdr:row>0</xdr:row>
      <xdr:rowOff>68036</xdr:rowOff>
    </xdr:from>
    <xdr:ext cx="3389312" cy="893602"/>
    <xdr:pic>
      <xdr:nvPicPr>
        <xdr:cNvPr id="2" name="Image 1" descr="C:\Users\nma\AppData\Local\Microsoft\Windows\INetCache\Content.Outlook\K4E67URS\matinfo-logo.png">
          <a:extLst>
            <a:ext uri="{FF2B5EF4-FFF2-40B4-BE49-F238E27FC236}">
              <a16:creationId xmlns:a16="http://schemas.microsoft.com/office/drawing/2014/main" id="{72D67CE6-1A38-4430-9DC2-278A681DBEA0}"/>
            </a:ext>
          </a:extLst>
        </xdr:cNvPr>
        <xdr:cNvPicPr>
          <a:picLocks noChangeAspect="1" noChangeArrowheads="1"/>
        </xdr:cNvPicPr>
      </xdr:nvPicPr>
      <xdr:blipFill>
        <a:blip xmlns:r="http://schemas.openxmlformats.org/officeDocument/2006/relationships" r:embed="rId1"/>
        <a:stretch/>
      </xdr:blipFill>
      <xdr:spPr bwMode="auto">
        <a:xfrm>
          <a:off x="907597" y="68036"/>
          <a:ext cx="3389312" cy="89360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6804</xdr:colOff>
      <xdr:row>0</xdr:row>
      <xdr:rowOff>5785</xdr:rowOff>
    </xdr:from>
    <xdr:ext cx="3397880" cy="897411"/>
    <xdr:pic>
      <xdr:nvPicPr>
        <xdr:cNvPr id="3" name="Image 1" descr="C:\Users\nma\AppData\Local\Microsoft\Windows\INetCache\Content.Outlook\K4E67URS\matinfo-logo.png">
          <a:extLst>
            <a:ext uri="{FF2B5EF4-FFF2-40B4-BE49-F238E27FC236}">
              <a16:creationId xmlns:a16="http://schemas.microsoft.com/office/drawing/2014/main" id="{CB44DB47-0C73-4AE8-B4EA-3131875B5B2F}"/>
            </a:ext>
          </a:extLst>
        </xdr:cNvPr>
        <xdr:cNvPicPr>
          <a:picLocks noChangeAspect="1" noChangeArrowheads="1"/>
        </xdr:cNvPicPr>
      </xdr:nvPicPr>
      <xdr:blipFill>
        <a:blip xmlns:r="http://schemas.openxmlformats.org/officeDocument/2006/relationships" r:embed="rId1"/>
        <a:stretch/>
      </xdr:blipFill>
      <xdr:spPr bwMode="auto">
        <a:xfrm>
          <a:off x="590210" y="5785"/>
          <a:ext cx="3397880" cy="897411"/>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6804</xdr:colOff>
      <xdr:row>0</xdr:row>
      <xdr:rowOff>5785</xdr:rowOff>
    </xdr:from>
    <xdr:ext cx="3397880" cy="897411"/>
    <xdr:pic>
      <xdr:nvPicPr>
        <xdr:cNvPr id="2" name="Image 1" descr="C:\Users\nma\AppData\Local\Microsoft\Windows\INetCache\Content.Outlook\K4E67URS\matinfo-logo.png">
          <a:extLst>
            <a:ext uri="{FF2B5EF4-FFF2-40B4-BE49-F238E27FC236}">
              <a16:creationId xmlns:a16="http://schemas.microsoft.com/office/drawing/2014/main" id="{3D90F85B-F0BB-4D25-A033-B95FA890580F}"/>
            </a:ext>
          </a:extLst>
        </xdr:cNvPr>
        <xdr:cNvPicPr>
          <a:picLocks noChangeAspect="1" noChangeArrowheads="1"/>
        </xdr:cNvPicPr>
      </xdr:nvPicPr>
      <xdr:blipFill>
        <a:blip xmlns:r="http://schemas.openxmlformats.org/officeDocument/2006/relationships" r:embed="rId1"/>
        <a:stretch/>
      </xdr:blipFill>
      <xdr:spPr bwMode="auto">
        <a:xfrm>
          <a:off x="587829" y="5785"/>
          <a:ext cx="3397880" cy="897411"/>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11907</xdr:colOff>
      <xdr:row>0</xdr:row>
      <xdr:rowOff>0</xdr:rowOff>
    </xdr:from>
    <xdr:ext cx="3389312" cy="897411"/>
    <xdr:pic>
      <xdr:nvPicPr>
        <xdr:cNvPr id="3" name="Image 1" descr="C:\Users\nma\AppData\Local\Microsoft\Windows\INetCache\Content.Outlook\K4E67URS\matinfo-logo.png">
          <a:extLst>
            <a:ext uri="{FF2B5EF4-FFF2-40B4-BE49-F238E27FC236}">
              <a16:creationId xmlns:a16="http://schemas.microsoft.com/office/drawing/2014/main" id="{3DA18BBC-93BF-4B79-95C5-62B078C73923}"/>
            </a:ext>
          </a:extLst>
        </xdr:cNvPr>
        <xdr:cNvPicPr>
          <a:picLocks noChangeAspect="1" noChangeArrowheads="1"/>
        </xdr:cNvPicPr>
      </xdr:nvPicPr>
      <xdr:blipFill>
        <a:blip xmlns:r="http://schemas.openxmlformats.org/officeDocument/2006/relationships" r:embed="rId1"/>
        <a:stretch/>
      </xdr:blipFill>
      <xdr:spPr bwMode="auto">
        <a:xfrm>
          <a:off x="597014" y="0"/>
          <a:ext cx="3389312" cy="897411"/>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5"/>
  <sheetViews>
    <sheetView zoomScaleNormal="100" workbookViewId="0">
      <pane ySplit="1" topLeftCell="A63" activePane="bottomLeft" state="frozen"/>
      <selection pane="bottomLeft" activeCell="D16" sqref="D16"/>
    </sheetView>
  </sheetViews>
  <sheetFormatPr baseColWidth="10" defaultColWidth="8.7265625" defaultRowHeight="14.5" x14ac:dyDescent="0.35"/>
  <cols>
    <col min="1" max="2" width="17" bestFit="1" customWidth="1"/>
    <col min="3" max="3" width="16.81640625" customWidth="1"/>
    <col min="4" max="4" width="151.453125" customWidth="1"/>
    <col min="6" max="6" width="24.81640625" customWidth="1"/>
    <col min="7" max="7" width="39.7265625" bestFit="1" customWidth="1"/>
    <col min="8" max="8" width="12.453125" customWidth="1"/>
    <col min="9" max="9" width="13.81640625" bestFit="1" customWidth="1"/>
    <col min="10" max="10" width="20.1796875" bestFit="1" customWidth="1"/>
    <col min="11" max="11" width="10.1796875" bestFit="1" customWidth="1"/>
  </cols>
  <sheetData>
    <row r="1" spans="1:9" s="26" customFormat="1" ht="44" thickBot="1" x14ac:dyDescent="0.4">
      <c r="A1" s="115" t="s">
        <v>0</v>
      </c>
      <c r="B1" s="115" t="s">
        <v>1</v>
      </c>
      <c r="C1" s="116" t="s">
        <v>2</v>
      </c>
      <c r="D1" s="117" t="s">
        <v>3</v>
      </c>
      <c r="F1" s="245" t="s">
        <v>4</v>
      </c>
      <c r="G1" s="246" t="s">
        <v>5</v>
      </c>
      <c r="H1"/>
      <c r="I1"/>
    </row>
    <row r="2" spans="1:9" x14ac:dyDescent="0.35">
      <c r="A2" s="336">
        <v>20210728</v>
      </c>
      <c r="B2" s="336">
        <v>20210901</v>
      </c>
      <c r="C2" s="342" t="s">
        <v>6</v>
      </c>
      <c r="D2" s="90" t="s">
        <v>7</v>
      </c>
      <c r="F2" s="247" t="s">
        <v>8</v>
      </c>
      <c r="G2" s="248" t="s">
        <v>9</v>
      </c>
    </row>
    <row r="3" spans="1:9" x14ac:dyDescent="0.35">
      <c r="A3" s="336"/>
      <c r="B3" s="336"/>
      <c r="C3" s="342"/>
      <c r="D3" s="90" t="s">
        <v>10</v>
      </c>
      <c r="F3" s="249" t="s">
        <v>8</v>
      </c>
      <c r="G3" s="248" t="s">
        <v>11</v>
      </c>
    </row>
    <row r="4" spans="1:9" x14ac:dyDescent="0.35">
      <c r="A4" s="336"/>
      <c r="B4" s="336"/>
      <c r="C4" s="342"/>
      <c r="D4" s="90" t="s">
        <v>12</v>
      </c>
      <c r="F4" s="250" t="s">
        <v>8</v>
      </c>
      <c r="G4" s="248" t="s">
        <v>13</v>
      </c>
    </row>
    <row r="5" spans="1:9" x14ac:dyDescent="0.35">
      <c r="A5" s="336"/>
      <c r="B5" s="336"/>
      <c r="C5" s="342"/>
      <c r="D5" s="90" t="s">
        <v>14</v>
      </c>
    </row>
    <row r="6" spans="1:9" ht="15" thickBot="1" x14ac:dyDescent="0.4">
      <c r="A6" s="337"/>
      <c r="B6" s="337"/>
      <c r="C6" s="343"/>
      <c r="D6" s="3" t="s">
        <v>15</v>
      </c>
    </row>
    <row r="7" spans="1:9" x14ac:dyDescent="0.35">
      <c r="A7" s="350">
        <v>20211018</v>
      </c>
      <c r="B7" s="350">
        <v>20211116</v>
      </c>
      <c r="C7" s="351" t="s">
        <v>16</v>
      </c>
      <c r="D7" s="2" t="s">
        <v>17</v>
      </c>
    </row>
    <row r="8" spans="1:9" x14ac:dyDescent="0.35">
      <c r="A8" s="336"/>
      <c r="B8" s="336"/>
      <c r="C8" s="342"/>
      <c r="D8" s="90" t="s">
        <v>18</v>
      </c>
    </row>
    <row r="9" spans="1:9" x14ac:dyDescent="0.35">
      <c r="A9" s="336"/>
      <c r="B9" s="336"/>
      <c r="C9" s="342"/>
      <c r="D9" s="90" t="s">
        <v>14</v>
      </c>
    </row>
    <row r="10" spans="1:9" x14ac:dyDescent="0.35">
      <c r="A10" s="336"/>
      <c r="B10" s="336"/>
      <c r="C10" s="342"/>
      <c r="D10" s="90" t="s">
        <v>15</v>
      </c>
    </row>
    <row r="11" spans="1:9" ht="15" thickBot="1" x14ac:dyDescent="0.4">
      <c r="A11" s="337"/>
      <c r="B11" s="337"/>
      <c r="C11" s="343"/>
      <c r="D11" s="3" t="s">
        <v>19</v>
      </c>
    </row>
    <row r="12" spans="1:9" x14ac:dyDescent="0.35">
      <c r="A12" s="335">
        <v>20220222</v>
      </c>
      <c r="B12" s="335">
        <v>20220323</v>
      </c>
      <c r="C12" s="341" t="s">
        <v>20</v>
      </c>
      <c r="D12" s="60" t="s">
        <v>21</v>
      </c>
    </row>
    <row r="13" spans="1:9" x14ac:dyDescent="0.35">
      <c r="A13" s="336"/>
      <c r="B13" s="336"/>
      <c r="C13" s="342"/>
      <c r="D13" s="90" t="s">
        <v>22</v>
      </c>
    </row>
    <row r="14" spans="1:9" ht="26.5" x14ac:dyDescent="0.35">
      <c r="A14" s="336"/>
      <c r="B14" s="336"/>
      <c r="C14" s="342"/>
      <c r="D14" s="119" t="s">
        <v>23</v>
      </c>
    </row>
    <row r="15" spans="1:9" x14ac:dyDescent="0.35">
      <c r="A15" s="336"/>
      <c r="B15" s="336"/>
      <c r="C15" s="342"/>
      <c r="D15" s="90" t="s">
        <v>24</v>
      </c>
    </row>
    <row r="16" spans="1:9" x14ac:dyDescent="0.35">
      <c r="A16" s="336"/>
      <c r="B16" s="336"/>
      <c r="C16" s="342"/>
      <c r="D16" s="90" t="s">
        <v>25</v>
      </c>
    </row>
    <row r="17" spans="1:4" x14ac:dyDescent="0.35">
      <c r="A17" s="336"/>
      <c r="B17" s="336"/>
      <c r="C17" s="342"/>
      <c r="D17" s="90" t="s">
        <v>26</v>
      </c>
    </row>
    <row r="18" spans="1:4" x14ac:dyDescent="0.35">
      <c r="A18" s="336"/>
      <c r="B18" s="336"/>
      <c r="C18" s="342"/>
      <c r="D18" s="119" t="s">
        <v>27</v>
      </c>
    </row>
    <row r="19" spans="1:4" x14ac:dyDescent="0.35">
      <c r="A19" s="336"/>
      <c r="B19" s="336"/>
      <c r="C19" s="342"/>
      <c r="D19" s="90" t="s">
        <v>14</v>
      </c>
    </row>
    <row r="20" spans="1:4" x14ac:dyDescent="0.35">
      <c r="A20" s="336"/>
      <c r="B20" s="336"/>
      <c r="C20" s="342"/>
      <c r="D20" s="90" t="s">
        <v>15</v>
      </c>
    </row>
    <row r="21" spans="1:4" ht="15" thickBot="1" x14ac:dyDescent="0.4">
      <c r="A21" s="337"/>
      <c r="B21" s="337"/>
      <c r="C21" s="343"/>
      <c r="D21" s="3" t="s">
        <v>28</v>
      </c>
    </row>
    <row r="22" spans="1:4" x14ac:dyDescent="0.35">
      <c r="A22" s="335">
        <v>20220426</v>
      </c>
      <c r="B22" s="335">
        <v>20220519</v>
      </c>
      <c r="C22" s="341" t="s">
        <v>29</v>
      </c>
      <c r="D22" s="60" t="s">
        <v>30</v>
      </c>
    </row>
    <row r="23" spans="1:4" x14ac:dyDescent="0.35">
      <c r="A23" s="336"/>
      <c r="B23" s="336"/>
      <c r="C23" s="342"/>
      <c r="D23" s="90" t="s">
        <v>31</v>
      </c>
    </row>
    <row r="24" spans="1:4" x14ac:dyDescent="0.35">
      <c r="A24" s="336"/>
      <c r="B24" s="336"/>
      <c r="C24" s="342"/>
      <c r="D24" s="90" t="s">
        <v>32</v>
      </c>
    </row>
    <row r="25" spans="1:4" x14ac:dyDescent="0.35">
      <c r="A25" s="336"/>
      <c r="B25" s="336"/>
      <c r="C25" s="342"/>
      <c r="D25" s="90" t="s">
        <v>33</v>
      </c>
    </row>
    <row r="26" spans="1:4" ht="15" thickBot="1" x14ac:dyDescent="0.4">
      <c r="A26" s="337"/>
      <c r="B26" s="337"/>
      <c r="C26" s="343"/>
      <c r="D26" s="3" t="s">
        <v>34</v>
      </c>
    </row>
    <row r="27" spans="1:4" ht="26.5" x14ac:dyDescent="0.35">
      <c r="A27" s="335">
        <v>20221014</v>
      </c>
      <c r="B27" s="335">
        <v>20221104</v>
      </c>
      <c r="C27" s="341" t="s">
        <v>35</v>
      </c>
      <c r="D27" s="89" t="s">
        <v>36</v>
      </c>
    </row>
    <row r="28" spans="1:4" ht="26.5" x14ac:dyDescent="0.35">
      <c r="A28" s="336"/>
      <c r="B28" s="336"/>
      <c r="C28" s="342"/>
      <c r="D28" s="119" t="s">
        <v>37</v>
      </c>
    </row>
    <row r="29" spans="1:4" x14ac:dyDescent="0.35">
      <c r="A29" s="336"/>
      <c r="B29" s="336"/>
      <c r="C29" s="342"/>
      <c r="D29" s="90" t="s">
        <v>38</v>
      </c>
    </row>
    <row r="30" spans="1:4" x14ac:dyDescent="0.35">
      <c r="A30" s="336"/>
      <c r="B30" s="336"/>
      <c r="C30" s="342"/>
      <c r="D30" s="90" t="s">
        <v>39</v>
      </c>
    </row>
    <row r="31" spans="1:4" x14ac:dyDescent="0.35">
      <c r="A31" s="336"/>
      <c r="B31" s="336"/>
      <c r="C31" s="342"/>
      <c r="D31" s="90" t="s">
        <v>40</v>
      </c>
    </row>
    <row r="32" spans="1:4" x14ac:dyDescent="0.35">
      <c r="A32" s="336"/>
      <c r="B32" s="336"/>
      <c r="C32" s="342"/>
      <c r="D32" s="90" t="s">
        <v>41</v>
      </c>
    </row>
    <row r="33" spans="1:4" x14ac:dyDescent="0.35">
      <c r="A33" s="336"/>
      <c r="B33" s="336"/>
      <c r="C33" s="342"/>
      <c r="D33" s="90" t="s">
        <v>42</v>
      </c>
    </row>
    <row r="34" spans="1:4" x14ac:dyDescent="0.35">
      <c r="A34" s="336"/>
      <c r="B34" s="336"/>
      <c r="C34" s="342"/>
      <c r="D34" s="90" t="s">
        <v>43</v>
      </c>
    </row>
    <row r="35" spans="1:4" x14ac:dyDescent="0.35">
      <c r="A35" s="336"/>
      <c r="B35" s="336"/>
      <c r="C35" s="342"/>
      <c r="D35" s="90" t="s">
        <v>44</v>
      </c>
    </row>
    <row r="36" spans="1:4" x14ac:dyDescent="0.35">
      <c r="A36" s="336"/>
      <c r="B36" s="336"/>
      <c r="C36" s="342"/>
      <c r="D36" s="90" t="s">
        <v>45</v>
      </c>
    </row>
    <row r="37" spans="1:4" x14ac:dyDescent="0.35">
      <c r="A37" s="336"/>
      <c r="B37" s="336"/>
      <c r="C37" s="342"/>
      <c r="D37" s="90" t="s">
        <v>33</v>
      </c>
    </row>
    <row r="38" spans="1:4" ht="15" thickBot="1" x14ac:dyDescent="0.4">
      <c r="A38" s="337"/>
      <c r="B38" s="337"/>
      <c r="C38" s="343"/>
      <c r="D38" s="3" t="s">
        <v>34</v>
      </c>
    </row>
    <row r="39" spans="1:4" ht="26.5" x14ac:dyDescent="0.35">
      <c r="A39" s="347">
        <v>20230330</v>
      </c>
      <c r="B39" s="347">
        <v>20230419</v>
      </c>
      <c r="C39" s="344" t="s">
        <v>46</v>
      </c>
      <c r="D39" s="89" t="s">
        <v>47</v>
      </c>
    </row>
    <row r="40" spans="1:4" x14ac:dyDescent="0.35">
      <c r="A40" s="348"/>
      <c r="B40" s="348"/>
      <c r="C40" s="345"/>
      <c r="D40" s="129" t="s">
        <v>48</v>
      </c>
    </row>
    <row r="41" spans="1:4" ht="15" thickBot="1" x14ac:dyDescent="0.4">
      <c r="A41" s="349"/>
      <c r="B41" s="349"/>
      <c r="C41" s="346"/>
      <c r="D41" s="110" t="s">
        <v>49</v>
      </c>
    </row>
    <row r="42" spans="1:4" ht="26.5" x14ac:dyDescent="0.35">
      <c r="A42" s="335">
        <v>20230605</v>
      </c>
      <c r="B42" s="335">
        <v>20230712</v>
      </c>
      <c r="C42" s="341" t="s">
        <v>50</v>
      </c>
      <c r="D42" s="89" t="s">
        <v>51</v>
      </c>
    </row>
    <row r="43" spans="1:4" x14ac:dyDescent="0.35">
      <c r="A43" s="336"/>
      <c r="B43" s="336"/>
      <c r="C43" s="342"/>
      <c r="D43" s="119" t="s">
        <v>52</v>
      </c>
    </row>
    <row r="44" spans="1:4" x14ac:dyDescent="0.35">
      <c r="A44" s="336"/>
      <c r="B44" s="336"/>
      <c r="C44" s="342"/>
      <c r="D44" s="90" t="s">
        <v>53</v>
      </c>
    </row>
    <row r="45" spans="1:4" x14ac:dyDescent="0.35">
      <c r="A45" s="336"/>
      <c r="B45" s="336"/>
      <c r="C45" s="342"/>
      <c r="D45" s="120" t="s">
        <v>54</v>
      </c>
    </row>
    <row r="46" spans="1:4" x14ac:dyDescent="0.35">
      <c r="A46" s="336"/>
      <c r="B46" s="336"/>
      <c r="C46" s="342"/>
      <c r="D46" s="90" t="s">
        <v>55</v>
      </c>
    </row>
    <row r="47" spans="1:4" x14ac:dyDescent="0.35">
      <c r="A47" s="336"/>
      <c r="B47" s="336"/>
      <c r="C47" s="342"/>
      <c r="D47" s="90" t="s">
        <v>56</v>
      </c>
    </row>
    <row r="48" spans="1:4" x14ac:dyDescent="0.35">
      <c r="A48" s="336"/>
      <c r="B48" s="336"/>
      <c r="C48" s="342"/>
      <c r="D48" s="90" t="s">
        <v>57</v>
      </c>
    </row>
    <row r="49" spans="1:4" x14ac:dyDescent="0.35">
      <c r="A49" s="336"/>
      <c r="B49" s="336"/>
      <c r="C49" s="342"/>
      <c r="D49" s="90" t="s">
        <v>58</v>
      </c>
    </row>
    <row r="50" spans="1:4" x14ac:dyDescent="0.35">
      <c r="A50" s="336"/>
      <c r="B50" s="336"/>
      <c r="C50" s="342"/>
      <c r="D50" s="90" t="s">
        <v>59</v>
      </c>
    </row>
    <row r="51" spans="1:4" x14ac:dyDescent="0.35">
      <c r="A51" s="336"/>
      <c r="B51" s="336"/>
      <c r="C51" s="342"/>
      <c r="D51" s="90" t="s">
        <v>33</v>
      </c>
    </row>
    <row r="52" spans="1:4" x14ac:dyDescent="0.35">
      <c r="A52" s="336"/>
      <c r="B52" s="336"/>
      <c r="C52" s="342"/>
      <c r="D52" s="90" t="s">
        <v>34</v>
      </c>
    </row>
    <row r="53" spans="1:4" ht="15" thickBot="1" x14ac:dyDescent="0.4">
      <c r="A53" s="337"/>
      <c r="B53" s="337"/>
      <c r="C53" s="343"/>
      <c r="D53" s="3" t="s">
        <v>60</v>
      </c>
    </row>
    <row r="54" spans="1:4" x14ac:dyDescent="0.35">
      <c r="A54" s="335">
        <v>20230925</v>
      </c>
      <c r="B54" s="338">
        <v>20231121</v>
      </c>
      <c r="C54" s="341" t="s">
        <v>61</v>
      </c>
      <c r="D54" s="89" t="s">
        <v>62</v>
      </c>
    </row>
    <row r="55" spans="1:4" x14ac:dyDescent="0.35">
      <c r="A55" s="336"/>
      <c r="B55" s="339"/>
      <c r="C55" s="342"/>
      <c r="D55" s="119" t="s">
        <v>63</v>
      </c>
    </row>
    <row r="56" spans="1:4" x14ac:dyDescent="0.35">
      <c r="A56" s="336"/>
      <c r="B56" s="339"/>
      <c r="C56" s="342"/>
      <c r="D56" s="119" t="s">
        <v>64</v>
      </c>
    </row>
    <row r="57" spans="1:4" x14ac:dyDescent="0.35">
      <c r="A57" s="336"/>
      <c r="B57" s="339"/>
      <c r="C57" s="342"/>
      <c r="D57" s="90" t="s">
        <v>65</v>
      </c>
    </row>
    <row r="58" spans="1:4" x14ac:dyDescent="0.35">
      <c r="A58" s="336"/>
      <c r="B58" s="339"/>
      <c r="C58" s="342"/>
      <c r="D58" s="120" t="s">
        <v>66</v>
      </c>
    </row>
    <row r="59" spans="1:4" x14ac:dyDescent="0.35">
      <c r="A59" s="336"/>
      <c r="B59" s="339"/>
      <c r="C59" s="342"/>
      <c r="D59" s="120" t="s">
        <v>67</v>
      </c>
    </row>
    <row r="60" spans="1:4" x14ac:dyDescent="0.35">
      <c r="A60" s="336"/>
      <c r="B60" s="339"/>
      <c r="C60" s="342"/>
      <c r="D60" s="90" t="s">
        <v>68</v>
      </c>
    </row>
    <row r="61" spans="1:4" x14ac:dyDescent="0.35">
      <c r="A61" s="336"/>
      <c r="B61" s="339"/>
      <c r="C61" s="342"/>
      <c r="D61" s="90" t="s">
        <v>33</v>
      </c>
    </row>
    <row r="62" spans="1:4" ht="15" thickBot="1" x14ac:dyDescent="0.4">
      <c r="A62" s="337"/>
      <c r="B62" s="340"/>
      <c r="C62" s="343"/>
      <c r="D62" s="3" t="s">
        <v>34</v>
      </c>
    </row>
    <row r="63" spans="1:4" x14ac:dyDescent="0.35">
      <c r="A63" s="335">
        <v>20240318</v>
      </c>
      <c r="B63" s="338">
        <v>20240503</v>
      </c>
      <c r="C63" s="341" t="s">
        <v>69</v>
      </c>
      <c r="D63" s="89" t="s">
        <v>70</v>
      </c>
    </row>
    <row r="64" spans="1:4" x14ac:dyDescent="0.35">
      <c r="A64" s="336"/>
      <c r="B64" s="339"/>
      <c r="C64" s="342"/>
      <c r="D64" s="119" t="s">
        <v>71</v>
      </c>
    </row>
    <row r="65" spans="1:6" x14ac:dyDescent="0.35">
      <c r="A65" s="336"/>
      <c r="B65" s="339"/>
      <c r="C65" s="342"/>
      <c r="D65" s="119" t="s">
        <v>72</v>
      </c>
    </row>
    <row r="66" spans="1:6" x14ac:dyDescent="0.35">
      <c r="A66" s="336"/>
      <c r="B66" s="339"/>
      <c r="C66" s="342"/>
      <c r="D66" s="90" t="s">
        <v>73</v>
      </c>
    </row>
    <row r="67" spans="1:6" x14ac:dyDescent="0.35">
      <c r="A67" s="336"/>
      <c r="B67" s="339"/>
      <c r="C67" s="342"/>
      <c r="D67" s="90" t="s">
        <v>33</v>
      </c>
    </row>
    <row r="68" spans="1:6" ht="15" thickBot="1" x14ac:dyDescent="0.4">
      <c r="A68" s="337"/>
      <c r="B68" s="340"/>
      <c r="C68" s="343"/>
      <c r="D68" s="3" t="s">
        <v>34</v>
      </c>
    </row>
    <row r="69" spans="1:6" ht="26.5" x14ac:dyDescent="0.35">
      <c r="A69" s="335">
        <v>20240902</v>
      </c>
      <c r="B69" s="338">
        <v>202420927</v>
      </c>
      <c r="C69" s="341" t="s">
        <v>74</v>
      </c>
      <c r="D69" s="89" t="s">
        <v>75</v>
      </c>
      <c r="F69" s="240"/>
    </row>
    <row r="70" spans="1:6" x14ac:dyDescent="0.35">
      <c r="A70" s="336"/>
      <c r="B70" s="339"/>
      <c r="C70" s="342"/>
      <c r="D70" s="119" t="s">
        <v>76</v>
      </c>
    </row>
    <row r="71" spans="1:6" x14ac:dyDescent="0.35">
      <c r="A71" s="336"/>
      <c r="B71" s="339"/>
      <c r="C71" s="342"/>
      <c r="D71" s="119" t="s">
        <v>77</v>
      </c>
    </row>
    <row r="72" spans="1:6" x14ac:dyDescent="0.35">
      <c r="A72" s="336"/>
      <c r="B72" s="339"/>
      <c r="C72" s="342"/>
      <c r="D72" s="119" t="s">
        <v>78</v>
      </c>
    </row>
    <row r="73" spans="1:6" x14ac:dyDescent="0.35">
      <c r="A73" s="336"/>
      <c r="B73" s="339"/>
      <c r="C73" s="342"/>
      <c r="D73" s="90" t="s">
        <v>33</v>
      </c>
    </row>
    <row r="74" spans="1:6" x14ac:dyDescent="0.35">
      <c r="A74" s="336"/>
      <c r="B74" s="339"/>
      <c r="C74" s="342"/>
      <c r="D74" s="90" t="s">
        <v>34</v>
      </c>
    </row>
    <row r="75" spans="1:6" ht="15" thickBot="1" x14ac:dyDescent="0.4">
      <c r="A75" s="337"/>
      <c r="B75" s="340"/>
      <c r="C75" s="343"/>
      <c r="D75" s="3" t="s">
        <v>79</v>
      </c>
    </row>
  </sheetData>
  <mergeCells count="30">
    <mergeCell ref="B22:B26"/>
    <mergeCell ref="C22:C26"/>
    <mergeCell ref="A2:A6"/>
    <mergeCell ref="A7:A11"/>
    <mergeCell ref="A12:A21"/>
    <mergeCell ref="A22:A26"/>
    <mergeCell ref="B2:B6"/>
    <mergeCell ref="C2:C6"/>
    <mergeCell ref="B7:B11"/>
    <mergeCell ref="C7:C11"/>
    <mergeCell ref="B12:B21"/>
    <mergeCell ref="C12:C21"/>
    <mergeCell ref="C39:C41"/>
    <mergeCell ref="B27:B38"/>
    <mergeCell ref="C27:C38"/>
    <mergeCell ref="A42:A53"/>
    <mergeCell ref="B42:B53"/>
    <mergeCell ref="C42:C53"/>
    <mergeCell ref="A39:A41"/>
    <mergeCell ref="B39:B41"/>
    <mergeCell ref="A27:A38"/>
    <mergeCell ref="A69:A75"/>
    <mergeCell ref="B69:B75"/>
    <mergeCell ref="C69:C75"/>
    <mergeCell ref="A54:A62"/>
    <mergeCell ref="B54:B62"/>
    <mergeCell ref="C54:C62"/>
    <mergeCell ref="A63:A68"/>
    <mergeCell ref="B63:B68"/>
    <mergeCell ref="C63:C68"/>
  </mergeCells>
  <phoneticPr fontId="35" type="noConversion"/>
  <pageMargins left="0.7" right="0.7" top="0.75" bottom="0.75" header="0.3" footer="0.3"/>
  <pageSetup paperSize="9" orientation="portrait" r:id="rId1"/>
  <headerFooter>
    <oddFooter>&amp;L&amp;1#&amp;"Calibri"&amp;7&amp;K7F7F7FInternal Use -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21"/>
  <sheetViews>
    <sheetView tabSelected="1" zoomScale="90" zoomScaleNormal="90" workbookViewId="0">
      <selection activeCell="F475" sqref="F475"/>
    </sheetView>
  </sheetViews>
  <sheetFormatPr baseColWidth="10" defaultColWidth="19" defaultRowHeight="13" x14ac:dyDescent="0.3"/>
  <cols>
    <col min="1" max="1" width="10.1796875" style="4" customWidth="1"/>
    <col min="2" max="2" width="146.81640625" style="5" customWidth="1"/>
    <col min="3" max="3" width="29" style="6" customWidth="1"/>
    <col min="4" max="4" width="19" style="7"/>
    <col min="5" max="5" width="11.453125" style="8" bestFit="1" customWidth="1"/>
    <col min="6" max="16384" width="19" style="4"/>
  </cols>
  <sheetData>
    <row r="1" spans="1:5" ht="84" customHeight="1" x14ac:dyDescent="0.3"/>
    <row r="2" spans="1:5" ht="27.75" customHeight="1" x14ac:dyDescent="0.3">
      <c r="B2" s="352" t="s">
        <v>80</v>
      </c>
      <c r="C2" s="352"/>
      <c r="D2" s="352"/>
      <c r="E2" s="352"/>
    </row>
    <row r="3" spans="1:5" s="10" customFormat="1" ht="34.5" customHeight="1" x14ac:dyDescent="0.35">
      <c r="B3" s="353" t="s">
        <v>81</v>
      </c>
      <c r="C3" s="353"/>
      <c r="D3" s="353"/>
      <c r="E3" s="353"/>
    </row>
    <row r="4" spans="1:5" s="9" customFormat="1" ht="31.5" customHeight="1" x14ac:dyDescent="0.35">
      <c r="B4" s="251" t="s">
        <v>82</v>
      </c>
      <c r="C4" s="251" t="s">
        <v>83</v>
      </c>
      <c r="D4" s="252" t="s">
        <v>84</v>
      </c>
      <c r="E4" s="252" t="s">
        <v>85</v>
      </c>
    </row>
    <row r="5" spans="1:5" s="9" customFormat="1" ht="135.75" customHeight="1" x14ac:dyDescent="0.35">
      <c r="B5" s="243" t="s">
        <v>86</v>
      </c>
      <c r="C5" s="169" t="s">
        <v>87</v>
      </c>
      <c r="D5" s="207" t="s">
        <v>88</v>
      </c>
      <c r="E5" s="244">
        <v>494</v>
      </c>
    </row>
    <row r="6" spans="1:5" s="9" customFormat="1" ht="138.75" customHeight="1" x14ac:dyDescent="0.35">
      <c r="B6" s="253" t="s">
        <v>89</v>
      </c>
      <c r="C6" s="254" t="s">
        <v>90</v>
      </c>
      <c r="D6" s="255" t="s">
        <v>91</v>
      </c>
      <c r="E6" s="256">
        <v>470</v>
      </c>
    </row>
    <row r="7" spans="1:5" s="9" customFormat="1" ht="154.5" customHeight="1" x14ac:dyDescent="0.35">
      <c r="B7" s="171" t="s">
        <v>92</v>
      </c>
      <c r="C7" s="254" t="s">
        <v>93</v>
      </c>
      <c r="D7" s="172" t="s">
        <v>94</v>
      </c>
      <c r="E7" s="256">
        <v>435</v>
      </c>
    </row>
    <row r="8" spans="1:5" ht="156" x14ac:dyDescent="0.3">
      <c r="A8" s="9"/>
      <c r="B8" s="257" t="s">
        <v>95</v>
      </c>
      <c r="C8" s="254" t="s">
        <v>96</v>
      </c>
      <c r="D8" s="255" t="s">
        <v>97</v>
      </c>
      <c r="E8" s="256">
        <v>710</v>
      </c>
    </row>
    <row r="9" spans="1:5" s="14" customFormat="1" ht="163.5" customHeight="1" x14ac:dyDescent="0.35">
      <c r="B9" s="257" t="s">
        <v>98</v>
      </c>
      <c r="C9" s="254" t="s">
        <v>99</v>
      </c>
      <c r="D9" s="255" t="s">
        <v>100</v>
      </c>
      <c r="E9" s="256">
        <v>1441</v>
      </c>
    </row>
    <row r="10" spans="1:5" s="14" customFormat="1" ht="177.75" customHeight="1" x14ac:dyDescent="0.35">
      <c r="B10" s="258" t="s">
        <v>101</v>
      </c>
      <c r="C10" s="259" t="s">
        <v>102</v>
      </c>
      <c r="D10" s="260" t="s">
        <v>103</v>
      </c>
      <c r="E10" s="256">
        <v>1272</v>
      </c>
    </row>
    <row r="11" spans="1:5" s="9" customFormat="1" ht="13.5" collapsed="1" thickBot="1" x14ac:dyDescent="0.4">
      <c r="B11" s="5"/>
      <c r="C11" s="6"/>
      <c r="D11" s="7"/>
      <c r="E11" s="8"/>
    </row>
    <row r="12" spans="1:5" s="9" customFormat="1" ht="21.5" thickBot="1" x14ac:dyDescent="0.55000000000000004">
      <c r="B12" s="354" t="s">
        <v>104</v>
      </c>
      <c r="C12" s="355"/>
      <c r="D12" s="355"/>
      <c r="E12" s="130"/>
    </row>
    <row r="13" spans="1:5" s="9" customFormat="1" ht="26.5" thickBot="1" x14ac:dyDescent="0.4">
      <c r="B13" s="11" t="s">
        <v>82</v>
      </c>
      <c r="C13" s="12" t="s">
        <v>83</v>
      </c>
      <c r="D13" s="13" t="s">
        <v>84</v>
      </c>
      <c r="E13" s="13" t="s">
        <v>105</v>
      </c>
    </row>
    <row r="15" spans="1:5" collapsed="1" x14ac:dyDescent="0.3">
      <c r="B15" s="74" t="s">
        <v>106</v>
      </c>
      <c r="C15" s="75"/>
      <c r="D15" s="76"/>
      <c r="E15" s="77"/>
    </row>
    <row r="16" spans="1:5" x14ac:dyDescent="0.3">
      <c r="B16" s="62" t="s">
        <v>107</v>
      </c>
      <c r="C16" s="63"/>
      <c r="E16" s="61"/>
    </row>
    <row r="17" spans="2:5" x14ac:dyDescent="0.3">
      <c r="B17" s="261" t="s">
        <v>108</v>
      </c>
      <c r="C17" s="262"/>
      <c r="D17" s="263" t="s">
        <v>109</v>
      </c>
      <c r="E17" s="264">
        <v>48</v>
      </c>
    </row>
    <row r="18" spans="2:5" x14ac:dyDescent="0.3">
      <c r="B18" s="261" t="s">
        <v>110</v>
      </c>
      <c r="C18" s="262"/>
      <c r="D18" s="263" t="s">
        <v>111</v>
      </c>
      <c r="E18" s="264">
        <v>153</v>
      </c>
    </row>
    <row r="19" spans="2:5" x14ac:dyDescent="0.3">
      <c r="B19" s="261" t="s">
        <v>112</v>
      </c>
      <c r="C19" s="262"/>
      <c r="D19" s="263" t="s">
        <v>113</v>
      </c>
      <c r="E19" s="264">
        <v>328</v>
      </c>
    </row>
    <row r="20" spans="2:5" x14ac:dyDescent="0.3">
      <c r="B20" s="173"/>
      <c r="C20" s="174"/>
      <c r="D20" s="18"/>
      <c r="E20" s="175"/>
    </row>
    <row r="21" spans="2:5" x14ac:dyDescent="0.3">
      <c r="B21" s="62" t="s">
        <v>114</v>
      </c>
      <c r="C21" s="63"/>
      <c r="D21" s="157"/>
      <c r="E21" s="158"/>
    </row>
    <row r="22" spans="2:5" x14ac:dyDescent="0.3">
      <c r="B22" s="261" t="s">
        <v>115</v>
      </c>
      <c r="C22" s="265"/>
      <c r="D22" s="263" t="s">
        <v>116</v>
      </c>
      <c r="E22" s="264">
        <v>121</v>
      </c>
    </row>
    <row r="23" spans="2:5" x14ac:dyDescent="0.3">
      <c r="B23" s="261" t="s">
        <v>117</v>
      </c>
      <c r="C23" s="265"/>
      <c r="D23" s="263" t="s">
        <v>118</v>
      </c>
      <c r="E23" s="264">
        <v>144</v>
      </c>
    </row>
    <row r="24" spans="2:5" x14ac:dyDescent="0.3">
      <c r="B24" s="261" t="s">
        <v>119</v>
      </c>
      <c r="C24" s="265"/>
      <c r="D24" s="263" t="s">
        <v>120</v>
      </c>
      <c r="E24" s="264">
        <v>409</v>
      </c>
    </row>
    <row r="25" spans="2:5" x14ac:dyDescent="0.3">
      <c r="C25" s="161"/>
      <c r="E25" s="61"/>
    </row>
    <row r="26" spans="2:5" x14ac:dyDescent="0.3">
      <c r="B26" s="62" t="s">
        <v>121</v>
      </c>
      <c r="C26" s="63"/>
      <c r="D26" s="157"/>
      <c r="E26" s="158"/>
    </row>
    <row r="27" spans="2:5" x14ac:dyDescent="0.3">
      <c r="B27" s="266" t="s">
        <v>122</v>
      </c>
      <c r="C27" s="267"/>
      <c r="D27" s="268" t="s">
        <v>123</v>
      </c>
      <c r="E27" s="264">
        <v>58</v>
      </c>
    </row>
    <row r="28" spans="2:5" x14ac:dyDescent="0.3">
      <c r="B28" s="266" t="s">
        <v>124</v>
      </c>
      <c r="C28" s="267"/>
      <c r="D28" s="268" t="s">
        <v>125</v>
      </c>
      <c r="E28" s="264">
        <v>131</v>
      </c>
    </row>
    <row r="29" spans="2:5" x14ac:dyDescent="0.3">
      <c r="B29" s="266" t="s">
        <v>126</v>
      </c>
      <c r="C29" s="267"/>
      <c r="D29" s="268" t="s">
        <v>127</v>
      </c>
      <c r="E29" s="264">
        <v>275</v>
      </c>
    </row>
    <row r="30" spans="2:5" x14ac:dyDescent="0.3">
      <c r="E30" s="78"/>
    </row>
    <row r="31" spans="2:5" x14ac:dyDescent="0.3">
      <c r="B31" s="62" t="s">
        <v>128</v>
      </c>
      <c r="C31" s="63"/>
      <c r="D31" s="157"/>
      <c r="E31" s="158"/>
    </row>
    <row r="32" spans="2:5" x14ac:dyDescent="0.3">
      <c r="B32" s="266" t="s">
        <v>129</v>
      </c>
      <c r="C32" s="267"/>
      <c r="D32" s="268" t="s">
        <v>130</v>
      </c>
      <c r="E32" s="264">
        <v>75</v>
      </c>
    </row>
    <row r="33" spans="2:5" x14ac:dyDescent="0.3">
      <c r="B33" s="266" t="s">
        <v>122</v>
      </c>
      <c r="C33" s="267"/>
      <c r="D33" s="268" t="s">
        <v>131</v>
      </c>
      <c r="E33" s="264">
        <v>133</v>
      </c>
    </row>
    <row r="34" spans="2:5" x14ac:dyDescent="0.3">
      <c r="B34" s="266" t="s">
        <v>124</v>
      </c>
      <c r="C34" s="267"/>
      <c r="D34" s="268" t="s">
        <v>132</v>
      </c>
      <c r="E34" s="264">
        <v>206</v>
      </c>
    </row>
    <row r="35" spans="2:5" x14ac:dyDescent="0.3">
      <c r="B35" s="266" t="s">
        <v>126</v>
      </c>
      <c r="C35" s="267"/>
      <c r="D35" s="268" t="s">
        <v>133</v>
      </c>
      <c r="E35" s="264">
        <v>350</v>
      </c>
    </row>
    <row r="36" spans="2:5" s="9" customFormat="1" x14ac:dyDescent="0.35">
      <c r="B36" s="5"/>
      <c r="C36" s="6"/>
      <c r="D36" s="7"/>
      <c r="E36" s="78"/>
    </row>
    <row r="37" spans="2:5" s="9" customFormat="1" x14ac:dyDescent="0.3">
      <c r="B37" s="79" t="s">
        <v>134</v>
      </c>
      <c r="C37" s="63"/>
      <c r="D37" s="157"/>
      <c r="E37" s="158"/>
    </row>
    <row r="38" spans="2:5" x14ac:dyDescent="0.3">
      <c r="B38" s="159" t="s">
        <v>135</v>
      </c>
      <c r="C38" s="160"/>
      <c r="D38" s="56" t="s">
        <v>136</v>
      </c>
      <c r="E38" s="264">
        <v>192</v>
      </c>
    </row>
    <row r="39" spans="2:5" x14ac:dyDescent="0.3">
      <c r="B39" s="261" t="s">
        <v>137</v>
      </c>
      <c r="C39" s="267"/>
      <c r="D39" s="268" t="s">
        <v>138</v>
      </c>
      <c r="E39" s="264">
        <v>510</v>
      </c>
    </row>
    <row r="40" spans="2:5" x14ac:dyDescent="0.3">
      <c r="B40" s="266" t="s">
        <v>139</v>
      </c>
      <c r="C40" s="267"/>
      <c r="D40" s="268" t="s">
        <v>140</v>
      </c>
      <c r="E40" s="264">
        <v>1291</v>
      </c>
    </row>
    <row r="41" spans="2:5" x14ac:dyDescent="0.3">
      <c r="E41" s="61"/>
    </row>
    <row r="42" spans="2:5" s="80" customFormat="1" ht="14.5" x14ac:dyDescent="0.25">
      <c r="B42" s="62" t="s">
        <v>141</v>
      </c>
      <c r="C42" s="176"/>
      <c r="D42" s="177"/>
      <c r="E42" s="209"/>
    </row>
    <row r="43" spans="2:5" s="80" customFormat="1" x14ac:dyDescent="0.25">
      <c r="B43" s="269" t="s">
        <v>142</v>
      </c>
      <c r="C43" s="267"/>
      <c r="D43" s="268" t="s">
        <v>143</v>
      </c>
      <c r="E43" s="264">
        <v>8</v>
      </c>
    </row>
    <row r="44" spans="2:5" s="80" customFormat="1" x14ac:dyDescent="0.25">
      <c r="B44" s="269" t="s">
        <v>144</v>
      </c>
      <c r="C44" s="267"/>
      <c r="D44" s="268" t="s">
        <v>145</v>
      </c>
      <c r="E44" s="264">
        <v>8</v>
      </c>
    </row>
    <row r="45" spans="2:5" s="80" customFormat="1" x14ac:dyDescent="0.25">
      <c r="B45" s="269" t="s">
        <v>146</v>
      </c>
      <c r="C45" s="267"/>
      <c r="D45" s="268" t="s">
        <v>147</v>
      </c>
      <c r="E45" s="264">
        <v>8</v>
      </c>
    </row>
    <row r="46" spans="2:5" s="80" customFormat="1" x14ac:dyDescent="0.25">
      <c r="B46" s="269" t="s">
        <v>148</v>
      </c>
      <c r="C46" s="267"/>
      <c r="D46" s="268" t="s">
        <v>149</v>
      </c>
      <c r="E46" s="264">
        <v>14</v>
      </c>
    </row>
    <row r="47" spans="2:5" s="80" customFormat="1" x14ac:dyDescent="0.25">
      <c r="B47" s="266" t="s">
        <v>150</v>
      </c>
      <c r="C47" s="267"/>
      <c r="D47" s="268" t="s">
        <v>151</v>
      </c>
      <c r="E47" s="264">
        <v>15</v>
      </c>
    </row>
    <row r="48" spans="2:5" s="80" customFormat="1" x14ac:dyDescent="0.25">
      <c r="B48" s="154"/>
      <c r="C48" s="70"/>
      <c r="D48" s="178"/>
      <c r="E48" s="61"/>
    </row>
    <row r="49" spans="2:5" s="9" customFormat="1" x14ac:dyDescent="0.35">
      <c r="B49" s="62" t="s">
        <v>152</v>
      </c>
      <c r="C49" s="63"/>
      <c r="D49" s="157"/>
      <c r="E49" s="157"/>
    </row>
    <row r="50" spans="2:5" s="80" customFormat="1" x14ac:dyDescent="0.25">
      <c r="B50" s="269" t="s">
        <v>153</v>
      </c>
      <c r="C50" s="267"/>
      <c r="D50" s="268" t="s">
        <v>154</v>
      </c>
      <c r="E50" s="264">
        <v>37</v>
      </c>
    </row>
    <row r="51" spans="2:5" s="80" customFormat="1" x14ac:dyDescent="0.25">
      <c r="B51" s="154"/>
      <c r="C51" s="6"/>
      <c r="D51" s="7"/>
      <c r="E51" s="72"/>
    </row>
    <row r="52" spans="2:5" x14ac:dyDescent="0.3">
      <c r="B52" s="62" t="s">
        <v>155</v>
      </c>
      <c r="C52" s="63"/>
      <c r="D52" s="179"/>
      <c r="E52" s="210"/>
    </row>
    <row r="53" spans="2:5" x14ac:dyDescent="0.3">
      <c r="B53" s="266" t="s">
        <v>156</v>
      </c>
      <c r="C53" s="267"/>
      <c r="D53" s="268" t="s">
        <v>157</v>
      </c>
      <c r="E53" s="264">
        <v>40</v>
      </c>
    </row>
    <row r="54" spans="2:5" x14ac:dyDescent="0.3">
      <c r="B54" s="154"/>
      <c r="C54" s="162"/>
      <c r="E54" s="61"/>
    </row>
    <row r="55" spans="2:5" customFormat="1" ht="14.5" x14ac:dyDescent="0.35">
      <c r="B55" s="62" t="s">
        <v>158</v>
      </c>
      <c r="C55" s="63"/>
      <c r="D55" s="64"/>
      <c r="E55" s="61"/>
    </row>
    <row r="56" spans="2:5" customFormat="1" ht="14.5" x14ac:dyDescent="0.35">
      <c r="B56" s="269" t="s">
        <v>159</v>
      </c>
      <c r="C56" s="270"/>
      <c r="D56" s="268" t="s">
        <v>160</v>
      </c>
      <c r="E56" s="264">
        <v>7</v>
      </c>
    </row>
    <row r="57" spans="2:5" customFormat="1" ht="14.5" x14ac:dyDescent="0.35">
      <c r="B57" s="269" t="s">
        <v>161</v>
      </c>
      <c r="C57" s="270"/>
      <c r="D57" s="268" t="s">
        <v>162</v>
      </c>
      <c r="E57" s="264">
        <v>15</v>
      </c>
    </row>
    <row r="58" spans="2:5" s="9" customFormat="1" x14ac:dyDescent="0.35">
      <c r="B58" s="5"/>
      <c r="C58" s="6"/>
      <c r="D58" s="7"/>
      <c r="E58" s="78"/>
    </row>
    <row r="59" spans="2:5" x14ac:dyDescent="0.3">
      <c r="B59" s="62" t="s">
        <v>163</v>
      </c>
      <c r="C59" s="63"/>
      <c r="D59" s="157"/>
      <c r="E59" s="158"/>
    </row>
    <row r="60" spans="2:5" x14ac:dyDescent="0.3">
      <c r="B60" s="271" t="s">
        <v>164</v>
      </c>
      <c r="C60" s="272"/>
      <c r="D60" s="268" t="s">
        <v>165</v>
      </c>
      <c r="E60" s="264">
        <v>0</v>
      </c>
    </row>
    <row r="61" spans="2:5" x14ac:dyDescent="0.3">
      <c r="B61" s="92"/>
      <c r="C61" s="93"/>
      <c r="E61" s="72"/>
    </row>
    <row r="62" spans="2:5" x14ac:dyDescent="0.3">
      <c r="E62" s="61"/>
    </row>
    <row r="63" spans="2:5" collapsed="1" x14ac:dyDescent="0.3">
      <c r="B63" s="74" t="s">
        <v>166</v>
      </c>
      <c r="C63" s="75"/>
      <c r="D63" s="76"/>
      <c r="E63" s="77"/>
    </row>
    <row r="64" spans="2:5" x14ac:dyDescent="0.3">
      <c r="B64" s="62" t="s">
        <v>167</v>
      </c>
      <c r="C64" s="63"/>
      <c r="E64" s="61"/>
    </row>
    <row r="65" spans="1:5" x14ac:dyDescent="0.3">
      <c r="B65" s="261" t="s">
        <v>108</v>
      </c>
      <c r="C65" s="267"/>
      <c r="D65" s="268" t="s">
        <v>109</v>
      </c>
      <c r="E65" s="264">
        <v>48</v>
      </c>
    </row>
    <row r="66" spans="1:5" x14ac:dyDescent="0.3">
      <c r="B66" s="261" t="s">
        <v>110</v>
      </c>
      <c r="C66" s="262"/>
      <c r="D66" s="263" t="s">
        <v>111</v>
      </c>
      <c r="E66" s="264">
        <v>153</v>
      </c>
    </row>
    <row r="67" spans="1:5" x14ac:dyDescent="0.3">
      <c r="B67" s="261" t="s">
        <v>112</v>
      </c>
      <c r="C67" s="267"/>
      <c r="D67" s="268" t="s">
        <v>113</v>
      </c>
      <c r="E67" s="264">
        <v>328</v>
      </c>
    </row>
    <row r="68" spans="1:5" x14ac:dyDescent="0.3">
      <c r="B68" s="173"/>
      <c r="C68" s="174"/>
      <c r="D68" s="18"/>
      <c r="E68" s="175"/>
    </row>
    <row r="69" spans="1:5" x14ac:dyDescent="0.3">
      <c r="B69" s="62" t="s">
        <v>114</v>
      </c>
      <c r="C69" s="68"/>
      <c r="D69" s="55"/>
      <c r="E69" s="61"/>
    </row>
    <row r="70" spans="1:5" x14ac:dyDescent="0.3">
      <c r="B70" s="261" t="s">
        <v>115</v>
      </c>
      <c r="C70" s="265"/>
      <c r="D70" s="268" t="s">
        <v>116</v>
      </c>
      <c r="E70" s="264">
        <v>121</v>
      </c>
    </row>
    <row r="71" spans="1:5" x14ac:dyDescent="0.3">
      <c r="A71" s="15"/>
      <c r="B71" s="261" t="s">
        <v>168</v>
      </c>
      <c r="C71" s="265"/>
      <c r="D71" s="268" t="s">
        <v>118</v>
      </c>
      <c r="E71" s="264">
        <v>144</v>
      </c>
    </row>
    <row r="72" spans="1:5" x14ac:dyDescent="0.3">
      <c r="B72" s="261" t="s">
        <v>169</v>
      </c>
      <c r="C72" s="265"/>
      <c r="D72" s="268" t="s">
        <v>120</v>
      </c>
      <c r="E72" s="264">
        <v>409</v>
      </c>
    </row>
    <row r="73" spans="1:5" x14ac:dyDescent="0.3">
      <c r="C73" s="161"/>
      <c r="E73" s="61"/>
    </row>
    <row r="74" spans="1:5" x14ac:dyDescent="0.3">
      <c r="B74" s="62" t="s">
        <v>121</v>
      </c>
      <c r="C74" s="63"/>
      <c r="D74" s="157"/>
      <c r="E74" s="158"/>
    </row>
    <row r="75" spans="1:5" x14ac:dyDescent="0.3">
      <c r="B75" s="266" t="s">
        <v>122</v>
      </c>
      <c r="C75" s="267"/>
      <c r="D75" s="268" t="s">
        <v>123</v>
      </c>
      <c r="E75" s="264">
        <v>58</v>
      </c>
    </row>
    <row r="76" spans="1:5" x14ac:dyDescent="0.3">
      <c r="B76" s="266" t="s">
        <v>124</v>
      </c>
      <c r="C76" s="267"/>
      <c r="D76" s="268" t="s">
        <v>125</v>
      </c>
      <c r="E76" s="264">
        <v>131</v>
      </c>
    </row>
    <row r="77" spans="1:5" x14ac:dyDescent="0.3">
      <c r="B77" s="266" t="s">
        <v>126</v>
      </c>
      <c r="C77" s="267"/>
      <c r="D77" s="268" t="s">
        <v>127</v>
      </c>
      <c r="E77" s="264">
        <v>275</v>
      </c>
    </row>
    <row r="78" spans="1:5" x14ac:dyDescent="0.3">
      <c r="E78" s="78"/>
    </row>
    <row r="79" spans="1:5" x14ac:dyDescent="0.3">
      <c r="B79" s="62" t="s">
        <v>128</v>
      </c>
      <c r="C79" s="63"/>
      <c r="D79" s="157"/>
      <c r="E79" s="158"/>
    </row>
    <row r="80" spans="1:5" x14ac:dyDescent="0.3">
      <c r="B80" s="266" t="s">
        <v>129</v>
      </c>
      <c r="C80" s="267"/>
      <c r="D80" s="268" t="s">
        <v>130</v>
      </c>
      <c r="E80" s="264">
        <v>75</v>
      </c>
    </row>
    <row r="81" spans="2:5" x14ac:dyDescent="0.3">
      <c r="B81" s="266" t="s">
        <v>170</v>
      </c>
      <c r="C81" s="267"/>
      <c r="D81" s="268" t="s">
        <v>131</v>
      </c>
      <c r="E81" s="264">
        <v>133</v>
      </c>
    </row>
    <row r="82" spans="2:5" x14ac:dyDescent="0.3">
      <c r="B82" s="266" t="s">
        <v>124</v>
      </c>
      <c r="C82" s="267"/>
      <c r="D82" s="268" t="s">
        <v>132</v>
      </c>
      <c r="E82" s="264">
        <v>206</v>
      </c>
    </row>
    <row r="83" spans="2:5" x14ac:dyDescent="0.3">
      <c r="B83" s="266" t="s">
        <v>126</v>
      </c>
      <c r="C83" s="267"/>
      <c r="D83" s="268" t="s">
        <v>133</v>
      </c>
      <c r="E83" s="264">
        <v>350</v>
      </c>
    </row>
    <row r="84" spans="2:5" x14ac:dyDescent="0.3">
      <c r="B84" s="266" t="s">
        <v>171</v>
      </c>
      <c r="C84" s="267"/>
      <c r="D84" s="268" t="s">
        <v>172</v>
      </c>
      <c r="E84" s="264">
        <v>46</v>
      </c>
    </row>
    <row r="85" spans="2:5" x14ac:dyDescent="0.3">
      <c r="B85" s="266" t="s">
        <v>173</v>
      </c>
      <c r="C85" s="267"/>
      <c r="D85" s="268" t="s">
        <v>174</v>
      </c>
      <c r="E85" s="264">
        <v>69</v>
      </c>
    </row>
    <row r="86" spans="2:5" x14ac:dyDescent="0.3">
      <c r="B86" s="266" t="s">
        <v>175</v>
      </c>
      <c r="C86" s="267"/>
      <c r="D86" s="268" t="s">
        <v>176</v>
      </c>
      <c r="E86" s="264">
        <v>82</v>
      </c>
    </row>
    <row r="87" spans="2:5" s="9" customFormat="1" x14ac:dyDescent="0.35">
      <c r="B87" s="5"/>
      <c r="C87" s="6"/>
      <c r="D87" s="7"/>
      <c r="E87" s="78"/>
    </row>
    <row r="88" spans="2:5" s="9" customFormat="1" x14ac:dyDescent="0.3">
      <c r="B88" s="79" t="s">
        <v>134</v>
      </c>
      <c r="C88" s="63"/>
      <c r="D88" s="157"/>
      <c r="E88" s="158"/>
    </row>
    <row r="89" spans="2:5" x14ac:dyDescent="0.3">
      <c r="B89" s="266" t="s">
        <v>135</v>
      </c>
      <c r="C89" s="267"/>
      <c r="D89" s="268" t="s">
        <v>136</v>
      </c>
      <c r="E89" s="264">
        <v>192</v>
      </c>
    </row>
    <row r="90" spans="2:5" x14ac:dyDescent="0.3">
      <c r="B90" s="266" t="s">
        <v>177</v>
      </c>
      <c r="C90" s="267"/>
      <c r="D90" s="268" t="s">
        <v>178</v>
      </c>
      <c r="E90" s="264">
        <v>400</v>
      </c>
    </row>
    <row r="91" spans="2:5" x14ac:dyDescent="0.3">
      <c r="B91" s="261" t="s">
        <v>137</v>
      </c>
      <c r="C91" s="267"/>
      <c r="D91" s="268" t="s">
        <v>138</v>
      </c>
      <c r="E91" s="264">
        <v>510</v>
      </c>
    </row>
    <row r="92" spans="2:5" x14ac:dyDescent="0.3">
      <c r="B92" s="266" t="s">
        <v>179</v>
      </c>
      <c r="C92" s="267"/>
      <c r="D92" s="268" t="s">
        <v>140</v>
      </c>
      <c r="E92" s="264">
        <v>1291</v>
      </c>
    </row>
    <row r="93" spans="2:5" s="9" customFormat="1" x14ac:dyDescent="0.35">
      <c r="B93" s="5"/>
      <c r="C93" s="6"/>
      <c r="D93" s="7"/>
      <c r="E93" s="78"/>
    </row>
    <row r="94" spans="2:5" customFormat="1" ht="14.5" x14ac:dyDescent="0.35">
      <c r="B94" s="62" t="s">
        <v>180</v>
      </c>
      <c r="C94" s="6"/>
      <c r="D94" s="7"/>
      <c r="E94" s="61"/>
    </row>
    <row r="95" spans="2:5" customFormat="1" ht="14.5" x14ac:dyDescent="0.35">
      <c r="B95" s="266" t="s">
        <v>181</v>
      </c>
      <c r="C95" s="267"/>
      <c r="D95" s="268" t="s">
        <v>182</v>
      </c>
      <c r="E95" s="264">
        <v>6</v>
      </c>
    </row>
    <row r="96" spans="2:5" customFormat="1" ht="14.5" x14ac:dyDescent="0.35">
      <c r="B96" s="266" t="s">
        <v>183</v>
      </c>
      <c r="C96" s="267"/>
      <c r="D96" s="268" t="s">
        <v>184</v>
      </c>
      <c r="E96" s="264">
        <v>12</v>
      </c>
    </row>
    <row r="97" spans="2:5" s="9" customFormat="1" x14ac:dyDescent="0.35">
      <c r="B97" s="5"/>
      <c r="C97" s="6"/>
      <c r="D97" s="7"/>
      <c r="E97" s="78"/>
    </row>
    <row r="98" spans="2:5" s="80" customFormat="1" ht="14.5" x14ac:dyDescent="0.25">
      <c r="B98" s="62" t="s">
        <v>185</v>
      </c>
      <c r="C98" s="176"/>
      <c r="D98" s="177"/>
      <c r="E98" s="209"/>
    </row>
    <row r="99" spans="2:5" s="80" customFormat="1" x14ac:dyDescent="0.25">
      <c r="B99" s="269" t="s">
        <v>142</v>
      </c>
      <c r="C99" s="267"/>
      <c r="D99" s="268" t="s">
        <v>143</v>
      </c>
      <c r="E99" s="264">
        <v>8</v>
      </c>
    </row>
    <row r="100" spans="2:5" s="80" customFormat="1" x14ac:dyDescent="0.25">
      <c r="B100" s="269" t="s">
        <v>144</v>
      </c>
      <c r="C100" s="267"/>
      <c r="D100" s="268" t="s">
        <v>145</v>
      </c>
      <c r="E100" s="264">
        <v>8</v>
      </c>
    </row>
    <row r="101" spans="2:5" s="80" customFormat="1" x14ac:dyDescent="0.25">
      <c r="B101" s="269" t="s">
        <v>146</v>
      </c>
      <c r="C101" s="267"/>
      <c r="D101" s="268" t="s">
        <v>147</v>
      </c>
      <c r="E101" s="264">
        <v>8</v>
      </c>
    </row>
    <row r="102" spans="2:5" s="80" customFormat="1" x14ac:dyDescent="0.25">
      <c r="B102" s="269" t="s">
        <v>186</v>
      </c>
      <c r="C102" s="267"/>
      <c r="D102" s="268" t="s">
        <v>149</v>
      </c>
      <c r="E102" s="264">
        <v>14</v>
      </c>
    </row>
    <row r="103" spans="2:5" s="80" customFormat="1" x14ac:dyDescent="0.25">
      <c r="B103" s="5"/>
      <c r="C103" s="6"/>
      <c r="D103" s="7"/>
      <c r="E103" s="78"/>
    </row>
    <row r="104" spans="2:5" x14ac:dyDescent="0.3">
      <c r="B104" s="180" t="s">
        <v>187</v>
      </c>
      <c r="C104" s="63"/>
      <c r="D104" s="157"/>
      <c r="E104" s="158"/>
    </row>
    <row r="105" spans="2:5" x14ac:dyDescent="0.3">
      <c r="B105" s="266" t="s">
        <v>188</v>
      </c>
      <c r="C105" s="267"/>
      <c r="D105" s="268" t="s">
        <v>189</v>
      </c>
      <c r="E105" s="264">
        <v>37</v>
      </c>
    </row>
    <row r="106" spans="2:5" x14ac:dyDescent="0.3">
      <c r="B106" s="266" t="s">
        <v>190</v>
      </c>
      <c r="C106" s="267"/>
      <c r="D106" s="268" t="s">
        <v>157</v>
      </c>
      <c r="E106" s="264">
        <v>40</v>
      </c>
    </row>
    <row r="107" spans="2:5" x14ac:dyDescent="0.3">
      <c r="B107" s="266" t="s">
        <v>191</v>
      </c>
      <c r="C107" s="267"/>
      <c r="D107" s="268" t="s">
        <v>151</v>
      </c>
      <c r="E107" s="264">
        <v>15</v>
      </c>
    </row>
    <row r="108" spans="2:5" x14ac:dyDescent="0.3">
      <c r="B108" s="181" t="s">
        <v>192</v>
      </c>
      <c r="E108" s="78"/>
    </row>
    <row r="109" spans="2:5" customFormat="1" ht="14.5" x14ac:dyDescent="0.35">
      <c r="B109" s="62" t="s">
        <v>158</v>
      </c>
      <c r="C109" s="63"/>
      <c r="D109" s="64"/>
      <c r="E109" s="61"/>
    </row>
    <row r="110" spans="2:5" customFormat="1" ht="14.5" x14ac:dyDescent="0.35">
      <c r="B110" s="269" t="s">
        <v>159</v>
      </c>
      <c r="C110" s="270"/>
      <c r="D110" s="268" t="s">
        <v>160</v>
      </c>
      <c r="E110" s="264">
        <v>7</v>
      </c>
    </row>
    <row r="111" spans="2:5" customFormat="1" ht="14.5" x14ac:dyDescent="0.35">
      <c r="B111" s="269" t="s">
        <v>161</v>
      </c>
      <c r="C111" s="270"/>
      <c r="D111" s="268" t="s">
        <v>162</v>
      </c>
      <c r="E111" s="264">
        <v>15</v>
      </c>
    </row>
    <row r="112" spans="2:5" s="9" customFormat="1" x14ac:dyDescent="0.35">
      <c r="B112" s="154"/>
      <c r="C112" s="182"/>
      <c r="D112" s="183"/>
      <c r="E112" s="211"/>
    </row>
    <row r="113" spans="2:5" x14ac:dyDescent="0.3">
      <c r="B113" s="62" t="s">
        <v>163</v>
      </c>
      <c r="C113" s="63"/>
      <c r="D113" s="157"/>
      <c r="E113" s="158"/>
    </row>
    <row r="114" spans="2:5" x14ac:dyDescent="0.3">
      <c r="B114" s="271" t="s">
        <v>164</v>
      </c>
      <c r="C114" s="272"/>
      <c r="D114" s="268" t="s">
        <v>165</v>
      </c>
      <c r="E114" s="264">
        <v>0</v>
      </c>
    </row>
    <row r="115" spans="2:5" s="9" customFormat="1" x14ac:dyDescent="0.35">
      <c r="B115" s="5"/>
      <c r="C115" s="6"/>
      <c r="D115" s="7"/>
      <c r="E115" s="78"/>
    </row>
    <row r="116" spans="2:5" x14ac:dyDescent="0.3">
      <c r="E116" s="61"/>
    </row>
    <row r="117" spans="2:5" collapsed="1" x14ac:dyDescent="0.3">
      <c r="B117" s="74" t="s">
        <v>193</v>
      </c>
      <c r="C117" s="75"/>
      <c r="D117" s="76"/>
      <c r="E117" s="77"/>
    </row>
    <row r="118" spans="2:5" x14ac:dyDescent="0.3">
      <c r="B118" s="62" t="s">
        <v>107</v>
      </c>
      <c r="C118" s="7"/>
      <c r="E118" s="61"/>
    </row>
    <row r="119" spans="2:5" x14ac:dyDescent="0.3">
      <c r="B119" s="261" t="s">
        <v>108</v>
      </c>
      <c r="C119" s="262"/>
      <c r="D119" s="268" t="s">
        <v>109</v>
      </c>
      <c r="E119" s="264">
        <v>48</v>
      </c>
    </row>
    <row r="120" spans="2:5" x14ac:dyDescent="0.3">
      <c r="B120" s="261" t="s">
        <v>110</v>
      </c>
      <c r="C120" s="262"/>
      <c r="D120" s="263" t="s">
        <v>111</v>
      </c>
      <c r="E120" s="264">
        <v>153</v>
      </c>
    </row>
    <row r="121" spans="2:5" x14ac:dyDescent="0.3">
      <c r="B121" s="266" t="s">
        <v>194</v>
      </c>
      <c r="C121" s="267"/>
      <c r="D121" s="268" t="s">
        <v>195</v>
      </c>
      <c r="E121" s="264">
        <v>229</v>
      </c>
    </row>
    <row r="122" spans="2:5" x14ac:dyDescent="0.3">
      <c r="B122" s="261" t="s">
        <v>112</v>
      </c>
      <c r="C122" s="262"/>
      <c r="D122" s="268" t="s">
        <v>113</v>
      </c>
      <c r="E122" s="264">
        <v>328</v>
      </c>
    </row>
    <row r="123" spans="2:5" x14ac:dyDescent="0.3">
      <c r="B123" s="266" t="s">
        <v>196</v>
      </c>
      <c r="C123" s="267"/>
      <c r="D123" s="268" t="s">
        <v>197</v>
      </c>
      <c r="E123" s="264">
        <v>398</v>
      </c>
    </row>
    <row r="124" spans="2:5" x14ac:dyDescent="0.3">
      <c r="B124" s="62"/>
      <c r="C124" s="63"/>
      <c r="E124" s="158"/>
    </row>
    <row r="125" spans="2:5" x14ac:dyDescent="0.3">
      <c r="B125" s="62" t="s">
        <v>114</v>
      </c>
      <c r="C125" s="63"/>
      <c r="D125" s="157"/>
      <c r="E125" s="158"/>
    </row>
    <row r="126" spans="2:5" x14ac:dyDescent="0.3">
      <c r="B126" s="266" t="s">
        <v>198</v>
      </c>
      <c r="C126" s="265"/>
      <c r="D126" s="268" t="s">
        <v>199</v>
      </c>
      <c r="E126" s="264">
        <v>128</v>
      </c>
    </row>
    <row r="127" spans="2:5" x14ac:dyDescent="0.3">
      <c r="B127" s="266" t="s">
        <v>200</v>
      </c>
      <c r="C127" s="265"/>
      <c r="D127" s="268" t="s">
        <v>201</v>
      </c>
      <c r="E127" s="264">
        <v>416</v>
      </c>
    </row>
    <row r="128" spans="2:5" x14ac:dyDescent="0.3">
      <c r="B128" s="266" t="s">
        <v>202</v>
      </c>
      <c r="C128" s="265"/>
      <c r="D128" s="268" t="s">
        <v>203</v>
      </c>
      <c r="E128" s="264">
        <v>369</v>
      </c>
    </row>
    <row r="129" spans="1:5" customFormat="1" ht="14.5" x14ac:dyDescent="0.35">
      <c r="B129" s="266" t="s">
        <v>204</v>
      </c>
      <c r="C129" s="265"/>
      <c r="D129" s="268" t="s">
        <v>205</v>
      </c>
      <c r="E129" s="264">
        <v>946</v>
      </c>
    </row>
    <row r="130" spans="1:5" customFormat="1" ht="14.5" x14ac:dyDescent="0.35">
      <c r="B130" s="62" t="s">
        <v>206</v>
      </c>
      <c r="C130" s="68"/>
      <c r="D130" s="55"/>
      <c r="E130" s="61"/>
    </row>
    <row r="131" spans="1:5" x14ac:dyDescent="0.3">
      <c r="B131" s="266" t="s">
        <v>207</v>
      </c>
      <c r="C131" s="265"/>
      <c r="D131" s="155" t="s">
        <v>208</v>
      </c>
      <c r="E131" s="264">
        <v>35</v>
      </c>
    </row>
    <row r="132" spans="1:5" x14ac:dyDescent="0.3">
      <c r="A132" s="15"/>
      <c r="B132" s="266" t="s">
        <v>209</v>
      </c>
      <c r="C132" s="265"/>
      <c r="D132" s="155" t="s">
        <v>210</v>
      </c>
      <c r="E132" s="264">
        <v>183</v>
      </c>
    </row>
    <row r="133" spans="1:5" x14ac:dyDescent="0.3">
      <c r="B133" s="266" t="s">
        <v>211</v>
      </c>
      <c r="C133" s="265"/>
      <c r="D133" s="155" t="s">
        <v>212</v>
      </c>
      <c r="E133" s="264">
        <v>480</v>
      </c>
    </row>
    <row r="134" spans="1:5" x14ac:dyDescent="0.3">
      <c r="B134" s="266" t="s">
        <v>213</v>
      </c>
      <c r="C134" s="265"/>
      <c r="D134" s="268" t="s">
        <v>214</v>
      </c>
      <c r="E134" s="264">
        <v>571</v>
      </c>
    </row>
    <row r="135" spans="1:5" x14ac:dyDescent="0.3">
      <c r="B135" s="266" t="s">
        <v>215</v>
      </c>
      <c r="C135" s="265"/>
      <c r="D135" s="155" t="s">
        <v>216</v>
      </c>
      <c r="E135" s="264">
        <v>1255</v>
      </c>
    </row>
    <row r="136" spans="1:5" x14ac:dyDescent="0.3">
      <c r="E136" s="78"/>
    </row>
    <row r="137" spans="1:5" x14ac:dyDescent="0.3">
      <c r="B137" s="62" t="s">
        <v>217</v>
      </c>
      <c r="C137" s="63"/>
      <c r="D137" s="157"/>
      <c r="E137" s="158"/>
    </row>
    <row r="138" spans="1:5" ht="15" customHeight="1" x14ac:dyDescent="0.3">
      <c r="B138" s="266" t="s">
        <v>170</v>
      </c>
      <c r="C138" s="267"/>
      <c r="D138" s="268" t="s">
        <v>123</v>
      </c>
      <c r="E138" s="264">
        <v>58</v>
      </c>
    </row>
    <row r="139" spans="1:5" x14ac:dyDescent="0.3">
      <c r="B139" s="266" t="s">
        <v>124</v>
      </c>
      <c r="C139" s="267"/>
      <c r="D139" s="268" t="s">
        <v>125</v>
      </c>
      <c r="E139" s="264">
        <v>131</v>
      </c>
    </row>
    <row r="140" spans="1:5" x14ac:dyDescent="0.3">
      <c r="B140" s="266" t="s">
        <v>126</v>
      </c>
      <c r="C140" s="267"/>
      <c r="D140" s="268" t="s">
        <v>127</v>
      </c>
      <c r="E140" s="264">
        <v>275</v>
      </c>
    </row>
    <row r="141" spans="1:5" x14ac:dyDescent="0.3">
      <c r="B141" s="266" t="s">
        <v>218</v>
      </c>
      <c r="C141" s="267"/>
      <c r="D141" s="268" t="s">
        <v>219</v>
      </c>
      <c r="E141" s="264">
        <v>575</v>
      </c>
    </row>
    <row r="142" spans="1:5" x14ac:dyDescent="0.3">
      <c r="B142" s="62" t="s">
        <v>220</v>
      </c>
      <c r="C142" s="63"/>
      <c r="D142" s="157"/>
      <c r="E142" s="158"/>
    </row>
    <row r="143" spans="1:5" x14ac:dyDescent="0.3">
      <c r="B143" s="266" t="s">
        <v>129</v>
      </c>
      <c r="C143" s="267"/>
      <c r="D143" s="268" t="s">
        <v>130</v>
      </c>
      <c r="E143" s="264">
        <v>75</v>
      </c>
    </row>
    <row r="144" spans="1:5" x14ac:dyDescent="0.3">
      <c r="B144" s="266" t="s">
        <v>170</v>
      </c>
      <c r="C144" s="267"/>
      <c r="D144" s="268" t="s">
        <v>131</v>
      </c>
      <c r="E144" s="264">
        <v>133</v>
      </c>
    </row>
    <row r="145" spans="2:7" x14ac:dyDescent="0.3">
      <c r="B145" s="266" t="s">
        <v>124</v>
      </c>
      <c r="C145" s="267"/>
      <c r="D145" s="268" t="s">
        <v>132</v>
      </c>
      <c r="E145" s="264">
        <v>206</v>
      </c>
    </row>
    <row r="146" spans="2:7" x14ac:dyDescent="0.3">
      <c r="B146" s="266" t="s">
        <v>126</v>
      </c>
      <c r="C146" s="267"/>
      <c r="D146" s="268" t="s">
        <v>133</v>
      </c>
      <c r="E146" s="264">
        <v>350</v>
      </c>
    </row>
    <row r="147" spans="2:7" x14ac:dyDescent="0.3">
      <c r="B147" s="266" t="s">
        <v>218</v>
      </c>
      <c r="C147" s="267"/>
      <c r="D147" s="268" t="s">
        <v>221</v>
      </c>
      <c r="E147" s="264">
        <v>650</v>
      </c>
      <c r="G147" s="239"/>
    </row>
    <row r="148" spans="2:7" x14ac:dyDescent="0.3">
      <c r="E148" s="78"/>
    </row>
    <row r="149" spans="2:7" x14ac:dyDescent="0.3">
      <c r="B149" s="62" t="s">
        <v>222</v>
      </c>
      <c r="C149" s="63"/>
      <c r="D149" s="157"/>
      <c r="E149" s="158"/>
    </row>
    <row r="150" spans="2:7" x14ac:dyDescent="0.3">
      <c r="B150" s="266" t="s">
        <v>171</v>
      </c>
      <c r="C150" s="267"/>
      <c r="D150" s="268" t="s">
        <v>172</v>
      </c>
      <c r="E150" s="264">
        <v>46</v>
      </c>
    </row>
    <row r="151" spans="2:7" x14ac:dyDescent="0.3">
      <c r="B151" s="266" t="s">
        <v>173</v>
      </c>
      <c r="C151" s="267"/>
      <c r="D151" s="268" t="s">
        <v>174</v>
      </c>
      <c r="E151" s="264">
        <v>69</v>
      </c>
    </row>
    <row r="152" spans="2:7" x14ac:dyDescent="0.3">
      <c r="B152" s="266" t="s">
        <v>175</v>
      </c>
      <c r="C152" s="267"/>
      <c r="D152" s="268" t="s">
        <v>176</v>
      </c>
      <c r="E152" s="264">
        <v>82</v>
      </c>
    </row>
    <row r="153" spans="2:7" x14ac:dyDescent="0.3">
      <c r="B153" s="62" t="s">
        <v>223</v>
      </c>
      <c r="C153" s="63"/>
      <c r="D153" s="157"/>
      <c r="E153" s="158"/>
    </row>
    <row r="154" spans="2:7" x14ac:dyDescent="0.3">
      <c r="B154" s="266" t="s">
        <v>171</v>
      </c>
      <c r="C154" s="267"/>
      <c r="D154" s="268" t="s">
        <v>172</v>
      </c>
      <c r="E154" s="264">
        <v>46</v>
      </c>
    </row>
    <row r="155" spans="2:7" x14ac:dyDescent="0.3">
      <c r="B155" s="266" t="s">
        <v>173</v>
      </c>
      <c r="C155" s="267"/>
      <c r="D155" s="268" t="s">
        <v>174</v>
      </c>
      <c r="E155" s="264">
        <v>69</v>
      </c>
    </row>
    <row r="156" spans="2:7" x14ac:dyDescent="0.3">
      <c r="B156" s="266" t="s">
        <v>175</v>
      </c>
      <c r="C156" s="267"/>
      <c r="D156" s="268" t="s">
        <v>176</v>
      </c>
      <c r="E156" s="264">
        <v>82</v>
      </c>
    </row>
    <row r="157" spans="2:7" s="9" customFormat="1" x14ac:dyDescent="0.35">
      <c r="B157" s="5"/>
      <c r="C157" s="6"/>
      <c r="D157" s="7"/>
      <c r="E157" s="78"/>
    </row>
    <row r="158" spans="2:7" s="9" customFormat="1" x14ac:dyDescent="0.35">
      <c r="B158" s="62" t="s">
        <v>224</v>
      </c>
      <c r="C158" s="63"/>
      <c r="D158" s="157"/>
      <c r="E158" s="158"/>
    </row>
    <row r="159" spans="2:7" x14ac:dyDescent="0.3">
      <c r="B159" s="266" t="s">
        <v>225</v>
      </c>
      <c r="C159" s="267"/>
      <c r="D159" s="268" t="s">
        <v>226</v>
      </c>
      <c r="E159" s="264">
        <v>55</v>
      </c>
    </row>
    <row r="160" spans="2:7" s="9" customFormat="1" x14ac:dyDescent="0.35">
      <c r="B160" s="5"/>
      <c r="C160" s="6"/>
      <c r="D160" s="7"/>
      <c r="E160" s="78"/>
    </row>
    <row r="161" spans="1:5" s="9" customFormat="1" x14ac:dyDescent="0.35">
      <c r="B161" s="62" t="s">
        <v>227</v>
      </c>
      <c r="C161" s="63"/>
      <c r="D161" s="157"/>
      <c r="E161" s="158"/>
    </row>
    <row r="162" spans="1:5" x14ac:dyDescent="0.3">
      <c r="B162" s="266" t="s">
        <v>228</v>
      </c>
      <c r="C162" s="267"/>
      <c r="D162" s="268" t="s">
        <v>229</v>
      </c>
      <c r="E162" s="264">
        <v>36</v>
      </c>
    </row>
    <row r="163" spans="1:5" x14ac:dyDescent="0.3">
      <c r="E163" s="61"/>
    </row>
    <row r="164" spans="1:5" s="9" customFormat="1" x14ac:dyDescent="0.3">
      <c r="B164" s="79" t="s">
        <v>134</v>
      </c>
      <c r="C164" s="63"/>
      <c r="D164" s="157"/>
      <c r="E164" s="158"/>
    </row>
    <row r="165" spans="1:5" x14ac:dyDescent="0.3">
      <c r="B165" s="27" t="s">
        <v>230</v>
      </c>
      <c r="C165" s="184"/>
      <c r="D165" s="28"/>
      <c r="E165" s="37"/>
    </row>
    <row r="166" spans="1:5" x14ac:dyDescent="0.3">
      <c r="B166" s="267" t="s">
        <v>135</v>
      </c>
      <c r="C166" s="267"/>
      <c r="D166" s="268" t="s">
        <v>136</v>
      </c>
      <c r="E166" s="264">
        <v>192</v>
      </c>
    </row>
    <row r="167" spans="1:5" x14ac:dyDescent="0.3">
      <c r="A167" s="15"/>
      <c r="B167" s="261" t="s">
        <v>137</v>
      </c>
      <c r="C167" s="267"/>
      <c r="D167" s="268" t="s">
        <v>138</v>
      </c>
      <c r="E167" s="264">
        <v>510</v>
      </c>
    </row>
    <row r="168" spans="1:5" x14ac:dyDescent="0.3">
      <c r="A168" s="15"/>
      <c r="B168" s="266" t="s">
        <v>231</v>
      </c>
      <c r="C168" s="267"/>
      <c r="D168" s="268" t="s">
        <v>232</v>
      </c>
      <c r="E168" s="264">
        <v>1291</v>
      </c>
    </row>
    <row r="169" spans="1:5" x14ac:dyDescent="0.3">
      <c r="A169" s="15"/>
      <c r="B169" s="266" t="s">
        <v>233</v>
      </c>
      <c r="C169" s="267"/>
      <c r="D169" s="268" t="s">
        <v>234</v>
      </c>
      <c r="E169" s="264">
        <v>2266</v>
      </c>
    </row>
    <row r="170" spans="1:5" ht="15.75" customHeight="1" x14ac:dyDescent="0.3">
      <c r="A170" s="15"/>
      <c r="B170" s="266" t="s">
        <v>235</v>
      </c>
      <c r="C170" s="267"/>
      <c r="D170" s="268" t="s">
        <v>236</v>
      </c>
      <c r="E170" s="273">
        <v>3708</v>
      </c>
    </row>
    <row r="171" spans="1:5" x14ac:dyDescent="0.3">
      <c r="A171" s="15"/>
      <c r="B171" s="266" t="s">
        <v>237</v>
      </c>
      <c r="C171" s="267"/>
      <c r="D171" s="268" t="s">
        <v>238</v>
      </c>
      <c r="E171" s="264">
        <v>6644</v>
      </c>
    </row>
    <row r="172" spans="1:5" x14ac:dyDescent="0.3">
      <c r="A172" s="15"/>
      <c r="B172" s="27" t="s">
        <v>239</v>
      </c>
      <c r="C172" s="184"/>
      <c r="D172" s="28"/>
      <c r="E172" s="37"/>
    </row>
    <row r="173" spans="1:5" x14ac:dyDescent="0.3">
      <c r="A173" s="15"/>
      <c r="B173" s="266" t="s">
        <v>240</v>
      </c>
      <c r="C173" s="267"/>
      <c r="D173" s="268" t="s">
        <v>241</v>
      </c>
      <c r="E173" s="264">
        <v>431</v>
      </c>
    </row>
    <row r="174" spans="1:5" ht="26" x14ac:dyDescent="0.3">
      <c r="A174" s="15"/>
      <c r="B174" s="266" t="s">
        <v>242</v>
      </c>
      <c r="C174" s="266"/>
      <c r="D174" s="268" t="s">
        <v>243</v>
      </c>
      <c r="E174" s="264">
        <v>693</v>
      </c>
    </row>
    <row r="175" spans="1:5" s="6" customFormat="1" ht="26" x14ac:dyDescent="0.35">
      <c r="A175" s="118"/>
      <c r="B175" s="266" t="s">
        <v>244</v>
      </c>
      <c r="C175" s="266"/>
      <c r="D175" s="268" t="s">
        <v>245</v>
      </c>
      <c r="E175" s="264">
        <v>1312</v>
      </c>
    </row>
    <row r="176" spans="1:5" ht="26" x14ac:dyDescent="0.3">
      <c r="A176" s="15"/>
      <c r="B176" s="266" t="s">
        <v>246</v>
      </c>
      <c r="C176" s="266"/>
      <c r="D176" s="268" t="s">
        <v>247</v>
      </c>
      <c r="E176" s="264">
        <v>1854</v>
      </c>
    </row>
    <row r="177" spans="2:5" s="9" customFormat="1" x14ac:dyDescent="0.35">
      <c r="B177" s="5"/>
      <c r="C177" s="6"/>
      <c r="D177" s="7"/>
      <c r="E177" s="78"/>
    </row>
    <row r="178" spans="2:5" s="9" customFormat="1" x14ac:dyDescent="0.35">
      <c r="B178" s="62" t="s">
        <v>248</v>
      </c>
      <c r="C178" s="63"/>
      <c r="D178" s="157"/>
      <c r="E178" s="158"/>
    </row>
    <row r="179" spans="2:5" customFormat="1" ht="14.5" x14ac:dyDescent="0.35">
      <c r="B179" s="266" t="s">
        <v>249</v>
      </c>
      <c r="C179" s="267"/>
      <c r="D179" s="268" t="s">
        <v>184</v>
      </c>
      <c r="E179" s="264">
        <v>12</v>
      </c>
    </row>
    <row r="180" spans="2:5" s="9" customFormat="1" x14ac:dyDescent="0.35">
      <c r="B180" s="266" t="s">
        <v>250</v>
      </c>
      <c r="C180" s="267"/>
      <c r="D180" s="268" t="s">
        <v>251</v>
      </c>
      <c r="E180" s="264">
        <v>88</v>
      </c>
    </row>
    <row r="181" spans="2:5" s="9" customFormat="1" x14ac:dyDescent="0.35">
      <c r="B181" s="154"/>
      <c r="C181" s="182"/>
      <c r="D181" s="183"/>
      <c r="E181" s="183"/>
    </row>
    <row r="182" spans="2:5" s="9" customFormat="1" x14ac:dyDescent="0.35">
      <c r="B182" s="62" t="s">
        <v>252</v>
      </c>
      <c r="C182" s="63"/>
      <c r="D182" s="157"/>
      <c r="E182" s="157"/>
    </row>
    <row r="183" spans="2:5" s="80" customFormat="1" x14ac:dyDescent="0.25">
      <c r="B183" s="269" t="s">
        <v>253</v>
      </c>
      <c r="C183" s="274"/>
      <c r="D183" s="268" t="s">
        <v>143</v>
      </c>
      <c r="E183" s="264">
        <v>8</v>
      </c>
    </row>
    <row r="184" spans="2:5" s="80" customFormat="1" x14ac:dyDescent="0.25">
      <c r="B184" s="269" t="s">
        <v>254</v>
      </c>
      <c r="C184" s="274"/>
      <c r="D184" s="268" t="s">
        <v>145</v>
      </c>
      <c r="E184" s="264">
        <v>8</v>
      </c>
    </row>
    <row r="185" spans="2:5" s="80" customFormat="1" x14ac:dyDescent="0.25">
      <c r="B185" s="269" t="s">
        <v>255</v>
      </c>
      <c r="C185" s="267"/>
      <c r="D185" s="268" t="s">
        <v>147</v>
      </c>
      <c r="E185" s="264">
        <v>8</v>
      </c>
    </row>
    <row r="186" spans="2:5" s="80" customFormat="1" x14ac:dyDescent="0.25">
      <c r="B186" s="269" t="s">
        <v>256</v>
      </c>
      <c r="C186" s="274"/>
      <c r="D186" s="268" t="s">
        <v>149</v>
      </c>
      <c r="E186" s="264">
        <v>14</v>
      </c>
    </row>
    <row r="187" spans="2:5" x14ac:dyDescent="0.3">
      <c r="B187" s="92"/>
      <c r="C187" s="93"/>
      <c r="E187" s="7"/>
    </row>
    <row r="188" spans="2:5" s="80" customFormat="1" x14ac:dyDescent="0.25">
      <c r="B188" s="62" t="s">
        <v>257</v>
      </c>
      <c r="C188" s="63"/>
      <c r="D188" s="157"/>
      <c r="E188" s="157"/>
    </row>
    <row r="189" spans="2:5" s="80" customFormat="1" x14ac:dyDescent="0.25">
      <c r="B189" s="269" t="s">
        <v>258</v>
      </c>
      <c r="C189" s="274"/>
      <c r="D189" s="268" t="s">
        <v>259</v>
      </c>
      <c r="E189" s="264">
        <v>19</v>
      </c>
    </row>
    <row r="190" spans="2:5" x14ac:dyDescent="0.3">
      <c r="B190" s="92"/>
      <c r="C190" s="93"/>
      <c r="E190" s="7"/>
    </row>
    <row r="191" spans="2:5" s="9" customFormat="1" x14ac:dyDescent="0.35">
      <c r="B191" s="62" t="s">
        <v>152</v>
      </c>
      <c r="C191" s="63"/>
      <c r="D191" s="157"/>
      <c r="E191" s="157"/>
    </row>
    <row r="192" spans="2:5" s="80" customFormat="1" x14ac:dyDescent="0.25">
      <c r="B192" s="269" t="s">
        <v>260</v>
      </c>
      <c r="C192" s="267"/>
      <c r="D192" s="268" t="s">
        <v>154</v>
      </c>
      <c r="E192" s="264">
        <v>37</v>
      </c>
    </row>
    <row r="193" spans="2:5" x14ac:dyDescent="0.3">
      <c r="B193" s="92"/>
      <c r="C193" s="93"/>
      <c r="E193" s="7"/>
    </row>
    <row r="194" spans="2:5" s="9" customFormat="1" x14ac:dyDescent="0.35">
      <c r="B194" s="62" t="s">
        <v>261</v>
      </c>
      <c r="C194" s="63"/>
      <c r="D194" s="157"/>
      <c r="E194" s="157"/>
    </row>
    <row r="195" spans="2:5" x14ac:dyDescent="0.3">
      <c r="B195" s="266" t="s">
        <v>190</v>
      </c>
      <c r="C195" s="267"/>
      <c r="D195" s="268" t="s">
        <v>157</v>
      </c>
      <c r="E195" s="264">
        <v>40</v>
      </c>
    </row>
    <row r="196" spans="2:5" x14ac:dyDescent="0.3">
      <c r="B196" s="92"/>
      <c r="C196" s="93"/>
      <c r="E196" s="7"/>
    </row>
    <row r="197" spans="2:5" s="9" customFormat="1" x14ac:dyDescent="0.35">
      <c r="B197" s="62" t="s">
        <v>262</v>
      </c>
      <c r="C197" s="63"/>
      <c r="D197" s="157"/>
      <c r="E197" s="157"/>
    </row>
    <row r="198" spans="2:5" s="80" customFormat="1" x14ac:dyDescent="0.25">
      <c r="B198" s="269" t="s">
        <v>263</v>
      </c>
      <c r="C198" s="274"/>
      <c r="D198" s="268" t="s">
        <v>264</v>
      </c>
      <c r="E198" s="264">
        <v>14</v>
      </c>
    </row>
    <row r="199" spans="2:5" s="80" customFormat="1" x14ac:dyDescent="0.25">
      <c r="B199" s="269" t="s">
        <v>265</v>
      </c>
      <c r="C199" s="274"/>
      <c r="D199" s="268" t="s">
        <v>266</v>
      </c>
      <c r="E199" s="264">
        <v>72</v>
      </c>
    </row>
    <row r="200" spans="2:5" x14ac:dyDescent="0.3">
      <c r="B200" s="92"/>
      <c r="C200" s="93"/>
      <c r="E200" s="7"/>
    </row>
    <row r="201" spans="2:5" customFormat="1" ht="14.5" x14ac:dyDescent="0.35">
      <c r="B201" s="62" t="s">
        <v>158</v>
      </c>
      <c r="C201" s="63"/>
      <c r="D201" s="64"/>
      <c r="E201" s="64"/>
    </row>
    <row r="202" spans="2:5" customFormat="1" ht="14.5" x14ac:dyDescent="0.35">
      <c r="B202" s="269" t="s">
        <v>159</v>
      </c>
      <c r="C202" s="270"/>
      <c r="D202" s="268" t="s">
        <v>160</v>
      </c>
      <c r="E202" s="264">
        <v>7</v>
      </c>
    </row>
    <row r="203" spans="2:5" customFormat="1" ht="14.5" x14ac:dyDescent="0.35">
      <c r="B203" s="269" t="s">
        <v>161</v>
      </c>
      <c r="C203" s="270"/>
      <c r="D203" s="268" t="s">
        <v>162</v>
      </c>
      <c r="E203" s="264">
        <v>15</v>
      </c>
    </row>
    <row r="204" spans="2:5" customFormat="1" ht="14.5" collapsed="1" x14ac:dyDescent="0.35">
      <c r="B204" s="165"/>
      <c r="C204" s="26"/>
      <c r="D204" s="166"/>
      <c r="E204" s="166"/>
    </row>
    <row r="205" spans="2:5" x14ac:dyDescent="0.3">
      <c r="B205" s="62" t="s">
        <v>163</v>
      </c>
      <c r="C205" s="63"/>
      <c r="D205" s="157"/>
      <c r="E205" s="157"/>
    </row>
    <row r="206" spans="2:5" x14ac:dyDescent="0.3">
      <c r="B206" s="271" t="s">
        <v>164</v>
      </c>
      <c r="C206" s="272"/>
      <c r="D206" s="268" t="s">
        <v>165</v>
      </c>
      <c r="E206" s="264">
        <v>0</v>
      </c>
    </row>
    <row r="207" spans="2:5" x14ac:dyDescent="0.3">
      <c r="B207" s="92"/>
      <c r="C207" s="93"/>
      <c r="E207" s="72"/>
    </row>
    <row r="208" spans="2:5" x14ac:dyDescent="0.3">
      <c r="B208" s="92"/>
      <c r="C208" s="93"/>
      <c r="E208" s="82"/>
    </row>
    <row r="209" spans="1:5" customFormat="1" ht="14.5" x14ac:dyDescent="0.35">
      <c r="A209" s="4"/>
      <c r="B209" s="275" t="s">
        <v>267</v>
      </c>
      <c r="C209" s="276"/>
      <c r="D209" s="277"/>
      <c r="E209" s="278"/>
    </row>
    <row r="210" spans="1:5" customFormat="1" ht="14.5" x14ac:dyDescent="0.35">
      <c r="A210" s="4"/>
      <c r="B210" s="62" t="s">
        <v>268</v>
      </c>
      <c r="C210" s="63"/>
      <c r="D210" s="7"/>
      <c r="E210" s="61"/>
    </row>
    <row r="211" spans="1:5" customFormat="1" ht="14.5" x14ac:dyDescent="0.35">
      <c r="A211" s="4"/>
      <c r="B211" s="267" t="s">
        <v>269</v>
      </c>
      <c r="C211" s="267"/>
      <c r="D211" s="268" t="s">
        <v>270</v>
      </c>
      <c r="E211" s="264">
        <v>109</v>
      </c>
    </row>
    <row r="212" spans="1:5" customFormat="1" ht="14.5" x14ac:dyDescent="0.35">
      <c r="A212" s="4"/>
      <c r="B212" s="267" t="s">
        <v>271</v>
      </c>
      <c r="C212" s="267"/>
      <c r="D212" s="268" t="s">
        <v>272</v>
      </c>
      <c r="E212" s="264">
        <v>142</v>
      </c>
    </row>
    <row r="213" spans="1:5" customFormat="1" ht="14.5" x14ac:dyDescent="0.35">
      <c r="A213" s="15"/>
      <c r="B213" s="267" t="s">
        <v>273</v>
      </c>
      <c r="C213" s="267"/>
      <c r="D213" s="268" t="s">
        <v>274</v>
      </c>
      <c r="E213" s="264">
        <v>251</v>
      </c>
    </row>
    <row r="214" spans="1:5" customFormat="1" ht="14.5" x14ac:dyDescent="0.35">
      <c r="A214" s="15"/>
      <c r="B214" s="267" t="s">
        <v>275</v>
      </c>
      <c r="C214" s="267"/>
      <c r="D214" s="268" t="s">
        <v>276</v>
      </c>
      <c r="E214" s="264">
        <v>185</v>
      </c>
    </row>
    <row r="215" spans="1:5" customFormat="1" ht="14.5" x14ac:dyDescent="0.35">
      <c r="A215" s="15"/>
      <c r="B215" s="267" t="s">
        <v>277</v>
      </c>
      <c r="C215" s="267"/>
      <c r="D215" s="268" t="s">
        <v>278</v>
      </c>
      <c r="E215" s="264">
        <v>295</v>
      </c>
    </row>
    <row r="216" spans="1:5" customFormat="1" ht="14.5" x14ac:dyDescent="0.35">
      <c r="A216" s="15"/>
      <c r="B216" s="267" t="s">
        <v>279</v>
      </c>
      <c r="C216" s="267"/>
      <c r="D216" s="268" t="s">
        <v>280</v>
      </c>
      <c r="E216" s="264">
        <v>475</v>
      </c>
    </row>
    <row r="217" spans="1:5" customFormat="1" ht="14.5" x14ac:dyDescent="0.35">
      <c r="A217" s="15"/>
      <c r="B217" s="267" t="s">
        <v>281</v>
      </c>
      <c r="C217" s="267"/>
      <c r="D217" s="268" t="s">
        <v>282</v>
      </c>
      <c r="E217" s="264">
        <v>676</v>
      </c>
    </row>
    <row r="218" spans="1:5" customFormat="1" ht="14.5" x14ac:dyDescent="0.35">
      <c r="A218" s="4"/>
      <c r="B218" s="5"/>
      <c r="C218" s="6"/>
      <c r="D218" s="7"/>
      <c r="E218" s="7"/>
    </row>
    <row r="219" spans="1:5" customFormat="1" ht="14.5" x14ac:dyDescent="0.35">
      <c r="A219" s="4"/>
      <c r="B219" s="62" t="s">
        <v>114</v>
      </c>
      <c r="C219" s="68"/>
      <c r="D219" s="7"/>
      <c r="E219" s="7"/>
    </row>
    <row r="220" spans="1:5" customFormat="1" ht="14.5" x14ac:dyDescent="0.35">
      <c r="A220" s="4"/>
      <c r="B220" s="261" t="s">
        <v>283</v>
      </c>
      <c r="C220" s="262"/>
      <c r="D220" s="268" t="s">
        <v>284</v>
      </c>
      <c r="E220" s="264">
        <v>121</v>
      </c>
    </row>
    <row r="221" spans="1:5" customFormat="1" ht="14.5" x14ac:dyDescent="0.35">
      <c r="A221" s="4"/>
      <c r="B221" s="261" t="s">
        <v>285</v>
      </c>
      <c r="C221" s="262"/>
      <c r="D221" s="268" t="s">
        <v>286</v>
      </c>
      <c r="E221" s="264">
        <v>144</v>
      </c>
    </row>
    <row r="222" spans="1:5" customFormat="1" ht="14.5" x14ac:dyDescent="0.35">
      <c r="A222" s="4"/>
      <c r="B222" s="261" t="s">
        <v>287</v>
      </c>
      <c r="C222" s="262"/>
      <c r="D222" s="268" t="s">
        <v>288</v>
      </c>
      <c r="E222" s="264">
        <v>409</v>
      </c>
    </row>
    <row r="223" spans="1:5" customFormat="1" ht="14.5" x14ac:dyDescent="0.35">
      <c r="A223" s="4"/>
      <c r="B223" s="5"/>
      <c r="C223" s="6"/>
      <c r="D223" s="7"/>
      <c r="E223" s="6"/>
    </row>
    <row r="224" spans="1:5" customFormat="1" ht="14.5" x14ac:dyDescent="0.35">
      <c r="A224" s="4"/>
      <c r="B224" s="62" t="s">
        <v>121</v>
      </c>
      <c r="C224" s="63"/>
      <c r="D224" s="7"/>
      <c r="E224" s="63"/>
    </row>
    <row r="225" spans="1:6" customFormat="1" ht="14.5" x14ac:dyDescent="0.35">
      <c r="A225" s="4"/>
      <c r="B225" s="266" t="s">
        <v>289</v>
      </c>
      <c r="C225" s="267"/>
      <c r="D225" s="268" t="s">
        <v>290</v>
      </c>
      <c r="E225" s="264">
        <v>73</v>
      </c>
    </row>
    <row r="226" spans="1:6" customFormat="1" ht="14.5" x14ac:dyDescent="0.35">
      <c r="A226" s="4"/>
      <c r="B226" s="266" t="s">
        <v>291</v>
      </c>
      <c r="C226" s="267"/>
      <c r="D226" s="268" t="s">
        <v>292</v>
      </c>
      <c r="E226" s="264">
        <v>217</v>
      </c>
    </row>
    <row r="227" spans="1:6" customFormat="1" ht="14.5" x14ac:dyDescent="0.35">
      <c r="A227" s="4"/>
      <c r="B227" s="5"/>
      <c r="C227" s="6"/>
      <c r="D227" s="7"/>
      <c r="E227" s="6"/>
    </row>
    <row r="228" spans="1:6" customFormat="1" ht="14.5" x14ac:dyDescent="0.35">
      <c r="A228" s="4"/>
      <c r="B228" s="62" t="s">
        <v>293</v>
      </c>
      <c r="C228" s="63"/>
      <c r="D228" s="7"/>
      <c r="E228" s="63"/>
    </row>
    <row r="229" spans="1:6" customFormat="1" ht="14.5" x14ac:dyDescent="0.35">
      <c r="A229" s="4"/>
      <c r="B229" s="266" t="s">
        <v>294</v>
      </c>
      <c r="C229" s="267"/>
      <c r="D229" s="268" t="s">
        <v>295</v>
      </c>
      <c r="E229" s="264">
        <v>133</v>
      </c>
    </row>
    <row r="230" spans="1:6" customFormat="1" ht="14.5" x14ac:dyDescent="0.35">
      <c r="A230" s="4"/>
      <c r="B230" s="266" t="s">
        <v>296</v>
      </c>
      <c r="C230" s="267"/>
      <c r="D230" s="268" t="s">
        <v>297</v>
      </c>
      <c r="E230" s="264">
        <v>206</v>
      </c>
    </row>
    <row r="231" spans="1:6" customFormat="1" ht="14.5" x14ac:dyDescent="0.35">
      <c r="A231" s="4"/>
      <c r="B231" s="266" t="s">
        <v>298</v>
      </c>
      <c r="C231" s="279"/>
      <c r="D231" s="268" t="s">
        <v>299</v>
      </c>
      <c r="E231" s="264">
        <v>350</v>
      </c>
      <c r="F231" s="4"/>
    </row>
    <row r="232" spans="1:6" customFormat="1" ht="14.5" x14ac:dyDescent="0.35">
      <c r="A232" s="4"/>
      <c r="B232" s="5"/>
      <c r="C232" s="6"/>
      <c r="D232" s="7"/>
      <c r="E232" s="6"/>
    </row>
    <row r="233" spans="1:6" customFormat="1" ht="14.5" x14ac:dyDescent="0.35">
      <c r="A233" s="4"/>
      <c r="B233" s="62" t="s">
        <v>300</v>
      </c>
      <c r="C233" s="63"/>
      <c r="D233" s="7"/>
      <c r="E233" s="61"/>
    </row>
    <row r="234" spans="1:6" customFormat="1" ht="14.5" x14ac:dyDescent="0.35">
      <c r="A234" s="4"/>
      <c r="B234" s="266" t="s">
        <v>301</v>
      </c>
      <c r="C234" s="267"/>
      <c r="D234" s="268" t="s">
        <v>302</v>
      </c>
      <c r="E234" s="264">
        <v>15</v>
      </c>
    </row>
    <row r="235" spans="1:6" customFormat="1" ht="14.5" x14ac:dyDescent="0.35">
      <c r="A235" s="4"/>
      <c r="B235" s="266" t="s">
        <v>303</v>
      </c>
      <c r="C235" s="267"/>
      <c r="D235" s="268" t="s">
        <v>304</v>
      </c>
      <c r="E235" s="264">
        <v>32</v>
      </c>
    </row>
    <row r="236" spans="1:6" customFormat="1" ht="14.5" x14ac:dyDescent="0.35">
      <c r="A236" s="4"/>
      <c r="B236" s="261" t="s">
        <v>305</v>
      </c>
      <c r="C236" s="262"/>
      <c r="D236" s="263" t="s">
        <v>306</v>
      </c>
      <c r="E236" s="264">
        <v>81</v>
      </c>
    </row>
    <row r="237" spans="1:6" customFormat="1" ht="14.5" x14ac:dyDescent="0.35">
      <c r="A237" s="4"/>
      <c r="B237" s="261" t="s">
        <v>307</v>
      </c>
      <c r="C237" s="262"/>
      <c r="D237" s="263" t="s">
        <v>308</v>
      </c>
      <c r="E237" s="264">
        <v>75</v>
      </c>
    </row>
    <row r="238" spans="1:6" customFormat="1" ht="14.5" x14ac:dyDescent="0.35">
      <c r="A238" s="4"/>
      <c r="B238" s="266" t="s">
        <v>309</v>
      </c>
      <c r="C238" s="267"/>
      <c r="D238" s="268" t="s">
        <v>310</v>
      </c>
      <c r="E238" s="264">
        <v>47</v>
      </c>
    </row>
    <row r="239" spans="1:6" customFormat="1" ht="14.5" x14ac:dyDescent="0.35">
      <c r="A239" s="4"/>
      <c r="B239" s="266" t="s">
        <v>311</v>
      </c>
      <c r="C239" s="267"/>
      <c r="D239" s="268" t="s">
        <v>312</v>
      </c>
      <c r="E239" s="264">
        <v>79</v>
      </c>
    </row>
    <row r="240" spans="1:6" customFormat="1" ht="14.5" x14ac:dyDescent="0.35">
      <c r="A240" s="4"/>
      <c r="B240" s="5"/>
      <c r="C240" s="6"/>
      <c r="D240" s="7"/>
      <c r="E240" s="61"/>
    </row>
    <row r="241" spans="1:5" x14ac:dyDescent="0.3">
      <c r="B241" s="68" t="s">
        <v>313</v>
      </c>
      <c r="E241" s="69"/>
    </row>
    <row r="242" spans="1:5" x14ac:dyDescent="0.3">
      <c r="B242" s="267" t="s">
        <v>314</v>
      </c>
      <c r="C242" s="267"/>
      <c r="D242" s="268" t="s">
        <v>315</v>
      </c>
      <c r="E242" s="264">
        <v>0</v>
      </c>
    </row>
    <row r="243" spans="1:5" customFormat="1" ht="14.5" x14ac:dyDescent="0.35">
      <c r="A243" s="4"/>
      <c r="B243" s="5"/>
      <c r="C243" s="6"/>
      <c r="D243" s="7"/>
      <c r="E243" s="7"/>
    </row>
    <row r="244" spans="1:5" customFormat="1" ht="14.5" x14ac:dyDescent="0.35">
      <c r="A244" s="4"/>
      <c r="B244" s="68" t="s">
        <v>316</v>
      </c>
      <c r="C244" s="63"/>
      <c r="D244" s="7"/>
      <c r="E244" s="7"/>
    </row>
    <row r="245" spans="1:5" customFormat="1" ht="14.5" x14ac:dyDescent="0.35">
      <c r="A245" s="4"/>
      <c r="B245" s="266" t="s">
        <v>317</v>
      </c>
      <c r="C245" s="267"/>
      <c r="D245" s="268" t="s">
        <v>318</v>
      </c>
      <c r="E245" s="264">
        <v>20</v>
      </c>
    </row>
    <row r="246" spans="1:5" customFormat="1" ht="14.5" x14ac:dyDescent="0.35">
      <c r="A246" s="4"/>
      <c r="B246" s="5"/>
      <c r="C246" s="6"/>
      <c r="D246" s="7"/>
      <c r="E246" s="6"/>
    </row>
    <row r="247" spans="1:5" x14ac:dyDescent="0.3">
      <c r="B247" s="62" t="s">
        <v>319</v>
      </c>
      <c r="E247" s="63"/>
    </row>
    <row r="248" spans="1:5" x14ac:dyDescent="0.3">
      <c r="B248" s="266" t="s">
        <v>320</v>
      </c>
      <c r="C248" s="267"/>
      <c r="D248" s="268" t="s">
        <v>321</v>
      </c>
      <c r="E248" s="264">
        <v>20</v>
      </c>
    </row>
    <row r="249" spans="1:5" customFormat="1" ht="14.5" x14ac:dyDescent="0.35">
      <c r="A249" s="4"/>
      <c r="B249" s="266" t="s">
        <v>322</v>
      </c>
      <c r="C249" s="267"/>
      <c r="D249" s="268" t="s">
        <v>323</v>
      </c>
      <c r="E249" s="264">
        <v>32</v>
      </c>
    </row>
    <row r="250" spans="1:5" customFormat="1" ht="14.5" x14ac:dyDescent="0.35">
      <c r="A250" s="15"/>
      <c r="B250" s="266" t="s">
        <v>324</v>
      </c>
      <c r="C250" s="267"/>
      <c r="D250" s="268" t="s">
        <v>325</v>
      </c>
      <c r="E250" s="264">
        <v>52</v>
      </c>
    </row>
    <row r="251" spans="1:5" customFormat="1" ht="14.5" x14ac:dyDescent="0.35">
      <c r="A251" s="4"/>
      <c r="B251" s="5"/>
      <c r="C251" s="70"/>
      <c r="D251" s="7"/>
      <c r="E251" s="6"/>
    </row>
    <row r="252" spans="1:5" customFormat="1" ht="14.5" x14ac:dyDescent="0.35">
      <c r="A252" s="4"/>
      <c r="B252" s="68" t="s">
        <v>326</v>
      </c>
      <c r="C252" s="63"/>
      <c r="D252" s="7"/>
      <c r="E252" s="63"/>
    </row>
    <row r="253" spans="1:5" customFormat="1" ht="14.5" x14ac:dyDescent="0.35">
      <c r="A253" s="4"/>
      <c r="B253" s="266" t="s">
        <v>327</v>
      </c>
      <c r="C253" s="267"/>
      <c r="D253" s="268" t="s">
        <v>328</v>
      </c>
      <c r="E253" s="264">
        <v>91</v>
      </c>
    </row>
    <row r="254" spans="1:5" customFormat="1" ht="14.5" x14ac:dyDescent="0.35">
      <c r="A254" s="4"/>
      <c r="B254" s="262" t="s">
        <v>329</v>
      </c>
      <c r="C254" s="267"/>
      <c r="D254" s="268" t="s">
        <v>330</v>
      </c>
      <c r="E254" s="264">
        <v>119</v>
      </c>
    </row>
    <row r="255" spans="1:5" customFormat="1" ht="14.5" x14ac:dyDescent="0.35">
      <c r="A255" s="4"/>
      <c r="B255" s="5"/>
      <c r="C255" s="6"/>
      <c r="D255" s="7"/>
      <c r="E255" s="6"/>
    </row>
    <row r="256" spans="1:5" customFormat="1" ht="14.5" x14ac:dyDescent="0.35">
      <c r="A256" s="4"/>
      <c r="B256" s="62" t="s">
        <v>158</v>
      </c>
      <c r="C256" s="63"/>
      <c r="D256" s="64"/>
      <c r="E256" s="63"/>
    </row>
    <row r="257" spans="1:5" customFormat="1" ht="14.5" x14ac:dyDescent="0.35">
      <c r="A257" s="4"/>
      <c r="B257" s="269" t="s">
        <v>161</v>
      </c>
      <c r="C257" s="270"/>
      <c r="D257" s="268" t="s">
        <v>162</v>
      </c>
      <c r="E257" s="264">
        <v>15</v>
      </c>
    </row>
    <row r="258" spans="1:5" customFormat="1" ht="14.5" x14ac:dyDescent="0.35">
      <c r="A258" s="4"/>
      <c r="B258" s="5"/>
      <c r="C258" s="70"/>
      <c r="D258" s="7"/>
      <c r="E258" s="71"/>
    </row>
    <row r="259" spans="1:5" x14ac:dyDescent="0.3">
      <c r="E259" s="61"/>
    </row>
    <row r="260" spans="1:5" customFormat="1" ht="14.5" x14ac:dyDescent="0.35">
      <c r="A260" s="4"/>
      <c r="B260" s="275" t="s">
        <v>331</v>
      </c>
      <c r="C260" s="65"/>
      <c r="D260" s="66"/>
      <c r="E260" s="67"/>
    </row>
    <row r="261" spans="1:5" customFormat="1" ht="14.5" x14ac:dyDescent="0.35">
      <c r="A261" s="4"/>
      <c r="B261" s="62" t="s">
        <v>332</v>
      </c>
      <c r="C261" s="63"/>
      <c r="D261" s="7"/>
      <c r="E261" s="7"/>
    </row>
    <row r="262" spans="1:5" customFormat="1" ht="14.5" x14ac:dyDescent="0.35">
      <c r="A262" s="4"/>
      <c r="B262" s="267" t="s">
        <v>333</v>
      </c>
      <c r="C262" s="267"/>
      <c r="D262" s="268" t="s">
        <v>334</v>
      </c>
      <c r="E262" s="264">
        <v>171</v>
      </c>
    </row>
    <row r="263" spans="1:5" customFormat="1" ht="14.5" x14ac:dyDescent="0.35">
      <c r="A263" s="4"/>
      <c r="B263" s="267" t="s">
        <v>335</v>
      </c>
      <c r="C263" s="267"/>
      <c r="D263" s="268" t="s">
        <v>336</v>
      </c>
      <c r="E263" s="264">
        <v>351</v>
      </c>
    </row>
    <row r="264" spans="1:5" customFormat="1" ht="14.5" x14ac:dyDescent="0.35">
      <c r="B264" s="267" t="s">
        <v>337</v>
      </c>
      <c r="C264" s="267"/>
      <c r="D264" s="268" t="s">
        <v>338</v>
      </c>
      <c r="E264" s="264">
        <v>625</v>
      </c>
    </row>
    <row r="265" spans="1:5" customFormat="1" ht="14.5" x14ac:dyDescent="0.35">
      <c r="B265" s="267" t="s">
        <v>339</v>
      </c>
      <c r="C265" s="267"/>
      <c r="D265" s="268" t="s">
        <v>340</v>
      </c>
      <c r="E265" s="264">
        <v>639</v>
      </c>
    </row>
    <row r="266" spans="1:5" customFormat="1" ht="14.5" x14ac:dyDescent="0.35">
      <c r="B266" s="267" t="s">
        <v>341</v>
      </c>
      <c r="C266" s="267"/>
      <c r="D266" s="268" t="s">
        <v>342</v>
      </c>
      <c r="E266" s="264">
        <v>372</v>
      </c>
    </row>
    <row r="267" spans="1:5" customFormat="1" ht="14.5" x14ac:dyDescent="0.35">
      <c r="B267" s="267" t="s">
        <v>343</v>
      </c>
      <c r="C267" s="267"/>
      <c r="D267" s="268" t="s">
        <v>344</v>
      </c>
      <c r="E267" s="264">
        <v>839</v>
      </c>
    </row>
    <row r="268" spans="1:5" customFormat="1" ht="14.5" x14ac:dyDescent="0.35">
      <c r="B268" s="267" t="s">
        <v>345</v>
      </c>
      <c r="C268" s="267"/>
      <c r="D268" s="268" t="s">
        <v>346</v>
      </c>
      <c r="E268" s="264">
        <v>1113</v>
      </c>
    </row>
    <row r="269" spans="1:5" customFormat="1" ht="14.5" x14ac:dyDescent="0.35">
      <c r="B269" s="6"/>
      <c r="C269" s="6"/>
      <c r="D269" s="7"/>
      <c r="E269" s="7"/>
    </row>
    <row r="270" spans="1:5" customFormat="1" ht="14.5" x14ac:dyDescent="0.35">
      <c r="B270" s="185" t="s">
        <v>121</v>
      </c>
      <c r="C270" s="63"/>
      <c r="D270" s="63"/>
      <c r="E270" s="63"/>
    </row>
    <row r="271" spans="1:5" customFormat="1" ht="14.5" x14ac:dyDescent="0.35">
      <c r="B271" s="267" t="s">
        <v>289</v>
      </c>
      <c r="C271" s="267"/>
      <c r="D271" s="268" t="s">
        <v>290</v>
      </c>
      <c r="E271" s="264">
        <v>73</v>
      </c>
    </row>
    <row r="272" spans="1:5" customFormat="1" ht="14.5" x14ac:dyDescent="0.35">
      <c r="B272" s="267" t="s">
        <v>291</v>
      </c>
      <c r="C272" s="267"/>
      <c r="D272" s="268" t="s">
        <v>292</v>
      </c>
      <c r="E272" s="264">
        <v>217</v>
      </c>
    </row>
    <row r="273" spans="1:5" customFormat="1" ht="14.5" x14ac:dyDescent="0.35">
      <c r="B273" s="6"/>
      <c r="C273" s="6"/>
      <c r="D273" s="6"/>
      <c r="E273" s="6"/>
    </row>
    <row r="274" spans="1:5" customFormat="1" ht="14.5" x14ac:dyDescent="0.35">
      <c r="B274" s="185" t="s">
        <v>300</v>
      </c>
      <c r="C274" s="63"/>
      <c r="D274" s="63"/>
      <c r="E274" s="63"/>
    </row>
    <row r="275" spans="1:5" customFormat="1" ht="14.5" x14ac:dyDescent="0.35">
      <c r="B275" s="266" t="s">
        <v>347</v>
      </c>
      <c r="C275" s="267"/>
      <c r="D275" s="268" t="s">
        <v>348</v>
      </c>
      <c r="E275" s="264">
        <v>174</v>
      </c>
    </row>
    <row r="276" spans="1:5" customFormat="1" ht="14.5" x14ac:dyDescent="0.35">
      <c r="B276" s="6"/>
      <c r="C276" s="6"/>
      <c r="D276" s="6"/>
      <c r="E276" s="6"/>
    </row>
    <row r="277" spans="1:5" customFormat="1" ht="14.5" x14ac:dyDescent="0.35">
      <c r="B277" s="63" t="s">
        <v>313</v>
      </c>
      <c r="C277" s="63"/>
      <c r="D277" s="63"/>
      <c r="E277" s="63"/>
    </row>
    <row r="278" spans="1:5" customFormat="1" ht="14.5" x14ac:dyDescent="0.35">
      <c r="B278" s="267" t="s">
        <v>314</v>
      </c>
      <c r="C278" s="267"/>
      <c r="D278" s="268" t="s">
        <v>315</v>
      </c>
      <c r="E278" s="264">
        <v>0</v>
      </c>
    </row>
    <row r="279" spans="1:5" customFormat="1" ht="14.5" x14ac:dyDescent="0.35">
      <c r="B279" s="6"/>
      <c r="C279" s="6"/>
      <c r="D279" s="6"/>
      <c r="E279" s="6"/>
    </row>
    <row r="280" spans="1:5" customFormat="1" ht="14.5" x14ac:dyDescent="0.35">
      <c r="B280" s="62" t="s">
        <v>349</v>
      </c>
      <c r="C280" s="6"/>
      <c r="D280" s="7"/>
      <c r="E280" s="63"/>
    </row>
    <row r="281" spans="1:5" customFormat="1" ht="14.5" x14ac:dyDescent="0.35">
      <c r="B281" s="266" t="s">
        <v>350</v>
      </c>
      <c r="C281" s="267"/>
      <c r="D281" s="268" t="s">
        <v>351</v>
      </c>
      <c r="E281" s="264">
        <v>38</v>
      </c>
    </row>
    <row r="282" spans="1:5" customFormat="1" ht="14.5" x14ac:dyDescent="0.35">
      <c r="A282" s="4"/>
      <c r="B282" s="6"/>
      <c r="C282" s="6"/>
      <c r="D282" s="6"/>
      <c r="E282" s="6"/>
    </row>
    <row r="283" spans="1:5" customFormat="1" ht="14.5" x14ac:dyDescent="0.35">
      <c r="A283" s="4"/>
      <c r="B283" s="185" t="s">
        <v>158</v>
      </c>
      <c r="C283" s="63"/>
      <c r="D283" s="63"/>
      <c r="E283" s="63"/>
    </row>
    <row r="284" spans="1:5" customFormat="1" ht="14.5" x14ac:dyDescent="0.35">
      <c r="A284" s="4"/>
      <c r="B284" s="280" t="s">
        <v>161</v>
      </c>
      <c r="C284" s="270"/>
      <c r="D284" s="268" t="s">
        <v>162</v>
      </c>
      <c r="E284" s="264">
        <v>15</v>
      </c>
    </row>
    <row r="285" spans="1:5" customFormat="1" ht="14.5" x14ac:dyDescent="0.35">
      <c r="A285" s="4"/>
      <c r="B285" s="6"/>
      <c r="C285" s="6"/>
      <c r="D285" s="6"/>
      <c r="E285" s="6"/>
    </row>
    <row r="286" spans="1:5" x14ac:dyDescent="0.3">
      <c r="B286" s="6"/>
      <c r="D286" s="73"/>
    </row>
    <row r="287" spans="1:5" x14ac:dyDescent="0.3">
      <c r="B287" s="81" t="s">
        <v>352</v>
      </c>
      <c r="C287" s="65"/>
      <c r="D287" s="66"/>
      <c r="E287" s="67"/>
    </row>
    <row r="288" spans="1:5" x14ac:dyDescent="0.3">
      <c r="B288" s="62" t="s">
        <v>107</v>
      </c>
      <c r="C288" s="63"/>
      <c r="E288" s="61"/>
    </row>
    <row r="289" spans="1:5" x14ac:dyDescent="0.3">
      <c r="B289" s="266" t="s">
        <v>353</v>
      </c>
      <c r="C289" s="267"/>
      <c r="D289" s="268" t="s">
        <v>354</v>
      </c>
      <c r="E289" s="264">
        <v>200</v>
      </c>
    </row>
    <row r="290" spans="1:5" x14ac:dyDescent="0.3">
      <c r="B290" s="62"/>
      <c r="C290" s="63"/>
      <c r="E290" s="61"/>
    </row>
    <row r="291" spans="1:5" x14ac:dyDescent="0.3">
      <c r="B291" s="62" t="s">
        <v>114</v>
      </c>
      <c r="C291" s="68"/>
      <c r="E291" s="61"/>
    </row>
    <row r="292" spans="1:5" x14ac:dyDescent="0.3">
      <c r="B292" s="266" t="s">
        <v>355</v>
      </c>
      <c r="C292" s="267"/>
      <c r="D292" s="268" t="s">
        <v>356</v>
      </c>
      <c r="E292" s="264">
        <v>121</v>
      </c>
    </row>
    <row r="293" spans="1:5" x14ac:dyDescent="0.3">
      <c r="B293" s="266" t="s">
        <v>357</v>
      </c>
      <c r="C293" s="267"/>
      <c r="D293" s="268" t="s">
        <v>358</v>
      </c>
      <c r="E293" s="264">
        <v>409</v>
      </c>
    </row>
    <row r="294" spans="1:5" x14ac:dyDescent="0.3">
      <c r="B294" s="62" t="s">
        <v>206</v>
      </c>
      <c r="C294" s="68"/>
      <c r="E294" s="61"/>
    </row>
    <row r="295" spans="1:5" x14ac:dyDescent="0.3">
      <c r="A295" s="72"/>
      <c r="B295" s="266" t="s">
        <v>359</v>
      </c>
      <c r="C295" s="267"/>
      <c r="D295" s="268" t="s">
        <v>360</v>
      </c>
      <c r="E295" s="264">
        <v>221</v>
      </c>
    </row>
    <row r="296" spans="1:5" x14ac:dyDescent="0.3">
      <c r="A296" s="72"/>
      <c r="B296" s="266" t="s">
        <v>361</v>
      </c>
      <c r="C296" s="267"/>
      <c r="D296" s="268" t="s">
        <v>362</v>
      </c>
      <c r="E296" s="264">
        <v>563</v>
      </c>
    </row>
    <row r="297" spans="1:5" x14ac:dyDescent="0.3">
      <c r="B297" s="62" t="s">
        <v>363</v>
      </c>
      <c r="C297" s="68"/>
      <c r="E297" s="61"/>
    </row>
    <row r="298" spans="1:5" x14ac:dyDescent="0.3">
      <c r="B298" s="266" t="s">
        <v>364</v>
      </c>
      <c r="C298" s="267"/>
      <c r="D298" s="268" t="s">
        <v>365</v>
      </c>
      <c r="E298" s="264">
        <v>35</v>
      </c>
    </row>
    <row r="299" spans="1:5" x14ac:dyDescent="0.3">
      <c r="B299" s="266" t="s">
        <v>366</v>
      </c>
      <c r="C299" s="267"/>
      <c r="D299" s="268" t="s">
        <v>367</v>
      </c>
      <c r="E299" s="264">
        <v>227</v>
      </c>
    </row>
    <row r="300" spans="1:5" x14ac:dyDescent="0.3">
      <c r="B300" s="266" t="s">
        <v>368</v>
      </c>
      <c r="C300" s="267"/>
      <c r="D300" s="268" t="s">
        <v>369</v>
      </c>
      <c r="E300" s="264">
        <v>456</v>
      </c>
    </row>
    <row r="301" spans="1:5" x14ac:dyDescent="0.3">
      <c r="B301" s="266" t="s">
        <v>370</v>
      </c>
      <c r="C301" s="267"/>
      <c r="D301" s="268" t="s">
        <v>371</v>
      </c>
      <c r="E301" s="264">
        <v>1023</v>
      </c>
    </row>
    <row r="302" spans="1:5" x14ac:dyDescent="0.3">
      <c r="E302" s="61"/>
    </row>
    <row r="303" spans="1:5" x14ac:dyDescent="0.3">
      <c r="B303" s="62" t="s">
        <v>121</v>
      </c>
      <c r="C303" s="63"/>
      <c r="E303" s="61"/>
    </row>
    <row r="304" spans="1:5" x14ac:dyDescent="0.3">
      <c r="B304" s="266" t="s">
        <v>372</v>
      </c>
      <c r="C304" s="267"/>
      <c r="D304" s="268" t="s">
        <v>290</v>
      </c>
      <c r="E304" s="264">
        <v>73</v>
      </c>
    </row>
    <row r="305" spans="1:5" x14ac:dyDescent="0.3">
      <c r="B305" s="266" t="s">
        <v>373</v>
      </c>
      <c r="C305" s="267"/>
      <c r="D305" s="268" t="s">
        <v>292</v>
      </c>
      <c r="E305" s="264">
        <v>217</v>
      </c>
    </row>
    <row r="306" spans="1:5" x14ac:dyDescent="0.3">
      <c r="B306" s="267" t="s">
        <v>374</v>
      </c>
      <c r="C306" s="267"/>
      <c r="D306" s="268" t="s">
        <v>375</v>
      </c>
      <c r="E306" s="264">
        <v>517</v>
      </c>
    </row>
    <row r="307" spans="1:5" x14ac:dyDescent="0.3">
      <c r="B307" s="94"/>
      <c r="E307" s="61"/>
    </row>
    <row r="308" spans="1:5" x14ac:dyDescent="0.3">
      <c r="B308" s="62" t="s">
        <v>293</v>
      </c>
      <c r="C308" s="86"/>
      <c r="E308" s="61"/>
    </row>
    <row r="309" spans="1:5" x14ac:dyDescent="0.3">
      <c r="B309" s="266" t="s">
        <v>376</v>
      </c>
      <c r="C309" s="279"/>
      <c r="D309" s="268" t="s">
        <v>295</v>
      </c>
      <c r="E309" s="264">
        <v>133</v>
      </c>
    </row>
    <row r="310" spans="1:5" x14ac:dyDescent="0.3">
      <c r="B310" s="266" t="s">
        <v>377</v>
      </c>
      <c r="C310" s="279"/>
      <c r="D310" s="268" t="s">
        <v>297</v>
      </c>
      <c r="E310" s="264">
        <v>206</v>
      </c>
    </row>
    <row r="311" spans="1:5" x14ac:dyDescent="0.3">
      <c r="B311" s="266" t="s">
        <v>298</v>
      </c>
      <c r="C311" s="279"/>
      <c r="D311" s="268" t="s">
        <v>299</v>
      </c>
      <c r="E311" s="264">
        <v>350</v>
      </c>
    </row>
    <row r="312" spans="1:5" x14ac:dyDescent="0.3">
      <c r="B312" s="267" t="s">
        <v>374</v>
      </c>
      <c r="C312" s="267"/>
      <c r="D312" s="268" t="s">
        <v>378</v>
      </c>
      <c r="E312" s="264">
        <v>650</v>
      </c>
    </row>
    <row r="313" spans="1:5" x14ac:dyDescent="0.3">
      <c r="E313" s="61"/>
    </row>
    <row r="314" spans="1:5" x14ac:dyDescent="0.3">
      <c r="A314" s="105"/>
      <c r="B314" s="62" t="s">
        <v>379</v>
      </c>
      <c r="C314" s="95"/>
      <c r="E314" s="61"/>
    </row>
    <row r="315" spans="1:5" x14ac:dyDescent="0.3">
      <c r="A315" s="105"/>
      <c r="B315" s="266" t="s">
        <v>380</v>
      </c>
      <c r="C315" s="267"/>
      <c r="D315" s="268" t="s">
        <v>381</v>
      </c>
      <c r="E315" s="264">
        <v>274</v>
      </c>
    </row>
    <row r="316" spans="1:5" x14ac:dyDescent="0.3">
      <c r="A316" s="105"/>
      <c r="B316" s="266" t="s">
        <v>382</v>
      </c>
      <c r="C316" s="267"/>
      <c r="D316" s="268" t="s">
        <v>383</v>
      </c>
      <c r="E316" s="264">
        <v>593</v>
      </c>
    </row>
    <row r="317" spans="1:5" x14ac:dyDescent="0.3">
      <c r="A317" s="105"/>
      <c r="B317" s="266" t="s">
        <v>384</v>
      </c>
      <c r="C317" s="267"/>
      <c r="D317" s="268" t="s">
        <v>385</v>
      </c>
      <c r="E317" s="264">
        <v>1416</v>
      </c>
    </row>
    <row r="318" spans="1:5" x14ac:dyDescent="0.3">
      <c r="A318" s="15"/>
      <c r="B318" s="266" t="s">
        <v>386</v>
      </c>
      <c r="C318" s="267"/>
      <c r="D318" s="268" t="s">
        <v>387</v>
      </c>
      <c r="E318" s="264">
        <v>911</v>
      </c>
    </row>
    <row r="319" spans="1:5" x14ac:dyDescent="0.3">
      <c r="E319" s="61"/>
    </row>
    <row r="320" spans="1:5" x14ac:dyDescent="0.3">
      <c r="A320" s="15"/>
      <c r="B320" s="62" t="s">
        <v>388</v>
      </c>
      <c r="C320" s="63"/>
      <c r="E320" s="61"/>
    </row>
    <row r="321" spans="1:5" x14ac:dyDescent="0.3">
      <c r="A321" s="15"/>
      <c r="B321" s="266" t="s">
        <v>389</v>
      </c>
      <c r="C321" s="267"/>
      <c r="D321" s="268" t="s">
        <v>390</v>
      </c>
      <c r="E321" s="264">
        <v>28</v>
      </c>
    </row>
    <row r="322" spans="1:5" x14ac:dyDescent="0.3">
      <c r="A322" s="15"/>
      <c r="B322" s="266" t="s">
        <v>391</v>
      </c>
      <c r="C322" s="267"/>
      <c r="D322" s="268" t="s">
        <v>392</v>
      </c>
      <c r="E322" s="264">
        <v>55</v>
      </c>
    </row>
    <row r="323" spans="1:5" x14ac:dyDescent="0.3">
      <c r="A323" s="15"/>
      <c r="B323" s="266" t="s">
        <v>393</v>
      </c>
      <c r="C323" s="267"/>
      <c r="D323" s="268" t="s">
        <v>394</v>
      </c>
      <c r="E323" s="264">
        <v>319</v>
      </c>
    </row>
    <row r="324" spans="1:5" x14ac:dyDescent="0.3">
      <c r="A324" s="15"/>
      <c r="E324" s="61"/>
    </row>
    <row r="325" spans="1:5" x14ac:dyDescent="0.3">
      <c r="B325" s="68" t="s">
        <v>313</v>
      </c>
      <c r="E325" s="69"/>
    </row>
    <row r="326" spans="1:5" x14ac:dyDescent="0.3">
      <c r="B326" s="266" t="s">
        <v>395</v>
      </c>
      <c r="C326" s="267"/>
      <c r="D326" s="268" t="s">
        <v>315</v>
      </c>
      <c r="E326" s="264">
        <v>0</v>
      </c>
    </row>
    <row r="327" spans="1:5" x14ac:dyDescent="0.3">
      <c r="E327" s="61"/>
    </row>
    <row r="328" spans="1:5" x14ac:dyDescent="0.3">
      <c r="B328" s="62" t="s">
        <v>319</v>
      </c>
      <c r="E328" s="69"/>
    </row>
    <row r="329" spans="1:5" x14ac:dyDescent="0.3">
      <c r="B329" s="266" t="s">
        <v>396</v>
      </c>
      <c r="C329" s="267"/>
      <c r="D329" s="268" t="s">
        <v>397</v>
      </c>
      <c r="E329" s="264">
        <v>20</v>
      </c>
    </row>
    <row r="330" spans="1:5" x14ac:dyDescent="0.3">
      <c r="B330" s="266" t="s">
        <v>398</v>
      </c>
      <c r="C330" s="267"/>
      <c r="D330" s="268" t="s">
        <v>351</v>
      </c>
      <c r="E330" s="264">
        <v>38</v>
      </c>
    </row>
    <row r="331" spans="1:5" x14ac:dyDescent="0.3">
      <c r="B331" s="266" t="s">
        <v>399</v>
      </c>
      <c r="C331" s="267"/>
      <c r="D331" s="268" t="s">
        <v>400</v>
      </c>
      <c r="E331" s="264">
        <v>88</v>
      </c>
    </row>
    <row r="332" spans="1:5" customFormat="1" ht="14.5" x14ac:dyDescent="0.35">
      <c r="A332" s="4"/>
      <c r="B332" s="17"/>
      <c r="C332" s="17"/>
      <c r="D332" s="7"/>
      <c r="E332" s="6"/>
    </row>
    <row r="333" spans="1:5" customFormat="1" ht="14.5" x14ac:dyDescent="0.35">
      <c r="A333" s="4"/>
      <c r="B333" s="17" t="s">
        <v>401</v>
      </c>
      <c r="C333" s="17"/>
      <c r="D333" s="7"/>
      <c r="E333" s="17"/>
    </row>
    <row r="334" spans="1:5" customFormat="1" ht="14.5" x14ac:dyDescent="0.35">
      <c r="A334" s="4"/>
      <c r="B334" s="262" t="s">
        <v>402</v>
      </c>
      <c r="C334" s="267"/>
      <c r="D334" s="268" t="s">
        <v>330</v>
      </c>
      <c r="E334" s="264">
        <v>121</v>
      </c>
    </row>
    <row r="335" spans="1:5" x14ac:dyDescent="0.3">
      <c r="B335" s="68"/>
      <c r="C335" s="63"/>
      <c r="E335" s="6"/>
    </row>
    <row r="336" spans="1:5" x14ac:dyDescent="0.3">
      <c r="B336" s="62" t="s">
        <v>158</v>
      </c>
      <c r="C336" s="63"/>
      <c r="D336" s="64"/>
      <c r="E336" s="63"/>
    </row>
    <row r="337" spans="2:5" x14ac:dyDescent="0.3">
      <c r="B337" s="269" t="s">
        <v>161</v>
      </c>
      <c r="C337" s="281"/>
      <c r="D337" s="268" t="s">
        <v>162</v>
      </c>
      <c r="E337" s="264">
        <v>15</v>
      </c>
    </row>
    <row r="338" spans="2:5" x14ac:dyDescent="0.3">
      <c r="E338" s="61"/>
    </row>
    <row r="339" spans="2:5" ht="13.5" thickBot="1" x14ac:dyDescent="0.35">
      <c r="B339" s="62"/>
      <c r="E339" s="82"/>
    </row>
    <row r="340" spans="2:5" ht="21.5" thickBot="1" x14ac:dyDescent="0.55000000000000004">
      <c r="B340" s="354" t="s">
        <v>403</v>
      </c>
      <c r="C340" s="355"/>
      <c r="D340" s="355"/>
      <c r="E340" s="130"/>
    </row>
    <row r="341" spans="2:5" ht="26.5" thickBot="1" x14ac:dyDescent="0.35">
      <c r="B341" s="11" t="s">
        <v>82</v>
      </c>
      <c r="C341" s="12" t="s">
        <v>83</v>
      </c>
      <c r="D341" s="13" t="s">
        <v>84</v>
      </c>
      <c r="E341" s="13"/>
    </row>
    <row r="342" spans="2:5" ht="143" x14ac:dyDescent="0.3">
      <c r="B342" s="186" t="s">
        <v>404</v>
      </c>
      <c r="C342" s="187" t="s">
        <v>405</v>
      </c>
      <c r="D342" s="170" t="s">
        <v>406</v>
      </c>
      <c r="E342" s="256">
        <v>776</v>
      </c>
    </row>
    <row r="343" spans="2:5" ht="153.75" customHeight="1" x14ac:dyDescent="0.3">
      <c r="B343" s="171" t="s">
        <v>407</v>
      </c>
      <c r="C343" s="187" t="s">
        <v>93</v>
      </c>
      <c r="D343" s="170" t="s">
        <v>408</v>
      </c>
      <c r="E343" s="256">
        <v>977</v>
      </c>
    </row>
    <row r="344" spans="2:5" ht="175.5" customHeight="1" x14ac:dyDescent="0.3">
      <c r="B344" s="188" t="s">
        <v>409</v>
      </c>
      <c r="C344" s="187" t="s">
        <v>410</v>
      </c>
      <c r="D344" s="170" t="s">
        <v>411</v>
      </c>
      <c r="E344" s="256">
        <v>1136</v>
      </c>
    </row>
    <row r="345" spans="2:5" ht="13.5" thickBot="1" x14ac:dyDescent="0.35">
      <c r="B345" s="4"/>
      <c r="C345" s="4"/>
    </row>
    <row r="346" spans="2:5" ht="21.5" thickBot="1" x14ac:dyDescent="0.55000000000000004">
      <c r="B346" s="354" t="s">
        <v>412</v>
      </c>
      <c r="C346" s="355"/>
      <c r="D346" s="355"/>
      <c r="E346" s="130"/>
    </row>
    <row r="347" spans="2:5" ht="26.5" thickBot="1" x14ac:dyDescent="0.35">
      <c r="B347" s="11" t="s">
        <v>82</v>
      </c>
      <c r="C347" s="12" t="s">
        <v>83</v>
      </c>
      <c r="D347" s="13" t="s">
        <v>84</v>
      </c>
      <c r="E347" s="13"/>
    </row>
    <row r="348" spans="2:5" x14ac:dyDescent="0.3">
      <c r="B348" s="16"/>
      <c r="E348" s="7"/>
    </row>
    <row r="349" spans="2:5" collapsed="1" x14ac:dyDescent="0.3">
      <c r="B349" s="83" t="s">
        <v>413</v>
      </c>
      <c r="C349" s="83"/>
      <c r="D349" s="84"/>
      <c r="E349" s="85"/>
    </row>
    <row r="350" spans="2:5" x14ac:dyDescent="0.3">
      <c r="B350" s="79" t="s">
        <v>107</v>
      </c>
      <c r="C350" s="86"/>
      <c r="E350" s="61"/>
    </row>
    <row r="351" spans="2:5" x14ac:dyDescent="0.3">
      <c r="B351" s="266" t="s">
        <v>414</v>
      </c>
      <c r="C351" s="267"/>
      <c r="D351" s="268" t="s">
        <v>415</v>
      </c>
      <c r="E351" s="264">
        <v>75</v>
      </c>
    </row>
    <row r="352" spans="2:5" x14ac:dyDescent="0.3">
      <c r="B352" s="261" t="s">
        <v>112</v>
      </c>
      <c r="C352" s="262"/>
      <c r="D352" s="268" t="s">
        <v>416</v>
      </c>
      <c r="E352" s="264">
        <v>174</v>
      </c>
    </row>
    <row r="353" spans="2:5" x14ac:dyDescent="0.3">
      <c r="B353" s="266" t="s">
        <v>417</v>
      </c>
      <c r="C353" s="267"/>
      <c r="D353" s="268" t="s">
        <v>418</v>
      </c>
      <c r="E353" s="264">
        <v>244</v>
      </c>
    </row>
    <row r="354" spans="2:5" x14ac:dyDescent="0.3">
      <c r="B354" s="79"/>
      <c r="C354" s="86"/>
      <c r="E354" s="189"/>
    </row>
    <row r="355" spans="2:5" x14ac:dyDescent="0.3">
      <c r="B355" s="79" t="s">
        <v>114</v>
      </c>
      <c r="C355" s="86"/>
      <c r="D355" s="190"/>
      <c r="E355" s="189"/>
    </row>
    <row r="356" spans="2:5" x14ac:dyDescent="0.3">
      <c r="B356" s="266" t="s">
        <v>419</v>
      </c>
      <c r="C356" s="265"/>
      <c r="D356" s="268" t="s">
        <v>420</v>
      </c>
      <c r="E356" s="264">
        <v>241</v>
      </c>
    </row>
    <row r="357" spans="2:5" x14ac:dyDescent="0.3">
      <c r="B357" s="266" t="s">
        <v>200</v>
      </c>
      <c r="C357" s="265"/>
      <c r="D357" s="268" t="s">
        <v>421</v>
      </c>
      <c r="E357" s="264">
        <v>288</v>
      </c>
    </row>
    <row r="358" spans="2:5" customFormat="1" ht="14.5" x14ac:dyDescent="0.35">
      <c r="B358" s="266" t="s">
        <v>422</v>
      </c>
      <c r="C358" s="265"/>
      <c r="D358" s="268" t="s">
        <v>423</v>
      </c>
      <c r="E358" s="264">
        <v>818</v>
      </c>
    </row>
    <row r="359" spans="2:5" x14ac:dyDescent="0.3">
      <c r="B359" s="4"/>
      <c r="C359" s="4"/>
      <c r="D359" s="31"/>
      <c r="E359" s="96"/>
    </row>
    <row r="360" spans="2:5" x14ac:dyDescent="0.3">
      <c r="B360" s="62" t="s">
        <v>121</v>
      </c>
      <c r="C360" s="86"/>
      <c r="D360" s="190"/>
      <c r="E360" s="189"/>
    </row>
    <row r="361" spans="2:5" x14ac:dyDescent="0.3">
      <c r="B361" s="279" t="s">
        <v>124</v>
      </c>
      <c r="C361" s="267"/>
      <c r="D361" s="268" t="s">
        <v>424</v>
      </c>
      <c r="E361" s="264">
        <v>73</v>
      </c>
    </row>
    <row r="362" spans="2:5" x14ac:dyDescent="0.3">
      <c r="B362" s="279" t="s">
        <v>126</v>
      </c>
      <c r="C362" s="267"/>
      <c r="D362" s="268" t="s">
        <v>425</v>
      </c>
      <c r="E362" s="264">
        <v>217</v>
      </c>
    </row>
    <row r="363" spans="2:5" x14ac:dyDescent="0.3">
      <c r="B363" s="266" t="s">
        <v>218</v>
      </c>
      <c r="C363" s="267"/>
      <c r="D363" s="268" t="s">
        <v>426</v>
      </c>
      <c r="E363" s="264">
        <v>517</v>
      </c>
    </row>
    <row r="364" spans="2:5" x14ac:dyDescent="0.3">
      <c r="B364" s="97" t="s">
        <v>427</v>
      </c>
      <c r="C364" s="86"/>
      <c r="D364" s="190"/>
      <c r="E364" s="189"/>
    </row>
    <row r="365" spans="2:5" x14ac:dyDescent="0.3">
      <c r="B365" s="266" t="s">
        <v>124</v>
      </c>
      <c r="C365" s="267"/>
      <c r="D365" s="268" t="s">
        <v>428</v>
      </c>
      <c r="E365" s="264">
        <v>206</v>
      </c>
    </row>
    <row r="366" spans="2:5" x14ac:dyDescent="0.3">
      <c r="B366" s="266" t="s">
        <v>126</v>
      </c>
      <c r="C366" s="267"/>
      <c r="D366" s="268" t="s">
        <v>429</v>
      </c>
      <c r="E366" s="264">
        <v>350</v>
      </c>
    </row>
    <row r="367" spans="2:5" x14ac:dyDescent="0.3">
      <c r="B367" s="266" t="s">
        <v>218</v>
      </c>
      <c r="C367" s="267"/>
      <c r="D367" s="268" t="s">
        <v>221</v>
      </c>
      <c r="E367" s="264">
        <v>650</v>
      </c>
    </row>
    <row r="368" spans="2:5" x14ac:dyDescent="0.3">
      <c r="B368" s="62" t="s">
        <v>222</v>
      </c>
      <c r="C368" s="63"/>
      <c r="D368" s="268"/>
      <c r="E368" s="282"/>
    </row>
    <row r="369" spans="1:5" x14ac:dyDescent="0.3">
      <c r="B369" s="266" t="s">
        <v>171</v>
      </c>
      <c r="C369" s="267"/>
      <c r="D369" s="268" t="s">
        <v>430</v>
      </c>
      <c r="E369" s="264">
        <v>46</v>
      </c>
    </row>
    <row r="370" spans="1:5" x14ac:dyDescent="0.3">
      <c r="B370" s="266" t="s">
        <v>173</v>
      </c>
      <c r="C370" s="267"/>
      <c r="D370" s="268" t="s">
        <v>431</v>
      </c>
      <c r="E370" s="264">
        <v>69</v>
      </c>
    </row>
    <row r="371" spans="1:5" s="6" customFormat="1" x14ac:dyDescent="0.35">
      <c r="B371" s="266" t="s">
        <v>175</v>
      </c>
      <c r="C371" s="267"/>
      <c r="D371" s="268" t="s">
        <v>432</v>
      </c>
      <c r="E371" s="264">
        <v>82</v>
      </c>
    </row>
    <row r="372" spans="1:5" x14ac:dyDescent="0.3">
      <c r="B372" s="97" t="s">
        <v>223</v>
      </c>
      <c r="C372" s="63"/>
      <c r="D372" s="190"/>
      <c r="E372" s="189"/>
    </row>
    <row r="373" spans="1:5" x14ac:dyDescent="0.3">
      <c r="B373" s="266" t="s">
        <v>171</v>
      </c>
      <c r="C373" s="267"/>
      <c r="D373" s="268" t="s">
        <v>430</v>
      </c>
      <c r="E373" s="264">
        <v>46</v>
      </c>
    </row>
    <row r="374" spans="1:5" x14ac:dyDescent="0.3">
      <c r="B374" s="266" t="s">
        <v>173</v>
      </c>
      <c r="C374" s="267"/>
      <c r="D374" s="268" t="s">
        <v>431</v>
      </c>
      <c r="E374" s="264">
        <v>69</v>
      </c>
    </row>
    <row r="375" spans="1:5" s="6" customFormat="1" x14ac:dyDescent="0.35">
      <c r="B375" s="266" t="s">
        <v>175</v>
      </c>
      <c r="C375" s="267"/>
      <c r="D375" s="268" t="s">
        <v>432</v>
      </c>
      <c r="E375" s="264">
        <v>82</v>
      </c>
    </row>
    <row r="376" spans="1:5" s="9" customFormat="1" x14ac:dyDescent="0.3">
      <c r="B376" s="4"/>
      <c r="C376" s="4"/>
      <c r="D376" s="7"/>
      <c r="E376" s="96"/>
    </row>
    <row r="377" spans="1:5" x14ac:dyDescent="0.3">
      <c r="B377" s="79" t="s">
        <v>134</v>
      </c>
      <c r="C377" s="4"/>
      <c r="E377" s="61"/>
    </row>
    <row r="378" spans="1:5" x14ac:dyDescent="0.3">
      <c r="B378" s="266" t="s">
        <v>433</v>
      </c>
      <c r="C378" s="267"/>
      <c r="D378" s="268" t="s">
        <v>434</v>
      </c>
      <c r="E378" s="264">
        <v>860</v>
      </c>
    </row>
    <row r="379" spans="1:5" x14ac:dyDescent="0.3">
      <c r="B379" s="266" t="s">
        <v>435</v>
      </c>
      <c r="C379" s="267"/>
      <c r="D379" s="268" t="s">
        <v>436</v>
      </c>
      <c r="E379" s="264">
        <v>1835</v>
      </c>
    </row>
    <row r="380" spans="1:5" x14ac:dyDescent="0.3">
      <c r="A380" s="15"/>
      <c r="B380" s="266" t="s">
        <v>437</v>
      </c>
      <c r="C380" s="267"/>
      <c r="D380" s="268" t="s">
        <v>438</v>
      </c>
      <c r="E380" s="264">
        <v>3277</v>
      </c>
    </row>
    <row r="381" spans="1:5" x14ac:dyDescent="0.3">
      <c r="B381" s="266" t="s">
        <v>439</v>
      </c>
      <c r="C381" s="267"/>
      <c r="D381" s="268" t="s">
        <v>440</v>
      </c>
      <c r="E381" s="264">
        <v>6213</v>
      </c>
    </row>
    <row r="382" spans="1:5" x14ac:dyDescent="0.3">
      <c r="B382" s="266" t="s">
        <v>441</v>
      </c>
      <c r="C382" s="266"/>
      <c r="D382" s="268" t="s">
        <v>442</v>
      </c>
      <c r="E382" s="264">
        <v>263</v>
      </c>
    </row>
    <row r="383" spans="1:5" x14ac:dyDescent="0.3">
      <c r="B383" s="266" t="s">
        <v>443</v>
      </c>
      <c r="C383" s="266"/>
      <c r="D383" s="283" t="s">
        <v>444</v>
      </c>
      <c r="E383" s="264">
        <v>882</v>
      </c>
    </row>
    <row r="384" spans="1:5" ht="13.5" customHeight="1" x14ac:dyDescent="0.3">
      <c r="B384" s="266" t="s">
        <v>445</v>
      </c>
      <c r="C384" s="266"/>
      <c r="D384" s="268" t="s">
        <v>446</v>
      </c>
      <c r="E384" s="273">
        <v>1423</v>
      </c>
    </row>
    <row r="385" spans="2:5" s="9" customFormat="1" x14ac:dyDescent="0.3">
      <c r="B385" s="4"/>
      <c r="C385" s="4"/>
      <c r="D385" s="7"/>
      <c r="E385" s="78"/>
    </row>
    <row r="386" spans="2:5" s="9" customFormat="1" x14ac:dyDescent="0.3">
      <c r="B386" s="79" t="s">
        <v>248</v>
      </c>
      <c r="C386" s="86"/>
      <c r="D386" s="190"/>
      <c r="E386" s="158"/>
    </row>
    <row r="387" spans="2:5" customFormat="1" ht="14.5" x14ac:dyDescent="0.35">
      <c r="B387" s="279" t="s">
        <v>183</v>
      </c>
      <c r="C387" s="267"/>
      <c r="D387" s="284" t="s">
        <v>447</v>
      </c>
      <c r="E387" s="264">
        <v>12</v>
      </c>
    </row>
    <row r="388" spans="2:5" customFormat="1" ht="14.5" x14ac:dyDescent="0.35">
      <c r="B388" s="266" t="s">
        <v>250</v>
      </c>
      <c r="C388" s="267"/>
      <c r="D388" s="268" t="s">
        <v>251</v>
      </c>
      <c r="E388" s="264">
        <v>88</v>
      </c>
    </row>
    <row r="389" spans="2:5" s="9" customFormat="1" x14ac:dyDescent="0.3">
      <c r="B389" s="191"/>
      <c r="C389" s="192"/>
      <c r="D389" s="193"/>
      <c r="E389" s="212"/>
    </row>
    <row r="390" spans="2:5" s="9" customFormat="1" x14ac:dyDescent="0.3">
      <c r="B390" s="79" t="s">
        <v>448</v>
      </c>
      <c r="C390" s="86"/>
      <c r="D390" s="190"/>
      <c r="E390" s="189"/>
    </row>
    <row r="391" spans="2:5" s="80" customFormat="1" x14ac:dyDescent="0.25">
      <c r="B391" s="269" t="s">
        <v>253</v>
      </c>
      <c r="C391" s="274"/>
      <c r="D391" s="284" t="s">
        <v>449</v>
      </c>
      <c r="E391" s="264">
        <v>8</v>
      </c>
    </row>
    <row r="392" spans="2:5" s="80" customFormat="1" x14ac:dyDescent="0.25">
      <c r="B392" s="269" t="s">
        <v>254</v>
      </c>
      <c r="C392" s="274"/>
      <c r="D392" s="284" t="s">
        <v>450</v>
      </c>
      <c r="E392" s="264">
        <v>8</v>
      </c>
    </row>
    <row r="393" spans="2:5" s="80" customFormat="1" x14ac:dyDescent="0.25">
      <c r="B393" s="269" t="s">
        <v>255</v>
      </c>
      <c r="C393" s="267"/>
      <c r="D393" s="268" t="s">
        <v>147</v>
      </c>
      <c r="E393" s="264">
        <v>8</v>
      </c>
    </row>
    <row r="394" spans="2:5" s="80" customFormat="1" x14ac:dyDescent="0.25">
      <c r="B394" s="269" t="s">
        <v>256</v>
      </c>
      <c r="C394" s="274"/>
      <c r="D394" s="284" t="s">
        <v>451</v>
      </c>
      <c r="E394" s="264">
        <v>14</v>
      </c>
    </row>
    <row r="395" spans="2:5" x14ac:dyDescent="0.3">
      <c r="B395" s="98"/>
      <c r="C395" s="93"/>
      <c r="E395" s="7"/>
    </row>
    <row r="396" spans="2:5" x14ac:dyDescent="0.3">
      <c r="B396" s="62" t="s">
        <v>257</v>
      </c>
      <c r="C396" s="63"/>
      <c r="D396" s="157"/>
      <c r="E396" s="157"/>
    </row>
    <row r="397" spans="2:5" x14ac:dyDescent="0.3">
      <c r="B397" s="269" t="s">
        <v>258</v>
      </c>
      <c r="C397" s="274"/>
      <c r="D397" s="268" t="s">
        <v>259</v>
      </c>
      <c r="E397" s="264">
        <v>19</v>
      </c>
    </row>
    <row r="398" spans="2:5" x14ac:dyDescent="0.3">
      <c r="B398" s="98"/>
      <c r="C398" s="93"/>
      <c r="E398" s="7"/>
    </row>
    <row r="399" spans="2:5" s="9" customFormat="1" x14ac:dyDescent="0.3">
      <c r="B399" s="79" t="s">
        <v>452</v>
      </c>
      <c r="C399" s="63"/>
      <c r="D399" s="190"/>
      <c r="E399" s="157"/>
    </row>
    <row r="400" spans="2:5" s="80" customFormat="1" x14ac:dyDescent="0.25">
      <c r="B400" s="269" t="s">
        <v>260</v>
      </c>
      <c r="C400" s="267"/>
      <c r="D400" s="268" t="s">
        <v>154</v>
      </c>
      <c r="E400" s="264">
        <v>37</v>
      </c>
    </row>
    <row r="401" spans="2:5" x14ac:dyDescent="0.3">
      <c r="B401" s="98"/>
      <c r="C401" s="93"/>
      <c r="E401" s="7"/>
    </row>
    <row r="402" spans="2:5" s="9" customFormat="1" x14ac:dyDescent="0.35">
      <c r="B402" s="62" t="s">
        <v>261</v>
      </c>
      <c r="C402" s="63"/>
      <c r="D402" s="157"/>
      <c r="E402" s="157"/>
    </row>
    <row r="403" spans="2:5" x14ac:dyDescent="0.3">
      <c r="B403" s="266" t="s">
        <v>190</v>
      </c>
      <c r="C403" s="267"/>
      <c r="D403" s="268" t="s">
        <v>157</v>
      </c>
      <c r="E403" s="264">
        <v>40</v>
      </c>
    </row>
    <row r="404" spans="2:5" x14ac:dyDescent="0.3">
      <c r="B404" s="98"/>
      <c r="C404" s="93"/>
      <c r="E404" s="7"/>
    </row>
    <row r="405" spans="2:5" s="9" customFormat="1" x14ac:dyDescent="0.35">
      <c r="B405" s="62" t="s">
        <v>262</v>
      </c>
      <c r="C405" s="63"/>
      <c r="D405" s="157"/>
      <c r="E405" s="157"/>
    </row>
    <row r="406" spans="2:5" s="80" customFormat="1" x14ac:dyDescent="0.3">
      <c r="B406" s="285" t="s">
        <v>263</v>
      </c>
      <c r="C406" s="274"/>
      <c r="D406" s="268" t="s">
        <v>264</v>
      </c>
      <c r="E406" s="264">
        <v>14</v>
      </c>
    </row>
    <row r="407" spans="2:5" s="80" customFormat="1" x14ac:dyDescent="0.25">
      <c r="B407" s="269" t="s">
        <v>265</v>
      </c>
      <c r="C407" s="274"/>
      <c r="D407" s="268" t="s">
        <v>266</v>
      </c>
      <c r="E407" s="264">
        <v>72</v>
      </c>
    </row>
    <row r="408" spans="2:5" x14ac:dyDescent="0.3">
      <c r="B408" s="98"/>
      <c r="C408" s="93"/>
      <c r="E408" s="7"/>
    </row>
    <row r="409" spans="2:5" customFormat="1" ht="14.5" x14ac:dyDescent="0.35">
      <c r="B409" s="79" t="s">
        <v>158</v>
      </c>
      <c r="C409" s="63"/>
      <c r="D409" s="64"/>
      <c r="E409" s="64"/>
    </row>
    <row r="410" spans="2:5" customFormat="1" ht="14.5" x14ac:dyDescent="0.35">
      <c r="B410" s="285" t="s">
        <v>159</v>
      </c>
      <c r="C410" s="270"/>
      <c r="D410" s="268" t="s">
        <v>160</v>
      </c>
      <c r="E410" s="264">
        <v>7</v>
      </c>
    </row>
    <row r="411" spans="2:5" customFormat="1" ht="14.5" x14ac:dyDescent="0.35">
      <c r="B411" s="285" t="s">
        <v>161</v>
      </c>
      <c r="C411" s="270"/>
      <c r="D411" s="268" t="s">
        <v>162</v>
      </c>
      <c r="E411" s="264">
        <v>15</v>
      </c>
    </row>
    <row r="412" spans="2:5" customFormat="1" ht="14.5" collapsed="1" x14ac:dyDescent="0.35">
      <c r="B412" s="4"/>
      <c r="C412" s="26"/>
      <c r="D412" s="31"/>
      <c r="E412" s="166"/>
    </row>
    <row r="413" spans="2:5" x14ac:dyDescent="0.3">
      <c r="B413" s="79" t="s">
        <v>163</v>
      </c>
      <c r="C413" s="63"/>
      <c r="D413" s="190"/>
      <c r="E413" s="157"/>
    </row>
    <row r="414" spans="2:5" s="6" customFormat="1" x14ac:dyDescent="0.35">
      <c r="B414" s="286" t="s">
        <v>164</v>
      </c>
      <c r="C414" s="272"/>
      <c r="D414" s="268" t="s">
        <v>165</v>
      </c>
      <c r="E414" s="264">
        <v>0</v>
      </c>
    </row>
    <row r="415" spans="2:5" s="6" customFormat="1" x14ac:dyDescent="0.35">
      <c r="B415" s="121"/>
      <c r="C415" s="93"/>
      <c r="D415" s="7"/>
      <c r="E415" s="122"/>
    </row>
    <row r="416" spans="2:5" x14ac:dyDescent="0.3">
      <c r="B416" s="98"/>
      <c r="C416" s="93"/>
      <c r="E416" s="82"/>
    </row>
    <row r="417" spans="2:5" collapsed="1" x14ac:dyDescent="0.3">
      <c r="B417" s="87" t="s">
        <v>453</v>
      </c>
      <c r="C417" s="88"/>
      <c r="D417" s="66"/>
      <c r="E417" s="67"/>
    </row>
    <row r="418" spans="2:5" x14ac:dyDescent="0.3">
      <c r="B418" s="79" t="s">
        <v>107</v>
      </c>
      <c r="C418" s="86"/>
      <c r="D418" s="31"/>
      <c r="E418" s="61"/>
    </row>
    <row r="419" spans="2:5" x14ac:dyDescent="0.3">
      <c r="B419" s="266" t="s">
        <v>353</v>
      </c>
      <c r="C419" s="267"/>
      <c r="D419" s="268" t="s">
        <v>454</v>
      </c>
      <c r="E419" s="264">
        <v>200</v>
      </c>
    </row>
    <row r="420" spans="2:5" x14ac:dyDescent="0.3">
      <c r="B420" s="79"/>
      <c r="C420" s="86"/>
      <c r="D420" s="31"/>
      <c r="E420" s="31"/>
    </row>
    <row r="421" spans="2:5" x14ac:dyDescent="0.3">
      <c r="B421" s="79" t="s">
        <v>114</v>
      </c>
      <c r="C421" s="99"/>
      <c r="E421" s="7"/>
    </row>
    <row r="422" spans="2:5" x14ac:dyDescent="0.3">
      <c r="B422" s="266" t="s">
        <v>455</v>
      </c>
      <c r="C422" s="279"/>
      <c r="D422" s="268" t="s">
        <v>356</v>
      </c>
      <c r="E422" s="264">
        <v>121</v>
      </c>
    </row>
    <row r="423" spans="2:5" x14ac:dyDescent="0.3">
      <c r="B423" s="266" t="s">
        <v>456</v>
      </c>
      <c r="C423" s="279"/>
      <c r="D423" s="268" t="s">
        <v>358</v>
      </c>
      <c r="E423" s="264">
        <v>409</v>
      </c>
    </row>
    <row r="424" spans="2:5" x14ac:dyDescent="0.3">
      <c r="B424" s="62" t="s">
        <v>363</v>
      </c>
      <c r="C424" s="68"/>
      <c r="E424" s="61"/>
    </row>
    <row r="425" spans="2:5" x14ac:dyDescent="0.3">
      <c r="B425" s="266" t="s">
        <v>364</v>
      </c>
      <c r="C425" s="267"/>
      <c r="D425" s="268" t="s">
        <v>365</v>
      </c>
      <c r="E425" s="264">
        <v>35</v>
      </c>
    </row>
    <row r="426" spans="2:5" x14ac:dyDescent="0.3">
      <c r="B426" s="266" t="s">
        <v>366</v>
      </c>
      <c r="C426" s="267"/>
      <c r="D426" s="268" t="s">
        <v>367</v>
      </c>
      <c r="E426" s="264">
        <v>227</v>
      </c>
    </row>
    <row r="427" spans="2:5" x14ac:dyDescent="0.3">
      <c r="B427" s="266" t="s">
        <v>368</v>
      </c>
      <c r="C427" s="267"/>
      <c r="D427" s="268" t="s">
        <v>369</v>
      </c>
      <c r="E427" s="264">
        <v>456</v>
      </c>
    </row>
    <row r="428" spans="2:5" x14ac:dyDescent="0.3">
      <c r="B428" s="266" t="s">
        <v>370</v>
      </c>
      <c r="C428" s="267"/>
      <c r="D428" s="268" t="s">
        <v>371</v>
      </c>
      <c r="E428" s="264">
        <v>1023</v>
      </c>
    </row>
    <row r="429" spans="2:5" x14ac:dyDescent="0.3">
      <c r="B429" s="4"/>
      <c r="C429" s="4"/>
      <c r="E429" s="72"/>
    </row>
    <row r="430" spans="2:5" x14ac:dyDescent="0.3">
      <c r="B430" s="62" t="s">
        <v>121</v>
      </c>
      <c r="C430" s="86"/>
      <c r="E430" s="7"/>
    </row>
    <row r="431" spans="2:5" x14ac:dyDescent="0.3">
      <c r="B431" s="267" t="s">
        <v>457</v>
      </c>
      <c r="C431" s="267"/>
      <c r="D431" s="268" t="s">
        <v>458</v>
      </c>
      <c r="E431" s="264">
        <v>73</v>
      </c>
    </row>
    <row r="432" spans="2:5" x14ac:dyDescent="0.3">
      <c r="B432" s="267" t="s">
        <v>459</v>
      </c>
      <c r="C432" s="267"/>
      <c r="D432" s="268" t="s">
        <v>460</v>
      </c>
      <c r="E432" s="264">
        <v>217</v>
      </c>
    </row>
    <row r="433" spans="1:5" x14ac:dyDescent="0.3">
      <c r="B433" s="267" t="s">
        <v>374</v>
      </c>
      <c r="C433" s="267"/>
      <c r="D433" s="268" t="s">
        <v>375</v>
      </c>
      <c r="E433" s="264">
        <v>517</v>
      </c>
    </row>
    <row r="434" spans="1:5" x14ac:dyDescent="0.3">
      <c r="B434" s="10"/>
      <c r="D434" s="31"/>
      <c r="E434" s="31"/>
    </row>
    <row r="435" spans="1:5" x14ac:dyDescent="0.3">
      <c r="B435" s="97" t="s">
        <v>293</v>
      </c>
      <c r="C435" s="86"/>
      <c r="E435" s="7"/>
    </row>
    <row r="436" spans="1:5" x14ac:dyDescent="0.3">
      <c r="B436" s="279" t="s">
        <v>376</v>
      </c>
      <c r="C436" s="279"/>
      <c r="D436" s="268" t="s">
        <v>461</v>
      </c>
      <c r="E436" s="264">
        <v>133</v>
      </c>
    </row>
    <row r="437" spans="1:5" x14ac:dyDescent="0.3">
      <c r="B437" s="267" t="s">
        <v>372</v>
      </c>
      <c r="C437" s="279"/>
      <c r="D437" s="268" t="s">
        <v>462</v>
      </c>
      <c r="E437" s="264">
        <v>206</v>
      </c>
    </row>
    <row r="438" spans="1:5" x14ac:dyDescent="0.3">
      <c r="B438" s="267" t="s">
        <v>373</v>
      </c>
      <c r="C438" s="279"/>
      <c r="D438" s="268" t="s">
        <v>463</v>
      </c>
      <c r="E438" s="264">
        <v>350</v>
      </c>
    </row>
    <row r="439" spans="1:5" x14ac:dyDescent="0.3">
      <c r="B439" s="267" t="s">
        <v>374</v>
      </c>
      <c r="C439" s="267"/>
      <c r="D439" s="268" t="s">
        <v>378</v>
      </c>
      <c r="E439" s="264">
        <v>650</v>
      </c>
    </row>
    <row r="440" spans="1:5" x14ac:dyDescent="0.3">
      <c r="B440" s="4"/>
      <c r="C440" s="4"/>
      <c r="D440" s="100"/>
      <c r="E440" s="31"/>
    </row>
    <row r="441" spans="1:5" x14ac:dyDescent="0.3">
      <c r="A441" s="105"/>
      <c r="B441" s="79" t="s">
        <v>464</v>
      </c>
      <c r="C441" s="101"/>
      <c r="E441" s="7"/>
    </row>
    <row r="442" spans="1:5" x14ac:dyDescent="0.3">
      <c r="A442" s="105"/>
      <c r="B442" s="266" t="s">
        <v>465</v>
      </c>
      <c r="C442" s="267"/>
      <c r="D442" s="268" t="s">
        <v>466</v>
      </c>
      <c r="E442" s="264">
        <v>180</v>
      </c>
    </row>
    <row r="443" spans="1:5" x14ac:dyDescent="0.3">
      <c r="A443" s="10"/>
      <c r="B443" s="266" t="s">
        <v>467</v>
      </c>
      <c r="C443" s="267"/>
      <c r="D443" s="268" t="s">
        <v>468</v>
      </c>
      <c r="E443" s="264">
        <v>454</v>
      </c>
    </row>
    <row r="444" spans="1:5" x14ac:dyDescent="0.3">
      <c r="A444" s="10"/>
      <c r="B444" s="266" t="s">
        <v>469</v>
      </c>
      <c r="C444" s="267"/>
      <c r="D444" s="268" t="s">
        <v>470</v>
      </c>
      <c r="E444" s="264">
        <v>774</v>
      </c>
    </row>
    <row r="445" spans="1:5" x14ac:dyDescent="0.3">
      <c r="A445" s="10"/>
      <c r="B445" s="266" t="s">
        <v>471</v>
      </c>
      <c r="C445" s="267"/>
      <c r="D445" s="268" t="s">
        <v>472</v>
      </c>
      <c r="E445" s="264">
        <v>1597</v>
      </c>
    </row>
    <row r="446" spans="1:5" x14ac:dyDescent="0.3">
      <c r="B446" s="266" t="s">
        <v>473</v>
      </c>
      <c r="C446" s="267"/>
      <c r="D446" s="268" t="s">
        <v>474</v>
      </c>
      <c r="E446" s="264">
        <v>1091</v>
      </c>
    </row>
    <row r="447" spans="1:5" x14ac:dyDescent="0.3">
      <c r="B447" s="4"/>
      <c r="C447" s="4"/>
      <c r="D447" s="31"/>
      <c r="E447" s="61"/>
    </row>
    <row r="448" spans="1:5" x14ac:dyDescent="0.3">
      <c r="B448" s="79" t="s">
        <v>475</v>
      </c>
      <c r="C448" s="86"/>
      <c r="E448" s="61"/>
    </row>
    <row r="449" spans="2:5" x14ac:dyDescent="0.3">
      <c r="B449" s="261" t="s">
        <v>476</v>
      </c>
      <c r="C449" s="267"/>
      <c r="D449" s="268" t="s">
        <v>477</v>
      </c>
      <c r="E449" s="264">
        <v>28</v>
      </c>
    </row>
    <row r="450" spans="2:5" x14ac:dyDescent="0.3">
      <c r="B450" s="267" t="s">
        <v>478</v>
      </c>
      <c r="C450" s="267"/>
      <c r="D450" s="268" t="s">
        <v>479</v>
      </c>
      <c r="E450" s="264">
        <v>55</v>
      </c>
    </row>
    <row r="451" spans="2:5" x14ac:dyDescent="0.3">
      <c r="B451" s="266" t="s">
        <v>480</v>
      </c>
      <c r="C451" s="267"/>
      <c r="D451" s="268" t="s">
        <v>481</v>
      </c>
      <c r="E451" s="264">
        <v>229</v>
      </c>
    </row>
    <row r="452" spans="2:5" x14ac:dyDescent="0.3">
      <c r="B452" s="4"/>
      <c r="C452" s="4"/>
      <c r="D452" s="31"/>
      <c r="E452" s="61"/>
    </row>
    <row r="453" spans="2:5" x14ac:dyDescent="0.3">
      <c r="B453" s="86" t="s">
        <v>313</v>
      </c>
      <c r="C453" s="4"/>
      <c r="E453" s="102"/>
    </row>
    <row r="454" spans="2:5" x14ac:dyDescent="0.3">
      <c r="B454" s="266" t="s">
        <v>395</v>
      </c>
      <c r="C454" s="279"/>
      <c r="D454" s="268" t="s">
        <v>482</v>
      </c>
      <c r="E454" s="264">
        <v>0</v>
      </c>
    </row>
    <row r="455" spans="2:5" x14ac:dyDescent="0.3">
      <c r="B455" s="4"/>
      <c r="C455" s="4"/>
      <c r="E455" s="31"/>
    </row>
    <row r="456" spans="2:5" x14ac:dyDescent="0.3">
      <c r="B456" s="86" t="s">
        <v>483</v>
      </c>
      <c r="C456" s="86"/>
      <c r="D456" s="31"/>
      <c r="E456" s="7"/>
    </row>
    <row r="457" spans="2:5" x14ac:dyDescent="0.3">
      <c r="B457" s="287" t="s">
        <v>484</v>
      </c>
      <c r="C457" s="288"/>
      <c r="D457" s="268" t="s">
        <v>485</v>
      </c>
      <c r="E457" s="264">
        <v>28</v>
      </c>
    </row>
    <row r="458" spans="2:5" x14ac:dyDescent="0.3">
      <c r="B458" s="4"/>
      <c r="C458" s="4"/>
      <c r="D458" s="31"/>
      <c r="E458" s="31"/>
    </row>
    <row r="459" spans="2:5" x14ac:dyDescent="0.3">
      <c r="B459" s="79" t="s">
        <v>349</v>
      </c>
      <c r="C459" s="4"/>
      <c r="E459" s="7"/>
    </row>
    <row r="460" spans="2:5" x14ac:dyDescent="0.3">
      <c r="B460" s="266" t="s">
        <v>486</v>
      </c>
      <c r="C460" s="279"/>
      <c r="D460" s="268" t="s">
        <v>487</v>
      </c>
      <c r="E460" s="264">
        <v>20</v>
      </c>
    </row>
    <row r="461" spans="2:5" x14ac:dyDescent="0.3">
      <c r="B461" s="266" t="s">
        <v>488</v>
      </c>
      <c r="C461" s="279"/>
      <c r="D461" s="268" t="s">
        <v>489</v>
      </c>
      <c r="E461" s="264">
        <v>38</v>
      </c>
    </row>
    <row r="462" spans="2:5" x14ac:dyDescent="0.3">
      <c r="B462" s="266" t="s">
        <v>490</v>
      </c>
      <c r="C462" s="267"/>
      <c r="D462" s="268" t="s">
        <v>491</v>
      </c>
      <c r="E462" s="264">
        <v>88</v>
      </c>
    </row>
    <row r="463" spans="2:5" customFormat="1" ht="14.5" x14ac:dyDescent="0.35">
      <c r="B463" s="17"/>
      <c r="C463" s="17"/>
      <c r="D463" s="7"/>
      <c r="E463" s="6"/>
    </row>
    <row r="464" spans="2:5" customFormat="1" ht="14.5" x14ac:dyDescent="0.35">
      <c r="B464" s="17" t="s">
        <v>401</v>
      </c>
      <c r="C464" s="17"/>
      <c r="D464" s="7"/>
      <c r="E464" s="17"/>
    </row>
    <row r="465" spans="2:5" customFormat="1" ht="14.5" x14ac:dyDescent="0.35">
      <c r="B465" s="262" t="s">
        <v>402</v>
      </c>
      <c r="C465" s="267"/>
      <c r="D465" s="268" t="s">
        <v>330</v>
      </c>
      <c r="E465" s="264">
        <v>119</v>
      </c>
    </row>
    <row r="466" spans="2:5" x14ac:dyDescent="0.3">
      <c r="B466" s="86"/>
      <c r="C466" s="86"/>
      <c r="D466" s="31"/>
      <c r="E466" s="31"/>
    </row>
    <row r="467" spans="2:5" x14ac:dyDescent="0.3">
      <c r="B467" s="79" t="s">
        <v>158</v>
      </c>
      <c r="C467" s="86"/>
      <c r="D467" s="64"/>
      <c r="E467" s="7"/>
    </row>
    <row r="468" spans="2:5" x14ac:dyDescent="0.3">
      <c r="B468" s="285" t="s">
        <v>161</v>
      </c>
      <c r="C468" s="281"/>
      <c r="D468" s="268" t="s">
        <v>162</v>
      </c>
      <c r="E468" s="264">
        <v>15</v>
      </c>
    </row>
    <row r="469" spans="2:5" x14ac:dyDescent="0.3">
      <c r="B469" s="4"/>
      <c r="C469" s="4"/>
      <c r="E469" s="61"/>
    </row>
    <row r="470" spans="2:5" ht="13.5" thickBot="1" x14ac:dyDescent="0.35">
      <c r="B470" s="19"/>
      <c r="E470" s="31"/>
    </row>
    <row r="471" spans="2:5" ht="21.5" thickBot="1" x14ac:dyDescent="0.55000000000000004">
      <c r="B471" s="354" t="s">
        <v>492</v>
      </c>
      <c r="C471" s="355"/>
      <c r="D471" s="355"/>
      <c r="E471" s="130"/>
    </row>
    <row r="472" spans="2:5" ht="26.5" thickBot="1" x14ac:dyDescent="0.35">
      <c r="B472" s="11" t="s">
        <v>82</v>
      </c>
      <c r="C472" s="12" t="s">
        <v>83</v>
      </c>
      <c r="D472" s="13" t="s">
        <v>84</v>
      </c>
      <c r="E472" s="13"/>
    </row>
    <row r="473" spans="2:5" ht="141" customHeight="1" x14ac:dyDescent="0.3">
      <c r="B473" s="91" t="s">
        <v>493</v>
      </c>
      <c r="C473" s="103" t="s">
        <v>494</v>
      </c>
      <c r="D473" s="104" t="s">
        <v>495</v>
      </c>
      <c r="E473" s="256">
        <v>686</v>
      </c>
    </row>
    <row r="474" spans="2:5" ht="137.25" customHeight="1" x14ac:dyDescent="0.3">
      <c r="B474" s="258" t="s">
        <v>496</v>
      </c>
      <c r="C474" s="103" t="s">
        <v>497</v>
      </c>
      <c r="D474" s="104" t="s">
        <v>498</v>
      </c>
      <c r="E474" s="256">
        <v>1712</v>
      </c>
    </row>
    <row r="475" spans="2:5" ht="143.25" customHeight="1" x14ac:dyDescent="0.3">
      <c r="B475" s="258" t="s">
        <v>499</v>
      </c>
      <c r="C475" s="103" t="s">
        <v>500</v>
      </c>
      <c r="D475" s="104" t="s">
        <v>501</v>
      </c>
      <c r="E475" s="256">
        <v>2215</v>
      </c>
    </row>
    <row r="476" spans="2:5" ht="156" customHeight="1" x14ac:dyDescent="0.3">
      <c r="B476" s="258" t="s">
        <v>502</v>
      </c>
      <c r="C476" s="103" t="s">
        <v>503</v>
      </c>
      <c r="D476" s="104" t="s">
        <v>504</v>
      </c>
      <c r="E476" s="256">
        <v>2949</v>
      </c>
    </row>
    <row r="477" spans="2:5" ht="13.5" thickBot="1" x14ac:dyDescent="0.35">
      <c r="B477" s="4"/>
      <c r="C477" s="4"/>
    </row>
    <row r="478" spans="2:5" ht="21.5" thickBot="1" x14ac:dyDescent="0.55000000000000004">
      <c r="B478" s="354" t="s">
        <v>505</v>
      </c>
      <c r="C478" s="355"/>
      <c r="D478" s="355"/>
      <c r="E478" s="130"/>
    </row>
    <row r="479" spans="2:5" ht="26.5" thickBot="1" x14ac:dyDescent="0.35">
      <c r="B479" s="11" t="s">
        <v>82</v>
      </c>
      <c r="C479" s="12" t="s">
        <v>83</v>
      </c>
      <c r="D479" s="13" t="s">
        <v>84</v>
      </c>
      <c r="E479" s="13"/>
    </row>
    <row r="480" spans="2:5" x14ac:dyDescent="0.3">
      <c r="B480" s="131" t="s">
        <v>506</v>
      </c>
      <c r="C480" s="131"/>
      <c r="D480" s="132"/>
      <c r="E480" s="123"/>
    </row>
    <row r="481" spans="1:5" x14ac:dyDescent="0.3">
      <c r="B481" s="25"/>
      <c r="C481" s="4"/>
      <c r="D481" s="18"/>
      <c r="E481" s="18"/>
    </row>
    <row r="482" spans="1:5" x14ac:dyDescent="0.3">
      <c r="B482" s="17" t="s">
        <v>507</v>
      </c>
      <c r="C482" s="30"/>
      <c r="D482" s="32"/>
      <c r="E482" s="32"/>
    </row>
    <row r="483" spans="1:5" x14ac:dyDescent="0.3">
      <c r="B483" s="267" t="s">
        <v>508</v>
      </c>
      <c r="C483" s="279"/>
      <c r="D483" s="155" t="s">
        <v>509</v>
      </c>
      <c r="E483" s="264">
        <v>93</v>
      </c>
    </row>
    <row r="484" spans="1:5" x14ac:dyDescent="0.3">
      <c r="B484" s="4"/>
      <c r="C484" s="4"/>
      <c r="D484" s="4"/>
      <c r="E484" s="4"/>
    </row>
    <row r="485" spans="1:5" x14ac:dyDescent="0.3">
      <c r="B485" s="19" t="s">
        <v>107</v>
      </c>
      <c r="C485" s="30"/>
      <c r="D485" s="30"/>
      <c r="E485" s="30"/>
    </row>
    <row r="486" spans="1:5" x14ac:dyDescent="0.3">
      <c r="B486" s="267" t="s">
        <v>510</v>
      </c>
      <c r="C486" s="266"/>
      <c r="D486" s="268" t="s">
        <v>511</v>
      </c>
      <c r="E486" s="264">
        <v>196</v>
      </c>
    </row>
    <row r="487" spans="1:5" x14ac:dyDescent="0.3">
      <c r="A487" s="124"/>
      <c r="B487" s="267" t="s">
        <v>512</v>
      </c>
      <c r="C487" s="289"/>
      <c r="D487" s="268" t="s">
        <v>513</v>
      </c>
      <c r="E487" s="264">
        <v>330</v>
      </c>
    </row>
    <row r="488" spans="1:5" x14ac:dyDescent="0.3">
      <c r="A488" s="124"/>
      <c r="B488" s="267" t="s">
        <v>514</v>
      </c>
      <c r="C488" s="289"/>
      <c r="D488" s="268" t="s">
        <v>515</v>
      </c>
      <c r="E488" s="264">
        <v>443</v>
      </c>
    </row>
    <row r="489" spans="1:5" x14ac:dyDescent="0.3">
      <c r="A489" s="124"/>
      <c r="B489" s="267" t="s">
        <v>516</v>
      </c>
      <c r="C489" s="289"/>
      <c r="D489" s="268" t="s">
        <v>517</v>
      </c>
      <c r="E489" s="264">
        <v>618</v>
      </c>
    </row>
    <row r="490" spans="1:5" x14ac:dyDescent="0.3">
      <c r="A490" s="124"/>
      <c r="B490" s="267" t="s">
        <v>518</v>
      </c>
      <c r="C490" s="289"/>
      <c r="D490" s="268" t="s">
        <v>519</v>
      </c>
      <c r="E490" s="264">
        <v>979</v>
      </c>
    </row>
    <row r="491" spans="1:5" x14ac:dyDescent="0.3">
      <c r="A491" s="124"/>
      <c r="B491" s="267" t="s">
        <v>520</v>
      </c>
      <c r="C491" s="289"/>
      <c r="D491" s="268" t="s">
        <v>521</v>
      </c>
      <c r="E491" s="264">
        <v>1339</v>
      </c>
    </row>
    <row r="492" spans="1:5" x14ac:dyDescent="0.3">
      <c r="A492" s="124"/>
      <c r="B492" s="267" t="s">
        <v>522</v>
      </c>
      <c r="C492" s="289"/>
      <c r="D492" s="268" t="s">
        <v>523</v>
      </c>
      <c r="E492" s="264">
        <v>1751</v>
      </c>
    </row>
    <row r="493" spans="1:5" x14ac:dyDescent="0.3">
      <c r="B493" s="6"/>
      <c r="D493" s="6"/>
      <c r="E493" s="6"/>
    </row>
    <row r="494" spans="1:5" x14ac:dyDescent="0.3">
      <c r="B494" s="17" t="s">
        <v>114</v>
      </c>
      <c r="C494" s="30"/>
      <c r="D494" s="32"/>
      <c r="E494" s="32"/>
    </row>
    <row r="495" spans="1:5" x14ac:dyDescent="0.3">
      <c r="B495" s="267" t="s">
        <v>524</v>
      </c>
      <c r="C495" s="279"/>
      <c r="D495" s="155" t="s">
        <v>525</v>
      </c>
      <c r="E495" s="264">
        <v>342</v>
      </c>
    </row>
    <row r="496" spans="1:5" x14ac:dyDescent="0.3">
      <c r="B496" s="267" t="s">
        <v>526</v>
      </c>
      <c r="C496" s="279"/>
      <c r="D496" s="268" t="s">
        <v>527</v>
      </c>
      <c r="E496" s="264">
        <v>812</v>
      </c>
    </row>
    <row r="497" spans="1:5" x14ac:dyDescent="0.3">
      <c r="B497" s="267" t="s">
        <v>528</v>
      </c>
      <c r="C497" s="279"/>
      <c r="D497" s="268" t="s">
        <v>529</v>
      </c>
      <c r="E497" s="264">
        <v>1026</v>
      </c>
    </row>
    <row r="498" spans="1:5" x14ac:dyDescent="0.3">
      <c r="A498" s="15"/>
      <c r="B498" s="267" t="s">
        <v>530</v>
      </c>
      <c r="C498" s="290"/>
      <c r="D498" s="268" t="s">
        <v>531</v>
      </c>
      <c r="E498" s="264">
        <v>1965</v>
      </c>
    </row>
    <row r="499" spans="1:5" x14ac:dyDescent="0.3">
      <c r="B499" s="267" t="s">
        <v>532</v>
      </c>
      <c r="C499" s="279"/>
      <c r="D499" s="268" t="s">
        <v>533</v>
      </c>
      <c r="E499" s="264">
        <v>2394</v>
      </c>
    </row>
    <row r="500" spans="1:5" x14ac:dyDescent="0.3">
      <c r="B500" s="267" t="s">
        <v>534</v>
      </c>
      <c r="C500" s="279"/>
      <c r="D500" s="268" t="s">
        <v>535</v>
      </c>
      <c r="E500" s="264">
        <v>4272</v>
      </c>
    </row>
    <row r="501" spans="1:5" x14ac:dyDescent="0.3">
      <c r="B501" s="267" t="s">
        <v>536</v>
      </c>
      <c r="C501" s="279"/>
      <c r="D501" s="56" t="s">
        <v>537</v>
      </c>
      <c r="E501" s="264">
        <v>18610</v>
      </c>
    </row>
    <row r="502" spans="1:5" x14ac:dyDescent="0.3">
      <c r="B502" s="267" t="s">
        <v>538</v>
      </c>
      <c r="C502" s="279"/>
      <c r="D502" s="56" t="s">
        <v>539</v>
      </c>
      <c r="E502" s="264">
        <v>28086</v>
      </c>
    </row>
    <row r="503" spans="1:5" x14ac:dyDescent="0.3">
      <c r="B503" s="267" t="s">
        <v>540</v>
      </c>
      <c r="C503" s="279"/>
      <c r="D503" s="56" t="s">
        <v>541</v>
      </c>
      <c r="E503" s="264">
        <v>37562</v>
      </c>
    </row>
    <row r="504" spans="1:5" x14ac:dyDescent="0.3">
      <c r="B504" s="6"/>
      <c r="D504" s="18"/>
      <c r="E504" s="18"/>
    </row>
    <row r="505" spans="1:5" x14ac:dyDescent="0.3">
      <c r="B505" s="19" t="s">
        <v>542</v>
      </c>
      <c r="C505" s="27"/>
      <c r="E505" s="7"/>
    </row>
    <row r="506" spans="1:5" x14ac:dyDescent="0.3">
      <c r="B506" s="27" t="s">
        <v>543</v>
      </c>
      <c r="C506" s="27"/>
      <c r="D506" s="55"/>
      <c r="E506" s="55"/>
    </row>
    <row r="507" spans="1:5" x14ac:dyDescent="0.3">
      <c r="B507" s="266" t="s">
        <v>124</v>
      </c>
      <c r="C507" s="267"/>
      <c r="D507" s="268" t="s">
        <v>544</v>
      </c>
      <c r="E507" s="264">
        <v>73</v>
      </c>
    </row>
    <row r="508" spans="1:5" x14ac:dyDescent="0.3">
      <c r="B508" s="267" t="s">
        <v>126</v>
      </c>
      <c r="C508" s="279"/>
      <c r="D508" s="268" t="s">
        <v>545</v>
      </c>
      <c r="E508" s="264">
        <v>217</v>
      </c>
    </row>
    <row r="509" spans="1:5" x14ac:dyDescent="0.3">
      <c r="B509" s="266" t="s">
        <v>218</v>
      </c>
      <c r="C509" s="267"/>
      <c r="D509" s="268" t="s">
        <v>426</v>
      </c>
      <c r="E509" s="264">
        <v>517</v>
      </c>
    </row>
    <row r="510" spans="1:5" x14ac:dyDescent="0.3">
      <c r="B510" s="27" t="s">
        <v>546</v>
      </c>
      <c r="C510" s="4"/>
      <c r="E510" s="72"/>
    </row>
    <row r="511" spans="1:5" x14ac:dyDescent="0.3">
      <c r="B511" s="266" t="s">
        <v>122</v>
      </c>
      <c r="C511" s="267"/>
      <c r="D511" s="268" t="s">
        <v>131</v>
      </c>
      <c r="E511" s="264">
        <v>133</v>
      </c>
    </row>
    <row r="512" spans="1:5" x14ac:dyDescent="0.3">
      <c r="B512" s="266" t="s">
        <v>124</v>
      </c>
      <c r="C512" s="267"/>
      <c r="D512" s="268" t="s">
        <v>132</v>
      </c>
      <c r="E512" s="264">
        <v>206</v>
      </c>
    </row>
    <row r="513" spans="1:5" x14ac:dyDescent="0.3">
      <c r="B513" s="266" t="s">
        <v>126</v>
      </c>
      <c r="C513" s="279"/>
      <c r="D513" s="268" t="s">
        <v>133</v>
      </c>
      <c r="E513" s="264">
        <v>350</v>
      </c>
    </row>
    <row r="514" spans="1:5" x14ac:dyDescent="0.3">
      <c r="B514" s="266" t="s">
        <v>218</v>
      </c>
      <c r="C514" s="267"/>
      <c r="D514" s="268" t="s">
        <v>221</v>
      </c>
      <c r="E514" s="264">
        <v>650</v>
      </c>
    </row>
    <row r="515" spans="1:5" x14ac:dyDescent="0.3">
      <c r="B515" s="27" t="s">
        <v>547</v>
      </c>
      <c r="C515" s="4"/>
      <c r="D515" s="32"/>
      <c r="E515" s="32"/>
    </row>
    <row r="516" spans="1:5" x14ac:dyDescent="0.3">
      <c r="B516" s="267" t="s">
        <v>548</v>
      </c>
      <c r="C516" s="279"/>
      <c r="D516" s="268" t="s">
        <v>549</v>
      </c>
      <c r="E516" s="264">
        <v>115</v>
      </c>
    </row>
    <row r="517" spans="1:5" x14ac:dyDescent="0.3">
      <c r="B517" s="267" t="s">
        <v>550</v>
      </c>
      <c r="C517" s="279"/>
      <c r="D517" s="268" t="s">
        <v>551</v>
      </c>
      <c r="E517" s="264">
        <v>115</v>
      </c>
    </row>
    <row r="518" spans="1:5" x14ac:dyDescent="0.3">
      <c r="B518" s="27" t="s">
        <v>552</v>
      </c>
      <c r="D518" s="6"/>
      <c r="E518" s="6"/>
    </row>
    <row r="519" spans="1:5" x14ac:dyDescent="0.3">
      <c r="B519" s="267" t="s">
        <v>171</v>
      </c>
      <c r="C519" s="279"/>
      <c r="D519" s="268" t="s">
        <v>553</v>
      </c>
      <c r="E519" s="264">
        <v>46</v>
      </c>
    </row>
    <row r="520" spans="1:5" x14ac:dyDescent="0.3">
      <c r="B520" s="267" t="s">
        <v>554</v>
      </c>
      <c r="C520" s="267"/>
      <c r="D520" s="268" t="s">
        <v>555</v>
      </c>
      <c r="E520" s="264">
        <v>148</v>
      </c>
    </row>
    <row r="521" spans="1:5" x14ac:dyDescent="0.3">
      <c r="B521" s="267" t="s">
        <v>556</v>
      </c>
      <c r="C521" s="279"/>
      <c r="D521" s="268" t="s">
        <v>557</v>
      </c>
      <c r="E521" s="264">
        <v>229</v>
      </c>
    </row>
    <row r="522" spans="1:5" x14ac:dyDescent="0.3">
      <c r="B522" s="267" t="s">
        <v>558</v>
      </c>
      <c r="C522" s="279"/>
      <c r="D522" s="268" t="s">
        <v>559</v>
      </c>
      <c r="E522" s="264">
        <v>349</v>
      </c>
    </row>
    <row r="523" spans="1:5" x14ac:dyDescent="0.3">
      <c r="A523" s="96"/>
      <c r="B523" s="27" t="s">
        <v>560</v>
      </c>
      <c r="C523" s="168"/>
      <c r="E523" s="72"/>
    </row>
    <row r="524" spans="1:5" x14ac:dyDescent="0.3">
      <c r="A524" s="96"/>
      <c r="B524" s="266" t="s">
        <v>561</v>
      </c>
      <c r="C524" s="267"/>
      <c r="D524" s="268" t="s">
        <v>562</v>
      </c>
      <c r="E524" s="264">
        <v>10</v>
      </c>
    </row>
    <row r="525" spans="1:5" x14ac:dyDescent="0.3">
      <c r="A525" s="96"/>
      <c r="B525" s="266" t="s">
        <v>563</v>
      </c>
      <c r="C525" s="267"/>
      <c r="D525" s="268" t="s">
        <v>564</v>
      </c>
      <c r="E525" s="264">
        <v>21</v>
      </c>
    </row>
    <row r="526" spans="1:5" x14ac:dyDescent="0.3">
      <c r="A526" s="96"/>
      <c r="B526" s="27" t="s">
        <v>565</v>
      </c>
      <c r="C526" s="168"/>
      <c r="E526" s="78"/>
    </row>
    <row r="527" spans="1:5" x14ac:dyDescent="0.3">
      <c r="A527" s="96"/>
      <c r="B527" s="287" t="s">
        <v>171</v>
      </c>
      <c r="C527" s="279"/>
      <c r="D527" s="268" t="s">
        <v>553</v>
      </c>
      <c r="E527" s="264">
        <v>46</v>
      </c>
    </row>
    <row r="528" spans="1:5" x14ac:dyDescent="0.3">
      <c r="A528" s="96"/>
      <c r="B528" s="287" t="s">
        <v>554</v>
      </c>
      <c r="C528" s="267"/>
      <c r="D528" s="268" t="s">
        <v>555</v>
      </c>
      <c r="E528" s="264">
        <v>148</v>
      </c>
    </row>
    <row r="529" spans="1:5" x14ac:dyDescent="0.3">
      <c r="A529" s="96"/>
      <c r="B529" s="287" t="s">
        <v>556</v>
      </c>
      <c r="C529" s="279"/>
      <c r="D529" s="268" t="s">
        <v>557</v>
      </c>
      <c r="E529" s="264">
        <v>229</v>
      </c>
    </row>
    <row r="530" spans="1:5" x14ac:dyDescent="0.3">
      <c r="A530" s="96"/>
      <c r="B530" s="267" t="s">
        <v>558</v>
      </c>
      <c r="C530" s="279"/>
      <c r="D530" s="268" t="s">
        <v>559</v>
      </c>
      <c r="E530" s="264">
        <v>349</v>
      </c>
    </row>
    <row r="531" spans="1:5" x14ac:dyDescent="0.3">
      <c r="B531" s="19" t="s">
        <v>566</v>
      </c>
      <c r="C531" s="4"/>
      <c r="D531" s="32"/>
      <c r="E531" s="32"/>
    </row>
    <row r="532" spans="1:5" x14ac:dyDescent="0.3">
      <c r="B532" s="291" t="s">
        <v>567</v>
      </c>
      <c r="C532" s="279"/>
      <c r="D532" s="292" t="s">
        <v>568</v>
      </c>
      <c r="E532" s="264">
        <v>6</v>
      </c>
    </row>
    <row r="533" spans="1:5" x14ac:dyDescent="0.3">
      <c r="B533" s="291" t="s">
        <v>569</v>
      </c>
      <c r="C533" s="279"/>
      <c r="D533" s="292" t="s">
        <v>570</v>
      </c>
      <c r="E533" s="264">
        <v>6</v>
      </c>
    </row>
    <row r="534" spans="1:5" x14ac:dyDescent="0.3">
      <c r="B534" s="291" t="s">
        <v>571</v>
      </c>
      <c r="C534" s="279"/>
      <c r="D534" s="292" t="s">
        <v>572</v>
      </c>
      <c r="E534" s="264">
        <v>6</v>
      </c>
    </row>
    <row r="535" spans="1:5" x14ac:dyDescent="0.3">
      <c r="B535" s="291" t="s">
        <v>573</v>
      </c>
      <c r="C535" s="279"/>
      <c r="D535" s="292" t="s">
        <v>574</v>
      </c>
      <c r="E535" s="264">
        <v>6</v>
      </c>
    </row>
    <row r="536" spans="1:5" x14ac:dyDescent="0.3">
      <c r="E536" s="82"/>
    </row>
    <row r="537" spans="1:5" x14ac:dyDescent="0.3">
      <c r="B537" s="127" t="s">
        <v>575</v>
      </c>
      <c r="D537" s="6"/>
      <c r="E537" s="6"/>
    </row>
    <row r="538" spans="1:5" x14ac:dyDescent="0.3">
      <c r="B538" s="27" t="s">
        <v>576</v>
      </c>
      <c r="C538" s="27"/>
      <c r="D538" s="32"/>
      <c r="E538" s="32"/>
    </row>
    <row r="539" spans="1:5" x14ac:dyDescent="0.3">
      <c r="B539" s="267" t="s">
        <v>577</v>
      </c>
      <c r="C539" s="279"/>
      <c r="D539" s="268" t="s">
        <v>578</v>
      </c>
      <c r="E539" s="264">
        <v>288</v>
      </c>
    </row>
    <row r="540" spans="1:5" x14ac:dyDescent="0.3">
      <c r="B540" s="6"/>
      <c r="C540" s="4"/>
      <c r="E540" s="78"/>
    </row>
    <row r="541" spans="1:5" x14ac:dyDescent="0.3">
      <c r="A541" s="96"/>
      <c r="B541" s="27" t="s">
        <v>579</v>
      </c>
      <c r="C541" s="168"/>
      <c r="E541" s="78"/>
    </row>
    <row r="542" spans="1:5" x14ac:dyDescent="0.3">
      <c r="A542" s="96"/>
      <c r="B542" s="266" t="s">
        <v>580</v>
      </c>
      <c r="C542" s="267"/>
      <c r="D542" s="268" t="s">
        <v>581</v>
      </c>
      <c r="E542" s="264">
        <v>489</v>
      </c>
    </row>
    <row r="543" spans="1:5" x14ac:dyDescent="0.3">
      <c r="A543" s="96"/>
      <c r="B543" s="266" t="s">
        <v>582</v>
      </c>
      <c r="C543" s="267"/>
      <c r="D543" s="268" t="s">
        <v>583</v>
      </c>
      <c r="E543" s="264">
        <v>775</v>
      </c>
    </row>
    <row r="544" spans="1:5" x14ac:dyDescent="0.3">
      <c r="A544" s="96"/>
      <c r="B544" s="266" t="s">
        <v>584</v>
      </c>
      <c r="C544" s="267"/>
      <c r="D544" s="268" t="s">
        <v>585</v>
      </c>
      <c r="E544" s="264">
        <v>1375</v>
      </c>
    </row>
    <row r="545" spans="1:5" x14ac:dyDescent="0.3">
      <c r="A545" s="96"/>
      <c r="B545" s="266" t="s">
        <v>586</v>
      </c>
      <c r="C545" s="267"/>
      <c r="D545" s="268" t="s">
        <v>587</v>
      </c>
      <c r="E545" s="264">
        <v>912</v>
      </c>
    </row>
    <row r="546" spans="1:5" x14ac:dyDescent="0.3">
      <c r="A546" s="96"/>
      <c r="B546" s="266" t="s">
        <v>588</v>
      </c>
      <c r="C546" s="267"/>
      <c r="D546" s="268" t="s">
        <v>589</v>
      </c>
      <c r="E546" s="264">
        <v>1485</v>
      </c>
    </row>
    <row r="547" spans="1:5" x14ac:dyDescent="0.3">
      <c r="A547" s="96"/>
      <c r="B547" s="266" t="s">
        <v>590</v>
      </c>
      <c r="C547" s="267"/>
      <c r="D547" s="268" t="s">
        <v>591</v>
      </c>
      <c r="E547" s="264">
        <v>2685</v>
      </c>
    </row>
    <row r="548" spans="1:5" x14ac:dyDescent="0.3">
      <c r="A548" s="96"/>
      <c r="B548" s="194"/>
      <c r="C548" s="4"/>
      <c r="D548" s="105"/>
      <c r="E548" s="7"/>
    </row>
    <row r="549" spans="1:5" x14ac:dyDescent="0.3">
      <c r="B549" s="19" t="s">
        <v>134</v>
      </c>
      <c r="C549" s="4"/>
      <c r="E549" s="72"/>
    </row>
    <row r="550" spans="1:5" x14ac:dyDescent="0.3">
      <c r="B550" s="27" t="s">
        <v>592</v>
      </c>
      <c r="C550" s="4"/>
      <c r="E550" s="72"/>
    </row>
    <row r="551" spans="1:5" x14ac:dyDescent="0.3">
      <c r="B551" s="267" t="s">
        <v>593</v>
      </c>
      <c r="C551" s="267"/>
      <c r="D551" s="268" t="s">
        <v>594</v>
      </c>
      <c r="E551" s="264">
        <v>451</v>
      </c>
    </row>
    <row r="552" spans="1:5" x14ac:dyDescent="0.3">
      <c r="B552" s="267" t="s">
        <v>595</v>
      </c>
      <c r="C552" s="267"/>
      <c r="D552" s="268" t="s">
        <v>596</v>
      </c>
      <c r="E552" s="264">
        <v>2089</v>
      </c>
    </row>
    <row r="553" spans="1:5" x14ac:dyDescent="0.3">
      <c r="B553" s="27" t="s">
        <v>597</v>
      </c>
      <c r="D553" s="195"/>
      <c r="E553" s="195"/>
    </row>
    <row r="554" spans="1:5" s="6" customFormat="1" x14ac:dyDescent="0.35">
      <c r="B554" s="267" t="s">
        <v>135</v>
      </c>
      <c r="C554" s="267"/>
      <c r="D554" s="268" t="s">
        <v>136</v>
      </c>
      <c r="E554" s="264">
        <v>192</v>
      </c>
    </row>
    <row r="555" spans="1:5" s="6" customFormat="1" x14ac:dyDescent="0.35">
      <c r="B555" s="267" t="s">
        <v>598</v>
      </c>
      <c r="C555" s="267"/>
      <c r="D555" s="268" t="s">
        <v>178</v>
      </c>
      <c r="E555" s="264">
        <v>400</v>
      </c>
    </row>
    <row r="556" spans="1:5" x14ac:dyDescent="0.3">
      <c r="B556" s="261" t="s">
        <v>599</v>
      </c>
      <c r="C556" s="267"/>
      <c r="D556" s="268" t="s">
        <v>138</v>
      </c>
      <c r="E556" s="264">
        <v>510</v>
      </c>
    </row>
    <row r="557" spans="1:5" s="6" customFormat="1" x14ac:dyDescent="0.35">
      <c r="B557" s="266" t="s">
        <v>433</v>
      </c>
      <c r="C557" s="267"/>
      <c r="D557" s="268" t="s">
        <v>232</v>
      </c>
      <c r="E557" s="264">
        <v>1291</v>
      </c>
    </row>
    <row r="558" spans="1:5" x14ac:dyDescent="0.3">
      <c r="B558" s="266" t="s">
        <v>435</v>
      </c>
      <c r="C558" s="267"/>
      <c r="D558" s="268" t="s">
        <v>234</v>
      </c>
      <c r="E558" s="264">
        <v>2266</v>
      </c>
    </row>
    <row r="559" spans="1:5" x14ac:dyDescent="0.3">
      <c r="B559" s="266" t="s">
        <v>437</v>
      </c>
      <c r="C559" s="267"/>
      <c r="D559" s="268" t="s">
        <v>236</v>
      </c>
      <c r="E559" s="264">
        <v>3708</v>
      </c>
    </row>
    <row r="560" spans="1:5" x14ac:dyDescent="0.3">
      <c r="B560" s="266" t="s">
        <v>600</v>
      </c>
      <c r="C560" s="267"/>
      <c r="D560" s="268" t="s">
        <v>238</v>
      </c>
      <c r="E560" s="264">
        <v>6644</v>
      </c>
    </row>
    <row r="561" spans="2:5" x14ac:dyDescent="0.3">
      <c r="B561" s="27" t="s">
        <v>601</v>
      </c>
      <c r="D561" s="6"/>
      <c r="E561" s="6"/>
    </row>
    <row r="562" spans="2:5" s="6" customFormat="1" x14ac:dyDescent="0.35">
      <c r="B562" s="266" t="s">
        <v>602</v>
      </c>
      <c r="C562" s="267"/>
      <c r="D562" s="268" t="s">
        <v>603</v>
      </c>
      <c r="E562" s="264">
        <v>2735</v>
      </c>
    </row>
    <row r="563" spans="2:5" s="6" customFormat="1" x14ac:dyDescent="0.35">
      <c r="B563" s="266" t="s">
        <v>604</v>
      </c>
      <c r="C563" s="267"/>
      <c r="D563" s="268" t="s">
        <v>605</v>
      </c>
      <c r="E563" s="264">
        <v>4685</v>
      </c>
    </row>
    <row r="564" spans="2:5" x14ac:dyDescent="0.3">
      <c r="B564" s="266" t="s">
        <v>606</v>
      </c>
      <c r="C564" s="267"/>
      <c r="D564" s="268" t="s">
        <v>607</v>
      </c>
      <c r="E564" s="264">
        <v>7569</v>
      </c>
    </row>
    <row r="565" spans="2:5" x14ac:dyDescent="0.3">
      <c r="B565" s="266" t="s">
        <v>608</v>
      </c>
      <c r="C565" s="267"/>
      <c r="D565" s="56" t="s">
        <v>609</v>
      </c>
      <c r="E565" s="264">
        <v>13440</v>
      </c>
    </row>
    <row r="566" spans="2:5" x14ac:dyDescent="0.3">
      <c r="B566" s="6"/>
      <c r="C566" s="4"/>
      <c r="D566" s="18"/>
      <c r="E566" s="18"/>
    </row>
    <row r="567" spans="2:5" x14ac:dyDescent="0.3">
      <c r="B567" s="86" t="s">
        <v>610</v>
      </c>
      <c r="C567" s="4"/>
      <c r="D567" s="32"/>
      <c r="E567" s="32"/>
    </row>
    <row r="568" spans="2:5" x14ac:dyDescent="0.3">
      <c r="B568" s="279" t="s">
        <v>611</v>
      </c>
      <c r="C568" s="279"/>
      <c r="D568" s="292" t="s">
        <v>612</v>
      </c>
      <c r="E568" s="264">
        <v>26</v>
      </c>
    </row>
    <row r="569" spans="2:5" x14ac:dyDescent="0.3">
      <c r="B569" s="6"/>
      <c r="C569" s="4"/>
      <c r="D569" s="18"/>
      <c r="E569" s="18"/>
    </row>
    <row r="570" spans="2:5" x14ac:dyDescent="0.3">
      <c r="B570" s="86" t="s">
        <v>613</v>
      </c>
      <c r="C570" s="4"/>
      <c r="E570" s="213"/>
    </row>
    <row r="571" spans="2:5" x14ac:dyDescent="0.3">
      <c r="B571" s="279" t="s">
        <v>614</v>
      </c>
      <c r="C571" s="279"/>
      <c r="D571" s="292" t="s">
        <v>189</v>
      </c>
      <c r="E571" s="264">
        <v>35</v>
      </c>
    </row>
    <row r="572" spans="2:5" x14ac:dyDescent="0.3">
      <c r="B572" s="279" t="s">
        <v>615</v>
      </c>
      <c r="C572" s="279"/>
      <c r="D572" s="292" t="s">
        <v>616</v>
      </c>
      <c r="E572" s="264">
        <v>234</v>
      </c>
    </row>
    <row r="573" spans="2:5" x14ac:dyDescent="0.3">
      <c r="B573" s="6"/>
      <c r="C573" s="4"/>
      <c r="D573" s="18"/>
      <c r="E573" s="18"/>
    </row>
    <row r="574" spans="2:5" x14ac:dyDescent="0.3">
      <c r="B574" s="86" t="s">
        <v>617</v>
      </c>
      <c r="C574" s="4"/>
      <c r="E574" s="213"/>
    </row>
    <row r="575" spans="2:5" x14ac:dyDescent="0.3">
      <c r="B575" s="279" t="s">
        <v>618</v>
      </c>
      <c r="C575" s="279"/>
      <c r="D575" s="292" t="s">
        <v>619</v>
      </c>
      <c r="E575" s="264">
        <v>40</v>
      </c>
    </row>
    <row r="576" spans="2:5" x14ac:dyDescent="0.3">
      <c r="B576" s="4"/>
      <c r="C576" s="4"/>
      <c r="E576" s="7"/>
    </row>
    <row r="577" spans="1:5" x14ac:dyDescent="0.3">
      <c r="B577" s="86" t="s">
        <v>620</v>
      </c>
      <c r="C577" s="4"/>
      <c r="E577" s="213"/>
    </row>
    <row r="578" spans="1:5" x14ac:dyDescent="0.3">
      <c r="B578" s="279" t="s">
        <v>621</v>
      </c>
      <c r="C578" s="279"/>
      <c r="D578" s="292" t="s">
        <v>622</v>
      </c>
      <c r="E578" s="264">
        <v>72</v>
      </c>
    </row>
    <row r="579" spans="1:5" x14ac:dyDescent="0.3">
      <c r="B579" s="4"/>
      <c r="C579" s="4"/>
      <c r="E579" s="78"/>
    </row>
    <row r="580" spans="1:5" x14ac:dyDescent="0.3">
      <c r="B580" s="86" t="s">
        <v>623</v>
      </c>
      <c r="C580" s="4"/>
      <c r="E580" s="213"/>
    </row>
    <row r="581" spans="1:5" x14ac:dyDescent="0.3">
      <c r="B581" s="279" t="s">
        <v>263</v>
      </c>
      <c r="C581" s="279"/>
      <c r="D581" s="292" t="s">
        <v>624</v>
      </c>
      <c r="E581" s="264">
        <v>18</v>
      </c>
    </row>
    <row r="582" spans="1:5" x14ac:dyDescent="0.3">
      <c r="B582" s="4"/>
      <c r="C582" s="4"/>
      <c r="E582" s="7"/>
    </row>
    <row r="583" spans="1:5" x14ac:dyDescent="0.3">
      <c r="B583" s="19" t="s">
        <v>158</v>
      </c>
      <c r="C583" s="30"/>
      <c r="D583" s="32"/>
      <c r="E583" s="32"/>
    </row>
    <row r="584" spans="1:5" x14ac:dyDescent="0.3">
      <c r="B584" s="293" t="s">
        <v>161</v>
      </c>
      <c r="C584" s="294"/>
      <c r="D584" s="268" t="s">
        <v>162</v>
      </c>
      <c r="E584" s="264">
        <v>15</v>
      </c>
    </row>
    <row r="585" spans="1:5" x14ac:dyDescent="0.3">
      <c r="B585" s="6"/>
      <c r="C585" s="4"/>
      <c r="D585" s="18"/>
      <c r="E585" s="18"/>
    </row>
    <row r="586" spans="1:5" x14ac:dyDescent="0.3">
      <c r="B586" s="17" t="s">
        <v>163</v>
      </c>
      <c r="C586" s="4"/>
      <c r="D586" s="32"/>
      <c r="E586" s="32"/>
    </row>
    <row r="587" spans="1:5" x14ac:dyDescent="0.3">
      <c r="B587" s="267" t="s">
        <v>164</v>
      </c>
      <c r="C587" s="279"/>
      <c r="D587" s="292" t="s">
        <v>625</v>
      </c>
      <c r="E587" s="264">
        <v>0</v>
      </c>
    </row>
    <row r="588" spans="1:5" x14ac:dyDescent="0.3">
      <c r="B588" s="16"/>
      <c r="E588" s="7"/>
    </row>
    <row r="589" spans="1:5" x14ac:dyDescent="0.3">
      <c r="B589" s="131" t="s">
        <v>626</v>
      </c>
      <c r="C589" s="131"/>
      <c r="D589" s="133"/>
      <c r="E589" s="133"/>
    </row>
    <row r="590" spans="1:5" ht="14.5" x14ac:dyDescent="0.3">
      <c r="B590" s="19" t="s">
        <v>107</v>
      </c>
      <c r="C590" s="26"/>
      <c r="D590" s="18"/>
      <c r="E590" s="18"/>
    </row>
    <row r="591" spans="1:5" x14ac:dyDescent="0.3">
      <c r="A591" s="125"/>
      <c r="B591" s="267" t="s">
        <v>627</v>
      </c>
      <c r="C591" s="266"/>
      <c r="D591" s="283" t="s">
        <v>628</v>
      </c>
      <c r="E591" s="264">
        <v>391</v>
      </c>
    </row>
    <row r="592" spans="1:5" x14ac:dyDescent="0.3">
      <c r="A592" s="125"/>
      <c r="B592" s="267" t="s">
        <v>629</v>
      </c>
      <c r="C592" s="266"/>
      <c r="D592" s="283" t="s">
        <v>630</v>
      </c>
      <c r="E592" s="264">
        <v>309</v>
      </c>
    </row>
    <row r="593" spans="1:10" x14ac:dyDescent="0.3">
      <c r="A593" s="125"/>
      <c r="B593" s="267" t="s">
        <v>631</v>
      </c>
      <c r="C593" s="266"/>
      <c r="D593" s="283" t="s">
        <v>632</v>
      </c>
      <c r="E593" s="264">
        <v>824</v>
      </c>
      <c r="I593" s="114"/>
      <c r="J593" s="239"/>
    </row>
    <row r="594" spans="1:10" x14ac:dyDescent="0.3">
      <c r="A594" s="125"/>
      <c r="B594" s="267" t="s">
        <v>633</v>
      </c>
      <c r="C594" s="266"/>
      <c r="D594" s="283" t="s">
        <v>634</v>
      </c>
      <c r="E594" s="264">
        <v>1288</v>
      </c>
      <c r="I594" s="114"/>
      <c r="J594" s="239"/>
    </row>
    <row r="595" spans="1:10" x14ac:dyDescent="0.3">
      <c r="A595" s="125"/>
      <c r="B595" s="267" t="s">
        <v>635</v>
      </c>
      <c r="C595" s="266"/>
      <c r="D595" s="283" t="s">
        <v>636</v>
      </c>
      <c r="E595" s="264">
        <v>1803</v>
      </c>
      <c r="I595" s="114"/>
      <c r="J595" s="239"/>
    </row>
    <row r="596" spans="1:10" x14ac:dyDescent="0.3">
      <c r="A596" s="125"/>
      <c r="B596" s="267" t="s">
        <v>637</v>
      </c>
      <c r="C596" s="266"/>
      <c r="D596" s="283" t="s">
        <v>638</v>
      </c>
      <c r="E596" s="264">
        <v>2266</v>
      </c>
      <c r="I596" s="114"/>
      <c r="J596" s="239"/>
    </row>
    <row r="597" spans="1:10" x14ac:dyDescent="0.3">
      <c r="A597" s="126"/>
      <c r="B597" s="267" t="s">
        <v>639</v>
      </c>
      <c r="C597" s="266"/>
      <c r="D597" s="283" t="s">
        <v>640</v>
      </c>
      <c r="E597" s="264">
        <v>3502</v>
      </c>
      <c r="I597" s="114"/>
      <c r="J597" s="239"/>
    </row>
    <row r="598" spans="1:10" x14ac:dyDescent="0.3">
      <c r="A598" s="126"/>
      <c r="B598" s="267" t="s">
        <v>641</v>
      </c>
      <c r="C598" s="266"/>
      <c r="D598" s="283" t="s">
        <v>642</v>
      </c>
      <c r="E598" s="264">
        <v>4223</v>
      </c>
      <c r="I598" s="114"/>
      <c r="J598" s="239"/>
    </row>
    <row r="599" spans="1:10" x14ac:dyDescent="0.3">
      <c r="A599" s="126"/>
      <c r="B599" s="267" t="s">
        <v>643</v>
      </c>
      <c r="C599" s="266"/>
      <c r="D599" s="283" t="s">
        <v>644</v>
      </c>
      <c r="E599" s="264">
        <v>5871</v>
      </c>
    </row>
    <row r="600" spans="1:10" x14ac:dyDescent="0.3">
      <c r="B600" s="6"/>
      <c r="C600" s="4"/>
      <c r="D600" s="18"/>
      <c r="E600" s="18"/>
    </row>
    <row r="601" spans="1:10" x14ac:dyDescent="0.3">
      <c r="B601" s="19" t="s">
        <v>114</v>
      </c>
      <c r="D601" s="6"/>
      <c r="E601" s="32"/>
    </row>
    <row r="602" spans="1:10" x14ac:dyDescent="0.3">
      <c r="B602" s="267" t="s">
        <v>645</v>
      </c>
      <c r="C602" s="279"/>
      <c r="D602" s="283" t="s">
        <v>646</v>
      </c>
      <c r="E602" s="264">
        <v>470</v>
      </c>
    </row>
    <row r="603" spans="1:10" x14ac:dyDescent="0.3">
      <c r="B603" s="267" t="s">
        <v>647</v>
      </c>
      <c r="C603" s="279"/>
      <c r="D603" s="283" t="s">
        <v>648</v>
      </c>
      <c r="E603" s="264">
        <v>684</v>
      </c>
    </row>
    <row r="604" spans="1:10" x14ac:dyDescent="0.3">
      <c r="B604" s="267" t="s">
        <v>649</v>
      </c>
      <c r="C604" s="279"/>
      <c r="D604" s="283" t="s">
        <v>650</v>
      </c>
      <c r="E604" s="264">
        <v>1368</v>
      </c>
    </row>
    <row r="605" spans="1:10" x14ac:dyDescent="0.3">
      <c r="B605" s="267" t="s">
        <v>651</v>
      </c>
      <c r="C605" s="290"/>
      <c r="D605" s="283" t="s">
        <v>652</v>
      </c>
      <c r="E605" s="264">
        <v>1623</v>
      </c>
    </row>
    <row r="606" spans="1:10" x14ac:dyDescent="0.3">
      <c r="B606" s="267" t="s">
        <v>653</v>
      </c>
      <c r="C606" s="290"/>
      <c r="D606" s="283" t="s">
        <v>654</v>
      </c>
      <c r="E606" s="264">
        <v>2052</v>
      </c>
    </row>
    <row r="607" spans="1:10" x14ac:dyDescent="0.3">
      <c r="B607" s="267" t="s">
        <v>655</v>
      </c>
      <c r="C607" s="279"/>
      <c r="D607" s="283" t="s">
        <v>656</v>
      </c>
      <c r="E607" s="264">
        <v>3930</v>
      </c>
    </row>
    <row r="608" spans="1:10" x14ac:dyDescent="0.3">
      <c r="B608" s="267" t="s">
        <v>657</v>
      </c>
      <c r="C608" s="279"/>
      <c r="D608" s="283" t="s">
        <v>658</v>
      </c>
      <c r="E608" s="264">
        <v>6238</v>
      </c>
    </row>
    <row r="609" spans="2:5" s="25" customFormat="1" x14ac:dyDescent="0.35">
      <c r="B609" s="267" t="s">
        <v>659</v>
      </c>
      <c r="C609" s="267"/>
      <c r="D609" s="283" t="s">
        <v>660</v>
      </c>
      <c r="E609" s="264">
        <v>8545</v>
      </c>
    </row>
    <row r="610" spans="2:5" s="25" customFormat="1" x14ac:dyDescent="0.35">
      <c r="B610" s="267" t="s">
        <v>661</v>
      </c>
      <c r="C610" s="267"/>
      <c r="D610" s="283" t="s">
        <v>662</v>
      </c>
      <c r="E610" s="264">
        <v>27744</v>
      </c>
    </row>
    <row r="611" spans="2:5" s="6" customFormat="1" x14ac:dyDescent="0.35">
      <c r="B611" s="267" t="s">
        <v>663</v>
      </c>
      <c r="C611" s="267"/>
      <c r="D611" s="283" t="s">
        <v>664</v>
      </c>
      <c r="E611" s="264">
        <v>37220</v>
      </c>
    </row>
    <row r="612" spans="2:5" s="6" customFormat="1" x14ac:dyDescent="0.35">
      <c r="B612" s="267" t="s">
        <v>665</v>
      </c>
      <c r="C612" s="267"/>
      <c r="D612" s="283" t="s">
        <v>666</v>
      </c>
      <c r="E612" s="264">
        <v>56172</v>
      </c>
    </row>
    <row r="613" spans="2:5" x14ac:dyDescent="0.3">
      <c r="B613" s="267" t="s">
        <v>667</v>
      </c>
      <c r="C613" s="267"/>
      <c r="D613" s="283" t="s">
        <v>668</v>
      </c>
      <c r="E613" s="264">
        <v>75124</v>
      </c>
    </row>
    <row r="614" spans="2:5" x14ac:dyDescent="0.3">
      <c r="B614" s="25"/>
      <c r="C614" s="4"/>
      <c r="D614" s="105"/>
      <c r="E614" s="105"/>
    </row>
    <row r="615" spans="2:5" x14ac:dyDescent="0.3">
      <c r="B615" s="19" t="s">
        <v>669</v>
      </c>
      <c r="C615" s="4"/>
      <c r="D615" s="105"/>
      <c r="E615" s="105"/>
    </row>
    <row r="616" spans="2:5" x14ac:dyDescent="0.3">
      <c r="B616" s="267" t="s">
        <v>670</v>
      </c>
      <c r="C616" s="279"/>
      <c r="D616" s="268" t="s">
        <v>671</v>
      </c>
      <c r="E616" s="264">
        <v>150</v>
      </c>
    </row>
    <row r="617" spans="2:5" x14ac:dyDescent="0.3">
      <c r="B617" s="267" t="s">
        <v>672</v>
      </c>
      <c r="C617" s="267"/>
      <c r="D617" s="268" t="s">
        <v>673</v>
      </c>
      <c r="E617" s="264">
        <v>450</v>
      </c>
    </row>
    <row r="618" spans="2:5" x14ac:dyDescent="0.3">
      <c r="B618" s="267" t="s">
        <v>674</v>
      </c>
      <c r="C618" s="279"/>
      <c r="D618" s="56" t="s">
        <v>675</v>
      </c>
      <c r="E618" s="264">
        <v>206</v>
      </c>
    </row>
    <row r="619" spans="2:5" x14ac:dyDescent="0.3">
      <c r="B619" s="267" t="s">
        <v>676</v>
      </c>
      <c r="C619" s="279"/>
      <c r="D619" s="56" t="s">
        <v>677</v>
      </c>
      <c r="E619" s="264">
        <v>500</v>
      </c>
    </row>
    <row r="620" spans="2:5" x14ac:dyDescent="0.3">
      <c r="B620" s="267" t="s">
        <v>678</v>
      </c>
      <c r="C620" s="279"/>
      <c r="D620" s="56" t="s">
        <v>679</v>
      </c>
      <c r="E620" s="264">
        <v>1100</v>
      </c>
    </row>
    <row r="621" spans="2:5" x14ac:dyDescent="0.3">
      <c r="B621" s="267" t="s">
        <v>680</v>
      </c>
      <c r="C621" s="279"/>
      <c r="D621" s="56" t="s">
        <v>681</v>
      </c>
      <c r="E621" s="264">
        <v>412</v>
      </c>
    </row>
    <row r="622" spans="2:5" x14ac:dyDescent="0.3">
      <c r="B622" s="267" t="s">
        <v>682</v>
      </c>
      <c r="C622" s="279"/>
      <c r="D622" s="56" t="s">
        <v>683</v>
      </c>
      <c r="E622" s="264">
        <v>850</v>
      </c>
    </row>
    <row r="623" spans="2:5" x14ac:dyDescent="0.3">
      <c r="B623" s="267" t="s">
        <v>684</v>
      </c>
      <c r="C623" s="279"/>
      <c r="D623" s="56" t="s">
        <v>685</v>
      </c>
      <c r="E623" s="264">
        <v>1750</v>
      </c>
    </row>
    <row r="624" spans="2:5" x14ac:dyDescent="0.3">
      <c r="B624" s="267" t="s">
        <v>686</v>
      </c>
      <c r="C624" s="279"/>
      <c r="D624" s="56" t="s">
        <v>687</v>
      </c>
      <c r="E624" s="264">
        <v>618</v>
      </c>
    </row>
    <row r="625" spans="2:5" x14ac:dyDescent="0.3">
      <c r="B625" s="267" t="s">
        <v>688</v>
      </c>
      <c r="C625" s="279"/>
      <c r="D625" s="56" t="s">
        <v>689</v>
      </c>
      <c r="E625" s="264">
        <v>1200</v>
      </c>
    </row>
    <row r="626" spans="2:5" x14ac:dyDescent="0.3">
      <c r="B626" s="267" t="s">
        <v>690</v>
      </c>
      <c r="C626" s="279"/>
      <c r="D626" s="268" t="s">
        <v>691</v>
      </c>
      <c r="E626" s="264">
        <v>2400</v>
      </c>
    </row>
    <row r="627" spans="2:5" x14ac:dyDescent="0.3">
      <c r="B627" s="27" t="s">
        <v>692</v>
      </c>
      <c r="C627" s="4"/>
      <c r="D627" s="32"/>
      <c r="E627" s="32"/>
    </row>
    <row r="628" spans="2:5" x14ac:dyDescent="0.3">
      <c r="B628" s="267" t="s">
        <v>693</v>
      </c>
      <c r="C628" s="279"/>
      <c r="D628" s="268" t="s">
        <v>549</v>
      </c>
      <c r="E628" s="264">
        <v>115</v>
      </c>
    </row>
    <row r="629" spans="2:5" x14ac:dyDescent="0.3">
      <c r="B629" s="267" t="s">
        <v>694</v>
      </c>
      <c r="C629" s="279"/>
      <c r="D629" s="268" t="s">
        <v>551</v>
      </c>
      <c r="E629" s="264">
        <v>115</v>
      </c>
    </row>
    <row r="630" spans="2:5" x14ac:dyDescent="0.3">
      <c r="B630" s="267" t="s">
        <v>695</v>
      </c>
      <c r="C630" s="267"/>
      <c r="D630" s="268" t="s">
        <v>696</v>
      </c>
      <c r="E630" s="264">
        <v>198</v>
      </c>
    </row>
    <row r="631" spans="2:5" x14ac:dyDescent="0.3">
      <c r="B631" s="267" t="s">
        <v>697</v>
      </c>
      <c r="C631" s="267"/>
      <c r="D631" s="268" t="s">
        <v>698</v>
      </c>
      <c r="E631" s="264">
        <v>115</v>
      </c>
    </row>
    <row r="632" spans="2:5" ht="12.75" customHeight="1" x14ac:dyDescent="0.3">
      <c r="B632" s="267" t="s">
        <v>699</v>
      </c>
      <c r="C632" s="279"/>
      <c r="D632" s="268" t="s">
        <v>700</v>
      </c>
      <c r="E632" s="264">
        <v>115</v>
      </c>
    </row>
    <row r="633" spans="2:5" x14ac:dyDescent="0.3">
      <c r="B633" s="267" t="s">
        <v>701</v>
      </c>
      <c r="C633" s="267"/>
      <c r="D633" s="268" t="s">
        <v>702</v>
      </c>
      <c r="E633" s="264">
        <v>115</v>
      </c>
    </row>
    <row r="634" spans="2:5" x14ac:dyDescent="0.3">
      <c r="B634" s="267" t="s">
        <v>703</v>
      </c>
      <c r="C634" s="267"/>
      <c r="D634" s="268" t="s">
        <v>704</v>
      </c>
      <c r="E634" s="264">
        <v>198</v>
      </c>
    </row>
    <row r="635" spans="2:5" x14ac:dyDescent="0.3">
      <c r="B635" s="19" t="s">
        <v>705</v>
      </c>
      <c r="D635" s="32"/>
      <c r="E635" s="32"/>
    </row>
    <row r="636" spans="2:5" x14ac:dyDescent="0.3">
      <c r="B636" s="291" t="s">
        <v>171</v>
      </c>
      <c r="C636" s="279"/>
      <c r="D636" s="268" t="s">
        <v>553</v>
      </c>
      <c r="E636" s="264">
        <v>46</v>
      </c>
    </row>
    <row r="637" spans="2:5" x14ac:dyDescent="0.3">
      <c r="B637" s="291" t="s">
        <v>554</v>
      </c>
      <c r="C637" s="279"/>
      <c r="D637" s="268" t="s">
        <v>555</v>
      </c>
      <c r="E637" s="264">
        <v>148</v>
      </c>
    </row>
    <row r="638" spans="2:5" x14ac:dyDescent="0.3">
      <c r="B638" s="291" t="s">
        <v>556</v>
      </c>
      <c r="C638" s="279"/>
      <c r="D638" s="268" t="s">
        <v>557</v>
      </c>
      <c r="E638" s="264">
        <v>229</v>
      </c>
    </row>
    <row r="639" spans="2:5" x14ac:dyDescent="0.3">
      <c r="B639" s="291" t="s">
        <v>558</v>
      </c>
      <c r="C639" s="279"/>
      <c r="D639" s="268" t="s">
        <v>559</v>
      </c>
      <c r="E639" s="264">
        <v>349</v>
      </c>
    </row>
    <row r="640" spans="2:5" x14ac:dyDescent="0.3">
      <c r="B640" s="19" t="s">
        <v>566</v>
      </c>
      <c r="C640" s="4"/>
      <c r="D640" s="32"/>
      <c r="E640" s="32"/>
    </row>
    <row r="641" spans="2:5" x14ac:dyDescent="0.3">
      <c r="B641" s="291" t="s">
        <v>567</v>
      </c>
      <c r="C641" s="279"/>
      <c r="D641" s="292" t="s">
        <v>568</v>
      </c>
      <c r="E641" s="264">
        <v>6</v>
      </c>
    </row>
    <row r="642" spans="2:5" x14ac:dyDescent="0.3">
      <c r="B642" s="291" t="s">
        <v>569</v>
      </c>
      <c r="C642" s="279"/>
      <c r="D642" s="292" t="s">
        <v>570</v>
      </c>
      <c r="E642" s="264">
        <v>6</v>
      </c>
    </row>
    <row r="643" spans="2:5" x14ac:dyDescent="0.3">
      <c r="B643" s="291" t="s">
        <v>571</v>
      </c>
      <c r="C643" s="279"/>
      <c r="D643" s="292" t="s">
        <v>572</v>
      </c>
      <c r="E643" s="264">
        <v>6</v>
      </c>
    </row>
    <row r="644" spans="2:5" x14ac:dyDescent="0.3">
      <c r="B644" s="291" t="s">
        <v>706</v>
      </c>
      <c r="C644" s="279"/>
      <c r="D644" s="292" t="s">
        <v>574</v>
      </c>
      <c r="E644" s="264">
        <v>6</v>
      </c>
    </row>
    <row r="645" spans="2:5" x14ac:dyDescent="0.3">
      <c r="E645" s="82"/>
    </row>
    <row r="646" spans="2:5" x14ac:dyDescent="0.3">
      <c r="B646" s="127" t="s">
        <v>575</v>
      </c>
      <c r="D646" s="6"/>
      <c r="E646" s="6"/>
    </row>
    <row r="647" spans="2:5" x14ac:dyDescent="0.3">
      <c r="B647" s="27" t="s">
        <v>707</v>
      </c>
      <c r="C647" s="27"/>
      <c r="D647" s="27"/>
      <c r="E647" s="27"/>
    </row>
    <row r="648" spans="2:5" x14ac:dyDescent="0.3">
      <c r="B648" s="267" t="s">
        <v>686</v>
      </c>
      <c r="C648" s="279"/>
      <c r="D648" s="268" t="s">
        <v>587</v>
      </c>
      <c r="E648" s="264">
        <v>912</v>
      </c>
    </row>
    <row r="649" spans="2:5" x14ac:dyDescent="0.3">
      <c r="B649" s="267" t="s">
        <v>688</v>
      </c>
      <c r="C649" s="279"/>
      <c r="D649" s="268" t="s">
        <v>589</v>
      </c>
      <c r="E649" s="264">
        <v>1485</v>
      </c>
    </row>
    <row r="650" spans="2:5" x14ac:dyDescent="0.3">
      <c r="B650" s="267" t="s">
        <v>690</v>
      </c>
      <c r="C650" s="279"/>
      <c r="D650" s="268" t="s">
        <v>591</v>
      </c>
      <c r="E650" s="264">
        <v>2685</v>
      </c>
    </row>
    <row r="651" spans="2:5" x14ac:dyDescent="0.3">
      <c r="B651" s="27" t="s">
        <v>576</v>
      </c>
      <c r="C651" s="27"/>
      <c r="D651" s="32"/>
      <c r="E651" s="32"/>
    </row>
    <row r="652" spans="2:5" x14ac:dyDescent="0.3">
      <c r="B652" s="267" t="s">
        <v>708</v>
      </c>
      <c r="C652" s="279"/>
      <c r="D652" s="268" t="s">
        <v>578</v>
      </c>
      <c r="E652" s="264">
        <v>288</v>
      </c>
    </row>
    <row r="653" spans="2:5" x14ac:dyDescent="0.3">
      <c r="B653" s="267" t="s">
        <v>709</v>
      </c>
      <c r="C653" s="279"/>
      <c r="D653" s="268" t="s">
        <v>710</v>
      </c>
      <c r="E653" s="264">
        <v>464</v>
      </c>
    </row>
    <row r="654" spans="2:5" x14ac:dyDescent="0.3">
      <c r="B654" s="27" t="s">
        <v>711</v>
      </c>
      <c r="D654" s="32"/>
      <c r="E654" s="32"/>
    </row>
    <row r="655" spans="2:5" x14ac:dyDescent="0.3">
      <c r="B655" s="291" t="s">
        <v>712</v>
      </c>
      <c r="C655" s="279"/>
      <c r="D655" s="268" t="s">
        <v>713</v>
      </c>
      <c r="E655" s="264">
        <v>129</v>
      </c>
    </row>
    <row r="656" spans="2:5" x14ac:dyDescent="0.3">
      <c r="B656" s="291" t="s">
        <v>714</v>
      </c>
      <c r="C656" s="279"/>
      <c r="D656" s="268" t="s">
        <v>715</v>
      </c>
      <c r="E656" s="264">
        <v>361</v>
      </c>
    </row>
    <row r="657" spans="1:5" x14ac:dyDescent="0.3">
      <c r="B657" s="27" t="s">
        <v>716</v>
      </c>
      <c r="C657" s="4"/>
      <c r="E657" s="7"/>
    </row>
    <row r="658" spans="1:5" x14ac:dyDescent="0.3">
      <c r="B658" s="291" t="s">
        <v>171</v>
      </c>
      <c r="C658" s="279"/>
      <c r="D658" s="268" t="s">
        <v>553</v>
      </c>
      <c r="E658" s="264">
        <v>46</v>
      </c>
    </row>
    <row r="659" spans="1:5" x14ac:dyDescent="0.3">
      <c r="B659" s="291" t="s">
        <v>554</v>
      </c>
      <c r="C659" s="279"/>
      <c r="D659" s="268" t="s">
        <v>555</v>
      </c>
      <c r="E659" s="264">
        <v>148</v>
      </c>
    </row>
    <row r="660" spans="1:5" x14ac:dyDescent="0.3">
      <c r="B660" s="291" t="s">
        <v>556</v>
      </c>
      <c r="C660" s="279"/>
      <c r="D660" s="268" t="s">
        <v>557</v>
      </c>
      <c r="E660" s="264">
        <v>229</v>
      </c>
    </row>
    <row r="661" spans="1:5" x14ac:dyDescent="0.3">
      <c r="B661" s="291" t="s">
        <v>558</v>
      </c>
      <c r="C661" s="279"/>
      <c r="D661" s="268" t="s">
        <v>559</v>
      </c>
      <c r="E661" s="264">
        <v>349</v>
      </c>
    </row>
    <row r="662" spans="1:5" x14ac:dyDescent="0.3">
      <c r="B662" s="17"/>
    </row>
    <row r="663" spans="1:5" x14ac:dyDescent="0.3">
      <c r="B663" s="19" t="s">
        <v>134</v>
      </c>
      <c r="E663" s="7"/>
    </row>
    <row r="664" spans="1:5" x14ac:dyDescent="0.3">
      <c r="B664" s="27" t="s">
        <v>592</v>
      </c>
      <c r="C664" s="4"/>
      <c r="E664" s="7"/>
    </row>
    <row r="665" spans="1:5" x14ac:dyDescent="0.3">
      <c r="B665" s="267" t="s">
        <v>717</v>
      </c>
      <c r="C665" s="267"/>
      <c r="D665" s="268" t="s">
        <v>594</v>
      </c>
      <c r="E665" s="264">
        <v>451</v>
      </c>
    </row>
    <row r="666" spans="1:5" x14ac:dyDescent="0.3">
      <c r="B666" s="267" t="s">
        <v>595</v>
      </c>
      <c r="C666" s="267"/>
      <c r="D666" s="268" t="s">
        <v>596</v>
      </c>
      <c r="E666" s="264">
        <v>2089</v>
      </c>
    </row>
    <row r="667" spans="1:5" x14ac:dyDescent="0.3">
      <c r="B667" s="27" t="s">
        <v>597</v>
      </c>
      <c r="E667" s="214"/>
    </row>
    <row r="668" spans="1:5" s="6" customFormat="1" x14ac:dyDescent="0.35">
      <c r="B668" s="267" t="s">
        <v>135</v>
      </c>
      <c r="C668" s="267"/>
      <c r="D668" s="268" t="s">
        <v>136</v>
      </c>
      <c r="E668" s="264">
        <v>192</v>
      </c>
    </row>
    <row r="669" spans="1:5" s="6" customFormat="1" x14ac:dyDescent="0.35">
      <c r="B669" s="267" t="s">
        <v>718</v>
      </c>
      <c r="C669" s="267"/>
      <c r="D669" s="268" t="s">
        <v>178</v>
      </c>
      <c r="E669" s="264">
        <v>400</v>
      </c>
    </row>
    <row r="670" spans="1:5" x14ac:dyDescent="0.3">
      <c r="B670" s="261" t="s">
        <v>137</v>
      </c>
      <c r="C670" s="267"/>
      <c r="D670" s="268" t="s">
        <v>138</v>
      </c>
      <c r="E670" s="264">
        <v>510</v>
      </c>
    </row>
    <row r="671" spans="1:5" s="6" customFormat="1" x14ac:dyDescent="0.35">
      <c r="B671" s="266" t="s">
        <v>433</v>
      </c>
      <c r="C671" s="267"/>
      <c r="D671" s="268" t="s">
        <v>232</v>
      </c>
      <c r="E671" s="264">
        <v>1291</v>
      </c>
    </row>
    <row r="672" spans="1:5" x14ac:dyDescent="0.3">
      <c r="A672" s="15"/>
      <c r="B672" s="266" t="s">
        <v>435</v>
      </c>
      <c r="C672" s="267"/>
      <c r="D672" s="268" t="s">
        <v>234</v>
      </c>
      <c r="E672" s="264">
        <v>2266</v>
      </c>
    </row>
    <row r="673" spans="1:5" x14ac:dyDescent="0.3">
      <c r="B673" s="266" t="s">
        <v>437</v>
      </c>
      <c r="C673" s="267"/>
      <c r="D673" s="268" t="s">
        <v>236</v>
      </c>
      <c r="E673" s="264">
        <v>3708</v>
      </c>
    </row>
    <row r="674" spans="1:5" x14ac:dyDescent="0.3">
      <c r="B674" s="266" t="s">
        <v>600</v>
      </c>
      <c r="C674" s="160"/>
      <c r="D674" s="268" t="s">
        <v>238</v>
      </c>
      <c r="E674" s="264">
        <v>6644</v>
      </c>
    </row>
    <row r="675" spans="1:5" x14ac:dyDescent="0.3">
      <c r="B675" s="266" t="s">
        <v>719</v>
      </c>
      <c r="C675" s="267"/>
      <c r="D675" s="268" t="s">
        <v>720</v>
      </c>
      <c r="E675" s="264">
        <v>14369</v>
      </c>
    </row>
    <row r="676" spans="1:5" x14ac:dyDescent="0.3">
      <c r="B676" s="27" t="s">
        <v>721</v>
      </c>
      <c r="C676" s="196"/>
      <c r="D676" s="197"/>
      <c r="E676" s="215"/>
    </row>
    <row r="677" spans="1:5" s="6" customFormat="1" x14ac:dyDescent="0.35">
      <c r="A677" s="118"/>
      <c r="B677" s="266" t="s">
        <v>722</v>
      </c>
      <c r="C677" s="267"/>
      <c r="D677" s="268" t="s">
        <v>603</v>
      </c>
      <c r="E677" s="264">
        <v>2735</v>
      </c>
    </row>
    <row r="678" spans="1:5" x14ac:dyDescent="0.3">
      <c r="B678" s="266" t="s">
        <v>723</v>
      </c>
      <c r="C678" s="267"/>
      <c r="D678" s="268" t="s">
        <v>605</v>
      </c>
      <c r="E678" s="264">
        <v>4685</v>
      </c>
    </row>
    <row r="679" spans="1:5" x14ac:dyDescent="0.3">
      <c r="B679" s="266" t="s">
        <v>724</v>
      </c>
      <c r="C679" s="267"/>
      <c r="D679" s="268" t="s">
        <v>607</v>
      </c>
      <c r="E679" s="264">
        <v>7569</v>
      </c>
    </row>
    <row r="680" spans="1:5" x14ac:dyDescent="0.3">
      <c r="B680" s="266" t="s">
        <v>725</v>
      </c>
      <c r="C680" s="160"/>
      <c r="D680" s="56" t="s">
        <v>609</v>
      </c>
      <c r="E680" s="264">
        <v>13440</v>
      </c>
    </row>
    <row r="681" spans="1:5" x14ac:dyDescent="0.3">
      <c r="B681" s="19" t="s">
        <v>726</v>
      </c>
      <c r="C681" s="196"/>
      <c r="D681" s="197"/>
      <c r="E681" s="215"/>
    </row>
    <row r="682" spans="1:5" s="6" customFormat="1" x14ac:dyDescent="0.35">
      <c r="B682" s="266" t="s">
        <v>727</v>
      </c>
      <c r="C682" s="267"/>
      <c r="D682" s="268" t="s">
        <v>728</v>
      </c>
      <c r="E682" s="264">
        <v>4062</v>
      </c>
    </row>
    <row r="683" spans="1:5" s="6" customFormat="1" x14ac:dyDescent="0.35">
      <c r="B683" s="266" t="s">
        <v>729</v>
      </c>
      <c r="C683" s="267"/>
      <c r="D683" s="268" t="s">
        <v>730</v>
      </c>
      <c r="E683" s="264">
        <v>4179</v>
      </c>
    </row>
    <row r="684" spans="1:5" x14ac:dyDescent="0.3">
      <c r="B684" s="266" t="s">
        <v>731</v>
      </c>
      <c r="C684" s="267"/>
      <c r="D684" s="268" t="s">
        <v>732</v>
      </c>
      <c r="E684" s="264">
        <v>11431</v>
      </c>
    </row>
    <row r="685" spans="1:5" x14ac:dyDescent="0.3">
      <c r="B685" s="266" t="s">
        <v>733</v>
      </c>
      <c r="C685" s="267"/>
      <c r="D685" s="268" t="s">
        <v>734</v>
      </c>
      <c r="E685" s="264">
        <v>15292</v>
      </c>
    </row>
    <row r="686" spans="1:5" x14ac:dyDescent="0.3">
      <c r="B686" s="266" t="s">
        <v>735</v>
      </c>
      <c r="C686" s="267"/>
      <c r="D686" s="268" t="s">
        <v>736</v>
      </c>
      <c r="E686" s="264">
        <v>20237</v>
      </c>
    </row>
    <row r="687" spans="1:5" x14ac:dyDescent="0.3">
      <c r="B687" s="266" t="s">
        <v>737</v>
      </c>
      <c r="C687" s="267"/>
      <c r="D687" s="268" t="s">
        <v>738</v>
      </c>
      <c r="E687" s="264">
        <v>27034</v>
      </c>
    </row>
    <row r="688" spans="1:5" x14ac:dyDescent="0.3">
      <c r="B688" s="19"/>
      <c r="C688" s="23"/>
      <c r="D688" s="18"/>
      <c r="E688" s="18"/>
    </row>
    <row r="689" spans="2:5" x14ac:dyDescent="0.3">
      <c r="B689" s="203" t="s">
        <v>739</v>
      </c>
      <c r="C689" s="23"/>
      <c r="E689" s="7"/>
    </row>
    <row r="690" spans="2:5" x14ac:dyDescent="0.3">
      <c r="B690" s="267" t="s">
        <v>740</v>
      </c>
      <c r="C690" s="267"/>
      <c r="D690" s="268" t="s">
        <v>741</v>
      </c>
      <c r="E690" s="264">
        <v>103</v>
      </c>
    </row>
    <row r="691" spans="2:5" x14ac:dyDescent="0.3">
      <c r="B691" s="19"/>
      <c r="C691" s="23"/>
      <c r="E691" s="7"/>
    </row>
    <row r="692" spans="2:5" x14ac:dyDescent="0.3">
      <c r="B692" s="19" t="s">
        <v>610</v>
      </c>
      <c r="C692" s="23"/>
      <c r="D692" s="32"/>
      <c r="E692" s="32"/>
    </row>
    <row r="693" spans="2:5" ht="12.75" customHeight="1" x14ac:dyDescent="0.3">
      <c r="B693" s="291" t="s">
        <v>742</v>
      </c>
      <c r="C693" s="295"/>
      <c r="D693" s="292" t="s">
        <v>743</v>
      </c>
      <c r="E693" s="264">
        <v>24</v>
      </c>
    </row>
    <row r="694" spans="2:5" x14ac:dyDescent="0.3">
      <c r="B694" s="19"/>
      <c r="C694" s="23"/>
      <c r="D694" s="18"/>
      <c r="E694" s="18"/>
    </row>
    <row r="695" spans="2:5" x14ac:dyDescent="0.3">
      <c r="B695" s="86" t="s">
        <v>744</v>
      </c>
      <c r="C695" s="23"/>
      <c r="D695" s="32"/>
      <c r="E695" s="32"/>
    </row>
    <row r="696" spans="2:5" x14ac:dyDescent="0.3">
      <c r="B696" s="279" t="s">
        <v>614</v>
      </c>
      <c r="C696" s="279"/>
      <c r="D696" s="292" t="s">
        <v>189</v>
      </c>
      <c r="E696" s="264">
        <v>35</v>
      </c>
    </row>
    <row r="697" spans="2:5" x14ac:dyDescent="0.3">
      <c r="B697" s="279" t="s">
        <v>615</v>
      </c>
      <c r="C697" s="279"/>
      <c r="D697" s="292" t="s">
        <v>616</v>
      </c>
      <c r="E697" s="264">
        <v>234</v>
      </c>
    </row>
    <row r="698" spans="2:5" x14ac:dyDescent="0.3">
      <c r="B698" s="19"/>
      <c r="C698" s="23"/>
      <c r="D698" s="18"/>
      <c r="E698" s="18"/>
    </row>
    <row r="699" spans="2:5" x14ac:dyDescent="0.3">
      <c r="B699" s="86" t="s">
        <v>745</v>
      </c>
      <c r="C699" s="23"/>
      <c r="D699" s="32"/>
      <c r="E699" s="32"/>
    </row>
    <row r="700" spans="2:5" x14ac:dyDescent="0.3">
      <c r="B700" s="291" t="s">
        <v>618</v>
      </c>
      <c r="C700" s="295"/>
      <c r="D700" s="292" t="s">
        <v>619</v>
      </c>
      <c r="E700" s="264">
        <v>40</v>
      </c>
    </row>
    <row r="701" spans="2:5" x14ac:dyDescent="0.3">
      <c r="B701" s="19"/>
      <c r="C701" s="23"/>
      <c r="D701" s="18"/>
      <c r="E701" s="18"/>
    </row>
    <row r="702" spans="2:5" x14ac:dyDescent="0.3">
      <c r="B702" s="86" t="s">
        <v>746</v>
      </c>
      <c r="C702" s="23"/>
      <c r="D702" s="32"/>
      <c r="E702" s="32"/>
    </row>
    <row r="703" spans="2:5" x14ac:dyDescent="0.3">
      <c r="B703" s="291" t="s">
        <v>263</v>
      </c>
      <c r="C703" s="295"/>
      <c r="D703" s="292" t="s">
        <v>624</v>
      </c>
      <c r="E703" s="264">
        <v>18</v>
      </c>
    </row>
    <row r="704" spans="2:5" x14ac:dyDescent="0.3">
      <c r="B704" s="279" t="s">
        <v>747</v>
      </c>
      <c r="C704" s="279"/>
      <c r="D704" s="292" t="s">
        <v>622</v>
      </c>
      <c r="E704" s="264">
        <v>72</v>
      </c>
    </row>
    <row r="705" spans="1:5" x14ac:dyDescent="0.3">
      <c r="B705" s="19"/>
      <c r="C705" s="23"/>
      <c r="D705" s="18"/>
      <c r="E705" s="18"/>
    </row>
    <row r="706" spans="1:5" x14ac:dyDescent="0.3">
      <c r="B706" s="19" t="s">
        <v>158</v>
      </c>
      <c r="C706" s="23"/>
      <c r="D706" s="32"/>
      <c r="E706" s="32"/>
    </row>
    <row r="707" spans="1:5" x14ac:dyDescent="0.3">
      <c r="B707" s="291" t="s">
        <v>161</v>
      </c>
      <c r="C707" s="295"/>
      <c r="D707" s="268" t="s">
        <v>162</v>
      </c>
      <c r="E707" s="264">
        <v>15</v>
      </c>
    </row>
    <row r="708" spans="1:5" x14ac:dyDescent="0.3">
      <c r="B708" s="19"/>
      <c r="C708" s="23"/>
      <c r="D708" s="18"/>
      <c r="E708" s="18"/>
    </row>
    <row r="709" spans="1:5" x14ac:dyDescent="0.3">
      <c r="B709" s="19" t="s">
        <v>163</v>
      </c>
      <c r="C709" s="23"/>
      <c r="D709" s="32"/>
      <c r="E709" s="32"/>
    </row>
    <row r="710" spans="1:5" x14ac:dyDescent="0.3">
      <c r="B710" s="291" t="s">
        <v>164</v>
      </c>
      <c r="C710" s="295"/>
      <c r="D710" s="292" t="s">
        <v>625</v>
      </c>
      <c r="E710" s="264">
        <v>0</v>
      </c>
    </row>
    <row r="711" spans="1:5" x14ac:dyDescent="0.3">
      <c r="B711" s="6"/>
      <c r="C711" s="106"/>
      <c r="D711" s="18"/>
      <c r="E711" s="18"/>
    </row>
    <row r="712" spans="1:5" x14ac:dyDescent="0.3">
      <c r="B712" s="17"/>
    </row>
    <row r="713" spans="1:5" x14ac:dyDescent="0.3">
      <c r="B713" s="83" t="s">
        <v>748</v>
      </c>
      <c r="C713" s="83"/>
      <c r="D713" s="112"/>
      <c r="E713" s="85"/>
    </row>
    <row r="714" spans="1:5" x14ac:dyDescent="0.3">
      <c r="A714" s="96"/>
      <c r="B714" s="79" t="s">
        <v>749</v>
      </c>
      <c r="C714" s="4"/>
      <c r="D714" s="105"/>
      <c r="E714" s="7"/>
    </row>
    <row r="715" spans="1:5" x14ac:dyDescent="0.3">
      <c r="A715" s="96"/>
      <c r="B715" s="287" t="s">
        <v>750</v>
      </c>
      <c r="C715" s="279"/>
      <c r="D715" s="268" t="s">
        <v>751</v>
      </c>
      <c r="E715" s="264">
        <v>391</v>
      </c>
    </row>
    <row r="716" spans="1:5" x14ac:dyDescent="0.3">
      <c r="A716" s="96"/>
      <c r="B716" s="296" t="s">
        <v>752</v>
      </c>
      <c r="C716" s="279"/>
      <c r="D716" s="268" t="s">
        <v>753</v>
      </c>
      <c r="E716" s="264">
        <v>1509</v>
      </c>
    </row>
    <row r="717" spans="1:5" x14ac:dyDescent="0.3">
      <c r="A717" s="96"/>
      <c r="B717" s="296" t="s">
        <v>754</v>
      </c>
      <c r="C717" s="279"/>
      <c r="D717" s="268" t="s">
        <v>755</v>
      </c>
      <c r="E717" s="264">
        <v>2575</v>
      </c>
    </row>
    <row r="718" spans="1:5" x14ac:dyDescent="0.3">
      <c r="A718" s="96"/>
      <c r="B718" s="296" t="s">
        <v>756</v>
      </c>
      <c r="C718" s="279"/>
      <c r="D718" s="268" t="s">
        <v>757</v>
      </c>
      <c r="E718" s="264">
        <v>6077</v>
      </c>
    </row>
    <row r="719" spans="1:5" x14ac:dyDescent="0.3">
      <c r="A719" s="96"/>
      <c r="B719" s="194"/>
      <c r="C719" s="4"/>
      <c r="D719" s="105"/>
      <c r="E719" s="7"/>
    </row>
    <row r="720" spans="1:5" x14ac:dyDescent="0.3">
      <c r="B720" s="79" t="s">
        <v>758</v>
      </c>
      <c r="E720" s="78"/>
    </row>
    <row r="721" spans="1:5" x14ac:dyDescent="0.3">
      <c r="A721" s="114"/>
      <c r="B721" s="267" t="s">
        <v>647</v>
      </c>
      <c r="C721" s="279"/>
      <c r="D721" s="283" t="s">
        <v>648</v>
      </c>
      <c r="E721" s="264">
        <v>684</v>
      </c>
    </row>
    <row r="722" spans="1:5" x14ac:dyDescent="0.3">
      <c r="A722" s="114"/>
      <c r="B722" s="267" t="s">
        <v>651</v>
      </c>
      <c r="C722" s="290"/>
      <c r="D722" s="283" t="s">
        <v>652</v>
      </c>
      <c r="E722" s="264">
        <v>1623</v>
      </c>
    </row>
    <row r="723" spans="1:5" x14ac:dyDescent="0.3">
      <c r="A723" s="114"/>
      <c r="B723" s="267" t="s">
        <v>759</v>
      </c>
      <c r="C723" s="290"/>
      <c r="D723" s="283" t="s">
        <v>654</v>
      </c>
      <c r="E723" s="264">
        <v>2052</v>
      </c>
    </row>
    <row r="724" spans="1:5" x14ac:dyDescent="0.3">
      <c r="A724" s="114"/>
      <c r="B724" s="267" t="s">
        <v>760</v>
      </c>
      <c r="C724" s="279"/>
      <c r="D724" s="283" t="s">
        <v>656</v>
      </c>
      <c r="E724" s="264">
        <v>3930</v>
      </c>
    </row>
    <row r="725" spans="1:5" x14ac:dyDescent="0.3">
      <c r="A725" s="114"/>
      <c r="B725" s="267" t="s">
        <v>761</v>
      </c>
      <c r="C725" s="279"/>
      <c r="D725" s="283" t="s">
        <v>762</v>
      </c>
      <c r="E725" s="264">
        <v>8792</v>
      </c>
    </row>
    <row r="726" spans="1:5" x14ac:dyDescent="0.3">
      <c r="A726" s="114"/>
      <c r="B726" s="267" t="s">
        <v>763</v>
      </c>
      <c r="C726" s="267"/>
      <c r="D726" s="283" t="s">
        <v>764</v>
      </c>
      <c r="E726" s="264">
        <v>18268</v>
      </c>
    </row>
    <row r="727" spans="1:5" x14ac:dyDescent="0.3">
      <c r="A727" s="96"/>
      <c r="B727" s="194"/>
      <c r="C727" s="4"/>
      <c r="D727" s="105"/>
      <c r="E727" s="7"/>
    </row>
    <row r="728" spans="1:5" x14ac:dyDescent="0.3">
      <c r="B728" s="79" t="s">
        <v>542</v>
      </c>
      <c r="C728" s="4"/>
      <c r="D728" s="105"/>
      <c r="E728" s="96"/>
    </row>
    <row r="729" spans="1:5" x14ac:dyDescent="0.3">
      <c r="B729" s="27" t="s">
        <v>543</v>
      </c>
      <c r="C729" s="168"/>
      <c r="E729" s="78"/>
    </row>
    <row r="730" spans="1:5" x14ac:dyDescent="0.3">
      <c r="A730" s="113"/>
      <c r="B730" s="266" t="s">
        <v>126</v>
      </c>
      <c r="C730" s="267"/>
      <c r="D730" s="268" t="s">
        <v>671</v>
      </c>
      <c r="E730" s="264">
        <v>144</v>
      </c>
    </row>
    <row r="731" spans="1:5" x14ac:dyDescent="0.3">
      <c r="A731" s="113"/>
      <c r="B731" s="266" t="s">
        <v>218</v>
      </c>
      <c r="C731" s="267"/>
      <c r="D731" s="268" t="s">
        <v>673</v>
      </c>
      <c r="E731" s="264">
        <v>444</v>
      </c>
    </row>
    <row r="732" spans="1:5" x14ac:dyDescent="0.3">
      <c r="A732" s="113"/>
      <c r="B732" s="27" t="s">
        <v>546</v>
      </c>
      <c r="C732" s="168"/>
      <c r="E732" s="72"/>
    </row>
    <row r="733" spans="1:5" x14ac:dyDescent="0.3">
      <c r="A733" s="96"/>
      <c r="B733" s="266" t="s">
        <v>124</v>
      </c>
      <c r="C733" s="267"/>
      <c r="D733" s="268" t="s">
        <v>132</v>
      </c>
      <c r="E733" s="264">
        <v>206</v>
      </c>
    </row>
    <row r="734" spans="1:5" x14ac:dyDescent="0.3">
      <c r="A734" s="96"/>
      <c r="B734" s="266" t="s">
        <v>126</v>
      </c>
      <c r="C734" s="267"/>
      <c r="D734" s="268" t="s">
        <v>133</v>
      </c>
      <c r="E734" s="264">
        <v>350</v>
      </c>
    </row>
    <row r="735" spans="1:5" x14ac:dyDescent="0.3">
      <c r="A735" s="96"/>
      <c r="B735" s="266" t="s">
        <v>218</v>
      </c>
      <c r="C735" s="267"/>
      <c r="D735" s="268" t="s">
        <v>221</v>
      </c>
      <c r="E735" s="264">
        <v>650</v>
      </c>
    </row>
    <row r="736" spans="1:5" x14ac:dyDescent="0.3">
      <c r="B736" s="27" t="s">
        <v>765</v>
      </c>
      <c r="C736" s="4"/>
      <c r="D736" s="32"/>
      <c r="E736" s="32"/>
    </row>
    <row r="737" spans="1:5" x14ac:dyDescent="0.3">
      <c r="B737" s="267" t="s">
        <v>766</v>
      </c>
      <c r="C737" s="279"/>
      <c r="D737" s="292" t="s">
        <v>568</v>
      </c>
      <c r="E737" s="264">
        <v>6</v>
      </c>
    </row>
    <row r="738" spans="1:5" x14ac:dyDescent="0.3">
      <c r="B738" s="267" t="s">
        <v>767</v>
      </c>
      <c r="C738" s="279"/>
      <c r="D738" s="292" t="s">
        <v>570</v>
      </c>
      <c r="E738" s="264">
        <v>6</v>
      </c>
    </row>
    <row r="739" spans="1:5" x14ac:dyDescent="0.3">
      <c r="A739" s="96"/>
      <c r="B739" s="27" t="s">
        <v>552</v>
      </c>
      <c r="C739" s="168"/>
      <c r="E739" s="72"/>
    </row>
    <row r="740" spans="1:5" x14ac:dyDescent="0.3">
      <c r="A740" s="96"/>
      <c r="B740" s="287" t="s">
        <v>171</v>
      </c>
      <c r="C740" s="279"/>
      <c r="D740" s="268" t="s">
        <v>553</v>
      </c>
      <c r="E740" s="264">
        <v>46</v>
      </c>
    </row>
    <row r="741" spans="1:5" x14ac:dyDescent="0.3">
      <c r="A741" s="96"/>
      <c r="B741" s="287" t="s">
        <v>554</v>
      </c>
      <c r="C741" s="279"/>
      <c r="D741" s="268" t="s">
        <v>555</v>
      </c>
      <c r="E741" s="264">
        <v>148</v>
      </c>
    </row>
    <row r="742" spans="1:5" x14ac:dyDescent="0.3">
      <c r="A742" s="96"/>
      <c r="B742" s="287" t="s">
        <v>556</v>
      </c>
      <c r="C742" s="279"/>
      <c r="D742" s="268" t="s">
        <v>557</v>
      </c>
      <c r="E742" s="264">
        <v>229</v>
      </c>
    </row>
    <row r="743" spans="1:5" x14ac:dyDescent="0.3">
      <c r="A743" s="96"/>
      <c r="B743" s="291" t="s">
        <v>558</v>
      </c>
      <c r="C743" s="279"/>
      <c r="D743" s="268" t="s">
        <v>559</v>
      </c>
      <c r="E743" s="264">
        <v>349</v>
      </c>
    </row>
    <row r="744" spans="1:5" x14ac:dyDescent="0.3">
      <c r="A744" s="96"/>
      <c r="B744" s="27" t="s">
        <v>565</v>
      </c>
      <c r="C744" s="168"/>
      <c r="E744" s="72"/>
    </row>
    <row r="745" spans="1:5" x14ac:dyDescent="0.3">
      <c r="A745" s="96"/>
      <c r="B745" s="287" t="s">
        <v>171</v>
      </c>
      <c r="C745" s="279"/>
      <c r="D745" s="268" t="s">
        <v>553</v>
      </c>
      <c r="E745" s="264">
        <v>46</v>
      </c>
    </row>
    <row r="746" spans="1:5" x14ac:dyDescent="0.3">
      <c r="A746" s="96"/>
      <c r="B746" s="287" t="s">
        <v>554</v>
      </c>
      <c r="C746" s="279"/>
      <c r="D746" s="268" t="s">
        <v>555</v>
      </c>
      <c r="E746" s="264">
        <v>148</v>
      </c>
    </row>
    <row r="747" spans="1:5" x14ac:dyDescent="0.3">
      <c r="A747" s="96"/>
      <c r="B747" s="287" t="s">
        <v>556</v>
      </c>
      <c r="C747" s="279"/>
      <c r="D747" s="268" t="s">
        <v>557</v>
      </c>
      <c r="E747" s="264">
        <v>229</v>
      </c>
    </row>
    <row r="748" spans="1:5" x14ac:dyDescent="0.3">
      <c r="A748" s="96"/>
      <c r="B748" s="291" t="s">
        <v>558</v>
      </c>
      <c r="C748" s="279"/>
      <c r="D748" s="268" t="s">
        <v>559</v>
      </c>
      <c r="E748" s="264">
        <v>349</v>
      </c>
    </row>
    <row r="749" spans="1:5" x14ac:dyDescent="0.3">
      <c r="A749" s="96"/>
      <c r="B749" s="27" t="s">
        <v>560</v>
      </c>
      <c r="C749" s="168"/>
      <c r="E749" s="72"/>
    </row>
    <row r="750" spans="1:5" x14ac:dyDescent="0.3">
      <c r="A750" s="96"/>
      <c r="B750" s="266" t="s">
        <v>561</v>
      </c>
      <c r="C750" s="267"/>
      <c r="D750" s="268" t="s">
        <v>562</v>
      </c>
      <c r="E750" s="264">
        <v>10</v>
      </c>
    </row>
    <row r="751" spans="1:5" x14ac:dyDescent="0.3">
      <c r="A751" s="96"/>
      <c r="B751" s="266" t="s">
        <v>563</v>
      </c>
      <c r="C751" s="267"/>
      <c r="D751" s="268" t="s">
        <v>564</v>
      </c>
      <c r="E751" s="264">
        <v>21</v>
      </c>
    </row>
    <row r="752" spans="1:5" x14ac:dyDescent="0.3">
      <c r="B752" s="19" t="s">
        <v>768</v>
      </c>
      <c r="C752" s="4"/>
      <c r="D752" s="32"/>
      <c r="E752" s="32"/>
    </row>
    <row r="753" spans="1:5" x14ac:dyDescent="0.3">
      <c r="B753" s="291" t="s">
        <v>567</v>
      </c>
      <c r="C753" s="279"/>
      <c r="D753" s="292" t="s">
        <v>568</v>
      </c>
      <c r="E753" s="264">
        <v>6</v>
      </c>
    </row>
    <row r="754" spans="1:5" x14ac:dyDescent="0.3">
      <c r="B754" s="291" t="s">
        <v>569</v>
      </c>
      <c r="C754" s="279"/>
      <c r="D754" s="292" t="s">
        <v>570</v>
      </c>
      <c r="E754" s="264">
        <v>6</v>
      </c>
    </row>
    <row r="755" spans="1:5" x14ac:dyDescent="0.3">
      <c r="B755" s="291" t="s">
        <v>571</v>
      </c>
      <c r="C755" s="279"/>
      <c r="D755" s="292" t="s">
        <v>572</v>
      </c>
      <c r="E755" s="264">
        <v>6</v>
      </c>
    </row>
    <row r="756" spans="1:5" x14ac:dyDescent="0.3">
      <c r="B756" s="291" t="s">
        <v>573</v>
      </c>
      <c r="C756" s="279"/>
      <c r="D756" s="292" t="s">
        <v>574</v>
      </c>
      <c r="E756" s="264">
        <v>6</v>
      </c>
    </row>
    <row r="757" spans="1:5" x14ac:dyDescent="0.3">
      <c r="E757" s="82"/>
    </row>
    <row r="758" spans="1:5" x14ac:dyDescent="0.3">
      <c r="B758" s="127" t="s">
        <v>575</v>
      </c>
      <c r="D758" s="6"/>
      <c r="E758" s="6"/>
    </row>
    <row r="759" spans="1:5" x14ac:dyDescent="0.3">
      <c r="B759" s="128" t="s">
        <v>576</v>
      </c>
      <c r="C759" s="27"/>
      <c r="D759" s="32"/>
      <c r="E759" s="32"/>
    </row>
    <row r="760" spans="1:5" x14ac:dyDescent="0.3">
      <c r="B760" s="267" t="s">
        <v>577</v>
      </c>
      <c r="C760" s="279"/>
      <c r="D760" s="268" t="s">
        <v>578</v>
      </c>
      <c r="E760" s="264">
        <v>288</v>
      </c>
    </row>
    <row r="761" spans="1:5" x14ac:dyDescent="0.3">
      <c r="A761" s="96"/>
      <c r="B761" s="27" t="s">
        <v>769</v>
      </c>
      <c r="C761" s="168"/>
      <c r="E761" s="78"/>
    </row>
    <row r="762" spans="1:5" x14ac:dyDescent="0.3">
      <c r="A762" s="96"/>
      <c r="B762" s="266" t="s">
        <v>770</v>
      </c>
      <c r="C762" s="267"/>
      <c r="D762" s="268" t="s">
        <v>581</v>
      </c>
      <c r="E762" s="264">
        <v>489</v>
      </c>
    </row>
    <row r="763" spans="1:5" x14ac:dyDescent="0.3">
      <c r="A763" s="96"/>
      <c r="B763" s="266" t="s">
        <v>771</v>
      </c>
      <c r="C763" s="267"/>
      <c r="D763" s="268" t="s">
        <v>583</v>
      </c>
      <c r="E763" s="264">
        <v>775</v>
      </c>
    </row>
    <row r="764" spans="1:5" x14ac:dyDescent="0.3">
      <c r="A764" s="96"/>
      <c r="B764" s="266" t="s">
        <v>772</v>
      </c>
      <c r="C764" s="267"/>
      <c r="D764" s="268" t="s">
        <v>585</v>
      </c>
      <c r="E764" s="264">
        <v>1375</v>
      </c>
    </row>
    <row r="765" spans="1:5" x14ac:dyDescent="0.3">
      <c r="A765" s="96"/>
      <c r="B765" s="266" t="s">
        <v>773</v>
      </c>
      <c r="C765" s="267"/>
      <c r="D765" s="268" t="s">
        <v>587</v>
      </c>
      <c r="E765" s="264">
        <v>912</v>
      </c>
    </row>
    <row r="766" spans="1:5" x14ac:dyDescent="0.3">
      <c r="A766" s="96"/>
      <c r="B766" s="266" t="s">
        <v>774</v>
      </c>
      <c r="C766" s="267"/>
      <c r="D766" s="268" t="s">
        <v>589</v>
      </c>
      <c r="E766" s="264">
        <v>1485</v>
      </c>
    </row>
    <row r="767" spans="1:5" x14ac:dyDescent="0.3">
      <c r="A767" s="96"/>
      <c r="B767" s="266" t="s">
        <v>775</v>
      </c>
      <c r="C767" s="267"/>
      <c r="D767" s="268" t="s">
        <v>591</v>
      </c>
      <c r="E767" s="264">
        <v>2685</v>
      </c>
    </row>
    <row r="768" spans="1:5" x14ac:dyDescent="0.3">
      <c r="A768" s="96"/>
      <c r="B768" s="194"/>
      <c r="C768" s="4"/>
      <c r="D768" s="105"/>
      <c r="E768" s="7"/>
    </row>
    <row r="769" spans="1:5" x14ac:dyDescent="0.3">
      <c r="A769" s="96"/>
      <c r="B769" s="79" t="s">
        <v>134</v>
      </c>
      <c r="C769" s="4"/>
      <c r="E769" s="78"/>
    </row>
    <row r="770" spans="1:5" x14ac:dyDescent="0.3">
      <c r="A770" s="96"/>
      <c r="B770" s="27" t="s">
        <v>592</v>
      </c>
      <c r="C770" s="4"/>
      <c r="E770" s="78"/>
    </row>
    <row r="771" spans="1:5" x14ac:dyDescent="0.3">
      <c r="A771" s="96"/>
      <c r="B771" s="267" t="s">
        <v>717</v>
      </c>
      <c r="C771" s="267"/>
      <c r="D771" s="268" t="s">
        <v>594</v>
      </c>
      <c r="E771" s="264">
        <v>451</v>
      </c>
    </row>
    <row r="772" spans="1:5" x14ac:dyDescent="0.3">
      <c r="A772" s="96"/>
      <c r="B772" s="27" t="s">
        <v>597</v>
      </c>
      <c r="C772" s="4"/>
      <c r="E772" s="78"/>
    </row>
    <row r="773" spans="1:5" x14ac:dyDescent="0.3">
      <c r="A773" s="96"/>
      <c r="B773" s="267" t="s">
        <v>135</v>
      </c>
      <c r="C773" s="267"/>
      <c r="D773" s="268" t="s">
        <v>136</v>
      </c>
      <c r="E773" s="264">
        <v>192</v>
      </c>
    </row>
    <row r="774" spans="1:5" x14ac:dyDescent="0.3">
      <c r="A774" s="96"/>
      <c r="B774" s="267" t="s">
        <v>598</v>
      </c>
      <c r="C774" s="267"/>
      <c r="D774" s="268" t="s">
        <v>178</v>
      </c>
      <c r="E774" s="264">
        <v>400</v>
      </c>
    </row>
    <row r="775" spans="1:5" x14ac:dyDescent="0.3">
      <c r="A775" s="96"/>
      <c r="B775" s="261" t="s">
        <v>137</v>
      </c>
      <c r="C775" s="267"/>
      <c r="D775" s="268" t="s">
        <v>138</v>
      </c>
      <c r="E775" s="264">
        <v>510</v>
      </c>
    </row>
    <row r="776" spans="1:5" x14ac:dyDescent="0.3">
      <c r="A776" s="96"/>
      <c r="B776" s="266" t="s">
        <v>433</v>
      </c>
      <c r="C776" s="267"/>
      <c r="D776" s="268" t="s">
        <v>232</v>
      </c>
      <c r="E776" s="264">
        <v>1291</v>
      </c>
    </row>
    <row r="777" spans="1:5" x14ac:dyDescent="0.3">
      <c r="A777" s="96"/>
      <c r="B777" s="266" t="s">
        <v>435</v>
      </c>
      <c r="C777" s="267"/>
      <c r="D777" s="268" t="s">
        <v>234</v>
      </c>
      <c r="E777" s="264">
        <v>2266</v>
      </c>
    </row>
    <row r="778" spans="1:5" x14ac:dyDescent="0.3">
      <c r="B778" s="266" t="s">
        <v>437</v>
      </c>
      <c r="C778" s="267"/>
      <c r="D778" s="268" t="s">
        <v>236</v>
      </c>
      <c r="E778" s="264">
        <v>3708</v>
      </c>
    </row>
    <row r="779" spans="1:5" x14ac:dyDescent="0.3">
      <c r="A779" s="96"/>
      <c r="B779" s="266" t="s">
        <v>600</v>
      </c>
      <c r="C779" s="267"/>
      <c r="D779" s="268" t="s">
        <v>238</v>
      </c>
      <c r="E779" s="264">
        <v>6644</v>
      </c>
    </row>
    <row r="780" spans="1:5" x14ac:dyDescent="0.3">
      <c r="A780" s="96"/>
      <c r="B780" s="27" t="s">
        <v>239</v>
      </c>
      <c r="C780" s="4"/>
      <c r="E780" s="78"/>
    </row>
    <row r="781" spans="1:5" x14ac:dyDescent="0.3">
      <c r="A781" s="96"/>
      <c r="B781" s="266" t="s">
        <v>776</v>
      </c>
      <c r="C781" s="266"/>
      <c r="D781" s="268" t="s">
        <v>247</v>
      </c>
      <c r="E781" s="264">
        <v>1854</v>
      </c>
    </row>
    <row r="782" spans="1:5" x14ac:dyDescent="0.3">
      <c r="A782" s="96"/>
      <c r="B782" s="27" t="s">
        <v>601</v>
      </c>
      <c r="C782" s="4"/>
      <c r="E782" s="78"/>
    </row>
    <row r="783" spans="1:5" x14ac:dyDescent="0.3">
      <c r="A783" s="96"/>
      <c r="B783" s="266" t="s">
        <v>602</v>
      </c>
      <c r="C783" s="267"/>
      <c r="D783" s="268" t="s">
        <v>603</v>
      </c>
      <c r="E783" s="264">
        <v>2735</v>
      </c>
    </row>
    <row r="784" spans="1:5" x14ac:dyDescent="0.3">
      <c r="A784" s="96"/>
      <c r="B784" s="266" t="s">
        <v>604</v>
      </c>
      <c r="C784" s="267"/>
      <c r="D784" s="268" t="s">
        <v>605</v>
      </c>
      <c r="E784" s="264">
        <v>4685</v>
      </c>
    </row>
    <row r="785" spans="1:5" x14ac:dyDescent="0.3">
      <c r="A785" s="96"/>
      <c r="B785" s="266" t="s">
        <v>606</v>
      </c>
      <c r="C785" s="267"/>
      <c r="D785" s="268" t="s">
        <v>607</v>
      </c>
      <c r="E785" s="264">
        <v>7569</v>
      </c>
    </row>
    <row r="786" spans="1:5" x14ac:dyDescent="0.3">
      <c r="A786" s="96"/>
      <c r="B786" s="266" t="s">
        <v>608</v>
      </c>
      <c r="C786" s="267"/>
      <c r="D786" s="268" t="s">
        <v>609</v>
      </c>
      <c r="E786" s="264">
        <v>13440</v>
      </c>
    </row>
    <row r="787" spans="1:5" x14ac:dyDescent="0.3">
      <c r="A787" s="96"/>
      <c r="B787" s="79"/>
      <c r="C787" s="79"/>
      <c r="D787" s="198"/>
      <c r="E787" s="199"/>
    </row>
    <row r="788" spans="1:5" x14ac:dyDescent="0.3">
      <c r="A788" s="96"/>
      <c r="B788" s="86" t="s">
        <v>777</v>
      </c>
      <c r="C788" s="4"/>
      <c r="E788" s="78"/>
    </row>
    <row r="789" spans="1:5" x14ac:dyDescent="0.3">
      <c r="A789" s="96"/>
      <c r="B789" s="279" t="s">
        <v>778</v>
      </c>
      <c r="C789" s="279"/>
      <c r="D789" s="292" t="s">
        <v>779</v>
      </c>
      <c r="E789" s="264">
        <v>35</v>
      </c>
    </row>
    <row r="790" spans="1:5" x14ac:dyDescent="0.3">
      <c r="A790" s="96"/>
      <c r="B790" s="4"/>
      <c r="C790" s="4"/>
      <c r="E790" s="7"/>
    </row>
    <row r="791" spans="1:5" x14ac:dyDescent="0.3">
      <c r="A791" s="96"/>
      <c r="B791" s="86" t="s">
        <v>610</v>
      </c>
      <c r="C791" s="4"/>
      <c r="E791" s="78"/>
    </row>
    <row r="792" spans="1:5" x14ac:dyDescent="0.3">
      <c r="A792" s="96"/>
      <c r="B792" s="279" t="s">
        <v>611</v>
      </c>
      <c r="C792" s="279"/>
      <c r="D792" s="292" t="s">
        <v>612</v>
      </c>
      <c r="E792" s="264">
        <v>26</v>
      </c>
    </row>
    <row r="793" spans="1:5" x14ac:dyDescent="0.3">
      <c r="A793" s="96"/>
      <c r="B793" s="4"/>
      <c r="C793" s="4"/>
      <c r="E793" s="7"/>
    </row>
    <row r="794" spans="1:5" x14ac:dyDescent="0.3">
      <c r="A794" s="96"/>
      <c r="B794" s="86" t="s">
        <v>780</v>
      </c>
      <c r="C794" s="4"/>
      <c r="E794" s="213"/>
    </row>
    <row r="795" spans="1:5" x14ac:dyDescent="0.3">
      <c r="A795" s="96"/>
      <c r="B795" s="279" t="s">
        <v>781</v>
      </c>
      <c r="C795" s="267"/>
      <c r="D795" s="292" t="s">
        <v>154</v>
      </c>
      <c r="E795" s="264">
        <v>35</v>
      </c>
    </row>
    <row r="796" spans="1:5" x14ac:dyDescent="0.3">
      <c r="A796" s="96"/>
      <c r="B796" s="279" t="s">
        <v>615</v>
      </c>
      <c r="C796" s="279"/>
      <c r="D796" s="292" t="s">
        <v>616</v>
      </c>
      <c r="E796" s="264">
        <v>234</v>
      </c>
    </row>
    <row r="797" spans="1:5" x14ac:dyDescent="0.3">
      <c r="A797" s="96"/>
      <c r="B797" s="4"/>
      <c r="C797" s="4"/>
      <c r="E797" s="7"/>
    </row>
    <row r="798" spans="1:5" x14ac:dyDescent="0.3">
      <c r="A798" s="96"/>
      <c r="B798" s="86" t="s">
        <v>782</v>
      </c>
      <c r="C798" s="4"/>
      <c r="E798" s="213"/>
    </row>
    <row r="799" spans="1:5" x14ac:dyDescent="0.3">
      <c r="A799" s="96"/>
      <c r="B799" s="279" t="s">
        <v>618</v>
      </c>
      <c r="C799" s="279"/>
      <c r="D799" s="292" t="s">
        <v>619</v>
      </c>
      <c r="E799" s="264">
        <v>40</v>
      </c>
    </row>
    <row r="800" spans="1:5" x14ac:dyDescent="0.3">
      <c r="A800" s="96"/>
      <c r="B800" s="86"/>
      <c r="C800" s="4"/>
      <c r="E800" s="7"/>
    </row>
    <row r="801" spans="1:5" x14ac:dyDescent="0.3">
      <c r="A801" s="96"/>
      <c r="B801" s="86" t="s">
        <v>783</v>
      </c>
      <c r="C801" s="4"/>
      <c r="E801" s="213"/>
    </row>
    <row r="802" spans="1:5" x14ac:dyDescent="0.3">
      <c r="A802" s="96"/>
      <c r="B802" s="279" t="s">
        <v>263</v>
      </c>
      <c r="C802" s="279"/>
      <c r="D802" s="292" t="s">
        <v>624</v>
      </c>
      <c r="E802" s="264">
        <v>18</v>
      </c>
    </row>
    <row r="803" spans="1:5" x14ac:dyDescent="0.3">
      <c r="A803" s="96"/>
      <c r="B803" s="4"/>
      <c r="C803" s="4"/>
      <c r="E803" s="7"/>
    </row>
    <row r="804" spans="1:5" x14ac:dyDescent="0.3">
      <c r="A804" s="96"/>
      <c r="B804" s="86" t="s">
        <v>163</v>
      </c>
      <c r="C804" s="4"/>
      <c r="E804" s="78"/>
    </row>
    <row r="805" spans="1:5" x14ac:dyDescent="0.3">
      <c r="A805" s="96"/>
      <c r="B805" s="279" t="s">
        <v>164</v>
      </c>
      <c r="C805" s="279"/>
      <c r="D805" s="292" t="s">
        <v>625</v>
      </c>
      <c r="E805" s="264">
        <v>0</v>
      </c>
    </row>
    <row r="808" spans="1:5" x14ac:dyDescent="0.3">
      <c r="B808" s="131" t="s">
        <v>784</v>
      </c>
      <c r="C808" s="131"/>
      <c r="D808" s="133"/>
      <c r="E808" s="133"/>
    </row>
    <row r="809" spans="1:5" x14ac:dyDescent="0.3">
      <c r="B809" s="23" t="s">
        <v>107</v>
      </c>
      <c r="E809" s="7"/>
    </row>
    <row r="810" spans="1:5" x14ac:dyDescent="0.3">
      <c r="A810" s="105"/>
      <c r="B810" s="267" t="s">
        <v>785</v>
      </c>
      <c r="C810" s="266"/>
      <c r="D810" s="268" t="s">
        <v>786</v>
      </c>
      <c r="E810" s="264">
        <v>1452</v>
      </c>
    </row>
    <row r="811" spans="1:5" x14ac:dyDescent="0.3">
      <c r="A811" s="105"/>
      <c r="B811" s="267" t="s">
        <v>787</v>
      </c>
      <c r="C811" s="266"/>
      <c r="D811" s="268" t="s">
        <v>788</v>
      </c>
      <c r="E811" s="264">
        <v>2997</v>
      </c>
    </row>
    <row r="812" spans="1:5" x14ac:dyDescent="0.3">
      <c r="A812" s="105"/>
      <c r="B812" s="267" t="s">
        <v>789</v>
      </c>
      <c r="C812" s="266"/>
      <c r="D812" s="268" t="s">
        <v>790</v>
      </c>
      <c r="E812" s="264">
        <v>5226</v>
      </c>
    </row>
    <row r="813" spans="1:5" x14ac:dyDescent="0.3">
      <c r="A813" s="105"/>
      <c r="B813" s="267" t="s">
        <v>791</v>
      </c>
      <c r="C813" s="266"/>
      <c r="D813" s="268" t="s">
        <v>792</v>
      </c>
      <c r="E813" s="264">
        <v>4120</v>
      </c>
    </row>
    <row r="814" spans="1:5" x14ac:dyDescent="0.3">
      <c r="B814" s="6"/>
      <c r="C814" s="107"/>
      <c r="D814" s="18"/>
      <c r="E814" s="18"/>
    </row>
    <row r="815" spans="1:5" x14ac:dyDescent="0.3">
      <c r="B815" s="19" t="s">
        <v>114</v>
      </c>
      <c r="D815" s="32"/>
      <c r="E815" s="32"/>
    </row>
    <row r="816" spans="1:5" x14ac:dyDescent="0.3">
      <c r="B816" s="267" t="s">
        <v>645</v>
      </c>
      <c r="C816" s="279"/>
      <c r="D816" s="268" t="s">
        <v>646</v>
      </c>
      <c r="E816" s="264">
        <v>470</v>
      </c>
    </row>
    <row r="817" spans="2:5" x14ac:dyDescent="0.3">
      <c r="B817" s="267" t="s">
        <v>793</v>
      </c>
      <c r="C817" s="266"/>
      <c r="D817" s="283" t="s">
        <v>794</v>
      </c>
      <c r="E817" s="264">
        <v>1096</v>
      </c>
    </row>
    <row r="818" spans="2:5" x14ac:dyDescent="0.3">
      <c r="B818" s="267" t="s">
        <v>651</v>
      </c>
      <c r="C818" s="290"/>
      <c r="D818" s="283" t="s">
        <v>652</v>
      </c>
      <c r="E818" s="264">
        <v>1623</v>
      </c>
    </row>
    <row r="819" spans="2:5" x14ac:dyDescent="0.3">
      <c r="B819" s="267" t="s">
        <v>653</v>
      </c>
      <c r="C819" s="290"/>
      <c r="D819" s="283" t="s">
        <v>654</v>
      </c>
      <c r="E819" s="264">
        <v>2052</v>
      </c>
    </row>
    <row r="820" spans="2:5" x14ac:dyDescent="0.3">
      <c r="B820" s="267" t="s">
        <v>655</v>
      </c>
      <c r="C820" s="279"/>
      <c r="D820" s="283" t="s">
        <v>656</v>
      </c>
      <c r="E820" s="264">
        <v>3930</v>
      </c>
    </row>
    <row r="821" spans="2:5" x14ac:dyDescent="0.3">
      <c r="B821" s="267" t="s">
        <v>795</v>
      </c>
      <c r="C821" s="266"/>
      <c r="D821" s="283" t="s">
        <v>658</v>
      </c>
      <c r="E821" s="264">
        <v>6238</v>
      </c>
    </row>
    <row r="822" spans="2:5" s="6" customFormat="1" x14ac:dyDescent="0.35">
      <c r="B822" s="267" t="s">
        <v>659</v>
      </c>
      <c r="C822" s="266"/>
      <c r="D822" s="283" t="s">
        <v>660</v>
      </c>
      <c r="E822" s="264">
        <v>8545</v>
      </c>
    </row>
    <row r="823" spans="2:5" s="6" customFormat="1" x14ac:dyDescent="0.35">
      <c r="B823" s="267" t="s">
        <v>796</v>
      </c>
      <c r="C823" s="266"/>
      <c r="D823" s="283" t="s">
        <v>797</v>
      </c>
      <c r="E823" s="264">
        <v>13159</v>
      </c>
    </row>
    <row r="824" spans="2:5" s="6" customFormat="1" x14ac:dyDescent="0.35">
      <c r="B824" s="267" t="s">
        <v>798</v>
      </c>
      <c r="C824" s="266"/>
      <c r="D824" s="283" t="s">
        <v>799</v>
      </c>
      <c r="E824" s="264">
        <v>17774</v>
      </c>
    </row>
    <row r="825" spans="2:5" s="6" customFormat="1" x14ac:dyDescent="0.35">
      <c r="B825" s="267" t="s">
        <v>800</v>
      </c>
      <c r="C825" s="266"/>
      <c r="D825" s="108" t="s">
        <v>801</v>
      </c>
      <c r="E825" s="264">
        <v>56172</v>
      </c>
    </row>
    <row r="826" spans="2:5" s="6" customFormat="1" x14ac:dyDescent="0.35">
      <c r="B826" s="267" t="s">
        <v>667</v>
      </c>
      <c r="C826" s="266"/>
      <c r="D826" s="108" t="s">
        <v>668</v>
      </c>
      <c r="E826" s="264">
        <v>75124</v>
      </c>
    </row>
    <row r="827" spans="2:5" x14ac:dyDescent="0.3">
      <c r="B827" s="6"/>
      <c r="D827" s="18"/>
      <c r="E827" s="18"/>
    </row>
    <row r="828" spans="2:5" x14ac:dyDescent="0.3">
      <c r="B828" s="19" t="s">
        <v>669</v>
      </c>
      <c r="C828" s="23"/>
      <c r="D828" s="109"/>
      <c r="E828" s="109"/>
    </row>
    <row r="829" spans="2:5" x14ac:dyDescent="0.3">
      <c r="B829" s="27" t="s">
        <v>802</v>
      </c>
      <c r="C829" s="27"/>
      <c r="D829" s="55"/>
      <c r="E829" s="55"/>
    </row>
    <row r="830" spans="2:5" x14ac:dyDescent="0.3">
      <c r="B830" s="267" t="s">
        <v>803</v>
      </c>
      <c r="C830" s="279"/>
      <c r="D830" s="155" t="s">
        <v>544</v>
      </c>
      <c r="E830" s="264">
        <v>73</v>
      </c>
    </row>
    <row r="831" spans="2:5" x14ac:dyDescent="0.3">
      <c r="B831" s="267" t="s">
        <v>670</v>
      </c>
      <c r="C831" s="279"/>
      <c r="D831" s="268" t="s">
        <v>545</v>
      </c>
      <c r="E831" s="264">
        <v>221</v>
      </c>
    </row>
    <row r="832" spans="2:5" x14ac:dyDescent="0.3">
      <c r="B832" s="267" t="s">
        <v>672</v>
      </c>
      <c r="C832" s="279"/>
      <c r="D832" s="268" t="s">
        <v>426</v>
      </c>
      <c r="E832" s="264">
        <v>521</v>
      </c>
    </row>
    <row r="833" spans="2:5" x14ac:dyDescent="0.3">
      <c r="B833" s="267" t="s">
        <v>804</v>
      </c>
      <c r="C833" s="279"/>
      <c r="D833" s="268" t="s">
        <v>805</v>
      </c>
      <c r="E833" s="264">
        <v>133</v>
      </c>
    </row>
    <row r="834" spans="2:5" x14ac:dyDescent="0.3">
      <c r="B834" s="267" t="s">
        <v>580</v>
      </c>
      <c r="C834" s="279"/>
      <c r="D834" s="268" t="s">
        <v>806</v>
      </c>
      <c r="E834" s="264">
        <v>279</v>
      </c>
    </row>
    <row r="835" spans="2:5" x14ac:dyDescent="0.3">
      <c r="B835" s="267" t="s">
        <v>676</v>
      </c>
      <c r="C835" s="279"/>
      <c r="D835" s="268" t="s">
        <v>807</v>
      </c>
      <c r="E835" s="264">
        <v>571</v>
      </c>
    </row>
    <row r="836" spans="2:5" x14ac:dyDescent="0.3">
      <c r="B836" s="267" t="s">
        <v>678</v>
      </c>
      <c r="C836" s="279"/>
      <c r="D836" s="268" t="s">
        <v>808</v>
      </c>
      <c r="E836" s="264">
        <v>1171</v>
      </c>
    </row>
    <row r="837" spans="2:5" x14ac:dyDescent="0.3">
      <c r="B837" s="267" t="s">
        <v>680</v>
      </c>
      <c r="C837" s="279"/>
      <c r="D837" s="268" t="s">
        <v>809</v>
      </c>
      <c r="E837" s="264">
        <v>485</v>
      </c>
    </row>
    <row r="838" spans="2:5" x14ac:dyDescent="0.3">
      <c r="B838" s="267" t="s">
        <v>682</v>
      </c>
      <c r="C838" s="279"/>
      <c r="D838" s="268" t="s">
        <v>810</v>
      </c>
      <c r="E838" s="264">
        <v>921</v>
      </c>
    </row>
    <row r="839" spans="2:5" x14ac:dyDescent="0.3">
      <c r="B839" s="267" t="s">
        <v>684</v>
      </c>
      <c r="C839" s="279"/>
      <c r="D839" s="268" t="s">
        <v>811</v>
      </c>
      <c r="E839" s="264">
        <v>1821</v>
      </c>
    </row>
    <row r="840" spans="2:5" x14ac:dyDescent="0.3">
      <c r="B840" s="267" t="s">
        <v>686</v>
      </c>
      <c r="C840" s="279"/>
      <c r="D840" s="268" t="s">
        <v>812</v>
      </c>
      <c r="E840" s="264">
        <v>691</v>
      </c>
    </row>
    <row r="841" spans="2:5" x14ac:dyDescent="0.3">
      <c r="B841" s="267" t="s">
        <v>688</v>
      </c>
      <c r="C841" s="279"/>
      <c r="D841" s="268" t="s">
        <v>813</v>
      </c>
      <c r="E841" s="264">
        <v>1271</v>
      </c>
    </row>
    <row r="842" spans="2:5" x14ac:dyDescent="0.3">
      <c r="B842" s="267" t="s">
        <v>690</v>
      </c>
      <c r="C842" s="279"/>
      <c r="D842" s="268" t="s">
        <v>814</v>
      </c>
      <c r="E842" s="264">
        <v>1871</v>
      </c>
    </row>
    <row r="843" spans="2:5" x14ac:dyDescent="0.3">
      <c r="B843" s="19" t="s">
        <v>815</v>
      </c>
      <c r="C843" s="4"/>
      <c r="D843" s="32"/>
      <c r="E843" s="32"/>
    </row>
    <row r="844" spans="2:5" x14ac:dyDescent="0.3">
      <c r="B844" s="267" t="s">
        <v>693</v>
      </c>
      <c r="C844" s="279"/>
      <c r="D844" s="268" t="s">
        <v>549</v>
      </c>
      <c r="E844" s="264">
        <v>115</v>
      </c>
    </row>
    <row r="845" spans="2:5" x14ac:dyDescent="0.3">
      <c r="B845" s="267" t="s">
        <v>694</v>
      </c>
      <c r="C845" s="279"/>
      <c r="D845" s="268" t="s">
        <v>551</v>
      </c>
      <c r="E845" s="264">
        <v>115</v>
      </c>
    </row>
    <row r="846" spans="2:5" x14ac:dyDescent="0.3">
      <c r="B846" s="267" t="s">
        <v>816</v>
      </c>
      <c r="C846" s="279"/>
      <c r="D846" s="268" t="s">
        <v>696</v>
      </c>
      <c r="E846" s="264">
        <v>198</v>
      </c>
    </row>
    <row r="847" spans="2:5" x14ac:dyDescent="0.3">
      <c r="B847" s="267" t="s">
        <v>697</v>
      </c>
      <c r="C847" s="279"/>
      <c r="D847" s="268" t="s">
        <v>698</v>
      </c>
      <c r="E847" s="264">
        <v>115</v>
      </c>
    </row>
    <row r="848" spans="2:5" x14ac:dyDescent="0.3">
      <c r="B848" s="19" t="s">
        <v>817</v>
      </c>
      <c r="D848" s="32"/>
      <c r="E848" s="32"/>
    </row>
    <row r="849" spans="2:5" x14ac:dyDescent="0.3">
      <c r="B849" s="267" t="s">
        <v>554</v>
      </c>
      <c r="C849" s="267"/>
      <c r="D849" s="268" t="s">
        <v>555</v>
      </c>
      <c r="E849" s="264">
        <v>148</v>
      </c>
    </row>
    <row r="850" spans="2:5" x14ac:dyDescent="0.3">
      <c r="B850" s="291" t="s">
        <v>556</v>
      </c>
      <c r="C850" s="279"/>
      <c r="D850" s="268" t="s">
        <v>557</v>
      </c>
      <c r="E850" s="264">
        <v>229</v>
      </c>
    </row>
    <row r="851" spans="2:5" x14ac:dyDescent="0.3">
      <c r="B851" s="267" t="s">
        <v>558</v>
      </c>
      <c r="C851" s="279"/>
      <c r="D851" s="268" t="s">
        <v>559</v>
      </c>
      <c r="E851" s="264">
        <v>349</v>
      </c>
    </row>
    <row r="852" spans="2:5" x14ac:dyDescent="0.3">
      <c r="B852" s="19" t="s">
        <v>818</v>
      </c>
      <c r="C852" s="4"/>
      <c r="D852" s="32"/>
      <c r="E852" s="32"/>
    </row>
    <row r="853" spans="2:5" x14ac:dyDescent="0.3">
      <c r="B853" s="291" t="s">
        <v>819</v>
      </c>
      <c r="C853" s="279"/>
      <c r="D853" s="292" t="s">
        <v>820</v>
      </c>
      <c r="E853" s="264">
        <v>364</v>
      </c>
    </row>
    <row r="854" spans="2:5" x14ac:dyDescent="0.3">
      <c r="B854" s="19" t="s">
        <v>566</v>
      </c>
      <c r="C854" s="4"/>
      <c r="D854" s="32"/>
      <c r="E854" s="32"/>
    </row>
    <row r="855" spans="2:5" x14ac:dyDescent="0.3">
      <c r="B855" s="291" t="s">
        <v>569</v>
      </c>
      <c r="C855" s="279"/>
      <c r="D855" s="292" t="s">
        <v>570</v>
      </c>
      <c r="E855" s="264">
        <v>6</v>
      </c>
    </row>
    <row r="856" spans="2:5" x14ac:dyDescent="0.3">
      <c r="B856" s="291" t="s">
        <v>567</v>
      </c>
      <c r="C856" s="279"/>
      <c r="D856" s="292" t="s">
        <v>568</v>
      </c>
      <c r="E856" s="264">
        <v>6</v>
      </c>
    </row>
    <row r="857" spans="2:5" x14ac:dyDescent="0.3">
      <c r="B857" s="291" t="s">
        <v>821</v>
      </c>
      <c r="C857" s="279"/>
      <c r="D857" s="292" t="s">
        <v>572</v>
      </c>
      <c r="E857" s="264">
        <v>6</v>
      </c>
    </row>
    <row r="858" spans="2:5" x14ac:dyDescent="0.3">
      <c r="B858" s="291" t="s">
        <v>706</v>
      </c>
      <c r="C858" s="279"/>
      <c r="D858" s="57" t="s">
        <v>574</v>
      </c>
      <c r="E858" s="264">
        <v>6</v>
      </c>
    </row>
    <row r="859" spans="2:5" x14ac:dyDescent="0.3">
      <c r="B859" s="17"/>
      <c r="C859" s="4"/>
      <c r="D859" s="18"/>
      <c r="E859" s="18"/>
    </row>
    <row r="860" spans="2:5" x14ac:dyDescent="0.3">
      <c r="B860" s="19" t="s">
        <v>134</v>
      </c>
      <c r="C860" s="4"/>
      <c r="E860" s="7"/>
    </row>
    <row r="861" spans="2:5" x14ac:dyDescent="0.3">
      <c r="B861" s="27" t="s">
        <v>597</v>
      </c>
      <c r="C861" s="59"/>
      <c r="D861" s="59"/>
      <c r="E861" s="59"/>
    </row>
    <row r="862" spans="2:5" x14ac:dyDescent="0.3">
      <c r="B862" s="267" t="s">
        <v>135</v>
      </c>
      <c r="C862" s="279"/>
      <c r="D862" s="292" t="s">
        <v>822</v>
      </c>
      <c r="E862" s="264">
        <v>192</v>
      </c>
    </row>
    <row r="863" spans="2:5" s="6" customFormat="1" x14ac:dyDescent="0.35">
      <c r="B863" s="267" t="s">
        <v>718</v>
      </c>
      <c r="C863" s="267"/>
      <c r="D863" s="268" t="s">
        <v>823</v>
      </c>
      <c r="E863" s="264">
        <v>400</v>
      </c>
    </row>
    <row r="864" spans="2:5" s="6" customFormat="1" x14ac:dyDescent="0.35">
      <c r="B864" s="261" t="s">
        <v>137</v>
      </c>
      <c r="C864" s="297"/>
      <c r="D864" s="268" t="s">
        <v>138</v>
      </c>
      <c r="E864" s="264">
        <v>510</v>
      </c>
    </row>
    <row r="865" spans="2:5" x14ac:dyDescent="0.3">
      <c r="B865" s="297" t="s">
        <v>433</v>
      </c>
      <c r="C865" s="297"/>
      <c r="D865" s="268" t="s">
        <v>232</v>
      </c>
      <c r="E865" s="264">
        <v>1291</v>
      </c>
    </row>
    <row r="866" spans="2:5" x14ac:dyDescent="0.3">
      <c r="B866" s="266" t="s">
        <v>435</v>
      </c>
      <c r="C866" s="267"/>
      <c r="D866" s="268" t="s">
        <v>234</v>
      </c>
      <c r="E866" s="264">
        <v>2266</v>
      </c>
    </row>
    <row r="867" spans="2:5" x14ac:dyDescent="0.3">
      <c r="B867" s="266" t="s">
        <v>437</v>
      </c>
      <c r="C867" s="267"/>
      <c r="D867" s="268" t="s">
        <v>236</v>
      </c>
      <c r="E867" s="264">
        <v>3708</v>
      </c>
    </row>
    <row r="868" spans="2:5" x14ac:dyDescent="0.3">
      <c r="B868" s="266" t="s">
        <v>600</v>
      </c>
      <c r="C868" s="267"/>
      <c r="D868" s="268" t="s">
        <v>238</v>
      </c>
      <c r="E868" s="264">
        <v>6644</v>
      </c>
    </row>
    <row r="869" spans="2:5" x14ac:dyDescent="0.3">
      <c r="B869" s="266" t="s">
        <v>719</v>
      </c>
      <c r="C869" s="267"/>
      <c r="D869" s="268" t="s">
        <v>720</v>
      </c>
      <c r="E869" s="264">
        <v>14369</v>
      </c>
    </row>
    <row r="870" spans="2:5" x14ac:dyDescent="0.3">
      <c r="B870" s="27" t="s">
        <v>824</v>
      </c>
      <c r="C870" s="200"/>
      <c r="D870" s="56"/>
      <c r="E870" s="201"/>
    </row>
    <row r="871" spans="2:5" x14ac:dyDescent="0.3">
      <c r="B871" s="266" t="s">
        <v>722</v>
      </c>
      <c r="C871" s="267"/>
      <c r="D871" s="268" t="s">
        <v>603</v>
      </c>
      <c r="E871" s="264">
        <v>2735</v>
      </c>
    </row>
    <row r="872" spans="2:5" x14ac:dyDescent="0.3">
      <c r="B872" s="266" t="s">
        <v>723</v>
      </c>
      <c r="C872" s="267"/>
      <c r="D872" s="268" t="s">
        <v>605</v>
      </c>
      <c r="E872" s="264">
        <v>4685</v>
      </c>
    </row>
    <row r="873" spans="2:5" x14ac:dyDescent="0.3">
      <c r="B873" s="266" t="s">
        <v>825</v>
      </c>
      <c r="C873" s="267"/>
      <c r="D873" s="268" t="s">
        <v>607</v>
      </c>
      <c r="E873" s="264">
        <v>7569</v>
      </c>
    </row>
    <row r="874" spans="2:5" x14ac:dyDescent="0.3">
      <c r="B874" s="266" t="s">
        <v>826</v>
      </c>
      <c r="C874" s="267"/>
      <c r="D874" s="268" t="s">
        <v>609</v>
      </c>
      <c r="E874" s="264">
        <v>13440</v>
      </c>
    </row>
    <row r="875" spans="2:5" x14ac:dyDescent="0.3">
      <c r="B875" s="4"/>
      <c r="C875" s="4"/>
      <c r="D875" s="4"/>
      <c r="E875" s="4"/>
    </row>
    <row r="876" spans="2:5" x14ac:dyDescent="0.3">
      <c r="B876" s="19" t="s">
        <v>180</v>
      </c>
      <c r="C876" s="30"/>
      <c r="D876" s="32"/>
      <c r="E876" s="32"/>
    </row>
    <row r="877" spans="2:5" x14ac:dyDescent="0.3">
      <c r="B877" s="267" t="s">
        <v>827</v>
      </c>
      <c r="C877" s="279"/>
      <c r="D877" s="292" t="s">
        <v>828</v>
      </c>
      <c r="E877" s="264">
        <v>28</v>
      </c>
    </row>
    <row r="878" spans="2:5" x14ac:dyDescent="0.3">
      <c r="B878" s="17"/>
      <c r="C878" s="4"/>
      <c r="D878" s="18"/>
      <c r="E878" s="18"/>
    </row>
    <row r="879" spans="2:5" x14ac:dyDescent="0.3">
      <c r="B879" s="19" t="s">
        <v>829</v>
      </c>
      <c r="C879" s="30"/>
      <c r="D879" s="32"/>
      <c r="E879" s="32"/>
    </row>
    <row r="880" spans="2:5" x14ac:dyDescent="0.3">
      <c r="B880" s="279" t="s">
        <v>830</v>
      </c>
      <c r="C880" s="279"/>
      <c r="D880" s="292" t="s">
        <v>831</v>
      </c>
      <c r="E880" s="264">
        <v>129</v>
      </c>
    </row>
    <row r="881" spans="2:5" x14ac:dyDescent="0.3">
      <c r="B881" s="279" t="s">
        <v>832</v>
      </c>
      <c r="C881" s="279"/>
      <c r="D881" s="292" t="s">
        <v>833</v>
      </c>
      <c r="E881" s="264">
        <v>391</v>
      </c>
    </row>
    <row r="882" spans="2:5" x14ac:dyDescent="0.3">
      <c r="B882" s="279" t="s">
        <v>834</v>
      </c>
      <c r="C882" s="279"/>
      <c r="D882" s="292" t="s">
        <v>835</v>
      </c>
      <c r="E882" s="264">
        <v>464</v>
      </c>
    </row>
    <row r="883" spans="2:5" x14ac:dyDescent="0.3">
      <c r="B883" s="6"/>
      <c r="C883" s="202"/>
      <c r="D883" s="57"/>
      <c r="E883" s="216"/>
    </row>
    <row r="884" spans="2:5" x14ac:dyDescent="0.3">
      <c r="B884" s="19" t="s">
        <v>836</v>
      </c>
      <c r="C884" s="4"/>
      <c r="D884" s="105"/>
      <c r="E884" s="72"/>
    </row>
    <row r="885" spans="2:5" x14ac:dyDescent="0.3">
      <c r="B885" s="267" t="s">
        <v>191</v>
      </c>
      <c r="C885" s="279"/>
      <c r="D885" s="292" t="s">
        <v>624</v>
      </c>
      <c r="E885" s="264">
        <v>18</v>
      </c>
    </row>
    <row r="886" spans="2:5" x14ac:dyDescent="0.3">
      <c r="B886" s="17"/>
      <c r="C886" s="4"/>
      <c r="D886" s="18"/>
      <c r="E886" s="18"/>
    </row>
    <row r="887" spans="2:5" x14ac:dyDescent="0.3">
      <c r="B887" s="17" t="s">
        <v>777</v>
      </c>
      <c r="C887" s="30"/>
      <c r="D887" s="32"/>
      <c r="E887" s="32"/>
    </row>
    <row r="888" spans="2:5" x14ac:dyDescent="0.3">
      <c r="B888" s="267" t="s">
        <v>837</v>
      </c>
      <c r="C888" s="279"/>
      <c r="D888" s="292" t="s">
        <v>838</v>
      </c>
      <c r="E888" s="264">
        <v>258</v>
      </c>
    </row>
    <row r="889" spans="2:5" x14ac:dyDescent="0.3">
      <c r="B889" s="267" t="s">
        <v>839</v>
      </c>
      <c r="C889" s="279"/>
      <c r="D889" s="292" t="s">
        <v>840</v>
      </c>
      <c r="E889" s="264">
        <v>258</v>
      </c>
    </row>
    <row r="890" spans="2:5" x14ac:dyDescent="0.3">
      <c r="B890" s="17"/>
      <c r="C890" s="4"/>
      <c r="D890" s="18"/>
      <c r="E890" s="18"/>
    </row>
    <row r="891" spans="2:5" x14ac:dyDescent="0.3">
      <c r="B891" s="17" t="s">
        <v>841</v>
      </c>
      <c r="C891" s="30"/>
      <c r="D891" s="32"/>
      <c r="E891" s="32"/>
    </row>
    <row r="892" spans="2:5" x14ac:dyDescent="0.3">
      <c r="B892" s="267" t="s">
        <v>842</v>
      </c>
      <c r="C892" s="279"/>
      <c r="D892" s="292" t="s">
        <v>843</v>
      </c>
      <c r="E892" s="264">
        <v>28</v>
      </c>
    </row>
    <row r="893" spans="2:5" x14ac:dyDescent="0.3">
      <c r="B893" s="267" t="s">
        <v>844</v>
      </c>
      <c r="C893" s="279"/>
      <c r="D893" s="292" t="s">
        <v>845</v>
      </c>
      <c r="E893" s="264">
        <v>52</v>
      </c>
    </row>
    <row r="894" spans="2:5" x14ac:dyDescent="0.3">
      <c r="B894" s="17"/>
      <c r="C894" s="4"/>
      <c r="D894" s="18"/>
      <c r="E894" s="18"/>
    </row>
    <row r="895" spans="2:5" x14ac:dyDescent="0.3">
      <c r="B895" s="19" t="s">
        <v>163</v>
      </c>
      <c r="C895" s="30"/>
      <c r="D895" s="32"/>
      <c r="E895" s="32"/>
    </row>
    <row r="896" spans="2:5" x14ac:dyDescent="0.3">
      <c r="B896" s="267" t="s">
        <v>164</v>
      </c>
      <c r="C896" s="279"/>
      <c r="D896" s="292" t="s">
        <v>625</v>
      </c>
      <c r="E896" s="264">
        <v>0</v>
      </c>
    </row>
    <row r="897" spans="2:5" x14ac:dyDescent="0.3">
      <c r="B897" s="17"/>
      <c r="C897" s="4"/>
      <c r="D897" s="18"/>
      <c r="E897" s="18"/>
    </row>
    <row r="898" spans="2:5" x14ac:dyDescent="0.3">
      <c r="B898" s="17" t="s">
        <v>846</v>
      </c>
      <c r="C898" s="30"/>
      <c r="D898" s="32"/>
      <c r="E898" s="32"/>
    </row>
    <row r="899" spans="2:5" x14ac:dyDescent="0.3">
      <c r="B899" s="267" t="s">
        <v>847</v>
      </c>
      <c r="C899" s="279"/>
      <c r="D899" s="292" t="s">
        <v>848</v>
      </c>
      <c r="E899" s="264">
        <v>58</v>
      </c>
    </row>
    <row r="900" spans="2:5" x14ac:dyDescent="0.3">
      <c r="B900" s="267" t="s">
        <v>849</v>
      </c>
      <c r="C900" s="279"/>
      <c r="D900" s="292" t="s">
        <v>850</v>
      </c>
      <c r="E900" s="264">
        <v>85</v>
      </c>
    </row>
    <row r="901" spans="2:5" x14ac:dyDescent="0.3">
      <c r="B901" s="17"/>
      <c r="C901" s="4"/>
      <c r="D901" s="18"/>
      <c r="E901" s="18"/>
    </row>
    <row r="902" spans="2:5" x14ac:dyDescent="0.3">
      <c r="B902" s="17" t="s">
        <v>851</v>
      </c>
      <c r="C902" s="30"/>
      <c r="D902" s="32"/>
      <c r="E902" s="32"/>
    </row>
    <row r="903" spans="2:5" x14ac:dyDescent="0.3">
      <c r="B903" s="267" t="s">
        <v>852</v>
      </c>
      <c r="C903" s="279"/>
      <c r="D903" s="292" t="s">
        <v>853</v>
      </c>
      <c r="E903" s="264">
        <v>58</v>
      </c>
    </row>
    <row r="904" spans="2:5" x14ac:dyDescent="0.3">
      <c r="B904" s="17"/>
      <c r="C904" s="4"/>
      <c r="D904" s="15"/>
      <c r="E904" s="15"/>
    </row>
    <row r="905" spans="2:5" x14ac:dyDescent="0.3">
      <c r="B905" s="17"/>
    </row>
    <row r="906" spans="2:5" x14ac:dyDescent="0.3">
      <c r="B906" s="17"/>
    </row>
    <row r="907" spans="2:5" x14ac:dyDescent="0.3">
      <c r="B907" s="17"/>
    </row>
    <row r="908" spans="2:5" x14ac:dyDescent="0.3">
      <c r="B908" s="17"/>
    </row>
    <row r="909" spans="2:5" x14ac:dyDescent="0.3">
      <c r="B909" s="17"/>
    </row>
    <row r="910" spans="2:5" x14ac:dyDescent="0.3">
      <c r="B910" s="17"/>
    </row>
    <row r="911" spans="2:5" x14ac:dyDescent="0.3">
      <c r="B911" s="17"/>
    </row>
    <row r="912" spans="2:5" x14ac:dyDescent="0.3">
      <c r="B912" s="17"/>
    </row>
    <row r="913" spans="2:5" x14ac:dyDescent="0.3">
      <c r="B913" s="17"/>
    </row>
    <row r="914" spans="2:5" x14ac:dyDescent="0.3">
      <c r="B914" s="17"/>
      <c r="C914" s="4"/>
      <c r="D914" s="4"/>
      <c r="E914" s="4"/>
    </row>
    <row r="915" spans="2:5" x14ac:dyDescent="0.3">
      <c r="B915" s="17"/>
      <c r="C915" s="4"/>
      <c r="D915" s="4"/>
      <c r="E915" s="4"/>
    </row>
    <row r="916" spans="2:5" x14ac:dyDescent="0.3">
      <c r="B916" s="17"/>
      <c r="C916" s="4"/>
      <c r="D916" s="4"/>
      <c r="E916" s="4"/>
    </row>
    <row r="917" spans="2:5" x14ac:dyDescent="0.3">
      <c r="B917" s="17"/>
      <c r="C917" s="4"/>
      <c r="D917" s="4"/>
      <c r="E917" s="4"/>
    </row>
    <row r="918" spans="2:5" x14ac:dyDescent="0.3">
      <c r="B918" s="17"/>
      <c r="C918" s="4"/>
      <c r="D918" s="4"/>
      <c r="E918" s="4"/>
    </row>
    <row r="919" spans="2:5" x14ac:dyDescent="0.3">
      <c r="B919" s="17"/>
      <c r="C919" s="4"/>
      <c r="D919" s="4"/>
      <c r="E919" s="4"/>
    </row>
    <row r="920" spans="2:5" x14ac:dyDescent="0.3">
      <c r="B920" s="17"/>
      <c r="C920" s="4"/>
      <c r="D920" s="4"/>
      <c r="E920" s="4"/>
    </row>
    <row r="921" spans="2:5" x14ac:dyDescent="0.3">
      <c r="B921" s="16"/>
      <c r="C921" s="4"/>
      <c r="D921" s="4"/>
      <c r="E921" s="4"/>
    </row>
  </sheetData>
  <sheetProtection sort="0" autoFilter="0" pivotTables="0"/>
  <dataConsolidate/>
  <mergeCells count="7">
    <mergeCell ref="B2:E2"/>
    <mergeCell ref="B3:E3"/>
    <mergeCell ref="B471:D471"/>
    <mergeCell ref="B478:D478"/>
    <mergeCell ref="B12:D12"/>
    <mergeCell ref="B340:D340"/>
    <mergeCell ref="B346:D346"/>
  </mergeCells>
  <phoneticPr fontId="34" type="noConversion"/>
  <conditionalFormatting sqref="A295:A296">
    <cfRule type="cellIs" dxfId="422" priority="1467" operator="greaterThan">
      <formula>#REF!</formula>
    </cfRule>
    <cfRule type="cellIs" dxfId="421" priority="1468" operator="greaterThan">
      <formula>#REF!</formula>
    </cfRule>
    <cfRule type="cellIs" priority="1469" operator="equal">
      <formula>#REF!</formula>
    </cfRule>
  </conditionalFormatting>
  <conditionalFormatting sqref="E645 E588:E590 E600:E601 E258:E261 E549:E550 E759 E207:E210 E662:E664 E61:E64 E338:E341 E115:E118 E345:E350 E806:E815 E711:E712 E904:E1048576 E494 E1 E415:E418 E469:E472 E477:E482 E484:E485 E757">
    <cfRule type="cellIs" dxfId="420" priority="1163" operator="greaterThan">
      <formula>#REF!</formula>
    </cfRule>
    <cfRule type="cellIs" dxfId="419" priority="1164" operator="greaterThan">
      <formula>#REF!</formula>
    </cfRule>
    <cfRule type="cellIs" priority="1165" operator="equal">
      <formula>#REF!</formula>
    </cfRule>
  </conditionalFormatting>
  <conditionalFormatting sqref="D396">
    <cfRule type="duplicateValues" dxfId="418" priority="334"/>
  </conditionalFormatting>
  <conditionalFormatting sqref="D168">
    <cfRule type="duplicateValues" dxfId="417" priority="318"/>
  </conditionalFormatting>
  <conditionalFormatting sqref="D873:D1048576 D384:D395 D169:D174 D1 D176:D382 D397:D485 D867:D870 D92:D167 D493:D863 D4:D90">
    <cfRule type="duplicateValues" dxfId="416" priority="458"/>
  </conditionalFormatting>
  <conditionalFormatting sqref="D866">
    <cfRule type="duplicateValues" dxfId="415" priority="297"/>
  </conditionalFormatting>
  <conditionalFormatting sqref="D865">
    <cfRule type="duplicateValues" dxfId="414" priority="301"/>
  </conditionalFormatting>
  <conditionalFormatting sqref="D871:D872">
    <cfRule type="duplicateValues" dxfId="413" priority="293"/>
  </conditionalFormatting>
  <conditionalFormatting sqref="E41:E42 E48:E49 E51:E52 E54:E55 E58:E59">
    <cfRule type="cellIs" dxfId="412" priority="275" operator="greaterThan">
      <formula>#REF!</formula>
    </cfRule>
    <cfRule type="cellIs" dxfId="411" priority="276" operator="greaterThan">
      <formula>#REF!</formula>
    </cfRule>
    <cfRule type="cellIs" priority="277" operator="equal">
      <formula>#REF!</formula>
    </cfRule>
  </conditionalFormatting>
  <conditionalFormatting sqref="E14:E16 E20:E21 E25:E26 E30:E31 E36:E37">
    <cfRule type="cellIs" dxfId="410" priority="272" operator="greaterThan">
      <formula>#REF!</formula>
    </cfRule>
    <cfRule type="cellIs" dxfId="409" priority="273" operator="greaterThan">
      <formula>#REF!</formula>
    </cfRule>
    <cfRule type="cellIs" priority="274" operator="equal">
      <formula>#REF!</formula>
    </cfRule>
  </conditionalFormatting>
  <conditionalFormatting sqref="E5:E12">
    <cfRule type="cellIs" dxfId="408" priority="269" operator="greaterThan">
      <formula>#REF!</formula>
    </cfRule>
    <cfRule type="cellIs" dxfId="407" priority="270" operator="greaterThan">
      <formula>#REF!</formula>
    </cfRule>
    <cfRule type="cellIs" priority="271" operator="equal">
      <formula>#REF!</formula>
    </cfRule>
  </conditionalFormatting>
  <conditionalFormatting sqref="E17:E19">
    <cfRule type="cellIs" dxfId="406" priority="266" operator="greaterThan">
      <formula>#REF!</formula>
    </cfRule>
    <cfRule type="cellIs" dxfId="405" priority="267" operator="greaterThan">
      <formula>#REF!</formula>
    </cfRule>
    <cfRule type="cellIs" priority="268" operator="equal">
      <formula>#REF!</formula>
    </cfRule>
  </conditionalFormatting>
  <conditionalFormatting sqref="E60 E56:E57 E53 E50 E43:E47 E38:E40 E32:E34 E27:E28 E22:E24">
    <cfRule type="cellIs" dxfId="404" priority="263" operator="greaterThan">
      <formula>#REF!</formula>
    </cfRule>
    <cfRule type="cellIs" dxfId="403" priority="264" operator="greaterThan">
      <formula>#REF!</formula>
    </cfRule>
    <cfRule type="cellIs" priority="265" operator="equal">
      <formula>#REF!</formula>
    </cfRule>
  </conditionalFormatting>
  <conditionalFormatting sqref="D91">
    <cfRule type="duplicateValues" dxfId="402" priority="262"/>
  </conditionalFormatting>
  <conditionalFormatting sqref="E93:E94 E68:E69 E73:E74 E87:E88 E97:E98 E103:E104 E108:E109 E112:E113">
    <cfRule type="cellIs" dxfId="401" priority="253" operator="greaterThan">
      <formula>#REF!</formula>
    </cfRule>
    <cfRule type="cellIs" dxfId="400" priority="254" operator="greaterThan">
      <formula>#REF!</formula>
    </cfRule>
    <cfRule type="cellIs" priority="255" operator="equal">
      <formula>#REF!</formula>
    </cfRule>
  </conditionalFormatting>
  <conditionalFormatting sqref="E114 E110:E111 E105:E107 E99:E102 E95:E96 E89:E92 E84:E86 E75:E76 E70:E72 E65:E67">
    <cfRule type="cellIs" dxfId="399" priority="250" operator="greaterThan">
      <formula>#REF!</formula>
    </cfRule>
    <cfRule type="cellIs" dxfId="398" priority="251" operator="greaterThan">
      <formula>#REF!</formula>
    </cfRule>
    <cfRule type="cellIs" priority="252" operator="equal">
      <formula>#REF!</formula>
    </cfRule>
  </conditionalFormatting>
  <conditionalFormatting sqref="E124:E125 E130 E136:E137 E192 E163:E165">
    <cfRule type="cellIs" dxfId="397" priority="247" operator="greaterThan">
      <formula>#REF!</formula>
    </cfRule>
    <cfRule type="cellIs" dxfId="396" priority="248" operator="greaterThan">
      <formula>#REF!</formula>
    </cfRule>
    <cfRule type="cellIs" priority="249" operator="equal">
      <formula>#REF!</formula>
    </cfRule>
  </conditionalFormatting>
  <conditionalFormatting sqref="E177:E178 E172 E148:E149 E153 E157:E158 E160:E161 E181:E182 E187:E188 E190:E191 E193:E194 E196:E197 E200:E201 E204:E205">
    <cfRule type="cellIs" dxfId="395" priority="244" operator="greaterThan">
      <formula>#REF!</formula>
    </cfRule>
    <cfRule type="cellIs" dxfId="394" priority="245" operator="greaterThan">
      <formula>#REF!</formula>
    </cfRule>
    <cfRule type="cellIs" priority="246" operator="equal">
      <formula>#REF!</formula>
    </cfRule>
  </conditionalFormatting>
  <conditionalFormatting sqref="E206 E202:E203 E198:E199 E195 E189 E183:E186 E179:E180 E173:E176 E166:E171 E162 E159 E154:E156 E150:E152 E138:E139 E131:E135 E126:E129 E119:E123">
    <cfRule type="cellIs" dxfId="393" priority="241" operator="greaterThan">
      <formula>#REF!</formula>
    </cfRule>
    <cfRule type="cellIs" dxfId="392" priority="242" operator="greaterThan">
      <formula>#REF!</formula>
    </cfRule>
    <cfRule type="cellIs" priority="243" operator="equal">
      <formula>#REF!</formula>
    </cfRule>
  </conditionalFormatting>
  <conditionalFormatting sqref="E232:E233 E218:E219 E223:E224 E240:E241 E243:E244 E246:E247 E251:E252 E255:E256">
    <cfRule type="cellIs" dxfId="391" priority="238" operator="greaterThan">
      <formula>#REF!</formula>
    </cfRule>
    <cfRule type="cellIs" dxfId="390" priority="239" operator="greaterThan">
      <formula>#REF!</formula>
    </cfRule>
    <cfRule type="cellIs" priority="240" operator="equal">
      <formula>#REF!</formula>
    </cfRule>
  </conditionalFormatting>
  <conditionalFormatting sqref="E257 E253:E254 E248:E250 E245 E242 E234:E239 E225 E220:E222 E211:E217">
    <cfRule type="cellIs" dxfId="389" priority="235" operator="greaterThan">
      <formula>#REF!</formula>
    </cfRule>
    <cfRule type="cellIs" dxfId="388" priority="236" operator="greaterThan">
      <formula>#REF!</formula>
    </cfRule>
    <cfRule type="cellIs" priority="237" operator="equal">
      <formula>#REF!</formula>
    </cfRule>
  </conditionalFormatting>
  <conditionalFormatting sqref="E273:E274 E276:E277 E279:E280 E282:E283 E285:E288 E290:E291 E294 E297 E302:E303 E313:E314 E319:E320 E324:E325 E327:E328 E332:E333 E335:E336">
    <cfRule type="cellIs" dxfId="387" priority="232" operator="greaterThan">
      <formula>#REF!</formula>
    </cfRule>
    <cfRule type="cellIs" dxfId="386" priority="233" operator="greaterThan">
      <formula>#REF!</formula>
    </cfRule>
    <cfRule type="cellIs" priority="234" operator="equal">
      <formula>#REF!</formula>
    </cfRule>
  </conditionalFormatting>
  <conditionalFormatting sqref="E269:E270">
    <cfRule type="cellIs" dxfId="385" priority="229" operator="greaterThan">
      <formula>#REF!</formula>
    </cfRule>
    <cfRule type="cellIs" dxfId="384" priority="230" operator="greaterThan">
      <formula>#REF!</formula>
    </cfRule>
    <cfRule type="cellIs" priority="231" operator="equal">
      <formula>#REF!</formula>
    </cfRule>
  </conditionalFormatting>
  <conditionalFormatting sqref="E337 E334 E329:E331 E326 E321:E323 E315:E318 E304 E298:E301 E295:E296 E292:E293 E289 E284 E281 E278 E275 E271 E262:E268">
    <cfRule type="cellIs" dxfId="383" priority="226" operator="greaterThan">
      <formula>#REF!</formula>
    </cfRule>
    <cfRule type="cellIs" dxfId="382" priority="227" operator="greaterThan">
      <formula>#REF!</formula>
    </cfRule>
    <cfRule type="cellIs" priority="228" operator="equal">
      <formula>#REF!</formula>
    </cfRule>
  </conditionalFormatting>
  <conditionalFormatting sqref="E342:E344">
    <cfRule type="cellIs" dxfId="381" priority="223" operator="greaterThan">
      <formula>#REF!</formula>
    </cfRule>
    <cfRule type="cellIs" dxfId="380" priority="224" operator="greaterThan">
      <formula>#REF!</formula>
    </cfRule>
    <cfRule type="cellIs" priority="225" operator="equal">
      <formula>#REF!</formula>
    </cfRule>
  </conditionalFormatting>
  <conditionalFormatting sqref="E368 E354:E355 E359:E360 E372 E376:E377">
    <cfRule type="cellIs" dxfId="379" priority="220" operator="greaterThan">
      <formula>#REF!</formula>
    </cfRule>
    <cfRule type="cellIs" dxfId="378" priority="221" operator="greaterThan">
      <formula>#REF!</formula>
    </cfRule>
    <cfRule type="cellIs" priority="222" operator="equal">
      <formula>#REF!</formula>
    </cfRule>
  </conditionalFormatting>
  <conditionalFormatting sqref="E398:E399 E385:E386 E389:E390 E401:E402 E395 E404:E405 E408:E409 E412:E413">
    <cfRule type="cellIs" dxfId="377" priority="217" operator="greaterThan">
      <formula>#REF!</formula>
    </cfRule>
    <cfRule type="cellIs" dxfId="376" priority="218" operator="greaterThan">
      <formula>#REF!</formula>
    </cfRule>
    <cfRule type="cellIs" priority="219" operator="equal">
      <formula>#REF!</formula>
    </cfRule>
  </conditionalFormatting>
  <conditionalFormatting sqref="E396">
    <cfRule type="cellIs" dxfId="375" priority="214" operator="greaterThan">
      <formula>#REF!</formula>
    </cfRule>
    <cfRule type="cellIs" dxfId="374" priority="215" operator="greaterThan">
      <formula>#REF!</formula>
    </cfRule>
    <cfRule type="cellIs" priority="216" operator="equal">
      <formula>#REF!</formula>
    </cfRule>
  </conditionalFormatting>
  <conditionalFormatting sqref="E351:E353">
    <cfRule type="cellIs" dxfId="373" priority="211" operator="greaterThan">
      <formula>#REF!</formula>
    </cfRule>
    <cfRule type="cellIs" dxfId="372" priority="212" operator="greaterThan">
      <formula>#REF!</formula>
    </cfRule>
    <cfRule type="cellIs" priority="213" operator="equal">
      <formula>#REF!</formula>
    </cfRule>
  </conditionalFormatting>
  <conditionalFormatting sqref="E414 E410:E411 E406:E407 E403 E400 E397 E391:E394 E387:E388 E378:E384 E373:E375 E369:E371 E361 E356:E358">
    <cfRule type="cellIs" dxfId="371" priority="208" operator="greaterThan">
      <formula>#REF!</formula>
    </cfRule>
    <cfRule type="cellIs" dxfId="370" priority="209" operator="greaterThan">
      <formula>#REF!</formula>
    </cfRule>
    <cfRule type="cellIs" priority="210" operator="equal">
      <formula>#REF!</formula>
    </cfRule>
  </conditionalFormatting>
  <conditionalFormatting sqref="E420:E421 E424 E429:E430 E440:E441 E447:E448 E452:E453 E455:E456 E458:E459 E463:E464 E466:E467">
    <cfRule type="cellIs" dxfId="369" priority="205" operator="greaterThan">
      <formula>#REF!</formula>
    </cfRule>
    <cfRule type="cellIs" dxfId="368" priority="206" operator="greaterThan">
      <formula>#REF!</formula>
    </cfRule>
    <cfRule type="cellIs" priority="207" operator="equal">
      <formula>#REF!</formula>
    </cfRule>
  </conditionalFormatting>
  <conditionalFormatting sqref="E468 E465 E460:E462 E457 E454 E449:E451 E442:E446 E431 E425:E428 E422:E423 E419">
    <cfRule type="cellIs" dxfId="367" priority="202" operator="greaterThan">
      <formula>#REF!</formula>
    </cfRule>
    <cfRule type="cellIs" dxfId="366" priority="203" operator="greaterThan">
      <formula>#REF!</formula>
    </cfRule>
    <cfRule type="cellIs" priority="204" operator="equal">
      <formula>#REF!</formula>
    </cfRule>
  </conditionalFormatting>
  <conditionalFormatting sqref="E473:E476">
    <cfRule type="cellIs" dxfId="365" priority="199" operator="greaterThan">
      <formula>#REF!</formula>
    </cfRule>
    <cfRule type="cellIs" dxfId="364" priority="200" operator="greaterThan">
      <formula>#REF!</formula>
    </cfRule>
    <cfRule type="cellIs" priority="201" operator="equal">
      <formula>#REF!</formula>
    </cfRule>
  </conditionalFormatting>
  <conditionalFormatting sqref="E483">
    <cfRule type="cellIs" dxfId="363" priority="196" operator="greaterThan">
      <formula>#REF!</formula>
    </cfRule>
    <cfRule type="cellIs" dxfId="362" priority="197" operator="greaterThan">
      <formula>#REF!</formula>
    </cfRule>
    <cfRule type="cellIs" priority="198" operator="equal">
      <formula>#REF!</formula>
    </cfRule>
  </conditionalFormatting>
  <conditionalFormatting sqref="E538">
    <cfRule type="cellIs" dxfId="361" priority="193" operator="greaterThan">
      <formula>#REF!</formula>
    </cfRule>
    <cfRule type="cellIs" dxfId="360" priority="194" operator="greaterThan">
      <formula>#REF!</formula>
    </cfRule>
    <cfRule type="cellIs" priority="195" operator="equal">
      <formula>#REF!</formula>
    </cfRule>
  </conditionalFormatting>
  <conditionalFormatting sqref="E504:E506 E515 E518">
    <cfRule type="cellIs" dxfId="359" priority="190" operator="greaterThan">
      <formula>#REF!</formula>
    </cfRule>
    <cfRule type="cellIs" dxfId="358" priority="191" operator="greaterThan">
      <formula>#REF!</formula>
    </cfRule>
    <cfRule type="cellIs" priority="192" operator="equal">
      <formula>#REF!</formula>
    </cfRule>
  </conditionalFormatting>
  <conditionalFormatting sqref="E531 E536">
    <cfRule type="cellIs" dxfId="357" priority="187" operator="greaterThan">
      <formula>#REF!</formula>
    </cfRule>
    <cfRule type="cellIs" dxfId="356" priority="188" operator="greaterThan">
      <formula>#REF!</formula>
    </cfRule>
    <cfRule type="cellIs" priority="189" operator="equal">
      <formula>#REF!</formula>
    </cfRule>
  </conditionalFormatting>
  <conditionalFormatting sqref="E539 E532:E535 E527:E530 E524:E525 E519:E522 E516:E517 E507 E495:E503">
    <cfRule type="cellIs" dxfId="355" priority="184" operator="greaterThan">
      <formula>#REF!</formula>
    </cfRule>
    <cfRule type="cellIs" dxfId="354" priority="185" operator="greaterThan">
      <formula>#REF!</formula>
    </cfRule>
    <cfRule type="cellIs" priority="186" operator="equal">
      <formula>#REF!</formula>
    </cfRule>
  </conditionalFormatting>
  <conditionalFormatting sqref="E553">
    <cfRule type="cellIs" dxfId="353" priority="181" operator="greaterThan">
      <formula>#REF!</formula>
    </cfRule>
    <cfRule type="cellIs" dxfId="352" priority="182" operator="greaterThan">
      <formula>#REF!</formula>
    </cfRule>
    <cfRule type="cellIs" priority="183" operator="equal">
      <formula>#REF!</formula>
    </cfRule>
  </conditionalFormatting>
  <conditionalFormatting sqref="E554:E560 E551:E552">
    <cfRule type="cellIs" dxfId="351" priority="172" operator="greaterThan">
      <formula>#REF!</formula>
    </cfRule>
    <cfRule type="cellIs" dxfId="350" priority="173" operator="greaterThan">
      <formula>#REF!</formula>
    </cfRule>
    <cfRule type="cellIs" priority="174" operator="equal">
      <formula>#REF!</formula>
    </cfRule>
  </conditionalFormatting>
  <conditionalFormatting sqref="E569:E570 E583 E573 E585:E586">
    <cfRule type="cellIs" dxfId="349" priority="169" operator="greaterThan">
      <formula>#REF!</formula>
    </cfRule>
    <cfRule type="cellIs" dxfId="348" priority="170" operator="greaterThan">
      <formula>#REF!</formula>
    </cfRule>
    <cfRule type="cellIs" priority="171" operator="equal">
      <formula>#REF!</formula>
    </cfRule>
  </conditionalFormatting>
  <conditionalFormatting sqref="E566:E567">
    <cfRule type="cellIs" dxfId="347" priority="166" operator="greaterThan">
      <formula>#REF!</formula>
    </cfRule>
    <cfRule type="cellIs" dxfId="346" priority="167" operator="greaterThan">
      <formula>#REF!</formula>
    </cfRule>
    <cfRule type="cellIs" priority="168" operator="equal">
      <formula>#REF!</formula>
    </cfRule>
  </conditionalFormatting>
  <conditionalFormatting sqref="E587 E584 E581 E578 E575 E571:E572 E568 E562:E565">
    <cfRule type="cellIs" dxfId="345" priority="163" operator="greaterThan">
      <formula>#REF!</formula>
    </cfRule>
    <cfRule type="cellIs" dxfId="344" priority="164" operator="greaterThan">
      <formula>#REF!</formula>
    </cfRule>
    <cfRule type="cellIs" priority="165" operator="equal">
      <formula>#REF!</formula>
    </cfRule>
  </conditionalFormatting>
  <conditionalFormatting sqref="E614:E615 E627 E635 E640">
    <cfRule type="cellIs" dxfId="343" priority="160" operator="greaterThan">
      <formula>#REF!</formula>
    </cfRule>
    <cfRule type="cellIs" dxfId="342" priority="161" operator="greaterThan">
      <formula>#REF!</formula>
    </cfRule>
    <cfRule type="cellIs" priority="162" operator="equal">
      <formula>#REF!</formula>
    </cfRule>
  </conditionalFormatting>
  <conditionalFormatting sqref="E641:E644 E636:E639 E628:E634 E602:E613">
    <cfRule type="cellIs" dxfId="341" priority="157" operator="greaterThan">
      <formula>#REF!</formula>
    </cfRule>
    <cfRule type="cellIs" dxfId="340" priority="158" operator="greaterThan">
      <formula>#REF!</formula>
    </cfRule>
    <cfRule type="cellIs" priority="159" operator="equal">
      <formula>#REF!</formula>
    </cfRule>
  </conditionalFormatting>
  <conditionalFormatting sqref="E651 E654 E657">
    <cfRule type="cellIs" dxfId="339" priority="154" operator="greaterThan">
      <formula>#REF!</formula>
    </cfRule>
    <cfRule type="cellIs" dxfId="338" priority="155" operator="greaterThan">
      <formula>#REF!</formula>
    </cfRule>
    <cfRule type="cellIs" priority="156" operator="equal">
      <formula>#REF!</formula>
    </cfRule>
  </conditionalFormatting>
  <conditionalFormatting sqref="E658:E661 E655:E656 E648 E652:E653">
    <cfRule type="cellIs" dxfId="337" priority="151" operator="greaterThan">
      <formula>#REF!</formula>
    </cfRule>
    <cfRule type="cellIs" dxfId="336" priority="152" operator="greaterThan">
      <formula>#REF!</formula>
    </cfRule>
    <cfRule type="cellIs" priority="153" operator="equal">
      <formula>#REF!</formula>
    </cfRule>
  </conditionalFormatting>
  <conditionalFormatting sqref="E681 E676">
    <cfRule type="cellIs" dxfId="335" priority="148" operator="greaterThan">
      <formula>#REF!</formula>
    </cfRule>
    <cfRule type="cellIs" dxfId="334" priority="149" operator="greaterThan">
      <formula>#REF!</formula>
    </cfRule>
    <cfRule type="cellIs" priority="150" operator="equal">
      <formula>#REF!</formula>
    </cfRule>
  </conditionalFormatting>
  <conditionalFormatting sqref="E705:E706 E667 E688:E689 E691:E692 E708:E709">
    <cfRule type="cellIs" dxfId="333" priority="145" operator="greaterThan">
      <formula>#REF!</formula>
    </cfRule>
    <cfRule type="cellIs" dxfId="332" priority="146" operator="greaterThan">
      <formula>#REF!</formula>
    </cfRule>
    <cfRule type="cellIs" priority="147" operator="equal">
      <formula>#REF!</formula>
    </cfRule>
  </conditionalFormatting>
  <conditionalFormatting sqref="E694:E695 E698:E699 E701:E702">
    <cfRule type="cellIs" dxfId="331" priority="142" operator="greaterThan">
      <formula>#REF!</formula>
    </cfRule>
    <cfRule type="cellIs" dxfId="330" priority="143" operator="greaterThan">
      <formula>#REF!</formula>
    </cfRule>
    <cfRule type="cellIs" priority="144" operator="equal">
      <formula>#REF!</formula>
    </cfRule>
  </conditionalFormatting>
  <conditionalFormatting sqref="E710 E707 E703:E704 E700 E696:E697 E693 E690 E682:E687 E677:E680 E668:E675 E665:E666">
    <cfRule type="cellIs" dxfId="329" priority="139" operator="greaterThan">
      <formula>#REF!</formula>
    </cfRule>
    <cfRule type="cellIs" dxfId="328" priority="140" operator="greaterThan">
      <formula>#REF!</formula>
    </cfRule>
    <cfRule type="cellIs" priority="141" operator="equal">
      <formula>#REF!</formula>
    </cfRule>
  </conditionalFormatting>
  <conditionalFormatting sqref="E736">
    <cfRule type="cellIs" dxfId="327" priority="136" operator="greaterThan">
      <formula>#REF!</formula>
    </cfRule>
    <cfRule type="cellIs" dxfId="326" priority="137" operator="greaterThan">
      <formula>#REF!</formula>
    </cfRule>
    <cfRule type="cellIs" priority="138" operator="equal">
      <formula>#REF!</formula>
    </cfRule>
  </conditionalFormatting>
  <conditionalFormatting sqref="E752">
    <cfRule type="cellIs" dxfId="325" priority="133" operator="greaterThan">
      <formula>#REF!</formula>
    </cfRule>
    <cfRule type="cellIs" dxfId="324" priority="134" operator="greaterThan">
      <formula>#REF!</formula>
    </cfRule>
    <cfRule type="cellIs" priority="135" operator="equal">
      <formula>#REF!</formula>
    </cfRule>
  </conditionalFormatting>
  <conditionalFormatting sqref="E753:E756 E750:E751 E745:E748 E740:E743 E737:E738 E721:E726 E715:E718">
    <cfRule type="cellIs" dxfId="323" priority="130" operator="greaterThan">
      <formula>#REF!</formula>
    </cfRule>
    <cfRule type="cellIs" dxfId="322" priority="131" operator="greaterThan">
      <formula>#REF!</formula>
    </cfRule>
    <cfRule type="cellIs" priority="132" operator="equal">
      <formula>#REF!</formula>
    </cfRule>
  </conditionalFormatting>
  <conditionalFormatting sqref="E760">
    <cfRule type="cellIs" dxfId="321" priority="127" operator="greaterThan">
      <formula>#REF!</formula>
    </cfRule>
    <cfRule type="cellIs" dxfId="320" priority="128" operator="greaterThan">
      <formula>#REF!</formula>
    </cfRule>
    <cfRule type="cellIs" priority="129" operator="equal">
      <formula>#REF!</formula>
    </cfRule>
  </conditionalFormatting>
  <conditionalFormatting sqref="E783:E786 E781 E773:E779 E771">
    <cfRule type="cellIs" dxfId="319" priority="124" operator="greaterThan">
      <formula>#REF!</formula>
    </cfRule>
    <cfRule type="cellIs" dxfId="318" priority="125" operator="greaterThan">
      <formula>#REF!</formula>
    </cfRule>
    <cfRule type="cellIs" priority="126" operator="equal">
      <formula>#REF!</formula>
    </cfRule>
  </conditionalFormatting>
  <conditionalFormatting sqref="E805 E802 E799 E795:E796 E792 E789">
    <cfRule type="cellIs" dxfId="317" priority="121" operator="greaterThan">
      <formula>#REF!</formula>
    </cfRule>
    <cfRule type="cellIs" dxfId="316" priority="122" operator="greaterThan">
      <formula>#REF!</formula>
    </cfRule>
    <cfRule type="cellIs" priority="123" operator="equal">
      <formula>#REF!</formula>
    </cfRule>
  </conditionalFormatting>
  <conditionalFormatting sqref="E827:E829 E843 E848 E852 E854 E859:E861">
    <cfRule type="cellIs" dxfId="315" priority="115" operator="greaterThan">
      <formula>#REF!</formula>
    </cfRule>
    <cfRule type="cellIs" dxfId="314" priority="116" operator="greaterThan">
      <formula>#REF!</formula>
    </cfRule>
    <cfRule type="cellIs" priority="117" operator="equal">
      <formula>#REF!</formula>
    </cfRule>
  </conditionalFormatting>
  <conditionalFormatting sqref="E876 E878:E879 E883:E884 E886:E887 E890:E891 E894:E895 E897:E898 E901:E902">
    <cfRule type="cellIs" dxfId="313" priority="112" operator="greaterThan">
      <formula>#REF!</formula>
    </cfRule>
    <cfRule type="cellIs" dxfId="312" priority="113" operator="greaterThan">
      <formula>#REF!</formula>
    </cfRule>
    <cfRule type="cellIs" priority="114" operator="equal">
      <formula>#REF!</formula>
    </cfRule>
  </conditionalFormatting>
  <conditionalFormatting sqref="E870">
    <cfRule type="cellIs" dxfId="311" priority="109" operator="greaterThan">
      <formula>#REF!</formula>
    </cfRule>
    <cfRule type="cellIs" dxfId="310" priority="110" operator="greaterThan">
      <formula>#REF!</formula>
    </cfRule>
    <cfRule type="cellIs" priority="111" operator="equal">
      <formula>#REF!</formula>
    </cfRule>
  </conditionalFormatting>
  <conditionalFormatting sqref="E862:E863 E855:E858 E853 E849:E851 E844:E847 E816:E826">
    <cfRule type="cellIs" dxfId="309" priority="106" operator="greaterThan">
      <formula>#REF!</formula>
    </cfRule>
    <cfRule type="cellIs" dxfId="308" priority="107" operator="greaterThan">
      <formula>#REF!</formula>
    </cfRule>
    <cfRule type="cellIs" priority="108" operator="equal">
      <formula>#REF!</formula>
    </cfRule>
  </conditionalFormatting>
  <conditionalFormatting sqref="E871:E874 E865:E869">
    <cfRule type="cellIs" dxfId="307" priority="103" operator="greaterThan">
      <formula>#REF!</formula>
    </cfRule>
    <cfRule type="cellIs" dxfId="306" priority="104" operator="greaterThan">
      <formula>#REF!</formula>
    </cfRule>
    <cfRule type="cellIs" priority="105" operator="equal">
      <formula>#REF!</formula>
    </cfRule>
  </conditionalFormatting>
  <conditionalFormatting sqref="E903 E899:E900 E896 E892:E893 E888:E889 E885 E880:E882 E877">
    <cfRule type="cellIs" dxfId="305" priority="100" operator="greaterThan">
      <formula>#REF!</formula>
    </cfRule>
    <cfRule type="cellIs" dxfId="304" priority="101" operator="greaterThan">
      <formula>#REF!</formula>
    </cfRule>
    <cfRule type="cellIs" priority="102" operator="equal">
      <formula>#REF!</formula>
    </cfRule>
  </conditionalFormatting>
  <conditionalFormatting sqref="D864">
    <cfRule type="duplicateValues" dxfId="303" priority="99"/>
  </conditionalFormatting>
  <conditionalFormatting sqref="E864">
    <cfRule type="cellIs" dxfId="302" priority="93" operator="greaterThan">
      <formula>#REF!</formula>
    </cfRule>
    <cfRule type="cellIs" dxfId="301" priority="94" operator="greaterThan">
      <formula>#REF!</formula>
    </cfRule>
    <cfRule type="cellIs" priority="95" operator="equal">
      <formula>#REF!</formula>
    </cfRule>
  </conditionalFormatting>
  <conditionalFormatting sqref="E591:E599">
    <cfRule type="cellIs" dxfId="300" priority="90" operator="greaterThan">
      <formula>#REF!</formula>
    </cfRule>
    <cfRule type="cellIs" dxfId="299" priority="91" operator="greaterThan">
      <formula>#REF!</formula>
    </cfRule>
    <cfRule type="cellIs" priority="92" operator="equal">
      <formula>#REF!</formula>
    </cfRule>
  </conditionalFormatting>
  <conditionalFormatting sqref="D486:D492">
    <cfRule type="duplicateValues" dxfId="298" priority="89"/>
  </conditionalFormatting>
  <conditionalFormatting sqref="E486:E492">
    <cfRule type="cellIs" dxfId="297" priority="86" operator="greaterThan">
      <formula>#REF!</formula>
    </cfRule>
    <cfRule type="cellIs" dxfId="296" priority="87" operator="greaterThan">
      <formula>#REF!</formula>
    </cfRule>
    <cfRule type="cellIs" priority="88" operator="equal">
      <formula>#REF!</formula>
    </cfRule>
  </conditionalFormatting>
  <conditionalFormatting sqref="E29">
    <cfRule type="cellIs" dxfId="295" priority="83" operator="greaterThan">
      <formula>#REF!</formula>
    </cfRule>
    <cfRule type="cellIs" dxfId="294" priority="84" operator="greaterThan">
      <formula>#REF!</formula>
    </cfRule>
    <cfRule type="cellIs" priority="85" operator="equal">
      <formula>#REF!</formula>
    </cfRule>
  </conditionalFormatting>
  <conditionalFormatting sqref="E35">
    <cfRule type="cellIs" dxfId="293" priority="80" operator="greaterThan">
      <formula>#REF!</formula>
    </cfRule>
    <cfRule type="cellIs" dxfId="292" priority="81" operator="greaterThan">
      <formula>#REF!</formula>
    </cfRule>
    <cfRule type="cellIs" priority="82" operator="equal">
      <formula>#REF!</formula>
    </cfRule>
  </conditionalFormatting>
  <conditionalFormatting sqref="E78:E79">
    <cfRule type="cellIs" dxfId="291" priority="77" operator="greaterThan">
      <formula>#REF!</formula>
    </cfRule>
    <cfRule type="cellIs" dxfId="290" priority="78" operator="greaterThan">
      <formula>#REF!</formula>
    </cfRule>
    <cfRule type="cellIs" priority="79" operator="equal">
      <formula>#REF!</formula>
    </cfRule>
  </conditionalFormatting>
  <conditionalFormatting sqref="E80:E82">
    <cfRule type="cellIs" dxfId="289" priority="74" operator="greaterThan">
      <formula>#REF!</formula>
    </cfRule>
    <cfRule type="cellIs" dxfId="288" priority="75" operator="greaterThan">
      <formula>#REF!</formula>
    </cfRule>
    <cfRule type="cellIs" priority="76" operator="equal">
      <formula>#REF!</formula>
    </cfRule>
  </conditionalFormatting>
  <conditionalFormatting sqref="E77">
    <cfRule type="cellIs" dxfId="287" priority="71" operator="greaterThan">
      <formula>#REF!</formula>
    </cfRule>
    <cfRule type="cellIs" dxfId="286" priority="72" operator="greaterThan">
      <formula>#REF!</formula>
    </cfRule>
    <cfRule type="cellIs" priority="73" operator="equal">
      <formula>#REF!</formula>
    </cfRule>
  </conditionalFormatting>
  <conditionalFormatting sqref="E83">
    <cfRule type="cellIs" dxfId="285" priority="68" operator="greaterThan">
      <formula>#REF!</formula>
    </cfRule>
    <cfRule type="cellIs" dxfId="284" priority="69" operator="greaterThan">
      <formula>#REF!</formula>
    </cfRule>
    <cfRule type="cellIs" priority="70" operator="equal">
      <formula>#REF!</formula>
    </cfRule>
  </conditionalFormatting>
  <conditionalFormatting sqref="E142">
    <cfRule type="cellIs" dxfId="283" priority="65" operator="greaterThan">
      <formula>#REF!</formula>
    </cfRule>
    <cfRule type="cellIs" dxfId="282" priority="66" operator="greaterThan">
      <formula>#REF!</formula>
    </cfRule>
    <cfRule type="cellIs" priority="67" operator="equal">
      <formula>#REF!</formula>
    </cfRule>
  </conditionalFormatting>
  <conditionalFormatting sqref="E143:E145 E141 E147">
    <cfRule type="cellIs" dxfId="281" priority="62" operator="greaterThan">
      <formula>#REF!</formula>
    </cfRule>
    <cfRule type="cellIs" dxfId="280" priority="63" operator="greaterThan">
      <formula>#REF!</formula>
    </cfRule>
    <cfRule type="cellIs" priority="64" operator="equal">
      <formula>#REF!</formula>
    </cfRule>
  </conditionalFormatting>
  <conditionalFormatting sqref="E140">
    <cfRule type="cellIs" dxfId="279" priority="59" operator="greaterThan">
      <formula>#REF!</formula>
    </cfRule>
    <cfRule type="cellIs" dxfId="278" priority="60" operator="greaterThan">
      <formula>#REF!</formula>
    </cfRule>
    <cfRule type="cellIs" priority="61" operator="equal">
      <formula>#REF!</formula>
    </cfRule>
  </conditionalFormatting>
  <conditionalFormatting sqref="E146">
    <cfRule type="cellIs" dxfId="277" priority="56" operator="greaterThan">
      <formula>#REF!</formula>
    </cfRule>
    <cfRule type="cellIs" dxfId="276" priority="57" operator="greaterThan">
      <formula>#REF!</formula>
    </cfRule>
    <cfRule type="cellIs" priority="58" operator="equal">
      <formula>#REF!</formula>
    </cfRule>
  </conditionalFormatting>
  <conditionalFormatting sqref="E227:E228">
    <cfRule type="cellIs" dxfId="275" priority="53" operator="greaterThan">
      <formula>#REF!</formula>
    </cfRule>
    <cfRule type="cellIs" dxfId="274" priority="54" operator="greaterThan">
      <formula>#REF!</formula>
    </cfRule>
    <cfRule type="cellIs" priority="55" operator="equal">
      <formula>#REF!</formula>
    </cfRule>
  </conditionalFormatting>
  <conditionalFormatting sqref="E229:E230 E226">
    <cfRule type="cellIs" dxfId="273" priority="50" operator="greaterThan">
      <formula>#REF!</formula>
    </cfRule>
    <cfRule type="cellIs" dxfId="272" priority="51" operator="greaterThan">
      <formula>#REF!</formula>
    </cfRule>
    <cfRule type="cellIs" priority="52" operator="equal">
      <formula>#REF!</formula>
    </cfRule>
  </conditionalFormatting>
  <conditionalFormatting sqref="E231">
    <cfRule type="cellIs" dxfId="271" priority="47" operator="greaterThan">
      <formula>#REF!</formula>
    </cfRule>
    <cfRule type="cellIs" dxfId="270" priority="48" operator="greaterThan">
      <formula>#REF!</formula>
    </cfRule>
    <cfRule type="cellIs" priority="49" operator="equal">
      <formula>#REF!</formula>
    </cfRule>
  </conditionalFormatting>
  <conditionalFormatting sqref="E272">
    <cfRule type="cellIs" dxfId="269" priority="44" operator="greaterThan">
      <formula>#REF!</formula>
    </cfRule>
    <cfRule type="cellIs" dxfId="268" priority="45" operator="greaterThan">
      <formula>#REF!</formula>
    </cfRule>
    <cfRule type="cellIs" priority="46" operator="equal">
      <formula>#REF!</formula>
    </cfRule>
  </conditionalFormatting>
  <conditionalFormatting sqref="E307:E308">
    <cfRule type="cellIs" dxfId="267" priority="41" operator="greaterThan">
      <formula>#REF!</formula>
    </cfRule>
    <cfRule type="cellIs" dxfId="266" priority="42" operator="greaterThan">
      <formula>#REF!</formula>
    </cfRule>
    <cfRule type="cellIs" priority="43" operator="equal">
      <formula>#REF!</formula>
    </cfRule>
  </conditionalFormatting>
  <conditionalFormatting sqref="E309:E312 E305:E306">
    <cfRule type="cellIs" dxfId="265" priority="38" operator="greaterThan">
      <formula>#REF!</formula>
    </cfRule>
    <cfRule type="cellIs" dxfId="264" priority="39" operator="greaterThan">
      <formula>#REF!</formula>
    </cfRule>
    <cfRule type="cellIs" priority="40" operator="equal">
      <formula>#REF!</formula>
    </cfRule>
  </conditionalFormatting>
  <conditionalFormatting sqref="E364">
    <cfRule type="cellIs" dxfId="263" priority="35" operator="greaterThan">
      <formula>#REF!</formula>
    </cfRule>
    <cfRule type="cellIs" dxfId="262" priority="36" operator="greaterThan">
      <formula>#REF!</formula>
    </cfRule>
    <cfRule type="cellIs" priority="37" operator="equal">
      <formula>#REF!</formula>
    </cfRule>
  </conditionalFormatting>
  <conditionalFormatting sqref="E365:E367 E362:E363">
    <cfRule type="cellIs" dxfId="261" priority="32" operator="greaterThan">
      <formula>#REF!</formula>
    </cfRule>
    <cfRule type="cellIs" dxfId="260" priority="33" operator="greaterThan">
      <formula>#REF!</formula>
    </cfRule>
    <cfRule type="cellIs" priority="34" operator="equal">
      <formula>#REF!</formula>
    </cfRule>
  </conditionalFormatting>
  <conditionalFormatting sqref="E434:E435">
    <cfRule type="cellIs" dxfId="259" priority="29" operator="greaterThan">
      <formula>#REF!</formula>
    </cfRule>
    <cfRule type="cellIs" dxfId="258" priority="30" operator="greaterThan">
      <formula>#REF!</formula>
    </cfRule>
    <cfRule type="cellIs" priority="31" operator="equal">
      <formula>#REF!</formula>
    </cfRule>
  </conditionalFormatting>
  <conditionalFormatting sqref="E436:E439 E432:E433">
    <cfRule type="cellIs" dxfId="257" priority="26" operator="greaterThan">
      <formula>#REF!</formula>
    </cfRule>
    <cfRule type="cellIs" dxfId="256" priority="27" operator="greaterThan">
      <formula>#REF!</formula>
    </cfRule>
    <cfRule type="cellIs" priority="28" operator="equal">
      <formula>#REF!</formula>
    </cfRule>
  </conditionalFormatting>
  <conditionalFormatting sqref="E510">
    <cfRule type="cellIs" dxfId="255" priority="23" operator="greaterThan">
      <formula>#REF!</formula>
    </cfRule>
    <cfRule type="cellIs" dxfId="254" priority="24" operator="greaterThan">
      <formula>#REF!</formula>
    </cfRule>
    <cfRule type="cellIs" priority="25" operator="equal">
      <formula>#REF!</formula>
    </cfRule>
  </conditionalFormatting>
  <conditionalFormatting sqref="E511:E514 E508:E509">
    <cfRule type="cellIs" dxfId="253" priority="20" operator="greaterThan">
      <formula>#REF!</formula>
    </cfRule>
    <cfRule type="cellIs" dxfId="252" priority="21" operator="greaterThan">
      <formula>#REF!</formula>
    </cfRule>
    <cfRule type="cellIs" priority="22" operator="equal">
      <formula>#REF!</formula>
    </cfRule>
  </conditionalFormatting>
  <conditionalFormatting sqref="E542:E547">
    <cfRule type="cellIs" dxfId="251" priority="17" operator="greaterThan">
      <formula>#REF!</formula>
    </cfRule>
    <cfRule type="cellIs" dxfId="250" priority="18" operator="greaterThan">
      <formula>#REF!</formula>
    </cfRule>
    <cfRule type="cellIs" priority="19" operator="equal">
      <formula>#REF!</formula>
    </cfRule>
  </conditionalFormatting>
  <conditionalFormatting sqref="E616:E626">
    <cfRule type="cellIs" dxfId="249" priority="14" operator="greaterThan">
      <formula>#REF!</formula>
    </cfRule>
    <cfRule type="cellIs" dxfId="248" priority="15" operator="greaterThan">
      <formula>#REF!</formula>
    </cfRule>
    <cfRule type="cellIs" priority="16" operator="equal">
      <formula>#REF!</formula>
    </cfRule>
  </conditionalFormatting>
  <conditionalFormatting sqref="E649:E650">
    <cfRule type="cellIs" dxfId="247" priority="11" operator="greaterThan">
      <formula>#REF!</formula>
    </cfRule>
    <cfRule type="cellIs" dxfId="246" priority="12" operator="greaterThan">
      <formula>#REF!</formula>
    </cfRule>
    <cfRule type="cellIs" priority="13" operator="equal">
      <formula>#REF!</formula>
    </cfRule>
  </conditionalFormatting>
  <conditionalFormatting sqref="E733:E735 E730:E731">
    <cfRule type="cellIs" dxfId="245" priority="8" operator="greaterThan">
      <formula>#REF!</formula>
    </cfRule>
    <cfRule type="cellIs" dxfId="244" priority="9" operator="greaterThan">
      <formula>#REF!</formula>
    </cfRule>
    <cfRule type="cellIs" priority="10" operator="equal">
      <formula>#REF!</formula>
    </cfRule>
  </conditionalFormatting>
  <conditionalFormatting sqref="E762:E767">
    <cfRule type="cellIs" dxfId="243" priority="5" operator="greaterThan">
      <formula>#REF!</formula>
    </cfRule>
    <cfRule type="cellIs" dxfId="242" priority="6" operator="greaterThan">
      <formula>#REF!</formula>
    </cfRule>
    <cfRule type="cellIs" priority="7" operator="equal">
      <formula>#REF!</formula>
    </cfRule>
  </conditionalFormatting>
  <conditionalFormatting sqref="E830:E842">
    <cfRule type="cellIs" dxfId="241" priority="2" operator="greaterThan">
      <formula>#REF!</formula>
    </cfRule>
    <cfRule type="cellIs" dxfId="240" priority="3" operator="greaterThan">
      <formula>#REF!</formula>
    </cfRule>
    <cfRule type="cellIs" priority="4" operator="equal">
      <formula>#REF!</formula>
    </cfRule>
  </conditionalFormatting>
  <conditionalFormatting sqref="D1:D1048576">
    <cfRule type="duplicateValues" dxfId="239" priority="1"/>
  </conditionalFormatting>
  <pageMargins left="0.7" right="0.7" top="0.75" bottom="0.75" header="0.3" footer="0.3"/>
  <pageSetup paperSize="9" orientation="portrait" r:id="rId1"/>
  <headerFooter>
    <oddFooter>&amp;L&amp;1#&amp;"Calibri"&amp;7&amp;K7F7F7FInternal Use - Confidential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34974-72A5-4CA8-8335-E7E492E4D9FD}">
  <sheetPr>
    <tabColor theme="9" tint="0.59999389629810485"/>
  </sheetPr>
  <dimension ref="A1:J921"/>
  <sheetViews>
    <sheetView zoomScale="80" zoomScaleNormal="80" workbookViewId="0">
      <selection activeCell="G705" sqref="G705"/>
    </sheetView>
  </sheetViews>
  <sheetFormatPr baseColWidth="10" defaultColWidth="19" defaultRowHeight="13" x14ac:dyDescent="0.3"/>
  <cols>
    <col min="1" max="1" width="10.1796875" style="4" customWidth="1"/>
    <col min="2" max="2" width="146.81640625" style="5" customWidth="1"/>
    <col min="3" max="3" width="29" style="6" customWidth="1"/>
    <col min="4" max="4" width="19" style="7"/>
    <col min="5" max="5" width="11.453125" style="8" bestFit="1" customWidth="1"/>
    <col min="6" max="6" width="19" style="4"/>
    <col min="7" max="8" width="24.7265625" style="4" customWidth="1"/>
    <col min="9" max="16384" width="19" style="4"/>
  </cols>
  <sheetData>
    <row r="1" spans="1:10" ht="84" customHeight="1" thickBot="1" x14ac:dyDescent="0.35"/>
    <row r="2" spans="1:10" ht="27.75" customHeight="1" thickBot="1" x14ac:dyDescent="0.35">
      <c r="B2" s="352" t="s">
        <v>80</v>
      </c>
      <c r="C2" s="352"/>
      <c r="D2" s="352"/>
      <c r="E2" s="352"/>
      <c r="I2" s="314" t="s">
        <v>1944</v>
      </c>
      <c r="J2" s="318" t="s">
        <v>1945</v>
      </c>
    </row>
    <row r="3" spans="1:10" s="10" customFormat="1" ht="34.5" customHeight="1" thickBot="1" x14ac:dyDescent="0.4">
      <c r="B3" s="353" t="s">
        <v>81</v>
      </c>
      <c r="C3" s="353"/>
      <c r="D3" s="353"/>
      <c r="E3" s="353"/>
      <c r="F3" s="356" t="s">
        <v>1948</v>
      </c>
      <c r="G3" s="357"/>
      <c r="I3" s="316">
        <v>0.22422</v>
      </c>
      <c r="J3" s="319">
        <v>0.11817999999999999</v>
      </c>
    </row>
    <row r="4" spans="1:10" s="9" customFormat="1" ht="31.5" customHeight="1" thickBot="1" x14ac:dyDescent="0.4">
      <c r="B4" s="251" t="s">
        <v>82</v>
      </c>
      <c r="C4" s="251" t="s">
        <v>83</v>
      </c>
      <c r="D4" s="252" t="s">
        <v>84</v>
      </c>
      <c r="E4" s="252" t="s">
        <v>85</v>
      </c>
      <c r="F4" s="320" t="s">
        <v>84</v>
      </c>
      <c r="G4" s="321" t="s">
        <v>85</v>
      </c>
      <c r="I4" s="324" t="s">
        <v>1946</v>
      </c>
      <c r="J4" s="325" t="s">
        <v>1947</v>
      </c>
    </row>
    <row r="5" spans="1:10" s="9" customFormat="1" ht="135.75" customHeight="1" x14ac:dyDescent="0.35">
      <c r="B5" s="243" t="s">
        <v>86</v>
      </c>
      <c r="C5" s="169" t="s">
        <v>87</v>
      </c>
      <c r="D5" s="207" t="s">
        <v>88</v>
      </c>
      <c r="E5" s="244">
        <v>494</v>
      </c>
      <c r="F5" s="322" t="s">
        <v>1949</v>
      </c>
      <c r="G5" s="323">
        <v>38.770000000000003</v>
      </c>
      <c r="I5" s="326">
        <f>(E5+G5)*$I$3</f>
        <v>119.45768939999999</v>
      </c>
      <c r="J5" s="326">
        <f>(E5+G5)*$J$3</f>
        <v>62.962758599999994</v>
      </c>
    </row>
    <row r="6" spans="1:10" s="9" customFormat="1" ht="138.75" customHeight="1" x14ac:dyDescent="0.35">
      <c r="B6" s="253" t="s">
        <v>89</v>
      </c>
      <c r="C6" s="254" t="s">
        <v>90</v>
      </c>
      <c r="D6" s="255" t="s">
        <v>91</v>
      </c>
      <c r="E6" s="256">
        <v>470</v>
      </c>
      <c r="F6" s="322" t="s">
        <v>1949</v>
      </c>
      <c r="G6" s="323">
        <v>38.770000000000003</v>
      </c>
      <c r="I6" s="326">
        <f t="shared" ref="I6:I9" si="0">(E6+G6)*$I$3</f>
        <v>114.0764094</v>
      </c>
      <c r="J6" s="326">
        <f t="shared" ref="J6:J9" si="1">(E6+G6)*$J$3</f>
        <v>60.126438599999993</v>
      </c>
    </row>
    <row r="7" spans="1:10" s="9" customFormat="1" ht="154.5" customHeight="1" x14ac:dyDescent="0.35">
      <c r="B7" s="171" t="s">
        <v>92</v>
      </c>
      <c r="C7" s="254" t="s">
        <v>93</v>
      </c>
      <c r="D7" s="172" t="s">
        <v>94</v>
      </c>
      <c r="E7" s="256">
        <v>435</v>
      </c>
      <c r="F7" s="322" t="s">
        <v>1949</v>
      </c>
      <c r="G7" s="323">
        <v>38.770000000000003</v>
      </c>
      <c r="I7" s="326">
        <f t="shared" si="0"/>
        <v>106.2287094</v>
      </c>
      <c r="J7" s="326">
        <f t="shared" si="1"/>
        <v>55.990138599999995</v>
      </c>
    </row>
    <row r="8" spans="1:10" ht="156" x14ac:dyDescent="0.3">
      <c r="A8" s="9"/>
      <c r="B8" s="257" t="s">
        <v>95</v>
      </c>
      <c r="C8" s="254" t="s">
        <v>96</v>
      </c>
      <c r="D8" s="255" t="s">
        <v>97</v>
      </c>
      <c r="E8" s="256">
        <v>710</v>
      </c>
      <c r="F8" s="322" t="s">
        <v>1949</v>
      </c>
      <c r="G8" s="323">
        <v>38.770000000000003</v>
      </c>
      <c r="I8" s="326">
        <f t="shared" si="0"/>
        <v>167.8892094</v>
      </c>
      <c r="J8" s="326">
        <f t="shared" si="1"/>
        <v>88.489638599999992</v>
      </c>
    </row>
    <row r="9" spans="1:10" s="14" customFormat="1" ht="163.5" customHeight="1" x14ac:dyDescent="0.35">
      <c r="B9" s="257" t="s">
        <v>98</v>
      </c>
      <c r="C9" s="254" t="s">
        <v>99</v>
      </c>
      <c r="D9" s="255" t="s">
        <v>100</v>
      </c>
      <c r="E9" s="256">
        <v>1441</v>
      </c>
      <c r="F9" s="322" t="s">
        <v>1949</v>
      </c>
      <c r="G9" s="323">
        <v>38.770000000000003</v>
      </c>
      <c r="I9" s="326">
        <f t="shared" si="0"/>
        <v>331.7940294</v>
      </c>
      <c r="J9" s="326">
        <f t="shared" si="1"/>
        <v>174.8792186</v>
      </c>
    </row>
    <row r="10" spans="1:10" s="14" customFormat="1" ht="177.75" customHeight="1" x14ac:dyDescent="0.35">
      <c r="B10" s="258" t="s">
        <v>101</v>
      </c>
      <c r="C10" s="259" t="s">
        <v>102</v>
      </c>
      <c r="D10" s="260" t="s">
        <v>103</v>
      </c>
      <c r="E10" s="256">
        <v>1272</v>
      </c>
      <c r="F10" s="322" t="s">
        <v>1949</v>
      </c>
      <c r="G10" s="323">
        <v>38.770000000000003</v>
      </c>
      <c r="I10" s="326">
        <f>(E10+G10)*$I$3</f>
        <v>293.90084940000003</v>
      </c>
      <c r="J10" s="326">
        <f>(E10+G10)*$J$3</f>
        <v>154.9067986</v>
      </c>
    </row>
    <row r="11" spans="1:10" s="9" customFormat="1" ht="13.5" collapsed="1" thickBot="1" x14ac:dyDescent="0.4">
      <c r="B11" s="5"/>
      <c r="C11" s="6"/>
      <c r="D11" s="7"/>
      <c r="E11" s="8"/>
    </row>
    <row r="12" spans="1:10" s="9" customFormat="1" ht="21.5" thickBot="1" x14ac:dyDescent="0.55000000000000004">
      <c r="B12" s="354" t="s">
        <v>104</v>
      </c>
      <c r="C12" s="355"/>
      <c r="D12" s="355"/>
      <c r="E12" s="130"/>
    </row>
    <row r="13" spans="1:10" s="9" customFormat="1" ht="26.5" thickBot="1" x14ac:dyDescent="0.4">
      <c r="B13" s="11" t="s">
        <v>82</v>
      </c>
      <c r="C13" s="12" t="s">
        <v>83</v>
      </c>
      <c r="D13" s="13" t="s">
        <v>84</v>
      </c>
      <c r="E13" s="13" t="s">
        <v>105</v>
      </c>
    </row>
    <row r="15" spans="1:10" collapsed="1" x14ac:dyDescent="0.3">
      <c r="B15" s="74" t="s">
        <v>106</v>
      </c>
      <c r="C15" s="75"/>
      <c r="D15" s="76"/>
      <c r="E15" s="77"/>
      <c r="I15" s="327"/>
      <c r="J15" s="327"/>
    </row>
    <row r="16" spans="1:10" x14ac:dyDescent="0.3">
      <c r="B16" s="62" t="s">
        <v>107</v>
      </c>
      <c r="C16" s="63"/>
      <c r="E16" s="61"/>
      <c r="I16" s="327"/>
      <c r="J16" s="327"/>
    </row>
    <row r="17" spans="2:10" x14ac:dyDescent="0.3">
      <c r="B17" s="261" t="s">
        <v>108</v>
      </c>
      <c r="C17" s="262"/>
      <c r="D17" s="263" t="s">
        <v>109</v>
      </c>
      <c r="E17" s="264">
        <v>48</v>
      </c>
      <c r="I17" s="328">
        <f>E17*$I$3</f>
        <v>10.762560000000001</v>
      </c>
      <c r="J17" s="328">
        <f>E17*$J$3</f>
        <v>5.6726399999999995</v>
      </c>
    </row>
    <row r="18" spans="2:10" x14ac:dyDescent="0.3">
      <c r="B18" s="261" t="s">
        <v>110</v>
      </c>
      <c r="C18" s="262"/>
      <c r="D18" s="263" t="s">
        <v>111</v>
      </c>
      <c r="E18" s="264">
        <v>153</v>
      </c>
      <c r="I18" s="328">
        <f t="shared" ref="I18:I57" si="2">E18*$I$3</f>
        <v>34.305660000000003</v>
      </c>
      <c r="J18" s="328">
        <f t="shared" ref="J18:J57" si="3">E18*$J$3</f>
        <v>18.08154</v>
      </c>
    </row>
    <row r="19" spans="2:10" x14ac:dyDescent="0.3">
      <c r="B19" s="261" t="s">
        <v>112</v>
      </c>
      <c r="C19" s="262"/>
      <c r="D19" s="263" t="s">
        <v>113</v>
      </c>
      <c r="E19" s="264">
        <v>328</v>
      </c>
      <c r="I19" s="328">
        <f t="shared" si="2"/>
        <v>73.544160000000005</v>
      </c>
      <c r="J19" s="328">
        <f t="shared" si="3"/>
        <v>38.763039999999997</v>
      </c>
    </row>
    <row r="20" spans="2:10" x14ac:dyDescent="0.3">
      <c r="B20" s="173"/>
      <c r="C20" s="174"/>
      <c r="D20" s="18"/>
      <c r="E20" s="175"/>
      <c r="I20" s="328">
        <f t="shared" si="2"/>
        <v>0</v>
      </c>
      <c r="J20" s="328">
        <f t="shared" si="3"/>
        <v>0</v>
      </c>
    </row>
    <row r="21" spans="2:10" x14ac:dyDescent="0.3">
      <c r="B21" s="62" t="s">
        <v>114</v>
      </c>
      <c r="C21" s="63"/>
      <c r="D21" s="157"/>
      <c r="E21" s="158"/>
      <c r="I21" s="328">
        <f t="shared" si="2"/>
        <v>0</v>
      </c>
      <c r="J21" s="328">
        <f t="shared" si="3"/>
        <v>0</v>
      </c>
    </row>
    <row r="22" spans="2:10" x14ac:dyDescent="0.3">
      <c r="B22" s="261" t="s">
        <v>115</v>
      </c>
      <c r="C22" s="265"/>
      <c r="D22" s="263" t="s">
        <v>116</v>
      </c>
      <c r="E22" s="264">
        <v>121</v>
      </c>
      <c r="I22" s="328">
        <f t="shared" si="2"/>
        <v>27.13062</v>
      </c>
      <c r="J22" s="328">
        <f t="shared" si="3"/>
        <v>14.299779999999998</v>
      </c>
    </row>
    <row r="23" spans="2:10" x14ac:dyDescent="0.3">
      <c r="B23" s="261" t="s">
        <v>117</v>
      </c>
      <c r="C23" s="265"/>
      <c r="D23" s="263" t="s">
        <v>118</v>
      </c>
      <c r="E23" s="264">
        <v>144</v>
      </c>
      <c r="I23" s="328">
        <f t="shared" si="2"/>
        <v>32.287680000000002</v>
      </c>
      <c r="J23" s="328">
        <f t="shared" si="3"/>
        <v>17.01792</v>
      </c>
    </row>
    <row r="24" spans="2:10" x14ac:dyDescent="0.3">
      <c r="B24" s="261" t="s">
        <v>119</v>
      </c>
      <c r="C24" s="265"/>
      <c r="D24" s="263" t="s">
        <v>120</v>
      </c>
      <c r="E24" s="264">
        <v>409</v>
      </c>
      <c r="I24" s="328">
        <f t="shared" si="2"/>
        <v>91.705979999999997</v>
      </c>
      <c r="J24" s="328">
        <f t="shared" si="3"/>
        <v>48.335619999999999</v>
      </c>
    </row>
    <row r="25" spans="2:10" x14ac:dyDescent="0.3">
      <c r="C25" s="161"/>
      <c r="E25" s="61"/>
      <c r="I25" s="328">
        <f t="shared" si="2"/>
        <v>0</v>
      </c>
      <c r="J25" s="328">
        <f t="shared" si="3"/>
        <v>0</v>
      </c>
    </row>
    <row r="26" spans="2:10" x14ac:dyDescent="0.3">
      <c r="B26" s="62" t="s">
        <v>121</v>
      </c>
      <c r="C26" s="63"/>
      <c r="D26" s="157"/>
      <c r="E26" s="158"/>
      <c r="I26" s="328">
        <f t="shared" si="2"/>
        <v>0</v>
      </c>
      <c r="J26" s="328">
        <f t="shared" si="3"/>
        <v>0</v>
      </c>
    </row>
    <row r="27" spans="2:10" x14ac:dyDescent="0.3">
      <c r="B27" s="266" t="s">
        <v>122</v>
      </c>
      <c r="C27" s="267"/>
      <c r="D27" s="268" t="s">
        <v>123</v>
      </c>
      <c r="E27" s="264">
        <v>58</v>
      </c>
      <c r="I27" s="328">
        <f t="shared" si="2"/>
        <v>13.004760000000001</v>
      </c>
      <c r="J27" s="328">
        <f t="shared" si="3"/>
        <v>6.8544399999999994</v>
      </c>
    </row>
    <row r="28" spans="2:10" x14ac:dyDescent="0.3">
      <c r="B28" s="266" t="s">
        <v>124</v>
      </c>
      <c r="C28" s="267"/>
      <c r="D28" s="268" t="s">
        <v>125</v>
      </c>
      <c r="E28" s="264">
        <v>131</v>
      </c>
      <c r="I28" s="328">
        <f t="shared" si="2"/>
        <v>29.372820000000001</v>
      </c>
      <c r="J28" s="328">
        <f t="shared" si="3"/>
        <v>15.481579999999999</v>
      </c>
    </row>
    <row r="29" spans="2:10" x14ac:dyDescent="0.3">
      <c r="B29" s="266" t="s">
        <v>126</v>
      </c>
      <c r="C29" s="267"/>
      <c r="D29" s="268" t="s">
        <v>127</v>
      </c>
      <c r="E29" s="264">
        <v>275</v>
      </c>
      <c r="I29" s="328">
        <f t="shared" si="2"/>
        <v>61.660499999999999</v>
      </c>
      <c r="J29" s="328">
        <f t="shared" si="3"/>
        <v>32.499499999999998</v>
      </c>
    </row>
    <row r="30" spans="2:10" x14ac:dyDescent="0.3">
      <c r="E30" s="78"/>
      <c r="I30" s="328">
        <f t="shared" si="2"/>
        <v>0</v>
      </c>
      <c r="J30" s="328">
        <f t="shared" si="3"/>
        <v>0</v>
      </c>
    </row>
    <row r="31" spans="2:10" x14ac:dyDescent="0.3">
      <c r="B31" s="62" t="s">
        <v>128</v>
      </c>
      <c r="C31" s="63"/>
      <c r="D31" s="157"/>
      <c r="E31" s="158"/>
      <c r="I31" s="328">
        <f t="shared" si="2"/>
        <v>0</v>
      </c>
      <c r="J31" s="328">
        <f t="shared" si="3"/>
        <v>0</v>
      </c>
    </row>
    <row r="32" spans="2:10" x14ac:dyDescent="0.3">
      <c r="B32" s="266" t="s">
        <v>129</v>
      </c>
      <c r="C32" s="267"/>
      <c r="D32" s="268" t="s">
        <v>130</v>
      </c>
      <c r="E32" s="264">
        <v>75</v>
      </c>
      <c r="I32" s="328">
        <f t="shared" si="2"/>
        <v>16.816500000000001</v>
      </c>
      <c r="J32" s="328">
        <f t="shared" si="3"/>
        <v>8.8635000000000002</v>
      </c>
    </row>
    <row r="33" spans="2:10" x14ac:dyDescent="0.3">
      <c r="B33" s="266" t="s">
        <v>122</v>
      </c>
      <c r="C33" s="267"/>
      <c r="D33" s="268" t="s">
        <v>131</v>
      </c>
      <c r="E33" s="264">
        <v>133</v>
      </c>
      <c r="I33" s="328">
        <f t="shared" si="2"/>
        <v>29.821259999999999</v>
      </c>
      <c r="J33" s="328">
        <f t="shared" si="3"/>
        <v>15.717939999999999</v>
      </c>
    </row>
    <row r="34" spans="2:10" x14ac:dyDescent="0.3">
      <c r="B34" s="266" t="s">
        <v>124</v>
      </c>
      <c r="C34" s="267"/>
      <c r="D34" s="268" t="s">
        <v>132</v>
      </c>
      <c r="E34" s="264">
        <v>206</v>
      </c>
      <c r="I34" s="328">
        <f t="shared" si="2"/>
        <v>46.189320000000002</v>
      </c>
      <c r="J34" s="328">
        <f t="shared" si="3"/>
        <v>24.345079999999999</v>
      </c>
    </row>
    <row r="35" spans="2:10" x14ac:dyDescent="0.3">
      <c r="B35" s="266" t="s">
        <v>126</v>
      </c>
      <c r="C35" s="267"/>
      <c r="D35" s="268" t="s">
        <v>133</v>
      </c>
      <c r="E35" s="264">
        <v>350</v>
      </c>
      <c r="I35" s="328">
        <f t="shared" si="2"/>
        <v>78.477000000000004</v>
      </c>
      <c r="J35" s="328">
        <f t="shared" si="3"/>
        <v>41.363</v>
      </c>
    </row>
    <row r="36" spans="2:10" s="9" customFormat="1" x14ac:dyDescent="0.3">
      <c r="B36" s="5"/>
      <c r="C36" s="6"/>
      <c r="D36" s="7"/>
      <c r="E36" s="78"/>
      <c r="I36" s="328">
        <f t="shared" si="2"/>
        <v>0</v>
      </c>
      <c r="J36" s="328">
        <f t="shared" si="3"/>
        <v>0</v>
      </c>
    </row>
    <row r="37" spans="2:10" s="9" customFormat="1" x14ac:dyDescent="0.3">
      <c r="B37" s="79" t="s">
        <v>134</v>
      </c>
      <c r="C37" s="63"/>
      <c r="D37" s="157"/>
      <c r="E37" s="158"/>
      <c r="I37" s="328">
        <f t="shared" si="2"/>
        <v>0</v>
      </c>
      <c r="J37" s="328">
        <f t="shared" si="3"/>
        <v>0</v>
      </c>
    </row>
    <row r="38" spans="2:10" x14ac:dyDescent="0.3">
      <c r="B38" s="159" t="s">
        <v>135</v>
      </c>
      <c r="C38" s="160"/>
      <c r="D38" s="56" t="s">
        <v>136</v>
      </c>
      <c r="E38" s="264">
        <v>192</v>
      </c>
      <c r="I38" s="328">
        <f t="shared" si="2"/>
        <v>43.050240000000002</v>
      </c>
      <c r="J38" s="328">
        <f t="shared" si="3"/>
        <v>22.690559999999998</v>
      </c>
    </row>
    <row r="39" spans="2:10" x14ac:dyDescent="0.3">
      <c r="B39" s="261" t="s">
        <v>137</v>
      </c>
      <c r="C39" s="267"/>
      <c r="D39" s="268" t="s">
        <v>138</v>
      </c>
      <c r="E39" s="264">
        <v>510</v>
      </c>
      <c r="I39" s="328">
        <f t="shared" si="2"/>
        <v>114.3522</v>
      </c>
      <c r="J39" s="328">
        <f t="shared" si="3"/>
        <v>60.271799999999999</v>
      </c>
    </row>
    <row r="40" spans="2:10" x14ac:dyDescent="0.3">
      <c r="B40" s="266" t="s">
        <v>139</v>
      </c>
      <c r="C40" s="267"/>
      <c r="D40" s="268" t="s">
        <v>140</v>
      </c>
      <c r="E40" s="264">
        <v>1291</v>
      </c>
      <c r="I40" s="328">
        <f t="shared" si="2"/>
        <v>289.46802000000002</v>
      </c>
      <c r="J40" s="328">
        <f t="shared" si="3"/>
        <v>152.57038</v>
      </c>
    </row>
    <row r="41" spans="2:10" x14ac:dyDescent="0.3">
      <c r="E41" s="61"/>
      <c r="I41" s="328">
        <f t="shared" si="2"/>
        <v>0</v>
      </c>
      <c r="J41" s="328">
        <f t="shared" si="3"/>
        <v>0</v>
      </c>
    </row>
    <row r="42" spans="2:10" s="80" customFormat="1" ht="14.5" x14ac:dyDescent="0.3">
      <c r="B42" s="62" t="s">
        <v>141</v>
      </c>
      <c r="C42" s="176"/>
      <c r="D42" s="177"/>
      <c r="E42" s="209"/>
      <c r="I42" s="328">
        <f t="shared" si="2"/>
        <v>0</v>
      </c>
      <c r="J42" s="328">
        <f t="shared" si="3"/>
        <v>0</v>
      </c>
    </row>
    <row r="43" spans="2:10" s="80" customFormat="1" x14ac:dyDescent="0.3">
      <c r="B43" s="269" t="s">
        <v>142</v>
      </c>
      <c r="C43" s="267"/>
      <c r="D43" s="268" t="s">
        <v>143</v>
      </c>
      <c r="E43" s="264">
        <v>8</v>
      </c>
      <c r="I43" s="328">
        <f t="shared" si="2"/>
        <v>1.79376</v>
      </c>
      <c r="J43" s="328">
        <f t="shared" si="3"/>
        <v>0.94543999999999995</v>
      </c>
    </row>
    <row r="44" spans="2:10" s="80" customFormat="1" x14ac:dyDescent="0.3">
      <c r="B44" s="269" t="s">
        <v>144</v>
      </c>
      <c r="C44" s="267"/>
      <c r="D44" s="268" t="s">
        <v>145</v>
      </c>
      <c r="E44" s="264">
        <v>8</v>
      </c>
      <c r="I44" s="328">
        <f t="shared" si="2"/>
        <v>1.79376</v>
      </c>
      <c r="J44" s="328">
        <f t="shared" si="3"/>
        <v>0.94543999999999995</v>
      </c>
    </row>
    <row r="45" spans="2:10" s="80" customFormat="1" x14ac:dyDescent="0.3">
      <c r="B45" s="269" t="s">
        <v>146</v>
      </c>
      <c r="C45" s="267"/>
      <c r="D45" s="268" t="s">
        <v>147</v>
      </c>
      <c r="E45" s="264">
        <v>8</v>
      </c>
      <c r="I45" s="328">
        <f t="shared" si="2"/>
        <v>1.79376</v>
      </c>
      <c r="J45" s="328">
        <f t="shared" si="3"/>
        <v>0.94543999999999995</v>
      </c>
    </row>
    <row r="46" spans="2:10" s="80" customFormat="1" x14ac:dyDescent="0.3">
      <c r="B46" s="269" t="s">
        <v>148</v>
      </c>
      <c r="C46" s="267"/>
      <c r="D46" s="268" t="s">
        <v>149</v>
      </c>
      <c r="E46" s="264">
        <v>14</v>
      </c>
      <c r="I46" s="328">
        <f t="shared" si="2"/>
        <v>3.1390799999999999</v>
      </c>
      <c r="J46" s="328">
        <f t="shared" si="3"/>
        <v>1.65452</v>
      </c>
    </row>
    <row r="47" spans="2:10" s="80" customFormat="1" x14ac:dyDescent="0.3">
      <c r="B47" s="266" t="s">
        <v>150</v>
      </c>
      <c r="C47" s="267"/>
      <c r="D47" s="268" t="s">
        <v>151</v>
      </c>
      <c r="E47" s="264">
        <v>15</v>
      </c>
      <c r="I47" s="328">
        <f t="shared" si="2"/>
        <v>3.3633000000000002</v>
      </c>
      <c r="J47" s="328">
        <f t="shared" si="3"/>
        <v>1.7726999999999999</v>
      </c>
    </row>
    <row r="48" spans="2:10" s="80" customFormat="1" x14ac:dyDescent="0.3">
      <c r="B48" s="154"/>
      <c r="C48" s="70"/>
      <c r="D48" s="178"/>
      <c r="E48" s="61"/>
      <c r="I48" s="328">
        <f t="shared" si="2"/>
        <v>0</v>
      </c>
      <c r="J48" s="328">
        <f t="shared" si="3"/>
        <v>0</v>
      </c>
    </row>
    <row r="49" spans="2:10" s="9" customFormat="1" x14ac:dyDescent="0.3">
      <c r="B49" s="62" t="s">
        <v>152</v>
      </c>
      <c r="C49" s="63"/>
      <c r="D49" s="157"/>
      <c r="E49" s="157"/>
      <c r="I49" s="328">
        <f t="shared" si="2"/>
        <v>0</v>
      </c>
      <c r="J49" s="328">
        <f t="shared" si="3"/>
        <v>0</v>
      </c>
    </row>
    <row r="50" spans="2:10" s="80" customFormat="1" x14ac:dyDescent="0.3">
      <c r="B50" s="269" t="s">
        <v>153</v>
      </c>
      <c r="C50" s="267"/>
      <c r="D50" s="268" t="s">
        <v>154</v>
      </c>
      <c r="E50" s="264">
        <v>37</v>
      </c>
      <c r="I50" s="328">
        <f t="shared" si="2"/>
        <v>8.2961399999999994</v>
      </c>
      <c r="J50" s="328">
        <f t="shared" si="3"/>
        <v>4.3726599999999998</v>
      </c>
    </row>
    <row r="51" spans="2:10" s="80" customFormat="1" x14ac:dyDescent="0.3">
      <c r="B51" s="154"/>
      <c r="C51" s="6"/>
      <c r="D51" s="7"/>
      <c r="E51" s="72"/>
      <c r="I51" s="328">
        <f t="shared" si="2"/>
        <v>0</v>
      </c>
      <c r="J51" s="328">
        <f t="shared" si="3"/>
        <v>0</v>
      </c>
    </row>
    <row r="52" spans="2:10" x14ac:dyDescent="0.3">
      <c r="B52" s="62" t="s">
        <v>155</v>
      </c>
      <c r="C52" s="63"/>
      <c r="D52" s="179"/>
      <c r="E52" s="210"/>
      <c r="I52" s="328">
        <f t="shared" si="2"/>
        <v>0</v>
      </c>
      <c r="J52" s="328">
        <f t="shared" si="3"/>
        <v>0</v>
      </c>
    </row>
    <row r="53" spans="2:10" x14ac:dyDescent="0.3">
      <c r="B53" s="266" t="s">
        <v>156</v>
      </c>
      <c r="C53" s="267"/>
      <c r="D53" s="268" t="s">
        <v>157</v>
      </c>
      <c r="E53" s="264">
        <v>40</v>
      </c>
      <c r="I53" s="328">
        <f t="shared" si="2"/>
        <v>8.9687999999999999</v>
      </c>
      <c r="J53" s="328">
        <f t="shared" si="3"/>
        <v>4.7271999999999998</v>
      </c>
    </row>
    <row r="54" spans="2:10" x14ac:dyDescent="0.3">
      <c r="B54" s="154"/>
      <c r="C54" s="162"/>
      <c r="E54" s="61"/>
      <c r="I54" s="328">
        <f t="shared" si="2"/>
        <v>0</v>
      </c>
      <c r="J54" s="328">
        <f t="shared" si="3"/>
        <v>0</v>
      </c>
    </row>
    <row r="55" spans="2:10" customFormat="1" ht="14.5" x14ac:dyDescent="0.35">
      <c r="B55" s="62" t="s">
        <v>158</v>
      </c>
      <c r="C55" s="63"/>
      <c r="D55" s="64"/>
      <c r="E55" s="61"/>
      <c r="I55" s="328">
        <f t="shared" si="2"/>
        <v>0</v>
      </c>
      <c r="J55" s="328">
        <f t="shared" si="3"/>
        <v>0</v>
      </c>
    </row>
    <row r="56" spans="2:10" customFormat="1" ht="14.5" x14ac:dyDescent="0.35">
      <c r="B56" s="269" t="s">
        <v>159</v>
      </c>
      <c r="C56" s="270"/>
      <c r="D56" s="268" t="s">
        <v>160</v>
      </c>
      <c r="E56" s="264">
        <v>7</v>
      </c>
      <c r="I56" s="328">
        <f t="shared" si="2"/>
        <v>1.5695399999999999</v>
      </c>
      <c r="J56" s="328">
        <f t="shared" si="3"/>
        <v>0.82726</v>
      </c>
    </row>
    <row r="57" spans="2:10" customFormat="1" ht="14.5" x14ac:dyDescent="0.35">
      <c r="B57" s="269" t="s">
        <v>161</v>
      </c>
      <c r="C57" s="270"/>
      <c r="D57" s="268" t="s">
        <v>162</v>
      </c>
      <c r="E57" s="264">
        <v>15</v>
      </c>
      <c r="I57" s="328">
        <f t="shared" si="2"/>
        <v>3.3633000000000002</v>
      </c>
      <c r="J57" s="328">
        <f t="shared" si="3"/>
        <v>1.7726999999999999</v>
      </c>
    </row>
    <row r="58" spans="2:10" s="9" customFormat="1" x14ac:dyDescent="0.3">
      <c r="B58" s="5"/>
      <c r="C58" s="6"/>
      <c r="D58" s="7"/>
      <c r="E58" s="78"/>
      <c r="I58" s="328">
        <f t="shared" ref="I58:I60" si="4">E58*$I$3</f>
        <v>0</v>
      </c>
      <c r="J58" s="328">
        <f t="shared" ref="J58:J60" si="5">E58*$J$3</f>
        <v>0</v>
      </c>
    </row>
    <row r="59" spans="2:10" x14ac:dyDescent="0.3">
      <c r="B59" s="62" t="s">
        <v>163</v>
      </c>
      <c r="C59" s="63"/>
      <c r="D59" s="157"/>
      <c r="E59" s="158"/>
      <c r="I59" s="328">
        <f t="shared" si="4"/>
        <v>0</v>
      </c>
      <c r="J59" s="328">
        <f t="shared" si="5"/>
        <v>0</v>
      </c>
    </row>
    <row r="60" spans="2:10" x14ac:dyDescent="0.3">
      <c r="B60" s="271" t="s">
        <v>164</v>
      </c>
      <c r="C60" s="272"/>
      <c r="D60" s="268" t="s">
        <v>165</v>
      </c>
      <c r="E60" s="264">
        <v>0</v>
      </c>
      <c r="I60" s="328">
        <f t="shared" si="4"/>
        <v>0</v>
      </c>
      <c r="J60" s="328">
        <f t="shared" si="5"/>
        <v>0</v>
      </c>
    </row>
    <row r="61" spans="2:10" x14ac:dyDescent="0.3">
      <c r="B61" s="92"/>
      <c r="C61" s="93"/>
      <c r="E61" s="72"/>
      <c r="I61" s="328">
        <f t="shared" ref="I61:I121" si="6">E61*$I$3</f>
        <v>0</v>
      </c>
      <c r="J61" s="328">
        <f t="shared" ref="J61:J121" si="7">E61*$J$3</f>
        <v>0</v>
      </c>
    </row>
    <row r="62" spans="2:10" x14ac:dyDescent="0.3">
      <c r="E62" s="61"/>
      <c r="I62" s="328">
        <f t="shared" si="6"/>
        <v>0</v>
      </c>
      <c r="J62" s="328">
        <f t="shared" si="7"/>
        <v>0</v>
      </c>
    </row>
    <row r="63" spans="2:10" collapsed="1" x14ac:dyDescent="0.3">
      <c r="B63" s="74" t="s">
        <v>166</v>
      </c>
      <c r="C63" s="75"/>
      <c r="D63" s="76"/>
      <c r="E63" s="77"/>
      <c r="I63" s="328">
        <f t="shared" si="6"/>
        <v>0</v>
      </c>
      <c r="J63" s="328">
        <f t="shared" si="7"/>
        <v>0</v>
      </c>
    </row>
    <row r="64" spans="2:10" x14ac:dyDescent="0.3">
      <c r="B64" s="62" t="s">
        <v>167</v>
      </c>
      <c r="C64" s="63"/>
      <c r="E64" s="61"/>
      <c r="I64" s="328">
        <f t="shared" si="6"/>
        <v>0</v>
      </c>
      <c r="J64" s="328">
        <f t="shared" si="7"/>
        <v>0</v>
      </c>
    </row>
    <row r="65" spans="1:10" x14ac:dyDescent="0.3">
      <c r="B65" s="261" t="s">
        <v>108</v>
      </c>
      <c r="C65" s="267"/>
      <c r="D65" s="268" t="s">
        <v>109</v>
      </c>
      <c r="E65" s="264">
        <v>48</v>
      </c>
      <c r="I65" s="328">
        <f t="shared" si="6"/>
        <v>10.762560000000001</v>
      </c>
      <c r="J65" s="328">
        <f t="shared" si="7"/>
        <v>5.6726399999999995</v>
      </c>
    </row>
    <row r="66" spans="1:10" x14ac:dyDescent="0.3">
      <c r="B66" s="261" t="s">
        <v>110</v>
      </c>
      <c r="C66" s="262"/>
      <c r="D66" s="263" t="s">
        <v>111</v>
      </c>
      <c r="E66" s="264">
        <v>153</v>
      </c>
      <c r="I66" s="328">
        <f t="shared" si="6"/>
        <v>34.305660000000003</v>
      </c>
      <c r="J66" s="328">
        <f t="shared" si="7"/>
        <v>18.08154</v>
      </c>
    </row>
    <row r="67" spans="1:10" x14ac:dyDescent="0.3">
      <c r="B67" s="261" t="s">
        <v>112</v>
      </c>
      <c r="C67" s="267"/>
      <c r="D67" s="268" t="s">
        <v>113</v>
      </c>
      <c r="E67" s="264">
        <v>328</v>
      </c>
      <c r="I67" s="328">
        <f t="shared" si="6"/>
        <v>73.544160000000005</v>
      </c>
      <c r="J67" s="328">
        <f t="shared" si="7"/>
        <v>38.763039999999997</v>
      </c>
    </row>
    <row r="68" spans="1:10" x14ac:dyDescent="0.3">
      <c r="B68" s="173"/>
      <c r="C68" s="174"/>
      <c r="D68" s="18"/>
      <c r="E68" s="175"/>
      <c r="I68" s="328">
        <f t="shared" si="6"/>
        <v>0</v>
      </c>
      <c r="J68" s="328">
        <f t="shared" si="7"/>
        <v>0</v>
      </c>
    </row>
    <row r="69" spans="1:10" x14ac:dyDescent="0.3">
      <c r="B69" s="62" t="s">
        <v>114</v>
      </c>
      <c r="C69" s="68"/>
      <c r="D69" s="55"/>
      <c r="E69" s="61"/>
      <c r="I69" s="328">
        <f t="shared" si="6"/>
        <v>0</v>
      </c>
      <c r="J69" s="328">
        <f t="shared" si="7"/>
        <v>0</v>
      </c>
    </row>
    <row r="70" spans="1:10" x14ac:dyDescent="0.3">
      <c r="B70" s="261" t="s">
        <v>115</v>
      </c>
      <c r="C70" s="265"/>
      <c r="D70" s="268" t="s">
        <v>116</v>
      </c>
      <c r="E70" s="264">
        <v>121</v>
      </c>
      <c r="I70" s="328">
        <f t="shared" si="6"/>
        <v>27.13062</v>
      </c>
      <c r="J70" s="328">
        <f t="shared" si="7"/>
        <v>14.299779999999998</v>
      </c>
    </row>
    <row r="71" spans="1:10" x14ac:dyDescent="0.3">
      <c r="A71" s="15"/>
      <c r="B71" s="261" t="s">
        <v>168</v>
      </c>
      <c r="C71" s="265"/>
      <c r="D71" s="268" t="s">
        <v>118</v>
      </c>
      <c r="E71" s="264">
        <v>144</v>
      </c>
      <c r="I71" s="328">
        <f t="shared" si="6"/>
        <v>32.287680000000002</v>
      </c>
      <c r="J71" s="328">
        <f t="shared" si="7"/>
        <v>17.01792</v>
      </c>
    </row>
    <row r="72" spans="1:10" x14ac:dyDescent="0.3">
      <c r="B72" s="261" t="s">
        <v>169</v>
      </c>
      <c r="C72" s="265"/>
      <c r="D72" s="268" t="s">
        <v>120</v>
      </c>
      <c r="E72" s="264">
        <v>409</v>
      </c>
      <c r="I72" s="328">
        <f t="shared" si="6"/>
        <v>91.705979999999997</v>
      </c>
      <c r="J72" s="328">
        <f t="shared" si="7"/>
        <v>48.335619999999999</v>
      </c>
    </row>
    <row r="73" spans="1:10" x14ac:dyDescent="0.3">
      <c r="C73" s="161"/>
      <c r="E73" s="61"/>
      <c r="I73" s="328">
        <f t="shared" si="6"/>
        <v>0</v>
      </c>
      <c r="J73" s="328">
        <f t="shared" si="7"/>
        <v>0</v>
      </c>
    </row>
    <row r="74" spans="1:10" x14ac:dyDescent="0.3">
      <c r="B74" s="62" t="s">
        <v>121</v>
      </c>
      <c r="C74" s="63"/>
      <c r="D74" s="157"/>
      <c r="E74" s="158"/>
      <c r="I74" s="328">
        <f t="shared" si="6"/>
        <v>0</v>
      </c>
      <c r="J74" s="328">
        <f t="shared" si="7"/>
        <v>0</v>
      </c>
    </row>
    <row r="75" spans="1:10" x14ac:dyDescent="0.3">
      <c r="B75" s="266" t="s">
        <v>122</v>
      </c>
      <c r="C75" s="267"/>
      <c r="D75" s="268" t="s">
        <v>123</v>
      </c>
      <c r="E75" s="264">
        <v>58</v>
      </c>
      <c r="I75" s="328">
        <f t="shared" si="6"/>
        <v>13.004760000000001</v>
      </c>
      <c r="J75" s="328">
        <f t="shared" si="7"/>
        <v>6.8544399999999994</v>
      </c>
    </row>
    <row r="76" spans="1:10" x14ac:dyDescent="0.3">
      <c r="B76" s="266" t="s">
        <v>124</v>
      </c>
      <c r="C76" s="267"/>
      <c r="D76" s="268" t="s">
        <v>125</v>
      </c>
      <c r="E76" s="264">
        <v>131</v>
      </c>
      <c r="I76" s="328">
        <f t="shared" si="6"/>
        <v>29.372820000000001</v>
      </c>
      <c r="J76" s="328">
        <f t="shared" si="7"/>
        <v>15.481579999999999</v>
      </c>
    </row>
    <row r="77" spans="1:10" x14ac:dyDescent="0.3">
      <c r="B77" s="266" t="s">
        <v>126</v>
      </c>
      <c r="C77" s="267"/>
      <c r="D77" s="268" t="s">
        <v>127</v>
      </c>
      <c r="E77" s="264">
        <v>275</v>
      </c>
      <c r="I77" s="328">
        <f t="shared" si="6"/>
        <v>61.660499999999999</v>
      </c>
      <c r="J77" s="328">
        <f t="shared" si="7"/>
        <v>32.499499999999998</v>
      </c>
    </row>
    <row r="78" spans="1:10" x14ac:dyDescent="0.3">
      <c r="E78" s="78"/>
      <c r="I78" s="328">
        <f t="shared" si="6"/>
        <v>0</v>
      </c>
      <c r="J78" s="328">
        <f t="shared" si="7"/>
        <v>0</v>
      </c>
    </row>
    <row r="79" spans="1:10" x14ac:dyDescent="0.3">
      <c r="B79" s="62" t="s">
        <v>128</v>
      </c>
      <c r="C79" s="63"/>
      <c r="D79" s="157"/>
      <c r="E79" s="158"/>
      <c r="I79" s="328">
        <f t="shared" si="6"/>
        <v>0</v>
      </c>
      <c r="J79" s="328">
        <f t="shared" si="7"/>
        <v>0</v>
      </c>
    </row>
    <row r="80" spans="1:10" x14ac:dyDescent="0.3">
      <c r="B80" s="266" t="s">
        <v>129</v>
      </c>
      <c r="C80" s="267"/>
      <c r="D80" s="268" t="s">
        <v>130</v>
      </c>
      <c r="E80" s="264">
        <v>75</v>
      </c>
      <c r="I80" s="328">
        <f t="shared" si="6"/>
        <v>16.816500000000001</v>
      </c>
      <c r="J80" s="328">
        <f t="shared" si="7"/>
        <v>8.8635000000000002</v>
      </c>
    </row>
    <row r="81" spans="2:10" x14ac:dyDescent="0.3">
      <c r="B81" s="266" t="s">
        <v>170</v>
      </c>
      <c r="C81" s="267"/>
      <c r="D81" s="268" t="s">
        <v>131</v>
      </c>
      <c r="E81" s="264">
        <v>133</v>
      </c>
      <c r="I81" s="328">
        <f t="shared" si="6"/>
        <v>29.821259999999999</v>
      </c>
      <c r="J81" s="328">
        <f t="shared" si="7"/>
        <v>15.717939999999999</v>
      </c>
    </row>
    <row r="82" spans="2:10" x14ac:dyDescent="0.3">
      <c r="B82" s="266" t="s">
        <v>124</v>
      </c>
      <c r="C82" s="267"/>
      <c r="D82" s="268" t="s">
        <v>132</v>
      </c>
      <c r="E82" s="264">
        <v>206</v>
      </c>
      <c r="I82" s="328">
        <f t="shared" si="6"/>
        <v>46.189320000000002</v>
      </c>
      <c r="J82" s="328">
        <f t="shared" si="7"/>
        <v>24.345079999999999</v>
      </c>
    </row>
    <row r="83" spans="2:10" x14ac:dyDescent="0.3">
      <c r="B83" s="266" t="s">
        <v>126</v>
      </c>
      <c r="C83" s="267"/>
      <c r="D83" s="268" t="s">
        <v>133</v>
      </c>
      <c r="E83" s="264">
        <v>350</v>
      </c>
      <c r="I83" s="328">
        <f t="shared" si="6"/>
        <v>78.477000000000004</v>
      </c>
      <c r="J83" s="328">
        <f t="shared" si="7"/>
        <v>41.363</v>
      </c>
    </row>
    <row r="84" spans="2:10" x14ac:dyDescent="0.3">
      <c r="B84" s="266" t="s">
        <v>171</v>
      </c>
      <c r="C84" s="267"/>
      <c r="D84" s="268" t="s">
        <v>172</v>
      </c>
      <c r="E84" s="264">
        <v>46</v>
      </c>
      <c r="I84" s="328">
        <f t="shared" si="6"/>
        <v>10.314120000000001</v>
      </c>
      <c r="J84" s="328">
        <f t="shared" si="7"/>
        <v>5.43628</v>
      </c>
    </row>
    <row r="85" spans="2:10" x14ac:dyDescent="0.3">
      <c r="B85" s="266" t="s">
        <v>173</v>
      </c>
      <c r="C85" s="267"/>
      <c r="D85" s="268" t="s">
        <v>174</v>
      </c>
      <c r="E85" s="264">
        <v>69</v>
      </c>
      <c r="I85" s="328">
        <f t="shared" si="6"/>
        <v>15.47118</v>
      </c>
      <c r="J85" s="328">
        <f t="shared" si="7"/>
        <v>8.15442</v>
      </c>
    </row>
    <row r="86" spans="2:10" x14ac:dyDescent="0.3">
      <c r="B86" s="266" t="s">
        <v>175</v>
      </c>
      <c r="C86" s="267"/>
      <c r="D86" s="268" t="s">
        <v>176</v>
      </c>
      <c r="E86" s="264">
        <v>82</v>
      </c>
      <c r="I86" s="328">
        <f t="shared" si="6"/>
        <v>18.386040000000001</v>
      </c>
      <c r="J86" s="328">
        <f t="shared" si="7"/>
        <v>9.6907599999999992</v>
      </c>
    </row>
    <row r="87" spans="2:10" s="9" customFormat="1" x14ac:dyDescent="0.3">
      <c r="B87" s="5"/>
      <c r="C87" s="6"/>
      <c r="D87" s="7"/>
      <c r="E87" s="78"/>
      <c r="I87" s="328">
        <f t="shared" si="6"/>
        <v>0</v>
      </c>
      <c r="J87" s="328">
        <f t="shared" si="7"/>
        <v>0</v>
      </c>
    </row>
    <row r="88" spans="2:10" s="9" customFormat="1" x14ac:dyDescent="0.3">
      <c r="B88" s="79" t="s">
        <v>134</v>
      </c>
      <c r="C88" s="63"/>
      <c r="D88" s="157"/>
      <c r="E88" s="158"/>
      <c r="I88" s="328">
        <f t="shared" si="6"/>
        <v>0</v>
      </c>
      <c r="J88" s="328">
        <f t="shared" si="7"/>
        <v>0</v>
      </c>
    </row>
    <row r="89" spans="2:10" x14ac:dyDescent="0.3">
      <c r="B89" s="266" t="s">
        <v>135</v>
      </c>
      <c r="C89" s="267"/>
      <c r="D89" s="268" t="s">
        <v>136</v>
      </c>
      <c r="E89" s="264">
        <v>192</v>
      </c>
      <c r="I89" s="328">
        <f t="shared" si="6"/>
        <v>43.050240000000002</v>
      </c>
      <c r="J89" s="328">
        <f t="shared" si="7"/>
        <v>22.690559999999998</v>
      </c>
    </row>
    <row r="90" spans="2:10" x14ac:dyDescent="0.3">
      <c r="B90" s="266" t="s">
        <v>177</v>
      </c>
      <c r="C90" s="267"/>
      <c r="D90" s="268" t="s">
        <v>178</v>
      </c>
      <c r="E90" s="264">
        <v>400</v>
      </c>
      <c r="I90" s="328">
        <f t="shared" si="6"/>
        <v>89.688000000000002</v>
      </c>
      <c r="J90" s="328">
        <f t="shared" si="7"/>
        <v>47.271999999999998</v>
      </c>
    </row>
    <row r="91" spans="2:10" x14ac:dyDescent="0.3">
      <c r="B91" s="261" t="s">
        <v>137</v>
      </c>
      <c r="C91" s="267"/>
      <c r="D91" s="268" t="s">
        <v>138</v>
      </c>
      <c r="E91" s="264">
        <v>510</v>
      </c>
      <c r="I91" s="328">
        <f t="shared" si="6"/>
        <v>114.3522</v>
      </c>
      <c r="J91" s="328">
        <f t="shared" si="7"/>
        <v>60.271799999999999</v>
      </c>
    </row>
    <row r="92" spans="2:10" x14ac:dyDescent="0.3">
      <c r="B92" s="266" t="s">
        <v>179</v>
      </c>
      <c r="C92" s="267"/>
      <c r="D92" s="268" t="s">
        <v>140</v>
      </c>
      <c r="E92" s="264">
        <v>1291</v>
      </c>
      <c r="I92" s="328">
        <f t="shared" si="6"/>
        <v>289.46802000000002</v>
      </c>
      <c r="J92" s="328">
        <f t="shared" si="7"/>
        <v>152.57038</v>
      </c>
    </row>
    <row r="93" spans="2:10" s="9" customFormat="1" x14ac:dyDescent="0.3">
      <c r="B93" s="5"/>
      <c r="C93" s="6"/>
      <c r="D93" s="7"/>
      <c r="E93" s="78"/>
      <c r="I93" s="328">
        <f t="shared" si="6"/>
        <v>0</v>
      </c>
      <c r="J93" s="328">
        <f t="shared" si="7"/>
        <v>0</v>
      </c>
    </row>
    <row r="94" spans="2:10" customFormat="1" ht="14.5" x14ac:dyDescent="0.35">
      <c r="B94" s="62" t="s">
        <v>180</v>
      </c>
      <c r="C94" s="6"/>
      <c r="D94" s="7"/>
      <c r="E94" s="61"/>
      <c r="I94" s="328">
        <f t="shared" si="6"/>
        <v>0</v>
      </c>
      <c r="J94" s="328">
        <f t="shared" si="7"/>
        <v>0</v>
      </c>
    </row>
    <row r="95" spans="2:10" customFormat="1" ht="14.5" x14ac:dyDescent="0.35">
      <c r="B95" s="266" t="s">
        <v>181</v>
      </c>
      <c r="C95" s="267"/>
      <c r="D95" s="268" t="s">
        <v>182</v>
      </c>
      <c r="E95" s="264">
        <v>6</v>
      </c>
      <c r="I95" s="328">
        <f t="shared" si="6"/>
        <v>1.3453200000000001</v>
      </c>
      <c r="J95" s="328">
        <f t="shared" si="7"/>
        <v>0.70907999999999993</v>
      </c>
    </row>
    <row r="96" spans="2:10" customFormat="1" ht="14.5" x14ac:dyDescent="0.35">
      <c r="B96" s="266" t="s">
        <v>183</v>
      </c>
      <c r="C96" s="267"/>
      <c r="D96" s="268" t="s">
        <v>184</v>
      </c>
      <c r="E96" s="264">
        <v>12</v>
      </c>
      <c r="I96" s="328">
        <f t="shared" si="6"/>
        <v>2.6906400000000001</v>
      </c>
      <c r="J96" s="328">
        <f t="shared" si="7"/>
        <v>1.4181599999999999</v>
      </c>
    </row>
    <row r="97" spans="2:10" s="9" customFormat="1" x14ac:dyDescent="0.3">
      <c r="B97" s="5"/>
      <c r="C97" s="6"/>
      <c r="D97" s="7"/>
      <c r="E97" s="78"/>
      <c r="I97" s="328">
        <f t="shared" si="6"/>
        <v>0</v>
      </c>
      <c r="J97" s="328">
        <f t="shared" si="7"/>
        <v>0</v>
      </c>
    </row>
    <row r="98" spans="2:10" s="80" customFormat="1" ht="14.5" x14ac:dyDescent="0.3">
      <c r="B98" s="62" t="s">
        <v>185</v>
      </c>
      <c r="C98" s="176"/>
      <c r="D98" s="177"/>
      <c r="E98" s="209"/>
      <c r="I98" s="328">
        <f t="shared" si="6"/>
        <v>0</v>
      </c>
      <c r="J98" s="328">
        <f t="shared" si="7"/>
        <v>0</v>
      </c>
    </row>
    <row r="99" spans="2:10" s="80" customFormat="1" x14ac:dyDescent="0.3">
      <c r="B99" s="269" t="s">
        <v>142</v>
      </c>
      <c r="C99" s="267"/>
      <c r="D99" s="268" t="s">
        <v>143</v>
      </c>
      <c r="E99" s="264">
        <v>8</v>
      </c>
      <c r="I99" s="328">
        <f t="shared" si="6"/>
        <v>1.79376</v>
      </c>
      <c r="J99" s="328">
        <f t="shared" si="7"/>
        <v>0.94543999999999995</v>
      </c>
    </row>
    <row r="100" spans="2:10" s="80" customFormat="1" x14ac:dyDescent="0.3">
      <c r="B100" s="269" t="s">
        <v>144</v>
      </c>
      <c r="C100" s="267"/>
      <c r="D100" s="268" t="s">
        <v>145</v>
      </c>
      <c r="E100" s="264">
        <v>8</v>
      </c>
      <c r="I100" s="328">
        <f t="shared" si="6"/>
        <v>1.79376</v>
      </c>
      <c r="J100" s="328">
        <f t="shared" si="7"/>
        <v>0.94543999999999995</v>
      </c>
    </row>
    <row r="101" spans="2:10" s="80" customFormat="1" x14ac:dyDescent="0.3">
      <c r="B101" s="269" t="s">
        <v>146</v>
      </c>
      <c r="C101" s="267"/>
      <c r="D101" s="268" t="s">
        <v>147</v>
      </c>
      <c r="E101" s="264">
        <v>8</v>
      </c>
      <c r="I101" s="328">
        <f t="shared" si="6"/>
        <v>1.79376</v>
      </c>
      <c r="J101" s="328">
        <f t="shared" si="7"/>
        <v>0.94543999999999995</v>
      </c>
    </row>
    <row r="102" spans="2:10" s="80" customFormat="1" x14ac:dyDescent="0.3">
      <c r="B102" s="269" t="s">
        <v>186</v>
      </c>
      <c r="C102" s="267"/>
      <c r="D102" s="268" t="s">
        <v>149</v>
      </c>
      <c r="E102" s="264">
        <v>14</v>
      </c>
      <c r="I102" s="328">
        <f t="shared" si="6"/>
        <v>3.1390799999999999</v>
      </c>
      <c r="J102" s="328">
        <f t="shared" si="7"/>
        <v>1.65452</v>
      </c>
    </row>
    <row r="103" spans="2:10" s="80" customFormat="1" x14ac:dyDescent="0.3">
      <c r="B103" s="5"/>
      <c r="C103" s="6"/>
      <c r="D103" s="7"/>
      <c r="E103" s="78"/>
      <c r="I103" s="328">
        <f t="shared" si="6"/>
        <v>0</v>
      </c>
      <c r="J103" s="328">
        <f t="shared" si="7"/>
        <v>0</v>
      </c>
    </row>
    <row r="104" spans="2:10" x14ac:dyDescent="0.3">
      <c r="B104" s="180" t="s">
        <v>187</v>
      </c>
      <c r="C104" s="63"/>
      <c r="D104" s="157"/>
      <c r="E104" s="158"/>
      <c r="I104" s="328">
        <f t="shared" si="6"/>
        <v>0</v>
      </c>
      <c r="J104" s="328">
        <f t="shared" si="7"/>
        <v>0</v>
      </c>
    </row>
    <row r="105" spans="2:10" x14ac:dyDescent="0.3">
      <c r="B105" s="266" t="s">
        <v>188</v>
      </c>
      <c r="C105" s="267"/>
      <c r="D105" s="268" t="s">
        <v>189</v>
      </c>
      <c r="E105" s="264">
        <v>37</v>
      </c>
      <c r="I105" s="328">
        <f t="shared" si="6"/>
        <v>8.2961399999999994</v>
      </c>
      <c r="J105" s="328">
        <f t="shared" si="7"/>
        <v>4.3726599999999998</v>
      </c>
    </row>
    <row r="106" spans="2:10" x14ac:dyDescent="0.3">
      <c r="B106" s="266" t="s">
        <v>190</v>
      </c>
      <c r="C106" s="267"/>
      <c r="D106" s="268" t="s">
        <v>157</v>
      </c>
      <c r="E106" s="264">
        <v>40</v>
      </c>
      <c r="I106" s="328">
        <f t="shared" si="6"/>
        <v>8.9687999999999999</v>
      </c>
      <c r="J106" s="328">
        <f t="shared" si="7"/>
        <v>4.7271999999999998</v>
      </c>
    </row>
    <row r="107" spans="2:10" x14ac:dyDescent="0.3">
      <c r="B107" s="266" t="s">
        <v>191</v>
      </c>
      <c r="C107" s="267"/>
      <c r="D107" s="268" t="s">
        <v>151</v>
      </c>
      <c r="E107" s="264">
        <v>15</v>
      </c>
      <c r="I107" s="328">
        <f t="shared" si="6"/>
        <v>3.3633000000000002</v>
      </c>
      <c r="J107" s="328">
        <f t="shared" si="7"/>
        <v>1.7726999999999999</v>
      </c>
    </row>
    <row r="108" spans="2:10" x14ac:dyDescent="0.3">
      <c r="B108" s="181" t="s">
        <v>192</v>
      </c>
      <c r="E108" s="78"/>
      <c r="I108" s="328">
        <f t="shared" si="6"/>
        <v>0</v>
      </c>
      <c r="J108" s="328">
        <f t="shared" si="7"/>
        <v>0</v>
      </c>
    </row>
    <row r="109" spans="2:10" customFormat="1" ht="14.5" x14ac:dyDescent="0.35">
      <c r="B109" s="62" t="s">
        <v>158</v>
      </c>
      <c r="C109" s="63"/>
      <c r="D109" s="64"/>
      <c r="E109" s="61"/>
      <c r="I109" s="328">
        <f t="shared" si="6"/>
        <v>0</v>
      </c>
      <c r="J109" s="328">
        <f t="shared" si="7"/>
        <v>0</v>
      </c>
    </row>
    <row r="110" spans="2:10" customFormat="1" ht="14.5" x14ac:dyDescent="0.35">
      <c r="B110" s="269" t="s">
        <v>159</v>
      </c>
      <c r="C110" s="270"/>
      <c r="D110" s="268" t="s">
        <v>160</v>
      </c>
      <c r="E110" s="264">
        <v>7</v>
      </c>
      <c r="I110" s="328">
        <f t="shared" si="6"/>
        <v>1.5695399999999999</v>
      </c>
      <c r="J110" s="328">
        <f t="shared" si="7"/>
        <v>0.82726</v>
      </c>
    </row>
    <row r="111" spans="2:10" customFormat="1" ht="14.5" x14ac:dyDescent="0.35">
      <c r="B111" s="269" t="s">
        <v>161</v>
      </c>
      <c r="C111" s="270"/>
      <c r="D111" s="268" t="s">
        <v>162</v>
      </c>
      <c r="E111" s="264">
        <v>15</v>
      </c>
      <c r="I111" s="328">
        <f t="shared" si="6"/>
        <v>3.3633000000000002</v>
      </c>
      <c r="J111" s="328">
        <f t="shared" si="7"/>
        <v>1.7726999999999999</v>
      </c>
    </row>
    <row r="112" spans="2:10" s="9" customFormat="1" x14ac:dyDescent="0.3">
      <c r="B112" s="154"/>
      <c r="C112" s="182"/>
      <c r="D112" s="183"/>
      <c r="E112" s="211"/>
      <c r="I112" s="328">
        <f t="shared" si="6"/>
        <v>0</v>
      </c>
      <c r="J112" s="328">
        <f t="shared" si="7"/>
        <v>0</v>
      </c>
    </row>
    <row r="113" spans="2:10" x14ac:dyDescent="0.3">
      <c r="B113" s="62" t="s">
        <v>163</v>
      </c>
      <c r="C113" s="63"/>
      <c r="D113" s="157"/>
      <c r="E113" s="158"/>
      <c r="I113" s="328">
        <f t="shared" si="6"/>
        <v>0</v>
      </c>
      <c r="J113" s="328">
        <f t="shared" si="7"/>
        <v>0</v>
      </c>
    </row>
    <row r="114" spans="2:10" x14ac:dyDescent="0.3">
      <c r="B114" s="271" t="s">
        <v>164</v>
      </c>
      <c r="C114" s="272"/>
      <c r="D114" s="268" t="s">
        <v>165</v>
      </c>
      <c r="E114" s="264">
        <v>0</v>
      </c>
      <c r="I114" s="328">
        <f t="shared" si="6"/>
        <v>0</v>
      </c>
      <c r="J114" s="328">
        <f t="shared" si="7"/>
        <v>0</v>
      </c>
    </row>
    <row r="115" spans="2:10" s="9" customFormat="1" x14ac:dyDescent="0.3">
      <c r="B115" s="5"/>
      <c r="C115" s="6"/>
      <c r="D115" s="7"/>
      <c r="E115" s="78"/>
      <c r="I115" s="328">
        <f t="shared" si="6"/>
        <v>0</v>
      </c>
      <c r="J115" s="328">
        <f t="shared" si="7"/>
        <v>0</v>
      </c>
    </row>
    <row r="116" spans="2:10" x14ac:dyDescent="0.3">
      <c r="E116" s="61"/>
      <c r="I116" s="328">
        <f t="shared" si="6"/>
        <v>0</v>
      </c>
      <c r="J116" s="328">
        <f t="shared" si="7"/>
        <v>0</v>
      </c>
    </row>
    <row r="117" spans="2:10" collapsed="1" x14ac:dyDescent="0.3">
      <c r="B117" s="74" t="s">
        <v>193</v>
      </c>
      <c r="C117" s="75"/>
      <c r="D117" s="76"/>
      <c r="E117" s="77"/>
      <c r="I117" s="328">
        <f t="shared" si="6"/>
        <v>0</v>
      </c>
      <c r="J117" s="328">
        <f t="shared" si="7"/>
        <v>0</v>
      </c>
    </row>
    <row r="118" spans="2:10" x14ac:dyDescent="0.3">
      <c r="B118" s="62" t="s">
        <v>107</v>
      </c>
      <c r="C118" s="7"/>
      <c r="E118" s="61"/>
      <c r="I118" s="328">
        <f t="shared" si="6"/>
        <v>0</v>
      </c>
      <c r="J118" s="328">
        <f t="shared" si="7"/>
        <v>0</v>
      </c>
    </row>
    <row r="119" spans="2:10" x14ac:dyDescent="0.3">
      <c r="B119" s="261" t="s">
        <v>108</v>
      </c>
      <c r="C119" s="262"/>
      <c r="D119" s="268" t="s">
        <v>109</v>
      </c>
      <c r="E119" s="264">
        <v>48</v>
      </c>
      <c r="I119" s="328">
        <f t="shared" si="6"/>
        <v>10.762560000000001</v>
      </c>
      <c r="J119" s="328">
        <f t="shared" si="7"/>
        <v>5.6726399999999995</v>
      </c>
    </row>
    <row r="120" spans="2:10" x14ac:dyDescent="0.3">
      <c r="B120" s="261" t="s">
        <v>110</v>
      </c>
      <c r="C120" s="262"/>
      <c r="D120" s="263" t="s">
        <v>111</v>
      </c>
      <c r="E120" s="264">
        <v>153</v>
      </c>
      <c r="I120" s="328">
        <f t="shared" si="6"/>
        <v>34.305660000000003</v>
      </c>
      <c r="J120" s="328">
        <f t="shared" si="7"/>
        <v>18.08154</v>
      </c>
    </row>
    <row r="121" spans="2:10" x14ac:dyDescent="0.3">
      <c r="B121" s="266" t="s">
        <v>194</v>
      </c>
      <c r="C121" s="267"/>
      <c r="D121" s="268" t="s">
        <v>195</v>
      </c>
      <c r="E121" s="264">
        <v>229</v>
      </c>
      <c r="I121" s="328">
        <f t="shared" si="6"/>
        <v>51.346380000000003</v>
      </c>
      <c r="J121" s="328">
        <f t="shared" si="7"/>
        <v>27.063219999999998</v>
      </c>
    </row>
    <row r="122" spans="2:10" x14ac:dyDescent="0.3">
      <c r="B122" s="261" t="s">
        <v>112</v>
      </c>
      <c r="C122" s="262"/>
      <c r="D122" s="268" t="s">
        <v>113</v>
      </c>
      <c r="E122" s="264">
        <v>328</v>
      </c>
      <c r="I122" s="328">
        <f t="shared" ref="I122:I185" si="8">E122*$I$3</f>
        <v>73.544160000000005</v>
      </c>
      <c r="J122" s="328">
        <f t="shared" ref="J122:J185" si="9">E122*$J$3</f>
        <v>38.763039999999997</v>
      </c>
    </row>
    <row r="123" spans="2:10" x14ac:dyDescent="0.3">
      <c r="B123" s="266" t="s">
        <v>196</v>
      </c>
      <c r="C123" s="267"/>
      <c r="D123" s="268" t="s">
        <v>197</v>
      </c>
      <c r="E123" s="264">
        <v>398</v>
      </c>
      <c r="I123" s="328">
        <f t="shared" si="8"/>
        <v>89.239559999999997</v>
      </c>
      <c r="J123" s="328">
        <f t="shared" si="9"/>
        <v>47.035640000000001</v>
      </c>
    </row>
    <row r="124" spans="2:10" x14ac:dyDescent="0.3">
      <c r="B124" s="62"/>
      <c r="C124" s="63"/>
      <c r="E124" s="158"/>
      <c r="I124" s="328">
        <f t="shared" si="8"/>
        <v>0</v>
      </c>
      <c r="J124" s="328">
        <f t="shared" si="9"/>
        <v>0</v>
      </c>
    </row>
    <row r="125" spans="2:10" x14ac:dyDescent="0.3">
      <c r="B125" s="62" t="s">
        <v>114</v>
      </c>
      <c r="C125" s="63"/>
      <c r="D125" s="157"/>
      <c r="E125" s="158"/>
      <c r="I125" s="328">
        <f t="shared" si="8"/>
        <v>0</v>
      </c>
      <c r="J125" s="328">
        <f t="shared" si="9"/>
        <v>0</v>
      </c>
    </row>
    <row r="126" spans="2:10" x14ac:dyDescent="0.3">
      <c r="B126" s="266" t="s">
        <v>198</v>
      </c>
      <c r="C126" s="265"/>
      <c r="D126" s="268" t="s">
        <v>199</v>
      </c>
      <c r="E126" s="264">
        <v>128</v>
      </c>
      <c r="I126" s="328">
        <f t="shared" si="8"/>
        <v>28.70016</v>
      </c>
      <c r="J126" s="328">
        <f t="shared" si="9"/>
        <v>15.127039999999999</v>
      </c>
    </row>
    <row r="127" spans="2:10" x14ac:dyDescent="0.3">
      <c r="B127" s="266" t="s">
        <v>200</v>
      </c>
      <c r="C127" s="265"/>
      <c r="D127" s="268" t="s">
        <v>201</v>
      </c>
      <c r="E127" s="264">
        <v>416</v>
      </c>
      <c r="I127" s="328">
        <f t="shared" si="8"/>
        <v>93.27552</v>
      </c>
      <c r="J127" s="328">
        <f t="shared" si="9"/>
        <v>49.162879999999994</v>
      </c>
    </row>
    <row r="128" spans="2:10" x14ac:dyDescent="0.3">
      <c r="B128" s="266" t="s">
        <v>202</v>
      </c>
      <c r="C128" s="265"/>
      <c r="D128" s="268" t="s">
        <v>203</v>
      </c>
      <c r="E128" s="264">
        <v>369</v>
      </c>
      <c r="I128" s="328">
        <f t="shared" si="8"/>
        <v>82.737179999999995</v>
      </c>
      <c r="J128" s="328">
        <f t="shared" si="9"/>
        <v>43.608419999999995</v>
      </c>
    </row>
    <row r="129" spans="1:10" customFormat="1" ht="14.5" x14ac:dyDescent="0.35">
      <c r="B129" s="266" t="s">
        <v>204</v>
      </c>
      <c r="C129" s="265"/>
      <c r="D129" s="268" t="s">
        <v>205</v>
      </c>
      <c r="E129" s="264">
        <v>946</v>
      </c>
      <c r="I129" s="328">
        <f t="shared" si="8"/>
        <v>212.11212</v>
      </c>
      <c r="J129" s="328">
        <f t="shared" si="9"/>
        <v>111.79827999999999</v>
      </c>
    </row>
    <row r="130" spans="1:10" customFormat="1" ht="14.5" x14ac:dyDescent="0.35">
      <c r="B130" s="62" t="s">
        <v>206</v>
      </c>
      <c r="C130" s="68"/>
      <c r="D130" s="55"/>
      <c r="E130" s="61"/>
      <c r="I130" s="328">
        <f t="shared" si="8"/>
        <v>0</v>
      </c>
      <c r="J130" s="328">
        <f t="shared" si="9"/>
        <v>0</v>
      </c>
    </row>
    <row r="131" spans="1:10" x14ac:dyDescent="0.3">
      <c r="B131" s="266" t="s">
        <v>207</v>
      </c>
      <c r="C131" s="265"/>
      <c r="D131" s="155" t="s">
        <v>208</v>
      </c>
      <c r="E131" s="264">
        <v>35</v>
      </c>
      <c r="I131" s="328">
        <f t="shared" si="8"/>
        <v>7.8476999999999997</v>
      </c>
      <c r="J131" s="328">
        <f t="shared" si="9"/>
        <v>4.1362999999999994</v>
      </c>
    </row>
    <row r="132" spans="1:10" x14ac:dyDescent="0.3">
      <c r="A132" s="15"/>
      <c r="B132" s="266" t="s">
        <v>209</v>
      </c>
      <c r="C132" s="265"/>
      <c r="D132" s="155" t="s">
        <v>210</v>
      </c>
      <c r="E132" s="264">
        <v>183</v>
      </c>
      <c r="I132" s="328">
        <f t="shared" si="8"/>
        <v>41.032260000000001</v>
      </c>
      <c r="J132" s="328">
        <f t="shared" si="9"/>
        <v>21.626939999999998</v>
      </c>
    </row>
    <row r="133" spans="1:10" x14ac:dyDescent="0.3">
      <c r="B133" s="266" t="s">
        <v>211</v>
      </c>
      <c r="C133" s="265"/>
      <c r="D133" s="155" t="s">
        <v>212</v>
      </c>
      <c r="E133" s="264">
        <v>480</v>
      </c>
      <c r="I133" s="328">
        <f t="shared" si="8"/>
        <v>107.62560000000001</v>
      </c>
      <c r="J133" s="328">
        <f t="shared" si="9"/>
        <v>56.726399999999998</v>
      </c>
    </row>
    <row r="134" spans="1:10" x14ac:dyDescent="0.3">
      <c r="B134" s="266" t="s">
        <v>213</v>
      </c>
      <c r="C134" s="265"/>
      <c r="D134" s="268" t="s">
        <v>214</v>
      </c>
      <c r="E134" s="264">
        <v>571</v>
      </c>
      <c r="I134" s="328">
        <f t="shared" si="8"/>
        <v>128.02961999999999</v>
      </c>
      <c r="J134" s="328">
        <f t="shared" si="9"/>
        <v>67.480779999999996</v>
      </c>
    </row>
    <row r="135" spans="1:10" x14ac:dyDescent="0.3">
      <c r="B135" s="266" t="s">
        <v>215</v>
      </c>
      <c r="C135" s="265"/>
      <c r="D135" s="155" t="s">
        <v>216</v>
      </c>
      <c r="E135" s="264">
        <v>1255</v>
      </c>
      <c r="I135" s="328">
        <f t="shared" si="8"/>
        <v>281.39609999999999</v>
      </c>
      <c r="J135" s="328">
        <f t="shared" si="9"/>
        <v>148.3159</v>
      </c>
    </row>
    <row r="136" spans="1:10" x14ac:dyDescent="0.3">
      <c r="E136" s="78"/>
      <c r="I136" s="328">
        <f t="shared" si="8"/>
        <v>0</v>
      </c>
      <c r="J136" s="328">
        <f t="shared" si="9"/>
        <v>0</v>
      </c>
    </row>
    <row r="137" spans="1:10" x14ac:dyDescent="0.3">
      <c r="B137" s="62" t="s">
        <v>217</v>
      </c>
      <c r="C137" s="63"/>
      <c r="D137" s="157"/>
      <c r="E137" s="158"/>
      <c r="I137" s="328">
        <f t="shared" si="8"/>
        <v>0</v>
      </c>
      <c r="J137" s="328">
        <f t="shared" si="9"/>
        <v>0</v>
      </c>
    </row>
    <row r="138" spans="1:10" ht="15" customHeight="1" x14ac:dyDescent="0.3">
      <c r="B138" s="266" t="s">
        <v>170</v>
      </c>
      <c r="C138" s="267"/>
      <c r="D138" s="268" t="s">
        <v>123</v>
      </c>
      <c r="E138" s="264">
        <v>58</v>
      </c>
      <c r="I138" s="328">
        <f t="shared" si="8"/>
        <v>13.004760000000001</v>
      </c>
      <c r="J138" s="328">
        <f t="shared" si="9"/>
        <v>6.8544399999999994</v>
      </c>
    </row>
    <row r="139" spans="1:10" x14ac:dyDescent="0.3">
      <c r="B139" s="266" t="s">
        <v>124</v>
      </c>
      <c r="C139" s="267"/>
      <c r="D139" s="268" t="s">
        <v>125</v>
      </c>
      <c r="E139" s="264">
        <v>131</v>
      </c>
      <c r="I139" s="328">
        <f t="shared" si="8"/>
        <v>29.372820000000001</v>
      </c>
      <c r="J139" s="328">
        <f t="shared" si="9"/>
        <v>15.481579999999999</v>
      </c>
    </row>
    <row r="140" spans="1:10" x14ac:dyDescent="0.3">
      <c r="B140" s="266" t="s">
        <v>126</v>
      </c>
      <c r="C140" s="267"/>
      <c r="D140" s="268" t="s">
        <v>127</v>
      </c>
      <c r="E140" s="264">
        <v>275</v>
      </c>
      <c r="I140" s="328">
        <f t="shared" si="8"/>
        <v>61.660499999999999</v>
      </c>
      <c r="J140" s="328">
        <f t="shared" si="9"/>
        <v>32.499499999999998</v>
      </c>
    </row>
    <row r="141" spans="1:10" x14ac:dyDescent="0.3">
      <c r="B141" s="266" t="s">
        <v>218</v>
      </c>
      <c r="C141" s="267"/>
      <c r="D141" s="268" t="s">
        <v>219</v>
      </c>
      <c r="E141" s="264">
        <v>575</v>
      </c>
      <c r="I141" s="328">
        <f t="shared" si="8"/>
        <v>128.9265</v>
      </c>
      <c r="J141" s="328">
        <f t="shared" si="9"/>
        <v>67.953499999999991</v>
      </c>
    </row>
    <row r="142" spans="1:10" x14ac:dyDescent="0.3">
      <c r="B142" s="62" t="s">
        <v>220</v>
      </c>
      <c r="C142" s="63"/>
      <c r="D142" s="157"/>
      <c r="E142" s="158"/>
      <c r="I142" s="328">
        <f t="shared" si="8"/>
        <v>0</v>
      </c>
      <c r="J142" s="328">
        <f t="shared" si="9"/>
        <v>0</v>
      </c>
    </row>
    <row r="143" spans="1:10" x14ac:dyDescent="0.3">
      <c r="B143" s="266" t="s">
        <v>129</v>
      </c>
      <c r="C143" s="267"/>
      <c r="D143" s="268" t="s">
        <v>130</v>
      </c>
      <c r="E143" s="264">
        <v>75</v>
      </c>
      <c r="I143" s="328">
        <f t="shared" si="8"/>
        <v>16.816500000000001</v>
      </c>
      <c r="J143" s="328">
        <f t="shared" si="9"/>
        <v>8.8635000000000002</v>
      </c>
    </row>
    <row r="144" spans="1:10" x14ac:dyDescent="0.3">
      <c r="B144" s="266" t="s">
        <v>170</v>
      </c>
      <c r="C144" s="267"/>
      <c r="D144" s="268" t="s">
        <v>131</v>
      </c>
      <c r="E144" s="264">
        <v>133</v>
      </c>
      <c r="I144" s="328">
        <f t="shared" si="8"/>
        <v>29.821259999999999</v>
      </c>
      <c r="J144" s="328">
        <f t="shared" si="9"/>
        <v>15.717939999999999</v>
      </c>
    </row>
    <row r="145" spans="2:10" x14ac:dyDescent="0.3">
      <c r="B145" s="266" t="s">
        <v>124</v>
      </c>
      <c r="C145" s="267"/>
      <c r="D145" s="268" t="s">
        <v>132</v>
      </c>
      <c r="E145" s="264">
        <v>206</v>
      </c>
      <c r="I145" s="328">
        <f t="shared" si="8"/>
        <v>46.189320000000002</v>
      </c>
      <c r="J145" s="328">
        <f t="shared" si="9"/>
        <v>24.345079999999999</v>
      </c>
    </row>
    <row r="146" spans="2:10" x14ac:dyDescent="0.3">
      <c r="B146" s="266" t="s">
        <v>126</v>
      </c>
      <c r="C146" s="267"/>
      <c r="D146" s="268" t="s">
        <v>133</v>
      </c>
      <c r="E146" s="264">
        <v>350</v>
      </c>
      <c r="I146" s="328">
        <f t="shared" si="8"/>
        <v>78.477000000000004</v>
      </c>
      <c r="J146" s="328">
        <f t="shared" si="9"/>
        <v>41.363</v>
      </c>
    </row>
    <row r="147" spans="2:10" x14ac:dyDescent="0.3">
      <c r="B147" s="266" t="s">
        <v>218</v>
      </c>
      <c r="C147" s="267"/>
      <c r="D147" s="268" t="s">
        <v>221</v>
      </c>
      <c r="E147" s="264">
        <v>650</v>
      </c>
      <c r="G147" s="239"/>
      <c r="I147" s="328">
        <f t="shared" si="8"/>
        <v>145.74299999999999</v>
      </c>
      <c r="J147" s="328">
        <f t="shared" si="9"/>
        <v>76.816999999999993</v>
      </c>
    </row>
    <row r="148" spans="2:10" x14ac:dyDescent="0.3">
      <c r="E148" s="78"/>
      <c r="I148" s="328">
        <f t="shared" si="8"/>
        <v>0</v>
      </c>
      <c r="J148" s="328">
        <f t="shared" si="9"/>
        <v>0</v>
      </c>
    </row>
    <row r="149" spans="2:10" x14ac:dyDescent="0.3">
      <c r="B149" s="62" t="s">
        <v>222</v>
      </c>
      <c r="C149" s="63"/>
      <c r="D149" s="157"/>
      <c r="E149" s="158"/>
      <c r="I149" s="328">
        <f t="shared" si="8"/>
        <v>0</v>
      </c>
      <c r="J149" s="328">
        <f t="shared" si="9"/>
        <v>0</v>
      </c>
    </row>
    <row r="150" spans="2:10" x14ac:dyDescent="0.3">
      <c r="B150" s="266" t="s">
        <v>171</v>
      </c>
      <c r="C150" s="267"/>
      <c r="D150" s="268" t="s">
        <v>172</v>
      </c>
      <c r="E150" s="264">
        <v>46</v>
      </c>
      <c r="I150" s="328">
        <f t="shared" si="8"/>
        <v>10.314120000000001</v>
      </c>
      <c r="J150" s="328">
        <f t="shared" si="9"/>
        <v>5.43628</v>
      </c>
    </row>
    <row r="151" spans="2:10" x14ac:dyDescent="0.3">
      <c r="B151" s="266" t="s">
        <v>173</v>
      </c>
      <c r="C151" s="267"/>
      <c r="D151" s="268" t="s">
        <v>174</v>
      </c>
      <c r="E151" s="264">
        <v>69</v>
      </c>
      <c r="I151" s="328">
        <f t="shared" si="8"/>
        <v>15.47118</v>
      </c>
      <c r="J151" s="328">
        <f t="shared" si="9"/>
        <v>8.15442</v>
      </c>
    </row>
    <row r="152" spans="2:10" x14ac:dyDescent="0.3">
      <c r="B152" s="266" t="s">
        <v>175</v>
      </c>
      <c r="C152" s="267"/>
      <c r="D152" s="268" t="s">
        <v>176</v>
      </c>
      <c r="E152" s="264">
        <v>82</v>
      </c>
      <c r="I152" s="328">
        <f t="shared" si="8"/>
        <v>18.386040000000001</v>
      </c>
      <c r="J152" s="328">
        <f t="shared" si="9"/>
        <v>9.6907599999999992</v>
      </c>
    </row>
    <row r="153" spans="2:10" x14ac:dyDescent="0.3">
      <c r="B153" s="62" t="s">
        <v>223</v>
      </c>
      <c r="C153" s="63"/>
      <c r="D153" s="157"/>
      <c r="E153" s="158"/>
      <c r="I153" s="328">
        <f t="shared" si="8"/>
        <v>0</v>
      </c>
      <c r="J153" s="328">
        <f t="shared" si="9"/>
        <v>0</v>
      </c>
    </row>
    <row r="154" spans="2:10" x14ac:dyDescent="0.3">
      <c r="B154" s="266" t="s">
        <v>171</v>
      </c>
      <c r="C154" s="267"/>
      <c r="D154" s="268" t="s">
        <v>172</v>
      </c>
      <c r="E154" s="264">
        <v>46</v>
      </c>
      <c r="I154" s="328">
        <f t="shared" si="8"/>
        <v>10.314120000000001</v>
      </c>
      <c r="J154" s="328">
        <f t="shared" si="9"/>
        <v>5.43628</v>
      </c>
    </row>
    <row r="155" spans="2:10" x14ac:dyDescent="0.3">
      <c r="B155" s="266" t="s">
        <v>173</v>
      </c>
      <c r="C155" s="267"/>
      <c r="D155" s="268" t="s">
        <v>174</v>
      </c>
      <c r="E155" s="264">
        <v>69</v>
      </c>
      <c r="I155" s="328">
        <f t="shared" si="8"/>
        <v>15.47118</v>
      </c>
      <c r="J155" s="328">
        <f t="shared" si="9"/>
        <v>8.15442</v>
      </c>
    </row>
    <row r="156" spans="2:10" x14ac:dyDescent="0.3">
      <c r="B156" s="266" t="s">
        <v>175</v>
      </c>
      <c r="C156" s="267"/>
      <c r="D156" s="268" t="s">
        <v>176</v>
      </c>
      <c r="E156" s="264">
        <v>82</v>
      </c>
      <c r="I156" s="328">
        <f t="shared" si="8"/>
        <v>18.386040000000001</v>
      </c>
      <c r="J156" s="328">
        <f t="shared" si="9"/>
        <v>9.6907599999999992</v>
      </c>
    </row>
    <row r="157" spans="2:10" s="9" customFormat="1" x14ac:dyDescent="0.3">
      <c r="B157" s="5"/>
      <c r="C157" s="6"/>
      <c r="D157" s="7"/>
      <c r="E157" s="78"/>
      <c r="I157" s="328">
        <f t="shared" si="8"/>
        <v>0</v>
      </c>
      <c r="J157" s="328">
        <f t="shared" si="9"/>
        <v>0</v>
      </c>
    </row>
    <row r="158" spans="2:10" s="9" customFormat="1" x14ac:dyDescent="0.3">
      <c r="B158" s="62" t="s">
        <v>224</v>
      </c>
      <c r="C158" s="63"/>
      <c r="D158" s="157"/>
      <c r="E158" s="158"/>
      <c r="I158" s="328">
        <f t="shared" si="8"/>
        <v>0</v>
      </c>
      <c r="J158" s="328">
        <f t="shared" si="9"/>
        <v>0</v>
      </c>
    </row>
    <row r="159" spans="2:10" x14ac:dyDescent="0.3">
      <c r="B159" s="266" t="s">
        <v>225</v>
      </c>
      <c r="C159" s="267"/>
      <c r="D159" s="268" t="s">
        <v>226</v>
      </c>
      <c r="E159" s="264">
        <v>55</v>
      </c>
      <c r="I159" s="328">
        <f t="shared" si="8"/>
        <v>12.332100000000001</v>
      </c>
      <c r="J159" s="328">
        <f t="shared" si="9"/>
        <v>6.4998999999999993</v>
      </c>
    </row>
    <row r="160" spans="2:10" s="9" customFormat="1" x14ac:dyDescent="0.3">
      <c r="B160" s="5"/>
      <c r="C160" s="6"/>
      <c r="D160" s="7"/>
      <c r="E160" s="78"/>
      <c r="I160" s="328">
        <f t="shared" si="8"/>
        <v>0</v>
      </c>
      <c r="J160" s="328">
        <f t="shared" si="9"/>
        <v>0</v>
      </c>
    </row>
    <row r="161" spans="1:10" s="9" customFormat="1" x14ac:dyDescent="0.3">
      <c r="B161" s="62" t="s">
        <v>227</v>
      </c>
      <c r="C161" s="63"/>
      <c r="D161" s="157"/>
      <c r="E161" s="158"/>
      <c r="I161" s="328">
        <f t="shared" si="8"/>
        <v>0</v>
      </c>
      <c r="J161" s="328">
        <f t="shared" si="9"/>
        <v>0</v>
      </c>
    </row>
    <row r="162" spans="1:10" x14ac:dyDescent="0.3">
      <c r="B162" s="266" t="s">
        <v>228</v>
      </c>
      <c r="C162" s="267"/>
      <c r="D162" s="268" t="s">
        <v>229</v>
      </c>
      <c r="E162" s="264">
        <v>36</v>
      </c>
      <c r="I162" s="328">
        <f t="shared" si="8"/>
        <v>8.0719200000000004</v>
      </c>
      <c r="J162" s="328">
        <f t="shared" si="9"/>
        <v>4.25448</v>
      </c>
    </row>
    <row r="163" spans="1:10" x14ac:dyDescent="0.3">
      <c r="E163" s="61"/>
      <c r="I163" s="328">
        <f t="shared" si="8"/>
        <v>0</v>
      </c>
      <c r="J163" s="328">
        <f t="shared" si="9"/>
        <v>0</v>
      </c>
    </row>
    <row r="164" spans="1:10" s="9" customFormat="1" x14ac:dyDescent="0.3">
      <c r="B164" s="79" t="s">
        <v>134</v>
      </c>
      <c r="C164" s="63"/>
      <c r="D164" s="157"/>
      <c r="E164" s="158"/>
      <c r="I164" s="328">
        <f t="shared" si="8"/>
        <v>0</v>
      </c>
      <c r="J164" s="328">
        <f t="shared" si="9"/>
        <v>0</v>
      </c>
    </row>
    <row r="165" spans="1:10" x14ac:dyDescent="0.3">
      <c r="B165" s="27" t="s">
        <v>230</v>
      </c>
      <c r="C165" s="184"/>
      <c r="D165" s="28"/>
      <c r="E165" s="37"/>
      <c r="I165" s="328">
        <f t="shared" si="8"/>
        <v>0</v>
      </c>
      <c r="J165" s="328">
        <f t="shared" si="9"/>
        <v>0</v>
      </c>
    </row>
    <row r="166" spans="1:10" x14ac:dyDescent="0.3">
      <c r="B166" s="267" t="s">
        <v>135</v>
      </c>
      <c r="C166" s="267"/>
      <c r="D166" s="268" t="s">
        <v>136</v>
      </c>
      <c r="E166" s="264">
        <v>192</v>
      </c>
      <c r="I166" s="328">
        <f t="shared" si="8"/>
        <v>43.050240000000002</v>
      </c>
      <c r="J166" s="328">
        <f t="shared" si="9"/>
        <v>22.690559999999998</v>
      </c>
    </row>
    <row r="167" spans="1:10" x14ac:dyDescent="0.3">
      <c r="A167" s="15"/>
      <c r="B167" s="261" t="s">
        <v>137</v>
      </c>
      <c r="C167" s="267"/>
      <c r="D167" s="268" t="s">
        <v>138</v>
      </c>
      <c r="E167" s="264">
        <v>510</v>
      </c>
      <c r="I167" s="328">
        <f t="shared" si="8"/>
        <v>114.3522</v>
      </c>
      <c r="J167" s="328">
        <f t="shared" si="9"/>
        <v>60.271799999999999</v>
      </c>
    </row>
    <row r="168" spans="1:10" x14ac:dyDescent="0.3">
      <c r="A168" s="15"/>
      <c r="B168" s="266" t="s">
        <v>231</v>
      </c>
      <c r="C168" s="267"/>
      <c r="D168" s="268" t="s">
        <v>232</v>
      </c>
      <c r="E168" s="264">
        <v>1291</v>
      </c>
      <c r="I168" s="328">
        <f t="shared" si="8"/>
        <v>289.46802000000002</v>
      </c>
      <c r="J168" s="328">
        <f t="shared" si="9"/>
        <v>152.57038</v>
      </c>
    </row>
    <row r="169" spans="1:10" x14ac:dyDescent="0.3">
      <c r="A169" s="15"/>
      <c r="B169" s="266" t="s">
        <v>233</v>
      </c>
      <c r="C169" s="267"/>
      <c r="D169" s="268" t="s">
        <v>234</v>
      </c>
      <c r="E169" s="264">
        <v>2266</v>
      </c>
      <c r="I169" s="328">
        <f t="shared" si="8"/>
        <v>508.08251999999999</v>
      </c>
      <c r="J169" s="328">
        <f t="shared" si="9"/>
        <v>267.79588000000001</v>
      </c>
    </row>
    <row r="170" spans="1:10" ht="15.75" customHeight="1" x14ac:dyDescent="0.3">
      <c r="A170" s="15"/>
      <c r="B170" s="266" t="s">
        <v>235</v>
      </c>
      <c r="C170" s="267"/>
      <c r="D170" s="268" t="s">
        <v>236</v>
      </c>
      <c r="E170" s="273">
        <v>3708</v>
      </c>
      <c r="I170" s="328">
        <f t="shared" si="8"/>
        <v>831.40776000000005</v>
      </c>
      <c r="J170" s="328">
        <f t="shared" si="9"/>
        <v>438.21143999999998</v>
      </c>
    </row>
    <row r="171" spans="1:10" x14ac:dyDescent="0.3">
      <c r="A171" s="15"/>
      <c r="B171" s="266" t="s">
        <v>237</v>
      </c>
      <c r="C171" s="267"/>
      <c r="D171" s="268" t="s">
        <v>238</v>
      </c>
      <c r="E171" s="264">
        <v>6644</v>
      </c>
      <c r="I171" s="328">
        <f t="shared" si="8"/>
        <v>1489.71768</v>
      </c>
      <c r="J171" s="328">
        <f t="shared" si="9"/>
        <v>785.18791999999996</v>
      </c>
    </row>
    <row r="172" spans="1:10" x14ac:dyDescent="0.3">
      <c r="A172" s="15"/>
      <c r="B172" s="27" t="s">
        <v>239</v>
      </c>
      <c r="C172" s="184"/>
      <c r="D172" s="28"/>
      <c r="E172" s="37"/>
      <c r="I172" s="328">
        <f t="shared" si="8"/>
        <v>0</v>
      </c>
      <c r="J172" s="328">
        <f t="shared" si="9"/>
        <v>0</v>
      </c>
    </row>
    <row r="173" spans="1:10" x14ac:dyDescent="0.3">
      <c r="A173" s="15"/>
      <c r="B173" s="266" t="s">
        <v>240</v>
      </c>
      <c r="C173" s="267"/>
      <c r="D173" s="268" t="s">
        <v>241</v>
      </c>
      <c r="E173" s="264">
        <v>431</v>
      </c>
      <c r="I173" s="328">
        <f t="shared" si="8"/>
        <v>96.638819999999996</v>
      </c>
      <c r="J173" s="328">
        <f t="shared" si="9"/>
        <v>50.935579999999995</v>
      </c>
    </row>
    <row r="174" spans="1:10" ht="26" x14ac:dyDescent="0.3">
      <c r="A174" s="15"/>
      <c r="B174" s="266" t="s">
        <v>242</v>
      </c>
      <c r="C174" s="266"/>
      <c r="D174" s="268" t="s">
        <v>243</v>
      </c>
      <c r="E174" s="264">
        <v>693</v>
      </c>
      <c r="I174" s="328">
        <f t="shared" si="8"/>
        <v>155.38445999999999</v>
      </c>
      <c r="J174" s="328">
        <f t="shared" si="9"/>
        <v>81.898739999999989</v>
      </c>
    </row>
    <row r="175" spans="1:10" s="6" customFormat="1" ht="26" x14ac:dyDescent="0.3">
      <c r="A175" s="118"/>
      <c r="B175" s="266" t="s">
        <v>244</v>
      </c>
      <c r="C175" s="266"/>
      <c r="D175" s="268" t="s">
        <v>245</v>
      </c>
      <c r="E175" s="264">
        <v>1312</v>
      </c>
      <c r="I175" s="328">
        <f t="shared" si="8"/>
        <v>294.17664000000002</v>
      </c>
      <c r="J175" s="328">
        <f t="shared" si="9"/>
        <v>155.05215999999999</v>
      </c>
    </row>
    <row r="176" spans="1:10" ht="26" x14ac:dyDescent="0.3">
      <c r="A176" s="15"/>
      <c r="B176" s="266" t="s">
        <v>246</v>
      </c>
      <c r="C176" s="266"/>
      <c r="D176" s="268" t="s">
        <v>247</v>
      </c>
      <c r="E176" s="264">
        <v>1854</v>
      </c>
      <c r="I176" s="328">
        <f t="shared" si="8"/>
        <v>415.70388000000003</v>
      </c>
      <c r="J176" s="328">
        <f t="shared" si="9"/>
        <v>219.10571999999999</v>
      </c>
    </row>
    <row r="177" spans="2:10" s="9" customFormat="1" x14ac:dyDescent="0.3">
      <c r="B177" s="5"/>
      <c r="C177" s="6"/>
      <c r="D177" s="7"/>
      <c r="E177" s="78"/>
      <c r="I177" s="328">
        <f t="shared" si="8"/>
        <v>0</v>
      </c>
      <c r="J177" s="328">
        <f t="shared" si="9"/>
        <v>0</v>
      </c>
    </row>
    <row r="178" spans="2:10" s="9" customFormat="1" x14ac:dyDescent="0.3">
      <c r="B178" s="62" t="s">
        <v>248</v>
      </c>
      <c r="C178" s="63"/>
      <c r="D178" s="157"/>
      <c r="E178" s="158"/>
      <c r="I178" s="328">
        <f t="shared" si="8"/>
        <v>0</v>
      </c>
      <c r="J178" s="328">
        <f t="shared" si="9"/>
        <v>0</v>
      </c>
    </row>
    <row r="179" spans="2:10" customFormat="1" ht="14.5" x14ac:dyDescent="0.35">
      <c r="B179" s="266" t="s">
        <v>249</v>
      </c>
      <c r="C179" s="267"/>
      <c r="D179" s="268" t="s">
        <v>184</v>
      </c>
      <c r="E179" s="264">
        <v>12</v>
      </c>
      <c r="I179" s="328">
        <f t="shared" si="8"/>
        <v>2.6906400000000001</v>
      </c>
      <c r="J179" s="328">
        <f t="shared" si="9"/>
        <v>1.4181599999999999</v>
      </c>
    </row>
    <row r="180" spans="2:10" s="9" customFormat="1" x14ac:dyDescent="0.3">
      <c r="B180" s="266" t="s">
        <v>250</v>
      </c>
      <c r="C180" s="267"/>
      <c r="D180" s="268" t="s">
        <v>251</v>
      </c>
      <c r="E180" s="264">
        <v>88</v>
      </c>
      <c r="I180" s="328">
        <f t="shared" si="8"/>
        <v>19.731359999999999</v>
      </c>
      <c r="J180" s="328">
        <f t="shared" si="9"/>
        <v>10.399839999999999</v>
      </c>
    </row>
    <row r="181" spans="2:10" s="9" customFormat="1" x14ac:dyDescent="0.3">
      <c r="B181" s="154"/>
      <c r="C181" s="182"/>
      <c r="D181" s="183"/>
      <c r="E181" s="183"/>
      <c r="I181" s="328">
        <f t="shared" si="8"/>
        <v>0</v>
      </c>
      <c r="J181" s="328">
        <f t="shared" si="9"/>
        <v>0</v>
      </c>
    </row>
    <row r="182" spans="2:10" s="9" customFormat="1" x14ac:dyDescent="0.3">
      <c r="B182" s="62" t="s">
        <v>252</v>
      </c>
      <c r="C182" s="63"/>
      <c r="D182" s="157"/>
      <c r="E182" s="157"/>
      <c r="I182" s="328">
        <f t="shared" si="8"/>
        <v>0</v>
      </c>
      <c r="J182" s="328">
        <f t="shared" si="9"/>
        <v>0</v>
      </c>
    </row>
    <row r="183" spans="2:10" s="80" customFormat="1" x14ac:dyDescent="0.3">
      <c r="B183" s="269" t="s">
        <v>253</v>
      </c>
      <c r="C183" s="274"/>
      <c r="D183" s="268" t="s">
        <v>143</v>
      </c>
      <c r="E183" s="264">
        <v>8</v>
      </c>
      <c r="I183" s="328">
        <f t="shared" si="8"/>
        <v>1.79376</v>
      </c>
      <c r="J183" s="328">
        <f t="shared" si="9"/>
        <v>0.94543999999999995</v>
      </c>
    </row>
    <row r="184" spans="2:10" s="80" customFormat="1" x14ac:dyDescent="0.3">
      <c r="B184" s="269" t="s">
        <v>254</v>
      </c>
      <c r="C184" s="274"/>
      <c r="D184" s="268" t="s">
        <v>145</v>
      </c>
      <c r="E184" s="264">
        <v>8</v>
      </c>
      <c r="I184" s="328">
        <f t="shared" si="8"/>
        <v>1.79376</v>
      </c>
      <c r="J184" s="328">
        <f t="shared" si="9"/>
        <v>0.94543999999999995</v>
      </c>
    </row>
    <row r="185" spans="2:10" s="80" customFormat="1" x14ac:dyDescent="0.3">
      <c r="B185" s="269" t="s">
        <v>255</v>
      </c>
      <c r="C185" s="267"/>
      <c r="D185" s="268" t="s">
        <v>147</v>
      </c>
      <c r="E185" s="264">
        <v>8</v>
      </c>
      <c r="I185" s="328">
        <f t="shared" si="8"/>
        <v>1.79376</v>
      </c>
      <c r="J185" s="328">
        <f t="shared" si="9"/>
        <v>0.94543999999999995</v>
      </c>
    </row>
    <row r="186" spans="2:10" s="80" customFormat="1" x14ac:dyDescent="0.3">
      <c r="B186" s="269" t="s">
        <v>256</v>
      </c>
      <c r="C186" s="274"/>
      <c r="D186" s="268" t="s">
        <v>149</v>
      </c>
      <c r="E186" s="264">
        <v>14</v>
      </c>
      <c r="I186" s="328">
        <f t="shared" ref="I186:I249" si="10">E186*$I$3</f>
        <v>3.1390799999999999</v>
      </c>
      <c r="J186" s="328">
        <f t="shared" ref="J186:J249" si="11">E186*$J$3</f>
        <v>1.65452</v>
      </c>
    </row>
    <row r="187" spans="2:10" x14ac:dyDescent="0.3">
      <c r="B187" s="92"/>
      <c r="C187" s="93"/>
      <c r="E187" s="7"/>
      <c r="I187" s="328">
        <f t="shared" si="10"/>
        <v>0</v>
      </c>
      <c r="J187" s="328">
        <f t="shared" si="11"/>
        <v>0</v>
      </c>
    </row>
    <row r="188" spans="2:10" s="80" customFormat="1" x14ac:dyDescent="0.3">
      <c r="B188" s="62" t="s">
        <v>257</v>
      </c>
      <c r="C188" s="63"/>
      <c r="D188" s="157"/>
      <c r="E188" s="157"/>
      <c r="I188" s="328">
        <f t="shared" si="10"/>
        <v>0</v>
      </c>
      <c r="J188" s="328">
        <f t="shared" si="11"/>
        <v>0</v>
      </c>
    </row>
    <row r="189" spans="2:10" s="80" customFormat="1" x14ac:dyDescent="0.3">
      <c r="B189" s="269" t="s">
        <v>258</v>
      </c>
      <c r="C189" s="274"/>
      <c r="D189" s="268" t="s">
        <v>259</v>
      </c>
      <c r="E189" s="264">
        <v>19</v>
      </c>
      <c r="I189" s="328">
        <f t="shared" si="10"/>
        <v>4.2601800000000001</v>
      </c>
      <c r="J189" s="328">
        <f t="shared" si="11"/>
        <v>2.2454199999999997</v>
      </c>
    </row>
    <row r="190" spans="2:10" x14ac:dyDescent="0.3">
      <c r="B190" s="92"/>
      <c r="C190" s="93"/>
      <c r="E190" s="7"/>
      <c r="I190" s="328">
        <f t="shared" si="10"/>
        <v>0</v>
      </c>
      <c r="J190" s="328">
        <f t="shared" si="11"/>
        <v>0</v>
      </c>
    </row>
    <row r="191" spans="2:10" s="9" customFormat="1" x14ac:dyDescent="0.3">
      <c r="B191" s="62" t="s">
        <v>152</v>
      </c>
      <c r="C191" s="63"/>
      <c r="D191" s="157"/>
      <c r="E191" s="157"/>
      <c r="I191" s="328">
        <f t="shared" si="10"/>
        <v>0</v>
      </c>
      <c r="J191" s="328">
        <f t="shared" si="11"/>
        <v>0</v>
      </c>
    </row>
    <row r="192" spans="2:10" s="80" customFormat="1" x14ac:dyDescent="0.3">
      <c r="B192" s="269" t="s">
        <v>260</v>
      </c>
      <c r="C192" s="267"/>
      <c r="D192" s="268" t="s">
        <v>154</v>
      </c>
      <c r="E192" s="264">
        <v>37</v>
      </c>
      <c r="I192" s="328">
        <f t="shared" si="10"/>
        <v>8.2961399999999994</v>
      </c>
      <c r="J192" s="328">
        <f t="shared" si="11"/>
        <v>4.3726599999999998</v>
      </c>
    </row>
    <row r="193" spans="2:10" x14ac:dyDescent="0.3">
      <c r="B193" s="92"/>
      <c r="C193" s="93"/>
      <c r="E193" s="7"/>
      <c r="I193" s="328">
        <f t="shared" si="10"/>
        <v>0</v>
      </c>
      <c r="J193" s="328">
        <f t="shared" si="11"/>
        <v>0</v>
      </c>
    </row>
    <row r="194" spans="2:10" s="9" customFormat="1" x14ac:dyDescent="0.3">
      <c r="B194" s="62" t="s">
        <v>261</v>
      </c>
      <c r="C194" s="63"/>
      <c r="D194" s="157"/>
      <c r="E194" s="157"/>
      <c r="I194" s="328">
        <f t="shared" si="10"/>
        <v>0</v>
      </c>
      <c r="J194" s="328">
        <f t="shared" si="11"/>
        <v>0</v>
      </c>
    </row>
    <row r="195" spans="2:10" x14ac:dyDescent="0.3">
      <c r="B195" s="266" t="s">
        <v>190</v>
      </c>
      <c r="C195" s="267"/>
      <c r="D195" s="268" t="s">
        <v>157</v>
      </c>
      <c r="E195" s="264">
        <v>40</v>
      </c>
      <c r="I195" s="328">
        <f t="shared" si="10"/>
        <v>8.9687999999999999</v>
      </c>
      <c r="J195" s="328">
        <f t="shared" si="11"/>
        <v>4.7271999999999998</v>
      </c>
    </row>
    <row r="196" spans="2:10" x14ac:dyDescent="0.3">
      <c r="B196" s="92"/>
      <c r="C196" s="93"/>
      <c r="E196" s="7"/>
      <c r="I196" s="328">
        <f t="shared" si="10"/>
        <v>0</v>
      </c>
      <c r="J196" s="328">
        <f t="shared" si="11"/>
        <v>0</v>
      </c>
    </row>
    <row r="197" spans="2:10" s="9" customFormat="1" x14ac:dyDescent="0.3">
      <c r="B197" s="62" t="s">
        <v>262</v>
      </c>
      <c r="C197" s="63"/>
      <c r="D197" s="157"/>
      <c r="E197" s="157"/>
      <c r="I197" s="328">
        <f t="shared" si="10"/>
        <v>0</v>
      </c>
      <c r="J197" s="328">
        <f t="shared" si="11"/>
        <v>0</v>
      </c>
    </row>
    <row r="198" spans="2:10" s="80" customFormat="1" x14ac:dyDescent="0.3">
      <c r="B198" s="269" t="s">
        <v>263</v>
      </c>
      <c r="C198" s="274"/>
      <c r="D198" s="268" t="s">
        <v>264</v>
      </c>
      <c r="E198" s="264">
        <v>14</v>
      </c>
      <c r="I198" s="328">
        <f t="shared" si="10"/>
        <v>3.1390799999999999</v>
      </c>
      <c r="J198" s="328">
        <f t="shared" si="11"/>
        <v>1.65452</v>
      </c>
    </row>
    <row r="199" spans="2:10" s="80" customFormat="1" x14ac:dyDescent="0.3">
      <c r="B199" s="269" t="s">
        <v>265</v>
      </c>
      <c r="C199" s="274"/>
      <c r="D199" s="268" t="s">
        <v>266</v>
      </c>
      <c r="E199" s="264">
        <v>72</v>
      </c>
      <c r="I199" s="328">
        <f t="shared" si="10"/>
        <v>16.143840000000001</v>
      </c>
      <c r="J199" s="328">
        <f t="shared" si="11"/>
        <v>8.5089600000000001</v>
      </c>
    </row>
    <row r="200" spans="2:10" x14ac:dyDescent="0.3">
      <c r="B200" s="92"/>
      <c r="C200" s="93"/>
      <c r="E200" s="7"/>
      <c r="I200" s="328">
        <f t="shared" si="10"/>
        <v>0</v>
      </c>
      <c r="J200" s="328">
        <f t="shared" si="11"/>
        <v>0</v>
      </c>
    </row>
    <row r="201" spans="2:10" customFormat="1" ht="14.5" x14ac:dyDescent="0.35">
      <c r="B201" s="62" t="s">
        <v>158</v>
      </c>
      <c r="C201" s="63"/>
      <c r="D201" s="64"/>
      <c r="E201" s="64"/>
      <c r="I201" s="328">
        <f t="shared" si="10"/>
        <v>0</v>
      </c>
      <c r="J201" s="328">
        <f t="shared" si="11"/>
        <v>0</v>
      </c>
    </row>
    <row r="202" spans="2:10" customFormat="1" ht="14.5" x14ac:dyDescent="0.35">
      <c r="B202" s="269" t="s">
        <v>159</v>
      </c>
      <c r="C202" s="270"/>
      <c r="D202" s="268" t="s">
        <v>160</v>
      </c>
      <c r="E202" s="264">
        <v>7</v>
      </c>
      <c r="I202" s="328">
        <f t="shared" si="10"/>
        <v>1.5695399999999999</v>
      </c>
      <c r="J202" s="328">
        <f t="shared" si="11"/>
        <v>0.82726</v>
      </c>
    </row>
    <row r="203" spans="2:10" customFormat="1" ht="14.5" x14ac:dyDescent="0.35">
      <c r="B203" s="269" t="s">
        <v>161</v>
      </c>
      <c r="C203" s="270"/>
      <c r="D203" s="268" t="s">
        <v>162</v>
      </c>
      <c r="E203" s="264">
        <v>15</v>
      </c>
      <c r="I203" s="328">
        <f t="shared" si="10"/>
        <v>3.3633000000000002</v>
      </c>
      <c r="J203" s="328">
        <f t="shared" si="11"/>
        <v>1.7726999999999999</v>
      </c>
    </row>
    <row r="204" spans="2:10" customFormat="1" ht="14.5" collapsed="1" x14ac:dyDescent="0.35">
      <c r="B204" s="165"/>
      <c r="C204" s="26"/>
      <c r="D204" s="166"/>
      <c r="E204" s="166"/>
      <c r="I204" s="328">
        <f t="shared" si="10"/>
        <v>0</v>
      </c>
      <c r="J204" s="328">
        <f t="shared" si="11"/>
        <v>0</v>
      </c>
    </row>
    <row r="205" spans="2:10" x14ac:dyDescent="0.3">
      <c r="B205" s="62" t="s">
        <v>163</v>
      </c>
      <c r="C205" s="63"/>
      <c r="D205" s="157"/>
      <c r="E205" s="157"/>
      <c r="I205" s="328">
        <f t="shared" si="10"/>
        <v>0</v>
      </c>
      <c r="J205" s="328">
        <f t="shared" si="11"/>
        <v>0</v>
      </c>
    </row>
    <row r="206" spans="2:10" x14ac:dyDescent="0.3">
      <c r="B206" s="271" t="s">
        <v>164</v>
      </c>
      <c r="C206" s="272"/>
      <c r="D206" s="268" t="s">
        <v>165</v>
      </c>
      <c r="E206" s="264">
        <v>0</v>
      </c>
      <c r="I206" s="328">
        <f t="shared" si="10"/>
        <v>0</v>
      </c>
      <c r="J206" s="328">
        <f t="shared" si="11"/>
        <v>0</v>
      </c>
    </row>
    <row r="207" spans="2:10" x14ac:dyDescent="0.3">
      <c r="B207" s="92"/>
      <c r="C207" s="93"/>
      <c r="E207" s="72"/>
      <c r="I207" s="328">
        <f t="shared" si="10"/>
        <v>0</v>
      </c>
      <c r="J207" s="328">
        <f t="shared" si="11"/>
        <v>0</v>
      </c>
    </row>
    <row r="208" spans="2:10" x14ac:dyDescent="0.3">
      <c r="B208" s="92"/>
      <c r="C208" s="93"/>
      <c r="E208" s="82"/>
      <c r="I208" s="328">
        <f t="shared" si="10"/>
        <v>0</v>
      </c>
      <c r="J208" s="328">
        <f t="shared" si="11"/>
        <v>0</v>
      </c>
    </row>
    <row r="209" spans="1:10" customFormat="1" ht="14.5" x14ac:dyDescent="0.35">
      <c r="A209" s="4"/>
      <c r="B209" s="275" t="s">
        <v>267</v>
      </c>
      <c r="C209" s="276"/>
      <c r="D209" s="277"/>
      <c r="E209" s="278"/>
      <c r="I209" s="328">
        <f t="shared" si="10"/>
        <v>0</v>
      </c>
      <c r="J209" s="328">
        <f t="shared" si="11"/>
        <v>0</v>
      </c>
    </row>
    <row r="210" spans="1:10" customFormat="1" ht="14.5" x14ac:dyDescent="0.35">
      <c r="A210" s="4"/>
      <c r="B210" s="62" t="s">
        <v>268</v>
      </c>
      <c r="C210" s="63"/>
      <c r="D210" s="7"/>
      <c r="E210" s="61"/>
      <c r="I210" s="328">
        <f t="shared" si="10"/>
        <v>0</v>
      </c>
      <c r="J210" s="328">
        <f t="shared" si="11"/>
        <v>0</v>
      </c>
    </row>
    <row r="211" spans="1:10" customFormat="1" ht="14.5" x14ac:dyDescent="0.35">
      <c r="A211" s="4"/>
      <c r="B211" s="267" t="s">
        <v>269</v>
      </c>
      <c r="C211" s="267"/>
      <c r="D211" s="268" t="s">
        <v>270</v>
      </c>
      <c r="E211" s="264">
        <v>109</v>
      </c>
      <c r="I211" s="328">
        <f t="shared" si="10"/>
        <v>24.439980000000002</v>
      </c>
      <c r="J211" s="328">
        <f t="shared" si="11"/>
        <v>12.88162</v>
      </c>
    </row>
    <row r="212" spans="1:10" customFormat="1" ht="14.5" x14ac:dyDescent="0.35">
      <c r="A212" s="4"/>
      <c r="B212" s="267" t="s">
        <v>271</v>
      </c>
      <c r="C212" s="267"/>
      <c r="D212" s="268" t="s">
        <v>272</v>
      </c>
      <c r="E212" s="264">
        <v>142</v>
      </c>
      <c r="I212" s="328">
        <f t="shared" si="10"/>
        <v>31.83924</v>
      </c>
      <c r="J212" s="328">
        <f t="shared" si="11"/>
        <v>16.781559999999999</v>
      </c>
    </row>
    <row r="213" spans="1:10" customFormat="1" ht="14.5" x14ac:dyDescent="0.35">
      <c r="A213" s="15"/>
      <c r="B213" s="267" t="s">
        <v>273</v>
      </c>
      <c r="C213" s="267"/>
      <c r="D213" s="268" t="s">
        <v>274</v>
      </c>
      <c r="E213" s="264">
        <v>251</v>
      </c>
      <c r="I213" s="328">
        <f t="shared" si="10"/>
        <v>56.279220000000002</v>
      </c>
      <c r="J213" s="328">
        <f t="shared" si="11"/>
        <v>29.663179999999997</v>
      </c>
    </row>
    <row r="214" spans="1:10" customFormat="1" ht="14.5" x14ac:dyDescent="0.35">
      <c r="A214" s="15"/>
      <c r="B214" s="267" t="s">
        <v>275</v>
      </c>
      <c r="C214" s="267"/>
      <c r="D214" s="268" t="s">
        <v>276</v>
      </c>
      <c r="E214" s="264">
        <v>185</v>
      </c>
      <c r="I214" s="328">
        <f t="shared" si="10"/>
        <v>41.480699999999999</v>
      </c>
      <c r="J214" s="328">
        <f t="shared" si="11"/>
        <v>21.863299999999999</v>
      </c>
    </row>
    <row r="215" spans="1:10" customFormat="1" ht="14.5" x14ac:dyDescent="0.35">
      <c r="A215" s="15"/>
      <c r="B215" s="267" t="s">
        <v>277</v>
      </c>
      <c r="C215" s="267"/>
      <c r="D215" s="268" t="s">
        <v>278</v>
      </c>
      <c r="E215" s="264">
        <v>295</v>
      </c>
      <c r="I215" s="328">
        <f t="shared" si="10"/>
        <v>66.144900000000007</v>
      </c>
      <c r="J215" s="328">
        <f t="shared" si="11"/>
        <v>34.863099999999996</v>
      </c>
    </row>
    <row r="216" spans="1:10" customFormat="1" ht="14.5" x14ac:dyDescent="0.35">
      <c r="A216" s="15"/>
      <c r="B216" s="267" t="s">
        <v>279</v>
      </c>
      <c r="C216" s="267"/>
      <c r="D216" s="268" t="s">
        <v>280</v>
      </c>
      <c r="E216" s="264">
        <v>475</v>
      </c>
      <c r="I216" s="328">
        <f t="shared" si="10"/>
        <v>106.50450000000001</v>
      </c>
      <c r="J216" s="328">
        <f t="shared" si="11"/>
        <v>56.1355</v>
      </c>
    </row>
    <row r="217" spans="1:10" customFormat="1" ht="14.5" x14ac:dyDescent="0.35">
      <c r="A217" s="15"/>
      <c r="B217" s="267" t="s">
        <v>281</v>
      </c>
      <c r="C217" s="267"/>
      <c r="D217" s="268" t="s">
        <v>282</v>
      </c>
      <c r="E217" s="264">
        <v>676</v>
      </c>
      <c r="I217" s="328">
        <f t="shared" si="10"/>
        <v>151.57272</v>
      </c>
      <c r="J217" s="328">
        <f t="shared" si="11"/>
        <v>79.889679999999998</v>
      </c>
    </row>
    <row r="218" spans="1:10" customFormat="1" ht="14.5" x14ac:dyDescent="0.35">
      <c r="A218" s="4"/>
      <c r="B218" s="5"/>
      <c r="C218" s="6"/>
      <c r="D218" s="7"/>
      <c r="E218" s="7"/>
      <c r="I218" s="328">
        <f t="shared" si="10"/>
        <v>0</v>
      </c>
      <c r="J218" s="328">
        <f t="shared" si="11"/>
        <v>0</v>
      </c>
    </row>
    <row r="219" spans="1:10" customFormat="1" ht="14.5" x14ac:dyDescent="0.35">
      <c r="A219" s="4"/>
      <c r="B219" s="62" t="s">
        <v>114</v>
      </c>
      <c r="C219" s="68"/>
      <c r="D219" s="7"/>
      <c r="E219" s="7"/>
      <c r="I219" s="328">
        <f t="shared" si="10"/>
        <v>0</v>
      </c>
      <c r="J219" s="328">
        <f t="shared" si="11"/>
        <v>0</v>
      </c>
    </row>
    <row r="220" spans="1:10" customFormat="1" ht="14.5" x14ac:dyDescent="0.35">
      <c r="A220" s="4"/>
      <c r="B220" s="261" t="s">
        <v>283</v>
      </c>
      <c r="C220" s="262"/>
      <c r="D220" s="268" t="s">
        <v>284</v>
      </c>
      <c r="E220" s="264">
        <v>121</v>
      </c>
      <c r="I220" s="328">
        <f t="shared" si="10"/>
        <v>27.13062</v>
      </c>
      <c r="J220" s="328">
        <f t="shared" si="11"/>
        <v>14.299779999999998</v>
      </c>
    </row>
    <row r="221" spans="1:10" customFormat="1" ht="14.5" x14ac:dyDescent="0.35">
      <c r="A221" s="4"/>
      <c r="B221" s="261" t="s">
        <v>285</v>
      </c>
      <c r="C221" s="262"/>
      <c r="D221" s="268" t="s">
        <v>286</v>
      </c>
      <c r="E221" s="264">
        <v>144</v>
      </c>
      <c r="I221" s="328">
        <f t="shared" si="10"/>
        <v>32.287680000000002</v>
      </c>
      <c r="J221" s="328">
        <f t="shared" si="11"/>
        <v>17.01792</v>
      </c>
    </row>
    <row r="222" spans="1:10" customFormat="1" ht="14.5" x14ac:dyDescent="0.35">
      <c r="A222" s="4"/>
      <c r="B222" s="261" t="s">
        <v>287</v>
      </c>
      <c r="C222" s="262"/>
      <c r="D222" s="268" t="s">
        <v>288</v>
      </c>
      <c r="E222" s="264">
        <v>409</v>
      </c>
      <c r="I222" s="328">
        <f t="shared" si="10"/>
        <v>91.705979999999997</v>
      </c>
      <c r="J222" s="328">
        <f t="shared" si="11"/>
        <v>48.335619999999999</v>
      </c>
    </row>
    <row r="223" spans="1:10" customFormat="1" ht="14.5" x14ac:dyDescent="0.35">
      <c r="A223" s="4"/>
      <c r="B223" s="5"/>
      <c r="C223" s="6"/>
      <c r="D223" s="7"/>
      <c r="E223" s="6"/>
      <c r="I223" s="328">
        <f t="shared" si="10"/>
        <v>0</v>
      </c>
      <c r="J223" s="328">
        <f t="shared" si="11"/>
        <v>0</v>
      </c>
    </row>
    <row r="224" spans="1:10" customFormat="1" ht="14.5" x14ac:dyDescent="0.35">
      <c r="A224" s="4"/>
      <c r="B224" s="62" t="s">
        <v>121</v>
      </c>
      <c r="C224" s="63"/>
      <c r="D224" s="7"/>
      <c r="E224" s="63"/>
      <c r="I224" s="328">
        <f t="shared" si="10"/>
        <v>0</v>
      </c>
      <c r="J224" s="328">
        <f t="shared" si="11"/>
        <v>0</v>
      </c>
    </row>
    <row r="225" spans="1:10" customFormat="1" ht="14.5" x14ac:dyDescent="0.35">
      <c r="A225" s="4"/>
      <c r="B225" s="266" t="s">
        <v>289</v>
      </c>
      <c r="C225" s="267"/>
      <c r="D225" s="268" t="s">
        <v>290</v>
      </c>
      <c r="E225" s="264">
        <v>73</v>
      </c>
      <c r="I225" s="328">
        <f t="shared" si="10"/>
        <v>16.36806</v>
      </c>
      <c r="J225" s="328">
        <f t="shared" si="11"/>
        <v>8.6271399999999989</v>
      </c>
    </row>
    <row r="226" spans="1:10" customFormat="1" ht="14.5" x14ac:dyDescent="0.35">
      <c r="A226" s="4"/>
      <c r="B226" s="266" t="s">
        <v>291</v>
      </c>
      <c r="C226" s="267"/>
      <c r="D226" s="268" t="s">
        <v>292</v>
      </c>
      <c r="E226" s="264">
        <v>217</v>
      </c>
      <c r="I226" s="328">
        <f t="shared" si="10"/>
        <v>48.655740000000002</v>
      </c>
      <c r="J226" s="328">
        <f t="shared" si="11"/>
        <v>25.645059999999997</v>
      </c>
    </row>
    <row r="227" spans="1:10" customFormat="1" ht="14.5" x14ac:dyDescent="0.35">
      <c r="A227" s="4"/>
      <c r="B227" s="5"/>
      <c r="C227" s="6"/>
      <c r="D227" s="7"/>
      <c r="E227" s="6"/>
      <c r="I227" s="328">
        <f t="shared" si="10"/>
        <v>0</v>
      </c>
      <c r="J227" s="328">
        <f t="shared" si="11"/>
        <v>0</v>
      </c>
    </row>
    <row r="228" spans="1:10" customFormat="1" ht="14.5" x14ac:dyDescent="0.35">
      <c r="A228" s="4"/>
      <c r="B228" s="62" t="s">
        <v>293</v>
      </c>
      <c r="C228" s="63"/>
      <c r="D228" s="7"/>
      <c r="E228" s="63"/>
      <c r="I228" s="328">
        <f t="shared" si="10"/>
        <v>0</v>
      </c>
      <c r="J228" s="328">
        <f t="shared" si="11"/>
        <v>0</v>
      </c>
    </row>
    <row r="229" spans="1:10" customFormat="1" ht="14.5" x14ac:dyDescent="0.35">
      <c r="A229" s="4"/>
      <c r="B229" s="266" t="s">
        <v>294</v>
      </c>
      <c r="C229" s="267"/>
      <c r="D229" s="268" t="s">
        <v>295</v>
      </c>
      <c r="E229" s="264">
        <v>133</v>
      </c>
      <c r="I229" s="328">
        <f t="shared" si="10"/>
        <v>29.821259999999999</v>
      </c>
      <c r="J229" s="328">
        <f t="shared" si="11"/>
        <v>15.717939999999999</v>
      </c>
    </row>
    <row r="230" spans="1:10" customFormat="1" ht="14.5" x14ac:dyDescent="0.35">
      <c r="A230" s="4"/>
      <c r="B230" s="266" t="s">
        <v>296</v>
      </c>
      <c r="C230" s="267"/>
      <c r="D230" s="268" t="s">
        <v>297</v>
      </c>
      <c r="E230" s="264">
        <v>206</v>
      </c>
      <c r="I230" s="328">
        <f t="shared" si="10"/>
        <v>46.189320000000002</v>
      </c>
      <c r="J230" s="328">
        <f t="shared" si="11"/>
        <v>24.345079999999999</v>
      </c>
    </row>
    <row r="231" spans="1:10" customFormat="1" ht="14.5" x14ac:dyDescent="0.35">
      <c r="A231" s="4"/>
      <c r="B231" s="266" t="s">
        <v>298</v>
      </c>
      <c r="C231" s="279"/>
      <c r="D231" s="268" t="s">
        <v>299</v>
      </c>
      <c r="E231" s="264">
        <v>350</v>
      </c>
      <c r="F231" s="4"/>
      <c r="I231" s="328">
        <f t="shared" si="10"/>
        <v>78.477000000000004</v>
      </c>
      <c r="J231" s="328">
        <f t="shared" si="11"/>
        <v>41.363</v>
      </c>
    </row>
    <row r="232" spans="1:10" customFormat="1" ht="14.5" x14ac:dyDescent="0.35">
      <c r="A232" s="4"/>
      <c r="B232" s="5"/>
      <c r="C232" s="6"/>
      <c r="D232" s="7"/>
      <c r="E232" s="6"/>
      <c r="I232" s="328">
        <f t="shared" si="10"/>
        <v>0</v>
      </c>
      <c r="J232" s="328">
        <f t="shared" si="11"/>
        <v>0</v>
      </c>
    </row>
    <row r="233" spans="1:10" customFormat="1" ht="14.5" x14ac:dyDescent="0.35">
      <c r="A233" s="4"/>
      <c r="B233" s="62" t="s">
        <v>300</v>
      </c>
      <c r="C233" s="63"/>
      <c r="D233" s="7"/>
      <c r="E233" s="61"/>
      <c r="I233" s="328">
        <f t="shared" si="10"/>
        <v>0</v>
      </c>
      <c r="J233" s="328">
        <f t="shared" si="11"/>
        <v>0</v>
      </c>
    </row>
    <row r="234" spans="1:10" customFormat="1" ht="14.5" x14ac:dyDescent="0.35">
      <c r="A234" s="4"/>
      <c r="B234" s="266" t="s">
        <v>301</v>
      </c>
      <c r="C234" s="267"/>
      <c r="D234" s="268" t="s">
        <v>302</v>
      </c>
      <c r="E234" s="264">
        <v>15</v>
      </c>
      <c r="I234" s="328">
        <f t="shared" si="10"/>
        <v>3.3633000000000002</v>
      </c>
      <c r="J234" s="328">
        <f t="shared" si="11"/>
        <v>1.7726999999999999</v>
      </c>
    </row>
    <row r="235" spans="1:10" customFormat="1" ht="14.5" x14ac:dyDescent="0.35">
      <c r="A235" s="4"/>
      <c r="B235" s="266" t="s">
        <v>303</v>
      </c>
      <c r="C235" s="267"/>
      <c r="D235" s="268" t="s">
        <v>304</v>
      </c>
      <c r="E235" s="264">
        <v>32</v>
      </c>
      <c r="I235" s="328">
        <f t="shared" si="10"/>
        <v>7.1750400000000001</v>
      </c>
      <c r="J235" s="328">
        <f t="shared" si="11"/>
        <v>3.7817599999999998</v>
      </c>
    </row>
    <row r="236" spans="1:10" customFormat="1" ht="14.5" x14ac:dyDescent="0.35">
      <c r="A236" s="4"/>
      <c r="B236" s="261" t="s">
        <v>305</v>
      </c>
      <c r="C236" s="262"/>
      <c r="D236" s="263" t="s">
        <v>306</v>
      </c>
      <c r="E236" s="264">
        <v>81</v>
      </c>
      <c r="I236" s="328">
        <f t="shared" si="10"/>
        <v>18.161819999999999</v>
      </c>
      <c r="J236" s="328">
        <f t="shared" si="11"/>
        <v>9.5725800000000003</v>
      </c>
    </row>
    <row r="237" spans="1:10" customFormat="1" ht="14.5" x14ac:dyDescent="0.35">
      <c r="A237" s="4"/>
      <c r="B237" s="261" t="s">
        <v>307</v>
      </c>
      <c r="C237" s="262"/>
      <c r="D237" s="263" t="s">
        <v>308</v>
      </c>
      <c r="E237" s="264">
        <v>75</v>
      </c>
      <c r="I237" s="328">
        <f t="shared" si="10"/>
        <v>16.816500000000001</v>
      </c>
      <c r="J237" s="328">
        <f t="shared" si="11"/>
        <v>8.8635000000000002</v>
      </c>
    </row>
    <row r="238" spans="1:10" customFormat="1" ht="14.5" x14ac:dyDescent="0.35">
      <c r="A238" s="4"/>
      <c r="B238" s="266" t="s">
        <v>309</v>
      </c>
      <c r="C238" s="267"/>
      <c r="D238" s="268" t="s">
        <v>310</v>
      </c>
      <c r="E238" s="264">
        <v>47</v>
      </c>
      <c r="I238" s="328">
        <f t="shared" si="10"/>
        <v>10.53834</v>
      </c>
      <c r="J238" s="328">
        <f t="shared" si="11"/>
        <v>5.5544599999999997</v>
      </c>
    </row>
    <row r="239" spans="1:10" customFormat="1" ht="14.5" x14ac:dyDescent="0.35">
      <c r="A239" s="4"/>
      <c r="B239" s="266" t="s">
        <v>311</v>
      </c>
      <c r="C239" s="267"/>
      <c r="D239" s="268" t="s">
        <v>312</v>
      </c>
      <c r="E239" s="264">
        <v>79</v>
      </c>
      <c r="I239" s="328">
        <f t="shared" si="10"/>
        <v>17.713380000000001</v>
      </c>
      <c r="J239" s="328">
        <f t="shared" si="11"/>
        <v>9.3362199999999991</v>
      </c>
    </row>
    <row r="240" spans="1:10" customFormat="1" ht="14.5" x14ac:dyDescent="0.35">
      <c r="A240" s="4"/>
      <c r="B240" s="5"/>
      <c r="C240" s="6"/>
      <c r="D240" s="7"/>
      <c r="E240" s="61"/>
      <c r="I240" s="328">
        <f t="shared" si="10"/>
        <v>0</v>
      </c>
      <c r="J240" s="328">
        <f t="shared" si="11"/>
        <v>0</v>
      </c>
    </row>
    <row r="241" spans="1:10" x14ac:dyDescent="0.3">
      <c r="B241" s="68" t="s">
        <v>313</v>
      </c>
      <c r="E241" s="69"/>
      <c r="I241" s="328">
        <f t="shared" si="10"/>
        <v>0</v>
      </c>
      <c r="J241" s="328">
        <f t="shared" si="11"/>
        <v>0</v>
      </c>
    </row>
    <row r="242" spans="1:10" x14ac:dyDescent="0.3">
      <c r="B242" s="267" t="s">
        <v>314</v>
      </c>
      <c r="C242" s="267"/>
      <c r="D242" s="268" t="s">
        <v>315</v>
      </c>
      <c r="E242" s="264">
        <v>0</v>
      </c>
      <c r="I242" s="328">
        <f t="shared" si="10"/>
        <v>0</v>
      </c>
      <c r="J242" s="328">
        <f t="shared" si="11"/>
        <v>0</v>
      </c>
    </row>
    <row r="243" spans="1:10" customFormat="1" ht="14.5" x14ac:dyDescent="0.35">
      <c r="A243" s="4"/>
      <c r="B243" s="5"/>
      <c r="C243" s="6"/>
      <c r="D243" s="7"/>
      <c r="E243" s="7"/>
      <c r="I243" s="328">
        <f t="shared" si="10"/>
        <v>0</v>
      </c>
      <c r="J243" s="328">
        <f t="shared" si="11"/>
        <v>0</v>
      </c>
    </row>
    <row r="244" spans="1:10" customFormat="1" ht="14.5" x14ac:dyDescent="0.35">
      <c r="A244" s="4"/>
      <c r="B244" s="68" t="s">
        <v>316</v>
      </c>
      <c r="C244" s="63"/>
      <c r="D244" s="7"/>
      <c r="E244" s="7"/>
      <c r="I244" s="328">
        <f t="shared" si="10"/>
        <v>0</v>
      </c>
      <c r="J244" s="328">
        <f t="shared" si="11"/>
        <v>0</v>
      </c>
    </row>
    <row r="245" spans="1:10" customFormat="1" ht="14.5" x14ac:dyDescent="0.35">
      <c r="A245" s="4"/>
      <c r="B245" s="266" t="s">
        <v>317</v>
      </c>
      <c r="C245" s="267"/>
      <c r="D245" s="268" t="s">
        <v>318</v>
      </c>
      <c r="E245" s="264">
        <v>20</v>
      </c>
      <c r="I245" s="328">
        <f t="shared" si="10"/>
        <v>4.4843999999999999</v>
      </c>
      <c r="J245" s="328">
        <f t="shared" si="11"/>
        <v>2.3635999999999999</v>
      </c>
    </row>
    <row r="246" spans="1:10" customFormat="1" ht="14.5" x14ac:dyDescent="0.35">
      <c r="A246" s="4"/>
      <c r="B246" s="5"/>
      <c r="C246" s="6"/>
      <c r="D246" s="7"/>
      <c r="E246" s="6"/>
      <c r="I246" s="328">
        <f t="shared" si="10"/>
        <v>0</v>
      </c>
      <c r="J246" s="328">
        <f t="shared" si="11"/>
        <v>0</v>
      </c>
    </row>
    <row r="247" spans="1:10" x14ac:dyDescent="0.3">
      <c r="B247" s="62" t="s">
        <v>319</v>
      </c>
      <c r="E247" s="63"/>
      <c r="I247" s="328">
        <f t="shared" si="10"/>
        <v>0</v>
      </c>
      <c r="J247" s="328">
        <f t="shared" si="11"/>
        <v>0</v>
      </c>
    </row>
    <row r="248" spans="1:10" x14ac:dyDescent="0.3">
      <c r="B248" s="266" t="s">
        <v>320</v>
      </c>
      <c r="C248" s="267"/>
      <c r="D248" s="268" t="s">
        <v>321</v>
      </c>
      <c r="E248" s="264">
        <v>20</v>
      </c>
      <c r="I248" s="328">
        <f t="shared" si="10"/>
        <v>4.4843999999999999</v>
      </c>
      <c r="J248" s="328">
        <f t="shared" si="11"/>
        <v>2.3635999999999999</v>
      </c>
    </row>
    <row r="249" spans="1:10" customFormat="1" ht="14.5" x14ac:dyDescent="0.35">
      <c r="A249" s="4"/>
      <c r="B249" s="266" t="s">
        <v>322</v>
      </c>
      <c r="C249" s="267"/>
      <c r="D249" s="268" t="s">
        <v>323</v>
      </c>
      <c r="E249" s="264">
        <v>32</v>
      </c>
      <c r="I249" s="328">
        <f t="shared" si="10"/>
        <v>7.1750400000000001</v>
      </c>
      <c r="J249" s="328">
        <f t="shared" si="11"/>
        <v>3.7817599999999998</v>
      </c>
    </row>
    <row r="250" spans="1:10" customFormat="1" ht="14.5" x14ac:dyDescent="0.35">
      <c r="A250" s="15"/>
      <c r="B250" s="266" t="s">
        <v>324</v>
      </c>
      <c r="C250" s="267"/>
      <c r="D250" s="268" t="s">
        <v>325</v>
      </c>
      <c r="E250" s="264">
        <v>52</v>
      </c>
      <c r="I250" s="328">
        <f t="shared" ref="I250:I313" si="12">E250*$I$3</f>
        <v>11.65944</v>
      </c>
      <c r="J250" s="328">
        <f t="shared" ref="J250:J313" si="13">E250*$J$3</f>
        <v>6.1453599999999993</v>
      </c>
    </row>
    <row r="251" spans="1:10" customFormat="1" ht="14.5" x14ac:dyDescent="0.35">
      <c r="A251" s="4"/>
      <c r="B251" s="5"/>
      <c r="C251" s="70"/>
      <c r="D251" s="7"/>
      <c r="E251" s="6"/>
      <c r="I251" s="328">
        <f t="shared" si="12"/>
        <v>0</v>
      </c>
      <c r="J251" s="328">
        <f t="shared" si="13"/>
        <v>0</v>
      </c>
    </row>
    <row r="252" spans="1:10" customFormat="1" ht="14.5" x14ac:dyDescent="0.35">
      <c r="A252" s="4"/>
      <c r="B252" s="68" t="s">
        <v>326</v>
      </c>
      <c r="C252" s="63"/>
      <c r="D252" s="7"/>
      <c r="E252" s="63"/>
      <c r="I252" s="328">
        <f t="shared" si="12"/>
        <v>0</v>
      </c>
      <c r="J252" s="328">
        <f t="shared" si="13"/>
        <v>0</v>
      </c>
    </row>
    <row r="253" spans="1:10" customFormat="1" ht="14.5" x14ac:dyDescent="0.35">
      <c r="A253" s="4"/>
      <c r="B253" s="266" t="s">
        <v>327</v>
      </c>
      <c r="C253" s="267"/>
      <c r="D253" s="268" t="s">
        <v>328</v>
      </c>
      <c r="E253" s="264">
        <v>91</v>
      </c>
      <c r="I253" s="328">
        <f t="shared" si="12"/>
        <v>20.404019999999999</v>
      </c>
      <c r="J253" s="328">
        <f t="shared" si="13"/>
        <v>10.754379999999999</v>
      </c>
    </row>
    <row r="254" spans="1:10" customFormat="1" ht="14.5" x14ac:dyDescent="0.35">
      <c r="A254" s="4"/>
      <c r="B254" s="262" t="s">
        <v>329</v>
      </c>
      <c r="C254" s="267"/>
      <c r="D254" s="268" t="s">
        <v>330</v>
      </c>
      <c r="E254" s="264">
        <v>119</v>
      </c>
      <c r="I254" s="328">
        <f t="shared" si="12"/>
        <v>26.682179999999999</v>
      </c>
      <c r="J254" s="328">
        <f t="shared" si="13"/>
        <v>14.063419999999999</v>
      </c>
    </row>
    <row r="255" spans="1:10" customFormat="1" ht="14.5" x14ac:dyDescent="0.35">
      <c r="A255" s="4"/>
      <c r="B255" s="5"/>
      <c r="C255" s="6"/>
      <c r="D255" s="7"/>
      <c r="E255" s="6"/>
      <c r="I255" s="328">
        <f t="shared" si="12"/>
        <v>0</v>
      </c>
      <c r="J255" s="328">
        <f t="shared" si="13"/>
        <v>0</v>
      </c>
    </row>
    <row r="256" spans="1:10" customFormat="1" ht="14.5" x14ac:dyDescent="0.35">
      <c r="A256" s="4"/>
      <c r="B256" s="62" t="s">
        <v>158</v>
      </c>
      <c r="C256" s="63"/>
      <c r="D256" s="64"/>
      <c r="E256" s="63"/>
      <c r="I256" s="328">
        <f t="shared" si="12"/>
        <v>0</v>
      </c>
      <c r="J256" s="328">
        <f t="shared" si="13"/>
        <v>0</v>
      </c>
    </row>
    <row r="257" spans="1:10" customFormat="1" ht="14.5" x14ac:dyDescent="0.35">
      <c r="A257" s="4"/>
      <c r="B257" s="269" t="s">
        <v>161</v>
      </c>
      <c r="C257" s="270"/>
      <c r="D257" s="268" t="s">
        <v>162</v>
      </c>
      <c r="E257" s="264">
        <v>15</v>
      </c>
      <c r="I257" s="328">
        <f t="shared" si="12"/>
        <v>3.3633000000000002</v>
      </c>
      <c r="J257" s="328">
        <f t="shared" si="13"/>
        <v>1.7726999999999999</v>
      </c>
    </row>
    <row r="258" spans="1:10" customFormat="1" ht="14.5" x14ac:dyDescent="0.35">
      <c r="A258" s="4"/>
      <c r="B258" s="5"/>
      <c r="C258" s="70"/>
      <c r="D258" s="7"/>
      <c r="E258" s="71"/>
      <c r="I258" s="328">
        <f t="shared" si="12"/>
        <v>0</v>
      </c>
      <c r="J258" s="328">
        <f t="shared" si="13"/>
        <v>0</v>
      </c>
    </row>
    <row r="259" spans="1:10" x14ac:dyDescent="0.3">
      <c r="E259" s="61"/>
      <c r="I259" s="328">
        <f t="shared" si="12"/>
        <v>0</v>
      </c>
      <c r="J259" s="328">
        <f t="shared" si="13"/>
        <v>0</v>
      </c>
    </row>
    <row r="260" spans="1:10" customFormat="1" ht="14.5" x14ac:dyDescent="0.35">
      <c r="A260" s="4"/>
      <c r="B260" s="275" t="s">
        <v>331</v>
      </c>
      <c r="C260" s="65"/>
      <c r="D260" s="66"/>
      <c r="E260" s="67"/>
      <c r="I260" s="328">
        <f t="shared" si="12"/>
        <v>0</v>
      </c>
      <c r="J260" s="328">
        <f t="shared" si="13"/>
        <v>0</v>
      </c>
    </row>
    <row r="261" spans="1:10" customFormat="1" ht="14.5" x14ac:dyDescent="0.35">
      <c r="A261" s="4"/>
      <c r="B261" s="62" t="s">
        <v>332</v>
      </c>
      <c r="C261" s="63"/>
      <c r="D261" s="7"/>
      <c r="E261" s="7"/>
      <c r="I261" s="328">
        <f t="shared" si="12"/>
        <v>0</v>
      </c>
      <c r="J261" s="328">
        <f t="shared" si="13"/>
        <v>0</v>
      </c>
    </row>
    <row r="262" spans="1:10" customFormat="1" ht="14.5" x14ac:dyDescent="0.35">
      <c r="A262" s="4"/>
      <c r="B262" s="267" t="s">
        <v>333</v>
      </c>
      <c r="C262" s="267"/>
      <c r="D262" s="268" t="s">
        <v>334</v>
      </c>
      <c r="E262" s="264">
        <v>171</v>
      </c>
      <c r="I262" s="328">
        <f t="shared" si="12"/>
        <v>38.341619999999999</v>
      </c>
      <c r="J262" s="328">
        <f t="shared" si="13"/>
        <v>20.208779999999997</v>
      </c>
    </row>
    <row r="263" spans="1:10" customFormat="1" ht="14.5" x14ac:dyDescent="0.35">
      <c r="A263" s="4"/>
      <c r="B263" s="267" t="s">
        <v>335</v>
      </c>
      <c r="C263" s="267"/>
      <c r="D263" s="268" t="s">
        <v>336</v>
      </c>
      <c r="E263" s="264">
        <v>351</v>
      </c>
      <c r="I263" s="328">
        <f t="shared" si="12"/>
        <v>78.701220000000006</v>
      </c>
      <c r="J263" s="328">
        <f t="shared" si="13"/>
        <v>41.481179999999995</v>
      </c>
    </row>
    <row r="264" spans="1:10" customFormat="1" ht="14.5" x14ac:dyDescent="0.35">
      <c r="B264" s="267" t="s">
        <v>337</v>
      </c>
      <c r="C264" s="267"/>
      <c r="D264" s="268" t="s">
        <v>338</v>
      </c>
      <c r="E264" s="264">
        <v>625</v>
      </c>
      <c r="I264" s="328">
        <f t="shared" si="12"/>
        <v>140.13749999999999</v>
      </c>
      <c r="J264" s="328">
        <f t="shared" si="13"/>
        <v>73.862499999999997</v>
      </c>
    </row>
    <row r="265" spans="1:10" customFormat="1" ht="14.5" x14ac:dyDescent="0.35">
      <c r="B265" s="267" t="s">
        <v>339</v>
      </c>
      <c r="C265" s="267"/>
      <c r="D265" s="268" t="s">
        <v>340</v>
      </c>
      <c r="E265" s="264">
        <v>639</v>
      </c>
      <c r="I265" s="328">
        <f t="shared" si="12"/>
        <v>143.27658</v>
      </c>
      <c r="J265" s="328">
        <f t="shared" si="13"/>
        <v>75.517020000000002</v>
      </c>
    </row>
    <row r="266" spans="1:10" customFormat="1" ht="14.5" x14ac:dyDescent="0.35">
      <c r="B266" s="267" t="s">
        <v>341</v>
      </c>
      <c r="C266" s="267"/>
      <c r="D266" s="268" t="s">
        <v>342</v>
      </c>
      <c r="E266" s="264">
        <v>372</v>
      </c>
      <c r="I266" s="328">
        <f t="shared" si="12"/>
        <v>83.409840000000003</v>
      </c>
      <c r="J266" s="328">
        <f t="shared" si="13"/>
        <v>43.962959999999995</v>
      </c>
    </row>
    <row r="267" spans="1:10" customFormat="1" ht="14.5" x14ac:dyDescent="0.35">
      <c r="B267" s="267" t="s">
        <v>343</v>
      </c>
      <c r="C267" s="267"/>
      <c r="D267" s="268" t="s">
        <v>344</v>
      </c>
      <c r="E267" s="264">
        <v>839</v>
      </c>
      <c r="I267" s="328">
        <f t="shared" si="12"/>
        <v>188.12057999999999</v>
      </c>
      <c r="J267" s="328">
        <f t="shared" si="13"/>
        <v>99.153019999999998</v>
      </c>
    </row>
    <row r="268" spans="1:10" customFormat="1" ht="14.5" x14ac:dyDescent="0.35">
      <c r="B268" s="267" t="s">
        <v>345</v>
      </c>
      <c r="C268" s="267"/>
      <c r="D268" s="268" t="s">
        <v>346</v>
      </c>
      <c r="E268" s="264">
        <v>1113</v>
      </c>
      <c r="I268" s="328">
        <f t="shared" si="12"/>
        <v>249.55686</v>
      </c>
      <c r="J268" s="328">
        <f t="shared" si="13"/>
        <v>131.53433999999999</v>
      </c>
    </row>
    <row r="269" spans="1:10" customFormat="1" ht="14.5" x14ac:dyDescent="0.35">
      <c r="B269" s="6"/>
      <c r="C269" s="6"/>
      <c r="D269" s="7"/>
      <c r="E269" s="7"/>
      <c r="I269" s="328">
        <f t="shared" si="12"/>
        <v>0</v>
      </c>
      <c r="J269" s="328">
        <f t="shared" si="13"/>
        <v>0</v>
      </c>
    </row>
    <row r="270" spans="1:10" customFormat="1" ht="14.5" x14ac:dyDescent="0.35">
      <c r="B270" s="185" t="s">
        <v>121</v>
      </c>
      <c r="C270" s="63"/>
      <c r="D270" s="63"/>
      <c r="E270" s="63"/>
      <c r="I270" s="328">
        <f t="shared" si="12"/>
        <v>0</v>
      </c>
      <c r="J270" s="328">
        <f t="shared" si="13"/>
        <v>0</v>
      </c>
    </row>
    <row r="271" spans="1:10" customFormat="1" ht="14.5" x14ac:dyDescent="0.35">
      <c r="B271" s="267" t="s">
        <v>289</v>
      </c>
      <c r="C271" s="267"/>
      <c r="D271" s="268" t="s">
        <v>290</v>
      </c>
      <c r="E271" s="264">
        <v>73</v>
      </c>
      <c r="I271" s="328">
        <f t="shared" si="12"/>
        <v>16.36806</v>
      </c>
      <c r="J271" s="328">
        <f t="shared" si="13"/>
        <v>8.6271399999999989</v>
      </c>
    </row>
    <row r="272" spans="1:10" customFormat="1" ht="14.5" x14ac:dyDescent="0.35">
      <c r="B272" s="267" t="s">
        <v>291</v>
      </c>
      <c r="C272" s="267"/>
      <c r="D272" s="268" t="s">
        <v>292</v>
      </c>
      <c r="E272" s="264">
        <v>217</v>
      </c>
      <c r="I272" s="328">
        <f t="shared" si="12"/>
        <v>48.655740000000002</v>
      </c>
      <c r="J272" s="328">
        <f t="shared" si="13"/>
        <v>25.645059999999997</v>
      </c>
    </row>
    <row r="273" spans="1:10" customFormat="1" ht="14.5" x14ac:dyDescent="0.35">
      <c r="B273" s="6"/>
      <c r="C273" s="6"/>
      <c r="D273" s="6"/>
      <c r="E273" s="6"/>
      <c r="I273" s="328">
        <f t="shared" si="12"/>
        <v>0</v>
      </c>
      <c r="J273" s="328">
        <f t="shared" si="13"/>
        <v>0</v>
      </c>
    </row>
    <row r="274" spans="1:10" customFormat="1" ht="14.5" x14ac:dyDescent="0.35">
      <c r="B274" s="185" t="s">
        <v>300</v>
      </c>
      <c r="C274" s="63"/>
      <c r="D274" s="63"/>
      <c r="E274" s="63"/>
      <c r="I274" s="328">
        <f t="shared" si="12"/>
        <v>0</v>
      </c>
      <c r="J274" s="328">
        <f t="shared" si="13"/>
        <v>0</v>
      </c>
    </row>
    <row r="275" spans="1:10" customFormat="1" ht="14.5" x14ac:dyDescent="0.35">
      <c r="B275" s="266" t="s">
        <v>347</v>
      </c>
      <c r="C275" s="267"/>
      <c r="D275" s="268" t="s">
        <v>348</v>
      </c>
      <c r="E275" s="264">
        <v>174</v>
      </c>
      <c r="I275" s="328">
        <f t="shared" si="12"/>
        <v>39.014279999999999</v>
      </c>
      <c r="J275" s="328">
        <f t="shared" si="13"/>
        <v>20.563319999999997</v>
      </c>
    </row>
    <row r="276" spans="1:10" customFormat="1" ht="14.5" x14ac:dyDescent="0.35">
      <c r="B276" s="6"/>
      <c r="C276" s="6"/>
      <c r="D276" s="6"/>
      <c r="E276" s="6"/>
      <c r="I276" s="328">
        <f t="shared" si="12"/>
        <v>0</v>
      </c>
      <c r="J276" s="328">
        <f t="shared" si="13"/>
        <v>0</v>
      </c>
    </row>
    <row r="277" spans="1:10" customFormat="1" ht="14.5" x14ac:dyDescent="0.35">
      <c r="B277" s="63" t="s">
        <v>313</v>
      </c>
      <c r="C277" s="63"/>
      <c r="D277" s="63"/>
      <c r="E277" s="63"/>
      <c r="I277" s="328">
        <f t="shared" si="12"/>
        <v>0</v>
      </c>
      <c r="J277" s="328">
        <f t="shared" si="13"/>
        <v>0</v>
      </c>
    </row>
    <row r="278" spans="1:10" customFormat="1" ht="14.5" x14ac:dyDescent="0.35">
      <c r="B278" s="267" t="s">
        <v>314</v>
      </c>
      <c r="C278" s="267"/>
      <c r="D278" s="268" t="s">
        <v>315</v>
      </c>
      <c r="E278" s="264">
        <v>0</v>
      </c>
      <c r="I278" s="328">
        <f t="shared" si="12"/>
        <v>0</v>
      </c>
      <c r="J278" s="328">
        <f t="shared" si="13"/>
        <v>0</v>
      </c>
    </row>
    <row r="279" spans="1:10" customFormat="1" ht="14.5" x14ac:dyDescent="0.35">
      <c r="B279" s="6"/>
      <c r="C279" s="6"/>
      <c r="D279" s="6"/>
      <c r="E279" s="6"/>
      <c r="I279" s="328">
        <f t="shared" si="12"/>
        <v>0</v>
      </c>
      <c r="J279" s="328">
        <f t="shared" si="13"/>
        <v>0</v>
      </c>
    </row>
    <row r="280" spans="1:10" customFormat="1" ht="14.5" x14ac:dyDescent="0.35">
      <c r="B280" s="62" t="s">
        <v>349</v>
      </c>
      <c r="C280" s="6"/>
      <c r="D280" s="7"/>
      <c r="E280" s="63"/>
      <c r="I280" s="328">
        <f t="shared" si="12"/>
        <v>0</v>
      </c>
      <c r="J280" s="328">
        <f t="shared" si="13"/>
        <v>0</v>
      </c>
    </row>
    <row r="281" spans="1:10" customFormat="1" ht="14.5" x14ac:dyDescent="0.35">
      <c r="B281" s="266" t="s">
        <v>350</v>
      </c>
      <c r="C281" s="267"/>
      <c r="D281" s="268" t="s">
        <v>351</v>
      </c>
      <c r="E281" s="264">
        <v>38</v>
      </c>
      <c r="I281" s="328">
        <f t="shared" si="12"/>
        <v>8.5203600000000002</v>
      </c>
      <c r="J281" s="328">
        <f t="shared" si="13"/>
        <v>4.4908399999999995</v>
      </c>
    </row>
    <row r="282" spans="1:10" customFormat="1" ht="14.5" x14ac:dyDescent="0.35">
      <c r="A282" s="4"/>
      <c r="B282" s="6"/>
      <c r="C282" s="6"/>
      <c r="D282" s="6"/>
      <c r="E282" s="6"/>
      <c r="I282" s="328">
        <f t="shared" si="12"/>
        <v>0</v>
      </c>
      <c r="J282" s="328">
        <f t="shared" si="13"/>
        <v>0</v>
      </c>
    </row>
    <row r="283" spans="1:10" customFormat="1" ht="14.5" x14ac:dyDescent="0.35">
      <c r="A283" s="4"/>
      <c r="B283" s="185" t="s">
        <v>158</v>
      </c>
      <c r="C283" s="63"/>
      <c r="D283" s="63"/>
      <c r="E283" s="63"/>
      <c r="I283" s="328">
        <f t="shared" si="12"/>
        <v>0</v>
      </c>
      <c r="J283" s="328">
        <f t="shared" si="13"/>
        <v>0</v>
      </c>
    </row>
    <row r="284" spans="1:10" customFormat="1" ht="14.5" x14ac:dyDescent="0.35">
      <c r="A284" s="4"/>
      <c r="B284" s="280" t="s">
        <v>161</v>
      </c>
      <c r="C284" s="270"/>
      <c r="D284" s="268" t="s">
        <v>162</v>
      </c>
      <c r="E284" s="264">
        <v>15</v>
      </c>
      <c r="I284" s="328">
        <f t="shared" si="12"/>
        <v>3.3633000000000002</v>
      </c>
      <c r="J284" s="328">
        <f t="shared" si="13"/>
        <v>1.7726999999999999</v>
      </c>
    </row>
    <row r="285" spans="1:10" customFormat="1" ht="14.5" x14ac:dyDescent="0.35">
      <c r="A285" s="4"/>
      <c r="B285" s="6"/>
      <c r="C285" s="6"/>
      <c r="D285" s="6"/>
      <c r="E285" s="6"/>
      <c r="I285" s="328">
        <f t="shared" si="12"/>
        <v>0</v>
      </c>
      <c r="J285" s="328">
        <f t="shared" si="13"/>
        <v>0</v>
      </c>
    </row>
    <row r="286" spans="1:10" x14ac:dyDescent="0.3">
      <c r="B286" s="6"/>
      <c r="D286" s="73"/>
      <c r="I286" s="328">
        <f t="shared" si="12"/>
        <v>0</v>
      </c>
      <c r="J286" s="328">
        <f t="shared" si="13"/>
        <v>0</v>
      </c>
    </row>
    <row r="287" spans="1:10" x14ac:dyDescent="0.3">
      <c r="B287" s="81" t="s">
        <v>352</v>
      </c>
      <c r="C287" s="65"/>
      <c r="D287" s="66"/>
      <c r="E287" s="67"/>
      <c r="I287" s="328">
        <f t="shared" si="12"/>
        <v>0</v>
      </c>
      <c r="J287" s="328">
        <f t="shared" si="13"/>
        <v>0</v>
      </c>
    </row>
    <row r="288" spans="1:10" x14ac:dyDescent="0.3">
      <c r="B288" s="62" t="s">
        <v>107</v>
      </c>
      <c r="C288" s="63"/>
      <c r="E288" s="61"/>
      <c r="I288" s="328">
        <f t="shared" si="12"/>
        <v>0</v>
      </c>
      <c r="J288" s="328">
        <f t="shared" si="13"/>
        <v>0</v>
      </c>
    </row>
    <row r="289" spans="1:10" x14ac:dyDescent="0.3">
      <c r="B289" s="266" t="s">
        <v>353</v>
      </c>
      <c r="C289" s="267"/>
      <c r="D289" s="268" t="s">
        <v>354</v>
      </c>
      <c r="E289" s="264">
        <v>200</v>
      </c>
      <c r="I289" s="328">
        <f t="shared" si="12"/>
        <v>44.844000000000001</v>
      </c>
      <c r="J289" s="328">
        <f t="shared" si="13"/>
        <v>23.635999999999999</v>
      </c>
    </row>
    <row r="290" spans="1:10" x14ac:dyDescent="0.3">
      <c r="B290" s="62"/>
      <c r="C290" s="63"/>
      <c r="E290" s="61"/>
      <c r="I290" s="328">
        <f t="shared" si="12"/>
        <v>0</v>
      </c>
      <c r="J290" s="328">
        <f t="shared" si="13"/>
        <v>0</v>
      </c>
    </row>
    <row r="291" spans="1:10" x14ac:dyDescent="0.3">
      <c r="B291" s="62" t="s">
        <v>114</v>
      </c>
      <c r="C291" s="68"/>
      <c r="E291" s="61"/>
      <c r="I291" s="328">
        <f t="shared" si="12"/>
        <v>0</v>
      </c>
      <c r="J291" s="328">
        <f t="shared" si="13"/>
        <v>0</v>
      </c>
    </row>
    <row r="292" spans="1:10" x14ac:dyDescent="0.3">
      <c r="B292" s="266" t="s">
        <v>355</v>
      </c>
      <c r="C292" s="267"/>
      <c r="D292" s="268" t="s">
        <v>356</v>
      </c>
      <c r="E292" s="264">
        <v>121</v>
      </c>
      <c r="I292" s="328">
        <f t="shared" si="12"/>
        <v>27.13062</v>
      </c>
      <c r="J292" s="328">
        <f t="shared" si="13"/>
        <v>14.299779999999998</v>
      </c>
    </row>
    <row r="293" spans="1:10" x14ac:dyDescent="0.3">
      <c r="B293" s="266" t="s">
        <v>357</v>
      </c>
      <c r="C293" s="267"/>
      <c r="D293" s="268" t="s">
        <v>358</v>
      </c>
      <c r="E293" s="264">
        <v>409</v>
      </c>
      <c r="I293" s="328">
        <f t="shared" si="12"/>
        <v>91.705979999999997</v>
      </c>
      <c r="J293" s="328">
        <f t="shared" si="13"/>
        <v>48.335619999999999</v>
      </c>
    </row>
    <row r="294" spans="1:10" x14ac:dyDescent="0.3">
      <c r="B294" s="62" t="s">
        <v>206</v>
      </c>
      <c r="C294" s="68"/>
      <c r="E294" s="61"/>
      <c r="I294" s="328">
        <f t="shared" si="12"/>
        <v>0</v>
      </c>
      <c r="J294" s="328">
        <f t="shared" si="13"/>
        <v>0</v>
      </c>
    </row>
    <row r="295" spans="1:10" x14ac:dyDescent="0.3">
      <c r="A295" s="72"/>
      <c r="B295" s="266" t="s">
        <v>359</v>
      </c>
      <c r="C295" s="267"/>
      <c r="D295" s="268" t="s">
        <v>360</v>
      </c>
      <c r="E295" s="264">
        <v>221</v>
      </c>
      <c r="I295" s="328">
        <f t="shared" si="12"/>
        <v>49.552619999999997</v>
      </c>
      <c r="J295" s="328">
        <f t="shared" si="13"/>
        <v>26.11778</v>
      </c>
    </row>
    <row r="296" spans="1:10" x14ac:dyDescent="0.3">
      <c r="A296" s="72"/>
      <c r="B296" s="266" t="s">
        <v>361</v>
      </c>
      <c r="C296" s="267"/>
      <c r="D296" s="268" t="s">
        <v>362</v>
      </c>
      <c r="E296" s="264">
        <v>563</v>
      </c>
      <c r="I296" s="328">
        <f t="shared" si="12"/>
        <v>126.23586</v>
      </c>
      <c r="J296" s="328">
        <f t="shared" si="13"/>
        <v>66.535339999999991</v>
      </c>
    </row>
    <row r="297" spans="1:10" x14ac:dyDescent="0.3">
      <c r="B297" s="62" t="s">
        <v>363</v>
      </c>
      <c r="C297" s="68"/>
      <c r="E297" s="61"/>
      <c r="I297" s="328">
        <f t="shared" si="12"/>
        <v>0</v>
      </c>
      <c r="J297" s="328">
        <f t="shared" si="13"/>
        <v>0</v>
      </c>
    </row>
    <row r="298" spans="1:10" x14ac:dyDescent="0.3">
      <c r="B298" s="266" t="s">
        <v>364</v>
      </c>
      <c r="C298" s="267"/>
      <c r="D298" s="268" t="s">
        <v>365</v>
      </c>
      <c r="E298" s="264">
        <v>35</v>
      </c>
      <c r="I298" s="328">
        <f t="shared" si="12"/>
        <v>7.8476999999999997</v>
      </c>
      <c r="J298" s="328">
        <f t="shared" si="13"/>
        <v>4.1362999999999994</v>
      </c>
    </row>
    <row r="299" spans="1:10" x14ac:dyDescent="0.3">
      <c r="B299" s="266" t="s">
        <v>366</v>
      </c>
      <c r="C299" s="267"/>
      <c r="D299" s="268" t="s">
        <v>367</v>
      </c>
      <c r="E299" s="264">
        <v>227</v>
      </c>
      <c r="I299" s="328">
        <f t="shared" si="12"/>
        <v>50.897939999999998</v>
      </c>
      <c r="J299" s="328">
        <f t="shared" si="13"/>
        <v>26.82686</v>
      </c>
    </row>
    <row r="300" spans="1:10" x14ac:dyDescent="0.3">
      <c r="B300" s="266" t="s">
        <v>368</v>
      </c>
      <c r="C300" s="267"/>
      <c r="D300" s="268" t="s">
        <v>369</v>
      </c>
      <c r="E300" s="264">
        <v>456</v>
      </c>
      <c r="I300" s="328">
        <f t="shared" si="12"/>
        <v>102.24432</v>
      </c>
      <c r="J300" s="328">
        <f t="shared" si="13"/>
        <v>53.890079999999998</v>
      </c>
    </row>
    <row r="301" spans="1:10" x14ac:dyDescent="0.3">
      <c r="B301" s="266" t="s">
        <v>370</v>
      </c>
      <c r="C301" s="267"/>
      <c r="D301" s="268" t="s">
        <v>371</v>
      </c>
      <c r="E301" s="264">
        <v>1023</v>
      </c>
      <c r="I301" s="328">
        <f t="shared" si="12"/>
        <v>229.37706</v>
      </c>
      <c r="J301" s="328">
        <f t="shared" si="13"/>
        <v>120.89814</v>
      </c>
    </row>
    <row r="302" spans="1:10" x14ac:dyDescent="0.3">
      <c r="E302" s="61"/>
      <c r="I302" s="328">
        <f t="shared" si="12"/>
        <v>0</v>
      </c>
      <c r="J302" s="328">
        <f t="shared" si="13"/>
        <v>0</v>
      </c>
    </row>
    <row r="303" spans="1:10" x14ac:dyDescent="0.3">
      <c r="B303" s="62" t="s">
        <v>121</v>
      </c>
      <c r="C303" s="63"/>
      <c r="E303" s="61"/>
      <c r="I303" s="328">
        <f t="shared" si="12"/>
        <v>0</v>
      </c>
      <c r="J303" s="328">
        <f t="shared" si="13"/>
        <v>0</v>
      </c>
    </row>
    <row r="304" spans="1:10" x14ac:dyDescent="0.3">
      <c r="B304" s="266" t="s">
        <v>372</v>
      </c>
      <c r="C304" s="267"/>
      <c r="D304" s="268" t="s">
        <v>290</v>
      </c>
      <c r="E304" s="264">
        <v>73</v>
      </c>
      <c r="I304" s="328">
        <f t="shared" si="12"/>
        <v>16.36806</v>
      </c>
      <c r="J304" s="328">
        <f t="shared" si="13"/>
        <v>8.6271399999999989</v>
      </c>
    </row>
    <row r="305" spans="1:10" x14ac:dyDescent="0.3">
      <c r="B305" s="266" t="s">
        <v>373</v>
      </c>
      <c r="C305" s="267"/>
      <c r="D305" s="268" t="s">
        <v>292</v>
      </c>
      <c r="E305" s="264">
        <v>217</v>
      </c>
      <c r="I305" s="328">
        <f t="shared" si="12"/>
        <v>48.655740000000002</v>
      </c>
      <c r="J305" s="328">
        <f t="shared" si="13"/>
        <v>25.645059999999997</v>
      </c>
    </row>
    <row r="306" spans="1:10" x14ac:dyDescent="0.3">
      <c r="B306" s="267" t="s">
        <v>374</v>
      </c>
      <c r="C306" s="267"/>
      <c r="D306" s="268" t="s">
        <v>375</v>
      </c>
      <c r="E306" s="264">
        <v>517</v>
      </c>
      <c r="I306" s="328">
        <f t="shared" si="12"/>
        <v>115.92174</v>
      </c>
      <c r="J306" s="328">
        <f t="shared" si="13"/>
        <v>61.099059999999994</v>
      </c>
    </row>
    <row r="307" spans="1:10" x14ac:dyDescent="0.3">
      <c r="B307" s="94"/>
      <c r="E307" s="61"/>
      <c r="I307" s="328">
        <f t="shared" si="12"/>
        <v>0</v>
      </c>
      <c r="J307" s="328">
        <f t="shared" si="13"/>
        <v>0</v>
      </c>
    </row>
    <row r="308" spans="1:10" x14ac:dyDescent="0.3">
      <c r="B308" s="62" t="s">
        <v>293</v>
      </c>
      <c r="C308" s="86"/>
      <c r="E308" s="61"/>
      <c r="I308" s="328">
        <f t="shared" si="12"/>
        <v>0</v>
      </c>
      <c r="J308" s="328">
        <f t="shared" si="13"/>
        <v>0</v>
      </c>
    </row>
    <row r="309" spans="1:10" x14ac:dyDescent="0.3">
      <c r="B309" s="266" t="s">
        <v>376</v>
      </c>
      <c r="C309" s="279"/>
      <c r="D309" s="268" t="s">
        <v>295</v>
      </c>
      <c r="E309" s="264">
        <v>133</v>
      </c>
      <c r="I309" s="328">
        <f t="shared" si="12"/>
        <v>29.821259999999999</v>
      </c>
      <c r="J309" s="328">
        <f t="shared" si="13"/>
        <v>15.717939999999999</v>
      </c>
    </row>
    <row r="310" spans="1:10" x14ac:dyDescent="0.3">
      <c r="B310" s="266" t="s">
        <v>377</v>
      </c>
      <c r="C310" s="279"/>
      <c r="D310" s="268" t="s">
        <v>297</v>
      </c>
      <c r="E310" s="264">
        <v>206</v>
      </c>
      <c r="I310" s="328">
        <f t="shared" si="12"/>
        <v>46.189320000000002</v>
      </c>
      <c r="J310" s="328">
        <f t="shared" si="13"/>
        <v>24.345079999999999</v>
      </c>
    </row>
    <row r="311" spans="1:10" x14ac:dyDescent="0.3">
      <c r="B311" s="266" t="s">
        <v>298</v>
      </c>
      <c r="C311" s="279"/>
      <c r="D311" s="268" t="s">
        <v>299</v>
      </c>
      <c r="E311" s="264">
        <v>350</v>
      </c>
      <c r="I311" s="328">
        <f t="shared" si="12"/>
        <v>78.477000000000004</v>
      </c>
      <c r="J311" s="328">
        <f t="shared" si="13"/>
        <v>41.363</v>
      </c>
    </row>
    <row r="312" spans="1:10" x14ac:dyDescent="0.3">
      <c r="B312" s="267" t="s">
        <v>374</v>
      </c>
      <c r="C312" s="267"/>
      <c r="D312" s="268" t="s">
        <v>378</v>
      </c>
      <c r="E312" s="264">
        <v>650</v>
      </c>
      <c r="I312" s="328">
        <f t="shared" si="12"/>
        <v>145.74299999999999</v>
      </c>
      <c r="J312" s="328">
        <f t="shared" si="13"/>
        <v>76.816999999999993</v>
      </c>
    </row>
    <row r="313" spans="1:10" x14ac:dyDescent="0.3">
      <c r="E313" s="61"/>
      <c r="I313" s="328">
        <f t="shared" si="12"/>
        <v>0</v>
      </c>
      <c r="J313" s="328">
        <f t="shared" si="13"/>
        <v>0</v>
      </c>
    </row>
    <row r="314" spans="1:10" x14ac:dyDescent="0.3">
      <c r="A314" s="105"/>
      <c r="B314" s="62" t="s">
        <v>379</v>
      </c>
      <c r="C314" s="95"/>
      <c r="E314" s="61"/>
      <c r="I314" s="328">
        <f t="shared" ref="I314:I337" si="14">E314*$I$3</f>
        <v>0</v>
      </c>
      <c r="J314" s="328">
        <f t="shared" ref="J314:J337" si="15">E314*$J$3</f>
        <v>0</v>
      </c>
    </row>
    <row r="315" spans="1:10" x14ac:dyDescent="0.3">
      <c r="A315" s="105"/>
      <c r="B315" s="266" t="s">
        <v>380</v>
      </c>
      <c r="C315" s="267"/>
      <c r="D315" s="268" t="s">
        <v>381</v>
      </c>
      <c r="E315" s="264">
        <v>274</v>
      </c>
      <c r="I315" s="328">
        <f t="shared" si="14"/>
        <v>61.436280000000004</v>
      </c>
      <c r="J315" s="328">
        <f t="shared" si="15"/>
        <v>32.381319999999995</v>
      </c>
    </row>
    <row r="316" spans="1:10" x14ac:dyDescent="0.3">
      <c r="A316" s="105"/>
      <c r="B316" s="266" t="s">
        <v>382</v>
      </c>
      <c r="C316" s="267"/>
      <c r="D316" s="268" t="s">
        <v>383</v>
      </c>
      <c r="E316" s="264">
        <v>593</v>
      </c>
      <c r="I316" s="328">
        <f t="shared" si="14"/>
        <v>132.96245999999999</v>
      </c>
      <c r="J316" s="328">
        <f t="shared" si="15"/>
        <v>70.080739999999992</v>
      </c>
    </row>
    <row r="317" spans="1:10" x14ac:dyDescent="0.3">
      <c r="A317" s="105"/>
      <c r="B317" s="266" t="s">
        <v>384</v>
      </c>
      <c r="C317" s="267"/>
      <c r="D317" s="268" t="s">
        <v>385</v>
      </c>
      <c r="E317" s="264">
        <v>1416</v>
      </c>
      <c r="I317" s="328">
        <f t="shared" si="14"/>
        <v>317.49552</v>
      </c>
      <c r="J317" s="328">
        <f t="shared" si="15"/>
        <v>167.34287999999998</v>
      </c>
    </row>
    <row r="318" spans="1:10" x14ac:dyDescent="0.3">
      <c r="A318" s="15"/>
      <c r="B318" s="266" t="s">
        <v>386</v>
      </c>
      <c r="C318" s="267"/>
      <c r="D318" s="268" t="s">
        <v>387</v>
      </c>
      <c r="E318" s="264">
        <v>911</v>
      </c>
      <c r="I318" s="328">
        <f t="shared" si="14"/>
        <v>204.26442</v>
      </c>
      <c r="J318" s="328">
        <f t="shared" si="15"/>
        <v>107.66198</v>
      </c>
    </row>
    <row r="319" spans="1:10" x14ac:dyDescent="0.3">
      <c r="E319" s="61"/>
      <c r="I319" s="328">
        <f t="shared" si="14"/>
        <v>0</v>
      </c>
      <c r="J319" s="328">
        <f t="shared" si="15"/>
        <v>0</v>
      </c>
    </row>
    <row r="320" spans="1:10" x14ac:dyDescent="0.3">
      <c r="A320" s="15"/>
      <c r="B320" s="62" t="s">
        <v>388</v>
      </c>
      <c r="C320" s="63"/>
      <c r="E320" s="61"/>
      <c r="I320" s="328">
        <f t="shared" si="14"/>
        <v>0</v>
      </c>
      <c r="J320" s="328">
        <f t="shared" si="15"/>
        <v>0</v>
      </c>
    </row>
    <row r="321" spans="1:10" x14ac:dyDescent="0.3">
      <c r="A321" s="15"/>
      <c r="B321" s="266" t="s">
        <v>389</v>
      </c>
      <c r="C321" s="267"/>
      <c r="D321" s="268" t="s">
        <v>390</v>
      </c>
      <c r="E321" s="264">
        <v>28</v>
      </c>
      <c r="I321" s="328">
        <f t="shared" si="14"/>
        <v>6.2781599999999997</v>
      </c>
      <c r="J321" s="328">
        <f t="shared" si="15"/>
        <v>3.30904</v>
      </c>
    </row>
    <row r="322" spans="1:10" x14ac:dyDescent="0.3">
      <c r="A322" s="15"/>
      <c r="B322" s="266" t="s">
        <v>391</v>
      </c>
      <c r="C322" s="267"/>
      <c r="D322" s="268" t="s">
        <v>392</v>
      </c>
      <c r="E322" s="264">
        <v>55</v>
      </c>
      <c r="I322" s="328">
        <f t="shared" si="14"/>
        <v>12.332100000000001</v>
      </c>
      <c r="J322" s="328">
        <f t="shared" si="15"/>
        <v>6.4998999999999993</v>
      </c>
    </row>
    <row r="323" spans="1:10" x14ac:dyDescent="0.3">
      <c r="A323" s="15"/>
      <c r="B323" s="266" t="s">
        <v>393</v>
      </c>
      <c r="C323" s="267"/>
      <c r="D323" s="268" t="s">
        <v>394</v>
      </c>
      <c r="E323" s="264">
        <v>319</v>
      </c>
      <c r="I323" s="328">
        <f t="shared" si="14"/>
        <v>71.526179999999997</v>
      </c>
      <c r="J323" s="328">
        <f t="shared" si="15"/>
        <v>37.699419999999996</v>
      </c>
    </row>
    <row r="324" spans="1:10" x14ac:dyDescent="0.3">
      <c r="A324" s="15"/>
      <c r="E324" s="61"/>
      <c r="I324" s="328">
        <f t="shared" si="14"/>
        <v>0</v>
      </c>
      <c r="J324" s="328">
        <f t="shared" si="15"/>
        <v>0</v>
      </c>
    </row>
    <row r="325" spans="1:10" x14ac:dyDescent="0.3">
      <c r="B325" s="68" t="s">
        <v>313</v>
      </c>
      <c r="E325" s="69"/>
      <c r="I325" s="328">
        <f t="shared" si="14"/>
        <v>0</v>
      </c>
      <c r="J325" s="328">
        <f t="shared" si="15"/>
        <v>0</v>
      </c>
    </row>
    <row r="326" spans="1:10" x14ac:dyDescent="0.3">
      <c r="B326" s="266" t="s">
        <v>395</v>
      </c>
      <c r="C326" s="267"/>
      <c r="D326" s="268" t="s">
        <v>315</v>
      </c>
      <c r="E326" s="264">
        <v>0</v>
      </c>
      <c r="I326" s="328">
        <f t="shared" si="14"/>
        <v>0</v>
      </c>
      <c r="J326" s="328">
        <f t="shared" si="15"/>
        <v>0</v>
      </c>
    </row>
    <row r="327" spans="1:10" x14ac:dyDescent="0.3">
      <c r="E327" s="61"/>
      <c r="I327" s="328">
        <f t="shared" si="14"/>
        <v>0</v>
      </c>
      <c r="J327" s="328">
        <f t="shared" si="15"/>
        <v>0</v>
      </c>
    </row>
    <row r="328" spans="1:10" x14ac:dyDescent="0.3">
      <c r="B328" s="62" t="s">
        <v>319</v>
      </c>
      <c r="E328" s="69"/>
      <c r="I328" s="328">
        <f t="shared" si="14"/>
        <v>0</v>
      </c>
      <c r="J328" s="328">
        <f t="shared" si="15"/>
        <v>0</v>
      </c>
    </row>
    <row r="329" spans="1:10" x14ac:dyDescent="0.3">
      <c r="B329" s="266" t="s">
        <v>396</v>
      </c>
      <c r="C329" s="267"/>
      <c r="D329" s="268" t="s">
        <v>397</v>
      </c>
      <c r="E329" s="264">
        <v>20</v>
      </c>
      <c r="I329" s="328">
        <f t="shared" si="14"/>
        <v>4.4843999999999999</v>
      </c>
      <c r="J329" s="328">
        <f t="shared" si="15"/>
        <v>2.3635999999999999</v>
      </c>
    </row>
    <row r="330" spans="1:10" x14ac:dyDescent="0.3">
      <c r="B330" s="266" t="s">
        <v>398</v>
      </c>
      <c r="C330" s="267"/>
      <c r="D330" s="268" t="s">
        <v>351</v>
      </c>
      <c r="E330" s="264">
        <v>38</v>
      </c>
      <c r="I330" s="328">
        <f t="shared" si="14"/>
        <v>8.5203600000000002</v>
      </c>
      <c r="J330" s="328">
        <f t="shared" si="15"/>
        <v>4.4908399999999995</v>
      </c>
    </row>
    <row r="331" spans="1:10" x14ac:dyDescent="0.3">
      <c r="B331" s="266" t="s">
        <v>399</v>
      </c>
      <c r="C331" s="267"/>
      <c r="D331" s="268" t="s">
        <v>400</v>
      </c>
      <c r="E331" s="264">
        <v>88</v>
      </c>
      <c r="I331" s="328">
        <f t="shared" si="14"/>
        <v>19.731359999999999</v>
      </c>
      <c r="J331" s="328">
        <f t="shared" si="15"/>
        <v>10.399839999999999</v>
      </c>
    </row>
    <row r="332" spans="1:10" customFormat="1" ht="14.5" x14ac:dyDescent="0.35">
      <c r="A332" s="4"/>
      <c r="B332" s="17"/>
      <c r="C332" s="17"/>
      <c r="D332" s="7"/>
      <c r="E332" s="6"/>
      <c r="I332" s="328">
        <f t="shared" si="14"/>
        <v>0</v>
      </c>
      <c r="J332" s="328">
        <f t="shared" si="15"/>
        <v>0</v>
      </c>
    </row>
    <row r="333" spans="1:10" customFormat="1" ht="14.5" x14ac:dyDescent="0.35">
      <c r="A333" s="4"/>
      <c r="B333" s="17" t="s">
        <v>401</v>
      </c>
      <c r="C333" s="17"/>
      <c r="D333" s="7"/>
      <c r="E333" s="17"/>
      <c r="I333" s="328">
        <f t="shared" si="14"/>
        <v>0</v>
      </c>
      <c r="J333" s="328">
        <f t="shared" si="15"/>
        <v>0</v>
      </c>
    </row>
    <row r="334" spans="1:10" customFormat="1" ht="14.5" x14ac:dyDescent="0.35">
      <c r="A334" s="4"/>
      <c r="B334" s="262" t="s">
        <v>402</v>
      </c>
      <c r="C334" s="267"/>
      <c r="D334" s="268" t="s">
        <v>330</v>
      </c>
      <c r="E334" s="264">
        <v>121</v>
      </c>
      <c r="I334" s="328">
        <f t="shared" si="14"/>
        <v>27.13062</v>
      </c>
      <c r="J334" s="328">
        <f t="shared" si="15"/>
        <v>14.299779999999998</v>
      </c>
    </row>
    <row r="335" spans="1:10" x14ac:dyDescent="0.3">
      <c r="B335" s="68"/>
      <c r="C335" s="63"/>
      <c r="E335" s="6"/>
      <c r="I335" s="328">
        <f t="shared" si="14"/>
        <v>0</v>
      </c>
      <c r="J335" s="328">
        <f t="shared" si="15"/>
        <v>0</v>
      </c>
    </row>
    <row r="336" spans="1:10" x14ac:dyDescent="0.3">
      <c r="B336" s="62" t="s">
        <v>158</v>
      </c>
      <c r="C336" s="63"/>
      <c r="D336" s="64"/>
      <c r="E336" s="63"/>
      <c r="I336" s="328">
        <f t="shared" si="14"/>
        <v>0</v>
      </c>
      <c r="J336" s="328">
        <f t="shared" si="15"/>
        <v>0</v>
      </c>
    </row>
    <row r="337" spans="2:10" x14ac:dyDescent="0.3">
      <c r="B337" s="269" t="s">
        <v>161</v>
      </c>
      <c r="C337" s="281"/>
      <c r="D337" s="268" t="s">
        <v>162</v>
      </c>
      <c r="E337" s="264">
        <v>15</v>
      </c>
      <c r="I337" s="328">
        <f t="shared" si="14"/>
        <v>3.3633000000000002</v>
      </c>
      <c r="J337" s="328">
        <f t="shared" si="15"/>
        <v>1.7726999999999999</v>
      </c>
    </row>
    <row r="338" spans="2:10" x14ac:dyDescent="0.3">
      <c r="E338" s="61"/>
    </row>
    <row r="339" spans="2:10" ht="13.5" thickBot="1" x14ac:dyDescent="0.35">
      <c r="B339" s="62"/>
      <c r="E339" s="82"/>
    </row>
    <row r="340" spans="2:10" ht="21.5" thickBot="1" x14ac:dyDescent="0.55000000000000004">
      <c r="B340" s="354" t="s">
        <v>403</v>
      </c>
      <c r="C340" s="355"/>
      <c r="D340" s="355"/>
      <c r="E340" s="130"/>
      <c r="F340" s="356" t="s">
        <v>1948</v>
      </c>
      <c r="G340" s="357"/>
    </row>
    <row r="341" spans="2:10" ht="26.5" thickBot="1" x14ac:dyDescent="0.35">
      <c r="B341" s="11" t="s">
        <v>82</v>
      </c>
      <c r="C341" s="12" t="s">
        <v>83</v>
      </c>
      <c r="D341" s="13" t="s">
        <v>84</v>
      </c>
      <c r="E341" s="13"/>
      <c r="F341" s="320" t="s">
        <v>84</v>
      </c>
      <c r="G341" s="321" t="s">
        <v>85</v>
      </c>
    </row>
    <row r="342" spans="2:10" ht="143" x14ac:dyDescent="0.3">
      <c r="B342" s="186" t="s">
        <v>404</v>
      </c>
      <c r="C342" s="187" t="s">
        <v>405</v>
      </c>
      <c r="D342" s="170" t="s">
        <v>406</v>
      </c>
      <c r="E342" s="256">
        <v>776</v>
      </c>
      <c r="F342" s="322" t="s">
        <v>1949</v>
      </c>
      <c r="G342" s="323">
        <v>38.770000000000003</v>
      </c>
      <c r="I342" s="329">
        <f>(G342+E342)*$I$3</f>
        <v>182.68772939999999</v>
      </c>
      <c r="J342" s="329">
        <f>(G342+E342)*$J$3</f>
        <v>96.289518599999994</v>
      </c>
    </row>
    <row r="343" spans="2:10" ht="153.75" customHeight="1" x14ac:dyDescent="0.3">
      <c r="B343" s="171" t="s">
        <v>407</v>
      </c>
      <c r="C343" s="187" t="s">
        <v>93</v>
      </c>
      <c r="D343" s="170" t="s">
        <v>408</v>
      </c>
      <c r="E343" s="256">
        <v>977</v>
      </c>
      <c r="F343" s="322" t="s">
        <v>1949</v>
      </c>
      <c r="G343" s="323">
        <v>38.770000000000003</v>
      </c>
      <c r="I343" s="329">
        <f>(G343+E343)*$I$3</f>
        <v>227.75594939999999</v>
      </c>
      <c r="J343" s="329">
        <f t="shared" ref="J343:J344" si="16">(G343+E343)*$J$3</f>
        <v>120.04369859999998</v>
      </c>
    </row>
    <row r="344" spans="2:10" ht="175.5" customHeight="1" x14ac:dyDescent="0.3">
      <c r="B344" s="188" t="s">
        <v>409</v>
      </c>
      <c r="C344" s="187" t="s">
        <v>410</v>
      </c>
      <c r="D344" s="170" t="s">
        <v>411</v>
      </c>
      <c r="E344" s="256">
        <v>1136</v>
      </c>
      <c r="F344" s="322" t="s">
        <v>1949</v>
      </c>
      <c r="G344" s="323">
        <v>38.770000000000003</v>
      </c>
      <c r="I344" s="329">
        <f t="shared" ref="I344" si="17">(G344+E344)*$I$3</f>
        <v>263.40692940000002</v>
      </c>
      <c r="J344" s="329">
        <f t="shared" si="16"/>
        <v>138.83431859999999</v>
      </c>
    </row>
    <row r="345" spans="2:10" ht="13.5" thickBot="1" x14ac:dyDescent="0.35">
      <c r="B345" s="4"/>
      <c r="C345" s="4"/>
    </row>
    <row r="346" spans="2:10" ht="21.5" thickBot="1" x14ac:dyDescent="0.55000000000000004">
      <c r="B346" s="354" t="s">
        <v>412</v>
      </c>
      <c r="C346" s="355"/>
      <c r="D346" s="355"/>
      <c r="E346" s="130"/>
    </row>
    <row r="347" spans="2:10" ht="26.5" thickBot="1" x14ac:dyDescent="0.35">
      <c r="B347" s="11" t="s">
        <v>82</v>
      </c>
      <c r="C347" s="12" t="s">
        <v>83</v>
      </c>
      <c r="D347" s="13" t="s">
        <v>84</v>
      </c>
      <c r="E347" s="13"/>
    </row>
    <row r="348" spans="2:10" x14ac:dyDescent="0.3">
      <c r="B348" s="16"/>
      <c r="E348" s="7"/>
    </row>
    <row r="349" spans="2:10" collapsed="1" x14ac:dyDescent="0.3">
      <c r="B349" s="83" t="s">
        <v>413</v>
      </c>
      <c r="C349" s="83"/>
      <c r="D349" s="84"/>
      <c r="E349" s="85"/>
    </row>
    <row r="350" spans="2:10" x14ac:dyDescent="0.3">
      <c r="B350" s="79" t="s">
        <v>107</v>
      </c>
      <c r="C350" s="86"/>
      <c r="E350" s="61"/>
    </row>
    <row r="351" spans="2:10" x14ac:dyDescent="0.3">
      <c r="B351" s="266" t="s">
        <v>414</v>
      </c>
      <c r="C351" s="267"/>
      <c r="D351" s="268" t="s">
        <v>415</v>
      </c>
      <c r="E351" s="264">
        <v>75</v>
      </c>
      <c r="I351" s="328">
        <f>E351*$I$3</f>
        <v>16.816500000000001</v>
      </c>
      <c r="J351" s="328">
        <f t="shared" ref="J351:J367" si="18">E351*$J$3</f>
        <v>8.8635000000000002</v>
      </c>
    </row>
    <row r="352" spans="2:10" x14ac:dyDescent="0.3">
      <c r="B352" s="261" t="s">
        <v>112</v>
      </c>
      <c r="C352" s="262"/>
      <c r="D352" s="268" t="s">
        <v>416</v>
      </c>
      <c r="E352" s="264">
        <v>174</v>
      </c>
      <c r="I352" s="328">
        <f t="shared" ref="I352:I368" si="19">E352*$I$3</f>
        <v>39.014279999999999</v>
      </c>
      <c r="J352" s="328">
        <f t="shared" si="18"/>
        <v>20.563319999999997</v>
      </c>
    </row>
    <row r="353" spans="2:10" x14ac:dyDescent="0.3">
      <c r="B353" s="266" t="s">
        <v>417</v>
      </c>
      <c r="C353" s="267"/>
      <c r="D353" s="268" t="s">
        <v>418</v>
      </c>
      <c r="E353" s="264">
        <v>244</v>
      </c>
      <c r="I353" s="328">
        <f t="shared" si="19"/>
        <v>54.709679999999999</v>
      </c>
      <c r="J353" s="328">
        <f t="shared" si="18"/>
        <v>28.835919999999998</v>
      </c>
    </row>
    <row r="354" spans="2:10" x14ac:dyDescent="0.3">
      <c r="B354" s="79"/>
      <c r="C354" s="86"/>
      <c r="E354" s="189"/>
      <c r="I354" s="328">
        <f t="shared" si="19"/>
        <v>0</v>
      </c>
      <c r="J354" s="328">
        <f t="shared" si="18"/>
        <v>0</v>
      </c>
    </row>
    <row r="355" spans="2:10" x14ac:dyDescent="0.3">
      <c r="B355" s="79" t="s">
        <v>114</v>
      </c>
      <c r="C355" s="86"/>
      <c r="D355" s="190"/>
      <c r="E355" s="189"/>
      <c r="I355" s="328">
        <f t="shared" si="19"/>
        <v>0</v>
      </c>
      <c r="J355" s="328">
        <f t="shared" si="18"/>
        <v>0</v>
      </c>
    </row>
    <row r="356" spans="2:10" x14ac:dyDescent="0.3">
      <c r="B356" s="266" t="s">
        <v>419</v>
      </c>
      <c r="C356" s="265"/>
      <c r="D356" s="268" t="s">
        <v>420</v>
      </c>
      <c r="E356" s="264">
        <v>241</v>
      </c>
      <c r="I356" s="328">
        <f t="shared" si="19"/>
        <v>54.037019999999998</v>
      </c>
      <c r="J356" s="328">
        <f t="shared" si="18"/>
        <v>28.481379999999998</v>
      </c>
    </row>
    <row r="357" spans="2:10" x14ac:dyDescent="0.3">
      <c r="B357" s="266" t="s">
        <v>200</v>
      </c>
      <c r="C357" s="265"/>
      <c r="D357" s="268" t="s">
        <v>421</v>
      </c>
      <c r="E357" s="264">
        <v>288</v>
      </c>
      <c r="I357" s="328">
        <f t="shared" si="19"/>
        <v>64.575360000000003</v>
      </c>
      <c r="J357" s="328">
        <f t="shared" si="18"/>
        <v>34.03584</v>
      </c>
    </row>
    <row r="358" spans="2:10" customFormat="1" ht="14.5" x14ac:dyDescent="0.35">
      <c r="B358" s="266" t="s">
        <v>422</v>
      </c>
      <c r="C358" s="265"/>
      <c r="D358" s="268" t="s">
        <v>423</v>
      </c>
      <c r="E358" s="264">
        <v>818</v>
      </c>
      <c r="I358" s="328">
        <f t="shared" si="19"/>
        <v>183.41195999999999</v>
      </c>
      <c r="J358" s="328">
        <f t="shared" si="18"/>
        <v>96.671239999999997</v>
      </c>
    </row>
    <row r="359" spans="2:10" x14ac:dyDescent="0.3">
      <c r="B359" s="4"/>
      <c r="C359" s="4"/>
      <c r="D359" s="31"/>
      <c r="E359" s="96"/>
      <c r="I359" s="328">
        <f t="shared" si="19"/>
        <v>0</v>
      </c>
      <c r="J359" s="328">
        <f t="shared" si="18"/>
        <v>0</v>
      </c>
    </row>
    <row r="360" spans="2:10" x14ac:dyDescent="0.3">
      <c r="B360" s="62" t="s">
        <v>121</v>
      </c>
      <c r="C360" s="86"/>
      <c r="D360" s="190"/>
      <c r="E360" s="189"/>
      <c r="I360" s="328">
        <f t="shared" si="19"/>
        <v>0</v>
      </c>
      <c r="J360" s="328">
        <f t="shared" si="18"/>
        <v>0</v>
      </c>
    </row>
    <row r="361" spans="2:10" x14ac:dyDescent="0.3">
      <c r="B361" s="279" t="s">
        <v>124</v>
      </c>
      <c r="C361" s="267"/>
      <c r="D361" s="268" t="s">
        <v>424</v>
      </c>
      <c r="E361" s="264">
        <v>73</v>
      </c>
      <c r="I361" s="328">
        <f t="shared" si="19"/>
        <v>16.36806</v>
      </c>
      <c r="J361" s="328">
        <f t="shared" si="18"/>
        <v>8.6271399999999989</v>
      </c>
    </row>
    <row r="362" spans="2:10" x14ac:dyDescent="0.3">
      <c r="B362" s="279" t="s">
        <v>126</v>
      </c>
      <c r="C362" s="267"/>
      <c r="D362" s="268" t="s">
        <v>425</v>
      </c>
      <c r="E362" s="264">
        <v>217</v>
      </c>
      <c r="I362" s="328">
        <f t="shared" si="19"/>
        <v>48.655740000000002</v>
      </c>
      <c r="J362" s="328">
        <f t="shared" si="18"/>
        <v>25.645059999999997</v>
      </c>
    </row>
    <row r="363" spans="2:10" x14ac:dyDescent="0.3">
      <c r="B363" s="266" t="s">
        <v>218</v>
      </c>
      <c r="C363" s="267"/>
      <c r="D363" s="268" t="s">
        <v>426</v>
      </c>
      <c r="E363" s="264">
        <v>517</v>
      </c>
      <c r="I363" s="328">
        <f t="shared" si="19"/>
        <v>115.92174</v>
      </c>
      <c r="J363" s="328">
        <f t="shared" si="18"/>
        <v>61.099059999999994</v>
      </c>
    </row>
    <row r="364" spans="2:10" x14ac:dyDescent="0.3">
      <c r="B364" s="97" t="s">
        <v>427</v>
      </c>
      <c r="C364" s="86"/>
      <c r="D364" s="190"/>
      <c r="E364" s="189"/>
      <c r="I364" s="328">
        <f t="shared" si="19"/>
        <v>0</v>
      </c>
      <c r="J364" s="328">
        <f t="shared" si="18"/>
        <v>0</v>
      </c>
    </row>
    <row r="365" spans="2:10" x14ac:dyDescent="0.3">
      <c r="B365" s="266" t="s">
        <v>124</v>
      </c>
      <c r="C365" s="267"/>
      <c r="D365" s="268" t="s">
        <v>428</v>
      </c>
      <c r="E365" s="264">
        <v>206</v>
      </c>
      <c r="I365" s="328">
        <f t="shared" si="19"/>
        <v>46.189320000000002</v>
      </c>
      <c r="J365" s="328">
        <f t="shared" si="18"/>
        <v>24.345079999999999</v>
      </c>
    </row>
    <row r="366" spans="2:10" x14ac:dyDescent="0.3">
      <c r="B366" s="266" t="s">
        <v>126</v>
      </c>
      <c r="C366" s="267"/>
      <c r="D366" s="268" t="s">
        <v>429</v>
      </c>
      <c r="E366" s="264">
        <v>350</v>
      </c>
      <c r="I366" s="328">
        <f t="shared" si="19"/>
        <v>78.477000000000004</v>
      </c>
      <c r="J366" s="328">
        <f t="shared" si="18"/>
        <v>41.363</v>
      </c>
    </row>
    <row r="367" spans="2:10" x14ac:dyDescent="0.3">
      <c r="B367" s="266" t="s">
        <v>218</v>
      </c>
      <c r="C367" s="267"/>
      <c r="D367" s="268" t="s">
        <v>221</v>
      </c>
      <c r="E367" s="264">
        <v>650</v>
      </c>
      <c r="I367" s="328">
        <f t="shared" si="19"/>
        <v>145.74299999999999</v>
      </c>
      <c r="J367" s="328">
        <f t="shared" si="18"/>
        <v>76.816999999999993</v>
      </c>
    </row>
    <row r="368" spans="2:10" x14ac:dyDescent="0.3">
      <c r="B368" s="62" t="s">
        <v>222</v>
      </c>
      <c r="C368" s="63"/>
      <c r="D368" s="268"/>
      <c r="E368" s="282"/>
      <c r="I368" s="328">
        <f t="shared" si="19"/>
        <v>0</v>
      </c>
      <c r="J368" s="328">
        <f t="shared" ref="J368:J431" si="20">E368*$J$3</f>
        <v>0</v>
      </c>
    </row>
    <row r="369" spans="1:10" x14ac:dyDescent="0.3">
      <c r="B369" s="266" t="s">
        <v>171</v>
      </c>
      <c r="C369" s="267"/>
      <c r="D369" s="268" t="s">
        <v>430</v>
      </c>
      <c r="E369" s="264">
        <v>46</v>
      </c>
      <c r="I369" s="328">
        <f t="shared" ref="I369:I432" si="21">E369*$I$3</f>
        <v>10.314120000000001</v>
      </c>
      <c r="J369" s="328">
        <f t="shared" si="20"/>
        <v>5.43628</v>
      </c>
    </row>
    <row r="370" spans="1:10" x14ac:dyDescent="0.3">
      <c r="B370" s="266" t="s">
        <v>173</v>
      </c>
      <c r="C370" s="267"/>
      <c r="D370" s="268" t="s">
        <v>431</v>
      </c>
      <c r="E370" s="264">
        <v>69</v>
      </c>
      <c r="I370" s="328">
        <f t="shared" si="21"/>
        <v>15.47118</v>
      </c>
      <c r="J370" s="328">
        <f t="shared" si="20"/>
        <v>8.15442</v>
      </c>
    </row>
    <row r="371" spans="1:10" s="6" customFormat="1" x14ac:dyDescent="0.3">
      <c r="B371" s="266" t="s">
        <v>175</v>
      </c>
      <c r="C371" s="267"/>
      <c r="D371" s="268" t="s">
        <v>432</v>
      </c>
      <c r="E371" s="264">
        <v>82</v>
      </c>
      <c r="I371" s="328">
        <f t="shared" si="21"/>
        <v>18.386040000000001</v>
      </c>
      <c r="J371" s="328">
        <f t="shared" si="20"/>
        <v>9.6907599999999992</v>
      </c>
    </row>
    <row r="372" spans="1:10" x14ac:dyDescent="0.3">
      <c r="B372" s="97" t="s">
        <v>223</v>
      </c>
      <c r="C372" s="63"/>
      <c r="D372" s="190"/>
      <c r="E372" s="189"/>
      <c r="I372" s="328">
        <f t="shared" si="21"/>
        <v>0</v>
      </c>
      <c r="J372" s="328">
        <f t="shared" si="20"/>
        <v>0</v>
      </c>
    </row>
    <row r="373" spans="1:10" x14ac:dyDescent="0.3">
      <c r="B373" s="266" t="s">
        <v>171</v>
      </c>
      <c r="C373" s="267"/>
      <c r="D373" s="268" t="s">
        <v>430</v>
      </c>
      <c r="E373" s="264">
        <v>46</v>
      </c>
      <c r="I373" s="328">
        <f t="shared" si="21"/>
        <v>10.314120000000001</v>
      </c>
      <c r="J373" s="328">
        <f t="shared" si="20"/>
        <v>5.43628</v>
      </c>
    </row>
    <row r="374" spans="1:10" x14ac:dyDescent="0.3">
      <c r="B374" s="266" t="s">
        <v>173</v>
      </c>
      <c r="C374" s="267"/>
      <c r="D374" s="268" t="s">
        <v>431</v>
      </c>
      <c r="E374" s="264">
        <v>69</v>
      </c>
      <c r="I374" s="328">
        <f t="shared" si="21"/>
        <v>15.47118</v>
      </c>
      <c r="J374" s="328">
        <f t="shared" si="20"/>
        <v>8.15442</v>
      </c>
    </row>
    <row r="375" spans="1:10" s="6" customFormat="1" x14ac:dyDescent="0.3">
      <c r="B375" s="266" t="s">
        <v>175</v>
      </c>
      <c r="C375" s="267"/>
      <c r="D375" s="268" t="s">
        <v>432</v>
      </c>
      <c r="E375" s="264">
        <v>82</v>
      </c>
      <c r="I375" s="328">
        <f t="shared" si="21"/>
        <v>18.386040000000001</v>
      </c>
      <c r="J375" s="328">
        <f t="shared" si="20"/>
        <v>9.6907599999999992</v>
      </c>
    </row>
    <row r="376" spans="1:10" s="9" customFormat="1" x14ac:dyDescent="0.3">
      <c r="B376" s="4"/>
      <c r="C376" s="4"/>
      <c r="D376" s="7"/>
      <c r="E376" s="96"/>
      <c r="I376" s="328">
        <f t="shared" si="21"/>
        <v>0</v>
      </c>
      <c r="J376" s="328">
        <f t="shared" si="20"/>
        <v>0</v>
      </c>
    </row>
    <row r="377" spans="1:10" x14ac:dyDescent="0.3">
      <c r="B377" s="79" t="s">
        <v>134</v>
      </c>
      <c r="C377" s="4"/>
      <c r="E377" s="61"/>
      <c r="I377" s="328">
        <f t="shared" si="21"/>
        <v>0</v>
      </c>
      <c r="J377" s="328">
        <f t="shared" si="20"/>
        <v>0</v>
      </c>
    </row>
    <row r="378" spans="1:10" x14ac:dyDescent="0.3">
      <c r="B378" s="266" t="s">
        <v>433</v>
      </c>
      <c r="C378" s="267"/>
      <c r="D378" s="268" t="s">
        <v>434</v>
      </c>
      <c r="E378" s="264">
        <v>860</v>
      </c>
      <c r="I378" s="328">
        <f t="shared" si="21"/>
        <v>192.82920000000001</v>
      </c>
      <c r="J378" s="328">
        <f t="shared" si="20"/>
        <v>101.6348</v>
      </c>
    </row>
    <row r="379" spans="1:10" x14ac:dyDescent="0.3">
      <c r="B379" s="266" t="s">
        <v>435</v>
      </c>
      <c r="C379" s="267"/>
      <c r="D379" s="268" t="s">
        <v>436</v>
      </c>
      <c r="E379" s="264">
        <v>1835</v>
      </c>
      <c r="I379" s="328">
        <f t="shared" si="21"/>
        <v>411.44369999999998</v>
      </c>
      <c r="J379" s="328">
        <f t="shared" si="20"/>
        <v>216.8603</v>
      </c>
    </row>
    <row r="380" spans="1:10" x14ac:dyDescent="0.3">
      <c r="A380" s="15"/>
      <c r="B380" s="266" t="s">
        <v>437</v>
      </c>
      <c r="C380" s="267"/>
      <c r="D380" s="268" t="s">
        <v>438</v>
      </c>
      <c r="E380" s="264">
        <v>3277</v>
      </c>
      <c r="I380" s="328">
        <f t="shared" si="21"/>
        <v>734.76894000000004</v>
      </c>
      <c r="J380" s="328">
        <f t="shared" si="20"/>
        <v>387.27585999999997</v>
      </c>
    </row>
    <row r="381" spans="1:10" x14ac:dyDescent="0.3">
      <c r="B381" s="266" t="s">
        <v>439</v>
      </c>
      <c r="C381" s="267"/>
      <c r="D381" s="268" t="s">
        <v>440</v>
      </c>
      <c r="E381" s="264">
        <v>6213</v>
      </c>
      <c r="I381" s="328">
        <f t="shared" si="21"/>
        <v>1393.0788600000001</v>
      </c>
      <c r="J381" s="328">
        <f t="shared" si="20"/>
        <v>734.25234</v>
      </c>
    </row>
    <row r="382" spans="1:10" x14ac:dyDescent="0.3">
      <c r="B382" s="266" t="s">
        <v>441</v>
      </c>
      <c r="C382" s="266"/>
      <c r="D382" s="268" t="s">
        <v>442</v>
      </c>
      <c r="E382" s="264">
        <v>263</v>
      </c>
      <c r="I382" s="328">
        <f t="shared" si="21"/>
        <v>58.969860000000004</v>
      </c>
      <c r="J382" s="328">
        <f t="shared" si="20"/>
        <v>31.081339999999997</v>
      </c>
    </row>
    <row r="383" spans="1:10" x14ac:dyDescent="0.3">
      <c r="B383" s="266" t="s">
        <v>443</v>
      </c>
      <c r="C383" s="266"/>
      <c r="D383" s="283" t="s">
        <v>444</v>
      </c>
      <c r="E383" s="264">
        <v>882</v>
      </c>
      <c r="I383" s="328">
        <f t="shared" si="21"/>
        <v>197.76204000000001</v>
      </c>
      <c r="J383" s="328">
        <f t="shared" si="20"/>
        <v>104.23475999999999</v>
      </c>
    </row>
    <row r="384" spans="1:10" ht="13.5" customHeight="1" x14ac:dyDescent="0.3">
      <c r="B384" s="266" t="s">
        <v>445</v>
      </c>
      <c r="C384" s="266"/>
      <c r="D384" s="268" t="s">
        <v>446</v>
      </c>
      <c r="E384" s="273">
        <v>1423</v>
      </c>
      <c r="I384" s="328">
        <f t="shared" si="21"/>
        <v>319.06506000000002</v>
      </c>
      <c r="J384" s="328">
        <f t="shared" si="20"/>
        <v>168.17014</v>
      </c>
    </row>
    <row r="385" spans="2:10" s="9" customFormat="1" x14ac:dyDescent="0.3">
      <c r="B385" s="4"/>
      <c r="C385" s="4"/>
      <c r="D385" s="7"/>
      <c r="E385" s="78"/>
      <c r="I385" s="328">
        <f t="shared" si="21"/>
        <v>0</v>
      </c>
      <c r="J385" s="328">
        <f t="shared" si="20"/>
        <v>0</v>
      </c>
    </row>
    <row r="386" spans="2:10" s="9" customFormat="1" x14ac:dyDescent="0.3">
      <c r="B386" s="79" t="s">
        <v>248</v>
      </c>
      <c r="C386" s="86"/>
      <c r="D386" s="190"/>
      <c r="E386" s="158"/>
      <c r="I386" s="328">
        <f t="shared" si="21"/>
        <v>0</v>
      </c>
      <c r="J386" s="328">
        <f t="shared" si="20"/>
        <v>0</v>
      </c>
    </row>
    <row r="387" spans="2:10" customFormat="1" ht="14.5" x14ac:dyDescent="0.35">
      <c r="B387" s="279" t="s">
        <v>183</v>
      </c>
      <c r="C387" s="267"/>
      <c r="D387" s="284" t="s">
        <v>447</v>
      </c>
      <c r="E387" s="264">
        <v>12</v>
      </c>
      <c r="I387" s="328">
        <f t="shared" si="21"/>
        <v>2.6906400000000001</v>
      </c>
      <c r="J387" s="328">
        <f t="shared" si="20"/>
        <v>1.4181599999999999</v>
      </c>
    </row>
    <row r="388" spans="2:10" customFormat="1" ht="14.5" x14ac:dyDescent="0.35">
      <c r="B388" s="266" t="s">
        <v>250</v>
      </c>
      <c r="C388" s="267"/>
      <c r="D388" s="268" t="s">
        <v>251</v>
      </c>
      <c r="E388" s="264">
        <v>88</v>
      </c>
      <c r="I388" s="328">
        <f t="shared" si="21"/>
        <v>19.731359999999999</v>
      </c>
      <c r="J388" s="328">
        <f t="shared" si="20"/>
        <v>10.399839999999999</v>
      </c>
    </row>
    <row r="389" spans="2:10" s="9" customFormat="1" x14ac:dyDescent="0.3">
      <c r="B389" s="191"/>
      <c r="C389" s="192"/>
      <c r="D389" s="193"/>
      <c r="E389" s="212"/>
      <c r="I389" s="328">
        <f t="shared" si="21"/>
        <v>0</v>
      </c>
      <c r="J389" s="328">
        <f t="shared" si="20"/>
        <v>0</v>
      </c>
    </row>
    <row r="390" spans="2:10" s="9" customFormat="1" x14ac:dyDescent="0.3">
      <c r="B390" s="79" t="s">
        <v>448</v>
      </c>
      <c r="C390" s="86"/>
      <c r="D390" s="190"/>
      <c r="E390" s="189"/>
      <c r="I390" s="328">
        <f t="shared" si="21"/>
        <v>0</v>
      </c>
      <c r="J390" s="328">
        <f t="shared" si="20"/>
        <v>0</v>
      </c>
    </row>
    <row r="391" spans="2:10" s="80" customFormat="1" x14ac:dyDescent="0.3">
      <c r="B391" s="269" t="s">
        <v>253</v>
      </c>
      <c r="C391" s="274"/>
      <c r="D391" s="284" t="s">
        <v>449</v>
      </c>
      <c r="E391" s="264">
        <v>8</v>
      </c>
      <c r="I391" s="328">
        <f t="shared" si="21"/>
        <v>1.79376</v>
      </c>
      <c r="J391" s="328">
        <f t="shared" si="20"/>
        <v>0.94543999999999995</v>
      </c>
    </row>
    <row r="392" spans="2:10" s="80" customFormat="1" x14ac:dyDescent="0.3">
      <c r="B392" s="269" t="s">
        <v>254</v>
      </c>
      <c r="C392" s="274"/>
      <c r="D392" s="284" t="s">
        <v>450</v>
      </c>
      <c r="E392" s="264">
        <v>8</v>
      </c>
      <c r="I392" s="328">
        <f t="shared" si="21"/>
        <v>1.79376</v>
      </c>
      <c r="J392" s="328">
        <f t="shared" si="20"/>
        <v>0.94543999999999995</v>
      </c>
    </row>
    <row r="393" spans="2:10" s="80" customFormat="1" x14ac:dyDescent="0.3">
      <c r="B393" s="269" t="s">
        <v>255</v>
      </c>
      <c r="C393" s="267"/>
      <c r="D393" s="268" t="s">
        <v>147</v>
      </c>
      <c r="E393" s="264">
        <v>8</v>
      </c>
      <c r="I393" s="328">
        <f t="shared" si="21"/>
        <v>1.79376</v>
      </c>
      <c r="J393" s="328">
        <f t="shared" si="20"/>
        <v>0.94543999999999995</v>
      </c>
    </row>
    <row r="394" spans="2:10" s="80" customFormat="1" x14ac:dyDescent="0.3">
      <c r="B394" s="269" t="s">
        <v>256</v>
      </c>
      <c r="C394" s="274"/>
      <c r="D394" s="284" t="s">
        <v>451</v>
      </c>
      <c r="E394" s="264">
        <v>14</v>
      </c>
      <c r="I394" s="328">
        <f t="shared" si="21"/>
        <v>3.1390799999999999</v>
      </c>
      <c r="J394" s="328">
        <f t="shared" si="20"/>
        <v>1.65452</v>
      </c>
    </row>
    <row r="395" spans="2:10" x14ac:dyDescent="0.3">
      <c r="B395" s="98"/>
      <c r="C395" s="93"/>
      <c r="E395" s="7"/>
      <c r="I395" s="328">
        <f t="shared" si="21"/>
        <v>0</v>
      </c>
      <c r="J395" s="328">
        <f t="shared" si="20"/>
        <v>0</v>
      </c>
    </row>
    <row r="396" spans="2:10" x14ac:dyDescent="0.3">
      <c r="B396" s="62" t="s">
        <v>257</v>
      </c>
      <c r="C396" s="63"/>
      <c r="D396" s="157"/>
      <c r="E396" s="157"/>
      <c r="I396" s="328">
        <f t="shared" si="21"/>
        <v>0</v>
      </c>
      <c r="J396" s="328">
        <f t="shared" si="20"/>
        <v>0</v>
      </c>
    </row>
    <row r="397" spans="2:10" x14ac:dyDescent="0.3">
      <c r="B397" s="269" t="s">
        <v>258</v>
      </c>
      <c r="C397" s="274"/>
      <c r="D397" s="268" t="s">
        <v>259</v>
      </c>
      <c r="E397" s="264">
        <v>19</v>
      </c>
      <c r="I397" s="328">
        <f t="shared" si="21"/>
        <v>4.2601800000000001</v>
      </c>
      <c r="J397" s="328">
        <f t="shared" si="20"/>
        <v>2.2454199999999997</v>
      </c>
    </row>
    <row r="398" spans="2:10" x14ac:dyDescent="0.3">
      <c r="B398" s="98"/>
      <c r="C398" s="93"/>
      <c r="E398" s="7"/>
      <c r="I398" s="328">
        <f t="shared" si="21"/>
        <v>0</v>
      </c>
      <c r="J398" s="328">
        <f t="shared" si="20"/>
        <v>0</v>
      </c>
    </row>
    <row r="399" spans="2:10" s="9" customFormat="1" x14ac:dyDescent="0.3">
      <c r="B399" s="79" t="s">
        <v>452</v>
      </c>
      <c r="C399" s="63"/>
      <c r="D399" s="190"/>
      <c r="E399" s="157"/>
      <c r="I399" s="328">
        <f t="shared" si="21"/>
        <v>0</v>
      </c>
      <c r="J399" s="328">
        <f t="shared" si="20"/>
        <v>0</v>
      </c>
    </row>
    <row r="400" spans="2:10" s="80" customFormat="1" x14ac:dyDescent="0.3">
      <c r="B400" s="269" t="s">
        <v>260</v>
      </c>
      <c r="C400" s="267"/>
      <c r="D400" s="268" t="s">
        <v>154</v>
      </c>
      <c r="E400" s="264">
        <v>37</v>
      </c>
      <c r="I400" s="328">
        <f t="shared" si="21"/>
        <v>8.2961399999999994</v>
      </c>
      <c r="J400" s="328">
        <f t="shared" si="20"/>
        <v>4.3726599999999998</v>
      </c>
    </row>
    <row r="401" spans="2:10" x14ac:dyDescent="0.3">
      <c r="B401" s="98"/>
      <c r="C401" s="93"/>
      <c r="E401" s="7"/>
      <c r="I401" s="328">
        <f t="shared" si="21"/>
        <v>0</v>
      </c>
      <c r="J401" s="328">
        <f t="shared" si="20"/>
        <v>0</v>
      </c>
    </row>
    <row r="402" spans="2:10" s="9" customFormat="1" x14ac:dyDescent="0.3">
      <c r="B402" s="62" t="s">
        <v>261</v>
      </c>
      <c r="C402" s="63"/>
      <c r="D402" s="157"/>
      <c r="E402" s="157"/>
      <c r="I402" s="328">
        <f t="shared" si="21"/>
        <v>0</v>
      </c>
      <c r="J402" s="328">
        <f t="shared" si="20"/>
        <v>0</v>
      </c>
    </row>
    <row r="403" spans="2:10" x14ac:dyDescent="0.3">
      <c r="B403" s="266" t="s">
        <v>190</v>
      </c>
      <c r="C403" s="267"/>
      <c r="D403" s="268" t="s">
        <v>157</v>
      </c>
      <c r="E403" s="264">
        <v>40</v>
      </c>
      <c r="I403" s="328">
        <f t="shared" si="21"/>
        <v>8.9687999999999999</v>
      </c>
      <c r="J403" s="328">
        <f t="shared" si="20"/>
        <v>4.7271999999999998</v>
      </c>
    </row>
    <row r="404" spans="2:10" x14ac:dyDescent="0.3">
      <c r="B404" s="98"/>
      <c r="C404" s="93"/>
      <c r="E404" s="7"/>
      <c r="I404" s="328">
        <f t="shared" si="21"/>
        <v>0</v>
      </c>
      <c r="J404" s="328">
        <f t="shared" si="20"/>
        <v>0</v>
      </c>
    </row>
    <row r="405" spans="2:10" s="9" customFormat="1" x14ac:dyDescent="0.3">
      <c r="B405" s="62" t="s">
        <v>262</v>
      </c>
      <c r="C405" s="63"/>
      <c r="D405" s="157"/>
      <c r="E405" s="157"/>
      <c r="I405" s="328">
        <f t="shared" si="21"/>
        <v>0</v>
      </c>
      <c r="J405" s="328">
        <f t="shared" si="20"/>
        <v>0</v>
      </c>
    </row>
    <row r="406" spans="2:10" s="80" customFormat="1" x14ac:dyDescent="0.3">
      <c r="B406" s="285" t="s">
        <v>263</v>
      </c>
      <c r="C406" s="274"/>
      <c r="D406" s="268" t="s">
        <v>264</v>
      </c>
      <c r="E406" s="264">
        <v>14</v>
      </c>
      <c r="I406" s="328">
        <f t="shared" si="21"/>
        <v>3.1390799999999999</v>
      </c>
      <c r="J406" s="328">
        <f t="shared" si="20"/>
        <v>1.65452</v>
      </c>
    </row>
    <row r="407" spans="2:10" s="80" customFormat="1" x14ac:dyDescent="0.3">
      <c r="B407" s="269" t="s">
        <v>265</v>
      </c>
      <c r="C407" s="274"/>
      <c r="D407" s="268" t="s">
        <v>266</v>
      </c>
      <c r="E407" s="264">
        <v>72</v>
      </c>
      <c r="I407" s="328">
        <f t="shared" si="21"/>
        <v>16.143840000000001</v>
      </c>
      <c r="J407" s="328">
        <f t="shared" si="20"/>
        <v>8.5089600000000001</v>
      </c>
    </row>
    <row r="408" spans="2:10" x14ac:dyDescent="0.3">
      <c r="B408" s="98"/>
      <c r="C408" s="93"/>
      <c r="E408" s="7"/>
      <c r="I408" s="328">
        <f t="shared" si="21"/>
        <v>0</v>
      </c>
      <c r="J408" s="328">
        <f t="shared" si="20"/>
        <v>0</v>
      </c>
    </row>
    <row r="409" spans="2:10" customFormat="1" ht="14.5" x14ac:dyDescent="0.35">
      <c r="B409" s="79" t="s">
        <v>158</v>
      </c>
      <c r="C409" s="63"/>
      <c r="D409" s="64"/>
      <c r="E409" s="64"/>
      <c r="I409" s="328">
        <f t="shared" si="21"/>
        <v>0</v>
      </c>
      <c r="J409" s="328">
        <f t="shared" si="20"/>
        <v>0</v>
      </c>
    </row>
    <row r="410" spans="2:10" customFormat="1" ht="14.5" x14ac:dyDescent="0.35">
      <c r="B410" s="285" t="s">
        <v>159</v>
      </c>
      <c r="C410" s="270"/>
      <c r="D410" s="268" t="s">
        <v>160</v>
      </c>
      <c r="E410" s="264">
        <v>7</v>
      </c>
      <c r="I410" s="328">
        <f t="shared" si="21"/>
        <v>1.5695399999999999</v>
      </c>
      <c r="J410" s="328">
        <f t="shared" si="20"/>
        <v>0.82726</v>
      </c>
    </row>
    <row r="411" spans="2:10" customFormat="1" ht="14.5" x14ac:dyDescent="0.35">
      <c r="B411" s="285" t="s">
        <v>161</v>
      </c>
      <c r="C411" s="270"/>
      <c r="D411" s="268" t="s">
        <v>162</v>
      </c>
      <c r="E411" s="264">
        <v>15</v>
      </c>
      <c r="I411" s="328">
        <f t="shared" si="21"/>
        <v>3.3633000000000002</v>
      </c>
      <c r="J411" s="328">
        <f t="shared" si="20"/>
        <v>1.7726999999999999</v>
      </c>
    </row>
    <row r="412" spans="2:10" customFormat="1" ht="14.5" collapsed="1" x14ac:dyDescent="0.35">
      <c r="B412" s="4"/>
      <c r="C412" s="26"/>
      <c r="D412" s="31"/>
      <c r="E412" s="166"/>
      <c r="I412" s="328">
        <f t="shared" si="21"/>
        <v>0</v>
      </c>
      <c r="J412" s="328">
        <f t="shared" si="20"/>
        <v>0</v>
      </c>
    </row>
    <row r="413" spans="2:10" x14ac:dyDescent="0.3">
      <c r="B413" s="79" t="s">
        <v>163</v>
      </c>
      <c r="C413" s="63"/>
      <c r="D413" s="190"/>
      <c r="E413" s="157"/>
      <c r="I413" s="328">
        <f t="shared" si="21"/>
        <v>0</v>
      </c>
      <c r="J413" s="328">
        <f t="shared" si="20"/>
        <v>0</v>
      </c>
    </row>
    <row r="414" spans="2:10" s="6" customFormat="1" x14ac:dyDescent="0.3">
      <c r="B414" s="286" t="s">
        <v>164</v>
      </c>
      <c r="C414" s="272"/>
      <c r="D414" s="268" t="s">
        <v>165</v>
      </c>
      <c r="E414" s="264">
        <v>0</v>
      </c>
      <c r="I414" s="328">
        <f t="shared" si="21"/>
        <v>0</v>
      </c>
      <c r="J414" s="328">
        <f t="shared" si="20"/>
        <v>0</v>
      </c>
    </row>
    <row r="415" spans="2:10" s="6" customFormat="1" x14ac:dyDescent="0.3">
      <c r="B415" s="121"/>
      <c r="C415" s="93"/>
      <c r="D415" s="7"/>
      <c r="E415" s="122"/>
      <c r="I415" s="328">
        <f t="shared" si="21"/>
        <v>0</v>
      </c>
      <c r="J415" s="328">
        <f t="shared" si="20"/>
        <v>0</v>
      </c>
    </row>
    <row r="416" spans="2:10" x14ac:dyDescent="0.3">
      <c r="B416" s="98"/>
      <c r="C416" s="93"/>
      <c r="E416" s="82"/>
      <c r="I416" s="328">
        <f t="shared" si="21"/>
        <v>0</v>
      </c>
      <c r="J416" s="328">
        <f t="shared" si="20"/>
        <v>0</v>
      </c>
    </row>
    <row r="417" spans="2:10" collapsed="1" x14ac:dyDescent="0.3">
      <c r="B417" s="87" t="s">
        <v>453</v>
      </c>
      <c r="C417" s="88"/>
      <c r="D417" s="66"/>
      <c r="E417" s="67"/>
      <c r="I417" s="328">
        <f t="shared" si="21"/>
        <v>0</v>
      </c>
      <c r="J417" s="328">
        <f t="shared" si="20"/>
        <v>0</v>
      </c>
    </row>
    <row r="418" spans="2:10" x14ac:dyDescent="0.3">
      <c r="B418" s="79" t="s">
        <v>107</v>
      </c>
      <c r="C418" s="86"/>
      <c r="D418" s="31"/>
      <c r="E418" s="61"/>
      <c r="I418" s="328">
        <f t="shared" si="21"/>
        <v>0</v>
      </c>
      <c r="J418" s="328">
        <f t="shared" si="20"/>
        <v>0</v>
      </c>
    </row>
    <row r="419" spans="2:10" x14ac:dyDescent="0.3">
      <c r="B419" s="266" t="s">
        <v>353</v>
      </c>
      <c r="C419" s="267"/>
      <c r="D419" s="268" t="s">
        <v>454</v>
      </c>
      <c r="E419" s="264">
        <v>200</v>
      </c>
      <c r="I419" s="328">
        <f t="shared" si="21"/>
        <v>44.844000000000001</v>
      </c>
      <c r="J419" s="328">
        <f t="shared" si="20"/>
        <v>23.635999999999999</v>
      </c>
    </row>
    <row r="420" spans="2:10" x14ac:dyDescent="0.3">
      <c r="B420" s="79"/>
      <c r="C420" s="86"/>
      <c r="D420" s="31"/>
      <c r="E420" s="31"/>
      <c r="I420" s="328">
        <f t="shared" si="21"/>
        <v>0</v>
      </c>
      <c r="J420" s="328">
        <f t="shared" si="20"/>
        <v>0</v>
      </c>
    </row>
    <row r="421" spans="2:10" x14ac:dyDescent="0.3">
      <c r="B421" s="79" t="s">
        <v>114</v>
      </c>
      <c r="C421" s="99"/>
      <c r="E421" s="7"/>
      <c r="I421" s="328">
        <f t="shared" si="21"/>
        <v>0</v>
      </c>
      <c r="J421" s="328">
        <f t="shared" si="20"/>
        <v>0</v>
      </c>
    </row>
    <row r="422" spans="2:10" x14ac:dyDescent="0.3">
      <c r="B422" s="266" t="s">
        <v>455</v>
      </c>
      <c r="C422" s="279"/>
      <c r="D422" s="268" t="s">
        <v>356</v>
      </c>
      <c r="E422" s="264">
        <v>121</v>
      </c>
      <c r="I422" s="328">
        <f t="shared" si="21"/>
        <v>27.13062</v>
      </c>
      <c r="J422" s="328">
        <f t="shared" si="20"/>
        <v>14.299779999999998</v>
      </c>
    </row>
    <row r="423" spans="2:10" x14ac:dyDescent="0.3">
      <c r="B423" s="266" t="s">
        <v>456</v>
      </c>
      <c r="C423" s="279"/>
      <c r="D423" s="268" t="s">
        <v>358</v>
      </c>
      <c r="E423" s="264">
        <v>409</v>
      </c>
      <c r="I423" s="328">
        <f t="shared" si="21"/>
        <v>91.705979999999997</v>
      </c>
      <c r="J423" s="328">
        <f t="shared" si="20"/>
        <v>48.335619999999999</v>
      </c>
    </row>
    <row r="424" spans="2:10" x14ac:dyDescent="0.3">
      <c r="B424" s="62" t="s">
        <v>363</v>
      </c>
      <c r="C424" s="68"/>
      <c r="E424" s="61"/>
      <c r="I424" s="328">
        <f t="shared" si="21"/>
        <v>0</v>
      </c>
      <c r="J424" s="328">
        <f t="shared" si="20"/>
        <v>0</v>
      </c>
    </row>
    <row r="425" spans="2:10" x14ac:dyDescent="0.3">
      <c r="B425" s="266" t="s">
        <v>364</v>
      </c>
      <c r="C425" s="267"/>
      <c r="D425" s="268" t="s">
        <v>365</v>
      </c>
      <c r="E425" s="264">
        <v>35</v>
      </c>
      <c r="I425" s="328">
        <f t="shared" si="21"/>
        <v>7.8476999999999997</v>
      </c>
      <c r="J425" s="328">
        <f t="shared" si="20"/>
        <v>4.1362999999999994</v>
      </c>
    </row>
    <row r="426" spans="2:10" x14ac:dyDescent="0.3">
      <c r="B426" s="266" t="s">
        <v>366</v>
      </c>
      <c r="C426" s="267"/>
      <c r="D426" s="268" t="s">
        <v>367</v>
      </c>
      <c r="E426" s="264">
        <v>227</v>
      </c>
      <c r="I426" s="328">
        <f t="shared" si="21"/>
        <v>50.897939999999998</v>
      </c>
      <c r="J426" s="328">
        <f t="shared" si="20"/>
        <v>26.82686</v>
      </c>
    </row>
    <row r="427" spans="2:10" x14ac:dyDescent="0.3">
      <c r="B427" s="266" t="s">
        <v>368</v>
      </c>
      <c r="C427" s="267"/>
      <c r="D427" s="268" t="s">
        <v>369</v>
      </c>
      <c r="E427" s="264">
        <v>456</v>
      </c>
      <c r="I427" s="328">
        <f t="shared" si="21"/>
        <v>102.24432</v>
      </c>
      <c r="J427" s="328">
        <f t="shared" si="20"/>
        <v>53.890079999999998</v>
      </c>
    </row>
    <row r="428" spans="2:10" x14ac:dyDescent="0.3">
      <c r="B428" s="266" t="s">
        <v>370</v>
      </c>
      <c r="C428" s="267"/>
      <c r="D428" s="268" t="s">
        <v>371</v>
      </c>
      <c r="E428" s="264">
        <v>1023</v>
      </c>
      <c r="I428" s="328">
        <f t="shared" si="21"/>
        <v>229.37706</v>
      </c>
      <c r="J428" s="328">
        <f t="shared" si="20"/>
        <v>120.89814</v>
      </c>
    </row>
    <row r="429" spans="2:10" x14ac:dyDescent="0.3">
      <c r="B429" s="4"/>
      <c r="C429" s="4"/>
      <c r="E429" s="72"/>
      <c r="I429" s="328">
        <f t="shared" si="21"/>
        <v>0</v>
      </c>
      <c r="J429" s="328">
        <f t="shared" si="20"/>
        <v>0</v>
      </c>
    </row>
    <row r="430" spans="2:10" x14ac:dyDescent="0.3">
      <c r="B430" s="62" t="s">
        <v>121</v>
      </c>
      <c r="C430" s="86"/>
      <c r="E430" s="7"/>
      <c r="I430" s="328">
        <f t="shared" si="21"/>
        <v>0</v>
      </c>
      <c r="J430" s="328">
        <f t="shared" si="20"/>
        <v>0</v>
      </c>
    </row>
    <row r="431" spans="2:10" x14ac:dyDescent="0.3">
      <c r="B431" s="267" t="s">
        <v>457</v>
      </c>
      <c r="C431" s="267"/>
      <c r="D431" s="268" t="s">
        <v>458</v>
      </c>
      <c r="E431" s="264">
        <v>73</v>
      </c>
      <c r="I431" s="328">
        <f t="shared" si="21"/>
        <v>16.36806</v>
      </c>
      <c r="J431" s="328">
        <f t="shared" si="20"/>
        <v>8.6271399999999989</v>
      </c>
    </row>
    <row r="432" spans="2:10" x14ac:dyDescent="0.3">
      <c r="B432" s="267" t="s">
        <v>459</v>
      </c>
      <c r="C432" s="267"/>
      <c r="D432" s="268" t="s">
        <v>460</v>
      </c>
      <c r="E432" s="264">
        <v>217</v>
      </c>
      <c r="I432" s="328">
        <f t="shared" si="21"/>
        <v>48.655740000000002</v>
      </c>
      <c r="J432" s="328">
        <f t="shared" ref="J432:J468" si="22">E432*$J$3</f>
        <v>25.645059999999997</v>
      </c>
    </row>
    <row r="433" spans="1:10" x14ac:dyDescent="0.3">
      <c r="B433" s="267" t="s">
        <v>374</v>
      </c>
      <c r="C433" s="267"/>
      <c r="D433" s="268" t="s">
        <v>375</v>
      </c>
      <c r="E433" s="264">
        <v>517</v>
      </c>
      <c r="I433" s="328">
        <f t="shared" ref="I433:I468" si="23">E433*$I$3</f>
        <v>115.92174</v>
      </c>
      <c r="J433" s="328">
        <f t="shared" si="22"/>
        <v>61.099059999999994</v>
      </c>
    </row>
    <row r="434" spans="1:10" x14ac:dyDescent="0.3">
      <c r="B434" s="10"/>
      <c r="D434" s="31"/>
      <c r="E434" s="31"/>
      <c r="I434" s="328">
        <f t="shared" si="23"/>
        <v>0</v>
      </c>
      <c r="J434" s="328">
        <f t="shared" si="22"/>
        <v>0</v>
      </c>
    </row>
    <row r="435" spans="1:10" x14ac:dyDescent="0.3">
      <c r="B435" s="97" t="s">
        <v>293</v>
      </c>
      <c r="C435" s="86"/>
      <c r="E435" s="7"/>
      <c r="I435" s="328">
        <f t="shared" si="23"/>
        <v>0</v>
      </c>
      <c r="J435" s="328">
        <f t="shared" si="22"/>
        <v>0</v>
      </c>
    </row>
    <row r="436" spans="1:10" x14ac:dyDescent="0.3">
      <c r="B436" s="279" t="s">
        <v>376</v>
      </c>
      <c r="C436" s="279"/>
      <c r="D436" s="268" t="s">
        <v>461</v>
      </c>
      <c r="E436" s="264">
        <v>133</v>
      </c>
      <c r="I436" s="328">
        <f t="shared" si="23"/>
        <v>29.821259999999999</v>
      </c>
      <c r="J436" s="328">
        <f t="shared" si="22"/>
        <v>15.717939999999999</v>
      </c>
    </row>
    <row r="437" spans="1:10" x14ac:dyDescent="0.3">
      <c r="B437" s="267" t="s">
        <v>372</v>
      </c>
      <c r="C437" s="279"/>
      <c r="D437" s="268" t="s">
        <v>462</v>
      </c>
      <c r="E437" s="264">
        <v>206</v>
      </c>
      <c r="I437" s="328">
        <f t="shared" si="23"/>
        <v>46.189320000000002</v>
      </c>
      <c r="J437" s="328">
        <f t="shared" si="22"/>
        <v>24.345079999999999</v>
      </c>
    </row>
    <row r="438" spans="1:10" x14ac:dyDescent="0.3">
      <c r="B438" s="267" t="s">
        <v>373</v>
      </c>
      <c r="C438" s="279"/>
      <c r="D438" s="268" t="s">
        <v>463</v>
      </c>
      <c r="E438" s="264">
        <v>350</v>
      </c>
      <c r="I438" s="328">
        <f t="shared" si="23"/>
        <v>78.477000000000004</v>
      </c>
      <c r="J438" s="328">
        <f t="shared" si="22"/>
        <v>41.363</v>
      </c>
    </row>
    <row r="439" spans="1:10" x14ac:dyDescent="0.3">
      <c r="B439" s="267" t="s">
        <v>374</v>
      </c>
      <c r="C439" s="267"/>
      <c r="D439" s="268" t="s">
        <v>378</v>
      </c>
      <c r="E439" s="264">
        <v>650</v>
      </c>
      <c r="I439" s="328">
        <f t="shared" si="23"/>
        <v>145.74299999999999</v>
      </c>
      <c r="J439" s="328">
        <f t="shared" si="22"/>
        <v>76.816999999999993</v>
      </c>
    </row>
    <row r="440" spans="1:10" x14ac:dyDescent="0.3">
      <c r="B440" s="4"/>
      <c r="C440" s="4"/>
      <c r="D440" s="100"/>
      <c r="E440" s="31"/>
      <c r="I440" s="328">
        <f t="shared" si="23"/>
        <v>0</v>
      </c>
      <c r="J440" s="328">
        <f t="shared" si="22"/>
        <v>0</v>
      </c>
    </row>
    <row r="441" spans="1:10" x14ac:dyDescent="0.3">
      <c r="A441" s="105"/>
      <c r="B441" s="79" t="s">
        <v>464</v>
      </c>
      <c r="C441" s="101"/>
      <c r="E441" s="7"/>
      <c r="I441" s="328">
        <f t="shared" si="23"/>
        <v>0</v>
      </c>
      <c r="J441" s="328">
        <f t="shared" si="22"/>
        <v>0</v>
      </c>
    </row>
    <row r="442" spans="1:10" x14ac:dyDescent="0.3">
      <c r="A442" s="105"/>
      <c r="B442" s="266" t="s">
        <v>465</v>
      </c>
      <c r="C442" s="267"/>
      <c r="D442" s="268" t="s">
        <v>466</v>
      </c>
      <c r="E442" s="264">
        <v>180</v>
      </c>
      <c r="I442" s="328">
        <f t="shared" si="23"/>
        <v>40.3596</v>
      </c>
      <c r="J442" s="328">
        <f t="shared" si="22"/>
        <v>21.272399999999998</v>
      </c>
    </row>
    <row r="443" spans="1:10" x14ac:dyDescent="0.3">
      <c r="A443" s="10"/>
      <c r="B443" s="266" t="s">
        <v>467</v>
      </c>
      <c r="C443" s="267"/>
      <c r="D443" s="268" t="s">
        <v>468</v>
      </c>
      <c r="E443" s="264">
        <v>454</v>
      </c>
      <c r="I443" s="328">
        <f t="shared" si="23"/>
        <v>101.79588</v>
      </c>
      <c r="J443" s="328">
        <f t="shared" si="22"/>
        <v>53.65372</v>
      </c>
    </row>
    <row r="444" spans="1:10" x14ac:dyDescent="0.3">
      <c r="A444" s="10"/>
      <c r="B444" s="266" t="s">
        <v>469</v>
      </c>
      <c r="C444" s="267"/>
      <c r="D444" s="268" t="s">
        <v>470</v>
      </c>
      <c r="E444" s="264">
        <v>774</v>
      </c>
      <c r="I444" s="328">
        <f t="shared" si="23"/>
        <v>173.54628</v>
      </c>
      <c r="J444" s="328">
        <f t="shared" si="22"/>
        <v>91.471319999999992</v>
      </c>
    </row>
    <row r="445" spans="1:10" x14ac:dyDescent="0.3">
      <c r="A445" s="10"/>
      <c r="B445" s="266" t="s">
        <v>471</v>
      </c>
      <c r="C445" s="267"/>
      <c r="D445" s="268" t="s">
        <v>472</v>
      </c>
      <c r="E445" s="264">
        <v>1597</v>
      </c>
      <c r="I445" s="328">
        <f t="shared" si="23"/>
        <v>358.07934</v>
      </c>
      <c r="J445" s="328">
        <f t="shared" si="22"/>
        <v>188.73345999999998</v>
      </c>
    </row>
    <row r="446" spans="1:10" x14ac:dyDescent="0.3">
      <c r="B446" s="266" t="s">
        <v>473</v>
      </c>
      <c r="C446" s="267"/>
      <c r="D446" s="268" t="s">
        <v>474</v>
      </c>
      <c r="E446" s="264">
        <v>1091</v>
      </c>
      <c r="I446" s="328">
        <f t="shared" si="23"/>
        <v>244.62402</v>
      </c>
      <c r="J446" s="328">
        <f t="shared" si="22"/>
        <v>128.93438</v>
      </c>
    </row>
    <row r="447" spans="1:10" x14ac:dyDescent="0.3">
      <c r="B447" s="4"/>
      <c r="C447" s="4"/>
      <c r="D447" s="31"/>
      <c r="E447" s="61"/>
      <c r="I447" s="328">
        <f t="shared" si="23"/>
        <v>0</v>
      </c>
      <c r="J447" s="328">
        <f t="shared" si="22"/>
        <v>0</v>
      </c>
    </row>
    <row r="448" spans="1:10" x14ac:dyDescent="0.3">
      <c r="B448" s="79" t="s">
        <v>475</v>
      </c>
      <c r="C448" s="86"/>
      <c r="E448" s="61"/>
      <c r="I448" s="328">
        <f t="shared" si="23"/>
        <v>0</v>
      </c>
      <c r="J448" s="328">
        <f t="shared" si="22"/>
        <v>0</v>
      </c>
    </row>
    <row r="449" spans="2:10" x14ac:dyDescent="0.3">
      <c r="B449" s="261" t="s">
        <v>476</v>
      </c>
      <c r="C449" s="267"/>
      <c r="D449" s="268" t="s">
        <v>477</v>
      </c>
      <c r="E449" s="264">
        <v>28</v>
      </c>
      <c r="I449" s="328">
        <f t="shared" si="23"/>
        <v>6.2781599999999997</v>
      </c>
      <c r="J449" s="328">
        <f t="shared" si="22"/>
        <v>3.30904</v>
      </c>
    </row>
    <row r="450" spans="2:10" x14ac:dyDescent="0.3">
      <c r="B450" s="267" t="s">
        <v>478</v>
      </c>
      <c r="C450" s="267"/>
      <c r="D450" s="268" t="s">
        <v>479</v>
      </c>
      <c r="E450" s="264">
        <v>55</v>
      </c>
      <c r="I450" s="328">
        <f t="shared" si="23"/>
        <v>12.332100000000001</v>
      </c>
      <c r="J450" s="328">
        <f t="shared" si="22"/>
        <v>6.4998999999999993</v>
      </c>
    </row>
    <row r="451" spans="2:10" x14ac:dyDescent="0.3">
      <c r="B451" s="266" t="s">
        <v>480</v>
      </c>
      <c r="C451" s="267"/>
      <c r="D451" s="268" t="s">
        <v>481</v>
      </c>
      <c r="E451" s="264">
        <v>229</v>
      </c>
      <c r="I451" s="328">
        <f t="shared" si="23"/>
        <v>51.346380000000003</v>
      </c>
      <c r="J451" s="328">
        <f t="shared" si="22"/>
        <v>27.063219999999998</v>
      </c>
    </row>
    <row r="452" spans="2:10" x14ac:dyDescent="0.3">
      <c r="B452" s="4"/>
      <c r="C452" s="4"/>
      <c r="D452" s="31"/>
      <c r="E452" s="61"/>
      <c r="I452" s="328">
        <f t="shared" si="23"/>
        <v>0</v>
      </c>
      <c r="J452" s="328">
        <f t="shared" si="22"/>
        <v>0</v>
      </c>
    </row>
    <row r="453" spans="2:10" x14ac:dyDescent="0.3">
      <c r="B453" s="86" t="s">
        <v>313</v>
      </c>
      <c r="C453" s="4"/>
      <c r="E453" s="102"/>
      <c r="I453" s="328">
        <f t="shared" si="23"/>
        <v>0</v>
      </c>
      <c r="J453" s="328">
        <f t="shared" si="22"/>
        <v>0</v>
      </c>
    </row>
    <row r="454" spans="2:10" x14ac:dyDescent="0.3">
      <c r="B454" s="266" t="s">
        <v>395</v>
      </c>
      <c r="C454" s="279"/>
      <c r="D454" s="268" t="s">
        <v>482</v>
      </c>
      <c r="E454" s="264">
        <v>0</v>
      </c>
      <c r="I454" s="328">
        <f t="shared" si="23"/>
        <v>0</v>
      </c>
      <c r="J454" s="328">
        <f t="shared" si="22"/>
        <v>0</v>
      </c>
    </row>
    <row r="455" spans="2:10" x14ac:dyDescent="0.3">
      <c r="B455" s="4"/>
      <c r="C455" s="4"/>
      <c r="E455" s="31"/>
      <c r="I455" s="328">
        <f t="shared" si="23"/>
        <v>0</v>
      </c>
      <c r="J455" s="328">
        <f t="shared" si="22"/>
        <v>0</v>
      </c>
    </row>
    <row r="456" spans="2:10" x14ac:dyDescent="0.3">
      <c r="B456" s="86" t="s">
        <v>483</v>
      </c>
      <c r="C456" s="86"/>
      <c r="D456" s="31"/>
      <c r="E456" s="7"/>
      <c r="I456" s="328">
        <f t="shared" si="23"/>
        <v>0</v>
      </c>
      <c r="J456" s="328">
        <f t="shared" si="22"/>
        <v>0</v>
      </c>
    </row>
    <row r="457" spans="2:10" x14ac:dyDescent="0.3">
      <c r="B457" s="287" t="s">
        <v>484</v>
      </c>
      <c r="C457" s="288"/>
      <c r="D457" s="268" t="s">
        <v>485</v>
      </c>
      <c r="E457" s="264">
        <v>28</v>
      </c>
      <c r="I457" s="328">
        <f t="shared" si="23"/>
        <v>6.2781599999999997</v>
      </c>
      <c r="J457" s="328">
        <f t="shared" si="22"/>
        <v>3.30904</v>
      </c>
    </row>
    <row r="458" spans="2:10" x14ac:dyDescent="0.3">
      <c r="B458" s="4"/>
      <c r="C458" s="4"/>
      <c r="D458" s="31"/>
      <c r="E458" s="31"/>
      <c r="I458" s="328">
        <f t="shared" si="23"/>
        <v>0</v>
      </c>
      <c r="J458" s="328">
        <f t="shared" si="22"/>
        <v>0</v>
      </c>
    </row>
    <row r="459" spans="2:10" x14ac:dyDescent="0.3">
      <c r="B459" s="79" t="s">
        <v>349</v>
      </c>
      <c r="C459" s="4"/>
      <c r="E459" s="7"/>
      <c r="I459" s="328">
        <f t="shared" si="23"/>
        <v>0</v>
      </c>
      <c r="J459" s="328">
        <f t="shared" si="22"/>
        <v>0</v>
      </c>
    </row>
    <row r="460" spans="2:10" x14ac:dyDescent="0.3">
      <c r="B460" s="266" t="s">
        <v>486</v>
      </c>
      <c r="C460" s="279"/>
      <c r="D460" s="268" t="s">
        <v>487</v>
      </c>
      <c r="E460" s="264">
        <v>20</v>
      </c>
      <c r="I460" s="328">
        <f>E460*$I$3</f>
        <v>4.4843999999999999</v>
      </c>
      <c r="J460" s="328">
        <f t="shared" si="22"/>
        <v>2.3635999999999999</v>
      </c>
    </row>
    <row r="461" spans="2:10" x14ac:dyDescent="0.3">
      <c r="B461" s="266" t="s">
        <v>488</v>
      </c>
      <c r="C461" s="279"/>
      <c r="D461" s="268" t="s">
        <v>489</v>
      </c>
      <c r="E461" s="264">
        <v>38</v>
      </c>
      <c r="I461" s="328">
        <f t="shared" si="23"/>
        <v>8.5203600000000002</v>
      </c>
      <c r="J461" s="328">
        <f t="shared" si="22"/>
        <v>4.4908399999999995</v>
      </c>
    </row>
    <row r="462" spans="2:10" x14ac:dyDescent="0.3">
      <c r="B462" s="266" t="s">
        <v>490</v>
      </c>
      <c r="C462" s="267"/>
      <c r="D462" s="268" t="s">
        <v>491</v>
      </c>
      <c r="E462" s="264">
        <v>88</v>
      </c>
      <c r="I462" s="328">
        <f t="shared" si="23"/>
        <v>19.731359999999999</v>
      </c>
      <c r="J462" s="328">
        <f t="shared" si="22"/>
        <v>10.399839999999999</v>
      </c>
    </row>
    <row r="463" spans="2:10" customFormat="1" ht="14.5" x14ac:dyDescent="0.35">
      <c r="B463" s="17"/>
      <c r="C463" s="17"/>
      <c r="D463" s="7"/>
      <c r="E463" s="6"/>
      <c r="I463" s="328">
        <f t="shared" si="23"/>
        <v>0</v>
      </c>
      <c r="J463" s="328">
        <f t="shared" si="22"/>
        <v>0</v>
      </c>
    </row>
    <row r="464" spans="2:10" customFormat="1" ht="14.5" x14ac:dyDescent="0.35">
      <c r="B464" s="17" t="s">
        <v>401</v>
      </c>
      <c r="C464" s="17"/>
      <c r="D464" s="7"/>
      <c r="E464" s="17"/>
      <c r="I464" s="328">
        <f t="shared" si="23"/>
        <v>0</v>
      </c>
      <c r="J464" s="328">
        <f t="shared" si="22"/>
        <v>0</v>
      </c>
    </row>
    <row r="465" spans="2:10" customFormat="1" ht="14.5" x14ac:dyDescent="0.35">
      <c r="B465" s="262" t="s">
        <v>402</v>
      </c>
      <c r="C465" s="267"/>
      <c r="D465" s="268" t="s">
        <v>330</v>
      </c>
      <c r="E465" s="264">
        <v>119</v>
      </c>
      <c r="I465" s="328">
        <f t="shared" si="23"/>
        <v>26.682179999999999</v>
      </c>
      <c r="J465" s="328">
        <f t="shared" si="22"/>
        <v>14.063419999999999</v>
      </c>
    </row>
    <row r="466" spans="2:10" x14ac:dyDescent="0.3">
      <c r="B466" s="86"/>
      <c r="C466" s="86"/>
      <c r="D466" s="31"/>
      <c r="E466" s="31"/>
      <c r="I466" s="328">
        <f t="shared" si="23"/>
        <v>0</v>
      </c>
      <c r="J466" s="328">
        <f t="shared" si="22"/>
        <v>0</v>
      </c>
    </row>
    <row r="467" spans="2:10" x14ac:dyDescent="0.3">
      <c r="B467" s="79" t="s">
        <v>158</v>
      </c>
      <c r="C467" s="86"/>
      <c r="D467" s="64"/>
      <c r="E467" s="7"/>
      <c r="I467" s="328">
        <f t="shared" si="23"/>
        <v>0</v>
      </c>
      <c r="J467" s="328">
        <f t="shared" si="22"/>
        <v>0</v>
      </c>
    </row>
    <row r="468" spans="2:10" x14ac:dyDescent="0.3">
      <c r="B468" s="285" t="s">
        <v>161</v>
      </c>
      <c r="C468" s="281"/>
      <c r="D468" s="268" t="s">
        <v>162</v>
      </c>
      <c r="E468" s="264">
        <v>15</v>
      </c>
      <c r="I468" s="328">
        <f t="shared" si="23"/>
        <v>3.3633000000000002</v>
      </c>
      <c r="J468" s="328">
        <f t="shared" si="22"/>
        <v>1.7726999999999999</v>
      </c>
    </row>
    <row r="469" spans="2:10" x14ac:dyDescent="0.3">
      <c r="B469" s="4"/>
      <c r="C469" s="4"/>
      <c r="E469" s="61"/>
    </row>
    <row r="470" spans="2:10" ht="13.5" thickBot="1" x14ac:dyDescent="0.35">
      <c r="B470" s="19"/>
      <c r="E470" s="31"/>
    </row>
    <row r="471" spans="2:10" ht="21.5" thickBot="1" x14ac:dyDescent="0.55000000000000004">
      <c r="B471" s="354" t="s">
        <v>492</v>
      </c>
      <c r="C471" s="355"/>
      <c r="D471" s="355"/>
      <c r="E471" s="130"/>
      <c r="F471" s="356" t="s">
        <v>1948</v>
      </c>
      <c r="G471" s="357"/>
    </row>
    <row r="472" spans="2:10" ht="26.5" thickBot="1" x14ac:dyDescent="0.35">
      <c r="B472" s="11" t="s">
        <v>82</v>
      </c>
      <c r="C472" s="12" t="s">
        <v>83</v>
      </c>
      <c r="D472" s="13" t="s">
        <v>84</v>
      </c>
      <c r="E472" s="13"/>
      <c r="F472" s="320" t="s">
        <v>84</v>
      </c>
      <c r="G472" s="321" t="s">
        <v>85</v>
      </c>
    </row>
    <row r="473" spans="2:10" ht="141" customHeight="1" x14ac:dyDescent="0.3">
      <c r="B473" s="91" t="s">
        <v>493</v>
      </c>
      <c r="C473" s="103" t="s">
        <v>494</v>
      </c>
      <c r="D473" s="104" t="s">
        <v>495</v>
      </c>
      <c r="E473" s="256">
        <v>686</v>
      </c>
      <c r="F473" s="322" t="s">
        <v>1949</v>
      </c>
      <c r="G473" s="323">
        <v>38.770000000000003</v>
      </c>
      <c r="I473" s="329">
        <f>(G473+E473)*$I$3</f>
        <v>162.50792939999999</v>
      </c>
      <c r="J473" s="329">
        <f>(G473+E473)*$J$3</f>
        <v>85.653318599999992</v>
      </c>
    </row>
    <row r="474" spans="2:10" ht="137.25" customHeight="1" x14ac:dyDescent="0.3">
      <c r="B474" s="258" t="s">
        <v>496</v>
      </c>
      <c r="C474" s="103" t="s">
        <v>497</v>
      </c>
      <c r="D474" s="104" t="s">
        <v>498</v>
      </c>
      <c r="E474" s="256">
        <v>1712</v>
      </c>
      <c r="F474" s="322" t="s">
        <v>1949</v>
      </c>
      <c r="G474" s="323">
        <v>38.770000000000003</v>
      </c>
      <c r="I474" s="329">
        <f>(G474+E474)*$I$3</f>
        <v>392.5576494</v>
      </c>
      <c r="J474" s="329">
        <f t="shared" ref="J474" si="24">(G474+E474)*$J$3</f>
        <v>206.90599859999998</v>
      </c>
    </row>
    <row r="475" spans="2:10" ht="143.25" customHeight="1" x14ac:dyDescent="0.3">
      <c r="B475" s="258" t="s">
        <v>499</v>
      </c>
      <c r="C475" s="103" t="s">
        <v>500</v>
      </c>
      <c r="D475" s="104" t="s">
        <v>501</v>
      </c>
      <c r="E475" s="256">
        <v>2215</v>
      </c>
      <c r="F475" s="322" t="s">
        <v>1949</v>
      </c>
      <c r="G475" s="323">
        <v>38.770000000000003</v>
      </c>
      <c r="I475" s="329">
        <f>(G475+E475)*$I$3</f>
        <v>505.34030940000002</v>
      </c>
      <c r="J475" s="329">
        <f>(G475+E475)*$J$3</f>
        <v>266.35053859999999</v>
      </c>
    </row>
    <row r="476" spans="2:10" ht="156" customHeight="1" x14ac:dyDescent="0.3">
      <c r="B476" s="258" t="s">
        <v>502</v>
      </c>
      <c r="C476" s="103" t="s">
        <v>503</v>
      </c>
      <c r="D476" s="104" t="s">
        <v>504</v>
      </c>
      <c r="E476" s="256">
        <v>2949</v>
      </c>
      <c r="F476" s="322" t="s">
        <v>1949</v>
      </c>
      <c r="G476" s="323">
        <v>38.770000000000003</v>
      </c>
      <c r="I476" s="329">
        <f>(G476+E476)*$I$3</f>
        <v>669.91778940000006</v>
      </c>
      <c r="J476" s="329">
        <f>(G476+E476)*$J$3</f>
        <v>353.0946586</v>
      </c>
    </row>
    <row r="477" spans="2:10" ht="13.5" thickBot="1" x14ac:dyDescent="0.35">
      <c r="B477" s="4"/>
      <c r="C477" s="4"/>
    </row>
    <row r="478" spans="2:10" ht="21.5" thickBot="1" x14ac:dyDescent="0.55000000000000004">
      <c r="B478" s="354" t="s">
        <v>505</v>
      </c>
      <c r="C478" s="355"/>
      <c r="D478" s="355"/>
      <c r="E478" s="130"/>
    </row>
    <row r="479" spans="2:10" ht="26.5" thickBot="1" x14ac:dyDescent="0.35">
      <c r="B479" s="11" t="s">
        <v>82</v>
      </c>
      <c r="C479" s="12" t="s">
        <v>83</v>
      </c>
      <c r="D479" s="13" t="s">
        <v>84</v>
      </c>
      <c r="E479" s="13"/>
    </row>
    <row r="480" spans="2:10" x14ac:dyDescent="0.3">
      <c r="B480" s="131" t="s">
        <v>506</v>
      </c>
      <c r="C480" s="131"/>
      <c r="D480" s="132"/>
      <c r="E480" s="123"/>
    </row>
    <row r="481" spans="1:10" x14ac:dyDescent="0.3">
      <c r="B481" s="25"/>
      <c r="C481" s="4"/>
      <c r="D481" s="18"/>
      <c r="E481" s="18"/>
    </row>
    <row r="482" spans="1:10" x14ac:dyDescent="0.3">
      <c r="B482" s="17" t="s">
        <v>507</v>
      </c>
      <c r="C482" s="30"/>
      <c r="D482" s="32"/>
      <c r="E482" s="32"/>
    </row>
    <row r="483" spans="1:10" x14ac:dyDescent="0.3">
      <c r="B483" s="267" t="s">
        <v>508</v>
      </c>
      <c r="C483" s="279"/>
      <c r="D483" s="155" t="s">
        <v>509</v>
      </c>
      <c r="E483" s="264">
        <v>93</v>
      </c>
      <c r="I483" s="328">
        <f>E483*$I$3</f>
        <v>20.852460000000001</v>
      </c>
      <c r="J483" s="328">
        <f>E483*$J$3</f>
        <v>10.990739999999999</v>
      </c>
    </row>
    <row r="484" spans="1:10" x14ac:dyDescent="0.3">
      <c r="B484" s="4"/>
      <c r="C484" s="4"/>
      <c r="D484" s="4"/>
      <c r="E484" s="4"/>
      <c r="I484" s="328">
        <f t="shared" ref="I484:I485" si="25">E484*$I$3</f>
        <v>0</v>
      </c>
      <c r="J484" s="328">
        <f t="shared" ref="J484:J493" si="26">E484*$J$3</f>
        <v>0</v>
      </c>
    </row>
    <row r="485" spans="1:10" x14ac:dyDescent="0.3">
      <c r="B485" s="19" t="s">
        <v>107</v>
      </c>
      <c r="C485" s="30"/>
      <c r="D485" s="30"/>
      <c r="E485" s="30"/>
      <c r="I485" s="328">
        <f t="shared" si="25"/>
        <v>0</v>
      </c>
      <c r="J485" s="328">
        <f t="shared" si="26"/>
        <v>0</v>
      </c>
    </row>
    <row r="486" spans="1:10" x14ac:dyDescent="0.3">
      <c r="B486" s="267" t="s">
        <v>510</v>
      </c>
      <c r="C486" s="266"/>
      <c r="D486" s="268" t="s">
        <v>511</v>
      </c>
      <c r="E486" s="264">
        <v>196</v>
      </c>
      <c r="I486" s="328">
        <f>E486*$I$3</f>
        <v>43.947119999999998</v>
      </c>
      <c r="J486" s="328">
        <f t="shared" si="26"/>
        <v>23.16328</v>
      </c>
    </row>
    <row r="487" spans="1:10" x14ac:dyDescent="0.3">
      <c r="A487" s="124"/>
      <c r="B487" s="267" t="s">
        <v>512</v>
      </c>
      <c r="C487" s="289"/>
      <c r="D487" s="268" t="s">
        <v>513</v>
      </c>
      <c r="E487" s="264">
        <v>330</v>
      </c>
      <c r="I487" s="328">
        <f t="shared" ref="I487:I496" si="27">E487*$I$3</f>
        <v>73.992599999999996</v>
      </c>
      <c r="J487" s="328">
        <f t="shared" si="26"/>
        <v>38.999399999999994</v>
      </c>
    </row>
    <row r="488" spans="1:10" x14ac:dyDescent="0.3">
      <c r="A488" s="124"/>
      <c r="B488" s="267" t="s">
        <v>514</v>
      </c>
      <c r="C488" s="289"/>
      <c r="D488" s="268" t="s">
        <v>515</v>
      </c>
      <c r="E488" s="264">
        <v>443</v>
      </c>
      <c r="I488" s="328">
        <f t="shared" si="27"/>
        <v>99.329459999999997</v>
      </c>
      <c r="J488" s="328">
        <f t="shared" si="26"/>
        <v>52.353739999999995</v>
      </c>
    </row>
    <row r="489" spans="1:10" x14ac:dyDescent="0.3">
      <c r="A489" s="124"/>
      <c r="B489" s="267" t="s">
        <v>516</v>
      </c>
      <c r="C489" s="289"/>
      <c r="D489" s="268" t="s">
        <v>517</v>
      </c>
      <c r="E489" s="264">
        <v>618</v>
      </c>
      <c r="I489" s="328">
        <f t="shared" si="27"/>
        <v>138.56796</v>
      </c>
      <c r="J489" s="328">
        <f t="shared" si="26"/>
        <v>73.035240000000002</v>
      </c>
    </row>
    <row r="490" spans="1:10" x14ac:dyDescent="0.3">
      <c r="A490" s="124"/>
      <c r="B490" s="267" t="s">
        <v>518</v>
      </c>
      <c r="C490" s="289"/>
      <c r="D490" s="268" t="s">
        <v>519</v>
      </c>
      <c r="E490" s="264">
        <v>979</v>
      </c>
      <c r="I490" s="328">
        <f t="shared" si="27"/>
        <v>219.51138</v>
      </c>
      <c r="J490" s="328">
        <f t="shared" si="26"/>
        <v>115.69821999999999</v>
      </c>
    </row>
    <row r="491" spans="1:10" x14ac:dyDescent="0.3">
      <c r="A491" s="124"/>
      <c r="B491" s="267" t="s">
        <v>520</v>
      </c>
      <c r="C491" s="289"/>
      <c r="D491" s="268" t="s">
        <v>521</v>
      </c>
      <c r="E491" s="264">
        <v>1339</v>
      </c>
      <c r="I491" s="328">
        <f t="shared" si="27"/>
        <v>300.23058000000003</v>
      </c>
      <c r="J491" s="328">
        <f t="shared" si="26"/>
        <v>158.24302</v>
      </c>
    </row>
    <row r="492" spans="1:10" x14ac:dyDescent="0.3">
      <c r="A492" s="124"/>
      <c r="B492" s="267" t="s">
        <v>522</v>
      </c>
      <c r="C492" s="289"/>
      <c r="D492" s="268" t="s">
        <v>523</v>
      </c>
      <c r="E492" s="264">
        <v>1751</v>
      </c>
      <c r="I492" s="328">
        <f t="shared" si="27"/>
        <v>392.60921999999999</v>
      </c>
      <c r="J492" s="328">
        <f t="shared" si="26"/>
        <v>206.93317999999999</v>
      </c>
    </row>
    <row r="493" spans="1:10" x14ac:dyDescent="0.3">
      <c r="B493" s="6"/>
      <c r="D493" s="6"/>
      <c r="E493" s="6"/>
      <c r="I493" s="328">
        <f t="shared" si="27"/>
        <v>0</v>
      </c>
      <c r="J493" s="328">
        <f t="shared" si="26"/>
        <v>0</v>
      </c>
    </row>
    <row r="494" spans="1:10" x14ac:dyDescent="0.3">
      <c r="B494" s="17" t="s">
        <v>114</v>
      </c>
      <c r="C494" s="30"/>
      <c r="D494" s="32"/>
      <c r="E494" s="32"/>
      <c r="I494" s="328">
        <f t="shared" si="27"/>
        <v>0</v>
      </c>
      <c r="J494" s="328">
        <f t="shared" ref="J494:J557" si="28">E494*$J$3</f>
        <v>0</v>
      </c>
    </row>
    <row r="495" spans="1:10" x14ac:dyDescent="0.3">
      <c r="B495" s="267" t="s">
        <v>524</v>
      </c>
      <c r="C495" s="279"/>
      <c r="D495" s="155" t="s">
        <v>525</v>
      </c>
      <c r="E495" s="264">
        <v>342</v>
      </c>
      <c r="I495" s="328">
        <f t="shared" si="27"/>
        <v>76.683239999999998</v>
      </c>
      <c r="J495" s="328">
        <f t="shared" si="28"/>
        <v>40.417559999999995</v>
      </c>
    </row>
    <row r="496" spans="1:10" x14ac:dyDescent="0.3">
      <c r="B496" s="267" t="s">
        <v>526</v>
      </c>
      <c r="C496" s="279"/>
      <c r="D496" s="268" t="s">
        <v>527</v>
      </c>
      <c r="E496" s="264">
        <v>812</v>
      </c>
      <c r="I496" s="328">
        <f t="shared" si="27"/>
        <v>182.06664000000001</v>
      </c>
      <c r="J496" s="328">
        <f t="shared" si="28"/>
        <v>95.962159999999997</v>
      </c>
    </row>
    <row r="497" spans="1:10" x14ac:dyDescent="0.3">
      <c r="B497" s="267" t="s">
        <v>528</v>
      </c>
      <c r="C497" s="279"/>
      <c r="D497" s="268" t="s">
        <v>529</v>
      </c>
      <c r="E497" s="264">
        <v>1026</v>
      </c>
      <c r="I497" s="328">
        <f t="shared" ref="I497:I560" si="29">E497*$I$3</f>
        <v>230.04972000000001</v>
      </c>
      <c r="J497" s="328">
        <f t="shared" si="28"/>
        <v>121.25268</v>
      </c>
    </row>
    <row r="498" spans="1:10" x14ac:dyDescent="0.3">
      <c r="A498" s="15"/>
      <c r="B498" s="267" t="s">
        <v>530</v>
      </c>
      <c r="C498" s="290"/>
      <c r="D498" s="268" t="s">
        <v>531</v>
      </c>
      <c r="E498" s="264">
        <v>1965</v>
      </c>
      <c r="I498" s="328">
        <f t="shared" si="29"/>
        <v>440.59230000000002</v>
      </c>
      <c r="J498" s="328">
        <f t="shared" si="28"/>
        <v>232.22369999999998</v>
      </c>
    </row>
    <row r="499" spans="1:10" x14ac:dyDescent="0.3">
      <c r="B499" s="267" t="s">
        <v>532</v>
      </c>
      <c r="C499" s="279"/>
      <c r="D499" s="268" t="s">
        <v>533</v>
      </c>
      <c r="E499" s="264">
        <v>2394</v>
      </c>
      <c r="I499" s="328">
        <f t="shared" si="29"/>
        <v>536.78268000000003</v>
      </c>
      <c r="J499" s="328">
        <f t="shared" si="28"/>
        <v>282.92291999999998</v>
      </c>
    </row>
    <row r="500" spans="1:10" x14ac:dyDescent="0.3">
      <c r="B500" s="267" t="s">
        <v>534</v>
      </c>
      <c r="C500" s="279"/>
      <c r="D500" s="268" t="s">
        <v>535</v>
      </c>
      <c r="E500" s="264">
        <v>4272</v>
      </c>
      <c r="I500" s="328">
        <f t="shared" si="29"/>
        <v>957.86784</v>
      </c>
      <c r="J500" s="328">
        <f t="shared" si="28"/>
        <v>504.86496</v>
      </c>
    </row>
    <row r="501" spans="1:10" x14ac:dyDescent="0.3">
      <c r="B501" s="267" t="s">
        <v>536</v>
      </c>
      <c r="C501" s="279"/>
      <c r="D501" s="56" t="s">
        <v>537</v>
      </c>
      <c r="E501" s="264">
        <v>18610</v>
      </c>
      <c r="I501" s="328">
        <f t="shared" si="29"/>
        <v>4172.7341999999999</v>
      </c>
      <c r="J501" s="328">
        <f t="shared" si="28"/>
        <v>2199.3298</v>
      </c>
    </row>
    <row r="502" spans="1:10" x14ac:dyDescent="0.3">
      <c r="B502" s="267" t="s">
        <v>538</v>
      </c>
      <c r="C502" s="279"/>
      <c r="D502" s="56" t="s">
        <v>539</v>
      </c>
      <c r="E502" s="264">
        <v>28086</v>
      </c>
      <c r="I502" s="328">
        <f t="shared" si="29"/>
        <v>6297.4429200000004</v>
      </c>
      <c r="J502" s="328">
        <f t="shared" si="28"/>
        <v>3319.2034799999997</v>
      </c>
    </row>
    <row r="503" spans="1:10" x14ac:dyDescent="0.3">
      <c r="B503" s="267" t="s">
        <v>540</v>
      </c>
      <c r="C503" s="279"/>
      <c r="D503" s="56" t="s">
        <v>541</v>
      </c>
      <c r="E503" s="264">
        <v>37562</v>
      </c>
      <c r="I503" s="328">
        <f t="shared" si="29"/>
        <v>8422.15164</v>
      </c>
      <c r="J503" s="328">
        <f t="shared" si="28"/>
        <v>4439.0771599999998</v>
      </c>
    </row>
    <row r="504" spans="1:10" x14ac:dyDescent="0.3">
      <c r="B504" s="6"/>
      <c r="D504" s="18"/>
      <c r="E504" s="18"/>
      <c r="I504" s="328">
        <f t="shared" si="29"/>
        <v>0</v>
      </c>
      <c r="J504" s="328">
        <f t="shared" si="28"/>
        <v>0</v>
      </c>
    </row>
    <row r="505" spans="1:10" x14ac:dyDescent="0.3">
      <c r="B505" s="19" t="s">
        <v>542</v>
      </c>
      <c r="C505" s="27"/>
      <c r="E505" s="7"/>
      <c r="I505" s="328">
        <f t="shared" si="29"/>
        <v>0</v>
      </c>
      <c r="J505" s="328">
        <f t="shared" si="28"/>
        <v>0</v>
      </c>
    </row>
    <row r="506" spans="1:10" x14ac:dyDescent="0.3">
      <c r="B506" s="27" t="s">
        <v>543</v>
      </c>
      <c r="C506" s="27"/>
      <c r="D506" s="55"/>
      <c r="E506" s="55"/>
      <c r="I506" s="328">
        <f t="shared" si="29"/>
        <v>0</v>
      </c>
      <c r="J506" s="328">
        <f t="shared" si="28"/>
        <v>0</v>
      </c>
    </row>
    <row r="507" spans="1:10" x14ac:dyDescent="0.3">
      <c r="B507" s="266" t="s">
        <v>124</v>
      </c>
      <c r="C507" s="267"/>
      <c r="D507" s="268" t="s">
        <v>544</v>
      </c>
      <c r="E507" s="264">
        <v>73</v>
      </c>
      <c r="I507" s="328">
        <f t="shared" si="29"/>
        <v>16.36806</v>
      </c>
      <c r="J507" s="328">
        <f t="shared" si="28"/>
        <v>8.6271399999999989</v>
      </c>
    </row>
    <row r="508" spans="1:10" x14ac:dyDescent="0.3">
      <c r="B508" s="267" t="s">
        <v>126</v>
      </c>
      <c r="C508" s="279"/>
      <c r="D508" s="268" t="s">
        <v>545</v>
      </c>
      <c r="E508" s="264">
        <v>217</v>
      </c>
      <c r="I508" s="328">
        <f t="shared" si="29"/>
        <v>48.655740000000002</v>
      </c>
      <c r="J508" s="328">
        <f t="shared" si="28"/>
        <v>25.645059999999997</v>
      </c>
    </row>
    <row r="509" spans="1:10" x14ac:dyDescent="0.3">
      <c r="B509" s="266" t="s">
        <v>218</v>
      </c>
      <c r="C509" s="267"/>
      <c r="D509" s="268" t="s">
        <v>426</v>
      </c>
      <c r="E509" s="264">
        <v>517</v>
      </c>
      <c r="I509" s="328">
        <f t="shared" si="29"/>
        <v>115.92174</v>
      </c>
      <c r="J509" s="328">
        <f t="shared" si="28"/>
        <v>61.099059999999994</v>
      </c>
    </row>
    <row r="510" spans="1:10" x14ac:dyDescent="0.3">
      <c r="B510" s="27" t="s">
        <v>546</v>
      </c>
      <c r="C510" s="4"/>
      <c r="E510" s="72"/>
      <c r="I510" s="328">
        <f t="shared" si="29"/>
        <v>0</v>
      </c>
      <c r="J510" s="328">
        <f t="shared" si="28"/>
        <v>0</v>
      </c>
    </row>
    <row r="511" spans="1:10" x14ac:dyDescent="0.3">
      <c r="B511" s="266" t="s">
        <v>122</v>
      </c>
      <c r="C511" s="267"/>
      <c r="D511" s="268" t="s">
        <v>131</v>
      </c>
      <c r="E511" s="264">
        <v>133</v>
      </c>
      <c r="I511" s="328">
        <f t="shared" si="29"/>
        <v>29.821259999999999</v>
      </c>
      <c r="J511" s="328">
        <f t="shared" si="28"/>
        <v>15.717939999999999</v>
      </c>
    </row>
    <row r="512" spans="1:10" x14ac:dyDescent="0.3">
      <c r="B512" s="266" t="s">
        <v>124</v>
      </c>
      <c r="C512" s="267"/>
      <c r="D512" s="268" t="s">
        <v>132</v>
      </c>
      <c r="E512" s="264">
        <v>206</v>
      </c>
      <c r="I512" s="328">
        <f t="shared" si="29"/>
        <v>46.189320000000002</v>
      </c>
      <c r="J512" s="328">
        <f t="shared" si="28"/>
        <v>24.345079999999999</v>
      </c>
    </row>
    <row r="513" spans="1:10" x14ac:dyDescent="0.3">
      <c r="B513" s="266" t="s">
        <v>126</v>
      </c>
      <c r="C513" s="279"/>
      <c r="D513" s="268" t="s">
        <v>133</v>
      </c>
      <c r="E513" s="264">
        <v>350</v>
      </c>
      <c r="I513" s="328">
        <f t="shared" si="29"/>
        <v>78.477000000000004</v>
      </c>
      <c r="J513" s="328">
        <f t="shared" si="28"/>
        <v>41.363</v>
      </c>
    </row>
    <row r="514" spans="1:10" x14ac:dyDescent="0.3">
      <c r="B514" s="266" t="s">
        <v>218</v>
      </c>
      <c r="C514" s="267"/>
      <c r="D514" s="268" t="s">
        <v>221</v>
      </c>
      <c r="E514" s="264">
        <v>650</v>
      </c>
      <c r="I514" s="328">
        <f t="shared" si="29"/>
        <v>145.74299999999999</v>
      </c>
      <c r="J514" s="328">
        <f t="shared" si="28"/>
        <v>76.816999999999993</v>
      </c>
    </row>
    <row r="515" spans="1:10" x14ac:dyDescent="0.3">
      <c r="B515" s="27" t="s">
        <v>547</v>
      </c>
      <c r="C515" s="4"/>
      <c r="D515" s="32"/>
      <c r="E515" s="32"/>
      <c r="I515" s="328">
        <f t="shared" si="29"/>
        <v>0</v>
      </c>
      <c r="J515" s="328">
        <f t="shared" si="28"/>
        <v>0</v>
      </c>
    </row>
    <row r="516" spans="1:10" x14ac:dyDescent="0.3">
      <c r="B516" s="267" t="s">
        <v>548</v>
      </c>
      <c r="C516" s="279"/>
      <c r="D516" s="268" t="s">
        <v>549</v>
      </c>
      <c r="E516" s="264">
        <v>115</v>
      </c>
      <c r="I516" s="328">
        <f t="shared" si="29"/>
        <v>25.785299999999999</v>
      </c>
      <c r="J516" s="328">
        <f t="shared" si="28"/>
        <v>13.5907</v>
      </c>
    </row>
    <row r="517" spans="1:10" x14ac:dyDescent="0.3">
      <c r="B517" s="267" t="s">
        <v>550</v>
      </c>
      <c r="C517" s="279"/>
      <c r="D517" s="268" t="s">
        <v>551</v>
      </c>
      <c r="E517" s="264">
        <v>115</v>
      </c>
      <c r="I517" s="328">
        <f t="shared" si="29"/>
        <v>25.785299999999999</v>
      </c>
      <c r="J517" s="328">
        <f t="shared" si="28"/>
        <v>13.5907</v>
      </c>
    </row>
    <row r="518" spans="1:10" x14ac:dyDescent="0.3">
      <c r="B518" s="27" t="s">
        <v>552</v>
      </c>
      <c r="D518" s="6"/>
      <c r="E518" s="6"/>
      <c r="I518" s="328">
        <f t="shared" si="29"/>
        <v>0</v>
      </c>
      <c r="J518" s="328">
        <f t="shared" si="28"/>
        <v>0</v>
      </c>
    </row>
    <row r="519" spans="1:10" x14ac:dyDescent="0.3">
      <c r="B519" s="267" t="s">
        <v>171</v>
      </c>
      <c r="C519" s="279"/>
      <c r="D519" s="268" t="s">
        <v>553</v>
      </c>
      <c r="E519" s="264">
        <v>46</v>
      </c>
      <c r="I519" s="328">
        <f t="shared" si="29"/>
        <v>10.314120000000001</v>
      </c>
      <c r="J519" s="328">
        <f t="shared" si="28"/>
        <v>5.43628</v>
      </c>
    </row>
    <row r="520" spans="1:10" x14ac:dyDescent="0.3">
      <c r="B520" s="267" t="s">
        <v>554</v>
      </c>
      <c r="C520" s="267"/>
      <c r="D520" s="268" t="s">
        <v>555</v>
      </c>
      <c r="E520" s="264">
        <v>148</v>
      </c>
      <c r="I520" s="328">
        <f t="shared" si="29"/>
        <v>33.184559999999998</v>
      </c>
      <c r="J520" s="328">
        <f t="shared" si="28"/>
        <v>17.490639999999999</v>
      </c>
    </row>
    <row r="521" spans="1:10" x14ac:dyDescent="0.3">
      <c r="B521" s="267" t="s">
        <v>556</v>
      </c>
      <c r="C521" s="279"/>
      <c r="D521" s="268" t="s">
        <v>557</v>
      </c>
      <c r="E521" s="264">
        <v>229</v>
      </c>
      <c r="I521" s="328">
        <f t="shared" si="29"/>
        <v>51.346380000000003</v>
      </c>
      <c r="J521" s="328">
        <f t="shared" si="28"/>
        <v>27.063219999999998</v>
      </c>
    </row>
    <row r="522" spans="1:10" x14ac:dyDescent="0.3">
      <c r="B522" s="267" t="s">
        <v>558</v>
      </c>
      <c r="C522" s="279"/>
      <c r="D522" s="268" t="s">
        <v>559</v>
      </c>
      <c r="E522" s="264">
        <v>349</v>
      </c>
      <c r="I522" s="328">
        <f t="shared" si="29"/>
        <v>78.252780000000001</v>
      </c>
      <c r="J522" s="328">
        <f t="shared" si="28"/>
        <v>41.244819999999997</v>
      </c>
    </row>
    <row r="523" spans="1:10" x14ac:dyDescent="0.3">
      <c r="A523" s="96"/>
      <c r="B523" s="27" t="s">
        <v>560</v>
      </c>
      <c r="C523" s="168"/>
      <c r="E523" s="72"/>
      <c r="I523" s="328">
        <f t="shared" si="29"/>
        <v>0</v>
      </c>
      <c r="J523" s="328">
        <f t="shared" si="28"/>
        <v>0</v>
      </c>
    </row>
    <row r="524" spans="1:10" x14ac:dyDescent="0.3">
      <c r="A524" s="96"/>
      <c r="B524" s="266" t="s">
        <v>561</v>
      </c>
      <c r="C524" s="267"/>
      <c r="D524" s="268" t="s">
        <v>562</v>
      </c>
      <c r="E524" s="264">
        <v>10</v>
      </c>
      <c r="I524" s="328">
        <f t="shared" si="29"/>
        <v>2.2422</v>
      </c>
      <c r="J524" s="328">
        <f t="shared" si="28"/>
        <v>1.1818</v>
      </c>
    </row>
    <row r="525" spans="1:10" x14ac:dyDescent="0.3">
      <c r="A525" s="96"/>
      <c r="B525" s="266" t="s">
        <v>563</v>
      </c>
      <c r="C525" s="267"/>
      <c r="D525" s="268" t="s">
        <v>564</v>
      </c>
      <c r="E525" s="264">
        <v>21</v>
      </c>
      <c r="I525" s="328">
        <f t="shared" si="29"/>
        <v>4.7086199999999998</v>
      </c>
      <c r="J525" s="328">
        <f t="shared" si="28"/>
        <v>2.4817799999999997</v>
      </c>
    </row>
    <row r="526" spans="1:10" x14ac:dyDescent="0.3">
      <c r="A526" s="96"/>
      <c r="B526" s="27" t="s">
        <v>565</v>
      </c>
      <c r="C526" s="168"/>
      <c r="E526" s="78"/>
      <c r="I526" s="328">
        <f t="shared" si="29"/>
        <v>0</v>
      </c>
      <c r="J526" s="328">
        <f t="shared" si="28"/>
        <v>0</v>
      </c>
    </row>
    <row r="527" spans="1:10" x14ac:dyDescent="0.3">
      <c r="A527" s="96"/>
      <c r="B527" s="287" t="s">
        <v>171</v>
      </c>
      <c r="C527" s="279"/>
      <c r="D527" s="268" t="s">
        <v>553</v>
      </c>
      <c r="E527" s="264">
        <v>46</v>
      </c>
      <c r="I527" s="328">
        <f t="shared" si="29"/>
        <v>10.314120000000001</v>
      </c>
      <c r="J527" s="328">
        <f t="shared" si="28"/>
        <v>5.43628</v>
      </c>
    </row>
    <row r="528" spans="1:10" x14ac:dyDescent="0.3">
      <c r="A528" s="96"/>
      <c r="B528" s="287" t="s">
        <v>554</v>
      </c>
      <c r="C528" s="267"/>
      <c r="D528" s="268" t="s">
        <v>555</v>
      </c>
      <c r="E528" s="264">
        <v>148</v>
      </c>
      <c r="I528" s="328">
        <f t="shared" si="29"/>
        <v>33.184559999999998</v>
      </c>
      <c r="J528" s="328">
        <f t="shared" si="28"/>
        <v>17.490639999999999</v>
      </c>
    </row>
    <row r="529" spans="1:10" x14ac:dyDescent="0.3">
      <c r="A529" s="96"/>
      <c r="B529" s="287" t="s">
        <v>556</v>
      </c>
      <c r="C529" s="279"/>
      <c r="D529" s="268" t="s">
        <v>557</v>
      </c>
      <c r="E529" s="264">
        <v>229</v>
      </c>
      <c r="I529" s="328">
        <f t="shared" si="29"/>
        <v>51.346380000000003</v>
      </c>
      <c r="J529" s="328">
        <f t="shared" si="28"/>
        <v>27.063219999999998</v>
      </c>
    </row>
    <row r="530" spans="1:10" x14ac:dyDescent="0.3">
      <c r="A530" s="96"/>
      <c r="B530" s="267" t="s">
        <v>558</v>
      </c>
      <c r="C530" s="279"/>
      <c r="D530" s="268" t="s">
        <v>559</v>
      </c>
      <c r="E530" s="264">
        <v>349</v>
      </c>
      <c r="I530" s="328">
        <f t="shared" si="29"/>
        <v>78.252780000000001</v>
      </c>
      <c r="J530" s="328">
        <f t="shared" si="28"/>
        <v>41.244819999999997</v>
      </c>
    </row>
    <row r="531" spans="1:10" x14ac:dyDescent="0.3">
      <c r="B531" s="19" t="s">
        <v>566</v>
      </c>
      <c r="C531" s="4"/>
      <c r="D531" s="32"/>
      <c r="E531" s="32"/>
      <c r="I531" s="328">
        <f t="shared" si="29"/>
        <v>0</v>
      </c>
      <c r="J531" s="328">
        <f t="shared" si="28"/>
        <v>0</v>
      </c>
    </row>
    <row r="532" spans="1:10" x14ac:dyDescent="0.3">
      <c r="B532" s="291" t="s">
        <v>567</v>
      </c>
      <c r="C532" s="279"/>
      <c r="D532" s="292" t="s">
        <v>568</v>
      </c>
      <c r="E532" s="264">
        <v>6</v>
      </c>
      <c r="I532" s="328">
        <f t="shared" si="29"/>
        <v>1.3453200000000001</v>
      </c>
      <c r="J532" s="328">
        <f t="shared" si="28"/>
        <v>0.70907999999999993</v>
      </c>
    </row>
    <row r="533" spans="1:10" x14ac:dyDescent="0.3">
      <c r="B533" s="291" t="s">
        <v>569</v>
      </c>
      <c r="C533" s="279"/>
      <c r="D533" s="292" t="s">
        <v>570</v>
      </c>
      <c r="E533" s="264">
        <v>6</v>
      </c>
      <c r="I533" s="328">
        <f t="shared" si="29"/>
        <v>1.3453200000000001</v>
      </c>
      <c r="J533" s="328">
        <f t="shared" si="28"/>
        <v>0.70907999999999993</v>
      </c>
    </row>
    <row r="534" spans="1:10" x14ac:dyDescent="0.3">
      <c r="B534" s="291" t="s">
        <v>571</v>
      </c>
      <c r="C534" s="279"/>
      <c r="D534" s="292" t="s">
        <v>572</v>
      </c>
      <c r="E534" s="264">
        <v>6</v>
      </c>
      <c r="I534" s="328">
        <f t="shared" si="29"/>
        <v>1.3453200000000001</v>
      </c>
      <c r="J534" s="328">
        <f t="shared" si="28"/>
        <v>0.70907999999999993</v>
      </c>
    </row>
    <row r="535" spans="1:10" x14ac:dyDescent="0.3">
      <c r="B535" s="291" t="s">
        <v>573</v>
      </c>
      <c r="C535" s="279"/>
      <c r="D535" s="292" t="s">
        <v>574</v>
      </c>
      <c r="E535" s="264">
        <v>6</v>
      </c>
      <c r="I535" s="328">
        <f t="shared" si="29"/>
        <v>1.3453200000000001</v>
      </c>
      <c r="J535" s="328">
        <f t="shared" si="28"/>
        <v>0.70907999999999993</v>
      </c>
    </row>
    <row r="536" spans="1:10" x14ac:dyDescent="0.3">
      <c r="E536" s="82"/>
      <c r="I536" s="328">
        <f t="shared" si="29"/>
        <v>0</v>
      </c>
      <c r="J536" s="328">
        <f t="shared" si="28"/>
        <v>0</v>
      </c>
    </row>
    <row r="537" spans="1:10" x14ac:dyDescent="0.3">
      <c r="B537" s="127" t="s">
        <v>575</v>
      </c>
      <c r="D537" s="6"/>
      <c r="E537" s="6"/>
      <c r="I537" s="328">
        <f t="shared" si="29"/>
        <v>0</v>
      </c>
      <c r="J537" s="328">
        <f t="shared" si="28"/>
        <v>0</v>
      </c>
    </row>
    <row r="538" spans="1:10" x14ac:dyDescent="0.3">
      <c r="B538" s="27" t="s">
        <v>576</v>
      </c>
      <c r="C538" s="27"/>
      <c r="D538" s="32"/>
      <c r="E538" s="32"/>
      <c r="I538" s="328">
        <f t="shared" si="29"/>
        <v>0</v>
      </c>
      <c r="J538" s="328">
        <f t="shared" si="28"/>
        <v>0</v>
      </c>
    </row>
    <row r="539" spans="1:10" x14ac:dyDescent="0.3">
      <c r="B539" s="267" t="s">
        <v>577</v>
      </c>
      <c r="C539" s="279"/>
      <c r="D539" s="268" t="s">
        <v>578</v>
      </c>
      <c r="E539" s="264">
        <v>288</v>
      </c>
      <c r="I539" s="328">
        <f t="shared" si="29"/>
        <v>64.575360000000003</v>
      </c>
      <c r="J539" s="328">
        <f t="shared" si="28"/>
        <v>34.03584</v>
      </c>
    </row>
    <row r="540" spans="1:10" x14ac:dyDescent="0.3">
      <c r="B540" s="6"/>
      <c r="C540" s="4"/>
      <c r="E540" s="78"/>
      <c r="I540" s="328">
        <f t="shared" si="29"/>
        <v>0</v>
      </c>
      <c r="J540" s="328">
        <f t="shared" si="28"/>
        <v>0</v>
      </c>
    </row>
    <row r="541" spans="1:10" x14ac:dyDescent="0.3">
      <c r="A541" s="96"/>
      <c r="B541" s="27" t="s">
        <v>579</v>
      </c>
      <c r="C541" s="168"/>
      <c r="E541" s="78"/>
      <c r="I541" s="328">
        <f t="shared" si="29"/>
        <v>0</v>
      </c>
      <c r="J541" s="328">
        <f t="shared" si="28"/>
        <v>0</v>
      </c>
    </row>
    <row r="542" spans="1:10" x14ac:dyDescent="0.3">
      <c r="A542" s="96"/>
      <c r="B542" s="266" t="s">
        <v>580</v>
      </c>
      <c r="C542" s="267"/>
      <c r="D542" s="268" t="s">
        <v>581</v>
      </c>
      <c r="E542" s="264">
        <v>489</v>
      </c>
      <c r="I542" s="328">
        <f t="shared" si="29"/>
        <v>109.64358</v>
      </c>
      <c r="J542" s="328">
        <f t="shared" si="28"/>
        <v>57.790019999999998</v>
      </c>
    </row>
    <row r="543" spans="1:10" x14ac:dyDescent="0.3">
      <c r="A543" s="96"/>
      <c r="B543" s="266" t="s">
        <v>582</v>
      </c>
      <c r="C543" s="267"/>
      <c r="D543" s="268" t="s">
        <v>583</v>
      </c>
      <c r="E543" s="264">
        <v>775</v>
      </c>
      <c r="I543" s="328">
        <f t="shared" si="29"/>
        <v>173.7705</v>
      </c>
      <c r="J543" s="328">
        <f t="shared" si="28"/>
        <v>91.589500000000001</v>
      </c>
    </row>
    <row r="544" spans="1:10" x14ac:dyDescent="0.3">
      <c r="A544" s="96"/>
      <c r="B544" s="266" t="s">
        <v>584</v>
      </c>
      <c r="C544" s="267"/>
      <c r="D544" s="268" t="s">
        <v>585</v>
      </c>
      <c r="E544" s="264">
        <v>1375</v>
      </c>
      <c r="I544" s="328">
        <f t="shared" si="29"/>
        <v>308.30250000000001</v>
      </c>
      <c r="J544" s="328">
        <f t="shared" si="28"/>
        <v>162.4975</v>
      </c>
    </row>
    <row r="545" spans="1:10" x14ac:dyDescent="0.3">
      <c r="A545" s="96"/>
      <c r="B545" s="266" t="s">
        <v>586</v>
      </c>
      <c r="C545" s="267"/>
      <c r="D545" s="268" t="s">
        <v>587</v>
      </c>
      <c r="E545" s="264">
        <v>912</v>
      </c>
      <c r="I545" s="328">
        <f t="shared" si="29"/>
        <v>204.48864</v>
      </c>
      <c r="J545" s="328">
        <f t="shared" si="28"/>
        <v>107.78016</v>
      </c>
    </row>
    <row r="546" spans="1:10" x14ac:dyDescent="0.3">
      <c r="A546" s="96"/>
      <c r="B546" s="266" t="s">
        <v>588</v>
      </c>
      <c r="C546" s="267"/>
      <c r="D546" s="268" t="s">
        <v>589</v>
      </c>
      <c r="E546" s="264">
        <v>1485</v>
      </c>
      <c r="I546" s="328">
        <f t="shared" si="29"/>
        <v>332.9667</v>
      </c>
      <c r="J546" s="328">
        <f t="shared" si="28"/>
        <v>175.4973</v>
      </c>
    </row>
    <row r="547" spans="1:10" x14ac:dyDescent="0.3">
      <c r="A547" s="96"/>
      <c r="B547" s="266" t="s">
        <v>590</v>
      </c>
      <c r="C547" s="267"/>
      <c r="D547" s="268" t="s">
        <v>591</v>
      </c>
      <c r="E547" s="264">
        <v>2685</v>
      </c>
      <c r="I547" s="328">
        <f t="shared" si="29"/>
        <v>602.03070000000002</v>
      </c>
      <c r="J547" s="328">
        <f t="shared" si="28"/>
        <v>317.31329999999997</v>
      </c>
    </row>
    <row r="548" spans="1:10" x14ac:dyDescent="0.3">
      <c r="A548" s="96"/>
      <c r="B548" s="194"/>
      <c r="C548" s="4"/>
      <c r="D548" s="105"/>
      <c r="E548" s="7"/>
      <c r="I548" s="328">
        <f t="shared" si="29"/>
        <v>0</v>
      </c>
      <c r="J548" s="328">
        <f t="shared" si="28"/>
        <v>0</v>
      </c>
    </row>
    <row r="549" spans="1:10" x14ac:dyDescent="0.3">
      <c r="B549" s="19" t="s">
        <v>134</v>
      </c>
      <c r="C549" s="4"/>
      <c r="E549" s="72"/>
      <c r="I549" s="328">
        <f t="shared" si="29"/>
        <v>0</v>
      </c>
      <c r="J549" s="328">
        <f t="shared" si="28"/>
        <v>0</v>
      </c>
    </row>
    <row r="550" spans="1:10" x14ac:dyDescent="0.3">
      <c r="B550" s="27" t="s">
        <v>592</v>
      </c>
      <c r="C550" s="4"/>
      <c r="E550" s="72"/>
      <c r="I550" s="328">
        <f t="shared" si="29"/>
        <v>0</v>
      </c>
      <c r="J550" s="328">
        <f t="shared" si="28"/>
        <v>0</v>
      </c>
    </row>
    <row r="551" spans="1:10" x14ac:dyDescent="0.3">
      <c r="B551" s="267" t="s">
        <v>593</v>
      </c>
      <c r="C551" s="267"/>
      <c r="D551" s="268" t="s">
        <v>594</v>
      </c>
      <c r="E551" s="264">
        <v>451</v>
      </c>
      <c r="I551" s="328">
        <f t="shared" si="29"/>
        <v>101.12322</v>
      </c>
      <c r="J551" s="328">
        <f t="shared" si="28"/>
        <v>53.29918</v>
      </c>
    </row>
    <row r="552" spans="1:10" x14ac:dyDescent="0.3">
      <c r="B552" s="267" t="s">
        <v>595</v>
      </c>
      <c r="C552" s="267"/>
      <c r="D552" s="268" t="s">
        <v>596</v>
      </c>
      <c r="E552" s="264">
        <v>2089</v>
      </c>
      <c r="I552" s="328">
        <f t="shared" si="29"/>
        <v>468.39558</v>
      </c>
      <c r="J552" s="328">
        <f t="shared" si="28"/>
        <v>246.87801999999999</v>
      </c>
    </row>
    <row r="553" spans="1:10" x14ac:dyDescent="0.3">
      <c r="B553" s="27" t="s">
        <v>597</v>
      </c>
      <c r="D553" s="195"/>
      <c r="E553" s="195"/>
      <c r="I553" s="328">
        <f t="shared" si="29"/>
        <v>0</v>
      </c>
      <c r="J553" s="328">
        <f t="shared" si="28"/>
        <v>0</v>
      </c>
    </row>
    <row r="554" spans="1:10" s="6" customFormat="1" x14ac:dyDescent="0.3">
      <c r="B554" s="267" t="s">
        <v>135</v>
      </c>
      <c r="C554" s="267"/>
      <c r="D554" s="268" t="s">
        <v>136</v>
      </c>
      <c r="E554" s="264">
        <v>192</v>
      </c>
      <c r="I554" s="328">
        <f t="shared" si="29"/>
        <v>43.050240000000002</v>
      </c>
      <c r="J554" s="328">
        <f t="shared" si="28"/>
        <v>22.690559999999998</v>
      </c>
    </row>
    <row r="555" spans="1:10" s="6" customFormat="1" x14ac:dyDescent="0.3">
      <c r="B555" s="267" t="s">
        <v>598</v>
      </c>
      <c r="C555" s="267"/>
      <c r="D555" s="268" t="s">
        <v>178</v>
      </c>
      <c r="E555" s="264">
        <v>400</v>
      </c>
      <c r="I555" s="328">
        <f t="shared" si="29"/>
        <v>89.688000000000002</v>
      </c>
      <c r="J555" s="328">
        <f t="shared" si="28"/>
        <v>47.271999999999998</v>
      </c>
    </row>
    <row r="556" spans="1:10" x14ac:dyDescent="0.3">
      <c r="B556" s="261" t="s">
        <v>599</v>
      </c>
      <c r="C556" s="267"/>
      <c r="D556" s="268" t="s">
        <v>138</v>
      </c>
      <c r="E556" s="264">
        <v>510</v>
      </c>
      <c r="I556" s="328">
        <f t="shared" si="29"/>
        <v>114.3522</v>
      </c>
      <c r="J556" s="328">
        <f t="shared" si="28"/>
        <v>60.271799999999999</v>
      </c>
    </row>
    <row r="557" spans="1:10" s="6" customFormat="1" x14ac:dyDescent="0.3">
      <c r="B557" s="266" t="s">
        <v>433</v>
      </c>
      <c r="C557" s="267"/>
      <c r="D557" s="268" t="s">
        <v>232</v>
      </c>
      <c r="E557" s="264">
        <v>1291</v>
      </c>
      <c r="I557" s="328">
        <f t="shared" si="29"/>
        <v>289.46802000000002</v>
      </c>
      <c r="J557" s="328">
        <f t="shared" si="28"/>
        <v>152.57038</v>
      </c>
    </row>
    <row r="558" spans="1:10" x14ac:dyDescent="0.3">
      <c r="B558" s="266" t="s">
        <v>435</v>
      </c>
      <c r="C558" s="267"/>
      <c r="D558" s="268" t="s">
        <v>234</v>
      </c>
      <c r="E558" s="264">
        <v>2266</v>
      </c>
      <c r="I558" s="328">
        <f t="shared" si="29"/>
        <v>508.08251999999999</v>
      </c>
      <c r="J558" s="328">
        <f t="shared" ref="J558:J621" si="30">E558*$J$3</f>
        <v>267.79588000000001</v>
      </c>
    </row>
    <row r="559" spans="1:10" x14ac:dyDescent="0.3">
      <c r="B559" s="266" t="s">
        <v>437</v>
      </c>
      <c r="C559" s="267"/>
      <c r="D559" s="268" t="s">
        <v>236</v>
      </c>
      <c r="E559" s="264">
        <v>3708</v>
      </c>
      <c r="I559" s="328">
        <f t="shared" si="29"/>
        <v>831.40776000000005</v>
      </c>
      <c r="J559" s="328">
        <f t="shared" si="30"/>
        <v>438.21143999999998</v>
      </c>
    </row>
    <row r="560" spans="1:10" x14ac:dyDescent="0.3">
      <c r="B560" s="266" t="s">
        <v>600</v>
      </c>
      <c r="C560" s="267"/>
      <c r="D560" s="268" t="s">
        <v>238</v>
      </c>
      <c r="E560" s="264">
        <v>6644</v>
      </c>
      <c r="I560" s="328">
        <f t="shared" si="29"/>
        <v>1489.71768</v>
      </c>
      <c r="J560" s="328">
        <f t="shared" si="30"/>
        <v>785.18791999999996</v>
      </c>
    </row>
    <row r="561" spans="2:10" x14ac:dyDescent="0.3">
      <c r="B561" s="27" t="s">
        <v>601</v>
      </c>
      <c r="D561" s="6"/>
      <c r="E561" s="6"/>
      <c r="I561" s="328">
        <f t="shared" ref="I561:I624" si="31">E561*$I$3</f>
        <v>0</v>
      </c>
      <c r="J561" s="328">
        <f t="shared" si="30"/>
        <v>0</v>
      </c>
    </row>
    <row r="562" spans="2:10" s="6" customFormat="1" x14ac:dyDescent="0.3">
      <c r="B562" s="266" t="s">
        <v>602</v>
      </c>
      <c r="C562" s="267"/>
      <c r="D562" s="268" t="s">
        <v>603</v>
      </c>
      <c r="E562" s="264">
        <v>2735</v>
      </c>
      <c r="I562" s="328">
        <f t="shared" si="31"/>
        <v>613.24170000000004</v>
      </c>
      <c r="J562" s="328">
        <f t="shared" si="30"/>
        <v>323.22229999999996</v>
      </c>
    </row>
    <row r="563" spans="2:10" s="6" customFormat="1" x14ac:dyDescent="0.3">
      <c r="B563" s="266" t="s">
        <v>604</v>
      </c>
      <c r="C563" s="267"/>
      <c r="D563" s="268" t="s">
        <v>605</v>
      </c>
      <c r="E563" s="264">
        <v>4685</v>
      </c>
      <c r="I563" s="328">
        <f t="shared" si="31"/>
        <v>1050.4707000000001</v>
      </c>
      <c r="J563" s="328">
        <f t="shared" si="30"/>
        <v>553.67329999999993</v>
      </c>
    </row>
    <row r="564" spans="2:10" x14ac:dyDescent="0.3">
      <c r="B564" s="266" t="s">
        <v>606</v>
      </c>
      <c r="C564" s="267"/>
      <c r="D564" s="268" t="s">
        <v>607</v>
      </c>
      <c r="E564" s="264">
        <v>7569</v>
      </c>
      <c r="I564" s="328">
        <f t="shared" si="31"/>
        <v>1697.1211800000001</v>
      </c>
      <c r="J564" s="328">
        <f t="shared" si="30"/>
        <v>894.50441999999998</v>
      </c>
    </row>
    <row r="565" spans="2:10" x14ac:dyDescent="0.3">
      <c r="B565" s="266" t="s">
        <v>608</v>
      </c>
      <c r="C565" s="267"/>
      <c r="D565" s="56" t="s">
        <v>609</v>
      </c>
      <c r="E565" s="264">
        <v>13440</v>
      </c>
      <c r="I565" s="328">
        <f t="shared" si="31"/>
        <v>3013.5167999999999</v>
      </c>
      <c r="J565" s="328">
        <f t="shared" si="30"/>
        <v>1588.3391999999999</v>
      </c>
    </row>
    <row r="566" spans="2:10" x14ac:dyDescent="0.3">
      <c r="B566" s="6"/>
      <c r="C566" s="4"/>
      <c r="D566" s="18"/>
      <c r="E566" s="18"/>
      <c r="I566" s="328">
        <f t="shared" si="31"/>
        <v>0</v>
      </c>
      <c r="J566" s="328">
        <f t="shared" si="30"/>
        <v>0</v>
      </c>
    </row>
    <row r="567" spans="2:10" x14ac:dyDescent="0.3">
      <c r="B567" s="86" t="s">
        <v>610</v>
      </c>
      <c r="C567" s="4"/>
      <c r="D567" s="32"/>
      <c r="E567" s="32"/>
      <c r="I567" s="328">
        <f t="shared" si="31"/>
        <v>0</v>
      </c>
      <c r="J567" s="328">
        <f t="shared" si="30"/>
        <v>0</v>
      </c>
    </row>
    <row r="568" spans="2:10" x14ac:dyDescent="0.3">
      <c r="B568" s="279" t="s">
        <v>611</v>
      </c>
      <c r="C568" s="279"/>
      <c r="D568" s="292" t="s">
        <v>612</v>
      </c>
      <c r="E568" s="264">
        <v>26</v>
      </c>
      <c r="I568" s="328">
        <f t="shared" si="31"/>
        <v>5.82972</v>
      </c>
      <c r="J568" s="328">
        <f t="shared" si="30"/>
        <v>3.0726799999999996</v>
      </c>
    </row>
    <row r="569" spans="2:10" x14ac:dyDescent="0.3">
      <c r="B569" s="6"/>
      <c r="C569" s="4"/>
      <c r="D569" s="18"/>
      <c r="E569" s="18"/>
      <c r="I569" s="328">
        <f t="shared" si="31"/>
        <v>0</v>
      </c>
      <c r="J569" s="328">
        <f t="shared" si="30"/>
        <v>0</v>
      </c>
    </row>
    <row r="570" spans="2:10" x14ac:dyDescent="0.3">
      <c r="B570" s="86" t="s">
        <v>613</v>
      </c>
      <c r="C570" s="4"/>
      <c r="E570" s="213"/>
      <c r="I570" s="328">
        <f t="shared" si="31"/>
        <v>0</v>
      </c>
      <c r="J570" s="328">
        <f t="shared" si="30"/>
        <v>0</v>
      </c>
    </row>
    <row r="571" spans="2:10" x14ac:dyDescent="0.3">
      <c r="B571" s="279" t="s">
        <v>614</v>
      </c>
      <c r="C571" s="279"/>
      <c r="D571" s="292" t="s">
        <v>189</v>
      </c>
      <c r="E571" s="264">
        <v>35</v>
      </c>
      <c r="I571" s="328">
        <f t="shared" si="31"/>
        <v>7.8476999999999997</v>
      </c>
      <c r="J571" s="328">
        <f t="shared" si="30"/>
        <v>4.1362999999999994</v>
      </c>
    </row>
    <row r="572" spans="2:10" x14ac:dyDescent="0.3">
      <c r="B572" s="279" t="s">
        <v>615</v>
      </c>
      <c r="C572" s="279"/>
      <c r="D572" s="292" t="s">
        <v>616</v>
      </c>
      <c r="E572" s="264">
        <v>234</v>
      </c>
      <c r="I572" s="328">
        <f t="shared" si="31"/>
        <v>52.467480000000002</v>
      </c>
      <c r="J572" s="328">
        <f t="shared" si="30"/>
        <v>27.654119999999999</v>
      </c>
    </row>
    <row r="573" spans="2:10" x14ac:dyDescent="0.3">
      <c r="B573" s="6"/>
      <c r="C573" s="4"/>
      <c r="D573" s="18"/>
      <c r="E573" s="18"/>
      <c r="I573" s="328">
        <f t="shared" si="31"/>
        <v>0</v>
      </c>
      <c r="J573" s="328">
        <f t="shared" si="30"/>
        <v>0</v>
      </c>
    </row>
    <row r="574" spans="2:10" x14ac:dyDescent="0.3">
      <c r="B574" s="86" t="s">
        <v>617</v>
      </c>
      <c r="C574" s="4"/>
      <c r="E574" s="213"/>
      <c r="I574" s="328">
        <f t="shared" si="31"/>
        <v>0</v>
      </c>
      <c r="J574" s="328">
        <f t="shared" si="30"/>
        <v>0</v>
      </c>
    </row>
    <row r="575" spans="2:10" x14ac:dyDescent="0.3">
      <c r="B575" s="279" t="s">
        <v>618</v>
      </c>
      <c r="C575" s="279"/>
      <c r="D575" s="292" t="s">
        <v>619</v>
      </c>
      <c r="E575" s="264">
        <v>40</v>
      </c>
      <c r="I575" s="328">
        <f t="shared" si="31"/>
        <v>8.9687999999999999</v>
      </c>
      <c r="J575" s="328">
        <f t="shared" si="30"/>
        <v>4.7271999999999998</v>
      </c>
    </row>
    <row r="576" spans="2:10" x14ac:dyDescent="0.3">
      <c r="B576" s="4"/>
      <c r="C576" s="4"/>
      <c r="E576" s="7"/>
      <c r="I576" s="328">
        <f t="shared" si="31"/>
        <v>0</v>
      </c>
      <c r="J576" s="328">
        <f t="shared" si="30"/>
        <v>0</v>
      </c>
    </row>
    <row r="577" spans="1:10" x14ac:dyDescent="0.3">
      <c r="B577" s="86" t="s">
        <v>620</v>
      </c>
      <c r="C577" s="4"/>
      <c r="E577" s="213"/>
      <c r="I577" s="328">
        <f t="shared" si="31"/>
        <v>0</v>
      </c>
      <c r="J577" s="328">
        <f t="shared" si="30"/>
        <v>0</v>
      </c>
    </row>
    <row r="578" spans="1:10" x14ac:dyDescent="0.3">
      <c r="B578" s="279" t="s">
        <v>621</v>
      </c>
      <c r="C578" s="279"/>
      <c r="D578" s="292" t="s">
        <v>622</v>
      </c>
      <c r="E578" s="264">
        <v>72</v>
      </c>
      <c r="I578" s="328">
        <f t="shared" si="31"/>
        <v>16.143840000000001</v>
      </c>
      <c r="J578" s="328">
        <f t="shared" si="30"/>
        <v>8.5089600000000001</v>
      </c>
    </row>
    <row r="579" spans="1:10" x14ac:dyDescent="0.3">
      <c r="B579" s="4"/>
      <c r="C579" s="4"/>
      <c r="E579" s="78"/>
      <c r="I579" s="328">
        <f t="shared" si="31"/>
        <v>0</v>
      </c>
      <c r="J579" s="328">
        <f t="shared" si="30"/>
        <v>0</v>
      </c>
    </row>
    <row r="580" spans="1:10" x14ac:dyDescent="0.3">
      <c r="B580" s="86" t="s">
        <v>623</v>
      </c>
      <c r="C580" s="4"/>
      <c r="E580" s="213"/>
      <c r="I580" s="328">
        <f t="shared" si="31"/>
        <v>0</v>
      </c>
      <c r="J580" s="328">
        <f t="shared" si="30"/>
        <v>0</v>
      </c>
    </row>
    <row r="581" spans="1:10" x14ac:dyDescent="0.3">
      <c r="B581" s="279" t="s">
        <v>263</v>
      </c>
      <c r="C581" s="279"/>
      <c r="D581" s="292" t="s">
        <v>624</v>
      </c>
      <c r="E581" s="264">
        <v>18</v>
      </c>
      <c r="I581" s="328">
        <f t="shared" si="31"/>
        <v>4.0359600000000002</v>
      </c>
      <c r="J581" s="328">
        <f t="shared" si="30"/>
        <v>2.12724</v>
      </c>
    </row>
    <row r="582" spans="1:10" x14ac:dyDescent="0.3">
      <c r="B582" s="4"/>
      <c r="C582" s="4"/>
      <c r="E582" s="7"/>
      <c r="I582" s="328">
        <f t="shared" si="31"/>
        <v>0</v>
      </c>
      <c r="J582" s="328">
        <f t="shared" si="30"/>
        <v>0</v>
      </c>
    </row>
    <row r="583" spans="1:10" x14ac:dyDescent="0.3">
      <c r="B583" s="19" t="s">
        <v>158</v>
      </c>
      <c r="C583" s="30"/>
      <c r="D583" s="32"/>
      <c r="E583" s="32"/>
      <c r="I583" s="328">
        <f t="shared" si="31"/>
        <v>0</v>
      </c>
      <c r="J583" s="328">
        <f t="shared" si="30"/>
        <v>0</v>
      </c>
    </row>
    <row r="584" spans="1:10" x14ac:dyDescent="0.3">
      <c r="B584" s="293" t="s">
        <v>161</v>
      </c>
      <c r="C584" s="294"/>
      <c r="D584" s="268" t="s">
        <v>162</v>
      </c>
      <c r="E584" s="264">
        <v>15</v>
      </c>
      <c r="I584" s="328">
        <f t="shared" si="31"/>
        <v>3.3633000000000002</v>
      </c>
      <c r="J584" s="328">
        <f t="shared" si="30"/>
        <v>1.7726999999999999</v>
      </c>
    </row>
    <row r="585" spans="1:10" x14ac:dyDescent="0.3">
      <c r="B585" s="6"/>
      <c r="C585" s="4"/>
      <c r="D585" s="18"/>
      <c r="E585" s="18"/>
      <c r="I585" s="328">
        <f t="shared" si="31"/>
        <v>0</v>
      </c>
      <c r="J585" s="328">
        <f t="shared" si="30"/>
        <v>0</v>
      </c>
    </row>
    <row r="586" spans="1:10" x14ac:dyDescent="0.3">
      <c r="B586" s="17" t="s">
        <v>163</v>
      </c>
      <c r="C586" s="4"/>
      <c r="D586" s="32"/>
      <c r="E586" s="32"/>
      <c r="I586" s="328">
        <f t="shared" si="31"/>
        <v>0</v>
      </c>
      <c r="J586" s="328">
        <f t="shared" si="30"/>
        <v>0</v>
      </c>
    </row>
    <row r="587" spans="1:10" x14ac:dyDescent="0.3">
      <c r="B587" s="267" t="s">
        <v>164</v>
      </c>
      <c r="C587" s="279"/>
      <c r="D587" s="292" t="s">
        <v>625</v>
      </c>
      <c r="E587" s="264">
        <v>0</v>
      </c>
      <c r="I587" s="328">
        <f t="shared" si="31"/>
        <v>0</v>
      </c>
      <c r="J587" s="328">
        <f t="shared" si="30"/>
        <v>0</v>
      </c>
    </row>
    <row r="588" spans="1:10" x14ac:dyDescent="0.3">
      <c r="B588" s="16"/>
      <c r="E588" s="7"/>
      <c r="I588" s="328">
        <f t="shared" si="31"/>
        <v>0</v>
      </c>
      <c r="J588" s="328">
        <f t="shared" si="30"/>
        <v>0</v>
      </c>
    </row>
    <row r="589" spans="1:10" x14ac:dyDescent="0.3">
      <c r="B589" s="131" t="s">
        <v>626</v>
      </c>
      <c r="C589" s="131"/>
      <c r="D589" s="133"/>
      <c r="E589" s="133"/>
      <c r="I589" s="328">
        <f t="shared" si="31"/>
        <v>0</v>
      </c>
      <c r="J589" s="328">
        <f t="shared" si="30"/>
        <v>0</v>
      </c>
    </row>
    <row r="590" spans="1:10" ht="14.5" x14ac:dyDescent="0.3">
      <c r="B590" s="19" t="s">
        <v>107</v>
      </c>
      <c r="C590" s="26"/>
      <c r="D590" s="18"/>
      <c r="E590" s="18"/>
      <c r="I590" s="328">
        <f t="shared" si="31"/>
        <v>0</v>
      </c>
      <c r="J590" s="328">
        <f t="shared" si="30"/>
        <v>0</v>
      </c>
    </row>
    <row r="591" spans="1:10" x14ac:dyDescent="0.3">
      <c r="A591" s="125"/>
      <c r="B591" s="267" t="s">
        <v>627</v>
      </c>
      <c r="C591" s="266"/>
      <c r="D591" s="283" t="s">
        <v>628</v>
      </c>
      <c r="E591" s="264">
        <v>391</v>
      </c>
      <c r="I591" s="328">
        <f t="shared" si="31"/>
        <v>87.670020000000008</v>
      </c>
      <c r="J591" s="328">
        <f t="shared" si="30"/>
        <v>46.208379999999998</v>
      </c>
    </row>
    <row r="592" spans="1:10" x14ac:dyDescent="0.3">
      <c r="A592" s="125"/>
      <c r="B592" s="267" t="s">
        <v>629</v>
      </c>
      <c r="C592" s="266"/>
      <c r="D592" s="283" t="s">
        <v>630</v>
      </c>
      <c r="E592" s="264">
        <v>309</v>
      </c>
      <c r="I592" s="328">
        <f t="shared" si="31"/>
        <v>69.28398</v>
      </c>
      <c r="J592" s="328">
        <f t="shared" si="30"/>
        <v>36.517620000000001</v>
      </c>
    </row>
    <row r="593" spans="1:10" x14ac:dyDescent="0.3">
      <c r="A593" s="125"/>
      <c r="B593" s="267" t="s">
        <v>631</v>
      </c>
      <c r="C593" s="266"/>
      <c r="D593" s="283" t="s">
        <v>632</v>
      </c>
      <c r="E593" s="264">
        <v>824</v>
      </c>
      <c r="I593" s="328">
        <f t="shared" si="31"/>
        <v>184.75728000000001</v>
      </c>
      <c r="J593" s="328">
        <f t="shared" si="30"/>
        <v>97.380319999999998</v>
      </c>
    </row>
    <row r="594" spans="1:10" x14ac:dyDescent="0.3">
      <c r="A594" s="125"/>
      <c r="B594" s="267" t="s">
        <v>633</v>
      </c>
      <c r="C594" s="266"/>
      <c r="D594" s="283" t="s">
        <v>634</v>
      </c>
      <c r="E594" s="264">
        <v>1288</v>
      </c>
      <c r="I594" s="328">
        <f t="shared" si="31"/>
        <v>288.79536000000002</v>
      </c>
      <c r="J594" s="328">
        <f t="shared" si="30"/>
        <v>152.21583999999999</v>
      </c>
    </row>
    <row r="595" spans="1:10" x14ac:dyDescent="0.3">
      <c r="A595" s="125"/>
      <c r="B595" s="267" t="s">
        <v>635</v>
      </c>
      <c r="C595" s="266"/>
      <c r="D595" s="283" t="s">
        <v>636</v>
      </c>
      <c r="E595" s="264">
        <v>1803</v>
      </c>
      <c r="I595" s="328">
        <f t="shared" si="31"/>
        <v>404.26866000000001</v>
      </c>
      <c r="J595" s="328">
        <f t="shared" si="30"/>
        <v>213.07853999999998</v>
      </c>
    </row>
    <row r="596" spans="1:10" x14ac:dyDescent="0.3">
      <c r="A596" s="125"/>
      <c r="B596" s="267" t="s">
        <v>637</v>
      </c>
      <c r="C596" s="266"/>
      <c r="D596" s="283" t="s">
        <v>638</v>
      </c>
      <c r="E596" s="264">
        <v>2266</v>
      </c>
      <c r="I596" s="328">
        <f t="shared" si="31"/>
        <v>508.08251999999999</v>
      </c>
      <c r="J596" s="328">
        <f t="shared" si="30"/>
        <v>267.79588000000001</v>
      </c>
    </row>
    <row r="597" spans="1:10" x14ac:dyDescent="0.3">
      <c r="A597" s="126"/>
      <c r="B597" s="267" t="s">
        <v>639</v>
      </c>
      <c r="C597" s="266"/>
      <c r="D597" s="283" t="s">
        <v>640</v>
      </c>
      <c r="E597" s="264">
        <v>3502</v>
      </c>
      <c r="I597" s="328">
        <f t="shared" si="31"/>
        <v>785.21843999999999</v>
      </c>
      <c r="J597" s="328">
        <f t="shared" si="30"/>
        <v>413.86635999999999</v>
      </c>
    </row>
    <row r="598" spans="1:10" x14ac:dyDescent="0.3">
      <c r="A598" s="126"/>
      <c r="B598" s="267" t="s">
        <v>641</v>
      </c>
      <c r="C598" s="266"/>
      <c r="D598" s="283" t="s">
        <v>642</v>
      </c>
      <c r="E598" s="264">
        <v>4223</v>
      </c>
      <c r="I598" s="328">
        <f t="shared" si="31"/>
        <v>946.88106000000005</v>
      </c>
      <c r="J598" s="328">
        <f t="shared" si="30"/>
        <v>499.07414</v>
      </c>
    </row>
    <row r="599" spans="1:10" x14ac:dyDescent="0.3">
      <c r="A599" s="126"/>
      <c r="B599" s="267" t="s">
        <v>643</v>
      </c>
      <c r="C599" s="266"/>
      <c r="D599" s="283" t="s">
        <v>644</v>
      </c>
      <c r="E599" s="264">
        <v>5871</v>
      </c>
      <c r="I599" s="328">
        <f t="shared" si="31"/>
        <v>1316.39562</v>
      </c>
      <c r="J599" s="328">
        <f t="shared" si="30"/>
        <v>693.83477999999991</v>
      </c>
    </row>
    <row r="600" spans="1:10" x14ac:dyDescent="0.3">
      <c r="B600" s="6"/>
      <c r="C600" s="4"/>
      <c r="D600" s="18"/>
      <c r="E600" s="18"/>
      <c r="I600" s="328">
        <f t="shared" si="31"/>
        <v>0</v>
      </c>
      <c r="J600" s="328">
        <f t="shared" si="30"/>
        <v>0</v>
      </c>
    </row>
    <row r="601" spans="1:10" x14ac:dyDescent="0.3">
      <c r="B601" s="19" t="s">
        <v>114</v>
      </c>
      <c r="D601" s="6"/>
      <c r="E601" s="32"/>
      <c r="I601" s="328">
        <f t="shared" si="31"/>
        <v>0</v>
      </c>
      <c r="J601" s="328">
        <f t="shared" si="30"/>
        <v>0</v>
      </c>
    </row>
    <row r="602" spans="1:10" x14ac:dyDescent="0.3">
      <c r="B602" s="267" t="s">
        <v>645</v>
      </c>
      <c r="C602" s="279"/>
      <c r="D602" s="283" t="s">
        <v>646</v>
      </c>
      <c r="E602" s="264">
        <v>470</v>
      </c>
      <c r="I602" s="328">
        <f t="shared" si="31"/>
        <v>105.38339999999999</v>
      </c>
      <c r="J602" s="328">
        <f t="shared" si="30"/>
        <v>55.544599999999996</v>
      </c>
    </row>
    <row r="603" spans="1:10" x14ac:dyDescent="0.3">
      <c r="B603" s="267" t="s">
        <v>647</v>
      </c>
      <c r="C603" s="279"/>
      <c r="D603" s="283" t="s">
        <v>648</v>
      </c>
      <c r="E603" s="264">
        <v>684</v>
      </c>
      <c r="I603" s="328">
        <f t="shared" si="31"/>
        <v>153.36648</v>
      </c>
      <c r="J603" s="328">
        <f t="shared" si="30"/>
        <v>80.835119999999989</v>
      </c>
    </row>
    <row r="604" spans="1:10" x14ac:dyDescent="0.3">
      <c r="B604" s="267" t="s">
        <v>649</v>
      </c>
      <c r="C604" s="279"/>
      <c r="D604" s="283" t="s">
        <v>650</v>
      </c>
      <c r="E604" s="264">
        <v>1368</v>
      </c>
      <c r="I604" s="328">
        <f t="shared" si="31"/>
        <v>306.73295999999999</v>
      </c>
      <c r="J604" s="328">
        <f t="shared" si="30"/>
        <v>161.67023999999998</v>
      </c>
    </row>
    <row r="605" spans="1:10" x14ac:dyDescent="0.3">
      <c r="B605" s="267" t="s">
        <v>651</v>
      </c>
      <c r="C605" s="290"/>
      <c r="D605" s="283" t="s">
        <v>652</v>
      </c>
      <c r="E605" s="264">
        <v>1623</v>
      </c>
      <c r="I605" s="328">
        <f t="shared" si="31"/>
        <v>363.90906000000001</v>
      </c>
      <c r="J605" s="328">
        <f t="shared" si="30"/>
        <v>191.80614</v>
      </c>
    </row>
    <row r="606" spans="1:10" x14ac:dyDescent="0.3">
      <c r="B606" s="267" t="s">
        <v>653</v>
      </c>
      <c r="C606" s="290"/>
      <c r="D606" s="283" t="s">
        <v>654</v>
      </c>
      <c r="E606" s="264">
        <v>2052</v>
      </c>
      <c r="I606" s="328">
        <f t="shared" si="31"/>
        <v>460.09944000000002</v>
      </c>
      <c r="J606" s="328">
        <f t="shared" si="30"/>
        <v>242.50536</v>
      </c>
    </row>
    <row r="607" spans="1:10" x14ac:dyDescent="0.3">
      <c r="B607" s="267" t="s">
        <v>655</v>
      </c>
      <c r="C607" s="279"/>
      <c r="D607" s="283" t="s">
        <v>656</v>
      </c>
      <c r="E607" s="264">
        <v>3930</v>
      </c>
      <c r="I607" s="328">
        <f t="shared" si="31"/>
        <v>881.18460000000005</v>
      </c>
      <c r="J607" s="328">
        <f t="shared" si="30"/>
        <v>464.44739999999996</v>
      </c>
    </row>
    <row r="608" spans="1:10" x14ac:dyDescent="0.3">
      <c r="B608" s="267" t="s">
        <v>657</v>
      </c>
      <c r="C608" s="279"/>
      <c r="D608" s="283" t="s">
        <v>658</v>
      </c>
      <c r="E608" s="264">
        <v>6238</v>
      </c>
      <c r="I608" s="328">
        <f t="shared" si="31"/>
        <v>1398.68436</v>
      </c>
      <c r="J608" s="328">
        <f t="shared" si="30"/>
        <v>737.20683999999994</v>
      </c>
    </row>
    <row r="609" spans="2:10" s="25" customFormat="1" x14ac:dyDescent="0.3">
      <c r="B609" s="267" t="s">
        <v>659</v>
      </c>
      <c r="C609" s="267"/>
      <c r="D609" s="283" t="s">
        <v>660</v>
      </c>
      <c r="E609" s="264">
        <v>8545</v>
      </c>
      <c r="I609" s="328">
        <f t="shared" si="31"/>
        <v>1915.9599000000001</v>
      </c>
      <c r="J609" s="328">
        <f t="shared" si="30"/>
        <v>1009.8480999999999</v>
      </c>
    </row>
    <row r="610" spans="2:10" s="25" customFormat="1" x14ac:dyDescent="0.3">
      <c r="B610" s="267" t="s">
        <v>661</v>
      </c>
      <c r="C610" s="267"/>
      <c r="D610" s="283" t="s">
        <v>662</v>
      </c>
      <c r="E610" s="264">
        <v>27744</v>
      </c>
      <c r="I610" s="328">
        <f t="shared" si="31"/>
        <v>6220.7596800000001</v>
      </c>
      <c r="J610" s="328">
        <f t="shared" si="30"/>
        <v>3278.7859199999998</v>
      </c>
    </row>
    <row r="611" spans="2:10" s="6" customFormat="1" x14ac:dyDescent="0.3">
      <c r="B611" s="267" t="s">
        <v>663</v>
      </c>
      <c r="C611" s="267"/>
      <c r="D611" s="283" t="s">
        <v>664</v>
      </c>
      <c r="E611" s="264">
        <v>37220</v>
      </c>
      <c r="I611" s="328">
        <f t="shared" si="31"/>
        <v>8345.4683999999997</v>
      </c>
      <c r="J611" s="328">
        <f t="shared" si="30"/>
        <v>4398.6596</v>
      </c>
    </row>
    <row r="612" spans="2:10" s="6" customFormat="1" x14ac:dyDescent="0.3">
      <c r="B612" s="267" t="s">
        <v>665</v>
      </c>
      <c r="C612" s="267"/>
      <c r="D612" s="283" t="s">
        <v>666</v>
      </c>
      <c r="E612" s="264">
        <v>56172</v>
      </c>
      <c r="I612" s="328">
        <f t="shared" si="31"/>
        <v>12594.885840000001</v>
      </c>
      <c r="J612" s="328">
        <f t="shared" si="30"/>
        <v>6638.4069599999993</v>
      </c>
    </row>
    <row r="613" spans="2:10" x14ac:dyDescent="0.3">
      <c r="B613" s="267" t="s">
        <v>667</v>
      </c>
      <c r="C613" s="267"/>
      <c r="D613" s="283" t="s">
        <v>668</v>
      </c>
      <c r="E613" s="264">
        <v>75124</v>
      </c>
      <c r="I613" s="328">
        <f t="shared" si="31"/>
        <v>16844.30328</v>
      </c>
      <c r="J613" s="328">
        <f t="shared" si="30"/>
        <v>8878.1543199999996</v>
      </c>
    </row>
    <row r="614" spans="2:10" x14ac:dyDescent="0.3">
      <c r="B614" s="25"/>
      <c r="C614" s="4"/>
      <c r="D614" s="105"/>
      <c r="E614" s="105"/>
      <c r="I614" s="328">
        <f t="shared" si="31"/>
        <v>0</v>
      </c>
      <c r="J614" s="328">
        <f t="shared" si="30"/>
        <v>0</v>
      </c>
    </row>
    <row r="615" spans="2:10" x14ac:dyDescent="0.3">
      <c r="B615" s="19" t="s">
        <v>669</v>
      </c>
      <c r="C615" s="4"/>
      <c r="D615" s="105"/>
      <c r="E615" s="105"/>
      <c r="I615" s="328">
        <f t="shared" si="31"/>
        <v>0</v>
      </c>
      <c r="J615" s="328">
        <f t="shared" si="30"/>
        <v>0</v>
      </c>
    </row>
    <row r="616" spans="2:10" x14ac:dyDescent="0.3">
      <c r="B616" s="267" t="s">
        <v>670</v>
      </c>
      <c r="C616" s="279"/>
      <c r="D616" s="268" t="s">
        <v>671</v>
      </c>
      <c r="E616" s="264">
        <v>150</v>
      </c>
      <c r="I616" s="328">
        <f t="shared" si="31"/>
        <v>33.633000000000003</v>
      </c>
      <c r="J616" s="328">
        <f t="shared" si="30"/>
        <v>17.727</v>
      </c>
    </row>
    <row r="617" spans="2:10" x14ac:dyDescent="0.3">
      <c r="B617" s="267" t="s">
        <v>672</v>
      </c>
      <c r="C617" s="267"/>
      <c r="D617" s="268" t="s">
        <v>673</v>
      </c>
      <c r="E617" s="264">
        <v>450</v>
      </c>
      <c r="I617" s="328">
        <f t="shared" si="31"/>
        <v>100.899</v>
      </c>
      <c r="J617" s="328">
        <f t="shared" si="30"/>
        <v>53.180999999999997</v>
      </c>
    </row>
    <row r="618" spans="2:10" x14ac:dyDescent="0.3">
      <c r="B618" s="267" t="s">
        <v>674</v>
      </c>
      <c r="C618" s="279"/>
      <c r="D618" s="56" t="s">
        <v>675</v>
      </c>
      <c r="E618" s="264">
        <v>206</v>
      </c>
      <c r="I618" s="328">
        <f t="shared" si="31"/>
        <v>46.189320000000002</v>
      </c>
      <c r="J618" s="328">
        <f t="shared" si="30"/>
        <v>24.345079999999999</v>
      </c>
    </row>
    <row r="619" spans="2:10" x14ac:dyDescent="0.3">
      <c r="B619" s="267" t="s">
        <v>676</v>
      </c>
      <c r="C619" s="279"/>
      <c r="D619" s="56" t="s">
        <v>677</v>
      </c>
      <c r="E619" s="264">
        <v>500</v>
      </c>
      <c r="I619" s="328">
        <f t="shared" si="31"/>
        <v>112.11</v>
      </c>
      <c r="J619" s="328">
        <f t="shared" si="30"/>
        <v>59.089999999999996</v>
      </c>
    </row>
    <row r="620" spans="2:10" x14ac:dyDescent="0.3">
      <c r="B620" s="267" t="s">
        <v>678</v>
      </c>
      <c r="C620" s="279"/>
      <c r="D620" s="56" t="s">
        <v>679</v>
      </c>
      <c r="E620" s="264">
        <v>1100</v>
      </c>
      <c r="I620" s="328">
        <f t="shared" si="31"/>
        <v>246.642</v>
      </c>
      <c r="J620" s="328">
        <f t="shared" si="30"/>
        <v>129.99799999999999</v>
      </c>
    </row>
    <row r="621" spans="2:10" x14ac:dyDescent="0.3">
      <c r="B621" s="267" t="s">
        <v>680</v>
      </c>
      <c r="C621" s="279"/>
      <c r="D621" s="56" t="s">
        <v>681</v>
      </c>
      <c r="E621" s="264">
        <v>412</v>
      </c>
      <c r="I621" s="328">
        <f t="shared" si="31"/>
        <v>92.378640000000004</v>
      </c>
      <c r="J621" s="328">
        <f t="shared" si="30"/>
        <v>48.690159999999999</v>
      </c>
    </row>
    <row r="622" spans="2:10" x14ac:dyDescent="0.3">
      <c r="B622" s="267" t="s">
        <v>682</v>
      </c>
      <c r="C622" s="279"/>
      <c r="D622" s="56" t="s">
        <v>683</v>
      </c>
      <c r="E622" s="264">
        <v>850</v>
      </c>
      <c r="I622" s="328">
        <f t="shared" si="31"/>
        <v>190.58699999999999</v>
      </c>
      <c r="J622" s="328">
        <f t="shared" ref="J622:J685" si="32">E622*$J$3</f>
        <v>100.45299999999999</v>
      </c>
    </row>
    <row r="623" spans="2:10" x14ac:dyDescent="0.3">
      <c r="B623" s="267" t="s">
        <v>684</v>
      </c>
      <c r="C623" s="279"/>
      <c r="D623" s="56" t="s">
        <v>685</v>
      </c>
      <c r="E623" s="264">
        <v>1750</v>
      </c>
      <c r="I623" s="328">
        <f t="shared" si="31"/>
        <v>392.38499999999999</v>
      </c>
      <c r="J623" s="328">
        <f t="shared" si="32"/>
        <v>206.815</v>
      </c>
    </row>
    <row r="624" spans="2:10" x14ac:dyDescent="0.3">
      <c r="B624" s="267" t="s">
        <v>686</v>
      </c>
      <c r="C624" s="279"/>
      <c r="D624" s="56" t="s">
        <v>687</v>
      </c>
      <c r="E624" s="264">
        <v>618</v>
      </c>
      <c r="I624" s="328">
        <f t="shared" si="31"/>
        <v>138.56796</v>
      </c>
      <c r="J624" s="328">
        <f t="shared" si="32"/>
        <v>73.035240000000002</v>
      </c>
    </row>
    <row r="625" spans="2:10" x14ac:dyDescent="0.3">
      <c r="B625" s="267" t="s">
        <v>688</v>
      </c>
      <c r="C625" s="279"/>
      <c r="D625" s="56" t="s">
        <v>689</v>
      </c>
      <c r="E625" s="264">
        <v>1200</v>
      </c>
      <c r="I625" s="328">
        <f t="shared" ref="I625:I688" si="33">E625*$I$3</f>
        <v>269.06400000000002</v>
      </c>
      <c r="J625" s="328">
        <f t="shared" si="32"/>
        <v>141.816</v>
      </c>
    </row>
    <row r="626" spans="2:10" x14ac:dyDescent="0.3">
      <c r="B626" s="267" t="s">
        <v>690</v>
      </c>
      <c r="C626" s="279"/>
      <c r="D626" s="268" t="s">
        <v>691</v>
      </c>
      <c r="E626" s="264">
        <v>2400</v>
      </c>
      <c r="I626" s="328">
        <f t="shared" si="33"/>
        <v>538.12800000000004</v>
      </c>
      <c r="J626" s="328">
        <f t="shared" si="32"/>
        <v>283.63200000000001</v>
      </c>
    </row>
    <row r="627" spans="2:10" x14ac:dyDescent="0.3">
      <c r="B627" s="27" t="s">
        <v>692</v>
      </c>
      <c r="C627" s="4"/>
      <c r="D627" s="32"/>
      <c r="E627" s="32"/>
      <c r="I627" s="328">
        <f t="shared" si="33"/>
        <v>0</v>
      </c>
      <c r="J627" s="328">
        <f t="shared" si="32"/>
        <v>0</v>
      </c>
    </row>
    <row r="628" spans="2:10" x14ac:dyDescent="0.3">
      <c r="B628" s="267" t="s">
        <v>693</v>
      </c>
      <c r="C628" s="279"/>
      <c r="D628" s="268" t="s">
        <v>549</v>
      </c>
      <c r="E628" s="264">
        <v>115</v>
      </c>
      <c r="I628" s="328">
        <f t="shared" si="33"/>
        <v>25.785299999999999</v>
      </c>
      <c r="J628" s="328">
        <f t="shared" si="32"/>
        <v>13.5907</v>
      </c>
    </row>
    <row r="629" spans="2:10" x14ac:dyDescent="0.3">
      <c r="B629" s="267" t="s">
        <v>694</v>
      </c>
      <c r="C629" s="279"/>
      <c r="D629" s="268" t="s">
        <v>551</v>
      </c>
      <c r="E629" s="264">
        <v>115</v>
      </c>
      <c r="I629" s="328">
        <f t="shared" si="33"/>
        <v>25.785299999999999</v>
      </c>
      <c r="J629" s="328">
        <f t="shared" si="32"/>
        <v>13.5907</v>
      </c>
    </row>
    <row r="630" spans="2:10" x14ac:dyDescent="0.3">
      <c r="B630" s="267" t="s">
        <v>695</v>
      </c>
      <c r="C630" s="267"/>
      <c r="D630" s="268" t="s">
        <v>696</v>
      </c>
      <c r="E630" s="264">
        <v>198</v>
      </c>
      <c r="I630" s="328">
        <f t="shared" si="33"/>
        <v>44.395560000000003</v>
      </c>
      <c r="J630" s="328">
        <f t="shared" si="32"/>
        <v>23.399639999999998</v>
      </c>
    </row>
    <row r="631" spans="2:10" x14ac:dyDescent="0.3">
      <c r="B631" s="267" t="s">
        <v>697</v>
      </c>
      <c r="C631" s="267"/>
      <c r="D631" s="268" t="s">
        <v>698</v>
      </c>
      <c r="E631" s="264">
        <v>115</v>
      </c>
      <c r="I631" s="328">
        <f t="shared" si="33"/>
        <v>25.785299999999999</v>
      </c>
      <c r="J631" s="328">
        <f t="shared" si="32"/>
        <v>13.5907</v>
      </c>
    </row>
    <row r="632" spans="2:10" ht="12.75" customHeight="1" x14ac:dyDescent="0.3">
      <c r="B632" s="267" t="s">
        <v>699</v>
      </c>
      <c r="C632" s="279"/>
      <c r="D632" s="268" t="s">
        <v>700</v>
      </c>
      <c r="E632" s="264">
        <v>115</v>
      </c>
      <c r="I632" s="328">
        <f t="shared" si="33"/>
        <v>25.785299999999999</v>
      </c>
      <c r="J632" s="328">
        <f t="shared" si="32"/>
        <v>13.5907</v>
      </c>
    </row>
    <row r="633" spans="2:10" x14ac:dyDescent="0.3">
      <c r="B633" s="267" t="s">
        <v>701</v>
      </c>
      <c r="C633" s="267"/>
      <c r="D633" s="268" t="s">
        <v>702</v>
      </c>
      <c r="E633" s="264">
        <v>115</v>
      </c>
      <c r="I633" s="328">
        <f t="shared" si="33"/>
        <v>25.785299999999999</v>
      </c>
      <c r="J633" s="328">
        <f t="shared" si="32"/>
        <v>13.5907</v>
      </c>
    </row>
    <row r="634" spans="2:10" x14ac:dyDescent="0.3">
      <c r="B634" s="267" t="s">
        <v>703</v>
      </c>
      <c r="C634" s="267"/>
      <c r="D634" s="268" t="s">
        <v>704</v>
      </c>
      <c r="E634" s="264">
        <v>198</v>
      </c>
      <c r="I634" s="328">
        <f t="shared" si="33"/>
        <v>44.395560000000003</v>
      </c>
      <c r="J634" s="328">
        <f t="shared" si="32"/>
        <v>23.399639999999998</v>
      </c>
    </row>
    <row r="635" spans="2:10" x14ac:dyDescent="0.3">
      <c r="B635" s="19" t="s">
        <v>705</v>
      </c>
      <c r="D635" s="32"/>
      <c r="E635" s="32"/>
      <c r="I635" s="328">
        <f t="shared" si="33"/>
        <v>0</v>
      </c>
      <c r="J635" s="328">
        <f t="shared" si="32"/>
        <v>0</v>
      </c>
    </row>
    <row r="636" spans="2:10" x14ac:dyDescent="0.3">
      <c r="B636" s="291" t="s">
        <v>171</v>
      </c>
      <c r="C636" s="279"/>
      <c r="D636" s="268" t="s">
        <v>553</v>
      </c>
      <c r="E636" s="264">
        <v>46</v>
      </c>
      <c r="I636" s="328">
        <f t="shared" si="33"/>
        <v>10.314120000000001</v>
      </c>
      <c r="J636" s="328">
        <f t="shared" si="32"/>
        <v>5.43628</v>
      </c>
    </row>
    <row r="637" spans="2:10" x14ac:dyDescent="0.3">
      <c r="B637" s="291" t="s">
        <v>554</v>
      </c>
      <c r="C637" s="279"/>
      <c r="D637" s="268" t="s">
        <v>555</v>
      </c>
      <c r="E637" s="264">
        <v>148</v>
      </c>
      <c r="I637" s="328">
        <f t="shared" si="33"/>
        <v>33.184559999999998</v>
      </c>
      <c r="J637" s="328">
        <f t="shared" si="32"/>
        <v>17.490639999999999</v>
      </c>
    </row>
    <row r="638" spans="2:10" x14ac:dyDescent="0.3">
      <c r="B638" s="291" t="s">
        <v>556</v>
      </c>
      <c r="C638" s="279"/>
      <c r="D638" s="268" t="s">
        <v>557</v>
      </c>
      <c r="E638" s="264">
        <v>229</v>
      </c>
      <c r="I638" s="328">
        <f t="shared" si="33"/>
        <v>51.346380000000003</v>
      </c>
      <c r="J638" s="328">
        <f t="shared" si="32"/>
        <v>27.063219999999998</v>
      </c>
    </row>
    <row r="639" spans="2:10" x14ac:dyDescent="0.3">
      <c r="B639" s="291" t="s">
        <v>558</v>
      </c>
      <c r="C639" s="279"/>
      <c r="D639" s="268" t="s">
        <v>559</v>
      </c>
      <c r="E639" s="264">
        <v>349</v>
      </c>
      <c r="I639" s="328">
        <f t="shared" si="33"/>
        <v>78.252780000000001</v>
      </c>
      <c r="J639" s="328">
        <f t="shared" si="32"/>
        <v>41.244819999999997</v>
      </c>
    </row>
    <row r="640" spans="2:10" x14ac:dyDescent="0.3">
      <c r="B640" s="19" t="s">
        <v>566</v>
      </c>
      <c r="C640" s="4"/>
      <c r="D640" s="32"/>
      <c r="E640" s="32"/>
      <c r="I640" s="328">
        <f t="shared" si="33"/>
        <v>0</v>
      </c>
      <c r="J640" s="328">
        <f t="shared" si="32"/>
        <v>0</v>
      </c>
    </row>
    <row r="641" spans="2:10" x14ac:dyDescent="0.3">
      <c r="B641" s="291" t="s">
        <v>567</v>
      </c>
      <c r="C641" s="279"/>
      <c r="D641" s="292" t="s">
        <v>568</v>
      </c>
      <c r="E641" s="264">
        <v>6</v>
      </c>
      <c r="I641" s="328">
        <f t="shared" si="33"/>
        <v>1.3453200000000001</v>
      </c>
      <c r="J641" s="328">
        <f t="shared" si="32"/>
        <v>0.70907999999999993</v>
      </c>
    </row>
    <row r="642" spans="2:10" x14ac:dyDescent="0.3">
      <c r="B642" s="291" t="s">
        <v>569</v>
      </c>
      <c r="C642" s="279"/>
      <c r="D642" s="292" t="s">
        <v>570</v>
      </c>
      <c r="E642" s="264">
        <v>6</v>
      </c>
      <c r="I642" s="328">
        <f t="shared" si="33"/>
        <v>1.3453200000000001</v>
      </c>
      <c r="J642" s="328">
        <f t="shared" si="32"/>
        <v>0.70907999999999993</v>
      </c>
    </row>
    <row r="643" spans="2:10" x14ac:dyDescent="0.3">
      <c r="B643" s="291" t="s">
        <v>571</v>
      </c>
      <c r="C643" s="279"/>
      <c r="D643" s="292" t="s">
        <v>572</v>
      </c>
      <c r="E643" s="264">
        <v>6</v>
      </c>
      <c r="I643" s="328">
        <f t="shared" si="33"/>
        <v>1.3453200000000001</v>
      </c>
      <c r="J643" s="328">
        <f t="shared" si="32"/>
        <v>0.70907999999999993</v>
      </c>
    </row>
    <row r="644" spans="2:10" x14ac:dyDescent="0.3">
      <c r="B644" s="291" t="s">
        <v>706</v>
      </c>
      <c r="C644" s="279"/>
      <c r="D644" s="292" t="s">
        <v>574</v>
      </c>
      <c r="E644" s="264">
        <v>6</v>
      </c>
      <c r="I644" s="328">
        <f t="shared" si="33"/>
        <v>1.3453200000000001</v>
      </c>
      <c r="J644" s="328">
        <f t="shared" si="32"/>
        <v>0.70907999999999993</v>
      </c>
    </row>
    <row r="645" spans="2:10" x14ac:dyDescent="0.3">
      <c r="E645" s="82"/>
      <c r="I645" s="328">
        <f t="shared" si="33"/>
        <v>0</v>
      </c>
      <c r="J645" s="328">
        <f t="shared" si="32"/>
        <v>0</v>
      </c>
    </row>
    <row r="646" spans="2:10" x14ac:dyDescent="0.3">
      <c r="B646" s="127" t="s">
        <v>575</v>
      </c>
      <c r="D646" s="6"/>
      <c r="E646" s="6"/>
      <c r="I646" s="328">
        <f t="shared" si="33"/>
        <v>0</v>
      </c>
      <c r="J646" s="328">
        <f t="shared" si="32"/>
        <v>0</v>
      </c>
    </row>
    <row r="647" spans="2:10" x14ac:dyDescent="0.3">
      <c r="B647" s="27" t="s">
        <v>707</v>
      </c>
      <c r="C647" s="27"/>
      <c r="D647" s="27"/>
      <c r="E647" s="27"/>
      <c r="I647" s="328">
        <f t="shared" si="33"/>
        <v>0</v>
      </c>
      <c r="J647" s="328">
        <f t="shared" si="32"/>
        <v>0</v>
      </c>
    </row>
    <row r="648" spans="2:10" x14ac:dyDescent="0.3">
      <c r="B648" s="267" t="s">
        <v>686</v>
      </c>
      <c r="C648" s="279"/>
      <c r="D648" s="268" t="s">
        <v>587</v>
      </c>
      <c r="E648" s="264">
        <v>912</v>
      </c>
      <c r="I648" s="328">
        <f t="shared" si="33"/>
        <v>204.48864</v>
      </c>
      <c r="J648" s="328">
        <f t="shared" si="32"/>
        <v>107.78016</v>
      </c>
    </row>
    <row r="649" spans="2:10" x14ac:dyDescent="0.3">
      <c r="B649" s="267" t="s">
        <v>688</v>
      </c>
      <c r="C649" s="279"/>
      <c r="D649" s="268" t="s">
        <v>589</v>
      </c>
      <c r="E649" s="264">
        <v>1485</v>
      </c>
      <c r="I649" s="328">
        <f t="shared" si="33"/>
        <v>332.9667</v>
      </c>
      <c r="J649" s="328">
        <f t="shared" si="32"/>
        <v>175.4973</v>
      </c>
    </row>
    <row r="650" spans="2:10" x14ac:dyDescent="0.3">
      <c r="B650" s="267" t="s">
        <v>690</v>
      </c>
      <c r="C650" s="279"/>
      <c r="D650" s="268" t="s">
        <v>591</v>
      </c>
      <c r="E650" s="264">
        <v>2685</v>
      </c>
      <c r="I650" s="328">
        <f t="shared" si="33"/>
        <v>602.03070000000002</v>
      </c>
      <c r="J650" s="328">
        <f t="shared" si="32"/>
        <v>317.31329999999997</v>
      </c>
    </row>
    <row r="651" spans="2:10" x14ac:dyDescent="0.3">
      <c r="B651" s="27" t="s">
        <v>576</v>
      </c>
      <c r="C651" s="27"/>
      <c r="D651" s="32"/>
      <c r="E651" s="32"/>
      <c r="I651" s="328">
        <f t="shared" si="33"/>
        <v>0</v>
      </c>
      <c r="J651" s="328">
        <f t="shared" si="32"/>
        <v>0</v>
      </c>
    </row>
    <row r="652" spans="2:10" x14ac:dyDescent="0.3">
      <c r="B652" s="267" t="s">
        <v>708</v>
      </c>
      <c r="C652" s="279"/>
      <c r="D652" s="268" t="s">
        <v>578</v>
      </c>
      <c r="E652" s="264">
        <v>288</v>
      </c>
      <c r="I652" s="328">
        <f t="shared" si="33"/>
        <v>64.575360000000003</v>
      </c>
      <c r="J652" s="328">
        <f t="shared" si="32"/>
        <v>34.03584</v>
      </c>
    </row>
    <row r="653" spans="2:10" x14ac:dyDescent="0.3">
      <c r="B653" s="267" t="s">
        <v>709</v>
      </c>
      <c r="C653" s="279"/>
      <c r="D653" s="268" t="s">
        <v>710</v>
      </c>
      <c r="E653" s="264">
        <v>464</v>
      </c>
      <c r="I653" s="328">
        <f t="shared" si="33"/>
        <v>104.03808000000001</v>
      </c>
      <c r="J653" s="328">
        <f t="shared" si="32"/>
        <v>54.835519999999995</v>
      </c>
    </row>
    <row r="654" spans="2:10" x14ac:dyDescent="0.3">
      <c r="B654" s="27" t="s">
        <v>711</v>
      </c>
      <c r="D654" s="32"/>
      <c r="E654" s="32"/>
      <c r="I654" s="328">
        <f t="shared" si="33"/>
        <v>0</v>
      </c>
      <c r="J654" s="328">
        <f t="shared" si="32"/>
        <v>0</v>
      </c>
    </row>
    <row r="655" spans="2:10" x14ac:dyDescent="0.3">
      <c r="B655" s="291" t="s">
        <v>712</v>
      </c>
      <c r="C655" s="279"/>
      <c r="D655" s="268" t="s">
        <v>713</v>
      </c>
      <c r="E655" s="264">
        <v>129</v>
      </c>
      <c r="I655" s="328">
        <f t="shared" si="33"/>
        <v>28.924379999999999</v>
      </c>
      <c r="J655" s="328">
        <f t="shared" si="32"/>
        <v>15.24522</v>
      </c>
    </row>
    <row r="656" spans="2:10" x14ac:dyDescent="0.3">
      <c r="B656" s="291" t="s">
        <v>714</v>
      </c>
      <c r="C656" s="279"/>
      <c r="D656" s="268" t="s">
        <v>715</v>
      </c>
      <c r="E656" s="264">
        <v>361</v>
      </c>
      <c r="I656" s="328">
        <f t="shared" si="33"/>
        <v>80.943420000000003</v>
      </c>
      <c r="J656" s="328">
        <f t="shared" si="32"/>
        <v>42.662979999999997</v>
      </c>
    </row>
    <row r="657" spans="1:10" x14ac:dyDescent="0.3">
      <c r="B657" s="27" t="s">
        <v>716</v>
      </c>
      <c r="C657" s="4"/>
      <c r="E657" s="7"/>
      <c r="I657" s="328">
        <f t="shared" si="33"/>
        <v>0</v>
      </c>
      <c r="J657" s="328">
        <f t="shared" si="32"/>
        <v>0</v>
      </c>
    </row>
    <row r="658" spans="1:10" x14ac:dyDescent="0.3">
      <c r="B658" s="291" t="s">
        <v>171</v>
      </c>
      <c r="C658" s="279"/>
      <c r="D658" s="268" t="s">
        <v>553</v>
      </c>
      <c r="E658" s="264">
        <v>46</v>
      </c>
      <c r="I658" s="328">
        <f t="shared" si="33"/>
        <v>10.314120000000001</v>
      </c>
      <c r="J658" s="328">
        <f t="shared" si="32"/>
        <v>5.43628</v>
      </c>
    </row>
    <row r="659" spans="1:10" x14ac:dyDescent="0.3">
      <c r="B659" s="291" t="s">
        <v>554</v>
      </c>
      <c r="C659" s="279"/>
      <c r="D659" s="268" t="s">
        <v>555</v>
      </c>
      <c r="E659" s="264">
        <v>148</v>
      </c>
      <c r="I659" s="328">
        <f t="shared" si="33"/>
        <v>33.184559999999998</v>
      </c>
      <c r="J659" s="328">
        <f t="shared" si="32"/>
        <v>17.490639999999999</v>
      </c>
    </row>
    <row r="660" spans="1:10" x14ac:dyDescent="0.3">
      <c r="B660" s="291" t="s">
        <v>556</v>
      </c>
      <c r="C660" s="279"/>
      <c r="D660" s="268" t="s">
        <v>557</v>
      </c>
      <c r="E660" s="264">
        <v>229</v>
      </c>
      <c r="I660" s="328">
        <f t="shared" si="33"/>
        <v>51.346380000000003</v>
      </c>
      <c r="J660" s="328">
        <f t="shared" si="32"/>
        <v>27.063219999999998</v>
      </c>
    </row>
    <row r="661" spans="1:10" x14ac:dyDescent="0.3">
      <c r="B661" s="291" t="s">
        <v>558</v>
      </c>
      <c r="C661" s="279"/>
      <c r="D661" s="268" t="s">
        <v>559</v>
      </c>
      <c r="E661" s="264">
        <v>349</v>
      </c>
      <c r="I661" s="328">
        <f t="shared" si="33"/>
        <v>78.252780000000001</v>
      </c>
      <c r="J661" s="328">
        <f t="shared" si="32"/>
        <v>41.244819999999997</v>
      </c>
    </row>
    <row r="662" spans="1:10" x14ac:dyDescent="0.3">
      <c r="B662" s="17"/>
      <c r="I662" s="328">
        <f t="shared" si="33"/>
        <v>0</v>
      </c>
      <c r="J662" s="328">
        <f t="shared" si="32"/>
        <v>0</v>
      </c>
    </row>
    <row r="663" spans="1:10" x14ac:dyDescent="0.3">
      <c r="B663" s="19" t="s">
        <v>134</v>
      </c>
      <c r="E663" s="7"/>
      <c r="I663" s="328">
        <f t="shared" si="33"/>
        <v>0</v>
      </c>
      <c r="J663" s="328">
        <f t="shared" si="32"/>
        <v>0</v>
      </c>
    </row>
    <row r="664" spans="1:10" x14ac:dyDescent="0.3">
      <c r="B664" s="27" t="s">
        <v>592</v>
      </c>
      <c r="C664" s="4"/>
      <c r="E664" s="7"/>
      <c r="I664" s="328">
        <f t="shared" si="33"/>
        <v>0</v>
      </c>
      <c r="J664" s="328">
        <f t="shared" si="32"/>
        <v>0</v>
      </c>
    </row>
    <row r="665" spans="1:10" x14ac:dyDescent="0.3">
      <c r="B665" s="267" t="s">
        <v>717</v>
      </c>
      <c r="C665" s="267"/>
      <c r="D665" s="268" t="s">
        <v>594</v>
      </c>
      <c r="E665" s="264">
        <v>451</v>
      </c>
      <c r="I665" s="328">
        <f t="shared" si="33"/>
        <v>101.12322</v>
      </c>
      <c r="J665" s="328">
        <f t="shared" si="32"/>
        <v>53.29918</v>
      </c>
    </row>
    <row r="666" spans="1:10" x14ac:dyDescent="0.3">
      <c r="B666" s="267" t="s">
        <v>595</v>
      </c>
      <c r="C666" s="267"/>
      <c r="D666" s="268" t="s">
        <v>596</v>
      </c>
      <c r="E666" s="264">
        <v>2089</v>
      </c>
      <c r="I666" s="328">
        <f t="shared" si="33"/>
        <v>468.39558</v>
      </c>
      <c r="J666" s="328">
        <f t="shared" si="32"/>
        <v>246.87801999999999</v>
      </c>
    </row>
    <row r="667" spans="1:10" x14ac:dyDescent="0.3">
      <c r="B667" s="27" t="s">
        <v>597</v>
      </c>
      <c r="E667" s="214"/>
      <c r="I667" s="328">
        <f t="shared" si="33"/>
        <v>0</v>
      </c>
      <c r="J667" s="328">
        <f t="shared" si="32"/>
        <v>0</v>
      </c>
    </row>
    <row r="668" spans="1:10" s="6" customFormat="1" x14ac:dyDescent="0.3">
      <c r="B668" s="267" t="s">
        <v>135</v>
      </c>
      <c r="C668" s="267"/>
      <c r="D668" s="268" t="s">
        <v>136</v>
      </c>
      <c r="E668" s="264">
        <v>192</v>
      </c>
      <c r="I668" s="328">
        <f t="shared" si="33"/>
        <v>43.050240000000002</v>
      </c>
      <c r="J668" s="328">
        <f t="shared" si="32"/>
        <v>22.690559999999998</v>
      </c>
    </row>
    <row r="669" spans="1:10" s="6" customFormat="1" x14ac:dyDescent="0.3">
      <c r="B669" s="267" t="s">
        <v>718</v>
      </c>
      <c r="C669" s="267"/>
      <c r="D669" s="268" t="s">
        <v>178</v>
      </c>
      <c r="E669" s="264">
        <v>400</v>
      </c>
      <c r="I669" s="328">
        <f t="shared" si="33"/>
        <v>89.688000000000002</v>
      </c>
      <c r="J669" s="328">
        <f t="shared" si="32"/>
        <v>47.271999999999998</v>
      </c>
    </row>
    <row r="670" spans="1:10" x14ac:dyDescent="0.3">
      <c r="B670" s="261" t="s">
        <v>137</v>
      </c>
      <c r="C670" s="267"/>
      <c r="D670" s="268" t="s">
        <v>138</v>
      </c>
      <c r="E670" s="264">
        <v>510</v>
      </c>
      <c r="I670" s="328">
        <f t="shared" si="33"/>
        <v>114.3522</v>
      </c>
      <c r="J670" s="328">
        <f t="shared" si="32"/>
        <v>60.271799999999999</v>
      </c>
    </row>
    <row r="671" spans="1:10" s="6" customFormat="1" x14ac:dyDescent="0.3">
      <c r="B671" s="266" t="s">
        <v>433</v>
      </c>
      <c r="C671" s="267"/>
      <c r="D671" s="268" t="s">
        <v>232</v>
      </c>
      <c r="E671" s="264">
        <v>1291</v>
      </c>
      <c r="I671" s="328">
        <f t="shared" si="33"/>
        <v>289.46802000000002</v>
      </c>
      <c r="J671" s="328">
        <f t="shared" si="32"/>
        <v>152.57038</v>
      </c>
    </row>
    <row r="672" spans="1:10" x14ac:dyDescent="0.3">
      <c r="A672" s="15"/>
      <c r="B672" s="266" t="s">
        <v>435</v>
      </c>
      <c r="C672" s="267"/>
      <c r="D672" s="268" t="s">
        <v>234</v>
      </c>
      <c r="E672" s="264">
        <v>2266</v>
      </c>
      <c r="I672" s="328">
        <f t="shared" si="33"/>
        <v>508.08251999999999</v>
      </c>
      <c r="J672" s="328">
        <f t="shared" si="32"/>
        <v>267.79588000000001</v>
      </c>
    </row>
    <row r="673" spans="1:10" x14ac:dyDescent="0.3">
      <c r="B673" s="266" t="s">
        <v>437</v>
      </c>
      <c r="C673" s="267"/>
      <c r="D673" s="268" t="s">
        <v>236</v>
      </c>
      <c r="E673" s="264">
        <v>3708</v>
      </c>
      <c r="I673" s="328">
        <f t="shared" si="33"/>
        <v>831.40776000000005</v>
      </c>
      <c r="J673" s="328">
        <f t="shared" si="32"/>
        <v>438.21143999999998</v>
      </c>
    </row>
    <row r="674" spans="1:10" x14ac:dyDescent="0.3">
      <c r="B674" s="266" t="s">
        <v>600</v>
      </c>
      <c r="C674" s="160"/>
      <c r="D674" s="268" t="s">
        <v>238</v>
      </c>
      <c r="E674" s="264">
        <v>6644</v>
      </c>
      <c r="I674" s="328">
        <f t="shared" si="33"/>
        <v>1489.71768</v>
      </c>
      <c r="J674" s="328">
        <f t="shared" si="32"/>
        <v>785.18791999999996</v>
      </c>
    </row>
    <row r="675" spans="1:10" x14ac:dyDescent="0.3">
      <c r="B675" s="266" t="s">
        <v>719</v>
      </c>
      <c r="C675" s="267"/>
      <c r="D675" s="268" t="s">
        <v>720</v>
      </c>
      <c r="E675" s="264">
        <v>14369</v>
      </c>
      <c r="I675" s="328">
        <f t="shared" si="33"/>
        <v>3221.81718</v>
      </c>
      <c r="J675" s="328">
        <f t="shared" si="32"/>
        <v>1698.12842</v>
      </c>
    </row>
    <row r="676" spans="1:10" x14ac:dyDescent="0.3">
      <c r="B676" s="27" t="s">
        <v>721</v>
      </c>
      <c r="C676" s="196"/>
      <c r="D676" s="197"/>
      <c r="E676" s="215"/>
      <c r="I676" s="328">
        <f t="shared" si="33"/>
        <v>0</v>
      </c>
      <c r="J676" s="328">
        <f t="shared" si="32"/>
        <v>0</v>
      </c>
    </row>
    <row r="677" spans="1:10" s="6" customFormat="1" x14ac:dyDescent="0.3">
      <c r="A677" s="118"/>
      <c r="B677" s="266" t="s">
        <v>722</v>
      </c>
      <c r="C677" s="267"/>
      <c r="D677" s="268" t="s">
        <v>603</v>
      </c>
      <c r="E677" s="264">
        <v>2735</v>
      </c>
      <c r="I677" s="328">
        <f t="shared" si="33"/>
        <v>613.24170000000004</v>
      </c>
      <c r="J677" s="328">
        <f t="shared" si="32"/>
        <v>323.22229999999996</v>
      </c>
    </row>
    <row r="678" spans="1:10" x14ac:dyDescent="0.3">
      <c r="B678" s="266" t="s">
        <v>723</v>
      </c>
      <c r="C678" s="267"/>
      <c r="D678" s="268" t="s">
        <v>605</v>
      </c>
      <c r="E678" s="264">
        <v>4685</v>
      </c>
      <c r="I678" s="328">
        <f t="shared" si="33"/>
        <v>1050.4707000000001</v>
      </c>
      <c r="J678" s="328">
        <f t="shared" si="32"/>
        <v>553.67329999999993</v>
      </c>
    </row>
    <row r="679" spans="1:10" x14ac:dyDescent="0.3">
      <c r="B679" s="266" t="s">
        <v>724</v>
      </c>
      <c r="C679" s="267"/>
      <c r="D679" s="268" t="s">
        <v>607</v>
      </c>
      <c r="E679" s="264">
        <v>7569</v>
      </c>
      <c r="I679" s="328">
        <f t="shared" si="33"/>
        <v>1697.1211800000001</v>
      </c>
      <c r="J679" s="328">
        <f t="shared" si="32"/>
        <v>894.50441999999998</v>
      </c>
    </row>
    <row r="680" spans="1:10" x14ac:dyDescent="0.3">
      <c r="B680" s="266" t="s">
        <v>725</v>
      </c>
      <c r="C680" s="160"/>
      <c r="D680" s="56" t="s">
        <v>609</v>
      </c>
      <c r="E680" s="264">
        <v>13440</v>
      </c>
      <c r="I680" s="328">
        <f t="shared" si="33"/>
        <v>3013.5167999999999</v>
      </c>
      <c r="J680" s="328">
        <f t="shared" si="32"/>
        <v>1588.3391999999999</v>
      </c>
    </row>
    <row r="681" spans="1:10" x14ac:dyDescent="0.3">
      <c r="B681" s="19" t="s">
        <v>726</v>
      </c>
      <c r="C681" s="196"/>
      <c r="D681" s="197"/>
      <c r="E681" s="215"/>
      <c r="I681" s="328">
        <f t="shared" si="33"/>
        <v>0</v>
      </c>
      <c r="J681" s="328">
        <f t="shared" si="32"/>
        <v>0</v>
      </c>
    </row>
    <row r="682" spans="1:10" s="6" customFormat="1" x14ac:dyDescent="0.3">
      <c r="B682" s="266" t="s">
        <v>727</v>
      </c>
      <c r="C682" s="267"/>
      <c r="D682" s="268" t="s">
        <v>728</v>
      </c>
      <c r="E682" s="264">
        <v>4062</v>
      </c>
      <c r="I682" s="328">
        <f t="shared" si="33"/>
        <v>910.78164000000004</v>
      </c>
      <c r="J682" s="328">
        <f t="shared" si="32"/>
        <v>480.04715999999996</v>
      </c>
    </row>
    <row r="683" spans="1:10" s="6" customFormat="1" x14ac:dyDescent="0.3">
      <c r="B683" s="266" t="s">
        <v>729</v>
      </c>
      <c r="C683" s="267"/>
      <c r="D683" s="268" t="s">
        <v>730</v>
      </c>
      <c r="E683" s="264">
        <v>4179</v>
      </c>
      <c r="I683" s="328">
        <f t="shared" si="33"/>
        <v>937.01538000000005</v>
      </c>
      <c r="J683" s="328">
        <f t="shared" si="32"/>
        <v>493.87421999999998</v>
      </c>
    </row>
    <row r="684" spans="1:10" x14ac:dyDescent="0.3">
      <c r="B684" s="266" t="s">
        <v>731</v>
      </c>
      <c r="C684" s="267"/>
      <c r="D684" s="268" t="s">
        <v>732</v>
      </c>
      <c r="E684" s="264">
        <v>11431</v>
      </c>
      <c r="I684" s="328">
        <f t="shared" si="33"/>
        <v>2563.0588200000002</v>
      </c>
      <c r="J684" s="328">
        <f t="shared" si="32"/>
        <v>1350.9155799999999</v>
      </c>
    </row>
    <row r="685" spans="1:10" x14ac:dyDescent="0.3">
      <c r="B685" s="266" t="s">
        <v>733</v>
      </c>
      <c r="C685" s="267"/>
      <c r="D685" s="268" t="s">
        <v>734</v>
      </c>
      <c r="E685" s="264">
        <v>15292</v>
      </c>
      <c r="I685" s="328">
        <f t="shared" si="33"/>
        <v>3428.7722400000002</v>
      </c>
      <c r="J685" s="328">
        <f t="shared" si="32"/>
        <v>1807.2085599999998</v>
      </c>
    </row>
    <row r="686" spans="1:10" x14ac:dyDescent="0.3">
      <c r="B686" s="266" t="s">
        <v>735</v>
      </c>
      <c r="C686" s="267"/>
      <c r="D686" s="268" t="s">
        <v>736</v>
      </c>
      <c r="E686" s="264">
        <v>20237</v>
      </c>
      <c r="I686" s="328">
        <f t="shared" si="33"/>
        <v>4537.5401400000001</v>
      </c>
      <c r="J686" s="328">
        <f t="shared" ref="J686:J749" si="34">E686*$J$3</f>
        <v>2391.6086599999999</v>
      </c>
    </row>
    <row r="687" spans="1:10" x14ac:dyDescent="0.3">
      <c r="B687" s="266" t="s">
        <v>737</v>
      </c>
      <c r="C687" s="267"/>
      <c r="D687" s="268" t="s">
        <v>738</v>
      </c>
      <c r="E687" s="264">
        <v>27034</v>
      </c>
      <c r="I687" s="328">
        <f t="shared" si="33"/>
        <v>6061.5634799999998</v>
      </c>
      <c r="J687" s="328">
        <f t="shared" si="34"/>
        <v>3194.8781199999999</v>
      </c>
    </row>
    <row r="688" spans="1:10" x14ac:dyDescent="0.3">
      <c r="B688" s="19"/>
      <c r="C688" s="23"/>
      <c r="D688" s="18"/>
      <c r="E688" s="18"/>
      <c r="I688" s="328">
        <f t="shared" si="33"/>
        <v>0</v>
      </c>
      <c r="J688" s="328">
        <f t="shared" si="34"/>
        <v>0</v>
      </c>
    </row>
    <row r="689" spans="2:10" x14ac:dyDescent="0.3">
      <c r="B689" s="203" t="s">
        <v>739</v>
      </c>
      <c r="C689" s="23"/>
      <c r="E689" s="7"/>
      <c r="I689" s="328">
        <f t="shared" ref="I689:I752" si="35">E689*$I$3</f>
        <v>0</v>
      </c>
      <c r="J689" s="328">
        <f t="shared" si="34"/>
        <v>0</v>
      </c>
    </row>
    <row r="690" spans="2:10" x14ac:dyDescent="0.3">
      <c r="B690" s="267" t="s">
        <v>740</v>
      </c>
      <c r="C690" s="267"/>
      <c r="D690" s="268" t="s">
        <v>741</v>
      </c>
      <c r="E690" s="264">
        <v>103</v>
      </c>
      <c r="I690" s="328">
        <f t="shared" si="35"/>
        <v>23.094660000000001</v>
      </c>
      <c r="J690" s="328">
        <f t="shared" si="34"/>
        <v>12.17254</v>
      </c>
    </row>
    <row r="691" spans="2:10" x14ac:dyDescent="0.3">
      <c r="B691" s="19"/>
      <c r="C691" s="23"/>
      <c r="E691" s="7"/>
      <c r="I691" s="328">
        <f t="shared" si="35"/>
        <v>0</v>
      </c>
      <c r="J691" s="328">
        <f t="shared" si="34"/>
        <v>0</v>
      </c>
    </row>
    <row r="692" spans="2:10" x14ac:dyDescent="0.3">
      <c r="B692" s="19" t="s">
        <v>610</v>
      </c>
      <c r="C692" s="23"/>
      <c r="D692" s="32"/>
      <c r="E692" s="32"/>
      <c r="I692" s="328">
        <f t="shared" si="35"/>
        <v>0</v>
      </c>
      <c r="J692" s="328">
        <f t="shared" si="34"/>
        <v>0</v>
      </c>
    </row>
    <row r="693" spans="2:10" ht="12.75" customHeight="1" x14ac:dyDescent="0.3">
      <c r="B693" s="291" t="s">
        <v>742</v>
      </c>
      <c r="C693" s="295"/>
      <c r="D693" s="292" t="s">
        <v>743</v>
      </c>
      <c r="E693" s="264">
        <v>24</v>
      </c>
      <c r="I693" s="328">
        <f t="shared" si="35"/>
        <v>5.3812800000000003</v>
      </c>
      <c r="J693" s="328">
        <f t="shared" si="34"/>
        <v>2.8363199999999997</v>
      </c>
    </row>
    <row r="694" spans="2:10" x14ac:dyDescent="0.3">
      <c r="B694" s="19"/>
      <c r="C694" s="23"/>
      <c r="D694" s="18"/>
      <c r="E694" s="18"/>
      <c r="I694" s="328">
        <f t="shared" si="35"/>
        <v>0</v>
      </c>
      <c r="J694" s="328">
        <f t="shared" si="34"/>
        <v>0</v>
      </c>
    </row>
    <row r="695" spans="2:10" x14ac:dyDescent="0.3">
      <c r="B695" s="86" t="s">
        <v>744</v>
      </c>
      <c r="C695" s="23"/>
      <c r="D695" s="32"/>
      <c r="E695" s="32"/>
      <c r="I695" s="328">
        <f t="shared" si="35"/>
        <v>0</v>
      </c>
      <c r="J695" s="328">
        <f t="shared" si="34"/>
        <v>0</v>
      </c>
    </row>
    <row r="696" spans="2:10" x14ac:dyDescent="0.3">
      <c r="B696" s="279" t="s">
        <v>614</v>
      </c>
      <c r="C696" s="279"/>
      <c r="D696" s="292" t="s">
        <v>189</v>
      </c>
      <c r="E696" s="264">
        <v>35</v>
      </c>
      <c r="I696" s="328">
        <f t="shared" si="35"/>
        <v>7.8476999999999997</v>
      </c>
      <c r="J696" s="328">
        <f t="shared" si="34"/>
        <v>4.1362999999999994</v>
      </c>
    </row>
    <row r="697" spans="2:10" x14ac:dyDescent="0.3">
      <c r="B697" s="279" t="s">
        <v>615</v>
      </c>
      <c r="C697" s="279"/>
      <c r="D697" s="292" t="s">
        <v>616</v>
      </c>
      <c r="E697" s="264">
        <v>234</v>
      </c>
      <c r="I697" s="328">
        <f t="shared" si="35"/>
        <v>52.467480000000002</v>
      </c>
      <c r="J697" s="328">
        <f t="shared" si="34"/>
        <v>27.654119999999999</v>
      </c>
    </row>
    <row r="698" spans="2:10" x14ac:dyDescent="0.3">
      <c r="B698" s="19"/>
      <c r="C698" s="23"/>
      <c r="D698" s="18"/>
      <c r="E698" s="18"/>
      <c r="I698" s="328">
        <f t="shared" si="35"/>
        <v>0</v>
      </c>
      <c r="J698" s="328">
        <f t="shared" si="34"/>
        <v>0</v>
      </c>
    </row>
    <row r="699" spans="2:10" x14ac:dyDescent="0.3">
      <c r="B699" s="86" t="s">
        <v>745</v>
      </c>
      <c r="C699" s="23"/>
      <c r="D699" s="32"/>
      <c r="E699" s="32"/>
      <c r="I699" s="328">
        <f t="shared" si="35"/>
        <v>0</v>
      </c>
      <c r="J699" s="328">
        <f t="shared" si="34"/>
        <v>0</v>
      </c>
    </row>
    <row r="700" spans="2:10" x14ac:dyDescent="0.3">
      <c r="B700" s="291" t="s">
        <v>618</v>
      </c>
      <c r="C700" s="295"/>
      <c r="D700" s="292" t="s">
        <v>619</v>
      </c>
      <c r="E700" s="264">
        <v>40</v>
      </c>
      <c r="I700" s="328">
        <f t="shared" si="35"/>
        <v>8.9687999999999999</v>
      </c>
      <c r="J700" s="328">
        <f t="shared" si="34"/>
        <v>4.7271999999999998</v>
      </c>
    </row>
    <row r="701" spans="2:10" x14ac:dyDescent="0.3">
      <c r="B701" s="19"/>
      <c r="C701" s="23"/>
      <c r="D701" s="18"/>
      <c r="E701" s="18"/>
      <c r="I701" s="328">
        <f t="shared" si="35"/>
        <v>0</v>
      </c>
      <c r="J701" s="328">
        <f t="shared" si="34"/>
        <v>0</v>
      </c>
    </row>
    <row r="702" spans="2:10" x14ac:dyDescent="0.3">
      <c r="B702" s="86" t="s">
        <v>746</v>
      </c>
      <c r="C702" s="23"/>
      <c r="D702" s="32"/>
      <c r="E702" s="32"/>
      <c r="I702" s="328">
        <f t="shared" si="35"/>
        <v>0</v>
      </c>
      <c r="J702" s="328">
        <f t="shared" si="34"/>
        <v>0</v>
      </c>
    </row>
    <row r="703" spans="2:10" x14ac:dyDescent="0.3">
      <c r="B703" s="291" t="s">
        <v>263</v>
      </c>
      <c r="C703" s="295"/>
      <c r="D703" s="292" t="s">
        <v>624</v>
      </c>
      <c r="E703" s="264">
        <v>18</v>
      </c>
      <c r="I703" s="328">
        <f t="shared" si="35"/>
        <v>4.0359600000000002</v>
      </c>
      <c r="J703" s="328">
        <f t="shared" si="34"/>
        <v>2.12724</v>
      </c>
    </row>
    <row r="704" spans="2:10" x14ac:dyDescent="0.3">
      <c r="B704" s="279" t="s">
        <v>747</v>
      </c>
      <c r="C704" s="279"/>
      <c r="D704" s="292" t="s">
        <v>622</v>
      </c>
      <c r="E704" s="264">
        <v>72</v>
      </c>
      <c r="I704" s="328">
        <f t="shared" si="35"/>
        <v>16.143840000000001</v>
      </c>
      <c r="J704" s="328">
        <f t="shared" si="34"/>
        <v>8.5089600000000001</v>
      </c>
    </row>
    <row r="705" spans="1:10" x14ac:dyDescent="0.3">
      <c r="B705" s="19"/>
      <c r="C705" s="23"/>
      <c r="D705" s="18"/>
      <c r="E705" s="18"/>
      <c r="I705" s="328">
        <f t="shared" si="35"/>
        <v>0</v>
      </c>
      <c r="J705" s="328">
        <f t="shared" si="34"/>
        <v>0</v>
      </c>
    </row>
    <row r="706" spans="1:10" x14ac:dyDescent="0.3">
      <c r="B706" s="19" t="s">
        <v>158</v>
      </c>
      <c r="C706" s="23"/>
      <c r="D706" s="32"/>
      <c r="E706" s="32"/>
      <c r="I706" s="328">
        <f t="shared" si="35"/>
        <v>0</v>
      </c>
      <c r="J706" s="328">
        <f t="shared" si="34"/>
        <v>0</v>
      </c>
    </row>
    <row r="707" spans="1:10" x14ac:dyDescent="0.3">
      <c r="B707" s="291" t="s">
        <v>161</v>
      </c>
      <c r="C707" s="295"/>
      <c r="D707" s="268" t="s">
        <v>162</v>
      </c>
      <c r="E707" s="264">
        <v>15</v>
      </c>
      <c r="I707" s="328">
        <f t="shared" si="35"/>
        <v>3.3633000000000002</v>
      </c>
      <c r="J707" s="328">
        <f t="shared" si="34"/>
        <v>1.7726999999999999</v>
      </c>
    </row>
    <row r="708" spans="1:10" x14ac:dyDescent="0.3">
      <c r="B708" s="19"/>
      <c r="C708" s="23"/>
      <c r="D708" s="18"/>
      <c r="E708" s="18"/>
      <c r="I708" s="328">
        <f t="shared" si="35"/>
        <v>0</v>
      </c>
      <c r="J708" s="328">
        <f t="shared" si="34"/>
        <v>0</v>
      </c>
    </row>
    <row r="709" spans="1:10" x14ac:dyDescent="0.3">
      <c r="B709" s="19" t="s">
        <v>163</v>
      </c>
      <c r="C709" s="23"/>
      <c r="D709" s="32"/>
      <c r="E709" s="32"/>
      <c r="I709" s="328">
        <f t="shared" si="35"/>
        <v>0</v>
      </c>
      <c r="J709" s="328">
        <f t="shared" si="34"/>
        <v>0</v>
      </c>
    </row>
    <row r="710" spans="1:10" x14ac:dyDescent="0.3">
      <c r="B710" s="291" t="s">
        <v>164</v>
      </c>
      <c r="C710" s="295"/>
      <c r="D710" s="292" t="s">
        <v>625</v>
      </c>
      <c r="E710" s="264">
        <v>0</v>
      </c>
      <c r="I710" s="328">
        <f t="shared" si="35"/>
        <v>0</v>
      </c>
      <c r="J710" s="328">
        <f t="shared" si="34"/>
        <v>0</v>
      </c>
    </row>
    <row r="711" spans="1:10" x14ac:dyDescent="0.3">
      <c r="B711" s="6"/>
      <c r="C711" s="106"/>
      <c r="D711" s="18"/>
      <c r="E711" s="18"/>
      <c r="I711" s="328">
        <f t="shared" si="35"/>
        <v>0</v>
      </c>
      <c r="J711" s="328">
        <f t="shared" si="34"/>
        <v>0</v>
      </c>
    </row>
    <row r="712" spans="1:10" x14ac:dyDescent="0.3">
      <c r="B712" s="17"/>
      <c r="I712" s="328">
        <f t="shared" si="35"/>
        <v>0</v>
      </c>
      <c r="J712" s="328">
        <f t="shared" si="34"/>
        <v>0</v>
      </c>
    </row>
    <row r="713" spans="1:10" x14ac:dyDescent="0.3">
      <c r="B713" s="83" t="s">
        <v>748</v>
      </c>
      <c r="C713" s="83"/>
      <c r="D713" s="112"/>
      <c r="E713" s="85"/>
      <c r="I713" s="328">
        <f t="shared" si="35"/>
        <v>0</v>
      </c>
      <c r="J713" s="328">
        <f t="shared" si="34"/>
        <v>0</v>
      </c>
    </row>
    <row r="714" spans="1:10" x14ac:dyDescent="0.3">
      <c r="A714" s="96"/>
      <c r="B714" s="79" t="s">
        <v>749</v>
      </c>
      <c r="C714" s="4"/>
      <c r="D714" s="105"/>
      <c r="E714" s="7"/>
      <c r="I714" s="328">
        <f t="shared" si="35"/>
        <v>0</v>
      </c>
      <c r="J714" s="328">
        <f t="shared" si="34"/>
        <v>0</v>
      </c>
    </row>
    <row r="715" spans="1:10" x14ac:dyDescent="0.3">
      <c r="A715" s="96"/>
      <c r="B715" s="287" t="s">
        <v>750</v>
      </c>
      <c r="C715" s="279"/>
      <c r="D715" s="268" t="s">
        <v>751</v>
      </c>
      <c r="E715" s="264">
        <v>391</v>
      </c>
      <c r="I715" s="328">
        <f t="shared" si="35"/>
        <v>87.670020000000008</v>
      </c>
      <c r="J715" s="328">
        <f t="shared" si="34"/>
        <v>46.208379999999998</v>
      </c>
    </row>
    <row r="716" spans="1:10" x14ac:dyDescent="0.3">
      <c r="A716" s="96"/>
      <c r="B716" s="296" t="s">
        <v>752</v>
      </c>
      <c r="C716" s="279"/>
      <c r="D716" s="268" t="s">
        <v>753</v>
      </c>
      <c r="E716" s="264">
        <v>1509</v>
      </c>
      <c r="I716" s="328">
        <f t="shared" si="35"/>
        <v>338.34798000000001</v>
      </c>
      <c r="J716" s="328">
        <f t="shared" si="34"/>
        <v>178.33362</v>
      </c>
    </row>
    <row r="717" spans="1:10" x14ac:dyDescent="0.3">
      <c r="A717" s="96"/>
      <c r="B717" s="296" t="s">
        <v>754</v>
      </c>
      <c r="C717" s="279"/>
      <c r="D717" s="268" t="s">
        <v>755</v>
      </c>
      <c r="E717" s="264">
        <v>2575</v>
      </c>
      <c r="I717" s="328">
        <f t="shared" si="35"/>
        <v>577.36649999999997</v>
      </c>
      <c r="J717" s="328">
        <f t="shared" si="34"/>
        <v>304.31349999999998</v>
      </c>
    </row>
    <row r="718" spans="1:10" x14ac:dyDescent="0.3">
      <c r="A718" s="96"/>
      <c r="B718" s="296" t="s">
        <v>756</v>
      </c>
      <c r="C718" s="279"/>
      <c r="D718" s="268" t="s">
        <v>757</v>
      </c>
      <c r="E718" s="264">
        <v>6077</v>
      </c>
      <c r="I718" s="328">
        <f t="shared" si="35"/>
        <v>1362.58494</v>
      </c>
      <c r="J718" s="328">
        <f t="shared" si="34"/>
        <v>718.17985999999996</v>
      </c>
    </row>
    <row r="719" spans="1:10" x14ac:dyDescent="0.3">
      <c r="A719" s="96"/>
      <c r="B719" s="194"/>
      <c r="C719" s="4"/>
      <c r="D719" s="105"/>
      <c r="E719" s="7"/>
      <c r="I719" s="328">
        <f t="shared" si="35"/>
        <v>0</v>
      </c>
      <c r="J719" s="328">
        <f t="shared" si="34"/>
        <v>0</v>
      </c>
    </row>
    <row r="720" spans="1:10" x14ac:dyDescent="0.3">
      <c r="B720" s="79" t="s">
        <v>758</v>
      </c>
      <c r="E720" s="78"/>
      <c r="I720" s="328">
        <f t="shared" si="35"/>
        <v>0</v>
      </c>
      <c r="J720" s="328">
        <f t="shared" si="34"/>
        <v>0</v>
      </c>
    </row>
    <row r="721" spans="1:10" x14ac:dyDescent="0.3">
      <c r="A721" s="114"/>
      <c r="B721" s="267" t="s">
        <v>647</v>
      </c>
      <c r="C721" s="279"/>
      <c r="D721" s="283" t="s">
        <v>648</v>
      </c>
      <c r="E721" s="264">
        <v>684</v>
      </c>
      <c r="I721" s="328">
        <f t="shared" si="35"/>
        <v>153.36648</v>
      </c>
      <c r="J721" s="328">
        <f t="shared" si="34"/>
        <v>80.835119999999989</v>
      </c>
    </row>
    <row r="722" spans="1:10" x14ac:dyDescent="0.3">
      <c r="A722" s="114"/>
      <c r="B722" s="267" t="s">
        <v>651</v>
      </c>
      <c r="C722" s="290"/>
      <c r="D722" s="283" t="s">
        <v>652</v>
      </c>
      <c r="E722" s="264">
        <v>1623</v>
      </c>
      <c r="I722" s="328">
        <f t="shared" si="35"/>
        <v>363.90906000000001</v>
      </c>
      <c r="J722" s="328">
        <f t="shared" si="34"/>
        <v>191.80614</v>
      </c>
    </row>
    <row r="723" spans="1:10" x14ac:dyDescent="0.3">
      <c r="A723" s="114"/>
      <c r="B723" s="267" t="s">
        <v>759</v>
      </c>
      <c r="C723" s="290"/>
      <c r="D723" s="283" t="s">
        <v>654</v>
      </c>
      <c r="E723" s="264">
        <v>2052</v>
      </c>
      <c r="I723" s="328">
        <f t="shared" si="35"/>
        <v>460.09944000000002</v>
      </c>
      <c r="J723" s="328">
        <f t="shared" si="34"/>
        <v>242.50536</v>
      </c>
    </row>
    <row r="724" spans="1:10" x14ac:dyDescent="0.3">
      <c r="A724" s="114"/>
      <c r="B724" s="267" t="s">
        <v>760</v>
      </c>
      <c r="C724" s="279"/>
      <c r="D724" s="283" t="s">
        <v>656</v>
      </c>
      <c r="E724" s="264">
        <v>3930</v>
      </c>
      <c r="I724" s="328">
        <f t="shared" si="35"/>
        <v>881.18460000000005</v>
      </c>
      <c r="J724" s="328">
        <f t="shared" si="34"/>
        <v>464.44739999999996</v>
      </c>
    </row>
    <row r="725" spans="1:10" x14ac:dyDescent="0.3">
      <c r="A725" s="114"/>
      <c r="B725" s="267" t="s">
        <v>761</v>
      </c>
      <c r="C725" s="279"/>
      <c r="D725" s="283" t="s">
        <v>762</v>
      </c>
      <c r="E725" s="264">
        <v>8792</v>
      </c>
      <c r="I725" s="328">
        <f t="shared" si="35"/>
        <v>1971.3422399999999</v>
      </c>
      <c r="J725" s="328">
        <f t="shared" si="34"/>
        <v>1039.03856</v>
      </c>
    </row>
    <row r="726" spans="1:10" x14ac:dyDescent="0.3">
      <c r="A726" s="114"/>
      <c r="B726" s="267" t="s">
        <v>763</v>
      </c>
      <c r="C726" s="267"/>
      <c r="D726" s="283" t="s">
        <v>764</v>
      </c>
      <c r="E726" s="264">
        <v>18268</v>
      </c>
      <c r="I726" s="328">
        <f t="shared" si="35"/>
        <v>4096.0509600000005</v>
      </c>
      <c r="J726" s="328">
        <f t="shared" si="34"/>
        <v>2158.9122399999997</v>
      </c>
    </row>
    <row r="727" spans="1:10" x14ac:dyDescent="0.3">
      <c r="A727" s="96"/>
      <c r="B727" s="194"/>
      <c r="C727" s="4"/>
      <c r="D727" s="105"/>
      <c r="E727" s="7"/>
      <c r="I727" s="328">
        <f t="shared" si="35"/>
        <v>0</v>
      </c>
      <c r="J727" s="328">
        <f t="shared" si="34"/>
        <v>0</v>
      </c>
    </row>
    <row r="728" spans="1:10" x14ac:dyDescent="0.3">
      <c r="B728" s="79" t="s">
        <v>542</v>
      </c>
      <c r="C728" s="4"/>
      <c r="D728" s="105"/>
      <c r="E728" s="96"/>
      <c r="I728" s="328">
        <f t="shared" si="35"/>
        <v>0</v>
      </c>
      <c r="J728" s="328">
        <f t="shared" si="34"/>
        <v>0</v>
      </c>
    </row>
    <row r="729" spans="1:10" x14ac:dyDescent="0.3">
      <c r="B729" s="27" t="s">
        <v>543</v>
      </c>
      <c r="C729" s="168"/>
      <c r="E729" s="78"/>
      <c r="I729" s="328">
        <f t="shared" si="35"/>
        <v>0</v>
      </c>
      <c r="J729" s="328">
        <f t="shared" si="34"/>
        <v>0</v>
      </c>
    </row>
    <row r="730" spans="1:10" x14ac:dyDescent="0.3">
      <c r="A730" s="113"/>
      <c r="B730" s="266" t="s">
        <v>126</v>
      </c>
      <c r="C730" s="267"/>
      <c r="D730" s="268" t="s">
        <v>671</v>
      </c>
      <c r="E730" s="264">
        <v>144</v>
      </c>
      <c r="I730" s="328">
        <f t="shared" si="35"/>
        <v>32.287680000000002</v>
      </c>
      <c r="J730" s="328">
        <f t="shared" si="34"/>
        <v>17.01792</v>
      </c>
    </row>
    <row r="731" spans="1:10" x14ac:dyDescent="0.3">
      <c r="A731" s="113"/>
      <c r="B731" s="266" t="s">
        <v>218</v>
      </c>
      <c r="C731" s="267"/>
      <c r="D731" s="268" t="s">
        <v>673</v>
      </c>
      <c r="E731" s="264">
        <v>444</v>
      </c>
      <c r="I731" s="328">
        <f t="shared" si="35"/>
        <v>99.55368</v>
      </c>
      <c r="J731" s="328">
        <f t="shared" si="34"/>
        <v>52.471919999999997</v>
      </c>
    </row>
    <row r="732" spans="1:10" x14ac:dyDescent="0.3">
      <c r="A732" s="113"/>
      <c r="B732" s="27" t="s">
        <v>546</v>
      </c>
      <c r="C732" s="168"/>
      <c r="E732" s="72"/>
      <c r="I732" s="328">
        <f t="shared" si="35"/>
        <v>0</v>
      </c>
      <c r="J732" s="328">
        <f t="shared" si="34"/>
        <v>0</v>
      </c>
    </row>
    <row r="733" spans="1:10" x14ac:dyDescent="0.3">
      <c r="A733" s="96"/>
      <c r="B733" s="266" t="s">
        <v>124</v>
      </c>
      <c r="C733" s="267"/>
      <c r="D733" s="268" t="s">
        <v>132</v>
      </c>
      <c r="E733" s="264">
        <v>206</v>
      </c>
      <c r="I733" s="328">
        <f t="shared" si="35"/>
        <v>46.189320000000002</v>
      </c>
      <c r="J733" s="328">
        <f t="shared" si="34"/>
        <v>24.345079999999999</v>
      </c>
    </row>
    <row r="734" spans="1:10" x14ac:dyDescent="0.3">
      <c r="A734" s="96"/>
      <c r="B734" s="266" t="s">
        <v>126</v>
      </c>
      <c r="C734" s="267"/>
      <c r="D734" s="268" t="s">
        <v>133</v>
      </c>
      <c r="E734" s="264">
        <v>350</v>
      </c>
      <c r="I734" s="328">
        <f t="shared" si="35"/>
        <v>78.477000000000004</v>
      </c>
      <c r="J734" s="328">
        <f t="shared" si="34"/>
        <v>41.363</v>
      </c>
    </row>
    <row r="735" spans="1:10" x14ac:dyDescent="0.3">
      <c r="A735" s="96"/>
      <c r="B735" s="266" t="s">
        <v>218</v>
      </c>
      <c r="C735" s="267"/>
      <c r="D735" s="268" t="s">
        <v>221</v>
      </c>
      <c r="E735" s="264">
        <v>650</v>
      </c>
      <c r="I735" s="328">
        <f t="shared" si="35"/>
        <v>145.74299999999999</v>
      </c>
      <c r="J735" s="328">
        <f t="shared" si="34"/>
        <v>76.816999999999993</v>
      </c>
    </row>
    <row r="736" spans="1:10" x14ac:dyDescent="0.3">
      <c r="B736" s="27" t="s">
        <v>765</v>
      </c>
      <c r="C736" s="4"/>
      <c r="D736" s="32"/>
      <c r="E736" s="32"/>
      <c r="I736" s="328">
        <f t="shared" si="35"/>
        <v>0</v>
      </c>
      <c r="J736" s="328">
        <f t="shared" si="34"/>
        <v>0</v>
      </c>
    </row>
    <row r="737" spans="1:10" x14ac:dyDescent="0.3">
      <c r="B737" s="267" t="s">
        <v>766</v>
      </c>
      <c r="C737" s="279"/>
      <c r="D737" s="292" t="s">
        <v>568</v>
      </c>
      <c r="E737" s="264">
        <v>6</v>
      </c>
      <c r="I737" s="328">
        <f t="shared" si="35"/>
        <v>1.3453200000000001</v>
      </c>
      <c r="J737" s="328">
        <f t="shared" si="34"/>
        <v>0.70907999999999993</v>
      </c>
    </row>
    <row r="738" spans="1:10" x14ac:dyDescent="0.3">
      <c r="B738" s="267" t="s">
        <v>767</v>
      </c>
      <c r="C738" s="279"/>
      <c r="D738" s="292" t="s">
        <v>570</v>
      </c>
      <c r="E738" s="264">
        <v>6</v>
      </c>
      <c r="I738" s="328">
        <f t="shared" si="35"/>
        <v>1.3453200000000001</v>
      </c>
      <c r="J738" s="328">
        <f t="shared" si="34"/>
        <v>0.70907999999999993</v>
      </c>
    </row>
    <row r="739" spans="1:10" x14ac:dyDescent="0.3">
      <c r="A739" s="96"/>
      <c r="B739" s="27" t="s">
        <v>552</v>
      </c>
      <c r="C739" s="168"/>
      <c r="E739" s="72"/>
      <c r="I739" s="328">
        <f t="shared" si="35"/>
        <v>0</v>
      </c>
      <c r="J739" s="328">
        <f t="shared" si="34"/>
        <v>0</v>
      </c>
    </row>
    <row r="740" spans="1:10" x14ac:dyDescent="0.3">
      <c r="A740" s="96"/>
      <c r="B740" s="287" t="s">
        <v>171</v>
      </c>
      <c r="C740" s="279"/>
      <c r="D740" s="268" t="s">
        <v>553</v>
      </c>
      <c r="E740" s="264">
        <v>46</v>
      </c>
      <c r="I740" s="328">
        <f t="shared" si="35"/>
        <v>10.314120000000001</v>
      </c>
      <c r="J740" s="328">
        <f t="shared" si="34"/>
        <v>5.43628</v>
      </c>
    </row>
    <row r="741" spans="1:10" x14ac:dyDescent="0.3">
      <c r="A741" s="96"/>
      <c r="B741" s="287" t="s">
        <v>554</v>
      </c>
      <c r="C741" s="279"/>
      <c r="D741" s="268" t="s">
        <v>555</v>
      </c>
      <c r="E741" s="264">
        <v>148</v>
      </c>
      <c r="I741" s="328">
        <f t="shared" si="35"/>
        <v>33.184559999999998</v>
      </c>
      <c r="J741" s="328">
        <f t="shared" si="34"/>
        <v>17.490639999999999</v>
      </c>
    </row>
    <row r="742" spans="1:10" x14ac:dyDescent="0.3">
      <c r="A742" s="96"/>
      <c r="B742" s="287" t="s">
        <v>556</v>
      </c>
      <c r="C742" s="279"/>
      <c r="D742" s="268" t="s">
        <v>557</v>
      </c>
      <c r="E742" s="264">
        <v>229</v>
      </c>
      <c r="I742" s="328">
        <f t="shared" si="35"/>
        <v>51.346380000000003</v>
      </c>
      <c r="J742" s="328">
        <f t="shared" si="34"/>
        <v>27.063219999999998</v>
      </c>
    </row>
    <row r="743" spans="1:10" x14ac:dyDescent="0.3">
      <c r="A743" s="96"/>
      <c r="B743" s="291" t="s">
        <v>558</v>
      </c>
      <c r="C743" s="279"/>
      <c r="D743" s="268" t="s">
        <v>559</v>
      </c>
      <c r="E743" s="264">
        <v>349</v>
      </c>
      <c r="I743" s="328">
        <f t="shared" si="35"/>
        <v>78.252780000000001</v>
      </c>
      <c r="J743" s="328">
        <f t="shared" si="34"/>
        <v>41.244819999999997</v>
      </c>
    </row>
    <row r="744" spans="1:10" x14ac:dyDescent="0.3">
      <c r="A744" s="96"/>
      <c r="B744" s="27" t="s">
        <v>565</v>
      </c>
      <c r="C744" s="168"/>
      <c r="E744" s="72"/>
      <c r="I744" s="328">
        <f t="shared" si="35"/>
        <v>0</v>
      </c>
      <c r="J744" s="328">
        <f t="shared" si="34"/>
        <v>0</v>
      </c>
    </row>
    <row r="745" spans="1:10" x14ac:dyDescent="0.3">
      <c r="A745" s="96"/>
      <c r="B745" s="287" t="s">
        <v>171</v>
      </c>
      <c r="C745" s="279"/>
      <c r="D745" s="268" t="s">
        <v>553</v>
      </c>
      <c r="E745" s="264">
        <v>46</v>
      </c>
      <c r="I745" s="328">
        <f t="shared" si="35"/>
        <v>10.314120000000001</v>
      </c>
      <c r="J745" s="328">
        <f t="shared" si="34"/>
        <v>5.43628</v>
      </c>
    </row>
    <row r="746" spans="1:10" x14ac:dyDescent="0.3">
      <c r="A746" s="96"/>
      <c r="B746" s="287" t="s">
        <v>554</v>
      </c>
      <c r="C746" s="279"/>
      <c r="D746" s="268" t="s">
        <v>555</v>
      </c>
      <c r="E746" s="264">
        <v>148</v>
      </c>
      <c r="I746" s="328">
        <f t="shared" si="35"/>
        <v>33.184559999999998</v>
      </c>
      <c r="J746" s="328">
        <f t="shared" si="34"/>
        <v>17.490639999999999</v>
      </c>
    </row>
    <row r="747" spans="1:10" x14ac:dyDescent="0.3">
      <c r="A747" s="96"/>
      <c r="B747" s="287" t="s">
        <v>556</v>
      </c>
      <c r="C747" s="279"/>
      <c r="D747" s="268" t="s">
        <v>557</v>
      </c>
      <c r="E747" s="264">
        <v>229</v>
      </c>
      <c r="I747" s="328">
        <f t="shared" si="35"/>
        <v>51.346380000000003</v>
      </c>
      <c r="J747" s="328">
        <f t="shared" si="34"/>
        <v>27.063219999999998</v>
      </c>
    </row>
    <row r="748" spans="1:10" x14ac:dyDescent="0.3">
      <c r="A748" s="96"/>
      <c r="B748" s="291" t="s">
        <v>558</v>
      </c>
      <c r="C748" s="279"/>
      <c r="D748" s="268" t="s">
        <v>559</v>
      </c>
      <c r="E748" s="264">
        <v>349</v>
      </c>
      <c r="I748" s="328">
        <f t="shared" si="35"/>
        <v>78.252780000000001</v>
      </c>
      <c r="J748" s="328">
        <f t="shared" si="34"/>
        <v>41.244819999999997</v>
      </c>
    </row>
    <row r="749" spans="1:10" x14ac:dyDescent="0.3">
      <c r="A749" s="96"/>
      <c r="B749" s="27" t="s">
        <v>560</v>
      </c>
      <c r="C749" s="168"/>
      <c r="E749" s="72"/>
      <c r="I749" s="328">
        <f t="shared" si="35"/>
        <v>0</v>
      </c>
      <c r="J749" s="328">
        <f t="shared" si="34"/>
        <v>0</v>
      </c>
    </row>
    <row r="750" spans="1:10" x14ac:dyDescent="0.3">
      <c r="A750" s="96"/>
      <c r="B750" s="266" t="s">
        <v>561</v>
      </c>
      <c r="C750" s="267"/>
      <c r="D750" s="268" t="s">
        <v>562</v>
      </c>
      <c r="E750" s="264">
        <v>10</v>
      </c>
      <c r="I750" s="328">
        <f t="shared" si="35"/>
        <v>2.2422</v>
      </c>
      <c r="J750" s="328">
        <f t="shared" ref="J750:J813" si="36">E750*$J$3</f>
        <v>1.1818</v>
      </c>
    </row>
    <row r="751" spans="1:10" x14ac:dyDescent="0.3">
      <c r="A751" s="96"/>
      <c r="B751" s="266" t="s">
        <v>563</v>
      </c>
      <c r="C751" s="267"/>
      <c r="D751" s="268" t="s">
        <v>564</v>
      </c>
      <c r="E751" s="264">
        <v>21</v>
      </c>
      <c r="I751" s="328">
        <f t="shared" si="35"/>
        <v>4.7086199999999998</v>
      </c>
      <c r="J751" s="328">
        <f t="shared" si="36"/>
        <v>2.4817799999999997</v>
      </c>
    </row>
    <row r="752" spans="1:10" x14ac:dyDescent="0.3">
      <c r="B752" s="19" t="s">
        <v>768</v>
      </c>
      <c r="C752" s="4"/>
      <c r="D752" s="32"/>
      <c r="E752" s="32"/>
      <c r="I752" s="328">
        <f t="shared" si="35"/>
        <v>0</v>
      </c>
      <c r="J752" s="328">
        <f t="shared" si="36"/>
        <v>0</v>
      </c>
    </row>
    <row r="753" spans="1:10" x14ac:dyDescent="0.3">
      <c r="B753" s="291" t="s">
        <v>567</v>
      </c>
      <c r="C753" s="279"/>
      <c r="D753" s="292" t="s">
        <v>568</v>
      </c>
      <c r="E753" s="264">
        <v>6</v>
      </c>
      <c r="I753" s="328">
        <f t="shared" ref="I753:I816" si="37">E753*$I$3</f>
        <v>1.3453200000000001</v>
      </c>
      <c r="J753" s="328">
        <f t="shared" si="36"/>
        <v>0.70907999999999993</v>
      </c>
    </row>
    <row r="754" spans="1:10" x14ac:dyDescent="0.3">
      <c r="B754" s="291" t="s">
        <v>569</v>
      </c>
      <c r="C754" s="279"/>
      <c r="D754" s="292" t="s">
        <v>570</v>
      </c>
      <c r="E754" s="264">
        <v>6</v>
      </c>
      <c r="I754" s="328">
        <f t="shared" si="37"/>
        <v>1.3453200000000001</v>
      </c>
      <c r="J754" s="328">
        <f t="shared" si="36"/>
        <v>0.70907999999999993</v>
      </c>
    </row>
    <row r="755" spans="1:10" x14ac:dyDescent="0.3">
      <c r="B755" s="291" t="s">
        <v>571</v>
      </c>
      <c r="C755" s="279"/>
      <c r="D755" s="292" t="s">
        <v>572</v>
      </c>
      <c r="E755" s="264">
        <v>6</v>
      </c>
      <c r="I755" s="328">
        <f t="shared" si="37"/>
        <v>1.3453200000000001</v>
      </c>
      <c r="J755" s="328">
        <f t="shared" si="36"/>
        <v>0.70907999999999993</v>
      </c>
    </row>
    <row r="756" spans="1:10" x14ac:dyDescent="0.3">
      <c r="B756" s="291" t="s">
        <v>573</v>
      </c>
      <c r="C756" s="279"/>
      <c r="D756" s="292" t="s">
        <v>574</v>
      </c>
      <c r="E756" s="264">
        <v>6</v>
      </c>
      <c r="I756" s="328">
        <f t="shared" si="37"/>
        <v>1.3453200000000001</v>
      </c>
      <c r="J756" s="328">
        <f t="shared" si="36"/>
        <v>0.70907999999999993</v>
      </c>
    </row>
    <row r="757" spans="1:10" x14ac:dyDescent="0.3">
      <c r="E757" s="82"/>
      <c r="I757" s="328">
        <f t="shared" si="37"/>
        <v>0</v>
      </c>
      <c r="J757" s="328">
        <f t="shared" si="36"/>
        <v>0</v>
      </c>
    </row>
    <row r="758" spans="1:10" x14ac:dyDescent="0.3">
      <c r="B758" s="127" t="s">
        <v>575</v>
      </c>
      <c r="D758" s="6"/>
      <c r="E758" s="6"/>
      <c r="I758" s="328">
        <f t="shared" si="37"/>
        <v>0</v>
      </c>
      <c r="J758" s="328">
        <f t="shared" si="36"/>
        <v>0</v>
      </c>
    </row>
    <row r="759" spans="1:10" x14ac:dyDescent="0.3">
      <c r="B759" s="128" t="s">
        <v>576</v>
      </c>
      <c r="C759" s="27"/>
      <c r="D759" s="32"/>
      <c r="E759" s="32"/>
      <c r="I759" s="328">
        <f t="shared" si="37"/>
        <v>0</v>
      </c>
      <c r="J759" s="328">
        <f t="shared" si="36"/>
        <v>0</v>
      </c>
    </row>
    <row r="760" spans="1:10" x14ac:dyDescent="0.3">
      <c r="B760" s="267" t="s">
        <v>577</v>
      </c>
      <c r="C760" s="279"/>
      <c r="D760" s="268" t="s">
        <v>578</v>
      </c>
      <c r="E760" s="264">
        <v>288</v>
      </c>
      <c r="I760" s="328">
        <f t="shared" si="37"/>
        <v>64.575360000000003</v>
      </c>
      <c r="J760" s="328">
        <f t="shared" si="36"/>
        <v>34.03584</v>
      </c>
    </row>
    <row r="761" spans="1:10" x14ac:dyDescent="0.3">
      <c r="A761" s="96"/>
      <c r="B761" s="27" t="s">
        <v>769</v>
      </c>
      <c r="C761" s="168"/>
      <c r="E761" s="78"/>
      <c r="I761" s="328">
        <f t="shared" si="37"/>
        <v>0</v>
      </c>
      <c r="J761" s="328">
        <f t="shared" si="36"/>
        <v>0</v>
      </c>
    </row>
    <row r="762" spans="1:10" x14ac:dyDescent="0.3">
      <c r="A762" s="96"/>
      <c r="B762" s="266" t="s">
        <v>770</v>
      </c>
      <c r="C762" s="267"/>
      <c r="D762" s="268" t="s">
        <v>581</v>
      </c>
      <c r="E762" s="264">
        <v>489</v>
      </c>
      <c r="I762" s="328">
        <f t="shared" si="37"/>
        <v>109.64358</v>
      </c>
      <c r="J762" s="328">
        <f t="shared" si="36"/>
        <v>57.790019999999998</v>
      </c>
    </row>
    <row r="763" spans="1:10" x14ac:dyDescent="0.3">
      <c r="A763" s="96"/>
      <c r="B763" s="266" t="s">
        <v>771</v>
      </c>
      <c r="C763" s="267"/>
      <c r="D763" s="268" t="s">
        <v>583</v>
      </c>
      <c r="E763" s="264">
        <v>775</v>
      </c>
      <c r="I763" s="328">
        <f t="shared" si="37"/>
        <v>173.7705</v>
      </c>
      <c r="J763" s="328">
        <f t="shared" si="36"/>
        <v>91.589500000000001</v>
      </c>
    </row>
    <row r="764" spans="1:10" x14ac:dyDescent="0.3">
      <c r="A764" s="96"/>
      <c r="B764" s="266" t="s">
        <v>772</v>
      </c>
      <c r="C764" s="267"/>
      <c r="D764" s="268" t="s">
        <v>585</v>
      </c>
      <c r="E764" s="264">
        <v>1375</v>
      </c>
      <c r="I764" s="328">
        <f t="shared" si="37"/>
        <v>308.30250000000001</v>
      </c>
      <c r="J764" s="328">
        <f t="shared" si="36"/>
        <v>162.4975</v>
      </c>
    </row>
    <row r="765" spans="1:10" x14ac:dyDescent="0.3">
      <c r="A765" s="96"/>
      <c r="B765" s="266" t="s">
        <v>773</v>
      </c>
      <c r="C765" s="267"/>
      <c r="D765" s="268" t="s">
        <v>587</v>
      </c>
      <c r="E765" s="264">
        <v>912</v>
      </c>
      <c r="I765" s="328">
        <f t="shared" si="37"/>
        <v>204.48864</v>
      </c>
      <c r="J765" s="328">
        <f t="shared" si="36"/>
        <v>107.78016</v>
      </c>
    </row>
    <row r="766" spans="1:10" x14ac:dyDescent="0.3">
      <c r="A766" s="96"/>
      <c r="B766" s="266" t="s">
        <v>774</v>
      </c>
      <c r="C766" s="267"/>
      <c r="D766" s="268" t="s">
        <v>589</v>
      </c>
      <c r="E766" s="264">
        <v>1485</v>
      </c>
      <c r="I766" s="328">
        <f t="shared" si="37"/>
        <v>332.9667</v>
      </c>
      <c r="J766" s="328">
        <f t="shared" si="36"/>
        <v>175.4973</v>
      </c>
    </row>
    <row r="767" spans="1:10" x14ac:dyDescent="0.3">
      <c r="A767" s="96"/>
      <c r="B767" s="266" t="s">
        <v>775</v>
      </c>
      <c r="C767" s="267"/>
      <c r="D767" s="268" t="s">
        <v>591</v>
      </c>
      <c r="E767" s="264">
        <v>2685</v>
      </c>
      <c r="I767" s="328">
        <f t="shared" si="37"/>
        <v>602.03070000000002</v>
      </c>
      <c r="J767" s="328">
        <f t="shared" si="36"/>
        <v>317.31329999999997</v>
      </c>
    </row>
    <row r="768" spans="1:10" x14ac:dyDescent="0.3">
      <c r="A768" s="96"/>
      <c r="B768" s="194"/>
      <c r="C768" s="4"/>
      <c r="D768" s="105"/>
      <c r="E768" s="7"/>
      <c r="I768" s="328">
        <f t="shared" si="37"/>
        <v>0</v>
      </c>
      <c r="J768" s="328">
        <f t="shared" si="36"/>
        <v>0</v>
      </c>
    </row>
    <row r="769" spans="1:10" x14ac:dyDescent="0.3">
      <c r="A769" s="96"/>
      <c r="B769" s="79" t="s">
        <v>134</v>
      </c>
      <c r="C769" s="4"/>
      <c r="E769" s="78"/>
      <c r="I769" s="328">
        <f t="shared" si="37"/>
        <v>0</v>
      </c>
      <c r="J769" s="328">
        <f t="shared" si="36"/>
        <v>0</v>
      </c>
    </row>
    <row r="770" spans="1:10" x14ac:dyDescent="0.3">
      <c r="A770" s="96"/>
      <c r="B770" s="27" t="s">
        <v>592</v>
      </c>
      <c r="C770" s="4"/>
      <c r="E770" s="78"/>
      <c r="I770" s="328">
        <f t="shared" si="37"/>
        <v>0</v>
      </c>
      <c r="J770" s="328">
        <f t="shared" si="36"/>
        <v>0</v>
      </c>
    </row>
    <row r="771" spans="1:10" x14ac:dyDescent="0.3">
      <c r="A771" s="96"/>
      <c r="B771" s="267" t="s">
        <v>717</v>
      </c>
      <c r="C771" s="267"/>
      <c r="D771" s="268" t="s">
        <v>594</v>
      </c>
      <c r="E771" s="264">
        <v>451</v>
      </c>
      <c r="I771" s="328">
        <f t="shared" si="37"/>
        <v>101.12322</v>
      </c>
      <c r="J771" s="328">
        <f t="shared" si="36"/>
        <v>53.29918</v>
      </c>
    </row>
    <row r="772" spans="1:10" x14ac:dyDescent="0.3">
      <c r="A772" s="96"/>
      <c r="B772" s="27" t="s">
        <v>597</v>
      </c>
      <c r="C772" s="4"/>
      <c r="E772" s="78"/>
      <c r="I772" s="328">
        <f t="shared" si="37"/>
        <v>0</v>
      </c>
      <c r="J772" s="328">
        <f t="shared" si="36"/>
        <v>0</v>
      </c>
    </row>
    <row r="773" spans="1:10" x14ac:dyDescent="0.3">
      <c r="A773" s="96"/>
      <c r="B773" s="267" t="s">
        <v>135</v>
      </c>
      <c r="C773" s="267"/>
      <c r="D773" s="268" t="s">
        <v>136</v>
      </c>
      <c r="E773" s="264">
        <v>192</v>
      </c>
      <c r="I773" s="328">
        <f t="shared" si="37"/>
        <v>43.050240000000002</v>
      </c>
      <c r="J773" s="328">
        <f t="shared" si="36"/>
        <v>22.690559999999998</v>
      </c>
    </row>
    <row r="774" spans="1:10" x14ac:dyDescent="0.3">
      <c r="A774" s="96"/>
      <c r="B774" s="267" t="s">
        <v>598</v>
      </c>
      <c r="C774" s="267"/>
      <c r="D774" s="268" t="s">
        <v>178</v>
      </c>
      <c r="E774" s="264">
        <v>400</v>
      </c>
      <c r="I774" s="328">
        <f t="shared" si="37"/>
        <v>89.688000000000002</v>
      </c>
      <c r="J774" s="328">
        <f t="shared" si="36"/>
        <v>47.271999999999998</v>
      </c>
    </row>
    <row r="775" spans="1:10" x14ac:dyDescent="0.3">
      <c r="A775" s="96"/>
      <c r="B775" s="261" t="s">
        <v>137</v>
      </c>
      <c r="C775" s="267"/>
      <c r="D775" s="268" t="s">
        <v>138</v>
      </c>
      <c r="E775" s="264">
        <v>510</v>
      </c>
      <c r="I775" s="328">
        <f t="shared" si="37"/>
        <v>114.3522</v>
      </c>
      <c r="J775" s="328">
        <f t="shared" si="36"/>
        <v>60.271799999999999</v>
      </c>
    </row>
    <row r="776" spans="1:10" x14ac:dyDescent="0.3">
      <c r="A776" s="96"/>
      <c r="B776" s="266" t="s">
        <v>433</v>
      </c>
      <c r="C776" s="267"/>
      <c r="D776" s="268" t="s">
        <v>232</v>
      </c>
      <c r="E776" s="264">
        <v>1291</v>
      </c>
      <c r="I776" s="328">
        <f t="shared" si="37"/>
        <v>289.46802000000002</v>
      </c>
      <c r="J776" s="328">
        <f t="shared" si="36"/>
        <v>152.57038</v>
      </c>
    </row>
    <row r="777" spans="1:10" x14ac:dyDescent="0.3">
      <c r="A777" s="96"/>
      <c r="B777" s="266" t="s">
        <v>435</v>
      </c>
      <c r="C777" s="267"/>
      <c r="D777" s="268" t="s">
        <v>234</v>
      </c>
      <c r="E777" s="264">
        <v>2266</v>
      </c>
      <c r="I777" s="328">
        <f t="shared" si="37"/>
        <v>508.08251999999999</v>
      </c>
      <c r="J777" s="328">
        <f t="shared" si="36"/>
        <v>267.79588000000001</v>
      </c>
    </row>
    <row r="778" spans="1:10" x14ac:dyDescent="0.3">
      <c r="B778" s="266" t="s">
        <v>437</v>
      </c>
      <c r="C778" s="267"/>
      <c r="D778" s="268" t="s">
        <v>236</v>
      </c>
      <c r="E778" s="264">
        <v>3708</v>
      </c>
      <c r="I778" s="328">
        <f t="shared" si="37"/>
        <v>831.40776000000005</v>
      </c>
      <c r="J778" s="328">
        <f t="shared" si="36"/>
        <v>438.21143999999998</v>
      </c>
    </row>
    <row r="779" spans="1:10" x14ac:dyDescent="0.3">
      <c r="A779" s="96"/>
      <c r="B779" s="266" t="s">
        <v>600</v>
      </c>
      <c r="C779" s="267"/>
      <c r="D779" s="268" t="s">
        <v>238</v>
      </c>
      <c r="E779" s="264">
        <v>6644</v>
      </c>
      <c r="I779" s="328">
        <f t="shared" si="37"/>
        <v>1489.71768</v>
      </c>
      <c r="J779" s="328">
        <f t="shared" si="36"/>
        <v>785.18791999999996</v>
      </c>
    </row>
    <row r="780" spans="1:10" x14ac:dyDescent="0.3">
      <c r="A780" s="96"/>
      <c r="B780" s="27" t="s">
        <v>239</v>
      </c>
      <c r="C780" s="4"/>
      <c r="E780" s="78"/>
      <c r="I780" s="328">
        <f t="shared" si="37"/>
        <v>0</v>
      </c>
      <c r="J780" s="328">
        <f t="shared" si="36"/>
        <v>0</v>
      </c>
    </row>
    <row r="781" spans="1:10" x14ac:dyDescent="0.3">
      <c r="A781" s="96"/>
      <c r="B781" s="266" t="s">
        <v>776</v>
      </c>
      <c r="C781" s="266"/>
      <c r="D781" s="268" t="s">
        <v>247</v>
      </c>
      <c r="E781" s="264">
        <v>1854</v>
      </c>
      <c r="I781" s="328">
        <f t="shared" si="37"/>
        <v>415.70388000000003</v>
      </c>
      <c r="J781" s="328">
        <f t="shared" si="36"/>
        <v>219.10571999999999</v>
      </c>
    </row>
    <row r="782" spans="1:10" x14ac:dyDescent="0.3">
      <c r="A782" s="96"/>
      <c r="B782" s="27" t="s">
        <v>601</v>
      </c>
      <c r="C782" s="4"/>
      <c r="E782" s="78"/>
      <c r="I782" s="328">
        <f t="shared" si="37"/>
        <v>0</v>
      </c>
      <c r="J782" s="328">
        <f t="shared" si="36"/>
        <v>0</v>
      </c>
    </row>
    <row r="783" spans="1:10" x14ac:dyDescent="0.3">
      <c r="A783" s="96"/>
      <c r="B783" s="266" t="s">
        <v>602</v>
      </c>
      <c r="C783" s="267"/>
      <c r="D783" s="268" t="s">
        <v>603</v>
      </c>
      <c r="E783" s="264">
        <v>2735</v>
      </c>
      <c r="I783" s="328">
        <f t="shared" si="37"/>
        <v>613.24170000000004</v>
      </c>
      <c r="J783" s="328">
        <f t="shared" si="36"/>
        <v>323.22229999999996</v>
      </c>
    </row>
    <row r="784" spans="1:10" x14ac:dyDescent="0.3">
      <c r="A784" s="96"/>
      <c r="B784" s="266" t="s">
        <v>604</v>
      </c>
      <c r="C784" s="267"/>
      <c r="D784" s="268" t="s">
        <v>605</v>
      </c>
      <c r="E784" s="264">
        <v>4685</v>
      </c>
      <c r="I784" s="328">
        <f t="shared" si="37"/>
        <v>1050.4707000000001</v>
      </c>
      <c r="J784" s="328">
        <f t="shared" si="36"/>
        <v>553.67329999999993</v>
      </c>
    </row>
    <row r="785" spans="1:10" x14ac:dyDescent="0.3">
      <c r="A785" s="96"/>
      <c r="B785" s="266" t="s">
        <v>606</v>
      </c>
      <c r="C785" s="267"/>
      <c r="D785" s="268" t="s">
        <v>607</v>
      </c>
      <c r="E785" s="264">
        <v>7569</v>
      </c>
      <c r="I785" s="328">
        <f t="shared" si="37"/>
        <v>1697.1211800000001</v>
      </c>
      <c r="J785" s="328">
        <f t="shared" si="36"/>
        <v>894.50441999999998</v>
      </c>
    </row>
    <row r="786" spans="1:10" x14ac:dyDescent="0.3">
      <c r="A786" s="96"/>
      <c r="B786" s="266" t="s">
        <v>608</v>
      </c>
      <c r="C786" s="267"/>
      <c r="D786" s="268" t="s">
        <v>609</v>
      </c>
      <c r="E786" s="264">
        <v>13440</v>
      </c>
      <c r="I786" s="328">
        <f t="shared" si="37"/>
        <v>3013.5167999999999</v>
      </c>
      <c r="J786" s="328">
        <f t="shared" si="36"/>
        <v>1588.3391999999999</v>
      </c>
    </row>
    <row r="787" spans="1:10" x14ac:dyDescent="0.3">
      <c r="A787" s="96"/>
      <c r="B787" s="79"/>
      <c r="C787" s="79"/>
      <c r="D787" s="198"/>
      <c r="E787" s="199"/>
      <c r="I787" s="328">
        <f t="shared" si="37"/>
        <v>0</v>
      </c>
      <c r="J787" s="328">
        <f t="shared" si="36"/>
        <v>0</v>
      </c>
    </row>
    <row r="788" spans="1:10" x14ac:dyDescent="0.3">
      <c r="A788" s="96"/>
      <c r="B788" s="86" t="s">
        <v>777</v>
      </c>
      <c r="C788" s="4"/>
      <c r="E788" s="78"/>
      <c r="I788" s="328">
        <f t="shared" si="37"/>
        <v>0</v>
      </c>
      <c r="J788" s="328">
        <f t="shared" si="36"/>
        <v>0</v>
      </c>
    </row>
    <row r="789" spans="1:10" x14ac:dyDescent="0.3">
      <c r="A789" s="96"/>
      <c r="B789" s="279" t="s">
        <v>778</v>
      </c>
      <c r="C789" s="279"/>
      <c r="D789" s="292" t="s">
        <v>779</v>
      </c>
      <c r="E789" s="264">
        <v>35</v>
      </c>
      <c r="I789" s="328">
        <f t="shared" si="37"/>
        <v>7.8476999999999997</v>
      </c>
      <c r="J789" s="328">
        <f t="shared" si="36"/>
        <v>4.1362999999999994</v>
      </c>
    </row>
    <row r="790" spans="1:10" x14ac:dyDescent="0.3">
      <c r="A790" s="96"/>
      <c r="B790" s="4"/>
      <c r="C790" s="4"/>
      <c r="E790" s="7"/>
      <c r="I790" s="328">
        <f t="shared" si="37"/>
        <v>0</v>
      </c>
      <c r="J790" s="328">
        <f t="shared" si="36"/>
        <v>0</v>
      </c>
    </row>
    <row r="791" spans="1:10" x14ac:dyDescent="0.3">
      <c r="A791" s="96"/>
      <c r="B791" s="86" t="s">
        <v>610</v>
      </c>
      <c r="C791" s="4"/>
      <c r="E791" s="78"/>
      <c r="I791" s="328">
        <f t="shared" si="37"/>
        <v>0</v>
      </c>
      <c r="J791" s="328">
        <f t="shared" si="36"/>
        <v>0</v>
      </c>
    </row>
    <row r="792" spans="1:10" x14ac:dyDescent="0.3">
      <c r="A792" s="96"/>
      <c r="B792" s="279" t="s">
        <v>611</v>
      </c>
      <c r="C792" s="279"/>
      <c r="D792" s="292" t="s">
        <v>612</v>
      </c>
      <c r="E792" s="264">
        <v>26</v>
      </c>
      <c r="I792" s="328">
        <f t="shared" si="37"/>
        <v>5.82972</v>
      </c>
      <c r="J792" s="328">
        <f t="shared" si="36"/>
        <v>3.0726799999999996</v>
      </c>
    </row>
    <row r="793" spans="1:10" x14ac:dyDescent="0.3">
      <c r="A793" s="96"/>
      <c r="B793" s="4"/>
      <c r="C793" s="4"/>
      <c r="E793" s="7"/>
      <c r="I793" s="328">
        <f t="shared" si="37"/>
        <v>0</v>
      </c>
      <c r="J793" s="328">
        <f t="shared" si="36"/>
        <v>0</v>
      </c>
    </row>
    <row r="794" spans="1:10" x14ac:dyDescent="0.3">
      <c r="A794" s="96"/>
      <c r="B794" s="86" t="s">
        <v>780</v>
      </c>
      <c r="C794" s="4"/>
      <c r="E794" s="213"/>
      <c r="I794" s="328">
        <f t="shared" si="37"/>
        <v>0</v>
      </c>
      <c r="J794" s="328">
        <f t="shared" si="36"/>
        <v>0</v>
      </c>
    </row>
    <row r="795" spans="1:10" x14ac:dyDescent="0.3">
      <c r="A795" s="96"/>
      <c r="B795" s="279" t="s">
        <v>781</v>
      </c>
      <c r="C795" s="267"/>
      <c r="D795" s="292" t="s">
        <v>154</v>
      </c>
      <c r="E795" s="264">
        <v>35</v>
      </c>
      <c r="I795" s="328">
        <f t="shared" si="37"/>
        <v>7.8476999999999997</v>
      </c>
      <c r="J795" s="328">
        <f t="shared" si="36"/>
        <v>4.1362999999999994</v>
      </c>
    </row>
    <row r="796" spans="1:10" x14ac:dyDescent="0.3">
      <c r="A796" s="96"/>
      <c r="B796" s="279" t="s">
        <v>615</v>
      </c>
      <c r="C796" s="279"/>
      <c r="D796" s="292" t="s">
        <v>616</v>
      </c>
      <c r="E796" s="264">
        <v>234</v>
      </c>
      <c r="I796" s="328">
        <f t="shared" si="37"/>
        <v>52.467480000000002</v>
      </c>
      <c r="J796" s="328">
        <f t="shared" si="36"/>
        <v>27.654119999999999</v>
      </c>
    </row>
    <row r="797" spans="1:10" x14ac:dyDescent="0.3">
      <c r="A797" s="96"/>
      <c r="B797" s="4"/>
      <c r="C797" s="4"/>
      <c r="E797" s="7"/>
      <c r="I797" s="328">
        <f t="shared" si="37"/>
        <v>0</v>
      </c>
      <c r="J797" s="328">
        <f t="shared" si="36"/>
        <v>0</v>
      </c>
    </row>
    <row r="798" spans="1:10" x14ac:dyDescent="0.3">
      <c r="A798" s="96"/>
      <c r="B798" s="86" t="s">
        <v>782</v>
      </c>
      <c r="C798" s="4"/>
      <c r="E798" s="213"/>
      <c r="I798" s="328">
        <f t="shared" si="37"/>
        <v>0</v>
      </c>
      <c r="J798" s="328">
        <f t="shared" si="36"/>
        <v>0</v>
      </c>
    </row>
    <row r="799" spans="1:10" x14ac:dyDescent="0.3">
      <c r="A799" s="96"/>
      <c r="B799" s="279" t="s">
        <v>618</v>
      </c>
      <c r="C799" s="279"/>
      <c r="D799" s="292" t="s">
        <v>619</v>
      </c>
      <c r="E799" s="264">
        <v>40</v>
      </c>
      <c r="I799" s="328">
        <f t="shared" si="37"/>
        <v>8.9687999999999999</v>
      </c>
      <c r="J799" s="328">
        <f t="shared" si="36"/>
        <v>4.7271999999999998</v>
      </c>
    </row>
    <row r="800" spans="1:10" x14ac:dyDescent="0.3">
      <c r="A800" s="96"/>
      <c r="B800" s="86"/>
      <c r="C800" s="4"/>
      <c r="E800" s="7"/>
      <c r="I800" s="328">
        <f t="shared" si="37"/>
        <v>0</v>
      </c>
      <c r="J800" s="328">
        <f t="shared" si="36"/>
        <v>0</v>
      </c>
    </row>
    <row r="801" spans="1:10" x14ac:dyDescent="0.3">
      <c r="A801" s="96"/>
      <c r="B801" s="86" t="s">
        <v>783</v>
      </c>
      <c r="C801" s="4"/>
      <c r="E801" s="213"/>
      <c r="I801" s="328">
        <f t="shared" si="37"/>
        <v>0</v>
      </c>
      <c r="J801" s="328">
        <f t="shared" si="36"/>
        <v>0</v>
      </c>
    </row>
    <row r="802" spans="1:10" x14ac:dyDescent="0.3">
      <c r="A802" s="96"/>
      <c r="B802" s="279" t="s">
        <v>263</v>
      </c>
      <c r="C802" s="279"/>
      <c r="D802" s="292" t="s">
        <v>624</v>
      </c>
      <c r="E802" s="264">
        <v>18</v>
      </c>
      <c r="I802" s="328">
        <f t="shared" si="37"/>
        <v>4.0359600000000002</v>
      </c>
      <c r="J802" s="328">
        <f t="shared" si="36"/>
        <v>2.12724</v>
      </c>
    </row>
    <row r="803" spans="1:10" x14ac:dyDescent="0.3">
      <c r="A803" s="96"/>
      <c r="B803" s="4"/>
      <c r="C803" s="4"/>
      <c r="E803" s="7"/>
      <c r="I803" s="328">
        <f t="shared" si="37"/>
        <v>0</v>
      </c>
      <c r="J803" s="328">
        <f t="shared" si="36"/>
        <v>0</v>
      </c>
    </row>
    <row r="804" spans="1:10" x14ac:dyDescent="0.3">
      <c r="A804" s="96"/>
      <c r="B804" s="86" t="s">
        <v>163</v>
      </c>
      <c r="C804" s="4"/>
      <c r="E804" s="78"/>
      <c r="I804" s="328">
        <f t="shared" si="37"/>
        <v>0</v>
      </c>
      <c r="J804" s="328">
        <f t="shared" si="36"/>
        <v>0</v>
      </c>
    </row>
    <row r="805" spans="1:10" x14ac:dyDescent="0.3">
      <c r="A805" s="96"/>
      <c r="B805" s="279" t="s">
        <v>164</v>
      </c>
      <c r="C805" s="279"/>
      <c r="D805" s="292" t="s">
        <v>625</v>
      </c>
      <c r="E805" s="264">
        <v>0</v>
      </c>
      <c r="I805" s="328">
        <f t="shared" si="37"/>
        <v>0</v>
      </c>
      <c r="J805" s="328">
        <f t="shared" si="36"/>
        <v>0</v>
      </c>
    </row>
    <row r="806" spans="1:10" x14ac:dyDescent="0.3">
      <c r="I806" s="328">
        <f t="shared" si="37"/>
        <v>0</v>
      </c>
      <c r="J806" s="328">
        <f t="shared" si="36"/>
        <v>0</v>
      </c>
    </row>
    <row r="807" spans="1:10" x14ac:dyDescent="0.3">
      <c r="I807" s="328">
        <f t="shared" si="37"/>
        <v>0</v>
      </c>
      <c r="J807" s="328">
        <f t="shared" si="36"/>
        <v>0</v>
      </c>
    </row>
    <row r="808" spans="1:10" x14ac:dyDescent="0.3">
      <c r="B808" s="131" t="s">
        <v>784</v>
      </c>
      <c r="C808" s="131"/>
      <c r="D808" s="133"/>
      <c r="E808" s="133"/>
      <c r="I808" s="328">
        <f t="shared" si="37"/>
        <v>0</v>
      </c>
      <c r="J808" s="328">
        <f t="shared" si="36"/>
        <v>0</v>
      </c>
    </row>
    <row r="809" spans="1:10" x14ac:dyDescent="0.3">
      <c r="B809" s="23" t="s">
        <v>107</v>
      </c>
      <c r="E809" s="7"/>
      <c r="I809" s="328">
        <f t="shared" si="37"/>
        <v>0</v>
      </c>
      <c r="J809" s="328">
        <f t="shared" si="36"/>
        <v>0</v>
      </c>
    </row>
    <row r="810" spans="1:10" x14ac:dyDescent="0.3">
      <c r="A810" s="105"/>
      <c r="B810" s="267" t="s">
        <v>785</v>
      </c>
      <c r="C810" s="266"/>
      <c r="D810" s="268" t="s">
        <v>786</v>
      </c>
      <c r="E810" s="264">
        <v>1452</v>
      </c>
      <c r="I810" s="328">
        <f t="shared" si="37"/>
        <v>325.56743999999998</v>
      </c>
      <c r="J810" s="328">
        <f t="shared" si="36"/>
        <v>171.59735999999998</v>
      </c>
    </row>
    <row r="811" spans="1:10" x14ac:dyDescent="0.3">
      <c r="A811" s="105"/>
      <c r="B811" s="267" t="s">
        <v>787</v>
      </c>
      <c r="C811" s="266"/>
      <c r="D811" s="268" t="s">
        <v>788</v>
      </c>
      <c r="E811" s="264">
        <v>2997</v>
      </c>
      <c r="I811" s="328">
        <f t="shared" si="37"/>
        <v>671.98734000000002</v>
      </c>
      <c r="J811" s="328">
        <f t="shared" si="36"/>
        <v>354.18545999999998</v>
      </c>
    </row>
    <row r="812" spans="1:10" x14ac:dyDescent="0.3">
      <c r="A812" s="105"/>
      <c r="B812" s="267" t="s">
        <v>789</v>
      </c>
      <c r="C812" s="266"/>
      <c r="D812" s="268" t="s">
        <v>790</v>
      </c>
      <c r="E812" s="264">
        <v>5226</v>
      </c>
      <c r="I812" s="328">
        <f t="shared" si="37"/>
        <v>1171.7737199999999</v>
      </c>
      <c r="J812" s="328">
        <f t="shared" si="36"/>
        <v>617.60867999999994</v>
      </c>
    </row>
    <row r="813" spans="1:10" x14ac:dyDescent="0.3">
      <c r="A813" s="105"/>
      <c r="B813" s="267" t="s">
        <v>791</v>
      </c>
      <c r="C813" s="266"/>
      <c r="D813" s="268" t="s">
        <v>792</v>
      </c>
      <c r="E813" s="264">
        <v>4120</v>
      </c>
      <c r="I813" s="328">
        <f t="shared" si="37"/>
        <v>923.78639999999996</v>
      </c>
      <c r="J813" s="328">
        <f t="shared" si="36"/>
        <v>486.90159999999997</v>
      </c>
    </row>
    <row r="814" spans="1:10" x14ac:dyDescent="0.3">
      <c r="B814" s="6"/>
      <c r="C814" s="107"/>
      <c r="D814" s="18"/>
      <c r="E814" s="18"/>
      <c r="I814" s="328">
        <f t="shared" si="37"/>
        <v>0</v>
      </c>
      <c r="J814" s="328">
        <f t="shared" ref="J814:J877" si="38">E814*$J$3</f>
        <v>0</v>
      </c>
    </row>
    <row r="815" spans="1:10" x14ac:dyDescent="0.3">
      <c r="B815" s="19" t="s">
        <v>114</v>
      </c>
      <c r="D815" s="32"/>
      <c r="E815" s="32"/>
      <c r="I815" s="328">
        <f t="shared" si="37"/>
        <v>0</v>
      </c>
      <c r="J815" s="328">
        <f t="shared" si="38"/>
        <v>0</v>
      </c>
    </row>
    <row r="816" spans="1:10" x14ac:dyDescent="0.3">
      <c r="B816" s="267" t="s">
        <v>645</v>
      </c>
      <c r="C816" s="279"/>
      <c r="D816" s="268" t="s">
        <v>646</v>
      </c>
      <c r="E816" s="264">
        <v>470</v>
      </c>
      <c r="I816" s="328">
        <f t="shared" si="37"/>
        <v>105.38339999999999</v>
      </c>
      <c r="J816" s="328">
        <f t="shared" si="38"/>
        <v>55.544599999999996</v>
      </c>
    </row>
    <row r="817" spans="2:10" x14ac:dyDescent="0.3">
      <c r="B817" s="267" t="s">
        <v>793</v>
      </c>
      <c r="C817" s="266"/>
      <c r="D817" s="283" t="s">
        <v>794</v>
      </c>
      <c r="E817" s="264">
        <v>1096</v>
      </c>
      <c r="I817" s="328">
        <f t="shared" ref="I817:I880" si="39">E817*$I$3</f>
        <v>245.74512000000001</v>
      </c>
      <c r="J817" s="328">
        <f t="shared" si="38"/>
        <v>129.52527999999998</v>
      </c>
    </row>
    <row r="818" spans="2:10" x14ac:dyDescent="0.3">
      <c r="B818" s="267" t="s">
        <v>651</v>
      </c>
      <c r="C818" s="290"/>
      <c r="D818" s="283" t="s">
        <v>652</v>
      </c>
      <c r="E818" s="264">
        <v>1623</v>
      </c>
      <c r="I818" s="328">
        <f t="shared" si="39"/>
        <v>363.90906000000001</v>
      </c>
      <c r="J818" s="328">
        <f t="shared" si="38"/>
        <v>191.80614</v>
      </c>
    </row>
    <row r="819" spans="2:10" x14ac:dyDescent="0.3">
      <c r="B819" s="267" t="s">
        <v>653</v>
      </c>
      <c r="C819" s="290"/>
      <c r="D819" s="283" t="s">
        <v>654</v>
      </c>
      <c r="E819" s="264">
        <v>2052</v>
      </c>
      <c r="I819" s="328">
        <f t="shared" si="39"/>
        <v>460.09944000000002</v>
      </c>
      <c r="J819" s="328">
        <f t="shared" si="38"/>
        <v>242.50536</v>
      </c>
    </row>
    <row r="820" spans="2:10" x14ac:dyDescent="0.3">
      <c r="B820" s="267" t="s">
        <v>655</v>
      </c>
      <c r="C820" s="279"/>
      <c r="D820" s="283" t="s">
        <v>656</v>
      </c>
      <c r="E820" s="264">
        <v>3930</v>
      </c>
      <c r="I820" s="328">
        <f t="shared" si="39"/>
        <v>881.18460000000005</v>
      </c>
      <c r="J820" s="328">
        <f t="shared" si="38"/>
        <v>464.44739999999996</v>
      </c>
    </row>
    <row r="821" spans="2:10" x14ac:dyDescent="0.3">
      <c r="B821" s="267" t="s">
        <v>795</v>
      </c>
      <c r="C821" s="266"/>
      <c r="D821" s="283" t="s">
        <v>658</v>
      </c>
      <c r="E821" s="264">
        <v>6238</v>
      </c>
      <c r="I821" s="328">
        <f t="shared" si="39"/>
        <v>1398.68436</v>
      </c>
      <c r="J821" s="328">
        <f t="shared" si="38"/>
        <v>737.20683999999994</v>
      </c>
    </row>
    <row r="822" spans="2:10" s="6" customFormat="1" x14ac:dyDescent="0.3">
      <c r="B822" s="267" t="s">
        <v>659</v>
      </c>
      <c r="C822" s="266"/>
      <c r="D822" s="283" t="s">
        <v>660</v>
      </c>
      <c r="E822" s="264">
        <v>8545</v>
      </c>
      <c r="I822" s="328">
        <f t="shared" si="39"/>
        <v>1915.9599000000001</v>
      </c>
      <c r="J822" s="328">
        <f t="shared" si="38"/>
        <v>1009.8480999999999</v>
      </c>
    </row>
    <row r="823" spans="2:10" s="6" customFormat="1" x14ac:dyDescent="0.3">
      <c r="B823" s="267" t="s">
        <v>796</v>
      </c>
      <c r="C823" s="266"/>
      <c r="D823" s="283" t="s">
        <v>797</v>
      </c>
      <c r="E823" s="264">
        <v>13159</v>
      </c>
      <c r="I823" s="328">
        <f t="shared" si="39"/>
        <v>2950.51098</v>
      </c>
      <c r="J823" s="328">
        <f t="shared" si="38"/>
        <v>1555.1306199999999</v>
      </c>
    </row>
    <row r="824" spans="2:10" s="6" customFormat="1" x14ac:dyDescent="0.3">
      <c r="B824" s="267" t="s">
        <v>798</v>
      </c>
      <c r="C824" s="266"/>
      <c r="D824" s="283" t="s">
        <v>799</v>
      </c>
      <c r="E824" s="264">
        <v>17774</v>
      </c>
      <c r="I824" s="328">
        <f t="shared" si="39"/>
        <v>3985.2862800000003</v>
      </c>
      <c r="J824" s="328">
        <f t="shared" si="38"/>
        <v>2100.5313200000001</v>
      </c>
    </row>
    <row r="825" spans="2:10" s="6" customFormat="1" x14ac:dyDescent="0.3">
      <c r="B825" s="267" t="s">
        <v>800</v>
      </c>
      <c r="C825" s="266"/>
      <c r="D825" s="108" t="s">
        <v>801</v>
      </c>
      <c r="E825" s="264">
        <v>56172</v>
      </c>
      <c r="I825" s="328">
        <f t="shared" si="39"/>
        <v>12594.885840000001</v>
      </c>
      <c r="J825" s="328">
        <f t="shared" si="38"/>
        <v>6638.4069599999993</v>
      </c>
    </row>
    <row r="826" spans="2:10" s="6" customFormat="1" x14ac:dyDescent="0.3">
      <c r="B826" s="267" t="s">
        <v>667</v>
      </c>
      <c r="C826" s="266"/>
      <c r="D826" s="108" t="s">
        <v>668</v>
      </c>
      <c r="E826" s="264">
        <v>75124</v>
      </c>
      <c r="I826" s="328">
        <f t="shared" si="39"/>
        <v>16844.30328</v>
      </c>
      <c r="J826" s="328">
        <f t="shared" si="38"/>
        <v>8878.1543199999996</v>
      </c>
    </row>
    <row r="827" spans="2:10" x14ac:dyDescent="0.3">
      <c r="B827" s="6"/>
      <c r="D827" s="18"/>
      <c r="E827" s="18"/>
      <c r="I827" s="328">
        <f t="shared" si="39"/>
        <v>0</v>
      </c>
      <c r="J827" s="328">
        <f t="shared" si="38"/>
        <v>0</v>
      </c>
    </row>
    <row r="828" spans="2:10" x14ac:dyDescent="0.3">
      <c r="B828" s="19" t="s">
        <v>669</v>
      </c>
      <c r="C828" s="23"/>
      <c r="D828" s="109"/>
      <c r="E828" s="109"/>
      <c r="I828" s="328">
        <f t="shared" si="39"/>
        <v>0</v>
      </c>
      <c r="J828" s="328">
        <f t="shared" si="38"/>
        <v>0</v>
      </c>
    </row>
    <row r="829" spans="2:10" x14ac:dyDescent="0.3">
      <c r="B829" s="27" t="s">
        <v>802</v>
      </c>
      <c r="C829" s="27"/>
      <c r="D829" s="55"/>
      <c r="E829" s="55"/>
      <c r="I829" s="328">
        <f t="shared" si="39"/>
        <v>0</v>
      </c>
      <c r="J829" s="328">
        <f t="shared" si="38"/>
        <v>0</v>
      </c>
    </row>
    <row r="830" spans="2:10" x14ac:dyDescent="0.3">
      <c r="B830" s="267" t="s">
        <v>803</v>
      </c>
      <c r="C830" s="279"/>
      <c r="D830" s="155" t="s">
        <v>544</v>
      </c>
      <c r="E830" s="264">
        <v>73</v>
      </c>
      <c r="I830" s="328">
        <f t="shared" si="39"/>
        <v>16.36806</v>
      </c>
      <c r="J830" s="328">
        <f t="shared" si="38"/>
        <v>8.6271399999999989</v>
      </c>
    </row>
    <row r="831" spans="2:10" x14ac:dyDescent="0.3">
      <c r="B831" s="267" t="s">
        <v>670</v>
      </c>
      <c r="C831" s="279"/>
      <c r="D831" s="268" t="s">
        <v>545</v>
      </c>
      <c r="E831" s="264">
        <v>221</v>
      </c>
      <c r="I831" s="328">
        <f t="shared" si="39"/>
        <v>49.552619999999997</v>
      </c>
      <c r="J831" s="328">
        <f t="shared" si="38"/>
        <v>26.11778</v>
      </c>
    </row>
    <row r="832" spans="2:10" x14ac:dyDescent="0.3">
      <c r="B832" s="267" t="s">
        <v>672</v>
      </c>
      <c r="C832" s="279"/>
      <c r="D832" s="268" t="s">
        <v>426</v>
      </c>
      <c r="E832" s="264">
        <v>521</v>
      </c>
      <c r="I832" s="328">
        <f t="shared" si="39"/>
        <v>116.81862</v>
      </c>
      <c r="J832" s="328">
        <f t="shared" si="38"/>
        <v>61.571779999999997</v>
      </c>
    </row>
    <row r="833" spans="2:10" x14ac:dyDescent="0.3">
      <c r="B833" s="267" t="s">
        <v>804</v>
      </c>
      <c r="C833" s="279"/>
      <c r="D833" s="268" t="s">
        <v>805</v>
      </c>
      <c r="E833" s="264">
        <v>133</v>
      </c>
      <c r="I833" s="328">
        <f t="shared" si="39"/>
        <v>29.821259999999999</v>
      </c>
      <c r="J833" s="328">
        <f t="shared" si="38"/>
        <v>15.717939999999999</v>
      </c>
    </row>
    <row r="834" spans="2:10" x14ac:dyDescent="0.3">
      <c r="B834" s="267" t="s">
        <v>580</v>
      </c>
      <c r="C834" s="279"/>
      <c r="D834" s="268" t="s">
        <v>806</v>
      </c>
      <c r="E834" s="264">
        <v>279</v>
      </c>
      <c r="I834" s="328">
        <f t="shared" si="39"/>
        <v>62.557380000000002</v>
      </c>
      <c r="J834" s="328">
        <f t="shared" si="38"/>
        <v>32.97222</v>
      </c>
    </row>
    <row r="835" spans="2:10" x14ac:dyDescent="0.3">
      <c r="B835" s="267" t="s">
        <v>676</v>
      </c>
      <c r="C835" s="279"/>
      <c r="D835" s="268" t="s">
        <v>807</v>
      </c>
      <c r="E835" s="264">
        <v>571</v>
      </c>
      <c r="I835" s="328">
        <f t="shared" si="39"/>
        <v>128.02961999999999</v>
      </c>
      <c r="J835" s="328">
        <f t="shared" si="38"/>
        <v>67.480779999999996</v>
      </c>
    </row>
    <row r="836" spans="2:10" x14ac:dyDescent="0.3">
      <c r="B836" s="267" t="s">
        <v>678</v>
      </c>
      <c r="C836" s="279"/>
      <c r="D836" s="268" t="s">
        <v>808</v>
      </c>
      <c r="E836" s="264">
        <v>1171</v>
      </c>
      <c r="I836" s="328">
        <f t="shared" si="39"/>
        <v>262.56162</v>
      </c>
      <c r="J836" s="328">
        <f t="shared" si="38"/>
        <v>138.38878</v>
      </c>
    </row>
    <row r="837" spans="2:10" x14ac:dyDescent="0.3">
      <c r="B837" s="267" t="s">
        <v>680</v>
      </c>
      <c r="C837" s="279"/>
      <c r="D837" s="268" t="s">
        <v>809</v>
      </c>
      <c r="E837" s="264">
        <v>485</v>
      </c>
      <c r="I837" s="328">
        <f t="shared" si="39"/>
        <v>108.7467</v>
      </c>
      <c r="J837" s="328">
        <f t="shared" si="38"/>
        <v>57.317299999999996</v>
      </c>
    </row>
    <row r="838" spans="2:10" x14ac:dyDescent="0.3">
      <c r="B838" s="267" t="s">
        <v>682</v>
      </c>
      <c r="C838" s="279"/>
      <c r="D838" s="268" t="s">
        <v>810</v>
      </c>
      <c r="E838" s="264">
        <v>921</v>
      </c>
      <c r="I838" s="328">
        <f t="shared" si="39"/>
        <v>206.50662</v>
      </c>
      <c r="J838" s="328">
        <f t="shared" si="38"/>
        <v>108.84378</v>
      </c>
    </row>
    <row r="839" spans="2:10" x14ac:dyDescent="0.3">
      <c r="B839" s="267" t="s">
        <v>684</v>
      </c>
      <c r="C839" s="279"/>
      <c r="D839" s="268" t="s">
        <v>811</v>
      </c>
      <c r="E839" s="264">
        <v>1821</v>
      </c>
      <c r="I839" s="328">
        <f t="shared" si="39"/>
        <v>408.30462</v>
      </c>
      <c r="J839" s="328">
        <f t="shared" si="38"/>
        <v>215.20577999999998</v>
      </c>
    </row>
    <row r="840" spans="2:10" x14ac:dyDescent="0.3">
      <c r="B840" s="267" t="s">
        <v>686</v>
      </c>
      <c r="C840" s="279"/>
      <c r="D840" s="268" t="s">
        <v>812</v>
      </c>
      <c r="E840" s="264">
        <v>691</v>
      </c>
      <c r="I840" s="328">
        <f t="shared" si="39"/>
        <v>154.93602000000001</v>
      </c>
      <c r="J840" s="328">
        <f t="shared" si="38"/>
        <v>81.662379999999999</v>
      </c>
    </row>
    <row r="841" spans="2:10" x14ac:dyDescent="0.3">
      <c r="B841" s="267" t="s">
        <v>688</v>
      </c>
      <c r="C841" s="279"/>
      <c r="D841" s="268" t="s">
        <v>813</v>
      </c>
      <c r="E841" s="264">
        <v>1271</v>
      </c>
      <c r="I841" s="328">
        <f t="shared" si="39"/>
        <v>284.98362000000003</v>
      </c>
      <c r="J841" s="328">
        <f t="shared" si="38"/>
        <v>150.20677999999998</v>
      </c>
    </row>
    <row r="842" spans="2:10" x14ac:dyDescent="0.3">
      <c r="B842" s="267" t="s">
        <v>690</v>
      </c>
      <c r="C842" s="279"/>
      <c r="D842" s="268" t="s">
        <v>814</v>
      </c>
      <c r="E842" s="264">
        <v>1871</v>
      </c>
      <c r="I842" s="328">
        <f t="shared" si="39"/>
        <v>419.51562000000001</v>
      </c>
      <c r="J842" s="328">
        <f t="shared" si="38"/>
        <v>221.11478</v>
      </c>
    </row>
    <row r="843" spans="2:10" x14ac:dyDescent="0.3">
      <c r="B843" s="19" t="s">
        <v>815</v>
      </c>
      <c r="C843" s="4"/>
      <c r="D843" s="32"/>
      <c r="E843" s="32"/>
      <c r="I843" s="328">
        <f t="shared" si="39"/>
        <v>0</v>
      </c>
      <c r="J843" s="328">
        <f t="shared" si="38"/>
        <v>0</v>
      </c>
    </row>
    <row r="844" spans="2:10" x14ac:dyDescent="0.3">
      <c r="B844" s="267" t="s">
        <v>693</v>
      </c>
      <c r="C844" s="279"/>
      <c r="D844" s="268" t="s">
        <v>549</v>
      </c>
      <c r="E844" s="264">
        <v>115</v>
      </c>
      <c r="I844" s="328">
        <f t="shared" si="39"/>
        <v>25.785299999999999</v>
      </c>
      <c r="J844" s="328">
        <f t="shared" si="38"/>
        <v>13.5907</v>
      </c>
    </row>
    <row r="845" spans="2:10" x14ac:dyDescent="0.3">
      <c r="B845" s="267" t="s">
        <v>694</v>
      </c>
      <c r="C845" s="279"/>
      <c r="D845" s="268" t="s">
        <v>551</v>
      </c>
      <c r="E845" s="264">
        <v>115</v>
      </c>
      <c r="I845" s="328">
        <f t="shared" si="39"/>
        <v>25.785299999999999</v>
      </c>
      <c r="J845" s="328">
        <f t="shared" si="38"/>
        <v>13.5907</v>
      </c>
    </row>
    <row r="846" spans="2:10" x14ac:dyDescent="0.3">
      <c r="B846" s="267" t="s">
        <v>816</v>
      </c>
      <c r="C846" s="279"/>
      <c r="D846" s="268" t="s">
        <v>696</v>
      </c>
      <c r="E846" s="264">
        <v>198</v>
      </c>
      <c r="I846" s="328">
        <f t="shared" si="39"/>
        <v>44.395560000000003</v>
      </c>
      <c r="J846" s="328">
        <f t="shared" si="38"/>
        <v>23.399639999999998</v>
      </c>
    </row>
    <row r="847" spans="2:10" x14ac:dyDescent="0.3">
      <c r="B847" s="267" t="s">
        <v>697</v>
      </c>
      <c r="C847" s="279"/>
      <c r="D847" s="268" t="s">
        <v>698</v>
      </c>
      <c r="E847" s="264">
        <v>115</v>
      </c>
      <c r="I847" s="328">
        <f t="shared" si="39"/>
        <v>25.785299999999999</v>
      </c>
      <c r="J847" s="328">
        <f t="shared" si="38"/>
        <v>13.5907</v>
      </c>
    </row>
    <row r="848" spans="2:10" x14ac:dyDescent="0.3">
      <c r="B848" s="19" t="s">
        <v>817</v>
      </c>
      <c r="D848" s="32"/>
      <c r="E848" s="32"/>
      <c r="I848" s="328">
        <f t="shared" si="39"/>
        <v>0</v>
      </c>
      <c r="J848" s="328">
        <f t="shared" si="38"/>
        <v>0</v>
      </c>
    </row>
    <row r="849" spans="2:10" x14ac:dyDescent="0.3">
      <c r="B849" s="267" t="s">
        <v>554</v>
      </c>
      <c r="C849" s="267"/>
      <c r="D849" s="268" t="s">
        <v>555</v>
      </c>
      <c r="E849" s="264">
        <v>148</v>
      </c>
      <c r="I849" s="328">
        <f t="shared" si="39"/>
        <v>33.184559999999998</v>
      </c>
      <c r="J849" s="328">
        <f t="shared" si="38"/>
        <v>17.490639999999999</v>
      </c>
    </row>
    <row r="850" spans="2:10" x14ac:dyDescent="0.3">
      <c r="B850" s="291" t="s">
        <v>556</v>
      </c>
      <c r="C850" s="279"/>
      <c r="D850" s="268" t="s">
        <v>557</v>
      </c>
      <c r="E850" s="264">
        <v>229</v>
      </c>
      <c r="I850" s="328">
        <f t="shared" si="39"/>
        <v>51.346380000000003</v>
      </c>
      <c r="J850" s="328">
        <f t="shared" si="38"/>
        <v>27.063219999999998</v>
      </c>
    </row>
    <row r="851" spans="2:10" x14ac:dyDescent="0.3">
      <c r="B851" s="267" t="s">
        <v>558</v>
      </c>
      <c r="C851" s="279"/>
      <c r="D851" s="268" t="s">
        <v>559</v>
      </c>
      <c r="E851" s="264">
        <v>349</v>
      </c>
      <c r="I851" s="328">
        <f t="shared" si="39"/>
        <v>78.252780000000001</v>
      </c>
      <c r="J851" s="328">
        <f t="shared" si="38"/>
        <v>41.244819999999997</v>
      </c>
    </row>
    <row r="852" spans="2:10" x14ac:dyDescent="0.3">
      <c r="B852" s="19" t="s">
        <v>818</v>
      </c>
      <c r="C852" s="4"/>
      <c r="D852" s="32"/>
      <c r="E852" s="32"/>
      <c r="I852" s="328">
        <f t="shared" si="39"/>
        <v>0</v>
      </c>
      <c r="J852" s="328">
        <f t="shared" si="38"/>
        <v>0</v>
      </c>
    </row>
    <row r="853" spans="2:10" x14ac:dyDescent="0.3">
      <c r="B853" s="291" t="s">
        <v>819</v>
      </c>
      <c r="C853" s="279"/>
      <c r="D853" s="292" t="s">
        <v>820</v>
      </c>
      <c r="E853" s="264">
        <v>364</v>
      </c>
      <c r="I853" s="328">
        <f t="shared" si="39"/>
        <v>81.616079999999997</v>
      </c>
      <c r="J853" s="328">
        <f t="shared" si="38"/>
        <v>43.017519999999998</v>
      </c>
    </row>
    <row r="854" spans="2:10" x14ac:dyDescent="0.3">
      <c r="B854" s="19" t="s">
        <v>566</v>
      </c>
      <c r="C854" s="4"/>
      <c r="D854" s="32"/>
      <c r="E854" s="32"/>
      <c r="I854" s="328">
        <f t="shared" si="39"/>
        <v>0</v>
      </c>
      <c r="J854" s="328">
        <f t="shared" si="38"/>
        <v>0</v>
      </c>
    </row>
    <row r="855" spans="2:10" x14ac:dyDescent="0.3">
      <c r="B855" s="291" t="s">
        <v>569</v>
      </c>
      <c r="C855" s="279"/>
      <c r="D855" s="292" t="s">
        <v>570</v>
      </c>
      <c r="E855" s="264">
        <v>6</v>
      </c>
      <c r="I855" s="328">
        <f t="shared" si="39"/>
        <v>1.3453200000000001</v>
      </c>
      <c r="J855" s="328">
        <f t="shared" si="38"/>
        <v>0.70907999999999993</v>
      </c>
    </row>
    <row r="856" spans="2:10" x14ac:dyDescent="0.3">
      <c r="B856" s="291" t="s">
        <v>567</v>
      </c>
      <c r="C856" s="279"/>
      <c r="D856" s="292" t="s">
        <v>568</v>
      </c>
      <c r="E856" s="264">
        <v>6</v>
      </c>
      <c r="I856" s="328">
        <f t="shared" si="39"/>
        <v>1.3453200000000001</v>
      </c>
      <c r="J856" s="328">
        <f t="shared" si="38"/>
        <v>0.70907999999999993</v>
      </c>
    </row>
    <row r="857" spans="2:10" x14ac:dyDescent="0.3">
      <c r="B857" s="291" t="s">
        <v>821</v>
      </c>
      <c r="C857" s="279"/>
      <c r="D857" s="292" t="s">
        <v>572</v>
      </c>
      <c r="E857" s="264">
        <v>6</v>
      </c>
      <c r="I857" s="328">
        <f t="shared" si="39"/>
        <v>1.3453200000000001</v>
      </c>
      <c r="J857" s="328">
        <f t="shared" si="38"/>
        <v>0.70907999999999993</v>
      </c>
    </row>
    <row r="858" spans="2:10" x14ac:dyDescent="0.3">
      <c r="B858" s="291" t="s">
        <v>706</v>
      </c>
      <c r="C858" s="279"/>
      <c r="D858" s="57" t="s">
        <v>574</v>
      </c>
      <c r="E858" s="264">
        <v>6</v>
      </c>
      <c r="I858" s="328">
        <f t="shared" si="39"/>
        <v>1.3453200000000001</v>
      </c>
      <c r="J858" s="328">
        <f t="shared" si="38"/>
        <v>0.70907999999999993</v>
      </c>
    </row>
    <row r="859" spans="2:10" x14ac:dyDescent="0.3">
      <c r="B859" s="17"/>
      <c r="C859" s="4"/>
      <c r="D859" s="18"/>
      <c r="E859" s="18"/>
      <c r="I859" s="328">
        <f t="shared" si="39"/>
        <v>0</v>
      </c>
      <c r="J859" s="328">
        <f t="shared" si="38"/>
        <v>0</v>
      </c>
    </row>
    <row r="860" spans="2:10" x14ac:dyDescent="0.3">
      <c r="B860" s="19" t="s">
        <v>134</v>
      </c>
      <c r="C860" s="4"/>
      <c r="E860" s="7"/>
      <c r="I860" s="328">
        <f t="shared" si="39"/>
        <v>0</v>
      </c>
      <c r="J860" s="328">
        <f t="shared" si="38"/>
        <v>0</v>
      </c>
    </row>
    <row r="861" spans="2:10" x14ac:dyDescent="0.3">
      <c r="B861" s="27" t="s">
        <v>597</v>
      </c>
      <c r="C861" s="59"/>
      <c r="D861" s="59"/>
      <c r="E861" s="59"/>
      <c r="I861" s="328">
        <f t="shared" si="39"/>
        <v>0</v>
      </c>
      <c r="J861" s="328">
        <f t="shared" si="38"/>
        <v>0</v>
      </c>
    </row>
    <row r="862" spans="2:10" x14ac:dyDescent="0.3">
      <c r="B862" s="267" t="s">
        <v>135</v>
      </c>
      <c r="C862" s="279"/>
      <c r="D862" s="292" t="s">
        <v>822</v>
      </c>
      <c r="E862" s="264">
        <v>192</v>
      </c>
      <c r="I862" s="328">
        <f t="shared" si="39"/>
        <v>43.050240000000002</v>
      </c>
      <c r="J862" s="328">
        <f t="shared" si="38"/>
        <v>22.690559999999998</v>
      </c>
    </row>
    <row r="863" spans="2:10" s="6" customFormat="1" x14ac:dyDescent="0.3">
      <c r="B863" s="267" t="s">
        <v>718</v>
      </c>
      <c r="C863" s="267"/>
      <c r="D863" s="268" t="s">
        <v>823</v>
      </c>
      <c r="E863" s="264">
        <v>400</v>
      </c>
      <c r="I863" s="328">
        <f t="shared" si="39"/>
        <v>89.688000000000002</v>
      </c>
      <c r="J863" s="328">
        <f t="shared" si="38"/>
        <v>47.271999999999998</v>
      </c>
    </row>
    <row r="864" spans="2:10" s="6" customFormat="1" x14ac:dyDescent="0.3">
      <c r="B864" s="261" t="s">
        <v>137</v>
      </c>
      <c r="C864" s="297"/>
      <c r="D864" s="268" t="s">
        <v>138</v>
      </c>
      <c r="E864" s="264">
        <v>510</v>
      </c>
      <c r="I864" s="328">
        <f t="shared" si="39"/>
        <v>114.3522</v>
      </c>
      <c r="J864" s="328">
        <f t="shared" si="38"/>
        <v>60.271799999999999</v>
      </c>
    </row>
    <row r="865" spans="2:10" x14ac:dyDescent="0.3">
      <c r="B865" s="297" t="s">
        <v>433</v>
      </c>
      <c r="C865" s="297"/>
      <c r="D865" s="268" t="s">
        <v>232</v>
      </c>
      <c r="E865" s="264">
        <v>1291</v>
      </c>
      <c r="I865" s="328">
        <f t="shared" si="39"/>
        <v>289.46802000000002</v>
      </c>
      <c r="J865" s="328">
        <f t="shared" si="38"/>
        <v>152.57038</v>
      </c>
    </row>
    <row r="866" spans="2:10" x14ac:dyDescent="0.3">
      <c r="B866" s="266" t="s">
        <v>435</v>
      </c>
      <c r="C866" s="267"/>
      <c r="D866" s="268" t="s">
        <v>234</v>
      </c>
      <c r="E866" s="264">
        <v>2266</v>
      </c>
      <c r="I866" s="328">
        <f t="shared" si="39"/>
        <v>508.08251999999999</v>
      </c>
      <c r="J866" s="328">
        <f t="shared" si="38"/>
        <v>267.79588000000001</v>
      </c>
    </row>
    <row r="867" spans="2:10" x14ac:dyDescent="0.3">
      <c r="B867" s="266" t="s">
        <v>437</v>
      </c>
      <c r="C867" s="267"/>
      <c r="D867" s="268" t="s">
        <v>236</v>
      </c>
      <c r="E867" s="264">
        <v>3708</v>
      </c>
      <c r="I867" s="328">
        <f t="shared" si="39"/>
        <v>831.40776000000005</v>
      </c>
      <c r="J867" s="328">
        <f t="shared" si="38"/>
        <v>438.21143999999998</v>
      </c>
    </row>
    <row r="868" spans="2:10" x14ac:dyDescent="0.3">
      <c r="B868" s="266" t="s">
        <v>600</v>
      </c>
      <c r="C868" s="267"/>
      <c r="D868" s="268" t="s">
        <v>238</v>
      </c>
      <c r="E868" s="264">
        <v>6644</v>
      </c>
      <c r="I868" s="328">
        <f t="shared" si="39"/>
        <v>1489.71768</v>
      </c>
      <c r="J868" s="328">
        <f t="shared" si="38"/>
        <v>785.18791999999996</v>
      </c>
    </row>
    <row r="869" spans="2:10" x14ac:dyDescent="0.3">
      <c r="B869" s="266" t="s">
        <v>719</v>
      </c>
      <c r="C869" s="267"/>
      <c r="D869" s="268" t="s">
        <v>720</v>
      </c>
      <c r="E869" s="264">
        <v>14369</v>
      </c>
      <c r="I869" s="328">
        <f t="shared" si="39"/>
        <v>3221.81718</v>
      </c>
      <c r="J869" s="328">
        <f t="shared" si="38"/>
        <v>1698.12842</v>
      </c>
    </row>
    <row r="870" spans="2:10" x14ac:dyDescent="0.3">
      <c r="B870" s="27" t="s">
        <v>824</v>
      </c>
      <c r="C870" s="200"/>
      <c r="D870" s="56"/>
      <c r="E870" s="201"/>
      <c r="I870" s="328">
        <f t="shared" si="39"/>
        <v>0</v>
      </c>
      <c r="J870" s="328">
        <f t="shared" si="38"/>
        <v>0</v>
      </c>
    </row>
    <row r="871" spans="2:10" x14ac:dyDescent="0.3">
      <c r="B871" s="266" t="s">
        <v>722</v>
      </c>
      <c r="C871" s="267"/>
      <c r="D871" s="268" t="s">
        <v>603</v>
      </c>
      <c r="E871" s="264">
        <v>2735</v>
      </c>
      <c r="I871" s="328">
        <f t="shared" si="39"/>
        <v>613.24170000000004</v>
      </c>
      <c r="J871" s="328">
        <f t="shared" si="38"/>
        <v>323.22229999999996</v>
      </c>
    </row>
    <row r="872" spans="2:10" x14ac:dyDescent="0.3">
      <c r="B872" s="266" t="s">
        <v>723</v>
      </c>
      <c r="C872" s="267"/>
      <c r="D872" s="268" t="s">
        <v>605</v>
      </c>
      <c r="E872" s="264">
        <v>4685</v>
      </c>
      <c r="I872" s="328">
        <f t="shared" si="39"/>
        <v>1050.4707000000001</v>
      </c>
      <c r="J872" s="328">
        <f t="shared" si="38"/>
        <v>553.67329999999993</v>
      </c>
    </row>
    <row r="873" spans="2:10" x14ac:dyDescent="0.3">
      <c r="B873" s="266" t="s">
        <v>825</v>
      </c>
      <c r="C873" s="267"/>
      <c r="D873" s="268" t="s">
        <v>607</v>
      </c>
      <c r="E873" s="264">
        <v>7569</v>
      </c>
      <c r="I873" s="328">
        <f t="shared" si="39"/>
        <v>1697.1211800000001</v>
      </c>
      <c r="J873" s="328">
        <f t="shared" si="38"/>
        <v>894.50441999999998</v>
      </c>
    </row>
    <row r="874" spans="2:10" x14ac:dyDescent="0.3">
      <c r="B874" s="266" t="s">
        <v>826</v>
      </c>
      <c r="C874" s="267"/>
      <c r="D874" s="268" t="s">
        <v>609</v>
      </c>
      <c r="E874" s="264">
        <v>13440</v>
      </c>
      <c r="I874" s="328">
        <f t="shared" si="39"/>
        <v>3013.5167999999999</v>
      </c>
      <c r="J874" s="328">
        <f t="shared" si="38"/>
        <v>1588.3391999999999</v>
      </c>
    </row>
    <row r="875" spans="2:10" x14ac:dyDescent="0.3">
      <c r="B875" s="4"/>
      <c r="C875" s="4"/>
      <c r="D875" s="4"/>
      <c r="E875" s="4"/>
      <c r="I875" s="328">
        <f t="shared" si="39"/>
        <v>0</v>
      </c>
      <c r="J875" s="328">
        <f t="shared" si="38"/>
        <v>0</v>
      </c>
    </row>
    <row r="876" spans="2:10" x14ac:dyDescent="0.3">
      <c r="B876" s="19" t="s">
        <v>180</v>
      </c>
      <c r="C876" s="30"/>
      <c r="D876" s="32"/>
      <c r="E876" s="32"/>
      <c r="I876" s="328">
        <f t="shared" si="39"/>
        <v>0</v>
      </c>
      <c r="J876" s="328">
        <f t="shared" si="38"/>
        <v>0</v>
      </c>
    </row>
    <row r="877" spans="2:10" x14ac:dyDescent="0.3">
      <c r="B877" s="267" t="s">
        <v>827</v>
      </c>
      <c r="C877" s="279"/>
      <c r="D877" s="292" t="s">
        <v>828</v>
      </c>
      <c r="E877" s="264">
        <v>28</v>
      </c>
      <c r="I877" s="328">
        <f t="shared" si="39"/>
        <v>6.2781599999999997</v>
      </c>
      <c r="J877" s="328">
        <f t="shared" si="38"/>
        <v>3.30904</v>
      </c>
    </row>
    <row r="878" spans="2:10" x14ac:dyDescent="0.3">
      <c r="B878" s="17"/>
      <c r="C878" s="4"/>
      <c r="D878" s="18"/>
      <c r="E878" s="18"/>
      <c r="I878" s="328">
        <f t="shared" si="39"/>
        <v>0</v>
      </c>
      <c r="J878" s="328">
        <f t="shared" ref="J878:J903" si="40">E878*$J$3</f>
        <v>0</v>
      </c>
    </row>
    <row r="879" spans="2:10" x14ac:dyDescent="0.3">
      <c r="B879" s="19" t="s">
        <v>829</v>
      </c>
      <c r="C879" s="30"/>
      <c r="D879" s="32"/>
      <c r="E879" s="32"/>
      <c r="I879" s="328">
        <f t="shared" si="39"/>
        <v>0</v>
      </c>
      <c r="J879" s="328">
        <f t="shared" si="40"/>
        <v>0</v>
      </c>
    </row>
    <row r="880" spans="2:10" x14ac:dyDescent="0.3">
      <c r="B880" s="279" t="s">
        <v>830</v>
      </c>
      <c r="C880" s="279"/>
      <c r="D880" s="292" t="s">
        <v>831</v>
      </c>
      <c r="E880" s="264">
        <v>129</v>
      </c>
      <c r="I880" s="328">
        <f t="shared" si="39"/>
        <v>28.924379999999999</v>
      </c>
      <c r="J880" s="328">
        <f t="shared" si="40"/>
        <v>15.24522</v>
      </c>
    </row>
    <row r="881" spans="2:10" x14ac:dyDescent="0.3">
      <c r="B881" s="279" t="s">
        <v>832</v>
      </c>
      <c r="C881" s="279"/>
      <c r="D881" s="292" t="s">
        <v>833</v>
      </c>
      <c r="E881" s="264">
        <v>391</v>
      </c>
      <c r="I881" s="328">
        <f t="shared" ref="I881:I903" si="41">E881*$I$3</f>
        <v>87.670020000000008</v>
      </c>
      <c r="J881" s="328">
        <f t="shared" si="40"/>
        <v>46.208379999999998</v>
      </c>
    </row>
    <row r="882" spans="2:10" x14ac:dyDescent="0.3">
      <c r="B882" s="279" t="s">
        <v>834</v>
      </c>
      <c r="C882" s="279"/>
      <c r="D882" s="292" t="s">
        <v>835</v>
      </c>
      <c r="E882" s="264">
        <v>464</v>
      </c>
      <c r="I882" s="328">
        <f t="shared" si="41"/>
        <v>104.03808000000001</v>
      </c>
      <c r="J882" s="328">
        <f t="shared" si="40"/>
        <v>54.835519999999995</v>
      </c>
    </row>
    <row r="883" spans="2:10" x14ac:dyDescent="0.3">
      <c r="B883" s="6"/>
      <c r="C883" s="202"/>
      <c r="D883" s="57"/>
      <c r="E883" s="216"/>
      <c r="I883" s="328">
        <f t="shared" si="41"/>
        <v>0</v>
      </c>
      <c r="J883" s="328">
        <f t="shared" si="40"/>
        <v>0</v>
      </c>
    </row>
    <row r="884" spans="2:10" x14ac:dyDescent="0.3">
      <c r="B884" s="19" t="s">
        <v>836</v>
      </c>
      <c r="C884" s="4"/>
      <c r="D884" s="105"/>
      <c r="E884" s="72"/>
      <c r="I884" s="328">
        <f t="shared" si="41"/>
        <v>0</v>
      </c>
      <c r="J884" s="328">
        <f t="shared" si="40"/>
        <v>0</v>
      </c>
    </row>
    <row r="885" spans="2:10" x14ac:dyDescent="0.3">
      <c r="B885" s="267" t="s">
        <v>191</v>
      </c>
      <c r="C885" s="279"/>
      <c r="D885" s="292" t="s">
        <v>624</v>
      </c>
      <c r="E885" s="264">
        <v>18</v>
      </c>
      <c r="I885" s="328">
        <f t="shared" si="41"/>
        <v>4.0359600000000002</v>
      </c>
      <c r="J885" s="328">
        <f t="shared" si="40"/>
        <v>2.12724</v>
      </c>
    </row>
    <row r="886" spans="2:10" x14ac:dyDescent="0.3">
      <c r="B886" s="17"/>
      <c r="C886" s="4"/>
      <c r="D886" s="18"/>
      <c r="E886" s="18"/>
      <c r="I886" s="328">
        <f t="shared" si="41"/>
        <v>0</v>
      </c>
      <c r="J886" s="328">
        <f t="shared" si="40"/>
        <v>0</v>
      </c>
    </row>
    <row r="887" spans="2:10" x14ac:dyDescent="0.3">
      <c r="B887" s="17" t="s">
        <v>777</v>
      </c>
      <c r="C887" s="30"/>
      <c r="D887" s="32"/>
      <c r="E887" s="32"/>
      <c r="I887" s="328">
        <f t="shared" si="41"/>
        <v>0</v>
      </c>
      <c r="J887" s="328">
        <f t="shared" si="40"/>
        <v>0</v>
      </c>
    </row>
    <row r="888" spans="2:10" x14ac:dyDescent="0.3">
      <c r="B888" s="267" t="s">
        <v>837</v>
      </c>
      <c r="C888" s="279"/>
      <c r="D888" s="292" t="s">
        <v>838</v>
      </c>
      <c r="E888" s="264">
        <v>258</v>
      </c>
      <c r="I888" s="328">
        <f t="shared" si="41"/>
        <v>57.848759999999999</v>
      </c>
      <c r="J888" s="328">
        <f t="shared" si="40"/>
        <v>30.49044</v>
      </c>
    </row>
    <row r="889" spans="2:10" x14ac:dyDescent="0.3">
      <c r="B889" s="267" t="s">
        <v>839</v>
      </c>
      <c r="C889" s="279"/>
      <c r="D889" s="292" t="s">
        <v>840</v>
      </c>
      <c r="E889" s="264">
        <v>258</v>
      </c>
      <c r="I889" s="328">
        <f t="shared" si="41"/>
        <v>57.848759999999999</v>
      </c>
      <c r="J889" s="328">
        <f t="shared" si="40"/>
        <v>30.49044</v>
      </c>
    </row>
    <row r="890" spans="2:10" x14ac:dyDescent="0.3">
      <c r="B890" s="17"/>
      <c r="C890" s="4"/>
      <c r="D890" s="18"/>
      <c r="E890" s="18"/>
      <c r="I890" s="328">
        <f t="shared" si="41"/>
        <v>0</v>
      </c>
      <c r="J890" s="328">
        <f t="shared" si="40"/>
        <v>0</v>
      </c>
    </row>
    <row r="891" spans="2:10" x14ac:dyDescent="0.3">
      <c r="B891" s="17" t="s">
        <v>841</v>
      </c>
      <c r="C891" s="30"/>
      <c r="D891" s="32"/>
      <c r="E891" s="32"/>
      <c r="I891" s="328">
        <f t="shared" si="41"/>
        <v>0</v>
      </c>
      <c r="J891" s="328">
        <f t="shared" si="40"/>
        <v>0</v>
      </c>
    </row>
    <row r="892" spans="2:10" x14ac:dyDescent="0.3">
      <c r="B892" s="267" t="s">
        <v>842</v>
      </c>
      <c r="C892" s="279"/>
      <c r="D892" s="292" t="s">
        <v>843</v>
      </c>
      <c r="E892" s="264">
        <v>28</v>
      </c>
      <c r="I892" s="328">
        <f t="shared" si="41"/>
        <v>6.2781599999999997</v>
      </c>
      <c r="J892" s="328">
        <f t="shared" si="40"/>
        <v>3.30904</v>
      </c>
    </row>
    <row r="893" spans="2:10" x14ac:dyDescent="0.3">
      <c r="B893" s="267" t="s">
        <v>844</v>
      </c>
      <c r="C893" s="279"/>
      <c r="D893" s="292" t="s">
        <v>845</v>
      </c>
      <c r="E893" s="264">
        <v>52</v>
      </c>
      <c r="I893" s="328">
        <f t="shared" si="41"/>
        <v>11.65944</v>
      </c>
      <c r="J893" s="328">
        <f t="shared" si="40"/>
        <v>6.1453599999999993</v>
      </c>
    </row>
    <row r="894" spans="2:10" x14ac:dyDescent="0.3">
      <c r="B894" s="17"/>
      <c r="C894" s="4"/>
      <c r="D894" s="18"/>
      <c r="E894" s="18"/>
      <c r="I894" s="328">
        <f t="shared" si="41"/>
        <v>0</v>
      </c>
      <c r="J894" s="328">
        <f t="shared" si="40"/>
        <v>0</v>
      </c>
    </row>
    <row r="895" spans="2:10" x14ac:dyDescent="0.3">
      <c r="B895" s="19" t="s">
        <v>163</v>
      </c>
      <c r="C895" s="30"/>
      <c r="D895" s="32"/>
      <c r="E895" s="32"/>
      <c r="I895" s="328">
        <f t="shared" si="41"/>
        <v>0</v>
      </c>
      <c r="J895" s="328">
        <f t="shared" si="40"/>
        <v>0</v>
      </c>
    </row>
    <row r="896" spans="2:10" x14ac:dyDescent="0.3">
      <c r="B896" s="267" t="s">
        <v>164</v>
      </c>
      <c r="C896" s="279"/>
      <c r="D896" s="292" t="s">
        <v>625</v>
      </c>
      <c r="E896" s="264">
        <v>0</v>
      </c>
      <c r="I896" s="328">
        <f t="shared" si="41"/>
        <v>0</v>
      </c>
      <c r="J896" s="328">
        <f t="shared" si="40"/>
        <v>0</v>
      </c>
    </row>
    <row r="897" spans="2:10" x14ac:dyDescent="0.3">
      <c r="B897" s="17"/>
      <c r="C897" s="4"/>
      <c r="D897" s="18"/>
      <c r="E897" s="18"/>
      <c r="I897" s="328">
        <f t="shared" si="41"/>
        <v>0</v>
      </c>
      <c r="J897" s="328">
        <f t="shared" si="40"/>
        <v>0</v>
      </c>
    </row>
    <row r="898" spans="2:10" x14ac:dyDescent="0.3">
      <c r="B898" s="17" t="s">
        <v>846</v>
      </c>
      <c r="C898" s="30"/>
      <c r="D898" s="32"/>
      <c r="E898" s="32"/>
      <c r="I898" s="328">
        <f t="shared" si="41"/>
        <v>0</v>
      </c>
      <c r="J898" s="328">
        <f t="shared" si="40"/>
        <v>0</v>
      </c>
    </row>
    <row r="899" spans="2:10" x14ac:dyDescent="0.3">
      <c r="B899" s="267" t="s">
        <v>847</v>
      </c>
      <c r="C899" s="279"/>
      <c r="D899" s="292" t="s">
        <v>848</v>
      </c>
      <c r="E899" s="264">
        <v>58</v>
      </c>
      <c r="I899" s="328">
        <f t="shared" si="41"/>
        <v>13.004760000000001</v>
      </c>
      <c r="J899" s="328">
        <f t="shared" si="40"/>
        <v>6.8544399999999994</v>
      </c>
    </row>
    <row r="900" spans="2:10" x14ac:dyDescent="0.3">
      <c r="B900" s="267" t="s">
        <v>849</v>
      </c>
      <c r="C900" s="279"/>
      <c r="D900" s="292" t="s">
        <v>850</v>
      </c>
      <c r="E900" s="264">
        <v>85</v>
      </c>
      <c r="I900" s="328">
        <f t="shared" si="41"/>
        <v>19.058700000000002</v>
      </c>
      <c r="J900" s="328">
        <f t="shared" si="40"/>
        <v>10.045299999999999</v>
      </c>
    </row>
    <row r="901" spans="2:10" x14ac:dyDescent="0.3">
      <c r="B901" s="17"/>
      <c r="C901" s="4"/>
      <c r="D901" s="18"/>
      <c r="E901" s="18"/>
      <c r="I901" s="328">
        <f t="shared" si="41"/>
        <v>0</v>
      </c>
      <c r="J901" s="328">
        <f t="shared" si="40"/>
        <v>0</v>
      </c>
    </row>
    <row r="902" spans="2:10" x14ac:dyDescent="0.3">
      <c r="B902" s="17" t="s">
        <v>851</v>
      </c>
      <c r="C902" s="30"/>
      <c r="D902" s="32"/>
      <c r="E902" s="32"/>
      <c r="I902" s="328">
        <f t="shared" si="41"/>
        <v>0</v>
      </c>
      <c r="J902" s="328">
        <f t="shared" si="40"/>
        <v>0</v>
      </c>
    </row>
    <row r="903" spans="2:10" x14ac:dyDescent="0.3">
      <c r="B903" s="267" t="s">
        <v>852</v>
      </c>
      <c r="C903" s="279"/>
      <c r="D903" s="292" t="s">
        <v>853</v>
      </c>
      <c r="E903" s="264">
        <v>58</v>
      </c>
      <c r="I903" s="328">
        <f t="shared" si="41"/>
        <v>13.004760000000001</v>
      </c>
      <c r="J903" s="328">
        <f t="shared" si="40"/>
        <v>6.8544399999999994</v>
      </c>
    </row>
    <row r="904" spans="2:10" x14ac:dyDescent="0.3">
      <c r="B904" s="17"/>
      <c r="C904" s="4"/>
      <c r="D904" s="15"/>
      <c r="E904" s="15"/>
    </row>
    <row r="905" spans="2:10" x14ac:dyDescent="0.3">
      <c r="B905" s="17"/>
    </row>
    <row r="906" spans="2:10" x14ac:dyDescent="0.3">
      <c r="B906" s="17"/>
    </row>
    <row r="907" spans="2:10" x14ac:dyDescent="0.3">
      <c r="B907" s="17"/>
    </row>
    <row r="908" spans="2:10" x14ac:dyDescent="0.3">
      <c r="B908" s="17"/>
    </row>
    <row r="909" spans="2:10" x14ac:dyDescent="0.3">
      <c r="B909" s="17"/>
    </row>
    <row r="910" spans="2:10" x14ac:dyDescent="0.3">
      <c r="B910" s="17"/>
    </row>
    <row r="911" spans="2:10" x14ac:dyDescent="0.3">
      <c r="B911" s="17"/>
    </row>
    <row r="912" spans="2:10" x14ac:dyDescent="0.3">
      <c r="B912" s="17"/>
    </row>
    <row r="913" spans="2:5" x14ac:dyDescent="0.3">
      <c r="B913" s="17"/>
    </row>
    <row r="914" spans="2:5" x14ac:dyDescent="0.3">
      <c r="B914" s="17"/>
      <c r="C914" s="4"/>
      <c r="D914" s="4"/>
      <c r="E914" s="4"/>
    </row>
    <row r="915" spans="2:5" x14ac:dyDescent="0.3">
      <c r="B915" s="17"/>
      <c r="C915" s="4"/>
      <c r="D915" s="4"/>
      <c r="E915" s="4"/>
    </row>
    <row r="916" spans="2:5" x14ac:dyDescent="0.3">
      <c r="B916" s="17"/>
      <c r="C916" s="4"/>
      <c r="D916" s="4"/>
      <c r="E916" s="4"/>
    </row>
    <row r="917" spans="2:5" x14ac:dyDescent="0.3">
      <c r="B917" s="17"/>
      <c r="C917" s="4"/>
      <c r="D917" s="4"/>
      <c r="E917" s="4"/>
    </row>
    <row r="918" spans="2:5" x14ac:dyDescent="0.3">
      <c r="B918" s="17"/>
      <c r="C918" s="4"/>
      <c r="D918" s="4"/>
      <c r="E918" s="4"/>
    </row>
    <row r="919" spans="2:5" x14ac:dyDescent="0.3">
      <c r="B919" s="17"/>
      <c r="C919" s="4"/>
      <c r="D919" s="4"/>
      <c r="E919" s="4"/>
    </row>
    <row r="920" spans="2:5" x14ac:dyDescent="0.3">
      <c r="B920" s="17"/>
      <c r="C920" s="4"/>
      <c r="D920" s="4"/>
      <c r="E920" s="4"/>
    </row>
    <row r="921" spans="2:5" x14ac:dyDescent="0.3">
      <c r="B921" s="16"/>
      <c r="C921" s="4"/>
      <c r="D921" s="4"/>
      <c r="E921" s="4"/>
    </row>
  </sheetData>
  <sheetProtection sort="0" autoFilter="0" pivotTables="0"/>
  <dataConsolidate/>
  <mergeCells count="10">
    <mergeCell ref="B478:D478"/>
    <mergeCell ref="F3:G3"/>
    <mergeCell ref="F340:G340"/>
    <mergeCell ref="F471:G471"/>
    <mergeCell ref="B2:E2"/>
    <mergeCell ref="B3:E3"/>
    <mergeCell ref="B12:D12"/>
    <mergeCell ref="B340:D340"/>
    <mergeCell ref="B346:D346"/>
    <mergeCell ref="B471:D471"/>
  </mergeCells>
  <phoneticPr fontId="44" type="noConversion"/>
  <conditionalFormatting sqref="A295:A296">
    <cfRule type="cellIs" dxfId="238" priority="276" operator="greaterThan">
      <formula>#REF!</formula>
    </cfRule>
    <cfRule type="cellIs" dxfId="237" priority="277" operator="greaterThan">
      <formula>#REF!</formula>
    </cfRule>
    <cfRule type="cellIs" priority="278" operator="equal">
      <formula>#REF!</formula>
    </cfRule>
  </conditionalFormatting>
  <conditionalFormatting sqref="E645 E588:E590 E600:E601 E258:E261 E549:E550 E759 E207:E210 E662:E664 E61:E64 E338:E341 E115:E118 E345:E350 E806:E815 E711:E712 E904:E1048576 E494 E1 E415:E418 E469:E472 E477:E482 E484:E485 E757">
    <cfRule type="cellIs" dxfId="236" priority="273" operator="greaterThan">
      <formula>#REF!</formula>
    </cfRule>
    <cfRule type="cellIs" dxfId="235" priority="274" operator="greaterThan">
      <formula>#REF!</formula>
    </cfRule>
    <cfRule type="cellIs" priority="275" operator="equal">
      <formula>#REF!</formula>
    </cfRule>
  </conditionalFormatting>
  <conditionalFormatting sqref="D396">
    <cfRule type="duplicateValues" dxfId="234" priority="271"/>
  </conditionalFormatting>
  <conditionalFormatting sqref="D168">
    <cfRule type="duplicateValues" dxfId="233" priority="270"/>
  </conditionalFormatting>
  <conditionalFormatting sqref="D873:D1048576 D384:D395 D169:D174 D1 D176:D382 D397:D485 D867:D870 D92:D167 D493:D863 D4:D90">
    <cfRule type="duplicateValues" dxfId="232" priority="272"/>
  </conditionalFormatting>
  <conditionalFormatting sqref="D866">
    <cfRule type="duplicateValues" dxfId="231" priority="268"/>
  </conditionalFormatting>
  <conditionalFormatting sqref="D865">
    <cfRule type="duplicateValues" dxfId="230" priority="269"/>
  </conditionalFormatting>
  <conditionalFormatting sqref="D871:D872">
    <cfRule type="duplicateValues" dxfId="229" priority="267"/>
  </conditionalFormatting>
  <conditionalFormatting sqref="E41:E42 E48:E49 E51:E52 E54:E55 E58:E59">
    <cfRule type="cellIs" dxfId="228" priority="264" operator="greaterThan">
      <formula>#REF!</formula>
    </cfRule>
    <cfRule type="cellIs" dxfId="227" priority="265" operator="greaterThan">
      <formula>#REF!</formula>
    </cfRule>
    <cfRule type="cellIs" priority="266" operator="equal">
      <formula>#REF!</formula>
    </cfRule>
  </conditionalFormatting>
  <conditionalFormatting sqref="E14:E16 E20:E21 E25:E26 E30:E31 E36:E37">
    <cfRule type="cellIs" dxfId="226" priority="261" operator="greaterThan">
      <formula>#REF!</formula>
    </cfRule>
    <cfRule type="cellIs" dxfId="225" priority="262" operator="greaterThan">
      <formula>#REF!</formula>
    </cfRule>
    <cfRule type="cellIs" priority="263" operator="equal">
      <formula>#REF!</formula>
    </cfRule>
  </conditionalFormatting>
  <conditionalFormatting sqref="E5:E12">
    <cfRule type="cellIs" dxfId="224" priority="258" operator="greaterThan">
      <formula>#REF!</formula>
    </cfRule>
    <cfRule type="cellIs" dxfId="223" priority="259" operator="greaterThan">
      <formula>#REF!</formula>
    </cfRule>
    <cfRule type="cellIs" priority="260" operator="equal">
      <formula>#REF!</formula>
    </cfRule>
  </conditionalFormatting>
  <conditionalFormatting sqref="E17:E19">
    <cfRule type="cellIs" dxfId="222" priority="255" operator="greaterThan">
      <formula>#REF!</formula>
    </cfRule>
    <cfRule type="cellIs" dxfId="221" priority="256" operator="greaterThan">
      <formula>#REF!</formula>
    </cfRule>
    <cfRule type="cellIs" priority="257" operator="equal">
      <formula>#REF!</formula>
    </cfRule>
  </conditionalFormatting>
  <conditionalFormatting sqref="E60 E56:E57 E53 E50 E43:E47 E38:E40 E32:E34 E27:E28 E22:E24">
    <cfRule type="cellIs" dxfId="220" priority="252" operator="greaterThan">
      <formula>#REF!</formula>
    </cfRule>
    <cfRule type="cellIs" dxfId="219" priority="253" operator="greaterThan">
      <formula>#REF!</formula>
    </cfRule>
    <cfRule type="cellIs" priority="254" operator="equal">
      <formula>#REF!</formula>
    </cfRule>
  </conditionalFormatting>
  <conditionalFormatting sqref="D91">
    <cfRule type="duplicateValues" dxfId="218" priority="251"/>
  </conditionalFormatting>
  <conditionalFormatting sqref="E93:E94 E68:E69 E73:E74 E87:E88 E97:E98 E103:E104 E108:E109 E112:E113">
    <cfRule type="cellIs" dxfId="217" priority="248" operator="greaterThan">
      <formula>#REF!</formula>
    </cfRule>
    <cfRule type="cellIs" dxfId="216" priority="249" operator="greaterThan">
      <formula>#REF!</formula>
    </cfRule>
    <cfRule type="cellIs" priority="250" operator="equal">
      <formula>#REF!</formula>
    </cfRule>
  </conditionalFormatting>
  <conditionalFormatting sqref="E114 E110:E111 E105:E107 E99:E102 E95:E96 E89:E92 E84:E86 E75:E76 E70:E72 E65:E67">
    <cfRule type="cellIs" dxfId="215" priority="245" operator="greaterThan">
      <formula>#REF!</formula>
    </cfRule>
    <cfRule type="cellIs" dxfId="214" priority="246" operator="greaterThan">
      <formula>#REF!</formula>
    </cfRule>
    <cfRule type="cellIs" priority="247" operator="equal">
      <formula>#REF!</formula>
    </cfRule>
  </conditionalFormatting>
  <conditionalFormatting sqref="E124:E125 E130 E136:E137 E192 E163:E165">
    <cfRule type="cellIs" dxfId="213" priority="242" operator="greaterThan">
      <formula>#REF!</formula>
    </cfRule>
    <cfRule type="cellIs" dxfId="212" priority="243" operator="greaterThan">
      <formula>#REF!</formula>
    </cfRule>
    <cfRule type="cellIs" priority="244" operator="equal">
      <formula>#REF!</formula>
    </cfRule>
  </conditionalFormatting>
  <conditionalFormatting sqref="E177:E178 E172 E148:E149 E153 E157:E158 E160:E161 E181:E182 E187:E188 E190:E191 E193:E194 E196:E197 E200:E201 E204:E205">
    <cfRule type="cellIs" dxfId="211" priority="239" operator="greaterThan">
      <formula>#REF!</formula>
    </cfRule>
    <cfRule type="cellIs" dxfId="210" priority="240" operator="greaterThan">
      <formula>#REF!</formula>
    </cfRule>
    <cfRule type="cellIs" priority="241" operator="equal">
      <formula>#REF!</formula>
    </cfRule>
  </conditionalFormatting>
  <conditionalFormatting sqref="E206 E202:E203 E198:E199 E195 E189 E183:E186 E179:E180 E173:E176 E166:E171 E162 E159 E154:E156 E150:E152 E138:E139 E131:E135 E126:E129 E119:E123">
    <cfRule type="cellIs" dxfId="209" priority="236" operator="greaterThan">
      <formula>#REF!</formula>
    </cfRule>
    <cfRule type="cellIs" dxfId="208" priority="237" operator="greaterThan">
      <formula>#REF!</formula>
    </cfRule>
    <cfRule type="cellIs" priority="238" operator="equal">
      <formula>#REF!</formula>
    </cfRule>
  </conditionalFormatting>
  <conditionalFormatting sqref="E232:E233 E218:E219 E223:E224 E240:E241 E243:E244 E246:E247 E251:E252 E255:E256">
    <cfRule type="cellIs" dxfId="207" priority="233" operator="greaterThan">
      <formula>#REF!</formula>
    </cfRule>
    <cfRule type="cellIs" dxfId="206" priority="234" operator="greaterThan">
      <formula>#REF!</formula>
    </cfRule>
    <cfRule type="cellIs" priority="235" operator="equal">
      <formula>#REF!</formula>
    </cfRule>
  </conditionalFormatting>
  <conditionalFormatting sqref="E257 E253:E254 E248:E250 E245 E242 E234:E239 E225 E220:E222 E211:E217">
    <cfRule type="cellIs" dxfId="205" priority="230" operator="greaterThan">
      <formula>#REF!</formula>
    </cfRule>
    <cfRule type="cellIs" dxfId="204" priority="231" operator="greaterThan">
      <formula>#REF!</formula>
    </cfRule>
    <cfRule type="cellIs" priority="232" operator="equal">
      <formula>#REF!</formula>
    </cfRule>
  </conditionalFormatting>
  <conditionalFormatting sqref="E273:E274 E276:E277 E279:E280 E282:E283 E285:E288 E290:E291 E294 E297 E302:E303 E313:E314 E319:E320 E324:E325 E327:E328 E332:E333 E335:E336">
    <cfRule type="cellIs" dxfId="203" priority="227" operator="greaterThan">
      <formula>#REF!</formula>
    </cfRule>
    <cfRule type="cellIs" dxfId="202" priority="228" operator="greaterThan">
      <formula>#REF!</formula>
    </cfRule>
    <cfRule type="cellIs" priority="229" operator="equal">
      <formula>#REF!</formula>
    </cfRule>
  </conditionalFormatting>
  <conditionalFormatting sqref="E269:E270">
    <cfRule type="cellIs" dxfId="201" priority="224" operator="greaterThan">
      <formula>#REF!</formula>
    </cfRule>
    <cfRule type="cellIs" dxfId="200" priority="225" operator="greaterThan">
      <formula>#REF!</formula>
    </cfRule>
    <cfRule type="cellIs" priority="226" operator="equal">
      <formula>#REF!</formula>
    </cfRule>
  </conditionalFormatting>
  <conditionalFormatting sqref="E337 E334 E329:E331 E326 E321:E323 E315:E318 E304 E298:E301 E295:E296 E292:E293 E289 E284 E281 E278 E275 E271 E262:E268">
    <cfRule type="cellIs" dxfId="199" priority="221" operator="greaterThan">
      <formula>#REF!</formula>
    </cfRule>
    <cfRule type="cellIs" dxfId="198" priority="222" operator="greaterThan">
      <formula>#REF!</formula>
    </cfRule>
    <cfRule type="cellIs" priority="223" operator="equal">
      <formula>#REF!</formula>
    </cfRule>
  </conditionalFormatting>
  <conditionalFormatting sqref="E342:E344">
    <cfRule type="cellIs" dxfId="197" priority="218" operator="greaterThan">
      <formula>#REF!</formula>
    </cfRule>
    <cfRule type="cellIs" dxfId="196" priority="219" operator="greaterThan">
      <formula>#REF!</formula>
    </cfRule>
    <cfRule type="cellIs" priority="220" operator="equal">
      <formula>#REF!</formula>
    </cfRule>
  </conditionalFormatting>
  <conditionalFormatting sqref="E368 E354:E355 E359:E360 E372 E376:E377">
    <cfRule type="cellIs" dxfId="195" priority="215" operator="greaterThan">
      <formula>#REF!</formula>
    </cfRule>
    <cfRule type="cellIs" dxfId="194" priority="216" operator="greaterThan">
      <formula>#REF!</formula>
    </cfRule>
    <cfRule type="cellIs" priority="217" operator="equal">
      <formula>#REF!</formula>
    </cfRule>
  </conditionalFormatting>
  <conditionalFormatting sqref="E398:E399 E385:E386 E389:E390 E401:E402 E395 E404:E405 E408:E409 E412:E413">
    <cfRule type="cellIs" dxfId="193" priority="212" operator="greaterThan">
      <formula>#REF!</formula>
    </cfRule>
    <cfRule type="cellIs" dxfId="192" priority="213" operator="greaterThan">
      <formula>#REF!</formula>
    </cfRule>
    <cfRule type="cellIs" priority="214" operator="equal">
      <formula>#REF!</formula>
    </cfRule>
  </conditionalFormatting>
  <conditionalFormatting sqref="E396">
    <cfRule type="cellIs" dxfId="191" priority="209" operator="greaterThan">
      <formula>#REF!</formula>
    </cfRule>
    <cfRule type="cellIs" dxfId="190" priority="210" operator="greaterThan">
      <formula>#REF!</formula>
    </cfRule>
    <cfRule type="cellIs" priority="211" operator="equal">
      <formula>#REF!</formula>
    </cfRule>
  </conditionalFormatting>
  <conditionalFormatting sqref="E351:E353">
    <cfRule type="cellIs" dxfId="189" priority="206" operator="greaterThan">
      <formula>#REF!</formula>
    </cfRule>
    <cfRule type="cellIs" dxfId="188" priority="207" operator="greaterThan">
      <formula>#REF!</formula>
    </cfRule>
    <cfRule type="cellIs" priority="208" operator="equal">
      <formula>#REF!</formula>
    </cfRule>
  </conditionalFormatting>
  <conditionalFormatting sqref="E414 E410:E411 E406:E407 E403 E400 E397 E391:E394 E387:E388 E378:E384 E373:E375 E369:E371 E361 E356:E358">
    <cfRule type="cellIs" dxfId="187" priority="203" operator="greaterThan">
      <formula>#REF!</formula>
    </cfRule>
    <cfRule type="cellIs" dxfId="186" priority="204" operator="greaterThan">
      <formula>#REF!</formula>
    </cfRule>
    <cfRule type="cellIs" priority="205" operator="equal">
      <formula>#REF!</formula>
    </cfRule>
  </conditionalFormatting>
  <conditionalFormatting sqref="E420:E421 E424 E429:E430 E440:E441 E447:E448 E452:E453 E455:E456 E458:E459 E463:E464 E466:E467">
    <cfRule type="cellIs" dxfId="185" priority="200" operator="greaterThan">
      <formula>#REF!</formula>
    </cfRule>
    <cfRule type="cellIs" dxfId="184" priority="201" operator="greaterThan">
      <formula>#REF!</formula>
    </cfRule>
    <cfRule type="cellIs" priority="202" operator="equal">
      <formula>#REF!</formula>
    </cfRule>
  </conditionalFormatting>
  <conditionalFormatting sqref="E468 E465 E460:E462 E457 E454 E449:E451 E442:E446 E431 E425:E428 E422:E423 E419">
    <cfRule type="cellIs" dxfId="183" priority="197" operator="greaterThan">
      <formula>#REF!</formula>
    </cfRule>
    <cfRule type="cellIs" dxfId="182" priority="198" operator="greaterThan">
      <formula>#REF!</formula>
    </cfRule>
    <cfRule type="cellIs" priority="199" operator="equal">
      <formula>#REF!</formula>
    </cfRule>
  </conditionalFormatting>
  <conditionalFormatting sqref="E473:E476">
    <cfRule type="cellIs" dxfId="181" priority="194" operator="greaterThan">
      <formula>#REF!</formula>
    </cfRule>
    <cfRule type="cellIs" dxfId="180" priority="195" operator="greaterThan">
      <formula>#REF!</formula>
    </cfRule>
    <cfRule type="cellIs" priority="196" operator="equal">
      <formula>#REF!</formula>
    </cfRule>
  </conditionalFormatting>
  <conditionalFormatting sqref="E483">
    <cfRule type="cellIs" dxfId="179" priority="191" operator="greaterThan">
      <formula>#REF!</formula>
    </cfRule>
    <cfRule type="cellIs" dxfId="178" priority="192" operator="greaterThan">
      <formula>#REF!</formula>
    </cfRule>
    <cfRule type="cellIs" priority="193" operator="equal">
      <formula>#REF!</formula>
    </cfRule>
  </conditionalFormatting>
  <conditionalFormatting sqref="E538">
    <cfRule type="cellIs" dxfId="177" priority="188" operator="greaterThan">
      <formula>#REF!</formula>
    </cfRule>
    <cfRule type="cellIs" dxfId="176" priority="189" operator="greaterThan">
      <formula>#REF!</formula>
    </cfRule>
    <cfRule type="cellIs" priority="190" operator="equal">
      <formula>#REF!</formula>
    </cfRule>
  </conditionalFormatting>
  <conditionalFormatting sqref="E504:E506 E515 E518">
    <cfRule type="cellIs" dxfId="175" priority="185" operator="greaterThan">
      <formula>#REF!</formula>
    </cfRule>
    <cfRule type="cellIs" dxfId="174" priority="186" operator="greaterThan">
      <formula>#REF!</formula>
    </cfRule>
    <cfRule type="cellIs" priority="187" operator="equal">
      <formula>#REF!</formula>
    </cfRule>
  </conditionalFormatting>
  <conditionalFormatting sqref="E531 E536">
    <cfRule type="cellIs" dxfId="173" priority="182" operator="greaterThan">
      <formula>#REF!</formula>
    </cfRule>
    <cfRule type="cellIs" dxfId="172" priority="183" operator="greaterThan">
      <formula>#REF!</formula>
    </cfRule>
    <cfRule type="cellIs" priority="184" operator="equal">
      <formula>#REF!</formula>
    </cfRule>
  </conditionalFormatting>
  <conditionalFormatting sqref="E539 E532:E535 E527:E530 E524:E525 E519:E522 E516:E517 E507 E495:E503">
    <cfRule type="cellIs" dxfId="171" priority="179" operator="greaterThan">
      <formula>#REF!</formula>
    </cfRule>
    <cfRule type="cellIs" dxfId="170" priority="180" operator="greaterThan">
      <formula>#REF!</formula>
    </cfRule>
    <cfRule type="cellIs" priority="181" operator="equal">
      <formula>#REF!</formula>
    </cfRule>
  </conditionalFormatting>
  <conditionalFormatting sqref="E553">
    <cfRule type="cellIs" dxfId="169" priority="176" operator="greaterThan">
      <formula>#REF!</formula>
    </cfRule>
    <cfRule type="cellIs" dxfId="168" priority="177" operator="greaterThan">
      <formula>#REF!</formula>
    </cfRule>
    <cfRule type="cellIs" priority="178" operator="equal">
      <formula>#REF!</formula>
    </cfRule>
  </conditionalFormatting>
  <conditionalFormatting sqref="E554:E560 E551:E552">
    <cfRule type="cellIs" dxfId="167" priority="173" operator="greaterThan">
      <formula>#REF!</formula>
    </cfRule>
    <cfRule type="cellIs" dxfId="166" priority="174" operator="greaterThan">
      <formula>#REF!</formula>
    </cfRule>
    <cfRule type="cellIs" priority="175" operator="equal">
      <formula>#REF!</formula>
    </cfRule>
  </conditionalFormatting>
  <conditionalFormatting sqref="E569:E570 E583 E573 E585:E586">
    <cfRule type="cellIs" dxfId="165" priority="170" operator="greaterThan">
      <formula>#REF!</formula>
    </cfRule>
    <cfRule type="cellIs" dxfId="164" priority="171" operator="greaterThan">
      <formula>#REF!</formula>
    </cfRule>
    <cfRule type="cellIs" priority="172" operator="equal">
      <formula>#REF!</formula>
    </cfRule>
  </conditionalFormatting>
  <conditionalFormatting sqref="E566:E567">
    <cfRule type="cellIs" dxfId="163" priority="167" operator="greaterThan">
      <formula>#REF!</formula>
    </cfRule>
    <cfRule type="cellIs" dxfId="162" priority="168" operator="greaterThan">
      <formula>#REF!</formula>
    </cfRule>
    <cfRule type="cellIs" priority="169" operator="equal">
      <formula>#REF!</formula>
    </cfRule>
  </conditionalFormatting>
  <conditionalFormatting sqref="E587 E584 E581 E578 E575 E571:E572 E568 E562:E565">
    <cfRule type="cellIs" dxfId="161" priority="164" operator="greaterThan">
      <formula>#REF!</formula>
    </cfRule>
    <cfRule type="cellIs" dxfId="160" priority="165" operator="greaterThan">
      <formula>#REF!</formula>
    </cfRule>
    <cfRule type="cellIs" priority="166" operator="equal">
      <formula>#REF!</formula>
    </cfRule>
  </conditionalFormatting>
  <conditionalFormatting sqref="E614:E615 E627 E635 E640">
    <cfRule type="cellIs" dxfId="159" priority="161" operator="greaterThan">
      <formula>#REF!</formula>
    </cfRule>
    <cfRule type="cellIs" dxfId="158" priority="162" operator="greaterThan">
      <formula>#REF!</formula>
    </cfRule>
    <cfRule type="cellIs" priority="163" operator="equal">
      <formula>#REF!</formula>
    </cfRule>
  </conditionalFormatting>
  <conditionalFormatting sqref="E641:E644 E636:E639 E628:E634 E602:E613">
    <cfRule type="cellIs" dxfId="157" priority="158" operator="greaterThan">
      <formula>#REF!</formula>
    </cfRule>
    <cfRule type="cellIs" dxfId="156" priority="159" operator="greaterThan">
      <formula>#REF!</formula>
    </cfRule>
    <cfRule type="cellIs" priority="160" operator="equal">
      <formula>#REF!</formula>
    </cfRule>
  </conditionalFormatting>
  <conditionalFormatting sqref="E651 E654 E657">
    <cfRule type="cellIs" dxfId="155" priority="155" operator="greaterThan">
      <formula>#REF!</formula>
    </cfRule>
    <cfRule type="cellIs" dxfId="154" priority="156" operator="greaterThan">
      <formula>#REF!</formula>
    </cfRule>
    <cfRule type="cellIs" priority="157" operator="equal">
      <formula>#REF!</formula>
    </cfRule>
  </conditionalFormatting>
  <conditionalFormatting sqref="E658:E661 E655:E656 E648 E652:E653">
    <cfRule type="cellIs" dxfId="153" priority="152" operator="greaterThan">
      <formula>#REF!</formula>
    </cfRule>
    <cfRule type="cellIs" dxfId="152" priority="153" operator="greaterThan">
      <formula>#REF!</formula>
    </cfRule>
    <cfRule type="cellIs" priority="154" operator="equal">
      <formula>#REF!</formula>
    </cfRule>
  </conditionalFormatting>
  <conditionalFormatting sqref="E681 E676">
    <cfRule type="cellIs" dxfId="151" priority="149" operator="greaterThan">
      <formula>#REF!</formula>
    </cfRule>
    <cfRule type="cellIs" dxfId="150" priority="150" operator="greaterThan">
      <formula>#REF!</formula>
    </cfRule>
    <cfRule type="cellIs" priority="151" operator="equal">
      <formula>#REF!</formula>
    </cfRule>
  </conditionalFormatting>
  <conditionalFormatting sqref="E705:E706 E667 E688:E689 E691:E692 E708:E709">
    <cfRule type="cellIs" dxfId="149" priority="146" operator="greaterThan">
      <formula>#REF!</formula>
    </cfRule>
    <cfRule type="cellIs" dxfId="148" priority="147" operator="greaterThan">
      <formula>#REF!</formula>
    </cfRule>
    <cfRule type="cellIs" priority="148" operator="equal">
      <formula>#REF!</formula>
    </cfRule>
  </conditionalFormatting>
  <conditionalFormatting sqref="E694:E695 E698:E699 E701:E702">
    <cfRule type="cellIs" dxfId="147" priority="143" operator="greaterThan">
      <formula>#REF!</formula>
    </cfRule>
    <cfRule type="cellIs" dxfId="146" priority="144" operator="greaterThan">
      <formula>#REF!</formula>
    </cfRule>
    <cfRule type="cellIs" priority="145" operator="equal">
      <formula>#REF!</formula>
    </cfRule>
  </conditionalFormatting>
  <conditionalFormatting sqref="E710 E707 E703:E704 E700 E696:E697 E693 E690 E682:E687 E677:E680 E668:E675 E665:E666">
    <cfRule type="cellIs" dxfId="145" priority="140" operator="greaterThan">
      <formula>#REF!</formula>
    </cfRule>
    <cfRule type="cellIs" dxfId="144" priority="141" operator="greaterThan">
      <formula>#REF!</formula>
    </cfRule>
    <cfRule type="cellIs" priority="142" operator="equal">
      <formula>#REF!</formula>
    </cfRule>
  </conditionalFormatting>
  <conditionalFormatting sqref="E736">
    <cfRule type="cellIs" dxfId="143" priority="137" operator="greaterThan">
      <formula>#REF!</formula>
    </cfRule>
    <cfRule type="cellIs" dxfId="142" priority="138" operator="greaterThan">
      <formula>#REF!</formula>
    </cfRule>
    <cfRule type="cellIs" priority="139" operator="equal">
      <formula>#REF!</formula>
    </cfRule>
  </conditionalFormatting>
  <conditionalFormatting sqref="E752">
    <cfRule type="cellIs" dxfId="141" priority="134" operator="greaterThan">
      <formula>#REF!</formula>
    </cfRule>
    <cfRule type="cellIs" dxfId="140" priority="135" operator="greaterThan">
      <formula>#REF!</formula>
    </cfRule>
    <cfRule type="cellIs" priority="136" operator="equal">
      <formula>#REF!</formula>
    </cfRule>
  </conditionalFormatting>
  <conditionalFormatting sqref="E753:E756 E750:E751 E745:E748 E740:E743 E737:E738 E721:E726 E715:E718">
    <cfRule type="cellIs" dxfId="139" priority="131" operator="greaterThan">
      <formula>#REF!</formula>
    </cfRule>
    <cfRule type="cellIs" dxfId="138" priority="132" operator="greaterThan">
      <formula>#REF!</formula>
    </cfRule>
    <cfRule type="cellIs" priority="133" operator="equal">
      <formula>#REF!</formula>
    </cfRule>
  </conditionalFormatting>
  <conditionalFormatting sqref="E760">
    <cfRule type="cellIs" dxfId="137" priority="128" operator="greaterThan">
      <formula>#REF!</formula>
    </cfRule>
    <cfRule type="cellIs" dxfId="136" priority="129" operator="greaterThan">
      <formula>#REF!</formula>
    </cfRule>
    <cfRule type="cellIs" priority="130" operator="equal">
      <formula>#REF!</formula>
    </cfRule>
  </conditionalFormatting>
  <conditionalFormatting sqref="E783:E786 E781 E773:E779 E771">
    <cfRule type="cellIs" dxfId="135" priority="125" operator="greaterThan">
      <formula>#REF!</formula>
    </cfRule>
    <cfRule type="cellIs" dxfId="134" priority="126" operator="greaterThan">
      <formula>#REF!</formula>
    </cfRule>
    <cfRule type="cellIs" priority="127" operator="equal">
      <formula>#REF!</formula>
    </cfRule>
  </conditionalFormatting>
  <conditionalFormatting sqref="E805 E802 E799 E795:E796 E792 E789">
    <cfRule type="cellIs" dxfId="133" priority="122" operator="greaterThan">
      <formula>#REF!</formula>
    </cfRule>
    <cfRule type="cellIs" dxfId="132" priority="123" operator="greaterThan">
      <formula>#REF!</formula>
    </cfRule>
    <cfRule type="cellIs" priority="124" operator="equal">
      <formula>#REF!</formula>
    </cfRule>
  </conditionalFormatting>
  <conditionalFormatting sqref="E827:E829 E843 E848 E852 E854 E859:E861">
    <cfRule type="cellIs" dxfId="131" priority="119" operator="greaterThan">
      <formula>#REF!</formula>
    </cfRule>
    <cfRule type="cellIs" dxfId="130" priority="120" operator="greaterThan">
      <formula>#REF!</formula>
    </cfRule>
    <cfRule type="cellIs" priority="121" operator="equal">
      <formula>#REF!</formula>
    </cfRule>
  </conditionalFormatting>
  <conditionalFormatting sqref="E876 E878:E879 E883:E884 E886:E887 E890:E891 E894:E895 E897:E898 E901:E902">
    <cfRule type="cellIs" dxfId="129" priority="116" operator="greaterThan">
      <formula>#REF!</formula>
    </cfRule>
    <cfRule type="cellIs" dxfId="128" priority="117" operator="greaterThan">
      <formula>#REF!</formula>
    </cfRule>
    <cfRule type="cellIs" priority="118" operator="equal">
      <formula>#REF!</formula>
    </cfRule>
  </conditionalFormatting>
  <conditionalFormatting sqref="E870">
    <cfRule type="cellIs" dxfId="127" priority="113" operator="greaterThan">
      <formula>#REF!</formula>
    </cfRule>
    <cfRule type="cellIs" dxfId="126" priority="114" operator="greaterThan">
      <formula>#REF!</formula>
    </cfRule>
    <cfRule type="cellIs" priority="115" operator="equal">
      <formula>#REF!</formula>
    </cfRule>
  </conditionalFormatting>
  <conditionalFormatting sqref="E862:E863 E855:E858 E853 E849:E851 E844:E847 E816:E826">
    <cfRule type="cellIs" dxfId="125" priority="110" operator="greaterThan">
      <formula>#REF!</formula>
    </cfRule>
    <cfRule type="cellIs" dxfId="124" priority="111" operator="greaterThan">
      <formula>#REF!</formula>
    </cfRule>
    <cfRule type="cellIs" priority="112" operator="equal">
      <formula>#REF!</formula>
    </cfRule>
  </conditionalFormatting>
  <conditionalFormatting sqref="E871:E874 E865:E869">
    <cfRule type="cellIs" dxfId="123" priority="107" operator="greaterThan">
      <formula>#REF!</formula>
    </cfRule>
    <cfRule type="cellIs" dxfId="122" priority="108" operator="greaterThan">
      <formula>#REF!</formula>
    </cfRule>
    <cfRule type="cellIs" priority="109" operator="equal">
      <formula>#REF!</formula>
    </cfRule>
  </conditionalFormatting>
  <conditionalFormatting sqref="E903 E899:E900 E896 E892:E893 E888:E889 E885 E880:E882 E877">
    <cfRule type="cellIs" dxfId="121" priority="104" operator="greaterThan">
      <formula>#REF!</formula>
    </cfRule>
    <cfRule type="cellIs" dxfId="120" priority="105" operator="greaterThan">
      <formula>#REF!</formula>
    </cfRule>
    <cfRule type="cellIs" priority="106" operator="equal">
      <formula>#REF!</formula>
    </cfRule>
  </conditionalFormatting>
  <conditionalFormatting sqref="D864">
    <cfRule type="duplicateValues" dxfId="119" priority="103"/>
  </conditionalFormatting>
  <conditionalFormatting sqref="E864">
    <cfRule type="cellIs" dxfId="118" priority="100" operator="greaterThan">
      <formula>#REF!</formula>
    </cfRule>
    <cfRule type="cellIs" dxfId="117" priority="101" operator="greaterThan">
      <formula>#REF!</formula>
    </cfRule>
    <cfRule type="cellIs" priority="102" operator="equal">
      <formula>#REF!</formula>
    </cfRule>
  </conditionalFormatting>
  <conditionalFormatting sqref="E591:E599">
    <cfRule type="cellIs" dxfId="116" priority="97" operator="greaterThan">
      <formula>#REF!</formula>
    </cfRule>
    <cfRule type="cellIs" dxfId="115" priority="98" operator="greaterThan">
      <formula>#REF!</formula>
    </cfRule>
    <cfRule type="cellIs" priority="99" operator="equal">
      <formula>#REF!</formula>
    </cfRule>
  </conditionalFormatting>
  <conditionalFormatting sqref="D486:D492">
    <cfRule type="duplicateValues" dxfId="114" priority="96"/>
  </conditionalFormatting>
  <conditionalFormatting sqref="E486:E492">
    <cfRule type="cellIs" dxfId="113" priority="93" operator="greaterThan">
      <formula>#REF!</formula>
    </cfRule>
    <cfRule type="cellIs" dxfId="112" priority="94" operator="greaterThan">
      <formula>#REF!</formula>
    </cfRule>
    <cfRule type="cellIs" priority="95" operator="equal">
      <formula>#REF!</formula>
    </cfRule>
  </conditionalFormatting>
  <conditionalFormatting sqref="E29">
    <cfRule type="cellIs" dxfId="111" priority="90" operator="greaterThan">
      <formula>#REF!</formula>
    </cfRule>
    <cfRule type="cellIs" dxfId="110" priority="91" operator="greaterThan">
      <formula>#REF!</formula>
    </cfRule>
    <cfRule type="cellIs" priority="92" operator="equal">
      <formula>#REF!</formula>
    </cfRule>
  </conditionalFormatting>
  <conditionalFormatting sqref="E35">
    <cfRule type="cellIs" dxfId="109" priority="87" operator="greaterThan">
      <formula>#REF!</formula>
    </cfRule>
    <cfRule type="cellIs" dxfId="108" priority="88" operator="greaterThan">
      <formula>#REF!</formula>
    </cfRule>
    <cfRule type="cellIs" priority="89" operator="equal">
      <formula>#REF!</formula>
    </cfRule>
  </conditionalFormatting>
  <conditionalFormatting sqref="E78:E79">
    <cfRule type="cellIs" dxfId="107" priority="84" operator="greaterThan">
      <formula>#REF!</formula>
    </cfRule>
    <cfRule type="cellIs" dxfId="106" priority="85" operator="greaterThan">
      <formula>#REF!</formula>
    </cfRule>
    <cfRule type="cellIs" priority="86" operator="equal">
      <formula>#REF!</formula>
    </cfRule>
  </conditionalFormatting>
  <conditionalFormatting sqref="E80:E82">
    <cfRule type="cellIs" dxfId="105" priority="81" operator="greaterThan">
      <formula>#REF!</formula>
    </cfRule>
    <cfRule type="cellIs" dxfId="104" priority="82" operator="greaterThan">
      <formula>#REF!</formula>
    </cfRule>
    <cfRule type="cellIs" priority="83" operator="equal">
      <formula>#REF!</formula>
    </cfRule>
  </conditionalFormatting>
  <conditionalFormatting sqref="E77">
    <cfRule type="cellIs" dxfId="103" priority="78" operator="greaterThan">
      <formula>#REF!</formula>
    </cfRule>
    <cfRule type="cellIs" dxfId="102" priority="79" operator="greaterThan">
      <formula>#REF!</formula>
    </cfRule>
    <cfRule type="cellIs" priority="80" operator="equal">
      <formula>#REF!</formula>
    </cfRule>
  </conditionalFormatting>
  <conditionalFormatting sqref="E83">
    <cfRule type="cellIs" dxfId="101" priority="75" operator="greaterThan">
      <formula>#REF!</formula>
    </cfRule>
    <cfRule type="cellIs" dxfId="100" priority="76" operator="greaterThan">
      <formula>#REF!</formula>
    </cfRule>
    <cfRule type="cellIs" priority="77" operator="equal">
      <formula>#REF!</formula>
    </cfRule>
  </conditionalFormatting>
  <conditionalFormatting sqref="E142">
    <cfRule type="cellIs" dxfId="99" priority="72" operator="greaterThan">
      <formula>#REF!</formula>
    </cfRule>
    <cfRule type="cellIs" dxfId="98" priority="73" operator="greaterThan">
      <formula>#REF!</formula>
    </cfRule>
    <cfRule type="cellIs" priority="74" operator="equal">
      <formula>#REF!</formula>
    </cfRule>
  </conditionalFormatting>
  <conditionalFormatting sqref="E143:E145 E141 E147">
    <cfRule type="cellIs" dxfId="97" priority="69" operator="greaterThan">
      <formula>#REF!</formula>
    </cfRule>
    <cfRule type="cellIs" dxfId="96" priority="70" operator="greaterThan">
      <formula>#REF!</formula>
    </cfRule>
    <cfRule type="cellIs" priority="71" operator="equal">
      <formula>#REF!</formula>
    </cfRule>
  </conditionalFormatting>
  <conditionalFormatting sqref="E140">
    <cfRule type="cellIs" dxfId="95" priority="66" operator="greaterThan">
      <formula>#REF!</formula>
    </cfRule>
    <cfRule type="cellIs" dxfId="94" priority="67" operator="greaterThan">
      <formula>#REF!</formula>
    </cfRule>
    <cfRule type="cellIs" priority="68" operator="equal">
      <formula>#REF!</formula>
    </cfRule>
  </conditionalFormatting>
  <conditionalFormatting sqref="E146">
    <cfRule type="cellIs" dxfId="93" priority="63" operator="greaterThan">
      <formula>#REF!</formula>
    </cfRule>
    <cfRule type="cellIs" dxfId="92" priority="64" operator="greaterThan">
      <formula>#REF!</formula>
    </cfRule>
    <cfRule type="cellIs" priority="65" operator="equal">
      <formula>#REF!</formula>
    </cfRule>
  </conditionalFormatting>
  <conditionalFormatting sqref="E227:E228">
    <cfRule type="cellIs" dxfId="91" priority="60" operator="greaterThan">
      <formula>#REF!</formula>
    </cfRule>
    <cfRule type="cellIs" dxfId="90" priority="61" operator="greaterThan">
      <formula>#REF!</formula>
    </cfRule>
    <cfRule type="cellIs" priority="62" operator="equal">
      <formula>#REF!</formula>
    </cfRule>
  </conditionalFormatting>
  <conditionalFormatting sqref="E229:E230 E226">
    <cfRule type="cellIs" dxfId="89" priority="57" operator="greaterThan">
      <formula>#REF!</formula>
    </cfRule>
    <cfRule type="cellIs" dxfId="88" priority="58" operator="greaterThan">
      <formula>#REF!</formula>
    </cfRule>
    <cfRule type="cellIs" priority="59" operator="equal">
      <formula>#REF!</formula>
    </cfRule>
  </conditionalFormatting>
  <conditionalFormatting sqref="E231">
    <cfRule type="cellIs" dxfId="87" priority="54" operator="greaterThan">
      <formula>#REF!</formula>
    </cfRule>
    <cfRule type="cellIs" dxfId="86" priority="55" operator="greaterThan">
      <formula>#REF!</formula>
    </cfRule>
    <cfRule type="cellIs" priority="56" operator="equal">
      <formula>#REF!</formula>
    </cfRule>
  </conditionalFormatting>
  <conditionalFormatting sqref="E272">
    <cfRule type="cellIs" dxfId="85" priority="51" operator="greaterThan">
      <formula>#REF!</formula>
    </cfRule>
    <cfRule type="cellIs" dxfId="84" priority="52" operator="greaterThan">
      <formula>#REF!</formula>
    </cfRule>
    <cfRule type="cellIs" priority="53" operator="equal">
      <formula>#REF!</formula>
    </cfRule>
  </conditionalFormatting>
  <conditionalFormatting sqref="E307:E308">
    <cfRule type="cellIs" dxfId="83" priority="48" operator="greaterThan">
      <formula>#REF!</formula>
    </cfRule>
    <cfRule type="cellIs" dxfId="82" priority="49" operator="greaterThan">
      <formula>#REF!</formula>
    </cfRule>
    <cfRule type="cellIs" priority="50" operator="equal">
      <formula>#REF!</formula>
    </cfRule>
  </conditionalFormatting>
  <conditionalFormatting sqref="E309:E312 E305:E306">
    <cfRule type="cellIs" dxfId="81" priority="45" operator="greaterThan">
      <formula>#REF!</formula>
    </cfRule>
    <cfRule type="cellIs" dxfId="80" priority="46" operator="greaterThan">
      <formula>#REF!</formula>
    </cfRule>
    <cfRule type="cellIs" priority="47" operator="equal">
      <formula>#REF!</formula>
    </cfRule>
  </conditionalFormatting>
  <conditionalFormatting sqref="E364">
    <cfRule type="cellIs" dxfId="79" priority="42" operator="greaterThan">
      <formula>#REF!</formula>
    </cfRule>
    <cfRule type="cellIs" dxfId="78" priority="43" operator="greaterThan">
      <formula>#REF!</formula>
    </cfRule>
    <cfRule type="cellIs" priority="44" operator="equal">
      <formula>#REF!</formula>
    </cfRule>
  </conditionalFormatting>
  <conditionalFormatting sqref="E365:E367 E362:E363">
    <cfRule type="cellIs" dxfId="77" priority="39" operator="greaterThan">
      <formula>#REF!</formula>
    </cfRule>
    <cfRule type="cellIs" dxfId="76" priority="40" operator="greaterThan">
      <formula>#REF!</formula>
    </cfRule>
    <cfRule type="cellIs" priority="41" operator="equal">
      <formula>#REF!</formula>
    </cfRule>
  </conditionalFormatting>
  <conditionalFormatting sqref="E434:E435">
    <cfRule type="cellIs" dxfId="75" priority="36" operator="greaterThan">
      <formula>#REF!</formula>
    </cfRule>
    <cfRule type="cellIs" dxfId="74" priority="37" operator="greaterThan">
      <formula>#REF!</formula>
    </cfRule>
    <cfRule type="cellIs" priority="38" operator="equal">
      <formula>#REF!</formula>
    </cfRule>
  </conditionalFormatting>
  <conditionalFormatting sqref="E436:E439 E432:E433">
    <cfRule type="cellIs" dxfId="73" priority="33" operator="greaterThan">
      <formula>#REF!</formula>
    </cfRule>
    <cfRule type="cellIs" dxfId="72" priority="34" operator="greaterThan">
      <formula>#REF!</formula>
    </cfRule>
    <cfRule type="cellIs" priority="35" operator="equal">
      <formula>#REF!</formula>
    </cfRule>
  </conditionalFormatting>
  <conditionalFormatting sqref="E510">
    <cfRule type="cellIs" dxfId="71" priority="30" operator="greaterThan">
      <formula>#REF!</formula>
    </cfRule>
    <cfRule type="cellIs" dxfId="70" priority="31" operator="greaterThan">
      <formula>#REF!</formula>
    </cfRule>
    <cfRule type="cellIs" priority="32" operator="equal">
      <formula>#REF!</formula>
    </cfRule>
  </conditionalFormatting>
  <conditionalFormatting sqref="E511:E514 E508:E509">
    <cfRule type="cellIs" dxfId="69" priority="27" operator="greaterThan">
      <formula>#REF!</formula>
    </cfRule>
    <cfRule type="cellIs" dxfId="68" priority="28" operator="greaterThan">
      <formula>#REF!</formula>
    </cfRule>
    <cfRule type="cellIs" priority="29" operator="equal">
      <formula>#REF!</formula>
    </cfRule>
  </conditionalFormatting>
  <conditionalFormatting sqref="E542:E547">
    <cfRule type="cellIs" dxfId="67" priority="24" operator="greaterThan">
      <formula>#REF!</formula>
    </cfRule>
    <cfRule type="cellIs" dxfId="66" priority="25" operator="greaterThan">
      <formula>#REF!</formula>
    </cfRule>
    <cfRule type="cellIs" priority="26" operator="equal">
      <formula>#REF!</formula>
    </cfRule>
  </conditionalFormatting>
  <conditionalFormatting sqref="E616:E626">
    <cfRule type="cellIs" dxfId="65" priority="21" operator="greaterThan">
      <formula>#REF!</formula>
    </cfRule>
    <cfRule type="cellIs" dxfId="64" priority="22" operator="greaterThan">
      <formula>#REF!</formula>
    </cfRule>
    <cfRule type="cellIs" priority="23" operator="equal">
      <formula>#REF!</formula>
    </cfRule>
  </conditionalFormatting>
  <conditionalFormatting sqref="E649:E650">
    <cfRule type="cellIs" dxfId="63" priority="18" operator="greaterThan">
      <formula>#REF!</formula>
    </cfRule>
    <cfRule type="cellIs" dxfId="62" priority="19" operator="greaterThan">
      <formula>#REF!</formula>
    </cfRule>
    <cfRule type="cellIs" priority="20" operator="equal">
      <formula>#REF!</formula>
    </cfRule>
  </conditionalFormatting>
  <conditionalFormatting sqref="E733:E735 E730:E731">
    <cfRule type="cellIs" dxfId="61" priority="15" operator="greaterThan">
      <formula>#REF!</formula>
    </cfRule>
    <cfRule type="cellIs" dxfId="60" priority="16" operator="greaterThan">
      <formula>#REF!</formula>
    </cfRule>
    <cfRule type="cellIs" priority="17" operator="equal">
      <formula>#REF!</formula>
    </cfRule>
  </conditionalFormatting>
  <conditionalFormatting sqref="E762:E767">
    <cfRule type="cellIs" dxfId="59" priority="12" operator="greaterThan">
      <formula>#REF!</formula>
    </cfRule>
    <cfRule type="cellIs" dxfId="58" priority="13" operator="greaterThan">
      <formula>#REF!</formula>
    </cfRule>
    <cfRule type="cellIs" priority="14" operator="equal">
      <formula>#REF!</formula>
    </cfRule>
  </conditionalFormatting>
  <conditionalFormatting sqref="E830:E842">
    <cfRule type="cellIs" dxfId="57" priority="9" operator="greaterThan">
      <formula>#REF!</formula>
    </cfRule>
    <cfRule type="cellIs" dxfId="56" priority="10" operator="greaterThan">
      <formula>#REF!</formula>
    </cfRule>
    <cfRule type="cellIs" priority="11" operator="equal">
      <formula>#REF!</formula>
    </cfRule>
  </conditionalFormatting>
  <conditionalFormatting sqref="D1:D1048576">
    <cfRule type="duplicateValues" dxfId="55" priority="8"/>
  </conditionalFormatting>
  <conditionalFormatting sqref="I15:J337">
    <cfRule type="cellIs" dxfId="54" priority="6" operator="equal">
      <formula>0</formula>
    </cfRule>
    <cfRule type="cellIs" dxfId="53" priority="5" operator="greaterThan">
      <formula>0</formula>
    </cfRule>
  </conditionalFormatting>
  <conditionalFormatting sqref="I351:J468">
    <cfRule type="cellIs" dxfId="52" priority="3" operator="greaterThan">
      <formula>0</formula>
    </cfRule>
    <cfRule type="cellIs" dxfId="51" priority="4" operator="equal">
      <formula>0</formula>
    </cfRule>
  </conditionalFormatting>
  <conditionalFormatting sqref="I483:J903">
    <cfRule type="cellIs" dxfId="50" priority="1" operator="greaterThan">
      <formula>0</formula>
    </cfRule>
    <cfRule type="cellIs" dxfId="49" priority="2" operator="equal">
      <formula>0</formula>
    </cfRule>
  </conditionalFormatting>
  <pageMargins left="0.7" right="0.7" top="0.75" bottom="0.75" header="0.3" footer="0.3"/>
  <pageSetup paperSize="9" orientation="portrait" r:id="rId1"/>
  <headerFooter>
    <oddFooter>&amp;L&amp;1#&amp;"Calibri"&amp;7&amp;K7F7F7FInternal Use - Confidential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451"/>
  <sheetViews>
    <sheetView zoomScale="80" zoomScaleNormal="80" workbookViewId="0">
      <selection activeCell="B23" sqref="B23"/>
    </sheetView>
  </sheetViews>
  <sheetFormatPr baseColWidth="10" defaultColWidth="8.7265625" defaultRowHeight="14.5" x14ac:dyDescent="0.35"/>
  <cols>
    <col min="2" max="2" width="221.7265625" style="33" bestFit="1" customWidth="1"/>
    <col min="3" max="3" width="31.54296875" bestFit="1" customWidth="1"/>
    <col min="4" max="4" width="15" bestFit="1" customWidth="1"/>
    <col min="5" max="5" width="16.1796875" customWidth="1"/>
  </cols>
  <sheetData>
    <row r="1" spans="2:5" ht="75.75" customHeight="1" x14ac:dyDescent="0.35">
      <c r="B1" s="298"/>
    </row>
    <row r="2" spans="2:5" ht="21" x14ac:dyDescent="0.35">
      <c r="B2" s="358" t="s">
        <v>80</v>
      </c>
      <c r="C2" s="358"/>
      <c r="D2" s="358"/>
      <c r="E2" s="358"/>
    </row>
    <row r="3" spans="2:5" ht="21" customHeight="1" x14ac:dyDescent="0.35">
      <c r="B3" s="359" t="s">
        <v>854</v>
      </c>
      <c r="C3" s="360"/>
      <c r="D3" s="360"/>
      <c r="E3" s="361"/>
    </row>
    <row r="4" spans="2:5" ht="25" x14ac:dyDescent="0.35">
      <c r="B4" s="139" t="s">
        <v>82</v>
      </c>
      <c r="C4" s="140" t="s">
        <v>83</v>
      </c>
      <c r="D4" s="141" t="s">
        <v>84</v>
      </c>
      <c r="E4" s="333" t="s">
        <v>85</v>
      </c>
    </row>
    <row r="5" spans="2:5" x14ac:dyDescent="0.35">
      <c r="B5" s="21" t="s">
        <v>855</v>
      </c>
    </row>
    <row r="6" spans="2:5" x14ac:dyDescent="0.35">
      <c r="B6" s="35" t="s">
        <v>856</v>
      </c>
    </row>
    <row r="7" spans="2:5" x14ac:dyDescent="0.35">
      <c r="B7" s="205" t="s">
        <v>857</v>
      </c>
      <c r="C7" s="204" t="s">
        <v>858</v>
      </c>
      <c r="D7" s="152" t="s">
        <v>859</v>
      </c>
      <c r="E7" s="153">
        <v>105</v>
      </c>
    </row>
    <row r="8" spans="2:5" x14ac:dyDescent="0.35">
      <c r="B8" s="205" t="s">
        <v>860</v>
      </c>
      <c r="C8" s="204" t="s">
        <v>861</v>
      </c>
      <c r="D8" s="152" t="s">
        <v>862</v>
      </c>
      <c r="E8" s="153">
        <v>304</v>
      </c>
    </row>
    <row r="9" spans="2:5" x14ac:dyDescent="0.35">
      <c r="B9" s="35" t="s">
        <v>863</v>
      </c>
    </row>
    <row r="10" spans="2:5" x14ac:dyDescent="0.35">
      <c r="B10" s="205" t="s">
        <v>864</v>
      </c>
      <c r="C10" s="204" t="s">
        <v>865</v>
      </c>
      <c r="D10" s="152" t="s">
        <v>866</v>
      </c>
      <c r="E10" s="153">
        <v>105</v>
      </c>
    </row>
    <row r="11" spans="2:5" x14ac:dyDescent="0.35">
      <c r="B11" s="205" t="s">
        <v>867</v>
      </c>
      <c r="C11" s="204" t="s">
        <v>868</v>
      </c>
      <c r="D11" s="152" t="s">
        <v>869</v>
      </c>
      <c r="E11" s="153">
        <v>304</v>
      </c>
    </row>
    <row r="12" spans="2:5" x14ac:dyDescent="0.35">
      <c r="B12" s="205" t="s">
        <v>870</v>
      </c>
      <c r="C12" s="204" t="s">
        <v>871</v>
      </c>
      <c r="D12" s="152" t="s">
        <v>872</v>
      </c>
      <c r="E12" s="153">
        <v>487</v>
      </c>
    </row>
    <row r="13" spans="2:5" x14ac:dyDescent="0.35">
      <c r="B13" s="205" t="s">
        <v>873</v>
      </c>
      <c r="C13" s="204" t="s">
        <v>874</v>
      </c>
      <c r="D13" s="152" t="s">
        <v>875</v>
      </c>
      <c r="E13" s="153">
        <v>859</v>
      </c>
    </row>
    <row r="14" spans="2:5" x14ac:dyDescent="0.35">
      <c r="B14" s="205" t="s">
        <v>876</v>
      </c>
      <c r="C14" s="204" t="s">
        <v>877</v>
      </c>
      <c r="D14" s="152" t="s">
        <v>878</v>
      </c>
      <c r="E14" s="153">
        <v>1328</v>
      </c>
    </row>
    <row r="15" spans="2:5" x14ac:dyDescent="0.35">
      <c r="B15" s="205" t="s">
        <v>879</v>
      </c>
      <c r="C15" s="204" t="s">
        <v>880</v>
      </c>
      <c r="D15" s="152" t="s">
        <v>881</v>
      </c>
      <c r="E15" s="153">
        <v>2500</v>
      </c>
    </row>
    <row r="16" spans="2:5" x14ac:dyDescent="0.35">
      <c r="B16" s="205" t="s">
        <v>882</v>
      </c>
      <c r="C16" s="204" t="s">
        <v>883</v>
      </c>
      <c r="D16" s="152" t="s">
        <v>884</v>
      </c>
      <c r="E16" s="153">
        <v>4200</v>
      </c>
    </row>
    <row r="17" spans="2:5" x14ac:dyDescent="0.35">
      <c r="B17" s="205" t="s">
        <v>885</v>
      </c>
      <c r="C17" s="204" t="s">
        <v>886</v>
      </c>
      <c r="D17" s="152" t="s">
        <v>887</v>
      </c>
      <c r="E17" s="153">
        <v>6900</v>
      </c>
    </row>
    <row r="18" spans="2:5" x14ac:dyDescent="0.35">
      <c r="B18" s="205" t="s">
        <v>888</v>
      </c>
      <c r="C18" s="204" t="s">
        <v>889</v>
      </c>
      <c r="D18" s="152" t="s">
        <v>890</v>
      </c>
      <c r="E18" s="153">
        <v>14500</v>
      </c>
    </row>
    <row r="19" spans="2:5" x14ac:dyDescent="0.35">
      <c r="B19" s="35"/>
    </row>
    <row r="20" spans="2:5" x14ac:dyDescent="0.35">
      <c r="B20" s="21" t="s">
        <v>891</v>
      </c>
      <c r="C20" s="27"/>
    </row>
    <row r="21" spans="2:5" x14ac:dyDescent="0.35">
      <c r="B21" s="134" t="s">
        <v>892</v>
      </c>
      <c r="C21" s="204" t="s">
        <v>893</v>
      </c>
      <c r="D21" s="152" t="s">
        <v>894</v>
      </c>
      <c r="E21" s="153">
        <v>450</v>
      </c>
    </row>
    <row r="22" spans="2:5" x14ac:dyDescent="0.35">
      <c r="B22" s="35"/>
    </row>
    <row r="23" spans="2:5" x14ac:dyDescent="0.35">
      <c r="B23" s="21" t="s">
        <v>895</v>
      </c>
      <c r="C23" s="27"/>
    </row>
    <row r="24" spans="2:5" x14ac:dyDescent="0.35">
      <c r="B24" s="134" t="s">
        <v>896</v>
      </c>
      <c r="C24" s="242" t="s">
        <v>897</v>
      </c>
      <c r="D24" s="152" t="s">
        <v>898</v>
      </c>
      <c r="E24" s="153">
        <v>136</v>
      </c>
    </row>
    <row r="25" spans="2:5" x14ac:dyDescent="0.35">
      <c r="B25" s="134" t="s">
        <v>124</v>
      </c>
      <c r="C25" s="242" t="s">
        <v>899</v>
      </c>
      <c r="D25" s="152" t="s">
        <v>900</v>
      </c>
      <c r="E25" s="153">
        <v>241</v>
      </c>
    </row>
    <row r="26" spans="2:5" x14ac:dyDescent="0.35">
      <c r="B26" s="134" t="s">
        <v>126</v>
      </c>
      <c r="C26" s="242" t="s">
        <v>901</v>
      </c>
      <c r="D26" s="152" t="s">
        <v>902</v>
      </c>
      <c r="E26" s="153">
        <v>463</v>
      </c>
    </row>
    <row r="27" spans="2:5" x14ac:dyDescent="0.35">
      <c r="B27" s="134" t="s">
        <v>903</v>
      </c>
      <c r="C27" s="204" t="s">
        <v>904</v>
      </c>
      <c r="D27" s="152" t="s">
        <v>905</v>
      </c>
      <c r="E27" s="153">
        <v>700</v>
      </c>
    </row>
    <row r="28" spans="2:5" x14ac:dyDescent="0.35">
      <c r="B28" s="21"/>
      <c r="C28" s="27"/>
      <c r="D28" s="28"/>
      <c r="E28" s="28"/>
    </row>
    <row r="29" spans="2:5" x14ac:dyDescent="0.35">
      <c r="B29" s="21" t="s">
        <v>906</v>
      </c>
      <c r="C29" s="27"/>
      <c r="D29" s="28"/>
      <c r="E29" s="28"/>
    </row>
    <row r="30" spans="2:5" x14ac:dyDescent="0.35">
      <c r="B30" s="35" t="s">
        <v>907</v>
      </c>
      <c r="C30" s="27"/>
      <c r="D30" s="28"/>
      <c r="E30" s="28"/>
    </row>
    <row r="31" spans="2:5" x14ac:dyDescent="0.35">
      <c r="B31" s="134" t="s">
        <v>908</v>
      </c>
      <c r="C31" s="242" t="s">
        <v>909</v>
      </c>
      <c r="D31" s="152" t="s">
        <v>910</v>
      </c>
      <c r="E31" s="153">
        <v>15</v>
      </c>
    </row>
    <row r="32" spans="2:5" x14ac:dyDescent="0.35">
      <c r="B32" s="134" t="s">
        <v>911</v>
      </c>
      <c r="C32" s="242" t="s">
        <v>912</v>
      </c>
      <c r="D32" s="152" t="s">
        <v>913</v>
      </c>
      <c r="E32" s="153">
        <v>29</v>
      </c>
    </row>
    <row r="33" spans="2:5" x14ac:dyDescent="0.35">
      <c r="B33" s="35" t="s">
        <v>914</v>
      </c>
      <c r="C33" s="27"/>
      <c r="D33" s="28"/>
      <c r="E33" s="28"/>
    </row>
    <row r="34" spans="2:5" x14ac:dyDescent="0.35">
      <c r="B34" s="134" t="s">
        <v>915</v>
      </c>
      <c r="C34" s="242" t="s">
        <v>916</v>
      </c>
      <c r="D34" s="152" t="s">
        <v>917</v>
      </c>
      <c r="E34" s="153">
        <v>64</v>
      </c>
    </row>
    <row r="35" spans="2:5" x14ac:dyDescent="0.35">
      <c r="B35" s="134" t="s">
        <v>918</v>
      </c>
      <c r="C35" s="242" t="s">
        <v>919</v>
      </c>
      <c r="D35" s="152" t="s">
        <v>920</v>
      </c>
      <c r="E35" s="153">
        <v>79</v>
      </c>
    </row>
    <row r="36" spans="2:5" x14ac:dyDescent="0.35">
      <c r="B36" s="134" t="s">
        <v>921</v>
      </c>
      <c r="C36" s="242" t="s">
        <v>922</v>
      </c>
      <c r="D36" s="152" t="s">
        <v>923</v>
      </c>
      <c r="E36" s="153">
        <v>89</v>
      </c>
    </row>
    <row r="37" spans="2:5" x14ac:dyDescent="0.35">
      <c r="B37" s="134" t="s">
        <v>924</v>
      </c>
      <c r="C37" s="242" t="s">
        <v>925</v>
      </c>
      <c r="D37" s="152" t="s">
        <v>926</v>
      </c>
      <c r="E37" s="153">
        <v>135</v>
      </c>
    </row>
    <row r="38" spans="2:5" x14ac:dyDescent="0.35">
      <c r="B38" s="134" t="s">
        <v>927</v>
      </c>
      <c r="C38" s="242" t="s">
        <v>928</v>
      </c>
      <c r="D38" s="152" t="s">
        <v>929</v>
      </c>
      <c r="E38" s="153">
        <v>178</v>
      </c>
    </row>
    <row r="39" spans="2:5" x14ac:dyDescent="0.35">
      <c r="B39" s="35" t="s">
        <v>930</v>
      </c>
      <c r="C39" s="22"/>
      <c r="D39" s="22"/>
      <c r="E39" s="22"/>
    </row>
    <row r="40" spans="2:5" x14ac:dyDescent="0.35">
      <c r="B40" s="134" t="s">
        <v>931</v>
      </c>
      <c r="C40" s="151" t="s">
        <v>932</v>
      </c>
      <c r="D40" s="152" t="s">
        <v>933</v>
      </c>
      <c r="E40" s="153">
        <v>29</v>
      </c>
    </row>
    <row r="41" spans="2:5" x14ac:dyDescent="0.35">
      <c r="B41" s="36"/>
      <c r="C41" s="22"/>
      <c r="D41" s="22"/>
      <c r="E41" s="22"/>
    </row>
    <row r="42" spans="2:5" x14ac:dyDescent="0.35">
      <c r="B42" s="21" t="s">
        <v>934</v>
      </c>
      <c r="C42" s="25"/>
      <c r="D42" s="28"/>
      <c r="E42" s="28"/>
    </row>
    <row r="43" spans="2:5" x14ac:dyDescent="0.35">
      <c r="B43" s="35" t="s">
        <v>935</v>
      </c>
      <c r="C43" s="25"/>
      <c r="D43" s="28"/>
      <c r="E43" s="28"/>
    </row>
    <row r="44" spans="2:5" x14ac:dyDescent="0.35">
      <c r="B44" s="134" t="s">
        <v>936</v>
      </c>
      <c r="C44" s="151" t="s">
        <v>937</v>
      </c>
      <c r="D44" s="152" t="s">
        <v>938</v>
      </c>
      <c r="E44" s="153">
        <v>6</v>
      </c>
    </row>
    <row r="45" spans="2:5" x14ac:dyDescent="0.35">
      <c r="B45" s="134" t="s">
        <v>939</v>
      </c>
      <c r="C45" s="151" t="s">
        <v>940</v>
      </c>
      <c r="D45" s="152" t="s">
        <v>941</v>
      </c>
      <c r="E45" s="153">
        <v>13</v>
      </c>
    </row>
    <row r="46" spans="2:5" x14ac:dyDescent="0.35">
      <c r="B46" s="134" t="s">
        <v>942</v>
      </c>
      <c r="C46" s="151" t="s">
        <v>943</v>
      </c>
      <c r="D46" s="152" t="s">
        <v>944</v>
      </c>
      <c r="E46" s="153">
        <v>18</v>
      </c>
    </row>
    <row r="47" spans="2:5" x14ac:dyDescent="0.35">
      <c r="B47" s="134" t="s">
        <v>945</v>
      </c>
      <c r="C47" s="151" t="s">
        <v>946</v>
      </c>
      <c r="D47" s="152" t="s">
        <v>947</v>
      </c>
      <c r="E47" s="153">
        <v>10</v>
      </c>
    </row>
    <row r="48" spans="2:5" x14ac:dyDescent="0.35">
      <c r="B48" s="134" t="s">
        <v>948</v>
      </c>
      <c r="C48" s="151" t="s">
        <v>949</v>
      </c>
      <c r="D48" s="152" t="s">
        <v>950</v>
      </c>
      <c r="E48" s="153">
        <v>21</v>
      </c>
    </row>
    <row r="49" spans="2:5" x14ac:dyDescent="0.35">
      <c r="B49" s="134" t="s">
        <v>951</v>
      </c>
      <c r="C49" s="151" t="s">
        <v>952</v>
      </c>
      <c r="D49" s="152" t="s">
        <v>953</v>
      </c>
      <c r="E49" s="153">
        <v>40</v>
      </c>
    </row>
    <row r="50" spans="2:5" x14ac:dyDescent="0.35">
      <c r="B50" s="134" t="s">
        <v>954</v>
      </c>
      <c r="C50" s="151" t="s">
        <v>955</v>
      </c>
      <c r="D50" s="152" t="s">
        <v>956</v>
      </c>
      <c r="E50" s="153">
        <v>53</v>
      </c>
    </row>
    <row r="51" spans="2:5" x14ac:dyDescent="0.35">
      <c r="B51" s="35" t="s">
        <v>957</v>
      </c>
      <c r="C51" s="22"/>
      <c r="D51" s="22"/>
      <c r="E51" s="22"/>
    </row>
    <row r="52" spans="2:5" x14ac:dyDescent="0.35">
      <c r="B52" s="134" t="s">
        <v>958</v>
      </c>
      <c r="C52" s="242" t="s">
        <v>959</v>
      </c>
      <c r="D52" s="152" t="s">
        <v>960</v>
      </c>
      <c r="E52" s="153">
        <v>62</v>
      </c>
    </row>
    <row r="53" spans="2:5" x14ac:dyDescent="0.35">
      <c r="B53" s="35" t="s">
        <v>961</v>
      </c>
      <c r="C53" s="25"/>
      <c r="D53" s="25"/>
      <c r="E53" s="25"/>
    </row>
    <row r="54" spans="2:5" x14ac:dyDescent="0.35">
      <c r="B54" s="134" t="s">
        <v>962</v>
      </c>
      <c r="C54" s="299" t="s">
        <v>963</v>
      </c>
      <c r="D54" s="152" t="s">
        <v>964</v>
      </c>
      <c r="E54" s="153">
        <v>6</v>
      </c>
    </row>
    <row r="55" spans="2:5" x14ac:dyDescent="0.35">
      <c r="B55" s="134" t="s">
        <v>965</v>
      </c>
      <c r="C55" s="151" t="s">
        <v>966</v>
      </c>
      <c r="D55" s="152" t="s">
        <v>967</v>
      </c>
      <c r="E55" s="153">
        <v>13</v>
      </c>
    </row>
    <row r="56" spans="2:5" x14ac:dyDescent="0.35">
      <c r="B56" s="134" t="s">
        <v>968</v>
      </c>
      <c r="C56" s="138" t="s">
        <v>969</v>
      </c>
      <c r="D56" s="152" t="s">
        <v>970</v>
      </c>
      <c r="E56" s="153">
        <v>18</v>
      </c>
    </row>
    <row r="57" spans="2:5" x14ac:dyDescent="0.35">
      <c r="B57" s="134" t="s">
        <v>971</v>
      </c>
      <c r="C57" s="151" t="s">
        <v>972</v>
      </c>
      <c r="D57" s="152" t="s">
        <v>973</v>
      </c>
      <c r="E57" s="153">
        <v>10</v>
      </c>
    </row>
    <row r="58" spans="2:5" x14ac:dyDescent="0.35">
      <c r="B58" s="134" t="s">
        <v>974</v>
      </c>
      <c r="C58" s="151" t="s">
        <v>975</v>
      </c>
      <c r="D58" s="152" t="s">
        <v>976</v>
      </c>
      <c r="E58" s="153">
        <v>21</v>
      </c>
    </row>
    <row r="59" spans="2:5" x14ac:dyDescent="0.35">
      <c r="B59" s="134" t="s">
        <v>977</v>
      </c>
      <c r="C59" s="151" t="s">
        <v>978</v>
      </c>
      <c r="D59" s="152" t="s">
        <v>979</v>
      </c>
      <c r="E59" s="153">
        <v>40</v>
      </c>
    </row>
    <row r="60" spans="2:5" x14ac:dyDescent="0.35">
      <c r="B60" s="134" t="s">
        <v>980</v>
      </c>
      <c r="C60" s="151" t="s">
        <v>981</v>
      </c>
      <c r="D60" s="152" t="s">
        <v>982</v>
      </c>
      <c r="E60" s="153">
        <v>53</v>
      </c>
    </row>
    <row r="61" spans="2:5" x14ac:dyDescent="0.35">
      <c r="B61" s="35" t="s">
        <v>983</v>
      </c>
      <c r="C61" s="25"/>
      <c r="D61" s="25"/>
      <c r="E61" s="25"/>
    </row>
    <row r="62" spans="2:5" x14ac:dyDescent="0.35">
      <c r="B62" s="134" t="s">
        <v>984</v>
      </c>
      <c r="C62" s="242" t="s">
        <v>985</v>
      </c>
      <c r="D62" s="152" t="s">
        <v>986</v>
      </c>
      <c r="E62" s="153">
        <v>62</v>
      </c>
    </row>
    <row r="63" spans="2:5" x14ac:dyDescent="0.35">
      <c r="B63" s="134" t="s">
        <v>987</v>
      </c>
      <c r="C63" s="242" t="s">
        <v>988</v>
      </c>
      <c r="D63" s="152" t="s">
        <v>989</v>
      </c>
      <c r="E63" s="153">
        <v>62</v>
      </c>
    </row>
    <row r="64" spans="2:5" x14ac:dyDescent="0.35">
      <c r="B64" s="35" t="s">
        <v>990</v>
      </c>
      <c r="C64" s="25"/>
      <c r="D64" s="25"/>
      <c r="E64" s="25"/>
    </row>
    <row r="65" spans="2:5" x14ac:dyDescent="0.35">
      <c r="B65" s="134" t="s">
        <v>991</v>
      </c>
      <c r="C65" s="242" t="s">
        <v>992</v>
      </c>
      <c r="D65" s="152" t="s">
        <v>993</v>
      </c>
      <c r="E65" s="153">
        <v>19</v>
      </c>
    </row>
    <row r="66" spans="2:5" x14ac:dyDescent="0.35">
      <c r="B66" s="36"/>
      <c r="C66" s="22"/>
      <c r="D66" s="22"/>
      <c r="E66" s="22"/>
    </row>
    <row r="67" spans="2:5" x14ac:dyDescent="0.35">
      <c r="B67" s="21" t="s">
        <v>994</v>
      </c>
      <c r="C67" s="25"/>
      <c r="D67" s="28"/>
      <c r="E67" s="37"/>
    </row>
    <row r="68" spans="2:5" x14ac:dyDescent="0.35">
      <c r="B68" s="35" t="s">
        <v>995</v>
      </c>
      <c r="C68" s="25"/>
      <c r="D68" s="28"/>
      <c r="E68" s="37"/>
    </row>
    <row r="69" spans="2:5" x14ac:dyDescent="0.35">
      <c r="B69" s="134" t="s">
        <v>996</v>
      </c>
      <c r="C69" s="151" t="s">
        <v>997</v>
      </c>
      <c r="D69" s="152" t="s">
        <v>998</v>
      </c>
      <c r="E69" s="153">
        <v>4</v>
      </c>
    </row>
    <row r="70" spans="2:5" x14ac:dyDescent="0.35">
      <c r="B70" s="134" t="s">
        <v>999</v>
      </c>
      <c r="C70" s="151" t="s">
        <v>1000</v>
      </c>
      <c r="D70" s="152" t="s">
        <v>1001</v>
      </c>
      <c r="E70" s="153">
        <v>8</v>
      </c>
    </row>
    <row r="71" spans="2:5" x14ac:dyDescent="0.35">
      <c r="B71" s="134" t="s">
        <v>1002</v>
      </c>
      <c r="C71" s="151" t="s">
        <v>1003</v>
      </c>
      <c r="D71" s="152" t="s">
        <v>1004</v>
      </c>
      <c r="E71" s="153">
        <v>11</v>
      </c>
    </row>
    <row r="72" spans="2:5" x14ac:dyDescent="0.35">
      <c r="B72" s="134" t="s">
        <v>1005</v>
      </c>
      <c r="C72" s="151" t="s">
        <v>1006</v>
      </c>
      <c r="D72" s="152" t="s">
        <v>1007</v>
      </c>
      <c r="E72" s="153">
        <v>37</v>
      </c>
    </row>
    <row r="73" spans="2:5" x14ac:dyDescent="0.35">
      <c r="B73" s="134" t="s">
        <v>1008</v>
      </c>
      <c r="C73" s="242" t="s">
        <v>1009</v>
      </c>
      <c r="D73" s="152" t="s">
        <v>1010</v>
      </c>
      <c r="E73" s="153">
        <v>12</v>
      </c>
    </row>
    <row r="74" spans="2:5" x14ac:dyDescent="0.35">
      <c r="B74" s="134" t="s">
        <v>1011</v>
      </c>
      <c r="C74" s="242" t="s">
        <v>1012</v>
      </c>
      <c r="D74" s="152" t="s">
        <v>1013</v>
      </c>
      <c r="E74" s="153">
        <v>12</v>
      </c>
    </row>
    <row r="75" spans="2:5" x14ac:dyDescent="0.35">
      <c r="B75" s="35" t="s">
        <v>1014</v>
      </c>
      <c r="C75" s="25"/>
      <c r="D75" s="25"/>
      <c r="E75" s="25"/>
    </row>
    <row r="76" spans="2:5" x14ac:dyDescent="0.35">
      <c r="B76" s="134" t="s">
        <v>1015</v>
      </c>
      <c r="C76" s="242" t="s">
        <v>1016</v>
      </c>
      <c r="D76" s="152" t="s">
        <v>1017</v>
      </c>
      <c r="E76" s="153">
        <v>29</v>
      </c>
    </row>
    <row r="77" spans="2:5" x14ac:dyDescent="0.35">
      <c r="B77" s="134" t="s">
        <v>1018</v>
      </c>
      <c r="C77" s="242" t="s">
        <v>1019</v>
      </c>
      <c r="D77" s="152" t="s">
        <v>1020</v>
      </c>
      <c r="E77" s="153">
        <v>29</v>
      </c>
    </row>
    <row r="78" spans="2:5" x14ac:dyDescent="0.35">
      <c r="B78" s="134" t="s">
        <v>1021</v>
      </c>
      <c r="C78" s="242" t="s">
        <v>1022</v>
      </c>
      <c r="D78" s="152" t="s">
        <v>1023</v>
      </c>
      <c r="E78" s="153">
        <v>29</v>
      </c>
    </row>
    <row r="79" spans="2:5" x14ac:dyDescent="0.35">
      <c r="B79" s="134" t="s">
        <v>1024</v>
      </c>
      <c r="C79" s="242" t="s">
        <v>1025</v>
      </c>
      <c r="D79" s="152" t="s">
        <v>1026</v>
      </c>
      <c r="E79" s="153">
        <v>51</v>
      </c>
    </row>
    <row r="80" spans="2:5" x14ac:dyDescent="0.35">
      <c r="B80" s="35" t="s">
        <v>1027</v>
      </c>
      <c r="C80" s="25"/>
      <c r="D80" s="25"/>
      <c r="E80" s="25"/>
    </row>
    <row r="81" spans="2:5" x14ac:dyDescent="0.35">
      <c r="B81" s="134" t="s">
        <v>1028</v>
      </c>
      <c r="C81" s="242" t="s">
        <v>1029</v>
      </c>
      <c r="D81" s="152" t="s">
        <v>1030</v>
      </c>
      <c r="E81" s="153">
        <v>89</v>
      </c>
    </row>
    <row r="82" spans="2:5" x14ac:dyDescent="0.35">
      <c r="B82" s="134" t="s">
        <v>1031</v>
      </c>
      <c r="C82" s="242" t="s">
        <v>1032</v>
      </c>
      <c r="D82" s="152" t="s">
        <v>1033</v>
      </c>
      <c r="E82" s="153">
        <v>99</v>
      </c>
    </row>
    <row r="83" spans="2:5" x14ac:dyDescent="0.35">
      <c r="B83" s="134" t="s">
        <v>1034</v>
      </c>
      <c r="C83" s="242" t="s">
        <v>1035</v>
      </c>
      <c r="D83" s="152" t="s">
        <v>1036</v>
      </c>
      <c r="E83" s="153">
        <v>131</v>
      </c>
    </row>
    <row r="84" spans="2:5" x14ac:dyDescent="0.35">
      <c r="B84" s="134" t="s">
        <v>1037</v>
      </c>
      <c r="C84" s="242" t="s">
        <v>1038</v>
      </c>
      <c r="D84" s="152" t="s">
        <v>1039</v>
      </c>
      <c r="E84" s="153">
        <v>205</v>
      </c>
    </row>
    <row r="85" spans="2:5" x14ac:dyDescent="0.35">
      <c r="B85" s="134" t="s">
        <v>1040</v>
      </c>
      <c r="C85" s="242" t="s">
        <v>1041</v>
      </c>
      <c r="D85" s="152" t="s">
        <v>1042</v>
      </c>
      <c r="E85" s="153">
        <v>342</v>
      </c>
    </row>
    <row r="86" spans="2:5" x14ac:dyDescent="0.35">
      <c r="B86" s="35" t="s">
        <v>1043</v>
      </c>
      <c r="C86" s="25"/>
      <c r="D86" s="25"/>
      <c r="E86" s="25"/>
    </row>
    <row r="87" spans="2:5" x14ac:dyDescent="0.35">
      <c r="B87" s="134" t="s">
        <v>1044</v>
      </c>
      <c r="C87" s="242" t="s">
        <v>1045</v>
      </c>
      <c r="D87" s="152" t="s">
        <v>1046</v>
      </c>
      <c r="E87" s="153">
        <v>9</v>
      </c>
    </row>
    <row r="88" spans="2:5" x14ac:dyDescent="0.35">
      <c r="B88" s="35" t="s">
        <v>1047</v>
      </c>
      <c r="C88" s="25"/>
      <c r="D88" s="25"/>
      <c r="E88" s="25"/>
    </row>
    <row r="89" spans="2:5" x14ac:dyDescent="0.35">
      <c r="B89" s="134" t="s">
        <v>1048</v>
      </c>
      <c r="C89" s="242" t="s">
        <v>1049</v>
      </c>
      <c r="D89" s="152" t="s">
        <v>1050</v>
      </c>
      <c r="E89" s="153">
        <v>9</v>
      </c>
    </row>
    <row r="90" spans="2:5" x14ac:dyDescent="0.35">
      <c r="B90" s="134" t="s">
        <v>1051</v>
      </c>
      <c r="C90" s="242" t="s">
        <v>1052</v>
      </c>
      <c r="D90" s="152" t="s">
        <v>1053</v>
      </c>
      <c r="E90" s="153">
        <v>27</v>
      </c>
    </row>
    <row r="91" spans="2:5" x14ac:dyDescent="0.35">
      <c r="B91" s="35" t="s">
        <v>1054</v>
      </c>
      <c r="C91" s="25"/>
      <c r="D91" s="25"/>
      <c r="E91" s="25"/>
    </row>
    <row r="92" spans="2:5" x14ac:dyDescent="0.35">
      <c r="B92" s="134" t="s">
        <v>1055</v>
      </c>
      <c r="C92" s="242" t="s">
        <v>1056</v>
      </c>
      <c r="D92" s="152" t="s">
        <v>1057</v>
      </c>
      <c r="E92" s="153">
        <v>37</v>
      </c>
    </row>
    <row r="93" spans="2:5" x14ac:dyDescent="0.35">
      <c r="B93" s="35" t="s">
        <v>1058</v>
      </c>
      <c r="C93" s="241"/>
      <c r="D93" s="40"/>
      <c r="E93" s="37"/>
    </row>
    <row r="94" spans="2:5" x14ac:dyDescent="0.35">
      <c r="B94" s="134" t="s">
        <v>1059</v>
      </c>
      <c r="C94" s="151" t="s">
        <v>1060</v>
      </c>
      <c r="D94" s="152" t="s">
        <v>1061</v>
      </c>
      <c r="E94" s="153">
        <v>70</v>
      </c>
    </row>
    <row r="95" spans="2:5" x14ac:dyDescent="0.35">
      <c r="B95" s="36"/>
      <c r="C95" s="22"/>
      <c r="D95" s="22"/>
      <c r="E95" s="22"/>
    </row>
    <row r="96" spans="2:5" x14ac:dyDescent="0.35">
      <c r="B96" s="21" t="s">
        <v>1062</v>
      </c>
      <c r="C96" s="25"/>
      <c r="D96" s="28"/>
      <c r="E96" s="37"/>
    </row>
    <row r="97" spans="2:5" x14ac:dyDescent="0.35">
      <c r="B97" s="35" t="s">
        <v>1063</v>
      </c>
      <c r="C97" s="25"/>
      <c r="D97" s="28"/>
      <c r="E97" s="37"/>
    </row>
    <row r="98" spans="2:5" x14ac:dyDescent="0.35">
      <c r="B98" s="134" t="s">
        <v>1064</v>
      </c>
      <c r="C98" s="242" t="s">
        <v>1065</v>
      </c>
      <c r="D98" s="152" t="s">
        <v>1066</v>
      </c>
      <c r="E98" s="153">
        <v>28</v>
      </c>
    </row>
    <row r="99" spans="2:5" x14ac:dyDescent="0.35">
      <c r="B99" s="134" t="s">
        <v>1067</v>
      </c>
      <c r="C99" s="242" t="s">
        <v>1068</v>
      </c>
      <c r="D99" s="152" t="s">
        <v>1069</v>
      </c>
      <c r="E99" s="153">
        <v>47</v>
      </c>
    </row>
    <row r="100" spans="2:5" x14ac:dyDescent="0.35">
      <c r="B100" s="134" t="s">
        <v>1070</v>
      </c>
      <c r="C100" s="242" t="s">
        <v>1071</v>
      </c>
      <c r="D100" s="152" t="s">
        <v>1072</v>
      </c>
      <c r="E100" s="153">
        <v>121</v>
      </c>
    </row>
    <row r="101" spans="2:5" x14ac:dyDescent="0.35">
      <c r="B101" s="134" t="s">
        <v>1073</v>
      </c>
      <c r="C101" s="242" t="s">
        <v>1074</v>
      </c>
      <c r="D101" s="152" t="s">
        <v>1075</v>
      </c>
      <c r="E101" s="153">
        <v>178</v>
      </c>
    </row>
    <row r="102" spans="2:5" x14ac:dyDescent="0.35">
      <c r="B102" s="134" t="s">
        <v>1076</v>
      </c>
      <c r="C102" s="151" t="s">
        <v>1077</v>
      </c>
      <c r="D102" s="152" t="s">
        <v>1078</v>
      </c>
      <c r="E102" s="153">
        <v>55</v>
      </c>
    </row>
    <row r="103" spans="2:5" x14ac:dyDescent="0.35">
      <c r="B103" s="134" t="s">
        <v>1079</v>
      </c>
      <c r="C103" s="151" t="s">
        <v>1080</v>
      </c>
      <c r="D103" s="152" t="s">
        <v>1081</v>
      </c>
      <c r="E103" s="153">
        <v>88</v>
      </c>
    </row>
    <row r="104" spans="2:5" x14ac:dyDescent="0.35">
      <c r="B104" s="134" t="s">
        <v>1082</v>
      </c>
      <c r="C104" s="151" t="s">
        <v>1083</v>
      </c>
      <c r="D104" s="152" t="s">
        <v>1084</v>
      </c>
      <c r="E104" s="153">
        <v>150</v>
      </c>
    </row>
    <row r="105" spans="2:5" x14ac:dyDescent="0.35">
      <c r="B105" s="35" t="s">
        <v>1085</v>
      </c>
      <c r="C105" s="25"/>
      <c r="D105" s="25"/>
      <c r="E105" s="25"/>
    </row>
    <row r="106" spans="2:5" x14ac:dyDescent="0.35">
      <c r="B106" s="134" t="s">
        <v>1086</v>
      </c>
      <c r="C106" s="242" t="s">
        <v>1087</v>
      </c>
      <c r="D106" s="152" t="s">
        <v>1088</v>
      </c>
      <c r="E106" s="153">
        <v>420</v>
      </c>
    </row>
    <row r="107" spans="2:5" x14ac:dyDescent="0.35">
      <c r="B107" s="134" t="s">
        <v>1089</v>
      </c>
      <c r="C107" s="242" t="s">
        <v>1090</v>
      </c>
      <c r="D107" s="152" t="s">
        <v>1091</v>
      </c>
      <c r="E107" s="153">
        <v>420</v>
      </c>
    </row>
    <row r="108" spans="2:5" x14ac:dyDescent="0.35">
      <c r="B108" s="134" t="s">
        <v>1092</v>
      </c>
      <c r="C108" s="242" t="s">
        <v>1093</v>
      </c>
      <c r="D108" s="152" t="s">
        <v>1094</v>
      </c>
      <c r="E108" s="153">
        <v>398</v>
      </c>
    </row>
    <row r="109" spans="2:5" x14ac:dyDescent="0.35">
      <c r="B109" s="134" t="s">
        <v>1095</v>
      </c>
      <c r="C109" s="242" t="s">
        <v>1096</v>
      </c>
      <c r="D109" s="152" t="s">
        <v>1097</v>
      </c>
      <c r="E109" s="153">
        <v>83</v>
      </c>
    </row>
    <row r="110" spans="2:5" x14ac:dyDescent="0.35">
      <c r="B110" s="134" t="s">
        <v>1098</v>
      </c>
      <c r="C110" s="242" t="s">
        <v>1099</v>
      </c>
      <c r="D110" s="152" t="s">
        <v>1100</v>
      </c>
      <c r="E110" s="153">
        <v>31</v>
      </c>
    </row>
    <row r="111" spans="2:5" x14ac:dyDescent="0.35">
      <c r="B111" s="134" t="s">
        <v>1101</v>
      </c>
      <c r="C111" s="242" t="s">
        <v>1102</v>
      </c>
      <c r="D111" s="152" t="s">
        <v>1103</v>
      </c>
      <c r="E111" s="153">
        <v>37</v>
      </c>
    </row>
    <row r="112" spans="2:5" x14ac:dyDescent="0.35">
      <c r="B112" s="134" t="s">
        <v>1104</v>
      </c>
      <c r="C112" s="242" t="s">
        <v>1105</v>
      </c>
      <c r="D112" s="152" t="s">
        <v>1106</v>
      </c>
      <c r="E112" s="153">
        <v>10</v>
      </c>
    </row>
    <row r="113" spans="2:5" x14ac:dyDescent="0.35">
      <c r="B113" s="36"/>
      <c r="C113" s="22"/>
      <c r="D113" s="22"/>
      <c r="E113" s="22"/>
    </row>
    <row r="114" spans="2:5" x14ac:dyDescent="0.35">
      <c r="B114" s="21" t="s">
        <v>1107</v>
      </c>
      <c r="C114" s="25"/>
      <c r="D114" s="28"/>
      <c r="E114" s="28"/>
    </row>
    <row r="115" spans="2:5" x14ac:dyDescent="0.35">
      <c r="B115" s="35" t="s">
        <v>1108</v>
      </c>
      <c r="C115" s="25"/>
      <c r="D115" s="28"/>
      <c r="E115" s="28"/>
    </row>
    <row r="116" spans="2:5" x14ac:dyDescent="0.35">
      <c r="B116" s="134" t="s">
        <v>1109</v>
      </c>
      <c r="C116" s="151" t="s">
        <v>1110</v>
      </c>
      <c r="D116" s="152" t="s">
        <v>1111</v>
      </c>
      <c r="E116" s="153">
        <v>37</v>
      </c>
    </row>
    <row r="117" spans="2:5" x14ac:dyDescent="0.35">
      <c r="B117" s="134" t="s">
        <v>1112</v>
      </c>
      <c r="C117" s="151" t="s">
        <v>1113</v>
      </c>
      <c r="D117" s="152" t="s">
        <v>1114</v>
      </c>
      <c r="E117" s="153">
        <v>51</v>
      </c>
    </row>
    <row r="118" spans="2:5" x14ac:dyDescent="0.35">
      <c r="B118" s="134" t="s">
        <v>1115</v>
      </c>
      <c r="C118" s="151" t="s">
        <v>1116</v>
      </c>
      <c r="D118" s="152" t="s">
        <v>1117</v>
      </c>
      <c r="E118" s="153">
        <v>70</v>
      </c>
    </row>
    <row r="119" spans="2:5" x14ac:dyDescent="0.35">
      <c r="B119" s="35" t="s">
        <v>1118</v>
      </c>
      <c r="C119" s="25"/>
      <c r="D119" s="25"/>
      <c r="E119" s="25"/>
    </row>
    <row r="120" spans="2:5" x14ac:dyDescent="0.35">
      <c r="B120" s="134" t="s">
        <v>1119</v>
      </c>
      <c r="C120" s="151" t="s">
        <v>1120</v>
      </c>
      <c r="D120" s="152" t="s">
        <v>1121</v>
      </c>
      <c r="E120" s="153">
        <v>98</v>
      </c>
    </row>
    <row r="121" spans="2:5" x14ac:dyDescent="0.35">
      <c r="B121" s="134" t="s">
        <v>1122</v>
      </c>
      <c r="C121" s="242" t="s">
        <v>1123</v>
      </c>
      <c r="D121" s="152" t="s">
        <v>1124</v>
      </c>
      <c r="E121" s="153">
        <v>101</v>
      </c>
    </row>
    <row r="122" spans="2:5" x14ac:dyDescent="0.35">
      <c r="B122" s="134" t="s">
        <v>1125</v>
      </c>
      <c r="C122" s="242" t="s">
        <v>1126</v>
      </c>
      <c r="D122" s="152" t="s">
        <v>1127</v>
      </c>
      <c r="E122" s="153">
        <v>121</v>
      </c>
    </row>
    <row r="123" spans="2:5" x14ac:dyDescent="0.35">
      <c r="B123" s="134" t="s">
        <v>1128</v>
      </c>
      <c r="C123" s="242" t="s">
        <v>1129</v>
      </c>
      <c r="D123" s="152" t="s">
        <v>1130</v>
      </c>
      <c r="E123" s="153">
        <v>367</v>
      </c>
    </row>
    <row r="124" spans="2:5" x14ac:dyDescent="0.35">
      <c r="B124" s="134" t="s">
        <v>1131</v>
      </c>
      <c r="C124" s="242" t="s">
        <v>1132</v>
      </c>
      <c r="D124" s="152" t="s">
        <v>1133</v>
      </c>
      <c r="E124" s="153">
        <v>103</v>
      </c>
    </row>
    <row r="125" spans="2:5" x14ac:dyDescent="0.35">
      <c r="B125" s="35" t="s">
        <v>1134</v>
      </c>
      <c r="C125" s="25"/>
      <c r="D125" s="25"/>
      <c r="E125" s="25"/>
    </row>
    <row r="126" spans="2:5" x14ac:dyDescent="0.35">
      <c r="B126" s="134" t="s">
        <v>1135</v>
      </c>
      <c r="C126" s="151" t="s">
        <v>1136</v>
      </c>
      <c r="D126" s="152" t="s">
        <v>1137</v>
      </c>
      <c r="E126" s="153">
        <v>21</v>
      </c>
    </row>
    <row r="127" spans="2:5" x14ac:dyDescent="0.35">
      <c r="B127" s="134" t="s">
        <v>1138</v>
      </c>
      <c r="C127" s="151" t="s">
        <v>1139</v>
      </c>
      <c r="D127" s="152" t="s">
        <v>1140</v>
      </c>
      <c r="E127" s="153">
        <v>49</v>
      </c>
    </row>
    <row r="128" spans="2:5" x14ac:dyDescent="0.35">
      <c r="B128" s="134" t="s">
        <v>1141</v>
      </c>
      <c r="C128" s="151" t="s">
        <v>1142</v>
      </c>
      <c r="D128" s="152" t="s">
        <v>1143</v>
      </c>
      <c r="E128" s="153">
        <v>65</v>
      </c>
    </row>
    <row r="129" spans="2:5" x14ac:dyDescent="0.35">
      <c r="B129" s="134" t="s">
        <v>1144</v>
      </c>
      <c r="C129" s="242" t="s">
        <v>1145</v>
      </c>
      <c r="D129" s="152" t="s">
        <v>1146</v>
      </c>
      <c r="E129" s="153">
        <v>31</v>
      </c>
    </row>
    <row r="130" spans="2:5" x14ac:dyDescent="0.35">
      <c r="B130" s="134" t="s">
        <v>1147</v>
      </c>
      <c r="C130" s="242" t="s">
        <v>1148</v>
      </c>
      <c r="D130" s="152" t="s">
        <v>1149</v>
      </c>
      <c r="E130" s="153">
        <v>37</v>
      </c>
    </row>
    <row r="131" spans="2:5" x14ac:dyDescent="0.35">
      <c r="B131" s="134" t="s">
        <v>1150</v>
      </c>
      <c r="C131" s="242" t="s">
        <v>1151</v>
      </c>
      <c r="D131" s="152" t="s">
        <v>1152</v>
      </c>
      <c r="E131" s="153">
        <v>48</v>
      </c>
    </row>
    <row r="132" spans="2:5" x14ac:dyDescent="0.35">
      <c r="B132" s="134" t="s">
        <v>1153</v>
      </c>
      <c r="C132" s="242" t="s">
        <v>1154</v>
      </c>
      <c r="D132" s="152" t="s">
        <v>1155</v>
      </c>
      <c r="E132" s="153">
        <v>35</v>
      </c>
    </row>
    <row r="133" spans="2:5" x14ac:dyDescent="0.35">
      <c r="B133" s="134" t="s">
        <v>1156</v>
      </c>
      <c r="C133" s="242" t="s">
        <v>1157</v>
      </c>
      <c r="D133" s="152" t="s">
        <v>1158</v>
      </c>
      <c r="E133" s="153">
        <v>48</v>
      </c>
    </row>
    <row r="134" spans="2:5" x14ac:dyDescent="0.35">
      <c r="B134" s="156" t="s">
        <v>1159</v>
      </c>
      <c r="C134" s="242" t="s">
        <v>1160</v>
      </c>
      <c r="D134" s="152" t="s">
        <v>1161</v>
      </c>
      <c r="E134" s="153">
        <v>59</v>
      </c>
    </row>
    <row r="135" spans="2:5" x14ac:dyDescent="0.35">
      <c r="B135" s="134" t="s">
        <v>1162</v>
      </c>
      <c r="C135" s="242" t="s">
        <v>1163</v>
      </c>
      <c r="D135" s="152" t="s">
        <v>1164</v>
      </c>
      <c r="E135" s="153">
        <v>83</v>
      </c>
    </row>
    <row r="136" spans="2:5" x14ac:dyDescent="0.35">
      <c r="B136" s="35" t="s">
        <v>1165</v>
      </c>
      <c r="C136" s="25"/>
      <c r="D136" s="25"/>
      <c r="E136" s="25"/>
    </row>
    <row r="137" spans="2:5" x14ac:dyDescent="0.35">
      <c r="B137" s="134" t="s">
        <v>1166</v>
      </c>
      <c r="C137" s="151" t="s">
        <v>1167</v>
      </c>
      <c r="D137" s="152" t="s">
        <v>1168</v>
      </c>
      <c r="E137" s="153">
        <v>95</v>
      </c>
    </row>
    <row r="138" spans="2:5" x14ac:dyDescent="0.35">
      <c r="B138" s="134" t="s">
        <v>1169</v>
      </c>
      <c r="C138" s="151" t="s">
        <v>1170</v>
      </c>
      <c r="D138" s="152" t="s">
        <v>1171</v>
      </c>
      <c r="E138" s="153">
        <v>125</v>
      </c>
    </row>
    <row r="139" spans="2:5" x14ac:dyDescent="0.35">
      <c r="B139" s="134" t="s">
        <v>1172</v>
      </c>
      <c r="C139" s="151" t="s">
        <v>1173</v>
      </c>
      <c r="D139" s="152" t="s">
        <v>1174</v>
      </c>
      <c r="E139" s="153">
        <v>35</v>
      </c>
    </row>
    <row r="140" spans="2:5" x14ac:dyDescent="0.35">
      <c r="B140" s="134" t="s">
        <v>1175</v>
      </c>
      <c r="C140" s="151" t="s">
        <v>1176</v>
      </c>
      <c r="D140" s="152" t="s">
        <v>1177</v>
      </c>
      <c r="E140" s="153">
        <v>285</v>
      </c>
    </row>
    <row r="141" spans="2:5" x14ac:dyDescent="0.35">
      <c r="B141" s="134" t="s">
        <v>1178</v>
      </c>
      <c r="C141" s="242" t="s">
        <v>1179</v>
      </c>
      <c r="D141" s="152" t="s">
        <v>1180</v>
      </c>
      <c r="E141" s="153">
        <v>94</v>
      </c>
    </row>
    <row r="142" spans="2:5" x14ac:dyDescent="0.35">
      <c r="B142" s="134" t="s">
        <v>1181</v>
      </c>
      <c r="C142" s="242" t="s">
        <v>1182</v>
      </c>
      <c r="D142" s="152" t="s">
        <v>1183</v>
      </c>
      <c r="E142" s="153">
        <v>157</v>
      </c>
    </row>
    <row r="143" spans="2:5" x14ac:dyDescent="0.35">
      <c r="B143" s="134" t="s">
        <v>1184</v>
      </c>
      <c r="C143" s="242" t="s">
        <v>1185</v>
      </c>
      <c r="D143" s="152" t="s">
        <v>1186</v>
      </c>
      <c r="E143" s="153">
        <v>103</v>
      </c>
    </row>
    <row r="144" spans="2:5" x14ac:dyDescent="0.35">
      <c r="B144" s="134" t="s">
        <v>1187</v>
      </c>
      <c r="C144" s="242" t="s">
        <v>1188</v>
      </c>
      <c r="D144" s="152" t="s">
        <v>1189</v>
      </c>
      <c r="E144" s="153">
        <v>137</v>
      </c>
    </row>
    <row r="145" spans="2:5" x14ac:dyDescent="0.35">
      <c r="B145" s="134" t="s">
        <v>1190</v>
      </c>
      <c r="C145" s="242" t="s">
        <v>1191</v>
      </c>
      <c r="D145" s="152" t="s">
        <v>1192</v>
      </c>
      <c r="E145" s="153">
        <v>113</v>
      </c>
    </row>
    <row r="146" spans="2:5" x14ac:dyDescent="0.35">
      <c r="B146" s="36"/>
      <c r="C146" s="22"/>
      <c r="D146" s="22"/>
      <c r="E146" s="22"/>
    </row>
    <row r="147" spans="2:5" x14ac:dyDescent="0.35">
      <c r="B147" s="21" t="s">
        <v>1193</v>
      </c>
      <c r="C147" s="27"/>
      <c r="D147" s="28"/>
      <c r="E147" s="37"/>
    </row>
    <row r="148" spans="2:5" x14ac:dyDescent="0.35">
      <c r="B148" s="35" t="s">
        <v>1194</v>
      </c>
      <c r="C148" s="27"/>
      <c r="D148" s="27"/>
      <c r="E148" s="27"/>
    </row>
    <row r="149" spans="2:5" x14ac:dyDescent="0.35">
      <c r="B149" s="134" t="s">
        <v>1195</v>
      </c>
      <c r="C149" s="242" t="s">
        <v>1196</v>
      </c>
      <c r="D149" s="152" t="s">
        <v>1197</v>
      </c>
      <c r="E149" s="153">
        <v>103</v>
      </c>
    </row>
    <row r="150" spans="2:5" x14ac:dyDescent="0.35">
      <c r="B150" s="36"/>
      <c r="C150" s="22"/>
      <c r="D150" s="22"/>
      <c r="E150" s="22"/>
    </row>
    <row r="151" spans="2:5" x14ac:dyDescent="0.35">
      <c r="B151" s="21" t="s">
        <v>1198</v>
      </c>
      <c r="C151" s="25"/>
      <c r="D151" s="28"/>
      <c r="E151" s="37"/>
    </row>
    <row r="152" spans="2:5" x14ac:dyDescent="0.35">
      <c r="B152" s="134" t="s">
        <v>1199</v>
      </c>
      <c r="C152" s="151" t="s">
        <v>1200</v>
      </c>
      <c r="D152" s="152" t="s">
        <v>1201</v>
      </c>
      <c r="E152" s="153">
        <v>23</v>
      </c>
    </row>
    <row r="153" spans="2:5" x14ac:dyDescent="0.35">
      <c r="B153" s="134" t="s">
        <v>1202</v>
      </c>
      <c r="C153" s="151" t="s">
        <v>1203</v>
      </c>
      <c r="D153" s="152" t="s">
        <v>1204</v>
      </c>
      <c r="E153" s="153">
        <v>27</v>
      </c>
    </row>
    <row r="154" spans="2:5" x14ac:dyDescent="0.35">
      <c r="B154" s="134" t="s">
        <v>1205</v>
      </c>
      <c r="C154" s="151" t="s">
        <v>1206</v>
      </c>
      <c r="D154" s="152" t="s">
        <v>1207</v>
      </c>
      <c r="E154" s="153">
        <v>38</v>
      </c>
    </row>
    <row r="155" spans="2:5" x14ac:dyDescent="0.35">
      <c r="B155" s="134" t="s">
        <v>1208</v>
      </c>
      <c r="C155" s="151" t="s">
        <v>1209</v>
      </c>
      <c r="D155" s="152" t="s">
        <v>1210</v>
      </c>
      <c r="E155" s="153">
        <v>675</v>
      </c>
    </row>
    <row r="156" spans="2:5" x14ac:dyDescent="0.35">
      <c r="B156" s="134" t="s">
        <v>1211</v>
      </c>
      <c r="C156" s="151" t="s">
        <v>1212</v>
      </c>
      <c r="D156" s="152" t="s">
        <v>1213</v>
      </c>
      <c r="E156" s="153">
        <v>841</v>
      </c>
    </row>
    <row r="157" spans="2:5" x14ac:dyDescent="0.35">
      <c r="B157" s="36"/>
      <c r="C157" s="25"/>
      <c r="D157" s="28"/>
      <c r="E157" s="28"/>
    </row>
    <row r="158" spans="2:5" x14ac:dyDescent="0.35">
      <c r="B158" s="21" t="s">
        <v>1214</v>
      </c>
      <c r="C158" s="25"/>
      <c r="D158" s="28"/>
      <c r="E158" s="28"/>
    </row>
    <row r="159" spans="2:5" x14ac:dyDescent="0.35">
      <c r="B159" s="35" t="s">
        <v>1215</v>
      </c>
      <c r="C159" s="25"/>
      <c r="D159" s="28"/>
      <c r="E159" s="28"/>
    </row>
    <row r="160" spans="2:5" s="26" customFormat="1" x14ac:dyDescent="0.35">
      <c r="B160" s="134" t="s">
        <v>1216</v>
      </c>
      <c r="C160" s="151"/>
      <c r="D160" s="152" t="s">
        <v>1217</v>
      </c>
      <c r="E160" s="153">
        <v>115</v>
      </c>
    </row>
    <row r="161" spans="2:5" s="26" customFormat="1" x14ac:dyDescent="0.35">
      <c r="B161" s="134" t="s">
        <v>1218</v>
      </c>
      <c r="C161" s="151"/>
      <c r="D161" s="152" t="s">
        <v>1219</v>
      </c>
      <c r="E161" s="153">
        <v>115</v>
      </c>
    </row>
    <row r="162" spans="2:5" s="26" customFormat="1" x14ac:dyDescent="0.35">
      <c r="B162" s="134" t="s">
        <v>1220</v>
      </c>
      <c r="C162" s="151"/>
      <c r="D162" s="152" t="s">
        <v>1221</v>
      </c>
      <c r="E162" s="153">
        <v>110</v>
      </c>
    </row>
    <row r="163" spans="2:5" x14ac:dyDescent="0.35">
      <c r="B163" s="134" t="s">
        <v>1222</v>
      </c>
      <c r="C163" s="151"/>
      <c r="D163" s="152" t="s">
        <v>1223</v>
      </c>
      <c r="E163" s="153">
        <v>156</v>
      </c>
    </row>
    <row r="164" spans="2:5" x14ac:dyDescent="0.35">
      <c r="B164" s="134" t="s">
        <v>1224</v>
      </c>
      <c r="C164" s="151"/>
      <c r="D164" s="152" t="s">
        <v>1225</v>
      </c>
      <c r="E164" s="153">
        <v>150</v>
      </c>
    </row>
    <row r="165" spans="2:5" s="26" customFormat="1" x14ac:dyDescent="0.35">
      <c r="B165" s="134" t="s">
        <v>1226</v>
      </c>
      <c r="C165" s="151"/>
      <c r="D165" s="152" t="s">
        <v>1227</v>
      </c>
      <c r="E165" s="153">
        <v>175</v>
      </c>
    </row>
    <row r="166" spans="2:5" s="26" customFormat="1" x14ac:dyDescent="0.35">
      <c r="B166" s="134" t="s">
        <v>1228</v>
      </c>
      <c r="C166" s="151"/>
      <c r="D166" s="152" t="s">
        <v>1229</v>
      </c>
      <c r="E166" s="153">
        <v>210</v>
      </c>
    </row>
    <row r="167" spans="2:5" s="26" customFormat="1" x14ac:dyDescent="0.35">
      <c r="B167" s="134" t="s">
        <v>1230</v>
      </c>
      <c r="C167" s="151"/>
      <c r="D167" s="152" t="s">
        <v>1231</v>
      </c>
      <c r="E167" s="153">
        <v>212</v>
      </c>
    </row>
    <row r="168" spans="2:5" s="26" customFormat="1" x14ac:dyDescent="0.35">
      <c r="B168" s="134" t="s">
        <v>1232</v>
      </c>
      <c r="C168" s="151"/>
      <c r="D168" s="152" t="s">
        <v>1233</v>
      </c>
      <c r="E168" s="153">
        <v>235</v>
      </c>
    </row>
    <row r="169" spans="2:5" x14ac:dyDescent="0.35">
      <c r="B169" s="134" t="s">
        <v>1234</v>
      </c>
      <c r="C169" s="151"/>
      <c r="D169" s="152" t="s">
        <v>1235</v>
      </c>
      <c r="E169" s="153">
        <v>179</v>
      </c>
    </row>
    <row r="170" spans="2:5" x14ac:dyDescent="0.35">
      <c r="B170" s="134" t="s">
        <v>1236</v>
      </c>
      <c r="C170" s="151"/>
      <c r="D170" s="152" t="s">
        <v>1237</v>
      </c>
      <c r="E170" s="153">
        <v>173</v>
      </c>
    </row>
    <row r="171" spans="2:5" x14ac:dyDescent="0.35">
      <c r="B171" s="134" t="s">
        <v>1238</v>
      </c>
      <c r="C171" s="151"/>
      <c r="D171" s="152" t="s">
        <v>1239</v>
      </c>
      <c r="E171" s="153">
        <v>196</v>
      </c>
    </row>
    <row r="172" spans="2:5" s="26" customFormat="1" x14ac:dyDescent="0.35">
      <c r="B172" s="134" t="s">
        <v>1240</v>
      </c>
      <c r="C172" s="151"/>
      <c r="D172" s="152" t="s">
        <v>1241</v>
      </c>
      <c r="E172" s="153">
        <v>261</v>
      </c>
    </row>
    <row r="173" spans="2:5" s="26" customFormat="1" x14ac:dyDescent="0.35">
      <c r="B173" s="134" t="s">
        <v>1242</v>
      </c>
      <c r="C173" s="151"/>
      <c r="D173" s="152" t="s">
        <v>1243</v>
      </c>
      <c r="E173" s="153">
        <v>283</v>
      </c>
    </row>
    <row r="174" spans="2:5" x14ac:dyDescent="0.35">
      <c r="B174" s="134" t="s">
        <v>1244</v>
      </c>
      <c r="C174" s="151"/>
      <c r="D174" s="152" t="s">
        <v>1245</v>
      </c>
      <c r="E174" s="153">
        <v>312</v>
      </c>
    </row>
    <row r="175" spans="2:5" x14ac:dyDescent="0.35">
      <c r="B175" s="134" t="s">
        <v>1246</v>
      </c>
      <c r="C175" s="151"/>
      <c r="D175" s="152" t="s">
        <v>1247</v>
      </c>
      <c r="E175" s="153">
        <v>419</v>
      </c>
    </row>
    <row r="176" spans="2:5" x14ac:dyDescent="0.35">
      <c r="B176" s="35" t="s">
        <v>1248</v>
      </c>
      <c r="C176" s="25"/>
      <c r="D176" s="28"/>
      <c r="E176" s="37"/>
    </row>
    <row r="177" spans="2:5" x14ac:dyDescent="0.35">
      <c r="B177" s="134" t="s">
        <v>1249</v>
      </c>
      <c r="C177" s="151"/>
      <c r="D177" s="152" t="s">
        <v>1250</v>
      </c>
      <c r="E177" s="153">
        <v>173</v>
      </c>
    </row>
    <row r="178" spans="2:5" x14ac:dyDescent="0.35">
      <c r="B178" s="134" t="s">
        <v>1251</v>
      </c>
      <c r="C178" s="151"/>
      <c r="D178" s="152" t="s">
        <v>1252</v>
      </c>
      <c r="E178" s="153">
        <v>166</v>
      </c>
    </row>
    <row r="179" spans="2:5" x14ac:dyDescent="0.35">
      <c r="B179" s="134" t="s">
        <v>1253</v>
      </c>
      <c r="C179" s="151"/>
      <c r="D179" s="152" t="s">
        <v>1254</v>
      </c>
      <c r="E179" s="153">
        <v>227</v>
      </c>
    </row>
    <row r="180" spans="2:5" x14ac:dyDescent="0.35">
      <c r="B180" s="134" t="s">
        <v>1255</v>
      </c>
      <c r="C180" s="151"/>
      <c r="D180" s="152" t="s">
        <v>1256</v>
      </c>
      <c r="E180" s="153">
        <v>293</v>
      </c>
    </row>
    <row r="181" spans="2:5" x14ac:dyDescent="0.35">
      <c r="B181" s="134" t="s">
        <v>1257</v>
      </c>
      <c r="C181" s="151"/>
      <c r="D181" s="152" t="s">
        <v>1258</v>
      </c>
      <c r="E181" s="153">
        <v>309</v>
      </c>
    </row>
    <row r="182" spans="2:5" x14ac:dyDescent="0.35">
      <c r="B182" s="134" t="s">
        <v>1259</v>
      </c>
      <c r="C182" s="151"/>
      <c r="D182" s="152" t="s">
        <v>1260</v>
      </c>
      <c r="E182" s="153">
        <v>416</v>
      </c>
    </row>
    <row r="183" spans="2:5" x14ac:dyDescent="0.35">
      <c r="B183" s="134" t="s">
        <v>1261</v>
      </c>
      <c r="C183" s="151"/>
      <c r="D183" s="152" t="s">
        <v>1262</v>
      </c>
      <c r="E183" s="153">
        <v>656</v>
      </c>
    </row>
    <row r="184" spans="2:5" x14ac:dyDescent="0.35">
      <c r="B184" s="134" t="s">
        <v>1263</v>
      </c>
      <c r="C184" s="151"/>
      <c r="D184" s="152" t="s">
        <v>1264</v>
      </c>
      <c r="E184" s="153">
        <v>634</v>
      </c>
    </row>
    <row r="185" spans="2:5" x14ac:dyDescent="0.35">
      <c r="B185" s="134" t="s">
        <v>1265</v>
      </c>
      <c r="C185" s="151"/>
      <c r="D185" s="152" t="s">
        <v>1266</v>
      </c>
      <c r="E185" s="153">
        <v>859</v>
      </c>
    </row>
    <row r="186" spans="2:5" x14ac:dyDescent="0.35">
      <c r="B186" s="134" t="s">
        <v>1267</v>
      </c>
      <c r="C186" s="151"/>
      <c r="D186" s="167" t="s">
        <v>1268</v>
      </c>
      <c r="E186" s="153">
        <v>719</v>
      </c>
    </row>
    <row r="187" spans="2:5" x14ac:dyDescent="0.35">
      <c r="B187" s="134" t="s">
        <v>1269</v>
      </c>
      <c r="C187" s="151"/>
      <c r="D187" s="152" t="s">
        <v>1270</v>
      </c>
      <c r="E187" s="153">
        <v>975</v>
      </c>
    </row>
    <row r="188" spans="2:5" x14ac:dyDescent="0.35">
      <c r="B188" s="35" t="s">
        <v>1271</v>
      </c>
      <c r="C188" s="25"/>
      <c r="D188" s="28"/>
      <c r="E188" s="37"/>
    </row>
    <row r="189" spans="2:5" s="26" customFormat="1" x14ac:dyDescent="0.35">
      <c r="B189" s="134" t="s">
        <v>1272</v>
      </c>
      <c r="C189" s="151"/>
      <c r="D189" s="152" t="s">
        <v>1273</v>
      </c>
      <c r="E189" s="153">
        <v>276</v>
      </c>
    </row>
    <row r="190" spans="2:5" s="26" customFormat="1" x14ac:dyDescent="0.35">
      <c r="B190" s="134" t="s">
        <v>1274</v>
      </c>
      <c r="C190" s="151"/>
      <c r="D190" s="152" t="s">
        <v>1275</v>
      </c>
      <c r="E190" s="153">
        <v>376</v>
      </c>
    </row>
    <row r="191" spans="2:5" s="26" customFormat="1" x14ac:dyDescent="0.35">
      <c r="B191" s="134" t="s">
        <v>1276</v>
      </c>
      <c r="C191" s="151"/>
      <c r="D191" s="152" t="s">
        <v>1277</v>
      </c>
      <c r="E191" s="153">
        <v>521</v>
      </c>
    </row>
    <row r="192" spans="2:5" x14ac:dyDescent="0.35">
      <c r="B192" s="27" t="s">
        <v>1278</v>
      </c>
      <c r="C192" s="25"/>
      <c r="D192" s="28"/>
      <c r="E192" s="37"/>
    </row>
    <row r="193" spans="2:5" x14ac:dyDescent="0.35">
      <c r="B193" s="142" t="s">
        <v>1279</v>
      </c>
      <c r="C193" s="143"/>
      <c r="D193" s="144" t="s">
        <v>1280</v>
      </c>
      <c r="E193" s="300">
        <v>5</v>
      </c>
    </row>
    <row r="194" spans="2:5" x14ac:dyDescent="0.35">
      <c r="B194" s="142" t="s">
        <v>1281</v>
      </c>
      <c r="C194" s="143"/>
      <c r="D194" s="144" t="s">
        <v>1282</v>
      </c>
      <c r="E194" s="300">
        <v>8</v>
      </c>
    </row>
    <row r="195" spans="2:5" x14ac:dyDescent="0.35">
      <c r="B195" s="142" t="s">
        <v>1283</v>
      </c>
      <c r="C195" s="143"/>
      <c r="D195" s="144" t="s">
        <v>1284</v>
      </c>
      <c r="E195" s="300">
        <v>9</v>
      </c>
    </row>
    <row r="196" spans="2:5" x14ac:dyDescent="0.35">
      <c r="B196" s="142" t="s">
        <v>1285</v>
      </c>
      <c r="C196" s="143"/>
      <c r="D196" s="144" t="s">
        <v>1286</v>
      </c>
      <c r="E196" s="300">
        <v>17</v>
      </c>
    </row>
    <row r="197" spans="2:5" x14ac:dyDescent="0.35">
      <c r="B197" s="27" t="s">
        <v>1287</v>
      </c>
      <c r="C197" s="25"/>
      <c r="D197" s="28"/>
      <c r="E197" s="37"/>
    </row>
    <row r="198" spans="2:5" x14ac:dyDescent="0.35">
      <c r="B198" s="142" t="s">
        <v>1288</v>
      </c>
      <c r="C198" s="143"/>
      <c r="D198" s="144" t="s">
        <v>1289</v>
      </c>
      <c r="E198" s="300">
        <v>16</v>
      </c>
    </row>
    <row r="199" spans="2:5" x14ac:dyDescent="0.35">
      <c r="B199" s="142" t="s">
        <v>1290</v>
      </c>
      <c r="C199" s="143"/>
      <c r="D199" s="144" t="s">
        <v>1291</v>
      </c>
      <c r="E199" s="300">
        <v>33</v>
      </c>
    </row>
    <row r="200" spans="2:5" x14ac:dyDescent="0.35">
      <c r="B200" s="142" t="s">
        <v>1292</v>
      </c>
      <c r="C200" s="143"/>
      <c r="D200" s="144" t="s">
        <v>1293</v>
      </c>
      <c r="E200" s="300">
        <v>22</v>
      </c>
    </row>
    <row r="201" spans="2:5" x14ac:dyDescent="0.35">
      <c r="B201" s="142" t="s">
        <v>1294</v>
      </c>
      <c r="C201" s="143"/>
      <c r="D201" s="144" t="s">
        <v>1295</v>
      </c>
      <c r="E201" s="300">
        <v>43</v>
      </c>
    </row>
    <row r="202" spans="2:5" x14ac:dyDescent="0.35">
      <c r="B202" s="24"/>
      <c r="C202" s="1"/>
      <c r="D202" s="1"/>
      <c r="E202" s="1"/>
    </row>
    <row r="203" spans="2:5" s="4" customFormat="1" ht="13" x14ac:dyDescent="0.3">
      <c r="B203" s="19" t="s">
        <v>1296</v>
      </c>
      <c r="C203" s="6"/>
      <c r="D203" s="7"/>
    </row>
    <row r="204" spans="2:5" s="4" customFormat="1" ht="13" x14ac:dyDescent="0.3">
      <c r="B204" s="38" t="s">
        <v>1297</v>
      </c>
      <c r="C204" s="6"/>
      <c r="D204" s="7"/>
    </row>
    <row r="205" spans="2:5" s="4" customFormat="1" ht="13" x14ac:dyDescent="0.3">
      <c r="B205" s="301" t="s">
        <v>1298</v>
      </c>
      <c r="C205" s="301"/>
      <c r="D205" s="302" t="s">
        <v>1299</v>
      </c>
      <c r="E205" s="303">
        <v>39</v>
      </c>
    </row>
    <row r="206" spans="2:5" s="4" customFormat="1" ht="13" x14ac:dyDescent="0.3">
      <c r="B206" s="301" t="s">
        <v>1300</v>
      </c>
      <c r="C206" s="301"/>
      <c r="D206" s="302" t="s">
        <v>1301</v>
      </c>
      <c r="E206" s="303">
        <v>49</v>
      </c>
    </row>
    <row r="207" spans="2:5" s="4" customFormat="1" ht="13" x14ac:dyDescent="0.3">
      <c r="B207" s="301" t="s">
        <v>1302</v>
      </c>
      <c r="C207" s="301"/>
      <c r="D207" s="302" t="s">
        <v>1303</v>
      </c>
      <c r="E207" s="303">
        <v>58</v>
      </c>
    </row>
    <row r="208" spans="2:5" s="4" customFormat="1" ht="13" x14ac:dyDescent="0.3">
      <c r="B208" s="38" t="s">
        <v>1304</v>
      </c>
      <c r="C208" s="6"/>
      <c r="D208" s="7"/>
      <c r="E208" s="8"/>
    </row>
    <row r="209" spans="2:5" s="4" customFormat="1" ht="13" x14ac:dyDescent="0.3">
      <c r="B209" s="301" t="s">
        <v>1298</v>
      </c>
      <c r="C209" s="301"/>
      <c r="D209" s="302" t="s">
        <v>1305</v>
      </c>
      <c r="E209" s="303">
        <v>58</v>
      </c>
    </row>
    <row r="210" spans="2:5" s="4" customFormat="1" ht="13" x14ac:dyDescent="0.3">
      <c r="B210" s="301" t="s">
        <v>1300</v>
      </c>
      <c r="C210" s="301"/>
      <c r="D210" s="302" t="s">
        <v>1306</v>
      </c>
      <c r="E210" s="303">
        <v>73</v>
      </c>
    </row>
    <row r="211" spans="2:5" s="4" customFormat="1" ht="13" x14ac:dyDescent="0.3">
      <c r="B211" s="301" t="s">
        <v>1302</v>
      </c>
      <c r="C211" s="301"/>
      <c r="D211" s="302" t="s">
        <v>1307</v>
      </c>
      <c r="E211" s="303">
        <v>87</v>
      </c>
    </row>
    <row r="212" spans="2:5" s="4" customFormat="1" ht="13" x14ac:dyDescent="0.3">
      <c r="B212" s="38" t="s">
        <v>1308</v>
      </c>
      <c r="C212" s="6"/>
      <c r="D212" s="7"/>
      <c r="E212" s="8"/>
    </row>
    <row r="213" spans="2:5" s="4" customFormat="1" ht="13" x14ac:dyDescent="0.3">
      <c r="B213" s="301" t="s">
        <v>1298</v>
      </c>
      <c r="C213" s="301"/>
      <c r="D213" s="302" t="s">
        <v>1309</v>
      </c>
      <c r="E213" s="303">
        <v>147</v>
      </c>
    </row>
    <row r="214" spans="2:5" s="4" customFormat="1" ht="13" x14ac:dyDescent="0.3">
      <c r="B214" s="301" t="s">
        <v>1300</v>
      </c>
      <c r="C214" s="301"/>
      <c r="D214" s="302" t="s">
        <v>1310</v>
      </c>
      <c r="E214" s="303">
        <v>186</v>
      </c>
    </row>
    <row r="215" spans="2:5" s="4" customFormat="1" ht="13" x14ac:dyDescent="0.3">
      <c r="B215" s="301" t="s">
        <v>1302</v>
      </c>
      <c r="C215" s="301"/>
      <c r="D215" s="302" t="s">
        <v>1311</v>
      </c>
      <c r="E215" s="303">
        <v>220</v>
      </c>
    </row>
    <row r="216" spans="2:5" s="4" customFormat="1" ht="13" x14ac:dyDescent="0.3">
      <c r="B216" s="38" t="s">
        <v>1312</v>
      </c>
      <c r="C216" s="6"/>
      <c r="D216" s="7"/>
      <c r="E216" s="8"/>
    </row>
    <row r="217" spans="2:5" s="4" customFormat="1" ht="13" x14ac:dyDescent="0.3">
      <c r="B217" s="301" t="s">
        <v>1298</v>
      </c>
      <c r="C217" s="301"/>
      <c r="D217" s="302" t="s">
        <v>1313</v>
      </c>
      <c r="E217" s="303">
        <v>186</v>
      </c>
    </row>
    <row r="218" spans="2:5" s="4" customFormat="1" ht="13" x14ac:dyDescent="0.3">
      <c r="B218" s="301" t="s">
        <v>1300</v>
      </c>
      <c r="C218" s="301"/>
      <c r="D218" s="302" t="s">
        <v>1314</v>
      </c>
      <c r="E218" s="303">
        <v>237</v>
      </c>
    </row>
    <row r="219" spans="2:5" s="4" customFormat="1" ht="13" x14ac:dyDescent="0.3">
      <c r="B219" s="301" t="s">
        <v>1302</v>
      </c>
      <c r="C219" s="301"/>
      <c r="D219" s="302" t="s">
        <v>1315</v>
      </c>
      <c r="E219" s="303">
        <v>280</v>
      </c>
    </row>
    <row r="221" spans="2:5" x14ac:dyDescent="0.35">
      <c r="B221" s="21" t="s">
        <v>1316</v>
      </c>
      <c r="C221" s="25"/>
      <c r="D221" s="28"/>
      <c r="E221" s="28"/>
    </row>
    <row r="222" spans="2:5" x14ac:dyDescent="0.35">
      <c r="B222" s="134" t="s">
        <v>1317</v>
      </c>
      <c r="C222" s="151" t="s">
        <v>1318</v>
      </c>
      <c r="D222" s="152" t="s">
        <v>1319</v>
      </c>
      <c r="E222" s="153">
        <v>102</v>
      </c>
    </row>
    <row r="223" spans="2:5" x14ac:dyDescent="0.35">
      <c r="B223" s="134" t="s">
        <v>1320</v>
      </c>
      <c r="C223" s="151" t="s">
        <v>1321</v>
      </c>
      <c r="D223" s="152" t="s">
        <v>1322</v>
      </c>
      <c r="E223" s="153">
        <v>169</v>
      </c>
    </row>
    <row r="224" spans="2:5" x14ac:dyDescent="0.35">
      <c r="B224" s="134" t="s">
        <v>1323</v>
      </c>
      <c r="C224" s="151" t="s">
        <v>1324</v>
      </c>
      <c r="D224" s="152" t="s">
        <v>1325</v>
      </c>
      <c r="E224" s="153">
        <v>132</v>
      </c>
    </row>
    <row r="225" spans="2:5" x14ac:dyDescent="0.35">
      <c r="B225" s="134" t="s">
        <v>1326</v>
      </c>
      <c r="C225" s="242" t="s">
        <v>1327</v>
      </c>
      <c r="D225" s="152" t="s">
        <v>1328</v>
      </c>
      <c r="E225" s="153">
        <v>293</v>
      </c>
    </row>
    <row r="226" spans="2:5" x14ac:dyDescent="0.35">
      <c r="B226" s="24"/>
      <c r="C226" s="1"/>
      <c r="D226" s="1"/>
      <c r="E226" s="1"/>
    </row>
    <row r="227" spans="2:5" x14ac:dyDescent="0.35">
      <c r="B227" s="21" t="s">
        <v>1329</v>
      </c>
      <c r="C227" s="1"/>
      <c r="D227" s="1"/>
      <c r="E227" s="1"/>
    </row>
    <row r="228" spans="2:5" x14ac:dyDescent="0.35">
      <c r="B228" s="35" t="s">
        <v>1330</v>
      </c>
      <c r="C228" s="1"/>
      <c r="D228" s="1"/>
      <c r="E228" s="1"/>
    </row>
    <row r="229" spans="2:5" x14ac:dyDescent="0.35">
      <c r="B229" s="205" t="s">
        <v>1331</v>
      </c>
      <c r="C229" s="151" t="s">
        <v>1332</v>
      </c>
      <c r="D229" s="152" t="s">
        <v>1333</v>
      </c>
      <c r="E229" s="153">
        <v>35</v>
      </c>
    </row>
    <row r="230" spans="2:5" x14ac:dyDescent="0.35">
      <c r="B230" s="163" t="s">
        <v>1334</v>
      </c>
      <c r="C230" s="164" t="s">
        <v>1335</v>
      </c>
      <c r="D230" s="304" t="s">
        <v>1336</v>
      </c>
      <c r="E230" s="153">
        <v>16</v>
      </c>
    </row>
    <row r="231" spans="2:5" x14ac:dyDescent="0.35">
      <c r="B231" s="35" t="s">
        <v>1337</v>
      </c>
      <c r="C231" s="1"/>
      <c r="D231" s="1"/>
      <c r="E231" s="1"/>
    </row>
    <row r="232" spans="2:5" x14ac:dyDescent="0.35">
      <c r="B232" s="134" t="s">
        <v>1338</v>
      </c>
      <c r="C232" s="134" t="s">
        <v>1339</v>
      </c>
      <c r="D232" s="304" t="s">
        <v>1340</v>
      </c>
      <c r="E232" s="153">
        <v>35</v>
      </c>
    </row>
    <row r="233" spans="2:5" x14ac:dyDescent="0.35">
      <c r="B233" s="134" t="s">
        <v>1341</v>
      </c>
      <c r="C233" s="156" t="s">
        <v>1342</v>
      </c>
      <c r="D233" s="304" t="s">
        <v>1343</v>
      </c>
      <c r="E233" s="153">
        <v>16</v>
      </c>
    </row>
    <row r="234" spans="2:5" x14ac:dyDescent="0.35">
      <c r="B234" s="205" t="s">
        <v>1344</v>
      </c>
      <c r="C234" s="151" t="s">
        <v>1345</v>
      </c>
      <c r="D234" s="152" t="s">
        <v>1346</v>
      </c>
      <c r="E234" s="153">
        <v>84</v>
      </c>
    </row>
    <row r="235" spans="2:5" x14ac:dyDescent="0.35">
      <c r="B235" s="35" t="s">
        <v>1347</v>
      </c>
      <c r="C235" s="1"/>
      <c r="D235" s="1"/>
      <c r="E235" s="1"/>
    </row>
    <row r="236" spans="2:5" x14ac:dyDescent="0.35">
      <c r="B236" s="134" t="s">
        <v>1348</v>
      </c>
      <c r="C236" s="135" t="s">
        <v>1349</v>
      </c>
      <c r="D236" s="136" t="s">
        <v>1350</v>
      </c>
      <c r="E236" s="153">
        <v>71</v>
      </c>
    </row>
    <row r="237" spans="2:5" x14ac:dyDescent="0.35">
      <c r="B237" s="134" t="s">
        <v>1351</v>
      </c>
      <c r="C237" s="135" t="s">
        <v>1352</v>
      </c>
      <c r="D237" s="136" t="s">
        <v>1353</v>
      </c>
      <c r="E237" s="153">
        <v>27</v>
      </c>
    </row>
    <row r="238" spans="2:5" x14ac:dyDescent="0.35">
      <c r="B238" s="35" t="s">
        <v>1354</v>
      </c>
      <c r="C238" s="1"/>
      <c r="D238" s="1"/>
      <c r="E238" s="1"/>
    </row>
    <row r="239" spans="2:5" x14ac:dyDescent="0.35">
      <c r="B239" s="134" t="s">
        <v>1355</v>
      </c>
      <c r="C239" s="135" t="s">
        <v>1356</v>
      </c>
      <c r="D239" s="136" t="s">
        <v>1357</v>
      </c>
      <c r="E239" s="153">
        <v>50</v>
      </c>
    </row>
    <row r="240" spans="2:5" x14ac:dyDescent="0.35">
      <c r="B240" s="134" t="s">
        <v>1358</v>
      </c>
      <c r="C240" s="135" t="s">
        <v>1359</v>
      </c>
      <c r="D240" s="136" t="s">
        <v>1360</v>
      </c>
      <c r="E240" s="153">
        <v>150</v>
      </c>
    </row>
    <row r="241" spans="2:5" x14ac:dyDescent="0.35">
      <c r="B241" s="134" t="s">
        <v>1361</v>
      </c>
      <c r="C241" s="135" t="s">
        <v>1362</v>
      </c>
      <c r="D241" s="136" t="s">
        <v>1363</v>
      </c>
      <c r="E241" s="153">
        <v>150</v>
      </c>
    </row>
    <row r="242" spans="2:5" x14ac:dyDescent="0.35">
      <c r="B242" s="5"/>
      <c r="C242" s="39"/>
      <c r="D242" s="40"/>
      <c r="E242" s="40"/>
    </row>
    <row r="243" spans="2:5" x14ac:dyDescent="0.35">
      <c r="B243" s="21" t="s">
        <v>1364</v>
      </c>
      <c r="C243" s="39"/>
      <c r="D243" s="40"/>
      <c r="E243" s="40"/>
    </row>
    <row r="244" spans="2:5" x14ac:dyDescent="0.35">
      <c r="B244" s="35" t="s">
        <v>1365</v>
      </c>
      <c r="C244" s="39"/>
      <c r="D244" s="40"/>
      <c r="E244" s="40"/>
    </row>
    <row r="245" spans="2:5" ht="39" x14ac:dyDescent="0.35">
      <c r="B245" s="205" t="s">
        <v>1366</v>
      </c>
      <c r="C245" s="151"/>
      <c r="D245" s="152" t="s">
        <v>1367</v>
      </c>
      <c r="E245" s="153">
        <v>355</v>
      </c>
    </row>
    <row r="246" spans="2:5" ht="39" x14ac:dyDescent="0.35">
      <c r="B246" s="205" t="s">
        <v>1368</v>
      </c>
      <c r="C246" s="151"/>
      <c r="D246" s="152" t="s">
        <v>1369</v>
      </c>
      <c r="E246" s="153">
        <v>267</v>
      </c>
    </row>
    <row r="247" spans="2:5" x14ac:dyDescent="0.35">
      <c r="B247" s="205" t="s">
        <v>1370</v>
      </c>
      <c r="C247" s="305" t="s">
        <v>1371</v>
      </c>
      <c r="D247" s="152" t="s">
        <v>1372</v>
      </c>
      <c r="E247" s="153">
        <v>21</v>
      </c>
    </row>
    <row r="248" spans="2:5" x14ac:dyDescent="0.35">
      <c r="B248" s="205" t="s">
        <v>1373</v>
      </c>
      <c r="C248" s="151" t="s">
        <v>1374</v>
      </c>
      <c r="D248" s="152" t="s">
        <v>1375</v>
      </c>
      <c r="E248" s="153">
        <v>27</v>
      </c>
    </row>
    <row r="249" spans="2:5" x14ac:dyDescent="0.35">
      <c r="B249" s="205" t="s">
        <v>1376</v>
      </c>
      <c r="C249" s="151" t="s">
        <v>1377</v>
      </c>
      <c r="D249" s="152" t="s">
        <v>1378</v>
      </c>
      <c r="E249" s="153">
        <v>8</v>
      </c>
    </row>
    <row r="250" spans="2:5" x14ac:dyDescent="0.35">
      <c r="B250" s="205" t="s">
        <v>1379</v>
      </c>
      <c r="C250" s="151" t="s">
        <v>1380</v>
      </c>
      <c r="D250" s="152" t="s">
        <v>1381</v>
      </c>
      <c r="E250" s="153">
        <v>8</v>
      </c>
    </row>
    <row r="251" spans="2:5" x14ac:dyDescent="0.35">
      <c r="B251" s="205" t="s">
        <v>1382</v>
      </c>
      <c r="C251" s="151" t="s">
        <v>1383</v>
      </c>
      <c r="D251" s="152" t="s">
        <v>1384</v>
      </c>
      <c r="E251" s="153">
        <v>8</v>
      </c>
    </row>
    <row r="252" spans="2:5" x14ac:dyDescent="0.35">
      <c r="B252" s="205" t="s">
        <v>1385</v>
      </c>
      <c r="C252" s="151" t="s">
        <v>1386</v>
      </c>
      <c r="D252" s="152" t="s">
        <v>1387</v>
      </c>
      <c r="E252" s="153">
        <v>8</v>
      </c>
    </row>
    <row r="253" spans="2:5" x14ac:dyDescent="0.35">
      <c r="B253" s="205" t="s">
        <v>1388</v>
      </c>
      <c r="C253" s="151" t="s">
        <v>1389</v>
      </c>
      <c r="D253" s="152" t="s">
        <v>1390</v>
      </c>
      <c r="E253" s="153">
        <v>27</v>
      </c>
    </row>
    <row r="254" spans="2:5" x14ac:dyDescent="0.35">
      <c r="B254" s="205" t="s">
        <v>1391</v>
      </c>
      <c r="C254" s="151" t="s">
        <v>1392</v>
      </c>
      <c r="D254" s="152" t="s">
        <v>1393</v>
      </c>
      <c r="E254" s="153">
        <v>71</v>
      </c>
    </row>
    <row r="255" spans="2:5" x14ac:dyDescent="0.35">
      <c r="B255" s="35" t="s">
        <v>1394</v>
      </c>
      <c r="C255" s="151"/>
      <c r="D255" s="152"/>
      <c r="E255" s="153"/>
    </row>
    <row r="256" spans="2:5" ht="39" x14ac:dyDescent="0.35">
      <c r="B256" s="205" t="s">
        <v>1395</v>
      </c>
      <c r="C256" s="151"/>
      <c r="D256" s="152" t="s">
        <v>1396</v>
      </c>
      <c r="E256" s="153">
        <v>560</v>
      </c>
    </row>
    <row r="257" spans="2:5" x14ac:dyDescent="0.35">
      <c r="B257" s="205" t="s">
        <v>1397</v>
      </c>
      <c r="C257" s="206" t="s">
        <v>1398</v>
      </c>
      <c r="D257" s="152" t="s">
        <v>1399</v>
      </c>
      <c r="E257" s="153">
        <v>55</v>
      </c>
    </row>
    <row r="258" spans="2:5" ht="39" x14ac:dyDescent="0.35">
      <c r="B258" s="205" t="s">
        <v>1400</v>
      </c>
      <c r="C258" s="151"/>
      <c r="D258" s="152" t="s">
        <v>1401</v>
      </c>
      <c r="E258" s="153">
        <v>650</v>
      </c>
    </row>
    <row r="259" spans="2:5" x14ac:dyDescent="0.35">
      <c r="B259" s="205" t="s">
        <v>1402</v>
      </c>
      <c r="C259" s="206" t="s">
        <v>1403</v>
      </c>
      <c r="D259" s="152" t="s">
        <v>1404</v>
      </c>
      <c r="E259" s="153">
        <v>55</v>
      </c>
    </row>
    <row r="260" spans="2:5" x14ac:dyDescent="0.35">
      <c r="B260" s="205" t="s">
        <v>1405</v>
      </c>
      <c r="C260" s="305" t="s">
        <v>1406</v>
      </c>
      <c r="D260" s="152" t="s">
        <v>1407</v>
      </c>
      <c r="E260" s="153">
        <v>21</v>
      </c>
    </row>
    <row r="261" spans="2:5" x14ac:dyDescent="0.35">
      <c r="B261" s="35" t="s">
        <v>1408</v>
      </c>
      <c r="C261" s="151"/>
      <c r="D261" s="152"/>
      <c r="E261" s="153"/>
    </row>
    <row r="262" spans="2:5" x14ac:dyDescent="0.35">
      <c r="B262" s="205" t="s">
        <v>1409</v>
      </c>
      <c r="C262" s="151" t="s">
        <v>1410</v>
      </c>
      <c r="D262" s="152" t="s">
        <v>1411</v>
      </c>
      <c r="E262" s="153">
        <v>5</v>
      </c>
    </row>
    <row r="263" spans="2:5" x14ac:dyDescent="0.35">
      <c r="B263" s="111"/>
      <c r="C263" s="39"/>
      <c r="D263" s="40"/>
      <c r="E263" s="37"/>
    </row>
    <row r="265" spans="2:5" ht="15.5" x14ac:dyDescent="0.35">
      <c r="B265" s="41" t="s">
        <v>1412</v>
      </c>
      <c r="C265" s="42"/>
      <c r="D265" s="43"/>
      <c r="E265" s="44"/>
    </row>
    <row r="266" spans="2:5" x14ac:dyDescent="0.35">
      <c r="B266" s="21" t="s">
        <v>1413</v>
      </c>
    </row>
    <row r="267" spans="2:5" x14ac:dyDescent="0.35">
      <c r="B267" s="35" t="s">
        <v>1414</v>
      </c>
    </row>
    <row r="268" spans="2:5" x14ac:dyDescent="0.35">
      <c r="B268" s="134" t="s">
        <v>1415</v>
      </c>
      <c r="C268" s="151" t="s">
        <v>1416</v>
      </c>
      <c r="D268" s="152" t="s">
        <v>1417</v>
      </c>
      <c r="E268" s="153">
        <v>36</v>
      </c>
    </row>
    <row r="269" spans="2:5" x14ac:dyDescent="0.35">
      <c r="B269" s="134" t="s">
        <v>1418</v>
      </c>
      <c r="C269" s="151" t="s">
        <v>1419</v>
      </c>
      <c r="D269" s="152" t="s">
        <v>1420</v>
      </c>
      <c r="E269" s="153">
        <v>34</v>
      </c>
    </row>
    <row r="270" spans="2:5" x14ac:dyDescent="0.35">
      <c r="B270" s="134" t="s">
        <v>1421</v>
      </c>
      <c r="C270" s="151" t="s">
        <v>1422</v>
      </c>
      <c r="D270" s="152" t="s">
        <v>1423</v>
      </c>
      <c r="E270" s="153">
        <v>34</v>
      </c>
    </row>
    <row r="271" spans="2:5" x14ac:dyDescent="0.35">
      <c r="B271" s="134" t="s">
        <v>1424</v>
      </c>
      <c r="C271" s="151" t="s">
        <v>1425</v>
      </c>
      <c r="D271" s="152" t="s">
        <v>1426</v>
      </c>
      <c r="E271" s="153">
        <v>69</v>
      </c>
    </row>
    <row r="272" spans="2:5" x14ac:dyDescent="0.35">
      <c r="B272" s="134" t="s">
        <v>1427</v>
      </c>
      <c r="C272" s="151" t="s">
        <v>1428</v>
      </c>
      <c r="D272" s="152" t="s">
        <v>1429</v>
      </c>
      <c r="E272" s="153">
        <v>105</v>
      </c>
    </row>
    <row r="273" spans="2:5" x14ac:dyDescent="0.35">
      <c r="B273" s="35" t="s">
        <v>1430</v>
      </c>
    </row>
    <row r="274" spans="2:5" x14ac:dyDescent="0.35">
      <c r="B274" s="134" t="s">
        <v>1431</v>
      </c>
      <c r="C274" s="151" t="s">
        <v>1432</v>
      </c>
      <c r="D274" s="152" t="s">
        <v>1433</v>
      </c>
      <c r="E274" s="153">
        <v>112</v>
      </c>
    </row>
    <row r="275" spans="2:5" x14ac:dyDescent="0.35">
      <c r="B275" s="205" t="s">
        <v>1434</v>
      </c>
      <c r="C275" s="151" t="s">
        <v>1435</v>
      </c>
      <c r="D275" s="152" t="s">
        <v>1436</v>
      </c>
      <c r="E275" s="153">
        <v>133</v>
      </c>
    </row>
    <row r="276" spans="2:5" x14ac:dyDescent="0.35">
      <c r="B276" s="134" t="s">
        <v>1437</v>
      </c>
      <c r="C276" s="151" t="s">
        <v>1438</v>
      </c>
      <c r="D276" s="152" t="s">
        <v>1439</v>
      </c>
      <c r="E276" s="153">
        <v>144</v>
      </c>
    </row>
    <row r="278" spans="2:5" x14ac:dyDescent="0.35">
      <c r="B278" s="21" t="s">
        <v>1440</v>
      </c>
    </row>
    <row r="279" spans="2:5" x14ac:dyDescent="0.35">
      <c r="B279" s="35" t="s">
        <v>1441</v>
      </c>
    </row>
    <row r="280" spans="2:5" x14ac:dyDescent="0.35">
      <c r="B280" s="134" t="s">
        <v>1442</v>
      </c>
      <c r="C280" s="151" t="s">
        <v>1443</v>
      </c>
      <c r="D280" s="152" t="s">
        <v>1444</v>
      </c>
      <c r="E280" s="153">
        <v>63</v>
      </c>
    </row>
    <row r="281" spans="2:5" x14ac:dyDescent="0.35">
      <c r="B281" s="134" t="s">
        <v>1445</v>
      </c>
      <c r="C281" s="151" t="s">
        <v>1446</v>
      </c>
      <c r="D281" s="152" t="s">
        <v>1447</v>
      </c>
      <c r="E281" s="153">
        <v>59</v>
      </c>
    </row>
    <row r="282" spans="2:5" x14ac:dyDescent="0.35">
      <c r="B282" s="134" t="s">
        <v>1448</v>
      </c>
      <c r="C282" s="151" t="s">
        <v>1449</v>
      </c>
      <c r="D282" s="152" t="s">
        <v>1450</v>
      </c>
      <c r="E282" s="153">
        <v>37</v>
      </c>
    </row>
    <row r="283" spans="2:5" x14ac:dyDescent="0.35">
      <c r="B283" s="35" t="s">
        <v>1451</v>
      </c>
      <c r="E283" s="37"/>
    </row>
    <row r="284" spans="2:5" x14ac:dyDescent="0.35">
      <c r="B284" s="134" t="s">
        <v>1452</v>
      </c>
      <c r="C284" s="151" t="s">
        <v>1453</v>
      </c>
      <c r="D284" s="152" t="s">
        <v>1454</v>
      </c>
      <c r="E284" s="153">
        <v>27</v>
      </c>
    </row>
    <row r="285" spans="2:5" x14ac:dyDescent="0.35">
      <c r="B285" s="134" t="s">
        <v>1455</v>
      </c>
      <c r="C285" s="151" t="s">
        <v>1456</v>
      </c>
      <c r="D285" s="152" t="s">
        <v>1457</v>
      </c>
      <c r="E285" s="153">
        <v>25</v>
      </c>
    </row>
    <row r="286" spans="2:5" x14ac:dyDescent="0.35">
      <c r="B286" s="134" t="s">
        <v>1458</v>
      </c>
      <c r="C286" s="151" t="s">
        <v>1459</v>
      </c>
      <c r="D286" s="152" t="s">
        <v>1460</v>
      </c>
      <c r="E286" s="153">
        <v>18</v>
      </c>
    </row>
    <row r="287" spans="2:5" x14ac:dyDescent="0.35">
      <c r="B287" s="134" t="s">
        <v>1461</v>
      </c>
      <c r="C287" s="151" t="s">
        <v>1462</v>
      </c>
      <c r="D287" s="152" t="s">
        <v>1463</v>
      </c>
      <c r="E287" s="153">
        <v>9</v>
      </c>
    </row>
    <row r="288" spans="2:5" x14ac:dyDescent="0.35">
      <c r="B288" s="134" t="s">
        <v>1464</v>
      </c>
      <c r="C288" s="151" t="s">
        <v>1465</v>
      </c>
      <c r="D288" s="152" t="s">
        <v>1466</v>
      </c>
      <c r="E288" s="153">
        <v>17</v>
      </c>
    </row>
    <row r="289" spans="2:5" x14ac:dyDescent="0.35">
      <c r="B289" s="134" t="s">
        <v>1467</v>
      </c>
      <c r="C289" s="137" t="s">
        <v>1468</v>
      </c>
      <c r="D289" s="152" t="s">
        <v>1469</v>
      </c>
      <c r="E289" s="153">
        <v>23</v>
      </c>
    </row>
    <row r="290" spans="2:5" x14ac:dyDescent="0.35">
      <c r="B290" s="134" t="s">
        <v>1470</v>
      </c>
      <c r="C290" s="151" t="s">
        <v>1471</v>
      </c>
      <c r="D290" s="152" t="s">
        <v>1472</v>
      </c>
      <c r="E290" s="153">
        <v>9</v>
      </c>
    </row>
    <row r="291" spans="2:5" x14ac:dyDescent="0.35">
      <c r="B291" s="134" t="s">
        <v>1473</v>
      </c>
      <c r="C291" s="242" t="s">
        <v>1474</v>
      </c>
      <c r="D291" s="152" t="s">
        <v>1475</v>
      </c>
      <c r="E291" s="153">
        <v>10</v>
      </c>
    </row>
    <row r="292" spans="2:5" x14ac:dyDescent="0.35">
      <c r="B292" s="134" t="s">
        <v>1476</v>
      </c>
      <c r="C292" s="242" t="s">
        <v>1477</v>
      </c>
      <c r="D292" s="152" t="s">
        <v>1478</v>
      </c>
      <c r="E292" s="153">
        <v>11</v>
      </c>
    </row>
    <row r="293" spans="2:5" x14ac:dyDescent="0.35">
      <c r="B293" s="134" t="s">
        <v>1479</v>
      </c>
      <c r="C293" s="242" t="s">
        <v>1480</v>
      </c>
      <c r="D293" s="152" t="s">
        <v>1481</v>
      </c>
      <c r="E293" s="153">
        <v>17</v>
      </c>
    </row>
    <row r="294" spans="2:5" x14ac:dyDescent="0.35">
      <c r="B294" s="134" t="s">
        <v>1482</v>
      </c>
      <c r="C294" s="242" t="s">
        <v>1483</v>
      </c>
      <c r="D294" s="152" t="s">
        <v>1484</v>
      </c>
      <c r="E294" s="153">
        <v>12</v>
      </c>
    </row>
    <row r="295" spans="2:5" x14ac:dyDescent="0.35">
      <c r="B295" s="35" t="s">
        <v>1485</v>
      </c>
    </row>
    <row r="296" spans="2:5" x14ac:dyDescent="0.35">
      <c r="B296" s="134" t="s">
        <v>1486</v>
      </c>
      <c r="C296" s="242" t="s">
        <v>1487</v>
      </c>
      <c r="D296" s="152" t="s">
        <v>1488</v>
      </c>
      <c r="E296" s="153">
        <v>2</v>
      </c>
    </row>
    <row r="297" spans="2:5" x14ac:dyDescent="0.35">
      <c r="B297" s="134" t="s">
        <v>1489</v>
      </c>
      <c r="C297" s="242" t="s">
        <v>1490</v>
      </c>
      <c r="D297" s="152" t="s">
        <v>1491</v>
      </c>
      <c r="E297" s="153">
        <v>8</v>
      </c>
    </row>
    <row r="298" spans="2:5" x14ac:dyDescent="0.35">
      <c r="B298" s="134" t="s">
        <v>1492</v>
      </c>
      <c r="C298" s="151" t="s">
        <v>1493</v>
      </c>
      <c r="D298" s="152" t="s">
        <v>1494</v>
      </c>
      <c r="E298" s="153">
        <v>18</v>
      </c>
    </row>
    <row r="299" spans="2:5" x14ac:dyDescent="0.35">
      <c r="B299" s="134" t="s">
        <v>1495</v>
      </c>
      <c r="C299" s="306" t="s">
        <v>1496</v>
      </c>
      <c r="D299" s="152" t="s">
        <v>1497</v>
      </c>
      <c r="E299" s="153">
        <v>33</v>
      </c>
    </row>
    <row r="301" spans="2:5" x14ac:dyDescent="0.35">
      <c r="B301" s="21" t="s">
        <v>1498</v>
      </c>
      <c r="C301" s="25"/>
      <c r="D301" s="25"/>
      <c r="E301" s="25"/>
    </row>
    <row r="302" spans="2:5" x14ac:dyDescent="0.35">
      <c r="B302" s="134" t="s">
        <v>1499</v>
      </c>
      <c r="C302" s="151" t="s">
        <v>1500</v>
      </c>
      <c r="D302" s="152" t="s">
        <v>1501</v>
      </c>
      <c r="E302" s="153">
        <v>27</v>
      </c>
    </row>
    <row r="303" spans="2:5" x14ac:dyDescent="0.35">
      <c r="B303" s="134" t="s">
        <v>1502</v>
      </c>
      <c r="C303" s="151" t="s">
        <v>1503</v>
      </c>
      <c r="D303" s="152" t="s">
        <v>1504</v>
      </c>
      <c r="E303" s="153">
        <v>38</v>
      </c>
    </row>
    <row r="304" spans="2:5" x14ac:dyDescent="0.35">
      <c r="B304" s="134" t="s">
        <v>1505</v>
      </c>
      <c r="C304" s="204" t="s">
        <v>1506</v>
      </c>
      <c r="D304" s="152" t="s">
        <v>1507</v>
      </c>
      <c r="E304" s="153">
        <v>603</v>
      </c>
    </row>
    <row r="305" spans="2:5" x14ac:dyDescent="0.35">
      <c r="B305" s="134" t="s">
        <v>1508</v>
      </c>
      <c r="C305" s="151" t="s">
        <v>1509</v>
      </c>
      <c r="D305" s="152" t="s">
        <v>1510</v>
      </c>
      <c r="E305" s="153">
        <v>940</v>
      </c>
    </row>
    <row r="307" spans="2:5" x14ac:dyDescent="0.35">
      <c r="B307" s="21" t="s">
        <v>1511</v>
      </c>
    </row>
    <row r="308" spans="2:5" x14ac:dyDescent="0.35">
      <c r="B308" s="58" t="s">
        <v>1512</v>
      </c>
    </row>
    <row r="309" spans="2:5" x14ac:dyDescent="0.35">
      <c r="B309" s="134" t="s">
        <v>1513</v>
      </c>
      <c r="C309" s="151" t="s">
        <v>1514</v>
      </c>
      <c r="D309" s="152" t="s">
        <v>1515</v>
      </c>
      <c r="E309" s="153">
        <v>25</v>
      </c>
    </row>
    <row r="310" spans="2:5" x14ac:dyDescent="0.35">
      <c r="B310" s="134" t="s">
        <v>1516</v>
      </c>
      <c r="C310" s="307" t="s">
        <v>1517</v>
      </c>
      <c r="D310" s="152" t="s">
        <v>1518</v>
      </c>
      <c r="E310" s="153">
        <v>20</v>
      </c>
    </row>
    <row r="311" spans="2:5" x14ac:dyDescent="0.35">
      <c r="B311" s="35" t="s">
        <v>1519</v>
      </c>
    </row>
    <row r="312" spans="2:5" x14ac:dyDescent="0.35">
      <c r="B312" s="205" t="s">
        <v>1520</v>
      </c>
      <c r="C312" s="151" t="s">
        <v>1521</v>
      </c>
      <c r="D312" s="152" t="s">
        <v>1522</v>
      </c>
      <c r="E312" s="153">
        <v>21</v>
      </c>
    </row>
    <row r="313" spans="2:5" x14ac:dyDescent="0.35">
      <c r="B313" s="205" t="s">
        <v>1523</v>
      </c>
      <c r="C313" s="151" t="s">
        <v>1524</v>
      </c>
      <c r="D313" s="152" t="s">
        <v>1525</v>
      </c>
      <c r="E313" s="153">
        <v>25</v>
      </c>
    </row>
    <row r="314" spans="2:5" x14ac:dyDescent="0.35">
      <c r="B314" s="205" t="s">
        <v>1526</v>
      </c>
      <c r="C314" s="151" t="s">
        <v>1527</v>
      </c>
      <c r="D314" s="152" t="s">
        <v>1528</v>
      </c>
      <c r="E314" s="153">
        <v>28</v>
      </c>
    </row>
    <row r="315" spans="2:5" x14ac:dyDescent="0.35">
      <c r="B315" s="205" t="s">
        <v>1529</v>
      </c>
      <c r="C315" s="151" t="s">
        <v>1530</v>
      </c>
      <c r="D315" s="152" t="s">
        <v>1531</v>
      </c>
      <c r="E315" s="153">
        <v>50</v>
      </c>
    </row>
    <row r="316" spans="2:5" x14ac:dyDescent="0.35">
      <c r="B316" s="205" t="s">
        <v>1532</v>
      </c>
      <c r="C316" s="151" t="s">
        <v>1533</v>
      </c>
      <c r="D316" s="152" t="s">
        <v>1534</v>
      </c>
      <c r="E316" s="153">
        <v>120</v>
      </c>
    </row>
    <row r="317" spans="2:5" x14ac:dyDescent="0.35">
      <c r="B317" s="205" t="s">
        <v>1535</v>
      </c>
      <c r="C317" s="151" t="s">
        <v>1536</v>
      </c>
      <c r="D317" s="152" t="s">
        <v>1537</v>
      </c>
      <c r="E317" s="153">
        <v>34</v>
      </c>
    </row>
    <row r="318" spans="2:5" x14ac:dyDescent="0.35">
      <c r="B318" s="205" t="s">
        <v>1538</v>
      </c>
      <c r="C318" s="307" t="s">
        <v>1539</v>
      </c>
      <c r="D318" s="152" t="s">
        <v>1540</v>
      </c>
      <c r="E318" s="153">
        <v>29</v>
      </c>
    </row>
    <row r="319" spans="2:5" x14ac:dyDescent="0.35">
      <c r="B319" s="205" t="s">
        <v>1541</v>
      </c>
      <c r="C319" s="307" t="s">
        <v>1542</v>
      </c>
      <c r="D319" s="152" t="s">
        <v>1543</v>
      </c>
      <c r="E319" s="153">
        <v>34</v>
      </c>
    </row>
    <row r="320" spans="2:5" x14ac:dyDescent="0.35">
      <c r="B320" s="205" t="s">
        <v>1544</v>
      </c>
      <c r="C320" s="307" t="s">
        <v>1545</v>
      </c>
      <c r="D320" s="152" t="s">
        <v>1546</v>
      </c>
      <c r="E320" s="153">
        <v>26</v>
      </c>
    </row>
    <row r="321" spans="2:5" x14ac:dyDescent="0.35">
      <c r="B321" s="35" t="s">
        <v>1547</v>
      </c>
    </row>
    <row r="322" spans="2:5" x14ac:dyDescent="0.35">
      <c r="B322" s="205" t="s">
        <v>1548</v>
      </c>
      <c r="C322" s="151" t="s">
        <v>1549</v>
      </c>
      <c r="D322" s="152" t="s">
        <v>1550</v>
      </c>
      <c r="E322" s="153">
        <v>16</v>
      </c>
    </row>
    <row r="323" spans="2:5" x14ac:dyDescent="0.35">
      <c r="B323" s="205" t="s">
        <v>1551</v>
      </c>
      <c r="C323" s="151" t="s">
        <v>1552</v>
      </c>
      <c r="D323" s="152" t="s">
        <v>1553</v>
      </c>
      <c r="E323" s="153">
        <v>22</v>
      </c>
    </row>
    <row r="324" spans="2:5" x14ac:dyDescent="0.35">
      <c r="B324" s="134" t="s">
        <v>1554</v>
      </c>
      <c r="C324" s="151" t="s">
        <v>1555</v>
      </c>
      <c r="D324" s="152" t="s">
        <v>1556</v>
      </c>
      <c r="E324" s="153">
        <v>30</v>
      </c>
    </row>
    <row r="325" spans="2:5" x14ac:dyDescent="0.35">
      <c r="B325" s="134" t="s">
        <v>1557</v>
      </c>
      <c r="C325" s="151" t="s">
        <v>1558</v>
      </c>
      <c r="D325" s="152" t="s">
        <v>1559</v>
      </c>
      <c r="E325" s="153">
        <v>45</v>
      </c>
    </row>
    <row r="326" spans="2:5" x14ac:dyDescent="0.35">
      <c r="B326" s="134" t="s">
        <v>1560</v>
      </c>
      <c r="C326" s="151" t="s">
        <v>1561</v>
      </c>
      <c r="D326" s="152" t="s">
        <v>1562</v>
      </c>
      <c r="E326" s="153">
        <v>55</v>
      </c>
    </row>
    <row r="327" spans="2:5" x14ac:dyDescent="0.35">
      <c r="B327" s="134" t="s">
        <v>1563</v>
      </c>
      <c r="C327" s="307" t="s">
        <v>1564</v>
      </c>
      <c r="D327" s="152" t="s">
        <v>1565</v>
      </c>
      <c r="E327" s="153">
        <v>22</v>
      </c>
    </row>
    <row r="328" spans="2:5" x14ac:dyDescent="0.35">
      <c r="B328" s="134" t="s">
        <v>1566</v>
      </c>
      <c r="C328" s="307" t="s">
        <v>1567</v>
      </c>
      <c r="D328" s="152" t="s">
        <v>1568</v>
      </c>
      <c r="E328" s="153">
        <v>40</v>
      </c>
    </row>
    <row r="329" spans="2:5" x14ac:dyDescent="0.35">
      <c r="B329" s="134" t="s">
        <v>1569</v>
      </c>
      <c r="C329" s="307" t="s">
        <v>1570</v>
      </c>
      <c r="D329" s="152" t="s">
        <v>1571</v>
      </c>
      <c r="E329" s="153">
        <v>62</v>
      </c>
    </row>
    <row r="330" spans="2:5" x14ac:dyDescent="0.35">
      <c r="B330" s="35" t="s">
        <v>1572</v>
      </c>
    </row>
    <row r="331" spans="2:5" x14ac:dyDescent="0.35">
      <c r="B331" s="134" t="s">
        <v>1573</v>
      </c>
      <c r="C331" s="307" t="s">
        <v>1574</v>
      </c>
      <c r="D331" s="152" t="s">
        <v>1575</v>
      </c>
      <c r="E331" s="153">
        <v>51</v>
      </c>
    </row>
    <row r="332" spans="2:5" x14ac:dyDescent="0.35">
      <c r="B332" s="134" t="s">
        <v>1576</v>
      </c>
      <c r="C332" s="307" t="s">
        <v>1577</v>
      </c>
      <c r="D332" s="152" t="s">
        <v>1578</v>
      </c>
      <c r="E332" s="153">
        <v>83</v>
      </c>
    </row>
    <row r="333" spans="2:5" x14ac:dyDescent="0.35">
      <c r="B333" s="5"/>
      <c r="C333" s="39"/>
    </row>
    <row r="334" spans="2:5" x14ac:dyDescent="0.35">
      <c r="B334" s="21" t="s">
        <v>1579</v>
      </c>
      <c r="C334" s="25"/>
    </row>
    <row r="335" spans="2:5" x14ac:dyDescent="0.35">
      <c r="B335" s="134" t="s">
        <v>1580</v>
      </c>
      <c r="C335" s="307" t="s">
        <v>1581</v>
      </c>
      <c r="D335" s="152" t="s">
        <v>1582</v>
      </c>
      <c r="E335" s="153">
        <v>31</v>
      </c>
    </row>
    <row r="336" spans="2:5" x14ac:dyDescent="0.35">
      <c r="B336" s="5"/>
      <c r="C336" s="39"/>
    </row>
    <row r="337" spans="2:5" x14ac:dyDescent="0.35">
      <c r="B337" s="21" t="s">
        <v>1583</v>
      </c>
      <c r="C337" s="25"/>
    </row>
    <row r="338" spans="2:5" x14ac:dyDescent="0.35">
      <c r="B338" s="134" t="s">
        <v>1584</v>
      </c>
      <c r="C338" s="242" t="s">
        <v>1585</v>
      </c>
      <c r="D338" s="152" t="s">
        <v>1586</v>
      </c>
      <c r="E338" s="153">
        <v>47</v>
      </c>
    </row>
    <row r="339" spans="2:5" x14ac:dyDescent="0.35">
      <c r="B339" s="134" t="s">
        <v>1587</v>
      </c>
      <c r="C339" s="242" t="s">
        <v>1588</v>
      </c>
      <c r="D339" s="152" t="s">
        <v>1589</v>
      </c>
      <c r="E339" s="153">
        <v>47</v>
      </c>
    </row>
    <row r="340" spans="2:5" x14ac:dyDescent="0.35">
      <c r="B340" s="205" t="s">
        <v>1590</v>
      </c>
      <c r="C340" s="242" t="s">
        <v>1591</v>
      </c>
      <c r="D340" s="152" t="s">
        <v>1592</v>
      </c>
      <c r="E340" s="153">
        <v>49</v>
      </c>
    </row>
    <row r="341" spans="2:5" x14ac:dyDescent="0.35">
      <c r="B341" s="205" t="s">
        <v>1593</v>
      </c>
      <c r="C341" s="242" t="s">
        <v>1594</v>
      </c>
      <c r="D341" s="152" t="s">
        <v>1595</v>
      </c>
      <c r="E341" s="153">
        <v>47</v>
      </c>
    </row>
    <row r="342" spans="2:5" x14ac:dyDescent="0.35">
      <c r="B342" s="156" t="s">
        <v>1596</v>
      </c>
      <c r="C342" s="242" t="s">
        <v>1597</v>
      </c>
      <c r="D342" s="152" t="s">
        <v>1598</v>
      </c>
      <c r="E342" s="153">
        <v>45</v>
      </c>
    </row>
    <row r="343" spans="2:5" x14ac:dyDescent="0.35">
      <c r="B343" s="5"/>
      <c r="C343" s="39"/>
      <c r="D343" s="40"/>
      <c r="E343" s="40"/>
    </row>
    <row r="344" spans="2:5" ht="15.5" x14ac:dyDescent="0.35">
      <c r="B344" s="41" t="s">
        <v>1599</v>
      </c>
      <c r="C344" s="42"/>
      <c r="D344" s="42"/>
      <c r="E344" s="42"/>
    </row>
    <row r="345" spans="2:5" x14ac:dyDescent="0.35">
      <c r="B345" s="21" t="s">
        <v>1600</v>
      </c>
    </row>
    <row r="346" spans="2:5" x14ac:dyDescent="0.35">
      <c r="B346" s="27" t="s">
        <v>1601</v>
      </c>
    </row>
    <row r="347" spans="2:5" x14ac:dyDescent="0.35">
      <c r="B347" s="134" t="s">
        <v>1602</v>
      </c>
      <c r="C347" s="151"/>
      <c r="D347" s="152" t="s">
        <v>1603</v>
      </c>
      <c r="E347" s="153">
        <v>10</v>
      </c>
    </row>
    <row r="348" spans="2:5" x14ac:dyDescent="0.35">
      <c r="B348" s="134" t="s">
        <v>1604</v>
      </c>
      <c r="C348" s="151"/>
      <c r="D348" s="152" t="s">
        <v>1605</v>
      </c>
      <c r="E348" s="153">
        <v>21</v>
      </c>
    </row>
    <row r="349" spans="2:5" x14ac:dyDescent="0.35">
      <c r="B349" s="142" t="s">
        <v>1606</v>
      </c>
      <c r="C349" s="142"/>
      <c r="D349" s="308" t="s">
        <v>1607</v>
      </c>
      <c r="E349" s="309">
        <v>52</v>
      </c>
    </row>
    <row r="350" spans="2:5" x14ac:dyDescent="0.35">
      <c r="B350" s="142" t="s">
        <v>1608</v>
      </c>
      <c r="C350" s="142"/>
      <c r="D350" s="308" t="s">
        <v>1609</v>
      </c>
      <c r="E350" s="309">
        <v>83</v>
      </c>
    </row>
    <row r="351" spans="2:5" x14ac:dyDescent="0.35">
      <c r="B351" s="27" t="s">
        <v>1610</v>
      </c>
    </row>
    <row r="352" spans="2:5" x14ac:dyDescent="0.35">
      <c r="B352" s="135" t="s">
        <v>1602</v>
      </c>
      <c r="C352" s="151"/>
      <c r="D352" s="152" t="s">
        <v>1611</v>
      </c>
      <c r="E352" s="153">
        <v>21</v>
      </c>
    </row>
    <row r="353" spans="2:5" x14ac:dyDescent="0.35">
      <c r="B353" s="135" t="s">
        <v>1604</v>
      </c>
      <c r="C353" s="151"/>
      <c r="D353" s="152" t="s">
        <v>1612</v>
      </c>
      <c r="E353" s="153">
        <v>41</v>
      </c>
    </row>
    <row r="354" spans="2:5" x14ac:dyDescent="0.35">
      <c r="B354" s="142" t="s">
        <v>1606</v>
      </c>
      <c r="C354" s="310"/>
      <c r="D354" s="308" t="s">
        <v>1613</v>
      </c>
      <c r="E354" s="311">
        <v>103</v>
      </c>
    </row>
    <row r="355" spans="2:5" x14ac:dyDescent="0.35">
      <c r="B355" s="27" t="s">
        <v>1614</v>
      </c>
    </row>
    <row r="356" spans="2:5" x14ac:dyDescent="0.35">
      <c r="B356" s="135" t="s">
        <v>1602</v>
      </c>
      <c r="C356" s="151"/>
      <c r="D356" s="152" t="s">
        <v>1615</v>
      </c>
      <c r="E356" s="153">
        <v>12</v>
      </c>
    </row>
    <row r="357" spans="2:5" x14ac:dyDescent="0.35">
      <c r="B357" s="135" t="s">
        <v>1604</v>
      </c>
      <c r="C357" s="151"/>
      <c r="D357" s="152" t="s">
        <v>1616</v>
      </c>
      <c r="E357" s="153">
        <v>25</v>
      </c>
    </row>
    <row r="358" spans="2:5" x14ac:dyDescent="0.35">
      <c r="B358" s="142" t="s">
        <v>1606</v>
      </c>
      <c r="C358" s="310"/>
      <c r="D358" s="308" t="s">
        <v>1617</v>
      </c>
      <c r="E358" s="311">
        <v>52</v>
      </c>
    </row>
    <row r="359" spans="2:5" x14ac:dyDescent="0.35">
      <c r="B359" s="142" t="s">
        <v>1608</v>
      </c>
      <c r="C359" s="310"/>
      <c r="D359" s="308" t="s">
        <v>1618</v>
      </c>
      <c r="E359" s="311">
        <v>83</v>
      </c>
    </row>
    <row r="360" spans="2:5" x14ac:dyDescent="0.35">
      <c r="B360" s="142" t="s">
        <v>1619</v>
      </c>
      <c r="C360" s="310"/>
      <c r="D360" s="308" t="s">
        <v>1620</v>
      </c>
      <c r="E360" s="311">
        <v>207</v>
      </c>
    </row>
    <row r="362" spans="2:5" s="4" customFormat="1" ht="13" x14ac:dyDescent="0.3">
      <c r="B362" s="19" t="s">
        <v>1621</v>
      </c>
      <c r="C362" s="6"/>
      <c r="D362" s="7"/>
    </row>
    <row r="363" spans="2:5" s="4" customFormat="1" ht="13" x14ac:dyDescent="0.3">
      <c r="B363" s="301" t="s">
        <v>1298</v>
      </c>
      <c r="C363" s="301"/>
      <c r="D363" s="302" t="s">
        <v>1622</v>
      </c>
      <c r="E363" s="303">
        <v>223</v>
      </c>
    </row>
    <row r="364" spans="2:5" s="4" customFormat="1" ht="13" x14ac:dyDescent="0.3">
      <c r="B364" s="301" t="s">
        <v>1300</v>
      </c>
      <c r="C364" s="301"/>
      <c r="D364" s="302" t="s">
        <v>1623</v>
      </c>
      <c r="E364" s="303">
        <v>282</v>
      </c>
    </row>
    <row r="365" spans="2:5" s="4" customFormat="1" ht="13" x14ac:dyDescent="0.3">
      <c r="B365" s="301" t="s">
        <v>1302</v>
      </c>
      <c r="C365" s="301"/>
      <c r="D365" s="302" t="s">
        <v>1624</v>
      </c>
      <c r="E365" s="303">
        <v>336</v>
      </c>
    </row>
    <row r="366" spans="2:5" s="4" customFormat="1" ht="13" x14ac:dyDescent="0.3">
      <c r="B366" s="301" t="s">
        <v>1625</v>
      </c>
      <c r="C366" s="301"/>
      <c r="D366" s="302" t="s">
        <v>1626</v>
      </c>
      <c r="E366" s="303">
        <v>388</v>
      </c>
    </row>
    <row r="367" spans="2:5" s="4" customFormat="1" ht="13" x14ac:dyDescent="0.3">
      <c r="B367" s="301" t="s">
        <v>1627</v>
      </c>
      <c r="C367" s="301"/>
      <c r="D367" s="302" t="s">
        <v>1628</v>
      </c>
      <c r="E367" s="303">
        <v>447</v>
      </c>
    </row>
    <row r="369" spans="2:5" x14ac:dyDescent="0.35">
      <c r="B369" s="17" t="s">
        <v>1629</v>
      </c>
    </row>
    <row r="370" spans="2:5" x14ac:dyDescent="0.35">
      <c r="B370" s="142" t="s">
        <v>1630</v>
      </c>
      <c r="C370" s="142"/>
      <c r="D370" s="308" t="s">
        <v>1631</v>
      </c>
      <c r="E370" s="309">
        <v>10</v>
      </c>
    </row>
    <row r="371" spans="2:5" x14ac:dyDescent="0.35">
      <c r="B371" s="142" t="s">
        <v>1632</v>
      </c>
      <c r="C371" s="142"/>
      <c r="D371" s="308" t="s">
        <v>1633</v>
      </c>
      <c r="E371" s="309">
        <v>35</v>
      </c>
    </row>
    <row r="373" spans="2:5" x14ac:dyDescent="0.35">
      <c r="B373" s="17" t="s">
        <v>1634</v>
      </c>
    </row>
    <row r="374" spans="2:5" x14ac:dyDescent="0.35">
      <c r="B374" s="27" t="s">
        <v>1601</v>
      </c>
    </row>
    <row r="375" spans="2:5" x14ac:dyDescent="0.35">
      <c r="B375" s="142" t="s">
        <v>1635</v>
      </c>
      <c r="C375" s="143"/>
      <c r="D375" s="144" t="s">
        <v>1636</v>
      </c>
      <c r="E375" s="312">
        <v>41</v>
      </c>
    </row>
    <row r="376" spans="2:5" x14ac:dyDescent="0.35">
      <c r="B376" s="142" t="s">
        <v>1637</v>
      </c>
      <c r="C376" s="143"/>
      <c r="D376" s="144" t="s">
        <v>1638</v>
      </c>
      <c r="E376" s="312">
        <v>83</v>
      </c>
    </row>
    <row r="377" spans="2:5" x14ac:dyDescent="0.35">
      <c r="B377" s="27" t="s">
        <v>1610</v>
      </c>
    </row>
    <row r="378" spans="2:5" x14ac:dyDescent="0.35">
      <c r="B378" s="142" t="s">
        <v>1635</v>
      </c>
      <c r="C378" s="143"/>
      <c r="D378" s="144" t="s">
        <v>1639</v>
      </c>
      <c r="E378" s="312">
        <v>186</v>
      </c>
    </row>
    <row r="379" spans="2:5" x14ac:dyDescent="0.35">
      <c r="B379" s="142" t="s">
        <v>1637</v>
      </c>
      <c r="C379" s="143"/>
      <c r="D379" s="144" t="s">
        <v>1640</v>
      </c>
      <c r="E379" s="312">
        <v>269</v>
      </c>
    </row>
    <row r="380" spans="2:5" x14ac:dyDescent="0.35">
      <c r="B380" s="27" t="s">
        <v>1614</v>
      </c>
    </row>
    <row r="381" spans="2:5" x14ac:dyDescent="0.35">
      <c r="B381" s="142" t="s">
        <v>1635</v>
      </c>
      <c r="C381" s="143"/>
      <c r="D381" s="144" t="s">
        <v>1641</v>
      </c>
      <c r="E381" s="312">
        <v>49</v>
      </c>
    </row>
    <row r="382" spans="2:5" x14ac:dyDescent="0.35">
      <c r="B382" s="142" t="s">
        <v>1637</v>
      </c>
      <c r="C382" s="143"/>
      <c r="D382" s="144" t="s">
        <v>1642</v>
      </c>
      <c r="E382" s="312">
        <v>100</v>
      </c>
    </row>
    <row r="384" spans="2:5" s="4" customFormat="1" ht="13" x14ac:dyDescent="0.3">
      <c r="B384" s="19" t="s">
        <v>1643</v>
      </c>
      <c r="C384" s="6"/>
      <c r="D384" s="7"/>
    </row>
    <row r="385" spans="2:5" s="4" customFormat="1" ht="13" x14ac:dyDescent="0.3">
      <c r="B385" s="301" t="s">
        <v>1644</v>
      </c>
      <c r="C385" s="301"/>
      <c r="D385" s="302" t="s">
        <v>1645</v>
      </c>
      <c r="E385" s="303">
        <v>827</v>
      </c>
    </row>
    <row r="386" spans="2:5" s="4" customFormat="1" ht="13" x14ac:dyDescent="0.3"/>
    <row r="387" spans="2:5" x14ac:dyDescent="0.35">
      <c r="B387" s="21" t="s">
        <v>1646</v>
      </c>
    </row>
    <row r="388" spans="2:5" x14ac:dyDescent="0.35">
      <c r="B388" s="134" t="s">
        <v>1647</v>
      </c>
      <c r="C388" s="151" t="s">
        <v>1648</v>
      </c>
      <c r="D388" s="152" t="s">
        <v>1649</v>
      </c>
      <c r="E388" s="153">
        <v>4</v>
      </c>
    </row>
    <row r="389" spans="2:5" s="26" customFormat="1" x14ac:dyDescent="0.35">
      <c r="B389" s="156" t="s">
        <v>1650</v>
      </c>
      <c r="C389" s="151" t="s">
        <v>1651</v>
      </c>
      <c r="D389" s="152" t="s">
        <v>1652</v>
      </c>
      <c r="E389" s="153">
        <v>6</v>
      </c>
    </row>
    <row r="390" spans="2:5" x14ac:dyDescent="0.35">
      <c r="B390" s="134" t="s">
        <v>1653</v>
      </c>
      <c r="C390" s="151" t="s">
        <v>1654</v>
      </c>
      <c r="D390" s="152" t="s">
        <v>1655</v>
      </c>
      <c r="E390" s="153">
        <v>6</v>
      </c>
    </row>
    <row r="391" spans="2:5" x14ac:dyDescent="0.35">
      <c r="B391" s="134" t="s">
        <v>1656</v>
      </c>
      <c r="C391" s="313" t="s">
        <v>1657</v>
      </c>
      <c r="D391" s="152" t="s">
        <v>1658</v>
      </c>
      <c r="E391" s="153">
        <v>13</v>
      </c>
    </row>
    <row r="392" spans="2:5" x14ac:dyDescent="0.35">
      <c r="B392" s="156" t="s">
        <v>1659</v>
      </c>
      <c r="C392" s="151" t="s">
        <v>1660</v>
      </c>
      <c r="D392" s="152" t="s">
        <v>1661</v>
      </c>
      <c r="E392" s="153">
        <v>16</v>
      </c>
    </row>
    <row r="393" spans="2:5" x14ac:dyDescent="0.35">
      <c r="B393" s="134" t="s">
        <v>1662</v>
      </c>
      <c r="C393" s="151" t="s">
        <v>1663</v>
      </c>
      <c r="D393" s="152" t="s">
        <v>1664</v>
      </c>
      <c r="E393" s="153">
        <v>6</v>
      </c>
    </row>
    <row r="395" spans="2:5" x14ac:dyDescent="0.35">
      <c r="B395" s="21" t="s">
        <v>1665</v>
      </c>
    </row>
    <row r="396" spans="2:5" x14ac:dyDescent="0.35">
      <c r="B396" s="205" t="s">
        <v>1666</v>
      </c>
      <c r="C396" s="151" t="s">
        <v>1660</v>
      </c>
      <c r="D396" s="152" t="s">
        <v>1667</v>
      </c>
      <c r="E396" s="153">
        <v>6</v>
      </c>
    </row>
    <row r="397" spans="2:5" x14ac:dyDescent="0.35">
      <c r="B397" s="205" t="s">
        <v>1668</v>
      </c>
      <c r="C397" s="151" t="s">
        <v>1660</v>
      </c>
      <c r="D397" s="152" t="s">
        <v>1669</v>
      </c>
      <c r="E397" s="153">
        <v>6</v>
      </c>
    </row>
    <row r="398" spans="2:5" x14ac:dyDescent="0.35">
      <c r="B398" s="205" t="s">
        <v>1670</v>
      </c>
      <c r="C398" s="151" t="s">
        <v>1660</v>
      </c>
      <c r="D398" s="152" t="s">
        <v>1671</v>
      </c>
      <c r="E398" s="153">
        <v>6</v>
      </c>
    </row>
    <row r="399" spans="2:5" x14ac:dyDescent="0.35">
      <c r="B399" s="205" t="s">
        <v>1672</v>
      </c>
      <c r="C399" s="151" t="s">
        <v>1660</v>
      </c>
      <c r="D399" s="152" t="s">
        <v>1673</v>
      </c>
      <c r="E399" s="153">
        <v>26</v>
      </c>
    </row>
    <row r="400" spans="2:5" x14ac:dyDescent="0.35">
      <c r="B400" s="205" t="s">
        <v>1674</v>
      </c>
      <c r="C400" s="151" t="s">
        <v>1660</v>
      </c>
      <c r="D400" s="152" t="s">
        <v>1675</v>
      </c>
      <c r="E400" s="153">
        <v>0</v>
      </c>
    </row>
    <row r="401" spans="2:5" x14ac:dyDescent="0.35">
      <c r="B401" s="205" t="s">
        <v>1676</v>
      </c>
      <c r="C401" s="151" t="s">
        <v>1660</v>
      </c>
      <c r="D401" s="152" t="s">
        <v>1677</v>
      </c>
      <c r="E401" s="153">
        <v>4</v>
      </c>
    </row>
    <row r="403" spans="2:5" x14ac:dyDescent="0.35">
      <c r="B403" s="17" t="s">
        <v>1678</v>
      </c>
    </row>
    <row r="404" spans="2:5" x14ac:dyDescent="0.35">
      <c r="B404" s="27" t="s">
        <v>1679</v>
      </c>
    </row>
    <row r="405" spans="2:5" x14ac:dyDescent="0.35">
      <c r="B405" s="142" t="s">
        <v>1680</v>
      </c>
      <c r="C405" s="143"/>
      <c r="D405" s="144" t="s">
        <v>1681</v>
      </c>
      <c r="E405" s="312">
        <v>72</v>
      </c>
    </row>
    <row r="406" spans="2:5" x14ac:dyDescent="0.35">
      <c r="B406" s="142" t="s">
        <v>1682</v>
      </c>
      <c r="C406" s="143"/>
      <c r="D406" s="144" t="s">
        <v>1683</v>
      </c>
      <c r="E406" s="312">
        <v>27</v>
      </c>
    </row>
    <row r="407" spans="2:5" x14ac:dyDescent="0.35">
      <c r="B407" s="142" t="s">
        <v>1684</v>
      </c>
      <c r="C407" s="143"/>
      <c r="D407" s="144" t="s">
        <v>1685</v>
      </c>
      <c r="E407" s="312">
        <v>50</v>
      </c>
    </row>
    <row r="408" spans="2:5" x14ac:dyDescent="0.35">
      <c r="B408" s="142" t="s">
        <v>1686</v>
      </c>
      <c r="C408" s="143"/>
      <c r="D408" s="144" t="s">
        <v>1687</v>
      </c>
      <c r="E408" s="312">
        <v>18</v>
      </c>
    </row>
    <row r="409" spans="2:5" x14ac:dyDescent="0.35">
      <c r="B409" s="27" t="s">
        <v>1688</v>
      </c>
    </row>
    <row r="410" spans="2:5" x14ac:dyDescent="0.35">
      <c r="B410" s="142" t="s">
        <v>1689</v>
      </c>
      <c r="C410" s="143"/>
      <c r="D410" s="144" t="s">
        <v>1690</v>
      </c>
      <c r="E410" s="312">
        <v>94</v>
      </c>
    </row>
    <row r="411" spans="2:5" x14ac:dyDescent="0.35">
      <c r="B411" s="142" t="s">
        <v>1691</v>
      </c>
      <c r="C411" s="143"/>
      <c r="D411" s="144" t="s">
        <v>1692</v>
      </c>
      <c r="E411" s="312">
        <v>76</v>
      </c>
    </row>
    <row r="412" spans="2:5" x14ac:dyDescent="0.35">
      <c r="B412" s="142" t="s">
        <v>1693</v>
      </c>
      <c r="C412" s="143"/>
      <c r="D412" s="144" t="s">
        <v>1694</v>
      </c>
      <c r="E412" s="312">
        <v>48</v>
      </c>
    </row>
    <row r="413" spans="2:5" x14ac:dyDescent="0.35">
      <c r="B413" s="142" t="s">
        <v>1695</v>
      </c>
      <c r="C413" s="143"/>
      <c r="D413" s="144" t="s">
        <v>1696</v>
      </c>
      <c r="E413" s="312">
        <v>27</v>
      </c>
    </row>
    <row r="414" spans="2:5" x14ac:dyDescent="0.35">
      <c r="B414" s="6"/>
      <c r="C414" s="39"/>
    </row>
    <row r="415" spans="2:5" x14ac:dyDescent="0.35">
      <c r="B415" s="17" t="s">
        <v>1697</v>
      </c>
      <c r="C415" s="39"/>
    </row>
    <row r="416" spans="2:5" x14ac:dyDescent="0.35">
      <c r="B416" s="142" t="s">
        <v>1698</v>
      </c>
      <c r="C416" s="143"/>
      <c r="D416" s="144" t="s">
        <v>1699</v>
      </c>
      <c r="E416" s="300">
        <v>21</v>
      </c>
    </row>
    <row r="417" spans="2:5" x14ac:dyDescent="0.35">
      <c r="B417" s="142" t="s">
        <v>1700</v>
      </c>
      <c r="C417" s="143"/>
      <c r="D417" s="144" t="s">
        <v>1701</v>
      </c>
      <c r="E417" s="300">
        <v>13</v>
      </c>
    </row>
    <row r="418" spans="2:5" x14ac:dyDescent="0.35">
      <c r="B418" s="142" t="s">
        <v>1702</v>
      </c>
      <c r="C418" s="143"/>
      <c r="D418" s="144" t="s">
        <v>1703</v>
      </c>
      <c r="E418" s="300">
        <v>15</v>
      </c>
    </row>
    <row r="419" spans="2:5" x14ac:dyDescent="0.35">
      <c r="B419" s="142" t="s">
        <v>1704</v>
      </c>
      <c r="C419" s="143"/>
      <c r="D419" s="144" t="s">
        <v>1705</v>
      </c>
      <c r="E419" s="300">
        <v>18</v>
      </c>
    </row>
    <row r="420" spans="2:5" x14ac:dyDescent="0.35">
      <c r="B420" s="142" t="s">
        <v>1706</v>
      </c>
      <c r="C420" s="143"/>
      <c r="D420" s="144" t="s">
        <v>1707</v>
      </c>
      <c r="E420" s="300">
        <v>30</v>
      </c>
    </row>
    <row r="421" spans="2:5" x14ac:dyDescent="0.35">
      <c r="B421" s="142" t="s">
        <v>1708</v>
      </c>
      <c r="C421" s="143"/>
      <c r="D421" s="144" t="s">
        <v>1709</v>
      </c>
      <c r="E421" s="300">
        <v>18</v>
      </c>
    </row>
    <row r="422" spans="2:5" x14ac:dyDescent="0.35">
      <c r="B422" s="142" t="s">
        <v>1710</v>
      </c>
      <c r="C422" s="143"/>
      <c r="D422" s="144" t="s">
        <v>1711</v>
      </c>
      <c r="E422" s="300">
        <v>21</v>
      </c>
    </row>
    <row r="424" spans="2:5" x14ac:dyDescent="0.35">
      <c r="B424" s="17" t="s">
        <v>1712</v>
      </c>
    </row>
    <row r="425" spans="2:5" x14ac:dyDescent="0.35">
      <c r="B425" s="142" t="s">
        <v>1713</v>
      </c>
      <c r="C425" s="143"/>
      <c r="D425" s="144" t="s">
        <v>1714</v>
      </c>
      <c r="E425" s="300">
        <v>4</v>
      </c>
    </row>
    <row r="426" spans="2:5" x14ac:dyDescent="0.35">
      <c r="B426" s="142" t="s">
        <v>1715</v>
      </c>
      <c r="C426" s="143"/>
      <c r="D426" s="144" t="s">
        <v>1716</v>
      </c>
      <c r="E426" s="300">
        <v>0</v>
      </c>
    </row>
    <row r="428" spans="2:5" x14ac:dyDescent="0.35">
      <c r="B428" s="17" t="s">
        <v>1717</v>
      </c>
    </row>
    <row r="429" spans="2:5" x14ac:dyDescent="0.35">
      <c r="B429" s="27" t="s">
        <v>1718</v>
      </c>
    </row>
    <row r="430" spans="2:5" x14ac:dyDescent="0.35">
      <c r="B430" s="142" t="s">
        <v>1719</v>
      </c>
      <c r="C430" s="143"/>
      <c r="D430" s="144" t="s">
        <v>1720</v>
      </c>
      <c r="E430" s="300">
        <v>9</v>
      </c>
    </row>
    <row r="431" spans="2:5" x14ac:dyDescent="0.35">
      <c r="B431" s="142" t="s">
        <v>1721</v>
      </c>
      <c r="C431" s="143"/>
      <c r="D431" s="144" t="s">
        <v>1722</v>
      </c>
      <c r="E431" s="300">
        <v>65</v>
      </c>
    </row>
    <row r="432" spans="2:5" x14ac:dyDescent="0.35">
      <c r="B432" s="142" t="s">
        <v>1723</v>
      </c>
      <c r="C432" s="143"/>
      <c r="D432" s="144" t="s">
        <v>1724</v>
      </c>
      <c r="E432" s="300">
        <v>124</v>
      </c>
    </row>
    <row r="433" spans="2:5" x14ac:dyDescent="0.35">
      <c r="B433" s="46" t="s">
        <v>542</v>
      </c>
      <c r="C433" s="45"/>
      <c r="D433" s="45"/>
    </row>
    <row r="434" spans="2:5" x14ac:dyDescent="0.35">
      <c r="B434" s="142" t="s">
        <v>1725</v>
      </c>
      <c r="C434" s="143"/>
      <c r="D434" s="144" t="s">
        <v>1726</v>
      </c>
      <c r="E434" s="300">
        <v>7</v>
      </c>
    </row>
    <row r="435" spans="2:5" x14ac:dyDescent="0.35">
      <c r="B435" s="27" t="s">
        <v>1727</v>
      </c>
    </row>
    <row r="436" spans="2:5" x14ac:dyDescent="0.35">
      <c r="B436" s="142" t="s">
        <v>1728</v>
      </c>
      <c r="C436" s="143"/>
      <c r="D436" s="144" t="s">
        <v>1729</v>
      </c>
      <c r="E436" s="300">
        <v>300</v>
      </c>
    </row>
    <row r="437" spans="2:5" x14ac:dyDescent="0.35">
      <c r="B437" s="142" t="s">
        <v>1730</v>
      </c>
      <c r="C437" s="143"/>
      <c r="D437" s="144" t="s">
        <v>1731</v>
      </c>
      <c r="E437" s="300">
        <v>403</v>
      </c>
    </row>
    <row r="438" spans="2:5" x14ac:dyDescent="0.35">
      <c r="B438" s="142" t="s">
        <v>1732</v>
      </c>
      <c r="C438" s="143"/>
      <c r="D438" s="144" t="s">
        <v>1733</v>
      </c>
      <c r="E438" s="300">
        <v>1128</v>
      </c>
    </row>
    <row r="439" spans="2:5" x14ac:dyDescent="0.35">
      <c r="B439" s="142" t="s">
        <v>1734</v>
      </c>
      <c r="C439" s="143"/>
      <c r="D439" s="144" t="s">
        <v>1735</v>
      </c>
      <c r="E439" s="300">
        <v>269</v>
      </c>
    </row>
    <row r="440" spans="2:5" x14ac:dyDescent="0.35">
      <c r="B440" s="27" t="s">
        <v>1736</v>
      </c>
    </row>
    <row r="441" spans="2:5" x14ac:dyDescent="0.35">
      <c r="B441" s="142" t="s">
        <v>1737</v>
      </c>
      <c r="C441" s="143"/>
      <c r="D441" s="144" t="s">
        <v>1738</v>
      </c>
      <c r="E441" s="300">
        <v>0</v>
      </c>
    </row>
    <row r="442" spans="2:5" x14ac:dyDescent="0.35">
      <c r="B442" s="142" t="s">
        <v>1739</v>
      </c>
      <c r="C442" s="143"/>
      <c r="D442" s="144" t="s">
        <v>1740</v>
      </c>
      <c r="E442" s="300">
        <v>15</v>
      </c>
    </row>
    <row r="443" spans="2:5" x14ac:dyDescent="0.35">
      <c r="B443" s="142" t="s">
        <v>1741</v>
      </c>
      <c r="C443" s="143"/>
      <c r="D443" s="144" t="s">
        <v>1742</v>
      </c>
      <c r="E443" s="300">
        <v>34</v>
      </c>
    </row>
    <row r="444" spans="2:5" x14ac:dyDescent="0.35">
      <c r="B444" s="33" t="s">
        <v>192</v>
      </c>
    </row>
    <row r="445" spans="2:5" ht="15.5" x14ac:dyDescent="0.35">
      <c r="B445" s="47" t="s">
        <v>1743</v>
      </c>
      <c r="C445" s="48"/>
      <c r="D445" s="49"/>
      <c r="E445" s="50"/>
    </row>
    <row r="446" spans="2:5" x14ac:dyDescent="0.35">
      <c r="B446" s="134" t="s">
        <v>1744</v>
      </c>
      <c r="C446" s="151" t="s">
        <v>1745</v>
      </c>
      <c r="D446" s="152" t="s">
        <v>1746</v>
      </c>
      <c r="E446" s="153">
        <v>135</v>
      </c>
    </row>
    <row r="447" spans="2:5" x14ac:dyDescent="0.35">
      <c r="B447" s="134" t="s">
        <v>1747</v>
      </c>
      <c r="C447" s="151" t="s">
        <v>1745</v>
      </c>
      <c r="D447" s="152" t="s">
        <v>1748</v>
      </c>
      <c r="E447" s="153">
        <v>151</v>
      </c>
    </row>
    <row r="448" spans="2:5" x14ac:dyDescent="0.35">
      <c r="B448" s="134" t="s">
        <v>1749</v>
      </c>
      <c r="C448" s="151" t="s">
        <v>1745</v>
      </c>
      <c r="D448" s="152" t="s">
        <v>1750</v>
      </c>
      <c r="E448" s="153">
        <v>237</v>
      </c>
    </row>
    <row r="449" spans="2:5" x14ac:dyDescent="0.35">
      <c r="B449" s="134" t="s">
        <v>1751</v>
      </c>
      <c r="C449" s="151" t="s">
        <v>1752</v>
      </c>
      <c r="D449" s="152" t="s">
        <v>1753</v>
      </c>
      <c r="E449" s="153">
        <v>110</v>
      </c>
    </row>
    <row r="450" spans="2:5" x14ac:dyDescent="0.35">
      <c r="B450" s="134" t="s">
        <v>1754</v>
      </c>
      <c r="C450" s="151" t="s">
        <v>1755</v>
      </c>
      <c r="D450" s="152" t="s">
        <v>1756</v>
      </c>
      <c r="E450" s="153">
        <v>126</v>
      </c>
    </row>
    <row r="451" spans="2:5" x14ac:dyDescent="0.35">
      <c r="B451" s="134" t="s">
        <v>1757</v>
      </c>
      <c r="C451" s="151" t="s">
        <v>1758</v>
      </c>
      <c r="D451" s="152" t="s">
        <v>1759</v>
      </c>
      <c r="E451" s="153">
        <v>212</v>
      </c>
    </row>
  </sheetData>
  <mergeCells count="2">
    <mergeCell ref="B2:E2"/>
    <mergeCell ref="B3:E3"/>
  </mergeCells>
  <phoneticPr fontId="34" type="noConversion"/>
  <conditionalFormatting sqref="D285:D1048576 D1:D2 D14 D16:D26 D260:D283 D102:D255 D28:D98 D4:D12">
    <cfRule type="duplicateValues" dxfId="48" priority="12"/>
  </conditionalFormatting>
  <conditionalFormatting sqref="D256:D259">
    <cfRule type="duplicateValues" dxfId="47" priority="11"/>
  </conditionalFormatting>
  <conditionalFormatting sqref="D13">
    <cfRule type="duplicateValues" dxfId="46" priority="10"/>
  </conditionalFormatting>
  <conditionalFormatting sqref="D15">
    <cfRule type="duplicateValues" dxfId="45" priority="9"/>
  </conditionalFormatting>
  <conditionalFormatting sqref="D99:D101">
    <cfRule type="duplicateValues" dxfId="44" priority="3"/>
  </conditionalFormatting>
  <conditionalFormatting sqref="D27">
    <cfRule type="duplicateValues" dxfId="43" priority="2"/>
  </conditionalFormatting>
  <conditionalFormatting sqref="D284">
    <cfRule type="duplicateValues" dxfId="42" priority="1"/>
  </conditionalFormatting>
  <pageMargins left="0.7" right="0.7" top="0.75" bottom="0.75" header="0.3" footer="0.3"/>
  <pageSetup paperSize="9" orientation="portrait" r:id="rId1"/>
  <headerFooter>
    <oddFooter>&amp;L&amp;1#&amp;"Calibri"&amp;7&amp;K7F7F7FInternal Use - Confidential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CED20-6051-4DD8-931A-9643CAC4890A}">
  <sheetPr>
    <tabColor theme="9" tint="0.59999389629810485"/>
  </sheetPr>
  <dimension ref="B1:I451"/>
  <sheetViews>
    <sheetView zoomScale="70" zoomScaleNormal="70" workbookViewId="0">
      <selection activeCell="B2" sqref="B2:E2"/>
    </sheetView>
  </sheetViews>
  <sheetFormatPr baseColWidth="10" defaultColWidth="8.7265625" defaultRowHeight="14.5" x14ac:dyDescent="0.35"/>
  <cols>
    <col min="2" max="2" width="221.7265625" style="33" bestFit="1" customWidth="1"/>
    <col min="3" max="3" width="31.54296875" bestFit="1" customWidth="1"/>
    <col min="4" max="4" width="15" bestFit="1" customWidth="1"/>
    <col min="5" max="5" width="16.1796875" customWidth="1"/>
    <col min="8" max="8" width="18.54296875" customWidth="1"/>
    <col min="9" max="9" width="17.453125" customWidth="1"/>
  </cols>
  <sheetData>
    <row r="1" spans="2:9" ht="75.75" customHeight="1" thickBot="1" x14ac:dyDescent="0.4">
      <c r="B1" s="298"/>
    </row>
    <row r="2" spans="2:9" ht="21" x14ac:dyDescent="0.35">
      <c r="B2" s="358" t="s">
        <v>80</v>
      </c>
      <c r="C2" s="358"/>
      <c r="D2" s="358"/>
      <c r="E2" s="358"/>
      <c r="H2" s="314" t="s">
        <v>1944</v>
      </c>
      <c r="I2" s="315" t="s">
        <v>1945</v>
      </c>
    </row>
    <row r="3" spans="2:9" ht="21" x14ac:dyDescent="0.35">
      <c r="B3" s="362" t="s">
        <v>854</v>
      </c>
      <c r="C3" s="362"/>
      <c r="D3" s="363"/>
      <c r="E3" s="332"/>
      <c r="H3" s="316">
        <v>0.22422</v>
      </c>
      <c r="I3" s="317">
        <v>0.11817999999999999</v>
      </c>
    </row>
    <row r="4" spans="2:9" ht="26.5" thickBot="1" x14ac:dyDescent="0.4">
      <c r="B4" s="139" t="s">
        <v>82</v>
      </c>
      <c r="C4" s="140" t="s">
        <v>83</v>
      </c>
      <c r="D4" s="141" t="s">
        <v>84</v>
      </c>
      <c r="E4" s="252" t="s">
        <v>85</v>
      </c>
      <c r="H4" s="330" t="s">
        <v>1946</v>
      </c>
      <c r="I4" s="331" t="s">
        <v>1947</v>
      </c>
    </row>
    <row r="5" spans="2:9" x14ac:dyDescent="0.35">
      <c r="B5" s="21" t="s">
        <v>855</v>
      </c>
    </row>
    <row r="6" spans="2:9" x14ac:dyDescent="0.35">
      <c r="B6" s="35" t="s">
        <v>856</v>
      </c>
    </row>
    <row r="7" spans="2:9" x14ac:dyDescent="0.35">
      <c r="B7" s="205" t="s">
        <v>857</v>
      </c>
      <c r="C7" s="204" t="s">
        <v>858</v>
      </c>
      <c r="D7" s="152" t="s">
        <v>859</v>
      </c>
      <c r="E7" s="153">
        <v>105</v>
      </c>
      <c r="H7" s="328">
        <f>E7*$H$3</f>
        <v>23.543099999999999</v>
      </c>
      <c r="I7" s="328">
        <f>E7*$I$3</f>
        <v>12.408899999999999</v>
      </c>
    </row>
    <row r="8" spans="2:9" x14ac:dyDescent="0.35">
      <c r="B8" s="205" t="s">
        <v>860</v>
      </c>
      <c r="C8" s="204" t="s">
        <v>861</v>
      </c>
      <c r="D8" s="152" t="s">
        <v>862</v>
      </c>
      <c r="E8" s="153">
        <v>304</v>
      </c>
      <c r="H8" s="328">
        <f t="shared" ref="H8:H71" si="0">E8*$H$3</f>
        <v>68.162880000000001</v>
      </c>
      <c r="I8" s="328">
        <f t="shared" ref="I8:I71" si="1">E8*$I$3</f>
        <v>35.926719999999996</v>
      </c>
    </row>
    <row r="9" spans="2:9" x14ac:dyDescent="0.35">
      <c r="B9" s="35" t="s">
        <v>863</v>
      </c>
      <c r="H9" s="328">
        <f t="shared" si="0"/>
        <v>0</v>
      </c>
      <c r="I9" s="328">
        <f t="shared" si="1"/>
        <v>0</v>
      </c>
    </row>
    <row r="10" spans="2:9" x14ac:dyDescent="0.35">
      <c r="B10" s="205" t="s">
        <v>864</v>
      </c>
      <c r="C10" s="204" t="s">
        <v>865</v>
      </c>
      <c r="D10" s="152" t="s">
        <v>866</v>
      </c>
      <c r="E10" s="153">
        <v>105</v>
      </c>
      <c r="H10" s="328">
        <f t="shared" si="0"/>
        <v>23.543099999999999</v>
      </c>
      <c r="I10" s="328">
        <f t="shared" si="1"/>
        <v>12.408899999999999</v>
      </c>
    </row>
    <row r="11" spans="2:9" x14ac:dyDescent="0.35">
      <c r="B11" s="205" t="s">
        <v>867</v>
      </c>
      <c r="C11" s="204" t="s">
        <v>868</v>
      </c>
      <c r="D11" s="152" t="s">
        <v>869</v>
      </c>
      <c r="E11" s="153">
        <v>304</v>
      </c>
      <c r="H11" s="328">
        <f t="shared" si="0"/>
        <v>68.162880000000001</v>
      </c>
      <c r="I11" s="328">
        <f t="shared" si="1"/>
        <v>35.926719999999996</v>
      </c>
    </row>
    <row r="12" spans="2:9" x14ac:dyDescent="0.35">
      <c r="B12" s="205" t="s">
        <v>870</v>
      </c>
      <c r="C12" s="204" t="s">
        <v>871</v>
      </c>
      <c r="D12" s="152" t="s">
        <v>872</v>
      </c>
      <c r="E12" s="153">
        <v>487</v>
      </c>
      <c r="H12" s="328">
        <f t="shared" si="0"/>
        <v>109.19513999999999</v>
      </c>
      <c r="I12" s="328">
        <f t="shared" si="1"/>
        <v>57.553659999999994</v>
      </c>
    </row>
    <row r="13" spans="2:9" x14ac:dyDescent="0.35">
      <c r="B13" s="205" t="s">
        <v>873</v>
      </c>
      <c r="C13" s="204" t="s">
        <v>874</v>
      </c>
      <c r="D13" s="152" t="s">
        <v>875</v>
      </c>
      <c r="E13" s="153">
        <v>859</v>
      </c>
      <c r="H13" s="328">
        <f t="shared" si="0"/>
        <v>192.60498000000001</v>
      </c>
      <c r="I13" s="328">
        <f t="shared" si="1"/>
        <v>101.51661999999999</v>
      </c>
    </row>
    <row r="14" spans="2:9" x14ac:dyDescent="0.35">
      <c r="B14" s="205" t="s">
        <v>876</v>
      </c>
      <c r="C14" s="204" t="s">
        <v>877</v>
      </c>
      <c r="D14" s="152" t="s">
        <v>878</v>
      </c>
      <c r="E14" s="153">
        <v>1328</v>
      </c>
      <c r="H14" s="328">
        <f t="shared" si="0"/>
        <v>297.76416</v>
      </c>
      <c r="I14" s="328">
        <f t="shared" si="1"/>
        <v>156.94304</v>
      </c>
    </row>
    <row r="15" spans="2:9" x14ac:dyDescent="0.35">
      <c r="B15" s="205" t="s">
        <v>879</v>
      </c>
      <c r="C15" s="204" t="s">
        <v>880</v>
      </c>
      <c r="D15" s="152" t="s">
        <v>881</v>
      </c>
      <c r="E15" s="153">
        <v>2500</v>
      </c>
      <c r="H15" s="328">
        <f t="shared" si="0"/>
        <v>560.54999999999995</v>
      </c>
      <c r="I15" s="328">
        <f>E15*$I$3</f>
        <v>295.45</v>
      </c>
    </row>
    <row r="16" spans="2:9" x14ac:dyDescent="0.35">
      <c r="B16" s="205" t="s">
        <v>882</v>
      </c>
      <c r="C16" s="204" t="s">
        <v>883</v>
      </c>
      <c r="D16" s="152" t="s">
        <v>884</v>
      </c>
      <c r="E16" s="153">
        <v>4200</v>
      </c>
      <c r="H16" s="328">
        <f t="shared" si="0"/>
        <v>941.72400000000005</v>
      </c>
      <c r="I16" s="328">
        <f t="shared" si="1"/>
        <v>496.35599999999999</v>
      </c>
    </row>
    <row r="17" spans="2:9" x14ac:dyDescent="0.35">
      <c r="B17" s="205" t="s">
        <v>885</v>
      </c>
      <c r="C17" s="204" t="s">
        <v>886</v>
      </c>
      <c r="D17" s="152" t="s">
        <v>887</v>
      </c>
      <c r="E17" s="153">
        <v>6900</v>
      </c>
      <c r="H17" s="328">
        <f t="shared" si="0"/>
        <v>1547.1179999999999</v>
      </c>
      <c r="I17" s="328">
        <f t="shared" si="1"/>
        <v>815.44200000000001</v>
      </c>
    </row>
    <row r="18" spans="2:9" x14ac:dyDescent="0.35">
      <c r="B18" s="205" t="s">
        <v>888</v>
      </c>
      <c r="C18" s="204" t="s">
        <v>889</v>
      </c>
      <c r="D18" s="152" t="s">
        <v>890</v>
      </c>
      <c r="E18" s="153">
        <v>14500</v>
      </c>
      <c r="H18" s="328">
        <f t="shared" si="0"/>
        <v>3251.19</v>
      </c>
      <c r="I18" s="328">
        <f t="shared" si="1"/>
        <v>1713.61</v>
      </c>
    </row>
    <row r="19" spans="2:9" x14ac:dyDescent="0.35">
      <c r="B19" s="35"/>
      <c r="H19" s="328">
        <f t="shared" si="0"/>
        <v>0</v>
      </c>
      <c r="I19" s="328">
        <f t="shared" si="1"/>
        <v>0</v>
      </c>
    </row>
    <row r="20" spans="2:9" x14ac:dyDescent="0.35">
      <c r="B20" s="21" t="s">
        <v>891</v>
      </c>
      <c r="C20" s="27"/>
      <c r="H20" s="328">
        <f t="shared" si="0"/>
        <v>0</v>
      </c>
      <c r="I20" s="328">
        <f t="shared" si="1"/>
        <v>0</v>
      </c>
    </row>
    <row r="21" spans="2:9" x14ac:dyDescent="0.35">
      <c r="B21" s="134" t="s">
        <v>892</v>
      </c>
      <c r="C21" s="204" t="s">
        <v>893</v>
      </c>
      <c r="D21" s="152" t="s">
        <v>894</v>
      </c>
      <c r="E21" s="153">
        <v>450</v>
      </c>
      <c r="H21" s="328">
        <f t="shared" si="0"/>
        <v>100.899</v>
      </c>
      <c r="I21" s="328">
        <f t="shared" si="1"/>
        <v>53.180999999999997</v>
      </c>
    </row>
    <row r="22" spans="2:9" x14ac:dyDescent="0.35">
      <c r="B22" s="35"/>
      <c r="H22" s="328">
        <f t="shared" si="0"/>
        <v>0</v>
      </c>
      <c r="I22" s="328">
        <f t="shared" si="1"/>
        <v>0</v>
      </c>
    </row>
    <row r="23" spans="2:9" x14ac:dyDescent="0.35">
      <c r="B23" s="21" t="s">
        <v>895</v>
      </c>
      <c r="C23" s="27"/>
      <c r="H23" s="328">
        <f t="shared" si="0"/>
        <v>0</v>
      </c>
      <c r="I23" s="328">
        <f t="shared" si="1"/>
        <v>0</v>
      </c>
    </row>
    <row r="24" spans="2:9" x14ac:dyDescent="0.35">
      <c r="B24" s="134" t="s">
        <v>896</v>
      </c>
      <c r="C24" s="242" t="s">
        <v>897</v>
      </c>
      <c r="D24" s="152" t="s">
        <v>898</v>
      </c>
      <c r="E24" s="153">
        <v>136</v>
      </c>
      <c r="H24" s="328">
        <f t="shared" si="0"/>
        <v>30.493919999999999</v>
      </c>
      <c r="I24" s="328">
        <f t="shared" si="1"/>
        <v>16.072479999999999</v>
      </c>
    </row>
    <row r="25" spans="2:9" x14ac:dyDescent="0.35">
      <c r="B25" s="134" t="s">
        <v>124</v>
      </c>
      <c r="C25" s="242" t="s">
        <v>899</v>
      </c>
      <c r="D25" s="152" t="s">
        <v>900</v>
      </c>
      <c r="E25" s="153">
        <v>241</v>
      </c>
      <c r="H25" s="328">
        <f t="shared" si="0"/>
        <v>54.037019999999998</v>
      </c>
      <c r="I25" s="328">
        <f t="shared" si="1"/>
        <v>28.481379999999998</v>
      </c>
    </row>
    <row r="26" spans="2:9" x14ac:dyDescent="0.35">
      <c r="B26" s="134" t="s">
        <v>126</v>
      </c>
      <c r="C26" s="242" t="s">
        <v>901</v>
      </c>
      <c r="D26" s="152" t="s">
        <v>902</v>
      </c>
      <c r="E26" s="153">
        <v>463</v>
      </c>
      <c r="H26" s="328">
        <f t="shared" si="0"/>
        <v>103.81386000000001</v>
      </c>
      <c r="I26" s="328">
        <f t="shared" si="1"/>
        <v>54.71734</v>
      </c>
    </row>
    <row r="27" spans="2:9" x14ac:dyDescent="0.35">
      <c r="B27" s="134" t="s">
        <v>903</v>
      </c>
      <c r="C27" s="204" t="s">
        <v>904</v>
      </c>
      <c r="D27" s="152" t="s">
        <v>905</v>
      </c>
      <c r="E27" s="153">
        <v>700</v>
      </c>
      <c r="H27" s="328">
        <f t="shared" si="0"/>
        <v>156.95400000000001</v>
      </c>
      <c r="I27" s="328">
        <f t="shared" si="1"/>
        <v>82.725999999999999</v>
      </c>
    </row>
    <row r="28" spans="2:9" x14ac:dyDescent="0.35">
      <c r="B28" s="21"/>
      <c r="C28" s="27"/>
      <c r="D28" s="28"/>
      <c r="E28" s="28"/>
      <c r="H28" s="328">
        <f t="shared" si="0"/>
        <v>0</v>
      </c>
      <c r="I28" s="328">
        <f t="shared" si="1"/>
        <v>0</v>
      </c>
    </row>
    <row r="29" spans="2:9" x14ac:dyDescent="0.35">
      <c r="B29" s="21" t="s">
        <v>906</v>
      </c>
      <c r="C29" s="27"/>
      <c r="D29" s="28"/>
      <c r="E29" s="28"/>
      <c r="H29" s="328">
        <f t="shared" si="0"/>
        <v>0</v>
      </c>
      <c r="I29" s="328">
        <f t="shared" si="1"/>
        <v>0</v>
      </c>
    </row>
    <row r="30" spans="2:9" x14ac:dyDescent="0.35">
      <c r="B30" s="35" t="s">
        <v>907</v>
      </c>
      <c r="C30" s="27"/>
      <c r="D30" s="28"/>
      <c r="E30" s="28"/>
      <c r="H30" s="328">
        <f t="shared" si="0"/>
        <v>0</v>
      </c>
      <c r="I30" s="328">
        <f t="shared" si="1"/>
        <v>0</v>
      </c>
    </row>
    <row r="31" spans="2:9" x14ac:dyDescent="0.35">
      <c r="B31" s="134" t="s">
        <v>908</v>
      </c>
      <c r="C31" s="242" t="s">
        <v>909</v>
      </c>
      <c r="D31" s="152" t="s">
        <v>910</v>
      </c>
      <c r="E31" s="153">
        <v>15</v>
      </c>
      <c r="H31" s="328">
        <f t="shared" si="0"/>
        <v>3.3633000000000002</v>
      </c>
      <c r="I31" s="328">
        <f t="shared" si="1"/>
        <v>1.7726999999999999</v>
      </c>
    </row>
    <row r="32" spans="2:9" x14ac:dyDescent="0.35">
      <c r="B32" s="134" t="s">
        <v>911</v>
      </c>
      <c r="C32" s="242" t="s">
        <v>912</v>
      </c>
      <c r="D32" s="152" t="s">
        <v>913</v>
      </c>
      <c r="E32" s="153">
        <v>29</v>
      </c>
      <c r="H32" s="328">
        <f t="shared" si="0"/>
        <v>6.5023800000000005</v>
      </c>
      <c r="I32" s="328">
        <f t="shared" si="1"/>
        <v>3.4272199999999997</v>
      </c>
    </row>
    <row r="33" spans="2:9" x14ac:dyDescent="0.35">
      <c r="B33" s="35" t="s">
        <v>914</v>
      </c>
      <c r="C33" s="27"/>
      <c r="D33" s="28"/>
      <c r="E33" s="28"/>
      <c r="H33" s="328">
        <f t="shared" si="0"/>
        <v>0</v>
      </c>
      <c r="I33" s="328">
        <f t="shared" si="1"/>
        <v>0</v>
      </c>
    </row>
    <row r="34" spans="2:9" x14ac:dyDescent="0.35">
      <c r="B34" s="134" t="s">
        <v>915</v>
      </c>
      <c r="C34" s="242" t="s">
        <v>916</v>
      </c>
      <c r="D34" s="152" t="s">
        <v>917</v>
      </c>
      <c r="E34" s="153">
        <v>64</v>
      </c>
      <c r="H34" s="328">
        <f t="shared" si="0"/>
        <v>14.35008</v>
      </c>
      <c r="I34" s="328">
        <f t="shared" si="1"/>
        <v>7.5635199999999996</v>
      </c>
    </row>
    <row r="35" spans="2:9" x14ac:dyDescent="0.35">
      <c r="B35" s="134" t="s">
        <v>918</v>
      </c>
      <c r="C35" s="242" t="s">
        <v>919</v>
      </c>
      <c r="D35" s="152" t="s">
        <v>920</v>
      </c>
      <c r="E35" s="153">
        <v>79</v>
      </c>
      <c r="H35" s="328">
        <f t="shared" si="0"/>
        <v>17.713380000000001</v>
      </c>
      <c r="I35" s="328">
        <f t="shared" si="1"/>
        <v>9.3362199999999991</v>
      </c>
    </row>
    <row r="36" spans="2:9" x14ac:dyDescent="0.35">
      <c r="B36" s="134" t="s">
        <v>921</v>
      </c>
      <c r="C36" s="242" t="s">
        <v>922</v>
      </c>
      <c r="D36" s="152" t="s">
        <v>923</v>
      </c>
      <c r="E36" s="153">
        <v>89</v>
      </c>
      <c r="H36" s="328">
        <f t="shared" si="0"/>
        <v>19.955580000000001</v>
      </c>
      <c r="I36" s="328">
        <f t="shared" si="1"/>
        <v>10.51802</v>
      </c>
    </row>
    <row r="37" spans="2:9" x14ac:dyDescent="0.35">
      <c r="B37" s="134" t="s">
        <v>924</v>
      </c>
      <c r="C37" s="242" t="s">
        <v>925</v>
      </c>
      <c r="D37" s="152" t="s">
        <v>926</v>
      </c>
      <c r="E37" s="153">
        <v>135</v>
      </c>
      <c r="H37" s="328">
        <f t="shared" si="0"/>
        <v>30.2697</v>
      </c>
      <c r="I37" s="328">
        <f t="shared" si="1"/>
        <v>15.9543</v>
      </c>
    </row>
    <row r="38" spans="2:9" x14ac:dyDescent="0.35">
      <c r="B38" s="134" t="s">
        <v>927</v>
      </c>
      <c r="C38" s="242" t="s">
        <v>928</v>
      </c>
      <c r="D38" s="152" t="s">
        <v>929</v>
      </c>
      <c r="E38" s="153">
        <v>178</v>
      </c>
      <c r="H38" s="328">
        <f t="shared" si="0"/>
        <v>39.911160000000002</v>
      </c>
      <c r="I38" s="328">
        <f t="shared" si="1"/>
        <v>21.03604</v>
      </c>
    </row>
    <row r="39" spans="2:9" x14ac:dyDescent="0.35">
      <c r="B39" s="35" t="s">
        <v>930</v>
      </c>
      <c r="C39" s="22"/>
      <c r="D39" s="22"/>
      <c r="E39" s="22"/>
      <c r="H39" s="328">
        <f t="shared" si="0"/>
        <v>0</v>
      </c>
      <c r="I39" s="328">
        <f t="shared" si="1"/>
        <v>0</v>
      </c>
    </row>
    <row r="40" spans="2:9" x14ac:dyDescent="0.35">
      <c r="B40" s="134" t="s">
        <v>931</v>
      </c>
      <c r="C40" s="151" t="s">
        <v>932</v>
      </c>
      <c r="D40" s="152" t="s">
        <v>933</v>
      </c>
      <c r="E40" s="153">
        <v>29</v>
      </c>
      <c r="H40" s="328">
        <f t="shared" si="0"/>
        <v>6.5023800000000005</v>
      </c>
      <c r="I40" s="328">
        <f t="shared" si="1"/>
        <v>3.4272199999999997</v>
      </c>
    </row>
    <row r="41" spans="2:9" x14ac:dyDescent="0.35">
      <c r="B41" s="36"/>
      <c r="C41" s="22"/>
      <c r="D41" s="22"/>
      <c r="E41" s="22"/>
      <c r="H41" s="328">
        <f t="shared" si="0"/>
        <v>0</v>
      </c>
      <c r="I41" s="328">
        <f t="shared" si="1"/>
        <v>0</v>
      </c>
    </row>
    <row r="42" spans="2:9" x14ac:dyDescent="0.35">
      <c r="B42" s="21" t="s">
        <v>934</v>
      </c>
      <c r="C42" s="25"/>
      <c r="D42" s="28"/>
      <c r="E42" s="28"/>
      <c r="H42" s="328">
        <f t="shared" si="0"/>
        <v>0</v>
      </c>
      <c r="I42" s="328">
        <f t="shared" si="1"/>
        <v>0</v>
      </c>
    </row>
    <row r="43" spans="2:9" x14ac:dyDescent="0.35">
      <c r="B43" s="35" t="s">
        <v>935</v>
      </c>
      <c r="C43" s="25"/>
      <c r="D43" s="28"/>
      <c r="E43" s="28"/>
      <c r="H43" s="328">
        <f t="shared" si="0"/>
        <v>0</v>
      </c>
      <c r="I43" s="328">
        <f t="shared" si="1"/>
        <v>0</v>
      </c>
    </row>
    <row r="44" spans="2:9" x14ac:dyDescent="0.35">
      <c r="B44" s="134" t="s">
        <v>936</v>
      </c>
      <c r="C44" s="151" t="s">
        <v>937</v>
      </c>
      <c r="D44" s="152" t="s">
        <v>938</v>
      </c>
      <c r="E44" s="153">
        <v>6</v>
      </c>
      <c r="H44" s="328">
        <f t="shared" si="0"/>
        <v>1.3453200000000001</v>
      </c>
      <c r="I44" s="328">
        <f t="shared" si="1"/>
        <v>0.70907999999999993</v>
      </c>
    </row>
    <row r="45" spans="2:9" x14ac:dyDescent="0.35">
      <c r="B45" s="134" t="s">
        <v>939</v>
      </c>
      <c r="C45" s="151" t="s">
        <v>940</v>
      </c>
      <c r="D45" s="152" t="s">
        <v>941</v>
      </c>
      <c r="E45" s="153">
        <v>13</v>
      </c>
      <c r="H45" s="328">
        <f t="shared" si="0"/>
        <v>2.91486</v>
      </c>
      <c r="I45" s="328">
        <f t="shared" si="1"/>
        <v>1.5363399999999998</v>
      </c>
    </row>
    <row r="46" spans="2:9" x14ac:dyDescent="0.35">
      <c r="B46" s="134" t="s">
        <v>942</v>
      </c>
      <c r="C46" s="151" t="s">
        <v>943</v>
      </c>
      <c r="D46" s="152" t="s">
        <v>944</v>
      </c>
      <c r="E46" s="153">
        <v>18</v>
      </c>
      <c r="H46" s="328">
        <f t="shared" si="0"/>
        <v>4.0359600000000002</v>
      </c>
      <c r="I46" s="328">
        <f t="shared" si="1"/>
        <v>2.12724</v>
      </c>
    </row>
    <row r="47" spans="2:9" x14ac:dyDescent="0.35">
      <c r="B47" s="134" t="s">
        <v>945</v>
      </c>
      <c r="C47" s="151" t="s">
        <v>946</v>
      </c>
      <c r="D47" s="152" t="s">
        <v>947</v>
      </c>
      <c r="E47" s="153">
        <v>10</v>
      </c>
      <c r="H47" s="328">
        <f t="shared" si="0"/>
        <v>2.2422</v>
      </c>
      <c r="I47" s="328">
        <f t="shared" si="1"/>
        <v>1.1818</v>
      </c>
    </row>
    <row r="48" spans="2:9" x14ac:dyDescent="0.35">
      <c r="B48" s="134" t="s">
        <v>948</v>
      </c>
      <c r="C48" s="151" t="s">
        <v>949</v>
      </c>
      <c r="D48" s="152" t="s">
        <v>950</v>
      </c>
      <c r="E48" s="153">
        <v>21</v>
      </c>
      <c r="H48" s="328">
        <f t="shared" si="0"/>
        <v>4.7086199999999998</v>
      </c>
      <c r="I48" s="328">
        <f t="shared" si="1"/>
        <v>2.4817799999999997</v>
      </c>
    </row>
    <row r="49" spans="2:9" x14ac:dyDescent="0.35">
      <c r="B49" s="134" t="s">
        <v>951</v>
      </c>
      <c r="C49" s="151" t="s">
        <v>952</v>
      </c>
      <c r="D49" s="152" t="s">
        <v>953</v>
      </c>
      <c r="E49" s="153">
        <v>40</v>
      </c>
      <c r="H49" s="328">
        <f t="shared" si="0"/>
        <v>8.9687999999999999</v>
      </c>
      <c r="I49" s="328">
        <f t="shared" si="1"/>
        <v>4.7271999999999998</v>
      </c>
    </row>
    <row r="50" spans="2:9" x14ac:dyDescent="0.35">
      <c r="B50" s="134" t="s">
        <v>954</v>
      </c>
      <c r="C50" s="151" t="s">
        <v>955</v>
      </c>
      <c r="D50" s="152" t="s">
        <v>956</v>
      </c>
      <c r="E50" s="153">
        <v>53</v>
      </c>
      <c r="H50" s="328">
        <f t="shared" si="0"/>
        <v>11.883660000000001</v>
      </c>
      <c r="I50" s="328">
        <f t="shared" si="1"/>
        <v>6.2635399999999999</v>
      </c>
    </row>
    <row r="51" spans="2:9" x14ac:dyDescent="0.35">
      <c r="B51" s="35" t="s">
        <v>957</v>
      </c>
      <c r="C51" s="22"/>
      <c r="D51" s="22"/>
      <c r="E51" s="22"/>
      <c r="H51" s="328">
        <f t="shared" si="0"/>
        <v>0</v>
      </c>
      <c r="I51" s="328">
        <f t="shared" si="1"/>
        <v>0</v>
      </c>
    </row>
    <row r="52" spans="2:9" x14ac:dyDescent="0.35">
      <c r="B52" s="134" t="s">
        <v>958</v>
      </c>
      <c r="C52" s="242" t="s">
        <v>959</v>
      </c>
      <c r="D52" s="152" t="s">
        <v>960</v>
      </c>
      <c r="E52" s="153">
        <v>62</v>
      </c>
      <c r="H52" s="328">
        <f t="shared" si="0"/>
        <v>13.90164</v>
      </c>
      <c r="I52" s="328">
        <f t="shared" si="1"/>
        <v>7.3271599999999992</v>
      </c>
    </row>
    <row r="53" spans="2:9" x14ac:dyDescent="0.35">
      <c r="B53" s="35" t="s">
        <v>961</v>
      </c>
      <c r="C53" s="25"/>
      <c r="D53" s="25"/>
      <c r="E53" s="25"/>
      <c r="H53" s="328">
        <f t="shared" si="0"/>
        <v>0</v>
      </c>
      <c r="I53" s="328">
        <f t="shared" si="1"/>
        <v>0</v>
      </c>
    </row>
    <row r="54" spans="2:9" x14ac:dyDescent="0.35">
      <c r="B54" s="134" t="s">
        <v>962</v>
      </c>
      <c r="C54" s="299" t="s">
        <v>963</v>
      </c>
      <c r="D54" s="152" t="s">
        <v>964</v>
      </c>
      <c r="E54" s="153">
        <v>6</v>
      </c>
      <c r="H54" s="328">
        <f t="shared" si="0"/>
        <v>1.3453200000000001</v>
      </c>
      <c r="I54" s="328">
        <f t="shared" si="1"/>
        <v>0.70907999999999993</v>
      </c>
    </row>
    <row r="55" spans="2:9" x14ac:dyDescent="0.35">
      <c r="B55" s="134" t="s">
        <v>965</v>
      </c>
      <c r="C55" s="151" t="s">
        <v>966</v>
      </c>
      <c r="D55" s="152" t="s">
        <v>967</v>
      </c>
      <c r="E55" s="153">
        <v>13</v>
      </c>
      <c r="H55" s="328">
        <f t="shared" si="0"/>
        <v>2.91486</v>
      </c>
      <c r="I55" s="328">
        <f t="shared" si="1"/>
        <v>1.5363399999999998</v>
      </c>
    </row>
    <row r="56" spans="2:9" x14ac:dyDescent="0.35">
      <c r="B56" s="134" t="s">
        <v>968</v>
      </c>
      <c r="C56" s="138" t="s">
        <v>969</v>
      </c>
      <c r="D56" s="152" t="s">
        <v>970</v>
      </c>
      <c r="E56" s="153">
        <v>18</v>
      </c>
      <c r="H56" s="328">
        <f t="shared" si="0"/>
        <v>4.0359600000000002</v>
      </c>
      <c r="I56" s="328">
        <f t="shared" si="1"/>
        <v>2.12724</v>
      </c>
    </row>
    <row r="57" spans="2:9" x14ac:dyDescent="0.35">
      <c r="B57" s="134" t="s">
        <v>971</v>
      </c>
      <c r="C57" s="151" t="s">
        <v>972</v>
      </c>
      <c r="D57" s="152" t="s">
        <v>973</v>
      </c>
      <c r="E57" s="153">
        <v>10</v>
      </c>
      <c r="H57" s="328">
        <f t="shared" si="0"/>
        <v>2.2422</v>
      </c>
      <c r="I57" s="328">
        <f t="shared" si="1"/>
        <v>1.1818</v>
      </c>
    </row>
    <row r="58" spans="2:9" x14ac:dyDescent="0.35">
      <c r="B58" s="134" t="s">
        <v>974</v>
      </c>
      <c r="C58" s="151" t="s">
        <v>975</v>
      </c>
      <c r="D58" s="152" t="s">
        <v>976</v>
      </c>
      <c r="E58" s="153">
        <v>21</v>
      </c>
      <c r="H58" s="328">
        <f t="shared" si="0"/>
        <v>4.7086199999999998</v>
      </c>
      <c r="I58" s="328">
        <f t="shared" si="1"/>
        <v>2.4817799999999997</v>
      </c>
    </row>
    <row r="59" spans="2:9" x14ac:dyDescent="0.35">
      <c r="B59" s="134" t="s">
        <v>977</v>
      </c>
      <c r="C59" s="151" t="s">
        <v>978</v>
      </c>
      <c r="D59" s="152" t="s">
        <v>979</v>
      </c>
      <c r="E59" s="153">
        <v>40</v>
      </c>
      <c r="H59" s="328">
        <f t="shared" si="0"/>
        <v>8.9687999999999999</v>
      </c>
      <c r="I59" s="328">
        <f t="shared" si="1"/>
        <v>4.7271999999999998</v>
      </c>
    </row>
    <row r="60" spans="2:9" x14ac:dyDescent="0.35">
      <c r="B60" s="134" t="s">
        <v>980</v>
      </c>
      <c r="C60" s="151" t="s">
        <v>981</v>
      </c>
      <c r="D60" s="152" t="s">
        <v>982</v>
      </c>
      <c r="E60" s="153">
        <v>53</v>
      </c>
      <c r="H60" s="328">
        <f t="shared" si="0"/>
        <v>11.883660000000001</v>
      </c>
      <c r="I60" s="328">
        <f t="shared" si="1"/>
        <v>6.2635399999999999</v>
      </c>
    </row>
    <row r="61" spans="2:9" x14ac:dyDescent="0.35">
      <c r="B61" s="35" t="s">
        <v>983</v>
      </c>
      <c r="C61" s="25"/>
      <c r="D61" s="25"/>
      <c r="E61" s="25"/>
      <c r="H61" s="328">
        <f t="shared" si="0"/>
        <v>0</v>
      </c>
      <c r="I61" s="328">
        <f t="shared" si="1"/>
        <v>0</v>
      </c>
    </row>
    <row r="62" spans="2:9" x14ac:dyDescent="0.35">
      <c r="B62" s="134" t="s">
        <v>984</v>
      </c>
      <c r="C62" s="242" t="s">
        <v>985</v>
      </c>
      <c r="D62" s="152" t="s">
        <v>986</v>
      </c>
      <c r="E62" s="153">
        <v>62</v>
      </c>
      <c r="H62" s="328">
        <f t="shared" si="0"/>
        <v>13.90164</v>
      </c>
      <c r="I62" s="328">
        <f t="shared" si="1"/>
        <v>7.3271599999999992</v>
      </c>
    </row>
    <row r="63" spans="2:9" x14ac:dyDescent="0.35">
      <c r="B63" s="134" t="s">
        <v>987</v>
      </c>
      <c r="C63" s="242" t="s">
        <v>988</v>
      </c>
      <c r="D63" s="152" t="s">
        <v>989</v>
      </c>
      <c r="E63" s="153">
        <v>62</v>
      </c>
      <c r="H63" s="328">
        <f t="shared" si="0"/>
        <v>13.90164</v>
      </c>
      <c r="I63" s="328">
        <f t="shared" si="1"/>
        <v>7.3271599999999992</v>
      </c>
    </row>
    <row r="64" spans="2:9" x14ac:dyDescent="0.35">
      <c r="B64" s="35" t="s">
        <v>990</v>
      </c>
      <c r="C64" s="25"/>
      <c r="D64" s="25"/>
      <c r="E64" s="25"/>
      <c r="H64" s="328">
        <f t="shared" si="0"/>
        <v>0</v>
      </c>
      <c r="I64" s="328">
        <f t="shared" si="1"/>
        <v>0</v>
      </c>
    </row>
    <row r="65" spans="2:9" x14ac:dyDescent="0.35">
      <c r="B65" s="134" t="s">
        <v>991</v>
      </c>
      <c r="C65" s="242" t="s">
        <v>992</v>
      </c>
      <c r="D65" s="152" t="s">
        <v>993</v>
      </c>
      <c r="E65" s="153">
        <v>19</v>
      </c>
      <c r="H65" s="328">
        <f t="shared" si="0"/>
        <v>4.2601800000000001</v>
      </c>
      <c r="I65" s="328">
        <f t="shared" si="1"/>
        <v>2.2454199999999997</v>
      </c>
    </row>
    <row r="66" spans="2:9" x14ac:dyDescent="0.35">
      <c r="B66" s="36"/>
      <c r="C66" s="22"/>
      <c r="D66" s="22"/>
      <c r="E66" s="22"/>
      <c r="H66" s="328">
        <f t="shared" si="0"/>
        <v>0</v>
      </c>
      <c r="I66" s="328">
        <f t="shared" si="1"/>
        <v>0</v>
      </c>
    </row>
    <row r="67" spans="2:9" x14ac:dyDescent="0.35">
      <c r="B67" s="21" t="s">
        <v>994</v>
      </c>
      <c r="C67" s="25"/>
      <c r="D67" s="28"/>
      <c r="E67" s="37"/>
      <c r="H67" s="328">
        <f t="shared" si="0"/>
        <v>0</v>
      </c>
      <c r="I67" s="328">
        <f t="shared" si="1"/>
        <v>0</v>
      </c>
    </row>
    <row r="68" spans="2:9" x14ac:dyDescent="0.35">
      <c r="B68" s="35" t="s">
        <v>995</v>
      </c>
      <c r="C68" s="25"/>
      <c r="D68" s="28"/>
      <c r="E68" s="37"/>
      <c r="H68" s="328">
        <f t="shared" si="0"/>
        <v>0</v>
      </c>
      <c r="I68" s="328">
        <f t="shared" si="1"/>
        <v>0</v>
      </c>
    </row>
    <row r="69" spans="2:9" x14ac:dyDescent="0.35">
      <c r="B69" s="134" t="s">
        <v>996</v>
      </c>
      <c r="C69" s="151" t="s">
        <v>997</v>
      </c>
      <c r="D69" s="152" t="s">
        <v>998</v>
      </c>
      <c r="E69" s="153">
        <v>4</v>
      </c>
      <c r="H69" s="328">
        <f t="shared" si="0"/>
        <v>0.89688000000000001</v>
      </c>
      <c r="I69" s="328">
        <f t="shared" si="1"/>
        <v>0.47271999999999997</v>
      </c>
    </row>
    <row r="70" spans="2:9" x14ac:dyDescent="0.35">
      <c r="B70" s="134" t="s">
        <v>999</v>
      </c>
      <c r="C70" s="151" t="s">
        <v>1000</v>
      </c>
      <c r="D70" s="152" t="s">
        <v>1001</v>
      </c>
      <c r="E70" s="153">
        <v>8</v>
      </c>
      <c r="H70" s="328">
        <f t="shared" si="0"/>
        <v>1.79376</v>
      </c>
      <c r="I70" s="328">
        <f t="shared" si="1"/>
        <v>0.94543999999999995</v>
      </c>
    </row>
    <row r="71" spans="2:9" x14ac:dyDescent="0.35">
      <c r="B71" s="134" t="s">
        <v>1002</v>
      </c>
      <c r="C71" s="151" t="s">
        <v>1003</v>
      </c>
      <c r="D71" s="152" t="s">
        <v>1004</v>
      </c>
      <c r="E71" s="153">
        <v>11</v>
      </c>
      <c r="H71" s="328">
        <f t="shared" si="0"/>
        <v>2.4664199999999998</v>
      </c>
      <c r="I71" s="328">
        <f t="shared" si="1"/>
        <v>1.2999799999999999</v>
      </c>
    </row>
    <row r="72" spans="2:9" x14ac:dyDescent="0.35">
      <c r="B72" s="134" t="s">
        <v>1005</v>
      </c>
      <c r="C72" s="151" t="s">
        <v>1006</v>
      </c>
      <c r="D72" s="152" t="s">
        <v>1007</v>
      </c>
      <c r="E72" s="153">
        <v>37</v>
      </c>
      <c r="H72" s="328">
        <f t="shared" ref="H72:H135" si="2">E72*$H$3</f>
        <v>8.2961399999999994</v>
      </c>
      <c r="I72" s="328">
        <f t="shared" ref="I72:I135" si="3">E72*$I$3</f>
        <v>4.3726599999999998</v>
      </c>
    </row>
    <row r="73" spans="2:9" x14ac:dyDescent="0.35">
      <c r="B73" s="134" t="s">
        <v>1008</v>
      </c>
      <c r="C73" s="242" t="s">
        <v>1009</v>
      </c>
      <c r="D73" s="152" t="s">
        <v>1010</v>
      </c>
      <c r="E73" s="153">
        <v>12</v>
      </c>
      <c r="H73" s="328">
        <f t="shared" si="2"/>
        <v>2.6906400000000001</v>
      </c>
      <c r="I73" s="328">
        <f t="shared" si="3"/>
        <v>1.4181599999999999</v>
      </c>
    </row>
    <row r="74" spans="2:9" x14ac:dyDescent="0.35">
      <c r="B74" s="134" t="s">
        <v>1011</v>
      </c>
      <c r="C74" s="242" t="s">
        <v>1012</v>
      </c>
      <c r="D74" s="152" t="s">
        <v>1013</v>
      </c>
      <c r="E74" s="153">
        <v>12</v>
      </c>
      <c r="H74" s="328">
        <f t="shared" si="2"/>
        <v>2.6906400000000001</v>
      </c>
      <c r="I74" s="328">
        <f t="shared" si="3"/>
        <v>1.4181599999999999</v>
      </c>
    </row>
    <row r="75" spans="2:9" x14ac:dyDescent="0.35">
      <c r="B75" s="35" t="s">
        <v>1014</v>
      </c>
      <c r="C75" s="25"/>
      <c r="D75" s="25"/>
      <c r="E75" s="25"/>
      <c r="H75" s="328">
        <f t="shared" si="2"/>
        <v>0</v>
      </c>
      <c r="I75" s="328">
        <f t="shared" si="3"/>
        <v>0</v>
      </c>
    </row>
    <row r="76" spans="2:9" x14ac:dyDescent="0.35">
      <c r="B76" s="134" t="s">
        <v>1015</v>
      </c>
      <c r="C76" s="242" t="s">
        <v>1016</v>
      </c>
      <c r="D76" s="152" t="s">
        <v>1017</v>
      </c>
      <c r="E76" s="153">
        <v>29</v>
      </c>
      <c r="H76" s="328">
        <f t="shared" si="2"/>
        <v>6.5023800000000005</v>
      </c>
      <c r="I76" s="328">
        <f t="shared" si="3"/>
        <v>3.4272199999999997</v>
      </c>
    </row>
    <row r="77" spans="2:9" x14ac:dyDescent="0.35">
      <c r="B77" s="134" t="s">
        <v>1018</v>
      </c>
      <c r="C77" s="242" t="s">
        <v>1019</v>
      </c>
      <c r="D77" s="152" t="s">
        <v>1020</v>
      </c>
      <c r="E77" s="153">
        <v>29</v>
      </c>
      <c r="H77" s="328">
        <f t="shared" si="2"/>
        <v>6.5023800000000005</v>
      </c>
      <c r="I77" s="328">
        <f t="shared" si="3"/>
        <v>3.4272199999999997</v>
      </c>
    </row>
    <row r="78" spans="2:9" x14ac:dyDescent="0.35">
      <c r="B78" s="134" t="s">
        <v>1021</v>
      </c>
      <c r="C78" s="242" t="s">
        <v>1022</v>
      </c>
      <c r="D78" s="152" t="s">
        <v>1023</v>
      </c>
      <c r="E78" s="153">
        <v>29</v>
      </c>
      <c r="H78" s="328">
        <f t="shared" si="2"/>
        <v>6.5023800000000005</v>
      </c>
      <c r="I78" s="328">
        <f t="shared" si="3"/>
        <v>3.4272199999999997</v>
      </c>
    </row>
    <row r="79" spans="2:9" x14ac:dyDescent="0.35">
      <c r="B79" s="134" t="s">
        <v>1024</v>
      </c>
      <c r="C79" s="242" t="s">
        <v>1025</v>
      </c>
      <c r="D79" s="152" t="s">
        <v>1026</v>
      </c>
      <c r="E79" s="153">
        <v>51</v>
      </c>
      <c r="H79" s="328">
        <f t="shared" si="2"/>
        <v>11.435219999999999</v>
      </c>
      <c r="I79" s="328">
        <f t="shared" si="3"/>
        <v>6.0271799999999995</v>
      </c>
    </row>
    <row r="80" spans="2:9" x14ac:dyDescent="0.35">
      <c r="B80" s="35" t="s">
        <v>1027</v>
      </c>
      <c r="C80" s="25"/>
      <c r="D80" s="25"/>
      <c r="E80" s="25"/>
      <c r="H80" s="328">
        <f t="shared" si="2"/>
        <v>0</v>
      </c>
      <c r="I80" s="328">
        <f t="shared" si="3"/>
        <v>0</v>
      </c>
    </row>
    <row r="81" spans="2:9" x14ac:dyDescent="0.35">
      <c r="B81" s="134" t="s">
        <v>1028</v>
      </c>
      <c r="C81" s="242" t="s">
        <v>1029</v>
      </c>
      <c r="D81" s="152" t="s">
        <v>1030</v>
      </c>
      <c r="E81" s="153">
        <v>89</v>
      </c>
      <c r="H81" s="328">
        <f t="shared" si="2"/>
        <v>19.955580000000001</v>
      </c>
      <c r="I81" s="328">
        <f t="shared" si="3"/>
        <v>10.51802</v>
      </c>
    </row>
    <row r="82" spans="2:9" x14ac:dyDescent="0.35">
      <c r="B82" s="134" t="s">
        <v>1031</v>
      </c>
      <c r="C82" s="242" t="s">
        <v>1032</v>
      </c>
      <c r="D82" s="152" t="s">
        <v>1033</v>
      </c>
      <c r="E82" s="153">
        <v>99</v>
      </c>
      <c r="H82" s="328">
        <f t="shared" si="2"/>
        <v>22.197780000000002</v>
      </c>
      <c r="I82" s="328">
        <f t="shared" si="3"/>
        <v>11.699819999999999</v>
      </c>
    </row>
    <row r="83" spans="2:9" x14ac:dyDescent="0.35">
      <c r="B83" s="134" t="s">
        <v>1034</v>
      </c>
      <c r="C83" s="242" t="s">
        <v>1035</v>
      </c>
      <c r="D83" s="152" t="s">
        <v>1036</v>
      </c>
      <c r="E83" s="153">
        <v>131</v>
      </c>
      <c r="H83" s="328">
        <f t="shared" si="2"/>
        <v>29.372820000000001</v>
      </c>
      <c r="I83" s="328">
        <f t="shared" si="3"/>
        <v>15.481579999999999</v>
      </c>
    </row>
    <row r="84" spans="2:9" x14ac:dyDescent="0.35">
      <c r="B84" s="134" t="s">
        <v>1037</v>
      </c>
      <c r="C84" s="242" t="s">
        <v>1038</v>
      </c>
      <c r="D84" s="152" t="s">
        <v>1039</v>
      </c>
      <c r="E84" s="153">
        <v>205</v>
      </c>
      <c r="H84" s="328">
        <f t="shared" si="2"/>
        <v>45.9651</v>
      </c>
      <c r="I84" s="328">
        <f t="shared" si="3"/>
        <v>24.226899999999997</v>
      </c>
    </row>
    <row r="85" spans="2:9" x14ac:dyDescent="0.35">
      <c r="B85" s="134" t="s">
        <v>1040</v>
      </c>
      <c r="C85" s="242" t="s">
        <v>1041</v>
      </c>
      <c r="D85" s="152" t="s">
        <v>1042</v>
      </c>
      <c r="E85" s="153">
        <v>342</v>
      </c>
      <c r="H85" s="328">
        <f t="shared" si="2"/>
        <v>76.683239999999998</v>
      </c>
      <c r="I85" s="328">
        <f t="shared" si="3"/>
        <v>40.417559999999995</v>
      </c>
    </row>
    <row r="86" spans="2:9" x14ac:dyDescent="0.35">
      <c r="B86" s="35" t="s">
        <v>1043</v>
      </c>
      <c r="C86" s="25"/>
      <c r="D86" s="25"/>
      <c r="E86" s="25"/>
      <c r="H86" s="328">
        <f t="shared" si="2"/>
        <v>0</v>
      </c>
      <c r="I86" s="328">
        <f t="shared" si="3"/>
        <v>0</v>
      </c>
    </row>
    <row r="87" spans="2:9" x14ac:dyDescent="0.35">
      <c r="B87" s="134" t="s">
        <v>1044</v>
      </c>
      <c r="C87" s="242" t="s">
        <v>1045</v>
      </c>
      <c r="D87" s="152" t="s">
        <v>1046</v>
      </c>
      <c r="E87" s="153">
        <v>9</v>
      </c>
      <c r="H87" s="328">
        <f t="shared" si="2"/>
        <v>2.0179800000000001</v>
      </c>
      <c r="I87" s="328">
        <f t="shared" si="3"/>
        <v>1.06362</v>
      </c>
    </row>
    <row r="88" spans="2:9" x14ac:dyDescent="0.35">
      <c r="B88" s="35" t="s">
        <v>1047</v>
      </c>
      <c r="C88" s="25"/>
      <c r="D88" s="25"/>
      <c r="E88" s="25"/>
      <c r="H88" s="328">
        <f t="shared" si="2"/>
        <v>0</v>
      </c>
      <c r="I88" s="328">
        <f t="shared" si="3"/>
        <v>0</v>
      </c>
    </row>
    <row r="89" spans="2:9" x14ac:dyDescent="0.35">
      <c r="B89" s="134" t="s">
        <v>1048</v>
      </c>
      <c r="C89" s="242" t="s">
        <v>1049</v>
      </c>
      <c r="D89" s="152" t="s">
        <v>1050</v>
      </c>
      <c r="E89" s="153">
        <v>9</v>
      </c>
      <c r="H89" s="328">
        <f t="shared" si="2"/>
        <v>2.0179800000000001</v>
      </c>
      <c r="I89" s="328">
        <f t="shared" si="3"/>
        <v>1.06362</v>
      </c>
    </row>
    <row r="90" spans="2:9" x14ac:dyDescent="0.35">
      <c r="B90" s="134" t="s">
        <v>1051</v>
      </c>
      <c r="C90" s="242" t="s">
        <v>1052</v>
      </c>
      <c r="D90" s="152" t="s">
        <v>1053</v>
      </c>
      <c r="E90" s="153">
        <v>27</v>
      </c>
      <c r="H90" s="328">
        <f t="shared" si="2"/>
        <v>6.0539399999999999</v>
      </c>
      <c r="I90" s="328">
        <f t="shared" si="3"/>
        <v>3.1908599999999998</v>
      </c>
    </row>
    <row r="91" spans="2:9" x14ac:dyDescent="0.35">
      <c r="B91" s="35" t="s">
        <v>1054</v>
      </c>
      <c r="C91" s="25"/>
      <c r="D91" s="25"/>
      <c r="E91" s="25"/>
      <c r="H91" s="328">
        <f t="shared" si="2"/>
        <v>0</v>
      </c>
      <c r="I91" s="328">
        <f t="shared" si="3"/>
        <v>0</v>
      </c>
    </row>
    <row r="92" spans="2:9" x14ac:dyDescent="0.35">
      <c r="B92" s="134" t="s">
        <v>1055</v>
      </c>
      <c r="C92" s="242" t="s">
        <v>1056</v>
      </c>
      <c r="D92" s="152" t="s">
        <v>1057</v>
      </c>
      <c r="E92" s="153">
        <v>37</v>
      </c>
      <c r="H92" s="328">
        <f t="shared" si="2"/>
        <v>8.2961399999999994</v>
      </c>
      <c r="I92" s="328">
        <f t="shared" si="3"/>
        <v>4.3726599999999998</v>
      </c>
    </row>
    <row r="93" spans="2:9" x14ac:dyDescent="0.35">
      <c r="B93" s="35" t="s">
        <v>1058</v>
      </c>
      <c r="C93" s="241"/>
      <c r="D93" s="40"/>
      <c r="E93" s="37"/>
      <c r="H93" s="328">
        <f t="shared" si="2"/>
        <v>0</v>
      </c>
      <c r="I93" s="328">
        <f t="shared" si="3"/>
        <v>0</v>
      </c>
    </row>
    <row r="94" spans="2:9" x14ac:dyDescent="0.35">
      <c r="B94" s="134" t="s">
        <v>1059</v>
      </c>
      <c r="C94" s="151" t="s">
        <v>1060</v>
      </c>
      <c r="D94" s="152" t="s">
        <v>1061</v>
      </c>
      <c r="E94" s="153">
        <v>70</v>
      </c>
      <c r="H94" s="328">
        <f t="shared" si="2"/>
        <v>15.695399999999999</v>
      </c>
      <c r="I94" s="328">
        <f t="shared" si="3"/>
        <v>8.2725999999999988</v>
      </c>
    </row>
    <row r="95" spans="2:9" x14ac:dyDescent="0.35">
      <c r="B95" s="36"/>
      <c r="C95" s="22"/>
      <c r="D95" s="22"/>
      <c r="E95" s="22"/>
      <c r="H95" s="328">
        <f t="shared" si="2"/>
        <v>0</v>
      </c>
      <c r="I95" s="328">
        <f t="shared" si="3"/>
        <v>0</v>
      </c>
    </row>
    <row r="96" spans="2:9" x14ac:dyDescent="0.35">
      <c r="B96" s="21" t="s">
        <v>1062</v>
      </c>
      <c r="C96" s="25"/>
      <c r="D96" s="28"/>
      <c r="E96" s="37"/>
      <c r="H96" s="328">
        <f t="shared" si="2"/>
        <v>0</v>
      </c>
      <c r="I96" s="328">
        <f t="shared" si="3"/>
        <v>0</v>
      </c>
    </row>
    <row r="97" spans="2:9" x14ac:dyDescent="0.35">
      <c r="B97" s="35" t="s">
        <v>1063</v>
      </c>
      <c r="C97" s="25"/>
      <c r="D97" s="28"/>
      <c r="E97" s="37"/>
      <c r="H97" s="328">
        <f t="shared" si="2"/>
        <v>0</v>
      </c>
      <c r="I97" s="328">
        <f t="shared" si="3"/>
        <v>0</v>
      </c>
    </row>
    <row r="98" spans="2:9" x14ac:dyDescent="0.35">
      <c r="B98" s="134" t="s">
        <v>1064</v>
      </c>
      <c r="C98" s="242" t="s">
        <v>1065</v>
      </c>
      <c r="D98" s="152" t="s">
        <v>1066</v>
      </c>
      <c r="E98" s="153">
        <v>28</v>
      </c>
      <c r="H98" s="328">
        <f t="shared" si="2"/>
        <v>6.2781599999999997</v>
      </c>
      <c r="I98" s="328">
        <f t="shared" si="3"/>
        <v>3.30904</v>
      </c>
    </row>
    <row r="99" spans="2:9" x14ac:dyDescent="0.35">
      <c r="B99" s="134" t="s">
        <v>1067</v>
      </c>
      <c r="C99" s="242" t="s">
        <v>1068</v>
      </c>
      <c r="D99" s="152" t="s">
        <v>1069</v>
      </c>
      <c r="E99" s="153">
        <v>47</v>
      </c>
      <c r="H99" s="328">
        <f t="shared" si="2"/>
        <v>10.53834</v>
      </c>
      <c r="I99" s="328">
        <f t="shared" si="3"/>
        <v>5.5544599999999997</v>
      </c>
    </row>
    <row r="100" spans="2:9" x14ac:dyDescent="0.35">
      <c r="B100" s="134" t="s">
        <v>1070</v>
      </c>
      <c r="C100" s="242" t="s">
        <v>1071</v>
      </c>
      <c r="D100" s="152" t="s">
        <v>1072</v>
      </c>
      <c r="E100" s="153">
        <v>121</v>
      </c>
      <c r="H100" s="328">
        <f t="shared" si="2"/>
        <v>27.13062</v>
      </c>
      <c r="I100" s="328">
        <f t="shared" si="3"/>
        <v>14.299779999999998</v>
      </c>
    </row>
    <row r="101" spans="2:9" x14ac:dyDescent="0.35">
      <c r="B101" s="134" t="s">
        <v>1073</v>
      </c>
      <c r="C101" s="242" t="s">
        <v>1074</v>
      </c>
      <c r="D101" s="152" t="s">
        <v>1075</v>
      </c>
      <c r="E101" s="153">
        <v>178</v>
      </c>
      <c r="H101" s="328">
        <f t="shared" si="2"/>
        <v>39.911160000000002</v>
      </c>
      <c r="I101" s="328">
        <f t="shared" si="3"/>
        <v>21.03604</v>
      </c>
    </row>
    <row r="102" spans="2:9" x14ac:dyDescent="0.35">
      <c r="B102" s="134" t="s">
        <v>1076</v>
      </c>
      <c r="C102" s="151" t="s">
        <v>1077</v>
      </c>
      <c r="D102" s="152" t="s">
        <v>1078</v>
      </c>
      <c r="E102" s="153">
        <v>55</v>
      </c>
      <c r="H102" s="328">
        <f t="shared" si="2"/>
        <v>12.332100000000001</v>
      </c>
      <c r="I102" s="328">
        <f t="shared" si="3"/>
        <v>6.4998999999999993</v>
      </c>
    </row>
    <row r="103" spans="2:9" x14ac:dyDescent="0.35">
      <c r="B103" s="134" t="s">
        <v>1079</v>
      </c>
      <c r="C103" s="151" t="s">
        <v>1080</v>
      </c>
      <c r="D103" s="152" t="s">
        <v>1081</v>
      </c>
      <c r="E103" s="153">
        <v>88</v>
      </c>
      <c r="H103" s="328">
        <f t="shared" si="2"/>
        <v>19.731359999999999</v>
      </c>
      <c r="I103" s="328">
        <f t="shared" si="3"/>
        <v>10.399839999999999</v>
      </c>
    </row>
    <row r="104" spans="2:9" x14ac:dyDescent="0.35">
      <c r="B104" s="134" t="s">
        <v>1082</v>
      </c>
      <c r="C104" s="151" t="s">
        <v>1083</v>
      </c>
      <c r="D104" s="152" t="s">
        <v>1084</v>
      </c>
      <c r="E104" s="153">
        <v>150</v>
      </c>
      <c r="H104" s="328">
        <f t="shared" si="2"/>
        <v>33.633000000000003</v>
      </c>
      <c r="I104" s="328">
        <f t="shared" si="3"/>
        <v>17.727</v>
      </c>
    </row>
    <row r="105" spans="2:9" x14ac:dyDescent="0.35">
      <c r="B105" s="35" t="s">
        <v>1085</v>
      </c>
      <c r="C105" s="25"/>
      <c r="D105" s="25"/>
      <c r="E105" s="25"/>
      <c r="H105" s="328">
        <f t="shared" si="2"/>
        <v>0</v>
      </c>
      <c r="I105" s="328">
        <f t="shared" si="3"/>
        <v>0</v>
      </c>
    </row>
    <row r="106" spans="2:9" x14ac:dyDescent="0.35">
      <c r="B106" s="134" t="s">
        <v>1086</v>
      </c>
      <c r="C106" s="242" t="s">
        <v>1087</v>
      </c>
      <c r="D106" s="152" t="s">
        <v>1088</v>
      </c>
      <c r="E106" s="153">
        <v>420</v>
      </c>
      <c r="H106" s="328">
        <f t="shared" si="2"/>
        <v>94.172399999999996</v>
      </c>
      <c r="I106" s="328">
        <f t="shared" si="3"/>
        <v>49.635599999999997</v>
      </c>
    </row>
    <row r="107" spans="2:9" x14ac:dyDescent="0.35">
      <c r="B107" s="134" t="s">
        <v>1089</v>
      </c>
      <c r="C107" s="242" t="s">
        <v>1090</v>
      </c>
      <c r="D107" s="152" t="s">
        <v>1091</v>
      </c>
      <c r="E107" s="153">
        <v>420</v>
      </c>
      <c r="H107" s="328">
        <f t="shared" si="2"/>
        <v>94.172399999999996</v>
      </c>
      <c r="I107" s="328">
        <f t="shared" si="3"/>
        <v>49.635599999999997</v>
      </c>
    </row>
    <row r="108" spans="2:9" x14ac:dyDescent="0.35">
      <c r="B108" s="134" t="s">
        <v>1092</v>
      </c>
      <c r="C108" s="242" t="s">
        <v>1093</v>
      </c>
      <c r="D108" s="152" t="s">
        <v>1094</v>
      </c>
      <c r="E108" s="153">
        <v>398</v>
      </c>
      <c r="H108" s="328">
        <f t="shared" si="2"/>
        <v>89.239559999999997</v>
      </c>
      <c r="I108" s="328">
        <f t="shared" si="3"/>
        <v>47.035640000000001</v>
      </c>
    </row>
    <row r="109" spans="2:9" x14ac:dyDescent="0.35">
      <c r="B109" s="134" t="s">
        <v>1095</v>
      </c>
      <c r="C109" s="242" t="s">
        <v>1096</v>
      </c>
      <c r="D109" s="152" t="s">
        <v>1097</v>
      </c>
      <c r="E109" s="153">
        <v>83</v>
      </c>
      <c r="H109" s="328">
        <f t="shared" si="2"/>
        <v>18.61026</v>
      </c>
      <c r="I109" s="328">
        <f t="shared" si="3"/>
        <v>9.8089399999999998</v>
      </c>
    </row>
    <row r="110" spans="2:9" x14ac:dyDescent="0.35">
      <c r="B110" s="134" t="s">
        <v>1098</v>
      </c>
      <c r="C110" s="242" t="s">
        <v>1099</v>
      </c>
      <c r="D110" s="152" t="s">
        <v>1100</v>
      </c>
      <c r="E110" s="153">
        <v>31</v>
      </c>
      <c r="H110" s="328">
        <f t="shared" si="2"/>
        <v>6.9508200000000002</v>
      </c>
      <c r="I110" s="328">
        <f t="shared" si="3"/>
        <v>3.6635799999999996</v>
      </c>
    </row>
    <row r="111" spans="2:9" x14ac:dyDescent="0.35">
      <c r="B111" s="134" t="s">
        <v>1101</v>
      </c>
      <c r="C111" s="242" t="s">
        <v>1102</v>
      </c>
      <c r="D111" s="152" t="s">
        <v>1103</v>
      </c>
      <c r="E111" s="153">
        <v>37</v>
      </c>
      <c r="H111" s="328">
        <f t="shared" si="2"/>
        <v>8.2961399999999994</v>
      </c>
      <c r="I111" s="328">
        <f t="shared" si="3"/>
        <v>4.3726599999999998</v>
      </c>
    </row>
    <row r="112" spans="2:9" x14ac:dyDescent="0.35">
      <c r="B112" s="134" t="s">
        <v>1104</v>
      </c>
      <c r="C112" s="242" t="s">
        <v>1105</v>
      </c>
      <c r="D112" s="152" t="s">
        <v>1106</v>
      </c>
      <c r="E112" s="153">
        <v>10</v>
      </c>
      <c r="H112" s="328">
        <f t="shared" si="2"/>
        <v>2.2422</v>
      </c>
      <c r="I112" s="328">
        <f t="shared" si="3"/>
        <v>1.1818</v>
      </c>
    </row>
    <row r="113" spans="2:9" x14ac:dyDescent="0.35">
      <c r="B113" s="36"/>
      <c r="C113" s="22"/>
      <c r="D113" s="22"/>
      <c r="E113" s="22"/>
      <c r="H113" s="328">
        <f t="shared" si="2"/>
        <v>0</v>
      </c>
      <c r="I113" s="328">
        <f t="shared" si="3"/>
        <v>0</v>
      </c>
    </row>
    <row r="114" spans="2:9" x14ac:dyDescent="0.35">
      <c r="B114" s="21" t="s">
        <v>1107</v>
      </c>
      <c r="C114" s="25"/>
      <c r="D114" s="28"/>
      <c r="E114" s="28"/>
      <c r="H114" s="328">
        <f t="shared" si="2"/>
        <v>0</v>
      </c>
      <c r="I114" s="328">
        <f t="shared" si="3"/>
        <v>0</v>
      </c>
    </row>
    <row r="115" spans="2:9" x14ac:dyDescent="0.35">
      <c r="B115" s="35" t="s">
        <v>1108</v>
      </c>
      <c r="C115" s="25"/>
      <c r="D115" s="28"/>
      <c r="E115" s="28"/>
      <c r="H115" s="328">
        <f t="shared" si="2"/>
        <v>0</v>
      </c>
      <c r="I115" s="328">
        <f t="shared" si="3"/>
        <v>0</v>
      </c>
    </row>
    <row r="116" spans="2:9" x14ac:dyDescent="0.35">
      <c r="B116" s="134" t="s">
        <v>1109</v>
      </c>
      <c r="C116" s="151" t="s">
        <v>1110</v>
      </c>
      <c r="D116" s="152" t="s">
        <v>1111</v>
      </c>
      <c r="E116" s="153">
        <v>37</v>
      </c>
      <c r="H116" s="328">
        <f t="shared" si="2"/>
        <v>8.2961399999999994</v>
      </c>
      <c r="I116" s="328">
        <f t="shared" si="3"/>
        <v>4.3726599999999998</v>
      </c>
    </row>
    <row r="117" spans="2:9" x14ac:dyDescent="0.35">
      <c r="B117" s="134" t="s">
        <v>1112</v>
      </c>
      <c r="C117" s="151" t="s">
        <v>1113</v>
      </c>
      <c r="D117" s="152" t="s">
        <v>1114</v>
      </c>
      <c r="E117" s="153">
        <v>51</v>
      </c>
      <c r="H117" s="328">
        <f t="shared" si="2"/>
        <v>11.435219999999999</v>
      </c>
      <c r="I117" s="328">
        <f t="shared" si="3"/>
        <v>6.0271799999999995</v>
      </c>
    </row>
    <row r="118" spans="2:9" x14ac:dyDescent="0.35">
      <c r="B118" s="134" t="s">
        <v>1115</v>
      </c>
      <c r="C118" s="151" t="s">
        <v>1116</v>
      </c>
      <c r="D118" s="152" t="s">
        <v>1117</v>
      </c>
      <c r="E118" s="153">
        <v>70</v>
      </c>
      <c r="H118" s="328">
        <f t="shared" si="2"/>
        <v>15.695399999999999</v>
      </c>
      <c r="I118" s="328">
        <f t="shared" si="3"/>
        <v>8.2725999999999988</v>
      </c>
    </row>
    <row r="119" spans="2:9" x14ac:dyDescent="0.35">
      <c r="B119" s="35" t="s">
        <v>1118</v>
      </c>
      <c r="C119" s="25"/>
      <c r="D119" s="25"/>
      <c r="E119" s="25"/>
      <c r="H119" s="328">
        <f t="shared" si="2"/>
        <v>0</v>
      </c>
      <c r="I119" s="328">
        <f t="shared" si="3"/>
        <v>0</v>
      </c>
    </row>
    <row r="120" spans="2:9" x14ac:dyDescent="0.35">
      <c r="B120" s="134" t="s">
        <v>1119</v>
      </c>
      <c r="C120" s="151" t="s">
        <v>1120</v>
      </c>
      <c r="D120" s="152" t="s">
        <v>1121</v>
      </c>
      <c r="E120" s="153">
        <v>98</v>
      </c>
      <c r="H120" s="328">
        <f t="shared" si="2"/>
        <v>21.973559999999999</v>
      </c>
      <c r="I120" s="328">
        <f t="shared" si="3"/>
        <v>11.58164</v>
      </c>
    </row>
    <row r="121" spans="2:9" x14ac:dyDescent="0.35">
      <c r="B121" s="134" t="s">
        <v>1122</v>
      </c>
      <c r="C121" s="242" t="s">
        <v>1123</v>
      </c>
      <c r="D121" s="152" t="s">
        <v>1124</v>
      </c>
      <c r="E121" s="153">
        <v>101</v>
      </c>
      <c r="H121" s="328">
        <f t="shared" si="2"/>
        <v>22.64622</v>
      </c>
      <c r="I121" s="328">
        <f t="shared" si="3"/>
        <v>11.936179999999998</v>
      </c>
    </row>
    <row r="122" spans="2:9" x14ac:dyDescent="0.35">
      <c r="B122" s="134" t="s">
        <v>1125</v>
      </c>
      <c r="C122" s="242" t="s">
        <v>1126</v>
      </c>
      <c r="D122" s="152" t="s">
        <v>1127</v>
      </c>
      <c r="E122" s="153">
        <v>121</v>
      </c>
      <c r="H122" s="328">
        <f t="shared" si="2"/>
        <v>27.13062</v>
      </c>
      <c r="I122" s="328">
        <f t="shared" si="3"/>
        <v>14.299779999999998</v>
      </c>
    </row>
    <row r="123" spans="2:9" x14ac:dyDescent="0.35">
      <c r="B123" s="134" t="s">
        <v>1128</v>
      </c>
      <c r="C123" s="242" t="s">
        <v>1129</v>
      </c>
      <c r="D123" s="152" t="s">
        <v>1130</v>
      </c>
      <c r="E123" s="153">
        <v>367</v>
      </c>
      <c r="H123" s="328">
        <f t="shared" si="2"/>
        <v>82.288740000000004</v>
      </c>
      <c r="I123" s="328">
        <f t="shared" si="3"/>
        <v>43.372059999999998</v>
      </c>
    </row>
    <row r="124" spans="2:9" x14ac:dyDescent="0.35">
      <c r="B124" s="134" t="s">
        <v>1131</v>
      </c>
      <c r="C124" s="242" t="s">
        <v>1132</v>
      </c>
      <c r="D124" s="152" t="s">
        <v>1133</v>
      </c>
      <c r="E124" s="153">
        <v>103</v>
      </c>
      <c r="H124" s="328">
        <f t="shared" si="2"/>
        <v>23.094660000000001</v>
      </c>
      <c r="I124" s="328">
        <f t="shared" si="3"/>
        <v>12.17254</v>
      </c>
    </row>
    <row r="125" spans="2:9" x14ac:dyDescent="0.35">
      <c r="B125" s="35" t="s">
        <v>1134</v>
      </c>
      <c r="C125" s="25"/>
      <c r="D125" s="25"/>
      <c r="E125" s="25"/>
      <c r="H125" s="328">
        <f t="shared" si="2"/>
        <v>0</v>
      </c>
      <c r="I125" s="328">
        <f t="shared" si="3"/>
        <v>0</v>
      </c>
    </row>
    <row r="126" spans="2:9" x14ac:dyDescent="0.35">
      <c r="B126" s="134" t="s">
        <v>1135</v>
      </c>
      <c r="C126" s="151" t="s">
        <v>1136</v>
      </c>
      <c r="D126" s="152" t="s">
        <v>1137</v>
      </c>
      <c r="E126" s="153">
        <v>21</v>
      </c>
      <c r="H126" s="328">
        <f t="shared" si="2"/>
        <v>4.7086199999999998</v>
      </c>
      <c r="I126" s="328">
        <f t="shared" si="3"/>
        <v>2.4817799999999997</v>
      </c>
    </row>
    <row r="127" spans="2:9" x14ac:dyDescent="0.35">
      <c r="B127" s="134" t="s">
        <v>1138</v>
      </c>
      <c r="C127" s="151" t="s">
        <v>1139</v>
      </c>
      <c r="D127" s="152" t="s">
        <v>1140</v>
      </c>
      <c r="E127" s="153">
        <v>49</v>
      </c>
      <c r="H127" s="328">
        <f t="shared" si="2"/>
        <v>10.98678</v>
      </c>
      <c r="I127" s="328">
        <f t="shared" si="3"/>
        <v>5.7908200000000001</v>
      </c>
    </row>
    <row r="128" spans="2:9" x14ac:dyDescent="0.35">
      <c r="B128" s="134" t="s">
        <v>1141</v>
      </c>
      <c r="C128" s="151" t="s">
        <v>1142</v>
      </c>
      <c r="D128" s="152" t="s">
        <v>1143</v>
      </c>
      <c r="E128" s="153">
        <v>65</v>
      </c>
      <c r="H128" s="328">
        <f t="shared" si="2"/>
        <v>14.574300000000001</v>
      </c>
      <c r="I128" s="328">
        <f t="shared" si="3"/>
        <v>7.6816999999999993</v>
      </c>
    </row>
    <row r="129" spans="2:9" x14ac:dyDescent="0.35">
      <c r="B129" s="134" t="s">
        <v>1144</v>
      </c>
      <c r="C129" s="242" t="s">
        <v>1145</v>
      </c>
      <c r="D129" s="152" t="s">
        <v>1146</v>
      </c>
      <c r="E129" s="153">
        <v>31</v>
      </c>
      <c r="H129" s="328">
        <f t="shared" si="2"/>
        <v>6.9508200000000002</v>
      </c>
      <c r="I129" s="328">
        <f t="shared" si="3"/>
        <v>3.6635799999999996</v>
      </c>
    </row>
    <row r="130" spans="2:9" x14ac:dyDescent="0.35">
      <c r="B130" s="134" t="s">
        <v>1147</v>
      </c>
      <c r="C130" s="242" t="s">
        <v>1148</v>
      </c>
      <c r="D130" s="152" t="s">
        <v>1149</v>
      </c>
      <c r="E130" s="153">
        <v>37</v>
      </c>
      <c r="H130" s="328">
        <f t="shared" si="2"/>
        <v>8.2961399999999994</v>
      </c>
      <c r="I130" s="328">
        <f t="shared" si="3"/>
        <v>4.3726599999999998</v>
      </c>
    </row>
    <row r="131" spans="2:9" x14ac:dyDescent="0.35">
      <c r="B131" s="134" t="s">
        <v>1150</v>
      </c>
      <c r="C131" s="242" t="s">
        <v>1151</v>
      </c>
      <c r="D131" s="152" t="s">
        <v>1152</v>
      </c>
      <c r="E131" s="153">
        <v>48</v>
      </c>
      <c r="H131" s="328">
        <f t="shared" si="2"/>
        <v>10.762560000000001</v>
      </c>
      <c r="I131" s="328">
        <f t="shared" si="3"/>
        <v>5.6726399999999995</v>
      </c>
    </row>
    <row r="132" spans="2:9" x14ac:dyDescent="0.35">
      <c r="B132" s="134" t="s">
        <v>1153</v>
      </c>
      <c r="C132" s="242" t="s">
        <v>1154</v>
      </c>
      <c r="D132" s="152" t="s">
        <v>1155</v>
      </c>
      <c r="E132" s="153">
        <v>35</v>
      </c>
      <c r="H132" s="328">
        <f t="shared" si="2"/>
        <v>7.8476999999999997</v>
      </c>
      <c r="I132" s="328">
        <f t="shared" si="3"/>
        <v>4.1362999999999994</v>
      </c>
    </row>
    <row r="133" spans="2:9" x14ac:dyDescent="0.35">
      <c r="B133" s="134" t="s">
        <v>1156</v>
      </c>
      <c r="C133" s="242" t="s">
        <v>1157</v>
      </c>
      <c r="D133" s="152" t="s">
        <v>1158</v>
      </c>
      <c r="E133" s="153">
        <v>48</v>
      </c>
      <c r="H133" s="328">
        <f t="shared" si="2"/>
        <v>10.762560000000001</v>
      </c>
      <c r="I133" s="328">
        <f t="shared" si="3"/>
        <v>5.6726399999999995</v>
      </c>
    </row>
    <row r="134" spans="2:9" x14ac:dyDescent="0.35">
      <c r="B134" s="156" t="s">
        <v>1159</v>
      </c>
      <c r="C134" s="242" t="s">
        <v>1160</v>
      </c>
      <c r="D134" s="152" t="s">
        <v>1161</v>
      </c>
      <c r="E134" s="153">
        <v>59</v>
      </c>
      <c r="H134" s="328">
        <f t="shared" si="2"/>
        <v>13.22898</v>
      </c>
      <c r="I134" s="328">
        <f t="shared" si="3"/>
        <v>6.97262</v>
      </c>
    </row>
    <row r="135" spans="2:9" x14ac:dyDescent="0.35">
      <c r="B135" s="134" t="s">
        <v>1162</v>
      </c>
      <c r="C135" s="242" t="s">
        <v>1163</v>
      </c>
      <c r="D135" s="152" t="s">
        <v>1164</v>
      </c>
      <c r="E135" s="153">
        <v>83</v>
      </c>
      <c r="H135" s="328">
        <f t="shared" si="2"/>
        <v>18.61026</v>
      </c>
      <c r="I135" s="328">
        <f t="shared" si="3"/>
        <v>9.8089399999999998</v>
      </c>
    </row>
    <row r="136" spans="2:9" x14ac:dyDescent="0.35">
      <c r="B136" s="35" t="s">
        <v>1165</v>
      </c>
      <c r="C136" s="25"/>
      <c r="D136" s="25"/>
      <c r="E136" s="25"/>
      <c r="H136" s="328">
        <f t="shared" ref="H136:H199" si="4">E136*$H$3</f>
        <v>0</v>
      </c>
      <c r="I136" s="328">
        <f t="shared" ref="I136:I199" si="5">E136*$I$3</f>
        <v>0</v>
      </c>
    </row>
    <row r="137" spans="2:9" x14ac:dyDescent="0.35">
      <c r="B137" s="134" t="s">
        <v>1166</v>
      </c>
      <c r="C137" s="151" t="s">
        <v>1167</v>
      </c>
      <c r="D137" s="152" t="s">
        <v>1168</v>
      </c>
      <c r="E137" s="153">
        <v>95</v>
      </c>
      <c r="H137" s="328">
        <f t="shared" si="4"/>
        <v>21.300899999999999</v>
      </c>
      <c r="I137" s="328">
        <f t="shared" si="5"/>
        <v>11.2271</v>
      </c>
    </row>
    <row r="138" spans="2:9" x14ac:dyDescent="0.35">
      <c r="B138" s="134" t="s">
        <v>1169</v>
      </c>
      <c r="C138" s="151" t="s">
        <v>1170</v>
      </c>
      <c r="D138" s="152" t="s">
        <v>1171</v>
      </c>
      <c r="E138" s="153">
        <v>125</v>
      </c>
      <c r="H138" s="328">
        <f t="shared" si="4"/>
        <v>28.0275</v>
      </c>
      <c r="I138" s="328">
        <f t="shared" si="5"/>
        <v>14.772499999999999</v>
      </c>
    </row>
    <row r="139" spans="2:9" x14ac:dyDescent="0.35">
      <c r="B139" s="134" t="s">
        <v>1172</v>
      </c>
      <c r="C139" s="151" t="s">
        <v>1173</v>
      </c>
      <c r="D139" s="152" t="s">
        <v>1174</v>
      </c>
      <c r="E139" s="153">
        <v>35</v>
      </c>
      <c r="H139" s="328">
        <f t="shared" si="4"/>
        <v>7.8476999999999997</v>
      </c>
      <c r="I139" s="328">
        <f t="shared" si="5"/>
        <v>4.1362999999999994</v>
      </c>
    </row>
    <row r="140" spans="2:9" x14ac:dyDescent="0.35">
      <c r="B140" s="134" t="s">
        <v>1175</v>
      </c>
      <c r="C140" s="151" t="s">
        <v>1176</v>
      </c>
      <c r="D140" s="152" t="s">
        <v>1177</v>
      </c>
      <c r="E140" s="153">
        <v>285</v>
      </c>
      <c r="H140" s="328">
        <f t="shared" si="4"/>
        <v>63.902700000000003</v>
      </c>
      <c r="I140" s="328">
        <f t="shared" si="5"/>
        <v>33.6813</v>
      </c>
    </row>
    <row r="141" spans="2:9" x14ac:dyDescent="0.35">
      <c r="B141" s="134" t="s">
        <v>1178</v>
      </c>
      <c r="C141" s="242" t="s">
        <v>1179</v>
      </c>
      <c r="D141" s="152" t="s">
        <v>1180</v>
      </c>
      <c r="E141" s="153">
        <v>94</v>
      </c>
      <c r="H141" s="328">
        <f t="shared" si="4"/>
        <v>21.07668</v>
      </c>
      <c r="I141" s="328">
        <f t="shared" si="5"/>
        <v>11.108919999999999</v>
      </c>
    </row>
    <row r="142" spans="2:9" x14ac:dyDescent="0.35">
      <c r="B142" s="134" t="s">
        <v>1181</v>
      </c>
      <c r="C142" s="242" t="s">
        <v>1182</v>
      </c>
      <c r="D142" s="152" t="s">
        <v>1183</v>
      </c>
      <c r="E142" s="153">
        <v>157</v>
      </c>
      <c r="H142" s="328">
        <f t="shared" si="4"/>
        <v>35.202539999999999</v>
      </c>
      <c r="I142" s="328">
        <f t="shared" si="5"/>
        <v>18.554259999999999</v>
      </c>
    </row>
    <row r="143" spans="2:9" x14ac:dyDescent="0.35">
      <c r="B143" s="134" t="s">
        <v>1184</v>
      </c>
      <c r="C143" s="242" t="s">
        <v>1185</v>
      </c>
      <c r="D143" s="152" t="s">
        <v>1186</v>
      </c>
      <c r="E143" s="153">
        <v>103</v>
      </c>
      <c r="H143" s="328">
        <f t="shared" si="4"/>
        <v>23.094660000000001</v>
      </c>
      <c r="I143" s="328">
        <f t="shared" si="5"/>
        <v>12.17254</v>
      </c>
    </row>
    <row r="144" spans="2:9" x14ac:dyDescent="0.35">
      <c r="B144" s="134" t="s">
        <v>1187</v>
      </c>
      <c r="C144" s="242" t="s">
        <v>1188</v>
      </c>
      <c r="D144" s="152" t="s">
        <v>1189</v>
      </c>
      <c r="E144" s="153">
        <v>137</v>
      </c>
      <c r="H144" s="328">
        <f t="shared" si="4"/>
        <v>30.718140000000002</v>
      </c>
      <c r="I144" s="328">
        <f t="shared" si="5"/>
        <v>16.190659999999998</v>
      </c>
    </row>
    <row r="145" spans="2:9" x14ac:dyDescent="0.35">
      <c r="B145" s="134" t="s">
        <v>1190</v>
      </c>
      <c r="C145" s="242" t="s">
        <v>1191</v>
      </c>
      <c r="D145" s="152" t="s">
        <v>1192</v>
      </c>
      <c r="E145" s="153">
        <v>113</v>
      </c>
      <c r="H145" s="328">
        <f t="shared" si="4"/>
        <v>25.336860000000001</v>
      </c>
      <c r="I145" s="328">
        <f t="shared" si="5"/>
        <v>13.354339999999999</v>
      </c>
    </row>
    <row r="146" spans="2:9" x14ac:dyDescent="0.35">
      <c r="B146" s="36"/>
      <c r="C146" s="22"/>
      <c r="D146" s="22"/>
      <c r="E146" s="22"/>
      <c r="H146" s="328">
        <f t="shared" si="4"/>
        <v>0</v>
      </c>
      <c r="I146" s="328">
        <f t="shared" si="5"/>
        <v>0</v>
      </c>
    </row>
    <row r="147" spans="2:9" x14ac:dyDescent="0.35">
      <c r="B147" s="21" t="s">
        <v>1193</v>
      </c>
      <c r="C147" s="27"/>
      <c r="D147" s="28"/>
      <c r="E147" s="37"/>
      <c r="H147" s="328">
        <f t="shared" si="4"/>
        <v>0</v>
      </c>
      <c r="I147" s="328">
        <f t="shared" si="5"/>
        <v>0</v>
      </c>
    </row>
    <row r="148" spans="2:9" x14ac:dyDescent="0.35">
      <c r="B148" s="35" t="s">
        <v>1194</v>
      </c>
      <c r="C148" s="27"/>
      <c r="D148" s="27"/>
      <c r="E148" s="27"/>
      <c r="H148" s="328">
        <f t="shared" si="4"/>
        <v>0</v>
      </c>
      <c r="I148" s="328">
        <f t="shared" si="5"/>
        <v>0</v>
      </c>
    </row>
    <row r="149" spans="2:9" x14ac:dyDescent="0.35">
      <c r="B149" s="134" t="s">
        <v>1195</v>
      </c>
      <c r="C149" s="242" t="s">
        <v>1196</v>
      </c>
      <c r="D149" s="152" t="s">
        <v>1197</v>
      </c>
      <c r="E149" s="153">
        <v>103</v>
      </c>
      <c r="H149" s="328">
        <f t="shared" si="4"/>
        <v>23.094660000000001</v>
      </c>
      <c r="I149" s="328">
        <f t="shared" si="5"/>
        <v>12.17254</v>
      </c>
    </row>
    <row r="150" spans="2:9" x14ac:dyDescent="0.35">
      <c r="B150" s="36"/>
      <c r="C150" s="22"/>
      <c r="D150" s="22"/>
      <c r="E150" s="22"/>
      <c r="H150" s="328">
        <f t="shared" si="4"/>
        <v>0</v>
      </c>
      <c r="I150" s="328">
        <f t="shared" si="5"/>
        <v>0</v>
      </c>
    </row>
    <row r="151" spans="2:9" x14ac:dyDescent="0.35">
      <c r="B151" s="21" t="s">
        <v>1198</v>
      </c>
      <c r="C151" s="25"/>
      <c r="D151" s="28"/>
      <c r="E151" s="37"/>
      <c r="H151" s="328">
        <f t="shared" si="4"/>
        <v>0</v>
      </c>
      <c r="I151" s="328">
        <f t="shared" si="5"/>
        <v>0</v>
      </c>
    </row>
    <row r="152" spans="2:9" x14ac:dyDescent="0.35">
      <c r="B152" s="134" t="s">
        <v>1199</v>
      </c>
      <c r="C152" s="151" t="s">
        <v>1200</v>
      </c>
      <c r="D152" s="152" t="s">
        <v>1201</v>
      </c>
      <c r="E152" s="153">
        <v>23</v>
      </c>
      <c r="H152" s="328">
        <f t="shared" si="4"/>
        <v>5.1570600000000004</v>
      </c>
      <c r="I152" s="328">
        <f t="shared" si="5"/>
        <v>2.71814</v>
      </c>
    </row>
    <row r="153" spans="2:9" x14ac:dyDescent="0.35">
      <c r="B153" s="134" t="s">
        <v>1202</v>
      </c>
      <c r="C153" s="151" t="s">
        <v>1203</v>
      </c>
      <c r="D153" s="152" t="s">
        <v>1204</v>
      </c>
      <c r="E153" s="153">
        <v>27</v>
      </c>
      <c r="H153" s="328">
        <f t="shared" si="4"/>
        <v>6.0539399999999999</v>
      </c>
      <c r="I153" s="328">
        <f t="shared" si="5"/>
        <v>3.1908599999999998</v>
      </c>
    </row>
    <row r="154" spans="2:9" x14ac:dyDescent="0.35">
      <c r="B154" s="134" t="s">
        <v>1205</v>
      </c>
      <c r="C154" s="151" t="s">
        <v>1206</v>
      </c>
      <c r="D154" s="152" t="s">
        <v>1207</v>
      </c>
      <c r="E154" s="153">
        <v>38</v>
      </c>
      <c r="H154" s="328">
        <f t="shared" si="4"/>
        <v>8.5203600000000002</v>
      </c>
      <c r="I154" s="328">
        <f t="shared" si="5"/>
        <v>4.4908399999999995</v>
      </c>
    </row>
    <row r="155" spans="2:9" x14ac:dyDescent="0.35">
      <c r="B155" s="134" t="s">
        <v>1208</v>
      </c>
      <c r="C155" s="151" t="s">
        <v>1209</v>
      </c>
      <c r="D155" s="152" t="s">
        <v>1210</v>
      </c>
      <c r="E155" s="153">
        <v>675</v>
      </c>
      <c r="H155" s="328">
        <f t="shared" si="4"/>
        <v>151.3485</v>
      </c>
      <c r="I155" s="328">
        <f t="shared" si="5"/>
        <v>79.771499999999989</v>
      </c>
    </row>
    <row r="156" spans="2:9" x14ac:dyDescent="0.35">
      <c r="B156" s="134" t="s">
        <v>1211</v>
      </c>
      <c r="C156" s="151" t="s">
        <v>1212</v>
      </c>
      <c r="D156" s="152" t="s">
        <v>1213</v>
      </c>
      <c r="E156" s="153">
        <v>841</v>
      </c>
      <c r="H156" s="328">
        <f t="shared" si="4"/>
        <v>188.56901999999999</v>
      </c>
      <c r="I156" s="328">
        <f t="shared" si="5"/>
        <v>99.389379999999989</v>
      </c>
    </row>
    <row r="157" spans="2:9" x14ac:dyDescent="0.35">
      <c r="B157" s="36"/>
      <c r="C157" s="25"/>
      <c r="D157" s="28"/>
      <c r="E157" s="28"/>
      <c r="H157" s="328">
        <f t="shared" si="4"/>
        <v>0</v>
      </c>
      <c r="I157" s="328">
        <f t="shared" si="5"/>
        <v>0</v>
      </c>
    </row>
    <row r="158" spans="2:9" x14ac:dyDescent="0.35">
      <c r="B158" s="21" t="s">
        <v>1214</v>
      </c>
      <c r="C158" s="25"/>
      <c r="D158" s="28"/>
      <c r="E158" s="28"/>
      <c r="H158" s="328">
        <f t="shared" si="4"/>
        <v>0</v>
      </c>
      <c r="I158" s="328">
        <f t="shared" si="5"/>
        <v>0</v>
      </c>
    </row>
    <row r="159" spans="2:9" x14ac:dyDescent="0.35">
      <c r="B159" s="35" t="s">
        <v>1215</v>
      </c>
      <c r="C159" s="25"/>
      <c r="D159" s="28"/>
      <c r="E159" s="28"/>
      <c r="H159" s="328">
        <f t="shared" si="4"/>
        <v>0</v>
      </c>
      <c r="I159" s="328">
        <f t="shared" si="5"/>
        <v>0</v>
      </c>
    </row>
    <row r="160" spans="2:9" s="26" customFormat="1" x14ac:dyDescent="0.3">
      <c r="B160" s="134" t="s">
        <v>1216</v>
      </c>
      <c r="C160" s="151"/>
      <c r="D160" s="152" t="s">
        <v>1217</v>
      </c>
      <c r="E160" s="153">
        <v>115</v>
      </c>
      <c r="H160" s="328">
        <f t="shared" si="4"/>
        <v>25.785299999999999</v>
      </c>
      <c r="I160" s="328">
        <f t="shared" si="5"/>
        <v>13.5907</v>
      </c>
    </row>
    <row r="161" spans="2:9" s="26" customFormat="1" x14ac:dyDescent="0.3">
      <c r="B161" s="134" t="s">
        <v>1218</v>
      </c>
      <c r="C161" s="151"/>
      <c r="D161" s="152" t="s">
        <v>1219</v>
      </c>
      <c r="E161" s="153">
        <v>115</v>
      </c>
      <c r="H161" s="328">
        <f t="shared" si="4"/>
        <v>25.785299999999999</v>
      </c>
      <c r="I161" s="328">
        <f t="shared" si="5"/>
        <v>13.5907</v>
      </c>
    </row>
    <row r="162" spans="2:9" s="26" customFormat="1" x14ac:dyDescent="0.3">
      <c r="B162" s="134" t="s">
        <v>1220</v>
      </c>
      <c r="C162" s="151"/>
      <c r="D162" s="152" t="s">
        <v>1221</v>
      </c>
      <c r="E162" s="153">
        <v>110</v>
      </c>
      <c r="H162" s="328">
        <f t="shared" si="4"/>
        <v>24.664200000000001</v>
      </c>
      <c r="I162" s="328">
        <f t="shared" si="5"/>
        <v>12.999799999999999</v>
      </c>
    </row>
    <row r="163" spans="2:9" x14ac:dyDescent="0.35">
      <c r="B163" s="134" t="s">
        <v>1222</v>
      </c>
      <c r="C163" s="151"/>
      <c r="D163" s="152" t="s">
        <v>1223</v>
      </c>
      <c r="E163" s="153">
        <v>156</v>
      </c>
      <c r="H163" s="328">
        <f t="shared" si="4"/>
        <v>34.978320000000004</v>
      </c>
      <c r="I163" s="328">
        <f t="shared" si="5"/>
        <v>18.43608</v>
      </c>
    </row>
    <row r="164" spans="2:9" x14ac:dyDescent="0.35">
      <c r="B164" s="134" t="s">
        <v>1224</v>
      </c>
      <c r="C164" s="151"/>
      <c r="D164" s="152" t="s">
        <v>1225</v>
      </c>
      <c r="E164" s="153">
        <v>150</v>
      </c>
      <c r="H164" s="328">
        <f t="shared" si="4"/>
        <v>33.633000000000003</v>
      </c>
      <c r="I164" s="328">
        <f t="shared" si="5"/>
        <v>17.727</v>
      </c>
    </row>
    <row r="165" spans="2:9" s="26" customFormat="1" x14ac:dyDescent="0.3">
      <c r="B165" s="134" t="s">
        <v>1226</v>
      </c>
      <c r="C165" s="151"/>
      <c r="D165" s="152" t="s">
        <v>1227</v>
      </c>
      <c r="E165" s="153">
        <v>175</v>
      </c>
      <c r="H165" s="328">
        <f t="shared" si="4"/>
        <v>39.238500000000002</v>
      </c>
      <c r="I165" s="328">
        <f t="shared" si="5"/>
        <v>20.6815</v>
      </c>
    </row>
    <row r="166" spans="2:9" s="26" customFormat="1" x14ac:dyDescent="0.3">
      <c r="B166" s="134" t="s">
        <v>1228</v>
      </c>
      <c r="C166" s="151"/>
      <c r="D166" s="152" t="s">
        <v>1229</v>
      </c>
      <c r="E166" s="153">
        <v>210</v>
      </c>
      <c r="H166" s="328">
        <f t="shared" si="4"/>
        <v>47.086199999999998</v>
      </c>
      <c r="I166" s="328">
        <f t="shared" si="5"/>
        <v>24.817799999999998</v>
      </c>
    </row>
    <row r="167" spans="2:9" s="26" customFormat="1" x14ac:dyDescent="0.3">
      <c r="B167" s="134" t="s">
        <v>1230</v>
      </c>
      <c r="C167" s="151"/>
      <c r="D167" s="152" t="s">
        <v>1231</v>
      </c>
      <c r="E167" s="153">
        <v>212</v>
      </c>
      <c r="H167" s="328">
        <f t="shared" si="4"/>
        <v>47.534640000000003</v>
      </c>
      <c r="I167" s="328">
        <f t="shared" si="5"/>
        <v>25.05416</v>
      </c>
    </row>
    <row r="168" spans="2:9" s="26" customFormat="1" x14ac:dyDescent="0.3">
      <c r="B168" s="134" t="s">
        <v>1232</v>
      </c>
      <c r="C168" s="151"/>
      <c r="D168" s="152" t="s">
        <v>1233</v>
      </c>
      <c r="E168" s="153">
        <v>235</v>
      </c>
      <c r="H168" s="328">
        <f t="shared" si="4"/>
        <v>52.691699999999997</v>
      </c>
      <c r="I168" s="328">
        <f t="shared" si="5"/>
        <v>27.772299999999998</v>
      </c>
    </row>
    <row r="169" spans="2:9" x14ac:dyDescent="0.35">
      <c r="B169" s="134" t="s">
        <v>1234</v>
      </c>
      <c r="C169" s="151"/>
      <c r="D169" s="152" t="s">
        <v>1235</v>
      </c>
      <c r="E169" s="153">
        <v>179</v>
      </c>
      <c r="H169" s="328">
        <f t="shared" si="4"/>
        <v>40.135379999999998</v>
      </c>
      <c r="I169" s="328">
        <f t="shared" si="5"/>
        <v>21.154219999999999</v>
      </c>
    </row>
    <row r="170" spans="2:9" x14ac:dyDescent="0.35">
      <c r="B170" s="134" t="s">
        <v>1236</v>
      </c>
      <c r="C170" s="151"/>
      <c r="D170" s="152" t="s">
        <v>1237</v>
      </c>
      <c r="E170" s="153">
        <v>173</v>
      </c>
      <c r="H170" s="328">
        <f t="shared" si="4"/>
        <v>38.790060000000004</v>
      </c>
      <c r="I170" s="328">
        <f t="shared" si="5"/>
        <v>20.445139999999999</v>
      </c>
    </row>
    <row r="171" spans="2:9" x14ac:dyDescent="0.35">
      <c r="B171" s="134" t="s">
        <v>1238</v>
      </c>
      <c r="C171" s="151"/>
      <c r="D171" s="152" t="s">
        <v>1239</v>
      </c>
      <c r="E171" s="153">
        <v>196</v>
      </c>
      <c r="H171" s="328">
        <f t="shared" si="4"/>
        <v>43.947119999999998</v>
      </c>
      <c r="I171" s="328">
        <f t="shared" si="5"/>
        <v>23.16328</v>
      </c>
    </row>
    <row r="172" spans="2:9" s="26" customFormat="1" x14ac:dyDescent="0.3">
      <c r="B172" s="134" t="s">
        <v>1240</v>
      </c>
      <c r="C172" s="151"/>
      <c r="D172" s="152" t="s">
        <v>1241</v>
      </c>
      <c r="E172" s="153">
        <v>261</v>
      </c>
      <c r="H172" s="328">
        <f t="shared" si="4"/>
        <v>58.521419999999999</v>
      </c>
      <c r="I172" s="328">
        <f t="shared" si="5"/>
        <v>30.84498</v>
      </c>
    </row>
    <row r="173" spans="2:9" s="26" customFormat="1" x14ac:dyDescent="0.3">
      <c r="B173" s="134" t="s">
        <v>1242</v>
      </c>
      <c r="C173" s="151"/>
      <c r="D173" s="152" t="s">
        <v>1243</v>
      </c>
      <c r="E173" s="153">
        <v>283</v>
      </c>
      <c r="H173" s="328">
        <f t="shared" si="4"/>
        <v>63.454259999999998</v>
      </c>
      <c r="I173" s="328">
        <f t="shared" si="5"/>
        <v>33.444939999999995</v>
      </c>
    </row>
    <row r="174" spans="2:9" x14ac:dyDescent="0.35">
      <c r="B174" s="134" t="s">
        <v>1244</v>
      </c>
      <c r="C174" s="151"/>
      <c r="D174" s="152" t="s">
        <v>1245</v>
      </c>
      <c r="E174" s="153">
        <v>312</v>
      </c>
      <c r="H174" s="328">
        <f t="shared" si="4"/>
        <v>69.956640000000007</v>
      </c>
      <c r="I174" s="328">
        <f t="shared" si="5"/>
        <v>36.872160000000001</v>
      </c>
    </row>
    <row r="175" spans="2:9" x14ac:dyDescent="0.35">
      <c r="B175" s="134" t="s">
        <v>1246</v>
      </c>
      <c r="C175" s="151"/>
      <c r="D175" s="152" t="s">
        <v>1247</v>
      </c>
      <c r="E175" s="153">
        <v>419</v>
      </c>
      <c r="H175" s="328">
        <f t="shared" si="4"/>
        <v>93.948180000000008</v>
      </c>
      <c r="I175" s="328">
        <f t="shared" si="5"/>
        <v>49.517419999999994</v>
      </c>
    </row>
    <row r="176" spans="2:9" x14ac:dyDescent="0.35">
      <c r="B176" s="35" t="s">
        <v>1248</v>
      </c>
      <c r="C176" s="25"/>
      <c r="D176" s="28"/>
      <c r="E176" s="37"/>
      <c r="H176" s="328">
        <f t="shared" si="4"/>
        <v>0</v>
      </c>
      <c r="I176" s="328">
        <f t="shared" si="5"/>
        <v>0</v>
      </c>
    </row>
    <row r="177" spans="2:9" x14ac:dyDescent="0.35">
      <c r="B177" s="134" t="s">
        <v>1249</v>
      </c>
      <c r="C177" s="151"/>
      <c r="D177" s="152" t="s">
        <v>1250</v>
      </c>
      <c r="E177" s="153">
        <v>173</v>
      </c>
      <c r="H177" s="328">
        <f t="shared" si="4"/>
        <v>38.790060000000004</v>
      </c>
      <c r="I177" s="328">
        <f t="shared" si="5"/>
        <v>20.445139999999999</v>
      </c>
    </row>
    <row r="178" spans="2:9" x14ac:dyDescent="0.35">
      <c r="B178" s="134" t="s">
        <v>1251</v>
      </c>
      <c r="C178" s="151"/>
      <c r="D178" s="152" t="s">
        <v>1252</v>
      </c>
      <c r="E178" s="153">
        <v>166</v>
      </c>
      <c r="H178" s="328">
        <f t="shared" si="4"/>
        <v>37.22052</v>
      </c>
      <c r="I178" s="328">
        <f t="shared" si="5"/>
        <v>19.61788</v>
      </c>
    </row>
    <row r="179" spans="2:9" x14ac:dyDescent="0.35">
      <c r="B179" s="134" t="s">
        <v>1253</v>
      </c>
      <c r="C179" s="151"/>
      <c r="D179" s="152" t="s">
        <v>1254</v>
      </c>
      <c r="E179" s="153">
        <v>227</v>
      </c>
      <c r="H179" s="328">
        <f t="shared" si="4"/>
        <v>50.897939999999998</v>
      </c>
      <c r="I179" s="328">
        <f t="shared" si="5"/>
        <v>26.82686</v>
      </c>
    </row>
    <row r="180" spans="2:9" x14ac:dyDescent="0.35">
      <c r="B180" s="134" t="s">
        <v>1255</v>
      </c>
      <c r="C180" s="151"/>
      <c r="D180" s="152" t="s">
        <v>1256</v>
      </c>
      <c r="E180" s="153">
        <v>293</v>
      </c>
      <c r="H180" s="328">
        <f t="shared" si="4"/>
        <v>65.696460000000002</v>
      </c>
      <c r="I180" s="328">
        <f t="shared" si="5"/>
        <v>34.626739999999998</v>
      </c>
    </row>
    <row r="181" spans="2:9" x14ac:dyDescent="0.35">
      <c r="B181" s="134" t="s">
        <v>1257</v>
      </c>
      <c r="C181" s="151"/>
      <c r="D181" s="152" t="s">
        <v>1258</v>
      </c>
      <c r="E181" s="153">
        <v>309</v>
      </c>
      <c r="H181" s="328">
        <f t="shared" si="4"/>
        <v>69.28398</v>
      </c>
      <c r="I181" s="328">
        <f t="shared" si="5"/>
        <v>36.517620000000001</v>
      </c>
    </row>
    <row r="182" spans="2:9" x14ac:dyDescent="0.35">
      <c r="B182" s="134" t="s">
        <v>1259</v>
      </c>
      <c r="C182" s="151"/>
      <c r="D182" s="152" t="s">
        <v>1260</v>
      </c>
      <c r="E182" s="153">
        <v>416</v>
      </c>
      <c r="H182" s="328">
        <f t="shared" si="4"/>
        <v>93.27552</v>
      </c>
      <c r="I182" s="328">
        <f t="shared" si="5"/>
        <v>49.162879999999994</v>
      </c>
    </row>
    <row r="183" spans="2:9" x14ac:dyDescent="0.35">
      <c r="B183" s="134" t="s">
        <v>1261</v>
      </c>
      <c r="C183" s="151"/>
      <c r="D183" s="152" t="s">
        <v>1262</v>
      </c>
      <c r="E183" s="153">
        <v>656</v>
      </c>
      <c r="H183" s="328">
        <f t="shared" si="4"/>
        <v>147.08832000000001</v>
      </c>
      <c r="I183" s="328">
        <f t="shared" si="5"/>
        <v>77.526079999999993</v>
      </c>
    </row>
    <row r="184" spans="2:9" x14ac:dyDescent="0.35">
      <c r="B184" s="134" t="s">
        <v>1263</v>
      </c>
      <c r="C184" s="151"/>
      <c r="D184" s="152" t="s">
        <v>1264</v>
      </c>
      <c r="E184" s="153">
        <v>634</v>
      </c>
      <c r="H184" s="328">
        <f t="shared" si="4"/>
        <v>142.15548000000001</v>
      </c>
      <c r="I184" s="328">
        <f t="shared" si="5"/>
        <v>74.926119999999997</v>
      </c>
    </row>
    <row r="185" spans="2:9" x14ac:dyDescent="0.35">
      <c r="B185" s="134" t="s">
        <v>1265</v>
      </c>
      <c r="C185" s="151"/>
      <c r="D185" s="152" t="s">
        <v>1266</v>
      </c>
      <c r="E185" s="153">
        <v>859</v>
      </c>
      <c r="H185" s="328">
        <f t="shared" si="4"/>
        <v>192.60498000000001</v>
      </c>
      <c r="I185" s="328">
        <f t="shared" si="5"/>
        <v>101.51661999999999</v>
      </c>
    </row>
    <row r="186" spans="2:9" x14ac:dyDescent="0.35">
      <c r="B186" s="134" t="s">
        <v>1267</v>
      </c>
      <c r="C186" s="151"/>
      <c r="D186" s="167" t="s">
        <v>1268</v>
      </c>
      <c r="E186" s="153">
        <v>719</v>
      </c>
      <c r="H186" s="328">
        <f t="shared" si="4"/>
        <v>161.21418</v>
      </c>
      <c r="I186" s="328">
        <f t="shared" si="5"/>
        <v>84.971419999999995</v>
      </c>
    </row>
    <row r="187" spans="2:9" x14ac:dyDescent="0.35">
      <c r="B187" s="134" t="s">
        <v>1269</v>
      </c>
      <c r="C187" s="151"/>
      <c r="D187" s="152" t="s">
        <v>1270</v>
      </c>
      <c r="E187" s="153">
        <v>975</v>
      </c>
      <c r="H187" s="328">
        <f t="shared" si="4"/>
        <v>218.61449999999999</v>
      </c>
      <c r="I187" s="328">
        <f t="shared" si="5"/>
        <v>115.2255</v>
      </c>
    </row>
    <row r="188" spans="2:9" x14ac:dyDescent="0.35">
      <c r="B188" s="35" t="s">
        <v>1271</v>
      </c>
      <c r="C188" s="25"/>
      <c r="D188" s="28"/>
      <c r="E188" s="37"/>
      <c r="H188" s="328">
        <f t="shared" si="4"/>
        <v>0</v>
      </c>
      <c r="I188" s="328">
        <f t="shared" si="5"/>
        <v>0</v>
      </c>
    </row>
    <row r="189" spans="2:9" s="26" customFormat="1" x14ac:dyDescent="0.3">
      <c r="B189" s="134" t="s">
        <v>1272</v>
      </c>
      <c r="C189" s="151"/>
      <c r="D189" s="152" t="s">
        <v>1273</v>
      </c>
      <c r="E189" s="153">
        <v>276</v>
      </c>
      <c r="H189" s="328">
        <f t="shared" si="4"/>
        <v>61.884720000000002</v>
      </c>
      <c r="I189" s="328">
        <f t="shared" si="5"/>
        <v>32.61768</v>
      </c>
    </row>
    <row r="190" spans="2:9" s="26" customFormat="1" x14ac:dyDescent="0.3">
      <c r="B190" s="134" t="s">
        <v>1274</v>
      </c>
      <c r="C190" s="151"/>
      <c r="D190" s="152" t="s">
        <v>1275</v>
      </c>
      <c r="E190" s="153">
        <v>376</v>
      </c>
      <c r="H190" s="328">
        <f t="shared" si="4"/>
        <v>84.306719999999999</v>
      </c>
      <c r="I190" s="328">
        <f t="shared" si="5"/>
        <v>44.435679999999998</v>
      </c>
    </row>
    <row r="191" spans="2:9" s="26" customFormat="1" x14ac:dyDescent="0.3">
      <c r="B191" s="134" t="s">
        <v>1276</v>
      </c>
      <c r="C191" s="151"/>
      <c r="D191" s="152" t="s">
        <v>1277</v>
      </c>
      <c r="E191" s="153">
        <v>521</v>
      </c>
      <c r="H191" s="328">
        <f t="shared" si="4"/>
        <v>116.81862</v>
      </c>
      <c r="I191" s="328">
        <f t="shared" si="5"/>
        <v>61.571779999999997</v>
      </c>
    </row>
    <row r="192" spans="2:9" x14ac:dyDescent="0.35">
      <c r="B192" s="27" t="s">
        <v>1278</v>
      </c>
      <c r="C192" s="25"/>
      <c r="D192" s="28"/>
      <c r="E192" s="37"/>
      <c r="H192" s="328">
        <f t="shared" si="4"/>
        <v>0</v>
      </c>
      <c r="I192" s="328">
        <f t="shared" si="5"/>
        <v>0</v>
      </c>
    </row>
    <row r="193" spans="2:9" x14ac:dyDescent="0.35">
      <c r="B193" s="142" t="s">
        <v>1279</v>
      </c>
      <c r="C193" s="143"/>
      <c r="D193" s="144" t="s">
        <v>1280</v>
      </c>
      <c r="E193" s="300">
        <v>5</v>
      </c>
      <c r="H193" s="328">
        <f t="shared" si="4"/>
        <v>1.1211</v>
      </c>
      <c r="I193" s="328">
        <f t="shared" si="5"/>
        <v>0.59089999999999998</v>
      </c>
    </row>
    <row r="194" spans="2:9" x14ac:dyDescent="0.35">
      <c r="B194" s="142" t="s">
        <v>1281</v>
      </c>
      <c r="C194" s="143"/>
      <c r="D194" s="144" t="s">
        <v>1282</v>
      </c>
      <c r="E194" s="300">
        <v>8</v>
      </c>
      <c r="H194" s="328">
        <f t="shared" si="4"/>
        <v>1.79376</v>
      </c>
      <c r="I194" s="328">
        <f t="shared" si="5"/>
        <v>0.94543999999999995</v>
      </c>
    </row>
    <row r="195" spans="2:9" x14ac:dyDescent="0.35">
      <c r="B195" s="142" t="s">
        <v>1283</v>
      </c>
      <c r="C195" s="143"/>
      <c r="D195" s="144" t="s">
        <v>1284</v>
      </c>
      <c r="E195" s="300">
        <v>9</v>
      </c>
      <c r="H195" s="328">
        <f t="shared" si="4"/>
        <v>2.0179800000000001</v>
      </c>
      <c r="I195" s="328">
        <f t="shared" si="5"/>
        <v>1.06362</v>
      </c>
    </row>
    <row r="196" spans="2:9" x14ac:dyDescent="0.35">
      <c r="B196" s="142" t="s">
        <v>1285</v>
      </c>
      <c r="C196" s="143"/>
      <c r="D196" s="144" t="s">
        <v>1286</v>
      </c>
      <c r="E196" s="300">
        <v>17</v>
      </c>
      <c r="H196" s="328">
        <f t="shared" si="4"/>
        <v>3.8117399999999999</v>
      </c>
      <c r="I196" s="328">
        <f t="shared" si="5"/>
        <v>2.0090599999999998</v>
      </c>
    </row>
    <row r="197" spans="2:9" x14ac:dyDescent="0.35">
      <c r="B197" s="27" t="s">
        <v>1287</v>
      </c>
      <c r="C197" s="25"/>
      <c r="D197" s="28"/>
      <c r="E197" s="37"/>
      <c r="H197" s="328">
        <f t="shared" si="4"/>
        <v>0</v>
      </c>
      <c r="I197" s="328">
        <f t="shared" si="5"/>
        <v>0</v>
      </c>
    </row>
    <row r="198" spans="2:9" x14ac:dyDescent="0.35">
      <c r="B198" s="142" t="s">
        <v>1288</v>
      </c>
      <c r="C198" s="143"/>
      <c r="D198" s="144" t="s">
        <v>1289</v>
      </c>
      <c r="E198" s="300">
        <v>16</v>
      </c>
      <c r="H198" s="328">
        <f t="shared" si="4"/>
        <v>3.58752</v>
      </c>
      <c r="I198" s="328">
        <f t="shared" si="5"/>
        <v>1.8908799999999999</v>
      </c>
    </row>
    <row r="199" spans="2:9" x14ac:dyDescent="0.35">
      <c r="B199" s="142" t="s">
        <v>1290</v>
      </c>
      <c r="C199" s="143"/>
      <c r="D199" s="144" t="s">
        <v>1291</v>
      </c>
      <c r="E199" s="300">
        <v>33</v>
      </c>
      <c r="H199" s="328">
        <f t="shared" si="4"/>
        <v>7.3992599999999999</v>
      </c>
      <c r="I199" s="328">
        <f t="shared" si="5"/>
        <v>3.89994</v>
      </c>
    </row>
    <row r="200" spans="2:9" x14ac:dyDescent="0.35">
      <c r="B200" s="142" t="s">
        <v>1292</v>
      </c>
      <c r="C200" s="143"/>
      <c r="D200" s="144" t="s">
        <v>1293</v>
      </c>
      <c r="E200" s="300">
        <v>22</v>
      </c>
      <c r="H200" s="328">
        <f t="shared" ref="H200:H263" si="6">E200*$H$3</f>
        <v>4.9328399999999997</v>
      </c>
      <c r="I200" s="328">
        <f t="shared" ref="I200:I263" si="7">E200*$I$3</f>
        <v>2.5999599999999998</v>
      </c>
    </row>
    <row r="201" spans="2:9" x14ac:dyDescent="0.35">
      <c r="B201" s="142" t="s">
        <v>1294</v>
      </c>
      <c r="C201" s="143"/>
      <c r="D201" s="144" t="s">
        <v>1295</v>
      </c>
      <c r="E201" s="300">
        <v>43</v>
      </c>
      <c r="H201" s="328">
        <f t="shared" si="6"/>
        <v>9.6414600000000004</v>
      </c>
      <c r="I201" s="328">
        <f t="shared" si="7"/>
        <v>5.0817399999999999</v>
      </c>
    </row>
    <row r="202" spans="2:9" x14ac:dyDescent="0.35">
      <c r="B202" s="24"/>
      <c r="C202" s="1"/>
      <c r="D202" s="1"/>
      <c r="E202" s="1"/>
      <c r="H202" s="328">
        <f t="shared" si="6"/>
        <v>0</v>
      </c>
      <c r="I202" s="328">
        <f t="shared" si="7"/>
        <v>0</v>
      </c>
    </row>
    <row r="203" spans="2:9" s="4" customFormat="1" ht="13" x14ac:dyDescent="0.3">
      <c r="B203" s="19" t="s">
        <v>1296</v>
      </c>
      <c r="C203" s="6"/>
      <c r="D203" s="7"/>
      <c r="H203" s="328">
        <f t="shared" si="6"/>
        <v>0</v>
      </c>
      <c r="I203" s="328">
        <f t="shared" si="7"/>
        <v>0</v>
      </c>
    </row>
    <row r="204" spans="2:9" s="4" customFormat="1" ht="13" x14ac:dyDescent="0.3">
      <c r="B204" s="38" t="s">
        <v>1297</v>
      </c>
      <c r="C204" s="6"/>
      <c r="D204" s="7"/>
      <c r="H204" s="328">
        <f t="shared" si="6"/>
        <v>0</v>
      </c>
      <c r="I204" s="328">
        <f t="shared" si="7"/>
        <v>0</v>
      </c>
    </row>
    <row r="205" spans="2:9" s="4" customFormat="1" ht="13" x14ac:dyDescent="0.3">
      <c r="B205" s="301" t="s">
        <v>1298</v>
      </c>
      <c r="C205" s="301"/>
      <c r="D205" s="302" t="s">
        <v>1299</v>
      </c>
      <c r="E205" s="303">
        <v>39</v>
      </c>
      <c r="H205" s="328">
        <f t="shared" si="6"/>
        <v>8.7445800000000009</v>
      </c>
      <c r="I205" s="328">
        <f t="shared" si="7"/>
        <v>4.6090200000000001</v>
      </c>
    </row>
    <row r="206" spans="2:9" s="4" customFormat="1" ht="13" x14ac:dyDescent="0.3">
      <c r="B206" s="301" t="s">
        <v>1300</v>
      </c>
      <c r="C206" s="301"/>
      <c r="D206" s="302" t="s">
        <v>1301</v>
      </c>
      <c r="E206" s="303">
        <v>49</v>
      </c>
      <c r="H206" s="328">
        <f t="shared" si="6"/>
        <v>10.98678</v>
      </c>
      <c r="I206" s="328">
        <f t="shared" si="7"/>
        <v>5.7908200000000001</v>
      </c>
    </row>
    <row r="207" spans="2:9" s="4" customFormat="1" ht="13" x14ac:dyDescent="0.3">
      <c r="B207" s="301" t="s">
        <v>1302</v>
      </c>
      <c r="C207" s="301"/>
      <c r="D207" s="302" t="s">
        <v>1303</v>
      </c>
      <c r="E207" s="303">
        <v>58</v>
      </c>
      <c r="H207" s="328">
        <f t="shared" si="6"/>
        <v>13.004760000000001</v>
      </c>
      <c r="I207" s="328">
        <f t="shared" si="7"/>
        <v>6.8544399999999994</v>
      </c>
    </row>
    <row r="208" spans="2:9" s="4" customFormat="1" ht="13" x14ac:dyDescent="0.3">
      <c r="B208" s="38" t="s">
        <v>1304</v>
      </c>
      <c r="C208" s="6"/>
      <c r="D208" s="7"/>
      <c r="E208" s="8"/>
      <c r="H208" s="328">
        <f t="shared" si="6"/>
        <v>0</v>
      </c>
      <c r="I208" s="328">
        <f t="shared" si="7"/>
        <v>0</v>
      </c>
    </row>
    <row r="209" spans="2:9" s="4" customFormat="1" ht="13" x14ac:dyDescent="0.3">
      <c r="B209" s="301" t="s">
        <v>1298</v>
      </c>
      <c r="C209" s="301"/>
      <c r="D209" s="302" t="s">
        <v>1305</v>
      </c>
      <c r="E209" s="303">
        <v>58</v>
      </c>
      <c r="H209" s="328">
        <f t="shared" si="6"/>
        <v>13.004760000000001</v>
      </c>
      <c r="I209" s="328">
        <f t="shared" si="7"/>
        <v>6.8544399999999994</v>
      </c>
    </row>
    <row r="210" spans="2:9" s="4" customFormat="1" ht="13" x14ac:dyDescent="0.3">
      <c r="B210" s="301" t="s">
        <v>1300</v>
      </c>
      <c r="C210" s="301"/>
      <c r="D210" s="302" t="s">
        <v>1306</v>
      </c>
      <c r="E210" s="303">
        <v>73</v>
      </c>
      <c r="H210" s="328">
        <f t="shared" si="6"/>
        <v>16.36806</v>
      </c>
      <c r="I210" s="328">
        <f t="shared" si="7"/>
        <v>8.6271399999999989</v>
      </c>
    </row>
    <row r="211" spans="2:9" s="4" customFormat="1" ht="13" x14ac:dyDescent="0.3">
      <c r="B211" s="301" t="s">
        <v>1302</v>
      </c>
      <c r="C211" s="301"/>
      <c r="D211" s="302" t="s">
        <v>1307</v>
      </c>
      <c r="E211" s="303">
        <v>87</v>
      </c>
      <c r="H211" s="328">
        <f t="shared" si="6"/>
        <v>19.50714</v>
      </c>
      <c r="I211" s="328">
        <f t="shared" si="7"/>
        <v>10.281659999999999</v>
      </c>
    </row>
    <row r="212" spans="2:9" s="4" customFormat="1" ht="13" x14ac:dyDescent="0.3">
      <c r="B212" s="38" t="s">
        <v>1308</v>
      </c>
      <c r="C212" s="6"/>
      <c r="D212" s="7"/>
      <c r="E212" s="8"/>
      <c r="H212" s="328">
        <f t="shared" si="6"/>
        <v>0</v>
      </c>
      <c r="I212" s="328">
        <f t="shared" si="7"/>
        <v>0</v>
      </c>
    </row>
    <row r="213" spans="2:9" s="4" customFormat="1" ht="13" x14ac:dyDescent="0.3">
      <c r="B213" s="301" t="s">
        <v>1298</v>
      </c>
      <c r="C213" s="301"/>
      <c r="D213" s="302" t="s">
        <v>1309</v>
      </c>
      <c r="E213" s="303">
        <v>147</v>
      </c>
      <c r="H213" s="328">
        <f t="shared" si="6"/>
        <v>32.960340000000002</v>
      </c>
      <c r="I213" s="328">
        <f t="shared" si="7"/>
        <v>17.37246</v>
      </c>
    </row>
    <row r="214" spans="2:9" s="4" customFormat="1" ht="13" x14ac:dyDescent="0.3">
      <c r="B214" s="301" t="s">
        <v>1300</v>
      </c>
      <c r="C214" s="301"/>
      <c r="D214" s="302" t="s">
        <v>1310</v>
      </c>
      <c r="E214" s="303">
        <v>186</v>
      </c>
      <c r="H214" s="328">
        <f t="shared" si="6"/>
        <v>41.704920000000001</v>
      </c>
      <c r="I214" s="328">
        <f t="shared" si="7"/>
        <v>21.981479999999998</v>
      </c>
    </row>
    <row r="215" spans="2:9" s="4" customFormat="1" ht="13" x14ac:dyDescent="0.3">
      <c r="B215" s="301" t="s">
        <v>1302</v>
      </c>
      <c r="C215" s="301"/>
      <c r="D215" s="302" t="s">
        <v>1311</v>
      </c>
      <c r="E215" s="303">
        <v>220</v>
      </c>
      <c r="H215" s="328">
        <f t="shared" si="6"/>
        <v>49.328400000000002</v>
      </c>
      <c r="I215" s="328">
        <f t="shared" si="7"/>
        <v>25.999599999999997</v>
      </c>
    </row>
    <row r="216" spans="2:9" s="4" customFormat="1" ht="13" x14ac:dyDescent="0.3">
      <c r="B216" s="38" t="s">
        <v>1312</v>
      </c>
      <c r="C216" s="6"/>
      <c r="D216" s="7"/>
      <c r="E216" s="8"/>
      <c r="H216" s="328">
        <f t="shared" si="6"/>
        <v>0</v>
      </c>
      <c r="I216" s="328">
        <f t="shared" si="7"/>
        <v>0</v>
      </c>
    </row>
    <row r="217" spans="2:9" s="4" customFormat="1" ht="13" x14ac:dyDescent="0.3">
      <c r="B217" s="301" t="s">
        <v>1298</v>
      </c>
      <c r="C217" s="301"/>
      <c r="D217" s="302" t="s">
        <v>1313</v>
      </c>
      <c r="E217" s="303">
        <v>186</v>
      </c>
      <c r="H217" s="328">
        <f t="shared" si="6"/>
        <v>41.704920000000001</v>
      </c>
      <c r="I217" s="328">
        <f t="shared" si="7"/>
        <v>21.981479999999998</v>
      </c>
    </row>
    <row r="218" spans="2:9" s="4" customFormat="1" ht="13" x14ac:dyDescent="0.3">
      <c r="B218" s="301" t="s">
        <v>1300</v>
      </c>
      <c r="C218" s="301"/>
      <c r="D218" s="302" t="s">
        <v>1314</v>
      </c>
      <c r="E218" s="303">
        <v>237</v>
      </c>
      <c r="H218" s="328">
        <f t="shared" si="6"/>
        <v>53.140140000000002</v>
      </c>
      <c r="I218" s="328">
        <f t="shared" si="7"/>
        <v>28.008659999999999</v>
      </c>
    </row>
    <row r="219" spans="2:9" s="4" customFormat="1" ht="13" x14ac:dyDescent="0.3">
      <c r="B219" s="301" t="s">
        <v>1302</v>
      </c>
      <c r="C219" s="301"/>
      <c r="D219" s="302" t="s">
        <v>1315</v>
      </c>
      <c r="E219" s="303">
        <v>280</v>
      </c>
      <c r="H219" s="328">
        <f t="shared" si="6"/>
        <v>62.781599999999997</v>
      </c>
      <c r="I219" s="328">
        <f t="shared" si="7"/>
        <v>33.090399999999995</v>
      </c>
    </row>
    <row r="220" spans="2:9" x14ac:dyDescent="0.35">
      <c r="H220" s="328">
        <f t="shared" si="6"/>
        <v>0</v>
      </c>
      <c r="I220" s="328">
        <f t="shared" si="7"/>
        <v>0</v>
      </c>
    </row>
    <row r="221" spans="2:9" x14ac:dyDescent="0.35">
      <c r="B221" s="21" t="s">
        <v>1316</v>
      </c>
      <c r="C221" s="25"/>
      <c r="D221" s="28"/>
      <c r="E221" s="28"/>
      <c r="H221" s="328">
        <f t="shared" si="6"/>
        <v>0</v>
      </c>
      <c r="I221" s="328">
        <f t="shared" si="7"/>
        <v>0</v>
      </c>
    </row>
    <row r="222" spans="2:9" x14ac:dyDescent="0.35">
      <c r="B222" s="134" t="s">
        <v>1317</v>
      </c>
      <c r="C222" s="151" t="s">
        <v>1318</v>
      </c>
      <c r="D222" s="152" t="s">
        <v>1319</v>
      </c>
      <c r="E222" s="153">
        <v>102</v>
      </c>
      <c r="H222" s="328">
        <f t="shared" si="6"/>
        <v>22.870439999999999</v>
      </c>
      <c r="I222" s="328">
        <f t="shared" si="7"/>
        <v>12.054359999999999</v>
      </c>
    </row>
    <row r="223" spans="2:9" x14ac:dyDescent="0.35">
      <c r="B223" s="134" t="s">
        <v>1320</v>
      </c>
      <c r="C223" s="151" t="s">
        <v>1321</v>
      </c>
      <c r="D223" s="152" t="s">
        <v>1322</v>
      </c>
      <c r="E223" s="153">
        <v>169</v>
      </c>
      <c r="H223" s="328">
        <f t="shared" si="6"/>
        <v>37.893180000000001</v>
      </c>
      <c r="I223" s="328">
        <f t="shared" si="7"/>
        <v>19.97242</v>
      </c>
    </row>
    <row r="224" spans="2:9" x14ac:dyDescent="0.35">
      <c r="B224" s="134" t="s">
        <v>1323</v>
      </c>
      <c r="C224" s="151" t="s">
        <v>1324</v>
      </c>
      <c r="D224" s="152" t="s">
        <v>1325</v>
      </c>
      <c r="E224" s="153">
        <v>132</v>
      </c>
      <c r="H224" s="328">
        <f t="shared" si="6"/>
        <v>29.59704</v>
      </c>
      <c r="I224" s="328">
        <f t="shared" si="7"/>
        <v>15.59976</v>
      </c>
    </row>
    <row r="225" spans="2:9" x14ac:dyDescent="0.35">
      <c r="B225" s="134" t="s">
        <v>1326</v>
      </c>
      <c r="C225" s="242" t="s">
        <v>1327</v>
      </c>
      <c r="D225" s="152" t="s">
        <v>1328</v>
      </c>
      <c r="E225" s="153">
        <v>293</v>
      </c>
      <c r="H225" s="328">
        <f t="shared" si="6"/>
        <v>65.696460000000002</v>
      </c>
      <c r="I225" s="328">
        <f t="shared" si="7"/>
        <v>34.626739999999998</v>
      </c>
    </row>
    <row r="226" spans="2:9" x14ac:dyDescent="0.35">
      <c r="B226" s="24"/>
      <c r="C226" s="1"/>
      <c r="D226" s="1"/>
      <c r="E226" s="1"/>
      <c r="H226" s="328">
        <f t="shared" si="6"/>
        <v>0</v>
      </c>
      <c r="I226" s="328">
        <f t="shared" si="7"/>
        <v>0</v>
      </c>
    </row>
    <row r="227" spans="2:9" x14ac:dyDescent="0.35">
      <c r="B227" s="21" t="s">
        <v>1329</v>
      </c>
      <c r="C227" s="1"/>
      <c r="D227" s="1"/>
      <c r="E227" s="1"/>
      <c r="H227" s="328">
        <f t="shared" si="6"/>
        <v>0</v>
      </c>
      <c r="I227" s="328">
        <f t="shared" si="7"/>
        <v>0</v>
      </c>
    </row>
    <row r="228" spans="2:9" x14ac:dyDescent="0.35">
      <c r="B228" s="35" t="s">
        <v>1330</v>
      </c>
      <c r="C228" s="1"/>
      <c r="D228" s="1"/>
      <c r="E228" s="1"/>
      <c r="H228" s="328">
        <f t="shared" si="6"/>
        <v>0</v>
      </c>
      <c r="I228" s="328">
        <f t="shared" si="7"/>
        <v>0</v>
      </c>
    </row>
    <row r="229" spans="2:9" x14ac:dyDescent="0.35">
      <c r="B229" s="205" t="s">
        <v>1331</v>
      </c>
      <c r="C229" s="151" t="s">
        <v>1332</v>
      </c>
      <c r="D229" s="152" t="s">
        <v>1333</v>
      </c>
      <c r="E229" s="153">
        <v>35</v>
      </c>
      <c r="H229" s="328">
        <f t="shared" si="6"/>
        <v>7.8476999999999997</v>
      </c>
      <c r="I229" s="328">
        <f t="shared" si="7"/>
        <v>4.1362999999999994</v>
      </c>
    </row>
    <row r="230" spans="2:9" x14ac:dyDescent="0.35">
      <c r="B230" s="163" t="s">
        <v>1334</v>
      </c>
      <c r="C230" s="164" t="s">
        <v>1335</v>
      </c>
      <c r="D230" s="304" t="s">
        <v>1336</v>
      </c>
      <c r="E230" s="153">
        <v>16</v>
      </c>
      <c r="H230" s="328">
        <f t="shared" si="6"/>
        <v>3.58752</v>
      </c>
      <c r="I230" s="328">
        <f t="shared" si="7"/>
        <v>1.8908799999999999</v>
      </c>
    </row>
    <row r="231" spans="2:9" x14ac:dyDescent="0.35">
      <c r="B231" s="35" t="s">
        <v>1337</v>
      </c>
      <c r="C231" s="1"/>
      <c r="D231" s="1"/>
      <c r="E231" s="1"/>
      <c r="H231" s="328">
        <f t="shared" si="6"/>
        <v>0</v>
      </c>
      <c r="I231" s="328">
        <f t="shared" si="7"/>
        <v>0</v>
      </c>
    </row>
    <row r="232" spans="2:9" x14ac:dyDescent="0.35">
      <c r="B232" s="134" t="s">
        <v>1338</v>
      </c>
      <c r="C232" s="134" t="s">
        <v>1339</v>
      </c>
      <c r="D232" s="304" t="s">
        <v>1340</v>
      </c>
      <c r="E232" s="153">
        <v>35</v>
      </c>
      <c r="H232" s="328">
        <f t="shared" si="6"/>
        <v>7.8476999999999997</v>
      </c>
      <c r="I232" s="328">
        <f t="shared" si="7"/>
        <v>4.1362999999999994</v>
      </c>
    </row>
    <row r="233" spans="2:9" x14ac:dyDescent="0.35">
      <c r="B233" s="134" t="s">
        <v>1341</v>
      </c>
      <c r="C233" s="156" t="s">
        <v>1342</v>
      </c>
      <c r="D233" s="304" t="s">
        <v>1343</v>
      </c>
      <c r="E233" s="153">
        <v>16</v>
      </c>
      <c r="H233" s="328">
        <f t="shared" si="6"/>
        <v>3.58752</v>
      </c>
      <c r="I233" s="328">
        <f t="shared" si="7"/>
        <v>1.8908799999999999</v>
      </c>
    </row>
    <row r="234" spans="2:9" x14ac:dyDescent="0.35">
      <c r="B234" s="205" t="s">
        <v>1344</v>
      </c>
      <c r="C234" s="151" t="s">
        <v>1345</v>
      </c>
      <c r="D234" s="152" t="s">
        <v>1346</v>
      </c>
      <c r="E234" s="153">
        <v>84</v>
      </c>
      <c r="H234" s="328">
        <f t="shared" si="6"/>
        <v>18.834479999999999</v>
      </c>
      <c r="I234" s="328">
        <f t="shared" si="7"/>
        <v>9.9271199999999986</v>
      </c>
    </row>
    <row r="235" spans="2:9" x14ac:dyDescent="0.35">
      <c r="B235" s="35" t="s">
        <v>1347</v>
      </c>
      <c r="C235" s="1"/>
      <c r="D235" s="1"/>
      <c r="E235" s="1"/>
      <c r="H235" s="328">
        <f t="shared" si="6"/>
        <v>0</v>
      </c>
      <c r="I235" s="328">
        <f t="shared" si="7"/>
        <v>0</v>
      </c>
    </row>
    <row r="236" spans="2:9" x14ac:dyDescent="0.35">
      <c r="B236" s="134" t="s">
        <v>1348</v>
      </c>
      <c r="C236" s="135" t="s">
        <v>1349</v>
      </c>
      <c r="D236" s="136" t="s">
        <v>1350</v>
      </c>
      <c r="E236" s="153">
        <v>71</v>
      </c>
      <c r="H236" s="328">
        <f t="shared" si="6"/>
        <v>15.91962</v>
      </c>
      <c r="I236" s="328">
        <f t="shared" si="7"/>
        <v>8.3907799999999995</v>
      </c>
    </row>
    <row r="237" spans="2:9" x14ac:dyDescent="0.35">
      <c r="B237" s="134" t="s">
        <v>1351</v>
      </c>
      <c r="C237" s="135" t="s">
        <v>1352</v>
      </c>
      <c r="D237" s="136" t="s">
        <v>1353</v>
      </c>
      <c r="E237" s="153">
        <v>27</v>
      </c>
      <c r="H237" s="328">
        <f t="shared" si="6"/>
        <v>6.0539399999999999</v>
      </c>
      <c r="I237" s="328">
        <f t="shared" si="7"/>
        <v>3.1908599999999998</v>
      </c>
    </row>
    <row r="238" spans="2:9" x14ac:dyDescent="0.35">
      <c r="B238" s="35" t="s">
        <v>1354</v>
      </c>
      <c r="C238" s="1"/>
      <c r="D238" s="1"/>
      <c r="E238" s="1"/>
      <c r="H238" s="328">
        <f t="shared" si="6"/>
        <v>0</v>
      </c>
      <c r="I238" s="328">
        <f t="shared" si="7"/>
        <v>0</v>
      </c>
    </row>
    <row r="239" spans="2:9" x14ac:dyDescent="0.35">
      <c r="B239" s="134" t="s">
        <v>1355</v>
      </c>
      <c r="C239" s="135" t="s">
        <v>1356</v>
      </c>
      <c r="D239" s="136" t="s">
        <v>1357</v>
      </c>
      <c r="E239" s="153">
        <v>50</v>
      </c>
      <c r="H239" s="328">
        <f t="shared" si="6"/>
        <v>11.211</v>
      </c>
      <c r="I239" s="328">
        <f t="shared" si="7"/>
        <v>5.9089999999999998</v>
      </c>
    </row>
    <row r="240" spans="2:9" x14ac:dyDescent="0.35">
      <c r="B240" s="134" t="s">
        <v>1358</v>
      </c>
      <c r="C240" s="135" t="s">
        <v>1359</v>
      </c>
      <c r="D240" s="136" t="s">
        <v>1360</v>
      </c>
      <c r="E240" s="153">
        <v>150</v>
      </c>
      <c r="H240" s="328">
        <f t="shared" si="6"/>
        <v>33.633000000000003</v>
      </c>
      <c r="I240" s="328">
        <f t="shared" si="7"/>
        <v>17.727</v>
      </c>
    </row>
    <row r="241" spans="2:9" x14ac:dyDescent="0.35">
      <c r="B241" s="134" t="s">
        <v>1361</v>
      </c>
      <c r="C241" s="135" t="s">
        <v>1362</v>
      </c>
      <c r="D241" s="136" t="s">
        <v>1363</v>
      </c>
      <c r="E241" s="153">
        <v>150</v>
      </c>
      <c r="H241" s="328">
        <f t="shared" si="6"/>
        <v>33.633000000000003</v>
      </c>
      <c r="I241" s="328">
        <f t="shared" si="7"/>
        <v>17.727</v>
      </c>
    </row>
    <row r="242" spans="2:9" x14ac:dyDescent="0.35">
      <c r="B242" s="5"/>
      <c r="C242" s="39"/>
      <c r="D242" s="40"/>
      <c r="E242" s="40"/>
      <c r="H242" s="328">
        <f t="shared" si="6"/>
        <v>0</v>
      </c>
      <c r="I242" s="328">
        <f t="shared" si="7"/>
        <v>0</v>
      </c>
    </row>
    <row r="243" spans="2:9" x14ac:dyDescent="0.35">
      <c r="B243" s="21" t="s">
        <v>1364</v>
      </c>
      <c r="C243" s="39"/>
      <c r="D243" s="40"/>
      <c r="E243" s="40"/>
      <c r="H243" s="328">
        <f t="shared" si="6"/>
        <v>0</v>
      </c>
      <c r="I243" s="328">
        <f t="shared" si="7"/>
        <v>0</v>
      </c>
    </row>
    <row r="244" spans="2:9" x14ac:dyDescent="0.35">
      <c r="B244" s="35" t="s">
        <v>1365</v>
      </c>
      <c r="C244" s="39"/>
      <c r="D244" s="40"/>
      <c r="E244" s="40"/>
      <c r="H244" s="328">
        <f t="shared" si="6"/>
        <v>0</v>
      </c>
      <c r="I244" s="328">
        <f t="shared" si="7"/>
        <v>0</v>
      </c>
    </row>
    <row r="245" spans="2:9" ht="39" x14ac:dyDescent="0.35">
      <c r="B245" s="205" t="s">
        <v>1366</v>
      </c>
      <c r="C245" s="151"/>
      <c r="D245" s="152" t="s">
        <v>1367</v>
      </c>
      <c r="E245" s="153">
        <v>355</v>
      </c>
      <c r="H245" s="328">
        <f t="shared" si="6"/>
        <v>79.598100000000002</v>
      </c>
      <c r="I245" s="328">
        <f t="shared" si="7"/>
        <v>41.953899999999997</v>
      </c>
    </row>
    <row r="246" spans="2:9" ht="39" x14ac:dyDescent="0.35">
      <c r="B246" s="205" t="s">
        <v>1368</v>
      </c>
      <c r="C246" s="151"/>
      <c r="D246" s="152" t="s">
        <v>1369</v>
      </c>
      <c r="E246" s="153">
        <v>267</v>
      </c>
      <c r="H246" s="328">
        <f t="shared" si="6"/>
        <v>59.86674</v>
      </c>
      <c r="I246" s="328">
        <f t="shared" si="7"/>
        <v>31.55406</v>
      </c>
    </row>
    <row r="247" spans="2:9" x14ac:dyDescent="0.35">
      <c r="B247" s="205" t="s">
        <v>1370</v>
      </c>
      <c r="C247" s="305" t="s">
        <v>1371</v>
      </c>
      <c r="D247" s="152" t="s">
        <v>1372</v>
      </c>
      <c r="E247" s="153">
        <v>21</v>
      </c>
      <c r="H247" s="328">
        <f t="shared" si="6"/>
        <v>4.7086199999999998</v>
      </c>
      <c r="I247" s="328">
        <f t="shared" si="7"/>
        <v>2.4817799999999997</v>
      </c>
    </row>
    <row r="248" spans="2:9" x14ac:dyDescent="0.35">
      <c r="B248" s="205" t="s">
        <v>1373</v>
      </c>
      <c r="C248" s="151" t="s">
        <v>1374</v>
      </c>
      <c r="D248" s="152" t="s">
        <v>1375</v>
      </c>
      <c r="E248" s="153">
        <v>27</v>
      </c>
      <c r="H248" s="328">
        <f t="shared" si="6"/>
        <v>6.0539399999999999</v>
      </c>
      <c r="I248" s="328">
        <f t="shared" si="7"/>
        <v>3.1908599999999998</v>
      </c>
    </row>
    <row r="249" spans="2:9" x14ac:dyDescent="0.35">
      <c r="B249" s="205" t="s">
        <v>1376</v>
      </c>
      <c r="C249" s="151" t="s">
        <v>1377</v>
      </c>
      <c r="D249" s="152" t="s">
        <v>1378</v>
      </c>
      <c r="E249" s="153">
        <v>8</v>
      </c>
      <c r="H249" s="328">
        <f t="shared" si="6"/>
        <v>1.79376</v>
      </c>
      <c r="I249" s="328">
        <f t="shared" si="7"/>
        <v>0.94543999999999995</v>
      </c>
    </row>
    <row r="250" spans="2:9" x14ac:dyDescent="0.35">
      <c r="B250" s="205" t="s">
        <v>1379</v>
      </c>
      <c r="C250" s="151" t="s">
        <v>1380</v>
      </c>
      <c r="D250" s="152" t="s">
        <v>1381</v>
      </c>
      <c r="E250" s="153">
        <v>8</v>
      </c>
      <c r="H250" s="328">
        <f t="shared" si="6"/>
        <v>1.79376</v>
      </c>
      <c r="I250" s="328">
        <f t="shared" si="7"/>
        <v>0.94543999999999995</v>
      </c>
    </row>
    <row r="251" spans="2:9" x14ac:dyDescent="0.35">
      <c r="B251" s="205" t="s">
        <v>1382</v>
      </c>
      <c r="C251" s="151" t="s">
        <v>1383</v>
      </c>
      <c r="D251" s="152" t="s">
        <v>1384</v>
      </c>
      <c r="E251" s="153">
        <v>8</v>
      </c>
      <c r="H251" s="328">
        <f t="shared" si="6"/>
        <v>1.79376</v>
      </c>
      <c r="I251" s="328">
        <f t="shared" si="7"/>
        <v>0.94543999999999995</v>
      </c>
    </row>
    <row r="252" spans="2:9" x14ac:dyDescent="0.35">
      <c r="B252" s="205" t="s">
        <v>1385</v>
      </c>
      <c r="C252" s="151" t="s">
        <v>1386</v>
      </c>
      <c r="D252" s="152" t="s">
        <v>1387</v>
      </c>
      <c r="E252" s="153">
        <v>8</v>
      </c>
      <c r="H252" s="328">
        <f t="shared" si="6"/>
        <v>1.79376</v>
      </c>
      <c r="I252" s="328">
        <f t="shared" si="7"/>
        <v>0.94543999999999995</v>
      </c>
    </row>
    <row r="253" spans="2:9" x14ac:dyDescent="0.35">
      <c r="B253" s="205" t="s">
        <v>1388</v>
      </c>
      <c r="C253" s="151" t="s">
        <v>1389</v>
      </c>
      <c r="D253" s="152" t="s">
        <v>1390</v>
      </c>
      <c r="E253" s="153">
        <v>27</v>
      </c>
      <c r="H253" s="328">
        <f t="shared" si="6"/>
        <v>6.0539399999999999</v>
      </c>
      <c r="I253" s="328">
        <f t="shared" si="7"/>
        <v>3.1908599999999998</v>
      </c>
    </row>
    <row r="254" spans="2:9" x14ac:dyDescent="0.35">
      <c r="B254" s="205" t="s">
        <v>1391</v>
      </c>
      <c r="C254" s="151" t="s">
        <v>1392</v>
      </c>
      <c r="D254" s="152" t="s">
        <v>1393</v>
      </c>
      <c r="E254" s="153">
        <v>71</v>
      </c>
      <c r="H254" s="328">
        <f t="shared" si="6"/>
        <v>15.91962</v>
      </c>
      <c r="I254" s="328">
        <f t="shared" si="7"/>
        <v>8.3907799999999995</v>
      </c>
    </row>
    <row r="255" spans="2:9" x14ac:dyDescent="0.35">
      <c r="B255" s="35" t="s">
        <v>1394</v>
      </c>
      <c r="C255" s="151"/>
      <c r="D255" s="152"/>
      <c r="E255" s="153"/>
      <c r="H255" s="328">
        <f t="shared" si="6"/>
        <v>0</v>
      </c>
      <c r="I255" s="328">
        <f t="shared" si="7"/>
        <v>0</v>
      </c>
    </row>
    <row r="256" spans="2:9" ht="39" x14ac:dyDescent="0.35">
      <c r="B256" s="205" t="s">
        <v>1395</v>
      </c>
      <c r="C256" s="151"/>
      <c r="D256" s="152" t="s">
        <v>1396</v>
      </c>
      <c r="E256" s="153">
        <v>560</v>
      </c>
      <c r="H256" s="328">
        <f t="shared" si="6"/>
        <v>125.56319999999999</v>
      </c>
      <c r="I256" s="328">
        <f t="shared" si="7"/>
        <v>66.180799999999991</v>
      </c>
    </row>
    <row r="257" spans="2:9" x14ac:dyDescent="0.35">
      <c r="B257" s="205" t="s">
        <v>1397</v>
      </c>
      <c r="C257" s="206" t="s">
        <v>1398</v>
      </c>
      <c r="D257" s="152" t="s">
        <v>1399</v>
      </c>
      <c r="E257" s="153">
        <v>55</v>
      </c>
      <c r="H257" s="328">
        <f t="shared" si="6"/>
        <v>12.332100000000001</v>
      </c>
      <c r="I257" s="328">
        <f t="shared" si="7"/>
        <v>6.4998999999999993</v>
      </c>
    </row>
    <row r="258" spans="2:9" ht="39" x14ac:dyDescent="0.35">
      <c r="B258" s="205" t="s">
        <v>1400</v>
      </c>
      <c r="C258" s="151"/>
      <c r="D258" s="152" t="s">
        <v>1401</v>
      </c>
      <c r="E258" s="153">
        <v>650</v>
      </c>
      <c r="H258" s="328">
        <f t="shared" si="6"/>
        <v>145.74299999999999</v>
      </c>
      <c r="I258" s="328">
        <f t="shared" si="7"/>
        <v>76.816999999999993</v>
      </c>
    </row>
    <row r="259" spans="2:9" x14ac:dyDescent="0.35">
      <c r="B259" s="205" t="s">
        <v>1402</v>
      </c>
      <c r="C259" s="206" t="s">
        <v>1403</v>
      </c>
      <c r="D259" s="152" t="s">
        <v>1404</v>
      </c>
      <c r="E259" s="153">
        <v>55</v>
      </c>
      <c r="H259" s="328">
        <f t="shared" si="6"/>
        <v>12.332100000000001</v>
      </c>
      <c r="I259" s="328">
        <f t="shared" si="7"/>
        <v>6.4998999999999993</v>
      </c>
    </row>
    <row r="260" spans="2:9" x14ac:dyDescent="0.35">
      <c r="B260" s="205" t="s">
        <v>1405</v>
      </c>
      <c r="C260" s="305" t="s">
        <v>1406</v>
      </c>
      <c r="D260" s="152" t="s">
        <v>1407</v>
      </c>
      <c r="E260" s="153">
        <v>21</v>
      </c>
      <c r="H260" s="328">
        <f t="shared" si="6"/>
        <v>4.7086199999999998</v>
      </c>
      <c r="I260" s="328">
        <f t="shared" si="7"/>
        <v>2.4817799999999997</v>
      </c>
    </row>
    <row r="261" spans="2:9" x14ac:dyDescent="0.35">
      <c r="B261" s="35" t="s">
        <v>1408</v>
      </c>
      <c r="C261" s="151"/>
      <c r="D261" s="152"/>
      <c r="E261" s="153"/>
      <c r="H261" s="328">
        <f t="shared" si="6"/>
        <v>0</v>
      </c>
      <c r="I261" s="328">
        <f t="shared" si="7"/>
        <v>0</v>
      </c>
    </row>
    <row r="262" spans="2:9" x14ac:dyDescent="0.35">
      <c r="B262" s="205" t="s">
        <v>1409</v>
      </c>
      <c r="C262" s="151" t="s">
        <v>1410</v>
      </c>
      <c r="D262" s="152" t="s">
        <v>1411</v>
      </c>
      <c r="E262" s="153">
        <v>5</v>
      </c>
      <c r="H262" s="328">
        <f t="shared" si="6"/>
        <v>1.1211</v>
      </c>
      <c r="I262" s="328">
        <f t="shared" si="7"/>
        <v>0.59089999999999998</v>
      </c>
    </row>
    <row r="263" spans="2:9" x14ac:dyDescent="0.35">
      <c r="B263" s="111"/>
      <c r="C263" s="39"/>
      <c r="D263" s="40"/>
      <c r="E263" s="37"/>
      <c r="H263" s="328">
        <f t="shared" si="6"/>
        <v>0</v>
      </c>
      <c r="I263" s="328">
        <f t="shared" si="7"/>
        <v>0</v>
      </c>
    </row>
    <row r="264" spans="2:9" x14ac:dyDescent="0.35">
      <c r="H264" s="328">
        <f t="shared" ref="H264:H327" si="8">E264*$H$3</f>
        <v>0</v>
      </c>
      <c r="I264" s="328">
        <f t="shared" ref="I264:I327" si="9">E264*$I$3</f>
        <v>0</v>
      </c>
    </row>
    <row r="265" spans="2:9" ht="15.5" x14ac:dyDescent="0.35">
      <c r="B265" s="41" t="s">
        <v>1412</v>
      </c>
      <c r="C265" s="42"/>
      <c r="D265" s="43"/>
      <c r="E265" s="44"/>
      <c r="H265" s="328">
        <f t="shared" si="8"/>
        <v>0</v>
      </c>
      <c r="I265" s="328">
        <f t="shared" si="9"/>
        <v>0</v>
      </c>
    </row>
    <row r="266" spans="2:9" x14ac:dyDescent="0.35">
      <c r="B266" s="21" t="s">
        <v>1413</v>
      </c>
      <c r="H266" s="328">
        <f t="shared" si="8"/>
        <v>0</v>
      </c>
      <c r="I266" s="328">
        <f t="shared" si="9"/>
        <v>0</v>
      </c>
    </row>
    <row r="267" spans="2:9" x14ac:dyDescent="0.35">
      <c r="B267" s="35" t="s">
        <v>1414</v>
      </c>
      <c r="H267" s="328">
        <f t="shared" si="8"/>
        <v>0</v>
      </c>
      <c r="I267" s="328">
        <f t="shared" si="9"/>
        <v>0</v>
      </c>
    </row>
    <row r="268" spans="2:9" x14ac:dyDescent="0.35">
      <c r="B268" s="134" t="s">
        <v>1415</v>
      </c>
      <c r="C268" s="151" t="s">
        <v>1416</v>
      </c>
      <c r="D268" s="152" t="s">
        <v>1417</v>
      </c>
      <c r="E268" s="153">
        <v>36</v>
      </c>
      <c r="H268" s="328">
        <f t="shared" si="8"/>
        <v>8.0719200000000004</v>
      </c>
      <c r="I268" s="328">
        <f t="shared" si="9"/>
        <v>4.25448</v>
      </c>
    </row>
    <row r="269" spans="2:9" x14ac:dyDescent="0.35">
      <c r="B269" s="134" t="s">
        <v>1418</v>
      </c>
      <c r="C269" s="151" t="s">
        <v>1419</v>
      </c>
      <c r="D269" s="152" t="s">
        <v>1420</v>
      </c>
      <c r="E269" s="153">
        <v>34</v>
      </c>
      <c r="H269" s="328">
        <f t="shared" si="8"/>
        <v>7.6234799999999998</v>
      </c>
      <c r="I269" s="328">
        <f t="shared" si="9"/>
        <v>4.0181199999999997</v>
      </c>
    </row>
    <row r="270" spans="2:9" x14ac:dyDescent="0.35">
      <c r="B270" s="134" t="s">
        <v>1421</v>
      </c>
      <c r="C270" s="151" t="s">
        <v>1422</v>
      </c>
      <c r="D270" s="152" t="s">
        <v>1423</v>
      </c>
      <c r="E270" s="153">
        <v>34</v>
      </c>
      <c r="H270" s="328">
        <f t="shared" si="8"/>
        <v>7.6234799999999998</v>
      </c>
      <c r="I270" s="328">
        <f t="shared" si="9"/>
        <v>4.0181199999999997</v>
      </c>
    </row>
    <row r="271" spans="2:9" x14ac:dyDescent="0.35">
      <c r="B271" s="134" t="s">
        <v>1424</v>
      </c>
      <c r="C271" s="151" t="s">
        <v>1425</v>
      </c>
      <c r="D271" s="152" t="s">
        <v>1426</v>
      </c>
      <c r="E271" s="153">
        <v>69</v>
      </c>
      <c r="H271" s="328">
        <f t="shared" si="8"/>
        <v>15.47118</v>
      </c>
      <c r="I271" s="328">
        <f t="shared" si="9"/>
        <v>8.15442</v>
      </c>
    </row>
    <row r="272" spans="2:9" x14ac:dyDescent="0.35">
      <c r="B272" s="134" t="s">
        <v>1427</v>
      </c>
      <c r="C272" s="151" t="s">
        <v>1428</v>
      </c>
      <c r="D272" s="152" t="s">
        <v>1429</v>
      </c>
      <c r="E272" s="153">
        <v>105</v>
      </c>
      <c r="H272" s="328">
        <f t="shared" si="8"/>
        <v>23.543099999999999</v>
      </c>
      <c r="I272" s="328">
        <f t="shared" si="9"/>
        <v>12.408899999999999</v>
      </c>
    </row>
    <row r="273" spans="2:9" x14ac:dyDescent="0.35">
      <c r="B273" s="35" t="s">
        <v>1430</v>
      </c>
      <c r="H273" s="328">
        <f t="shared" si="8"/>
        <v>0</v>
      </c>
      <c r="I273" s="328">
        <f t="shared" si="9"/>
        <v>0</v>
      </c>
    </row>
    <row r="274" spans="2:9" x14ac:dyDescent="0.35">
      <c r="B274" s="134" t="s">
        <v>1431</v>
      </c>
      <c r="C274" s="151" t="s">
        <v>1432</v>
      </c>
      <c r="D274" s="152" t="s">
        <v>1433</v>
      </c>
      <c r="E274" s="153">
        <v>112</v>
      </c>
      <c r="H274" s="328">
        <f t="shared" si="8"/>
        <v>25.112639999999999</v>
      </c>
      <c r="I274" s="328">
        <f t="shared" si="9"/>
        <v>13.23616</v>
      </c>
    </row>
    <row r="275" spans="2:9" x14ac:dyDescent="0.35">
      <c r="B275" s="205" t="s">
        <v>1434</v>
      </c>
      <c r="C275" s="151" t="s">
        <v>1435</v>
      </c>
      <c r="D275" s="152" t="s">
        <v>1436</v>
      </c>
      <c r="E275" s="153">
        <v>133</v>
      </c>
      <c r="H275" s="328">
        <f t="shared" si="8"/>
        <v>29.821259999999999</v>
      </c>
      <c r="I275" s="328">
        <f t="shared" si="9"/>
        <v>15.717939999999999</v>
      </c>
    </row>
    <row r="276" spans="2:9" x14ac:dyDescent="0.35">
      <c r="B276" s="134" t="s">
        <v>1437</v>
      </c>
      <c r="C276" s="151" t="s">
        <v>1438</v>
      </c>
      <c r="D276" s="152" t="s">
        <v>1439</v>
      </c>
      <c r="E276" s="153">
        <v>144</v>
      </c>
      <c r="H276" s="328">
        <f t="shared" si="8"/>
        <v>32.287680000000002</v>
      </c>
      <c r="I276" s="328">
        <f t="shared" si="9"/>
        <v>17.01792</v>
      </c>
    </row>
    <row r="277" spans="2:9" x14ac:dyDescent="0.35">
      <c r="H277" s="328">
        <f t="shared" si="8"/>
        <v>0</v>
      </c>
      <c r="I277" s="328">
        <f t="shared" si="9"/>
        <v>0</v>
      </c>
    </row>
    <row r="278" spans="2:9" x14ac:dyDescent="0.35">
      <c r="B278" s="21" t="s">
        <v>1440</v>
      </c>
      <c r="H278" s="328">
        <f t="shared" si="8"/>
        <v>0</v>
      </c>
      <c r="I278" s="328">
        <f t="shared" si="9"/>
        <v>0</v>
      </c>
    </row>
    <row r="279" spans="2:9" x14ac:dyDescent="0.35">
      <c r="B279" s="35" t="s">
        <v>1441</v>
      </c>
      <c r="H279" s="328">
        <f t="shared" si="8"/>
        <v>0</v>
      </c>
      <c r="I279" s="328">
        <f t="shared" si="9"/>
        <v>0</v>
      </c>
    </row>
    <row r="280" spans="2:9" x14ac:dyDescent="0.35">
      <c r="B280" s="134" t="s">
        <v>1442</v>
      </c>
      <c r="C280" s="151" t="s">
        <v>1443</v>
      </c>
      <c r="D280" s="152" t="s">
        <v>1444</v>
      </c>
      <c r="E280" s="153">
        <v>63</v>
      </c>
      <c r="H280" s="328">
        <f t="shared" si="8"/>
        <v>14.125859999999999</v>
      </c>
      <c r="I280" s="328">
        <f t="shared" si="9"/>
        <v>7.4453399999999998</v>
      </c>
    </row>
    <row r="281" spans="2:9" x14ac:dyDescent="0.35">
      <c r="B281" s="134" t="s">
        <v>1445</v>
      </c>
      <c r="C281" s="151" t="s">
        <v>1446</v>
      </c>
      <c r="D281" s="152" t="s">
        <v>1447</v>
      </c>
      <c r="E281" s="153">
        <v>59</v>
      </c>
      <c r="H281" s="328">
        <f t="shared" si="8"/>
        <v>13.22898</v>
      </c>
      <c r="I281" s="328">
        <f t="shared" si="9"/>
        <v>6.97262</v>
      </c>
    </row>
    <row r="282" spans="2:9" x14ac:dyDescent="0.35">
      <c r="B282" s="134" t="s">
        <v>1448</v>
      </c>
      <c r="C282" s="151" t="s">
        <v>1449</v>
      </c>
      <c r="D282" s="152" t="s">
        <v>1450</v>
      </c>
      <c r="E282" s="153">
        <v>37</v>
      </c>
      <c r="H282" s="328">
        <f t="shared" si="8"/>
        <v>8.2961399999999994</v>
      </c>
      <c r="I282" s="328">
        <f t="shared" si="9"/>
        <v>4.3726599999999998</v>
      </c>
    </row>
    <row r="283" spans="2:9" x14ac:dyDescent="0.35">
      <c r="B283" s="35" t="s">
        <v>1451</v>
      </c>
      <c r="E283" s="37"/>
      <c r="H283" s="328">
        <f t="shared" si="8"/>
        <v>0</v>
      </c>
      <c r="I283" s="328">
        <f t="shared" si="9"/>
        <v>0</v>
      </c>
    </row>
    <row r="284" spans="2:9" x14ac:dyDescent="0.35">
      <c r="B284" s="134" t="s">
        <v>1452</v>
      </c>
      <c r="C284" s="151" t="s">
        <v>1453</v>
      </c>
      <c r="D284" s="152" t="s">
        <v>1454</v>
      </c>
      <c r="E284" s="153">
        <v>27</v>
      </c>
      <c r="H284" s="328">
        <f t="shared" si="8"/>
        <v>6.0539399999999999</v>
      </c>
      <c r="I284" s="328">
        <f t="shared" si="9"/>
        <v>3.1908599999999998</v>
      </c>
    </row>
    <row r="285" spans="2:9" x14ac:dyDescent="0.35">
      <c r="B285" s="134" t="s">
        <v>1455</v>
      </c>
      <c r="C285" s="151" t="s">
        <v>1456</v>
      </c>
      <c r="D285" s="152" t="s">
        <v>1457</v>
      </c>
      <c r="E285" s="153">
        <v>25</v>
      </c>
      <c r="H285" s="328">
        <f t="shared" si="8"/>
        <v>5.6055000000000001</v>
      </c>
      <c r="I285" s="328">
        <f t="shared" si="9"/>
        <v>2.9544999999999999</v>
      </c>
    </row>
    <row r="286" spans="2:9" x14ac:dyDescent="0.35">
      <c r="B286" s="134" t="s">
        <v>1458</v>
      </c>
      <c r="C286" s="151" t="s">
        <v>1459</v>
      </c>
      <c r="D286" s="152" t="s">
        <v>1460</v>
      </c>
      <c r="E286" s="153">
        <v>18</v>
      </c>
      <c r="H286" s="328">
        <f t="shared" si="8"/>
        <v>4.0359600000000002</v>
      </c>
      <c r="I286" s="328">
        <f t="shared" si="9"/>
        <v>2.12724</v>
      </c>
    </row>
    <row r="287" spans="2:9" x14ac:dyDescent="0.35">
      <c r="B287" s="134" t="s">
        <v>1461</v>
      </c>
      <c r="C287" s="151" t="s">
        <v>1462</v>
      </c>
      <c r="D287" s="152" t="s">
        <v>1463</v>
      </c>
      <c r="E287" s="153">
        <v>9</v>
      </c>
      <c r="H287" s="328">
        <f t="shared" si="8"/>
        <v>2.0179800000000001</v>
      </c>
      <c r="I287" s="328">
        <f t="shared" si="9"/>
        <v>1.06362</v>
      </c>
    </row>
    <row r="288" spans="2:9" x14ac:dyDescent="0.35">
      <c r="B288" s="134" t="s">
        <v>1464</v>
      </c>
      <c r="C288" s="151" t="s">
        <v>1465</v>
      </c>
      <c r="D288" s="152" t="s">
        <v>1466</v>
      </c>
      <c r="E288" s="153">
        <v>17</v>
      </c>
      <c r="H288" s="328">
        <f t="shared" si="8"/>
        <v>3.8117399999999999</v>
      </c>
      <c r="I288" s="328">
        <f t="shared" si="9"/>
        <v>2.0090599999999998</v>
      </c>
    </row>
    <row r="289" spans="2:9" x14ac:dyDescent="0.35">
      <c r="B289" s="134" t="s">
        <v>1467</v>
      </c>
      <c r="C289" s="137" t="s">
        <v>1468</v>
      </c>
      <c r="D289" s="152" t="s">
        <v>1469</v>
      </c>
      <c r="E289" s="153">
        <v>23</v>
      </c>
      <c r="H289" s="328">
        <f t="shared" si="8"/>
        <v>5.1570600000000004</v>
      </c>
      <c r="I289" s="328">
        <f t="shared" si="9"/>
        <v>2.71814</v>
      </c>
    </row>
    <row r="290" spans="2:9" x14ac:dyDescent="0.35">
      <c r="B290" s="134" t="s">
        <v>1470</v>
      </c>
      <c r="C290" s="151" t="s">
        <v>1471</v>
      </c>
      <c r="D290" s="152" t="s">
        <v>1472</v>
      </c>
      <c r="E290" s="153">
        <v>9</v>
      </c>
      <c r="H290" s="328">
        <f t="shared" si="8"/>
        <v>2.0179800000000001</v>
      </c>
      <c r="I290" s="328">
        <f t="shared" si="9"/>
        <v>1.06362</v>
      </c>
    </row>
    <row r="291" spans="2:9" x14ac:dyDescent="0.35">
      <c r="B291" s="134" t="s">
        <v>1473</v>
      </c>
      <c r="C291" s="242" t="s">
        <v>1474</v>
      </c>
      <c r="D291" s="152" t="s">
        <v>1475</v>
      </c>
      <c r="E291" s="153">
        <v>10</v>
      </c>
      <c r="H291" s="328">
        <f t="shared" si="8"/>
        <v>2.2422</v>
      </c>
      <c r="I291" s="328">
        <f t="shared" si="9"/>
        <v>1.1818</v>
      </c>
    </row>
    <row r="292" spans="2:9" x14ac:dyDescent="0.35">
      <c r="B292" s="134" t="s">
        <v>1476</v>
      </c>
      <c r="C292" s="242" t="s">
        <v>1477</v>
      </c>
      <c r="D292" s="152" t="s">
        <v>1478</v>
      </c>
      <c r="E292" s="153">
        <v>11</v>
      </c>
      <c r="H292" s="328">
        <f t="shared" si="8"/>
        <v>2.4664199999999998</v>
      </c>
      <c r="I292" s="328">
        <f t="shared" si="9"/>
        <v>1.2999799999999999</v>
      </c>
    </row>
    <row r="293" spans="2:9" x14ac:dyDescent="0.35">
      <c r="B293" s="134" t="s">
        <v>1479</v>
      </c>
      <c r="C293" s="242" t="s">
        <v>1480</v>
      </c>
      <c r="D293" s="152" t="s">
        <v>1481</v>
      </c>
      <c r="E293" s="153">
        <v>17</v>
      </c>
      <c r="H293" s="328">
        <f t="shared" si="8"/>
        <v>3.8117399999999999</v>
      </c>
      <c r="I293" s="328">
        <f t="shared" si="9"/>
        <v>2.0090599999999998</v>
      </c>
    </row>
    <row r="294" spans="2:9" x14ac:dyDescent="0.35">
      <c r="B294" s="134" t="s">
        <v>1482</v>
      </c>
      <c r="C294" s="242" t="s">
        <v>1483</v>
      </c>
      <c r="D294" s="152" t="s">
        <v>1484</v>
      </c>
      <c r="E294" s="153">
        <v>12</v>
      </c>
      <c r="H294" s="328">
        <f t="shared" si="8"/>
        <v>2.6906400000000001</v>
      </c>
      <c r="I294" s="328">
        <f t="shared" si="9"/>
        <v>1.4181599999999999</v>
      </c>
    </row>
    <row r="295" spans="2:9" x14ac:dyDescent="0.35">
      <c r="B295" s="35" t="s">
        <v>1485</v>
      </c>
      <c r="H295" s="328">
        <f t="shared" si="8"/>
        <v>0</v>
      </c>
      <c r="I295" s="328">
        <f t="shared" si="9"/>
        <v>0</v>
      </c>
    </row>
    <row r="296" spans="2:9" x14ac:dyDescent="0.35">
      <c r="B296" s="134" t="s">
        <v>1486</v>
      </c>
      <c r="C296" s="242" t="s">
        <v>1487</v>
      </c>
      <c r="D296" s="152" t="s">
        <v>1488</v>
      </c>
      <c r="E296" s="153">
        <v>2</v>
      </c>
      <c r="H296" s="328">
        <f t="shared" si="8"/>
        <v>0.44844000000000001</v>
      </c>
      <c r="I296" s="328">
        <f t="shared" si="9"/>
        <v>0.23635999999999999</v>
      </c>
    </row>
    <row r="297" spans="2:9" x14ac:dyDescent="0.35">
      <c r="B297" s="134" t="s">
        <v>1489</v>
      </c>
      <c r="C297" s="242" t="s">
        <v>1490</v>
      </c>
      <c r="D297" s="152" t="s">
        <v>1491</v>
      </c>
      <c r="E297" s="153">
        <v>8</v>
      </c>
      <c r="H297" s="328">
        <f t="shared" si="8"/>
        <v>1.79376</v>
      </c>
      <c r="I297" s="328">
        <f t="shared" si="9"/>
        <v>0.94543999999999995</v>
      </c>
    </row>
    <row r="298" spans="2:9" x14ac:dyDescent="0.35">
      <c r="B298" s="134" t="s">
        <v>1492</v>
      </c>
      <c r="C298" s="151" t="s">
        <v>1493</v>
      </c>
      <c r="D298" s="152" t="s">
        <v>1494</v>
      </c>
      <c r="E298" s="153">
        <v>18</v>
      </c>
      <c r="H298" s="328">
        <f t="shared" si="8"/>
        <v>4.0359600000000002</v>
      </c>
      <c r="I298" s="328">
        <f t="shared" si="9"/>
        <v>2.12724</v>
      </c>
    </row>
    <row r="299" spans="2:9" x14ac:dyDescent="0.35">
      <c r="B299" s="134" t="s">
        <v>1495</v>
      </c>
      <c r="C299" s="306" t="s">
        <v>1496</v>
      </c>
      <c r="D299" s="152" t="s">
        <v>1497</v>
      </c>
      <c r="E299" s="153">
        <v>33</v>
      </c>
      <c r="H299" s="328">
        <f t="shared" si="8"/>
        <v>7.3992599999999999</v>
      </c>
      <c r="I299" s="328">
        <f t="shared" si="9"/>
        <v>3.89994</v>
      </c>
    </row>
    <row r="300" spans="2:9" x14ac:dyDescent="0.35">
      <c r="H300" s="328">
        <f t="shared" si="8"/>
        <v>0</v>
      </c>
      <c r="I300" s="328">
        <f t="shared" si="9"/>
        <v>0</v>
      </c>
    </row>
    <row r="301" spans="2:9" x14ac:dyDescent="0.35">
      <c r="B301" s="21" t="s">
        <v>1498</v>
      </c>
      <c r="C301" s="25"/>
      <c r="D301" s="25"/>
      <c r="E301" s="25"/>
      <c r="H301" s="328">
        <f t="shared" si="8"/>
        <v>0</v>
      </c>
      <c r="I301" s="328">
        <f t="shared" si="9"/>
        <v>0</v>
      </c>
    </row>
    <row r="302" spans="2:9" x14ac:dyDescent="0.35">
      <c r="B302" s="134" t="s">
        <v>1499</v>
      </c>
      <c r="C302" s="151" t="s">
        <v>1500</v>
      </c>
      <c r="D302" s="152" t="s">
        <v>1501</v>
      </c>
      <c r="E302" s="153">
        <v>27</v>
      </c>
      <c r="H302" s="328">
        <f t="shared" si="8"/>
        <v>6.0539399999999999</v>
      </c>
      <c r="I302" s="328">
        <f t="shared" si="9"/>
        <v>3.1908599999999998</v>
      </c>
    </row>
    <row r="303" spans="2:9" x14ac:dyDescent="0.35">
      <c r="B303" s="134" t="s">
        <v>1502</v>
      </c>
      <c r="C303" s="151" t="s">
        <v>1503</v>
      </c>
      <c r="D303" s="152" t="s">
        <v>1504</v>
      </c>
      <c r="E303" s="153">
        <v>38</v>
      </c>
      <c r="H303" s="328">
        <f t="shared" si="8"/>
        <v>8.5203600000000002</v>
      </c>
      <c r="I303" s="328">
        <f t="shared" si="9"/>
        <v>4.4908399999999995</v>
      </c>
    </row>
    <row r="304" spans="2:9" x14ac:dyDescent="0.35">
      <c r="B304" s="134" t="s">
        <v>1505</v>
      </c>
      <c r="C304" s="204" t="s">
        <v>1506</v>
      </c>
      <c r="D304" s="152" t="s">
        <v>1507</v>
      </c>
      <c r="E304" s="153">
        <v>603</v>
      </c>
      <c r="H304" s="328">
        <f t="shared" si="8"/>
        <v>135.20465999999999</v>
      </c>
      <c r="I304" s="328">
        <f t="shared" si="9"/>
        <v>71.262540000000001</v>
      </c>
    </row>
    <row r="305" spans="2:9" x14ac:dyDescent="0.35">
      <c r="B305" s="134" t="s">
        <v>1508</v>
      </c>
      <c r="C305" s="151" t="s">
        <v>1509</v>
      </c>
      <c r="D305" s="152" t="s">
        <v>1510</v>
      </c>
      <c r="E305" s="153">
        <v>940</v>
      </c>
      <c r="H305" s="328">
        <f t="shared" si="8"/>
        <v>210.76679999999999</v>
      </c>
      <c r="I305" s="328">
        <f t="shared" si="9"/>
        <v>111.08919999999999</v>
      </c>
    </row>
    <row r="306" spans="2:9" x14ac:dyDescent="0.35">
      <c r="H306" s="328">
        <f t="shared" si="8"/>
        <v>0</v>
      </c>
      <c r="I306" s="328">
        <f t="shared" si="9"/>
        <v>0</v>
      </c>
    </row>
    <row r="307" spans="2:9" x14ac:dyDescent="0.35">
      <c r="B307" s="21" t="s">
        <v>1511</v>
      </c>
      <c r="H307" s="328">
        <f t="shared" si="8"/>
        <v>0</v>
      </c>
      <c r="I307" s="328">
        <f t="shared" si="9"/>
        <v>0</v>
      </c>
    </row>
    <row r="308" spans="2:9" x14ac:dyDescent="0.35">
      <c r="B308" s="58" t="s">
        <v>1512</v>
      </c>
      <c r="H308" s="328">
        <f t="shared" si="8"/>
        <v>0</v>
      </c>
      <c r="I308" s="328">
        <f t="shared" si="9"/>
        <v>0</v>
      </c>
    </row>
    <row r="309" spans="2:9" x14ac:dyDescent="0.35">
      <c r="B309" s="134" t="s">
        <v>1513</v>
      </c>
      <c r="C309" s="151" t="s">
        <v>1514</v>
      </c>
      <c r="D309" s="152" t="s">
        <v>1515</v>
      </c>
      <c r="E309" s="153">
        <v>25</v>
      </c>
      <c r="H309" s="328">
        <f t="shared" si="8"/>
        <v>5.6055000000000001</v>
      </c>
      <c r="I309" s="328">
        <f t="shared" si="9"/>
        <v>2.9544999999999999</v>
      </c>
    </row>
    <row r="310" spans="2:9" x14ac:dyDescent="0.35">
      <c r="B310" s="134" t="s">
        <v>1516</v>
      </c>
      <c r="C310" s="307" t="s">
        <v>1517</v>
      </c>
      <c r="D310" s="152" t="s">
        <v>1518</v>
      </c>
      <c r="E310" s="153">
        <v>20</v>
      </c>
      <c r="H310" s="328">
        <f t="shared" si="8"/>
        <v>4.4843999999999999</v>
      </c>
      <c r="I310" s="328">
        <f t="shared" si="9"/>
        <v>2.3635999999999999</v>
      </c>
    </row>
    <row r="311" spans="2:9" x14ac:dyDescent="0.35">
      <c r="B311" s="35" t="s">
        <v>1519</v>
      </c>
      <c r="H311" s="328">
        <f t="shared" si="8"/>
        <v>0</v>
      </c>
      <c r="I311" s="328">
        <f t="shared" si="9"/>
        <v>0</v>
      </c>
    </row>
    <row r="312" spans="2:9" x14ac:dyDescent="0.35">
      <c r="B312" s="205" t="s">
        <v>1520</v>
      </c>
      <c r="C312" s="151" t="s">
        <v>1521</v>
      </c>
      <c r="D312" s="152" t="s">
        <v>1522</v>
      </c>
      <c r="E312" s="153">
        <v>21</v>
      </c>
      <c r="H312" s="328">
        <f t="shared" si="8"/>
        <v>4.7086199999999998</v>
      </c>
      <c r="I312" s="328">
        <f t="shared" si="9"/>
        <v>2.4817799999999997</v>
      </c>
    </row>
    <row r="313" spans="2:9" x14ac:dyDescent="0.35">
      <c r="B313" s="205" t="s">
        <v>1523</v>
      </c>
      <c r="C313" s="151" t="s">
        <v>1524</v>
      </c>
      <c r="D313" s="152" t="s">
        <v>1525</v>
      </c>
      <c r="E313" s="153">
        <v>25</v>
      </c>
      <c r="H313" s="328">
        <f t="shared" si="8"/>
        <v>5.6055000000000001</v>
      </c>
      <c r="I313" s="328">
        <f t="shared" si="9"/>
        <v>2.9544999999999999</v>
      </c>
    </row>
    <row r="314" spans="2:9" x14ac:dyDescent="0.35">
      <c r="B314" s="205" t="s">
        <v>1526</v>
      </c>
      <c r="C314" s="151" t="s">
        <v>1527</v>
      </c>
      <c r="D314" s="152" t="s">
        <v>1528</v>
      </c>
      <c r="E314" s="153">
        <v>28</v>
      </c>
      <c r="H314" s="328">
        <f t="shared" si="8"/>
        <v>6.2781599999999997</v>
      </c>
      <c r="I314" s="328">
        <f t="shared" si="9"/>
        <v>3.30904</v>
      </c>
    </row>
    <row r="315" spans="2:9" x14ac:dyDescent="0.35">
      <c r="B315" s="205" t="s">
        <v>1529</v>
      </c>
      <c r="C315" s="151" t="s">
        <v>1530</v>
      </c>
      <c r="D315" s="152" t="s">
        <v>1531</v>
      </c>
      <c r="E315" s="153">
        <v>50</v>
      </c>
      <c r="H315" s="328">
        <f t="shared" si="8"/>
        <v>11.211</v>
      </c>
      <c r="I315" s="328">
        <f t="shared" si="9"/>
        <v>5.9089999999999998</v>
      </c>
    </row>
    <row r="316" spans="2:9" x14ac:dyDescent="0.35">
      <c r="B316" s="205" t="s">
        <v>1532</v>
      </c>
      <c r="C316" s="151" t="s">
        <v>1533</v>
      </c>
      <c r="D316" s="152" t="s">
        <v>1534</v>
      </c>
      <c r="E316" s="153">
        <v>120</v>
      </c>
      <c r="H316" s="328">
        <f t="shared" si="8"/>
        <v>26.906400000000001</v>
      </c>
      <c r="I316" s="328">
        <f t="shared" si="9"/>
        <v>14.1816</v>
      </c>
    </row>
    <row r="317" spans="2:9" x14ac:dyDescent="0.35">
      <c r="B317" s="205" t="s">
        <v>1535</v>
      </c>
      <c r="C317" s="151" t="s">
        <v>1536</v>
      </c>
      <c r="D317" s="152" t="s">
        <v>1537</v>
      </c>
      <c r="E317" s="153">
        <v>34</v>
      </c>
      <c r="H317" s="328">
        <f t="shared" si="8"/>
        <v>7.6234799999999998</v>
      </c>
      <c r="I317" s="328">
        <f t="shared" si="9"/>
        <v>4.0181199999999997</v>
      </c>
    </row>
    <row r="318" spans="2:9" x14ac:dyDescent="0.35">
      <c r="B318" s="205" t="s">
        <v>1538</v>
      </c>
      <c r="C318" s="307" t="s">
        <v>1539</v>
      </c>
      <c r="D318" s="152" t="s">
        <v>1540</v>
      </c>
      <c r="E318" s="153">
        <v>29</v>
      </c>
      <c r="H318" s="328">
        <f t="shared" si="8"/>
        <v>6.5023800000000005</v>
      </c>
      <c r="I318" s="328">
        <f t="shared" si="9"/>
        <v>3.4272199999999997</v>
      </c>
    </row>
    <row r="319" spans="2:9" x14ac:dyDescent="0.35">
      <c r="B319" s="205" t="s">
        <v>1541</v>
      </c>
      <c r="C319" s="307" t="s">
        <v>1542</v>
      </c>
      <c r="D319" s="152" t="s">
        <v>1543</v>
      </c>
      <c r="E319" s="153">
        <v>34</v>
      </c>
      <c r="H319" s="328">
        <f t="shared" si="8"/>
        <v>7.6234799999999998</v>
      </c>
      <c r="I319" s="328">
        <f t="shared" si="9"/>
        <v>4.0181199999999997</v>
      </c>
    </row>
    <row r="320" spans="2:9" x14ac:dyDescent="0.35">
      <c r="B320" s="205" t="s">
        <v>1544</v>
      </c>
      <c r="C320" s="307" t="s">
        <v>1545</v>
      </c>
      <c r="D320" s="152" t="s">
        <v>1546</v>
      </c>
      <c r="E320" s="153">
        <v>26</v>
      </c>
      <c r="H320" s="328">
        <f t="shared" si="8"/>
        <v>5.82972</v>
      </c>
      <c r="I320" s="328">
        <f t="shared" si="9"/>
        <v>3.0726799999999996</v>
      </c>
    </row>
    <row r="321" spans="2:9" x14ac:dyDescent="0.35">
      <c r="B321" s="35" t="s">
        <v>1547</v>
      </c>
      <c r="H321" s="328">
        <f t="shared" si="8"/>
        <v>0</v>
      </c>
      <c r="I321" s="328">
        <f t="shared" si="9"/>
        <v>0</v>
      </c>
    </row>
    <row r="322" spans="2:9" x14ac:dyDescent="0.35">
      <c r="B322" s="205" t="s">
        <v>1548</v>
      </c>
      <c r="C322" s="151" t="s">
        <v>1549</v>
      </c>
      <c r="D322" s="152" t="s">
        <v>1550</v>
      </c>
      <c r="E322" s="153">
        <v>16</v>
      </c>
      <c r="H322" s="328">
        <f t="shared" si="8"/>
        <v>3.58752</v>
      </c>
      <c r="I322" s="328">
        <f t="shared" si="9"/>
        <v>1.8908799999999999</v>
      </c>
    </row>
    <row r="323" spans="2:9" x14ac:dyDescent="0.35">
      <c r="B323" s="205" t="s">
        <v>1551</v>
      </c>
      <c r="C323" s="151" t="s">
        <v>1552</v>
      </c>
      <c r="D323" s="152" t="s">
        <v>1553</v>
      </c>
      <c r="E323" s="153">
        <v>22</v>
      </c>
      <c r="H323" s="328">
        <f t="shared" si="8"/>
        <v>4.9328399999999997</v>
      </c>
      <c r="I323" s="328">
        <f t="shared" si="9"/>
        <v>2.5999599999999998</v>
      </c>
    </row>
    <row r="324" spans="2:9" x14ac:dyDescent="0.35">
      <c r="B324" s="134" t="s">
        <v>1554</v>
      </c>
      <c r="C324" s="151" t="s">
        <v>1555</v>
      </c>
      <c r="D324" s="152" t="s">
        <v>1556</v>
      </c>
      <c r="E324" s="153">
        <v>30</v>
      </c>
      <c r="H324" s="328">
        <f t="shared" si="8"/>
        <v>6.7266000000000004</v>
      </c>
      <c r="I324" s="328">
        <f t="shared" si="9"/>
        <v>3.5453999999999999</v>
      </c>
    </row>
    <row r="325" spans="2:9" x14ac:dyDescent="0.35">
      <c r="B325" s="134" t="s">
        <v>1557</v>
      </c>
      <c r="C325" s="151" t="s">
        <v>1558</v>
      </c>
      <c r="D325" s="152" t="s">
        <v>1559</v>
      </c>
      <c r="E325" s="153">
        <v>45</v>
      </c>
      <c r="H325" s="328">
        <f t="shared" si="8"/>
        <v>10.0899</v>
      </c>
      <c r="I325" s="328">
        <f t="shared" si="9"/>
        <v>5.3180999999999994</v>
      </c>
    </row>
    <row r="326" spans="2:9" x14ac:dyDescent="0.35">
      <c r="B326" s="134" t="s">
        <v>1560</v>
      </c>
      <c r="C326" s="151" t="s">
        <v>1561</v>
      </c>
      <c r="D326" s="152" t="s">
        <v>1562</v>
      </c>
      <c r="E326" s="153">
        <v>55</v>
      </c>
      <c r="H326" s="328">
        <f t="shared" si="8"/>
        <v>12.332100000000001</v>
      </c>
      <c r="I326" s="328">
        <f t="shared" si="9"/>
        <v>6.4998999999999993</v>
      </c>
    </row>
    <row r="327" spans="2:9" x14ac:dyDescent="0.35">
      <c r="B327" s="134" t="s">
        <v>1563</v>
      </c>
      <c r="C327" s="307" t="s">
        <v>1564</v>
      </c>
      <c r="D327" s="152" t="s">
        <v>1565</v>
      </c>
      <c r="E327" s="153">
        <v>22</v>
      </c>
      <c r="H327" s="328">
        <f t="shared" si="8"/>
        <v>4.9328399999999997</v>
      </c>
      <c r="I327" s="328">
        <f t="shared" si="9"/>
        <v>2.5999599999999998</v>
      </c>
    </row>
    <row r="328" spans="2:9" x14ac:dyDescent="0.35">
      <c r="B328" s="134" t="s">
        <v>1566</v>
      </c>
      <c r="C328" s="307" t="s">
        <v>1567</v>
      </c>
      <c r="D328" s="152" t="s">
        <v>1568</v>
      </c>
      <c r="E328" s="153">
        <v>40</v>
      </c>
      <c r="H328" s="328">
        <f t="shared" ref="H328:H391" si="10">E328*$H$3</f>
        <v>8.9687999999999999</v>
      </c>
      <c r="I328" s="328">
        <f t="shared" ref="I328:I391" si="11">E328*$I$3</f>
        <v>4.7271999999999998</v>
      </c>
    </row>
    <row r="329" spans="2:9" x14ac:dyDescent="0.35">
      <c r="B329" s="134" t="s">
        <v>1569</v>
      </c>
      <c r="C329" s="307" t="s">
        <v>1570</v>
      </c>
      <c r="D329" s="152" t="s">
        <v>1571</v>
      </c>
      <c r="E329" s="153">
        <v>62</v>
      </c>
      <c r="H329" s="328">
        <f t="shared" si="10"/>
        <v>13.90164</v>
      </c>
      <c r="I329" s="328">
        <f t="shared" si="11"/>
        <v>7.3271599999999992</v>
      </c>
    </row>
    <row r="330" spans="2:9" x14ac:dyDescent="0.35">
      <c r="B330" s="35" t="s">
        <v>1572</v>
      </c>
      <c r="H330" s="328">
        <f t="shared" si="10"/>
        <v>0</v>
      </c>
      <c r="I330" s="328">
        <f t="shared" si="11"/>
        <v>0</v>
      </c>
    </row>
    <row r="331" spans="2:9" x14ac:dyDescent="0.35">
      <c r="B331" s="134" t="s">
        <v>1573</v>
      </c>
      <c r="C331" s="307" t="s">
        <v>1574</v>
      </c>
      <c r="D331" s="152" t="s">
        <v>1575</v>
      </c>
      <c r="E331" s="153">
        <v>51</v>
      </c>
      <c r="H331" s="328">
        <f t="shared" si="10"/>
        <v>11.435219999999999</v>
      </c>
      <c r="I331" s="328">
        <f t="shared" si="11"/>
        <v>6.0271799999999995</v>
      </c>
    </row>
    <row r="332" spans="2:9" x14ac:dyDescent="0.35">
      <c r="B332" s="134" t="s">
        <v>1576</v>
      </c>
      <c r="C332" s="307" t="s">
        <v>1577</v>
      </c>
      <c r="D332" s="152" t="s">
        <v>1578</v>
      </c>
      <c r="E332" s="153">
        <v>83</v>
      </c>
      <c r="H332" s="328">
        <f t="shared" si="10"/>
        <v>18.61026</v>
      </c>
      <c r="I332" s="328">
        <f t="shared" si="11"/>
        <v>9.8089399999999998</v>
      </c>
    </row>
    <row r="333" spans="2:9" x14ac:dyDescent="0.35">
      <c r="B333" s="5"/>
      <c r="C333" s="39"/>
      <c r="H333" s="328">
        <f t="shared" si="10"/>
        <v>0</v>
      </c>
      <c r="I333" s="328">
        <f t="shared" si="11"/>
        <v>0</v>
      </c>
    </row>
    <row r="334" spans="2:9" x14ac:dyDescent="0.35">
      <c r="B334" s="21" t="s">
        <v>1579</v>
      </c>
      <c r="C334" s="25"/>
      <c r="H334" s="328">
        <f t="shared" si="10"/>
        <v>0</v>
      </c>
      <c r="I334" s="328">
        <f t="shared" si="11"/>
        <v>0</v>
      </c>
    </row>
    <row r="335" spans="2:9" x14ac:dyDescent="0.35">
      <c r="B335" s="134" t="s">
        <v>1580</v>
      </c>
      <c r="C335" s="307" t="s">
        <v>1581</v>
      </c>
      <c r="D335" s="152" t="s">
        <v>1582</v>
      </c>
      <c r="E335" s="153">
        <v>31</v>
      </c>
      <c r="H335" s="328">
        <f t="shared" si="10"/>
        <v>6.9508200000000002</v>
      </c>
      <c r="I335" s="328">
        <f t="shared" si="11"/>
        <v>3.6635799999999996</v>
      </c>
    </row>
    <row r="336" spans="2:9" x14ac:dyDescent="0.35">
      <c r="B336" s="5"/>
      <c r="C336" s="39"/>
      <c r="H336" s="328">
        <f t="shared" si="10"/>
        <v>0</v>
      </c>
      <c r="I336" s="328">
        <f t="shared" si="11"/>
        <v>0</v>
      </c>
    </row>
    <row r="337" spans="2:9" x14ac:dyDescent="0.35">
      <c r="B337" s="21" t="s">
        <v>1583</v>
      </c>
      <c r="C337" s="25"/>
      <c r="H337" s="328">
        <f t="shared" si="10"/>
        <v>0</v>
      </c>
      <c r="I337" s="328">
        <f t="shared" si="11"/>
        <v>0</v>
      </c>
    </row>
    <row r="338" spans="2:9" x14ac:dyDescent="0.35">
      <c r="B338" s="134" t="s">
        <v>1584</v>
      </c>
      <c r="C338" s="242" t="s">
        <v>1585</v>
      </c>
      <c r="D338" s="152" t="s">
        <v>1586</v>
      </c>
      <c r="E338" s="153">
        <v>47</v>
      </c>
      <c r="H338" s="328">
        <f t="shared" si="10"/>
        <v>10.53834</v>
      </c>
      <c r="I338" s="328">
        <f t="shared" si="11"/>
        <v>5.5544599999999997</v>
      </c>
    </row>
    <row r="339" spans="2:9" x14ac:dyDescent="0.35">
      <c r="B339" s="134" t="s">
        <v>1587</v>
      </c>
      <c r="C339" s="242" t="s">
        <v>1588</v>
      </c>
      <c r="D339" s="152" t="s">
        <v>1589</v>
      </c>
      <c r="E339" s="153">
        <v>47</v>
      </c>
      <c r="H339" s="328">
        <f t="shared" si="10"/>
        <v>10.53834</v>
      </c>
      <c r="I339" s="328">
        <f t="shared" si="11"/>
        <v>5.5544599999999997</v>
      </c>
    </row>
    <row r="340" spans="2:9" x14ac:dyDescent="0.35">
      <c r="B340" s="205" t="s">
        <v>1590</v>
      </c>
      <c r="C340" s="242" t="s">
        <v>1591</v>
      </c>
      <c r="D340" s="152" t="s">
        <v>1592</v>
      </c>
      <c r="E340" s="153">
        <v>49</v>
      </c>
      <c r="H340" s="328">
        <f t="shared" si="10"/>
        <v>10.98678</v>
      </c>
      <c r="I340" s="328">
        <f t="shared" si="11"/>
        <v>5.7908200000000001</v>
      </c>
    </row>
    <row r="341" spans="2:9" x14ac:dyDescent="0.35">
      <c r="B341" s="205" t="s">
        <v>1593</v>
      </c>
      <c r="C341" s="242" t="s">
        <v>1594</v>
      </c>
      <c r="D341" s="152" t="s">
        <v>1595</v>
      </c>
      <c r="E341" s="153">
        <v>47</v>
      </c>
      <c r="H341" s="328">
        <f t="shared" si="10"/>
        <v>10.53834</v>
      </c>
      <c r="I341" s="328">
        <f t="shared" si="11"/>
        <v>5.5544599999999997</v>
      </c>
    </row>
    <row r="342" spans="2:9" x14ac:dyDescent="0.35">
      <c r="B342" s="156" t="s">
        <v>1596</v>
      </c>
      <c r="C342" s="242" t="s">
        <v>1597</v>
      </c>
      <c r="D342" s="152" t="s">
        <v>1598</v>
      </c>
      <c r="E342" s="153">
        <v>45</v>
      </c>
      <c r="H342" s="328">
        <f t="shared" si="10"/>
        <v>10.0899</v>
      </c>
      <c r="I342" s="328">
        <f t="shared" si="11"/>
        <v>5.3180999999999994</v>
      </c>
    </row>
    <row r="343" spans="2:9" x14ac:dyDescent="0.35">
      <c r="B343" s="5"/>
      <c r="C343" s="39"/>
      <c r="D343" s="40"/>
      <c r="E343" s="40"/>
      <c r="H343" s="328">
        <f t="shared" si="10"/>
        <v>0</v>
      </c>
      <c r="I343" s="328">
        <f t="shared" si="11"/>
        <v>0</v>
      </c>
    </row>
    <row r="344" spans="2:9" ht="15.5" x14ac:dyDescent="0.35">
      <c r="B344" s="41" t="s">
        <v>1599</v>
      </c>
      <c r="C344" s="42"/>
      <c r="D344" s="42"/>
      <c r="E344" s="42"/>
      <c r="H344" s="328">
        <f t="shared" si="10"/>
        <v>0</v>
      </c>
      <c r="I344" s="328">
        <f t="shared" si="11"/>
        <v>0</v>
      </c>
    </row>
    <row r="345" spans="2:9" x14ac:dyDescent="0.35">
      <c r="B345" s="21" t="s">
        <v>1600</v>
      </c>
      <c r="H345" s="328">
        <f t="shared" si="10"/>
        <v>0</v>
      </c>
      <c r="I345" s="328">
        <f t="shared" si="11"/>
        <v>0</v>
      </c>
    </row>
    <row r="346" spans="2:9" x14ac:dyDescent="0.35">
      <c r="B346" s="27" t="s">
        <v>1601</v>
      </c>
      <c r="H346" s="328">
        <f t="shared" si="10"/>
        <v>0</v>
      </c>
      <c r="I346" s="328">
        <f t="shared" si="11"/>
        <v>0</v>
      </c>
    </row>
    <row r="347" spans="2:9" x14ac:dyDescent="0.35">
      <c r="B347" s="134" t="s">
        <v>1602</v>
      </c>
      <c r="C347" s="151"/>
      <c r="D347" s="152" t="s">
        <v>1603</v>
      </c>
      <c r="E347" s="153">
        <v>10</v>
      </c>
      <c r="H347" s="328">
        <f t="shared" si="10"/>
        <v>2.2422</v>
      </c>
      <c r="I347" s="328">
        <f t="shared" si="11"/>
        <v>1.1818</v>
      </c>
    </row>
    <row r="348" spans="2:9" x14ac:dyDescent="0.35">
      <c r="B348" s="134" t="s">
        <v>1604</v>
      </c>
      <c r="C348" s="151"/>
      <c r="D348" s="152" t="s">
        <v>1605</v>
      </c>
      <c r="E348" s="153">
        <v>21</v>
      </c>
      <c r="H348" s="328">
        <f t="shared" si="10"/>
        <v>4.7086199999999998</v>
      </c>
      <c r="I348" s="328">
        <f t="shared" si="11"/>
        <v>2.4817799999999997</v>
      </c>
    </row>
    <row r="349" spans="2:9" x14ac:dyDescent="0.35">
      <c r="B349" s="142" t="s">
        <v>1606</v>
      </c>
      <c r="C349" s="142"/>
      <c r="D349" s="308" t="s">
        <v>1607</v>
      </c>
      <c r="E349" s="309">
        <v>52</v>
      </c>
      <c r="H349" s="328">
        <f t="shared" si="10"/>
        <v>11.65944</v>
      </c>
      <c r="I349" s="328">
        <f t="shared" si="11"/>
        <v>6.1453599999999993</v>
      </c>
    </row>
    <row r="350" spans="2:9" x14ac:dyDescent="0.35">
      <c r="B350" s="142" t="s">
        <v>1608</v>
      </c>
      <c r="C350" s="142"/>
      <c r="D350" s="308" t="s">
        <v>1609</v>
      </c>
      <c r="E350" s="309">
        <v>83</v>
      </c>
      <c r="H350" s="328">
        <f t="shared" si="10"/>
        <v>18.61026</v>
      </c>
      <c r="I350" s="328">
        <f t="shared" si="11"/>
        <v>9.8089399999999998</v>
      </c>
    </row>
    <row r="351" spans="2:9" x14ac:dyDescent="0.35">
      <c r="B351" s="27" t="s">
        <v>1610</v>
      </c>
      <c r="H351" s="328">
        <f t="shared" si="10"/>
        <v>0</v>
      </c>
      <c r="I351" s="328">
        <f t="shared" si="11"/>
        <v>0</v>
      </c>
    </row>
    <row r="352" spans="2:9" x14ac:dyDescent="0.35">
      <c r="B352" s="135" t="s">
        <v>1602</v>
      </c>
      <c r="C352" s="151"/>
      <c r="D352" s="152" t="s">
        <v>1611</v>
      </c>
      <c r="E352" s="153">
        <v>21</v>
      </c>
      <c r="H352" s="328">
        <f t="shared" si="10"/>
        <v>4.7086199999999998</v>
      </c>
      <c r="I352" s="328">
        <f t="shared" si="11"/>
        <v>2.4817799999999997</v>
      </c>
    </row>
    <row r="353" spans="2:9" x14ac:dyDescent="0.35">
      <c r="B353" s="135" t="s">
        <v>1604</v>
      </c>
      <c r="C353" s="151"/>
      <c r="D353" s="152" t="s">
        <v>1612</v>
      </c>
      <c r="E353" s="153">
        <v>41</v>
      </c>
      <c r="H353" s="328">
        <f t="shared" si="10"/>
        <v>9.1930200000000006</v>
      </c>
      <c r="I353" s="328">
        <f t="shared" si="11"/>
        <v>4.8453799999999996</v>
      </c>
    </row>
    <row r="354" spans="2:9" x14ac:dyDescent="0.35">
      <c r="B354" s="142" t="s">
        <v>1606</v>
      </c>
      <c r="C354" s="310"/>
      <c r="D354" s="308" t="s">
        <v>1613</v>
      </c>
      <c r="E354" s="311">
        <v>103</v>
      </c>
      <c r="H354" s="328">
        <f t="shared" si="10"/>
        <v>23.094660000000001</v>
      </c>
      <c r="I354" s="328">
        <f t="shared" si="11"/>
        <v>12.17254</v>
      </c>
    </row>
    <row r="355" spans="2:9" x14ac:dyDescent="0.35">
      <c r="B355" s="27" t="s">
        <v>1614</v>
      </c>
      <c r="H355" s="328">
        <f t="shared" si="10"/>
        <v>0</v>
      </c>
      <c r="I355" s="328">
        <f t="shared" si="11"/>
        <v>0</v>
      </c>
    </row>
    <row r="356" spans="2:9" x14ac:dyDescent="0.35">
      <c r="B356" s="135" t="s">
        <v>1602</v>
      </c>
      <c r="C356" s="151"/>
      <c r="D356" s="152" t="s">
        <v>1615</v>
      </c>
      <c r="E356" s="153">
        <v>12</v>
      </c>
      <c r="H356" s="328">
        <f t="shared" si="10"/>
        <v>2.6906400000000001</v>
      </c>
      <c r="I356" s="328">
        <f t="shared" si="11"/>
        <v>1.4181599999999999</v>
      </c>
    </row>
    <row r="357" spans="2:9" x14ac:dyDescent="0.35">
      <c r="B357" s="135" t="s">
        <v>1604</v>
      </c>
      <c r="C357" s="151"/>
      <c r="D357" s="152" t="s">
        <v>1616</v>
      </c>
      <c r="E357" s="153">
        <v>25</v>
      </c>
      <c r="H357" s="328">
        <f t="shared" si="10"/>
        <v>5.6055000000000001</v>
      </c>
      <c r="I357" s="328">
        <f t="shared" si="11"/>
        <v>2.9544999999999999</v>
      </c>
    </row>
    <row r="358" spans="2:9" x14ac:dyDescent="0.35">
      <c r="B358" s="142" t="s">
        <v>1606</v>
      </c>
      <c r="C358" s="310"/>
      <c r="D358" s="308" t="s">
        <v>1617</v>
      </c>
      <c r="E358" s="311">
        <v>52</v>
      </c>
      <c r="H358" s="328">
        <f t="shared" si="10"/>
        <v>11.65944</v>
      </c>
      <c r="I358" s="328">
        <f t="shared" si="11"/>
        <v>6.1453599999999993</v>
      </c>
    </row>
    <row r="359" spans="2:9" x14ac:dyDescent="0.35">
      <c r="B359" s="142" t="s">
        <v>1608</v>
      </c>
      <c r="C359" s="310"/>
      <c r="D359" s="308" t="s">
        <v>1618</v>
      </c>
      <c r="E359" s="311">
        <v>83</v>
      </c>
      <c r="H359" s="328">
        <f t="shared" si="10"/>
        <v>18.61026</v>
      </c>
      <c r="I359" s="328">
        <f t="shared" si="11"/>
        <v>9.8089399999999998</v>
      </c>
    </row>
    <row r="360" spans="2:9" x14ac:dyDescent="0.35">
      <c r="B360" s="142" t="s">
        <v>1619</v>
      </c>
      <c r="C360" s="310"/>
      <c r="D360" s="308" t="s">
        <v>1620</v>
      </c>
      <c r="E360" s="311">
        <v>207</v>
      </c>
      <c r="H360" s="328">
        <f t="shared" si="10"/>
        <v>46.413539999999998</v>
      </c>
      <c r="I360" s="328">
        <f t="shared" si="11"/>
        <v>24.463259999999998</v>
      </c>
    </row>
    <row r="361" spans="2:9" x14ac:dyDescent="0.35">
      <c r="H361" s="328">
        <f t="shared" si="10"/>
        <v>0</v>
      </c>
      <c r="I361" s="328">
        <f t="shared" si="11"/>
        <v>0</v>
      </c>
    </row>
    <row r="362" spans="2:9" s="4" customFormat="1" ht="13" x14ac:dyDescent="0.3">
      <c r="B362" s="19" t="s">
        <v>1621</v>
      </c>
      <c r="C362" s="6"/>
      <c r="D362" s="7"/>
      <c r="H362" s="328">
        <f t="shared" si="10"/>
        <v>0</v>
      </c>
      <c r="I362" s="328">
        <f t="shared" si="11"/>
        <v>0</v>
      </c>
    </row>
    <row r="363" spans="2:9" s="4" customFormat="1" ht="13" x14ac:dyDescent="0.3">
      <c r="B363" s="301" t="s">
        <v>1298</v>
      </c>
      <c r="C363" s="301"/>
      <c r="D363" s="302" t="s">
        <v>1622</v>
      </c>
      <c r="E363" s="303">
        <v>223</v>
      </c>
      <c r="H363" s="328">
        <f t="shared" si="10"/>
        <v>50.001060000000003</v>
      </c>
      <c r="I363" s="328">
        <f t="shared" si="11"/>
        <v>26.354139999999997</v>
      </c>
    </row>
    <row r="364" spans="2:9" s="4" customFormat="1" ht="13" x14ac:dyDescent="0.3">
      <c r="B364" s="301" t="s">
        <v>1300</v>
      </c>
      <c r="C364" s="301"/>
      <c r="D364" s="302" t="s">
        <v>1623</v>
      </c>
      <c r="E364" s="303">
        <v>282</v>
      </c>
      <c r="H364" s="328">
        <f t="shared" si="10"/>
        <v>63.230040000000002</v>
      </c>
      <c r="I364" s="328">
        <f t="shared" si="11"/>
        <v>33.32676</v>
      </c>
    </row>
    <row r="365" spans="2:9" s="4" customFormat="1" ht="13" x14ac:dyDescent="0.3">
      <c r="B365" s="301" t="s">
        <v>1302</v>
      </c>
      <c r="C365" s="301"/>
      <c r="D365" s="302" t="s">
        <v>1624</v>
      </c>
      <c r="E365" s="303">
        <v>336</v>
      </c>
      <c r="H365" s="328">
        <f t="shared" si="10"/>
        <v>75.337919999999997</v>
      </c>
      <c r="I365" s="328">
        <f t="shared" si="11"/>
        <v>39.708479999999994</v>
      </c>
    </row>
    <row r="366" spans="2:9" s="4" customFormat="1" ht="13" x14ac:dyDescent="0.3">
      <c r="B366" s="301" t="s">
        <v>1625</v>
      </c>
      <c r="C366" s="301"/>
      <c r="D366" s="302" t="s">
        <v>1626</v>
      </c>
      <c r="E366" s="303">
        <v>388</v>
      </c>
      <c r="H366" s="328">
        <f t="shared" si="10"/>
        <v>86.99736</v>
      </c>
      <c r="I366" s="328">
        <f t="shared" si="11"/>
        <v>45.853839999999998</v>
      </c>
    </row>
    <row r="367" spans="2:9" s="4" customFormat="1" ht="13" x14ac:dyDescent="0.3">
      <c r="B367" s="301" t="s">
        <v>1627</v>
      </c>
      <c r="C367" s="301"/>
      <c r="D367" s="302" t="s">
        <v>1628</v>
      </c>
      <c r="E367" s="303">
        <v>447</v>
      </c>
      <c r="H367" s="328">
        <f t="shared" si="10"/>
        <v>100.22634000000001</v>
      </c>
      <c r="I367" s="328">
        <f t="shared" si="11"/>
        <v>52.826459999999997</v>
      </c>
    </row>
    <row r="368" spans="2:9" x14ac:dyDescent="0.35">
      <c r="H368" s="328">
        <f t="shared" si="10"/>
        <v>0</v>
      </c>
      <c r="I368" s="328">
        <f t="shared" si="11"/>
        <v>0</v>
      </c>
    </row>
    <row r="369" spans="2:9" x14ac:dyDescent="0.35">
      <c r="B369" s="17" t="s">
        <v>1629</v>
      </c>
      <c r="H369" s="328">
        <f t="shared" si="10"/>
        <v>0</v>
      </c>
      <c r="I369" s="328">
        <f t="shared" si="11"/>
        <v>0</v>
      </c>
    </row>
    <row r="370" spans="2:9" x14ac:dyDescent="0.35">
      <c r="B370" s="142" t="s">
        <v>1630</v>
      </c>
      <c r="C370" s="142"/>
      <c r="D370" s="308" t="s">
        <v>1631</v>
      </c>
      <c r="E370" s="309">
        <v>10</v>
      </c>
      <c r="H370" s="328">
        <f t="shared" si="10"/>
        <v>2.2422</v>
      </c>
      <c r="I370" s="328">
        <f t="shared" si="11"/>
        <v>1.1818</v>
      </c>
    </row>
    <row r="371" spans="2:9" x14ac:dyDescent="0.35">
      <c r="B371" s="142" t="s">
        <v>1632</v>
      </c>
      <c r="C371" s="142"/>
      <c r="D371" s="308" t="s">
        <v>1633</v>
      </c>
      <c r="E371" s="309">
        <v>35</v>
      </c>
      <c r="H371" s="328">
        <f t="shared" si="10"/>
        <v>7.8476999999999997</v>
      </c>
      <c r="I371" s="328">
        <f t="shared" si="11"/>
        <v>4.1362999999999994</v>
      </c>
    </row>
    <row r="372" spans="2:9" x14ac:dyDescent="0.35">
      <c r="H372" s="328">
        <f t="shared" si="10"/>
        <v>0</v>
      </c>
      <c r="I372" s="328">
        <f t="shared" si="11"/>
        <v>0</v>
      </c>
    </row>
    <row r="373" spans="2:9" x14ac:dyDescent="0.35">
      <c r="B373" s="17" t="s">
        <v>1634</v>
      </c>
      <c r="H373" s="328">
        <f t="shared" si="10"/>
        <v>0</v>
      </c>
      <c r="I373" s="328">
        <f t="shared" si="11"/>
        <v>0</v>
      </c>
    </row>
    <row r="374" spans="2:9" x14ac:dyDescent="0.35">
      <c r="B374" s="27" t="s">
        <v>1601</v>
      </c>
      <c r="H374" s="328">
        <f t="shared" si="10"/>
        <v>0</v>
      </c>
      <c r="I374" s="328">
        <f t="shared" si="11"/>
        <v>0</v>
      </c>
    </row>
    <row r="375" spans="2:9" x14ac:dyDescent="0.35">
      <c r="B375" s="142" t="s">
        <v>1635</v>
      </c>
      <c r="C375" s="143"/>
      <c r="D375" s="144" t="s">
        <v>1636</v>
      </c>
      <c r="E375" s="312">
        <v>41</v>
      </c>
      <c r="H375" s="328">
        <f t="shared" si="10"/>
        <v>9.1930200000000006</v>
      </c>
      <c r="I375" s="328">
        <f t="shared" si="11"/>
        <v>4.8453799999999996</v>
      </c>
    </row>
    <row r="376" spans="2:9" x14ac:dyDescent="0.35">
      <c r="B376" s="142" t="s">
        <v>1637</v>
      </c>
      <c r="C376" s="143"/>
      <c r="D376" s="144" t="s">
        <v>1638</v>
      </c>
      <c r="E376" s="312">
        <v>83</v>
      </c>
      <c r="H376" s="328">
        <f t="shared" si="10"/>
        <v>18.61026</v>
      </c>
      <c r="I376" s="328">
        <f t="shared" si="11"/>
        <v>9.8089399999999998</v>
      </c>
    </row>
    <row r="377" spans="2:9" x14ac:dyDescent="0.35">
      <c r="B377" s="27" t="s">
        <v>1610</v>
      </c>
      <c r="H377" s="328">
        <f t="shared" si="10"/>
        <v>0</v>
      </c>
      <c r="I377" s="328">
        <f t="shared" si="11"/>
        <v>0</v>
      </c>
    </row>
    <row r="378" spans="2:9" x14ac:dyDescent="0.35">
      <c r="B378" s="142" t="s">
        <v>1635</v>
      </c>
      <c r="C378" s="143"/>
      <c r="D378" s="144" t="s">
        <v>1639</v>
      </c>
      <c r="E378" s="312">
        <v>186</v>
      </c>
      <c r="H378" s="328">
        <f t="shared" si="10"/>
        <v>41.704920000000001</v>
      </c>
      <c r="I378" s="328">
        <f t="shared" si="11"/>
        <v>21.981479999999998</v>
      </c>
    </row>
    <row r="379" spans="2:9" x14ac:dyDescent="0.35">
      <c r="B379" s="142" t="s">
        <v>1637</v>
      </c>
      <c r="C379" s="143"/>
      <c r="D379" s="144" t="s">
        <v>1640</v>
      </c>
      <c r="E379" s="312">
        <v>269</v>
      </c>
      <c r="H379" s="328">
        <f t="shared" si="10"/>
        <v>60.315179999999998</v>
      </c>
      <c r="I379" s="328">
        <f t="shared" si="11"/>
        <v>31.790419999999997</v>
      </c>
    </row>
    <row r="380" spans="2:9" x14ac:dyDescent="0.35">
      <c r="B380" s="27" t="s">
        <v>1614</v>
      </c>
      <c r="H380" s="328">
        <f t="shared" si="10"/>
        <v>0</v>
      </c>
      <c r="I380" s="328">
        <f t="shared" si="11"/>
        <v>0</v>
      </c>
    </row>
    <row r="381" spans="2:9" x14ac:dyDescent="0.35">
      <c r="B381" s="142" t="s">
        <v>1635</v>
      </c>
      <c r="C381" s="143"/>
      <c r="D381" s="144" t="s">
        <v>1641</v>
      </c>
      <c r="E381" s="312">
        <v>49</v>
      </c>
      <c r="H381" s="328">
        <f t="shared" si="10"/>
        <v>10.98678</v>
      </c>
      <c r="I381" s="328">
        <f t="shared" si="11"/>
        <v>5.7908200000000001</v>
      </c>
    </row>
    <row r="382" spans="2:9" x14ac:dyDescent="0.35">
      <c r="B382" s="142" t="s">
        <v>1637</v>
      </c>
      <c r="C382" s="143"/>
      <c r="D382" s="144" t="s">
        <v>1642</v>
      </c>
      <c r="E382" s="312">
        <v>100</v>
      </c>
      <c r="H382" s="328">
        <f t="shared" si="10"/>
        <v>22.422000000000001</v>
      </c>
      <c r="I382" s="328">
        <f t="shared" si="11"/>
        <v>11.818</v>
      </c>
    </row>
    <row r="383" spans="2:9" x14ac:dyDescent="0.35">
      <c r="H383" s="328">
        <f t="shared" si="10"/>
        <v>0</v>
      </c>
      <c r="I383" s="328">
        <f t="shared" si="11"/>
        <v>0</v>
      </c>
    </row>
    <row r="384" spans="2:9" s="4" customFormat="1" ht="13" x14ac:dyDescent="0.3">
      <c r="B384" s="19" t="s">
        <v>1643</v>
      </c>
      <c r="C384" s="6"/>
      <c r="D384" s="7"/>
      <c r="H384" s="328">
        <f t="shared" si="10"/>
        <v>0</v>
      </c>
      <c r="I384" s="328">
        <f t="shared" si="11"/>
        <v>0</v>
      </c>
    </row>
    <row r="385" spans="2:9" s="4" customFormat="1" ht="13" x14ac:dyDescent="0.3">
      <c r="B385" s="301" t="s">
        <v>1644</v>
      </c>
      <c r="C385" s="301"/>
      <c r="D385" s="302" t="s">
        <v>1645</v>
      </c>
      <c r="E385" s="303">
        <v>827</v>
      </c>
      <c r="H385" s="328">
        <f t="shared" si="10"/>
        <v>185.42994000000002</v>
      </c>
      <c r="I385" s="328">
        <f t="shared" si="11"/>
        <v>97.734859999999998</v>
      </c>
    </row>
    <row r="386" spans="2:9" s="4" customFormat="1" ht="13" x14ac:dyDescent="0.3">
      <c r="H386" s="328">
        <f t="shared" si="10"/>
        <v>0</v>
      </c>
      <c r="I386" s="328">
        <f t="shared" si="11"/>
        <v>0</v>
      </c>
    </row>
    <row r="387" spans="2:9" x14ac:dyDescent="0.35">
      <c r="B387" s="21" t="s">
        <v>1646</v>
      </c>
      <c r="H387" s="328">
        <f t="shared" si="10"/>
        <v>0</v>
      </c>
      <c r="I387" s="328">
        <f t="shared" si="11"/>
        <v>0</v>
      </c>
    </row>
    <row r="388" spans="2:9" x14ac:dyDescent="0.35">
      <c r="B388" s="134" t="s">
        <v>1647</v>
      </c>
      <c r="C388" s="151" t="s">
        <v>1648</v>
      </c>
      <c r="D388" s="152" t="s">
        <v>1649</v>
      </c>
      <c r="E388" s="153">
        <v>4</v>
      </c>
      <c r="H388" s="328">
        <f t="shared" si="10"/>
        <v>0.89688000000000001</v>
      </c>
      <c r="I388" s="328">
        <f t="shared" si="11"/>
        <v>0.47271999999999997</v>
      </c>
    </row>
    <row r="389" spans="2:9" s="26" customFormat="1" x14ac:dyDescent="0.3">
      <c r="B389" s="156" t="s">
        <v>1650</v>
      </c>
      <c r="C389" s="151" t="s">
        <v>1651</v>
      </c>
      <c r="D389" s="152" t="s">
        <v>1652</v>
      </c>
      <c r="E389" s="153">
        <v>6</v>
      </c>
      <c r="H389" s="328">
        <f t="shared" si="10"/>
        <v>1.3453200000000001</v>
      </c>
      <c r="I389" s="328">
        <f t="shared" si="11"/>
        <v>0.70907999999999993</v>
      </c>
    </row>
    <row r="390" spans="2:9" x14ac:dyDescent="0.35">
      <c r="B390" s="134" t="s">
        <v>1653</v>
      </c>
      <c r="C390" s="151" t="s">
        <v>1654</v>
      </c>
      <c r="D390" s="152" t="s">
        <v>1655</v>
      </c>
      <c r="E390" s="153">
        <v>6</v>
      </c>
      <c r="H390" s="328">
        <f t="shared" si="10"/>
        <v>1.3453200000000001</v>
      </c>
      <c r="I390" s="328">
        <f t="shared" si="11"/>
        <v>0.70907999999999993</v>
      </c>
    </row>
    <row r="391" spans="2:9" x14ac:dyDescent="0.35">
      <c r="B391" s="134" t="s">
        <v>1656</v>
      </c>
      <c r="C391" s="313" t="s">
        <v>1657</v>
      </c>
      <c r="D391" s="152" t="s">
        <v>1658</v>
      </c>
      <c r="E391" s="153">
        <v>13</v>
      </c>
      <c r="H391" s="328">
        <f t="shared" si="10"/>
        <v>2.91486</v>
      </c>
      <c r="I391" s="328">
        <f t="shared" si="11"/>
        <v>1.5363399999999998</v>
      </c>
    </row>
    <row r="392" spans="2:9" x14ac:dyDescent="0.35">
      <c r="B392" s="156" t="s">
        <v>1659</v>
      </c>
      <c r="C392" s="151" t="s">
        <v>1660</v>
      </c>
      <c r="D392" s="152" t="s">
        <v>1661</v>
      </c>
      <c r="E392" s="153">
        <v>16</v>
      </c>
      <c r="H392" s="328">
        <f t="shared" ref="H392:H451" si="12">E392*$H$3</f>
        <v>3.58752</v>
      </c>
      <c r="I392" s="328">
        <f t="shared" ref="I392:I451" si="13">E392*$I$3</f>
        <v>1.8908799999999999</v>
      </c>
    </row>
    <row r="393" spans="2:9" x14ac:dyDescent="0.35">
      <c r="B393" s="134" t="s">
        <v>1662</v>
      </c>
      <c r="C393" s="151" t="s">
        <v>1663</v>
      </c>
      <c r="D393" s="152" t="s">
        <v>1664</v>
      </c>
      <c r="E393" s="153">
        <v>6</v>
      </c>
      <c r="H393" s="328">
        <f t="shared" si="12"/>
        <v>1.3453200000000001</v>
      </c>
      <c r="I393" s="328">
        <f t="shared" si="13"/>
        <v>0.70907999999999993</v>
      </c>
    </row>
    <row r="394" spans="2:9" x14ac:dyDescent="0.35">
      <c r="H394" s="328">
        <f t="shared" si="12"/>
        <v>0</v>
      </c>
      <c r="I394" s="328">
        <f t="shared" si="13"/>
        <v>0</v>
      </c>
    </row>
    <row r="395" spans="2:9" x14ac:dyDescent="0.35">
      <c r="B395" s="21" t="s">
        <v>1665</v>
      </c>
      <c r="H395" s="328">
        <f t="shared" si="12"/>
        <v>0</v>
      </c>
      <c r="I395" s="328">
        <f t="shared" si="13"/>
        <v>0</v>
      </c>
    </row>
    <row r="396" spans="2:9" x14ac:dyDescent="0.35">
      <c r="B396" s="205" t="s">
        <v>1666</v>
      </c>
      <c r="C396" s="151" t="s">
        <v>1660</v>
      </c>
      <c r="D396" s="152" t="s">
        <v>1667</v>
      </c>
      <c r="E396" s="153">
        <v>6</v>
      </c>
      <c r="H396" s="328">
        <f t="shared" si="12"/>
        <v>1.3453200000000001</v>
      </c>
      <c r="I396" s="328">
        <f t="shared" si="13"/>
        <v>0.70907999999999993</v>
      </c>
    </row>
    <row r="397" spans="2:9" x14ac:dyDescent="0.35">
      <c r="B397" s="205" t="s">
        <v>1668</v>
      </c>
      <c r="C397" s="151" t="s">
        <v>1660</v>
      </c>
      <c r="D397" s="152" t="s">
        <v>1669</v>
      </c>
      <c r="E397" s="153">
        <v>6</v>
      </c>
      <c r="H397" s="328">
        <f t="shared" si="12"/>
        <v>1.3453200000000001</v>
      </c>
      <c r="I397" s="328">
        <f t="shared" si="13"/>
        <v>0.70907999999999993</v>
      </c>
    </row>
    <row r="398" spans="2:9" x14ac:dyDescent="0.35">
      <c r="B398" s="205" t="s">
        <v>1670</v>
      </c>
      <c r="C398" s="151" t="s">
        <v>1660</v>
      </c>
      <c r="D398" s="152" t="s">
        <v>1671</v>
      </c>
      <c r="E398" s="153">
        <v>6</v>
      </c>
      <c r="H398" s="328">
        <f t="shared" si="12"/>
        <v>1.3453200000000001</v>
      </c>
      <c r="I398" s="328">
        <f t="shared" si="13"/>
        <v>0.70907999999999993</v>
      </c>
    </row>
    <row r="399" spans="2:9" x14ac:dyDescent="0.35">
      <c r="B399" s="205" t="s">
        <v>1672</v>
      </c>
      <c r="C399" s="151" t="s">
        <v>1660</v>
      </c>
      <c r="D399" s="152" t="s">
        <v>1673</v>
      </c>
      <c r="E399" s="153">
        <v>26</v>
      </c>
      <c r="H399" s="328">
        <f t="shared" si="12"/>
        <v>5.82972</v>
      </c>
      <c r="I399" s="328">
        <f t="shared" si="13"/>
        <v>3.0726799999999996</v>
      </c>
    </row>
    <row r="400" spans="2:9" x14ac:dyDescent="0.35">
      <c r="B400" s="205" t="s">
        <v>1674</v>
      </c>
      <c r="C400" s="151" t="s">
        <v>1660</v>
      </c>
      <c r="D400" s="152" t="s">
        <v>1675</v>
      </c>
      <c r="E400" s="153">
        <v>0</v>
      </c>
      <c r="H400" s="328">
        <f t="shared" si="12"/>
        <v>0</v>
      </c>
      <c r="I400" s="328">
        <f t="shared" si="13"/>
        <v>0</v>
      </c>
    </row>
    <row r="401" spans="2:9" x14ac:dyDescent="0.35">
      <c r="B401" s="205" t="s">
        <v>1676</v>
      </c>
      <c r="C401" s="151" t="s">
        <v>1660</v>
      </c>
      <c r="D401" s="152" t="s">
        <v>1677</v>
      </c>
      <c r="E401" s="153">
        <v>4</v>
      </c>
      <c r="H401" s="328">
        <f t="shared" si="12"/>
        <v>0.89688000000000001</v>
      </c>
      <c r="I401" s="328">
        <f t="shared" si="13"/>
        <v>0.47271999999999997</v>
      </c>
    </row>
    <row r="402" spans="2:9" x14ac:dyDescent="0.35">
      <c r="H402" s="328">
        <f t="shared" si="12"/>
        <v>0</v>
      </c>
      <c r="I402" s="328">
        <f t="shared" si="13"/>
        <v>0</v>
      </c>
    </row>
    <row r="403" spans="2:9" x14ac:dyDescent="0.35">
      <c r="B403" s="17" t="s">
        <v>1678</v>
      </c>
      <c r="H403" s="328">
        <f t="shared" si="12"/>
        <v>0</v>
      </c>
      <c r="I403" s="328">
        <f t="shared" si="13"/>
        <v>0</v>
      </c>
    </row>
    <row r="404" spans="2:9" x14ac:dyDescent="0.35">
      <c r="B404" s="27" t="s">
        <v>1679</v>
      </c>
      <c r="H404" s="328">
        <f t="shared" si="12"/>
        <v>0</v>
      </c>
      <c r="I404" s="328">
        <f t="shared" si="13"/>
        <v>0</v>
      </c>
    </row>
    <row r="405" spans="2:9" x14ac:dyDescent="0.35">
      <c r="B405" s="142" t="s">
        <v>1680</v>
      </c>
      <c r="C405" s="143"/>
      <c r="D405" s="144" t="s">
        <v>1681</v>
      </c>
      <c r="E405" s="312">
        <v>72</v>
      </c>
      <c r="H405" s="328">
        <f t="shared" si="12"/>
        <v>16.143840000000001</v>
      </c>
      <c r="I405" s="328">
        <f t="shared" si="13"/>
        <v>8.5089600000000001</v>
      </c>
    </row>
    <row r="406" spans="2:9" x14ac:dyDescent="0.35">
      <c r="B406" s="142" t="s">
        <v>1682</v>
      </c>
      <c r="C406" s="143"/>
      <c r="D406" s="144" t="s">
        <v>1683</v>
      </c>
      <c r="E406" s="312">
        <v>27</v>
      </c>
      <c r="H406" s="328">
        <f t="shared" si="12"/>
        <v>6.0539399999999999</v>
      </c>
      <c r="I406" s="328">
        <f t="shared" si="13"/>
        <v>3.1908599999999998</v>
      </c>
    </row>
    <row r="407" spans="2:9" x14ac:dyDescent="0.35">
      <c r="B407" s="142" t="s">
        <v>1684</v>
      </c>
      <c r="C407" s="143"/>
      <c r="D407" s="144" t="s">
        <v>1685</v>
      </c>
      <c r="E407" s="312">
        <v>50</v>
      </c>
      <c r="H407" s="328">
        <f t="shared" si="12"/>
        <v>11.211</v>
      </c>
      <c r="I407" s="328">
        <f t="shared" si="13"/>
        <v>5.9089999999999998</v>
      </c>
    </row>
    <row r="408" spans="2:9" x14ac:dyDescent="0.35">
      <c r="B408" s="142" t="s">
        <v>1686</v>
      </c>
      <c r="C408" s="143"/>
      <c r="D408" s="144" t="s">
        <v>1687</v>
      </c>
      <c r="E408" s="312">
        <v>18</v>
      </c>
      <c r="H408" s="328">
        <f t="shared" si="12"/>
        <v>4.0359600000000002</v>
      </c>
      <c r="I408" s="328">
        <f t="shared" si="13"/>
        <v>2.12724</v>
      </c>
    </row>
    <row r="409" spans="2:9" x14ac:dyDescent="0.35">
      <c r="B409" s="27" t="s">
        <v>1688</v>
      </c>
      <c r="H409" s="328">
        <f t="shared" si="12"/>
        <v>0</v>
      </c>
      <c r="I409" s="328">
        <f t="shared" si="13"/>
        <v>0</v>
      </c>
    </row>
    <row r="410" spans="2:9" x14ac:dyDescent="0.35">
      <c r="B410" s="142" t="s">
        <v>1689</v>
      </c>
      <c r="C410" s="143"/>
      <c r="D410" s="144" t="s">
        <v>1690</v>
      </c>
      <c r="E410" s="312">
        <v>94</v>
      </c>
      <c r="H410" s="328">
        <f t="shared" si="12"/>
        <v>21.07668</v>
      </c>
      <c r="I410" s="328">
        <f t="shared" si="13"/>
        <v>11.108919999999999</v>
      </c>
    </row>
    <row r="411" spans="2:9" x14ac:dyDescent="0.35">
      <c r="B411" s="142" t="s">
        <v>1691</v>
      </c>
      <c r="C411" s="143"/>
      <c r="D411" s="144" t="s">
        <v>1692</v>
      </c>
      <c r="E411" s="312">
        <v>76</v>
      </c>
      <c r="H411" s="328">
        <f t="shared" si="12"/>
        <v>17.04072</v>
      </c>
      <c r="I411" s="328">
        <f t="shared" si="13"/>
        <v>8.981679999999999</v>
      </c>
    </row>
    <row r="412" spans="2:9" x14ac:dyDescent="0.35">
      <c r="B412" s="142" t="s">
        <v>1693</v>
      </c>
      <c r="C412" s="143"/>
      <c r="D412" s="144" t="s">
        <v>1694</v>
      </c>
      <c r="E412" s="312">
        <v>48</v>
      </c>
      <c r="H412" s="328">
        <f t="shared" si="12"/>
        <v>10.762560000000001</v>
      </c>
      <c r="I412" s="328">
        <f t="shared" si="13"/>
        <v>5.6726399999999995</v>
      </c>
    </row>
    <row r="413" spans="2:9" x14ac:dyDescent="0.35">
      <c r="B413" s="142" t="s">
        <v>1695</v>
      </c>
      <c r="C413" s="143"/>
      <c r="D413" s="144" t="s">
        <v>1696</v>
      </c>
      <c r="E413" s="312">
        <v>27</v>
      </c>
      <c r="H413" s="328">
        <f t="shared" si="12"/>
        <v>6.0539399999999999</v>
      </c>
      <c r="I413" s="328">
        <f t="shared" si="13"/>
        <v>3.1908599999999998</v>
      </c>
    </row>
    <row r="414" spans="2:9" x14ac:dyDescent="0.35">
      <c r="B414" s="6"/>
      <c r="C414" s="39"/>
      <c r="H414" s="328">
        <f t="shared" si="12"/>
        <v>0</v>
      </c>
      <c r="I414" s="328">
        <f t="shared" si="13"/>
        <v>0</v>
      </c>
    </row>
    <row r="415" spans="2:9" x14ac:dyDescent="0.35">
      <c r="B415" s="17" t="s">
        <v>1697</v>
      </c>
      <c r="C415" s="39"/>
      <c r="H415" s="328">
        <f t="shared" si="12"/>
        <v>0</v>
      </c>
      <c r="I415" s="328">
        <f t="shared" si="13"/>
        <v>0</v>
      </c>
    </row>
    <row r="416" spans="2:9" x14ac:dyDescent="0.35">
      <c r="B416" s="142" t="s">
        <v>1698</v>
      </c>
      <c r="C416" s="143"/>
      <c r="D416" s="144" t="s">
        <v>1699</v>
      </c>
      <c r="E416" s="300">
        <v>21</v>
      </c>
      <c r="H416" s="328">
        <f t="shared" si="12"/>
        <v>4.7086199999999998</v>
      </c>
      <c r="I416" s="328">
        <f t="shared" si="13"/>
        <v>2.4817799999999997</v>
      </c>
    </row>
    <row r="417" spans="2:9" x14ac:dyDescent="0.35">
      <c r="B417" s="142" t="s">
        <v>1700</v>
      </c>
      <c r="C417" s="143"/>
      <c r="D417" s="144" t="s">
        <v>1701</v>
      </c>
      <c r="E417" s="300">
        <v>13</v>
      </c>
      <c r="H417" s="328">
        <f t="shared" si="12"/>
        <v>2.91486</v>
      </c>
      <c r="I417" s="328">
        <f t="shared" si="13"/>
        <v>1.5363399999999998</v>
      </c>
    </row>
    <row r="418" spans="2:9" x14ac:dyDescent="0.35">
      <c r="B418" s="142" t="s">
        <v>1702</v>
      </c>
      <c r="C418" s="143"/>
      <c r="D418" s="144" t="s">
        <v>1703</v>
      </c>
      <c r="E418" s="300">
        <v>15</v>
      </c>
      <c r="H418" s="328">
        <f t="shared" si="12"/>
        <v>3.3633000000000002</v>
      </c>
      <c r="I418" s="328">
        <f t="shared" si="13"/>
        <v>1.7726999999999999</v>
      </c>
    </row>
    <row r="419" spans="2:9" x14ac:dyDescent="0.35">
      <c r="B419" s="142" t="s">
        <v>1704</v>
      </c>
      <c r="C419" s="143"/>
      <c r="D419" s="144" t="s">
        <v>1705</v>
      </c>
      <c r="E419" s="300">
        <v>18</v>
      </c>
      <c r="H419" s="328">
        <f t="shared" si="12"/>
        <v>4.0359600000000002</v>
      </c>
      <c r="I419" s="328">
        <f t="shared" si="13"/>
        <v>2.12724</v>
      </c>
    </row>
    <row r="420" spans="2:9" x14ac:dyDescent="0.35">
      <c r="B420" s="142" t="s">
        <v>1706</v>
      </c>
      <c r="C420" s="143"/>
      <c r="D420" s="144" t="s">
        <v>1707</v>
      </c>
      <c r="E420" s="300">
        <v>30</v>
      </c>
      <c r="H420" s="328">
        <f t="shared" si="12"/>
        <v>6.7266000000000004</v>
      </c>
      <c r="I420" s="328">
        <f t="shared" si="13"/>
        <v>3.5453999999999999</v>
      </c>
    </row>
    <row r="421" spans="2:9" x14ac:dyDescent="0.35">
      <c r="B421" s="142" t="s">
        <v>1708</v>
      </c>
      <c r="C421" s="143"/>
      <c r="D421" s="144" t="s">
        <v>1709</v>
      </c>
      <c r="E421" s="300">
        <v>18</v>
      </c>
      <c r="H421" s="328">
        <f t="shared" si="12"/>
        <v>4.0359600000000002</v>
      </c>
      <c r="I421" s="328">
        <f t="shared" si="13"/>
        <v>2.12724</v>
      </c>
    </row>
    <row r="422" spans="2:9" x14ac:dyDescent="0.35">
      <c r="B422" s="142" t="s">
        <v>1710</v>
      </c>
      <c r="C422" s="143"/>
      <c r="D422" s="144" t="s">
        <v>1711</v>
      </c>
      <c r="E422" s="300">
        <v>21</v>
      </c>
      <c r="H422" s="328">
        <f t="shared" si="12"/>
        <v>4.7086199999999998</v>
      </c>
      <c r="I422" s="328">
        <f t="shared" si="13"/>
        <v>2.4817799999999997</v>
      </c>
    </row>
    <row r="423" spans="2:9" x14ac:dyDescent="0.35">
      <c r="H423" s="328">
        <f t="shared" si="12"/>
        <v>0</v>
      </c>
      <c r="I423" s="328">
        <f t="shared" si="13"/>
        <v>0</v>
      </c>
    </row>
    <row r="424" spans="2:9" x14ac:dyDescent="0.35">
      <c r="B424" s="17" t="s">
        <v>1712</v>
      </c>
      <c r="H424" s="328">
        <f t="shared" si="12"/>
        <v>0</v>
      </c>
      <c r="I424" s="328">
        <f t="shared" si="13"/>
        <v>0</v>
      </c>
    </row>
    <row r="425" spans="2:9" x14ac:dyDescent="0.35">
      <c r="B425" s="142" t="s">
        <v>1713</v>
      </c>
      <c r="C425" s="143"/>
      <c r="D425" s="144" t="s">
        <v>1714</v>
      </c>
      <c r="E425" s="300">
        <v>4</v>
      </c>
      <c r="H425" s="328">
        <f t="shared" si="12"/>
        <v>0.89688000000000001</v>
      </c>
      <c r="I425" s="328">
        <f t="shared" si="13"/>
        <v>0.47271999999999997</v>
      </c>
    </row>
    <row r="426" spans="2:9" x14ac:dyDescent="0.35">
      <c r="B426" s="142" t="s">
        <v>1715</v>
      </c>
      <c r="C426" s="143"/>
      <c r="D426" s="144" t="s">
        <v>1716</v>
      </c>
      <c r="E426" s="300">
        <v>0</v>
      </c>
      <c r="H426" s="328">
        <f t="shared" si="12"/>
        <v>0</v>
      </c>
      <c r="I426" s="328">
        <f t="shared" si="13"/>
        <v>0</v>
      </c>
    </row>
    <row r="427" spans="2:9" x14ac:dyDescent="0.35">
      <c r="H427" s="328">
        <f t="shared" si="12"/>
        <v>0</v>
      </c>
      <c r="I427" s="328">
        <f t="shared" si="13"/>
        <v>0</v>
      </c>
    </row>
    <row r="428" spans="2:9" x14ac:dyDescent="0.35">
      <c r="B428" s="17" t="s">
        <v>1717</v>
      </c>
      <c r="H428" s="328">
        <f t="shared" si="12"/>
        <v>0</v>
      </c>
      <c r="I428" s="328">
        <f t="shared" si="13"/>
        <v>0</v>
      </c>
    </row>
    <row r="429" spans="2:9" x14ac:dyDescent="0.35">
      <c r="B429" s="27" t="s">
        <v>1718</v>
      </c>
      <c r="H429" s="328">
        <f t="shared" si="12"/>
        <v>0</v>
      </c>
      <c r="I429" s="328">
        <f t="shared" si="13"/>
        <v>0</v>
      </c>
    </row>
    <row r="430" spans="2:9" x14ac:dyDescent="0.35">
      <c r="B430" s="142" t="s">
        <v>1719</v>
      </c>
      <c r="C430" s="143"/>
      <c r="D430" s="144" t="s">
        <v>1720</v>
      </c>
      <c r="E430" s="300">
        <v>9</v>
      </c>
      <c r="H430" s="328">
        <f t="shared" si="12"/>
        <v>2.0179800000000001</v>
      </c>
      <c r="I430" s="328">
        <f t="shared" si="13"/>
        <v>1.06362</v>
      </c>
    </row>
    <row r="431" spans="2:9" x14ac:dyDescent="0.35">
      <c r="B431" s="142" t="s">
        <v>1721</v>
      </c>
      <c r="C431" s="143"/>
      <c r="D431" s="144" t="s">
        <v>1722</v>
      </c>
      <c r="E431" s="300">
        <v>65</v>
      </c>
      <c r="H431" s="328">
        <f t="shared" si="12"/>
        <v>14.574300000000001</v>
      </c>
      <c r="I431" s="328">
        <f t="shared" si="13"/>
        <v>7.6816999999999993</v>
      </c>
    </row>
    <row r="432" spans="2:9" x14ac:dyDescent="0.35">
      <c r="B432" s="142" t="s">
        <v>1723</v>
      </c>
      <c r="C432" s="143"/>
      <c r="D432" s="144" t="s">
        <v>1724</v>
      </c>
      <c r="E432" s="300">
        <v>124</v>
      </c>
      <c r="H432" s="328">
        <f t="shared" si="12"/>
        <v>27.803280000000001</v>
      </c>
      <c r="I432" s="328">
        <f t="shared" si="13"/>
        <v>14.654319999999998</v>
      </c>
    </row>
    <row r="433" spans="2:9" x14ac:dyDescent="0.35">
      <c r="B433" s="46" t="s">
        <v>542</v>
      </c>
      <c r="C433" s="45"/>
      <c r="D433" s="45"/>
      <c r="H433" s="328">
        <f t="shared" si="12"/>
        <v>0</v>
      </c>
      <c r="I433" s="328">
        <f t="shared" si="13"/>
        <v>0</v>
      </c>
    </row>
    <row r="434" spans="2:9" x14ac:dyDescent="0.35">
      <c r="B434" s="142" t="s">
        <v>1725</v>
      </c>
      <c r="C434" s="143"/>
      <c r="D434" s="144" t="s">
        <v>1726</v>
      </c>
      <c r="E434" s="300">
        <v>7</v>
      </c>
      <c r="H434" s="328">
        <f t="shared" si="12"/>
        <v>1.5695399999999999</v>
      </c>
      <c r="I434" s="328">
        <f t="shared" si="13"/>
        <v>0.82726</v>
      </c>
    </row>
    <row r="435" spans="2:9" x14ac:dyDescent="0.35">
      <c r="B435" s="27" t="s">
        <v>1727</v>
      </c>
      <c r="H435" s="328">
        <f t="shared" si="12"/>
        <v>0</v>
      </c>
      <c r="I435" s="328">
        <f t="shared" si="13"/>
        <v>0</v>
      </c>
    </row>
    <row r="436" spans="2:9" x14ac:dyDescent="0.35">
      <c r="B436" s="142" t="s">
        <v>1728</v>
      </c>
      <c r="C436" s="143"/>
      <c r="D436" s="144" t="s">
        <v>1729</v>
      </c>
      <c r="E436" s="300">
        <v>300</v>
      </c>
      <c r="H436" s="328">
        <f t="shared" si="12"/>
        <v>67.266000000000005</v>
      </c>
      <c r="I436" s="328">
        <f t="shared" si="13"/>
        <v>35.454000000000001</v>
      </c>
    </row>
    <row r="437" spans="2:9" x14ac:dyDescent="0.35">
      <c r="B437" s="142" t="s">
        <v>1730</v>
      </c>
      <c r="C437" s="143"/>
      <c r="D437" s="144" t="s">
        <v>1731</v>
      </c>
      <c r="E437" s="300">
        <v>403</v>
      </c>
      <c r="H437" s="328">
        <f t="shared" si="12"/>
        <v>90.360659999999996</v>
      </c>
      <c r="I437" s="328">
        <f t="shared" si="13"/>
        <v>47.626539999999999</v>
      </c>
    </row>
    <row r="438" spans="2:9" x14ac:dyDescent="0.35">
      <c r="B438" s="142" t="s">
        <v>1732</v>
      </c>
      <c r="C438" s="143"/>
      <c r="D438" s="144" t="s">
        <v>1733</v>
      </c>
      <c r="E438" s="300">
        <v>1128</v>
      </c>
      <c r="H438" s="328">
        <f t="shared" si="12"/>
        <v>252.92016000000001</v>
      </c>
      <c r="I438" s="328">
        <f t="shared" si="13"/>
        <v>133.30704</v>
      </c>
    </row>
    <row r="439" spans="2:9" x14ac:dyDescent="0.35">
      <c r="B439" s="142" t="s">
        <v>1734</v>
      </c>
      <c r="C439" s="143"/>
      <c r="D439" s="144" t="s">
        <v>1735</v>
      </c>
      <c r="E439" s="300">
        <v>269</v>
      </c>
      <c r="H439" s="328">
        <f t="shared" si="12"/>
        <v>60.315179999999998</v>
      </c>
      <c r="I439" s="328">
        <f t="shared" si="13"/>
        <v>31.790419999999997</v>
      </c>
    </row>
    <row r="440" spans="2:9" x14ac:dyDescent="0.35">
      <c r="B440" s="27" t="s">
        <v>1736</v>
      </c>
      <c r="H440" s="328">
        <f t="shared" si="12"/>
        <v>0</v>
      </c>
      <c r="I440" s="328">
        <f t="shared" si="13"/>
        <v>0</v>
      </c>
    </row>
    <row r="441" spans="2:9" x14ac:dyDescent="0.35">
      <c r="B441" s="142" t="s">
        <v>1737</v>
      </c>
      <c r="C441" s="143"/>
      <c r="D441" s="144" t="s">
        <v>1738</v>
      </c>
      <c r="E441" s="300">
        <v>0</v>
      </c>
      <c r="H441" s="328">
        <f t="shared" si="12"/>
        <v>0</v>
      </c>
      <c r="I441" s="328">
        <f t="shared" si="13"/>
        <v>0</v>
      </c>
    </row>
    <row r="442" spans="2:9" x14ac:dyDescent="0.35">
      <c r="B442" s="142" t="s">
        <v>1739</v>
      </c>
      <c r="C442" s="143"/>
      <c r="D442" s="144" t="s">
        <v>1740</v>
      </c>
      <c r="E442" s="300">
        <v>15</v>
      </c>
      <c r="H442" s="328">
        <f t="shared" si="12"/>
        <v>3.3633000000000002</v>
      </c>
      <c r="I442" s="328">
        <f t="shared" si="13"/>
        <v>1.7726999999999999</v>
      </c>
    </row>
    <row r="443" spans="2:9" x14ac:dyDescent="0.35">
      <c r="B443" s="142" t="s">
        <v>1741</v>
      </c>
      <c r="C443" s="143"/>
      <c r="D443" s="144" t="s">
        <v>1742</v>
      </c>
      <c r="E443" s="300">
        <v>34</v>
      </c>
      <c r="H443" s="328">
        <f t="shared" si="12"/>
        <v>7.6234799999999998</v>
      </c>
      <c r="I443" s="328">
        <f t="shared" si="13"/>
        <v>4.0181199999999997</v>
      </c>
    </row>
    <row r="444" spans="2:9" x14ac:dyDescent="0.35">
      <c r="B444" s="33" t="s">
        <v>192</v>
      </c>
      <c r="H444" s="328">
        <f t="shared" si="12"/>
        <v>0</v>
      </c>
      <c r="I444" s="328">
        <f t="shared" si="13"/>
        <v>0</v>
      </c>
    </row>
    <row r="445" spans="2:9" ht="15.5" x14ac:dyDescent="0.35">
      <c r="B445" s="47" t="s">
        <v>1743</v>
      </c>
      <c r="C445" s="48"/>
      <c r="D445" s="49"/>
      <c r="E445" s="50"/>
      <c r="H445" s="328">
        <f t="shared" si="12"/>
        <v>0</v>
      </c>
      <c r="I445" s="328">
        <f t="shared" si="13"/>
        <v>0</v>
      </c>
    </row>
    <row r="446" spans="2:9" x14ac:dyDescent="0.35">
      <c r="B446" s="134" t="s">
        <v>1744</v>
      </c>
      <c r="C446" s="151" t="s">
        <v>1745</v>
      </c>
      <c r="D446" s="152" t="s">
        <v>1746</v>
      </c>
      <c r="E446" s="153">
        <v>135</v>
      </c>
      <c r="H446" s="328">
        <f t="shared" si="12"/>
        <v>30.2697</v>
      </c>
      <c r="I446" s="328">
        <f t="shared" si="13"/>
        <v>15.9543</v>
      </c>
    </row>
    <row r="447" spans="2:9" x14ac:dyDescent="0.35">
      <c r="B447" s="134" t="s">
        <v>1747</v>
      </c>
      <c r="C447" s="151" t="s">
        <v>1745</v>
      </c>
      <c r="D447" s="152" t="s">
        <v>1748</v>
      </c>
      <c r="E447" s="153">
        <v>151</v>
      </c>
      <c r="H447" s="328">
        <f t="shared" si="12"/>
        <v>33.857219999999998</v>
      </c>
      <c r="I447" s="328">
        <f t="shared" si="13"/>
        <v>17.845179999999999</v>
      </c>
    </row>
    <row r="448" spans="2:9" x14ac:dyDescent="0.35">
      <c r="B448" s="134" t="s">
        <v>1749</v>
      </c>
      <c r="C448" s="151" t="s">
        <v>1745</v>
      </c>
      <c r="D448" s="152" t="s">
        <v>1750</v>
      </c>
      <c r="E448" s="153">
        <v>237</v>
      </c>
      <c r="H448" s="328">
        <f t="shared" si="12"/>
        <v>53.140140000000002</v>
      </c>
      <c r="I448" s="328">
        <f t="shared" si="13"/>
        <v>28.008659999999999</v>
      </c>
    </row>
    <row r="449" spans="2:9" x14ac:dyDescent="0.35">
      <c r="B449" s="134" t="s">
        <v>1751</v>
      </c>
      <c r="C449" s="151" t="s">
        <v>1752</v>
      </c>
      <c r="D449" s="152" t="s">
        <v>1753</v>
      </c>
      <c r="E449" s="153">
        <v>110</v>
      </c>
      <c r="H449" s="328">
        <f t="shared" si="12"/>
        <v>24.664200000000001</v>
      </c>
      <c r="I449" s="328">
        <f t="shared" si="13"/>
        <v>12.999799999999999</v>
      </c>
    </row>
    <row r="450" spans="2:9" x14ac:dyDescent="0.35">
      <c r="B450" s="134" t="s">
        <v>1754</v>
      </c>
      <c r="C450" s="151" t="s">
        <v>1755</v>
      </c>
      <c r="D450" s="152" t="s">
        <v>1756</v>
      </c>
      <c r="E450" s="153">
        <v>126</v>
      </c>
      <c r="H450" s="328">
        <f t="shared" si="12"/>
        <v>28.251719999999999</v>
      </c>
      <c r="I450" s="328">
        <f t="shared" si="13"/>
        <v>14.89068</v>
      </c>
    </row>
    <row r="451" spans="2:9" x14ac:dyDescent="0.35">
      <c r="B451" s="134" t="s">
        <v>1757</v>
      </c>
      <c r="C451" s="151" t="s">
        <v>1758</v>
      </c>
      <c r="D451" s="152" t="s">
        <v>1759</v>
      </c>
      <c r="E451" s="153">
        <v>212</v>
      </c>
      <c r="H451" s="328">
        <f t="shared" si="12"/>
        <v>47.534640000000003</v>
      </c>
      <c r="I451" s="328">
        <f t="shared" si="13"/>
        <v>25.05416</v>
      </c>
    </row>
  </sheetData>
  <mergeCells count="2">
    <mergeCell ref="B2:E2"/>
    <mergeCell ref="B3:D3"/>
  </mergeCells>
  <conditionalFormatting sqref="D285:D1048576 D1:D12 D14 D16:D26 D260:D283 D102:D255 D28:D98">
    <cfRule type="duplicateValues" dxfId="41" priority="9"/>
  </conditionalFormatting>
  <conditionalFormatting sqref="D256:D259">
    <cfRule type="duplicateValues" dxfId="40" priority="8"/>
  </conditionalFormatting>
  <conditionalFormatting sqref="D13">
    <cfRule type="duplicateValues" dxfId="39" priority="7"/>
  </conditionalFormatting>
  <conditionalFormatting sqref="D15">
    <cfRule type="duplicateValues" dxfId="38" priority="6"/>
  </conditionalFormatting>
  <conditionalFormatting sqref="D99:D101">
    <cfRule type="duplicateValues" dxfId="37" priority="5"/>
  </conditionalFormatting>
  <conditionalFormatting sqref="D27">
    <cfRule type="duplicateValues" dxfId="36" priority="4"/>
  </conditionalFormatting>
  <conditionalFormatting sqref="D284">
    <cfRule type="duplicateValues" dxfId="35" priority="3"/>
  </conditionalFormatting>
  <conditionalFormatting sqref="H7:I451">
    <cfRule type="cellIs" dxfId="34" priority="1" operator="greaterThan">
      <formula>0</formula>
    </cfRule>
    <cfRule type="cellIs" dxfId="33" priority="2" operator="equal">
      <formula>0</formula>
    </cfRule>
  </conditionalFormatting>
  <pageMargins left="0.7" right="0.7" top="0.75" bottom="0.75" header="0.3" footer="0.3"/>
  <pageSetup paperSize="9" orientation="portrait" r:id="rId1"/>
  <headerFooter>
    <oddFooter>&amp;L&amp;1#&amp;"Calibri"&amp;7&amp;K7F7F7FInternal Use - 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58"/>
  <sheetViews>
    <sheetView zoomScale="80" zoomScaleNormal="80" workbookViewId="0">
      <selection activeCell="N13" sqref="N13"/>
    </sheetView>
  </sheetViews>
  <sheetFormatPr baseColWidth="10" defaultColWidth="8.7265625" defaultRowHeight="14.5" x14ac:dyDescent="0.35"/>
  <cols>
    <col min="2" max="2" width="169.453125" customWidth="1"/>
    <col min="3" max="3" width="22.26953125" bestFit="1" customWidth="1"/>
    <col min="4" max="4" width="16" bestFit="1" customWidth="1"/>
    <col min="5" max="5" width="19.81640625" bestFit="1" customWidth="1"/>
  </cols>
  <sheetData>
    <row r="1" spans="2:5" ht="69.75" customHeight="1" x14ac:dyDescent="0.35"/>
    <row r="2" spans="2:5" ht="21" x14ac:dyDescent="0.35">
      <c r="B2" s="334"/>
      <c r="C2" s="334"/>
      <c r="D2" s="334"/>
      <c r="E2" s="34"/>
    </row>
    <row r="3" spans="2:5" ht="21" x14ac:dyDescent="0.35">
      <c r="B3" s="358" t="s">
        <v>80</v>
      </c>
      <c r="C3" s="358"/>
      <c r="D3" s="358"/>
      <c r="E3" s="358"/>
    </row>
    <row r="4" spans="2:5" ht="21.5" thickBot="1" x14ac:dyDescent="0.4">
      <c r="B4" s="363" t="s">
        <v>1760</v>
      </c>
      <c r="C4" s="364"/>
      <c r="D4" s="364"/>
      <c r="E4" s="145"/>
    </row>
    <row r="5" spans="2:5" ht="25" x14ac:dyDescent="0.35">
      <c r="B5" s="139" t="s">
        <v>82</v>
      </c>
      <c r="C5" s="140" t="s">
        <v>83</v>
      </c>
      <c r="D5" s="141" t="s">
        <v>84</v>
      </c>
      <c r="E5" s="208" t="s">
        <v>85</v>
      </c>
    </row>
    <row r="6" spans="2:5" ht="15.5" x14ac:dyDescent="0.35">
      <c r="B6" s="146" t="s">
        <v>1761</v>
      </c>
      <c r="C6" s="146"/>
      <c r="D6" s="146"/>
      <c r="E6" s="146"/>
    </row>
    <row r="7" spans="2:5" x14ac:dyDescent="0.35">
      <c r="B7" s="17" t="s">
        <v>1762</v>
      </c>
    </row>
    <row r="8" spans="2:5" x14ac:dyDescent="0.35">
      <c r="B8" s="27" t="s">
        <v>1763</v>
      </c>
    </row>
    <row r="9" spans="2:5" x14ac:dyDescent="0.35">
      <c r="B9" s="142" t="s">
        <v>1764</v>
      </c>
      <c r="C9" s="143" t="s">
        <v>1765</v>
      </c>
      <c r="D9" s="144" t="s">
        <v>1766</v>
      </c>
      <c r="E9" s="147">
        <v>34</v>
      </c>
    </row>
    <row r="10" spans="2:5" x14ac:dyDescent="0.35">
      <c r="E10" s="51"/>
    </row>
    <row r="11" spans="2:5" x14ac:dyDescent="0.35">
      <c r="B11" s="17" t="s">
        <v>1767</v>
      </c>
      <c r="E11" s="51"/>
    </row>
    <row r="12" spans="2:5" x14ac:dyDescent="0.35">
      <c r="B12" s="142" t="s">
        <v>1768</v>
      </c>
      <c r="C12" s="143"/>
      <c r="D12" s="144" t="s">
        <v>1769</v>
      </c>
      <c r="E12" s="147">
        <v>26</v>
      </c>
    </row>
    <row r="13" spans="2:5" x14ac:dyDescent="0.35">
      <c r="B13" s="142" t="s">
        <v>1770</v>
      </c>
      <c r="C13" s="143"/>
      <c r="D13" s="144" t="s">
        <v>1771</v>
      </c>
      <c r="E13" s="147">
        <v>45</v>
      </c>
    </row>
    <row r="14" spans="2:5" x14ac:dyDescent="0.35">
      <c r="E14" s="51"/>
    </row>
    <row r="15" spans="2:5" ht="15.5" x14ac:dyDescent="0.35">
      <c r="B15" s="42" t="s">
        <v>1412</v>
      </c>
      <c r="C15" s="146"/>
      <c r="D15" s="146"/>
      <c r="E15" s="148"/>
    </row>
    <row r="16" spans="2:5" x14ac:dyDescent="0.35">
      <c r="B16" s="17" t="s">
        <v>1772</v>
      </c>
      <c r="C16" s="19"/>
      <c r="D16" s="20"/>
      <c r="E16" s="29"/>
    </row>
    <row r="17" spans="2:5" x14ac:dyDescent="0.35">
      <c r="B17" s="142" t="s">
        <v>1773</v>
      </c>
      <c r="C17" s="143" t="s">
        <v>1774</v>
      </c>
      <c r="D17" s="144" t="s">
        <v>1775</v>
      </c>
      <c r="E17" s="147">
        <v>59</v>
      </c>
    </row>
    <row r="18" spans="2:5" x14ac:dyDescent="0.35">
      <c r="B18" s="142" t="s">
        <v>1776</v>
      </c>
      <c r="C18" s="143" t="s">
        <v>1777</v>
      </c>
      <c r="D18" s="144" t="s">
        <v>1778</v>
      </c>
      <c r="E18" s="147">
        <v>67</v>
      </c>
    </row>
    <row r="19" spans="2:5" x14ac:dyDescent="0.35">
      <c r="B19" s="142" t="s">
        <v>1779</v>
      </c>
      <c r="C19" s="143" t="s">
        <v>1780</v>
      </c>
      <c r="D19" s="144" t="s">
        <v>1781</v>
      </c>
      <c r="E19" s="147">
        <v>59</v>
      </c>
    </row>
    <row r="20" spans="2:5" x14ac:dyDescent="0.35">
      <c r="B20" s="142" t="s">
        <v>1782</v>
      </c>
      <c r="C20" s="143" t="s">
        <v>1783</v>
      </c>
      <c r="D20" s="144" t="s">
        <v>1784</v>
      </c>
      <c r="E20" s="147">
        <v>59</v>
      </c>
    </row>
    <row r="21" spans="2:5" x14ac:dyDescent="0.35">
      <c r="B21" s="142" t="s">
        <v>1785</v>
      </c>
      <c r="C21" s="143" t="s">
        <v>1786</v>
      </c>
      <c r="D21" s="144" t="s">
        <v>1787</v>
      </c>
      <c r="E21" s="147">
        <v>67</v>
      </c>
    </row>
    <row r="22" spans="2:5" x14ac:dyDescent="0.35">
      <c r="E22" s="51"/>
    </row>
    <row r="23" spans="2:5" x14ac:dyDescent="0.35">
      <c r="B23" s="17" t="s">
        <v>1788</v>
      </c>
      <c r="E23" s="51"/>
    </row>
    <row r="24" spans="2:5" x14ac:dyDescent="0.35">
      <c r="B24" s="142" t="s">
        <v>1789</v>
      </c>
      <c r="C24" s="143" t="s">
        <v>1790</v>
      </c>
      <c r="D24" s="144" t="s">
        <v>1791</v>
      </c>
      <c r="E24" s="147">
        <v>26</v>
      </c>
    </row>
    <row r="25" spans="2:5" x14ac:dyDescent="0.35">
      <c r="B25" s="142" t="s">
        <v>1792</v>
      </c>
      <c r="C25" s="143" t="s">
        <v>1765</v>
      </c>
      <c r="D25" s="144" t="s">
        <v>1793</v>
      </c>
      <c r="E25" s="147">
        <v>34</v>
      </c>
    </row>
    <row r="26" spans="2:5" x14ac:dyDescent="0.35">
      <c r="B26" s="142" t="s">
        <v>1794</v>
      </c>
      <c r="C26" s="143" t="s">
        <v>1795</v>
      </c>
      <c r="D26" s="144" t="s">
        <v>1796</v>
      </c>
      <c r="E26" s="147">
        <v>34</v>
      </c>
    </row>
    <row r="27" spans="2:5" x14ac:dyDescent="0.35">
      <c r="B27" s="142" t="s">
        <v>1797</v>
      </c>
      <c r="C27" s="143" t="s">
        <v>1798</v>
      </c>
      <c r="D27" s="144" t="s">
        <v>1799</v>
      </c>
      <c r="E27" s="147">
        <v>34</v>
      </c>
    </row>
    <row r="28" spans="2:5" x14ac:dyDescent="0.35">
      <c r="E28" s="51"/>
    </row>
    <row r="29" spans="2:5" x14ac:dyDescent="0.35">
      <c r="B29" s="17" t="s">
        <v>1800</v>
      </c>
      <c r="E29" s="51"/>
    </row>
    <row r="30" spans="2:5" x14ac:dyDescent="0.35">
      <c r="B30" s="142" t="s">
        <v>1801</v>
      </c>
      <c r="C30" s="143" t="s">
        <v>1802</v>
      </c>
      <c r="D30" s="144" t="s">
        <v>1803</v>
      </c>
      <c r="E30" s="147">
        <v>59</v>
      </c>
    </row>
    <row r="31" spans="2:5" x14ac:dyDescent="0.35">
      <c r="B31" s="142" t="s">
        <v>1804</v>
      </c>
      <c r="C31" s="143" t="s">
        <v>1805</v>
      </c>
      <c r="D31" s="144" t="s">
        <v>1806</v>
      </c>
      <c r="E31" s="147">
        <v>59</v>
      </c>
    </row>
    <row r="32" spans="2:5" x14ac:dyDescent="0.35">
      <c r="B32" s="142" t="s">
        <v>1807</v>
      </c>
      <c r="C32" s="143" t="s">
        <v>1808</v>
      </c>
      <c r="D32" s="144" t="s">
        <v>1809</v>
      </c>
      <c r="E32" s="147">
        <v>49</v>
      </c>
    </row>
    <row r="33" spans="2:5" x14ac:dyDescent="0.35">
      <c r="B33" s="142" t="s">
        <v>1810</v>
      </c>
      <c r="C33" s="143" t="s">
        <v>1811</v>
      </c>
      <c r="D33" s="144" t="s">
        <v>1812</v>
      </c>
      <c r="E33" s="147">
        <v>65</v>
      </c>
    </row>
    <row r="34" spans="2:5" x14ac:dyDescent="0.35">
      <c r="B34" s="142" t="s">
        <v>1813</v>
      </c>
      <c r="C34" s="143" t="s">
        <v>1780</v>
      </c>
      <c r="D34" s="144" t="s">
        <v>1814</v>
      </c>
      <c r="E34" s="147">
        <v>59</v>
      </c>
    </row>
    <row r="35" spans="2:5" x14ac:dyDescent="0.35">
      <c r="B35" s="142" t="s">
        <v>1815</v>
      </c>
      <c r="C35" s="143" t="s">
        <v>1816</v>
      </c>
      <c r="D35" s="144" t="s">
        <v>1817</v>
      </c>
      <c r="E35" s="147">
        <v>27</v>
      </c>
    </row>
    <row r="36" spans="2:5" x14ac:dyDescent="0.35">
      <c r="B36" s="142" t="s">
        <v>1818</v>
      </c>
      <c r="C36" s="143" t="s">
        <v>1819</v>
      </c>
      <c r="D36" s="144" t="s">
        <v>1820</v>
      </c>
      <c r="E36" s="147">
        <v>27</v>
      </c>
    </row>
    <row r="37" spans="2:5" x14ac:dyDescent="0.35">
      <c r="E37" s="51"/>
    </row>
    <row r="38" spans="2:5" x14ac:dyDescent="0.35">
      <c r="B38" s="17" t="s">
        <v>1821</v>
      </c>
      <c r="E38" s="51"/>
    </row>
    <row r="39" spans="2:5" x14ac:dyDescent="0.35">
      <c r="B39" s="142" t="s">
        <v>1822</v>
      </c>
      <c r="C39" s="143" t="s">
        <v>1823</v>
      </c>
      <c r="D39" s="144" t="s">
        <v>1824</v>
      </c>
      <c r="E39" s="147">
        <v>29</v>
      </c>
    </row>
    <row r="40" spans="2:5" x14ac:dyDescent="0.35">
      <c r="B40" s="142" t="s">
        <v>1825</v>
      </c>
      <c r="C40" s="143" t="s">
        <v>1826</v>
      </c>
      <c r="D40" s="144" t="s">
        <v>1827</v>
      </c>
      <c r="E40" s="147">
        <v>29</v>
      </c>
    </row>
    <row r="41" spans="2:5" x14ac:dyDescent="0.35">
      <c r="B41" s="149" t="s">
        <v>1828</v>
      </c>
      <c r="C41" s="143" t="s">
        <v>1829</v>
      </c>
      <c r="D41" s="144" t="s">
        <v>1830</v>
      </c>
      <c r="E41" s="147">
        <v>29</v>
      </c>
    </row>
    <row r="42" spans="2:5" x14ac:dyDescent="0.35">
      <c r="B42" s="149" t="s">
        <v>1831</v>
      </c>
      <c r="C42" s="143" t="s">
        <v>1832</v>
      </c>
      <c r="D42" s="144" t="s">
        <v>1833</v>
      </c>
      <c r="E42" s="147">
        <v>34</v>
      </c>
    </row>
    <row r="43" spans="2:5" x14ac:dyDescent="0.35">
      <c r="B43" s="142" t="s">
        <v>1834</v>
      </c>
      <c r="C43" s="143" t="s">
        <v>1416</v>
      </c>
      <c r="D43" s="144" t="s">
        <v>1835</v>
      </c>
      <c r="E43" s="147">
        <v>36</v>
      </c>
    </row>
    <row r="44" spans="2:5" x14ac:dyDescent="0.35">
      <c r="E44" s="51"/>
    </row>
    <row r="45" spans="2:5" x14ac:dyDescent="0.35">
      <c r="B45" s="21" t="s">
        <v>1836</v>
      </c>
      <c r="E45" s="51"/>
    </row>
    <row r="46" spans="2:5" x14ac:dyDescent="0.35">
      <c r="B46" s="142" t="s">
        <v>1837</v>
      </c>
      <c r="C46" s="143" t="s">
        <v>1838</v>
      </c>
      <c r="D46" s="144" t="s">
        <v>1839</v>
      </c>
      <c r="E46" s="147">
        <v>41</v>
      </c>
    </row>
    <row r="47" spans="2:5" x14ac:dyDescent="0.35">
      <c r="E47" s="51"/>
    </row>
    <row r="48" spans="2:5" x14ac:dyDescent="0.35">
      <c r="B48" s="17" t="s">
        <v>1840</v>
      </c>
      <c r="C48" s="19"/>
      <c r="D48" s="28"/>
      <c r="E48" s="29"/>
    </row>
    <row r="49" spans="2:5" ht="15" customHeight="1" x14ac:dyDescent="0.35">
      <c r="B49" s="142" t="s">
        <v>1841</v>
      </c>
      <c r="C49" s="150" t="s">
        <v>1842</v>
      </c>
      <c r="D49" s="144" t="s">
        <v>1843</v>
      </c>
      <c r="E49" s="147">
        <v>42</v>
      </c>
    </row>
    <row r="50" spans="2:5" x14ac:dyDescent="0.35">
      <c r="B50" s="142" t="s">
        <v>1844</v>
      </c>
      <c r="C50" s="150" t="s">
        <v>1845</v>
      </c>
      <c r="D50" s="144" t="s">
        <v>1846</v>
      </c>
      <c r="E50" s="147">
        <v>45</v>
      </c>
    </row>
    <row r="51" spans="2:5" x14ac:dyDescent="0.35">
      <c r="E51" s="51"/>
    </row>
    <row r="52" spans="2:5" x14ac:dyDescent="0.35">
      <c r="B52" s="17" t="s">
        <v>1847</v>
      </c>
      <c r="E52" s="51"/>
    </row>
    <row r="53" spans="2:5" x14ac:dyDescent="0.35">
      <c r="B53" s="27" t="s">
        <v>1848</v>
      </c>
      <c r="C53" s="52"/>
      <c r="D53" s="53"/>
      <c r="E53" s="54"/>
    </row>
    <row r="54" spans="2:5" x14ac:dyDescent="0.35">
      <c r="B54" s="142" t="s">
        <v>1849</v>
      </c>
      <c r="C54" s="143"/>
      <c r="D54" s="144" t="s">
        <v>1850</v>
      </c>
      <c r="E54" s="147">
        <v>39</v>
      </c>
    </row>
    <row r="55" spans="2:5" x14ac:dyDescent="0.35">
      <c r="B55" s="27" t="s">
        <v>1851</v>
      </c>
      <c r="C55" s="52"/>
      <c r="D55" s="53"/>
      <c r="E55" s="54"/>
    </row>
    <row r="56" spans="2:5" x14ac:dyDescent="0.35">
      <c r="B56" s="142" t="s">
        <v>1852</v>
      </c>
      <c r="C56" s="143"/>
      <c r="D56" s="144" t="s">
        <v>1853</v>
      </c>
      <c r="E56" s="147">
        <v>59</v>
      </c>
    </row>
    <row r="57" spans="2:5" x14ac:dyDescent="0.35">
      <c r="B57" s="27" t="s">
        <v>1854</v>
      </c>
      <c r="C57" s="52"/>
      <c r="D57" s="53"/>
      <c r="E57" s="54"/>
    </row>
    <row r="58" spans="2:5" x14ac:dyDescent="0.35">
      <c r="B58" s="142" t="s">
        <v>1855</v>
      </c>
      <c r="C58" s="143"/>
      <c r="D58" s="144" t="s">
        <v>1856</v>
      </c>
      <c r="E58" s="147">
        <v>69</v>
      </c>
    </row>
  </sheetData>
  <mergeCells count="2">
    <mergeCell ref="B4:D4"/>
    <mergeCell ref="B3:E3"/>
  </mergeCells>
  <phoneticPr fontId="34" type="noConversion"/>
  <conditionalFormatting sqref="D1">
    <cfRule type="duplicateValues" dxfId="32" priority="39"/>
  </conditionalFormatting>
  <conditionalFormatting sqref="D5">
    <cfRule type="duplicateValues" dxfId="31" priority="27"/>
  </conditionalFormatting>
  <conditionalFormatting sqref="D7:D8">
    <cfRule type="duplicateValues" dxfId="30" priority="33"/>
  </conditionalFormatting>
  <conditionalFormatting sqref="D9">
    <cfRule type="duplicateValues" dxfId="29" priority="16"/>
    <cfRule type="duplicateValues" dxfId="28" priority="17"/>
    <cfRule type="duplicateValues" dxfId="27" priority="18"/>
  </conditionalFormatting>
  <conditionalFormatting sqref="D11:D13">
    <cfRule type="duplicateValues" dxfId="26" priority="14"/>
  </conditionalFormatting>
  <conditionalFormatting sqref="D12:D13">
    <cfRule type="duplicateValues" dxfId="25" priority="15"/>
  </conditionalFormatting>
  <conditionalFormatting sqref="D16">
    <cfRule type="duplicateValues" dxfId="24" priority="13"/>
  </conditionalFormatting>
  <conditionalFormatting sqref="D16:D19">
    <cfRule type="duplicateValues" dxfId="23" priority="30"/>
  </conditionalFormatting>
  <conditionalFormatting sqref="D17:D19">
    <cfRule type="duplicateValues" dxfId="22" priority="32"/>
  </conditionalFormatting>
  <conditionalFormatting sqref="D20">
    <cfRule type="duplicateValues" dxfId="21" priority="9"/>
    <cfRule type="duplicateValues" dxfId="20" priority="10"/>
    <cfRule type="duplicateValues" dxfId="19" priority="11"/>
  </conditionalFormatting>
  <conditionalFormatting sqref="D21">
    <cfRule type="duplicateValues" dxfId="18" priority="35"/>
  </conditionalFormatting>
  <conditionalFormatting sqref="D21:D36">
    <cfRule type="duplicateValues" dxfId="17" priority="37"/>
  </conditionalFormatting>
  <conditionalFormatting sqref="D24:D27">
    <cfRule type="duplicateValues" dxfId="16" priority="12"/>
  </conditionalFormatting>
  <conditionalFormatting sqref="D30:D36">
    <cfRule type="duplicateValues" dxfId="15" priority="36"/>
  </conditionalFormatting>
  <conditionalFormatting sqref="D39:D43">
    <cfRule type="duplicateValues" dxfId="14" priority="38"/>
  </conditionalFormatting>
  <conditionalFormatting sqref="D46">
    <cfRule type="duplicateValues" dxfId="13" priority="24"/>
  </conditionalFormatting>
  <conditionalFormatting sqref="D48">
    <cfRule type="duplicateValues" dxfId="12" priority="26"/>
  </conditionalFormatting>
  <conditionalFormatting sqref="D51:D1048576">
    <cfRule type="duplicateValues" dxfId="11" priority="19"/>
  </conditionalFormatting>
  <conditionalFormatting sqref="D51:D1048576">
    <cfRule type="duplicateValues" dxfId="10" priority="6"/>
  </conditionalFormatting>
  <conditionalFormatting sqref="D53">
    <cfRule type="duplicateValues" dxfId="9" priority="25"/>
  </conditionalFormatting>
  <conditionalFormatting sqref="D54">
    <cfRule type="duplicateValues" dxfId="8" priority="23"/>
  </conditionalFormatting>
  <conditionalFormatting sqref="D55">
    <cfRule type="duplicateValues" dxfId="7" priority="29"/>
  </conditionalFormatting>
  <conditionalFormatting sqref="D56">
    <cfRule type="duplicateValues" dxfId="6" priority="22"/>
  </conditionalFormatting>
  <conditionalFormatting sqref="D57">
    <cfRule type="duplicateValues" dxfId="5" priority="31"/>
  </conditionalFormatting>
  <conditionalFormatting sqref="D58">
    <cfRule type="duplicateValues" dxfId="4" priority="21"/>
  </conditionalFormatting>
  <conditionalFormatting sqref="D49:D50">
    <cfRule type="duplicateValues" dxfId="3" priority="5"/>
  </conditionalFormatting>
  <conditionalFormatting sqref="D5:D6 D10 D14:D15 D37:D50">
    <cfRule type="duplicateValues" dxfId="2" priority="1483"/>
  </conditionalFormatting>
  <conditionalFormatting sqref="D1:D2 D4:D50">
    <cfRule type="duplicateValues" dxfId="1" priority="1497"/>
  </conditionalFormatting>
  <conditionalFormatting sqref="D3">
    <cfRule type="duplicateValues" dxfId="0" priority="1"/>
  </conditionalFormatting>
  <pageMargins left="0.7" right="0.7" top="0.75" bottom="0.75" header="0.3" footer="0.3"/>
  <pageSetup paperSize="9" orientation="portrait" r:id="rId1"/>
  <headerFooter>
    <oddFooter>&amp;L&amp;1#&amp;"Calibri"&amp;7&amp;K7F7F7FInternal Use - 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C4554-F3DB-4800-AC1C-564F696777CA}">
  <sheetPr>
    <tabColor theme="8" tint="0.79998168889431442"/>
  </sheetPr>
  <dimension ref="A1:K82"/>
  <sheetViews>
    <sheetView workbookViewId="0">
      <selection activeCell="B75" sqref="B75"/>
    </sheetView>
  </sheetViews>
  <sheetFormatPr baseColWidth="10" defaultColWidth="9.1796875" defaultRowHeight="14.5" x14ac:dyDescent="0.35"/>
  <cols>
    <col min="1" max="1" width="43.453125" style="218" bestFit="1" customWidth="1"/>
    <col min="2" max="2" width="20.81640625" style="218" bestFit="1" customWidth="1"/>
    <col min="3" max="3" width="21.81640625" style="218" bestFit="1" customWidth="1"/>
    <col min="4" max="4" width="24.54296875" style="218" bestFit="1" customWidth="1"/>
    <col min="5" max="5" width="22.26953125" style="218" bestFit="1" customWidth="1"/>
    <col min="6" max="6" width="14.81640625" style="218" customWidth="1"/>
    <col min="7" max="16384" width="9.1796875" style="218"/>
  </cols>
  <sheetData>
    <row r="1" spans="1:9" x14ac:dyDescent="0.35">
      <c r="A1" s="217" t="s">
        <v>1857</v>
      </c>
    </row>
    <row r="2" spans="1:9" s="219" customFormat="1" x14ac:dyDescent="0.35">
      <c r="A2" s="219" t="s">
        <v>1858</v>
      </c>
    </row>
    <row r="3" spans="1:9" x14ac:dyDescent="0.35">
      <c r="A3" s="220" t="s">
        <v>1859</v>
      </c>
      <c r="B3" s="221"/>
    </row>
    <row r="4" spans="1:9" hidden="1" x14ac:dyDescent="0.35">
      <c r="A4" s="222" t="s">
        <v>1860</v>
      </c>
      <c r="B4" s="223"/>
      <c r="C4" s="224"/>
    </row>
    <row r="5" spans="1:9" hidden="1" x14ac:dyDescent="0.35">
      <c r="A5" s="225" t="s">
        <v>1861</v>
      </c>
      <c r="B5" s="226">
        <v>55</v>
      </c>
      <c r="C5" s="227"/>
      <c r="F5" s="227"/>
      <c r="I5" s="228"/>
    </row>
    <row r="6" spans="1:9" hidden="1" x14ac:dyDescent="0.35">
      <c r="A6" s="225" t="s">
        <v>1862</v>
      </c>
      <c r="B6" s="226">
        <v>116</v>
      </c>
      <c r="C6" s="224"/>
      <c r="F6" s="227"/>
      <c r="I6" s="228"/>
    </row>
    <row r="7" spans="1:9" hidden="1" x14ac:dyDescent="0.35">
      <c r="A7" s="225" t="s">
        <v>1863</v>
      </c>
      <c r="B7" s="226">
        <v>266</v>
      </c>
      <c r="C7" s="224"/>
      <c r="F7" s="227"/>
      <c r="I7" s="228"/>
    </row>
    <row r="8" spans="1:9" hidden="1" x14ac:dyDescent="0.35">
      <c r="A8" s="225" t="s">
        <v>1864</v>
      </c>
      <c r="B8" s="226">
        <v>444</v>
      </c>
      <c r="C8" s="224"/>
      <c r="F8" s="227"/>
      <c r="I8" s="228"/>
    </row>
    <row r="9" spans="1:9" hidden="1" x14ac:dyDescent="0.35">
      <c r="A9" s="225" t="s">
        <v>1865</v>
      </c>
      <c r="B9" s="226">
        <v>1909</v>
      </c>
      <c r="C9" s="224"/>
      <c r="F9" s="227"/>
      <c r="I9" s="228"/>
    </row>
    <row r="10" spans="1:9" x14ac:dyDescent="0.35">
      <c r="A10" s="222" t="s">
        <v>1866</v>
      </c>
      <c r="B10" s="223"/>
      <c r="F10" s="227"/>
      <c r="I10" s="228"/>
    </row>
    <row r="11" spans="1:9" x14ac:dyDescent="0.35">
      <c r="A11" s="225" t="s">
        <v>1867</v>
      </c>
      <c r="B11" s="226">
        <v>57</v>
      </c>
      <c r="C11" s="227"/>
      <c r="E11" s="229"/>
      <c r="F11" s="227"/>
      <c r="I11" s="228"/>
    </row>
    <row r="12" spans="1:9" x14ac:dyDescent="0.35">
      <c r="A12" s="225" t="s">
        <v>1868</v>
      </c>
      <c r="B12" s="226">
        <v>121</v>
      </c>
      <c r="C12" s="224"/>
      <c r="E12" s="229"/>
      <c r="F12" s="227"/>
      <c r="I12" s="228"/>
    </row>
    <row r="13" spans="1:9" x14ac:dyDescent="0.35">
      <c r="A13" s="225" t="s">
        <v>1869</v>
      </c>
      <c r="B13" s="226">
        <v>265</v>
      </c>
      <c r="C13" s="224"/>
      <c r="D13" s="224"/>
      <c r="E13" s="229"/>
      <c r="F13" s="227"/>
      <c r="I13" s="228"/>
    </row>
    <row r="14" spans="1:9" x14ac:dyDescent="0.35">
      <c r="A14" s="222" t="s">
        <v>1870</v>
      </c>
      <c r="B14" s="223"/>
      <c r="C14" s="224"/>
      <c r="D14" s="224"/>
      <c r="E14" s="229"/>
      <c r="F14" s="227"/>
      <c r="I14" s="228"/>
    </row>
    <row r="15" spans="1:9" x14ac:dyDescent="0.35">
      <c r="A15" s="225" t="s">
        <v>1871</v>
      </c>
      <c r="B15" s="226">
        <v>148</v>
      </c>
      <c r="C15" s="224"/>
      <c r="D15" s="224"/>
      <c r="E15" s="229"/>
      <c r="F15" s="227"/>
      <c r="I15" s="228"/>
    </row>
    <row r="16" spans="1:9" x14ac:dyDescent="0.35">
      <c r="A16" s="225" t="s">
        <v>1872</v>
      </c>
      <c r="B16" s="226">
        <v>342</v>
      </c>
      <c r="C16" s="224"/>
      <c r="D16" s="224"/>
      <c r="E16" s="229"/>
      <c r="F16" s="227"/>
      <c r="I16" s="228"/>
    </row>
    <row r="17" spans="1:9" x14ac:dyDescent="0.35">
      <c r="A17" s="225" t="s">
        <v>1873</v>
      </c>
      <c r="B17" s="226">
        <v>577</v>
      </c>
      <c r="C17" s="224"/>
      <c r="D17" s="224"/>
      <c r="E17" s="229"/>
      <c r="F17" s="227"/>
      <c r="I17" s="228"/>
    </row>
    <row r="18" spans="1:9" x14ac:dyDescent="0.35">
      <c r="A18" s="225" t="s">
        <v>1874</v>
      </c>
      <c r="B18" s="226">
        <v>2369</v>
      </c>
      <c r="C18" s="224"/>
      <c r="D18" s="224"/>
      <c r="E18" s="229"/>
      <c r="F18" s="227"/>
      <c r="I18" s="228"/>
    </row>
    <row r="19" spans="1:9" x14ac:dyDescent="0.35">
      <c r="A19" s="225" t="s">
        <v>1875</v>
      </c>
      <c r="B19" s="226">
        <v>4738</v>
      </c>
      <c r="C19" s="224"/>
      <c r="D19" s="224"/>
      <c r="E19" s="229"/>
      <c r="F19" s="227"/>
      <c r="I19" s="228"/>
    </row>
    <row r="20" spans="1:9" x14ac:dyDescent="0.35">
      <c r="A20" s="222" t="s">
        <v>1876</v>
      </c>
      <c r="B20" s="223"/>
      <c r="C20" s="224"/>
      <c r="D20" s="224"/>
      <c r="E20" s="229"/>
    </row>
    <row r="21" spans="1:9" x14ac:dyDescent="0.35">
      <c r="A21" s="225" t="s">
        <v>1877</v>
      </c>
      <c r="B21" s="226">
        <v>156</v>
      </c>
      <c r="C21" s="224"/>
      <c r="D21" s="224"/>
      <c r="E21" s="229"/>
    </row>
    <row r="22" spans="1:9" x14ac:dyDescent="0.35">
      <c r="A22" s="225" t="s">
        <v>1878</v>
      </c>
      <c r="B22" s="226">
        <v>347</v>
      </c>
      <c r="C22" s="224"/>
      <c r="E22" s="229"/>
    </row>
    <row r="23" spans="1:9" x14ac:dyDescent="0.35">
      <c r="A23" s="225" t="s">
        <v>1879</v>
      </c>
      <c r="B23" s="226">
        <v>577</v>
      </c>
      <c r="C23" s="224"/>
      <c r="E23" s="229"/>
    </row>
    <row r="24" spans="1:9" x14ac:dyDescent="0.35">
      <c r="A24" s="225" t="s">
        <v>1880</v>
      </c>
      <c r="B24" s="226">
        <v>1143</v>
      </c>
      <c r="C24" s="224"/>
      <c r="E24" s="229"/>
    </row>
    <row r="25" spans="1:9" x14ac:dyDescent="0.35">
      <c r="A25" s="222" t="s">
        <v>1881</v>
      </c>
      <c r="B25" s="222" t="s">
        <v>1882</v>
      </c>
      <c r="C25" s="222" t="s">
        <v>1883</v>
      </c>
      <c r="E25" s="229"/>
    </row>
    <row r="26" spans="1:9" x14ac:dyDescent="0.35">
      <c r="A26" s="225" t="s">
        <v>1884</v>
      </c>
      <c r="B26" s="226">
        <v>128</v>
      </c>
      <c r="C26" s="226"/>
      <c r="E26" s="229"/>
      <c r="F26" s="229"/>
    </row>
    <row r="27" spans="1:9" x14ac:dyDescent="0.35">
      <c r="A27" s="225" t="s">
        <v>1885</v>
      </c>
      <c r="B27" s="226">
        <v>415</v>
      </c>
      <c r="C27" s="226">
        <v>287</v>
      </c>
      <c r="E27" s="229"/>
      <c r="F27" s="229"/>
    </row>
    <row r="29" spans="1:9" s="219" customFormat="1" x14ac:dyDescent="0.35">
      <c r="A29" s="219" t="s">
        <v>1886</v>
      </c>
    </row>
    <row r="30" spans="1:9" x14ac:dyDescent="0.35">
      <c r="A30" s="220" t="s">
        <v>1887</v>
      </c>
      <c r="B30" s="221" t="s">
        <v>1888</v>
      </c>
      <c r="C30" s="220" t="s">
        <v>1889</v>
      </c>
      <c r="D30" s="220" t="s">
        <v>1890</v>
      </c>
    </row>
    <row r="31" spans="1:9" x14ac:dyDescent="0.35">
      <c r="A31" s="225" t="s">
        <v>1891</v>
      </c>
      <c r="B31" s="226">
        <v>142</v>
      </c>
      <c r="C31" s="226"/>
      <c r="D31" s="226"/>
      <c r="E31" s="229"/>
      <c r="F31" s="229"/>
      <c r="G31" s="229"/>
      <c r="H31" s="229"/>
    </row>
    <row r="32" spans="1:9" x14ac:dyDescent="0.35">
      <c r="A32" s="225" t="s">
        <v>1892</v>
      </c>
      <c r="B32" s="226">
        <v>185</v>
      </c>
      <c r="C32" s="226">
        <v>43</v>
      </c>
      <c r="D32" s="226"/>
      <c r="E32" s="229"/>
      <c r="F32" s="229"/>
      <c r="G32" s="229"/>
      <c r="H32" s="229"/>
    </row>
    <row r="33" spans="1:8" x14ac:dyDescent="0.35">
      <c r="A33" s="225" t="s">
        <v>1893</v>
      </c>
      <c r="B33" s="226">
        <v>386</v>
      </c>
      <c r="C33" s="226">
        <v>244</v>
      </c>
      <c r="D33" s="226"/>
      <c r="E33" s="229"/>
      <c r="F33" s="229"/>
      <c r="G33" s="229"/>
      <c r="H33" s="229"/>
    </row>
    <row r="34" spans="1:8" x14ac:dyDescent="0.35">
      <c r="A34" s="225" t="s">
        <v>1894</v>
      </c>
      <c r="B34" s="226">
        <v>0</v>
      </c>
      <c r="C34" s="226">
        <v>0</v>
      </c>
      <c r="D34" s="226">
        <v>200</v>
      </c>
      <c r="E34" s="229"/>
      <c r="F34" s="229"/>
      <c r="G34" s="229"/>
      <c r="H34" s="229"/>
    </row>
    <row r="35" spans="1:8" x14ac:dyDescent="0.35">
      <c r="B35" s="224"/>
    </row>
    <row r="36" spans="1:8" s="219" customFormat="1" x14ac:dyDescent="0.35">
      <c r="A36" s="219" t="s">
        <v>1895</v>
      </c>
    </row>
    <row r="37" spans="1:8" x14ac:dyDescent="0.35">
      <c r="A37" s="220" t="s">
        <v>1896</v>
      </c>
      <c r="B37" s="221" t="s">
        <v>1897</v>
      </c>
      <c r="C37" s="220" t="s">
        <v>1898</v>
      </c>
      <c r="D37" s="220" t="s">
        <v>1899</v>
      </c>
    </row>
    <row r="38" spans="1:8" x14ac:dyDescent="0.35">
      <c r="A38" s="225" t="s">
        <v>1900</v>
      </c>
      <c r="B38" s="226">
        <v>109</v>
      </c>
      <c r="C38" s="226"/>
      <c r="D38" s="226"/>
      <c r="E38" s="229"/>
      <c r="F38" s="229"/>
      <c r="G38" s="229"/>
    </row>
    <row r="39" spans="1:8" x14ac:dyDescent="0.35">
      <c r="A39" s="225" t="s">
        <v>1901</v>
      </c>
      <c r="B39" s="226">
        <v>289</v>
      </c>
      <c r="C39" s="226">
        <v>180</v>
      </c>
      <c r="D39" s="226"/>
      <c r="E39" s="229"/>
      <c r="F39" s="229"/>
      <c r="G39" s="229"/>
    </row>
    <row r="40" spans="1:8" x14ac:dyDescent="0.35">
      <c r="A40" s="225" t="s">
        <v>1902</v>
      </c>
      <c r="B40" s="226"/>
      <c r="C40" s="226">
        <v>454</v>
      </c>
      <c r="D40" s="226">
        <v>274</v>
      </c>
      <c r="E40" s="229"/>
      <c r="F40" s="229"/>
      <c r="G40" s="229"/>
    </row>
    <row r="41" spans="1:8" x14ac:dyDescent="0.35">
      <c r="A41" s="225" t="s">
        <v>1903</v>
      </c>
      <c r="B41" s="226"/>
      <c r="C41" s="226">
        <v>774</v>
      </c>
      <c r="D41" s="226">
        <v>593</v>
      </c>
      <c r="E41" s="229"/>
      <c r="F41" s="229"/>
      <c r="G41" s="229"/>
    </row>
    <row r="42" spans="1:8" x14ac:dyDescent="0.35">
      <c r="A42" s="225" t="s">
        <v>1904</v>
      </c>
      <c r="B42" s="226"/>
      <c r="C42" s="226">
        <v>1597</v>
      </c>
      <c r="D42" s="226">
        <v>1416</v>
      </c>
      <c r="E42" s="229"/>
      <c r="F42" s="229"/>
      <c r="G42" s="229"/>
    </row>
    <row r="43" spans="1:8" x14ac:dyDescent="0.35">
      <c r="A43" s="225" t="s">
        <v>1905</v>
      </c>
      <c r="B43" s="226"/>
      <c r="C43" s="226">
        <v>1091</v>
      </c>
      <c r="D43" s="226">
        <v>911</v>
      </c>
      <c r="E43" s="229"/>
      <c r="F43" s="229"/>
      <c r="G43" s="229"/>
    </row>
    <row r="46" spans="1:8" s="219" customFormat="1" x14ac:dyDescent="0.35">
      <c r="A46" s="219" t="s">
        <v>1906</v>
      </c>
    </row>
    <row r="47" spans="1:8" x14ac:dyDescent="0.35">
      <c r="A47" s="220"/>
      <c r="B47" s="230" t="s">
        <v>1907</v>
      </c>
      <c r="C47" s="221" t="s">
        <v>1908</v>
      </c>
      <c r="D47" s="220" t="s">
        <v>1909</v>
      </c>
      <c r="E47" s="220" t="s">
        <v>1910</v>
      </c>
      <c r="F47" s="220" t="s">
        <v>1911</v>
      </c>
    </row>
    <row r="48" spans="1:8" x14ac:dyDescent="0.35">
      <c r="A48" s="231" t="s">
        <v>1912</v>
      </c>
      <c r="B48" s="232"/>
      <c r="C48" s="232"/>
      <c r="D48" s="231"/>
      <c r="E48" s="231"/>
      <c r="F48" s="231"/>
    </row>
    <row r="49" spans="1:11" x14ac:dyDescent="0.35">
      <c r="A49" s="233" t="s">
        <v>1913</v>
      </c>
      <c r="B49" s="234">
        <v>0</v>
      </c>
      <c r="C49" s="234"/>
      <c r="D49" s="234">
        <v>153.47</v>
      </c>
      <c r="E49" s="233"/>
      <c r="F49" s="233">
        <v>384</v>
      </c>
      <c r="I49" s="229"/>
      <c r="J49" s="229"/>
      <c r="K49" s="229"/>
    </row>
    <row r="50" spans="1:11" x14ac:dyDescent="0.35">
      <c r="A50" s="233" t="s">
        <v>1914</v>
      </c>
      <c r="B50" s="234">
        <v>192</v>
      </c>
      <c r="C50" s="234"/>
      <c r="D50" s="234">
        <v>345.05</v>
      </c>
      <c r="E50" s="233">
        <v>2.5</v>
      </c>
      <c r="F50" s="233">
        <v>896</v>
      </c>
      <c r="I50" s="229"/>
      <c r="J50" s="229"/>
      <c r="K50" s="229"/>
    </row>
    <row r="51" spans="1:11" x14ac:dyDescent="0.35">
      <c r="A51" s="233" t="s">
        <v>1915</v>
      </c>
      <c r="B51" s="234">
        <v>400</v>
      </c>
      <c r="C51" s="234"/>
      <c r="D51" s="234">
        <v>553.11</v>
      </c>
      <c r="E51" s="233">
        <v>8</v>
      </c>
      <c r="F51" s="233">
        <v>3228</v>
      </c>
      <c r="I51" s="229"/>
      <c r="J51" s="229"/>
      <c r="K51" s="229"/>
    </row>
    <row r="52" spans="1:11" x14ac:dyDescent="0.35">
      <c r="A52" s="233" t="s">
        <v>1916</v>
      </c>
      <c r="B52" s="234">
        <v>510</v>
      </c>
      <c r="C52" s="234"/>
      <c r="D52" s="234">
        <v>663.32</v>
      </c>
      <c r="E52" s="233">
        <v>12</v>
      </c>
      <c r="F52" s="233">
        <v>2816</v>
      </c>
      <c r="I52" s="229"/>
      <c r="J52" s="229"/>
      <c r="K52" s="229"/>
    </row>
    <row r="53" spans="1:11" x14ac:dyDescent="0.35">
      <c r="A53" s="233" t="s">
        <v>1917</v>
      </c>
      <c r="B53" s="234">
        <v>1291</v>
      </c>
      <c r="C53" s="234">
        <f t="shared" ref="C53:C58" si="0">B53-$B$59</f>
        <v>1291</v>
      </c>
      <c r="D53" s="234">
        <v>1444.06</v>
      </c>
      <c r="E53" s="233">
        <v>26.7</v>
      </c>
      <c r="F53" s="233">
        <v>6144</v>
      </c>
      <c r="I53" s="229"/>
      <c r="J53" s="229"/>
      <c r="K53" s="229"/>
    </row>
    <row r="54" spans="1:11" x14ac:dyDescent="0.35">
      <c r="A54" s="233" t="s">
        <v>1918</v>
      </c>
      <c r="B54" s="234">
        <v>1291</v>
      </c>
      <c r="C54" s="234">
        <f t="shared" si="0"/>
        <v>1291</v>
      </c>
      <c r="D54" s="234">
        <v>1444.06</v>
      </c>
      <c r="E54" s="233">
        <v>26.7</v>
      </c>
      <c r="F54" s="233">
        <v>6144</v>
      </c>
      <c r="I54" s="229"/>
      <c r="J54" s="229"/>
      <c r="K54" s="229"/>
    </row>
    <row r="55" spans="1:11" x14ac:dyDescent="0.35">
      <c r="A55" s="233" t="s">
        <v>1919</v>
      </c>
      <c r="B55" s="234">
        <v>2266</v>
      </c>
      <c r="C55" s="234">
        <f t="shared" si="0"/>
        <v>2266</v>
      </c>
      <c r="D55" s="234">
        <v>2419.4700000000003</v>
      </c>
      <c r="E55" s="233">
        <v>39.6</v>
      </c>
      <c r="F55" s="233">
        <v>7680</v>
      </c>
      <c r="I55" s="229"/>
      <c r="J55" s="229"/>
      <c r="K55" s="229"/>
    </row>
    <row r="56" spans="1:11" x14ac:dyDescent="0.35">
      <c r="A56" s="233" t="s">
        <v>1920</v>
      </c>
      <c r="B56" s="234">
        <v>3708</v>
      </c>
      <c r="C56" s="234">
        <f t="shared" si="0"/>
        <v>3708</v>
      </c>
      <c r="D56" s="234">
        <v>3861.4700000000003</v>
      </c>
      <c r="E56" s="233">
        <v>65.3</v>
      </c>
      <c r="F56" s="233">
        <v>12800</v>
      </c>
      <c r="I56" s="229"/>
      <c r="J56" s="229"/>
      <c r="K56" s="229"/>
    </row>
    <row r="57" spans="1:11" x14ac:dyDescent="0.35">
      <c r="A57" s="233" t="s">
        <v>1921</v>
      </c>
      <c r="B57" s="234">
        <v>6644</v>
      </c>
      <c r="C57" s="234">
        <f t="shared" si="0"/>
        <v>6644</v>
      </c>
      <c r="D57" s="234">
        <v>6796.97</v>
      </c>
      <c r="E57" s="233">
        <v>91.1</v>
      </c>
      <c r="F57" s="233">
        <v>18176</v>
      </c>
      <c r="I57" s="229"/>
      <c r="J57" s="229"/>
      <c r="K57" s="229"/>
    </row>
    <row r="58" spans="1:11" x14ac:dyDescent="0.35">
      <c r="A58" s="233" t="s">
        <v>1922</v>
      </c>
      <c r="B58" s="234">
        <v>14369</v>
      </c>
      <c r="C58" s="234">
        <f t="shared" si="0"/>
        <v>14369</v>
      </c>
      <c r="D58" s="234">
        <v>14521.970000000001</v>
      </c>
      <c r="E58" s="235" t="s">
        <v>1923</v>
      </c>
      <c r="F58" s="235" t="s">
        <v>1923</v>
      </c>
      <c r="I58" s="229"/>
      <c r="J58" s="229"/>
      <c r="K58" s="229"/>
    </row>
    <row r="59" spans="1:11" x14ac:dyDescent="0.35">
      <c r="A59" s="231" t="s">
        <v>1924</v>
      </c>
      <c r="B59" s="232"/>
      <c r="C59" s="232"/>
      <c r="D59" s="231"/>
      <c r="E59" s="231"/>
      <c r="F59" s="231"/>
      <c r="I59" s="229"/>
      <c r="J59" s="229"/>
      <c r="K59" s="229"/>
    </row>
    <row r="60" spans="1:11" x14ac:dyDescent="0.35">
      <c r="A60" s="225" t="s">
        <v>1925</v>
      </c>
      <c r="B60" s="226">
        <v>431</v>
      </c>
      <c r="C60" s="236"/>
      <c r="D60" s="237"/>
      <c r="E60" s="237"/>
      <c r="F60" s="237"/>
      <c r="I60" s="229"/>
      <c r="J60" s="229"/>
      <c r="K60" s="229"/>
    </row>
    <row r="61" spans="1:11" x14ac:dyDescent="0.35">
      <c r="A61" s="225" t="s">
        <v>1926</v>
      </c>
      <c r="B61" s="226">
        <v>693</v>
      </c>
      <c r="C61" s="226">
        <f>B61-$B$59</f>
        <v>693</v>
      </c>
      <c r="D61" s="225"/>
      <c r="E61" s="225"/>
      <c r="F61" s="225"/>
      <c r="I61" s="229"/>
      <c r="J61" s="229"/>
      <c r="K61" s="229"/>
    </row>
    <row r="62" spans="1:11" x14ac:dyDescent="0.35">
      <c r="A62" s="233" t="s">
        <v>1927</v>
      </c>
      <c r="B62" s="234">
        <v>1312</v>
      </c>
      <c r="C62" s="234">
        <f>B62-$B$59</f>
        <v>1312</v>
      </c>
      <c r="D62" s="225"/>
      <c r="E62" s="225"/>
      <c r="F62" s="225"/>
      <c r="I62" s="229"/>
      <c r="J62" s="229"/>
      <c r="K62" s="229"/>
    </row>
    <row r="63" spans="1:11" x14ac:dyDescent="0.35">
      <c r="A63" s="225" t="s">
        <v>1928</v>
      </c>
      <c r="B63" s="226">
        <v>1854</v>
      </c>
      <c r="C63" s="226">
        <f>B63-$B$59</f>
        <v>1854</v>
      </c>
      <c r="D63" s="225"/>
      <c r="E63" s="225"/>
      <c r="F63" s="225"/>
      <c r="I63" s="229"/>
      <c r="J63" s="229"/>
      <c r="K63" s="229"/>
    </row>
    <row r="64" spans="1:11" x14ac:dyDescent="0.35">
      <c r="A64" s="231" t="s">
        <v>1929</v>
      </c>
      <c r="B64" s="231"/>
      <c r="C64" s="231"/>
      <c r="D64" s="231"/>
      <c r="E64" s="231"/>
      <c r="F64" s="231"/>
      <c r="I64" s="229"/>
      <c r="J64" s="229"/>
      <c r="K64" s="229"/>
    </row>
    <row r="65" spans="1:11" x14ac:dyDescent="0.35">
      <c r="A65" s="233" t="s">
        <v>1930</v>
      </c>
      <c r="B65" s="234">
        <v>451</v>
      </c>
      <c r="C65" s="225"/>
      <c r="D65" s="225"/>
      <c r="E65" s="225"/>
      <c r="F65" s="225"/>
      <c r="I65" s="229"/>
      <c r="J65" s="229"/>
      <c r="K65" s="229"/>
    </row>
    <row r="66" spans="1:11" x14ac:dyDescent="0.35">
      <c r="A66" s="225" t="s">
        <v>1931</v>
      </c>
      <c r="B66" s="226">
        <v>2089</v>
      </c>
      <c r="C66" s="225"/>
      <c r="D66" s="225"/>
      <c r="E66" s="225">
        <v>17.829999999999998</v>
      </c>
      <c r="F66" s="225"/>
      <c r="I66" s="229"/>
      <c r="J66" s="229"/>
      <c r="K66" s="229"/>
    </row>
    <row r="69" spans="1:11" s="219" customFormat="1" x14ac:dyDescent="0.35">
      <c r="A69" s="219" t="s">
        <v>1932</v>
      </c>
    </row>
    <row r="70" spans="1:11" x14ac:dyDescent="0.35">
      <c r="A70" s="220" t="s">
        <v>1933</v>
      </c>
      <c r="B70" s="220"/>
      <c r="C70" s="221" t="s">
        <v>1934</v>
      </c>
      <c r="D70" s="221" t="s">
        <v>1935</v>
      </c>
      <c r="E70" s="221" t="s">
        <v>1936</v>
      </c>
    </row>
    <row r="71" spans="1:11" x14ac:dyDescent="0.35">
      <c r="A71" s="225" t="s">
        <v>1937</v>
      </c>
      <c r="B71" s="226">
        <v>75</v>
      </c>
      <c r="C71" s="226"/>
      <c r="D71" s="226"/>
      <c r="E71" s="226"/>
    </row>
    <row r="72" spans="1:11" x14ac:dyDescent="0.35">
      <c r="A72" s="225" t="s">
        <v>1938</v>
      </c>
      <c r="B72" s="226">
        <v>133</v>
      </c>
      <c r="C72" s="226">
        <f>B72-B$71</f>
        <v>58</v>
      </c>
      <c r="D72" s="226"/>
      <c r="E72" s="226"/>
    </row>
    <row r="73" spans="1:11" x14ac:dyDescent="0.35">
      <c r="A73" s="225" t="s">
        <v>1939</v>
      </c>
      <c r="B73" s="226">
        <v>206</v>
      </c>
      <c r="C73" s="226">
        <f t="shared" ref="C73:C75" si="1">B73-B$71</f>
        <v>131</v>
      </c>
      <c r="D73" s="226">
        <f t="shared" ref="D73:D75" si="2">B73-B$72</f>
        <v>73</v>
      </c>
      <c r="E73" s="226"/>
    </row>
    <row r="74" spans="1:11" x14ac:dyDescent="0.35">
      <c r="A74" s="225" t="s">
        <v>1940</v>
      </c>
      <c r="B74" s="226">
        <v>350</v>
      </c>
      <c r="C74" s="226">
        <f t="shared" si="1"/>
        <v>275</v>
      </c>
      <c r="D74" s="226">
        <f t="shared" si="2"/>
        <v>217</v>
      </c>
      <c r="E74" s="226">
        <f t="shared" ref="E74:E75" si="3">C74-C$73</f>
        <v>144</v>
      </c>
    </row>
    <row r="75" spans="1:11" x14ac:dyDescent="0.35">
      <c r="A75" s="225" t="s">
        <v>1941</v>
      </c>
      <c r="B75" s="226">
        <v>650</v>
      </c>
      <c r="C75" s="226">
        <f t="shared" si="1"/>
        <v>575</v>
      </c>
      <c r="D75" s="226">
        <f t="shared" si="2"/>
        <v>517</v>
      </c>
      <c r="E75" s="226">
        <f t="shared" si="3"/>
        <v>444</v>
      </c>
    </row>
    <row r="76" spans="1:11" x14ac:dyDescent="0.35">
      <c r="A76" s="220" t="s">
        <v>1942</v>
      </c>
      <c r="B76" s="220"/>
    </row>
    <row r="77" spans="1:11" x14ac:dyDescent="0.35">
      <c r="A77" s="225" t="s">
        <v>171</v>
      </c>
      <c r="B77" s="226">
        <v>46</v>
      </c>
      <c r="G77" s="229"/>
      <c r="H77" s="229"/>
      <c r="I77" s="229"/>
      <c r="J77" s="229"/>
    </row>
    <row r="78" spans="1:11" x14ac:dyDescent="0.35">
      <c r="A78" s="225" t="s">
        <v>1943</v>
      </c>
      <c r="B78" s="226">
        <v>69</v>
      </c>
      <c r="G78" s="229"/>
      <c r="H78" s="229"/>
      <c r="I78" s="229"/>
      <c r="J78" s="229"/>
    </row>
    <row r="79" spans="1:11" x14ac:dyDescent="0.35">
      <c r="A79" s="225" t="s">
        <v>175</v>
      </c>
      <c r="B79" s="226">
        <v>82</v>
      </c>
      <c r="G79" s="229"/>
      <c r="H79" s="229"/>
      <c r="I79" s="229"/>
      <c r="J79" s="229"/>
    </row>
    <row r="80" spans="1:11" x14ac:dyDescent="0.35">
      <c r="A80" s="225" t="s">
        <v>554</v>
      </c>
      <c r="B80" s="226">
        <v>148</v>
      </c>
      <c r="G80" s="229"/>
      <c r="H80" s="229"/>
      <c r="I80" s="229"/>
      <c r="J80" s="229"/>
    </row>
    <row r="81" spans="1:10" x14ac:dyDescent="0.35">
      <c r="A81" s="225" t="s">
        <v>556</v>
      </c>
      <c r="B81" s="226">
        <v>229</v>
      </c>
      <c r="G81" s="229"/>
      <c r="H81" s="229"/>
      <c r="I81" s="229"/>
      <c r="J81" s="229"/>
    </row>
    <row r="82" spans="1:10" x14ac:dyDescent="0.35">
      <c r="A82" s="225" t="s">
        <v>558</v>
      </c>
      <c r="B82" s="226">
        <v>349</v>
      </c>
      <c r="E82" s="238"/>
      <c r="G82" s="229"/>
      <c r="H82" s="229"/>
      <c r="I82" s="229"/>
      <c r="J82" s="229"/>
    </row>
  </sheetData>
  <pageMargins left="0.7" right="0.7" top="0.75" bottom="0.75" header="0.3" footer="0.3"/>
  <pageSetup paperSize="9" orientation="portrait" verticalDpi="0" r:id="rId1"/>
  <headerFooter>
    <oddFooter>&amp;L&amp;1#&amp;"Calibri"&amp;7&amp;K737373Internal Use -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B12258A7-D69C-497F-AA80-E2D7B28417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292E39-B230-40C6-8B06-B65CBA40E087}">
  <ds:schemaRefs>
    <ds:schemaRef ds:uri="http://schemas.microsoft.com/sharepoint/v3/contenttype/forms"/>
  </ds:schemaRefs>
</ds:datastoreItem>
</file>

<file path=customXml/itemProps3.xml><?xml version="1.0" encoding="utf-8"?>
<ds:datastoreItem xmlns:ds="http://schemas.openxmlformats.org/officeDocument/2006/customXml" ds:itemID="{3DA5DC9F-4AF2-4550-9CA6-F81921CD4E32}">
  <ds:schemaRefs>
    <ds:schemaRef ds:uri="http://purl.org/dc/elements/1.1/"/>
    <ds:schemaRef ds:uri="http://schemas.microsoft.com/office/2006/documentManagement/types"/>
    <ds:schemaRef ds:uri="http://schemas.microsoft.com/office/2006/metadata/properties"/>
    <ds:schemaRef ds:uri="http://purl.org/dc/terms/"/>
    <ds:schemaRef ds:uri="http://purl.org/dc/dcmitype/"/>
    <ds:schemaRef ds:uri="http://schemas.microsoft.com/office/infopath/2007/PartnerControls"/>
    <ds:schemaRef ds:uri="0adf5e5e-2e9c-4521-9a15-dcadeafa142a"/>
    <ds:schemaRef ds:uri="http://schemas.openxmlformats.org/package/2006/metadata/core-properties"/>
    <ds:schemaRef ds:uri="edabb370-31fb-4442-b75d-3f82d9f3c717"/>
    <ds:schemaRef ds:uri="http://www.w3.org/XML/1998/namespace"/>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Résumé</vt:lpstr>
      <vt:lpstr>BPU Lot 3</vt:lpstr>
      <vt:lpstr>BPU Lot 3 Location</vt:lpstr>
      <vt:lpstr>Extensions Lot 3</vt:lpstr>
      <vt:lpstr>Extensions Lot 3 Location</vt:lpstr>
      <vt:lpstr>Maintien parc existant Dell</vt:lpstr>
      <vt:lpstr>Prix upsells V10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Durrenberger, Raphael;Berthelot, Raphael;David JOUSSAIN</dc:creator>
  <cp:keywords/>
  <dc:description/>
  <cp:lastModifiedBy>Laëtitia Goënse</cp:lastModifiedBy>
  <cp:revision>1</cp:revision>
  <dcterms:created xsi:type="dcterms:W3CDTF">2021-07-27T21:33:50Z</dcterms:created>
  <dcterms:modified xsi:type="dcterms:W3CDTF">2024-10-09T08:11:39Z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MSIP_Label_7de70ee2-0cb4-4d60-aee5-75ef2c4c8a90_Enabled">
    <vt:lpwstr>True</vt:lpwstr>
  </property>
  <property fmtid="{D5CDD505-2E9C-101B-9397-08002B2CF9AE}" pid="4" name="MSIP_Label_7de70ee2-0cb4-4d60-aee5-75ef2c4c8a90_SiteId">
    <vt:lpwstr>945c199a-83a2-4e80-9f8c-5a91be5752dd</vt:lpwstr>
  </property>
  <property fmtid="{D5CDD505-2E9C-101B-9397-08002B2CF9AE}" pid="5" name="MSIP_Label_7de70ee2-0cb4-4d60-aee5-75ef2c4c8a90_Owner">
    <vt:lpwstr>R_Berthelot@DELL.com</vt:lpwstr>
  </property>
  <property fmtid="{D5CDD505-2E9C-101B-9397-08002B2CF9AE}" pid="6" name="MSIP_Label_7de70ee2-0cb4-4d60-aee5-75ef2c4c8a90_SetDate">
    <vt:lpwstr>2021-08-12T07:32:25.4455717Z</vt:lpwstr>
  </property>
  <property fmtid="{D5CDD505-2E9C-101B-9397-08002B2CF9AE}" pid="7" name="MSIP_Label_7de70ee2-0cb4-4d60-aee5-75ef2c4c8a90_Name">
    <vt:lpwstr>Internal Use</vt:lpwstr>
  </property>
  <property fmtid="{D5CDD505-2E9C-101B-9397-08002B2CF9AE}" pid="8" name="MSIP_Label_7de70ee2-0cb4-4d60-aee5-75ef2c4c8a90_Application">
    <vt:lpwstr>Microsoft Azure Information Protection</vt:lpwstr>
  </property>
  <property fmtid="{D5CDD505-2E9C-101B-9397-08002B2CF9AE}" pid="9" name="MSIP_Label_7de70ee2-0cb4-4d60-aee5-75ef2c4c8a90_ActionId">
    <vt:lpwstr>dd91a884-1f14-41bc-bc63-a72acede3ad2</vt:lpwstr>
  </property>
  <property fmtid="{D5CDD505-2E9C-101B-9397-08002B2CF9AE}" pid="10" name="MSIP_Label_7de70ee2-0cb4-4d60-aee5-75ef2c4c8a90_Extended_MSFT_Method">
    <vt:lpwstr>Manual</vt:lpwstr>
  </property>
  <property fmtid="{D5CDD505-2E9C-101B-9397-08002B2CF9AE}" pid="11" name="MSIP_Label_da6fab74-d5af-4af7-a9a4-78d84655a626_Enabled">
    <vt:lpwstr>True</vt:lpwstr>
  </property>
  <property fmtid="{D5CDD505-2E9C-101B-9397-08002B2CF9AE}" pid="12" name="MSIP_Label_da6fab74-d5af-4af7-a9a4-78d84655a626_SiteId">
    <vt:lpwstr>945c199a-83a2-4e80-9f8c-5a91be5752dd</vt:lpwstr>
  </property>
  <property fmtid="{D5CDD505-2E9C-101B-9397-08002B2CF9AE}" pid="13" name="MSIP_Label_da6fab74-d5af-4af7-a9a4-78d84655a626_Owner">
    <vt:lpwstr>R_Berthelot@DELL.com</vt:lpwstr>
  </property>
  <property fmtid="{D5CDD505-2E9C-101B-9397-08002B2CF9AE}" pid="14" name="MSIP_Label_da6fab74-d5af-4af7-a9a4-78d84655a626_SetDate">
    <vt:lpwstr>2021-08-12T07:32:25.4455717Z</vt:lpwstr>
  </property>
  <property fmtid="{D5CDD505-2E9C-101B-9397-08002B2CF9AE}" pid="15" name="MSIP_Label_da6fab74-d5af-4af7-a9a4-78d84655a626_Name">
    <vt:lpwstr>Visual Marking</vt:lpwstr>
  </property>
  <property fmtid="{D5CDD505-2E9C-101B-9397-08002B2CF9AE}" pid="16" name="MSIP_Label_da6fab74-d5af-4af7-a9a4-78d84655a626_Application">
    <vt:lpwstr>Microsoft Azure Information Protection</vt:lpwstr>
  </property>
  <property fmtid="{D5CDD505-2E9C-101B-9397-08002B2CF9AE}" pid="17" name="MSIP_Label_da6fab74-d5af-4af7-a9a4-78d84655a626_ActionId">
    <vt:lpwstr>dd91a884-1f14-41bc-bc63-a72acede3ad2</vt:lpwstr>
  </property>
  <property fmtid="{D5CDD505-2E9C-101B-9397-08002B2CF9AE}" pid="18" name="MSIP_Label_da6fab74-d5af-4af7-a9a4-78d84655a626_Parent">
    <vt:lpwstr>7de70ee2-0cb4-4d60-aee5-75ef2c4c8a90</vt:lpwstr>
  </property>
  <property fmtid="{D5CDD505-2E9C-101B-9397-08002B2CF9AE}" pid="19" name="MSIP_Label_da6fab74-d5af-4af7-a9a4-78d84655a626_Extended_MSFT_Method">
    <vt:lpwstr>Manual</vt:lpwstr>
  </property>
  <property fmtid="{D5CDD505-2E9C-101B-9397-08002B2CF9AE}" pid="20" name="aiplabel">
    <vt:lpwstr>Internal Use Visual Marking</vt:lpwstr>
  </property>
</Properties>
</file>